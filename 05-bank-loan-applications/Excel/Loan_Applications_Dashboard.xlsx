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F:\CV\DataAnalyst\Freelance_Portfolio\05_Bank_Loan_Applications\Excel\"/>
    </mc:Choice>
  </mc:AlternateContent>
  <xr:revisionPtr revIDLastSave="0" documentId="13_ncr:1_{0AA7688E-CE35-4927-A694-C15652406E91}" xr6:coauthVersionLast="47" xr6:coauthVersionMax="47" xr10:uidLastSave="{00000000-0000-0000-0000-000000000000}"/>
  <bookViews>
    <workbookView xWindow="-120" yWindow="-120" windowWidth="20730" windowHeight="11160" xr2:uid="{00000000-000D-0000-FFFF-FFFF00000000}"/>
  </bookViews>
  <sheets>
    <sheet name="Dashboard" sheetId="1" r:id="rId1"/>
    <sheet name="Pivots" sheetId="2" r:id="rId2"/>
    <sheet name="Data" sheetId="3" r:id="rId3"/>
    <sheet name="About" sheetId="4" r:id="rId4"/>
  </sheets>
  <definedNames>
    <definedName name="_xlnm.Print_Area" localSheetId="0">Dashboard!$A$1:$BP$49</definedName>
    <definedName name="Slicer_EmploymentType">#N/A</definedName>
    <definedName name="Slicer_Product">#N/A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10" i="1" l="1"/>
  <c r="BC8" i="1"/>
  <c r="AP10" i="1"/>
  <c r="AP8" i="1"/>
  <c r="AC10" i="1"/>
  <c r="AC8" i="1"/>
  <c r="P10" i="1"/>
  <c r="P8" i="1"/>
  <c r="C10" i="1"/>
  <c r="C8" i="1"/>
</calcChain>
</file>

<file path=xl/sharedStrings.xml><?xml version="1.0" encoding="utf-8"?>
<sst xmlns="http://schemas.openxmlformats.org/spreadsheetml/2006/main" count="49061" uniqueCount="5356">
  <si>
    <t>ApplicationID</t>
  </si>
  <si>
    <t>ApplicationDate</t>
  </si>
  <si>
    <t>Year</t>
  </si>
  <si>
    <t>Quarter</t>
  </si>
  <si>
    <t>Month</t>
  </si>
  <si>
    <t>Product</t>
  </si>
  <si>
    <t>Channel</t>
  </si>
  <si>
    <t>Region</t>
  </si>
  <si>
    <t>EmploymentType</t>
  </si>
  <si>
    <t>CreditScoreBand</t>
  </si>
  <si>
    <t>MonthlyIncome</t>
  </si>
  <si>
    <t>RequestedAmount</t>
  </si>
  <si>
    <t>TermMonths</t>
  </si>
  <si>
    <t>DebtToIncome</t>
  </si>
  <si>
    <t>Status</t>
  </si>
  <si>
    <t>RejectionReason</t>
  </si>
  <si>
    <t>Approved</t>
  </si>
  <si>
    <t>Rejected</t>
  </si>
  <si>
    <t>ApprovedAmount</t>
  </si>
  <si>
    <t>InterestRate</t>
  </si>
  <si>
    <t>ProcessingDays</t>
  </si>
  <si>
    <t>WithinSLA</t>
  </si>
  <si>
    <t>Applications</t>
  </si>
  <si>
    <t>LA-700001</t>
  </si>
  <si>
    <t>Q1</t>
  </si>
  <si>
    <t>Jan</t>
  </si>
  <si>
    <t>Auto Loan</t>
  </si>
  <si>
    <t>Broker</t>
  </si>
  <si>
    <t>Southern</t>
  </si>
  <si>
    <t>Salaried - Private</t>
  </si>
  <si>
    <t>Fair (580-669)</t>
  </si>
  <si>
    <t>Low credit score</t>
  </si>
  <si>
    <t>LA-700002</t>
  </si>
  <si>
    <t>Mobile App</t>
  </si>
  <si>
    <t>Eastern</t>
  </si>
  <si>
    <t>Good (670-739)</t>
  </si>
  <si>
    <t>LA-700003</t>
  </si>
  <si>
    <t>Personal Loan</t>
  </si>
  <si>
    <t>Central</t>
  </si>
  <si>
    <t>Salaried - Government</t>
  </si>
  <si>
    <t>LA-700004</t>
  </si>
  <si>
    <t>SME Loan</t>
  </si>
  <si>
    <t>Self-employed</t>
  </si>
  <si>
    <t>Poor (&lt;580)</t>
  </si>
  <si>
    <t>LA-700005</t>
  </si>
  <si>
    <t>Online</t>
  </si>
  <si>
    <t>Excellent (800+)</t>
  </si>
  <si>
    <t>LA-700006</t>
  </si>
  <si>
    <t>Policy exclusion</t>
  </si>
  <si>
    <t>LA-700007</t>
  </si>
  <si>
    <t>Mortgage</t>
  </si>
  <si>
    <t>Branch</t>
  </si>
  <si>
    <t>Very Good (740-799)</t>
  </si>
  <si>
    <t>High debt-to-income</t>
  </si>
  <si>
    <t>LA-700008</t>
  </si>
  <si>
    <t>Western</t>
  </si>
  <si>
    <t>LA-700009</t>
  </si>
  <si>
    <t>LA-700010</t>
  </si>
  <si>
    <t>LA-700011</t>
  </si>
  <si>
    <t>LA-700012</t>
  </si>
  <si>
    <t>Incomplete documents</t>
  </si>
  <si>
    <t>LA-700013</t>
  </si>
  <si>
    <t>LA-700014</t>
  </si>
  <si>
    <t>LA-700015</t>
  </si>
  <si>
    <t>Northern</t>
  </si>
  <si>
    <t>Insufficient income</t>
  </si>
  <si>
    <t>LA-700016</t>
  </si>
  <si>
    <t>LA-700017</t>
  </si>
  <si>
    <t>LA-700018</t>
  </si>
  <si>
    <t>LA-700019</t>
  </si>
  <si>
    <t>LA-700020</t>
  </si>
  <si>
    <t>LA-700021</t>
  </si>
  <si>
    <t>LA-700022</t>
  </si>
  <si>
    <t>LA-700023</t>
  </si>
  <si>
    <t>LA-700024</t>
  </si>
  <si>
    <t>LA-700025</t>
  </si>
  <si>
    <t>LA-700026</t>
  </si>
  <si>
    <t>LA-700027</t>
  </si>
  <si>
    <t>LA-700028</t>
  </si>
  <si>
    <t>LA-700029</t>
  </si>
  <si>
    <t>LA-700030</t>
  </si>
  <si>
    <t>LA-700031</t>
  </si>
  <si>
    <t>LA-700032</t>
  </si>
  <si>
    <t>LA-700033</t>
  </si>
  <si>
    <t>LA-700034</t>
  </si>
  <si>
    <t>LA-700035</t>
  </si>
  <si>
    <t>LA-700036</t>
  </si>
  <si>
    <t>LA-700037</t>
  </si>
  <si>
    <t>LA-700038</t>
  </si>
  <si>
    <t>LA-700039</t>
  </si>
  <si>
    <t>LA-700040</t>
  </si>
  <si>
    <t>LA-700041</t>
  </si>
  <si>
    <t>LA-700042</t>
  </si>
  <si>
    <t>LA-700043</t>
  </si>
  <si>
    <t>LA-700044</t>
  </si>
  <si>
    <t>LA-700045</t>
  </si>
  <si>
    <t>LA-700046</t>
  </si>
  <si>
    <t>LA-700047</t>
  </si>
  <si>
    <t>LA-700048</t>
  </si>
  <si>
    <t>LA-700049</t>
  </si>
  <si>
    <t>LA-700050</t>
  </si>
  <si>
    <t>LA-700051</t>
  </si>
  <si>
    <t>LA-700052</t>
  </si>
  <si>
    <t>LA-700053</t>
  </si>
  <si>
    <t>LA-700054</t>
  </si>
  <si>
    <t>LA-700055</t>
  </si>
  <si>
    <t>LA-700056</t>
  </si>
  <si>
    <t>LA-700057</t>
  </si>
  <si>
    <t>LA-700058</t>
  </si>
  <si>
    <t>LA-700059</t>
  </si>
  <si>
    <t>LA-700060</t>
  </si>
  <si>
    <t>LA-700061</t>
  </si>
  <si>
    <t>LA-700062</t>
  </si>
  <si>
    <t>LA-700063</t>
  </si>
  <si>
    <t>LA-700064</t>
  </si>
  <si>
    <t>LA-700065</t>
  </si>
  <si>
    <t>LA-700066</t>
  </si>
  <si>
    <t>LA-700067</t>
  </si>
  <si>
    <t>LA-700068</t>
  </si>
  <si>
    <t>LA-700069</t>
  </si>
  <si>
    <t>LA-700070</t>
  </si>
  <si>
    <t>LA-700071</t>
  </si>
  <si>
    <t>LA-700072</t>
  </si>
  <si>
    <t>LA-700073</t>
  </si>
  <si>
    <t>LA-700074</t>
  </si>
  <si>
    <t>Withdrawn</t>
  </si>
  <si>
    <t>LA-700075</t>
  </si>
  <si>
    <t>LA-700076</t>
  </si>
  <si>
    <t>LA-700077</t>
  </si>
  <si>
    <t>LA-700078</t>
  </si>
  <si>
    <t>LA-700079</t>
  </si>
  <si>
    <t>LA-700080</t>
  </si>
  <si>
    <t>LA-700081</t>
  </si>
  <si>
    <t>LA-700082</t>
  </si>
  <si>
    <t>LA-700083</t>
  </si>
  <si>
    <t>LA-700084</t>
  </si>
  <si>
    <t>LA-700085</t>
  </si>
  <si>
    <t>LA-700086</t>
  </si>
  <si>
    <t>LA-700087</t>
  </si>
  <si>
    <t>LA-700088</t>
  </si>
  <si>
    <t>LA-700089</t>
  </si>
  <si>
    <t>LA-700090</t>
  </si>
  <si>
    <t>LA-700091</t>
  </si>
  <si>
    <t>LA-700092</t>
  </si>
  <si>
    <t>LA-700093</t>
  </si>
  <si>
    <t>LA-700094</t>
  </si>
  <si>
    <t>LA-700095</t>
  </si>
  <si>
    <t>LA-700096</t>
  </si>
  <si>
    <t>LA-700097</t>
  </si>
  <si>
    <t>LA-700098</t>
  </si>
  <si>
    <t>LA-700099</t>
  </si>
  <si>
    <t>LA-700100</t>
  </si>
  <si>
    <t>LA-700101</t>
  </si>
  <si>
    <t>LA-700102</t>
  </si>
  <si>
    <t>LA-700103</t>
  </si>
  <si>
    <t>LA-700104</t>
  </si>
  <si>
    <t>LA-700105</t>
  </si>
  <si>
    <t>LA-700106</t>
  </si>
  <si>
    <t>LA-700107</t>
  </si>
  <si>
    <t>LA-700108</t>
  </si>
  <si>
    <t>LA-700109</t>
  </si>
  <si>
    <t>LA-700110</t>
  </si>
  <si>
    <t>LA-700111</t>
  </si>
  <si>
    <t>LA-700112</t>
  </si>
  <si>
    <t>LA-700113</t>
  </si>
  <si>
    <t>LA-700114</t>
  </si>
  <si>
    <t>LA-700115</t>
  </si>
  <si>
    <t>LA-700116</t>
  </si>
  <si>
    <t>LA-700117</t>
  </si>
  <si>
    <t>LA-700118</t>
  </si>
  <si>
    <t>LA-700119</t>
  </si>
  <si>
    <t>LA-700120</t>
  </si>
  <si>
    <t>LA-700121</t>
  </si>
  <si>
    <t>LA-700122</t>
  </si>
  <si>
    <t>LA-700123</t>
  </si>
  <si>
    <t>LA-700124</t>
  </si>
  <si>
    <t>LA-700125</t>
  </si>
  <si>
    <t>LA-700126</t>
  </si>
  <si>
    <t>LA-700127</t>
  </si>
  <si>
    <t>LA-700128</t>
  </si>
  <si>
    <t>LA-700129</t>
  </si>
  <si>
    <t>LA-700130</t>
  </si>
  <si>
    <t>LA-700131</t>
  </si>
  <si>
    <t>LA-700132</t>
  </si>
  <si>
    <t>LA-700133</t>
  </si>
  <si>
    <t>LA-700134</t>
  </si>
  <si>
    <t>LA-700135</t>
  </si>
  <si>
    <t>LA-700136</t>
  </si>
  <si>
    <t>LA-700137</t>
  </si>
  <si>
    <t>LA-700138</t>
  </si>
  <si>
    <t>LA-700139</t>
  </si>
  <si>
    <t>LA-700140</t>
  </si>
  <si>
    <t>LA-700141</t>
  </si>
  <si>
    <t>LA-700142</t>
  </si>
  <si>
    <t>LA-700143</t>
  </si>
  <si>
    <t>LA-700144</t>
  </si>
  <si>
    <t>LA-700145</t>
  </si>
  <si>
    <t>LA-700146</t>
  </si>
  <si>
    <t>LA-700147</t>
  </si>
  <si>
    <t>LA-700148</t>
  </si>
  <si>
    <t>LA-700149</t>
  </si>
  <si>
    <t>LA-700150</t>
  </si>
  <si>
    <t>LA-700151</t>
  </si>
  <si>
    <t>LA-700152</t>
  </si>
  <si>
    <t>LA-700153</t>
  </si>
  <si>
    <t>LA-700154</t>
  </si>
  <si>
    <t>LA-700155</t>
  </si>
  <si>
    <t>LA-700156</t>
  </si>
  <si>
    <t>LA-700157</t>
  </si>
  <si>
    <t>LA-700158</t>
  </si>
  <si>
    <t>LA-700159</t>
  </si>
  <si>
    <t>LA-700160</t>
  </si>
  <si>
    <t>LA-700161</t>
  </si>
  <si>
    <t>LA-700162</t>
  </si>
  <si>
    <t>LA-700163</t>
  </si>
  <si>
    <t>LA-700164</t>
  </si>
  <si>
    <t>LA-700165</t>
  </si>
  <si>
    <t>LA-700166</t>
  </si>
  <si>
    <t>LA-700167</t>
  </si>
  <si>
    <t>LA-700168</t>
  </si>
  <si>
    <t>LA-700169</t>
  </si>
  <si>
    <t>LA-700170</t>
  </si>
  <si>
    <t>LA-700171</t>
  </si>
  <si>
    <t>LA-700172</t>
  </si>
  <si>
    <t>LA-700173</t>
  </si>
  <si>
    <t>LA-700174</t>
  </si>
  <si>
    <t>LA-700175</t>
  </si>
  <si>
    <t>LA-700176</t>
  </si>
  <si>
    <t>LA-700177</t>
  </si>
  <si>
    <t>LA-700178</t>
  </si>
  <si>
    <t>LA-700179</t>
  </si>
  <si>
    <t>LA-700180</t>
  </si>
  <si>
    <t>LA-700181</t>
  </si>
  <si>
    <t>LA-700182</t>
  </si>
  <si>
    <t>LA-700183</t>
  </si>
  <si>
    <t>LA-700184</t>
  </si>
  <si>
    <t>LA-700185</t>
  </si>
  <si>
    <t>LA-700186</t>
  </si>
  <si>
    <t>LA-700187</t>
  </si>
  <si>
    <t>LA-700188</t>
  </si>
  <si>
    <t>LA-700189</t>
  </si>
  <si>
    <t>LA-700190</t>
  </si>
  <si>
    <t>LA-700191</t>
  </si>
  <si>
    <t>LA-700192</t>
  </si>
  <si>
    <t>LA-700193</t>
  </si>
  <si>
    <t>LA-700194</t>
  </si>
  <si>
    <t>LA-700195</t>
  </si>
  <si>
    <t>LA-700196</t>
  </si>
  <si>
    <t>LA-700197</t>
  </si>
  <si>
    <t>LA-700198</t>
  </si>
  <si>
    <t>LA-700199</t>
  </si>
  <si>
    <t>LA-700200</t>
  </si>
  <si>
    <t>LA-700201</t>
  </si>
  <si>
    <t>LA-700202</t>
  </si>
  <si>
    <t>LA-700203</t>
  </si>
  <si>
    <t>LA-700204</t>
  </si>
  <si>
    <t>LA-700205</t>
  </si>
  <si>
    <t>LA-700206</t>
  </si>
  <si>
    <t>LA-700207</t>
  </si>
  <si>
    <t>LA-700208</t>
  </si>
  <si>
    <t>LA-700209</t>
  </si>
  <si>
    <t>LA-700210</t>
  </si>
  <si>
    <t>LA-700211</t>
  </si>
  <si>
    <t>LA-700212</t>
  </si>
  <si>
    <t>LA-700213</t>
  </si>
  <si>
    <t>LA-700214</t>
  </si>
  <si>
    <t>LA-700215</t>
  </si>
  <si>
    <t>LA-700216</t>
  </si>
  <si>
    <t>LA-700217</t>
  </si>
  <si>
    <t>LA-700218</t>
  </si>
  <si>
    <t>LA-700219</t>
  </si>
  <si>
    <t>LA-700220</t>
  </si>
  <si>
    <t>LA-700221</t>
  </si>
  <si>
    <t>LA-700222</t>
  </si>
  <si>
    <t>LA-700223</t>
  </si>
  <si>
    <t>LA-700224</t>
  </si>
  <si>
    <t>LA-700225</t>
  </si>
  <si>
    <t>LA-700226</t>
  </si>
  <si>
    <t>LA-700227</t>
  </si>
  <si>
    <t>LA-700228</t>
  </si>
  <si>
    <t>LA-700229</t>
  </si>
  <si>
    <t>LA-700230</t>
  </si>
  <si>
    <t>LA-700231</t>
  </si>
  <si>
    <t>LA-700232</t>
  </si>
  <si>
    <t>Feb</t>
  </si>
  <si>
    <t>LA-700233</t>
  </si>
  <si>
    <t>LA-700234</t>
  </si>
  <si>
    <t>LA-700235</t>
  </si>
  <si>
    <t>LA-700236</t>
  </si>
  <si>
    <t>LA-700237</t>
  </si>
  <si>
    <t>LA-700238</t>
  </si>
  <si>
    <t>LA-700239</t>
  </si>
  <si>
    <t>LA-700240</t>
  </si>
  <si>
    <t>LA-700241</t>
  </si>
  <si>
    <t>LA-700242</t>
  </si>
  <si>
    <t>LA-700243</t>
  </si>
  <si>
    <t>LA-700244</t>
  </si>
  <si>
    <t>LA-700245</t>
  </si>
  <si>
    <t>LA-700246</t>
  </si>
  <si>
    <t>LA-700247</t>
  </si>
  <si>
    <t>LA-700248</t>
  </si>
  <si>
    <t>LA-700249</t>
  </si>
  <si>
    <t>LA-700250</t>
  </si>
  <si>
    <t>LA-700251</t>
  </si>
  <si>
    <t>LA-700252</t>
  </si>
  <si>
    <t>LA-700253</t>
  </si>
  <si>
    <t>LA-700254</t>
  </si>
  <si>
    <t>LA-700255</t>
  </si>
  <si>
    <t>LA-700256</t>
  </si>
  <si>
    <t>LA-700257</t>
  </si>
  <si>
    <t>LA-700258</t>
  </si>
  <si>
    <t>LA-700259</t>
  </si>
  <si>
    <t>LA-700260</t>
  </si>
  <si>
    <t>LA-700261</t>
  </si>
  <si>
    <t>LA-700262</t>
  </si>
  <si>
    <t>LA-700263</t>
  </si>
  <si>
    <t>LA-700264</t>
  </si>
  <si>
    <t>LA-700265</t>
  </si>
  <si>
    <t>LA-700266</t>
  </si>
  <si>
    <t>LA-700267</t>
  </si>
  <si>
    <t>LA-700268</t>
  </si>
  <si>
    <t>LA-700269</t>
  </si>
  <si>
    <t>LA-700270</t>
  </si>
  <si>
    <t>LA-700271</t>
  </si>
  <si>
    <t>LA-700272</t>
  </si>
  <si>
    <t>LA-700273</t>
  </si>
  <si>
    <t>LA-700274</t>
  </si>
  <si>
    <t>LA-700275</t>
  </si>
  <si>
    <t>LA-700276</t>
  </si>
  <si>
    <t>LA-700277</t>
  </si>
  <si>
    <t>LA-700278</t>
  </si>
  <si>
    <t>LA-700279</t>
  </si>
  <si>
    <t>LA-700280</t>
  </si>
  <si>
    <t>LA-700281</t>
  </si>
  <si>
    <t>LA-700282</t>
  </si>
  <si>
    <t>LA-700283</t>
  </si>
  <si>
    <t>LA-700284</t>
  </si>
  <si>
    <t>LA-700285</t>
  </si>
  <si>
    <t>LA-700286</t>
  </si>
  <si>
    <t>LA-700287</t>
  </si>
  <si>
    <t>LA-700288</t>
  </si>
  <si>
    <t>LA-700289</t>
  </si>
  <si>
    <t>LA-700290</t>
  </si>
  <si>
    <t>LA-700291</t>
  </si>
  <si>
    <t>LA-700292</t>
  </si>
  <si>
    <t>LA-700293</t>
  </si>
  <si>
    <t>LA-700294</t>
  </si>
  <si>
    <t>LA-700295</t>
  </si>
  <si>
    <t>LA-700296</t>
  </si>
  <si>
    <t>LA-700297</t>
  </si>
  <si>
    <t>LA-700298</t>
  </si>
  <si>
    <t>LA-700299</t>
  </si>
  <si>
    <t>LA-700300</t>
  </si>
  <si>
    <t>LA-700301</t>
  </si>
  <si>
    <t>LA-700302</t>
  </si>
  <si>
    <t>LA-700303</t>
  </si>
  <si>
    <t>LA-700304</t>
  </si>
  <si>
    <t>LA-700305</t>
  </si>
  <si>
    <t>LA-700306</t>
  </si>
  <si>
    <t>LA-700307</t>
  </si>
  <si>
    <t>LA-700308</t>
  </si>
  <si>
    <t>LA-700309</t>
  </si>
  <si>
    <t>LA-700310</t>
  </si>
  <si>
    <t>LA-700311</t>
  </si>
  <si>
    <t>LA-700312</t>
  </si>
  <si>
    <t>LA-700313</t>
  </si>
  <si>
    <t>LA-700314</t>
  </si>
  <si>
    <t>LA-700315</t>
  </si>
  <si>
    <t>LA-700316</t>
  </si>
  <si>
    <t>LA-700317</t>
  </si>
  <si>
    <t>LA-700318</t>
  </si>
  <si>
    <t>LA-700319</t>
  </si>
  <si>
    <t>LA-700320</t>
  </si>
  <si>
    <t>LA-700321</t>
  </si>
  <si>
    <t>LA-700322</t>
  </si>
  <si>
    <t>LA-700323</t>
  </si>
  <si>
    <t>LA-700324</t>
  </si>
  <si>
    <t>LA-700325</t>
  </si>
  <si>
    <t>LA-700326</t>
  </si>
  <si>
    <t>LA-700327</t>
  </si>
  <si>
    <t>LA-700328</t>
  </si>
  <si>
    <t>LA-700329</t>
  </si>
  <si>
    <t>LA-700330</t>
  </si>
  <si>
    <t>LA-700331</t>
  </si>
  <si>
    <t>LA-700332</t>
  </si>
  <si>
    <t>LA-700333</t>
  </si>
  <si>
    <t>LA-700334</t>
  </si>
  <si>
    <t>LA-700335</t>
  </si>
  <si>
    <t>LA-700336</t>
  </si>
  <si>
    <t>LA-700337</t>
  </si>
  <si>
    <t>LA-700338</t>
  </si>
  <si>
    <t>LA-700339</t>
  </si>
  <si>
    <t>LA-700340</t>
  </si>
  <si>
    <t>LA-700341</t>
  </si>
  <si>
    <t>LA-700342</t>
  </si>
  <si>
    <t>LA-700343</t>
  </si>
  <si>
    <t>LA-700344</t>
  </si>
  <si>
    <t>LA-700345</t>
  </si>
  <si>
    <t>LA-700346</t>
  </si>
  <si>
    <t>LA-700347</t>
  </si>
  <si>
    <t>LA-700348</t>
  </si>
  <si>
    <t>LA-700349</t>
  </si>
  <si>
    <t>LA-700350</t>
  </si>
  <si>
    <t>LA-700351</t>
  </si>
  <si>
    <t>LA-700352</t>
  </si>
  <si>
    <t>LA-700353</t>
  </si>
  <si>
    <t>LA-700354</t>
  </si>
  <si>
    <t>LA-700355</t>
  </si>
  <si>
    <t>LA-700356</t>
  </si>
  <si>
    <t>LA-700357</t>
  </si>
  <si>
    <t>LA-700358</t>
  </si>
  <si>
    <t>LA-700359</t>
  </si>
  <si>
    <t>LA-700360</t>
  </si>
  <si>
    <t>LA-700361</t>
  </si>
  <si>
    <t>LA-700362</t>
  </si>
  <si>
    <t>LA-700363</t>
  </si>
  <si>
    <t>LA-700364</t>
  </si>
  <si>
    <t>LA-700365</t>
  </si>
  <si>
    <t>LA-700366</t>
  </si>
  <si>
    <t>LA-700367</t>
  </si>
  <si>
    <t>LA-700368</t>
  </si>
  <si>
    <t>LA-700369</t>
  </si>
  <si>
    <t>LA-700370</t>
  </si>
  <si>
    <t>LA-700371</t>
  </si>
  <si>
    <t>LA-700372</t>
  </si>
  <si>
    <t>LA-700373</t>
  </si>
  <si>
    <t>LA-700374</t>
  </si>
  <si>
    <t>LA-700375</t>
  </si>
  <si>
    <t>LA-700376</t>
  </si>
  <si>
    <t>LA-700377</t>
  </si>
  <si>
    <t>LA-700378</t>
  </si>
  <si>
    <t>LA-700379</t>
  </si>
  <si>
    <t>LA-700380</t>
  </si>
  <si>
    <t>LA-700381</t>
  </si>
  <si>
    <t>LA-700382</t>
  </si>
  <si>
    <t>LA-700383</t>
  </si>
  <si>
    <t>LA-700384</t>
  </si>
  <si>
    <t>LA-700385</t>
  </si>
  <si>
    <t>LA-700386</t>
  </si>
  <si>
    <t>LA-700387</t>
  </si>
  <si>
    <t>LA-700388</t>
  </si>
  <si>
    <t>LA-700389</t>
  </si>
  <si>
    <t>LA-700390</t>
  </si>
  <si>
    <t>LA-700391</t>
  </si>
  <si>
    <t>LA-700392</t>
  </si>
  <si>
    <t>LA-700393</t>
  </si>
  <si>
    <t>LA-700394</t>
  </si>
  <si>
    <t>LA-700395</t>
  </si>
  <si>
    <t>LA-700396</t>
  </si>
  <si>
    <t>LA-700397</t>
  </si>
  <si>
    <t>LA-700398</t>
  </si>
  <si>
    <t>LA-700399</t>
  </si>
  <si>
    <t>LA-700400</t>
  </si>
  <si>
    <t>LA-700401</t>
  </si>
  <si>
    <t>LA-700402</t>
  </si>
  <si>
    <t>LA-700403</t>
  </si>
  <si>
    <t>LA-700404</t>
  </si>
  <si>
    <t>LA-700405</t>
  </si>
  <si>
    <t>LA-700406</t>
  </si>
  <si>
    <t>LA-700407</t>
  </si>
  <si>
    <t>Mar</t>
  </si>
  <si>
    <t>LA-700408</t>
  </si>
  <si>
    <t>LA-700409</t>
  </si>
  <si>
    <t>LA-700410</t>
  </si>
  <si>
    <t>LA-700411</t>
  </si>
  <si>
    <t>LA-700412</t>
  </si>
  <si>
    <t>LA-700413</t>
  </si>
  <si>
    <t>LA-700414</t>
  </si>
  <si>
    <t>LA-700415</t>
  </si>
  <si>
    <t>LA-700416</t>
  </si>
  <si>
    <t>LA-700417</t>
  </si>
  <si>
    <t>LA-700418</t>
  </si>
  <si>
    <t>LA-700419</t>
  </si>
  <si>
    <t>LA-700420</t>
  </si>
  <si>
    <t>LA-700421</t>
  </si>
  <si>
    <t>LA-700422</t>
  </si>
  <si>
    <t>LA-700423</t>
  </si>
  <si>
    <t>LA-700424</t>
  </si>
  <si>
    <t>LA-700425</t>
  </si>
  <si>
    <t>LA-700426</t>
  </si>
  <si>
    <t>LA-700427</t>
  </si>
  <si>
    <t>LA-700428</t>
  </si>
  <si>
    <t>LA-700429</t>
  </si>
  <si>
    <t>LA-700430</t>
  </si>
  <si>
    <t>LA-700431</t>
  </si>
  <si>
    <t>LA-700432</t>
  </si>
  <si>
    <t>LA-700433</t>
  </si>
  <si>
    <t>LA-700434</t>
  </si>
  <si>
    <t>LA-700435</t>
  </si>
  <si>
    <t>LA-700436</t>
  </si>
  <si>
    <t>LA-700437</t>
  </si>
  <si>
    <t>LA-700438</t>
  </si>
  <si>
    <t>LA-700439</t>
  </si>
  <si>
    <t>LA-700440</t>
  </si>
  <si>
    <t>LA-700441</t>
  </si>
  <si>
    <t>LA-700442</t>
  </si>
  <si>
    <t>LA-700443</t>
  </si>
  <si>
    <t>LA-700444</t>
  </si>
  <si>
    <t>LA-700445</t>
  </si>
  <si>
    <t>LA-700446</t>
  </si>
  <si>
    <t>LA-700447</t>
  </si>
  <si>
    <t>LA-700448</t>
  </si>
  <si>
    <t>LA-700449</t>
  </si>
  <si>
    <t>LA-700450</t>
  </si>
  <si>
    <t>LA-700451</t>
  </si>
  <si>
    <t>LA-700452</t>
  </si>
  <si>
    <t>LA-700453</t>
  </si>
  <si>
    <t>LA-700454</t>
  </si>
  <si>
    <t>LA-700455</t>
  </si>
  <si>
    <t>LA-700456</t>
  </si>
  <si>
    <t>LA-700457</t>
  </si>
  <si>
    <t>LA-700458</t>
  </si>
  <si>
    <t>LA-700459</t>
  </si>
  <si>
    <t>LA-700460</t>
  </si>
  <si>
    <t>LA-700461</t>
  </si>
  <si>
    <t>LA-700462</t>
  </si>
  <si>
    <t>LA-700463</t>
  </si>
  <si>
    <t>LA-700464</t>
  </si>
  <si>
    <t>LA-700465</t>
  </si>
  <si>
    <t>LA-700466</t>
  </si>
  <si>
    <t>LA-700467</t>
  </si>
  <si>
    <t>LA-700468</t>
  </si>
  <si>
    <t>LA-700469</t>
  </si>
  <si>
    <t>LA-700470</t>
  </si>
  <si>
    <t>LA-700471</t>
  </si>
  <si>
    <t>LA-700472</t>
  </si>
  <si>
    <t>LA-700473</t>
  </si>
  <si>
    <t>LA-700474</t>
  </si>
  <si>
    <t>LA-700475</t>
  </si>
  <si>
    <t>LA-700476</t>
  </si>
  <si>
    <t>LA-700477</t>
  </si>
  <si>
    <t>LA-700478</t>
  </si>
  <si>
    <t>LA-700479</t>
  </si>
  <si>
    <t>LA-700480</t>
  </si>
  <si>
    <t>LA-700481</t>
  </si>
  <si>
    <t>LA-700482</t>
  </si>
  <si>
    <t>LA-700483</t>
  </si>
  <si>
    <t>LA-700484</t>
  </si>
  <si>
    <t>LA-700485</t>
  </si>
  <si>
    <t>LA-700486</t>
  </si>
  <si>
    <t>LA-700487</t>
  </si>
  <si>
    <t>LA-700488</t>
  </si>
  <si>
    <t>LA-700489</t>
  </si>
  <si>
    <t>LA-700490</t>
  </si>
  <si>
    <t>LA-700491</t>
  </si>
  <si>
    <t>LA-700492</t>
  </si>
  <si>
    <t>LA-700493</t>
  </si>
  <si>
    <t>LA-700494</t>
  </si>
  <si>
    <t>LA-700495</t>
  </si>
  <si>
    <t>LA-700496</t>
  </si>
  <si>
    <t>LA-700497</t>
  </si>
  <si>
    <t>LA-700498</t>
  </si>
  <si>
    <t>LA-700499</t>
  </si>
  <si>
    <t>LA-700500</t>
  </si>
  <si>
    <t>LA-700501</t>
  </si>
  <si>
    <t>LA-700502</t>
  </si>
  <si>
    <t>LA-700503</t>
  </si>
  <si>
    <t>LA-700504</t>
  </si>
  <si>
    <t>LA-700505</t>
  </si>
  <si>
    <t>LA-700506</t>
  </si>
  <si>
    <t>LA-700507</t>
  </si>
  <si>
    <t>LA-700508</t>
  </si>
  <si>
    <t>LA-700509</t>
  </si>
  <si>
    <t>LA-700510</t>
  </si>
  <si>
    <t>LA-700511</t>
  </si>
  <si>
    <t>LA-700512</t>
  </si>
  <si>
    <t>LA-700513</t>
  </si>
  <si>
    <t>LA-700514</t>
  </si>
  <si>
    <t>LA-700515</t>
  </si>
  <si>
    <t>LA-700516</t>
  </si>
  <si>
    <t>LA-700517</t>
  </si>
  <si>
    <t>LA-700518</t>
  </si>
  <si>
    <t>LA-700519</t>
  </si>
  <si>
    <t>LA-700520</t>
  </si>
  <si>
    <t>LA-700521</t>
  </si>
  <si>
    <t>LA-700522</t>
  </si>
  <si>
    <t>LA-700523</t>
  </si>
  <si>
    <t>LA-700524</t>
  </si>
  <si>
    <t>LA-700525</t>
  </si>
  <si>
    <t>LA-700526</t>
  </si>
  <si>
    <t>LA-700527</t>
  </si>
  <si>
    <t>LA-700528</t>
  </si>
  <si>
    <t>LA-700529</t>
  </si>
  <si>
    <t>LA-700530</t>
  </si>
  <si>
    <t>LA-700531</t>
  </si>
  <si>
    <t>LA-700532</t>
  </si>
  <si>
    <t>LA-700533</t>
  </si>
  <si>
    <t>LA-700534</t>
  </si>
  <si>
    <t>LA-700535</t>
  </si>
  <si>
    <t>LA-700536</t>
  </si>
  <si>
    <t>LA-700537</t>
  </si>
  <si>
    <t>LA-700538</t>
  </si>
  <si>
    <t>LA-700539</t>
  </si>
  <si>
    <t>LA-700540</t>
  </si>
  <si>
    <t>LA-700541</t>
  </si>
  <si>
    <t>LA-700542</t>
  </si>
  <si>
    <t>LA-700543</t>
  </si>
  <si>
    <t>LA-700544</t>
  </si>
  <si>
    <t>LA-700545</t>
  </si>
  <si>
    <t>LA-700546</t>
  </si>
  <si>
    <t>LA-700547</t>
  </si>
  <si>
    <t>LA-700548</t>
  </si>
  <si>
    <t>LA-700549</t>
  </si>
  <si>
    <t>LA-700550</t>
  </si>
  <si>
    <t>LA-700551</t>
  </si>
  <si>
    <t>LA-700552</t>
  </si>
  <si>
    <t>LA-700553</t>
  </si>
  <si>
    <t>LA-700554</t>
  </si>
  <si>
    <t>LA-700555</t>
  </si>
  <si>
    <t>LA-700556</t>
  </si>
  <si>
    <t>LA-700557</t>
  </si>
  <si>
    <t>LA-700558</t>
  </si>
  <si>
    <t>LA-700559</t>
  </si>
  <si>
    <t>LA-700560</t>
  </si>
  <si>
    <t>LA-700561</t>
  </si>
  <si>
    <t>LA-700562</t>
  </si>
  <si>
    <t>LA-700563</t>
  </si>
  <si>
    <t>LA-700564</t>
  </si>
  <si>
    <t>LA-700565</t>
  </si>
  <si>
    <t>LA-700566</t>
  </si>
  <si>
    <t>LA-700567</t>
  </si>
  <si>
    <t>LA-700568</t>
  </si>
  <si>
    <t>LA-700569</t>
  </si>
  <si>
    <t>LA-700570</t>
  </si>
  <si>
    <t>LA-700571</t>
  </si>
  <si>
    <t>LA-700572</t>
  </si>
  <si>
    <t>LA-700573</t>
  </si>
  <si>
    <t>LA-700574</t>
  </si>
  <si>
    <t>LA-700575</t>
  </si>
  <si>
    <t>LA-700576</t>
  </si>
  <si>
    <t>LA-700577</t>
  </si>
  <si>
    <t>LA-700578</t>
  </si>
  <si>
    <t>LA-700579</t>
  </si>
  <si>
    <t>LA-700580</t>
  </si>
  <si>
    <t>LA-700581</t>
  </si>
  <si>
    <t>LA-700582</t>
  </si>
  <si>
    <t>LA-700583</t>
  </si>
  <si>
    <t>LA-700584</t>
  </si>
  <si>
    <t>LA-700585</t>
  </si>
  <si>
    <t>LA-700586</t>
  </si>
  <si>
    <t>LA-700587</t>
  </si>
  <si>
    <t>LA-700588</t>
  </si>
  <si>
    <t>LA-700589</t>
  </si>
  <si>
    <t>LA-700590</t>
  </si>
  <si>
    <t>LA-700591</t>
  </si>
  <si>
    <t>LA-700592</t>
  </si>
  <si>
    <t>LA-700593</t>
  </si>
  <si>
    <t>LA-700594</t>
  </si>
  <si>
    <t>LA-700595</t>
  </si>
  <si>
    <t>LA-700596</t>
  </si>
  <si>
    <t>LA-700597</t>
  </si>
  <si>
    <t>LA-700598</t>
  </si>
  <si>
    <t>LA-700599</t>
  </si>
  <si>
    <t>LA-700600</t>
  </si>
  <si>
    <t>LA-700601</t>
  </si>
  <si>
    <t>LA-700602</t>
  </si>
  <si>
    <t>LA-700603</t>
  </si>
  <si>
    <t>LA-700604</t>
  </si>
  <si>
    <t>LA-700605</t>
  </si>
  <si>
    <t>LA-700606</t>
  </si>
  <si>
    <t>LA-700607</t>
  </si>
  <si>
    <t>LA-700608</t>
  </si>
  <si>
    <t>LA-700609</t>
  </si>
  <si>
    <t>LA-700610</t>
  </si>
  <si>
    <t>LA-700611</t>
  </si>
  <si>
    <t>LA-700612</t>
  </si>
  <si>
    <t>LA-700613</t>
  </si>
  <si>
    <t>LA-700614</t>
  </si>
  <si>
    <t>LA-700615</t>
  </si>
  <si>
    <t>LA-700616</t>
  </si>
  <si>
    <t>LA-700617</t>
  </si>
  <si>
    <t>LA-700618</t>
  </si>
  <si>
    <t>LA-700619</t>
  </si>
  <si>
    <t>LA-700620</t>
  </si>
  <si>
    <t>LA-700621</t>
  </si>
  <si>
    <t>LA-700622</t>
  </si>
  <si>
    <t>LA-700623</t>
  </si>
  <si>
    <t>LA-700624</t>
  </si>
  <si>
    <t>LA-700625</t>
  </si>
  <si>
    <t>LA-700626</t>
  </si>
  <si>
    <t>LA-700627</t>
  </si>
  <si>
    <t>LA-700628</t>
  </si>
  <si>
    <t>LA-700629</t>
  </si>
  <si>
    <t>LA-700630</t>
  </si>
  <si>
    <t>LA-700631</t>
  </si>
  <si>
    <t>LA-700632</t>
  </si>
  <si>
    <t>LA-700633</t>
  </si>
  <si>
    <t>LA-700634</t>
  </si>
  <si>
    <t>Q2</t>
  </si>
  <si>
    <t>Apr</t>
  </si>
  <si>
    <t>LA-700635</t>
  </si>
  <si>
    <t>LA-700636</t>
  </si>
  <si>
    <t>LA-700637</t>
  </si>
  <si>
    <t>LA-700638</t>
  </si>
  <si>
    <t>LA-700639</t>
  </si>
  <si>
    <t>LA-700640</t>
  </si>
  <si>
    <t>LA-700641</t>
  </si>
  <si>
    <t>LA-700642</t>
  </si>
  <si>
    <t>LA-700643</t>
  </si>
  <si>
    <t>LA-700644</t>
  </si>
  <si>
    <t>LA-700645</t>
  </si>
  <si>
    <t>LA-700646</t>
  </si>
  <si>
    <t>LA-700647</t>
  </si>
  <si>
    <t>LA-700648</t>
  </si>
  <si>
    <t>LA-700649</t>
  </si>
  <si>
    <t>LA-700650</t>
  </si>
  <si>
    <t>LA-700651</t>
  </si>
  <si>
    <t>LA-700652</t>
  </si>
  <si>
    <t>LA-700653</t>
  </si>
  <si>
    <t>LA-700654</t>
  </si>
  <si>
    <t>LA-700655</t>
  </si>
  <si>
    <t>LA-700656</t>
  </si>
  <si>
    <t>LA-700657</t>
  </si>
  <si>
    <t>LA-700658</t>
  </si>
  <si>
    <t>LA-700659</t>
  </si>
  <si>
    <t>LA-700660</t>
  </si>
  <si>
    <t>LA-700661</t>
  </si>
  <si>
    <t>LA-700662</t>
  </si>
  <si>
    <t>LA-700663</t>
  </si>
  <si>
    <t>LA-700664</t>
  </si>
  <si>
    <t>LA-700665</t>
  </si>
  <si>
    <t>LA-700666</t>
  </si>
  <si>
    <t>LA-700667</t>
  </si>
  <si>
    <t>LA-700668</t>
  </si>
  <si>
    <t>LA-700669</t>
  </si>
  <si>
    <t>LA-700670</t>
  </si>
  <si>
    <t>LA-700671</t>
  </si>
  <si>
    <t>LA-700672</t>
  </si>
  <si>
    <t>LA-700673</t>
  </si>
  <si>
    <t>LA-700674</t>
  </si>
  <si>
    <t>LA-700675</t>
  </si>
  <si>
    <t>LA-700676</t>
  </si>
  <si>
    <t>LA-700677</t>
  </si>
  <si>
    <t>LA-700678</t>
  </si>
  <si>
    <t>LA-700679</t>
  </si>
  <si>
    <t>LA-700680</t>
  </si>
  <si>
    <t>LA-700681</t>
  </si>
  <si>
    <t>LA-700682</t>
  </si>
  <si>
    <t>LA-700683</t>
  </si>
  <si>
    <t>LA-700684</t>
  </si>
  <si>
    <t>LA-700685</t>
  </si>
  <si>
    <t>LA-700686</t>
  </si>
  <si>
    <t>LA-700687</t>
  </si>
  <si>
    <t>LA-700688</t>
  </si>
  <si>
    <t>LA-700689</t>
  </si>
  <si>
    <t>LA-700690</t>
  </si>
  <si>
    <t>LA-700691</t>
  </si>
  <si>
    <t>LA-700692</t>
  </si>
  <si>
    <t>LA-700693</t>
  </si>
  <si>
    <t>LA-700694</t>
  </si>
  <si>
    <t>LA-700695</t>
  </si>
  <si>
    <t>LA-700696</t>
  </si>
  <si>
    <t>LA-700697</t>
  </si>
  <si>
    <t>LA-700698</t>
  </si>
  <si>
    <t>LA-700699</t>
  </si>
  <si>
    <t>LA-700700</t>
  </si>
  <si>
    <t>LA-700701</t>
  </si>
  <si>
    <t>LA-700702</t>
  </si>
  <si>
    <t>LA-700703</t>
  </si>
  <si>
    <t>LA-700704</t>
  </si>
  <si>
    <t>LA-700705</t>
  </si>
  <si>
    <t>LA-700706</t>
  </si>
  <si>
    <t>LA-700707</t>
  </si>
  <si>
    <t>LA-700708</t>
  </si>
  <si>
    <t>LA-700709</t>
  </si>
  <si>
    <t>LA-700710</t>
  </si>
  <si>
    <t>LA-700711</t>
  </si>
  <si>
    <t>LA-700712</t>
  </si>
  <si>
    <t>LA-700713</t>
  </si>
  <si>
    <t>LA-700714</t>
  </si>
  <si>
    <t>LA-700715</t>
  </si>
  <si>
    <t>LA-700716</t>
  </si>
  <si>
    <t>LA-700717</t>
  </si>
  <si>
    <t>LA-700718</t>
  </si>
  <si>
    <t>LA-700719</t>
  </si>
  <si>
    <t>LA-700720</t>
  </si>
  <si>
    <t>LA-700721</t>
  </si>
  <si>
    <t>LA-700722</t>
  </si>
  <si>
    <t>LA-700723</t>
  </si>
  <si>
    <t>LA-700724</t>
  </si>
  <si>
    <t>LA-700725</t>
  </si>
  <si>
    <t>LA-700726</t>
  </si>
  <si>
    <t>LA-700727</t>
  </si>
  <si>
    <t>LA-700728</t>
  </si>
  <si>
    <t>LA-700729</t>
  </si>
  <si>
    <t>LA-700730</t>
  </si>
  <si>
    <t>LA-700731</t>
  </si>
  <si>
    <t>LA-700732</t>
  </si>
  <si>
    <t>LA-700733</t>
  </si>
  <si>
    <t>LA-700734</t>
  </si>
  <si>
    <t>LA-700735</t>
  </si>
  <si>
    <t>LA-700736</t>
  </si>
  <si>
    <t>LA-700737</t>
  </si>
  <si>
    <t>LA-700738</t>
  </si>
  <si>
    <t>LA-700739</t>
  </si>
  <si>
    <t>LA-700740</t>
  </si>
  <si>
    <t>LA-700741</t>
  </si>
  <si>
    <t>LA-700742</t>
  </si>
  <si>
    <t>LA-700743</t>
  </si>
  <si>
    <t>LA-700744</t>
  </si>
  <si>
    <t>LA-700745</t>
  </si>
  <si>
    <t>LA-700746</t>
  </si>
  <si>
    <t>LA-700747</t>
  </si>
  <si>
    <t>LA-700748</t>
  </si>
  <si>
    <t>LA-700749</t>
  </si>
  <si>
    <t>LA-700750</t>
  </si>
  <si>
    <t>LA-700751</t>
  </si>
  <si>
    <t>LA-700752</t>
  </si>
  <si>
    <t>LA-700753</t>
  </si>
  <si>
    <t>LA-700754</t>
  </si>
  <si>
    <t>LA-700755</t>
  </si>
  <si>
    <t>LA-700756</t>
  </si>
  <si>
    <t>LA-700757</t>
  </si>
  <si>
    <t>LA-700758</t>
  </si>
  <si>
    <t>LA-700759</t>
  </si>
  <si>
    <t>LA-700760</t>
  </si>
  <si>
    <t>LA-700761</t>
  </si>
  <si>
    <t>LA-700762</t>
  </si>
  <si>
    <t>LA-700763</t>
  </si>
  <si>
    <t>LA-700764</t>
  </si>
  <si>
    <t>LA-700765</t>
  </si>
  <si>
    <t>LA-700766</t>
  </si>
  <si>
    <t>LA-700767</t>
  </si>
  <si>
    <t>LA-700768</t>
  </si>
  <si>
    <t>LA-700769</t>
  </si>
  <si>
    <t>LA-700770</t>
  </si>
  <si>
    <t>LA-700771</t>
  </si>
  <si>
    <t>LA-700772</t>
  </si>
  <si>
    <t>LA-700773</t>
  </si>
  <si>
    <t>LA-700774</t>
  </si>
  <si>
    <t>LA-700775</t>
  </si>
  <si>
    <t>LA-700776</t>
  </si>
  <si>
    <t>LA-700777</t>
  </si>
  <si>
    <t>LA-700778</t>
  </si>
  <si>
    <t>LA-700779</t>
  </si>
  <si>
    <t>LA-700780</t>
  </si>
  <si>
    <t>LA-700781</t>
  </si>
  <si>
    <t>LA-700782</t>
  </si>
  <si>
    <t>LA-700783</t>
  </si>
  <si>
    <t>LA-700784</t>
  </si>
  <si>
    <t>LA-700785</t>
  </si>
  <si>
    <t>LA-700786</t>
  </si>
  <si>
    <t>LA-700787</t>
  </si>
  <si>
    <t>LA-700788</t>
  </si>
  <si>
    <t>LA-700789</t>
  </si>
  <si>
    <t>LA-700790</t>
  </si>
  <si>
    <t>LA-700791</t>
  </si>
  <si>
    <t>LA-700792</t>
  </si>
  <si>
    <t>LA-700793</t>
  </si>
  <si>
    <t>LA-700794</t>
  </si>
  <si>
    <t>LA-700795</t>
  </si>
  <si>
    <t>LA-700796</t>
  </si>
  <si>
    <t>LA-700797</t>
  </si>
  <si>
    <t>LA-700798</t>
  </si>
  <si>
    <t>LA-700799</t>
  </si>
  <si>
    <t>LA-700800</t>
  </si>
  <si>
    <t>LA-700801</t>
  </si>
  <si>
    <t>LA-700802</t>
  </si>
  <si>
    <t>LA-700803</t>
  </si>
  <si>
    <t>LA-700804</t>
  </si>
  <si>
    <t>LA-700805</t>
  </si>
  <si>
    <t>LA-700806</t>
  </si>
  <si>
    <t>LA-700807</t>
  </si>
  <si>
    <t>LA-700808</t>
  </si>
  <si>
    <t>LA-700809</t>
  </si>
  <si>
    <t>LA-700810</t>
  </si>
  <si>
    <t>LA-700811</t>
  </si>
  <si>
    <t>LA-700812</t>
  </si>
  <si>
    <t>LA-700813</t>
  </si>
  <si>
    <t>LA-700814</t>
  </si>
  <si>
    <t>LA-700815</t>
  </si>
  <si>
    <t>LA-700816</t>
  </si>
  <si>
    <t>LA-700817</t>
  </si>
  <si>
    <t>LA-700818</t>
  </si>
  <si>
    <t>LA-700819</t>
  </si>
  <si>
    <t>LA-700820</t>
  </si>
  <si>
    <t>LA-700821</t>
  </si>
  <si>
    <t>LA-700822</t>
  </si>
  <si>
    <t>LA-700823</t>
  </si>
  <si>
    <t>LA-700824</t>
  </si>
  <si>
    <t>LA-700825</t>
  </si>
  <si>
    <t>LA-700826</t>
  </si>
  <si>
    <t>LA-700827</t>
  </si>
  <si>
    <t>LA-700828</t>
  </si>
  <si>
    <t>LA-700829</t>
  </si>
  <si>
    <t>May</t>
  </si>
  <si>
    <t>LA-700830</t>
  </si>
  <si>
    <t>LA-700831</t>
  </si>
  <si>
    <t>LA-700832</t>
  </si>
  <si>
    <t>LA-700833</t>
  </si>
  <si>
    <t>LA-700834</t>
  </si>
  <si>
    <t>LA-700835</t>
  </si>
  <si>
    <t>LA-700836</t>
  </si>
  <si>
    <t>LA-700837</t>
  </si>
  <si>
    <t>LA-700838</t>
  </si>
  <si>
    <t>LA-700839</t>
  </si>
  <si>
    <t>LA-700840</t>
  </si>
  <si>
    <t>LA-700841</t>
  </si>
  <si>
    <t>LA-700842</t>
  </si>
  <si>
    <t>LA-700843</t>
  </si>
  <si>
    <t>LA-700844</t>
  </si>
  <si>
    <t>LA-700845</t>
  </si>
  <si>
    <t>LA-700846</t>
  </si>
  <si>
    <t>LA-700847</t>
  </si>
  <si>
    <t>LA-700848</t>
  </si>
  <si>
    <t>LA-700849</t>
  </si>
  <si>
    <t>LA-700850</t>
  </si>
  <si>
    <t>LA-700851</t>
  </si>
  <si>
    <t>LA-700852</t>
  </si>
  <si>
    <t>LA-700853</t>
  </si>
  <si>
    <t>LA-700854</t>
  </si>
  <si>
    <t>LA-700855</t>
  </si>
  <si>
    <t>LA-700856</t>
  </si>
  <si>
    <t>LA-700857</t>
  </si>
  <si>
    <t>LA-700858</t>
  </si>
  <si>
    <t>LA-700859</t>
  </si>
  <si>
    <t>LA-700860</t>
  </si>
  <si>
    <t>LA-700861</t>
  </si>
  <si>
    <t>LA-700862</t>
  </si>
  <si>
    <t>LA-700863</t>
  </si>
  <si>
    <t>LA-700864</t>
  </si>
  <si>
    <t>LA-700865</t>
  </si>
  <si>
    <t>LA-700866</t>
  </si>
  <si>
    <t>LA-700867</t>
  </si>
  <si>
    <t>LA-700868</t>
  </si>
  <si>
    <t>LA-700869</t>
  </si>
  <si>
    <t>LA-700870</t>
  </si>
  <si>
    <t>LA-700871</t>
  </si>
  <si>
    <t>LA-700872</t>
  </si>
  <si>
    <t>LA-700873</t>
  </si>
  <si>
    <t>LA-700874</t>
  </si>
  <si>
    <t>LA-700875</t>
  </si>
  <si>
    <t>LA-700876</t>
  </si>
  <si>
    <t>LA-700877</t>
  </si>
  <si>
    <t>LA-700878</t>
  </si>
  <si>
    <t>LA-700879</t>
  </si>
  <si>
    <t>LA-700880</t>
  </si>
  <si>
    <t>LA-700881</t>
  </si>
  <si>
    <t>LA-700882</t>
  </si>
  <si>
    <t>LA-700883</t>
  </si>
  <si>
    <t>LA-700884</t>
  </si>
  <si>
    <t>LA-700885</t>
  </si>
  <si>
    <t>LA-700886</t>
  </si>
  <si>
    <t>LA-700887</t>
  </si>
  <si>
    <t>LA-700888</t>
  </si>
  <si>
    <t>LA-700889</t>
  </si>
  <si>
    <t>LA-700890</t>
  </si>
  <si>
    <t>LA-700891</t>
  </si>
  <si>
    <t>LA-700892</t>
  </si>
  <si>
    <t>LA-700893</t>
  </si>
  <si>
    <t>LA-700894</t>
  </si>
  <si>
    <t>LA-700895</t>
  </si>
  <si>
    <t>LA-700896</t>
  </si>
  <si>
    <t>LA-700897</t>
  </si>
  <si>
    <t>LA-700898</t>
  </si>
  <si>
    <t>LA-700899</t>
  </si>
  <si>
    <t>LA-700900</t>
  </si>
  <si>
    <t>LA-700901</t>
  </si>
  <si>
    <t>LA-700902</t>
  </si>
  <si>
    <t>LA-700903</t>
  </si>
  <si>
    <t>LA-700904</t>
  </si>
  <si>
    <t>LA-700905</t>
  </si>
  <si>
    <t>LA-700906</t>
  </si>
  <si>
    <t>LA-700907</t>
  </si>
  <si>
    <t>LA-700908</t>
  </si>
  <si>
    <t>LA-700909</t>
  </si>
  <si>
    <t>LA-700910</t>
  </si>
  <si>
    <t>LA-700911</t>
  </si>
  <si>
    <t>LA-700912</t>
  </si>
  <si>
    <t>LA-700913</t>
  </si>
  <si>
    <t>LA-700914</t>
  </si>
  <si>
    <t>LA-700915</t>
  </si>
  <si>
    <t>LA-700916</t>
  </si>
  <si>
    <t>LA-700917</t>
  </si>
  <si>
    <t>LA-700918</t>
  </si>
  <si>
    <t>LA-700919</t>
  </si>
  <si>
    <t>LA-700920</t>
  </si>
  <si>
    <t>LA-700921</t>
  </si>
  <si>
    <t>LA-700922</t>
  </si>
  <si>
    <t>LA-700923</t>
  </si>
  <si>
    <t>LA-700924</t>
  </si>
  <si>
    <t>LA-700925</t>
  </si>
  <si>
    <t>LA-700926</t>
  </si>
  <si>
    <t>LA-700927</t>
  </si>
  <si>
    <t>LA-700928</t>
  </si>
  <si>
    <t>LA-700929</t>
  </si>
  <si>
    <t>LA-700930</t>
  </si>
  <si>
    <t>LA-700931</t>
  </si>
  <si>
    <t>LA-700932</t>
  </si>
  <si>
    <t>LA-700933</t>
  </si>
  <si>
    <t>LA-700934</t>
  </si>
  <si>
    <t>LA-700935</t>
  </si>
  <si>
    <t>LA-700936</t>
  </si>
  <si>
    <t>LA-700937</t>
  </si>
  <si>
    <t>LA-700938</t>
  </si>
  <si>
    <t>LA-700939</t>
  </si>
  <si>
    <t>LA-700940</t>
  </si>
  <si>
    <t>LA-700941</t>
  </si>
  <si>
    <t>LA-700942</t>
  </si>
  <si>
    <t>LA-700943</t>
  </si>
  <si>
    <t>LA-700944</t>
  </si>
  <si>
    <t>LA-700945</t>
  </si>
  <si>
    <t>LA-700946</t>
  </si>
  <si>
    <t>LA-700947</t>
  </si>
  <si>
    <t>LA-700948</t>
  </si>
  <si>
    <t>LA-700949</t>
  </si>
  <si>
    <t>LA-700950</t>
  </si>
  <si>
    <t>LA-700951</t>
  </si>
  <si>
    <t>LA-700952</t>
  </si>
  <si>
    <t>LA-700953</t>
  </si>
  <si>
    <t>LA-700954</t>
  </si>
  <si>
    <t>LA-700955</t>
  </si>
  <si>
    <t>LA-700956</t>
  </si>
  <si>
    <t>LA-700957</t>
  </si>
  <si>
    <t>LA-700958</t>
  </si>
  <si>
    <t>LA-700959</t>
  </si>
  <si>
    <t>LA-700960</t>
  </si>
  <si>
    <t>LA-700961</t>
  </si>
  <si>
    <t>LA-700962</t>
  </si>
  <si>
    <t>LA-700963</t>
  </si>
  <si>
    <t>LA-700964</t>
  </si>
  <si>
    <t>LA-700965</t>
  </si>
  <si>
    <t>LA-700966</t>
  </si>
  <si>
    <t>LA-700967</t>
  </si>
  <si>
    <t>LA-700968</t>
  </si>
  <si>
    <t>LA-700969</t>
  </si>
  <si>
    <t>LA-700970</t>
  </si>
  <si>
    <t>LA-700971</t>
  </si>
  <si>
    <t>LA-700972</t>
  </si>
  <si>
    <t>LA-700973</t>
  </si>
  <si>
    <t>LA-700974</t>
  </si>
  <si>
    <t>LA-700975</t>
  </si>
  <si>
    <t>LA-700976</t>
  </si>
  <si>
    <t>LA-700977</t>
  </si>
  <si>
    <t>LA-700978</t>
  </si>
  <si>
    <t>LA-700979</t>
  </si>
  <si>
    <t>LA-700980</t>
  </si>
  <si>
    <t>LA-700981</t>
  </si>
  <si>
    <t>LA-700982</t>
  </si>
  <si>
    <t>LA-700983</t>
  </si>
  <si>
    <t>LA-700984</t>
  </si>
  <si>
    <t>LA-700985</t>
  </si>
  <si>
    <t>LA-700986</t>
  </si>
  <si>
    <t>LA-700987</t>
  </si>
  <si>
    <t>LA-700988</t>
  </si>
  <si>
    <t>LA-700989</t>
  </si>
  <si>
    <t>LA-700990</t>
  </si>
  <si>
    <t>LA-700991</t>
  </si>
  <si>
    <t>LA-700992</t>
  </si>
  <si>
    <t>LA-700993</t>
  </si>
  <si>
    <t>LA-700994</t>
  </si>
  <si>
    <t>LA-700995</t>
  </si>
  <si>
    <t>LA-700996</t>
  </si>
  <si>
    <t>LA-700997</t>
  </si>
  <si>
    <t>LA-700998</t>
  </si>
  <si>
    <t>LA-700999</t>
  </si>
  <si>
    <t>LA-701000</t>
  </si>
  <si>
    <t>LA-701001</t>
  </si>
  <si>
    <t>LA-701002</t>
  </si>
  <si>
    <t>LA-701003</t>
  </si>
  <si>
    <t>LA-701004</t>
  </si>
  <si>
    <t>LA-701005</t>
  </si>
  <si>
    <t>LA-701006</t>
  </si>
  <si>
    <t>LA-701007</t>
  </si>
  <si>
    <t>LA-701008</t>
  </si>
  <si>
    <t>LA-701009</t>
  </si>
  <si>
    <t>LA-701010</t>
  </si>
  <si>
    <t>LA-701011</t>
  </si>
  <si>
    <t>LA-701012</t>
  </si>
  <si>
    <t>LA-701013</t>
  </si>
  <si>
    <t>LA-701014</t>
  </si>
  <si>
    <t>LA-701015</t>
  </si>
  <si>
    <t>LA-701016</t>
  </si>
  <si>
    <t>LA-701017</t>
  </si>
  <si>
    <t>LA-701018</t>
  </si>
  <si>
    <t>LA-701019</t>
  </si>
  <si>
    <t>LA-701020</t>
  </si>
  <si>
    <t>LA-701021</t>
  </si>
  <si>
    <t>LA-701022</t>
  </si>
  <si>
    <t>LA-701023</t>
  </si>
  <si>
    <t>LA-701024</t>
  </si>
  <si>
    <t>LA-701025</t>
  </si>
  <si>
    <t>LA-701026</t>
  </si>
  <si>
    <t>LA-701027</t>
  </si>
  <si>
    <t>LA-701028</t>
  </si>
  <si>
    <t>LA-701029</t>
  </si>
  <si>
    <t>LA-701030</t>
  </si>
  <si>
    <t>LA-701031</t>
  </si>
  <si>
    <t>LA-701032</t>
  </si>
  <si>
    <t>LA-701033</t>
  </si>
  <si>
    <t>LA-701034</t>
  </si>
  <si>
    <t>LA-701035</t>
  </si>
  <si>
    <t>LA-701036</t>
  </si>
  <si>
    <t>LA-701037</t>
  </si>
  <si>
    <t>LA-701038</t>
  </si>
  <si>
    <t>LA-701039</t>
  </si>
  <si>
    <t>Jun</t>
  </si>
  <si>
    <t>LA-701040</t>
  </si>
  <si>
    <t>LA-701041</t>
  </si>
  <si>
    <t>LA-701042</t>
  </si>
  <si>
    <t>LA-701043</t>
  </si>
  <si>
    <t>LA-701044</t>
  </si>
  <si>
    <t>LA-701045</t>
  </si>
  <si>
    <t>LA-701046</t>
  </si>
  <si>
    <t>LA-701047</t>
  </si>
  <si>
    <t>LA-701048</t>
  </si>
  <si>
    <t>LA-701049</t>
  </si>
  <si>
    <t>LA-701050</t>
  </si>
  <si>
    <t>LA-701051</t>
  </si>
  <si>
    <t>LA-701052</t>
  </si>
  <si>
    <t>LA-701053</t>
  </si>
  <si>
    <t>LA-701054</t>
  </si>
  <si>
    <t>LA-701055</t>
  </si>
  <si>
    <t>LA-701056</t>
  </si>
  <si>
    <t>LA-701057</t>
  </si>
  <si>
    <t>LA-701058</t>
  </si>
  <si>
    <t>LA-701059</t>
  </si>
  <si>
    <t>LA-701060</t>
  </si>
  <si>
    <t>LA-701061</t>
  </si>
  <si>
    <t>LA-701062</t>
  </si>
  <si>
    <t>LA-701063</t>
  </si>
  <si>
    <t>LA-701064</t>
  </si>
  <si>
    <t>LA-701065</t>
  </si>
  <si>
    <t>LA-701066</t>
  </si>
  <si>
    <t>LA-701067</t>
  </si>
  <si>
    <t>LA-701068</t>
  </si>
  <si>
    <t>LA-701069</t>
  </si>
  <si>
    <t>LA-701070</t>
  </si>
  <si>
    <t>LA-701071</t>
  </si>
  <si>
    <t>LA-701072</t>
  </si>
  <si>
    <t>LA-701073</t>
  </si>
  <si>
    <t>LA-701074</t>
  </si>
  <si>
    <t>LA-701075</t>
  </si>
  <si>
    <t>LA-701076</t>
  </si>
  <si>
    <t>LA-701077</t>
  </si>
  <si>
    <t>LA-701078</t>
  </si>
  <si>
    <t>LA-701079</t>
  </si>
  <si>
    <t>LA-701080</t>
  </si>
  <si>
    <t>LA-701081</t>
  </si>
  <si>
    <t>LA-701082</t>
  </si>
  <si>
    <t>LA-701083</t>
  </si>
  <si>
    <t>LA-701084</t>
  </si>
  <si>
    <t>LA-701085</t>
  </si>
  <si>
    <t>LA-701086</t>
  </si>
  <si>
    <t>LA-701087</t>
  </si>
  <si>
    <t>LA-701088</t>
  </si>
  <si>
    <t>LA-701089</t>
  </si>
  <si>
    <t>LA-701090</t>
  </si>
  <si>
    <t>LA-701091</t>
  </si>
  <si>
    <t>LA-701092</t>
  </si>
  <si>
    <t>LA-701093</t>
  </si>
  <si>
    <t>LA-701094</t>
  </si>
  <si>
    <t>LA-701095</t>
  </si>
  <si>
    <t>LA-701096</t>
  </si>
  <si>
    <t>LA-701097</t>
  </si>
  <si>
    <t>LA-701098</t>
  </si>
  <si>
    <t>LA-701099</t>
  </si>
  <si>
    <t>LA-701100</t>
  </si>
  <si>
    <t>LA-701101</t>
  </si>
  <si>
    <t>LA-701102</t>
  </si>
  <si>
    <t>LA-701103</t>
  </si>
  <si>
    <t>LA-701104</t>
  </si>
  <si>
    <t>LA-701105</t>
  </si>
  <si>
    <t>LA-701106</t>
  </si>
  <si>
    <t>LA-701107</t>
  </si>
  <si>
    <t>LA-701108</t>
  </si>
  <si>
    <t>LA-701109</t>
  </si>
  <si>
    <t>LA-701110</t>
  </si>
  <si>
    <t>LA-701111</t>
  </si>
  <si>
    <t>LA-701112</t>
  </si>
  <si>
    <t>LA-701113</t>
  </si>
  <si>
    <t>LA-701114</t>
  </si>
  <si>
    <t>LA-701115</t>
  </si>
  <si>
    <t>LA-701116</t>
  </si>
  <si>
    <t>LA-701117</t>
  </si>
  <si>
    <t>LA-701118</t>
  </si>
  <si>
    <t>LA-701119</t>
  </si>
  <si>
    <t>LA-701120</t>
  </si>
  <si>
    <t>LA-701121</t>
  </si>
  <si>
    <t>LA-701122</t>
  </si>
  <si>
    <t>LA-701123</t>
  </si>
  <si>
    <t>LA-701124</t>
  </si>
  <si>
    <t>LA-701125</t>
  </si>
  <si>
    <t>LA-701126</t>
  </si>
  <si>
    <t>LA-701127</t>
  </si>
  <si>
    <t>LA-701128</t>
  </si>
  <si>
    <t>LA-701129</t>
  </si>
  <si>
    <t>LA-701130</t>
  </si>
  <si>
    <t>LA-701131</t>
  </si>
  <si>
    <t>LA-701132</t>
  </si>
  <si>
    <t>LA-701133</t>
  </si>
  <si>
    <t>LA-701134</t>
  </si>
  <si>
    <t>LA-701135</t>
  </si>
  <si>
    <t>LA-701136</t>
  </si>
  <si>
    <t>LA-701137</t>
  </si>
  <si>
    <t>LA-701138</t>
  </si>
  <si>
    <t>LA-701139</t>
  </si>
  <si>
    <t>LA-701140</t>
  </si>
  <si>
    <t>LA-701141</t>
  </si>
  <si>
    <t>LA-701142</t>
  </si>
  <si>
    <t>LA-701143</t>
  </si>
  <si>
    <t>LA-701144</t>
  </si>
  <si>
    <t>LA-701145</t>
  </si>
  <si>
    <t>LA-701146</t>
  </si>
  <si>
    <t>LA-701147</t>
  </si>
  <si>
    <t>LA-701148</t>
  </si>
  <si>
    <t>LA-701149</t>
  </si>
  <si>
    <t>LA-701150</t>
  </si>
  <si>
    <t>LA-701151</t>
  </si>
  <si>
    <t>LA-701152</t>
  </si>
  <si>
    <t>LA-701153</t>
  </si>
  <si>
    <t>LA-701154</t>
  </si>
  <si>
    <t>LA-701155</t>
  </si>
  <si>
    <t>LA-701156</t>
  </si>
  <si>
    <t>LA-701157</t>
  </si>
  <si>
    <t>LA-701158</t>
  </si>
  <si>
    <t>LA-701159</t>
  </si>
  <si>
    <t>LA-701160</t>
  </si>
  <si>
    <t>LA-701161</t>
  </si>
  <si>
    <t>LA-701162</t>
  </si>
  <si>
    <t>LA-701163</t>
  </si>
  <si>
    <t>LA-701164</t>
  </si>
  <si>
    <t>LA-701165</t>
  </si>
  <si>
    <t>LA-701166</t>
  </si>
  <si>
    <t>LA-701167</t>
  </si>
  <si>
    <t>LA-701168</t>
  </si>
  <si>
    <t>LA-701169</t>
  </si>
  <si>
    <t>LA-701170</t>
  </si>
  <si>
    <t>LA-701171</t>
  </si>
  <si>
    <t>LA-701172</t>
  </si>
  <si>
    <t>LA-701173</t>
  </si>
  <si>
    <t>LA-701174</t>
  </si>
  <si>
    <t>LA-701175</t>
  </si>
  <si>
    <t>LA-701176</t>
  </si>
  <si>
    <t>LA-701177</t>
  </si>
  <si>
    <t>LA-701178</t>
  </si>
  <si>
    <t>LA-701179</t>
  </si>
  <si>
    <t>LA-701180</t>
  </si>
  <si>
    <t>LA-701181</t>
  </si>
  <si>
    <t>LA-701182</t>
  </si>
  <si>
    <t>LA-701183</t>
  </si>
  <si>
    <t>LA-701184</t>
  </si>
  <si>
    <t>LA-701185</t>
  </si>
  <si>
    <t>LA-701186</t>
  </si>
  <si>
    <t>LA-701187</t>
  </si>
  <si>
    <t>LA-701188</t>
  </si>
  <si>
    <t>LA-701189</t>
  </si>
  <si>
    <t>LA-701190</t>
  </si>
  <si>
    <t>LA-701191</t>
  </si>
  <si>
    <t>LA-701192</t>
  </si>
  <si>
    <t>LA-701193</t>
  </si>
  <si>
    <t>LA-701194</t>
  </si>
  <si>
    <t>LA-701195</t>
  </si>
  <si>
    <t>LA-701196</t>
  </si>
  <si>
    <t>LA-701197</t>
  </si>
  <si>
    <t>Q3</t>
  </si>
  <si>
    <t>Jul</t>
  </si>
  <si>
    <t>LA-701198</t>
  </si>
  <si>
    <t>LA-701199</t>
  </si>
  <si>
    <t>LA-701200</t>
  </si>
  <si>
    <t>LA-701201</t>
  </si>
  <si>
    <t>LA-701202</t>
  </si>
  <si>
    <t>LA-701203</t>
  </si>
  <si>
    <t>LA-701204</t>
  </si>
  <si>
    <t>LA-701205</t>
  </si>
  <si>
    <t>LA-701206</t>
  </si>
  <si>
    <t>LA-701207</t>
  </si>
  <si>
    <t>LA-701208</t>
  </si>
  <si>
    <t>LA-701209</t>
  </si>
  <si>
    <t>LA-701210</t>
  </si>
  <si>
    <t>LA-701211</t>
  </si>
  <si>
    <t>LA-701212</t>
  </si>
  <si>
    <t>LA-701213</t>
  </si>
  <si>
    <t>LA-701214</t>
  </si>
  <si>
    <t>LA-701215</t>
  </si>
  <si>
    <t>LA-701216</t>
  </si>
  <si>
    <t>LA-701217</t>
  </si>
  <si>
    <t>LA-701218</t>
  </si>
  <si>
    <t>LA-701219</t>
  </si>
  <si>
    <t>LA-701220</t>
  </si>
  <si>
    <t>LA-701221</t>
  </si>
  <si>
    <t>LA-701222</t>
  </si>
  <si>
    <t>LA-701223</t>
  </si>
  <si>
    <t>LA-701224</t>
  </si>
  <si>
    <t>LA-701225</t>
  </si>
  <si>
    <t>LA-701226</t>
  </si>
  <si>
    <t>LA-701227</t>
  </si>
  <si>
    <t>LA-701228</t>
  </si>
  <si>
    <t>LA-701229</t>
  </si>
  <si>
    <t>LA-701230</t>
  </si>
  <si>
    <t>LA-701231</t>
  </si>
  <si>
    <t>LA-701232</t>
  </si>
  <si>
    <t>LA-701233</t>
  </si>
  <si>
    <t>LA-701234</t>
  </si>
  <si>
    <t>LA-701235</t>
  </si>
  <si>
    <t>LA-701236</t>
  </si>
  <si>
    <t>LA-701237</t>
  </si>
  <si>
    <t>LA-701238</t>
  </si>
  <si>
    <t>LA-701239</t>
  </si>
  <si>
    <t>LA-701240</t>
  </si>
  <si>
    <t>LA-701241</t>
  </si>
  <si>
    <t>LA-701242</t>
  </si>
  <si>
    <t>LA-701243</t>
  </si>
  <si>
    <t>LA-701244</t>
  </si>
  <si>
    <t>LA-701245</t>
  </si>
  <si>
    <t>LA-701246</t>
  </si>
  <si>
    <t>LA-701247</t>
  </si>
  <si>
    <t>LA-701248</t>
  </si>
  <si>
    <t>LA-701249</t>
  </si>
  <si>
    <t>LA-701250</t>
  </si>
  <si>
    <t>LA-701251</t>
  </si>
  <si>
    <t>LA-701252</t>
  </si>
  <si>
    <t>LA-701253</t>
  </si>
  <si>
    <t>LA-701254</t>
  </si>
  <si>
    <t>LA-701255</t>
  </si>
  <si>
    <t>LA-701256</t>
  </si>
  <si>
    <t>LA-701257</t>
  </si>
  <si>
    <t>LA-701258</t>
  </si>
  <si>
    <t>LA-701259</t>
  </si>
  <si>
    <t>LA-701260</t>
  </si>
  <si>
    <t>LA-701261</t>
  </si>
  <si>
    <t>LA-701262</t>
  </si>
  <si>
    <t>LA-701263</t>
  </si>
  <si>
    <t>LA-701264</t>
  </si>
  <si>
    <t>LA-701265</t>
  </si>
  <si>
    <t>LA-701266</t>
  </si>
  <si>
    <t>LA-701267</t>
  </si>
  <si>
    <t>LA-701268</t>
  </si>
  <si>
    <t>LA-701269</t>
  </si>
  <si>
    <t>LA-701270</t>
  </si>
  <si>
    <t>LA-701271</t>
  </si>
  <si>
    <t>LA-701272</t>
  </si>
  <si>
    <t>LA-701273</t>
  </si>
  <si>
    <t>LA-701274</t>
  </si>
  <si>
    <t>LA-701275</t>
  </si>
  <si>
    <t>LA-701276</t>
  </si>
  <si>
    <t>LA-701277</t>
  </si>
  <si>
    <t>LA-701278</t>
  </si>
  <si>
    <t>LA-701279</t>
  </si>
  <si>
    <t>LA-701280</t>
  </si>
  <si>
    <t>LA-701281</t>
  </si>
  <si>
    <t>LA-701282</t>
  </si>
  <si>
    <t>LA-701283</t>
  </si>
  <si>
    <t>LA-701284</t>
  </si>
  <si>
    <t>LA-701285</t>
  </si>
  <si>
    <t>LA-701286</t>
  </si>
  <si>
    <t>LA-701287</t>
  </si>
  <si>
    <t>LA-701288</t>
  </si>
  <si>
    <t>LA-701289</t>
  </si>
  <si>
    <t>LA-701290</t>
  </si>
  <si>
    <t>LA-701291</t>
  </si>
  <si>
    <t>LA-701292</t>
  </si>
  <si>
    <t>LA-701293</t>
  </si>
  <si>
    <t>LA-701294</t>
  </si>
  <si>
    <t>LA-701295</t>
  </si>
  <si>
    <t>LA-701296</t>
  </si>
  <si>
    <t>LA-701297</t>
  </si>
  <si>
    <t>LA-701298</t>
  </si>
  <si>
    <t>LA-701299</t>
  </si>
  <si>
    <t>LA-701300</t>
  </si>
  <si>
    <t>LA-701301</t>
  </si>
  <si>
    <t>LA-701302</t>
  </si>
  <si>
    <t>LA-701303</t>
  </si>
  <si>
    <t>LA-701304</t>
  </si>
  <si>
    <t>LA-701305</t>
  </si>
  <si>
    <t>LA-701306</t>
  </si>
  <si>
    <t>LA-701307</t>
  </si>
  <si>
    <t>LA-701308</t>
  </si>
  <si>
    <t>LA-701309</t>
  </si>
  <si>
    <t>LA-701310</t>
  </si>
  <si>
    <t>LA-701311</t>
  </si>
  <si>
    <t>LA-701312</t>
  </si>
  <si>
    <t>LA-701313</t>
  </si>
  <si>
    <t>LA-701314</t>
  </si>
  <si>
    <t>LA-701315</t>
  </si>
  <si>
    <t>LA-701316</t>
  </si>
  <si>
    <t>LA-701317</t>
  </si>
  <si>
    <t>LA-701318</t>
  </si>
  <si>
    <t>LA-701319</t>
  </si>
  <si>
    <t>LA-701320</t>
  </si>
  <si>
    <t>LA-701321</t>
  </si>
  <si>
    <t>LA-701322</t>
  </si>
  <si>
    <t>LA-701323</t>
  </si>
  <si>
    <t>LA-701324</t>
  </si>
  <si>
    <t>LA-701325</t>
  </si>
  <si>
    <t>LA-701326</t>
  </si>
  <si>
    <t>LA-701327</t>
  </si>
  <si>
    <t>LA-701328</t>
  </si>
  <si>
    <t>LA-701329</t>
  </si>
  <si>
    <t>LA-701330</t>
  </si>
  <si>
    <t>LA-701331</t>
  </si>
  <si>
    <t>LA-701332</t>
  </si>
  <si>
    <t>LA-701333</t>
  </si>
  <si>
    <t>LA-701334</t>
  </si>
  <si>
    <t>LA-701335</t>
  </si>
  <si>
    <t>LA-701336</t>
  </si>
  <si>
    <t>LA-701337</t>
  </si>
  <si>
    <t>LA-701338</t>
  </si>
  <si>
    <t>LA-701339</t>
  </si>
  <si>
    <t>LA-701340</t>
  </si>
  <si>
    <t>LA-701341</t>
  </si>
  <si>
    <t>LA-701342</t>
  </si>
  <si>
    <t>LA-701343</t>
  </si>
  <si>
    <t>LA-701344</t>
  </si>
  <si>
    <t>LA-701345</t>
  </si>
  <si>
    <t>LA-701346</t>
  </si>
  <si>
    <t>LA-701347</t>
  </si>
  <si>
    <t>LA-701348</t>
  </si>
  <si>
    <t>LA-701349</t>
  </si>
  <si>
    <t>LA-701350</t>
  </si>
  <si>
    <t>LA-701351</t>
  </si>
  <si>
    <t>LA-701352</t>
  </si>
  <si>
    <t>LA-701353</t>
  </si>
  <si>
    <t>LA-701354</t>
  </si>
  <si>
    <t>LA-701355</t>
  </si>
  <si>
    <t>Aug</t>
  </si>
  <si>
    <t>LA-701356</t>
  </si>
  <si>
    <t>LA-701357</t>
  </si>
  <si>
    <t>LA-701358</t>
  </si>
  <si>
    <t>LA-701359</t>
  </si>
  <si>
    <t>LA-701360</t>
  </si>
  <si>
    <t>LA-701361</t>
  </si>
  <si>
    <t>LA-701362</t>
  </si>
  <si>
    <t>LA-701363</t>
  </si>
  <si>
    <t>LA-701364</t>
  </si>
  <si>
    <t>LA-701365</t>
  </si>
  <si>
    <t>LA-701366</t>
  </si>
  <si>
    <t>LA-701367</t>
  </si>
  <si>
    <t>LA-701368</t>
  </si>
  <si>
    <t>LA-701369</t>
  </si>
  <si>
    <t>LA-701370</t>
  </si>
  <si>
    <t>LA-701371</t>
  </si>
  <si>
    <t>LA-701372</t>
  </si>
  <si>
    <t>LA-701373</t>
  </si>
  <si>
    <t>LA-701374</t>
  </si>
  <si>
    <t>LA-701375</t>
  </si>
  <si>
    <t>LA-701376</t>
  </si>
  <si>
    <t>LA-701377</t>
  </si>
  <si>
    <t>LA-701378</t>
  </si>
  <si>
    <t>LA-701379</t>
  </si>
  <si>
    <t>LA-701380</t>
  </si>
  <si>
    <t>LA-701381</t>
  </si>
  <si>
    <t>LA-701382</t>
  </si>
  <si>
    <t>LA-701383</t>
  </si>
  <si>
    <t>LA-701384</t>
  </si>
  <si>
    <t>LA-701385</t>
  </si>
  <si>
    <t>LA-701386</t>
  </si>
  <si>
    <t>LA-701387</t>
  </si>
  <si>
    <t>LA-701388</t>
  </si>
  <si>
    <t>LA-701389</t>
  </si>
  <si>
    <t>LA-701390</t>
  </si>
  <si>
    <t>LA-701391</t>
  </si>
  <si>
    <t>LA-701392</t>
  </si>
  <si>
    <t>LA-701393</t>
  </si>
  <si>
    <t>LA-701394</t>
  </si>
  <si>
    <t>LA-701395</t>
  </si>
  <si>
    <t>LA-701396</t>
  </si>
  <si>
    <t>LA-701397</t>
  </si>
  <si>
    <t>LA-701398</t>
  </si>
  <si>
    <t>LA-701399</t>
  </si>
  <si>
    <t>LA-701400</t>
  </si>
  <si>
    <t>LA-701401</t>
  </si>
  <si>
    <t>LA-701402</t>
  </si>
  <si>
    <t>LA-701403</t>
  </si>
  <si>
    <t>LA-701404</t>
  </si>
  <si>
    <t>LA-701405</t>
  </si>
  <si>
    <t>LA-701406</t>
  </si>
  <si>
    <t>LA-701407</t>
  </si>
  <si>
    <t>LA-701408</t>
  </si>
  <si>
    <t>LA-701409</t>
  </si>
  <si>
    <t>LA-701410</t>
  </si>
  <si>
    <t>LA-701411</t>
  </si>
  <si>
    <t>LA-701412</t>
  </si>
  <si>
    <t>LA-701413</t>
  </si>
  <si>
    <t>LA-701414</t>
  </si>
  <si>
    <t>LA-701415</t>
  </si>
  <si>
    <t>LA-701416</t>
  </si>
  <si>
    <t>LA-701417</t>
  </si>
  <si>
    <t>LA-701418</t>
  </si>
  <si>
    <t>LA-701419</t>
  </si>
  <si>
    <t>LA-701420</t>
  </si>
  <si>
    <t>LA-701421</t>
  </si>
  <si>
    <t>LA-701422</t>
  </si>
  <si>
    <t>LA-701423</t>
  </si>
  <si>
    <t>LA-701424</t>
  </si>
  <si>
    <t>LA-701425</t>
  </si>
  <si>
    <t>LA-701426</t>
  </si>
  <si>
    <t>LA-701427</t>
  </si>
  <si>
    <t>LA-701428</t>
  </si>
  <si>
    <t>LA-701429</t>
  </si>
  <si>
    <t>LA-701430</t>
  </si>
  <si>
    <t>LA-701431</t>
  </si>
  <si>
    <t>LA-701432</t>
  </si>
  <si>
    <t>LA-701433</t>
  </si>
  <si>
    <t>LA-701434</t>
  </si>
  <si>
    <t>LA-701435</t>
  </si>
  <si>
    <t>LA-701436</t>
  </si>
  <si>
    <t>LA-701437</t>
  </si>
  <si>
    <t>LA-701438</t>
  </si>
  <si>
    <t>LA-701439</t>
  </si>
  <si>
    <t>LA-701440</t>
  </si>
  <si>
    <t>LA-701441</t>
  </si>
  <si>
    <t>LA-701442</t>
  </si>
  <si>
    <t>LA-701443</t>
  </si>
  <si>
    <t>LA-701444</t>
  </si>
  <si>
    <t>LA-701445</t>
  </si>
  <si>
    <t>LA-701446</t>
  </si>
  <si>
    <t>LA-701447</t>
  </si>
  <si>
    <t>LA-701448</t>
  </si>
  <si>
    <t>LA-701449</t>
  </si>
  <si>
    <t>LA-701450</t>
  </si>
  <si>
    <t>LA-701451</t>
  </si>
  <si>
    <t>LA-701452</t>
  </si>
  <si>
    <t>LA-701453</t>
  </si>
  <si>
    <t>LA-701454</t>
  </si>
  <si>
    <t>LA-701455</t>
  </si>
  <si>
    <t>LA-701456</t>
  </si>
  <si>
    <t>LA-701457</t>
  </si>
  <si>
    <t>LA-701458</t>
  </si>
  <si>
    <t>LA-701459</t>
  </si>
  <si>
    <t>LA-701460</t>
  </si>
  <si>
    <t>LA-701461</t>
  </si>
  <si>
    <t>LA-701462</t>
  </si>
  <si>
    <t>LA-701463</t>
  </si>
  <si>
    <t>LA-701464</t>
  </si>
  <si>
    <t>LA-701465</t>
  </si>
  <si>
    <t>LA-701466</t>
  </si>
  <si>
    <t>LA-701467</t>
  </si>
  <si>
    <t>LA-701468</t>
  </si>
  <si>
    <t>LA-701469</t>
  </si>
  <si>
    <t>LA-701470</t>
  </si>
  <si>
    <t>LA-701471</t>
  </si>
  <si>
    <t>LA-701472</t>
  </si>
  <si>
    <t>LA-701473</t>
  </si>
  <si>
    <t>LA-701474</t>
  </si>
  <si>
    <t>LA-701475</t>
  </si>
  <si>
    <t>LA-701476</t>
  </si>
  <si>
    <t>LA-701477</t>
  </si>
  <si>
    <t>LA-701478</t>
  </si>
  <si>
    <t>LA-701479</t>
  </si>
  <si>
    <t>LA-701480</t>
  </si>
  <si>
    <t>LA-701481</t>
  </si>
  <si>
    <t>LA-701482</t>
  </si>
  <si>
    <t>LA-701483</t>
  </si>
  <si>
    <t>LA-701484</t>
  </si>
  <si>
    <t>LA-701485</t>
  </si>
  <si>
    <t>LA-701486</t>
  </si>
  <si>
    <t>LA-701487</t>
  </si>
  <si>
    <t>LA-701488</t>
  </si>
  <si>
    <t>LA-701489</t>
  </si>
  <si>
    <t>LA-701490</t>
  </si>
  <si>
    <t>LA-701491</t>
  </si>
  <si>
    <t>LA-701492</t>
  </si>
  <si>
    <t>LA-701493</t>
  </si>
  <si>
    <t>LA-701494</t>
  </si>
  <si>
    <t>LA-701495</t>
  </si>
  <si>
    <t>LA-701496</t>
  </si>
  <si>
    <t>LA-701497</t>
  </si>
  <si>
    <t>LA-701498</t>
  </si>
  <si>
    <t>LA-701499</t>
  </si>
  <si>
    <t>LA-701500</t>
  </si>
  <si>
    <t>LA-701501</t>
  </si>
  <si>
    <t>LA-701502</t>
  </si>
  <si>
    <t>LA-701503</t>
  </si>
  <si>
    <t>LA-701504</t>
  </si>
  <si>
    <t>LA-701505</t>
  </si>
  <si>
    <t>LA-701506</t>
  </si>
  <si>
    <t>LA-701507</t>
  </si>
  <si>
    <t>LA-701508</t>
  </si>
  <si>
    <t>LA-701509</t>
  </si>
  <si>
    <t>LA-701510</t>
  </si>
  <si>
    <t>LA-701511</t>
  </si>
  <si>
    <t>LA-701512</t>
  </si>
  <si>
    <t>LA-701513</t>
  </si>
  <si>
    <t>LA-701514</t>
  </si>
  <si>
    <t>LA-701515</t>
  </si>
  <si>
    <t>LA-701516</t>
  </si>
  <si>
    <t>LA-701517</t>
  </si>
  <si>
    <t>LA-701518</t>
  </si>
  <si>
    <t>LA-701519</t>
  </si>
  <si>
    <t>LA-701520</t>
  </si>
  <si>
    <t>LA-701521</t>
  </si>
  <si>
    <t>LA-701522</t>
  </si>
  <si>
    <t>LA-701523</t>
  </si>
  <si>
    <t>LA-701524</t>
  </si>
  <si>
    <t>LA-701525</t>
  </si>
  <si>
    <t>LA-701526</t>
  </si>
  <si>
    <t>LA-701527</t>
  </si>
  <si>
    <t>LA-701528</t>
  </si>
  <si>
    <t>LA-701529</t>
  </si>
  <si>
    <t>LA-701530</t>
  </si>
  <si>
    <t>LA-701531</t>
  </si>
  <si>
    <t>LA-701532</t>
  </si>
  <si>
    <t>LA-701533</t>
  </si>
  <si>
    <t>LA-701534</t>
  </si>
  <si>
    <t>LA-701535</t>
  </si>
  <si>
    <t>LA-701536</t>
  </si>
  <si>
    <t>LA-701537</t>
  </si>
  <si>
    <t>LA-701538</t>
  </si>
  <si>
    <t>LA-701539</t>
  </si>
  <si>
    <t>LA-701540</t>
  </si>
  <si>
    <t>LA-701541</t>
  </si>
  <si>
    <t>LA-701542</t>
  </si>
  <si>
    <t>LA-701543</t>
  </si>
  <si>
    <t>LA-701544</t>
  </si>
  <si>
    <t>LA-701545</t>
  </si>
  <si>
    <t>LA-701546</t>
  </si>
  <si>
    <t>LA-701547</t>
  </si>
  <si>
    <t>LA-701548</t>
  </si>
  <si>
    <t>LA-701549</t>
  </si>
  <si>
    <t>LA-701550</t>
  </si>
  <si>
    <t>LA-701551</t>
  </si>
  <si>
    <t>LA-701552</t>
  </si>
  <si>
    <t>LA-701553</t>
  </si>
  <si>
    <t>LA-701554</t>
  </si>
  <si>
    <t>LA-701555</t>
  </si>
  <si>
    <t>LA-701556</t>
  </si>
  <si>
    <t>LA-701557</t>
  </si>
  <si>
    <t>LA-701558</t>
  </si>
  <si>
    <t>LA-701559</t>
  </si>
  <si>
    <t>LA-701560</t>
  </si>
  <si>
    <t>LA-701561</t>
  </si>
  <si>
    <t>LA-701562</t>
  </si>
  <si>
    <t>Sep</t>
  </si>
  <si>
    <t>LA-701563</t>
  </si>
  <si>
    <t>LA-701564</t>
  </si>
  <si>
    <t>LA-701565</t>
  </si>
  <si>
    <t>LA-701566</t>
  </si>
  <si>
    <t>LA-701567</t>
  </si>
  <si>
    <t>LA-701568</t>
  </si>
  <si>
    <t>LA-701569</t>
  </si>
  <si>
    <t>LA-701570</t>
  </si>
  <si>
    <t>LA-701571</t>
  </si>
  <si>
    <t>LA-701572</t>
  </si>
  <si>
    <t>LA-701573</t>
  </si>
  <si>
    <t>LA-701574</t>
  </si>
  <si>
    <t>LA-701575</t>
  </si>
  <si>
    <t>LA-701576</t>
  </si>
  <si>
    <t>LA-701577</t>
  </si>
  <si>
    <t>LA-701578</t>
  </si>
  <si>
    <t>LA-701579</t>
  </si>
  <si>
    <t>LA-701580</t>
  </si>
  <si>
    <t>LA-701581</t>
  </si>
  <si>
    <t>LA-701582</t>
  </si>
  <si>
    <t>LA-701583</t>
  </si>
  <si>
    <t>LA-701584</t>
  </si>
  <si>
    <t>LA-701585</t>
  </si>
  <si>
    <t>LA-701586</t>
  </si>
  <si>
    <t>LA-701587</t>
  </si>
  <si>
    <t>LA-701588</t>
  </si>
  <si>
    <t>LA-701589</t>
  </si>
  <si>
    <t>LA-701590</t>
  </si>
  <si>
    <t>LA-701591</t>
  </si>
  <si>
    <t>LA-701592</t>
  </si>
  <si>
    <t>LA-701593</t>
  </si>
  <si>
    <t>LA-701594</t>
  </si>
  <si>
    <t>LA-701595</t>
  </si>
  <si>
    <t>LA-701596</t>
  </si>
  <si>
    <t>LA-701597</t>
  </si>
  <si>
    <t>LA-701598</t>
  </si>
  <si>
    <t>LA-701599</t>
  </si>
  <si>
    <t>LA-701600</t>
  </si>
  <si>
    <t>LA-701601</t>
  </si>
  <si>
    <t>LA-701602</t>
  </si>
  <si>
    <t>LA-701603</t>
  </si>
  <si>
    <t>LA-701604</t>
  </si>
  <si>
    <t>LA-701605</t>
  </si>
  <si>
    <t>LA-701606</t>
  </si>
  <si>
    <t>LA-701607</t>
  </si>
  <si>
    <t>LA-701608</t>
  </si>
  <si>
    <t>LA-701609</t>
  </si>
  <si>
    <t>LA-701610</t>
  </si>
  <si>
    <t>LA-701611</t>
  </si>
  <si>
    <t>LA-701612</t>
  </si>
  <si>
    <t>LA-701613</t>
  </si>
  <si>
    <t>LA-701614</t>
  </si>
  <si>
    <t>LA-701615</t>
  </si>
  <si>
    <t>LA-701616</t>
  </si>
  <si>
    <t>LA-701617</t>
  </si>
  <si>
    <t>LA-701618</t>
  </si>
  <si>
    <t>LA-701619</t>
  </si>
  <si>
    <t>LA-701620</t>
  </si>
  <si>
    <t>LA-701621</t>
  </si>
  <si>
    <t>LA-701622</t>
  </si>
  <si>
    <t>LA-701623</t>
  </si>
  <si>
    <t>LA-701624</t>
  </si>
  <si>
    <t>LA-701625</t>
  </si>
  <si>
    <t>LA-701626</t>
  </si>
  <si>
    <t>LA-701627</t>
  </si>
  <si>
    <t>LA-701628</t>
  </si>
  <si>
    <t>LA-701629</t>
  </si>
  <si>
    <t>LA-701630</t>
  </si>
  <si>
    <t>LA-701631</t>
  </si>
  <si>
    <t>LA-701632</t>
  </si>
  <si>
    <t>LA-701633</t>
  </si>
  <si>
    <t>LA-701634</t>
  </si>
  <si>
    <t>LA-701635</t>
  </si>
  <si>
    <t>LA-701636</t>
  </si>
  <si>
    <t>LA-701637</t>
  </si>
  <si>
    <t>LA-701638</t>
  </si>
  <si>
    <t>LA-701639</t>
  </si>
  <si>
    <t>LA-701640</t>
  </si>
  <si>
    <t>LA-701641</t>
  </si>
  <si>
    <t>LA-701642</t>
  </si>
  <si>
    <t>LA-701643</t>
  </si>
  <si>
    <t>LA-701644</t>
  </si>
  <si>
    <t>LA-701645</t>
  </si>
  <si>
    <t>LA-701646</t>
  </si>
  <si>
    <t>LA-701647</t>
  </si>
  <si>
    <t>LA-701648</t>
  </si>
  <si>
    <t>LA-701649</t>
  </si>
  <si>
    <t>LA-701650</t>
  </si>
  <si>
    <t>LA-701651</t>
  </si>
  <si>
    <t>LA-701652</t>
  </si>
  <si>
    <t>LA-701653</t>
  </si>
  <si>
    <t>LA-701654</t>
  </si>
  <si>
    <t>LA-701655</t>
  </si>
  <si>
    <t>LA-701656</t>
  </si>
  <si>
    <t>LA-701657</t>
  </si>
  <si>
    <t>LA-701658</t>
  </si>
  <si>
    <t>LA-701659</t>
  </si>
  <si>
    <t>LA-701660</t>
  </si>
  <si>
    <t>LA-701661</t>
  </si>
  <si>
    <t>LA-701662</t>
  </si>
  <si>
    <t>LA-701663</t>
  </si>
  <si>
    <t>LA-701664</t>
  </si>
  <si>
    <t>LA-701665</t>
  </si>
  <si>
    <t>LA-701666</t>
  </si>
  <si>
    <t>LA-701667</t>
  </si>
  <si>
    <t>LA-701668</t>
  </si>
  <si>
    <t>LA-701669</t>
  </si>
  <si>
    <t>LA-701670</t>
  </si>
  <si>
    <t>LA-701671</t>
  </si>
  <si>
    <t>LA-701672</t>
  </si>
  <si>
    <t>LA-701673</t>
  </si>
  <si>
    <t>LA-701674</t>
  </si>
  <si>
    <t>LA-701675</t>
  </si>
  <si>
    <t>LA-701676</t>
  </si>
  <si>
    <t>LA-701677</t>
  </si>
  <si>
    <t>LA-701678</t>
  </si>
  <si>
    <t>LA-701679</t>
  </si>
  <si>
    <t>LA-701680</t>
  </si>
  <si>
    <t>LA-701681</t>
  </si>
  <si>
    <t>LA-701682</t>
  </si>
  <si>
    <t>LA-701683</t>
  </si>
  <si>
    <t>LA-701684</t>
  </si>
  <si>
    <t>LA-701685</t>
  </si>
  <si>
    <t>LA-701686</t>
  </si>
  <si>
    <t>LA-701687</t>
  </si>
  <si>
    <t>LA-701688</t>
  </si>
  <si>
    <t>LA-701689</t>
  </si>
  <si>
    <t>LA-701690</t>
  </si>
  <si>
    <t>LA-701691</t>
  </si>
  <si>
    <t>LA-701692</t>
  </si>
  <si>
    <t>LA-701693</t>
  </si>
  <si>
    <t>LA-701694</t>
  </si>
  <si>
    <t>LA-701695</t>
  </si>
  <si>
    <t>LA-701696</t>
  </si>
  <si>
    <t>LA-701697</t>
  </si>
  <si>
    <t>LA-701698</t>
  </si>
  <si>
    <t>LA-701699</t>
  </si>
  <si>
    <t>LA-701700</t>
  </si>
  <si>
    <t>LA-701701</t>
  </si>
  <si>
    <t>LA-701702</t>
  </si>
  <si>
    <t>LA-701703</t>
  </si>
  <si>
    <t>LA-701704</t>
  </si>
  <si>
    <t>LA-701705</t>
  </si>
  <si>
    <t>LA-701706</t>
  </si>
  <si>
    <t>LA-701707</t>
  </si>
  <si>
    <t>LA-701708</t>
  </si>
  <si>
    <t>LA-701709</t>
  </si>
  <si>
    <t>LA-701710</t>
  </si>
  <si>
    <t>LA-701711</t>
  </si>
  <si>
    <t>LA-701712</t>
  </si>
  <si>
    <t>LA-701713</t>
  </si>
  <si>
    <t>LA-701714</t>
  </si>
  <si>
    <t>LA-701715</t>
  </si>
  <si>
    <t>LA-701716</t>
  </si>
  <si>
    <t>LA-701717</t>
  </si>
  <si>
    <t>LA-701718</t>
  </si>
  <si>
    <t>LA-701719</t>
  </si>
  <si>
    <t>LA-701720</t>
  </si>
  <si>
    <t>LA-701721</t>
  </si>
  <si>
    <t>LA-701722</t>
  </si>
  <si>
    <t>LA-701723</t>
  </si>
  <si>
    <t>LA-701724</t>
  </si>
  <si>
    <t>LA-701725</t>
  </si>
  <si>
    <t>LA-701726</t>
  </si>
  <si>
    <t>LA-701727</t>
  </si>
  <si>
    <t>LA-701728</t>
  </si>
  <si>
    <t>LA-701729</t>
  </si>
  <si>
    <t>LA-701730</t>
  </si>
  <si>
    <t>LA-701731</t>
  </si>
  <si>
    <t>LA-701732</t>
  </si>
  <si>
    <t>LA-701733</t>
  </si>
  <si>
    <t>LA-701734</t>
  </si>
  <si>
    <t>LA-701735</t>
  </si>
  <si>
    <t>LA-701736</t>
  </si>
  <si>
    <t>LA-701737</t>
  </si>
  <si>
    <t>LA-701738</t>
  </si>
  <si>
    <t>LA-701739</t>
  </si>
  <si>
    <t>LA-701740</t>
  </si>
  <si>
    <t>LA-701741</t>
  </si>
  <si>
    <t>LA-701742</t>
  </si>
  <si>
    <t>LA-701743</t>
  </si>
  <si>
    <t>LA-701744</t>
  </si>
  <si>
    <t>LA-701745</t>
  </si>
  <si>
    <t>LA-701746</t>
  </si>
  <si>
    <t>LA-701747</t>
  </si>
  <si>
    <t>LA-701748</t>
  </si>
  <si>
    <t>LA-701749</t>
  </si>
  <si>
    <t>LA-701750</t>
  </si>
  <si>
    <t>LA-701751</t>
  </si>
  <si>
    <t>LA-701752</t>
  </si>
  <si>
    <t>LA-701753</t>
  </si>
  <si>
    <t>LA-701754</t>
  </si>
  <si>
    <t>LA-701755</t>
  </si>
  <si>
    <t>LA-701756</t>
  </si>
  <si>
    <t>LA-701757</t>
  </si>
  <si>
    <t>LA-701758</t>
  </si>
  <si>
    <t>LA-701759</t>
  </si>
  <si>
    <t>LA-701760</t>
  </si>
  <si>
    <t>LA-701761</t>
  </si>
  <si>
    <t>LA-701762</t>
  </si>
  <si>
    <t>LA-701763</t>
  </si>
  <si>
    <t>LA-701764</t>
  </si>
  <si>
    <t>LA-701765</t>
  </si>
  <si>
    <t>LA-701766</t>
  </si>
  <si>
    <t>LA-701767</t>
  </si>
  <si>
    <t>LA-701768</t>
  </si>
  <si>
    <t>LA-701769</t>
  </si>
  <si>
    <t>LA-701770</t>
  </si>
  <si>
    <t>Q4</t>
  </si>
  <si>
    <t>Oct</t>
  </si>
  <si>
    <t>LA-701771</t>
  </si>
  <si>
    <t>LA-701772</t>
  </si>
  <si>
    <t>LA-701773</t>
  </si>
  <si>
    <t>LA-701774</t>
  </si>
  <si>
    <t>LA-701775</t>
  </si>
  <si>
    <t>LA-701776</t>
  </si>
  <si>
    <t>LA-701777</t>
  </si>
  <si>
    <t>LA-701778</t>
  </si>
  <si>
    <t>LA-701779</t>
  </si>
  <si>
    <t>LA-701780</t>
  </si>
  <si>
    <t>LA-701781</t>
  </si>
  <si>
    <t>LA-701782</t>
  </si>
  <si>
    <t>LA-701783</t>
  </si>
  <si>
    <t>LA-701784</t>
  </si>
  <si>
    <t>LA-701785</t>
  </si>
  <si>
    <t>LA-701786</t>
  </si>
  <si>
    <t>LA-701787</t>
  </si>
  <si>
    <t>LA-701788</t>
  </si>
  <si>
    <t>LA-701789</t>
  </si>
  <si>
    <t>LA-701790</t>
  </si>
  <si>
    <t>LA-701791</t>
  </si>
  <si>
    <t>LA-701792</t>
  </si>
  <si>
    <t>LA-701793</t>
  </si>
  <si>
    <t>LA-701794</t>
  </si>
  <si>
    <t>LA-701795</t>
  </si>
  <si>
    <t>LA-701796</t>
  </si>
  <si>
    <t>LA-701797</t>
  </si>
  <si>
    <t>LA-701798</t>
  </si>
  <si>
    <t>LA-701799</t>
  </si>
  <si>
    <t>LA-701800</t>
  </si>
  <si>
    <t>LA-701801</t>
  </si>
  <si>
    <t>LA-701802</t>
  </si>
  <si>
    <t>LA-701803</t>
  </si>
  <si>
    <t>LA-701804</t>
  </si>
  <si>
    <t>LA-701805</t>
  </si>
  <si>
    <t>LA-701806</t>
  </si>
  <si>
    <t>LA-701807</t>
  </si>
  <si>
    <t>LA-701808</t>
  </si>
  <si>
    <t>LA-701809</t>
  </si>
  <si>
    <t>LA-701810</t>
  </si>
  <si>
    <t>LA-701811</t>
  </si>
  <si>
    <t>LA-701812</t>
  </si>
  <si>
    <t>LA-701813</t>
  </si>
  <si>
    <t>LA-701814</t>
  </si>
  <si>
    <t>LA-701815</t>
  </si>
  <si>
    <t>LA-701816</t>
  </si>
  <si>
    <t>LA-701817</t>
  </si>
  <si>
    <t>LA-701818</t>
  </si>
  <si>
    <t>LA-701819</t>
  </si>
  <si>
    <t>LA-701820</t>
  </si>
  <si>
    <t>LA-701821</t>
  </si>
  <si>
    <t>LA-701822</t>
  </si>
  <si>
    <t>LA-701823</t>
  </si>
  <si>
    <t>LA-701824</t>
  </si>
  <si>
    <t>LA-701825</t>
  </si>
  <si>
    <t>LA-701826</t>
  </si>
  <si>
    <t>LA-701827</t>
  </si>
  <si>
    <t>LA-701828</t>
  </si>
  <si>
    <t>LA-701829</t>
  </si>
  <si>
    <t>LA-701830</t>
  </si>
  <si>
    <t>LA-701831</t>
  </si>
  <si>
    <t>LA-701832</t>
  </si>
  <si>
    <t>LA-701833</t>
  </si>
  <si>
    <t>LA-701834</t>
  </si>
  <si>
    <t>LA-701835</t>
  </si>
  <si>
    <t>LA-701836</t>
  </si>
  <si>
    <t>LA-701837</t>
  </si>
  <si>
    <t>LA-701838</t>
  </si>
  <si>
    <t>LA-701839</t>
  </si>
  <si>
    <t>LA-701840</t>
  </si>
  <si>
    <t>LA-701841</t>
  </si>
  <si>
    <t>LA-701842</t>
  </si>
  <si>
    <t>LA-701843</t>
  </si>
  <si>
    <t>LA-701844</t>
  </si>
  <si>
    <t>LA-701845</t>
  </si>
  <si>
    <t>LA-701846</t>
  </si>
  <si>
    <t>LA-701847</t>
  </si>
  <si>
    <t>LA-701848</t>
  </si>
  <si>
    <t>LA-701849</t>
  </si>
  <si>
    <t>LA-701850</t>
  </si>
  <si>
    <t>LA-701851</t>
  </si>
  <si>
    <t>LA-701852</t>
  </si>
  <si>
    <t>LA-701853</t>
  </si>
  <si>
    <t>LA-701854</t>
  </si>
  <si>
    <t>LA-701855</t>
  </si>
  <si>
    <t>LA-701856</t>
  </si>
  <si>
    <t>LA-701857</t>
  </si>
  <si>
    <t>LA-701858</t>
  </si>
  <si>
    <t>LA-701859</t>
  </si>
  <si>
    <t>LA-701860</t>
  </si>
  <si>
    <t>LA-701861</t>
  </si>
  <si>
    <t>LA-701862</t>
  </si>
  <si>
    <t>LA-701863</t>
  </si>
  <si>
    <t>LA-701864</t>
  </si>
  <si>
    <t>LA-701865</t>
  </si>
  <si>
    <t>LA-701866</t>
  </si>
  <si>
    <t>LA-701867</t>
  </si>
  <si>
    <t>LA-701868</t>
  </si>
  <si>
    <t>LA-701869</t>
  </si>
  <si>
    <t>LA-701870</t>
  </si>
  <si>
    <t>LA-701871</t>
  </si>
  <si>
    <t>LA-701872</t>
  </si>
  <si>
    <t>LA-701873</t>
  </si>
  <si>
    <t>LA-701874</t>
  </si>
  <si>
    <t>LA-701875</t>
  </si>
  <si>
    <t>LA-701876</t>
  </si>
  <si>
    <t>LA-701877</t>
  </si>
  <si>
    <t>LA-701878</t>
  </si>
  <si>
    <t>LA-701879</t>
  </si>
  <si>
    <t>LA-701880</t>
  </si>
  <si>
    <t>LA-701881</t>
  </si>
  <si>
    <t>LA-701882</t>
  </si>
  <si>
    <t>LA-701883</t>
  </si>
  <si>
    <t>LA-701884</t>
  </si>
  <si>
    <t>LA-701885</t>
  </si>
  <si>
    <t>LA-701886</t>
  </si>
  <si>
    <t>LA-701887</t>
  </si>
  <si>
    <t>LA-701888</t>
  </si>
  <si>
    <t>LA-701889</t>
  </si>
  <si>
    <t>LA-701890</t>
  </si>
  <si>
    <t>LA-701891</t>
  </si>
  <si>
    <t>LA-701892</t>
  </si>
  <si>
    <t>LA-701893</t>
  </si>
  <si>
    <t>LA-701894</t>
  </si>
  <si>
    <t>LA-701895</t>
  </si>
  <si>
    <t>LA-701896</t>
  </si>
  <si>
    <t>LA-701897</t>
  </si>
  <si>
    <t>LA-701898</t>
  </si>
  <si>
    <t>LA-701899</t>
  </si>
  <si>
    <t>LA-701900</t>
  </si>
  <si>
    <t>LA-701901</t>
  </si>
  <si>
    <t>LA-701902</t>
  </si>
  <si>
    <t>LA-701903</t>
  </si>
  <si>
    <t>LA-701904</t>
  </si>
  <si>
    <t>LA-701905</t>
  </si>
  <si>
    <t>LA-701906</t>
  </si>
  <si>
    <t>LA-701907</t>
  </si>
  <si>
    <t>LA-701908</t>
  </si>
  <si>
    <t>LA-701909</t>
  </si>
  <si>
    <t>LA-701910</t>
  </si>
  <si>
    <t>LA-701911</t>
  </si>
  <si>
    <t>LA-701912</t>
  </si>
  <si>
    <t>LA-701913</t>
  </si>
  <si>
    <t>LA-701914</t>
  </si>
  <si>
    <t>LA-701915</t>
  </si>
  <si>
    <t>LA-701916</t>
  </si>
  <si>
    <t>LA-701917</t>
  </si>
  <si>
    <t>LA-701918</t>
  </si>
  <si>
    <t>LA-701919</t>
  </si>
  <si>
    <t>LA-701920</t>
  </si>
  <si>
    <t>LA-701921</t>
  </si>
  <si>
    <t>LA-701922</t>
  </si>
  <si>
    <t>LA-701923</t>
  </si>
  <si>
    <t>LA-701924</t>
  </si>
  <si>
    <t>LA-701925</t>
  </si>
  <si>
    <t>LA-701926</t>
  </si>
  <si>
    <t>LA-701927</t>
  </si>
  <si>
    <t>LA-701928</t>
  </si>
  <si>
    <t>LA-701929</t>
  </si>
  <si>
    <t>LA-701930</t>
  </si>
  <si>
    <t>LA-701931</t>
  </si>
  <si>
    <t>LA-701932</t>
  </si>
  <si>
    <t>LA-701933</t>
  </si>
  <si>
    <t>LA-701934</t>
  </si>
  <si>
    <t>LA-701935</t>
  </si>
  <si>
    <t>LA-701936</t>
  </si>
  <si>
    <t>LA-701937</t>
  </si>
  <si>
    <t>LA-701938</t>
  </si>
  <si>
    <t>LA-701939</t>
  </si>
  <si>
    <t>LA-701940</t>
  </si>
  <si>
    <t>LA-701941</t>
  </si>
  <si>
    <t>LA-701942</t>
  </si>
  <si>
    <t>LA-701943</t>
  </si>
  <si>
    <t>LA-701944</t>
  </si>
  <si>
    <t>LA-701945</t>
  </si>
  <si>
    <t>LA-701946</t>
  </si>
  <si>
    <t>LA-701947</t>
  </si>
  <si>
    <t>LA-701948</t>
  </si>
  <si>
    <t>LA-701949</t>
  </si>
  <si>
    <t>LA-701950</t>
  </si>
  <si>
    <t>LA-701951</t>
  </si>
  <si>
    <t>LA-701952</t>
  </si>
  <si>
    <t>LA-701953</t>
  </si>
  <si>
    <t>LA-701954</t>
  </si>
  <si>
    <t>LA-701955</t>
  </si>
  <si>
    <t>LA-701956</t>
  </si>
  <si>
    <t>LA-701957</t>
  </si>
  <si>
    <t>LA-701958</t>
  </si>
  <si>
    <t>LA-701959</t>
  </si>
  <si>
    <t>LA-701960</t>
  </si>
  <si>
    <t>LA-701961</t>
  </si>
  <si>
    <t>LA-701962</t>
  </si>
  <si>
    <t>LA-701963</t>
  </si>
  <si>
    <t>LA-701964</t>
  </si>
  <si>
    <t>LA-701965</t>
  </si>
  <si>
    <t>LA-701966</t>
  </si>
  <si>
    <t>LA-701967</t>
  </si>
  <si>
    <t>LA-701968</t>
  </si>
  <si>
    <t>LA-701969</t>
  </si>
  <si>
    <t>LA-701970</t>
  </si>
  <si>
    <t>LA-701971</t>
  </si>
  <si>
    <t>LA-701972</t>
  </si>
  <si>
    <t>LA-701973</t>
  </si>
  <si>
    <t>LA-701974</t>
  </si>
  <si>
    <t>LA-701975</t>
  </si>
  <si>
    <t>LA-701976</t>
  </si>
  <si>
    <t>LA-701977</t>
  </si>
  <si>
    <t>LA-701978</t>
  </si>
  <si>
    <t>LA-701979</t>
  </si>
  <si>
    <t>LA-701980</t>
  </si>
  <si>
    <t>LA-701981</t>
  </si>
  <si>
    <t>LA-701982</t>
  </si>
  <si>
    <t>LA-701983</t>
  </si>
  <si>
    <t>LA-701984</t>
  </si>
  <si>
    <t>LA-701985</t>
  </si>
  <si>
    <t>LA-701986</t>
  </si>
  <si>
    <t>LA-701987</t>
  </si>
  <si>
    <t>LA-701988</t>
  </si>
  <si>
    <t>LA-701989</t>
  </si>
  <si>
    <t>LA-701990</t>
  </si>
  <si>
    <t>LA-701991</t>
  </si>
  <si>
    <t>LA-701992</t>
  </si>
  <si>
    <t>LA-701993</t>
  </si>
  <si>
    <t>LA-701994</t>
  </si>
  <si>
    <t>LA-701995</t>
  </si>
  <si>
    <t>LA-701996</t>
  </si>
  <si>
    <t>LA-701997</t>
  </si>
  <si>
    <t>LA-701998</t>
  </si>
  <si>
    <t>LA-701999</t>
  </si>
  <si>
    <t>LA-702000</t>
  </si>
  <si>
    <t>LA-702001</t>
  </si>
  <si>
    <t>LA-702002</t>
  </si>
  <si>
    <t>LA-702003</t>
  </si>
  <si>
    <t>LA-702004</t>
  </si>
  <si>
    <t>LA-702005</t>
  </si>
  <si>
    <t>LA-702006</t>
  </si>
  <si>
    <t>LA-702007</t>
  </si>
  <si>
    <t>Nov</t>
  </si>
  <si>
    <t>LA-702008</t>
  </si>
  <si>
    <t>LA-702009</t>
  </si>
  <si>
    <t>LA-702010</t>
  </si>
  <si>
    <t>LA-702011</t>
  </si>
  <si>
    <t>LA-702012</t>
  </si>
  <si>
    <t>LA-702013</t>
  </si>
  <si>
    <t>LA-702014</t>
  </si>
  <si>
    <t>LA-702015</t>
  </si>
  <si>
    <t>LA-702016</t>
  </si>
  <si>
    <t>LA-702017</t>
  </si>
  <si>
    <t>LA-702018</t>
  </si>
  <si>
    <t>LA-702019</t>
  </si>
  <si>
    <t>LA-702020</t>
  </si>
  <si>
    <t>LA-702021</t>
  </si>
  <si>
    <t>LA-702022</t>
  </si>
  <si>
    <t>LA-702023</t>
  </si>
  <si>
    <t>LA-702024</t>
  </si>
  <si>
    <t>LA-702025</t>
  </si>
  <si>
    <t>LA-702026</t>
  </si>
  <si>
    <t>LA-702027</t>
  </si>
  <si>
    <t>LA-702028</t>
  </si>
  <si>
    <t>LA-702029</t>
  </si>
  <si>
    <t>LA-702030</t>
  </si>
  <si>
    <t>LA-702031</t>
  </si>
  <si>
    <t>LA-702032</t>
  </si>
  <si>
    <t>LA-702033</t>
  </si>
  <si>
    <t>LA-702034</t>
  </si>
  <si>
    <t>LA-702035</t>
  </si>
  <si>
    <t>LA-702036</t>
  </si>
  <si>
    <t>LA-702037</t>
  </si>
  <si>
    <t>LA-702038</t>
  </si>
  <si>
    <t>LA-702039</t>
  </si>
  <si>
    <t>LA-702040</t>
  </si>
  <si>
    <t>LA-702041</t>
  </si>
  <si>
    <t>LA-702042</t>
  </si>
  <si>
    <t>LA-702043</t>
  </si>
  <si>
    <t>LA-702044</t>
  </si>
  <si>
    <t>LA-702045</t>
  </si>
  <si>
    <t>LA-702046</t>
  </si>
  <si>
    <t>LA-702047</t>
  </si>
  <si>
    <t>LA-702048</t>
  </si>
  <si>
    <t>LA-702049</t>
  </si>
  <si>
    <t>LA-702050</t>
  </si>
  <si>
    <t>LA-702051</t>
  </si>
  <si>
    <t>LA-702052</t>
  </si>
  <si>
    <t>LA-702053</t>
  </si>
  <si>
    <t>LA-702054</t>
  </si>
  <si>
    <t>LA-702055</t>
  </si>
  <si>
    <t>LA-702056</t>
  </si>
  <si>
    <t>LA-702057</t>
  </si>
  <si>
    <t>LA-702058</t>
  </si>
  <si>
    <t>LA-702059</t>
  </si>
  <si>
    <t>LA-702060</t>
  </si>
  <si>
    <t>LA-702061</t>
  </si>
  <si>
    <t>LA-702062</t>
  </si>
  <si>
    <t>LA-702063</t>
  </si>
  <si>
    <t>LA-702064</t>
  </si>
  <si>
    <t>LA-702065</t>
  </si>
  <si>
    <t>LA-702066</t>
  </si>
  <si>
    <t>LA-702067</t>
  </si>
  <si>
    <t>LA-702068</t>
  </si>
  <si>
    <t>LA-702069</t>
  </si>
  <si>
    <t>LA-702070</t>
  </si>
  <si>
    <t>LA-702071</t>
  </si>
  <si>
    <t>LA-702072</t>
  </si>
  <si>
    <t>LA-702073</t>
  </si>
  <si>
    <t>LA-702074</t>
  </si>
  <si>
    <t>LA-702075</t>
  </si>
  <si>
    <t>LA-702076</t>
  </si>
  <si>
    <t>LA-702077</t>
  </si>
  <si>
    <t>LA-702078</t>
  </si>
  <si>
    <t>LA-702079</t>
  </si>
  <si>
    <t>LA-702080</t>
  </si>
  <si>
    <t>LA-702081</t>
  </si>
  <si>
    <t>LA-702082</t>
  </si>
  <si>
    <t>LA-702083</t>
  </si>
  <si>
    <t>LA-702084</t>
  </si>
  <si>
    <t>LA-702085</t>
  </si>
  <si>
    <t>LA-702086</t>
  </si>
  <si>
    <t>LA-702087</t>
  </si>
  <si>
    <t>LA-702088</t>
  </si>
  <si>
    <t>LA-702089</t>
  </si>
  <si>
    <t>LA-702090</t>
  </si>
  <si>
    <t>LA-702091</t>
  </si>
  <si>
    <t>LA-702092</t>
  </si>
  <si>
    <t>LA-702093</t>
  </si>
  <si>
    <t>LA-702094</t>
  </si>
  <si>
    <t>LA-702095</t>
  </si>
  <si>
    <t>LA-702096</t>
  </si>
  <si>
    <t>LA-702097</t>
  </si>
  <si>
    <t>LA-702098</t>
  </si>
  <si>
    <t>LA-702099</t>
  </si>
  <si>
    <t>LA-702100</t>
  </si>
  <si>
    <t>LA-702101</t>
  </si>
  <si>
    <t>LA-702102</t>
  </si>
  <si>
    <t>LA-702103</t>
  </si>
  <si>
    <t>LA-702104</t>
  </si>
  <si>
    <t>LA-702105</t>
  </si>
  <si>
    <t>LA-702106</t>
  </si>
  <si>
    <t>LA-702107</t>
  </si>
  <si>
    <t>LA-702108</t>
  </si>
  <si>
    <t>LA-702109</t>
  </si>
  <si>
    <t>LA-702110</t>
  </si>
  <si>
    <t>LA-702111</t>
  </si>
  <si>
    <t>LA-702112</t>
  </si>
  <si>
    <t>LA-702113</t>
  </si>
  <si>
    <t>LA-702114</t>
  </si>
  <si>
    <t>LA-702115</t>
  </si>
  <si>
    <t>LA-702116</t>
  </si>
  <si>
    <t>LA-702117</t>
  </si>
  <si>
    <t>LA-702118</t>
  </si>
  <si>
    <t>LA-702119</t>
  </si>
  <si>
    <t>LA-702120</t>
  </si>
  <si>
    <t>LA-702121</t>
  </si>
  <si>
    <t>LA-702122</t>
  </si>
  <si>
    <t>LA-702123</t>
  </si>
  <si>
    <t>LA-702124</t>
  </si>
  <si>
    <t>LA-702125</t>
  </si>
  <si>
    <t>LA-702126</t>
  </si>
  <si>
    <t>LA-702127</t>
  </si>
  <si>
    <t>LA-702128</t>
  </si>
  <si>
    <t>LA-702129</t>
  </si>
  <si>
    <t>LA-702130</t>
  </si>
  <si>
    <t>LA-702131</t>
  </si>
  <si>
    <t>LA-702132</t>
  </si>
  <si>
    <t>LA-702133</t>
  </si>
  <si>
    <t>LA-702134</t>
  </si>
  <si>
    <t>LA-702135</t>
  </si>
  <si>
    <t>LA-702136</t>
  </si>
  <si>
    <t>LA-702137</t>
  </si>
  <si>
    <t>LA-702138</t>
  </si>
  <si>
    <t>LA-702139</t>
  </si>
  <si>
    <t>LA-702140</t>
  </si>
  <si>
    <t>LA-702141</t>
  </si>
  <si>
    <t>LA-702142</t>
  </si>
  <si>
    <t>LA-702143</t>
  </si>
  <si>
    <t>LA-702144</t>
  </si>
  <si>
    <t>LA-702145</t>
  </si>
  <si>
    <t>LA-702146</t>
  </si>
  <si>
    <t>LA-702147</t>
  </si>
  <si>
    <t>LA-702148</t>
  </si>
  <si>
    <t>LA-702149</t>
  </si>
  <si>
    <t>LA-702150</t>
  </si>
  <si>
    <t>LA-702151</t>
  </si>
  <si>
    <t>LA-702152</t>
  </si>
  <si>
    <t>LA-702153</t>
  </si>
  <si>
    <t>LA-702154</t>
  </si>
  <si>
    <t>LA-702155</t>
  </si>
  <si>
    <t>LA-702156</t>
  </si>
  <si>
    <t>LA-702157</t>
  </si>
  <si>
    <t>LA-702158</t>
  </si>
  <si>
    <t>LA-702159</t>
  </si>
  <si>
    <t>LA-702160</t>
  </si>
  <si>
    <t>LA-702161</t>
  </si>
  <si>
    <t>LA-702162</t>
  </si>
  <si>
    <t>LA-702163</t>
  </si>
  <si>
    <t>LA-702164</t>
  </si>
  <si>
    <t>LA-702165</t>
  </si>
  <si>
    <t>LA-702166</t>
  </si>
  <si>
    <t>LA-702167</t>
  </si>
  <si>
    <t>LA-702168</t>
  </si>
  <si>
    <t>LA-702169</t>
  </si>
  <si>
    <t>LA-702170</t>
  </si>
  <si>
    <t>LA-702171</t>
  </si>
  <si>
    <t>LA-702172</t>
  </si>
  <si>
    <t>LA-702173</t>
  </si>
  <si>
    <t>LA-702174</t>
  </si>
  <si>
    <t>LA-702175</t>
  </si>
  <si>
    <t>LA-702176</t>
  </si>
  <si>
    <t>LA-702177</t>
  </si>
  <si>
    <t>LA-702178</t>
  </si>
  <si>
    <t>LA-702179</t>
  </si>
  <si>
    <t>LA-702180</t>
  </si>
  <si>
    <t>LA-702181</t>
  </si>
  <si>
    <t>LA-702182</t>
  </si>
  <si>
    <t>LA-702183</t>
  </si>
  <si>
    <t>LA-702184</t>
  </si>
  <si>
    <t>LA-702185</t>
  </si>
  <si>
    <t>LA-702186</t>
  </si>
  <si>
    <t>LA-702187</t>
  </si>
  <si>
    <t>LA-702188</t>
  </si>
  <si>
    <t>LA-702189</t>
  </si>
  <si>
    <t>LA-702190</t>
  </si>
  <si>
    <t>LA-702191</t>
  </si>
  <si>
    <t>LA-702192</t>
  </si>
  <si>
    <t>LA-702193</t>
  </si>
  <si>
    <t>LA-702194</t>
  </si>
  <si>
    <t>LA-702195</t>
  </si>
  <si>
    <t>LA-702196</t>
  </si>
  <si>
    <t>LA-702197</t>
  </si>
  <si>
    <t>LA-702198</t>
  </si>
  <si>
    <t>LA-702199</t>
  </si>
  <si>
    <t>Dec</t>
  </si>
  <si>
    <t>LA-702200</t>
  </si>
  <si>
    <t>LA-702201</t>
  </si>
  <si>
    <t>LA-702202</t>
  </si>
  <si>
    <t>LA-702203</t>
  </si>
  <si>
    <t>LA-702204</t>
  </si>
  <si>
    <t>LA-702205</t>
  </si>
  <si>
    <t>LA-702206</t>
  </si>
  <si>
    <t>LA-702207</t>
  </si>
  <si>
    <t>LA-702208</t>
  </si>
  <si>
    <t>LA-702209</t>
  </si>
  <si>
    <t>LA-702210</t>
  </si>
  <si>
    <t>LA-702211</t>
  </si>
  <si>
    <t>LA-702212</t>
  </si>
  <si>
    <t>LA-702213</t>
  </si>
  <si>
    <t>LA-702214</t>
  </si>
  <si>
    <t>LA-702215</t>
  </si>
  <si>
    <t>LA-702216</t>
  </si>
  <si>
    <t>LA-702217</t>
  </si>
  <si>
    <t>LA-702218</t>
  </si>
  <si>
    <t>LA-702219</t>
  </si>
  <si>
    <t>LA-702220</t>
  </si>
  <si>
    <t>LA-702221</t>
  </si>
  <si>
    <t>LA-702222</t>
  </si>
  <si>
    <t>LA-702223</t>
  </si>
  <si>
    <t>LA-702224</t>
  </si>
  <si>
    <t>LA-702225</t>
  </si>
  <si>
    <t>LA-702226</t>
  </si>
  <si>
    <t>LA-702227</t>
  </si>
  <si>
    <t>LA-702228</t>
  </si>
  <si>
    <t>LA-702229</t>
  </si>
  <si>
    <t>LA-702230</t>
  </si>
  <si>
    <t>LA-702231</t>
  </si>
  <si>
    <t>LA-702232</t>
  </si>
  <si>
    <t>LA-702233</t>
  </si>
  <si>
    <t>LA-702234</t>
  </si>
  <si>
    <t>LA-702235</t>
  </si>
  <si>
    <t>LA-702236</t>
  </si>
  <si>
    <t>LA-702237</t>
  </si>
  <si>
    <t>LA-702238</t>
  </si>
  <si>
    <t>LA-702239</t>
  </si>
  <si>
    <t>LA-702240</t>
  </si>
  <si>
    <t>LA-702241</t>
  </si>
  <si>
    <t>LA-702242</t>
  </si>
  <si>
    <t>LA-702243</t>
  </si>
  <si>
    <t>LA-702244</t>
  </si>
  <si>
    <t>LA-702245</t>
  </si>
  <si>
    <t>LA-702246</t>
  </si>
  <si>
    <t>LA-702247</t>
  </si>
  <si>
    <t>LA-702248</t>
  </si>
  <si>
    <t>LA-702249</t>
  </si>
  <si>
    <t>LA-702250</t>
  </si>
  <si>
    <t>LA-702251</t>
  </si>
  <si>
    <t>LA-702252</t>
  </si>
  <si>
    <t>LA-702253</t>
  </si>
  <si>
    <t>LA-702254</t>
  </si>
  <si>
    <t>LA-702255</t>
  </si>
  <si>
    <t>LA-702256</t>
  </si>
  <si>
    <t>LA-702257</t>
  </si>
  <si>
    <t>LA-702258</t>
  </si>
  <si>
    <t>LA-702259</t>
  </si>
  <si>
    <t>LA-702260</t>
  </si>
  <si>
    <t>LA-702261</t>
  </si>
  <si>
    <t>LA-702262</t>
  </si>
  <si>
    <t>LA-702263</t>
  </si>
  <si>
    <t>LA-702264</t>
  </si>
  <si>
    <t>LA-702265</t>
  </si>
  <si>
    <t>LA-702266</t>
  </si>
  <si>
    <t>LA-702267</t>
  </si>
  <si>
    <t>LA-702268</t>
  </si>
  <si>
    <t>LA-702269</t>
  </si>
  <si>
    <t>LA-702270</t>
  </si>
  <si>
    <t>LA-702271</t>
  </si>
  <si>
    <t>LA-702272</t>
  </si>
  <si>
    <t>LA-702273</t>
  </si>
  <si>
    <t>LA-702274</t>
  </si>
  <si>
    <t>LA-702275</t>
  </si>
  <si>
    <t>LA-702276</t>
  </si>
  <si>
    <t>LA-702277</t>
  </si>
  <si>
    <t>LA-702278</t>
  </si>
  <si>
    <t>LA-702279</t>
  </si>
  <si>
    <t>LA-702280</t>
  </si>
  <si>
    <t>LA-702281</t>
  </si>
  <si>
    <t>LA-702282</t>
  </si>
  <si>
    <t>LA-702283</t>
  </si>
  <si>
    <t>LA-702284</t>
  </si>
  <si>
    <t>LA-702285</t>
  </si>
  <si>
    <t>LA-702286</t>
  </si>
  <si>
    <t>LA-702287</t>
  </si>
  <si>
    <t>LA-702288</t>
  </si>
  <si>
    <t>LA-702289</t>
  </si>
  <si>
    <t>LA-702290</t>
  </si>
  <si>
    <t>LA-702291</t>
  </si>
  <si>
    <t>LA-702292</t>
  </si>
  <si>
    <t>LA-702293</t>
  </si>
  <si>
    <t>LA-702294</t>
  </si>
  <si>
    <t>LA-702295</t>
  </si>
  <si>
    <t>LA-702296</t>
  </si>
  <si>
    <t>LA-702297</t>
  </si>
  <si>
    <t>LA-702298</t>
  </si>
  <si>
    <t>LA-702299</t>
  </si>
  <si>
    <t>LA-702300</t>
  </si>
  <si>
    <t>LA-702301</t>
  </si>
  <si>
    <t>LA-702302</t>
  </si>
  <si>
    <t>LA-702303</t>
  </si>
  <si>
    <t>LA-702304</t>
  </si>
  <si>
    <t>LA-702305</t>
  </si>
  <si>
    <t>LA-702306</t>
  </si>
  <si>
    <t>LA-702307</t>
  </si>
  <si>
    <t>LA-702308</t>
  </si>
  <si>
    <t>LA-702309</t>
  </si>
  <si>
    <t>LA-702310</t>
  </si>
  <si>
    <t>LA-702311</t>
  </si>
  <si>
    <t>LA-702312</t>
  </si>
  <si>
    <t>LA-702313</t>
  </si>
  <si>
    <t>LA-702314</t>
  </si>
  <si>
    <t>LA-702315</t>
  </si>
  <si>
    <t>LA-702316</t>
  </si>
  <si>
    <t>LA-702317</t>
  </si>
  <si>
    <t>LA-702318</t>
  </si>
  <si>
    <t>LA-702319</t>
  </si>
  <si>
    <t>LA-702320</t>
  </si>
  <si>
    <t>LA-702321</t>
  </si>
  <si>
    <t>LA-702322</t>
  </si>
  <si>
    <t>LA-702323</t>
  </si>
  <si>
    <t>LA-702324</t>
  </si>
  <si>
    <t>LA-702325</t>
  </si>
  <si>
    <t>LA-702326</t>
  </si>
  <si>
    <t>LA-702327</t>
  </si>
  <si>
    <t>LA-702328</t>
  </si>
  <si>
    <t>LA-702329</t>
  </si>
  <si>
    <t>LA-702330</t>
  </si>
  <si>
    <t>LA-702331</t>
  </si>
  <si>
    <t>LA-702332</t>
  </si>
  <si>
    <t>LA-702333</t>
  </si>
  <si>
    <t>LA-702334</t>
  </si>
  <si>
    <t>LA-702335</t>
  </si>
  <si>
    <t>LA-702336</t>
  </si>
  <si>
    <t>LA-702337</t>
  </si>
  <si>
    <t>LA-702338</t>
  </si>
  <si>
    <t>LA-702339</t>
  </si>
  <si>
    <t>LA-702340</t>
  </si>
  <si>
    <t>LA-702341</t>
  </si>
  <si>
    <t>LA-702342</t>
  </si>
  <si>
    <t>LA-702343</t>
  </si>
  <si>
    <t>LA-702344</t>
  </si>
  <si>
    <t>LA-702345</t>
  </si>
  <si>
    <t>LA-702346</t>
  </si>
  <si>
    <t>LA-702347</t>
  </si>
  <si>
    <t>LA-702348</t>
  </si>
  <si>
    <t>LA-702349</t>
  </si>
  <si>
    <t>LA-702350</t>
  </si>
  <si>
    <t>LA-702351</t>
  </si>
  <si>
    <t>LA-702352</t>
  </si>
  <si>
    <t>LA-702353</t>
  </si>
  <si>
    <t>LA-702354</t>
  </si>
  <si>
    <t>LA-702355</t>
  </si>
  <si>
    <t>LA-702356</t>
  </si>
  <si>
    <t>LA-702357</t>
  </si>
  <si>
    <t>LA-702358</t>
  </si>
  <si>
    <t>LA-702359</t>
  </si>
  <si>
    <t>LA-702360</t>
  </si>
  <si>
    <t>LA-702361</t>
  </si>
  <si>
    <t>LA-702362</t>
  </si>
  <si>
    <t>LA-702363</t>
  </si>
  <si>
    <t>LA-702364</t>
  </si>
  <si>
    <t>LA-702365</t>
  </si>
  <si>
    <t>LA-702366</t>
  </si>
  <si>
    <t>LA-702367</t>
  </si>
  <si>
    <t>LA-702368</t>
  </si>
  <si>
    <t>LA-702369</t>
  </si>
  <si>
    <t>LA-702370</t>
  </si>
  <si>
    <t>LA-702371</t>
  </si>
  <si>
    <t>LA-702372</t>
  </si>
  <si>
    <t>LA-702373</t>
  </si>
  <si>
    <t>LA-702374</t>
  </si>
  <si>
    <t>LA-702375</t>
  </si>
  <si>
    <t>LA-702376</t>
  </si>
  <si>
    <t>LA-702377</t>
  </si>
  <si>
    <t>LA-702378</t>
  </si>
  <si>
    <t>LA-702379</t>
  </si>
  <si>
    <t>LA-702380</t>
  </si>
  <si>
    <t>LA-702381</t>
  </si>
  <si>
    <t>LA-702382</t>
  </si>
  <si>
    <t>LA-702383</t>
  </si>
  <si>
    <t>LA-702384</t>
  </si>
  <si>
    <t>LA-702385</t>
  </si>
  <si>
    <t>LA-702386</t>
  </si>
  <si>
    <t>LA-702387</t>
  </si>
  <si>
    <t>LA-702388</t>
  </si>
  <si>
    <t>LA-702389</t>
  </si>
  <si>
    <t>LA-702390</t>
  </si>
  <si>
    <t>LA-702391</t>
  </si>
  <si>
    <t>LA-702392</t>
  </si>
  <si>
    <t>LA-702393</t>
  </si>
  <si>
    <t>LA-702394</t>
  </si>
  <si>
    <t>LA-702395</t>
  </si>
  <si>
    <t>LA-702396</t>
  </si>
  <si>
    <t>LA-702397</t>
  </si>
  <si>
    <t>LA-702398</t>
  </si>
  <si>
    <t>LA-702399</t>
  </si>
  <si>
    <t>LA-702400</t>
  </si>
  <si>
    <t>LA-702401</t>
  </si>
  <si>
    <t>LA-702402</t>
  </si>
  <si>
    <t>LA-702403</t>
  </si>
  <si>
    <t>LA-702404</t>
  </si>
  <si>
    <t>LA-702405</t>
  </si>
  <si>
    <t>LA-702406</t>
  </si>
  <si>
    <t>LA-702407</t>
  </si>
  <si>
    <t>LA-702408</t>
  </si>
  <si>
    <t>LA-702409</t>
  </si>
  <si>
    <t>LA-702410</t>
  </si>
  <si>
    <t>LA-702411</t>
  </si>
  <si>
    <t>LA-702412</t>
  </si>
  <si>
    <t>LA-702413</t>
  </si>
  <si>
    <t>LA-702414</t>
  </si>
  <si>
    <t>LA-702415</t>
  </si>
  <si>
    <t>LA-702416</t>
  </si>
  <si>
    <t>LA-702417</t>
  </si>
  <si>
    <t>LA-702418</t>
  </si>
  <si>
    <t>LA-702419</t>
  </si>
  <si>
    <t>LA-702420</t>
  </si>
  <si>
    <t>LA-702421</t>
  </si>
  <si>
    <t>LA-702422</t>
  </si>
  <si>
    <t>LA-702423</t>
  </si>
  <si>
    <t>LA-702424</t>
  </si>
  <si>
    <t>LA-702425</t>
  </si>
  <si>
    <t>LA-702426</t>
  </si>
  <si>
    <t>LA-702427</t>
  </si>
  <si>
    <t>LA-702428</t>
  </si>
  <si>
    <t>LA-702429</t>
  </si>
  <si>
    <t>LA-702430</t>
  </si>
  <si>
    <t>LA-702431</t>
  </si>
  <si>
    <t>LA-702432</t>
  </si>
  <si>
    <t>LA-702433</t>
  </si>
  <si>
    <t>LA-702434</t>
  </si>
  <si>
    <t>LA-702435</t>
  </si>
  <si>
    <t>LA-702436</t>
  </si>
  <si>
    <t>LA-702437</t>
  </si>
  <si>
    <t>LA-702438</t>
  </si>
  <si>
    <t>LA-702439</t>
  </si>
  <si>
    <t>LA-702440</t>
  </si>
  <si>
    <t>LA-702441</t>
  </si>
  <si>
    <t>LA-702442</t>
  </si>
  <si>
    <t>LA-702443</t>
  </si>
  <si>
    <t>LA-702444</t>
  </si>
  <si>
    <t>LA-702445</t>
  </si>
  <si>
    <t>LA-702446</t>
  </si>
  <si>
    <t>LA-702447</t>
  </si>
  <si>
    <t>LA-702448</t>
  </si>
  <si>
    <t>LA-702449</t>
  </si>
  <si>
    <t>LA-702450</t>
  </si>
  <si>
    <t>LA-702451</t>
  </si>
  <si>
    <t>LA-702452</t>
  </si>
  <si>
    <t>LA-702453</t>
  </si>
  <si>
    <t>LA-702454</t>
  </si>
  <si>
    <t>LA-702455</t>
  </si>
  <si>
    <t>LA-702456</t>
  </si>
  <si>
    <t>LA-702457</t>
  </si>
  <si>
    <t>LA-702458</t>
  </si>
  <si>
    <t>LA-702459</t>
  </si>
  <si>
    <t>LA-702460</t>
  </si>
  <si>
    <t>LA-702461</t>
  </si>
  <si>
    <t>LA-702462</t>
  </si>
  <si>
    <t>LA-702463</t>
  </si>
  <si>
    <t>LA-702464</t>
  </si>
  <si>
    <t>LA-702465</t>
  </si>
  <si>
    <t>LA-702466</t>
  </si>
  <si>
    <t>LA-702467</t>
  </si>
  <si>
    <t>LA-702468</t>
  </si>
  <si>
    <t>LA-702469</t>
  </si>
  <si>
    <t>LA-702470</t>
  </si>
  <si>
    <t>LA-702471</t>
  </si>
  <si>
    <t>LA-702472</t>
  </si>
  <si>
    <t>LA-702473</t>
  </si>
  <si>
    <t>LA-702474</t>
  </si>
  <si>
    <t>LA-702475</t>
  </si>
  <si>
    <t>LA-702476</t>
  </si>
  <si>
    <t>LA-702477</t>
  </si>
  <si>
    <t>LA-702478</t>
  </si>
  <si>
    <t>LA-702479</t>
  </si>
  <si>
    <t>LA-702480</t>
  </si>
  <si>
    <t>LA-702481</t>
  </si>
  <si>
    <t>LA-702482</t>
  </si>
  <si>
    <t>LA-702483</t>
  </si>
  <si>
    <t>LA-702484</t>
  </si>
  <si>
    <t>LA-702485</t>
  </si>
  <si>
    <t>LA-702486</t>
  </si>
  <si>
    <t>LA-702487</t>
  </si>
  <si>
    <t>LA-702488</t>
  </si>
  <si>
    <t>LA-702489</t>
  </si>
  <si>
    <t>LA-702490</t>
  </si>
  <si>
    <t>LA-702491</t>
  </si>
  <si>
    <t>LA-702492</t>
  </si>
  <si>
    <t>LA-702493</t>
  </si>
  <si>
    <t>LA-702494</t>
  </si>
  <si>
    <t>LA-702495</t>
  </si>
  <si>
    <t>LA-702496</t>
  </si>
  <si>
    <t>LA-702497</t>
  </si>
  <si>
    <t>LA-702498</t>
  </si>
  <si>
    <t>LA-702499</t>
  </si>
  <si>
    <t>LA-702500</t>
  </si>
  <si>
    <t>LA-702501</t>
  </si>
  <si>
    <t>LA-702502</t>
  </si>
  <si>
    <t>LA-702503</t>
  </si>
  <si>
    <t>LA-702504</t>
  </si>
  <si>
    <t>LA-702505</t>
  </si>
  <si>
    <t>LA-702506</t>
  </si>
  <si>
    <t>LA-702507</t>
  </si>
  <si>
    <t>LA-702508</t>
  </si>
  <si>
    <t>LA-702509</t>
  </si>
  <si>
    <t>LA-702510</t>
  </si>
  <si>
    <t>LA-702511</t>
  </si>
  <si>
    <t>LA-702512</t>
  </si>
  <si>
    <t>LA-702513</t>
  </si>
  <si>
    <t>LA-702514</t>
  </si>
  <si>
    <t>LA-702515</t>
  </si>
  <si>
    <t>LA-702516</t>
  </si>
  <si>
    <t>LA-702517</t>
  </si>
  <si>
    <t>LA-702518</t>
  </si>
  <si>
    <t>LA-702519</t>
  </si>
  <si>
    <t>LA-702520</t>
  </si>
  <si>
    <t>LA-702521</t>
  </si>
  <si>
    <t>LA-702522</t>
  </si>
  <si>
    <t>LA-702523</t>
  </si>
  <si>
    <t>LA-702524</t>
  </si>
  <si>
    <t>LA-702525</t>
  </si>
  <si>
    <t>LA-702526</t>
  </si>
  <si>
    <t>LA-702527</t>
  </si>
  <si>
    <t>LA-702528</t>
  </si>
  <si>
    <t>LA-702529</t>
  </si>
  <si>
    <t>LA-702530</t>
  </si>
  <si>
    <t>LA-702531</t>
  </si>
  <si>
    <t>LA-702532</t>
  </si>
  <si>
    <t>LA-702533</t>
  </si>
  <si>
    <t>LA-702534</t>
  </si>
  <si>
    <t>LA-702535</t>
  </si>
  <si>
    <t>LA-702536</t>
  </si>
  <si>
    <t>LA-702537</t>
  </si>
  <si>
    <t>LA-702538</t>
  </si>
  <si>
    <t>LA-702539</t>
  </si>
  <si>
    <t>LA-702540</t>
  </si>
  <si>
    <t>LA-702541</t>
  </si>
  <si>
    <t>LA-702542</t>
  </si>
  <si>
    <t>LA-702543</t>
  </si>
  <si>
    <t>LA-702544</t>
  </si>
  <si>
    <t>LA-702545</t>
  </si>
  <si>
    <t>LA-702546</t>
  </si>
  <si>
    <t>LA-702547</t>
  </si>
  <si>
    <t>LA-702548</t>
  </si>
  <si>
    <t>LA-702549</t>
  </si>
  <si>
    <t>LA-702550</t>
  </si>
  <si>
    <t>LA-702551</t>
  </si>
  <si>
    <t>LA-702552</t>
  </si>
  <si>
    <t>LA-702553</t>
  </si>
  <si>
    <t>LA-702554</t>
  </si>
  <si>
    <t>LA-702555</t>
  </si>
  <si>
    <t>LA-702556</t>
  </si>
  <si>
    <t>LA-702557</t>
  </si>
  <si>
    <t>LA-702558</t>
  </si>
  <si>
    <t>LA-702559</t>
  </si>
  <si>
    <t>LA-702560</t>
  </si>
  <si>
    <t>LA-702561</t>
  </si>
  <si>
    <t>LA-702562</t>
  </si>
  <si>
    <t>LA-702563</t>
  </si>
  <si>
    <t>LA-702564</t>
  </si>
  <si>
    <t>LA-702565</t>
  </si>
  <si>
    <t>LA-702566</t>
  </si>
  <si>
    <t>LA-702567</t>
  </si>
  <si>
    <t>LA-702568</t>
  </si>
  <si>
    <t>LA-702569</t>
  </si>
  <si>
    <t>LA-702570</t>
  </si>
  <si>
    <t>LA-702571</t>
  </si>
  <si>
    <t>LA-702572</t>
  </si>
  <si>
    <t>LA-702573</t>
  </si>
  <si>
    <t>LA-702574</t>
  </si>
  <si>
    <t>LA-702575</t>
  </si>
  <si>
    <t>LA-702576</t>
  </si>
  <si>
    <t>LA-702577</t>
  </si>
  <si>
    <t>LA-702578</t>
  </si>
  <si>
    <t>LA-702579</t>
  </si>
  <si>
    <t>LA-702580</t>
  </si>
  <si>
    <t>LA-702581</t>
  </si>
  <si>
    <t>LA-702582</t>
  </si>
  <si>
    <t>LA-702583</t>
  </si>
  <si>
    <t>LA-702584</t>
  </si>
  <si>
    <t>LA-702585</t>
  </si>
  <si>
    <t>LA-702586</t>
  </si>
  <si>
    <t>LA-702587</t>
  </si>
  <si>
    <t>LA-702588</t>
  </si>
  <si>
    <t>LA-702589</t>
  </si>
  <si>
    <t>LA-702590</t>
  </si>
  <si>
    <t>LA-702591</t>
  </si>
  <si>
    <t>LA-702592</t>
  </si>
  <si>
    <t>LA-702593</t>
  </si>
  <si>
    <t>LA-702594</t>
  </si>
  <si>
    <t>LA-702595</t>
  </si>
  <si>
    <t>LA-702596</t>
  </si>
  <si>
    <t>LA-702597</t>
  </si>
  <si>
    <t>LA-702598</t>
  </si>
  <si>
    <t>LA-702599</t>
  </si>
  <si>
    <t>LA-702600</t>
  </si>
  <si>
    <t>LA-702601</t>
  </si>
  <si>
    <t>LA-702602</t>
  </si>
  <si>
    <t>LA-702603</t>
  </si>
  <si>
    <t>LA-702604</t>
  </si>
  <si>
    <t>LA-702605</t>
  </si>
  <si>
    <t>LA-702606</t>
  </si>
  <si>
    <t>LA-702607</t>
  </si>
  <si>
    <t>LA-702608</t>
  </si>
  <si>
    <t>LA-702609</t>
  </si>
  <si>
    <t>LA-702610</t>
  </si>
  <si>
    <t>LA-702611</t>
  </si>
  <si>
    <t>LA-702612</t>
  </si>
  <si>
    <t>LA-702613</t>
  </si>
  <si>
    <t>LA-702614</t>
  </si>
  <si>
    <t>LA-702615</t>
  </si>
  <si>
    <t>LA-702616</t>
  </si>
  <si>
    <t>LA-702617</t>
  </si>
  <si>
    <t>LA-702618</t>
  </si>
  <si>
    <t>LA-702619</t>
  </si>
  <si>
    <t>LA-702620</t>
  </si>
  <si>
    <t>LA-702621</t>
  </si>
  <si>
    <t>LA-702622</t>
  </si>
  <si>
    <t>LA-702623</t>
  </si>
  <si>
    <t>LA-702624</t>
  </si>
  <si>
    <t>LA-702625</t>
  </si>
  <si>
    <t>LA-702626</t>
  </si>
  <si>
    <t>LA-702627</t>
  </si>
  <si>
    <t>LA-702628</t>
  </si>
  <si>
    <t>LA-702629</t>
  </si>
  <si>
    <t>LA-702630</t>
  </si>
  <si>
    <t>LA-702631</t>
  </si>
  <si>
    <t>LA-702632</t>
  </si>
  <si>
    <t>LA-702633</t>
  </si>
  <si>
    <t>LA-702634</t>
  </si>
  <si>
    <t>LA-702635</t>
  </si>
  <si>
    <t>LA-702636</t>
  </si>
  <si>
    <t>LA-702637</t>
  </si>
  <si>
    <t>LA-702638</t>
  </si>
  <si>
    <t>LA-702639</t>
  </si>
  <si>
    <t>LA-702640</t>
  </si>
  <si>
    <t>LA-702641</t>
  </si>
  <si>
    <t>LA-702642</t>
  </si>
  <si>
    <t>LA-702643</t>
  </si>
  <si>
    <t>LA-702644</t>
  </si>
  <si>
    <t>LA-702645</t>
  </si>
  <si>
    <t>LA-702646</t>
  </si>
  <si>
    <t>LA-702647</t>
  </si>
  <si>
    <t>LA-702648</t>
  </si>
  <si>
    <t>LA-702649</t>
  </si>
  <si>
    <t>LA-702650</t>
  </si>
  <si>
    <t>LA-702651</t>
  </si>
  <si>
    <t>LA-702652</t>
  </si>
  <si>
    <t>LA-702653</t>
  </si>
  <si>
    <t>LA-702654</t>
  </si>
  <si>
    <t>LA-702655</t>
  </si>
  <si>
    <t>LA-702656</t>
  </si>
  <si>
    <t>LA-702657</t>
  </si>
  <si>
    <t>LA-702658</t>
  </si>
  <si>
    <t>LA-702659</t>
  </si>
  <si>
    <t>LA-702660</t>
  </si>
  <si>
    <t>LA-702661</t>
  </si>
  <si>
    <t>LA-702662</t>
  </si>
  <si>
    <t>LA-702663</t>
  </si>
  <si>
    <t>LA-702664</t>
  </si>
  <si>
    <t>LA-702665</t>
  </si>
  <si>
    <t>LA-702666</t>
  </si>
  <si>
    <t>LA-702667</t>
  </si>
  <si>
    <t>LA-702668</t>
  </si>
  <si>
    <t>LA-702669</t>
  </si>
  <si>
    <t>LA-702670</t>
  </si>
  <si>
    <t>LA-702671</t>
  </si>
  <si>
    <t>LA-702672</t>
  </si>
  <si>
    <t>LA-702673</t>
  </si>
  <si>
    <t>LA-702674</t>
  </si>
  <si>
    <t>LA-702675</t>
  </si>
  <si>
    <t>LA-702676</t>
  </si>
  <si>
    <t>LA-702677</t>
  </si>
  <si>
    <t>LA-702678</t>
  </si>
  <si>
    <t>LA-702679</t>
  </si>
  <si>
    <t>LA-702680</t>
  </si>
  <si>
    <t>LA-702681</t>
  </si>
  <si>
    <t>LA-702682</t>
  </si>
  <si>
    <t>LA-702683</t>
  </si>
  <si>
    <t>LA-702684</t>
  </si>
  <si>
    <t>LA-702685</t>
  </si>
  <si>
    <t>LA-702686</t>
  </si>
  <si>
    <t>LA-702687</t>
  </si>
  <si>
    <t>LA-702688</t>
  </si>
  <si>
    <t>LA-702689</t>
  </si>
  <si>
    <t>LA-702690</t>
  </si>
  <si>
    <t>LA-702691</t>
  </si>
  <si>
    <t>LA-702692</t>
  </si>
  <si>
    <t>LA-702693</t>
  </si>
  <si>
    <t>LA-702694</t>
  </si>
  <si>
    <t>LA-702695</t>
  </si>
  <si>
    <t>LA-702696</t>
  </si>
  <si>
    <t>LA-702697</t>
  </si>
  <si>
    <t>LA-702698</t>
  </si>
  <si>
    <t>LA-702699</t>
  </si>
  <si>
    <t>LA-702700</t>
  </si>
  <si>
    <t>LA-702701</t>
  </si>
  <si>
    <t>LA-702702</t>
  </si>
  <si>
    <t>LA-702703</t>
  </si>
  <si>
    <t>LA-702704</t>
  </si>
  <si>
    <t>LA-702705</t>
  </si>
  <si>
    <t>LA-702706</t>
  </si>
  <si>
    <t>LA-702707</t>
  </si>
  <si>
    <t>LA-702708</t>
  </si>
  <si>
    <t>LA-702709</t>
  </si>
  <si>
    <t>LA-702710</t>
  </si>
  <si>
    <t>LA-702711</t>
  </si>
  <si>
    <t>LA-702712</t>
  </si>
  <si>
    <t>LA-702713</t>
  </si>
  <si>
    <t>LA-702714</t>
  </si>
  <si>
    <t>LA-702715</t>
  </si>
  <si>
    <t>LA-702716</t>
  </si>
  <si>
    <t>LA-702717</t>
  </si>
  <si>
    <t>LA-702718</t>
  </si>
  <si>
    <t>LA-702719</t>
  </si>
  <si>
    <t>LA-702720</t>
  </si>
  <si>
    <t>LA-702721</t>
  </si>
  <si>
    <t>LA-702722</t>
  </si>
  <si>
    <t>LA-702723</t>
  </si>
  <si>
    <t>LA-702724</t>
  </si>
  <si>
    <t>LA-702725</t>
  </si>
  <si>
    <t>LA-702726</t>
  </si>
  <si>
    <t>LA-702727</t>
  </si>
  <si>
    <t>LA-702728</t>
  </si>
  <si>
    <t>LA-702729</t>
  </si>
  <si>
    <t>LA-702730</t>
  </si>
  <si>
    <t>LA-702731</t>
  </si>
  <si>
    <t>LA-702732</t>
  </si>
  <si>
    <t>LA-702733</t>
  </si>
  <si>
    <t>LA-702734</t>
  </si>
  <si>
    <t>LA-702735</t>
  </si>
  <si>
    <t>LA-702736</t>
  </si>
  <si>
    <t>LA-702737</t>
  </si>
  <si>
    <t>LA-702738</t>
  </si>
  <si>
    <t>LA-702739</t>
  </si>
  <si>
    <t>LA-702740</t>
  </si>
  <si>
    <t>LA-702741</t>
  </si>
  <si>
    <t>LA-702742</t>
  </si>
  <si>
    <t>LA-702743</t>
  </si>
  <si>
    <t>LA-702744</t>
  </si>
  <si>
    <t>LA-702745</t>
  </si>
  <si>
    <t>LA-702746</t>
  </si>
  <si>
    <t>LA-702747</t>
  </si>
  <si>
    <t>LA-702748</t>
  </si>
  <si>
    <t>LA-702749</t>
  </si>
  <si>
    <t>LA-702750</t>
  </si>
  <si>
    <t>LA-702751</t>
  </si>
  <si>
    <t>LA-702752</t>
  </si>
  <si>
    <t>LA-702753</t>
  </si>
  <si>
    <t>LA-702754</t>
  </si>
  <si>
    <t>LA-702755</t>
  </si>
  <si>
    <t>LA-702756</t>
  </si>
  <si>
    <t>LA-702757</t>
  </si>
  <si>
    <t>LA-702758</t>
  </si>
  <si>
    <t>LA-702759</t>
  </si>
  <si>
    <t>LA-702760</t>
  </si>
  <si>
    <t>LA-702761</t>
  </si>
  <si>
    <t>LA-702762</t>
  </si>
  <si>
    <t>LA-702763</t>
  </si>
  <si>
    <t>LA-702764</t>
  </si>
  <si>
    <t>LA-702765</t>
  </si>
  <si>
    <t>LA-702766</t>
  </si>
  <si>
    <t>LA-702767</t>
  </si>
  <si>
    <t>LA-702768</t>
  </si>
  <si>
    <t>LA-702769</t>
  </si>
  <si>
    <t>LA-702770</t>
  </si>
  <si>
    <t>LA-702771</t>
  </si>
  <si>
    <t>LA-702772</t>
  </si>
  <si>
    <t>LA-702773</t>
  </si>
  <si>
    <t>LA-702774</t>
  </si>
  <si>
    <t>LA-702775</t>
  </si>
  <si>
    <t>LA-702776</t>
  </si>
  <si>
    <t>LA-702777</t>
  </si>
  <si>
    <t>LA-702778</t>
  </si>
  <si>
    <t>LA-702779</t>
  </si>
  <si>
    <t>LA-702780</t>
  </si>
  <si>
    <t>LA-702781</t>
  </si>
  <si>
    <t>LA-702782</t>
  </si>
  <si>
    <t>LA-702783</t>
  </si>
  <si>
    <t>LA-702784</t>
  </si>
  <si>
    <t>LA-702785</t>
  </si>
  <si>
    <t>LA-702786</t>
  </si>
  <si>
    <t>LA-702787</t>
  </si>
  <si>
    <t>LA-702788</t>
  </si>
  <si>
    <t>LA-702789</t>
  </si>
  <si>
    <t>LA-702790</t>
  </si>
  <si>
    <t>LA-702791</t>
  </si>
  <si>
    <t>LA-702792</t>
  </si>
  <si>
    <t>LA-702793</t>
  </si>
  <si>
    <t>LA-702794</t>
  </si>
  <si>
    <t>LA-702795</t>
  </si>
  <si>
    <t>LA-702796</t>
  </si>
  <si>
    <t>LA-702797</t>
  </si>
  <si>
    <t>LA-702798</t>
  </si>
  <si>
    <t>LA-702799</t>
  </si>
  <si>
    <t>LA-702800</t>
  </si>
  <si>
    <t>LA-702801</t>
  </si>
  <si>
    <t>LA-702802</t>
  </si>
  <si>
    <t>LA-702803</t>
  </si>
  <si>
    <t>LA-702804</t>
  </si>
  <si>
    <t>LA-702805</t>
  </si>
  <si>
    <t>LA-702806</t>
  </si>
  <si>
    <t>LA-702807</t>
  </si>
  <si>
    <t>LA-702808</t>
  </si>
  <si>
    <t>LA-702809</t>
  </si>
  <si>
    <t>LA-702810</t>
  </si>
  <si>
    <t>LA-702811</t>
  </si>
  <si>
    <t>LA-702812</t>
  </si>
  <si>
    <t>LA-702813</t>
  </si>
  <si>
    <t>LA-702814</t>
  </si>
  <si>
    <t>LA-702815</t>
  </si>
  <si>
    <t>LA-702816</t>
  </si>
  <si>
    <t>LA-702817</t>
  </si>
  <si>
    <t>LA-702818</t>
  </si>
  <si>
    <t>LA-702819</t>
  </si>
  <si>
    <t>LA-702820</t>
  </si>
  <si>
    <t>LA-702821</t>
  </si>
  <si>
    <t>LA-702822</t>
  </si>
  <si>
    <t>LA-702823</t>
  </si>
  <si>
    <t>LA-702824</t>
  </si>
  <si>
    <t>LA-702825</t>
  </si>
  <si>
    <t>LA-702826</t>
  </si>
  <si>
    <t>LA-702827</t>
  </si>
  <si>
    <t>LA-702828</t>
  </si>
  <si>
    <t>LA-702829</t>
  </si>
  <si>
    <t>LA-702830</t>
  </si>
  <si>
    <t>LA-702831</t>
  </si>
  <si>
    <t>LA-702832</t>
  </si>
  <si>
    <t>LA-702833</t>
  </si>
  <si>
    <t>LA-702834</t>
  </si>
  <si>
    <t>LA-702835</t>
  </si>
  <si>
    <t>LA-702836</t>
  </si>
  <si>
    <t>LA-702837</t>
  </si>
  <si>
    <t>LA-702838</t>
  </si>
  <si>
    <t>LA-702839</t>
  </si>
  <si>
    <t>LA-702840</t>
  </si>
  <si>
    <t>LA-702841</t>
  </si>
  <si>
    <t>LA-702842</t>
  </si>
  <si>
    <t>LA-702843</t>
  </si>
  <si>
    <t>LA-702844</t>
  </si>
  <si>
    <t>LA-702845</t>
  </si>
  <si>
    <t>LA-702846</t>
  </si>
  <si>
    <t>LA-702847</t>
  </si>
  <si>
    <t>LA-702848</t>
  </si>
  <si>
    <t>LA-702849</t>
  </si>
  <si>
    <t>LA-702850</t>
  </si>
  <si>
    <t>LA-702851</t>
  </si>
  <si>
    <t>LA-702852</t>
  </si>
  <si>
    <t>LA-702853</t>
  </si>
  <si>
    <t>LA-702854</t>
  </si>
  <si>
    <t>LA-702855</t>
  </si>
  <si>
    <t>LA-702856</t>
  </si>
  <si>
    <t>LA-702857</t>
  </si>
  <si>
    <t>LA-702858</t>
  </si>
  <si>
    <t>LA-702859</t>
  </si>
  <si>
    <t>LA-702860</t>
  </si>
  <si>
    <t>LA-702861</t>
  </si>
  <si>
    <t>LA-702862</t>
  </si>
  <si>
    <t>LA-702863</t>
  </si>
  <si>
    <t>LA-702864</t>
  </si>
  <si>
    <t>LA-702865</t>
  </si>
  <si>
    <t>LA-702866</t>
  </si>
  <si>
    <t>LA-702867</t>
  </si>
  <si>
    <t>LA-702868</t>
  </si>
  <si>
    <t>LA-702869</t>
  </si>
  <si>
    <t>LA-702870</t>
  </si>
  <si>
    <t>LA-702871</t>
  </si>
  <si>
    <t>LA-702872</t>
  </si>
  <si>
    <t>LA-702873</t>
  </si>
  <si>
    <t>LA-702874</t>
  </si>
  <si>
    <t>LA-702875</t>
  </si>
  <si>
    <t>LA-702876</t>
  </si>
  <si>
    <t>LA-702877</t>
  </si>
  <si>
    <t>LA-702878</t>
  </si>
  <si>
    <t>LA-702879</t>
  </si>
  <si>
    <t>LA-702880</t>
  </si>
  <si>
    <t>LA-702881</t>
  </si>
  <si>
    <t>LA-702882</t>
  </si>
  <si>
    <t>LA-702883</t>
  </si>
  <si>
    <t>LA-702884</t>
  </si>
  <si>
    <t>LA-702885</t>
  </si>
  <si>
    <t>LA-702886</t>
  </si>
  <si>
    <t>LA-702887</t>
  </si>
  <si>
    <t>LA-702888</t>
  </si>
  <si>
    <t>LA-702889</t>
  </si>
  <si>
    <t>LA-702890</t>
  </si>
  <si>
    <t>LA-702891</t>
  </si>
  <si>
    <t>LA-702892</t>
  </si>
  <si>
    <t>LA-702893</t>
  </si>
  <si>
    <t>LA-702894</t>
  </si>
  <si>
    <t>LA-702895</t>
  </si>
  <si>
    <t>LA-702896</t>
  </si>
  <si>
    <t>LA-702897</t>
  </si>
  <si>
    <t>LA-702898</t>
  </si>
  <si>
    <t>LA-702899</t>
  </si>
  <si>
    <t>LA-702900</t>
  </si>
  <si>
    <t>LA-702901</t>
  </si>
  <si>
    <t>LA-702902</t>
  </si>
  <si>
    <t>LA-702903</t>
  </si>
  <si>
    <t>LA-702904</t>
  </si>
  <si>
    <t>LA-702905</t>
  </si>
  <si>
    <t>LA-702906</t>
  </si>
  <si>
    <t>LA-702907</t>
  </si>
  <si>
    <t>LA-702908</t>
  </si>
  <si>
    <t>LA-702909</t>
  </si>
  <si>
    <t>LA-702910</t>
  </si>
  <si>
    <t>LA-702911</t>
  </si>
  <si>
    <t>LA-702912</t>
  </si>
  <si>
    <t>LA-702913</t>
  </si>
  <si>
    <t>LA-702914</t>
  </si>
  <si>
    <t>LA-702915</t>
  </si>
  <si>
    <t>LA-702916</t>
  </si>
  <si>
    <t>LA-702917</t>
  </si>
  <si>
    <t>LA-702918</t>
  </si>
  <si>
    <t>LA-702919</t>
  </si>
  <si>
    <t>LA-702920</t>
  </si>
  <si>
    <t>LA-702921</t>
  </si>
  <si>
    <t>LA-702922</t>
  </si>
  <si>
    <t>LA-702923</t>
  </si>
  <si>
    <t>LA-702924</t>
  </si>
  <si>
    <t>LA-702925</t>
  </si>
  <si>
    <t>LA-702926</t>
  </si>
  <si>
    <t>LA-702927</t>
  </si>
  <si>
    <t>LA-702928</t>
  </si>
  <si>
    <t>LA-702929</t>
  </si>
  <si>
    <t>LA-702930</t>
  </si>
  <si>
    <t>LA-702931</t>
  </si>
  <si>
    <t>LA-702932</t>
  </si>
  <si>
    <t>LA-702933</t>
  </si>
  <si>
    <t>LA-702934</t>
  </si>
  <si>
    <t>LA-702935</t>
  </si>
  <si>
    <t>LA-702936</t>
  </si>
  <si>
    <t>LA-702937</t>
  </si>
  <si>
    <t>LA-702938</t>
  </si>
  <si>
    <t>LA-702939</t>
  </si>
  <si>
    <t>LA-702940</t>
  </si>
  <si>
    <t>LA-702941</t>
  </si>
  <si>
    <t>LA-702942</t>
  </si>
  <si>
    <t>LA-702943</t>
  </si>
  <si>
    <t>LA-702944</t>
  </si>
  <si>
    <t>LA-702945</t>
  </si>
  <si>
    <t>LA-702946</t>
  </si>
  <si>
    <t>LA-702947</t>
  </si>
  <si>
    <t>LA-702948</t>
  </si>
  <si>
    <t>LA-702949</t>
  </si>
  <si>
    <t>LA-702950</t>
  </si>
  <si>
    <t>LA-702951</t>
  </si>
  <si>
    <t>LA-702952</t>
  </si>
  <si>
    <t>LA-702953</t>
  </si>
  <si>
    <t>LA-702954</t>
  </si>
  <si>
    <t>LA-702955</t>
  </si>
  <si>
    <t>LA-702956</t>
  </si>
  <si>
    <t>LA-702957</t>
  </si>
  <si>
    <t>LA-702958</t>
  </si>
  <si>
    <t>LA-702959</t>
  </si>
  <si>
    <t>LA-702960</t>
  </si>
  <si>
    <t>LA-702961</t>
  </si>
  <si>
    <t>LA-702962</t>
  </si>
  <si>
    <t>LA-702963</t>
  </si>
  <si>
    <t>LA-702964</t>
  </si>
  <si>
    <t>LA-702965</t>
  </si>
  <si>
    <t>LA-702966</t>
  </si>
  <si>
    <t>LA-702967</t>
  </si>
  <si>
    <t>LA-702968</t>
  </si>
  <si>
    <t>LA-702969</t>
  </si>
  <si>
    <t>LA-702970</t>
  </si>
  <si>
    <t>LA-702971</t>
  </si>
  <si>
    <t>LA-702972</t>
  </si>
  <si>
    <t>LA-702973</t>
  </si>
  <si>
    <t>LA-702974</t>
  </si>
  <si>
    <t>LA-702975</t>
  </si>
  <si>
    <t>LA-702976</t>
  </si>
  <si>
    <t>LA-702977</t>
  </si>
  <si>
    <t>LA-702978</t>
  </si>
  <si>
    <t>LA-702979</t>
  </si>
  <si>
    <t>LA-702980</t>
  </si>
  <si>
    <t>LA-702981</t>
  </si>
  <si>
    <t>LA-702982</t>
  </si>
  <si>
    <t>LA-702983</t>
  </si>
  <si>
    <t>LA-702984</t>
  </si>
  <si>
    <t>LA-702985</t>
  </si>
  <si>
    <t>LA-702986</t>
  </si>
  <si>
    <t>LA-702987</t>
  </si>
  <si>
    <t>LA-702988</t>
  </si>
  <si>
    <t>LA-702989</t>
  </si>
  <si>
    <t>LA-702990</t>
  </si>
  <si>
    <t>LA-702991</t>
  </si>
  <si>
    <t>LA-702992</t>
  </si>
  <si>
    <t>LA-702993</t>
  </si>
  <si>
    <t>LA-702994</t>
  </si>
  <si>
    <t>LA-702995</t>
  </si>
  <si>
    <t>LA-702996</t>
  </si>
  <si>
    <t>LA-702997</t>
  </si>
  <si>
    <t>LA-702998</t>
  </si>
  <si>
    <t>LA-702999</t>
  </si>
  <si>
    <t>LA-703000</t>
  </si>
  <si>
    <t>LA-703001</t>
  </si>
  <si>
    <t>LA-703002</t>
  </si>
  <si>
    <t>LA-703003</t>
  </si>
  <si>
    <t>LA-703004</t>
  </si>
  <si>
    <t>LA-703005</t>
  </si>
  <si>
    <t>LA-703006</t>
  </si>
  <si>
    <t>LA-703007</t>
  </si>
  <si>
    <t>LA-703008</t>
  </si>
  <si>
    <t>LA-703009</t>
  </si>
  <si>
    <t>LA-703010</t>
  </si>
  <si>
    <t>LA-703011</t>
  </si>
  <si>
    <t>LA-703012</t>
  </si>
  <si>
    <t>LA-703013</t>
  </si>
  <si>
    <t>LA-703014</t>
  </si>
  <si>
    <t>LA-703015</t>
  </si>
  <si>
    <t>LA-703016</t>
  </si>
  <si>
    <t>LA-703017</t>
  </si>
  <si>
    <t>LA-703018</t>
  </si>
  <si>
    <t>LA-703019</t>
  </si>
  <si>
    <t>LA-703020</t>
  </si>
  <si>
    <t>LA-703021</t>
  </si>
  <si>
    <t>LA-703022</t>
  </si>
  <si>
    <t>LA-703023</t>
  </si>
  <si>
    <t>LA-703024</t>
  </si>
  <si>
    <t>LA-703025</t>
  </si>
  <si>
    <t>LA-703026</t>
  </si>
  <si>
    <t>LA-703027</t>
  </si>
  <si>
    <t>LA-703028</t>
  </si>
  <si>
    <t>LA-703029</t>
  </si>
  <si>
    <t>LA-703030</t>
  </si>
  <si>
    <t>LA-703031</t>
  </si>
  <si>
    <t>LA-703032</t>
  </si>
  <si>
    <t>LA-703033</t>
  </si>
  <si>
    <t>LA-703034</t>
  </si>
  <si>
    <t>LA-703035</t>
  </si>
  <si>
    <t>LA-703036</t>
  </si>
  <si>
    <t>LA-703037</t>
  </si>
  <si>
    <t>LA-703038</t>
  </si>
  <si>
    <t>LA-703039</t>
  </si>
  <si>
    <t>LA-703040</t>
  </si>
  <si>
    <t>LA-703041</t>
  </si>
  <si>
    <t>LA-703042</t>
  </si>
  <si>
    <t>LA-703043</t>
  </si>
  <si>
    <t>LA-703044</t>
  </si>
  <si>
    <t>LA-703045</t>
  </si>
  <si>
    <t>LA-703046</t>
  </si>
  <si>
    <t>LA-703047</t>
  </si>
  <si>
    <t>LA-703048</t>
  </si>
  <si>
    <t>LA-703049</t>
  </si>
  <si>
    <t>LA-703050</t>
  </si>
  <si>
    <t>LA-703051</t>
  </si>
  <si>
    <t>LA-703052</t>
  </si>
  <si>
    <t>LA-703053</t>
  </si>
  <si>
    <t>LA-703054</t>
  </si>
  <si>
    <t>LA-703055</t>
  </si>
  <si>
    <t>LA-703056</t>
  </si>
  <si>
    <t>LA-703057</t>
  </si>
  <si>
    <t>LA-703058</t>
  </si>
  <si>
    <t>LA-703059</t>
  </si>
  <si>
    <t>LA-703060</t>
  </si>
  <si>
    <t>LA-703061</t>
  </si>
  <si>
    <t>LA-703062</t>
  </si>
  <si>
    <t>LA-703063</t>
  </si>
  <si>
    <t>LA-703064</t>
  </si>
  <si>
    <t>LA-703065</t>
  </si>
  <si>
    <t>LA-703066</t>
  </si>
  <si>
    <t>LA-703067</t>
  </si>
  <si>
    <t>LA-703068</t>
  </si>
  <si>
    <t>LA-703069</t>
  </si>
  <si>
    <t>LA-703070</t>
  </si>
  <si>
    <t>LA-703071</t>
  </si>
  <si>
    <t>LA-703072</t>
  </si>
  <si>
    <t>LA-703073</t>
  </si>
  <si>
    <t>LA-703074</t>
  </si>
  <si>
    <t>LA-703075</t>
  </si>
  <si>
    <t>LA-703076</t>
  </si>
  <si>
    <t>LA-703077</t>
  </si>
  <si>
    <t>LA-703078</t>
  </si>
  <si>
    <t>LA-703079</t>
  </si>
  <si>
    <t>LA-703080</t>
  </si>
  <si>
    <t>LA-703081</t>
  </si>
  <si>
    <t>LA-703082</t>
  </si>
  <si>
    <t>LA-703083</t>
  </si>
  <si>
    <t>LA-703084</t>
  </si>
  <si>
    <t>LA-703085</t>
  </si>
  <si>
    <t>LA-703086</t>
  </si>
  <si>
    <t>LA-703087</t>
  </si>
  <si>
    <t>LA-703088</t>
  </si>
  <si>
    <t>LA-703089</t>
  </si>
  <si>
    <t>LA-703090</t>
  </si>
  <si>
    <t>LA-703091</t>
  </si>
  <si>
    <t>LA-703092</t>
  </si>
  <si>
    <t>LA-703093</t>
  </si>
  <si>
    <t>LA-703094</t>
  </si>
  <si>
    <t>LA-703095</t>
  </si>
  <si>
    <t>LA-703096</t>
  </si>
  <si>
    <t>LA-703097</t>
  </si>
  <si>
    <t>LA-703098</t>
  </si>
  <si>
    <t>LA-703099</t>
  </si>
  <si>
    <t>LA-703100</t>
  </si>
  <si>
    <t>LA-703101</t>
  </si>
  <si>
    <t>LA-703102</t>
  </si>
  <si>
    <t>LA-703103</t>
  </si>
  <si>
    <t>LA-703104</t>
  </si>
  <si>
    <t>LA-703105</t>
  </si>
  <si>
    <t>LA-703106</t>
  </si>
  <si>
    <t>LA-703107</t>
  </si>
  <si>
    <t>LA-703108</t>
  </si>
  <si>
    <t>LA-703109</t>
  </si>
  <si>
    <t>LA-703110</t>
  </si>
  <si>
    <t>LA-703111</t>
  </si>
  <si>
    <t>LA-703112</t>
  </si>
  <si>
    <t>LA-703113</t>
  </si>
  <si>
    <t>LA-703114</t>
  </si>
  <si>
    <t>LA-703115</t>
  </si>
  <si>
    <t>LA-703116</t>
  </si>
  <si>
    <t>LA-703117</t>
  </si>
  <si>
    <t>LA-703118</t>
  </si>
  <si>
    <t>LA-703119</t>
  </si>
  <si>
    <t>LA-703120</t>
  </si>
  <si>
    <t>LA-703121</t>
  </si>
  <si>
    <t>LA-703122</t>
  </si>
  <si>
    <t>LA-703123</t>
  </si>
  <si>
    <t>LA-703124</t>
  </si>
  <si>
    <t>LA-703125</t>
  </si>
  <si>
    <t>LA-703126</t>
  </si>
  <si>
    <t>LA-703127</t>
  </si>
  <si>
    <t>LA-703128</t>
  </si>
  <si>
    <t>LA-703129</t>
  </si>
  <si>
    <t>LA-703130</t>
  </si>
  <si>
    <t>LA-703131</t>
  </si>
  <si>
    <t>LA-703132</t>
  </si>
  <si>
    <t>LA-703133</t>
  </si>
  <si>
    <t>LA-703134</t>
  </si>
  <si>
    <t>LA-703135</t>
  </si>
  <si>
    <t>LA-703136</t>
  </si>
  <si>
    <t>LA-703137</t>
  </si>
  <si>
    <t>LA-703138</t>
  </si>
  <si>
    <t>LA-703139</t>
  </si>
  <si>
    <t>LA-703140</t>
  </si>
  <si>
    <t>LA-703141</t>
  </si>
  <si>
    <t>LA-703142</t>
  </si>
  <si>
    <t>LA-703143</t>
  </si>
  <si>
    <t>LA-703144</t>
  </si>
  <si>
    <t>LA-703145</t>
  </si>
  <si>
    <t>LA-703146</t>
  </si>
  <si>
    <t>LA-703147</t>
  </si>
  <si>
    <t>LA-703148</t>
  </si>
  <si>
    <t>LA-703149</t>
  </si>
  <si>
    <t>LA-703150</t>
  </si>
  <si>
    <t>LA-703151</t>
  </si>
  <si>
    <t>LA-703152</t>
  </si>
  <si>
    <t>LA-703153</t>
  </si>
  <si>
    <t>LA-703154</t>
  </si>
  <si>
    <t>LA-703155</t>
  </si>
  <si>
    <t>LA-703156</t>
  </si>
  <si>
    <t>LA-703157</t>
  </si>
  <si>
    <t>LA-703158</t>
  </si>
  <si>
    <t>LA-703159</t>
  </si>
  <si>
    <t>LA-703160</t>
  </si>
  <si>
    <t>LA-703161</t>
  </si>
  <si>
    <t>LA-703162</t>
  </si>
  <si>
    <t>LA-703163</t>
  </si>
  <si>
    <t>LA-703164</t>
  </si>
  <si>
    <t>LA-703165</t>
  </si>
  <si>
    <t>LA-703166</t>
  </si>
  <si>
    <t>LA-703167</t>
  </si>
  <si>
    <t>LA-703168</t>
  </si>
  <si>
    <t>LA-703169</t>
  </si>
  <si>
    <t>LA-703170</t>
  </si>
  <si>
    <t>LA-703171</t>
  </si>
  <si>
    <t>LA-703172</t>
  </si>
  <si>
    <t>LA-703173</t>
  </si>
  <si>
    <t>LA-703174</t>
  </si>
  <si>
    <t>LA-703175</t>
  </si>
  <si>
    <t>LA-703176</t>
  </si>
  <si>
    <t>LA-703177</t>
  </si>
  <si>
    <t>LA-703178</t>
  </si>
  <si>
    <t>LA-703179</t>
  </si>
  <si>
    <t>LA-703180</t>
  </si>
  <si>
    <t>LA-703181</t>
  </si>
  <si>
    <t>LA-703182</t>
  </si>
  <si>
    <t>LA-703183</t>
  </si>
  <si>
    <t>LA-703184</t>
  </si>
  <si>
    <t>LA-703185</t>
  </si>
  <si>
    <t>LA-703186</t>
  </si>
  <si>
    <t>LA-703187</t>
  </si>
  <si>
    <t>LA-703188</t>
  </si>
  <si>
    <t>LA-703189</t>
  </si>
  <si>
    <t>LA-703190</t>
  </si>
  <si>
    <t>LA-703191</t>
  </si>
  <si>
    <t>LA-703192</t>
  </si>
  <si>
    <t>LA-703193</t>
  </si>
  <si>
    <t>LA-703194</t>
  </si>
  <si>
    <t>LA-703195</t>
  </si>
  <si>
    <t>LA-703196</t>
  </si>
  <si>
    <t>LA-703197</t>
  </si>
  <si>
    <t>LA-703198</t>
  </si>
  <si>
    <t>LA-703199</t>
  </si>
  <si>
    <t>LA-703200</t>
  </si>
  <si>
    <t>LA-703201</t>
  </si>
  <si>
    <t>LA-703202</t>
  </si>
  <si>
    <t>LA-703203</t>
  </si>
  <si>
    <t>LA-703204</t>
  </si>
  <si>
    <t>LA-703205</t>
  </si>
  <si>
    <t>LA-703206</t>
  </si>
  <si>
    <t>LA-703207</t>
  </si>
  <si>
    <t>LA-703208</t>
  </si>
  <si>
    <t>LA-703209</t>
  </si>
  <si>
    <t>LA-703210</t>
  </si>
  <si>
    <t>LA-703211</t>
  </si>
  <si>
    <t>LA-703212</t>
  </si>
  <si>
    <t>LA-703213</t>
  </si>
  <si>
    <t>LA-703214</t>
  </si>
  <si>
    <t>LA-703215</t>
  </si>
  <si>
    <t>LA-703216</t>
  </si>
  <si>
    <t>LA-703217</t>
  </si>
  <si>
    <t>LA-703218</t>
  </si>
  <si>
    <t>LA-703219</t>
  </si>
  <si>
    <t>LA-703220</t>
  </si>
  <si>
    <t>LA-703221</t>
  </si>
  <si>
    <t>LA-703222</t>
  </si>
  <si>
    <t>LA-703223</t>
  </si>
  <si>
    <t>LA-703224</t>
  </si>
  <si>
    <t>LA-703225</t>
  </si>
  <si>
    <t>LA-703226</t>
  </si>
  <si>
    <t>LA-703227</t>
  </si>
  <si>
    <t>LA-703228</t>
  </si>
  <si>
    <t>LA-703229</t>
  </si>
  <si>
    <t>LA-703230</t>
  </si>
  <si>
    <t>LA-703231</t>
  </si>
  <si>
    <t>LA-703232</t>
  </si>
  <si>
    <t>LA-703233</t>
  </si>
  <si>
    <t>LA-703234</t>
  </si>
  <si>
    <t>LA-703235</t>
  </si>
  <si>
    <t>LA-703236</t>
  </si>
  <si>
    <t>LA-703237</t>
  </si>
  <si>
    <t>LA-703238</t>
  </si>
  <si>
    <t>LA-703239</t>
  </si>
  <si>
    <t>LA-703240</t>
  </si>
  <si>
    <t>LA-703241</t>
  </si>
  <si>
    <t>LA-703242</t>
  </si>
  <si>
    <t>LA-703243</t>
  </si>
  <si>
    <t>LA-703244</t>
  </si>
  <si>
    <t>LA-703245</t>
  </si>
  <si>
    <t>LA-703246</t>
  </si>
  <si>
    <t>LA-703247</t>
  </si>
  <si>
    <t>LA-703248</t>
  </si>
  <si>
    <t>LA-703249</t>
  </si>
  <si>
    <t>LA-703250</t>
  </si>
  <si>
    <t>LA-703251</t>
  </si>
  <si>
    <t>LA-703252</t>
  </si>
  <si>
    <t>LA-703253</t>
  </si>
  <si>
    <t>LA-703254</t>
  </si>
  <si>
    <t>LA-703255</t>
  </si>
  <si>
    <t>LA-703256</t>
  </si>
  <si>
    <t>LA-703257</t>
  </si>
  <si>
    <t>LA-703258</t>
  </si>
  <si>
    <t>LA-703259</t>
  </si>
  <si>
    <t>LA-703260</t>
  </si>
  <si>
    <t>LA-703261</t>
  </si>
  <si>
    <t>LA-703262</t>
  </si>
  <si>
    <t>LA-703263</t>
  </si>
  <si>
    <t>LA-703264</t>
  </si>
  <si>
    <t>LA-703265</t>
  </si>
  <si>
    <t>LA-703266</t>
  </si>
  <si>
    <t>LA-703267</t>
  </si>
  <si>
    <t>LA-703268</t>
  </si>
  <si>
    <t>LA-703269</t>
  </si>
  <si>
    <t>LA-703270</t>
  </si>
  <si>
    <t>LA-703271</t>
  </si>
  <si>
    <t>LA-703272</t>
  </si>
  <si>
    <t>LA-703273</t>
  </si>
  <si>
    <t>LA-703274</t>
  </si>
  <si>
    <t>LA-703275</t>
  </si>
  <si>
    <t>LA-703276</t>
  </si>
  <si>
    <t>LA-703277</t>
  </si>
  <si>
    <t>LA-703278</t>
  </si>
  <si>
    <t>LA-703279</t>
  </si>
  <si>
    <t>LA-703280</t>
  </si>
  <si>
    <t>LA-703281</t>
  </si>
  <si>
    <t>LA-703282</t>
  </si>
  <si>
    <t>LA-703283</t>
  </si>
  <si>
    <t>LA-703284</t>
  </si>
  <si>
    <t>LA-703285</t>
  </si>
  <si>
    <t>LA-703286</t>
  </si>
  <si>
    <t>LA-703287</t>
  </si>
  <si>
    <t>LA-703288</t>
  </si>
  <si>
    <t>LA-703289</t>
  </si>
  <si>
    <t>LA-703290</t>
  </si>
  <si>
    <t>LA-703291</t>
  </si>
  <si>
    <t>LA-703292</t>
  </si>
  <si>
    <t>LA-703293</t>
  </si>
  <si>
    <t>LA-703294</t>
  </si>
  <si>
    <t>LA-703295</t>
  </si>
  <si>
    <t>LA-703296</t>
  </si>
  <si>
    <t>LA-703297</t>
  </si>
  <si>
    <t>LA-703298</t>
  </si>
  <si>
    <t>LA-703299</t>
  </si>
  <si>
    <t>LA-703300</t>
  </si>
  <si>
    <t>LA-703301</t>
  </si>
  <si>
    <t>LA-703302</t>
  </si>
  <si>
    <t>LA-703303</t>
  </si>
  <si>
    <t>LA-703304</t>
  </si>
  <si>
    <t>LA-703305</t>
  </si>
  <si>
    <t>LA-703306</t>
  </si>
  <si>
    <t>LA-703307</t>
  </si>
  <si>
    <t>LA-703308</t>
  </si>
  <si>
    <t>LA-703309</t>
  </si>
  <si>
    <t>LA-703310</t>
  </si>
  <si>
    <t>LA-703311</t>
  </si>
  <si>
    <t>LA-703312</t>
  </si>
  <si>
    <t>LA-703313</t>
  </si>
  <si>
    <t>LA-703314</t>
  </si>
  <si>
    <t>LA-703315</t>
  </si>
  <si>
    <t>LA-703316</t>
  </si>
  <si>
    <t>LA-703317</t>
  </si>
  <si>
    <t>LA-703318</t>
  </si>
  <si>
    <t>LA-703319</t>
  </si>
  <si>
    <t>LA-703320</t>
  </si>
  <si>
    <t>LA-703321</t>
  </si>
  <si>
    <t>LA-703322</t>
  </si>
  <si>
    <t>LA-703323</t>
  </si>
  <si>
    <t>LA-703324</t>
  </si>
  <si>
    <t>LA-703325</t>
  </si>
  <si>
    <t>LA-703326</t>
  </si>
  <si>
    <t>LA-703327</t>
  </si>
  <si>
    <t>LA-703328</t>
  </si>
  <si>
    <t>LA-703329</t>
  </si>
  <si>
    <t>LA-703330</t>
  </si>
  <si>
    <t>LA-703331</t>
  </si>
  <si>
    <t>LA-703332</t>
  </si>
  <si>
    <t>LA-703333</t>
  </si>
  <si>
    <t>LA-703334</t>
  </si>
  <si>
    <t>LA-703335</t>
  </si>
  <si>
    <t>LA-703336</t>
  </si>
  <si>
    <t>LA-703337</t>
  </si>
  <si>
    <t>LA-703338</t>
  </si>
  <si>
    <t>LA-703339</t>
  </si>
  <si>
    <t>LA-703340</t>
  </si>
  <si>
    <t>LA-703341</t>
  </si>
  <si>
    <t>LA-703342</t>
  </si>
  <si>
    <t>LA-703343</t>
  </si>
  <si>
    <t>LA-703344</t>
  </si>
  <si>
    <t>LA-703345</t>
  </si>
  <si>
    <t>LA-703346</t>
  </si>
  <si>
    <t>LA-703347</t>
  </si>
  <si>
    <t>LA-703348</t>
  </si>
  <si>
    <t>LA-703349</t>
  </si>
  <si>
    <t>LA-703350</t>
  </si>
  <si>
    <t>LA-703351</t>
  </si>
  <si>
    <t>LA-703352</t>
  </si>
  <si>
    <t>LA-703353</t>
  </si>
  <si>
    <t>LA-703354</t>
  </si>
  <si>
    <t>LA-703355</t>
  </si>
  <si>
    <t>LA-703356</t>
  </si>
  <si>
    <t>LA-703357</t>
  </si>
  <si>
    <t>LA-703358</t>
  </si>
  <si>
    <t>LA-703359</t>
  </si>
  <si>
    <t>LA-703360</t>
  </si>
  <si>
    <t>LA-703361</t>
  </si>
  <si>
    <t>LA-703362</t>
  </si>
  <si>
    <t>LA-703363</t>
  </si>
  <si>
    <t>LA-703364</t>
  </si>
  <si>
    <t>LA-703365</t>
  </si>
  <si>
    <t>LA-703366</t>
  </si>
  <si>
    <t>LA-703367</t>
  </si>
  <si>
    <t>LA-703368</t>
  </si>
  <si>
    <t>LA-703369</t>
  </si>
  <si>
    <t>LA-703370</t>
  </si>
  <si>
    <t>LA-703371</t>
  </si>
  <si>
    <t>LA-703372</t>
  </si>
  <si>
    <t>LA-703373</t>
  </si>
  <si>
    <t>LA-703374</t>
  </si>
  <si>
    <t>LA-703375</t>
  </si>
  <si>
    <t>LA-703376</t>
  </si>
  <si>
    <t>LA-703377</t>
  </si>
  <si>
    <t>LA-703378</t>
  </si>
  <si>
    <t>LA-703379</t>
  </si>
  <si>
    <t>LA-703380</t>
  </si>
  <si>
    <t>LA-703381</t>
  </si>
  <si>
    <t>LA-703382</t>
  </si>
  <si>
    <t>LA-703383</t>
  </si>
  <si>
    <t>LA-703384</t>
  </si>
  <si>
    <t>LA-703385</t>
  </si>
  <si>
    <t>LA-703386</t>
  </si>
  <si>
    <t>LA-703387</t>
  </si>
  <si>
    <t>LA-703388</t>
  </si>
  <si>
    <t>LA-703389</t>
  </si>
  <si>
    <t>LA-703390</t>
  </si>
  <si>
    <t>LA-703391</t>
  </si>
  <si>
    <t>LA-703392</t>
  </si>
  <si>
    <t>LA-703393</t>
  </si>
  <si>
    <t>LA-703394</t>
  </si>
  <si>
    <t>LA-703395</t>
  </si>
  <si>
    <t>LA-703396</t>
  </si>
  <si>
    <t>LA-703397</t>
  </si>
  <si>
    <t>LA-703398</t>
  </si>
  <si>
    <t>LA-703399</t>
  </si>
  <si>
    <t>LA-703400</t>
  </si>
  <si>
    <t>LA-703401</t>
  </si>
  <si>
    <t>LA-703402</t>
  </si>
  <si>
    <t>LA-703403</t>
  </si>
  <si>
    <t>LA-703404</t>
  </si>
  <si>
    <t>LA-703405</t>
  </si>
  <si>
    <t>LA-703406</t>
  </si>
  <si>
    <t>LA-703407</t>
  </si>
  <si>
    <t>LA-703408</t>
  </si>
  <si>
    <t>LA-703409</t>
  </si>
  <si>
    <t>LA-703410</t>
  </si>
  <si>
    <t>LA-703411</t>
  </si>
  <si>
    <t>LA-703412</t>
  </si>
  <si>
    <t>LA-703413</t>
  </si>
  <si>
    <t>LA-703414</t>
  </si>
  <si>
    <t>LA-703415</t>
  </si>
  <si>
    <t>LA-703416</t>
  </si>
  <si>
    <t>LA-703417</t>
  </si>
  <si>
    <t>LA-703418</t>
  </si>
  <si>
    <t>LA-703419</t>
  </si>
  <si>
    <t>LA-703420</t>
  </si>
  <si>
    <t>LA-703421</t>
  </si>
  <si>
    <t>LA-703422</t>
  </si>
  <si>
    <t>LA-703423</t>
  </si>
  <si>
    <t>LA-703424</t>
  </si>
  <si>
    <t>LA-703425</t>
  </si>
  <si>
    <t>LA-703426</t>
  </si>
  <si>
    <t>LA-703427</t>
  </si>
  <si>
    <t>LA-703428</t>
  </si>
  <si>
    <t>LA-703429</t>
  </si>
  <si>
    <t>LA-703430</t>
  </si>
  <si>
    <t>LA-703431</t>
  </si>
  <si>
    <t>LA-703432</t>
  </si>
  <si>
    <t>LA-703433</t>
  </si>
  <si>
    <t>LA-703434</t>
  </si>
  <si>
    <t>LA-703435</t>
  </si>
  <si>
    <t>LA-703436</t>
  </si>
  <si>
    <t>LA-703437</t>
  </si>
  <si>
    <t>LA-703438</t>
  </si>
  <si>
    <t>LA-703439</t>
  </si>
  <si>
    <t>LA-703440</t>
  </si>
  <si>
    <t>LA-703441</t>
  </si>
  <si>
    <t>LA-703442</t>
  </si>
  <si>
    <t>LA-703443</t>
  </si>
  <si>
    <t>LA-703444</t>
  </si>
  <si>
    <t>LA-703445</t>
  </si>
  <si>
    <t>LA-703446</t>
  </si>
  <si>
    <t>LA-703447</t>
  </si>
  <si>
    <t>LA-703448</t>
  </si>
  <si>
    <t>LA-703449</t>
  </si>
  <si>
    <t>LA-703450</t>
  </si>
  <si>
    <t>LA-703451</t>
  </si>
  <si>
    <t>LA-703452</t>
  </si>
  <si>
    <t>LA-703453</t>
  </si>
  <si>
    <t>LA-703454</t>
  </si>
  <si>
    <t>LA-703455</t>
  </si>
  <si>
    <t>LA-703456</t>
  </si>
  <si>
    <t>LA-703457</t>
  </si>
  <si>
    <t>LA-703458</t>
  </si>
  <si>
    <t>LA-703459</t>
  </si>
  <si>
    <t>LA-703460</t>
  </si>
  <si>
    <t>LA-703461</t>
  </si>
  <si>
    <t>LA-703462</t>
  </si>
  <si>
    <t>LA-703463</t>
  </si>
  <si>
    <t>LA-703464</t>
  </si>
  <si>
    <t>LA-703465</t>
  </si>
  <si>
    <t>LA-703466</t>
  </si>
  <si>
    <t>LA-703467</t>
  </si>
  <si>
    <t>LA-703468</t>
  </si>
  <si>
    <t>LA-703469</t>
  </si>
  <si>
    <t>LA-703470</t>
  </si>
  <si>
    <t>LA-703471</t>
  </si>
  <si>
    <t>LA-703472</t>
  </si>
  <si>
    <t>LA-703473</t>
  </si>
  <si>
    <t>LA-703474</t>
  </si>
  <si>
    <t>LA-703475</t>
  </si>
  <si>
    <t>LA-703476</t>
  </si>
  <si>
    <t>LA-703477</t>
  </si>
  <si>
    <t>LA-703478</t>
  </si>
  <si>
    <t>LA-703479</t>
  </si>
  <si>
    <t>LA-703480</t>
  </si>
  <si>
    <t>LA-703481</t>
  </si>
  <si>
    <t>LA-703482</t>
  </si>
  <si>
    <t>LA-703483</t>
  </si>
  <si>
    <t>LA-703484</t>
  </si>
  <si>
    <t>LA-703485</t>
  </si>
  <si>
    <t>LA-703486</t>
  </si>
  <si>
    <t>LA-703487</t>
  </si>
  <si>
    <t>LA-703488</t>
  </si>
  <si>
    <t>LA-703489</t>
  </si>
  <si>
    <t>LA-703490</t>
  </si>
  <si>
    <t>LA-703491</t>
  </si>
  <si>
    <t>LA-703492</t>
  </si>
  <si>
    <t>LA-703493</t>
  </si>
  <si>
    <t>LA-703494</t>
  </si>
  <si>
    <t>LA-703495</t>
  </si>
  <si>
    <t>LA-703496</t>
  </si>
  <si>
    <t>LA-703497</t>
  </si>
  <si>
    <t>LA-703498</t>
  </si>
  <si>
    <t>LA-703499</t>
  </si>
  <si>
    <t>LA-703500</t>
  </si>
  <si>
    <t>LA-703501</t>
  </si>
  <si>
    <t>LA-703502</t>
  </si>
  <si>
    <t>LA-703503</t>
  </si>
  <si>
    <t>LA-703504</t>
  </si>
  <si>
    <t>LA-703505</t>
  </si>
  <si>
    <t>LA-703506</t>
  </si>
  <si>
    <t>LA-703507</t>
  </si>
  <si>
    <t>LA-703508</t>
  </si>
  <si>
    <t>LA-703509</t>
  </si>
  <si>
    <t>LA-703510</t>
  </si>
  <si>
    <t>LA-703511</t>
  </si>
  <si>
    <t>LA-703512</t>
  </si>
  <si>
    <t>LA-703513</t>
  </si>
  <si>
    <t>LA-703514</t>
  </si>
  <si>
    <t>LA-703515</t>
  </si>
  <si>
    <t>LA-703516</t>
  </si>
  <si>
    <t>LA-703517</t>
  </si>
  <si>
    <t>LA-703518</t>
  </si>
  <si>
    <t>LA-703519</t>
  </si>
  <si>
    <t>LA-703520</t>
  </si>
  <si>
    <t>LA-703521</t>
  </si>
  <si>
    <t>LA-703522</t>
  </si>
  <si>
    <t>LA-703523</t>
  </si>
  <si>
    <t>LA-703524</t>
  </si>
  <si>
    <t>LA-703525</t>
  </si>
  <si>
    <t>LA-703526</t>
  </si>
  <si>
    <t>LA-703527</t>
  </si>
  <si>
    <t>LA-703528</t>
  </si>
  <si>
    <t>LA-703529</t>
  </si>
  <si>
    <t>LA-703530</t>
  </si>
  <si>
    <t>LA-703531</t>
  </si>
  <si>
    <t>LA-703532</t>
  </si>
  <si>
    <t>LA-703533</t>
  </si>
  <si>
    <t>LA-703534</t>
  </si>
  <si>
    <t>LA-703535</t>
  </si>
  <si>
    <t>LA-703536</t>
  </si>
  <si>
    <t>LA-703537</t>
  </si>
  <si>
    <t>LA-703538</t>
  </si>
  <si>
    <t>LA-703539</t>
  </si>
  <si>
    <t>LA-703540</t>
  </si>
  <si>
    <t>LA-703541</t>
  </si>
  <si>
    <t>LA-703542</t>
  </si>
  <si>
    <t>LA-703543</t>
  </si>
  <si>
    <t>LA-703544</t>
  </si>
  <si>
    <t>LA-703545</t>
  </si>
  <si>
    <t>LA-703546</t>
  </si>
  <si>
    <t>LA-703547</t>
  </si>
  <si>
    <t>LA-703548</t>
  </si>
  <si>
    <t>LA-703549</t>
  </si>
  <si>
    <t>LA-703550</t>
  </si>
  <si>
    <t>LA-703551</t>
  </si>
  <si>
    <t>LA-703552</t>
  </si>
  <si>
    <t>LA-703553</t>
  </si>
  <si>
    <t>LA-703554</t>
  </si>
  <si>
    <t>LA-703555</t>
  </si>
  <si>
    <t>LA-703556</t>
  </si>
  <si>
    <t>LA-703557</t>
  </si>
  <si>
    <t>LA-703558</t>
  </si>
  <si>
    <t>LA-703559</t>
  </si>
  <si>
    <t>LA-703560</t>
  </si>
  <si>
    <t>LA-703561</t>
  </si>
  <si>
    <t>LA-703562</t>
  </si>
  <si>
    <t>LA-703563</t>
  </si>
  <si>
    <t>LA-703564</t>
  </si>
  <si>
    <t>LA-703565</t>
  </si>
  <si>
    <t>LA-703566</t>
  </si>
  <si>
    <t>LA-703567</t>
  </si>
  <si>
    <t>LA-703568</t>
  </si>
  <si>
    <t>LA-703569</t>
  </si>
  <si>
    <t>LA-703570</t>
  </si>
  <si>
    <t>LA-703571</t>
  </si>
  <si>
    <t>LA-703572</t>
  </si>
  <si>
    <t>LA-703573</t>
  </si>
  <si>
    <t>LA-703574</t>
  </si>
  <si>
    <t>LA-703575</t>
  </si>
  <si>
    <t>LA-703576</t>
  </si>
  <si>
    <t>LA-703577</t>
  </si>
  <si>
    <t>LA-703578</t>
  </si>
  <si>
    <t>LA-703579</t>
  </si>
  <si>
    <t>LA-703580</t>
  </si>
  <si>
    <t>LA-703581</t>
  </si>
  <si>
    <t>LA-703582</t>
  </si>
  <si>
    <t>LA-703583</t>
  </si>
  <si>
    <t>LA-703584</t>
  </si>
  <si>
    <t>LA-703585</t>
  </si>
  <si>
    <t>LA-703586</t>
  </si>
  <si>
    <t>LA-703587</t>
  </si>
  <si>
    <t>LA-703588</t>
  </si>
  <si>
    <t>LA-703589</t>
  </si>
  <si>
    <t>LA-703590</t>
  </si>
  <si>
    <t>LA-703591</t>
  </si>
  <si>
    <t>LA-703592</t>
  </si>
  <si>
    <t>LA-703593</t>
  </si>
  <si>
    <t>LA-703594</t>
  </si>
  <si>
    <t>LA-703595</t>
  </si>
  <si>
    <t>LA-703596</t>
  </si>
  <si>
    <t>LA-703597</t>
  </si>
  <si>
    <t>LA-703598</t>
  </si>
  <si>
    <t>LA-703599</t>
  </si>
  <si>
    <t>LA-703600</t>
  </si>
  <si>
    <t>LA-703601</t>
  </si>
  <si>
    <t>LA-703602</t>
  </si>
  <si>
    <t>LA-703603</t>
  </si>
  <si>
    <t>LA-703604</t>
  </si>
  <si>
    <t>LA-703605</t>
  </si>
  <si>
    <t>LA-703606</t>
  </si>
  <si>
    <t>LA-703607</t>
  </si>
  <si>
    <t>LA-703608</t>
  </si>
  <si>
    <t>LA-703609</t>
  </si>
  <si>
    <t>LA-703610</t>
  </si>
  <si>
    <t>LA-703611</t>
  </si>
  <si>
    <t>LA-703612</t>
  </si>
  <si>
    <t>LA-703613</t>
  </si>
  <si>
    <t>LA-703614</t>
  </si>
  <si>
    <t>LA-703615</t>
  </si>
  <si>
    <t>LA-703616</t>
  </si>
  <si>
    <t>LA-703617</t>
  </si>
  <si>
    <t>LA-703618</t>
  </si>
  <si>
    <t>LA-703619</t>
  </si>
  <si>
    <t>LA-703620</t>
  </si>
  <si>
    <t>LA-703621</t>
  </si>
  <si>
    <t>LA-703622</t>
  </si>
  <si>
    <t>LA-703623</t>
  </si>
  <si>
    <t>LA-703624</t>
  </si>
  <si>
    <t>LA-703625</t>
  </si>
  <si>
    <t>LA-703626</t>
  </si>
  <si>
    <t>LA-703627</t>
  </si>
  <si>
    <t>LA-703628</t>
  </si>
  <si>
    <t>LA-703629</t>
  </si>
  <si>
    <t>LA-703630</t>
  </si>
  <si>
    <t>LA-703631</t>
  </si>
  <si>
    <t>LA-703632</t>
  </si>
  <si>
    <t>LA-703633</t>
  </si>
  <si>
    <t>LA-703634</t>
  </si>
  <si>
    <t>LA-703635</t>
  </si>
  <si>
    <t>LA-703636</t>
  </si>
  <si>
    <t>LA-703637</t>
  </si>
  <si>
    <t>LA-703638</t>
  </si>
  <si>
    <t>LA-703639</t>
  </si>
  <si>
    <t>LA-703640</t>
  </si>
  <si>
    <t>LA-703641</t>
  </si>
  <si>
    <t>LA-703642</t>
  </si>
  <si>
    <t>LA-703643</t>
  </si>
  <si>
    <t>LA-703644</t>
  </si>
  <si>
    <t>LA-703645</t>
  </si>
  <si>
    <t>LA-703646</t>
  </si>
  <si>
    <t>LA-703647</t>
  </si>
  <si>
    <t>LA-703648</t>
  </si>
  <si>
    <t>LA-703649</t>
  </si>
  <si>
    <t>LA-703650</t>
  </si>
  <si>
    <t>LA-703651</t>
  </si>
  <si>
    <t>LA-703652</t>
  </si>
  <si>
    <t>LA-703653</t>
  </si>
  <si>
    <t>LA-703654</t>
  </si>
  <si>
    <t>LA-703655</t>
  </si>
  <si>
    <t>LA-703656</t>
  </si>
  <si>
    <t>LA-703657</t>
  </si>
  <si>
    <t>LA-703658</t>
  </si>
  <si>
    <t>LA-703659</t>
  </si>
  <si>
    <t>LA-703660</t>
  </si>
  <si>
    <t>LA-703661</t>
  </si>
  <si>
    <t>LA-703662</t>
  </si>
  <si>
    <t>LA-703663</t>
  </si>
  <si>
    <t>LA-703664</t>
  </si>
  <si>
    <t>LA-703665</t>
  </si>
  <si>
    <t>LA-703666</t>
  </si>
  <si>
    <t>LA-703667</t>
  </si>
  <si>
    <t>LA-703668</t>
  </si>
  <si>
    <t>LA-703669</t>
  </si>
  <si>
    <t>LA-703670</t>
  </si>
  <si>
    <t>LA-703671</t>
  </si>
  <si>
    <t>LA-703672</t>
  </si>
  <si>
    <t>LA-703673</t>
  </si>
  <si>
    <t>LA-703674</t>
  </si>
  <si>
    <t>LA-703675</t>
  </si>
  <si>
    <t>LA-703676</t>
  </si>
  <si>
    <t>LA-703677</t>
  </si>
  <si>
    <t>LA-703678</t>
  </si>
  <si>
    <t>LA-703679</t>
  </si>
  <si>
    <t>LA-703680</t>
  </si>
  <si>
    <t>LA-703681</t>
  </si>
  <si>
    <t>LA-703682</t>
  </si>
  <si>
    <t>LA-703683</t>
  </si>
  <si>
    <t>LA-703684</t>
  </si>
  <si>
    <t>LA-703685</t>
  </si>
  <si>
    <t>LA-703686</t>
  </si>
  <si>
    <t>LA-703687</t>
  </si>
  <si>
    <t>LA-703688</t>
  </si>
  <si>
    <t>LA-703689</t>
  </si>
  <si>
    <t>LA-703690</t>
  </si>
  <si>
    <t>LA-703691</t>
  </si>
  <si>
    <t>LA-703692</t>
  </si>
  <si>
    <t>LA-703693</t>
  </si>
  <si>
    <t>LA-703694</t>
  </si>
  <si>
    <t>LA-703695</t>
  </si>
  <si>
    <t>LA-703696</t>
  </si>
  <si>
    <t>LA-703697</t>
  </si>
  <si>
    <t>LA-703698</t>
  </si>
  <si>
    <t>LA-703699</t>
  </si>
  <si>
    <t>LA-703700</t>
  </si>
  <si>
    <t>LA-703701</t>
  </si>
  <si>
    <t>LA-703702</t>
  </si>
  <si>
    <t>LA-703703</t>
  </si>
  <si>
    <t>LA-703704</t>
  </si>
  <si>
    <t>LA-703705</t>
  </si>
  <si>
    <t>LA-703706</t>
  </si>
  <si>
    <t>LA-703707</t>
  </si>
  <si>
    <t>LA-703708</t>
  </si>
  <si>
    <t>LA-703709</t>
  </si>
  <si>
    <t>LA-703710</t>
  </si>
  <si>
    <t>LA-703711</t>
  </si>
  <si>
    <t>LA-703712</t>
  </si>
  <si>
    <t>LA-703713</t>
  </si>
  <si>
    <t>LA-703714</t>
  </si>
  <si>
    <t>LA-703715</t>
  </si>
  <si>
    <t>LA-703716</t>
  </si>
  <si>
    <t>LA-703717</t>
  </si>
  <si>
    <t>LA-703718</t>
  </si>
  <si>
    <t>LA-703719</t>
  </si>
  <si>
    <t>LA-703720</t>
  </si>
  <si>
    <t>LA-703721</t>
  </si>
  <si>
    <t>LA-703722</t>
  </si>
  <si>
    <t>LA-703723</t>
  </si>
  <si>
    <t>LA-703724</t>
  </si>
  <si>
    <t>LA-703725</t>
  </si>
  <si>
    <t>LA-703726</t>
  </si>
  <si>
    <t>LA-703727</t>
  </si>
  <si>
    <t>LA-703728</t>
  </si>
  <si>
    <t>LA-703729</t>
  </si>
  <si>
    <t>LA-703730</t>
  </si>
  <si>
    <t>LA-703731</t>
  </si>
  <si>
    <t>LA-703732</t>
  </si>
  <si>
    <t>LA-703733</t>
  </si>
  <si>
    <t>LA-703734</t>
  </si>
  <si>
    <t>LA-703735</t>
  </si>
  <si>
    <t>LA-703736</t>
  </si>
  <si>
    <t>LA-703737</t>
  </si>
  <si>
    <t>LA-703738</t>
  </si>
  <si>
    <t>LA-703739</t>
  </si>
  <si>
    <t>LA-703740</t>
  </si>
  <si>
    <t>LA-703741</t>
  </si>
  <si>
    <t>LA-703742</t>
  </si>
  <si>
    <t>LA-703743</t>
  </si>
  <si>
    <t>LA-703744</t>
  </si>
  <si>
    <t>LA-703745</t>
  </si>
  <si>
    <t>LA-703746</t>
  </si>
  <si>
    <t>LA-703747</t>
  </si>
  <si>
    <t>LA-703748</t>
  </si>
  <si>
    <t>LA-703749</t>
  </si>
  <si>
    <t>LA-703750</t>
  </si>
  <si>
    <t>LA-703751</t>
  </si>
  <si>
    <t>LA-703752</t>
  </si>
  <si>
    <t>LA-703753</t>
  </si>
  <si>
    <t>LA-703754</t>
  </si>
  <si>
    <t>LA-703755</t>
  </si>
  <si>
    <t>LA-703756</t>
  </si>
  <si>
    <t>LA-703757</t>
  </si>
  <si>
    <t>LA-703758</t>
  </si>
  <si>
    <t>LA-703759</t>
  </si>
  <si>
    <t>LA-703760</t>
  </si>
  <si>
    <t>LA-703761</t>
  </si>
  <si>
    <t>LA-703762</t>
  </si>
  <si>
    <t>LA-703763</t>
  </si>
  <si>
    <t>LA-703764</t>
  </si>
  <si>
    <t>LA-703765</t>
  </si>
  <si>
    <t>LA-703766</t>
  </si>
  <si>
    <t>LA-703767</t>
  </si>
  <si>
    <t>LA-703768</t>
  </si>
  <si>
    <t>LA-703769</t>
  </si>
  <si>
    <t>LA-703770</t>
  </si>
  <si>
    <t>LA-703771</t>
  </si>
  <si>
    <t>LA-703772</t>
  </si>
  <si>
    <t>LA-703773</t>
  </si>
  <si>
    <t>LA-703774</t>
  </si>
  <si>
    <t>LA-703775</t>
  </si>
  <si>
    <t>LA-703776</t>
  </si>
  <si>
    <t>LA-703777</t>
  </si>
  <si>
    <t>LA-703778</t>
  </si>
  <si>
    <t>LA-703779</t>
  </si>
  <si>
    <t>LA-703780</t>
  </si>
  <si>
    <t>LA-703781</t>
  </si>
  <si>
    <t>LA-703782</t>
  </si>
  <si>
    <t>LA-703783</t>
  </si>
  <si>
    <t>LA-703784</t>
  </si>
  <si>
    <t>LA-703785</t>
  </si>
  <si>
    <t>LA-703786</t>
  </si>
  <si>
    <t>LA-703787</t>
  </si>
  <si>
    <t>LA-703788</t>
  </si>
  <si>
    <t>LA-703789</t>
  </si>
  <si>
    <t>LA-703790</t>
  </si>
  <si>
    <t>LA-703791</t>
  </si>
  <si>
    <t>LA-703792</t>
  </si>
  <si>
    <t>LA-703793</t>
  </si>
  <si>
    <t>LA-703794</t>
  </si>
  <si>
    <t>LA-703795</t>
  </si>
  <si>
    <t>LA-703796</t>
  </si>
  <si>
    <t>LA-703797</t>
  </si>
  <si>
    <t>LA-703798</t>
  </si>
  <si>
    <t>LA-703799</t>
  </si>
  <si>
    <t>LA-703800</t>
  </si>
  <si>
    <t>LA-703801</t>
  </si>
  <si>
    <t>LA-703802</t>
  </si>
  <si>
    <t>LA-703803</t>
  </si>
  <si>
    <t>LA-703804</t>
  </si>
  <si>
    <t>LA-703805</t>
  </si>
  <si>
    <t>LA-703806</t>
  </si>
  <si>
    <t>LA-703807</t>
  </si>
  <si>
    <t>LA-703808</t>
  </si>
  <si>
    <t>LA-703809</t>
  </si>
  <si>
    <t>LA-703810</t>
  </si>
  <si>
    <t>LA-703811</t>
  </si>
  <si>
    <t>LA-703812</t>
  </si>
  <si>
    <t>LA-703813</t>
  </si>
  <si>
    <t>LA-703814</t>
  </si>
  <si>
    <t>LA-703815</t>
  </si>
  <si>
    <t>LA-703816</t>
  </si>
  <si>
    <t>LA-703817</t>
  </si>
  <si>
    <t>LA-703818</t>
  </si>
  <si>
    <t>LA-703819</t>
  </si>
  <si>
    <t>LA-703820</t>
  </si>
  <si>
    <t>LA-703821</t>
  </si>
  <si>
    <t>LA-703822</t>
  </si>
  <si>
    <t>LA-703823</t>
  </si>
  <si>
    <t>LA-703824</t>
  </si>
  <si>
    <t>LA-703825</t>
  </si>
  <si>
    <t>LA-703826</t>
  </si>
  <si>
    <t>LA-703827</t>
  </si>
  <si>
    <t>LA-703828</t>
  </si>
  <si>
    <t>LA-703829</t>
  </si>
  <si>
    <t>LA-703830</t>
  </si>
  <si>
    <t>LA-703831</t>
  </si>
  <si>
    <t>LA-703832</t>
  </si>
  <si>
    <t>LA-703833</t>
  </si>
  <si>
    <t>LA-703834</t>
  </si>
  <si>
    <t>LA-703835</t>
  </si>
  <si>
    <t>LA-703836</t>
  </si>
  <si>
    <t>LA-703837</t>
  </si>
  <si>
    <t>LA-703838</t>
  </si>
  <si>
    <t>LA-703839</t>
  </si>
  <si>
    <t>LA-703840</t>
  </si>
  <si>
    <t>LA-703841</t>
  </si>
  <si>
    <t>LA-703842</t>
  </si>
  <si>
    <t>LA-703843</t>
  </si>
  <si>
    <t>LA-703844</t>
  </si>
  <si>
    <t>LA-703845</t>
  </si>
  <si>
    <t>LA-703846</t>
  </si>
  <si>
    <t>LA-703847</t>
  </si>
  <si>
    <t>LA-703848</t>
  </si>
  <si>
    <t>LA-703849</t>
  </si>
  <si>
    <t>LA-703850</t>
  </si>
  <si>
    <t>LA-703851</t>
  </si>
  <si>
    <t>LA-703852</t>
  </si>
  <si>
    <t>LA-703853</t>
  </si>
  <si>
    <t>LA-703854</t>
  </si>
  <si>
    <t>LA-703855</t>
  </si>
  <si>
    <t>LA-703856</t>
  </si>
  <si>
    <t>LA-703857</t>
  </si>
  <si>
    <t>LA-703858</t>
  </si>
  <si>
    <t>LA-703859</t>
  </si>
  <si>
    <t>LA-703860</t>
  </si>
  <si>
    <t>LA-703861</t>
  </si>
  <si>
    <t>LA-703862</t>
  </si>
  <si>
    <t>LA-703863</t>
  </si>
  <si>
    <t>LA-703864</t>
  </si>
  <si>
    <t>LA-703865</t>
  </si>
  <si>
    <t>LA-703866</t>
  </si>
  <si>
    <t>LA-703867</t>
  </si>
  <si>
    <t>LA-703868</t>
  </si>
  <si>
    <t>LA-703869</t>
  </si>
  <si>
    <t>LA-703870</t>
  </si>
  <si>
    <t>LA-703871</t>
  </si>
  <si>
    <t>LA-703872</t>
  </si>
  <si>
    <t>LA-703873</t>
  </si>
  <si>
    <t>LA-703874</t>
  </si>
  <si>
    <t>LA-703875</t>
  </si>
  <si>
    <t>LA-703876</t>
  </si>
  <si>
    <t>LA-703877</t>
  </si>
  <si>
    <t>LA-703878</t>
  </si>
  <si>
    <t>LA-703879</t>
  </si>
  <si>
    <t>LA-703880</t>
  </si>
  <si>
    <t>LA-703881</t>
  </si>
  <si>
    <t>LA-703882</t>
  </si>
  <si>
    <t>LA-703883</t>
  </si>
  <si>
    <t>LA-703884</t>
  </si>
  <si>
    <t>LA-703885</t>
  </si>
  <si>
    <t>LA-703886</t>
  </si>
  <si>
    <t>LA-703887</t>
  </si>
  <si>
    <t>LA-703888</t>
  </si>
  <si>
    <t>LA-703889</t>
  </si>
  <si>
    <t>LA-703890</t>
  </si>
  <si>
    <t>LA-703891</t>
  </si>
  <si>
    <t>LA-703892</t>
  </si>
  <si>
    <t>LA-703893</t>
  </si>
  <si>
    <t>LA-703894</t>
  </si>
  <si>
    <t>LA-703895</t>
  </si>
  <si>
    <t>LA-703896</t>
  </si>
  <si>
    <t>LA-703897</t>
  </si>
  <si>
    <t>LA-703898</t>
  </si>
  <si>
    <t>LA-703899</t>
  </si>
  <si>
    <t>LA-703900</t>
  </si>
  <si>
    <t>LA-703901</t>
  </si>
  <si>
    <t>LA-703902</t>
  </si>
  <si>
    <t>LA-703903</t>
  </si>
  <si>
    <t>LA-703904</t>
  </si>
  <si>
    <t>LA-703905</t>
  </si>
  <si>
    <t>LA-703906</t>
  </si>
  <si>
    <t>LA-703907</t>
  </si>
  <si>
    <t>LA-703908</t>
  </si>
  <si>
    <t>LA-703909</t>
  </si>
  <si>
    <t>LA-703910</t>
  </si>
  <si>
    <t>LA-703911</t>
  </si>
  <si>
    <t>LA-703912</t>
  </si>
  <si>
    <t>LA-703913</t>
  </si>
  <si>
    <t>LA-703914</t>
  </si>
  <si>
    <t>LA-703915</t>
  </si>
  <si>
    <t>LA-703916</t>
  </si>
  <si>
    <t>LA-703917</t>
  </si>
  <si>
    <t>LA-703918</t>
  </si>
  <si>
    <t>LA-703919</t>
  </si>
  <si>
    <t>LA-703920</t>
  </si>
  <si>
    <t>LA-703921</t>
  </si>
  <si>
    <t>LA-703922</t>
  </si>
  <si>
    <t>LA-703923</t>
  </si>
  <si>
    <t>LA-703924</t>
  </si>
  <si>
    <t>LA-703925</t>
  </si>
  <si>
    <t>LA-703926</t>
  </si>
  <si>
    <t>LA-703927</t>
  </si>
  <si>
    <t>LA-703928</t>
  </si>
  <si>
    <t>LA-703929</t>
  </si>
  <si>
    <t>LA-703930</t>
  </si>
  <si>
    <t>LA-703931</t>
  </si>
  <si>
    <t>LA-703932</t>
  </si>
  <si>
    <t>LA-703933</t>
  </si>
  <si>
    <t>LA-703934</t>
  </si>
  <si>
    <t>LA-703935</t>
  </si>
  <si>
    <t>LA-703936</t>
  </si>
  <si>
    <t>LA-703937</t>
  </si>
  <si>
    <t>LA-703938</t>
  </si>
  <si>
    <t>LA-703939</t>
  </si>
  <si>
    <t>LA-703940</t>
  </si>
  <si>
    <t>LA-703941</t>
  </si>
  <si>
    <t>LA-703942</t>
  </si>
  <si>
    <t>LA-703943</t>
  </si>
  <si>
    <t>LA-703944</t>
  </si>
  <si>
    <t>LA-703945</t>
  </si>
  <si>
    <t>LA-703946</t>
  </si>
  <si>
    <t>LA-703947</t>
  </si>
  <si>
    <t>LA-703948</t>
  </si>
  <si>
    <t>LA-703949</t>
  </si>
  <si>
    <t>LA-703950</t>
  </si>
  <si>
    <t>LA-703951</t>
  </si>
  <si>
    <t>LA-703952</t>
  </si>
  <si>
    <t>LA-703953</t>
  </si>
  <si>
    <t>LA-703954</t>
  </si>
  <si>
    <t>LA-703955</t>
  </si>
  <si>
    <t>LA-703956</t>
  </si>
  <si>
    <t>LA-703957</t>
  </si>
  <si>
    <t>LA-703958</t>
  </si>
  <si>
    <t>LA-703959</t>
  </si>
  <si>
    <t>LA-703960</t>
  </si>
  <si>
    <t>LA-703961</t>
  </si>
  <si>
    <t>LA-703962</t>
  </si>
  <si>
    <t>LA-703963</t>
  </si>
  <si>
    <t>LA-703964</t>
  </si>
  <si>
    <t>LA-703965</t>
  </si>
  <si>
    <t>LA-703966</t>
  </si>
  <si>
    <t>LA-703967</t>
  </si>
  <si>
    <t>LA-703968</t>
  </si>
  <si>
    <t>LA-703969</t>
  </si>
  <si>
    <t>LA-703970</t>
  </si>
  <si>
    <t>LA-703971</t>
  </si>
  <si>
    <t>LA-703972</t>
  </si>
  <si>
    <t>LA-703973</t>
  </si>
  <si>
    <t>LA-703974</t>
  </si>
  <si>
    <t>LA-703975</t>
  </si>
  <si>
    <t>LA-703976</t>
  </si>
  <si>
    <t>LA-703977</t>
  </si>
  <si>
    <t>LA-703978</t>
  </si>
  <si>
    <t>LA-703979</t>
  </si>
  <si>
    <t>LA-703980</t>
  </si>
  <si>
    <t>LA-703981</t>
  </si>
  <si>
    <t>LA-703982</t>
  </si>
  <si>
    <t>LA-703983</t>
  </si>
  <si>
    <t>LA-703984</t>
  </si>
  <si>
    <t>LA-703985</t>
  </si>
  <si>
    <t>LA-703986</t>
  </si>
  <si>
    <t>LA-703987</t>
  </si>
  <si>
    <t>LA-703988</t>
  </si>
  <si>
    <t>LA-703989</t>
  </si>
  <si>
    <t>LA-703990</t>
  </si>
  <si>
    <t>LA-703991</t>
  </si>
  <si>
    <t>LA-703992</t>
  </si>
  <si>
    <t>LA-703993</t>
  </si>
  <si>
    <t>LA-703994</t>
  </si>
  <si>
    <t>LA-703995</t>
  </si>
  <si>
    <t>LA-703996</t>
  </si>
  <si>
    <t>LA-703997</t>
  </si>
  <si>
    <t>LA-703998</t>
  </si>
  <si>
    <t>LA-703999</t>
  </si>
  <si>
    <t>LA-704000</t>
  </si>
  <si>
    <t>LA-704001</t>
  </si>
  <si>
    <t>LA-704002</t>
  </si>
  <si>
    <t>LA-704003</t>
  </si>
  <si>
    <t>LA-704004</t>
  </si>
  <si>
    <t>LA-704005</t>
  </si>
  <si>
    <t>LA-704006</t>
  </si>
  <si>
    <t>LA-704007</t>
  </si>
  <si>
    <t>LA-704008</t>
  </si>
  <si>
    <t>LA-704009</t>
  </si>
  <si>
    <t>LA-704010</t>
  </si>
  <si>
    <t>LA-704011</t>
  </si>
  <si>
    <t>LA-704012</t>
  </si>
  <si>
    <t>LA-704013</t>
  </si>
  <si>
    <t>LA-704014</t>
  </si>
  <si>
    <t>LA-704015</t>
  </si>
  <si>
    <t>LA-704016</t>
  </si>
  <si>
    <t>LA-704017</t>
  </si>
  <si>
    <t>LA-704018</t>
  </si>
  <si>
    <t>LA-704019</t>
  </si>
  <si>
    <t>LA-704020</t>
  </si>
  <si>
    <t>LA-704021</t>
  </si>
  <si>
    <t>LA-704022</t>
  </si>
  <si>
    <t>LA-704023</t>
  </si>
  <si>
    <t>LA-704024</t>
  </si>
  <si>
    <t>LA-704025</t>
  </si>
  <si>
    <t>LA-704026</t>
  </si>
  <si>
    <t>LA-704027</t>
  </si>
  <si>
    <t>LA-704028</t>
  </si>
  <si>
    <t>LA-704029</t>
  </si>
  <si>
    <t>LA-704030</t>
  </si>
  <si>
    <t>LA-704031</t>
  </si>
  <si>
    <t>LA-704032</t>
  </si>
  <si>
    <t>LA-704033</t>
  </si>
  <si>
    <t>LA-704034</t>
  </si>
  <si>
    <t>LA-704035</t>
  </si>
  <si>
    <t>LA-704036</t>
  </si>
  <si>
    <t>LA-704037</t>
  </si>
  <si>
    <t>LA-704038</t>
  </si>
  <si>
    <t>LA-704039</t>
  </si>
  <si>
    <t>LA-704040</t>
  </si>
  <si>
    <t>LA-704041</t>
  </si>
  <si>
    <t>LA-704042</t>
  </si>
  <si>
    <t>LA-704043</t>
  </si>
  <si>
    <t>LA-704044</t>
  </si>
  <si>
    <t>LA-704045</t>
  </si>
  <si>
    <t>LA-704046</t>
  </si>
  <si>
    <t>LA-704047</t>
  </si>
  <si>
    <t>LA-704048</t>
  </si>
  <si>
    <t>LA-704049</t>
  </si>
  <si>
    <t>LA-704050</t>
  </si>
  <si>
    <t>LA-704051</t>
  </si>
  <si>
    <t>LA-704052</t>
  </si>
  <si>
    <t>LA-704053</t>
  </si>
  <si>
    <t>LA-704054</t>
  </si>
  <si>
    <t>LA-704055</t>
  </si>
  <si>
    <t>LA-704056</t>
  </si>
  <si>
    <t>LA-704057</t>
  </si>
  <si>
    <t>LA-704058</t>
  </si>
  <si>
    <t>LA-704059</t>
  </si>
  <si>
    <t>LA-704060</t>
  </si>
  <si>
    <t>LA-704061</t>
  </si>
  <si>
    <t>LA-704062</t>
  </si>
  <si>
    <t>LA-704063</t>
  </si>
  <si>
    <t>LA-704064</t>
  </si>
  <si>
    <t>LA-704065</t>
  </si>
  <si>
    <t>LA-704066</t>
  </si>
  <si>
    <t>LA-704067</t>
  </si>
  <si>
    <t>LA-704068</t>
  </si>
  <si>
    <t>LA-704069</t>
  </si>
  <si>
    <t>LA-704070</t>
  </si>
  <si>
    <t>LA-704071</t>
  </si>
  <si>
    <t>LA-704072</t>
  </si>
  <si>
    <t>LA-704073</t>
  </si>
  <si>
    <t>LA-704074</t>
  </si>
  <si>
    <t>LA-704075</t>
  </si>
  <si>
    <t>LA-704076</t>
  </si>
  <si>
    <t>LA-704077</t>
  </si>
  <si>
    <t>LA-704078</t>
  </si>
  <si>
    <t>LA-704079</t>
  </si>
  <si>
    <t>LA-704080</t>
  </si>
  <si>
    <t>LA-704081</t>
  </si>
  <si>
    <t>LA-704082</t>
  </si>
  <si>
    <t>LA-704083</t>
  </si>
  <si>
    <t>LA-704084</t>
  </si>
  <si>
    <t>LA-704085</t>
  </si>
  <si>
    <t>LA-704086</t>
  </si>
  <si>
    <t>LA-704087</t>
  </si>
  <si>
    <t>LA-704088</t>
  </si>
  <si>
    <t>LA-704089</t>
  </si>
  <si>
    <t>LA-704090</t>
  </si>
  <si>
    <t>LA-704091</t>
  </si>
  <si>
    <t>LA-704092</t>
  </si>
  <si>
    <t>LA-704093</t>
  </si>
  <si>
    <t>LA-704094</t>
  </si>
  <si>
    <t>LA-704095</t>
  </si>
  <si>
    <t>LA-704096</t>
  </si>
  <si>
    <t>LA-704097</t>
  </si>
  <si>
    <t>LA-704098</t>
  </si>
  <si>
    <t>LA-704099</t>
  </si>
  <si>
    <t>LA-704100</t>
  </si>
  <si>
    <t>LA-704101</t>
  </si>
  <si>
    <t>LA-704102</t>
  </si>
  <si>
    <t>LA-704103</t>
  </si>
  <si>
    <t>LA-704104</t>
  </si>
  <si>
    <t>LA-704105</t>
  </si>
  <si>
    <t>LA-704106</t>
  </si>
  <si>
    <t>LA-704107</t>
  </si>
  <si>
    <t>LA-704108</t>
  </si>
  <si>
    <t>LA-704109</t>
  </si>
  <si>
    <t>LA-704110</t>
  </si>
  <si>
    <t>LA-704111</t>
  </si>
  <si>
    <t>LA-704112</t>
  </si>
  <si>
    <t>LA-704113</t>
  </si>
  <si>
    <t>LA-704114</t>
  </si>
  <si>
    <t>LA-704115</t>
  </si>
  <si>
    <t>LA-704116</t>
  </si>
  <si>
    <t>LA-704117</t>
  </si>
  <si>
    <t>LA-704118</t>
  </si>
  <si>
    <t>LA-704119</t>
  </si>
  <si>
    <t>LA-704120</t>
  </si>
  <si>
    <t>LA-704121</t>
  </si>
  <si>
    <t>LA-704122</t>
  </si>
  <si>
    <t>LA-704123</t>
  </si>
  <si>
    <t>LA-704124</t>
  </si>
  <si>
    <t>LA-704125</t>
  </si>
  <si>
    <t>LA-704126</t>
  </si>
  <si>
    <t>LA-704127</t>
  </si>
  <si>
    <t>LA-704128</t>
  </si>
  <si>
    <t>LA-704129</t>
  </si>
  <si>
    <t>LA-704130</t>
  </si>
  <si>
    <t>LA-704131</t>
  </si>
  <si>
    <t>LA-704132</t>
  </si>
  <si>
    <t>LA-704133</t>
  </si>
  <si>
    <t>LA-704134</t>
  </si>
  <si>
    <t>LA-704135</t>
  </si>
  <si>
    <t>LA-704136</t>
  </si>
  <si>
    <t>LA-704137</t>
  </si>
  <si>
    <t>LA-704138</t>
  </si>
  <si>
    <t>LA-704139</t>
  </si>
  <si>
    <t>LA-704140</t>
  </si>
  <si>
    <t>LA-704141</t>
  </si>
  <si>
    <t>LA-704142</t>
  </si>
  <si>
    <t>LA-704143</t>
  </si>
  <si>
    <t>LA-704144</t>
  </si>
  <si>
    <t>LA-704145</t>
  </si>
  <si>
    <t>LA-704146</t>
  </si>
  <si>
    <t>LA-704147</t>
  </si>
  <si>
    <t>LA-704148</t>
  </si>
  <si>
    <t>LA-704149</t>
  </si>
  <si>
    <t>LA-704150</t>
  </si>
  <si>
    <t>LA-704151</t>
  </si>
  <si>
    <t>LA-704152</t>
  </si>
  <si>
    <t>LA-704153</t>
  </si>
  <si>
    <t>LA-704154</t>
  </si>
  <si>
    <t>LA-704155</t>
  </si>
  <si>
    <t>LA-704156</t>
  </si>
  <si>
    <t>LA-704157</t>
  </si>
  <si>
    <t>LA-704158</t>
  </si>
  <si>
    <t>LA-704159</t>
  </si>
  <si>
    <t>LA-704160</t>
  </si>
  <si>
    <t>LA-704161</t>
  </si>
  <si>
    <t>LA-704162</t>
  </si>
  <si>
    <t>LA-704163</t>
  </si>
  <si>
    <t>LA-704164</t>
  </si>
  <si>
    <t>LA-704165</t>
  </si>
  <si>
    <t>LA-704166</t>
  </si>
  <si>
    <t>LA-704167</t>
  </si>
  <si>
    <t>LA-704168</t>
  </si>
  <si>
    <t>LA-704169</t>
  </si>
  <si>
    <t>LA-704170</t>
  </si>
  <si>
    <t>LA-704171</t>
  </si>
  <si>
    <t>LA-704172</t>
  </si>
  <si>
    <t>LA-704173</t>
  </si>
  <si>
    <t>LA-704174</t>
  </si>
  <si>
    <t>LA-704175</t>
  </si>
  <si>
    <t>LA-704176</t>
  </si>
  <si>
    <t>LA-704177</t>
  </si>
  <si>
    <t>LA-704178</t>
  </si>
  <si>
    <t>LA-704179</t>
  </si>
  <si>
    <t>LA-704180</t>
  </si>
  <si>
    <t>LA-704181</t>
  </si>
  <si>
    <t>LA-704182</t>
  </si>
  <si>
    <t>LA-704183</t>
  </si>
  <si>
    <t>LA-704184</t>
  </si>
  <si>
    <t>LA-704185</t>
  </si>
  <si>
    <t>LA-704186</t>
  </si>
  <si>
    <t>LA-704187</t>
  </si>
  <si>
    <t>LA-704188</t>
  </si>
  <si>
    <t>LA-704189</t>
  </si>
  <si>
    <t>LA-704190</t>
  </si>
  <si>
    <t>LA-704191</t>
  </si>
  <si>
    <t>LA-704192</t>
  </si>
  <si>
    <t>LA-704193</t>
  </si>
  <si>
    <t>LA-704194</t>
  </si>
  <si>
    <t>LA-704195</t>
  </si>
  <si>
    <t>LA-704196</t>
  </si>
  <si>
    <t>LA-704197</t>
  </si>
  <si>
    <t>LA-704198</t>
  </si>
  <si>
    <t>LA-704199</t>
  </si>
  <si>
    <t>LA-704200</t>
  </si>
  <si>
    <t>LA-704201</t>
  </si>
  <si>
    <t>LA-704202</t>
  </si>
  <si>
    <t>LA-704203</t>
  </si>
  <si>
    <t>LA-704204</t>
  </si>
  <si>
    <t>LA-704205</t>
  </si>
  <si>
    <t>LA-704206</t>
  </si>
  <si>
    <t>LA-704207</t>
  </si>
  <si>
    <t>LA-704208</t>
  </si>
  <si>
    <t>LA-704209</t>
  </si>
  <si>
    <t>LA-704210</t>
  </si>
  <si>
    <t>LA-704211</t>
  </si>
  <si>
    <t>LA-704212</t>
  </si>
  <si>
    <t>LA-704213</t>
  </si>
  <si>
    <t>LA-704214</t>
  </si>
  <si>
    <t>LA-704215</t>
  </si>
  <si>
    <t>LA-704216</t>
  </si>
  <si>
    <t>LA-704217</t>
  </si>
  <si>
    <t>LA-704218</t>
  </si>
  <si>
    <t>LA-704219</t>
  </si>
  <si>
    <t>LA-704220</t>
  </si>
  <si>
    <t>LA-704221</t>
  </si>
  <si>
    <t>LA-704222</t>
  </si>
  <si>
    <t>LA-704223</t>
  </si>
  <si>
    <t>LA-704224</t>
  </si>
  <si>
    <t>LA-704225</t>
  </si>
  <si>
    <t>LA-704226</t>
  </si>
  <si>
    <t>LA-704227</t>
  </si>
  <si>
    <t>LA-704228</t>
  </si>
  <si>
    <t>LA-704229</t>
  </si>
  <si>
    <t>LA-704230</t>
  </si>
  <si>
    <t>LA-704231</t>
  </si>
  <si>
    <t>LA-704232</t>
  </si>
  <si>
    <t>LA-704233</t>
  </si>
  <si>
    <t>LA-704234</t>
  </si>
  <si>
    <t>LA-704235</t>
  </si>
  <si>
    <t>LA-704236</t>
  </si>
  <si>
    <t>LA-704237</t>
  </si>
  <si>
    <t>LA-704238</t>
  </si>
  <si>
    <t>LA-704239</t>
  </si>
  <si>
    <t>LA-704240</t>
  </si>
  <si>
    <t>LA-704241</t>
  </si>
  <si>
    <t>LA-704242</t>
  </si>
  <si>
    <t>LA-704243</t>
  </si>
  <si>
    <t>LA-704244</t>
  </si>
  <si>
    <t>LA-704245</t>
  </si>
  <si>
    <t>LA-704246</t>
  </si>
  <si>
    <t>LA-704247</t>
  </si>
  <si>
    <t>LA-704248</t>
  </si>
  <si>
    <t>LA-704249</t>
  </si>
  <si>
    <t>LA-704250</t>
  </si>
  <si>
    <t>LA-704251</t>
  </si>
  <si>
    <t>LA-704252</t>
  </si>
  <si>
    <t>LA-704253</t>
  </si>
  <si>
    <t>LA-704254</t>
  </si>
  <si>
    <t>LA-704255</t>
  </si>
  <si>
    <t>LA-704256</t>
  </si>
  <si>
    <t>LA-704257</t>
  </si>
  <si>
    <t>LA-704258</t>
  </si>
  <si>
    <t>LA-704259</t>
  </si>
  <si>
    <t>LA-704260</t>
  </si>
  <si>
    <t>LA-704261</t>
  </si>
  <si>
    <t>LA-704262</t>
  </si>
  <si>
    <t>LA-704263</t>
  </si>
  <si>
    <t>LA-704264</t>
  </si>
  <si>
    <t>LA-704265</t>
  </si>
  <si>
    <t>LA-704266</t>
  </si>
  <si>
    <t>LA-704267</t>
  </si>
  <si>
    <t>LA-704268</t>
  </si>
  <si>
    <t>LA-704269</t>
  </si>
  <si>
    <t>LA-704270</t>
  </si>
  <si>
    <t>LA-704271</t>
  </si>
  <si>
    <t>LA-704272</t>
  </si>
  <si>
    <t>LA-704273</t>
  </si>
  <si>
    <t>LA-704274</t>
  </si>
  <si>
    <t>LA-704275</t>
  </si>
  <si>
    <t>LA-704276</t>
  </si>
  <si>
    <t>LA-704277</t>
  </si>
  <si>
    <t>LA-704278</t>
  </si>
  <si>
    <t>LA-704279</t>
  </si>
  <si>
    <t>LA-704280</t>
  </si>
  <si>
    <t>LA-704281</t>
  </si>
  <si>
    <t>LA-704282</t>
  </si>
  <si>
    <t>LA-704283</t>
  </si>
  <si>
    <t>LA-704284</t>
  </si>
  <si>
    <t>LA-704285</t>
  </si>
  <si>
    <t>LA-704286</t>
  </si>
  <si>
    <t>LA-704287</t>
  </si>
  <si>
    <t>LA-704288</t>
  </si>
  <si>
    <t>LA-704289</t>
  </si>
  <si>
    <t>LA-704290</t>
  </si>
  <si>
    <t>LA-704291</t>
  </si>
  <si>
    <t>LA-704292</t>
  </si>
  <si>
    <t>LA-704293</t>
  </si>
  <si>
    <t>LA-704294</t>
  </si>
  <si>
    <t>LA-704295</t>
  </si>
  <si>
    <t>LA-704296</t>
  </si>
  <si>
    <t>LA-704297</t>
  </si>
  <si>
    <t>LA-704298</t>
  </si>
  <si>
    <t>LA-704299</t>
  </si>
  <si>
    <t>LA-704300</t>
  </si>
  <si>
    <t>LA-704301</t>
  </si>
  <si>
    <t>LA-704302</t>
  </si>
  <si>
    <t>LA-704303</t>
  </si>
  <si>
    <t>LA-704304</t>
  </si>
  <si>
    <t>LA-704305</t>
  </si>
  <si>
    <t>LA-704306</t>
  </si>
  <si>
    <t>LA-704307</t>
  </si>
  <si>
    <t>LA-704308</t>
  </si>
  <si>
    <t>LA-704309</t>
  </si>
  <si>
    <t>LA-704310</t>
  </si>
  <si>
    <t>LA-704311</t>
  </si>
  <si>
    <t>LA-704312</t>
  </si>
  <si>
    <t>LA-704313</t>
  </si>
  <si>
    <t>LA-704314</t>
  </si>
  <si>
    <t>LA-704315</t>
  </si>
  <si>
    <t>LA-704316</t>
  </si>
  <si>
    <t>LA-704317</t>
  </si>
  <si>
    <t>LA-704318</t>
  </si>
  <si>
    <t>LA-704319</t>
  </si>
  <si>
    <t>LA-704320</t>
  </si>
  <si>
    <t>LA-704321</t>
  </si>
  <si>
    <t>LA-704322</t>
  </si>
  <si>
    <t>LA-704323</t>
  </si>
  <si>
    <t>LA-704324</t>
  </si>
  <si>
    <t>LA-704325</t>
  </si>
  <si>
    <t>LA-704326</t>
  </si>
  <si>
    <t>LA-704327</t>
  </si>
  <si>
    <t>LA-704328</t>
  </si>
  <si>
    <t>LA-704329</t>
  </si>
  <si>
    <t>LA-704330</t>
  </si>
  <si>
    <t>LA-704331</t>
  </si>
  <si>
    <t>LA-704332</t>
  </si>
  <si>
    <t>LA-704333</t>
  </si>
  <si>
    <t>LA-704334</t>
  </si>
  <si>
    <t>LA-704335</t>
  </si>
  <si>
    <t>LA-704336</t>
  </si>
  <si>
    <t>LA-704337</t>
  </si>
  <si>
    <t>LA-704338</t>
  </si>
  <si>
    <t>LA-704339</t>
  </si>
  <si>
    <t>LA-704340</t>
  </si>
  <si>
    <t>LA-704341</t>
  </si>
  <si>
    <t>LA-704342</t>
  </si>
  <si>
    <t>LA-704343</t>
  </si>
  <si>
    <t>LA-704344</t>
  </si>
  <si>
    <t>LA-704345</t>
  </si>
  <si>
    <t>LA-704346</t>
  </si>
  <si>
    <t>LA-704347</t>
  </si>
  <si>
    <t>LA-704348</t>
  </si>
  <si>
    <t>LA-704349</t>
  </si>
  <si>
    <t>LA-704350</t>
  </si>
  <si>
    <t>LA-704351</t>
  </si>
  <si>
    <t>LA-704352</t>
  </si>
  <si>
    <t>LA-704353</t>
  </si>
  <si>
    <t>LA-704354</t>
  </si>
  <si>
    <t>LA-704355</t>
  </si>
  <si>
    <t>LA-704356</t>
  </si>
  <si>
    <t>LA-704357</t>
  </si>
  <si>
    <t>LA-704358</t>
  </si>
  <si>
    <t>LA-704359</t>
  </si>
  <si>
    <t>LA-704360</t>
  </si>
  <si>
    <t>LA-704361</t>
  </si>
  <si>
    <t>LA-704362</t>
  </si>
  <si>
    <t>LA-704363</t>
  </si>
  <si>
    <t>LA-704364</t>
  </si>
  <si>
    <t>LA-704365</t>
  </si>
  <si>
    <t>LA-704366</t>
  </si>
  <si>
    <t>LA-704367</t>
  </si>
  <si>
    <t>LA-704368</t>
  </si>
  <si>
    <t>LA-704369</t>
  </si>
  <si>
    <t>LA-704370</t>
  </si>
  <si>
    <t>LA-704371</t>
  </si>
  <si>
    <t>LA-704372</t>
  </si>
  <si>
    <t>LA-704373</t>
  </si>
  <si>
    <t>LA-704374</t>
  </si>
  <si>
    <t>LA-704375</t>
  </si>
  <si>
    <t>LA-704376</t>
  </si>
  <si>
    <t>LA-704377</t>
  </si>
  <si>
    <t>LA-704378</t>
  </si>
  <si>
    <t>LA-704379</t>
  </si>
  <si>
    <t>LA-704380</t>
  </si>
  <si>
    <t>LA-704381</t>
  </si>
  <si>
    <t>LA-704382</t>
  </si>
  <si>
    <t>LA-704383</t>
  </si>
  <si>
    <t>LA-704384</t>
  </si>
  <si>
    <t>LA-704385</t>
  </si>
  <si>
    <t>LA-704386</t>
  </si>
  <si>
    <t>LA-704387</t>
  </si>
  <si>
    <t>LA-704388</t>
  </si>
  <si>
    <t>LA-704389</t>
  </si>
  <si>
    <t>LA-704390</t>
  </si>
  <si>
    <t>LA-704391</t>
  </si>
  <si>
    <t>LA-704392</t>
  </si>
  <si>
    <t>LA-704393</t>
  </si>
  <si>
    <t>LA-704394</t>
  </si>
  <si>
    <t>LA-704395</t>
  </si>
  <si>
    <t>LA-704396</t>
  </si>
  <si>
    <t>LA-704397</t>
  </si>
  <si>
    <t>LA-704398</t>
  </si>
  <si>
    <t>LA-704399</t>
  </si>
  <si>
    <t>LA-704400</t>
  </si>
  <si>
    <t>LA-704401</t>
  </si>
  <si>
    <t>LA-704402</t>
  </si>
  <si>
    <t>LA-704403</t>
  </si>
  <si>
    <t>LA-704404</t>
  </si>
  <si>
    <t>LA-704405</t>
  </si>
  <si>
    <t>LA-704406</t>
  </si>
  <si>
    <t>LA-704407</t>
  </si>
  <si>
    <t>LA-704408</t>
  </si>
  <si>
    <t>LA-704409</t>
  </si>
  <si>
    <t>LA-704410</t>
  </si>
  <si>
    <t>LA-704411</t>
  </si>
  <si>
    <t>LA-704412</t>
  </si>
  <si>
    <t>LA-704413</t>
  </si>
  <si>
    <t>LA-704414</t>
  </si>
  <si>
    <t>LA-704415</t>
  </si>
  <si>
    <t>LA-704416</t>
  </si>
  <si>
    <t>LA-704417</t>
  </si>
  <si>
    <t>LA-704418</t>
  </si>
  <si>
    <t>LA-704419</t>
  </si>
  <si>
    <t>LA-704420</t>
  </si>
  <si>
    <t>LA-704421</t>
  </si>
  <si>
    <t>LA-704422</t>
  </si>
  <si>
    <t>LA-704423</t>
  </si>
  <si>
    <t>LA-704424</t>
  </si>
  <si>
    <t>LA-704425</t>
  </si>
  <si>
    <t>LA-704426</t>
  </si>
  <si>
    <t>LA-704427</t>
  </si>
  <si>
    <t>LA-704428</t>
  </si>
  <si>
    <t>LA-704429</t>
  </si>
  <si>
    <t>LA-704430</t>
  </si>
  <si>
    <t>LA-704431</t>
  </si>
  <si>
    <t>LA-704432</t>
  </si>
  <si>
    <t>LA-704433</t>
  </si>
  <si>
    <t>LA-704434</t>
  </si>
  <si>
    <t>LA-704435</t>
  </si>
  <si>
    <t>LA-704436</t>
  </si>
  <si>
    <t>LA-704437</t>
  </si>
  <si>
    <t>LA-704438</t>
  </si>
  <si>
    <t>LA-704439</t>
  </si>
  <si>
    <t>LA-704440</t>
  </si>
  <si>
    <t>LA-704441</t>
  </si>
  <si>
    <t>LA-704442</t>
  </si>
  <si>
    <t>LA-704443</t>
  </si>
  <si>
    <t>LA-704444</t>
  </si>
  <si>
    <t>LA-704445</t>
  </si>
  <si>
    <t>LA-704446</t>
  </si>
  <si>
    <t>LA-704447</t>
  </si>
  <si>
    <t>LA-704448</t>
  </si>
  <si>
    <t>LA-704449</t>
  </si>
  <si>
    <t>LA-704450</t>
  </si>
  <si>
    <t>LA-704451</t>
  </si>
  <si>
    <t>LA-704452</t>
  </si>
  <si>
    <t>LA-704453</t>
  </si>
  <si>
    <t>LA-704454</t>
  </si>
  <si>
    <t>LA-704455</t>
  </si>
  <si>
    <t>LA-704456</t>
  </si>
  <si>
    <t>LA-704457</t>
  </si>
  <si>
    <t>LA-704458</t>
  </si>
  <si>
    <t>LA-704459</t>
  </si>
  <si>
    <t>LA-704460</t>
  </si>
  <si>
    <t>LA-704461</t>
  </si>
  <si>
    <t>LA-704462</t>
  </si>
  <si>
    <t>LA-704463</t>
  </si>
  <si>
    <t>LA-704464</t>
  </si>
  <si>
    <t>LA-704465</t>
  </si>
  <si>
    <t>LA-704466</t>
  </si>
  <si>
    <t>LA-704467</t>
  </si>
  <si>
    <t>LA-704468</t>
  </si>
  <si>
    <t>LA-704469</t>
  </si>
  <si>
    <t>LA-704470</t>
  </si>
  <si>
    <t>LA-704471</t>
  </si>
  <si>
    <t>LA-704472</t>
  </si>
  <si>
    <t>LA-704473</t>
  </si>
  <si>
    <t>LA-704474</t>
  </si>
  <si>
    <t>LA-704475</t>
  </si>
  <si>
    <t>LA-704476</t>
  </si>
  <si>
    <t>LA-704477</t>
  </si>
  <si>
    <t>LA-704478</t>
  </si>
  <si>
    <t>LA-704479</t>
  </si>
  <si>
    <t>LA-704480</t>
  </si>
  <si>
    <t>LA-704481</t>
  </si>
  <si>
    <t>LA-704482</t>
  </si>
  <si>
    <t>LA-704483</t>
  </si>
  <si>
    <t>LA-704484</t>
  </si>
  <si>
    <t>LA-704485</t>
  </si>
  <si>
    <t>LA-704486</t>
  </si>
  <si>
    <t>LA-704487</t>
  </si>
  <si>
    <t>LA-704488</t>
  </si>
  <si>
    <t>LA-704489</t>
  </si>
  <si>
    <t>LA-704490</t>
  </si>
  <si>
    <t>LA-704491</t>
  </si>
  <si>
    <t>LA-704492</t>
  </si>
  <si>
    <t>LA-704493</t>
  </si>
  <si>
    <t>LA-704494</t>
  </si>
  <si>
    <t>LA-704495</t>
  </si>
  <si>
    <t>LA-704496</t>
  </si>
  <si>
    <t>LA-704497</t>
  </si>
  <si>
    <t>LA-704498</t>
  </si>
  <si>
    <t>LA-704499</t>
  </si>
  <si>
    <t>LA-704500</t>
  </si>
  <si>
    <t>LA-704501</t>
  </si>
  <si>
    <t>LA-704502</t>
  </si>
  <si>
    <t>LA-704503</t>
  </si>
  <si>
    <t>LA-704504</t>
  </si>
  <si>
    <t>LA-704505</t>
  </si>
  <si>
    <t>LA-704506</t>
  </si>
  <si>
    <t>LA-704507</t>
  </si>
  <si>
    <t>LA-704508</t>
  </si>
  <si>
    <t>LA-704509</t>
  </si>
  <si>
    <t>LA-704510</t>
  </si>
  <si>
    <t>LA-704511</t>
  </si>
  <si>
    <t>LA-704512</t>
  </si>
  <si>
    <t>LA-704513</t>
  </si>
  <si>
    <t>LA-704514</t>
  </si>
  <si>
    <t>LA-704515</t>
  </si>
  <si>
    <t>LA-704516</t>
  </si>
  <si>
    <t>LA-704517</t>
  </si>
  <si>
    <t>LA-704518</t>
  </si>
  <si>
    <t>LA-704519</t>
  </si>
  <si>
    <t>LA-704520</t>
  </si>
  <si>
    <t>LA-704521</t>
  </si>
  <si>
    <t>LA-704522</t>
  </si>
  <si>
    <t>LA-704523</t>
  </si>
  <si>
    <t>LA-704524</t>
  </si>
  <si>
    <t>LA-704525</t>
  </si>
  <si>
    <t>LA-704526</t>
  </si>
  <si>
    <t>LA-704527</t>
  </si>
  <si>
    <t>LA-704528</t>
  </si>
  <si>
    <t>LA-704529</t>
  </si>
  <si>
    <t>LA-704530</t>
  </si>
  <si>
    <t>LA-704531</t>
  </si>
  <si>
    <t>LA-704532</t>
  </si>
  <si>
    <t>LA-704533</t>
  </si>
  <si>
    <t>LA-704534</t>
  </si>
  <si>
    <t>LA-704535</t>
  </si>
  <si>
    <t>LA-704536</t>
  </si>
  <si>
    <t>LA-704537</t>
  </si>
  <si>
    <t>LA-704538</t>
  </si>
  <si>
    <t>LA-704539</t>
  </si>
  <si>
    <t>LA-704540</t>
  </si>
  <si>
    <t>LA-704541</t>
  </si>
  <si>
    <t>LA-704542</t>
  </si>
  <si>
    <t>LA-704543</t>
  </si>
  <si>
    <t>LA-704544</t>
  </si>
  <si>
    <t>LA-704545</t>
  </si>
  <si>
    <t>LA-704546</t>
  </si>
  <si>
    <t>LA-704547</t>
  </si>
  <si>
    <t>LA-704548</t>
  </si>
  <si>
    <t>LA-704549</t>
  </si>
  <si>
    <t>LA-704550</t>
  </si>
  <si>
    <t>LA-704551</t>
  </si>
  <si>
    <t>LA-704552</t>
  </si>
  <si>
    <t>LA-704553</t>
  </si>
  <si>
    <t>LA-704554</t>
  </si>
  <si>
    <t>LA-704555</t>
  </si>
  <si>
    <t>LA-704556</t>
  </si>
  <si>
    <t>LA-704557</t>
  </si>
  <si>
    <t>LA-704558</t>
  </si>
  <si>
    <t>LA-704559</t>
  </si>
  <si>
    <t>LA-704560</t>
  </si>
  <si>
    <t>LA-704561</t>
  </si>
  <si>
    <t>LA-704562</t>
  </si>
  <si>
    <t>LA-704563</t>
  </si>
  <si>
    <t>LA-704564</t>
  </si>
  <si>
    <t>LA-704565</t>
  </si>
  <si>
    <t>LA-704566</t>
  </si>
  <si>
    <t>LA-704567</t>
  </si>
  <si>
    <t>LA-704568</t>
  </si>
  <si>
    <t>LA-704569</t>
  </si>
  <si>
    <t>LA-704570</t>
  </si>
  <si>
    <t>LA-704571</t>
  </si>
  <si>
    <t>LA-704572</t>
  </si>
  <si>
    <t>LA-704573</t>
  </si>
  <si>
    <t>LA-704574</t>
  </si>
  <si>
    <t>LA-704575</t>
  </si>
  <si>
    <t>LA-704576</t>
  </si>
  <si>
    <t>LA-704577</t>
  </si>
  <si>
    <t>LA-704578</t>
  </si>
  <si>
    <t>LA-704579</t>
  </si>
  <si>
    <t>LA-704580</t>
  </si>
  <si>
    <t>LA-704581</t>
  </si>
  <si>
    <t>LA-704582</t>
  </si>
  <si>
    <t>LA-704583</t>
  </si>
  <si>
    <t>LA-704584</t>
  </si>
  <si>
    <t>LA-704585</t>
  </si>
  <si>
    <t>LA-704586</t>
  </si>
  <si>
    <t>LA-704587</t>
  </si>
  <si>
    <t>LA-704588</t>
  </si>
  <si>
    <t>LA-704589</t>
  </si>
  <si>
    <t>LA-704590</t>
  </si>
  <si>
    <t>LA-704591</t>
  </si>
  <si>
    <t>LA-704592</t>
  </si>
  <si>
    <t>LA-704593</t>
  </si>
  <si>
    <t>LA-704594</t>
  </si>
  <si>
    <t>LA-704595</t>
  </si>
  <si>
    <t>LA-704596</t>
  </si>
  <si>
    <t>LA-704597</t>
  </si>
  <si>
    <t>LA-704598</t>
  </si>
  <si>
    <t>LA-704599</t>
  </si>
  <si>
    <t>LA-704600</t>
  </si>
  <si>
    <t>LA-704601</t>
  </si>
  <si>
    <t>LA-704602</t>
  </si>
  <si>
    <t>LA-704603</t>
  </si>
  <si>
    <t>LA-704604</t>
  </si>
  <si>
    <t>LA-704605</t>
  </si>
  <si>
    <t>LA-704606</t>
  </si>
  <si>
    <t>LA-704607</t>
  </si>
  <si>
    <t>LA-704608</t>
  </si>
  <si>
    <t>LA-704609</t>
  </si>
  <si>
    <t>LA-704610</t>
  </si>
  <si>
    <t>LA-704611</t>
  </si>
  <si>
    <t>LA-704612</t>
  </si>
  <si>
    <t>LA-704613</t>
  </si>
  <si>
    <t>LA-704614</t>
  </si>
  <si>
    <t>LA-704615</t>
  </si>
  <si>
    <t>LA-704616</t>
  </si>
  <si>
    <t>LA-704617</t>
  </si>
  <si>
    <t>LA-704618</t>
  </si>
  <si>
    <t>LA-704619</t>
  </si>
  <si>
    <t>LA-704620</t>
  </si>
  <si>
    <t>LA-704621</t>
  </si>
  <si>
    <t>LA-704622</t>
  </si>
  <si>
    <t>LA-704623</t>
  </si>
  <si>
    <t>LA-704624</t>
  </si>
  <si>
    <t>LA-704625</t>
  </si>
  <si>
    <t>LA-704626</t>
  </si>
  <si>
    <t>LA-704627</t>
  </si>
  <si>
    <t>LA-704628</t>
  </si>
  <si>
    <t>LA-704629</t>
  </si>
  <si>
    <t>LA-704630</t>
  </si>
  <si>
    <t>LA-704631</t>
  </si>
  <si>
    <t>LA-704632</t>
  </si>
  <si>
    <t>LA-704633</t>
  </si>
  <si>
    <t>LA-704634</t>
  </si>
  <si>
    <t>LA-704635</t>
  </si>
  <si>
    <t>LA-704636</t>
  </si>
  <si>
    <t>LA-704637</t>
  </si>
  <si>
    <t>LA-704638</t>
  </si>
  <si>
    <t>LA-704639</t>
  </si>
  <si>
    <t>LA-704640</t>
  </si>
  <si>
    <t>LA-704641</t>
  </si>
  <si>
    <t>LA-704642</t>
  </si>
  <si>
    <t>LA-704643</t>
  </si>
  <si>
    <t>LA-704644</t>
  </si>
  <si>
    <t>LA-704645</t>
  </si>
  <si>
    <t>LA-704646</t>
  </si>
  <si>
    <t>LA-704647</t>
  </si>
  <si>
    <t>LA-704648</t>
  </si>
  <si>
    <t>LA-704649</t>
  </si>
  <si>
    <t>LA-704650</t>
  </si>
  <si>
    <t>LA-704651</t>
  </si>
  <si>
    <t>LA-704652</t>
  </si>
  <si>
    <t>LA-704653</t>
  </si>
  <si>
    <t>LA-704654</t>
  </si>
  <si>
    <t>LA-704655</t>
  </si>
  <si>
    <t>LA-704656</t>
  </si>
  <si>
    <t>LA-704657</t>
  </si>
  <si>
    <t>LA-704658</t>
  </si>
  <si>
    <t>LA-704659</t>
  </si>
  <si>
    <t>LA-704660</t>
  </si>
  <si>
    <t>LA-704661</t>
  </si>
  <si>
    <t>LA-704662</t>
  </si>
  <si>
    <t>LA-704663</t>
  </si>
  <si>
    <t>LA-704664</t>
  </si>
  <si>
    <t>LA-704665</t>
  </si>
  <si>
    <t>LA-704666</t>
  </si>
  <si>
    <t>LA-704667</t>
  </si>
  <si>
    <t>LA-704668</t>
  </si>
  <si>
    <t>LA-704669</t>
  </si>
  <si>
    <t>LA-704670</t>
  </si>
  <si>
    <t>LA-704671</t>
  </si>
  <si>
    <t>LA-704672</t>
  </si>
  <si>
    <t>LA-704673</t>
  </si>
  <si>
    <t>LA-704674</t>
  </si>
  <si>
    <t>LA-704675</t>
  </si>
  <si>
    <t>LA-704676</t>
  </si>
  <si>
    <t>LA-704677</t>
  </si>
  <si>
    <t>LA-704678</t>
  </si>
  <si>
    <t>LA-704679</t>
  </si>
  <si>
    <t>LA-704680</t>
  </si>
  <si>
    <t>LA-704681</t>
  </si>
  <si>
    <t>LA-704682</t>
  </si>
  <si>
    <t>LA-704683</t>
  </si>
  <si>
    <t>LA-704684</t>
  </si>
  <si>
    <t>LA-704685</t>
  </si>
  <si>
    <t>LA-704686</t>
  </si>
  <si>
    <t>LA-704687</t>
  </si>
  <si>
    <t>LA-704688</t>
  </si>
  <si>
    <t>LA-704689</t>
  </si>
  <si>
    <t>LA-704690</t>
  </si>
  <si>
    <t>LA-704691</t>
  </si>
  <si>
    <t>LA-704692</t>
  </si>
  <si>
    <t>LA-704693</t>
  </si>
  <si>
    <t>LA-704694</t>
  </si>
  <si>
    <t>LA-704695</t>
  </si>
  <si>
    <t>LA-704696</t>
  </si>
  <si>
    <t>LA-704697</t>
  </si>
  <si>
    <t>LA-704698</t>
  </si>
  <si>
    <t>LA-704699</t>
  </si>
  <si>
    <t>LA-704700</t>
  </si>
  <si>
    <t>LA-704701</t>
  </si>
  <si>
    <t>LA-704702</t>
  </si>
  <si>
    <t>LA-704703</t>
  </si>
  <si>
    <t>LA-704704</t>
  </si>
  <si>
    <t>LA-704705</t>
  </si>
  <si>
    <t>LA-704706</t>
  </si>
  <si>
    <t>LA-704707</t>
  </si>
  <si>
    <t>LA-704708</t>
  </si>
  <si>
    <t>LA-704709</t>
  </si>
  <si>
    <t>LA-704710</t>
  </si>
  <si>
    <t>LA-704711</t>
  </si>
  <si>
    <t>LA-704712</t>
  </si>
  <si>
    <t>LA-704713</t>
  </si>
  <si>
    <t>LA-704714</t>
  </si>
  <si>
    <t>LA-704715</t>
  </si>
  <si>
    <t>LA-704716</t>
  </si>
  <si>
    <t>LA-704717</t>
  </si>
  <si>
    <t>LA-704718</t>
  </si>
  <si>
    <t>LA-704719</t>
  </si>
  <si>
    <t>LA-704720</t>
  </si>
  <si>
    <t>LA-704721</t>
  </si>
  <si>
    <t>LA-704722</t>
  </si>
  <si>
    <t>LA-704723</t>
  </si>
  <si>
    <t>LA-704724</t>
  </si>
  <si>
    <t>LA-704725</t>
  </si>
  <si>
    <t>LA-704726</t>
  </si>
  <si>
    <t>LA-704727</t>
  </si>
  <si>
    <t>LA-704728</t>
  </si>
  <si>
    <t>LA-704729</t>
  </si>
  <si>
    <t>LA-704730</t>
  </si>
  <si>
    <t>LA-704731</t>
  </si>
  <si>
    <t>LA-704732</t>
  </si>
  <si>
    <t>LA-704733</t>
  </si>
  <si>
    <t>LA-704734</t>
  </si>
  <si>
    <t>LA-704735</t>
  </si>
  <si>
    <t>LA-704736</t>
  </si>
  <si>
    <t>LA-704737</t>
  </si>
  <si>
    <t>LA-704738</t>
  </si>
  <si>
    <t>LA-704739</t>
  </si>
  <si>
    <t>LA-704740</t>
  </si>
  <si>
    <t>LA-704741</t>
  </si>
  <si>
    <t>LA-704742</t>
  </si>
  <si>
    <t>LA-704743</t>
  </si>
  <si>
    <t>LA-704744</t>
  </si>
  <si>
    <t>LA-704745</t>
  </si>
  <si>
    <t>LA-704746</t>
  </si>
  <si>
    <t>LA-704747</t>
  </si>
  <si>
    <t>LA-704748</t>
  </si>
  <si>
    <t>LA-704749</t>
  </si>
  <si>
    <t>LA-704750</t>
  </si>
  <si>
    <t>LA-704751</t>
  </si>
  <si>
    <t>LA-704752</t>
  </si>
  <si>
    <t>LA-704753</t>
  </si>
  <si>
    <t>LA-704754</t>
  </si>
  <si>
    <t>LA-704755</t>
  </si>
  <si>
    <t>LA-704756</t>
  </si>
  <si>
    <t>LA-704757</t>
  </si>
  <si>
    <t>LA-704758</t>
  </si>
  <si>
    <t>LA-704759</t>
  </si>
  <si>
    <t>LA-704760</t>
  </si>
  <si>
    <t>LA-704761</t>
  </si>
  <si>
    <t>LA-704762</t>
  </si>
  <si>
    <t>LA-704763</t>
  </si>
  <si>
    <t>LA-704764</t>
  </si>
  <si>
    <t>LA-704765</t>
  </si>
  <si>
    <t>LA-704766</t>
  </si>
  <si>
    <t>LA-704767</t>
  </si>
  <si>
    <t>LA-704768</t>
  </si>
  <si>
    <t>LA-704769</t>
  </si>
  <si>
    <t>LA-704770</t>
  </si>
  <si>
    <t>LA-704771</t>
  </si>
  <si>
    <t>LA-704772</t>
  </si>
  <si>
    <t>LA-704773</t>
  </si>
  <si>
    <t>LA-704774</t>
  </si>
  <si>
    <t>LA-704775</t>
  </si>
  <si>
    <t>LA-704776</t>
  </si>
  <si>
    <t>LA-704777</t>
  </si>
  <si>
    <t>LA-704778</t>
  </si>
  <si>
    <t>LA-704779</t>
  </si>
  <si>
    <t>LA-704780</t>
  </si>
  <si>
    <t>LA-704781</t>
  </si>
  <si>
    <t>LA-704782</t>
  </si>
  <si>
    <t>LA-704783</t>
  </si>
  <si>
    <t>LA-704784</t>
  </si>
  <si>
    <t>LA-704785</t>
  </si>
  <si>
    <t>LA-704786</t>
  </si>
  <si>
    <t>LA-704787</t>
  </si>
  <si>
    <t>LA-704788</t>
  </si>
  <si>
    <t>LA-704789</t>
  </si>
  <si>
    <t>LA-704790</t>
  </si>
  <si>
    <t>LA-704791</t>
  </si>
  <si>
    <t>LA-704792</t>
  </si>
  <si>
    <t>LA-704793</t>
  </si>
  <si>
    <t>LA-704794</t>
  </si>
  <si>
    <t>LA-704795</t>
  </si>
  <si>
    <t>LA-704796</t>
  </si>
  <si>
    <t>LA-704797</t>
  </si>
  <si>
    <t>LA-704798</t>
  </si>
  <si>
    <t>LA-704799</t>
  </si>
  <si>
    <t>LA-704800</t>
  </si>
  <si>
    <t>LA-704801</t>
  </si>
  <si>
    <t>LA-704802</t>
  </si>
  <si>
    <t>LA-704803</t>
  </si>
  <si>
    <t>LA-704804</t>
  </si>
  <si>
    <t>LA-704805</t>
  </si>
  <si>
    <t>LA-704806</t>
  </si>
  <si>
    <t>LA-704807</t>
  </si>
  <si>
    <t>LA-704808</t>
  </si>
  <si>
    <t>LA-704809</t>
  </si>
  <si>
    <t>LA-704810</t>
  </si>
  <si>
    <t>LA-704811</t>
  </si>
  <si>
    <t>LA-704812</t>
  </si>
  <si>
    <t>LA-704813</t>
  </si>
  <si>
    <t>LA-704814</t>
  </si>
  <si>
    <t>LA-704815</t>
  </si>
  <si>
    <t>LA-704816</t>
  </si>
  <si>
    <t>LA-704817</t>
  </si>
  <si>
    <t>LA-704818</t>
  </si>
  <si>
    <t>LA-704819</t>
  </si>
  <si>
    <t>LA-704820</t>
  </si>
  <si>
    <t>LA-704821</t>
  </si>
  <si>
    <t>LA-704822</t>
  </si>
  <si>
    <t>LA-704823</t>
  </si>
  <si>
    <t>LA-704824</t>
  </si>
  <si>
    <t>LA-704825</t>
  </si>
  <si>
    <t>LA-704826</t>
  </si>
  <si>
    <t>LA-704827</t>
  </si>
  <si>
    <t>LA-704828</t>
  </si>
  <si>
    <t>LA-704829</t>
  </si>
  <si>
    <t>LA-704830</t>
  </si>
  <si>
    <t>LA-704831</t>
  </si>
  <si>
    <t>LA-704832</t>
  </si>
  <si>
    <t>LA-704833</t>
  </si>
  <si>
    <t>LA-704834</t>
  </si>
  <si>
    <t>LA-704835</t>
  </si>
  <si>
    <t>LA-704836</t>
  </si>
  <si>
    <t>LA-704837</t>
  </si>
  <si>
    <t>LA-704838</t>
  </si>
  <si>
    <t>LA-704839</t>
  </si>
  <si>
    <t>LA-704840</t>
  </si>
  <si>
    <t>LA-704841</t>
  </si>
  <si>
    <t>LA-704842</t>
  </si>
  <si>
    <t>LA-704843</t>
  </si>
  <si>
    <t>LA-704844</t>
  </si>
  <si>
    <t>LA-704845</t>
  </si>
  <si>
    <t>LA-704846</t>
  </si>
  <si>
    <t>LA-704847</t>
  </si>
  <si>
    <t>LA-704848</t>
  </si>
  <si>
    <t>LA-704849</t>
  </si>
  <si>
    <t>LA-704850</t>
  </si>
  <si>
    <t>LA-704851</t>
  </si>
  <si>
    <t>LA-704852</t>
  </si>
  <si>
    <t>LA-704853</t>
  </si>
  <si>
    <t>LA-704854</t>
  </si>
  <si>
    <t>LA-704855</t>
  </si>
  <si>
    <t>LA-704856</t>
  </si>
  <si>
    <t>LA-704857</t>
  </si>
  <si>
    <t>LA-704858</t>
  </si>
  <si>
    <t>LA-704859</t>
  </si>
  <si>
    <t>LA-704860</t>
  </si>
  <si>
    <t>LA-704861</t>
  </si>
  <si>
    <t>LA-704862</t>
  </si>
  <si>
    <t>LA-704863</t>
  </si>
  <si>
    <t>LA-704864</t>
  </si>
  <si>
    <t>LA-704865</t>
  </si>
  <si>
    <t>LA-704866</t>
  </si>
  <si>
    <t>LA-704867</t>
  </si>
  <si>
    <t>LA-704868</t>
  </si>
  <si>
    <t>LA-704869</t>
  </si>
  <si>
    <t>LA-704870</t>
  </si>
  <si>
    <t>LA-704871</t>
  </si>
  <si>
    <t>LA-704872</t>
  </si>
  <si>
    <t>LA-704873</t>
  </si>
  <si>
    <t>LA-704874</t>
  </si>
  <si>
    <t>LA-704875</t>
  </si>
  <si>
    <t>LA-704876</t>
  </si>
  <si>
    <t>LA-704877</t>
  </si>
  <si>
    <t>LA-704878</t>
  </si>
  <si>
    <t>LA-704879</t>
  </si>
  <si>
    <t>LA-704880</t>
  </si>
  <si>
    <t>LA-704881</t>
  </si>
  <si>
    <t>LA-704882</t>
  </si>
  <si>
    <t>LA-704883</t>
  </si>
  <si>
    <t>LA-704884</t>
  </si>
  <si>
    <t>LA-704885</t>
  </si>
  <si>
    <t>LA-704886</t>
  </si>
  <si>
    <t>LA-704887</t>
  </si>
  <si>
    <t>LA-704888</t>
  </si>
  <si>
    <t>LA-704889</t>
  </si>
  <si>
    <t>LA-704890</t>
  </si>
  <si>
    <t>LA-704891</t>
  </si>
  <si>
    <t>LA-704892</t>
  </si>
  <si>
    <t>LA-704893</t>
  </si>
  <si>
    <t>LA-704894</t>
  </si>
  <si>
    <t>LA-704895</t>
  </si>
  <si>
    <t>LA-704896</t>
  </si>
  <si>
    <t>LA-704897</t>
  </si>
  <si>
    <t>LA-704898</t>
  </si>
  <si>
    <t>LA-704899</t>
  </si>
  <si>
    <t>LA-704900</t>
  </si>
  <si>
    <t>LA-704901</t>
  </si>
  <si>
    <t>LA-704902</t>
  </si>
  <si>
    <t>LA-704903</t>
  </si>
  <si>
    <t>LA-704904</t>
  </si>
  <si>
    <t>LA-704905</t>
  </si>
  <si>
    <t>LA-704906</t>
  </si>
  <si>
    <t>LA-704907</t>
  </si>
  <si>
    <t>LA-704908</t>
  </si>
  <si>
    <t>LA-704909</t>
  </si>
  <si>
    <t>LA-704910</t>
  </si>
  <si>
    <t>LA-704911</t>
  </si>
  <si>
    <t>LA-704912</t>
  </si>
  <si>
    <t>LA-704913</t>
  </si>
  <si>
    <t>LA-704914</t>
  </si>
  <si>
    <t>LA-704915</t>
  </si>
  <si>
    <t>LA-704916</t>
  </si>
  <si>
    <t>LA-704917</t>
  </si>
  <si>
    <t>LA-704918</t>
  </si>
  <si>
    <t>LA-704919</t>
  </si>
  <si>
    <t>LA-704920</t>
  </si>
  <si>
    <t>LA-704921</t>
  </si>
  <si>
    <t>LA-704922</t>
  </si>
  <si>
    <t>LA-704923</t>
  </si>
  <si>
    <t>LA-704924</t>
  </si>
  <si>
    <t>LA-704925</t>
  </si>
  <si>
    <t>LA-704926</t>
  </si>
  <si>
    <t>LA-704927</t>
  </si>
  <si>
    <t>LA-704928</t>
  </si>
  <si>
    <t>LA-704929</t>
  </si>
  <si>
    <t>LA-704930</t>
  </si>
  <si>
    <t>LA-704931</t>
  </si>
  <si>
    <t>LA-704932</t>
  </si>
  <si>
    <t>LA-704933</t>
  </si>
  <si>
    <t>LA-704934</t>
  </si>
  <si>
    <t>LA-704935</t>
  </si>
  <si>
    <t>LA-704936</t>
  </si>
  <si>
    <t>LA-704937</t>
  </si>
  <si>
    <t>LA-704938</t>
  </si>
  <si>
    <t>LA-704939</t>
  </si>
  <si>
    <t>LA-704940</t>
  </si>
  <si>
    <t>LA-704941</t>
  </si>
  <si>
    <t>LA-704942</t>
  </si>
  <si>
    <t>LA-704943</t>
  </si>
  <si>
    <t>LA-704944</t>
  </si>
  <si>
    <t>LA-704945</t>
  </si>
  <si>
    <t>LA-704946</t>
  </si>
  <si>
    <t>LA-704947</t>
  </si>
  <si>
    <t>LA-704948</t>
  </si>
  <si>
    <t>LA-704949</t>
  </si>
  <si>
    <t>LA-704950</t>
  </si>
  <si>
    <t>LA-704951</t>
  </si>
  <si>
    <t>LA-704952</t>
  </si>
  <si>
    <t>LA-704953</t>
  </si>
  <si>
    <t>LA-704954</t>
  </si>
  <si>
    <t>LA-704955</t>
  </si>
  <si>
    <t>LA-704956</t>
  </si>
  <si>
    <t>LA-704957</t>
  </si>
  <si>
    <t>LA-704958</t>
  </si>
  <si>
    <t>LA-704959</t>
  </si>
  <si>
    <t>LA-704960</t>
  </si>
  <si>
    <t>LA-704961</t>
  </si>
  <si>
    <t>LA-704962</t>
  </si>
  <si>
    <t>LA-704963</t>
  </si>
  <si>
    <t>LA-704964</t>
  </si>
  <si>
    <t>LA-704965</t>
  </si>
  <si>
    <t>LA-704966</t>
  </si>
  <si>
    <t>LA-704967</t>
  </si>
  <si>
    <t>LA-704968</t>
  </si>
  <si>
    <t>LA-704969</t>
  </si>
  <si>
    <t>LA-704970</t>
  </si>
  <si>
    <t>LA-704971</t>
  </si>
  <si>
    <t>LA-704972</t>
  </si>
  <si>
    <t>LA-704973</t>
  </si>
  <si>
    <t>LA-704974</t>
  </si>
  <si>
    <t>LA-704975</t>
  </si>
  <si>
    <t>LA-704976</t>
  </si>
  <si>
    <t>LA-704977</t>
  </si>
  <si>
    <t>LA-704978</t>
  </si>
  <si>
    <t>LA-704979</t>
  </si>
  <si>
    <t>LA-704980</t>
  </si>
  <si>
    <t>LA-704981</t>
  </si>
  <si>
    <t>LA-704982</t>
  </si>
  <si>
    <t>LA-704983</t>
  </si>
  <si>
    <t>LA-704984</t>
  </si>
  <si>
    <t>LA-704985</t>
  </si>
  <si>
    <t>LA-704986</t>
  </si>
  <si>
    <t>LA-704987</t>
  </si>
  <si>
    <t>LA-704988</t>
  </si>
  <si>
    <t>LA-704989</t>
  </si>
  <si>
    <t>LA-704990</t>
  </si>
  <si>
    <t>LA-704991</t>
  </si>
  <si>
    <t>LA-704992</t>
  </si>
  <si>
    <t>LA-704993</t>
  </si>
  <si>
    <t>LA-704994</t>
  </si>
  <si>
    <t>LA-704995</t>
  </si>
  <si>
    <t>LA-704996</t>
  </si>
  <si>
    <t>LA-704997</t>
  </si>
  <si>
    <t>LA-704998</t>
  </si>
  <si>
    <t>LA-704999</t>
  </si>
  <si>
    <t>LA-705000</t>
  </si>
  <si>
    <t>LA-705001</t>
  </si>
  <si>
    <t>LA-705002</t>
  </si>
  <si>
    <t>LA-705003</t>
  </si>
  <si>
    <t>LA-705004</t>
  </si>
  <si>
    <t>LA-705005</t>
  </si>
  <si>
    <t>LA-705006</t>
  </si>
  <si>
    <t>LA-705007</t>
  </si>
  <si>
    <t>LA-705008</t>
  </si>
  <si>
    <t>LA-705009</t>
  </si>
  <si>
    <t>LA-705010</t>
  </si>
  <si>
    <t>LA-705011</t>
  </si>
  <si>
    <t>LA-705012</t>
  </si>
  <si>
    <t>LA-705013</t>
  </si>
  <si>
    <t>LA-705014</t>
  </si>
  <si>
    <t>LA-705015</t>
  </si>
  <si>
    <t>LA-705016</t>
  </si>
  <si>
    <t>LA-705017</t>
  </si>
  <si>
    <t>LA-705018</t>
  </si>
  <si>
    <t>LA-705019</t>
  </si>
  <si>
    <t>LA-705020</t>
  </si>
  <si>
    <t>LA-705021</t>
  </si>
  <si>
    <t>LA-705022</t>
  </si>
  <si>
    <t>LA-705023</t>
  </si>
  <si>
    <t>LA-705024</t>
  </si>
  <si>
    <t>LA-705025</t>
  </si>
  <si>
    <t>LA-705026</t>
  </si>
  <si>
    <t>LA-705027</t>
  </si>
  <si>
    <t>LA-705028</t>
  </si>
  <si>
    <t>LA-705029</t>
  </si>
  <si>
    <t>LA-705030</t>
  </si>
  <si>
    <t>LA-705031</t>
  </si>
  <si>
    <t>LA-705032</t>
  </si>
  <si>
    <t>LA-705033</t>
  </si>
  <si>
    <t>LA-705034</t>
  </si>
  <si>
    <t>LA-705035</t>
  </si>
  <si>
    <t>LA-705036</t>
  </si>
  <si>
    <t>LA-705037</t>
  </si>
  <si>
    <t>LA-705038</t>
  </si>
  <si>
    <t>LA-705039</t>
  </si>
  <si>
    <t>LA-705040</t>
  </si>
  <si>
    <t>LA-705041</t>
  </si>
  <si>
    <t>LA-705042</t>
  </si>
  <si>
    <t>LA-705043</t>
  </si>
  <si>
    <t>LA-705044</t>
  </si>
  <si>
    <t>LA-705045</t>
  </si>
  <si>
    <t>LA-705046</t>
  </si>
  <si>
    <t>LA-705047</t>
  </si>
  <si>
    <t>LA-705048</t>
  </si>
  <si>
    <t>LA-705049</t>
  </si>
  <si>
    <t>LA-705050</t>
  </si>
  <si>
    <t>LA-705051</t>
  </si>
  <si>
    <t>LA-705052</t>
  </si>
  <si>
    <t>LA-705053</t>
  </si>
  <si>
    <t>LA-705054</t>
  </si>
  <si>
    <t>LA-705055</t>
  </si>
  <si>
    <t>LA-705056</t>
  </si>
  <si>
    <t>LA-705057</t>
  </si>
  <si>
    <t>LA-705058</t>
  </si>
  <si>
    <t>LA-705059</t>
  </si>
  <si>
    <t>LA-705060</t>
  </si>
  <si>
    <t>LA-705061</t>
  </si>
  <si>
    <t>LA-705062</t>
  </si>
  <si>
    <t>LA-705063</t>
  </si>
  <si>
    <t>LA-705064</t>
  </si>
  <si>
    <t>LA-705065</t>
  </si>
  <si>
    <t>LA-705066</t>
  </si>
  <si>
    <t>LA-705067</t>
  </si>
  <si>
    <t>LA-705068</t>
  </si>
  <si>
    <t>LA-705069</t>
  </si>
  <si>
    <t>LA-705070</t>
  </si>
  <si>
    <t>LA-705071</t>
  </si>
  <si>
    <t>LA-705072</t>
  </si>
  <si>
    <t>LA-705073</t>
  </si>
  <si>
    <t>LA-705074</t>
  </si>
  <si>
    <t>LA-705075</t>
  </si>
  <si>
    <t>LA-705076</t>
  </si>
  <si>
    <t>LA-705077</t>
  </si>
  <si>
    <t>LA-705078</t>
  </si>
  <si>
    <t>LA-705079</t>
  </si>
  <si>
    <t>LA-705080</t>
  </si>
  <si>
    <t>LA-705081</t>
  </si>
  <si>
    <t>LA-705082</t>
  </si>
  <si>
    <t>LA-705083</t>
  </si>
  <si>
    <t>LA-705084</t>
  </si>
  <si>
    <t>LA-705085</t>
  </si>
  <si>
    <t>LA-705086</t>
  </si>
  <si>
    <t>LA-705087</t>
  </si>
  <si>
    <t>LA-705088</t>
  </si>
  <si>
    <t>LA-705089</t>
  </si>
  <si>
    <t>LA-705090</t>
  </si>
  <si>
    <t>LA-705091</t>
  </si>
  <si>
    <t>LA-705092</t>
  </si>
  <si>
    <t>LA-705093</t>
  </si>
  <si>
    <t>LA-705094</t>
  </si>
  <si>
    <t>LA-705095</t>
  </si>
  <si>
    <t>LA-705096</t>
  </si>
  <si>
    <t>LA-705097</t>
  </si>
  <si>
    <t>LA-705098</t>
  </si>
  <si>
    <t>LA-705099</t>
  </si>
  <si>
    <t>LA-705100</t>
  </si>
  <si>
    <t>LA-705101</t>
  </si>
  <si>
    <t>LA-705102</t>
  </si>
  <si>
    <t>LA-705103</t>
  </si>
  <si>
    <t>LA-705104</t>
  </si>
  <si>
    <t>LA-705105</t>
  </si>
  <si>
    <t>LA-705106</t>
  </si>
  <si>
    <t>LA-705107</t>
  </si>
  <si>
    <t>LA-705108</t>
  </si>
  <si>
    <t>LA-705109</t>
  </si>
  <si>
    <t>LA-705110</t>
  </si>
  <si>
    <t>LA-705111</t>
  </si>
  <si>
    <t>LA-705112</t>
  </si>
  <si>
    <t>LA-705113</t>
  </si>
  <si>
    <t>LA-705114</t>
  </si>
  <si>
    <t>LA-705115</t>
  </si>
  <si>
    <t>LA-705116</t>
  </si>
  <si>
    <t>LA-705117</t>
  </si>
  <si>
    <t>LA-705118</t>
  </si>
  <si>
    <t>LA-705119</t>
  </si>
  <si>
    <t>LA-705120</t>
  </si>
  <si>
    <t>LA-705121</t>
  </si>
  <si>
    <t>LA-705122</t>
  </si>
  <si>
    <t>LA-705123</t>
  </si>
  <si>
    <t>LA-705124</t>
  </si>
  <si>
    <t>LA-705125</t>
  </si>
  <si>
    <t>LA-705126</t>
  </si>
  <si>
    <t>LA-705127</t>
  </si>
  <si>
    <t>LA-705128</t>
  </si>
  <si>
    <t>LA-705129</t>
  </si>
  <si>
    <t>LA-705130</t>
  </si>
  <si>
    <t>LA-705131</t>
  </si>
  <si>
    <t>LA-705132</t>
  </si>
  <si>
    <t>LA-705133</t>
  </si>
  <si>
    <t>LA-705134</t>
  </si>
  <si>
    <t>LA-705135</t>
  </si>
  <si>
    <t>LA-705136</t>
  </si>
  <si>
    <t>LA-705137</t>
  </si>
  <si>
    <t>LA-705138</t>
  </si>
  <si>
    <t>LA-705139</t>
  </si>
  <si>
    <t>LA-705140</t>
  </si>
  <si>
    <t>LA-705141</t>
  </si>
  <si>
    <t>LA-705142</t>
  </si>
  <si>
    <t>LA-705143</t>
  </si>
  <si>
    <t>LA-705144</t>
  </si>
  <si>
    <t>LA-705145</t>
  </si>
  <si>
    <t>LA-705146</t>
  </si>
  <si>
    <t>LA-705147</t>
  </si>
  <si>
    <t>LA-705148</t>
  </si>
  <si>
    <t>LA-705149</t>
  </si>
  <si>
    <t>LA-705150</t>
  </si>
  <si>
    <t>LA-705151</t>
  </si>
  <si>
    <t>LA-705152</t>
  </si>
  <si>
    <t>LA-705153</t>
  </si>
  <si>
    <t>LA-705154</t>
  </si>
  <si>
    <t>LA-705155</t>
  </si>
  <si>
    <t>LA-705156</t>
  </si>
  <si>
    <t>LA-705157</t>
  </si>
  <si>
    <t>LA-705158</t>
  </si>
  <si>
    <t>LA-705159</t>
  </si>
  <si>
    <t>LA-705160</t>
  </si>
  <si>
    <t>LA-705161</t>
  </si>
  <si>
    <t>LA-705162</t>
  </si>
  <si>
    <t>LA-705163</t>
  </si>
  <si>
    <t>LA-705164</t>
  </si>
  <si>
    <t>LA-705165</t>
  </si>
  <si>
    <t>LA-705166</t>
  </si>
  <si>
    <t>LA-705167</t>
  </si>
  <si>
    <t>LA-705168</t>
  </si>
  <si>
    <t>LA-705169</t>
  </si>
  <si>
    <t>LA-705170</t>
  </si>
  <si>
    <t>LA-705171</t>
  </si>
  <si>
    <t>LA-705172</t>
  </si>
  <si>
    <t>LA-705173</t>
  </si>
  <si>
    <t>LA-705174</t>
  </si>
  <si>
    <t>LA-705175</t>
  </si>
  <si>
    <t>LA-705176</t>
  </si>
  <si>
    <t>LA-705177</t>
  </si>
  <si>
    <t>LA-705178</t>
  </si>
  <si>
    <t>LA-705179</t>
  </si>
  <si>
    <t>LA-705180</t>
  </si>
  <si>
    <t>LA-705181</t>
  </si>
  <si>
    <t>LA-705182</t>
  </si>
  <si>
    <t>LA-705183</t>
  </si>
  <si>
    <t>LA-705184</t>
  </si>
  <si>
    <t>LA-705185</t>
  </si>
  <si>
    <t>LA-705186</t>
  </si>
  <si>
    <t>LA-705187</t>
  </si>
  <si>
    <t>LA-705188</t>
  </si>
  <si>
    <t>LA-705189</t>
  </si>
  <si>
    <t>LA-705190</t>
  </si>
  <si>
    <t>LA-705191</t>
  </si>
  <si>
    <t>LA-705192</t>
  </si>
  <si>
    <t>LA-705193</t>
  </si>
  <si>
    <t>LA-705194</t>
  </si>
  <si>
    <t>LA-705195</t>
  </si>
  <si>
    <t>LA-705196</t>
  </si>
  <si>
    <t>LA-705197</t>
  </si>
  <si>
    <t>LA-705198</t>
  </si>
  <si>
    <t>LA-705199</t>
  </si>
  <si>
    <t>LA-705200</t>
  </si>
  <si>
    <t>Bank Loan Applications &amp; Approvals</t>
  </si>
  <si>
    <t>Origination funnel, approval drivers, speed &amp; pricing | 2024-2025  |  Sample / simulated data for portfolio use</t>
  </si>
  <si>
    <t>BUSINESS PROBLEM</t>
  </si>
  <si>
    <t>Context</t>
  </si>
  <si>
    <t>A retail bank's lending team wants to understand its loan origination funnel: how many applications arrive by channel, how many are approved, why the rest are rejected, and how fast decisions are made.</t>
  </si>
  <si>
    <t>QUESTIONS THIS ANALYSIS ANSWERS</t>
  </si>
  <si>
    <t>How many applications did we receive and approve, and how much did we lend?</t>
  </si>
  <si>
    <t>How does approval rate change with credit score and debt-to-income?</t>
  </si>
  <si>
    <t>Which channels are growing and which are slowest?</t>
  </si>
  <si>
    <t>Why are applications rejected?</t>
  </si>
  <si>
    <t>Q5</t>
  </si>
  <si>
    <t>Are we meeting our decision-time SLA?</t>
  </si>
  <si>
    <t>KEY INSIGHTS</t>
  </si>
  <si>
    <t>Insight 1</t>
  </si>
  <si>
    <t>Applications grew 17.7% in 2025 and approved lending reached $92.13M (23.8% vs 2024).</t>
  </si>
  <si>
    <t>Insight 2</t>
  </si>
  <si>
    <t>Mobile App share of applications jumped from 18.8% to 32.1%; it is the fastest channel (3.3 days on average vs 9.3 in branches).</t>
  </si>
  <si>
    <t>Insight 3</t>
  </si>
  <si>
    <t>Approval rate is 57.6% in 2025; it ranges from 16.6% for Poor credit to 78.7% for Excellent.</t>
  </si>
  <si>
    <t>Insight 4</t>
  </si>
  <si>
    <t>'Incomplete documents' causes 17.2% of all rejections, and 36.3% of Broker-channel rejections.</t>
  </si>
  <si>
    <t>Insight 5</t>
  </si>
  <si>
    <t>Decisions within SLA improved from 52.9% to 71.5%; mortgages and SME loans remain the slowest products.</t>
  </si>
  <si>
    <t>RECOMMENDATIONS</t>
  </si>
  <si>
    <t>Action 1</t>
  </si>
  <si>
    <t>Add a document checklist and upload validation for Broker submissions; most of these rejections are avoidable.</t>
  </si>
  <si>
    <t>Action 2</t>
  </si>
  <si>
    <t>Keep shifting volume to the Mobile App (pre-filled data, instant decision for Personal Loans).</t>
  </si>
  <si>
    <t>Action 3</t>
  </si>
  <si>
    <t>Offer secured or smaller-amount alternatives to Fair-score applicants instead of a straight rejection.</t>
  </si>
  <si>
    <t>Action 4</t>
  </si>
  <si>
    <t>Set up a dedicated underwriting queue for SME loans to bring processing time inside the 10-day SLA.</t>
  </si>
  <si>
    <t>DATASET</t>
  </si>
  <si>
    <t>Rows / columns</t>
  </si>
  <si>
    <t>5,200 rows x 23 columns (sheet 'Data', Excel table 'tblData')</t>
  </si>
  <si>
    <t>Period</t>
  </si>
  <si>
    <t>01 Jan 2024 to 31 Dec 2025</t>
  </si>
  <si>
    <t>Unique application</t>
  </si>
  <si>
    <t>Submission date</t>
  </si>
  <si>
    <t>Loan product</t>
  </si>
  <si>
    <t>Branch, Online, Mobile App or Broker</t>
  </si>
  <si>
    <t>Applicant region</t>
  </si>
  <si>
    <t>Employment category</t>
  </si>
  <si>
    <t>Bureau score band</t>
  </si>
  <si>
    <t>MonthlyIncome, RequestedAmount, TermMonths</t>
  </si>
  <si>
    <t>Applicant income, amount and term asked for (USD, months)</t>
  </si>
  <si>
    <t>Monthly debt payments incl. the new loan / income</t>
  </si>
  <si>
    <t>Status, RejectionReason</t>
  </si>
  <si>
    <t>Approved, Rejected or Withdrawn, with the main rejection reason</t>
  </si>
  <si>
    <t>ApprovedAmount, InterestRate</t>
  </si>
  <si>
    <t>Amount approved and annual rate (approved only)</t>
  </si>
  <si>
    <t>ProcessingDays, WithinSLA</t>
  </si>
  <si>
    <t>Days to decision and whether the product SLA was met</t>
  </si>
  <si>
    <t>Applications, Approved, Rejected</t>
  </si>
  <si>
    <t>Counters used by the pivots</t>
  </si>
  <si>
    <t>WORKBOOK GUIDE</t>
  </si>
  <si>
    <t>Dashboard</t>
  </si>
  <si>
    <t>KPI cards, pivot charts and slicers. Click any slicer on the left to filter every chart and KPI at once.</t>
  </si>
  <si>
    <t>Pivots</t>
  </si>
  <si>
    <t>The PivotTables that feed the dashboard (all share one pivot cache). Refresh: Data &gt; Refresh All.</t>
  </si>
  <si>
    <t>Data</t>
  </si>
  <si>
    <t>Clean, typed source table. Add rows to the table and press Refresh All to update everything.</t>
  </si>
  <si>
    <t>Tools</t>
  </si>
  <si>
    <t>Excel PivotTables, calculated fields, PivotCharts, Slicers, GETPIVOTDATA, conditional number formats.</t>
  </si>
  <si>
    <t>Prepared by</t>
  </si>
  <si>
    <t>Ahmed Abdulsalam | Data Analyst</t>
  </si>
  <si>
    <t>PivotTables feeding the dashboard (one shared pivot cache; Data &gt; Refresh All updates everything)</t>
  </si>
  <si>
    <t>KPI summary (feeds the KPI cards)</t>
  </si>
  <si>
    <t>Grand Total</t>
  </si>
  <si>
    <t xml:space="preserve">Applications </t>
  </si>
  <si>
    <t>Values</t>
  </si>
  <si>
    <t xml:space="preserve">Approval Rate </t>
  </si>
  <si>
    <t xml:space="preserve">Approved Amount </t>
  </si>
  <si>
    <t xml:space="preserve">Avg Days </t>
  </si>
  <si>
    <t xml:space="preserve">SLA </t>
  </si>
  <si>
    <t>Monthly applications by year</t>
  </si>
  <si>
    <t>Average processing days by channel</t>
  </si>
  <si>
    <t>Applications by channel</t>
  </si>
  <si>
    <t>Approval rate by credit score band</t>
  </si>
  <si>
    <t>Rejections by reason</t>
  </si>
  <si>
    <t xml:space="preserve">Rejections </t>
  </si>
  <si>
    <t>Applications by product and channel</t>
  </si>
  <si>
    <t>Origination funnel, approval drivers, speed &amp; pricing | 2024-2025</t>
  </si>
  <si>
    <t>Sample / simulated data</t>
  </si>
  <si>
    <t xml:space="preserve">  APPLICATIONS  ·  2025</t>
  </si>
  <si>
    <t xml:space="preserve">  APPROVAL RATE  ·  2025</t>
  </si>
  <si>
    <t xml:space="preserve">  APPROVED AMOUNT  ·  2025</t>
  </si>
  <si>
    <t xml:space="preserve">  AVG PROCESSING TIME  ·  2025</t>
  </si>
  <si>
    <t xml:space="preserve">  DECIDED WITHIN SLA  ·  2025</t>
  </si>
  <si>
    <t>Click any slicer to filter every chart and KPI. Source: sheet 'Data' (table tblData).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</si>
</sst>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5" formatCode="dd\-mmm\-yyyy"/>
    <numFmt numFmtId="166" formatCode="\$#,##0"/>
    <numFmt numFmtId="167" formatCode="0.0%"/>
    <numFmt numFmtId="168" formatCode="&quot;$&quot;#,##0"/>
    <numFmt numFmtId="169" formatCode="0.0"/>
    <numFmt numFmtId="170" formatCode="[Color10]&quot;▲ &quot;0.0%&quot; vs 2024&quot;;[Red]&quot;▼ &quot;0.0%&quot; vs 2024&quot;;&quot;■ 0.0% vs 2024&quot;"/>
    <numFmt numFmtId="171" formatCode="[Color10]&quot;▲ &quot;0.0&quot; pp vs 2024&quot;;[Red]&quot;▼ &quot;0.0&quot; pp vs 2024&quot;;&quot;■ 0.0 pp vs 2024&quot;"/>
    <numFmt numFmtId="172" formatCode="&quot;$&quot;#,##0.0,,&quot;M&quot;"/>
    <numFmt numFmtId="173" formatCode="0.0&quot; days&quot;"/>
    <numFmt numFmtId="174" formatCode="[Red]&quot;▲ &quot;0.0%&quot; vs 2024&quot;;[Color10]&quot;▼ &quot;0.0%&quot; vs 2024&quot;;&quot;■ 0.0% vs 2024&quot;"/>
  </numFmts>
  <fonts count="17" x14ac:knownFonts="1">
    <font>
      <sz val="11"/>
      <color theme="1"/>
      <name val="Segoe UI"/>
      <family val="2"/>
      <scheme val="minor"/>
    </font>
    <font>
      <b/>
      <sz val="18"/>
      <color rgb="FFFFFFFF"/>
      <name val="Segoe UI"/>
    </font>
    <font>
      <i/>
      <sz val="10"/>
      <color rgb="FF5D6D7E"/>
      <name val="Segoe UI"/>
    </font>
    <font>
      <b/>
      <sz val="11"/>
      <color rgb="FF0B2545"/>
      <name val="Segoe UI"/>
    </font>
    <font>
      <b/>
      <sz val="10"/>
      <color rgb="FF1F2D3D"/>
      <name val="Segoe UI"/>
    </font>
    <font>
      <sz val="10"/>
      <color rgb="FF1F2D3D"/>
      <name val="Segoe UI"/>
    </font>
    <font>
      <b/>
      <sz val="12"/>
      <color theme="1"/>
      <name val="Segoe UI"/>
      <family val="2"/>
      <scheme val="minor"/>
    </font>
    <font>
      <b/>
      <sz val="11"/>
      <color rgb="FF0B2545"/>
      <name val="Segoe UI"/>
      <family val="2"/>
      <scheme val="minor"/>
    </font>
    <font>
      <sz val="9"/>
      <color theme="1"/>
      <name val="Segoe UI"/>
      <family val="2"/>
      <scheme val="minor"/>
    </font>
    <font>
      <b/>
      <sz val="20"/>
      <color rgb="FFFFFFFF"/>
      <name val="Segoe UI"/>
      <family val="2"/>
      <scheme val="minor"/>
    </font>
    <font>
      <sz val="10"/>
      <color rgb="FFC8D3E0"/>
      <name val="Segoe UI"/>
      <family val="2"/>
      <scheme val="minor"/>
    </font>
    <font>
      <i/>
      <sz val="9"/>
      <color rgb="FFC8D3E0"/>
      <name val="Segoe UI"/>
      <family val="2"/>
      <scheme val="minor"/>
    </font>
    <font>
      <sz val="9"/>
      <color rgb="FFFFFFFF"/>
      <name val="Segoe UI"/>
      <family val="2"/>
      <scheme val="minor"/>
    </font>
    <font>
      <b/>
      <sz val="8"/>
      <color theme="1"/>
      <name val="Segoe UI"/>
      <family val="2"/>
      <scheme val="minor"/>
    </font>
    <font>
      <b/>
      <sz val="8"/>
      <color rgb="FF7A7363"/>
      <name val="Segoe UI"/>
      <family val="2"/>
      <scheme val="minor"/>
    </font>
    <font>
      <b/>
      <sz val="20"/>
      <color rgb="FF0B2545"/>
      <name val="Segoe UI"/>
      <family val="2"/>
      <scheme val="minor"/>
    </font>
    <font>
      <i/>
      <sz val="8"/>
      <color rgb="FF7A7363"/>
      <name val="Segoe UI"/>
      <family val="2"/>
      <scheme val="minor"/>
    </font>
  </fonts>
  <fills count="7">
    <fill>
      <patternFill patternType="none"/>
    </fill>
    <fill>
      <patternFill patternType="gray125"/>
    </fill>
    <fill>
      <patternFill patternType="solid">
        <fgColor rgb="FF0B2545"/>
      </patternFill>
    </fill>
    <fill>
      <patternFill patternType="solid">
        <fgColor rgb="FFF4F1EA"/>
        <bgColor indexed="64"/>
      </patternFill>
    </fill>
    <fill>
      <patternFill patternType="solid">
        <fgColor rgb="FF0B2545"/>
        <bgColor indexed="64"/>
      </patternFill>
    </fill>
    <fill>
      <patternFill patternType="solid">
        <fgColor rgb="FFC9A227"/>
        <bgColor indexed="64"/>
      </patternFill>
    </fill>
    <fill>
      <patternFill patternType="solid">
        <fgColor rgb="FFFFFFFF"/>
        <bgColor indexed="64"/>
      </patternFill>
    </fill>
  </fills>
  <borders count="10">
    <border>
      <left/>
      <right/>
      <top/>
      <bottom/>
      <diagonal/>
    </border>
    <border>
      <left/>
      <right/>
      <top/>
      <bottom style="medium">
        <color rgb="FF0B2545"/>
      </bottom>
      <diagonal/>
    </border>
    <border>
      <left/>
      <right/>
      <top style="thin">
        <color rgb="FFE7E1D3"/>
      </top>
      <bottom/>
      <diagonal/>
    </border>
    <border>
      <left/>
      <right/>
      <top/>
      <bottom style="thin">
        <color rgb="FFE7E1D3"/>
      </bottom>
      <diagonal/>
    </border>
    <border>
      <left/>
      <right style="thin">
        <color rgb="FFE7E1D3"/>
      </right>
      <top style="thin">
        <color rgb="FFE7E1D3"/>
      </top>
      <bottom/>
      <diagonal/>
    </border>
    <border>
      <left/>
      <right style="thin">
        <color rgb="FFE7E1D3"/>
      </right>
      <top/>
      <bottom/>
      <diagonal/>
    </border>
    <border>
      <left/>
      <right style="thin">
        <color rgb="FFE7E1D3"/>
      </right>
      <top/>
      <bottom style="thin">
        <color rgb="FFE7E1D3"/>
      </bottom>
      <diagonal/>
    </border>
    <border>
      <left style="medium">
        <color rgb="FFC9A227"/>
      </left>
      <right/>
      <top style="thin">
        <color rgb="FFE7E1D3"/>
      </top>
      <bottom/>
      <diagonal/>
    </border>
    <border>
      <left style="medium">
        <color rgb="FFC9A227"/>
      </left>
      <right/>
      <top/>
      <bottom/>
      <diagonal/>
    </border>
    <border>
      <left style="medium">
        <color rgb="FFC9A227"/>
      </left>
      <right/>
      <top/>
      <bottom style="thin">
        <color rgb="FFE7E1D3"/>
      </bottom>
      <diagonal/>
    </border>
  </borders>
  <cellStyleXfs count="1">
    <xf numFmtId="0" fontId="0" fillId="0" borderId="0"/>
  </cellStyleXfs>
  <cellXfs count="48">
    <xf numFmtId="0" fontId="0" fillId="0" borderId="0" xfId="0"/>
    <xf numFmtId="165" fontId="0" fillId="0" borderId="0" xfId="0" applyNumberFormat="1"/>
    <xf numFmtId="166" fontId="0" fillId="0" borderId="0" xfId="0" applyNumberFormat="1"/>
    <xf numFmtId="167" fontId="0" fillId="0" borderId="0" xfId="0" applyNumberFormat="1"/>
    <xf numFmtId="10" fontId="0" fillId="0" borderId="0" xfId="0" applyNumberFormat="1"/>
    <xf numFmtId="0" fontId="2" fillId="0" borderId="0" xfId="0" applyFont="1"/>
    <xf numFmtId="0" fontId="3" fillId="0" borderId="1" xfId="0" applyFont="1" applyBorder="1"/>
    <xf numFmtId="0" fontId="0" fillId="0" borderId="1" xfId="0" applyBorder="1"/>
    <xf numFmtId="0" fontId="4" fillId="0" borderId="0" xfId="0" applyFont="1" applyAlignment="1">
      <alignment vertical="top" wrapText="1"/>
    </xf>
    <xf numFmtId="0" fontId="5" fillId="0" borderId="0" xfId="0" applyFont="1" applyAlignment="1">
      <alignment vertical="top" wrapText="1"/>
    </xf>
    <xf numFmtId="0" fontId="1" fillId="2" borderId="0" xfId="0" applyFont="1" applyFill="1" applyAlignment="1">
      <alignment vertical="center" indent="1"/>
    </xf>
    <xf numFmtId="0" fontId="0" fillId="2" borderId="0" xfId="0" applyFill="1"/>
    <xf numFmtId="0" fontId="6" fillId="0" borderId="0" xfId="0" applyFont="1"/>
    <xf numFmtId="0" fontId="7" fillId="0" borderId="0" xfId="0" applyFont="1"/>
    <xf numFmtId="0" fontId="0" fillId="0" borderId="0" xfId="0" pivotButton="1"/>
    <xf numFmtId="3" fontId="0" fillId="0" borderId="0" xfId="0" applyNumberFormat="1"/>
    <xf numFmtId="168" fontId="0" fillId="0" borderId="0" xfId="0" applyNumberFormat="1"/>
    <xf numFmtId="169" fontId="0" fillId="0" borderId="0" xfId="0" applyNumberFormat="1"/>
    <xf numFmtId="0" fontId="0" fillId="0" borderId="0" xfId="0" applyFont="1"/>
    <xf numFmtId="0" fontId="8" fillId="0" borderId="0" xfId="0" applyFont="1"/>
    <xf numFmtId="0" fontId="8" fillId="3" borderId="0" xfId="0" applyFont="1" applyFill="1"/>
    <xf numFmtId="0" fontId="8" fillId="4" borderId="0" xfId="0" applyFont="1" applyFill="1"/>
    <xf numFmtId="0" fontId="9" fillId="4" borderId="0" xfId="0" applyFont="1" applyFill="1"/>
    <xf numFmtId="0" fontId="10" fillId="4" borderId="0" xfId="0" applyFont="1" applyFill="1"/>
    <xf numFmtId="0" fontId="11" fillId="4" borderId="0" xfId="0" applyFont="1" applyFill="1" applyAlignment="1">
      <alignment horizontal="right"/>
    </xf>
    <xf numFmtId="0" fontId="12" fillId="4" borderId="0" xfId="0" applyFont="1" applyFill="1" applyAlignment="1">
      <alignment horizontal="right"/>
    </xf>
    <xf numFmtId="0" fontId="8" fillId="5" borderId="0" xfId="0" applyFont="1" applyFill="1"/>
    <xf numFmtId="0" fontId="8" fillId="6" borderId="2" xfId="0" applyFont="1" applyFill="1" applyBorder="1"/>
    <xf numFmtId="0" fontId="8" fillId="6" borderId="4" xfId="0" applyFont="1" applyFill="1" applyBorder="1"/>
    <xf numFmtId="0" fontId="8" fillId="5" borderId="7" xfId="0" applyFont="1" applyFill="1" applyBorder="1"/>
    <xf numFmtId="0" fontId="8" fillId="5" borderId="8" xfId="0" applyFont="1" applyFill="1" applyBorder="1"/>
    <xf numFmtId="0" fontId="8" fillId="5" borderId="9" xfId="0" applyFont="1" applyFill="1" applyBorder="1"/>
    <xf numFmtId="0" fontId="14" fillId="6" borderId="2" xfId="0" applyFont="1" applyFill="1" applyBorder="1"/>
    <xf numFmtId="3" fontId="15" fillId="6" borderId="0" xfId="0" applyNumberFormat="1" applyFont="1" applyFill="1" applyBorder="1" applyAlignment="1">
      <alignment horizontal="left" vertical="center" indent="1"/>
    </xf>
    <xf numFmtId="3" fontId="15" fillId="6" borderId="5" xfId="0" applyNumberFormat="1" applyFont="1" applyFill="1" applyBorder="1" applyAlignment="1">
      <alignment horizontal="left" vertical="center" indent="1"/>
    </xf>
    <xf numFmtId="170" fontId="13" fillId="6" borderId="3" xfId="0" applyNumberFormat="1" applyFont="1" applyFill="1" applyBorder="1" applyAlignment="1">
      <alignment horizontal="left" indent="1"/>
    </xf>
    <xf numFmtId="170" fontId="13" fillId="6" borderId="6" xfId="0" applyNumberFormat="1" applyFont="1" applyFill="1" applyBorder="1" applyAlignment="1">
      <alignment horizontal="left" indent="1"/>
    </xf>
    <xf numFmtId="167" fontId="15" fillId="6" borderId="0" xfId="0" applyNumberFormat="1" applyFont="1" applyFill="1" applyBorder="1" applyAlignment="1">
      <alignment horizontal="left" vertical="center" indent="1"/>
    </xf>
    <xf numFmtId="167" fontId="15" fillId="6" borderId="5" xfId="0" applyNumberFormat="1" applyFont="1" applyFill="1" applyBorder="1" applyAlignment="1">
      <alignment horizontal="left" vertical="center" indent="1"/>
    </xf>
    <xf numFmtId="171" fontId="13" fillId="6" borderId="3" xfId="0" applyNumberFormat="1" applyFont="1" applyFill="1" applyBorder="1" applyAlignment="1">
      <alignment horizontal="left" indent="1"/>
    </xf>
    <xf numFmtId="171" fontId="13" fillId="6" borderId="6" xfId="0" applyNumberFormat="1" applyFont="1" applyFill="1" applyBorder="1" applyAlignment="1">
      <alignment horizontal="left" indent="1"/>
    </xf>
    <xf numFmtId="172" fontId="15" fillId="6" borderId="0" xfId="0" applyNumberFormat="1" applyFont="1" applyFill="1" applyBorder="1" applyAlignment="1">
      <alignment horizontal="left" vertical="center" indent="1"/>
    </xf>
    <xf numFmtId="172" fontId="15" fillId="6" borderId="5" xfId="0" applyNumberFormat="1" applyFont="1" applyFill="1" applyBorder="1" applyAlignment="1">
      <alignment horizontal="left" vertical="center" indent="1"/>
    </xf>
    <xf numFmtId="173" fontId="15" fillId="6" borderId="0" xfId="0" applyNumberFormat="1" applyFont="1" applyFill="1" applyBorder="1" applyAlignment="1">
      <alignment horizontal="left" vertical="center" indent="1"/>
    </xf>
    <xf numFmtId="173" fontId="15" fillId="6" borderId="5" xfId="0" applyNumberFormat="1" applyFont="1" applyFill="1" applyBorder="1" applyAlignment="1">
      <alignment horizontal="left" vertical="center" indent="1"/>
    </xf>
    <xf numFmtId="174" fontId="13" fillId="6" borderId="3" xfId="0" applyNumberFormat="1" applyFont="1" applyFill="1" applyBorder="1" applyAlignment="1">
      <alignment horizontal="left" indent="1"/>
    </xf>
    <xf numFmtId="174" fontId="13" fillId="6" borderId="6" xfId="0" applyNumberFormat="1" applyFont="1" applyFill="1" applyBorder="1" applyAlignment="1">
      <alignment horizontal="left" indent="1"/>
    </xf>
    <xf numFmtId="0" fontId="16"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[Loan_Applications_Dashboard.xlsx]Pivots!ptTrend</c:name>
    <c:fmtId val="0"/>
  </c:pivotSource>
  <c:chart>
    <c:title>
      <c:tx>
        <c:rich>
          <a:bodyPr rot="0" spcFirstLastPara="1" vertOverflow="ellipsis" vert="horz" wrap="square" anchor="ctr" anchorCtr="1"/>
          <a:lstStyle/>
          <a:p>
            <a:pPr>
              <a:defRPr sz="1100" b="1" i="0" u="none" strike="noStrike" kern="1200" spc="0" baseline="0">
                <a:solidFill>
                  <a:srgbClr val="0B2545"/>
                </a:solidFill>
                <a:latin typeface="Segoe UI" panose="020B0502040204020203" pitchFamily="34" charset="0"/>
                <a:ea typeface="+mn-ea"/>
                <a:cs typeface="+mn-cs"/>
              </a:defRPr>
            </a:pPr>
            <a:r>
              <a:rPr lang="en-US" sz="1100" b="1">
                <a:solidFill>
                  <a:srgbClr val="0B2545"/>
                </a:solidFill>
              </a:rPr>
              <a:t>Monthly Applications</a:t>
            </a:r>
          </a:p>
        </c:rich>
      </c:tx>
      <c:layout>
        <c:manualLayout>
          <c:xMode val="edge"/>
          <c:yMode val="edge"/>
          <c:x val="3.4632034632034632E-2"/>
          <c:y val="2.6666666666666668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0B2545"/>
              </a:solidFill>
              <a:latin typeface="Segoe UI" panose="020B0502040204020203" pitchFamily="34" charset="0"/>
              <a:ea typeface="+mn-ea"/>
              <a:cs typeface="+mn-cs"/>
            </a:defRPr>
          </a:pPr>
          <a:endParaRPr lang="en-US"/>
        </a:p>
      </c:txPr>
    </c:title>
    <c:autoTitleDeleted val="0"/>
    <c:pivotFmts>
      <c:pivotFmt>
        <c:idx val="0"/>
        <c:spPr>
          <a:ln w="22225" cap="rnd">
            <a:solidFill>
              <a:srgbClr val="C9A227"/>
            </a:solidFill>
            <a:prstDash val="dash"/>
            <a:round/>
          </a:ln>
          <a:effectLst/>
        </c:spPr>
        <c:marker>
          <c:symbol val="circle"/>
          <c:size val="5"/>
          <c:spPr>
            <a:solidFill>
              <a:srgbClr val="C9A227"/>
            </a:solidFill>
            <a:ln w="22225">
              <a:solidFill>
                <a:srgbClr val="C9A227"/>
              </a:solidFill>
              <a:prstDash val="lgDash"/>
            </a:ln>
            <a:effectLst/>
          </c:spPr>
        </c:marker>
        <c:dLbl>
          <c:idx val="0"/>
          <c:spPr>
            <a:noFill/>
            <a:ln>
              <a:noFill/>
            </a:ln>
            <a:effectLst/>
          </c:spPr>
          <c:txPr>
            <a:bodyPr rot="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rgbClr val="0B2545"/>
            </a:solidFill>
            <a:round/>
          </a:ln>
          <a:effectLst/>
        </c:spPr>
        <c:marker>
          <c:symbol val="circle"/>
          <c:size val="5"/>
          <c:spPr>
            <a:solidFill>
              <a:srgbClr val="0B2545"/>
            </a:solidFill>
            <a:ln w="31750">
              <a:solidFill>
                <a:srgbClr val="0B2545"/>
              </a:solidFill>
              <a:prstDash val="solid"/>
            </a:ln>
            <a:effectLst/>
          </c:spPr>
        </c:marker>
        <c:dLbl>
          <c:idx val="0"/>
          <c:spPr>
            <a:noFill/>
            <a:ln>
              <a:noFill/>
            </a:ln>
            <a:effectLst/>
          </c:spPr>
          <c:txPr>
            <a:bodyPr rot="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Pivots!$H$5:$H$6</c:f>
              <c:strCache>
                <c:ptCount val="1"/>
                <c:pt idx="0">
                  <c:v>2024</c:v>
                </c:pt>
              </c:strCache>
            </c:strRef>
          </c:tx>
          <c:spPr>
            <a:ln w="22225" cap="rnd">
              <a:solidFill>
                <a:srgbClr val="C9A227"/>
              </a:solidFill>
              <a:prstDash val="dash"/>
              <a:round/>
            </a:ln>
            <a:effectLst/>
          </c:spPr>
          <c:marker>
            <c:symbol val="circle"/>
            <c:size val="5"/>
            <c:spPr>
              <a:solidFill>
                <a:srgbClr val="C9A227"/>
              </a:solidFill>
              <a:ln w="22225">
                <a:solidFill>
                  <a:srgbClr val="C9A227"/>
                </a:solidFill>
                <a:prstDash val="lgDash"/>
              </a:ln>
              <a:effectLst/>
            </c:spPr>
          </c:marker>
          <c:cat>
            <c:strRef>
              <c:f>Pivots!$G$7:$G$19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Pivots!$H$7:$H$19</c:f>
              <c:numCache>
                <c:formatCode>#,##0</c:formatCode>
                <c:ptCount val="12"/>
                <c:pt idx="0">
                  <c:v>231</c:v>
                </c:pt>
                <c:pt idx="1">
                  <c:v>175</c:v>
                </c:pt>
                <c:pt idx="2">
                  <c:v>227</c:v>
                </c:pt>
                <c:pt idx="3">
                  <c:v>195</c:v>
                </c:pt>
                <c:pt idx="4">
                  <c:v>210</c:v>
                </c:pt>
                <c:pt idx="5">
                  <c:v>158</c:v>
                </c:pt>
                <c:pt idx="6">
                  <c:v>158</c:v>
                </c:pt>
                <c:pt idx="7">
                  <c:v>207</c:v>
                </c:pt>
                <c:pt idx="8">
                  <c:v>208</c:v>
                </c:pt>
                <c:pt idx="9">
                  <c:v>237</c:v>
                </c:pt>
                <c:pt idx="10">
                  <c:v>192</c:v>
                </c:pt>
                <c:pt idx="11">
                  <c:v>191</c:v>
                </c:pt>
              </c:numCache>
            </c:numRef>
          </c:val>
          <c:smooth val="0"/>
          <c:extLst>
            <c:ext xmlns:c16="http://schemas.microsoft.com/office/drawing/2014/chart" uri="{C3380CC4-5D6E-409C-BE32-E72D297353CC}">
              <c16:uniqueId val="{00000001-1095-4DE9-8649-DEAE8AFC7776}"/>
            </c:ext>
          </c:extLst>
        </c:ser>
        <c:ser>
          <c:idx val="1"/>
          <c:order val="1"/>
          <c:tx>
            <c:strRef>
              <c:f>Pivots!$I$5:$I$6</c:f>
              <c:strCache>
                <c:ptCount val="1"/>
                <c:pt idx="0">
                  <c:v>2025</c:v>
                </c:pt>
              </c:strCache>
            </c:strRef>
          </c:tx>
          <c:spPr>
            <a:ln w="31750" cap="rnd">
              <a:solidFill>
                <a:srgbClr val="0B2545"/>
              </a:solidFill>
              <a:round/>
            </a:ln>
            <a:effectLst/>
          </c:spPr>
          <c:marker>
            <c:symbol val="circle"/>
            <c:size val="5"/>
            <c:spPr>
              <a:solidFill>
                <a:srgbClr val="0B2545"/>
              </a:solidFill>
              <a:ln w="31750">
                <a:solidFill>
                  <a:srgbClr val="0B2545"/>
                </a:solidFill>
                <a:prstDash val="solid"/>
              </a:ln>
              <a:effectLst/>
            </c:spPr>
          </c:marker>
          <c:cat>
            <c:strRef>
              <c:f>Pivots!$G$7:$G$19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Pivots!$I$7:$I$19</c:f>
              <c:numCache>
                <c:formatCode>#,##0</c:formatCode>
                <c:ptCount val="12"/>
                <c:pt idx="0">
                  <c:v>272</c:v>
                </c:pt>
                <c:pt idx="1">
                  <c:v>211</c:v>
                </c:pt>
                <c:pt idx="2">
                  <c:v>263</c:v>
                </c:pt>
                <c:pt idx="3">
                  <c:v>224</c:v>
                </c:pt>
                <c:pt idx="4">
                  <c:v>254</c:v>
                </c:pt>
                <c:pt idx="5">
                  <c:v>185</c:v>
                </c:pt>
                <c:pt idx="6">
                  <c:v>211</c:v>
                </c:pt>
                <c:pt idx="7">
                  <c:v>230</c:v>
                </c:pt>
                <c:pt idx="8">
                  <c:v>235</c:v>
                </c:pt>
                <c:pt idx="9">
                  <c:v>264</c:v>
                </c:pt>
                <c:pt idx="10">
                  <c:v>224</c:v>
                </c:pt>
                <c:pt idx="11">
                  <c:v>238</c:v>
                </c:pt>
              </c:numCache>
            </c:numRef>
          </c:val>
          <c:smooth val="0"/>
          <c:extLst>
            <c:ext xmlns:c16="http://schemas.microsoft.com/office/drawing/2014/chart" uri="{C3380CC4-5D6E-409C-BE32-E72D297353CC}">
              <c16:uniqueId val="{00000002-1095-4DE9-8649-DEAE8AFC7776}"/>
            </c:ext>
          </c:extLst>
        </c:ser>
        <c:dLbls>
          <c:showLegendKey val="0"/>
          <c:showVal val="0"/>
          <c:showCatName val="0"/>
          <c:showSerName val="0"/>
          <c:showPercent val="0"/>
          <c:showBubbleSize val="0"/>
        </c:dLbls>
        <c:marker val="1"/>
        <c:smooth val="0"/>
        <c:axId val="575890480"/>
        <c:axId val="574780704"/>
      </c:lineChart>
      <c:catAx>
        <c:axId val="575890480"/>
        <c:scaling>
          <c:orientation val="minMax"/>
        </c:scaling>
        <c:delete val="0"/>
        <c:axPos val="b"/>
        <c:numFmt formatCode="General" sourceLinked="1"/>
        <c:majorTickMark val="none"/>
        <c:minorTickMark val="none"/>
        <c:tickLblPos val="nextTo"/>
        <c:spPr>
          <a:noFill/>
          <a:ln w="9525" cap="flat" cmpd="sng" algn="ctr">
            <a:solidFill>
              <a:srgbClr val="EEF1F4"/>
            </a:solidFill>
            <a:round/>
          </a:ln>
          <a:effectLst/>
        </c:spPr>
        <c:txPr>
          <a:bodyPr rot="-6000000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crossAx val="574780704"/>
        <c:crosses val="autoZero"/>
        <c:auto val="1"/>
        <c:lblAlgn val="ctr"/>
        <c:lblOffset val="100"/>
        <c:noMultiLvlLbl val="0"/>
      </c:catAx>
      <c:valAx>
        <c:axId val="574780704"/>
        <c:scaling>
          <c:orientation val="minMax"/>
        </c:scaling>
        <c:delete val="0"/>
        <c:axPos val="l"/>
        <c:majorGridlines>
          <c:spPr>
            <a:ln w="9525" cap="flat" cmpd="sng" algn="ctr">
              <a:solidFill>
                <a:srgbClr val="EEF1F4"/>
              </a:solidFill>
              <a:round/>
            </a:ln>
            <a:effectLst/>
          </c:spPr>
        </c:majorGridlines>
        <c:numFmt formatCode="#,##0" sourceLinked="1"/>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crossAx val="575890480"/>
        <c:crosses val="autoZero"/>
        <c:crossBetween val="between"/>
      </c:valAx>
      <c:spPr>
        <a:noFill/>
        <a:ln>
          <a:noFill/>
        </a:ln>
        <a:effectLst/>
        <a:extLst>
          <a:ext uri="{909E8E84-426E-40DD-AFC4-6F175D3DCCD1}">
            <a14:hiddenFill xmlns:a14="http://schemas.microsoft.com/office/drawing/2010/main">
              <a:noFill/>
            </a14:hiddenFill>
          </a:ext>
        </a:ex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7E1D3"/>
      </a:solidFill>
      <a:round/>
    </a:ln>
    <a:effectLst/>
  </c:spPr>
  <c:txPr>
    <a:bodyPr/>
    <a:lstStyle/>
    <a:p>
      <a:pPr>
        <a:defRPr sz="800">
          <a:solidFill>
            <a:srgbClr val="4A5866"/>
          </a:solidFill>
          <a:latin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[Loan_Applications_Dashboard.xlsx]Pivots!ptBand</c:name>
    <c:fmtId val="0"/>
  </c:pivotSource>
  <c:chart>
    <c:title>
      <c:tx>
        <c:rich>
          <a:bodyPr rot="0" spcFirstLastPara="1" vertOverflow="ellipsis" vert="horz" wrap="square" anchor="ctr" anchorCtr="1"/>
          <a:lstStyle/>
          <a:p>
            <a:pPr>
              <a:defRPr sz="1100" b="1" i="0" u="none" strike="noStrike" kern="1200" spc="0" baseline="0">
                <a:solidFill>
                  <a:srgbClr val="0B2545"/>
                </a:solidFill>
                <a:latin typeface="Segoe UI" panose="020B0502040204020203" pitchFamily="34" charset="0"/>
                <a:ea typeface="+mn-ea"/>
                <a:cs typeface="+mn-cs"/>
              </a:defRPr>
            </a:pPr>
            <a:r>
              <a:rPr lang="en-US" sz="1100" b="1">
                <a:solidFill>
                  <a:srgbClr val="0B2545"/>
                </a:solidFill>
              </a:rPr>
              <a:t>Approval Rate by Credit Score</a:t>
            </a:r>
          </a:p>
        </c:rich>
      </c:tx>
      <c:layout>
        <c:manualLayout>
          <c:xMode val="edge"/>
          <c:yMode val="edge"/>
          <c:x val="3.4632034632034632E-2"/>
          <c:y val="2.6666666666666668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0B2545"/>
              </a:solidFill>
              <a:latin typeface="Segoe UI" panose="020B0502040204020203" pitchFamily="34" charset="0"/>
              <a:ea typeface="+mn-ea"/>
              <a:cs typeface="+mn-cs"/>
            </a:defRPr>
          </a:pPr>
          <a:endParaRPr lang="en-US"/>
        </a:p>
      </c:txPr>
    </c:title>
    <c:autoTitleDeleted val="0"/>
    <c:pivotFmts>
      <c:pivotFmt>
        <c:idx val="0"/>
        <c:spPr>
          <a:solidFill>
            <a:srgbClr val="0B2545"/>
          </a:solidFill>
          <a:ln>
            <a:noFill/>
          </a:ln>
          <a:effectLst/>
          <a:extLst>
            <a:ext uri="{91240B29-F687-4F45-9708-019B960494DF}">
              <a14:hiddenLine xmlns:a14="http://schemas.microsoft.com/office/drawing/2010/main">
                <a:noFill/>
              </a14:hiddenLine>
            </a:ext>
          </a:ex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5866"/>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Pivots!$S$5</c:f>
              <c:strCache>
                <c:ptCount val="1"/>
                <c:pt idx="0">
                  <c:v>Total</c:v>
                </c:pt>
              </c:strCache>
            </c:strRef>
          </c:tx>
          <c:spPr>
            <a:solidFill>
              <a:srgbClr val="0B2545"/>
            </a:solidFill>
            <a:ln>
              <a:noFill/>
            </a:ln>
            <a:effectLst/>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5866"/>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Pivots!$R$6:$R$11</c:f>
              <c:strCache>
                <c:ptCount val="5"/>
                <c:pt idx="0">
                  <c:v>Poor (&lt;580)</c:v>
                </c:pt>
                <c:pt idx="1">
                  <c:v>Fair (580-669)</c:v>
                </c:pt>
                <c:pt idx="2">
                  <c:v>Good (670-739)</c:v>
                </c:pt>
                <c:pt idx="3">
                  <c:v>Very Good (740-799)</c:v>
                </c:pt>
                <c:pt idx="4">
                  <c:v>Excellent (800+)</c:v>
                </c:pt>
              </c:strCache>
            </c:strRef>
          </c:cat>
          <c:val>
            <c:numRef>
              <c:f>Pivots!$S$6:$S$11</c:f>
              <c:numCache>
                <c:formatCode>0.0%</c:formatCode>
                <c:ptCount val="5"/>
                <c:pt idx="0">
                  <c:v>0.16603773584905659</c:v>
                </c:pt>
                <c:pt idx="1">
                  <c:v>0.40958788898233811</c:v>
                </c:pt>
                <c:pt idx="2">
                  <c:v>0.60327074500302846</c:v>
                </c:pt>
                <c:pt idx="3">
                  <c:v>0.73278688524590163</c:v>
                </c:pt>
                <c:pt idx="4">
                  <c:v>0.78688524590163933</c:v>
                </c:pt>
              </c:numCache>
            </c:numRef>
          </c:val>
          <c:extLst>
            <c:ext xmlns:c16="http://schemas.microsoft.com/office/drawing/2014/chart" uri="{C3380CC4-5D6E-409C-BE32-E72D297353CC}">
              <c16:uniqueId val="{00000001-F6F0-4DF2-8B81-070BC521905C}"/>
            </c:ext>
          </c:extLst>
        </c:ser>
        <c:dLbls>
          <c:showLegendKey val="0"/>
          <c:showVal val="0"/>
          <c:showCatName val="0"/>
          <c:showSerName val="0"/>
          <c:showPercent val="0"/>
          <c:showBubbleSize val="0"/>
        </c:dLbls>
        <c:gapWidth val="40"/>
        <c:overlap val="-10"/>
        <c:axId val="606404672"/>
        <c:axId val="574787424"/>
      </c:barChart>
      <c:catAx>
        <c:axId val="606404672"/>
        <c:scaling>
          <c:orientation val="minMax"/>
        </c:scaling>
        <c:delete val="0"/>
        <c:axPos val="b"/>
        <c:numFmt formatCode="General" sourceLinked="1"/>
        <c:majorTickMark val="none"/>
        <c:minorTickMark val="none"/>
        <c:tickLblPos val="nextTo"/>
        <c:spPr>
          <a:noFill/>
          <a:ln w="9525" cap="flat" cmpd="sng" algn="ctr">
            <a:solidFill>
              <a:srgbClr val="EEF1F4"/>
            </a:solidFill>
            <a:round/>
          </a:ln>
          <a:effectLst/>
        </c:spPr>
        <c:txPr>
          <a:bodyPr rot="-6000000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crossAx val="574787424"/>
        <c:crosses val="autoZero"/>
        <c:auto val="1"/>
        <c:lblAlgn val="ctr"/>
        <c:lblOffset val="100"/>
        <c:noMultiLvlLbl val="0"/>
      </c:catAx>
      <c:valAx>
        <c:axId val="574787424"/>
        <c:scaling>
          <c:orientation val="minMax"/>
        </c:scaling>
        <c:delete val="1"/>
        <c:axPos val="l"/>
        <c:numFmt formatCode="0.0%" sourceLinked="1"/>
        <c:majorTickMark val="none"/>
        <c:minorTickMark val="none"/>
        <c:tickLblPos val="nextTo"/>
        <c:crossAx val="606404672"/>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7E1D3"/>
      </a:solidFill>
      <a:round/>
    </a:ln>
    <a:effectLst/>
  </c:spPr>
  <c:txPr>
    <a:bodyPr/>
    <a:lstStyle/>
    <a:p>
      <a:pPr>
        <a:defRPr sz="800">
          <a:solidFill>
            <a:srgbClr val="4A5866"/>
          </a:solidFill>
          <a:latin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[Loan_Applications_Dashboard.xlsx]Pivots!ptReason</c:name>
    <c:fmtId val="0"/>
  </c:pivotSource>
  <c:chart>
    <c:title>
      <c:tx>
        <c:rich>
          <a:bodyPr rot="0" spcFirstLastPara="1" vertOverflow="ellipsis" vert="horz" wrap="square" anchor="ctr" anchorCtr="1"/>
          <a:lstStyle/>
          <a:p>
            <a:pPr>
              <a:defRPr sz="1100" b="1" i="0" u="none" strike="noStrike" kern="1200" spc="0" baseline="0">
                <a:solidFill>
                  <a:srgbClr val="0B2545"/>
                </a:solidFill>
                <a:latin typeface="Segoe UI" panose="020B0502040204020203" pitchFamily="34" charset="0"/>
                <a:ea typeface="+mn-ea"/>
                <a:cs typeface="+mn-cs"/>
              </a:defRPr>
            </a:pPr>
            <a:r>
              <a:rPr lang="en-US" sz="1100" b="1">
                <a:solidFill>
                  <a:srgbClr val="0B2545"/>
                </a:solidFill>
              </a:rPr>
              <a:t>Rejection Reasons</a:t>
            </a:r>
          </a:p>
        </c:rich>
      </c:tx>
      <c:layout>
        <c:manualLayout>
          <c:xMode val="edge"/>
          <c:yMode val="edge"/>
          <c:x val="3.4632034632034632E-2"/>
          <c:y val="2.6666666666666668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0B2545"/>
              </a:solidFill>
              <a:latin typeface="Segoe UI" panose="020B0502040204020203" pitchFamily="34" charset="0"/>
              <a:ea typeface="+mn-ea"/>
              <a:cs typeface="+mn-cs"/>
            </a:defRPr>
          </a:pPr>
          <a:endParaRPr lang="en-US"/>
        </a:p>
      </c:txPr>
    </c:title>
    <c:autoTitleDeleted val="0"/>
    <c:pivotFmts>
      <c:pivotFmt>
        <c:idx val="0"/>
        <c:spPr>
          <a:solidFill>
            <a:srgbClr val="B5651D"/>
          </a:solidFill>
          <a:ln>
            <a:noFill/>
          </a:ln>
          <a:effectLst/>
          <a:extLst>
            <a:ext uri="{91240B29-F687-4F45-9708-019B960494DF}">
              <a14:hiddenLine xmlns:a14="http://schemas.microsoft.com/office/drawing/2010/main">
                <a:noFill/>
              </a14:hiddenLine>
            </a:ext>
          </a:ex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5866"/>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Pivots!$V$5</c:f>
              <c:strCache>
                <c:ptCount val="1"/>
                <c:pt idx="0">
                  <c:v>Total</c:v>
                </c:pt>
              </c:strCache>
            </c:strRef>
          </c:tx>
          <c:spPr>
            <a:solidFill>
              <a:srgbClr val="B5651D"/>
            </a:solidFill>
            <a:ln>
              <a:noFill/>
            </a:ln>
            <a:effectLst/>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5866"/>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Pivots!$U$6:$U$11</c:f>
              <c:strCache>
                <c:ptCount val="5"/>
                <c:pt idx="0">
                  <c:v>Low credit score</c:v>
                </c:pt>
                <c:pt idx="1">
                  <c:v>High debt-to-income</c:v>
                </c:pt>
                <c:pt idx="2">
                  <c:v>Incomplete documents</c:v>
                </c:pt>
                <c:pt idx="3">
                  <c:v>Insufficient income</c:v>
                </c:pt>
                <c:pt idx="4">
                  <c:v>Policy exclusion</c:v>
                </c:pt>
              </c:strCache>
            </c:strRef>
          </c:cat>
          <c:val>
            <c:numRef>
              <c:f>Pivots!$V$6:$V$11</c:f>
              <c:numCache>
                <c:formatCode>#,##0</c:formatCode>
                <c:ptCount val="5"/>
                <c:pt idx="0">
                  <c:v>882</c:v>
                </c:pt>
                <c:pt idx="1">
                  <c:v>505</c:v>
                </c:pt>
                <c:pt idx="2">
                  <c:v>358</c:v>
                </c:pt>
                <c:pt idx="3">
                  <c:v>222</c:v>
                </c:pt>
                <c:pt idx="4">
                  <c:v>109</c:v>
                </c:pt>
              </c:numCache>
            </c:numRef>
          </c:val>
          <c:extLst>
            <c:ext xmlns:c16="http://schemas.microsoft.com/office/drawing/2014/chart" uri="{C3380CC4-5D6E-409C-BE32-E72D297353CC}">
              <c16:uniqueId val="{00000001-E27A-405F-8890-2EF701E9F39B}"/>
            </c:ext>
          </c:extLst>
        </c:ser>
        <c:dLbls>
          <c:showLegendKey val="0"/>
          <c:showVal val="0"/>
          <c:showCatName val="0"/>
          <c:showSerName val="0"/>
          <c:showPercent val="0"/>
          <c:showBubbleSize val="0"/>
        </c:dLbls>
        <c:gapWidth val="60"/>
        <c:overlap val="-10"/>
        <c:axId val="609210896"/>
        <c:axId val="574788864"/>
      </c:barChart>
      <c:catAx>
        <c:axId val="609210896"/>
        <c:scaling>
          <c:orientation val="maxMin"/>
        </c:scaling>
        <c:delete val="0"/>
        <c:axPos val="l"/>
        <c:numFmt formatCode="General" sourceLinked="1"/>
        <c:majorTickMark val="none"/>
        <c:minorTickMark val="none"/>
        <c:tickLblPos val="nextTo"/>
        <c:spPr>
          <a:noFill/>
          <a:ln w="9525" cap="flat" cmpd="sng" algn="ctr">
            <a:solidFill>
              <a:srgbClr val="EEF1F4"/>
            </a:solidFill>
            <a:round/>
          </a:ln>
          <a:effectLst/>
        </c:spPr>
        <c:txPr>
          <a:bodyPr rot="-6000000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crossAx val="574788864"/>
        <c:crosses val="autoZero"/>
        <c:auto val="1"/>
        <c:lblAlgn val="ctr"/>
        <c:lblOffset val="100"/>
        <c:noMultiLvlLbl val="0"/>
      </c:catAx>
      <c:valAx>
        <c:axId val="574788864"/>
        <c:scaling>
          <c:orientation val="minMax"/>
        </c:scaling>
        <c:delete val="1"/>
        <c:axPos val="t"/>
        <c:numFmt formatCode="#,##0" sourceLinked="1"/>
        <c:majorTickMark val="none"/>
        <c:minorTickMark val="none"/>
        <c:tickLblPos val="nextTo"/>
        <c:crossAx val="609210896"/>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7E1D3"/>
      </a:solidFill>
      <a:round/>
    </a:ln>
    <a:effectLst/>
  </c:spPr>
  <c:txPr>
    <a:bodyPr/>
    <a:lstStyle/>
    <a:p>
      <a:pPr>
        <a:defRPr sz="800">
          <a:solidFill>
            <a:srgbClr val="4A5866"/>
          </a:solidFill>
          <a:latin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[Loan_Applications_Dashboard.xlsx]Pivots!ptChannel</c:name>
    <c:fmtId val="0"/>
  </c:pivotSource>
  <c:chart>
    <c:title>
      <c:tx>
        <c:rich>
          <a:bodyPr rot="0" spcFirstLastPara="1" vertOverflow="ellipsis" vert="horz" wrap="square" anchor="ctr" anchorCtr="1"/>
          <a:lstStyle/>
          <a:p>
            <a:pPr>
              <a:defRPr sz="1100" b="1" i="0" u="none" strike="noStrike" kern="1200" spc="0" baseline="0">
                <a:solidFill>
                  <a:srgbClr val="0B2545"/>
                </a:solidFill>
                <a:latin typeface="Segoe UI" panose="020B0502040204020203" pitchFamily="34" charset="0"/>
                <a:ea typeface="+mn-ea"/>
                <a:cs typeface="+mn-cs"/>
              </a:defRPr>
            </a:pPr>
            <a:r>
              <a:rPr lang="en-US" sz="1100" b="1">
                <a:solidFill>
                  <a:srgbClr val="0B2545"/>
                </a:solidFill>
              </a:rPr>
              <a:t>Channel Mix</a:t>
            </a:r>
          </a:p>
        </c:rich>
      </c:tx>
      <c:layout>
        <c:manualLayout>
          <c:xMode val="edge"/>
          <c:yMode val="edge"/>
          <c:x val="3.4632034632034632E-2"/>
          <c:y val="2.6666666666666668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0B2545"/>
              </a:solidFill>
              <a:latin typeface="Segoe UI" panose="020B0502040204020203" pitchFamily="34" charset="0"/>
              <a:ea typeface="+mn-ea"/>
              <a:cs typeface="+mn-cs"/>
            </a:defRPr>
          </a:pPr>
          <a:endParaRPr lang="en-US"/>
        </a:p>
      </c:txPr>
    </c:title>
    <c:autoTitleDeleted val="0"/>
    <c:pivotFmts>
      <c:pivotFmt>
        <c:idx val="0"/>
        <c:spPr>
          <a:solidFill>
            <a:schemeClr val="accent1"/>
          </a:solidFill>
          <a:ln w="19050">
            <a:solidFill>
              <a:srgbClr val="FFFFFF"/>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FFFF"/>
                  </a:solidFill>
                  <a:latin typeface="Segoe UI" panose="020B0502040204020203" pitchFamily="34" charset="0"/>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pieChart>
        <c:varyColors val="1"/>
        <c:ser>
          <c:idx val="0"/>
          <c:order val="0"/>
          <c:tx>
            <c:strRef>
              <c:f>Pivots!$P$5</c:f>
              <c:strCache>
                <c:ptCount val="1"/>
                <c:pt idx="0">
                  <c:v>Total</c:v>
                </c:pt>
              </c:strCache>
            </c:strRef>
          </c:tx>
          <c:spPr>
            <a:ln w="19050">
              <a:solidFill>
                <a:srgbClr val="FFFFFF"/>
              </a:solidFill>
            </a:ln>
          </c:spPr>
          <c:dPt>
            <c:idx val="0"/>
            <c:bubble3D val="0"/>
            <c:spPr>
              <a:solidFill>
                <a:schemeClr val="accent1"/>
              </a:solidFill>
              <a:ln w="19050">
                <a:solidFill>
                  <a:srgbClr val="FFFFFF"/>
                </a:solidFill>
              </a:ln>
              <a:effectLst/>
            </c:spPr>
          </c:dPt>
          <c:dPt>
            <c:idx val="1"/>
            <c:bubble3D val="0"/>
            <c:spPr>
              <a:solidFill>
                <a:schemeClr val="accent2"/>
              </a:solidFill>
              <a:ln w="19050">
                <a:solidFill>
                  <a:srgbClr val="FFFFFF"/>
                </a:solidFill>
              </a:ln>
              <a:effectLst/>
            </c:spPr>
          </c:dPt>
          <c:dPt>
            <c:idx val="2"/>
            <c:bubble3D val="0"/>
            <c:spPr>
              <a:solidFill>
                <a:schemeClr val="accent3"/>
              </a:solidFill>
              <a:ln w="19050">
                <a:solidFill>
                  <a:srgbClr val="FFFFFF"/>
                </a:solidFill>
              </a:ln>
              <a:effectLst/>
            </c:spPr>
          </c:dPt>
          <c:dPt>
            <c:idx val="3"/>
            <c:bubble3D val="0"/>
            <c:spPr>
              <a:solidFill>
                <a:schemeClr val="accent4"/>
              </a:solidFill>
              <a:ln w="19050">
                <a:solidFill>
                  <a:srgbClr val="FFFFFF"/>
                </a:solidFill>
              </a:ln>
              <a:effectLst/>
            </c:spPr>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FFFF"/>
                    </a:solidFill>
                    <a:latin typeface="Segoe UI" panose="020B0502040204020203" pitchFamily="34" charset="0"/>
                    <a:ea typeface="+mn-ea"/>
                    <a:cs typeface="+mn-cs"/>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Pivots!$O$6:$O$10</c:f>
              <c:strCache>
                <c:ptCount val="4"/>
                <c:pt idx="0">
                  <c:v>Branch</c:v>
                </c:pt>
                <c:pt idx="1">
                  <c:v>Online</c:v>
                </c:pt>
                <c:pt idx="2">
                  <c:v>Mobile App</c:v>
                </c:pt>
                <c:pt idx="3">
                  <c:v>Broker</c:v>
                </c:pt>
              </c:strCache>
            </c:strRef>
          </c:cat>
          <c:val>
            <c:numRef>
              <c:f>Pivots!$P$6:$P$10</c:f>
              <c:numCache>
                <c:formatCode>#,##0</c:formatCode>
                <c:ptCount val="4"/>
                <c:pt idx="0">
                  <c:v>1775</c:v>
                </c:pt>
                <c:pt idx="1">
                  <c:v>1352</c:v>
                </c:pt>
                <c:pt idx="2">
                  <c:v>1351</c:v>
                </c:pt>
                <c:pt idx="3">
                  <c:v>722</c:v>
                </c:pt>
              </c:numCache>
            </c:numRef>
          </c:val>
          <c:extLst>
            <c:ext xmlns:c16="http://schemas.microsoft.com/office/drawing/2014/chart" uri="{C3380CC4-5D6E-409C-BE32-E72D297353CC}">
              <c16:uniqueId val="{00000001-F030-4647-AB60-3084BA8B6B97}"/>
            </c:ext>
          </c:extLst>
        </c:ser>
        <c:dLbls>
          <c:showLegendKey val="0"/>
          <c:showVal val="0"/>
          <c:showCatName val="0"/>
          <c:showSerName val="0"/>
          <c:showPercent val="0"/>
          <c:showBubbleSize val="0"/>
          <c:showLeaderLines val="0"/>
        </c:dLbls>
        <c:firstSliceAng val="0"/>
      </c:pieChart>
      <c:spPr>
        <a:noFill/>
        <a:ln>
          <a:noFill/>
        </a:ln>
        <a:effectLst/>
        <a:extLst>
          <a:ext uri="{909E8E84-426E-40DD-AFC4-6F175D3DCCD1}">
            <a14:hiddenFill xmlns:a14="http://schemas.microsoft.com/office/drawing/2010/main">
              <a:noFill/>
            </a14:hiddenFill>
          </a:ext>
        </a:ex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7E1D3"/>
      </a:solidFill>
      <a:round/>
    </a:ln>
    <a:effectLst/>
  </c:spPr>
  <c:txPr>
    <a:bodyPr/>
    <a:lstStyle/>
    <a:p>
      <a:pPr>
        <a:defRPr sz="800">
          <a:solidFill>
            <a:srgbClr val="4A5866"/>
          </a:solidFill>
          <a:latin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[Loan_Applications_Dashboard.xlsx]Pivots!ptProdChan</c:name>
    <c:fmtId val="0"/>
  </c:pivotSource>
  <c:chart>
    <c:title>
      <c:tx>
        <c:rich>
          <a:bodyPr rot="0" spcFirstLastPara="1" vertOverflow="ellipsis" vert="horz" wrap="square" anchor="ctr" anchorCtr="1"/>
          <a:lstStyle/>
          <a:p>
            <a:pPr>
              <a:defRPr sz="1100" b="1" i="0" u="none" strike="noStrike" kern="1200" spc="0" baseline="0">
                <a:solidFill>
                  <a:srgbClr val="0B2545"/>
                </a:solidFill>
                <a:latin typeface="Segoe UI" panose="020B0502040204020203" pitchFamily="34" charset="0"/>
                <a:ea typeface="+mn-ea"/>
                <a:cs typeface="+mn-cs"/>
              </a:defRPr>
            </a:pPr>
            <a:r>
              <a:rPr lang="en-US" sz="1100" b="1">
                <a:solidFill>
                  <a:srgbClr val="0B2545"/>
                </a:solidFill>
              </a:rPr>
              <a:t>Applications by Product &amp; Channel</a:t>
            </a:r>
          </a:p>
        </c:rich>
      </c:tx>
      <c:layout>
        <c:manualLayout>
          <c:xMode val="edge"/>
          <c:yMode val="edge"/>
          <c:x val="3.4632034632034632E-2"/>
          <c:y val="2.6666666666666668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0B2545"/>
              </a:solidFill>
              <a:latin typeface="Segoe UI" panose="020B0502040204020203" pitchFamily="34" charset="0"/>
              <a:ea typeface="+mn-ea"/>
              <a:cs typeface="+mn-cs"/>
            </a:defRPr>
          </a:pPr>
          <a:endParaRPr lang="en-US"/>
        </a:p>
      </c:txPr>
    </c:title>
    <c:autoTitleDeleted val="0"/>
    <c:pivotFmts>
      <c:pivotFmt>
        <c:idx val="0"/>
        <c:spPr>
          <a:solidFill>
            <a:srgbClr val="0B2545"/>
          </a:solidFill>
          <a:ln>
            <a:noFill/>
          </a:ln>
          <a:effectLst/>
          <a:extLst>
            <a:ext uri="{91240B29-F687-4F45-9708-019B960494DF}">
              <a14:hiddenLine xmlns:a14="http://schemas.microsoft.com/office/drawing/2010/main">
                <a:noFill/>
              </a14:hiddenLine>
            </a:ext>
          </a:ex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9A227"/>
          </a:solidFill>
          <a:ln>
            <a:noFill/>
          </a:ln>
          <a:effectLst/>
          <a:extLst>
            <a:ext uri="{91240B29-F687-4F45-9708-019B960494DF}">
              <a14:hiddenLine xmlns:a14="http://schemas.microsoft.com/office/drawing/2010/main">
                <a:noFill/>
              </a14:hiddenLine>
            </a:ext>
          </a:ex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E7CB1"/>
          </a:solidFill>
          <a:ln>
            <a:noFill/>
          </a:ln>
          <a:effectLst/>
          <a:extLst>
            <a:ext uri="{91240B29-F687-4F45-9708-019B960494DF}">
              <a14:hiddenLine xmlns:a14="http://schemas.microsoft.com/office/drawing/2010/main">
                <a:noFill/>
              </a14:hiddenLine>
            </a:ext>
          </a:ex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8DA9C4"/>
          </a:solidFill>
          <a:ln>
            <a:noFill/>
          </a:ln>
          <a:effectLst/>
          <a:extLst>
            <a:ext uri="{91240B29-F687-4F45-9708-019B960494DF}">
              <a14:hiddenLine xmlns:a14="http://schemas.microsoft.com/office/drawing/2010/main">
                <a:noFill/>
              </a14:hiddenLine>
            </a:ext>
          </a:ex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Pivots!$Y$5:$Y$6</c:f>
              <c:strCache>
                <c:ptCount val="1"/>
                <c:pt idx="0">
                  <c:v>Branch</c:v>
                </c:pt>
              </c:strCache>
            </c:strRef>
          </c:tx>
          <c:spPr>
            <a:solidFill>
              <a:srgbClr val="0B2545"/>
            </a:solidFill>
            <a:ln>
              <a:noFill/>
            </a:ln>
            <a:effectLst/>
            <a:extLst>
              <a:ext uri="{91240B29-F687-4F45-9708-019B960494DF}">
                <a14:hiddenLine xmlns:a14="http://schemas.microsoft.com/office/drawing/2010/main">
                  <a:noFill/>
                </a14:hiddenLine>
              </a:ext>
            </a:extLst>
          </c:spPr>
          <c:invertIfNegative val="0"/>
          <c:cat>
            <c:strRef>
              <c:f>Pivots!$X$7:$X$10</c:f>
              <c:strCache>
                <c:ptCount val="4"/>
                <c:pt idx="0">
                  <c:v>Personal Loan</c:v>
                </c:pt>
                <c:pt idx="1">
                  <c:v>Auto Loan</c:v>
                </c:pt>
                <c:pt idx="2">
                  <c:v>Mortgage</c:v>
                </c:pt>
                <c:pt idx="3">
                  <c:v>SME Loan</c:v>
                </c:pt>
              </c:strCache>
            </c:strRef>
          </c:cat>
          <c:val>
            <c:numRef>
              <c:f>Pivots!$Y$7:$Y$10</c:f>
              <c:numCache>
                <c:formatCode>#,##0</c:formatCode>
                <c:ptCount val="4"/>
                <c:pt idx="0">
                  <c:v>748</c:v>
                </c:pt>
                <c:pt idx="1">
                  <c:v>427</c:v>
                </c:pt>
                <c:pt idx="2">
                  <c:v>259</c:v>
                </c:pt>
                <c:pt idx="3">
                  <c:v>341</c:v>
                </c:pt>
              </c:numCache>
            </c:numRef>
          </c:val>
          <c:extLst>
            <c:ext xmlns:c16="http://schemas.microsoft.com/office/drawing/2014/chart" uri="{C3380CC4-5D6E-409C-BE32-E72D297353CC}">
              <c16:uniqueId val="{00000001-BE51-4DBA-836E-E2206CC2CD4E}"/>
            </c:ext>
          </c:extLst>
        </c:ser>
        <c:ser>
          <c:idx val="1"/>
          <c:order val="1"/>
          <c:tx>
            <c:strRef>
              <c:f>Pivots!$Z$5:$Z$6</c:f>
              <c:strCache>
                <c:ptCount val="1"/>
                <c:pt idx="0">
                  <c:v>Broker</c:v>
                </c:pt>
              </c:strCache>
            </c:strRef>
          </c:tx>
          <c:spPr>
            <a:solidFill>
              <a:srgbClr val="C9A227"/>
            </a:solidFill>
            <a:ln>
              <a:noFill/>
            </a:ln>
            <a:effectLst/>
            <a:extLst>
              <a:ext uri="{91240B29-F687-4F45-9708-019B960494DF}">
                <a14:hiddenLine xmlns:a14="http://schemas.microsoft.com/office/drawing/2010/main">
                  <a:noFill/>
                </a14:hiddenLine>
              </a:ext>
            </a:extLst>
          </c:spPr>
          <c:invertIfNegative val="0"/>
          <c:cat>
            <c:strRef>
              <c:f>Pivots!$X$7:$X$10</c:f>
              <c:strCache>
                <c:ptCount val="4"/>
                <c:pt idx="0">
                  <c:v>Personal Loan</c:v>
                </c:pt>
                <c:pt idx="1">
                  <c:v>Auto Loan</c:v>
                </c:pt>
                <c:pt idx="2">
                  <c:v>Mortgage</c:v>
                </c:pt>
                <c:pt idx="3">
                  <c:v>SME Loan</c:v>
                </c:pt>
              </c:strCache>
            </c:strRef>
          </c:cat>
          <c:val>
            <c:numRef>
              <c:f>Pivots!$Z$7:$Z$10</c:f>
              <c:numCache>
                <c:formatCode>#,##0</c:formatCode>
                <c:ptCount val="4"/>
                <c:pt idx="0">
                  <c:v>285</c:v>
                </c:pt>
                <c:pt idx="1">
                  <c:v>210</c:v>
                </c:pt>
                <c:pt idx="2">
                  <c:v>102</c:v>
                </c:pt>
                <c:pt idx="3">
                  <c:v>125</c:v>
                </c:pt>
              </c:numCache>
            </c:numRef>
          </c:val>
          <c:extLst>
            <c:ext xmlns:c16="http://schemas.microsoft.com/office/drawing/2014/chart" uri="{C3380CC4-5D6E-409C-BE32-E72D297353CC}">
              <c16:uniqueId val="{00000002-BE51-4DBA-836E-E2206CC2CD4E}"/>
            </c:ext>
          </c:extLst>
        </c:ser>
        <c:ser>
          <c:idx val="2"/>
          <c:order val="2"/>
          <c:tx>
            <c:strRef>
              <c:f>Pivots!$AA$5:$AA$6</c:f>
              <c:strCache>
                <c:ptCount val="1"/>
                <c:pt idx="0">
                  <c:v>Mobile App</c:v>
                </c:pt>
              </c:strCache>
            </c:strRef>
          </c:tx>
          <c:spPr>
            <a:solidFill>
              <a:srgbClr val="3E7CB1"/>
            </a:solidFill>
            <a:ln>
              <a:noFill/>
            </a:ln>
            <a:effectLst/>
            <a:extLst>
              <a:ext uri="{91240B29-F687-4F45-9708-019B960494DF}">
                <a14:hiddenLine xmlns:a14="http://schemas.microsoft.com/office/drawing/2010/main">
                  <a:noFill/>
                </a14:hiddenLine>
              </a:ext>
            </a:extLst>
          </c:spPr>
          <c:invertIfNegative val="0"/>
          <c:cat>
            <c:strRef>
              <c:f>Pivots!$X$7:$X$10</c:f>
              <c:strCache>
                <c:ptCount val="4"/>
                <c:pt idx="0">
                  <c:v>Personal Loan</c:v>
                </c:pt>
                <c:pt idx="1">
                  <c:v>Auto Loan</c:v>
                </c:pt>
                <c:pt idx="2">
                  <c:v>Mortgage</c:v>
                </c:pt>
                <c:pt idx="3">
                  <c:v>SME Loan</c:v>
                </c:pt>
              </c:strCache>
            </c:strRef>
          </c:cat>
          <c:val>
            <c:numRef>
              <c:f>Pivots!$AA$7:$AA$10</c:f>
              <c:numCache>
                <c:formatCode>#,##0</c:formatCode>
                <c:ptCount val="4"/>
                <c:pt idx="0">
                  <c:v>558</c:v>
                </c:pt>
                <c:pt idx="1">
                  <c:v>355</c:v>
                </c:pt>
                <c:pt idx="2">
                  <c:v>179</c:v>
                </c:pt>
                <c:pt idx="3">
                  <c:v>259</c:v>
                </c:pt>
              </c:numCache>
            </c:numRef>
          </c:val>
          <c:extLst>
            <c:ext xmlns:c16="http://schemas.microsoft.com/office/drawing/2014/chart" uri="{C3380CC4-5D6E-409C-BE32-E72D297353CC}">
              <c16:uniqueId val="{00000003-BE51-4DBA-836E-E2206CC2CD4E}"/>
            </c:ext>
          </c:extLst>
        </c:ser>
        <c:ser>
          <c:idx val="3"/>
          <c:order val="3"/>
          <c:tx>
            <c:strRef>
              <c:f>Pivots!$AB$5:$AB$6</c:f>
              <c:strCache>
                <c:ptCount val="1"/>
                <c:pt idx="0">
                  <c:v>Online</c:v>
                </c:pt>
              </c:strCache>
            </c:strRef>
          </c:tx>
          <c:spPr>
            <a:solidFill>
              <a:srgbClr val="8DA9C4"/>
            </a:solidFill>
            <a:ln>
              <a:noFill/>
            </a:ln>
            <a:effectLst/>
            <a:extLst>
              <a:ext uri="{91240B29-F687-4F45-9708-019B960494DF}">
                <a14:hiddenLine xmlns:a14="http://schemas.microsoft.com/office/drawing/2010/main">
                  <a:noFill/>
                </a14:hiddenLine>
              </a:ext>
            </a:extLst>
          </c:spPr>
          <c:invertIfNegative val="0"/>
          <c:cat>
            <c:strRef>
              <c:f>Pivots!$X$7:$X$10</c:f>
              <c:strCache>
                <c:ptCount val="4"/>
                <c:pt idx="0">
                  <c:v>Personal Loan</c:v>
                </c:pt>
                <c:pt idx="1">
                  <c:v>Auto Loan</c:v>
                </c:pt>
                <c:pt idx="2">
                  <c:v>Mortgage</c:v>
                </c:pt>
                <c:pt idx="3">
                  <c:v>SME Loan</c:v>
                </c:pt>
              </c:strCache>
            </c:strRef>
          </c:cat>
          <c:val>
            <c:numRef>
              <c:f>Pivots!$AB$7:$AB$10</c:f>
              <c:numCache>
                <c:formatCode>#,##0</c:formatCode>
                <c:ptCount val="4"/>
                <c:pt idx="0">
                  <c:v>564</c:v>
                </c:pt>
                <c:pt idx="1">
                  <c:v>338</c:v>
                </c:pt>
                <c:pt idx="2">
                  <c:v>218</c:v>
                </c:pt>
                <c:pt idx="3">
                  <c:v>232</c:v>
                </c:pt>
              </c:numCache>
            </c:numRef>
          </c:val>
          <c:extLst>
            <c:ext xmlns:c16="http://schemas.microsoft.com/office/drawing/2014/chart" uri="{C3380CC4-5D6E-409C-BE32-E72D297353CC}">
              <c16:uniqueId val="{00000004-BE51-4DBA-836E-E2206CC2CD4E}"/>
            </c:ext>
          </c:extLst>
        </c:ser>
        <c:dLbls>
          <c:showLegendKey val="0"/>
          <c:showVal val="0"/>
          <c:showCatName val="0"/>
          <c:showSerName val="0"/>
          <c:showPercent val="0"/>
          <c:showBubbleSize val="0"/>
        </c:dLbls>
        <c:gapWidth val="45"/>
        <c:overlap val="100"/>
        <c:axId val="604687776"/>
        <c:axId val="574775904"/>
      </c:barChart>
      <c:catAx>
        <c:axId val="604687776"/>
        <c:scaling>
          <c:orientation val="maxMin"/>
        </c:scaling>
        <c:delete val="0"/>
        <c:axPos val="l"/>
        <c:numFmt formatCode="General" sourceLinked="1"/>
        <c:majorTickMark val="none"/>
        <c:minorTickMark val="none"/>
        <c:tickLblPos val="nextTo"/>
        <c:spPr>
          <a:noFill/>
          <a:ln w="9525" cap="flat" cmpd="sng" algn="ctr">
            <a:solidFill>
              <a:srgbClr val="EEF1F4"/>
            </a:solidFill>
            <a:round/>
          </a:ln>
          <a:effectLst/>
        </c:spPr>
        <c:txPr>
          <a:bodyPr rot="-6000000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crossAx val="574775904"/>
        <c:crosses val="autoZero"/>
        <c:auto val="1"/>
        <c:lblAlgn val="ctr"/>
        <c:lblOffset val="100"/>
        <c:noMultiLvlLbl val="0"/>
      </c:catAx>
      <c:valAx>
        <c:axId val="574775904"/>
        <c:scaling>
          <c:orientation val="minMax"/>
        </c:scaling>
        <c:delete val="0"/>
        <c:axPos val="t"/>
        <c:majorGridlines>
          <c:spPr>
            <a:ln w="9525" cap="flat" cmpd="sng" algn="ctr">
              <a:solidFill>
                <a:srgbClr val="EEF1F4"/>
              </a:solidFill>
              <a:round/>
            </a:ln>
            <a:effectLst/>
          </c:spPr>
        </c:majorGridlines>
        <c:numFmt formatCode="#,##0" sourceLinked="1"/>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crossAx val="604687776"/>
        <c:crosses val="autoZero"/>
        <c:crossBetween val="between"/>
      </c:valAx>
      <c:spPr>
        <a:noFill/>
        <a:ln>
          <a:noFill/>
        </a:ln>
        <a:effectLst/>
        <a:extLst>
          <a:ext uri="{909E8E84-426E-40DD-AFC4-6F175D3DCCD1}">
            <a14:hiddenFill xmlns:a14="http://schemas.microsoft.com/office/drawing/2010/main">
              <a:noFill/>
            </a14:hiddenFill>
          </a:ext>
        </a:ex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7E1D3"/>
      </a:solidFill>
      <a:round/>
    </a:ln>
    <a:effectLst/>
  </c:spPr>
  <c:txPr>
    <a:bodyPr/>
    <a:lstStyle/>
    <a:p>
      <a:pPr>
        <a:defRPr sz="800">
          <a:solidFill>
            <a:srgbClr val="4A5866"/>
          </a:solidFill>
          <a:latin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[Loan_Applications_Dashboard.xlsx]Pivots!ptChannelDays</c:name>
    <c:fmtId val="0"/>
  </c:pivotSource>
  <c:chart>
    <c:title>
      <c:tx>
        <c:rich>
          <a:bodyPr rot="0" spcFirstLastPara="1" vertOverflow="ellipsis" vert="horz" wrap="square" anchor="ctr" anchorCtr="1"/>
          <a:lstStyle/>
          <a:p>
            <a:pPr>
              <a:defRPr sz="1100" b="1" i="0" u="none" strike="noStrike" kern="1200" spc="0" baseline="0">
                <a:solidFill>
                  <a:srgbClr val="0B2545"/>
                </a:solidFill>
                <a:latin typeface="Segoe UI" panose="020B0502040204020203" pitchFamily="34" charset="0"/>
                <a:ea typeface="+mn-ea"/>
                <a:cs typeface="+mn-cs"/>
              </a:defRPr>
            </a:pPr>
            <a:r>
              <a:rPr lang="en-US" sz="1100" b="1">
                <a:solidFill>
                  <a:srgbClr val="0B2545"/>
                </a:solidFill>
              </a:rPr>
              <a:t>Avg Days to Decision</a:t>
            </a:r>
          </a:p>
        </c:rich>
      </c:tx>
      <c:layout>
        <c:manualLayout>
          <c:xMode val="edge"/>
          <c:yMode val="edge"/>
          <c:x val="3.4632034632034632E-2"/>
          <c:y val="2.6666666666666668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0B2545"/>
              </a:solidFill>
              <a:latin typeface="Segoe UI" panose="020B0502040204020203" pitchFamily="34" charset="0"/>
              <a:ea typeface="+mn-ea"/>
              <a:cs typeface="+mn-cs"/>
            </a:defRPr>
          </a:pPr>
          <a:endParaRPr lang="en-US"/>
        </a:p>
      </c:txPr>
    </c:title>
    <c:autoTitleDeleted val="0"/>
    <c:pivotFmts>
      <c:pivotFmt>
        <c:idx val="0"/>
        <c:spPr>
          <a:solidFill>
            <a:srgbClr val="C9A227"/>
          </a:solidFill>
          <a:ln>
            <a:noFill/>
          </a:ln>
          <a:effectLst/>
          <a:extLst>
            <a:ext uri="{91240B29-F687-4F45-9708-019B960494DF}">
              <a14:hiddenLine xmlns:a14="http://schemas.microsoft.com/office/drawing/2010/main">
                <a:noFill/>
              </a14:hiddenLine>
            </a:ext>
          </a:ex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5866"/>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Pivots!$M$5</c:f>
              <c:strCache>
                <c:ptCount val="1"/>
                <c:pt idx="0">
                  <c:v>Total</c:v>
                </c:pt>
              </c:strCache>
            </c:strRef>
          </c:tx>
          <c:spPr>
            <a:solidFill>
              <a:srgbClr val="C9A227"/>
            </a:solidFill>
            <a:ln>
              <a:noFill/>
            </a:ln>
            <a:effectLst/>
            <a:extLst>
              <a:ext uri="{91240B29-F687-4F45-9708-019B960494DF}">
                <a14:hiddenLine xmlns:a14="http://schemas.microsoft.com/office/drawing/2010/main">
                  <a:noFill/>
                </a14:hiddenLine>
              </a:ext>
            </a:ex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5866"/>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Pivots!$L$6:$L$10</c:f>
              <c:strCache>
                <c:ptCount val="4"/>
                <c:pt idx="0">
                  <c:v>Branch</c:v>
                </c:pt>
                <c:pt idx="1">
                  <c:v>Broker</c:v>
                </c:pt>
                <c:pt idx="2">
                  <c:v>Online</c:v>
                </c:pt>
                <c:pt idx="3">
                  <c:v>Mobile App</c:v>
                </c:pt>
              </c:strCache>
            </c:strRef>
          </c:cat>
          <c:val>
            <c:numRef>
              <c:f>Pivots!$M$6:$M$10</c:f>
              <c:numCache>
                <c:formatCode>0.0</c:formatCode>
                <c:ptCount val="4"/>
                <c:pt idx="0">
                  <c:v>9.3002816901408458</c:v>
                </c:pt>
                <c:pt idx="1">
                  <c:v>7.5955678670360109</c:v>
                </c:pt>
                <c:pt idx="2">
                  <c:v>4.1886094674556213</c:v>
                </c:pt>
                <c:pt idx="3">
                  <c:v>3.288675055514434</c:v>
                </c:pt>
              </c:numCache>
            </c:numRef>
          </c:val>
          <c:extLst>
            <c:ext xmlns:c16="http://schemas.microsoft.com/office/drawing/2014/chart" uri="{C3380CC4-5D6E-409C-BE32-E72D297353CC}">
              <c16:uniqueId val="{00000001-74D5-40E2-9D7D-D1E071440E5C}"/>
            </c:ext>
          </c:extLst>
        </c:ser>
        <c:dLbls>
          <c:showLegendKey val="0"/>
          <c:showVal val="0"/>
          <c:showCatName val="0"/>
          <c:showSerName val="0"/>
          <c:showPercent val="0"/>
          <c:showBubbleSize val="0"/>
        </c:dLbls>
        <c:gapWidth val="60"/>
        <c:overlap val="-10"/>
        <c:axId val="604684064"/>
        <c:axId val="574789344"/>
      </c:barChart>
      <c:catAx>
        <c:axId val="604684064"/>
        <c:scaling>
          <c:orientation val="minMax"/>
        </c:scaling>
        <c:delete val="0"/>
        <c:axPos val="b"/>
        <c:numFmt formatCode="General" sourceLinked="1"/>
        <c:majorTickMark val="none"/>
        <c:minorTickMark val="none"/>
        <c:tickLblPos val="nextTo"/>
        <c:spPr>
          <a:noFill/>
          <a:ln w="9525" cap="flat" cmpd="sng" algn="ctr">
            <a:solidFill>
              <a:srgbClr val="EEF1F4"/>
            </a:solidFill>
            <a:round/>
          </a:ln>
          <a:effectLst/>
        </c:spPr>
        <c:txPr>
          <a:bodyPr rot="-6000000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crossAx val="574789344"/>
        <c:crosses val="autoZero"/>
        <c:auto val="1"/>
        <c:lblAlgn val="ctr"/>
        <c:lblOffset val="100"/>
        <c:noMultiLvlLbl val="0"/>
      </c:catAx>
      <c:valAx>
        <c:axId val="574789344"/>
        <c:scaling>
          <c:orientation val="minMax"/>
        </c:scaling>
        <c:delete val="1"/>
        <c:axPos val="l"/>
        <c:numFmt formatCode="0.0" sourceLinked="1"/>
        <c:majorTickMark val="none"/>
        <c:minorTickMark val="none"/>
        <c:tickLblPos val="nextTo"/>
        <c:crossAx val="604684064"/>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7E1D3"/>
      </a:solidFill>
      <a:round/>
    </a:ln>
    <a:effectLst/>
  </c:spPr>
  <c:txPr>
    <a:bodyPr/>
    <a:lstStyle/>
    <a:p>
      <a:pPr>
        <a:defRPr sz="800">
          <a:solidFill>
            <a:srgbClr val="4A5866"/>
          </a:solidFill>
          <a:latin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16</xdr:row>
      <xdr:rowOff>0</xdr:rowOff>
    </xdr:from>
    <xdr:to>
      <xdr:col>22</xdr:col>
      <xdr:colOff>0</xdr:colOff>
      <xdr:row>31</xdr:row>
      <xdr:rowOff>0</xdr:rowOff>
    </xdr:to>
    <xdr:graphicFrame macro="">
      <xdr:nvGraphicFramePr>
        <xdr:cNvPr id="2" name="ch_ptTrend">
          <a:extLst>
            <a:ext uri="{FF2B5EF4-FFF2-40B4-BE49-F238E27FC236}">
              <a16:creationId xmlns:a16="http://schemas.microsoft.com/office/drawing/2014/main" id="{25DB1717-21C8-278A-079F-7714335232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0</xdr:colOff>
      <xdr:row>16</xdr:row>
      <xdr:rowOff>0</xdr:rowOff>
    </xdr:from>
    <xdr:to>
      <xdr:col>44</xdr:col>
      <xdr:colOff>0</xdr:colOff>
      <xdr:row>31</xdr:row>
      <xdr:rowOff>0</xdr:rowOff>
    </xdr:to>
    <xdr:graphicFrame macro="">
      <xdr:nvGraphicFramePr>
        <xdr:cNvPr id="3" name="ch_ptBand">
          <a:extLst>
            <a:ext uri="{FF2B5EF4-FFF2-40B4-BE49-F238E27FC236}">
              <a16:creationId xmlns:a16="http://schemas.microsoft.com/office/drawing/2014/main" id="{FA5CF990-C3C2-C9FA-1067-4DA46B0978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45</xdr:col>
      <xdr:colOff>0</xdr:colOff>
      <xdr:row>16</xdr:row>
      <xdr:rowOff>0</xdr:rowOff>
    </xdr:from>
    <xdr:to>
      <xdr:col>66</xdr:col>
      <xdr:colOff>0</xdr:colOff>
      <xdr:row>31</xdr:row>
      <xdr:rowOff>0</xdr:rowOff>
    </xdr:to>
    <xdr:graphicFrame macro="">
      <xdr:nvGraphicFramePr>
        <xdr:cNvPr id="4" name="ch_ptReason">
          <a:extLst>
            <a:ext uri="{FF2B5EF4-FFF2-40B4-BE49-F238E27FC236}">
              <a16:creationId xmlns:a16="http://schemas.microsoft.com/office/drawing/2014/main" id="{C30E2987-6C84-1659-BD19-FE7B131D1F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32</xdr:row>
      <xdr:rowOff>0</xdr:rowOff>
    </xdr:from>
    <xdr:to>
      <xdr:col>22</xdr:col>
      <xdr:colOff>0</xdr:colOff>
      <xdr:row>47</xdr:row>
      <xdr:rowOff>0</xdr:rowOff>
    </xdr:to>
    <xdr:graphicFrame macro="">
      <xdr:nvGraphicFramePr>
        <xdr:cNvPr id="5" name="ch_ptChannel">
          <a:extLst>
            <a:ext uri="{FF2B5EF4-FFF2-40B4-BE49-F238E27FC236}">
              <a16:creationId xmlns:a16="http://schemas.microsoft.com/office/drawing/2014/main" id="{F7EF54EF-3E50-131F-24B3-D05F490466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0</xdr:colOff>
      <xdr:row>32</xdr:row>
      <xdr:rowOff>0</xdr:rowOff>
    </xdr:from>
    <xdr:to>
      <xdr:col>44</xdr:col>
      <xdr:colOff>0</xdr:colOff>
      <xdr:row>47</xdr:row>
      <xdr:rowOff>0</xdr:rowOff>
    </xdr:to>
    <xdr:graphicFrame macro="">
      <xdr:nvGraphicFramePr>
        <xdr:cNvPr id="6" name="ch_ptProdChan">
          <a:extLst>
            <a:ext uri="{FF2B5EF4-FFF2-40B4-BE49-F238E27FC236}">
              <a16:creationId xmlns:a16="http://schemas.microsoft.com/office/drawing/2014/main" id="{C62CD610-4D67-CB9C-AF40-4C80976B19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45</xdr:col>
      <xdr:colOff>0</xdr:colOff>
      <xdr:row>32</xdr:row>
      <xdr:rowOff>0</xdr:rowOff>
    </xdr:from>
    <xdr:to>
      <xdr:col>66</xdr:col>
      <xdr:colOff>0</xdr:colOff>
      <xdr:row>47</xdr:row>
      <xdr:rowOff>0</xdr:rowOff>
    </xdr:to>
    <xdr:graphicFrame macro="">
      <xdr:nvGraphicFramePr>
        <xdr:cNvPr id="7" name="ch_ptChannelDays">
          <a:extLst>
            <a:ext uri="{FF2B5EF4-FFF2-40B4-BE49-F238E27FC236}">
              <a16:creationId xmlns:a16="http://schemas.microsoft.com/office/drawing/2014/main" id="{AAEBC119-43D4-11E1-1437-823B71CBB9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76200</xdr:colOff>
      <xdr:row>11</xdr:row>
      <xdr:rowOff>0</xdr:rowOff>
    </xdr:from>
    <xdr:to>
      <xdr:col>20</xdr:col>
      <xdr:colOff>191965</xdr:colOff>
      <xdr:row>15</xdr:row>
      <xdr:rowOff>0</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803520AE-8361-F147-83F6-904B587F66B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87867" y="2074333"/>
              <a:ext cx="4137431"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58615</xdr:colOff>
      <xdr:row>11</xdr:row>
      <xdr:rowOff>0</xdr:rowOff>
    </xdr:from>
    <xdr:to>
      <xdr:col>45</xdr:col>
      <xdr:colOff>150934</xdr:colOff>
      <xdr:row>15</xdr:row>
      <xdr:rowOff>0</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42AC17E6-A49E-3888-286E-9B691EF727C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503615" y="2074333"/>
              <a:ext cx="5172319"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46</xdr:col>
      <xdr:colOff>17584</xdr:colOff>
      <xdr:row>11</xdr:row>
      <xdr:rowOff>0</xdr:rowOff>
    </xdr:from>
    <xdr:to>
      <xdr:col>65</xdr:col>
      <xdr:colOff>133349</xdr:colOff>
      <xdr:row>15</xdr:row>
      <xdr:rowOff>0</xdr:rowOff>
    </xdr:to>
    <mc:AlternateContent xmlns:mc="http://schemas.openxmlformats.org/markup-compatibility/2006">
      <mc:Choice xmlns:a14="http://schemas.microsoft.com/office/drawing/2010/main" Requires="a14">
        <xdr:graphicFrame macro="">
          <xdr:nvGraphicFramePr>
            <xdr:cNvPr id="10" name="EmploymentType">
              <a:extLst>
                <a:ext uri="{FF2B5EF4-FFF2-40B4-BE49-F238E27FC236}">
                  <a16:creationId xmlns:a16="http://schemas.microsoft.com/office/drawing/2014/main" id="{E372E62D-82D1-D13E-9DFB-73DD233C05CB}"/>
                </a:ext>
              </a:extLst>
            </xdr:cNvPr>
            <xdr:cNvGraphicFramePr/>
          </xdr:nvGraphicFramePr>
          <xdr:xfrm>
            <a:off x="0" y="0"/>
            <a:ext cx="0" cy="0"/>
          </xdr:xfrm>
          <a:graphic>
            <a:graphicData uri="http://schemas.microsoft.com/office/drawing/2010/slicer">
              <sle:slicer xmlns:sle="http://schemas.microsoft.com/office/drawing/2010/slicer" name="EmploymentType"/>
            </a:graphicData>
          </a:graphic>
        </xdr:graphicFrame>
      </mc:Choice>
      <mc:Fallback>
        <xdr:sp macro="" textlink="">
          <xdr:nvSpPr>
            <xdr:cNvPr id="0" name=""/>
            <xdr:cNvSpPr>
              <a:spLocks noTextEdit="1"/>
            </xdr:cNvSpPr>
          </xdr:nvSpPr>
          <xdr:spPr>
            <a:xfrm>
              <a:off x="9754251" y="2074333"/>
              <a:ext cx="4137431"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09.88415474537" createdVersion="5" refreshedVersion="8" minRefreshableVersion="3" recordCount="5200" xr:uid="{F4863F84-B02C-411A-9088-7C51496C387B}">
  <cacheSource type="worksheet">
    <worksheetSource name="tblData"/>
  </cacheSource>
  <cacheFields count="25">
    <cacheField name="ApplicationID" numFmtId="0">
      <sharedItems/>
    </cacheField>
    <cacheField name="ApplicationDate" numFmtId="165">
      <sharedItems containsSemiMixedTypes="0" containsNonDate="0" containsDate="1" containsString="0" minDate="2024-01-01T00:00:00" maxDate="2026-01-01T00:00:00"/>
    </cacheField>
    <cacheField name="Year" numFmtId="0">
      <sharedItems containsSemiMixedTypes="0" containsString="0" containsNumber="1" containsInteger="1" minValue="2024" maxValue="2025" count="2">
        <n v="2024"/>
        <n v="2025"/>
      </sharedItems>
    </cacheField>
    <cacheField name="Quarter" numFmtId="0">
      <sharedItems/>
    </cacheField>
    <cacheField name="Month" numFmtId="0">
      <sharedItems count="12">
        <s v="Jan"/>
        <s v="Feb"/>
        <s v="Mar"/>
        <s v="Apr"/>
        <s v="May"/>
        <s v="Jun"/>
        <s v="Jul"/>
        <s v="Aug"/>
        <s v="Sep"/>
        <s v="Oct"/>
        <s v="Nov"/>
        <s v="Dec"/>
      </sharedItems>
    </cacheField>
    <cacheField name="Product" numFmtId="0">
      <sharedItems count="4">
        <s v="Auto Loan"/>
        <s v="Personal Loan"/>
        <s v="SME Loan"/>
        <s v="Mortgage"/>
      </sharedItems>
    </cacheField>
    <cacheField name="Channel" numFmtId="0">
      <sharedItems count="4">
        <s v="Broker"/>
        <s v="Mobile App"/>
        <s v="Online"/>
        <s v="Branch"/>
      </sharedItems>
    </cacheField>
    <cacheField name="Region" numFmtId="0">
      <sharedItems count="5">
        <s v="Southern"/>
        <s v="Eastern"/>
        <s v="Central"/>
        <s v="Western"/>
        <s v="Northern"/>
      </sharedItems>
    </cacheField>
    <cacheField name="EmploymentType" numFmtId="0">
      <sharedItems count="3">
        <s v="Salaried - Private"/>
        <s v="Salaried - Government"/>
        <s v="Self-employed"/>
      </sharedItems>
    </cacheField>
    <cacheField name="CreditScoreBand" numFmtId="0">
      <sharedItems count="5">
        <s v="Fair (580-669)"/>
        <s v="Good (670-739)"/>
        <s v="Poor (&lt;580)"/>
        <s v="Excellent (800+)"/>
        <s v="Very Good (740-799)"/>
      </sharedItems>
    </cacheField>
    <cacheField name="MonthlyIncome" numFmtId="166">
      <sharedItems containsSemiMixedTypes="0" containsString="0" containsNumber="1" containsInteger="1" minValue="1250" maxValue="21700"/>
    </cacheField>
    <cacheField name="RequestedAmount" numFmtId="166">
      <sharedItems containsSemiMixedTypes="0" containsString="0" containsNumber="1" containsInteger="1" minValue="3000" maxValue="1145000"/>
    </cacheField>
    <cacheField name="TermMonths" numFmtId="0">
      <sharedItems containsSemiMixedTypes="0" containsString="0" containsNumber="1" containsInteger="1" minValue="12" maxValue="300"/>
    </cacheField>
    <cacheField name="DebtToIncome" numFmtId="167">
      <sharedItems containsSemiMixedTypes="0" containsString="0" containsNumber="1" minValue="7.1999999999999995E-2" maxValue="6.7590000000000003"/>
    </cacheField>
    <cacheField name="Status" numFmtId="0">
      <sharedItems/>
    </cacheField>
    <cacheField name="RejectionReason" numFmtId="0">
      <sharedItems containsBlank="1" count="6">
        <s v="Low credit score"/>
        <m/>
        <s v="Policy exclusion"/>
        <s v="High debt-to-income"/>
        <s v="Incomplete documents"/>
        <s v="Insufficient income"/>
      </sharedItems>
    </cacheField>
    <cacheField name="Approved" numFmtId="0">
      <sharedItems containsSemiMixedTypes="0" containsString="0" containsNumber="1" containsInteger="1" minValue="0" maxValue="1"/>
    </cacheField>
    <cacheField name="Rejected" numFmtId="0">
      <sharedItems containsSemiMixedTypes="0" containsString="0" containsNumber="1" containsInteger="1" minValue="0" maxValue="1"/>
    </cacheField>
    <cacheField name="ApprovedAmount" numFmtId="166">
      <sharedItems containsSemiMixedTypes="0" containsString="0" containsNumber="1" containsInteger="1" minValue="0" maxValue="649000"/>
    </cacheField>
    <cacheField name="InterestRate" numFmtId="10">
      <sharedItems containsString="0" containsBlank="1" containsNumber="1" minValue="3.5000000000000003E-2" maxValue="0.16520000000000001"/>
    </cacheField>
    <cacheField name="ProcessingDays" numFmtId="0">
      <sharedItems containsSemiMixedTypes="0" containsString="0" containsNumber="1" containsInteger="1" minValue="1" maxValue="44"/>
    </cacheField>
    <cacheField name="WithinSLA" numFmtId="0">
      <sharedItems containsSemiMixedTypes="0" containsString="0" containsNumber="1" containsInteger="1" minValue="0" maxValue="1"/>
    </cacheField>
    <cacheField name="Applications" numFmtId="0">
      <sharedItems containsSemiMixedTypes="0" containsString="0" containsNumber="1" containsInteger="1" minValue="1" maxValue="1"/>
    </cacheField>
    <cacheField name="ApprovalRate" numFmtId="0" formula="Approved/Applications" databaseField="0"/>
    <cacheField name="SLARate" numFmtId="0" formula="WithinSLA/Applications" databaseField="0"/>
  </cacheFields>
  <extLst>
    <ext xmlns:x14="http://schemas.microsoft.com/office/spreadsheetml/2009/9/main" uri="{725AE2AE-9491-48be-B2B4-4EB974FC3084}">
      <x14:pivotCacheDefinition pivotCacheId="11143904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0">
  <r>
    <s v="LA-700001"/>
    <d v="2024-01-01T00:00:00"/>
    <x v="0"/>
    <s v="Q1"/>
    <x v="0"/>
    <x v="0"/>
    <x v="0"/>
    <x v="0"/>
    <x v="0"/>
    <x v="0"/>
    <n v="2600"/>
    <n v="22000"/>
    <n v="36"/>
    <n v="0.41199999999999998"/>
    <s v="Rejected"/>
    <x v="0"/>
    <n v="0"/>
    <n v="1"/>
    <n v="0"/>
    <m/>
    <n v="5"/>
    <n v="0"/>
    <n v="1"/>
  </r>
  <r>
    <s v="LA-700002"/>
    <d v="2024-01-01T00:00:00"/>
    <x v="0"/>
    <s v="Q1"/>
    <x v="0"/>
    <x v="0"/>
    <x v="1"/>
    <x v="1"/>
    <x v="0"/>
    <x v="1"/>
    <n v="2700"/>
    <n v="17000"/>
    <n v="36"/>
    <n v="0.36"/>
    <s v="Approved"/>
    <x v="1"/>
    <n v="1"/>
    <n v="0"/>
    <n v="15500"/>
    <n v="8.1500000000000003E-2"/>
    <n v="3"/>
    <n v="1"/>
    <n v="1"/>
  </r>
  <r>
    <s v="LA-700003"/>
    <d v="2024-01-01T00:00:00"/>
    <x v="0"/>
    <s v="Q1"/>
    <x v="0"/>
    <x v="1"/>
    <x v="1"/>
    <x v="2"/>
    <x v="1"/>
    <x v="1"/>
    <n v="3850"/>
    <n v="13000"/>
    <n v="36"/>
    <n v="0.24399999999999999"/>
    <s v="Rejected"/>
    <x v="0"/>
    <n v="0"/>
    <n v="1"/>
    <n v="0"/>
    <m/>
    <n v="4"/>
    <n v="0"/>
    <n v="1"/>
  </r>
  <r>
    <s v="LA-700004"/>
    <d v="2024-01-01T00:00:00"/>
    <x v="0"/>
    <s v="Q1"/>
    <x v="0"/>
    <x v="2"/>
    <x v="1"/>
    <x v="1"/>
    <x v="2"/>
    <x v="2"/>
    <n v="7700"/>
    <n v="95000"/>
    <n v="60"/>
    <n v="0.34300000000000003"/>
    <s v="Approved"/>
    <x v="1"/>
    <n v="1"/>
    <n v="0"/>
    <n v="85500"/>
    <n v="0.13819999999999999"/>
    <n v="8"/>
    <n v="1"/>
    <n v="1"/>
  </r>
  <r>
    <s v="LA-700005"/>
    <d v="2024-01-01T00:00:00"/>
    <x v="0"/>
    <s v="Q1"/>
    <x v="0"/>
    <x v="2"/>
    <x v="2"/>
    <x v="2"/>
    <x v="0"/>
    <x v="3"/>
    <n v="6850"/>
    <n v="64000"/>
    <n v="12"/>
    <n v="0.90800000000000003"/>
    <s v="Approved"/>
    <x v="1"/>
    <n v="1"/>
    <n v="0"/>
    <n v="57500"/>
    <n v="9.0200000000000002E-2"/>
    <n v="9"/>
    <n v="1"/>
    <n v="1"/>
  </r>
  <r>
    <s v="LA-700006"/>
    <d v="2024-01-01T00:00:00"/>
    <x v="0"/>
    <s v="Q1"/>
    <x v="0"/>
    <x v="1"/>
    <x v="2"/>
    <x v="0"/>
    <x v="2"/>
    <x v="1"/>
    <n v="5700"/>
    <n v="7000"/>
    <n v="60"/>
    <n v="0.126"/>
    <s v="Rejected"/>
    <x v="2"/>
    <n v="0"/>
    <n v="1"/>
    <n v="0"/>
    <m/>
    <n v="2"/>
    <n v="1"/>
    <n v="1"/>
  </r>
  <r>
    <s v="LA-700007"/>
    <d v="2024-01-01T00:00:00"/>
    <x v="0"/>
    <s v="Q1"/>
    <x v="0"/>
    <x v="3"/>
    <x v="3"/>
    <x v="0"/>
    <x v="0"/>
    <x v="4"/>
    <n v="4350"/>
    <n v="757500"/>
    <n v="180"/>
    <n v="1.46"/>
    <s v="Rejected"/>
    <x v="3"/>
    <n v="0"/>
    <n v="1"/>
    <n v="0"/>
    <m/>
    <n v="24"/>
    <n v="0"/>
    <n v="1"/>
  </r>
  <r>
    <s v="LA-700008"/>
    <d v="2024-01-01T00:00:00"/>
    <x v="0"/>
    <s v="Q1"/>
    <x v="0"/>
    <x v="0"/>
    <x v="1"/>
    <x v="3"/>
    <x v="0"/>
    <x v="1"/>
    <n v="5450"/>
    <n v="20500"/>
    <n v="60"/>
    <n v="0.14000000000000001"/>
    <s v="Rejected"/>
    <x v="0"/>
    <n v="0"/>
    <n v="1"/>
    <n v="0"/>
    <m/>
    <n v="3"/>
    <n v="1"/>
    <n v="1"/>
  </r>
  <r>
    <s v="LA-700009"/>
    <d v="2024-01-01T00:00:00"/>
    <x v="0"/>
    <s v="Q1"/>
    <x v="0"/>
    <x v="1"/>
    <x v="3"/>
    <x v="1"/>
    <x v="0"/>
    <x v="4"/>
    <n v="10600"/>
    <n v="21000"/>
    <n v="60"/>
    <n v="0.23400000000000001"/>
    <s v="Approved"/>
    <x v="1"/>
    <n v="1"/>
    <n v="0"/>
    <n v="21000"/>
    <n v="0.115"/>
    <n v="8"/>
    <n v="0"/>
    <n v="1"/>
  </r>
  <r>
    <s v="LA-700010"/>
    <d v="2024-01-01T00:00:00"/>
    <x v="0"/>
    <s v="Q1"/>
    <x v="0"/>
    <x v="1"/>
    <x v="3"/>
    <x v="2"/>
    <x v="1"/>
    <x v="4"/>
    <n v="5000"/>
    <n v="20000"/>
    <n v="60"/>
    <n v="0.32400000000000001"/>
    <s v="Approved"/>
    <x v="1"/>
    <n v="1"/>
    <n v="0"/>
    <n v="20000"/>
    <n v="0.1162"/>
    <n v="4"/>
    <n v="0"/>
    <n v="1"/>
  </r>
  <r>
    <s v="LA-700011"/>
    <d v="2024-01-01T00:00:00"/>
    <x v="0"/>
    <s v="Q1"/>
    <x v="0"/>
    <x v="0"/>
    <x v="2"/>
    <x v="3"/>
    <x v="0"/>
    <x v="1"/>
    <n v="4500"/>
    <n v="80500"/>
    <n v="36"/>
    <n v="0.73799999999999999"/>
    <s v="Approved"/>
    <x v="1"/>
    <n v="1"/>
    <n v="0"/>
    <n v="72500"/>
    <n v="8.5300000000000001E-2"/>
    <n v="2"/>
    <n v="1"/>
    <n v="1"/>
  </r>
  <r>
    <s v="LA-700012"/>
    <d v="2024-01-02T00:00:00"/>
    <x v="0"/>
    <s v="Q1"/>
    <x v="0"/>
    <x v="2"/>
    <x v="3"/>
    <x v="2"/>
    <x v="0"/>
    <x v="4"/>
    <n v="5150"/>
    <n v="45500"/>
    <n v="36"/>
    <n v="0.45600000000000002"/>
    <s v="Rejected"/>
    <x v="4"/>
    <n v="0"/>
    <n v="1"/>
    <n v="0"/>
    <m/>
    <n v="15"/>
    <n v="0"/>
    <n v="1"/>
  </r>
  <r>
    <s v="LA-700013"/>
    <d v="2024-01-02T00:00:00"/>
    <x v="0"/>
    <s v="Q1"/>
    <x v="0"/>
    <x v="3"/>
    <x v="2"/>
    <x v="2"/>
    <x v="2"/>
    <x v="2"/>
    <n v="8850"/>
    <n v="506000"/>
    <n v="180"/>
    <n v="0.68400000000000005"/>
    <s v="Rejected"/>
    <x v="3"/>
    <n v="0"/>
    <n v="1"/>
    <n v="0"/>
    <m/>
    <n v="6"/>
    <n v="1"/>
    <n v="1"/>
  </r>
  <r>
    <s v="LA-700014"/>
    <d v="2024-01-02T00:00:00"/>
    <x v="0"/>
    <s v="Q1"/>
    <x v="0"/>
    <x v="3"/>
    <x v="2"/>
    <x v="2"/>
    <x v="2"/>
    <x v="3"/>
    <n v="5100"/>
    <n v="691000"/>
    <n v="180"/>
    <n v="1.258"/>
    <s v="Approved"/>
    <x v="1"/>
    <n v="1"/>
    <n v="0"/>
    <n v="622000"/>
    <n v="4.5999999999999999E-2"/>
    <n v="8"/>
    <n v="1"/>
    <n v="1"/>
  </r>
  <r>
    <s v="LA-700015"/>
    <d v="2024-01-02T00:00:00"/>
    <x v="0"/>
    <s v="Q1"/>
    <x v="0"/>
    <x v="0"/>
    <x v="3"/>
    <x v="4"/>
    <x v="1"/>
    <x v="3"/>
    <n v="9250"/>
    <n v="29000"/>
    <n v="60"/>
    <n v="0.129"/>
    <s v="Rejected"/>
    <x v="5"/>
    <n v="0"/>
    <n v="1"/>
    <n v="0"/>
    <m/>
    <n v="7"/>
    <n v="0"/>
    <n v="1"/>
  </r>
  <r>
    <s v="LA-700016"/>
    <d v="2024-01-02T00:00:00"/>
    <x v="0"/>
    <s v="Q1"/>
    <x v="0"/>
    <x v="0"/>
    <x v="2"/>
    <x v="3"/>
    <x v="2"/>
    <x v="3"/>
    <n v="5650"/>
    <n v="26000"/>
    <n v="48"/>
    <n v="0.16200000000000001"/>
    <s v="Approved"/>
    <x v="1"/>
    <n v="1"/>
    <n v="0"/>
    <n v="21000"/>
    <n v="7.17E-2"/>
    <n v="2"/>
    <n v="1"/>
    <n v="1"/>
  </r>
  <r>
    <s v="LA-700017"/>
    <d v="2024-01-02T00:00:00"/>
    <x v="0"/>
    <s v="Q1"/>
    <x v="0"/>
    <x v="0"/>
    <x v="3"/>
    <x v="1"/>
    <x v="0"/>
    <x v="1"/>
    <n v="9750"/>
    <n v="31000"/>
    <n v="36"/>
    <n v="0.23300000000000001"/>
    <s v="Approved"/>
    <x v="1"/>
    <n v="1"/>
    <n v="0"/>
    <n v="25000"/>
    <n v="0.09"/>
    <n v="6"/>
    <n v="0"/>
    <n v="1"/>
  </r>
  <r>
    <s v="LA-700018"/>
    <d v="2024-01-02T00:00:00"/>
    <x v="0"/>
    <s v="Q1"/>
    <x v="0"/>
    <x v="1"/>
    <x v="3"/>
    <x v="4"/>
    <x v="1"/>
    <x v="1"/>
    <n v="8400"/>
    <n v="5000"/>
    <n v="48"/>
    <n v="0.16800000000000001"/>
    <s v="Approved"/>
    <x v="1"/>
    <n v="1"/>
    <n v="0"/>
    <n v="5000"/>
    <n v="0.12590000000000001"/>
    <n v="3"/>
    <n v="1"/>
    <n v="1"/>
  </r>
  <r>
    <s v="LA-700019"/>
    <d v="2024-01-02T00:00:00"/>
    <x v="0"/>
    <s v="Q1"/>
    <x v="0"/>
    <x v="1"/>
    <x v="2"/>
    <x v="2"/>
    <x v="0"/>
    <x v="2"/>
    <n v="8400"/>
    <n v="10000"/>
    <n v="24"/>
    <n v="0.151"/>
    <s v="Approved"/>
    <x v="1"/>
    <n v="1"/>
    <n v="0"/>
    <n v="10000"/>
    <n v="0.15959999999999999"/>
    <n v="4"/>
    <n v="0"/>
    <n v="1"/>
  </r>
  <r>
    <s v="LA-700020"/>
    <d v="2024-01-02T00:00:00"/>
    <x v="0"/>
    <s v="Q1"/>
    <x v="0"/>
    <x v="0"/>
    <x v="3"/>
    <x v="2"/>
    <x v="0"/>
    <x v="0"/>
    <n v="3450"/>
    <n v="18000"/>
    <n v="48"/>
    <n v="0.183"/>
    <s v="Approved"/>
    <x v="1"/>
    <n v="1"/>
    <n v="0"/>
    <n v="18000"/>
    <n v="9.9500000000000005E-2"/>
    <n v="8"/>
    <n v="0"/>
    <n v="1"/>
  </r>
  <r>
    <s v="LA-700021"/>
    <d v="2024-01-03T00:00:00"/>
    <x v="0"/>
    <s v="Q1"/>
    <x v="0"/>
    <x v="0"/>
    <x v="0"/>
    <x v="1"/>
    <x v="2"/>
    <x v="4"/>
    <n v="9700"/>
    <n v="23500"/>
    <n v="48"/>
    <n v="0.26100000000000001"/>
    <s v="Rejected"/>
    <x v="4"/>
    <n v="0"/>
    <n v="1"/>
    <n v="0"/>
    <m/>
    <n v="9"/>
    <n v="0"/>
    <n v="1"/>
  </r>
  <r>
    <s v="LA-700022"/>
    <d v="2024-01-03T00:00:00"/>
    <x v="0"/>
    <s v="Q1"/>
    <x v="0"/>
    <x v="1"/>
    <x v="1"/>
    <x v="3"/>
    <x v="0"/>
    <x v="1"/>
    <n v="2250"/>
    <n v="9500"/>
    <n v="24"/>
    <n v="0.32700000000000001"/>
    <s v="Rejected"/>
    <x v="5"/>
    <n v="0"/>
    <n v="1"/>
    <n v="0"/>
    <m/>
    <n v="2"/>
    <n v="1"/>
    <n v="1"/>
  </r>
  <r>
    <s v="LA-700023"/>
    <d v="2024-01-03T00:00:00"/>
    <x v="0"/>
    <s v="Q1"/>
    <x v="0"/>
    <x v="1"/>
    <x v="0"/>
    <x v="2"/>
    <x v="0"/>
    <x v="1"/>
    <n v="3000"/>
    <n v="6500"/>
    <n v="60"/>
    <n v="0.104"/>
    <s v="Rejected"/>
    <x v="5"/>
    <n v="0"/>
    <n v="1"/>
    <n v="0"/>
    <m/>
    <n v="3"/>
    <n v="1"/>
    <n v="1"/>
  </r>
  <r>
    <s v="LA-700024"/>
    <d v="2024-01-03T00:00:00"/>
    <x v="0"/>
    <s v="Q1"/>
    <x v="0"/>
    <x v="1"/>
    <x v="3"/>
    <x v="3"/>
    <x v="1"/>
    <x v="3"/>
    <n v="4250"/>
    <n v="11500"/>
    <n v="24"/>
    <n v="0.373"/>
    <s v="Approved"/>
    <x v="1"/>
    <n v="1"/>
    <n v="0"/>
    <n v="10500"/>
    <n v="0.1114"/>
    <n v="11"/>
    <n v="0"/>
    <n v="1"/>
  </r>
  <r>
    <s v="LA-700025"/>
    <d v="2024-01-03T00:00:00"/>
    <x v="0"/>
    <s v="Q1"/>
    <x v="0"/>
    <x v="0"/>
    <x v="0"/>
    <x v="2"/>
    <x v="1"/>
    <x v="0"/>
    <n v="9050"/>
    <n v="38500"/>
    <n v="60"/>
    <n v="0.32800000000000001"/>
    <s v="Approved"/>
    <x v="1"/>
    <n v="1"/>
    <n v="0"/>
    <n v="38500"/>
    <n v="9.74E-2"/>
    <n v="4"/>
    <n v="1"/>
    <n v="1"/>
  </r>
  <r>
    <s v="LA-700026"/>
    <d v="2024-01-03T00:00:00"/>
    <x v="0"/>
    <s v="Q1"/>
    <x v="0"/>
    <x v="2"/>
    <x v="1"/>
    <x v="3"/>
    <x v="0"/>
    <x v="4"/>
    <n v="8900"/>
    <n v="84000"/>
    <n v="60"/>
    <n v="0.28499999999999998"/>
    <s v="Approved"/>
    <x v="1"/>
    <n v="1"/>
    <n v="0"/>
    <n v="75500"/>
    <n v="9.69E-2"/>
    <n v="4"/>
    <n v="1"/>
    <n v="1"/>
  </r>
  <r>
    <s v="LA-700027"/>
    <d v="2024-01-03T00:00:00"/>
    <x v="0"/>
    <s v="Q1"/>
    <x v="0"/>
    <x v="1"/>
    <x v="2"/>
    <x v="3"/>
    <x v="0"/>
    <x v="1"/>
    <n v="6900"/>
    <n v="16000"/>
    <n v="36"/>
    <n v="0.29899999999999999"/>
    <s v="Approved"/>
    <x v="1"/>
    <n v="1"/>
    <n v="0"/>
    <n v="16000"/>
    <n v="0.12429999999999999"/>
    <n v="1"/>
    <n v="1"/>
    <n v="1"/>
  </r>
  <r>
    <s v="LA-700028"/>
    <d v="2024-01-04T00:00:00"/>
    <x v="0"/>
    <s v="Q1"/>
    <x v="0"/>
    <x v="2"/>
    <x v="2"/>
    <x v="1"/>
    <x v="0"/>
    <x v="0"/>
    <n v="5050"/>
    <n v="72000"/>
    <n v="60"/>
    <n v="0.432"/>
    <s v="Approved"/>
    <x v="1"/>
    <n v="1"/>
    <n v="0"/>
    <n v="65000"/>
    <n v="0.12239999999999999"/>
    <n v="5"/>
    <n v="1"/>
    <n v="1"/>
  </r>
  <r>
    <s v="LA-700029"/>
    <d v="2024-01-04T00:00:00"/>
    <x v="0"/>
    <s v="Q1"/>
    <x v="0"/>
    <x v="1"/>
    <x v="0"/>
    <x v="2"/>
    <x v="1"/>
    <x v="2"/>
    <n v="4650"/>
    <n v="7500"/>
    <n v="60"/>
    <n v="0.09"/>
    <s v="Rejected"/>
    <x v="5"/>
    <n v="0"/>
    <n v="1"/>
    <n v="0"/>
    <m/>
    <n v="3"/>
    <n v="1"/>
    <n v="1"/>
  </r>
  <r>
    <s v="LA-700030"/>
    <d v="2024-01-04T00:00:00"/>
    <x v="0"/>
    <s v="Q1"/>
    <x v="0"/>
    <x v="1"/>
    <x v="1"/>
    <x v="2"/>
    <x v="2"/>
    <x v="0"/>
    <n v="5500"/>
    <n v="9000"/>
    <n v="24"/>
    <n v="0.183"/>
    <s v="Approved"/>
    <x v="1"/>
    <n v="1"/>
    <n v="0"/>
    <n v="8000"/>
    <n v="0.1384"/>
    <n v="2"/>
    <n v="1"/>
    <n v="1"/>
  </r>
  <r>
    <s v="LA-700031"/>
    <d v="2024-01-04T00:00:00"/>
    <x v="0"/>
    <s v="Q1"/>
    <x v="0"/>
    <x v="3"/>
    <x v="3"/>
    <x v="0"/>
    <x v="1"/>
    <x v="1"/>
    <n v="2450"/>
    <n v="230000"/>
    <n v="300"/>
    <n v="0.64400000000000002"/>
    <s v="Rejected"/>
    <x v="3"/>
    <n v="0"/>
    <n v="1"/>
    <n v="0"/>
    <m/>
    <n v="33"/>
    <n v="0"/>
    <n v="1"/>
  </r>
  <r>
    <s v="LA-700032"/>
    <d v="2024-01-04T00:00:00"/>
    <x v="0"/>
    <s v="Q1"/>
    <x v="0"/>
    <x v="2"/>
    <x v="2"/>
    <x v="2"/>
    <x v="0"/>
    <x v="4"/>
    <n v="6950"/>
    <n v="83000"/>
    <n v="12"/>
    <n v="1.2709999999999999"/>
    <s v="Rejected"/>
    <x v="4"/>
    <n v="0"/>
    <n v="1"/>
    <n v="0"/>
    <m/>
    <n v="11"/>
    <n v="0"/>
    <n v="1"/>
  </r>
  <r>
    <s v="LA-700033"/>
    <d v="2024-01-04T00:00:00"/>
    <x v="0"/>
    <s v="Q1"/>
    <x v="0"/>
    <x v="1"/>
    <x v="3"/>
    <x v="2"/>
    <x v="1"/>
    <x v="0"/>
    <n v="6450"/>
    <n v="14000"/>
    <n v="24"/>
    <n v="0.21199999999999999"/>
    <s v="Approved"/>
    <x v="1"/>
    <n v="1"/>
    <n v="0"/>
    <n v="14000"/>
    <n v="0.1424"/>
    <n v="3"/>
    <n v="1"/>
    <n v="1"/>
  </r>
  <r>
    <s v="LA-700034"/>
    <d v="2024-01-04T00:00:00"/>
    <x v="0"/>
    <s v="Q1"/>
    <x v="0"/>
    <x v="0"/>
    <x v="1"/>
    <x v="2"/>
    <x v="0"/>
    <x v="1"/>
    <n v="7000"/>
    <n v="33500"/>
    <n v="36"/>
    <n v="0.27200000000000002"/>
    <s v="Approved"/>
    <x v="1"/>
    <n v="1"/>
    <n v="0"/>
    <n v="33500"/>
    <n v="7.9299999999999995E-2"/>
    <n v="4"/>
    <n v="1"/>
    <n v="1"/>
  </r>
  <r>
    <s v="LA-700035"/>
    <d v="2024-01-05T00:00:00"/>
    <x v="0"/>
    <s v="Q1"/>
    <x v="0"/>
    <x v="2"/>
    <x v="0"/>
    <x v="1"/>
    <x v="0"/>
    <x v="1"/>
    <n v="6600"/>
    <n v="58500"/>
    <n v="36"/>
    <n v="0.39300000000000002"/>
    <s v="Rejected"/>
    <x v="4"/>
    <n v="0"/>
    <n v="1"/>
    <n v="0"/>
    <m/>
    <n v="14"/>
    <n v="0"/>
    <n v="1"/>
  </r>
  <r>
    <s v="LA-700036"/>
    <d v="2024-01-05T00:00:00"/>
    <x v="0"/>
    <s v="Q1"/>
    <x v="0"/>
    <x v="0"/>
    <x v="0"/>
    <x v="2"/>
    <x v="1"/>
    <x v="4"/>
    <n v="3950"/>
    <n v="22500"/>
    <n v="60"/>
    <n v="0.26500000000000001"/>
    <s v="Approved"/>
    <x v="1"/>
    <n v="1"/>
    <n v="0"/>
    <n v="22500"/>
    <n v="7.5999999999999998E-2"/>
    <n v="3"/>
    <n v="1"/>
    <n v="1"/>
  </r>
  <r>
    <s v="LA-700037"/>
    <d v="2024-01-05T00:00:00"/>
    <x v="0"/>
    <s v="Q1"/>
    <x v="0"/>
    <x v="1"/>
    <x v="3"/>
    <x v="3"/>
    <x v="1"/>
    <x v="1"/>
    <n v="5350"/>
    <n v="6500"/>
    <n v="60"/>
    <n v="0.19400000000000001"/>
    <s v="Rejected"/>
    <x v="5"/>
    <n v="0"/>
    <n v="1"/>
    <n v="0"/>
    <m/>
    <n v="8"/>
    <n v="0"/>
    <n v="1"/>
  </r>
  <r>
    <s v="LA-700038"/>
    <d v="2024-01-05T00:00:00"/>
    <x v="0"/>
    <s v="Q1"/>
    <x v="0"/>
    <x v="0"/>
    <x v="0"/>
    <x v="2"/>
    <x v="2"/>
    <x v="0"/>
    <n v="7550"/>
    <n v="44500"/>
    <n v="48"/>
    <n v="0.33600000000000002"/>
    <s v="Rejected"/>
    <x v="0"/>
    <n v="0"/>
    <n v="1"/>
    <n v="0"/>
    <m/>
    <n v="4"/>
    <n v="1"/>
    <n v="1"/>
  </r>
  <r>
    <s v="LA-700039"/>
    <d v="2024-01-05T00:00:00"/>
    <x v="0"/>
    <s v="Q1"/>
    <x v="0"/>
    <x v="1"/>
    <x v="1"/>
    <x v="3"/>
    <x v="0"/>
    <x v="3"/>
    <n v="3400"/>
    <n v="8500"/>
    <n v="24"/>
    <n v="0.29499999999999998"/>
    <s v="Approved"/>
    <x v="1"/>
    <n v="1"/>
    <n v="0"/>
    <n v="8500"/>
    <n v="0.10920000000000001"/>
    <n v="2"/>
    <n v="1"/>
    <n v="1"/>
  </r>
  <r>
    <s v="LA-700040"/>
    <d v="2024-01-05T00:00:00"/>
    <x v="0"/>
    <s v="Q1"/>
    <x v="0"/>
    <x v="1"/>
    <x v="1"/>
    <x v="1"/>
    <x v="1"/>
    <x v="1"/>
    <n v="7200"/>
    <n v="9500"/>
    <n v="48"/>
    <n v="0.24099999999999999"/>
    <s v="Approved"/>
    <x v="1"/>
    <n v="1"/>
    <n v="0"/>
    <n v="7500"/>
    <n v="0.123"/>
    <n v="2"/>
    <n v="1"/>
    <n v="1"/>
  </r>
  <r>
    <s v="LA-700041"/>
    <d v="2024-01-05T00:00:00"/>
    <x v="0"/>
    <s v="Q1"/>
    <x v="0"/>
    <x v="3"/>
    <x v="2"/>
    <x v="1"/>
    <x v="0"/>
    <x v="1"/>
    <n v="4050"/>
    <n v="604000"/>
    <n v="240"/>
    <n v="1.1859999999999999"/>
    <s v="Rejected"/>
    <x v="3"/>
    <n v="0"/>
    <n v="1"/>
    <n v="0"/>
    <m/>
    <n v="8"/>
    <n v="1"/>
    <n v="1"/>
  </r>
  <r>
    <s v="LA-700042"/>
    <d v="2024-01-05T00:00:00"/>
    <x v="0"/>
    <s v="Q1"/>
    <x v="0"/>
    <x v="1"/>
    <x v="3"/>
    <x v="3"/>
    <x v="1"/>
    <x v="4"/>
    <n v="8500"/>
    <n v="18500"/>
    <n v="48"/>
    <n v="0.26700000000000002"/>
    <s v="Rejected"/>
    <x v="5"/>
    <n v="0"/>
    <n v="1"/>
    <n v="0"/>
    <m/>
    <n v="4"/>
    <n v="0"/>
    <n v="1"/>
  </r>
  <r>
    <s v="LA-700043"/>
    <d v="2024-01-06T00:00:00"/>
    <x v="0"/>
    <s v="Q1"/>
    <x v="0"/>
    <x v="1"/>
    <x v="3"/>
    <x v="2"/>
    <x v="0"/>
    <x v="3"/>
    <n v="7250"/>
    <n v="16500"/>
    <n v="36"/>
    <n v="0.24299999999999999"/>
    <s v="Approved"/>
    <x v="1"/>
    <n v="1"/>
    <n v="0"/>
    <n v="13000"/>
    <n v="0.1157"/>
    <n v="7"/>
    <n v="0"/>
    <n v="1"/>
  </r>
  <r>
    <s v="LA-700044"/>
    <d v="2024-01-06T00:00:00"/>
    <x v="0"/>
    <s v="Q1"/>
    <x v="0"/>
    <x v="0"/>
    <x v="2"/>
    <x v="2"/>
    <x v="0"/>
    <x v="1"/>
    <n v="3500"/>
    <n v="38000"/>
    <n v="60"/>
    <n v="0.29099999999999998"/>
    <s v="Approved"/>
    <x v="1"/>
    <n v="1"/>
    <n v="0"/>
    <n v="38000"/>
    <n v="8.2600000000000007E-2"/>
    <n v="7"/>
    <n v="0"/>
    <n v="1"/>
  </r>
  <r>
    <s v="LA-700045"/>
    <d v="2024-01-06T00:00:00"/>
    <x v="0"/>
    <s v="Q1"/>
    <x v="0"/>
    <x v="2"/>
    <x v="1"/>
    <x v="3"/>
    <x v="0"/>
    <x v="1"/>
    <n v="2650"/>
    <n v="122500"/>
    <n v="24"/>
    <n v="2.282"/>
    <s v="Rejected"/>
    <x v="3"/>
    <n v="0"/>
    <n v="1"/>
    <n v="0"/>
    <m/>
    <n v="5"/>
    <n v="1"/>
    <n v="1"/>
  </r>
  <r>
    <s v="LA-700046"/>
    <d v="2024-01-07T00:00:00"/>
    <x v="0"/>
    <s v="Q1"/>
    <x v="0"/>
    <x v="1"/>
    <x v="0"/>
    <x v="3"/>
    <x v="0"/>
    <x v="4"/>
    <n v="3700"/>
    <n v="14500"/>
    <n v="12"/>
    <n v="0.42099999999999999"/>
    <s v="Rejected"/>
    <x v="4"/>
    <n v="0"/>
    <n v="1"/>
    <n v="0"/>
    <m/>
    <n v="9"/>
    <n v="0"/>
    <n v="1"/>
  </r>
  <r>
    <s v="LA-700047"/>
    <d v="2024-01-07T00:00:00"/>
    <x v="0"/>
    <s v="Q1"/>
    <x v="0"/>
    <x v="1"/>
    <x v="3"/>
    <x v="2"/>
    <x v="1"/>
    <x v="3"/>
    <n v="3150"/>
    <n v="5000"/>
    <n v="24"/>
    <n v="0.154"/>
    <s v="Approved"/>
    <x v="1"/>
    <n v="1"/>
    <n v="0"/>
    <n v="5000"/>
    <n v="0.10979999999999999"/>
    <n v="6"/>
    <n v="0"/>
    <n v="1"/>
  </r>
  <r>
    <s v="LA-700048"/>
    <d v="2024-01-07T00:00:00"/>
    <x v="0"/>
    <s v="Q1"/>
    <x v="0"/>
    <x v="0"/>
    <x v="0"/>
    <x v="2"/>
    <x v="0"/>
    <x v="3"/>
    <n v="9150"/>
    <n v="18000"/>
    <n v="48"/>
    <n v="0.155"/>
    <s v="Approved"/>
    <x v="1"/>
    <n v="1"/>
    <n v="0"/>
    <n v="18000"/>
    <n v="6.5100000000000005E-2"/>
    <n v="6"/>
    <n v="0"/>
    <n v="1"/>
  </r>
  <r>
    <s v="LA-700049"/>
    <d v="2024-01-07T00:00:00"/>
    <x v="0"/>
    <s v="Q1"/>
    <x v="0"/>
    <x v="1"/>
    <x v="3"/>
    <x v="1"/>
    <x v="1"/>
    <x v="4"/>
    <n v="14700"/>
    <n v="19000"/>
    <n v="12"/>
    <n v="0.33800000000000002"/>
    <s v="Approved"/>
    <x v="1"/>
    <n v="1"/>
    <n v="0"/>
    <n v="19000"/>
    <n v="0.1116"/>
    <n v="3"/>
    <n v="1"/>
    <n v="1"/>
  </r>
  <r>
    <s v="LA-700050"/>
    <d v="2024-01-07T00:00:00"/>
    <x v="0"/>
    <s v="Q1"/>
    <x v="0"/>
    <x v="3"/>
    <x v="2"/>
    <x v="2"/>
    <x v="0"/>
    <x v="0"/>
    <n v="8500"/>
    <n v="353000"/>
    <n v="240"/>
    <n v="0.36699999999999999"/>
    <s v="Rejected"/>
    <x v="0"/>
    <n v="0"/>
    <n v="1"/>
    <n v="0"/>
    <m/>
    <n v="14"/>
    <n v="1"/>
    <n v="1"/>
  </r>
  <r>
    <s v="LA-700051"/>
    <d v="2024-01-07T00:00:00"/>
    <x v="0"/>
    <s v="Q1"/>
    <x v="0"/>
    <x v="0"/>
    <x v="2"/>
    <x v="3"/>
    <x v="2"/>
    <x v="4"/>
    <n v="4200"/>
    <n v="34000"/>
    <n v="48"/>
    <n v="0.35599999999999998"/>
    <s v="Rejected"/>
    <x v="4"/>
    <n v="0"/>
    <n v="1"/>
    <n v="0"/>
    <m/>
    <n v="7"/>
    <n v="0"/>
    <n v="1"/>
  </r>
  <r>
    <s v="LA-700052"/>
    <d v="2024-01-07T00:00:00"/>
    <x v="0"/>
    <s v="Q1"/>
    <x v="0"/>
    <x v="0"/>
    <x v="3"/>
    <x v="3"/>
    <x v="2"/>
    <x v="1"/>
    <n v="6100"/>
    <n v="35000"/>
    <n v="60"/>
    <n v="0.29299999999999998"/>
    <s v="Approved"/>
    <x v="1"/>
    <n v="1"/>
    <n v="0"/>
    <n v="31500"/>
    <n v="8.2199999999999995E-2"/>
    <n v="6"/>
    <n v="0"/>
    <n v="1"/>
  </r>
  <r>
    <s v="LA-700053"/>
    <d v="2024-01-07T00:00:00"/>
    <x v="0"/>
    <s v="Q1"/>
    <x v="0"/>
    <x v="1"/>
    <x v="0"/>
    <x v="3"/>
    <x v="1"/>
    <x v="1"/>
    <n v="8150"/>
    <n v="15000"/>
    <n v="48"/>
    <n v="0.217"/>
    <s v="Rejected"/>
    <x v="0"/>
    <n v="0"/>
    <n v="1"/>
    <n v="0"/>
    <m/>
    <n v="2"/>
    <n v="1"/>
    <n v="1"/>
  </r>
  <r>
    <s v="LA-700054"/>
    <d v="2024-01-08T00:00:00"/>
    <x v="0"/>
    <s v="Q1"/>
    <x v="0"/>
    <x v="0"/>
    <x v="1"/>
    <x v="1"/>
    <x v="2"/>
    <x v="1"/>
    <n v="5800"/>
    <n v="74000"/>
    <n v="60"/>
    <n v="0.39800000000000002"/>
    <s v="Approved"/>
    <x v="1"/>
    <n v="1"/>
    <n v="0"/>
    <n v="74000"/>
    <n v="8.0600000000000005E-2"/>
    <n v="3"/>
    <n v="1"/>
    <n v="1"/>
  </r>
  <r>
    <s v="LA-700055"/>
    <d v="2024-01-08T00:00:00"/>
    <x v="0"/>
    <s v="Q1"/>
    <x v="0"/>
    <x v="1"/>
    <x v="3"/>
    <x v="2"/>
    <x v="0"/>
    <x v="4"/>
    <n v="2950"/>
    <n v="7500"/>
    <n v="48"/>
    <n v="0.13400000000000001"/>
    <s v="Approved"/>
    <x v="1"/>
    <n v="1"/>
    <n v="0"/>
    <n v="7500"/>
    <n v="0.1108"/>
    <n v="11"/>
    <n v="0"/>
    <n v="1"/>
  </r>
  <r>
    <s v="LA-700056"/>
    <d v="2024-01-08T00:00:00"/>
    <x v="0"/>
    <s v="Q1"/>
    <x v="0"/>
    <x v="1"/>
    <x v="2"/>
    <x v="0"/>
    <x v="0"/>
    <x v="1"/>
    <n v="4700"/>
    <n v="18500"/>
    <n v="60"/>
    <n v="0.308"/>
    <s v="Approved"/>
    <x v="1"/>
    <n v="1"/>
    <n v="0"/>
    <n v="18500"/>
    <n v="0.12"/>
    <n v="2"/>
    <n v="1"/>
    <n v="1"/>
  </r>
  <r>
    <s v="LA-700057"/>
    <d v="2024-01-08T00:00:00"/>
    <x v="0"/>
    <s v="Q1"/>
    <x v="0"/>
    <x v="1"/>
    <x v="0"/>
    <x v="2"/>
    <x v="0"/>
    <x v="0"/>
    <n v="5550"/>
    <n v="13000"/>
    <n v="36"/>
    <n v="0.14699999999999999"/>
    <s v="Approved"/>
    <x v="1"/>
    <n v="1"/>
    <n v="0"/>
    <n v="10500"/>
    <n v="0.13950000000000001"/>
    <n v="4"/>
    <n v="0"/>
    <n v="1"/>
  </r>
  <r>
    <s v="LA-700058"/>
    <d v="2024-01-08T00:00:00"/>
    <x v="0"/>
    <s v="Q1"/>
    <x v="0"/>
    <x v="1"/>
    <x v="2"/>
    <x v="2"/>
    <x v="2"/>
    <x v="1"/>
    <n v="6250"/>
    <n v="11500"/>
    <n v="12"/>
    <n v="0.38300000000000001"/>
    <s v="Approved"/>
    <x v="1"/>
    <n v="1"/>
    <n v="0"/>
    <n v="9000"/>
    <n v="0.1217"/>
    <n v="2"/>
    <n v="1"/>
    <n v="1"/>
  </r>
  <r>
    <s v="LA-700059"/>
    <d v="2024-01-08T00:00:00"/>
    <x v="0"/>
    <s v="Q1"/>
    <x v="0"/>
    <x v="1"/>
    <x v="1"/>
    <x v="2"/>
    <x v="2"/>
    <x v="3"/>
    <n v="2400"/>
    <n v="8500"/>
    <n v="48"/>
    <n v="0.28699999999999998"/>
    <s v="Approved"/>
    <x v="1"/>
    <n v="1"/>
    <n v="0"/>
    <n v="7500"/>
    <n v="0.10249999999999999"/>
    <n v="2"/>
    <n v="1"/>
    <n v="1"/>
  </r>
  <r>
    <s v="LA-700060"/>
    <d v="2024-01-08T00:00:00"/>
    <x v="0"/>
    <s v="Q1"/>
    <x v="0"/>
    <x v="3"/>
    <x v="3"/>
    <x v="0"/>
    <x v="0"/>
    <x v="0"/>
    <n v="4550"/>
    <n v="180500"/>
    <n v="300"/>
    <n v="0.41299999999999998"/>
    <s v="Rejected"/>
    <x v="2"/>
    <n v="0"/>
    <n v="1"/>
    <n v="0"/>
    <m/>
    <n v="26"/>
    <n v="0"/>
    <n v="1"/>
  </r>
  <r>
    <s v="LA-700061"/>
    <d v="2024-01-08T00:00:00"/>
    <x v="0"/>
    <s v="Q1"/>
    <x v="0"/>
    <x v="0"/>
    <x v="0"/>
    <x v="1"/>
    <x v="0"/>
    <x v="4"/>
    <n v="5550"/>
    <n v="13500"/>
    <n v="36"/>
    <n v="0.16700000000000001"/>
    <s v="Approved"/>
    <x v="1"/>
    <n v="1"/>
    <n v="0"/>
    <n v="13500"/>
    <n v="7.4200000000000002E-2"/>
    <n v="4"/>
    <n v="1"/>
    <n v="1"/>
  </r>
  <r>
    <s v="LA-700062"/>
    <d v="2024-01-08T00:00:00"/>
    <x v="0"/>
    <s v="Q1"/>
    <x v="0"/>
    <x v="1"/>
    <x v="3"/>
    <x v="3"/>
    <x v="1"/>
    <x v="2"/>
    <n v="5000"/>
    <n v="15500"/>
    <n v="48"/>
    <n v="0.17899999999999999"/>
    <s v="Rejected"/>
    <x v="0"/>
    <n v="0"/>
    <n v="1"/>
    <n v="0"/>
    <m/>
    <n v="4"/>
    <n v="0"/>
    <n v="1"/>
  </r>
  <r>
    <s v="LA-700063"/>
    <d v="2024-01-09T00:00:00"/>
    <x v="0"/>
    <s v="Q1"/>
    <x v="0"/>
    <x v="1"/>
    <x v="1"/>
    <x v="2"/>
    <x v="1"/>
    <x v="3"/>
    <n v="4450"/>
    <n v="14000"/>
    <n v="60"/>
    <n v="0.26300000000000001"/>
    <s v="Approved"/>
    <x v="1"/>
    <n v="1"/>
    <n v="0"/>
    <n v="12500"/>
    <n v="0.1133"/>
    <n v="2"/>
    <n v="1"/>
    <n v="1"/>
  </r>
  <r>
    <s v="LA-700064"/>
    <d v="2024-01-09T00:00:00"/>
    <x v="0"/>
    <s v="Q1"/>
    <x v="0"/>
    <x v="3"/>
    <x v="2"/>
    <x v="2"/>
    <x v="0"/>
    <x v="1"/>
    <n v="4400"/>
    <n v="325500"/>
    <n v="300"/>
    <n v="0.61"/>
    <s v="Rejected"/>
    <x v="3"/>
    <n v="0"/>
    <n v="1"/>
    <n v="0"/>
    <m/>
    <n v="19"/>
    <n v="0"/>
    <n v="1"/>
  </r>
  <r>
    <s v="LA-700065"/>
    <d v="2024-01-09T00:00:00"/>
    <x v="0"/>
    <s v="Q1"/>
    <x v="0"/>
    <x v="1"/>
    <x v="1"/>
    <x v="0"/>
    <x v="2"/>
    <x v="2"/>
    <n v="3300"/>
    <n v="10500"/>
    <n v="48"/>
    <n v="0.16500000000000001"/>
    <s v="Rejected"/>
    <x v="0"/>
    <n v="0"/>
    <n v="1"/>
    <n v="0"/>
    <m/>
    <n v="2"/>
    <n v="1"/>
    <n v="1"/>
  </r>
  <r>
    <s v="LA-700066"/>
    <d v="2024-01-09T00:00:00"/>
    <x v="0"/>
    <s v="Q1"/>
    <x v="0"/>
    <x v="1"/>
    <x v="3"/>
    <x v="4"/>
    <x v="0"/>
    <x v="0"/>
    <n v="4550"/>
    <n v="9500"/>
    <n v="36"/>
    <n v="0.23699999999999999"/>
    <s v="Approved"/>
    <x v="1"/>
    <n v="1"/>
    <n v="0"/>
    <n v="7500"/>
    <n v="0.1346"/>
    <n v="4"/>
    <n v="0"/>
    <n v="1"/>
  </r>
  <r>
    <s v="LA-700067"/>
    <d v="2024-01-09T00:00:00"/>
    <x v="0"/>
    <s v="Q1"/>
    <x v="0"/>
    <x v="1"/>
    <x v="3"/>
    <x v="1"/>
    <x v="0"/>
    <x v="4"/>
    <n v="5900"/>
    <n v="13500"/>
    <n v="24"/>
    <n v="0.22"/>
    <s v="Approved"/>
    <x v="1"/>
    <n v="1"/>
    <n v="0"/>
    <n v="13500"/>
    <n v="0.1128"/>
    <n v="7"/>
    <n v="0"/>
    <n v="1"/>
  </r>
  <r>
    <s v="LA-700068"/>
    <d v="2024-01-09T00:00:00"/>
    <x v="0"/>
    <s v="Q1"/>
    <x v="0"/>
    <x v="2"/>
    <x v="0"/>
    <x v="3"/>
    <x v="0"/>
    <x v="1"/>
    <n v="2400"/>
    <n v="196000"/>
    <n v="24"/>
    <n v="3.88"/>
    <s v="Rejected"/>
    <x v="3"/>
    <n v="0"/>
    <n v="1"/>
    <n v="0"/>
    <m/>
    <n v="13"/>
    <n v="0"/>
    <n v="1"/>
  </r>
  <r>
    <s v="LA-700069"/>
    <d v="2024-01-10T00:00:00"/>
    <x v="0"/>
    <s v="Q1"/>
    <x v="0"/>
    <x v="3"/>
    <x v="1"/>
    <x v="2"/>
    <x v="1"/>
    <x v="2"/>
    <n v="3850"/>
    <n v="533500"/>
    <n v="300"/>
    <n v="1.012"/>
    <s v="Rejected"/>
    <x v="3"/>
    <n v="0"/>
    <n v="1"/>
    <n v="0"/>
    <m/>
    <n v="7"/>
    <n v="1"/>
    <n v="1"/>
  </r>
  <r>
    <s v="LA-700070"/>
    <d v="2024-01-10T00:00:00"/>
    <x v="0"/>
    <s v="Q1"/>
    <x v="0"/>
    <x v="1"/>
    <x v="1"/>
    <x v="2"/>
    <x v="0"/>
    <x v="4"/>
    <n v="6100"/>
    <n v="12500"/>
    <n v="60"/>
    <n v="9.9000000000000005E-2"/>
    <s v="Approved"/>
    <x v="1"/>
    <n v="1"/>
    <n v="0"/>
    <n v="12500"/>
    <n v="0.1128"/>
    <n v="2"/>
    <n v="1"/>
    <n v="1"/>
  </r>
  <r>
    <s v="LA-700071"/>
    <d v="2024-01-10T00:00:00"/>
    <x v="0"/>
    <s v="Q1"/>
    <x v="0"/>
    <x v="1"/>
    <x v="3"/>
    <x v="4"/>
    <x v="0"/>
    <x v="1"/>
    <n v="5750"/>
    <n v="9000"/>
    <n v="24"/>
    <n v="0.25"/>
    <s v="Approved"/>
    <x v="1"/>
    <n v="1"/>
    <n v="0"/>
    <n v="9000"/>
    <n v="0.1246"/>
    <n v="7"/>
    <n v="0"/>
    <n v="1"/>
  </r>
  <r>
    <s v="LA-700072"/>
    <d v="2024-01-10T00:00:00"/>
    <x v="0"/>
    <s v="Q1"/>
    <x v="0"/>
    <x v="1"/>
    <x v="3"/>
    <x v="2"/>
    <x v="1"/>
    <x v="1"/>
    <n v="10500"/>
    <n v="13000"/>
    <n v="48"/>
    <n v="0.189"/>
    <s v="Rejected"/>
    <x v="2"/>
    <n v="0"/>
    <n v="1"/>
    <n v="0"/>
    <m/>
    <n v="6"/>
    <n v="0"/>
    <n v="1"/>
  </r>
  <r>
    <s v="LA-700073"/>
    <d v="2024-01-10T00:00:00"/>
    <x v="0"/>
    <s v="Q1"/>
    <x v="0"/>
    <x v="1"/>
    <x v="0"/>
    <x v="1"/>
    <x v="0"/>
    <x v="4"/>
    <n v="5600"/>
    <n v="9500"/>
    <n v="12"/>
    <n v="0.37"/>
    <s v="Rejected"/>
    <x v="4"/>
    <n v="0"/>
    <n v="1"/>
    <n v="0"/>
    <m/>
    <n v="8"/>
    <n v="0"/>
    <n v="1"/>
  </r>
  <r>
    <s v="LA-700074"/>
    <d v="2024-01-10T00:00:00"/>
    <x v="0"/>
    <s v="Q1"/>
    <x v="0"/>
    <x v="3"/>
    <x v="2"/>
    <x v="3"/>
    <x v="1"/>
    <x v="1"/>
    <n v="4250"/>
    <n v="450500"/>
    <n v="240"/>
    <n v="0.85099999999999998"/>
    <s v="Withdrawn"/>
    <x v="1"/>
    <n v="0"/>
    <n v="0"/>
    <n v="0"/>
    <m/>
    <n v="8"/>
    <n v="1"/>
    <n v="1"/>
  </r>
  <r>
    <s v="LA-700075"/>
    <d v="2024-01-10T00:00:00"/>
    <x v="0"/>
    <s v="Q1"/>
    <x v="0"/>
    <x v="1"/>
    <x v="0"/>
    <x v="3"/>
    <x v="0"/>
    <x v="0"/>
    <n v="3900"/>
    <n v="24000"/>
    <n v="12"/>
    <n v="0.65900000000000003"/>
    <s v="Rejected"/>
    <x v="3"/>
    <n v="0"/>
    <n v="1"/>
    <n v="0"/>
    <m/>
    <n v="6"/>
    <n v="0"/>
    <n v="1"/>
  </r>
  <r>
    <s v="LA-700076"/>
    <d v="2024-01-10T00:00:00"/>
    <x v="0"/>
    <s v="Q1"/>
    <x v="0"/>
    <x v="0"/>
    <x v="3"/>
    <x v="0"/>
    <x v="1"/>
    <x v="0"/>
    <n v="3250"/>
    <n v="28500"/>
    <n v="36"/>
    <n v="0.42599999999999999"/>
    <s v="Approved"/>
    <x v="1"/>
    <n v="1"/>
    <n v="0"/>
    <n v="25500"/>
    <n v="9.7199999999999995E-2"/>
    <n v="7"/>
    <n v="0"/>
    <n v="1"/>
  </r>
  <r>
    <s v="LA-700077"/>
    <d v="2024-01-11T00:00:00"/>
    <x v="0"/>
    <s v="Q1"/>
    <x v="0"/>
    <x v="1"/>
    <x v="0"/>
    <x v="3"/>
    <x v="2"/>
    <x v="2"/>
    <n v="10250"/>
    <n v="16500"/>
    <n v="24"/>
    <n v="0.29199999999999998"/>
    <s v="Approved"/>
    <x v="1"/>
    <n v="1"/>
    <n v="0"/>
    <n v="16500"/>
    <n v="0.1605"/>
    <n v="3"/>
    <n v="1"/>
    <n v="1"/>
  </r>
  <r>
    <s v="LA-700078"/>
    <d v="2024-01-11T00:00:00"/>
    <x v="0"/>
    <s v="Q1"/>
    <x v="0"/>
    <x v="2"/>
    <x v="3"/>
    <x v="2"/>
    <x v="2"/>
    <x v="1"/>
    <n v="4450"/>
    <n v="119000"/>
    <n v="60"/>
    <n v="0.77"/>
    <s v="Rejected"/>
    <x v="3"/>
    <n v="0"/>
    <n v="1"/>
    <n v="0"/>
    <m/>
    <n v="13"/>
    <n v="0"/>
    <n v="1"/>
  </r>
  <r>
    <s v="LA-700079"/>
    <d v="2024-01-11T00:00:00"/>
    <x v="0"/>
    <s v="Q1"/>
    <x v="0"/>
    <x v="1"/>
    <x v="3"/>
    <x v="2"/>
    <x v="1"/>
    <x v="1"/>
    <n v="5000"/>
    <n v="10000"/>
    <n v="48"/>
    <n v="0.151"/>
    <s v="Approved"/>
    <x v="1"/>
    <n v="1"/>
    <n v="0"/>
    <n v="8000"/>
    <n v="0.12520000000000001"/>
    <n v="6"/>
    <n v="0"/>
    <n v="1"/>
  </r>
  <r>
    <s v="LA-700080"/>
    <d v="2024-01-11T00:00:00"/>
    <x v="0"/>
    <s v="Q1"/>
    <x v="0"/>
    <x v="0"/>
    <x v="1"/>
    <x v="2"/>
    <x v="0"/>
    <x v="0"/>
    <n v="5300"/>
    <n v="15000"/>
    <n v="48"/>
    <n v="0.13800000000000001"/>
    <s v="Withdrawn"/>
    <x v="1"/>
    <n v="0"/>
    <n v="0"/>
    <n v="0"/>
    <m/>
    <n v="2"/>
    <n v="1"/>
    <n v="1"/>
  </r>
  <r>
    <s v="LA-700081"/>
    <d v="2024-01-11T00:00:00"/>
    <x v="0"/>
    <s v="Q1"/>
    <x v="0"/>
    <x v="3"/>
    <x v="1"/>
    <x v="3"/>
    <x v="0"/>
    <x v="1"/>
    <n v="5800"/>
    <n v="301500"/>
    <n v="240"/>
    <n v="0.55400000000000005"/>
    <s v="Rejected"/>
    <x v="3"/>
    <n v="0"/>
    <n v="1"/>
    <n v="0"/>
    <m/>
    <n v="10"/>
    <n v="1"/>
    <n v="1"/>
  </r>
  <r>
    <s v="LA-700082"/>
    <d v="2024-01-11T00:00:00"/>
    <x v="0"/>
    <s v="Q1"/>
    <x v="0"/>
    <x v="1"/>
    <x v="2"/>
    <x v="2"/>
    <x v="2"/>
    <x v="1"/>
    <n v="8550"/>
    <n v="6500"/>
    <n v="12"/>
    <n v="0.191"/>
    <s v="Approved"/>
    <x v="1"/>
    <n v="1"/>
    <n v="0"/>
    <n v="6000"/>
    <n v="0.1265"/>
    <n v="2"/>
    <n v="1"/>
    <n v="1"/>
  </r>
  <r>
    <s v="LA-700083"/>
    <d v="2024-01-11T00:00:00"/>
    <x v="0"/>
    <s v="Q1"/>
    <x v="0"/>
    <x v="2"/>
    <x v="3"/>
    <x v="3"/>
    <x v="1"/>
    <x v="3"/>
    <n v="8200"/>
    <n v="177500"/>
    <n v="36"/>
    <n v="0.85799999999999998"/>
    <s v="Approved"/>
    <x v="1"/>
    <n v="1"/>
    <n v="0"/>
    <n v="160000"/>
    <n v="8.9599999999999999E-2"/>
    <n v="13"/>
    <n v="0"/>
    <n v="1"/>
  </r>
  <r>
    <s v="LA-700084"/>
    <d v="2024-01-11T00:00:00"/>
    <x v="0"/>
    <s v="Q1"/>
    <x v="0"/>
    <x v="0"/>
    <x v="2"/>
    <x v="2"/>
    <x v="2"/>
    <x v="4"/>
    <n v="7600"/>
    <n v="31500"/>
    <n v="60"/>
    <n v="0.32100000000000001"/>
    <s v="Approved"/>
    <x v="1"/>
    <n v="1"/>
    <n v="0"/>
    <n v="31500"/>
    <n v="7.4300000000000005E-2"/>
    <n v="4"/>
    <n v="1"/>
    <n v="1"/>
  </r>
  <r>
    <s v="LA-700085"/>
    <d v="2024-01-11T00:00:00"/>
    <x v="0"/>
    <s v="Q1"/>
    <x v="0"/>
    <x v="2"/>
    <x v="3"/>
    <x v="0"/>
    <x v="2"/>
    <x v="2"/>
    <n v="5100"/>
    <n v="73500"/>
    <n v="12"/>
    <n v="1.391"/>
    <s v="Rejected"/>
    <x v="3"/>
    <n v="0"/>
    <n v="1"/>
    <n v="0"/>
    <m/>
    <n v="9"/>
    <n v="1"/>
    <n v="1"/>
  </r>
  <r>
    <s v="LA-700086"/>
    <d v="2024-01-11T00:00:00"/>
    <x v="0"/>
    <s v="Q1"/>
    <x v="0"/>
    <x v="3"/>
    <x v="3"/>
    <x v="3"/>
    <x v="0"/>
    <x v="0"/>
    <n v="9650"/>
    <n v="670500"/>
    <n v="300"/>
    <n v="0.49"/>
    <s v="Approved"/>
    <x v="1"/>
    <n v="1"/>
    <n v="0"/>
    <n v="603500"/>
    <n v="7.2599999999999998E-2"/>
    <n v="16"/>
    <n v="0"/>
    <n v="1"/>
  </r>
  <r>
    <s v="LA-700087"/>
    <d v="2024-01-11T00:00:00"/>
    <x v="0"/>
    <s v="Q1"/>
    <x v="0"/>
    <x v="0"/>
    <x v="3"/>
    <x v="2"/>
    <x v="0"/>
    <x v="1"/>
    <n v="3750"/>
    <n v="24000"/>
    <n v="36"/>
    <n v="0.40899999999999997"/>
    <s v="Approved"/>
    <x v="1"/>
    <n v="1"/>
    <n v="0"/>
    <n v="19000"/>
    <n v="8.0699999999999994E-2"/>
    <n v="8"/>
    <n v="0"/>
    <n v="1"/>
  </r>
  <r>
    <s v="LA-700088"/>
    <d v="2024-01-11T00:00:00"/>
    <x v="0"/>
    <s v="Q1"/>
    <x v="0"/>
    <x v="0"/>
    <x v="0"/>
    <x v="1"/>
    <x v="2"/>
    <x v="1"/>
    <n v="6350"/>
    <n v="43500"/>
    <n v="48"/>
    <n v="0.34599999999999997"/>
    <s v="Rejected"/>
    <x v="5"/>
    <n v="0"/>
    <n v="1"/>
    <n v="0"/>
    <m/>
    <n v="4"/>
    <n v="1"/>
    <n v="1"/>
  </r>
  <r>
    <s v="LA-700089"/>
    <d v="2024-01-11T00:00:00"/>
    <x v="0"/>
    <s v="Q1"/>
    <x v="0"/>
    <x v="3"/>
    <x v="2"/>
    <x v="2"/>
    <x v="0"/>
    <x v="3"/>
    <n v="4200"/>
    <n v="157500"/>
    <n v="180"/>
    <n v="0.39400000000000002"/>
    <s v="Approved"/>
    <x v="1"/>
    <n v="1"/>
    <n v="0"/>
    <n v="142000"/>
    <n v="3.9399999999999998E-2"/>
    <n v="8"/>
    <n v="1"/>
    <n v="1"/>
  </r>
  <r>
    <s v="LA-700090"/>
    <d v="2024-01-11T00:00:00"/>
    <x v="0"/>
    <s v="Q1"/>
    <x v="0"/>
    <x v="0"/>
    <x v="3"/>
    <x v="1"/>
    <x v="1"/>
    <x v="4"/>
    <n v="8050"/>
    <n v="20500"/>
    <n v="60"/>
    <n v="0.19800000000000001"/>
    <s v="Rejected"/>
    <x v="4"/>
    <n v="0"/>
    <n v="1"/>
    <n v="0"/>
    <m/>
    <n v="10"/>
    <n v="0"/>
    <n v="1"/>
  </r>
  <r>
    <s v="LA-700091"/>
    <d v="2024-01-11T00:00:00"/>
    <x v="0"/>
    <s v="Q1"/>
    <x v="0"/>
    <x v="0"/>
    <x v="2"/>
    <x v="3"/>
    <x v="0"/>
    <x v="3"/>
    <n v="6600"/>
    <n v="50500"/>
    <n v="36"/>
    <n v="0.377"/>
    <s v="Approved"/>
    <x v="1"/>
    <n v="1"/>
    <n v="0"/>
    <n v="45500"/>
    <n v="6.3299999999999995E-2"/>
    <n v="3"/>
    <n v="1"/>
    <n v="1"/>
  </r>
  <r>
    <s v="LA-700092"/>
    <d v="2024-01-12T00:00:00"/>
    <x v="0"/>
    <s v="Q1"/>
    <x v="0"/>
    <x v="0"/>
    <x v="2"/>
    <x v="3"/>
    <x v="0"/>
    <x v="3"/>
    <n v="8150"/>
    <n v="16000"/>
    <n v="36"/>
    <n v="0.13700000000000001"/>
    <s v="Approved"/>
    <x v="1"/>
    <n v="1"/>
    <n v="0"/>
    <n v="16000"/>
    <n v="6.54E-2"/>
    <n v="2"/>
    <n v="1"/>
    <n v="1"/>
  </r>
  <r>
    <s v="LA-700093"/>
    <d v="2024-01-12T00:00:00"/>
    <x v="0"/>
    <s v="Q1"/>
    <x v="0"/>
    <x v="1"/>
    <x v="3"/>
    <x v="2"/>
    <x v="0"/>
    <x v="3"/>
    <n v="4250"/>
    <n v="6500"/>
    <n v="36"/>
    <n v="0.123"/>
    <s v="Approved"/>
    <x v="1"/>
    <n v="1"/>
    <n v="0"/>
    <n v="6500"/>
    <n v="0.11559999999999999"/>
    <n v="6"/>
    <n v="0"/>
    <n v="1"/>
  </r>
  <r>
    <s v="LA-700094"/>
    <d v="2024-01-12T00:00:00"/>
    <x v="0"/>
    <s v="Q1"/>
    <x v="0"/>
    <x v="0"/>
    <x v="2"/>
    <x v="2"/>
    <x v="0"/>
    <x v="0"/>
    <n v="7200"/>
    <n v="25500"/>
    <n v="48"/>
    <n v="0.191"/>
    <s v="Rejected"/>
    <x v="0"/>
    <n v="0"/>
    <n v="1"/>
    <n v="0"/>
    <m/>
    <n v="1"/>
    <n v="1"/>
    <n v="1"/>
  </r>
  <r>
    <s v="LA-700095"/>
    <d v="2024-01-12T00:00:00"/>
    <x v="0"/>
    <s v="Q1"/>
    <x v="0"/>
    <x v="1"/>
    <x v="3"/>
    <x v="0"/>
    <x v="2"/>
    <x v="4"/>
    <n v="5800"/>
    <n v="15000"/>
    <n v="48"/>
    <n v="0.17100000000000001"/>
    <s v="Approved"/>
    <x v="1"/>
    <n v="1"/>
    <n v="0"/>
    <n v="13500"/>
    <n v="0.11799999999999999"/>
    <n v="10"/>
    <n v="0"/>
    <n v="1"/>
  </r>
  <r>
    <s v="LA-700096"/>
    <d v="2024-01-12T00:00:00"/>
    <x v="0"/>
    <s v="Q1"/>
    <x v="0"/>
    <x v="2"/>
    <x v="3"/>
    <x v="1"/>
    <x v="0"/>
    <x v="2"/>
    <n v="7800"/>
    <n v="91500"/>
    <n v="36"/>
    <n v="0.53600000000000003"/>
    <s v="Rejected"/>
    <x v="0"/>
    <n v="0"/>
    <n v="1"/>
    <n v="0"/>
    <m/>
    <n v="10"/>
    <n v="1"/>
    <n v="1"/>
  </r>
  <r>
    <s v="LA-700097"/>
    <d v="2024-01-12T00:00:00"/>
    <x v="0"/>
    <s v="Q1"/>
    <x v="0"/>
    <x v="3"/>
    <x v="3"/>
    <x v="1"/>
    <x v="1"/>
    <x v="1"/>
    <n v="2050"/>
    <n v="181000"/>
    <n v="240"/>
    <n v="0.64700000000000002"/>
    <s v="Rejected"/>
    <x v="3"/>
    <n v="0"/>
    <n v="1"/>
    <n v="0"/>
    <m/>
    <n v="19"/>
    <n v="0"/>
    <n v="1"/>
  </r>
  <r>
    <s v="LA-700098"/>
    <d v="2024-01-12T00:00:00"/>
    <x v="0"/>
    <s v="Q1"/>
    <x v="0"/>
    <x v="1"/>
    <x v="1"/>
    <x v="3"/>
    <x v="0"/>
    <x v="0"/>
    <n v="5500"/>
    <n v="10000"/>
    <n v="36"/>
    <n v="0.29499999999999998"/>
    <s v="Rejected"/>
    <x v="0"/>
    <n v="0"/>
    <n v="1"/>
    <n v="0"/>
    <m/>
    <n v="2"/>
    <n v="1"/>
    <n v="1"/>
  </r>
  <r>
    <s v="LA-700099"/>
    <d v="2024-01-12T00:00:00"/>
    <x v="0"/>
    <s v="Q1"/>
    <x v="0"/>
    <x v="3"/>
    <x v="3"/>
    <x v="3"/>
    <x v="0"/>
    <x v="4"/>
    <n v="3900"/>
    <n v="470500"/>
    <n v="240"/>
    <n v="0.94"/>
    <s v="Rejected"/>
    <x v="3"/>
    <n v="0"/>
    <n v="1"/>
    <n v="0"/>
    <m/>
    <n v="43"/>
    <n v="0"/>
    <n v="1"/>
  </r>
  <r>
    <s v="LA-700100"/>
    <d v="2024-01-13T00:00:00"/>
    <x v="0"/>
    <s v="Q1"/>
    <x v="0"/>
    <x v="1"/>
    <x v="3"/>
    <x v="1"/>
    <x v="2"/>
    <x v="4"/>
    <n v="5600"/>
    <n v="18500"/>
    <n v="24"/>
    <n v="0.36"/>
    <s v="Approved"/>
    <x v="1"/>
    <n v="1"/>
    <n v="0"/>
    <n v="18500"/>
    <n v="0.1129"/>
    <n v="6"/>
    <n v="0"/>
    <n v="1"/>
  </r>
  <r>
    <s v="LA-700101"/>
    <d v="2024-01-13T00:00:00"/>
    <x v="0"/>
    <s v="Q1"/>
    <x v="0"/>
    <x v="2"/>
    <x v="3"/>
    <x v="2"/>
    <x v="0"/>
    <x v="0"/>
    <n v="2150"/>
    <n v="163000"/>
    <n v="24"/>
    <n v="3.6720000000000002"/>
    <s v="Rejected"/>
    <x v="4"/>
    <n v="0"/>
    <n v="1"/>
    <n v="0"/>
    <m/>
    <n v="12"/>
    <n v="0"/>
    <n v="1"/>
  </r>
  <r>
    <s v="LA-700102"/>
    <d v="2024-01-13T00:00:00"/>
    <x v="0"/>
    <s v="Q1"/>
    <x v="0"/>
    <x v="1"/>
    <x v="3"/>
    <x v="4"/>
    <x v="0"/>
    <x v="1"/>
    <n v="5300"/>
    <n v="10500"/>
    <n v="48"/>
    <n v="0.29299999999999998"/>
    <s v="Approved"/>
    <x v="1"/>
    <n v="1"/>
    <n v="0"/>
    <n v="10500"/>
    <n v="0.126"/>
    <n v="5"/>
    <n v="0"/>
    <n v="1"/>
  </r>
  <r>
    <s v="LA-700103"/>
    <d v="2024-01-13T00:00:00"/>
    <x v="0"/>
    <s v="Q1"/>
    <x v="0"/>
    <x v="1"/>
    <x v="2"/>
    <x v="2"/>
    <x v="1"/>
    <x v="4"/>
    <n v="3400"/>
    <n v="9500"/>
    <n v="48"/>
    <n v="0.19600000000000001"/>
    <s v="Approved"/>
    <x v="1"/>
    <n v="1"/>
    <n v="0"/>
    <n v="7500"/>
    <n v="0.1099"/>
    <n v="2"/>
    <n v="1"/>
    <n v="1"/>
  </r>
  <r>
    <s v="LA-700104"/>
    <d v="2024-01-13T00:00:00"/>
    <x v="0"/>
    <s v="Q1"/>
    <x v="0"/>
    <x v="1"/>
    <x v="2"/>
    <x v="0"/>
    <x v="0"/>
    <x v="2"/>
    <n v="7000"/>
    <n v="7500"/>
    <n v="48"/>
    <n v="0.109"/>
    <s v="Approved"/>
    <x v="1"/>
    <n v="1"/>
    <n v="0"/>
    <n v="6000"/>
    <n v="0.15970000000000001"/>
    <n v="4"/>
    <n v="0"/>
    <n v="1"/>
  </r>
  <r>
    <s v="LA-700105"/>
    <d v="2024-01-13T00:00:00"/>
    <x v="0"/>
    <s v="Q1"/>
    <x v="0"/>
    <x v="0"/>
    <x v="0"/>
    <x v="2"/>
    <x v="2"/>
    <x v="1"/>
    <n v="3950"/>
    <n v="38500"/>
    <n v="60"/>
    <n v="0.38900000000000001"/>
    <s v="Approved"/>
    <x v="1"/>
    <n v="1"/>
    <n v="0"/>
    <n v="34500"/>
    <n v="8.5400000000000004E-2"/>
    <n v="5"/>
    <n v="0"/>
    <n v="1"/>
  </r>
  <r>
    <s v="LA-700106"/>
    <d v="2024-01-14T00:00:00"/>
    <x v="0"/>
    <s v="Q1"/>
    <x v="0"/>
    <x v="0"/>
    <x v="1"/>
    <x v="3"/>
    <x v="2"/>
    <x v="4"/>
    <n v="4650"/>
    <n v="23000"/>
    <n v="60"/>
    <n v="0.24399999999999999"/>
    <s v="Approved"/>
    <x v="1"/>
    <n v="1"/>
    <n v="0"/>
    <n v="20500"/>
    <n v="7.2099999999999997E-2"/>
    <n v="2"/>
    <n v="1"/>
    <n v="1"/>
  </r>
  <r>
    <s v="LA-700107"/>
    <d v="2024-01-14T00:00:00"/>
    <x v="0"/>
    <s v="Q1"/>
    <x v="0"/>
    <x v="0"/>
    <x v="3"/>
    <x v="1"/>
    <x v="0"/>
    <x v="4"/>
    <n v="4850"/>
    <n v="37000"/>
    <n v="48"/>
    <n v="0.32700000000000001"/>
    <s v="Approved"/>
    <x v="1"/>
    <n v="1"/>
    <n v="0"/>
    <n v="37000"/>
    <n v="7.3700000000000002E-2"/>
    <n v="10"/>
    <n v="0"/>
    <n v="1"/>
  </r>
  <r>
    <s v="LA-700108"/>
    <d v="2024-01-14T00:00:00"/>
    <x v="0"/>
    <s v="Q1"/>
    <x v="0"/>
    <x v="0"/>
    <x v="2"/>
    <x v="2"/>
    <x v="1"/>
    <x v="2"/>
    <n v="4550"/>
    <n v="22500"/>
    <n v="48"/>
    <n v="0.36299999999999999"/>
    <s v="Rejected"/>
    <x v="0"/>
    <n v="0"/>
    <n v="1"/>
    <n v="0"/>
    <m/>
    <n v="4"/>
    <n v="1"/>
    <n v="1"/>
  </r>
  <r>
    <s v="LA-700109"/>
    <d v="2024-01-14T00:00:00"/>
    <x v="0"/>
    <s v="Q1"/>
    <x v="0"/>
    <x v="2"/>
    <x v="2"/>
    <x v="2"/>
    <x v="1"/>
    <x v="2"/>
    <n v="3600"/>
    <n v="41000"/>
    <n v="12"/>
    <n v="1.095"/>
    <s v="Withdrawn"/>
    <x v="1"/>
    <n v="0"/>
    <n v="0"/>
    <n v="0"/>
    <m/>
    <n v="10"/>
    <n v="1"/>
    <n v="1"/>
  </r>
  <r>
    <s v="LA-700110"/>
    <d v="2024-01-14T00:00:00"/>
    <x v="0"/>
    <s v="Q1"/>
    <x v="0"/>
    <x v="1"/>
    <x v="3"/>
    <x v="1"/>
    <x v="0"/>
    <x v="0"/>
    <n v="2800"/>
    <n v="19000"/>
    <n v="36"/>
    <n v="0.28599999999999998"/>
    <s v="Approved"/>
    <x v="1"/>
    <n v="1"/>
    <n v="0"/>
    <n v="19000"/>
    <n v="0.14430000000000001"/>
    <n v="4"/>
    <n v="0"/>
    <n v="1"/>
  </r>
  <r>
    <s v="LA-700111"/>
    <d v="2024-01-15T00:00:00"/>
    <x v="0"/>
    <s v="Q1"/>
    <x v="0"/>
    <x v="3"/>
    <x v="2"/>
    <x v="1"/>
    <x v="0"/>
    <x v="4"/>
    <n v="4850"/>
    <n v="241000"/>
    <n v="300"/>
    <n v="0.38700000000000001"/>
    <s v="Rejected"/>
    <x v="2"/>
    <n v="0"/>
    <n v="1"/>
    <n v="0"/>
    <m/>
    <n v="11"/>
    <n v="1"/>
    <n v="1"/>
  </r>
  <r>
    <s v="LA-700112"/>
    <d v="2024-01-15T00:00:00"/>
    <x v="0"/>
    <s v="Q1"/>
    <x v="0"/>
    <x v="0"/>
    <x v="1"/>
    <x v="2"/>
    <x v="0"/>
    <x v="0"/>
    <n v="5700"/>
    <n v="26000"/>
    <n v="60"/>
    <n v="0.33100000000000002"/>
    <s v="Approved"/>
    <x v="1"/>
    <n v="1"/>
    <n v="0"/>
    <n v="26000"/>
    <n v="9.8699999999999996E-2"/>
    <n v="1"/>
    <n v="1"/>
    <n v="1"/>
  </r>
  <r>
    <s v="LA-700113"/>
    <d v="2024-01-15T00:00:00"/>
    <x v="0"/>
    <s v="Q1"/>
    <x v="0"/>
    <x v="0"/>
    <x v="3"/>
    <x v="1"/>
    <x v="2"/>
    <x v="4"/>
    <n v="7450"/>
    <n v="37500"/>
    <n v="48"/>
    <n v="0.23499999999999999"/>
    <s v="Approved"/>
    <x v="1"/>
    <n v="1"/>
    <n v="0"/>
    <n v="37500"/>
    <n v="7.1400000000000005E-2"/>
    <n v="4"/>
    <n v="1"/>
    <n v="1"/>
  </r>
  <r>
    <s v="LA-700114"/>
    <d v="2024-01-15T00:00:00"/>
    <x v="0"/>
    <s v="Q1"/>
    <x v="0"/>
    <x v="1"/>
    <x v="3"/>
    <x v="1"/>
    <x v="2"/>
    <x v="4"/>
    <n v="5200"/>
    <n v="17500"/>
    <n v="24"/>
    <n v="0.29399999999999998"/>
    <s v="Rejected"/>
    <x v="5"/>
    <n v="0"/>
    <n v="1"/>
    <n v="0"/>
    <m/>
    <n v="4"/>
    <n v="0"/>
    <n v="1"/>
  </r>
  <r>
    <s v="LA-700115"/>
    <d v="2024-01-15T00:00:00"/>
    <x v="0"/>
    <s v="Q1"/>
    <x v="0"/>
    <x v="1"/>
    <x v="3"/>
    <x v="4"/>
    <x v="0"/>
    <x v="1"/>
    <n v="8000"/>
    <n v="13500"/>
    <n v="48"/>
    <n v="0.26600000000000001"/>
    <s v="Approved"/>
    <x v="1"/>
    <n v="1"/>
    <n v="0"/>
    <n v="11000"/>
    <n v="0.12909999999999999"/>
    <n v="3"/>
    <n v="1"/>
    <n v="1"/>
  </r>
  <r>
    <s v="LA-700116"/>
    <d v="2024-01-15T00:00:00"/>
    <x v="0"/>
    <s v="Q1"/>
    <x v="0"/>
    <x v="1"/>
    <x v="1"/>
    <x v="2"/>
    <x v="1"/>
    <x v="1"/>
    <n v="4500"/>
    <n v="20000"/>
    <n v="12"/>
    <n v="0.59499999999999997"/>
    <s v="Rejected"/>
    <x v="4"/>
    <n v="0"/>
    <n v="1"/>
    <n v="0"/>
    <m/>
    <n v="7"/>
    <n v="0"/>
    <n v="1"/>
  </r>
  <r>
    <s v="LA-700117"/>
    <d v="2024-01-16T00:00:00"/>
    <x v="0"/>
    <s v="Q1"/>
    <x v="0"/>
    <x v="2"/>
    <x v="3"/>
    <x v="2"/>
    <x v="2"/>
    <x v="1"/>
    <n v="2700"/>
    <n v="114500"/>
    <n v="24"/>
    <n v="2.0609999999999999"/>
    <s v="Approved"/>
    <x v="1"/>
    <n v="1"/>
    <n v="0"/>
    <n v="91500"/>
    <n v="0.1104"/>
    <n v="19"/>
    <n v="0"/>
    <n v="1"/>
  </r>
  <r>
    <s v="LA-700118"/>
    <d v="2024-01-16T00:00:00"/>
    <x v="0"/>
    <s v="Q1"/>
    <x v="0"/>
    <x v="1"/>
    <x v="2"/>
    <x v="3"/>
    <x v="1"/>
    <x v="1"/>
    <n v="9300"/>
    <n v="11000"/>
    <n v="24"/>
    <n v="0.28599999999999998"/>
    <s v="Approved"/>
    <x v="1"/>
    <n v="1"/>
    <n v="0"/>
    <n v="11000"/>
    <n v="0.12479999999999999"/>
    <n v="4"/>
    <n v="0"/>
    <n v="1"/>
  </r>
  <r>
    <s v="LA-700119"/>
    <d v="2024-01-16T00:00:00"/>
    <x v="0"/>
    <s v="Q1"/>
    <x v="0"/>
    <x v="1"/>
    <x v="3"/>
    <x v="2"/>
    <x v="2"/>
    <x v="1"/>
    <n v="5950"/>
    <n v="26000"/>
    <n v="48"/>
    <n v="0.17599999999999999"/>
    <s v="Approved"/>
    <x v="1"/>
    <n v="1"/>
    <n v="0"/>
    <n v="26000"/>
    <n v="0.123"/>
    <n v="7"/>
    <n v="0"/>
    <n v="1"/>
  </r>
  <r>
    <s v="LA-700120"/>
    <d v="2024-01-16T00:00:00"/>
    <x v="0"/>
    <s v="Q1"/>
    <x v="0"/>
    <x v="0"/>
    <x v="3"/>
    <x v="1"/>
    <x v="0"/>
    <x v="4"/>
    <n v="6850"/>
    <n v="17000"/>
    <n v="48"/>
    <n v="0.28000000000000003"/>
    <s v="Approved"/>
    <x v="1"/>
    <n v="1"/>
    <n v="0"/>
    <n v="17000"/>
    <n v="7.7600000000000002E-2"/>
    <n v="9"/>
    <n v="0"/>
    <n v="1"/>
  </r>
  <r>
    <s v="LA-700121"/>
    <d v="2024-01-16T00:00:00"/>
    <x v="0"/>
    <s v="Q1"/>
    <x v="0"/>
    <x v="0"/>
    <x v="3"/>
    <x v="4"/>
    <x v="0"/>
    <x v="1"/>
    <n v="5200"/>
    <n v="35500"/>
    <n v="48"/>
    <n v="0.23499999999999999"/>
    <s v="Rejected"/>
    <x v="4"/>
    <n v="0"/>
    <n v="1"/>
    <n v="0"/>
    <m/>
    <n v="10"/>
    <n v="0"/>
    <n v="1"/>
  </r>
  <r>
    <s v="LA-700122"/>
    <d v="2024-01-16T00:00:00"/>
    <x v="0"/>
    <s v="Q1"/>
    <x v="0"/>
    <x v="2"/>
    <x v="3"/>
    <x v="4"/>
    <x v="1"/>
    <x v="2"/>
    <n v="11600"/>
    <n v="76000"/>
    <n v="60"/>
    <n v="0.27800000000000002"/>
    <s v="Rejected"/>
    <x v="0"/>
    <n v="0"/>
    <n v="1"/>
    <n v="0"/>
    <m/>
    <n v="9"/>
    <n v="1"/>
    <n v="1"/>
  </r>
  <r>
    <s v="LA-700123"/>
    <d v="2024-01-16T00:00:00"/>
    <x v="0"/>
    <s v="Q1"/>
    <x v="0"/>
    <x v="3"/>
    <x v="3"/>
    <x v="2"/>
    <x v="2"/>
    <x v="3"/>
    <n v="5700"/>
    <n v="202500"/>
    <n v="300"/>
    <n v="0.317"/>
    <s v="Approved"/>
    <x v="1"/>
    <n v="1"/>
    <n v="0"/>
    <n v="182000"/>
    <n v="4.4299999999999999E-2"/>
    <n v="14"/>
    <n v="1"/>
    <n v="1"/>
  </r>
  <r>
    <s v="LA-700124"/>
    <d v="2024-01-16T00:00:00"/>
    <x v="0"/>
    <s v="Q1"/>
    <x v="0"/>
    <x v="1"/>
    <x v="1"/>
    <x v="2"/>
    <x v="2"/>
    <x v="0"/>
    <n v="5650"/>
    <n v="19500"/>
    <n v="12"/>
    <n v="0.443"/>
    <s v="Approved"/>
    <x v="1"/>
    <n v="1"/>
    <n v="0"/>
    <n v="19500"/>
    <n v="0.13769999999999999"/>
    <n v="2"/>
    <n v="1"/>
    <n v="1"/>
  </r>
  <r>
    <s v="LA-700125"/>
    <d v="2024-01-16T00:00:00"/>
    <x v="0"/>
    <s v="Q1"/>
    <x v="0"/>
    <x v="2"/>
    <x v="1"/>
    <x v="2"/>
    <x v="1"/>
    <x v="0"/>
    <n v="5300"/>
    <n v="104500"/>
    <n v="60"/>
    <n v="0.56799999999999995"/>
    <s v="Rejected"/>
    <x v="3"/>
    <n v="0"/>
    <n v="1"/>
    <n v="0"/>
    <m/>
    <n v="3"/>
    <n v="1"/>
    <n v="1"/>
  </r>
  <r>
    <s v="LA-700126"/>
    <d v="2024-01-16T00:00:00"/>
    <x v="0"/>
    <s v="Q1"/>
    <x v="0"/>
    <x v="1"/>
    <x v="2"/>
    <x v="1"/>
    <x v="0"/>
    <x v="4"/>
    <n v="4750"/>
    <n v="23000"/>
    <n v="48"/>
    <n v="0.26700000000000002"/>
    <s v="Approved"/>
    <x v="1"/>
    <n v="1"/>
    <n v="0"/>
    <n v="23000"/>
    <n v="0.1162"/>
    <n v="2"/>
    <n v="1"/>
    <n v="1"/>
  </r>
  <r>
    <s v="LA-700127"/>
    <d v="2024-01-17T00:00:00"/>
    <x v="0"/>
    <s v="Q1"/>
    <x v="0"/>
    <x v="3"/>
    <x v="3"/>
    <x v="2"/>
    <x v="2"/>
    <x v="4"/>
    <n v="4550"/>
    <n v="206500"/>
    <n v="300"/>
    <n v="0.48099999999999998"/>
    <s v="Approved"/>
    <x v="1"/>
    <n v="1"/>
    <n v="0"/>
    <n v="165000"/>
    <n v="4.9399999999999999E-2"/>
    <n v="26"/>
    <n v="0"/>
    <n v="1"/>
  </r>
  <r>
    <s v="LA-700128"/>
    <d v="2024-01-17T00:00:00"/>
    <x v="0"/>
    <s v="Q1"/>
    <x v="0"/>
    <x v="2"/>
    <x v="3"/>
    <x v="2"/>
    <x v="0"/>
    <x v="2"/>
    <n v="2800"/>
    <n v="54000"/>
    <n v="12"/>
    <n v="1.7450000000000001"/>
    <s v="Rejected"/>
    <x v="0"/>
    <n v="0"/>
    <n v="1"/>
    <n v="0"/>
    <m/>
    <n v="15"/>
    <n v="0"/>
    <n v="1"/>
  </r>
  <r>
    <s v="LA-700129"/>
    <d v="2024-01-17T00:00:00"/>
    <x v="0"/>
    <s v="Q1"/>
    <x v="0"/>
    <x v="1"/>
    <x v="3"/>
    <x v="2"/>
    <x v="0"/>
    <x v="3"/>
    <n v="10650"/>
    <n v="18000"/>
    <n v="48"/>
    <n v="0.27700000000000002"/>
    <s v="Approved"/>
    <x v="1"/>
    <n v="1"/>
    <n v="0"/>
    <n v="18000"/>
    <n v="0.1101"/>
    <n v="5"/>
    <n v="0"/>
    <n v="1"/>
  </r>
  <r>
    <s v="LA-700130"/>
    <d v="2024-01-17T00:00:00"/>
    <x v="0"/>
    <s v="Q1"/>
    <x v="0"/>
    <x v="1"/>
    <x v="3"/>
    <x v="2"/>
    <x v="1"/>
    <x v="0"/>
    <n v="2200"/>
    <n v="20500"/>
    <n v="24"/>
    <n v="0.64400000000000002"/>
    <s v="Rejected"/>
    <x v="0"/>
    <n v="0"/>
    <n v="1"/>
    <n v="0"/>
    <m/>
    <n v="8"/>
    <n v="0"/>
    <n v="1"/>
  </r>
  <r>
    <s v="LA-700131"/>
    <d v="2024-01-17T00:00:00"/>
    <x v="0"/>
    <s v="Q1"/>
    <x v="0"/>
    <x v="2"/>
    <x v="3"/>
    <x v="2"/>
    <x v="2"/>
    <x v="1"/>
    <n v="5950"/>
    <n v="58000"/>
    <n v="60"/>
    <n v="0.443"/>
    <s v="Approved"/>
    <x v="1"/>
    <n v="1"/>
    <n v="0"/>
    <n v="52000"/>
    <n v="0.1051"/>
    <n v="22"/>
    <n v="0"/>
    <n v="1"/>
  </r>
  <r>
    <s v="LA-700132"/>
    <d v="2024-01-17T00:00:00"/>
    <x v="0"/>
    <s v="Q1"/>
    <x v="0"/>
    <x v="3"/>
    <x v="3"/>
    <x v="2"/>
    <x v="0"/>
    <x v="1"/>
    <n v="8250"/>
    <n v="280500"/>
    <n v="240"/>
    <n v="0.28199999999999997"/>
    <s v="Approved"/>
    <x v="1"/>
    <n v="1"/>
    <n v="0"/>
    <n v="280500"/>
    <n v="5.9499999999999997E-2"/>
    <n v="12"/>
    <n v="1"/>
    <n v="1"/>
  </r>
  <r>
    <s v="LA-700133"/>
    <d v="2024-01-17T00:00:00"/>
    <x v="0"/>
    <s v="Q1"/>
    <x v="0"/>
    <x v="0"/>
    <x v="2"/>
    <x v="4"/>
    <x v="1"/>
    <x v="4"/>
    <n v="5550"/>
    <n v="14500"/>
    <n v="60"/>
    <n v="0.14499999999999999"/>
    <s v="Approved"/>
    <x v="1"/>
    <n v="1"/>
    <n v="0"/>
    <n v="13000"/>
    <n v="7.5800000000000006E-2"/>
    <n v="3"/>
    <n v="1"/>
    <n v="1"/>
  </r>
  <r>
    <s v="LA-700134"/>
    <d v="2024-01-17T00:00:00"/>
    <x v="0"/>
    <s v="Q1"/>
    <x v="0"/>
    <x v="2"/>
    <x v="1"/>
    <x v="3"/>
    <x v="1"/>
    <x v="4"/>
    <n v="4800"/>
    <n v="63000"/>
    <n v="24"/>
    <n v="0.83199999999999996"/>
    <s v="Rejected"/>
    <x v="4"/>
    <n v="0"/>
    <n v="1"/>
    <n v="0"/>
    <m/>
    <n v="8"/>
    <n v="1"/>
    <n v="1"/>
  </r>
  <r>
    <s v="LA-700135"/>
    <d v="2024-01-17T00:00:00"/>
    <x v="0"/>
    <s v="Q1"/>
    <x v="0"/>
    <x v="1"/>
    <x v="1"/>
    <x v="3"/>
    <x v="0"/>
    <x v="0"/>
    <n v="4950"/>
    <n v="11000"/>
    <n v="36"/>
    <n v="0.217"/>
    <s v="Rejected"/>
    <x v="0"/>
    <n v="0"/>
    <n v="1"/>
    <n v="0"/>
    <m/>
    <n v="1"/>
    <n v="1"/>
    <n v="1"/>
  </r>
  <r>
    <s v="LA-700136"/>
    <d v="2024-01-18T00:00:00"/>
    <x v="0"/>
    <s v="Q1"/>
    <x v="0"/>
    <x v="0"/>
    <x v="2"/>
    <x v="1"/>
    <x v="0"/>
    <x v="2"/>
    <n v="4100"/>
    <n v="29500"/>
    <n v="48"/>
    <n v="0.33100000000000002"/>
    <s v="Rejected"/>
    <x v="0"/>
    <n v="0"/>
    <n v="1"/>
    <n v="0"/>
    <m/>
    <n v="3"/>
    <n v="1"/>
    <n v="1"/>
  </r>
  <r>
    <s v="LA-700137"/>
    <d v="2024-01-18T00:00:00"/>
    <x v="0"/>
    <s v="Q1"/>
    <x v="0"/>
    <x v="2"/>
    <x v="2"/>
    <x v="2"/>
    <x v="0"/>
    <x v="1"/>
    <n v="4400"/>
    <n v="218500"/>
    <n v="36"/>
    <n v="1.7529999999999999"/>
    <s v="Rejected"/>
    <x v="3"/>
    <n v="0"/>
    <n v="1"/>
    <n v="0"/>
    <m/>
    <n v="5"/>
    <n v="1"/>
    <n v="1"/>
  </r>
  <r>
    <s v="LA-700138"/>
    <d v="2024-01-18T00:00:00"/>
    <x v="0"/>
    <s v="Q1"/>
    <x v="0"/>
    <x v="1"/>
    <x v="2"/>
    <x v="4"/>
    <x v="1"/>
    <x v="0"/>
    <n v="3650"/>
    <n v="5000"/>
    <n v="60"/>
    <n v="0.17299999999999999"/>
    <s v="Approved"/>
    <x v="1"/>
    <n v="1"/>
    <n v="0"/>
    <n v="5000"/>
    <n v="0.14810000000000001"/>
    <n v="2"/>
    <n v="1"/>
    <n v="1"/>
  </r>
  <r>
    <s v="LA-700139"/>
    <d v="2024-01-18T00:00:00"/>
    <x v="0"/>
    <s v="Q1"/>
    <x v="0"/>
    <x v="0"/>
    <x v="2"/>
    <x v="1"/>
    <x v="0"/>
    <x v="1"/>
    <n v="5100"/>
    <n v="26000"/>
    <n v="48"/>
    <n v="0.27500000000000002"/>
    <s v="Approved"/>
    <x v="1"/>
    <n v="1"/>
    <n v="0"/>
    <n v="26000"/>
    <n v="8.4699999999999998E-2"/>
    <n v="3"/>
    <n v="1"/>
    <n v="1"/>
  </r>
  <r>
    <s v="LA-700140"/>
    <d v="2024-01-18T00:00:00"/>
    <x v="0"/>
    <s v="Q1"/>
    <x v="0"/>
    <x v="2"/>
    <x v="1"/>
    <x v="2"/>
    <x v="0"/>
    <x v="0"/>
    <n v="5100"/>
    <n v="259500"/>
    <n v="12"/>
    <n v="4.6639999999999997"/>
    <s v="Rejected"/>
    <x v="0"/>
    <n v="0"/>
    <n v="1"/>
    <n v="0"/>
    <m/>
    <n v="11"/>
    <n v="0"/>
    <n v="1"/>
  </r>
  <r>
    <s v="LA-700141"/>
    <d v="2024-01-18T00:00:00"/>
    <x v="0"/>
    <s v="Q1"/>
    <x v="0"/>
    <x v="0"/>
    <x v="3"/>
    <x v="1"/>
    <x v="0"/>
    <x v="4"/>
    <n v="12750"/>
    <n v="25500"/>
    <n v="36"/>
    <n v="0.14199999999999999"/>
    <s v="Approved"/>
    <x v="1"/>
    <n v="1"/>
    <n v="0"/>
    <n v="25500"/>
    <n v="7.0999999999999994E-2"/>
    <n v="6"/>
    <n v="0"/>
    <n v="1"/>
  </r>
  <r>
    <s v="LA-700142"/>
    <d v="2024-01-19T00:00:00"/>
    <x v="0"/>
    <s v="Q1"/>
    <x v="0"/>
    <x v="1"/>
    <x v="3"/>
    <x v="4"/>
    <x v="2"/>
    <x v="3"/>
    <n v="5300"/>
    <n v="18500"/>
    <n v="48"/>
    <n v="0.32500000000000001"/>
    <s v="Rejected"/>
    <x v="5"/>
    <n v="0"/>
    <n v="1"/>
    <n v="0"/>
    <m/>
    <n v="3"/>
    <n v="1"/>
    <n v="1"/>
  </r>
  <r>
    <s v="LA-700143"/>
    <d v="2024-01-19T00:00:00"/>
    <x v="0"/>
    <s v="Q1"/>
    <x v="0"/>
    <x v="0"/>
    <x v="2"/>
    <x v="3"/>
    <x v="1"/>
    <x v="4"/>
    <n v="4250"/>
    <n v="31500"/>
    <n v="48"/>
    <n v="0.23899999999999999"/>
    <s v="Rejected"/>
    <x v="5"/>
    <n v="0"/>
    <n v="1"/>
    <n v="0"/>
    <m/>
    <n v="2"/>
    <n v="1"/>
    <n v="1"/>
  </r>
  <r>
    <s v="LA-700144"/>
    <d v="2024-01-19T00:00:00"/>
    <x v="0"/>
    <s v="Q1"/>
    <x v="0"/>
    <x v="0"/>
    <x v="0"/>
    <x v="2"/>
    <x v="0"/>
    <x v="0"/>
    <n v="11100"/>
    <n v="17000"/>
    <n v="48"/>
    <n v="0.11799999999999999"/>
    <s v="Rejected"/>
    <x v="0"/>
    <n v="0"/>
    <n v="1"/>
    <n v="0"/>
    <m/>
    <n v="6"/>
    <n v="0"/>
    <n v="1"/>
  </r>
  <r>
    <s v="LA-700145"/>
    <d v="2024-01-19T00:00:00"/>
    <x v="0"/>
    <s v="Q1"/>
    <x v="0"/>
    <x v="3"/>
    <x v="2"/>
    <x v="1"/>
    <x v="1"/>
    <x v="1"/>
    <n v="1750"/>
    <n v="395500"/>
    <n v="300"/>
    <n v="1.359"/>
    <s v="Withdrawn"/>
    <x v="1"/>
    <n v="0"/>
    <n v="0"/>
    <n v="0"/>
    <m/>
    <n v="9"/>
    <n v="1"/>
    <n v="1"/>
  </r>
  <r>
    <s v="LA-700146"/>
    <d v="2024-01-19T00:00:00"/>
    <x v="0"/>
    <s v="Q1"/>
    <x v="0"/>
    <x v="1"/>
    <x v="1"/>
    <x v="2"/>
    <x v="2"/>
    <x v="2"/>
    <n v="8600"/>
    <n v="15000"/>
    <n v="48"/>
    <n v="0.246"/>
    <s v="Rejected"/>
    <x v="0"/>
    <n v="0"/>
    <n v="1"/>
    <n v="0"/>
    <m/>
    <n v="1"/>
    <n v="1"/>
    <n v="1"/>
  </r>
  <r>
    <s v="LA-700147"/>
    <d v="2024-01-19T00:00:00"/>
    <x v="0"/>
    <s v="Q1"/>
    <x v="0"/>
    <x v="0"/>
    <x v="3"/>
    <x v="1"/>
    <x v="0"/>
    <x v="1"/>
    <n v="3750"/>
    <n v="14000"/>
    <n v="48"/>
    <n v="0.188"/>
    <s v="Approved"/>
    <x v="1"/>
    <n v="1"/>
    <n v="0"/>
    <n v="11000"/>
    <n v="8.3099999999999993E-2"/>
    <n v="9"/>
    <n v="0"/>
    <n v="1"/>
  </r>
  <r>
    <s v="LA-700148"/>
    <d v="2024-01-19T00:00:00"/>
    <x v="0"/>
    <s v="Q1"/>
    <x v="0"/>
    <x v="1"/>
    <x v="3"/>
    <x v="2"/>
    <x v="1"/>
    <x v="0"/>
    <n v="3700"/>
    <n v="19500"/>
    <n v="36"/>
    <n v="0.41499999999999998"/>
    <s v="Approved"/>
    <x v="1"/>
    <n v="1"/>
    <n v="0"/>
    <n v="19500"/>
    <n v="0.14280000000000001"/>
    <n v="4"/>
    <n v="0"/>
    <n v="1"/>
  </r>
  <r>
    <s v="LA-700149"/>
    <d v="2024-01-19T00:00:00"/>
    <x v="0"/>
    <s v="Q1"/>
    <x v="0"/>
    <x v="1"/>
    <x v="1"/>
    <x v="3"/>
    <x v="0"/>
    <x v="3"/>
    <n v="5950"/>
    <n v="7000"/>
    <n v="24"/>
    <n v="0.214"/>
    <s v="Approved"/>
    <x v="1"/>
    <n v="1"/>
    <n v="0"/>
    <n v="6500"/>
    <n v="0.108"/>
    <n v="2"/>
    <n v="1"/>
    <n v="1"/>
  </r>
  <r>
    <s v="LA-700150"/>
    <d v="2024-01-19T00:00:00"/>
    <x v="0"/>
    <s v="Q1"/>
    <x v="0"/>
    <x v="2"/>
    <x v="3"/>
    <x v="3"/>
    <x v="0"/>
    <x v="1"/>
    <n v="5200"/>
    <n v="79500"/>
    <n v="24"/>
    <n v="0.78800000000000003"/>
    <s v="Approved"/>
    <x v="1"/>
    <n v="1"/>
    <n v="0"/>
    <n v="71500"/>
    <n v="0.10589999999999999"/>
    <n v="10"/>
    <n v="1"/>
    <n v="1"/>
  </r>
  <r>
    <s v="LA-700151"/>
    <d v="2024-01-20T00:00:00"/>
    <x v="0"/>
    <s v="Q1"/>
    <x v="0"/>
    <x v="1"/>
    <x v="1"/>
    <x v="3"/>
    <x v="1"/>
    <x v="0"/>
    <n v="4200"/>
    <n v="6500"/>
    <n v="48"/>
    <n v="0.157"/>
    <s v="Rejected"/>
    <x v="0"/>
    <n v="0"/>
    <n v="1"/>
    <n v="0"/>
    <m/>
    <n v="2"/>
    <n v="1"/>
    <n v="1"/>
  </r>
  <r>
    <s v="LA-700152"/>
    <d v="2024-01-20T00:00:00"/>
    <x v="0"/>
    <s v="Q1"/>
    <x v="0"/>
    <x v="3"/>
    <x v="1"/>
    <x v="3"/>
    <x v="0"/>
    <x v="3"/>
    <n v="3100"/>
    <n v="755000"/>
    <n v="240"/>
    <n v="1.708"/>
    <s v="Rejected"/>
    <x v="3"/>
    <n v="0"/>
    <n v="1"/>
    <n v="0"/>
    <m/>
    <n v="9"/>
    <n v="1"/>
    <n v="1"/>
  </r>
  <r>
    <s v="LA-700153"/>
    <d v="2024-01-21T00:00:00"/>
    <x v="0"/>
    <s v="Q1"/>
    <x v="0"/>
    <x v="2"/>
    <x v="2"/>
    <x v="4"/>
    <x v="1"/>
    <x v="4"/>
    <n v="4100"/>
    <n v="71000"/>
    <n v="24"/>
    <n v="0.92300000000000004"/>
    <s v="Approved"/>
    <x v="1"/>
    <n v="1"/>
    <n v="0"/>
    <n v="64000"/>
    <n v="9.4700000000000006E-2"/>
    <n v="9"/>
    <n v="1"/>
    <n v="1"/>
  </r>
  <r>
    <s v="LA-700154"/>
    <d v="2024-01-21T00:00:00"/>
    <x v="0"/>
    <s v="Q1"/>
    <x v="0"/>
    <x v="1"/>
    <x v="3"/>
    <x v="2"/>
    <x v="1"/>
    <x v="1"/>
    <n v="3900"/>
    <n v="11000"/>
    <n v="60"/>
    <n v="0.222"/>
    <s v="Approved"/>
    <x v="1"/>
    <n v="1"/>
    <n v="0"/>
    <n v="11000"/>
    <n v="0.1303"/>
    <n v="6"/>
    <n v="0"/>
    <n v="1"/>
  </r>
  <r>
    <s v="LA-700155"/>
    <d v="2024-01-21T00:00:00"/>
    <x v="0"/>
    <s v="Q1"/>
    <x v="0"/>
    <x v="1"/>
    <x v="2"/>
    <x v="2"/>
    <x v="0"/>
    <x v="4"/>
    <n v="5950"/>
    <n v="25500"/>
    <n v="36"/>
    <n v="0.32300000000000001"/>
    <s v="Approved"/>
    <x v="1"/>
    <n v="1"/>
    <n v="0"/>
    <n v="25500"/>
    <n v="0.1164"/>
    <n v="3"/>
    <n v="1"/>
    <n v="1"/>
  </r>
  <r>
    <s v="LA-700156"/>
    <d v="2024-01-21T00:00:00"/>
    <x v="0"/>
    <s v="Q1"/>
    <x v="0"/>
    <x v="3"/>
    <x v="3"/>
    <x v="3"/>
    <x v="0"/>
    <x v="1"/>
    <n v="3050"/>
    <n v="422500"/>
    <n v="180"/>
    <n v="1.208"/>
    <s v="Rejected"/>
    <x v="3"/>
    <n v="0"/>
    <n v="1"/>
    <n v="0"/>
    <m/>
    <n v="14"/>
    <n v="1"/>
    <n v="1"/>
  </r>
  <r>
    <s v="LA-700157"/>
    <d v="2024-01-21T00:00:00"/>
    <x v="0"/>
    <s v="Q1"/>
    <x v="0"/>
    <x v="0"/>
    <x v="2"/>
    <x v="1"/>
    <x v="2"/>
    <x v="1"/>
    <n v="9750"/>
    <n v="19500"/>
    <n v="36"/>
    <n v="0.20399999999999999"/>
    <s v="Approved"/>
    <x v="1"/>
    <n v="1"/>
    <n v="0"/>
    <n v="15500"/>
    <n v="7.6399999999999996E-2"/>
    <n v="4"/>
    <n v="1"/>
    <n v="1"/>
  </r>
  <r>
    <s v="LA-700158"/>
    <d v="2024-01-22T00:00:00"/>
    <x v="0"/>
    <s v="Q1"/>
    <x v="0"/>
    <x v="1"/>
    <x v="2"/>
    <x v="3"/>
    <x v="1"/>
    <x v="4"/>
    <n v="4700"/>
    <n v="11000"/>
    <n v="36"/>
    <n v="0.216"/>
    <s v="Approved"/>
    <x v="1"/>
    <n v="1"/>
    <n v="0"/>
    <n v="10000"/>
    <n v="0.1128"/>
    <n v="3"/>
    <n v="1"/>
    <n v="1"/>
  </r>
  <r>
    <s v="LA-700159"/>
    <d v="2024-01-22T00:00:00"/>
    <x v="0"/>
    <s v="Q1"/>
    <x v="0"/>
    <x v="1"/>
    <x v="0"/>
    <x v="1"/>
    <x v="2"/>
    <x v="0"/>
    <n v="8700"/>
    <n v="11000"/>
    <n v="12"/>
    <n v="0.32100000000000001"/>
    <s v="Approved"/>
    <x v="1"/>
    <n v="1"/>
    <n v="0"/>
    <n v="10000"/>
    <n v="0.13919999999999999"/>
    <n v="3"/>
    <n v="1"/>
    <n v="1"/>
  </r>
  <r>
    <s v="LA-700160"/>
    <d v="2024-01-22T00:00:00"/>
    <x v="0"/>
    <s v="Q1"/>
    <x v="0"/>
    <x v="1"/>
    <x v="3"/>
    <x v="1"/>
    <x v="2"/>
    <x v="1"/>
    <n v="5100"/>
    <n v="6000"/>
    <n v="48"/>
    <n v="0.112"/>
    <s v="Approved"/>
    <x v="1"/>
    <n v="1"/>
    <n v="0"/>
    <n v="5000"/>
    <n v="0.12559999999999999"/>
    <n v="3"/>
    <n v="1"/>
    <n v="1"/>
  </r>
  <r>
    <s v="LA-700161"/>
    <d v="2024-01-22T00:00:00"/>
    <x v="0"/>
    <s v="Q1"/>
    <x v="0"/>
    <x v="0"/>
    <x v="2"/>
    <x v="1"/>
    <x v="2"/>
    <x v="1"/>
    <n v="15200"/>
    <n v="40000"/>
    <n v="48"/>
    <n v="0.13800000000000001"/>
    <s v="Rejected"/>
    <x v="0"/>
    <n v="0"/>
    <n v="1"/>
    <n v="0"/>
    <m/>
    <n v="3"/>
    <n v="1"/>
    <n v="1"/>
  </r>
  <r>
    <s v="LA-700162"/>
    <d v="2024-01-22T00:00:00"/>
    <x v="0"/>
    <s v="Q1"/>
    <x v="0"/>
    <x v="1"/>
    <x v="3"/>
    <x v="2"/>
    <x v="2"/>
    <x v="4"/>
    <n v="5700"/>
    <n v="11500"/>
    <n v="12"/>
    <n v="0.27"/>
    <s v="Approved"/>
    <x v="1"/>
    <n v="1"/>
    <n v="0"/>
    <n v="10500"/>
    <n v="0.1137"/>
    <n v="8"/>
    <n v="0"/>
    <n v="1"/>
  </r>
  <r>
    <s v="LA-700163"/>
    <d v="2024-01-22T00:00:00"/>
    <x v="0"/>
    <s v="Q1"/>
    <x v="0"/>
    <x v="1"/>
    <x v="0"/>
    <x v="3"/>
    <x v="0"/>
    <x v="1"/>
    <n v="1750"/>
    <n v="7000"/>
    <n v="24"/>
    <n v="0.34"/>
    <s v="Rejected"/>
    <x v="4"/>
    <n v="0"/>
    <n v="1"/>
    <n v="0"/>
    <m/>
    <n v="7"/>
    <n v="0"/>
    <n v="1"/>
  </r>
  <r>
    <s v="LA-700164"/>
    <d v="2024-01-22T00:00:00"/>
    <x v="0"/>
    <s v="Q1"/>
    <x v="0"/>
    <x v="0"/>
    <x v="0"/>
    <x v="1"/>
    <x v="1"/>
    <x v="0"/>
    <n v="9500"/>
    <n v="19500"/>
    <n v="60"/>
    <n v="0.23599999999999999"/>
    <s v="Rejected"/>
    <x v="4"/>
    <n v="0"/>
    <n v="1"/>
    <n v="0"/>
    <m/>
    <n v="10"/>
    <n v="0"/>
    <n v="1"/>
  </r>
  <r>
    <s v="LA-700165"/>
    <d v="2024-01-22T00:00:00"/>
    <x v="0"/>
    <s v="Q1"/>
    <x v="0"/>
    <x v="1"/>
    <x v="3"/>
    <x v="3"/>
    <x v="2"/>
    <x v="1"/>
    <n v="7600"/>
    <n v="23500"/>
    <n v="48"/>
    <n v="0.215"/>
    <s v="Approved"/>
    <x v="1"/>
    <n v="1"/>
    <n v="0"/>
    <n v="21000"/>
    <n v="0.1226"/>
    <n v="2"/>
    <n v="1"/>
    <n v="1"/>
  </r>
  <r>
    <s v="LA-700166"/>
    <d v="2024-01-22T00:00:00"/>
    <x v="0"/>
    <s v="Q1"/>
    <x v="0"/>
    <x v="2"/>
    <x v="2"/>
    <x v="3"/>
    <x v="0"/>
    <x v="0"/>
    <n v="7300"/>
    <n v="108000"/>
    <n v="36"/>
    <n v="0.57799999999999996"/>
    <s v="Rejected"/>
    <x v="0"/>
    <n v="0"/>
    <n v="1"/>
    <n v="0"/>
    <m/>
    <n v="7"/>
    <n v="1"/>
    <n v="1"/>
  </r>
  <r>
    <s v="LA-700167"/>
    <d v="2024-01-23T00:00:00"/>
    <x v="0"/>
    <s v="Q1"/>
    <x v="0"/>
    <x v="3"/>
    <x v="3"/>
    <x v="3"/>
    <x v="0"/>
    <x v="4"/>
    <n v="5750"/>
    <n v="191000"/>
    <n v="180"/>
    <n v="0.39800000000000002"/>
    <s v="Approved"/>
    <x v="1"/>
    <n v="1"/>
    <n v="0"/>
    <n v="191000"/>
    <n v="4.6600000000000003E-2"/>
    <n v="18"/>
    <n v="0"/>
    <n v="1"/>
  </r>
  <r>
    <s v="LA-700168"/>
    <d v="2024-01-23T00:00:00"/>
    <x v="0"/>
    <s v="Q1"/>
    <x v="0"/>
    <x v="0"/>
    <x v="0"/>
    <x v="2"/>
    <x v="2"/>
    <x v="2"/>
    <n v="6300"/>
    <n v="32000"/>
    <n v="48"/>
    <n v="0.26500000000000001"/>
    <s v="Rejected"/>
    <x v="5"/>
    <n v="0"/>
    <n v="1"/>
    <n v="0"/>
    <m/>
    <n v="5"/>
    <n v="0"/>
    <n v="1"/>
  </r>
  <r>
    <s v="LA-700169"/>
    <d v="2024-01-23T00:00:00"/>
    <x v="0"/>
    <s v="Q1"/>
    <x v="0"/>
    <x v="1"/>
    <x v="1"/>
    <x v="1"/>
    <x v="2"/>
    <x v="1"/>
    <n v="7950"/>
    <n v="12000"/>
    <n v="48"/>
    <n v="0.22500000000000001"/>
    <s v="Approved"/>
    <x v="1"/>
    <n v="1"/>
    <n v="0"/>
    <n v="11000"/>
    <n v="0.1295"/>
    <n v="3"/>
    <n v="1"/>
    <n v="1"/>
  </r>
  <r>
    <s v="LA-700170"/>
    <d v="2024-01-23T00:00:00"/>
    <x v="0"/>
    <s v="Q1"/>
    <x v="0"/>
    <x v="0"/>
    <x v="0"/>
    <x v="1"/>
    <x v="0"/>
    <x v="1"/>
    <n v="4200"/>
    <n v="11500"/>
    <n v="48"/>
    <n v="0.156"/>
    <s v="Approved"/>
    <x v="1"/>
    <n v="1"/>
    <n v="0"/>
    <n v="11500"/>
    <n v="8.4000000000000005E-2"/>
    <n v="4"/>
    <n v="1"/>
    <n v="1"/>
  </r>
  <r>
    <s v="LA-700171"/>
    <d v="2024-01-23T00:00:00"/>
    <x v="0"/>
    <s v="Q1"/>
    <x v="0"/>
    <x v="1"/>
    <x v="3"/>
    <x v="0"/>
    <x v="0"/>
    <x v="1"/>
    <n v="5300"/>
    <n v="8500"/>
    <n v="12"/>
    <n v="0.20699999999999999"/>
    <s v="Approved"/>
    <x v="1"/>
    <n v="1"/>
    <n v="0"/>
    <n v="7500"/>
    <n v="0.12570000000000001"/>
    <n v="5"/>
    <n v="0"/>
    <n v="1"/>
  </r>
  <r>
    <s v="LA-700172"/>
    <d v="2024-01-23T00:00:00"/>
    <x v="0"/>
    <s v="Q1"/>
    <x v="0"/>
    <x v="1"/>
    <x v="0"/>
    <x v="4"/>
    <x v="0"/>
    <x v="0"/>
    <n v="7450"/>
    <n v="6500"/>
    <n v="60"/>
    <n v="0.254"/>
    <s v="Rejected"/>
    <x v="0"/>
    <n v="0"/>
    <n v="1"/>
    <n v="0"/>
    <m/>
    <n v="2"/>
    <n v="1"/>
    <n v="1"/>
  </r>
  <r>
    <s v="LA-700173"/>
    <d v="2024-01-23T00:00:00"/>
    <x v="0"/>
    <s v="Q1"/>
    <x v="0"/>
    <x v="0"/>
    <x v="2"/>
    <x v="0"/>
    <x v="0"/>
    <x v="0"/>
    <n v="5600"/>
    <n v="40000"/>
    <n v="48"/>
    <n v="0.23799999999999999"/>
    <s v="Rejected"/>
    <x v="0"/>
    <n v="0"/>
    <n v="1"/>
    <n v="0"/>
    <m/>
    <n v="5"/>
    <n v="0"/>
    <n v="1"/>
  </r>
  <r>
    <s v="LA-700174"/>
    <d v="2024-01-23T00:00:00"/>
    <x v="0"/>
    <s v="Q1"/>
    <x v="0"/>
    <x v="0"/>
    <x v="3"/>
    <x v="0"/>
    <x v="1"/>
    <x v="4"/>
    <n v="5000"/>
    <n v="38500"/>
    <n v="36"/>
    <n v="0.40799999999999997"/>
    <s v="Approved"/>
    <x v="1"/>
    <n v="1"/>
    <n v="0"/>
    <n v="34500"/>
    <n v="6.5799999999999997E-2"/>
    <n v="3"/>
    <n v="1"/>
    <n v="1"/>
  </r>
  <r>
    <s v="LA-700175"/>
    <d v="2024-01-23T00:00:00"/>
    <x v="0"/>
    <s v="Q1"/>
    <x v="0"/>
    <x v="2"/>
    <x v="0"/>
    <x v="2"/>
    <x v="1"/>
    <x v="3"/>
    <n v="5100"/>
    <n v="164500"/>
    <n v="24"/>
    <n v="1.6379999999999999"/>
    <s v="Rejected"/>
    <x v="3"/>
    <n v="0"/>
    <n v="1"/>
    <n v="0"/>
    <m/>
    <n v="16"/>
    <n v="0"/>
    <n v="1"/>
  </r>
  <r>
    <s v="LA-700176"/>
    <d v="2024-01-24T00:00:00"/>
    <x v="0"/>
    <s v="Q1"/>
    <x v="0"/>
    <x v="1"/>
    <x v="2"/>
    <x v="2"/>
    <x v="0"/>
    <x v="4"/>
    <n v="3550"/>
    <n v="17000"/>
    <n v="36"/>
    <n v="0.26100000000000001"/>
    <s v="Approved"/>
    <x v="1"/>
    <n v="1"/>
    <n v="0"/>
    <n v="13500"/>
    <n v="0.1163"/>
    <n v="3"/>
    <n v="1"/>
    <n v="1"/>
  </r>
  <r>
    <s v="LA-700177"/>
    <d v="2024-01-24T00:00:00"/>
    <x v="0"/>
    <s v="Q1"/>
    <x v="0"/>
    <x v="3"/>
    <x v="0"/>
    <x v="1"/>
    <x v="0"/>
    <x v="1"/>
    <n v="16850"/>
    <n v="402500"/>
    <n v="240"/>
    <n v="0.28299999999999997"/>
    <s v="Approved"/>
    <x v="1"/>
    <n v="1"/>
    <n v="0"/>
    <n v="402500"/>
    <n v="5.6899999999999999E-2"/>
    <n v="11"/>
    <n v="1"/>
    <n v="1"/>
  </r>
  <r>
    <s v="LA-700178"/>
    <d v="2024-01-24T00:00:00"/>
    <x v="0"/>
    <s v="Q1"/>
    <x v="0"/>
    <x v="2"/>
    <x v="0"/>
    <x v="2"/>
    <x v="0"/>
    <x v="1"/>
    <n v="3400"/>
    <n v="107000"/>
    <n v="36"/>
    <n v="1.2070000000000001"/>
    <s v="Rejected"/>
    <x v="3"/>
    <n v="0"/>
    <n v="1"/>
    <n v="0"/>
    <m/>
    <n v="13"/>
    <n v="0"/>
    <n v="1"/>
  </r>
  <r>
    <s v="LA-700179"/>
    <d v="2024-01-24T00:00:00"/>
    <x v="0"/>
    <s v="Q1"/>
    <x v="0"/>
    <x v="2"/>
    <x v="2"/>
    <x v="3"/>
    <x v="1"/>
    <x v="3"/>
    <n v="5850"/>
    <n v="68000"/>
    <n v="60"/>
    <n v="0.316"/>
    <s v="Approved"/>
    <x v="1"/>
    <n v="1"/>
    <n v="0"/>
    <n v="54500"/>
    <n v="8.7900000000000006E-2"/>
    <n v="6"/>
    <n v="1"/>
    <n v="1"/>
  </r>
  <r>
    <s v="LA-700180"/>
    <d v="2024-01-24T00:00:00"/>
    <x v="0"/>
    <s v="Q1"/>
    <x v="0"/>
    <x v="2"/>
    <x v="3"/>
    <x v="2"/>
    <x v="0"/>
    <x v="1"/>
    <n v="7000"/>
    <n v="56000"/>
    <n v="60"/>
    <n v="0.32600000000000001"/>
    <s v="Approved"/>
    <x v="1"/>
    <n v="1"/>
    <n v="0"/>
    <n v="56000"/>
    <n v="0.1099"/>
    <n v="21"/>
    <n v="0"/>
    <n v="1"/>
  </r>
  <r>
    <s v="LA-700181"/>
    <d v="2024-01-24T00:00:00"/>
    <x v="0"/>
    <s v="Q1"/>
    <x v="0"/>
    <x v="3"/>
    <x v="1"/>
    <x v="2"/>
    <x v="0"/>
    <x v="1"/>
    <n v="5250"/>
    <n v="206500"/>
    <n v="240"/>
    <n v="0.45300000000000001"/>
    <s v="Approved"/>
    <x v="1"/>
    <n v="1"/>
    <n v="0"/>
    <n v="165000"/>
    <n v="6.0400000000000002E-2"/>
    <n v="7"/>
    <n v="1"/>
    <n v="1"/>
  </r>
  <r>
    <s v="LA-700182"/>
    <d v="2024-01-24T00:00:00"/>
    <x v="0"/>
    <s v="Q1"/>
    <x v="0"/>
    <x v="1"/>
    <x v="3"/>
    <x v="2"/>
    <x v="2"/>
    <x v="1"/>
    <n v="4800"/>
    <n v="11000"/>
    <n v="36"/>
    <n v="0.23"/>
    <s v="Rejected"/>
    <x v="4"/>
    <n v="0"/>
    <n v="1"/>
    <n v="0"/>
    <m/>
    <n v="7"/>
    <n v="0"/>
    <n v="1"/>
  </r>
  <r>
    <s v="LA-700183"/>
    <d v="2024-01-24T00:00:00"/>
    <x v="0"/>
    <s v="Q1"/>
    <x v="0"/>
    <x v="1"/>
    <x v="3"/>
    <x v="1"/>
    <x v="0"/>
    <x v="1"/>
    <n v="4500"/>
    <n v="8000"/>
    <n v="24"/>
    <n v="0.29599999999999999"/>
    <s v="Approved"/>
    <x v="1"/>
    <n v="1"/>
    <n v="0"/>
    <n v="6500"/>
    <n v="0.1216"/>
    <n v="5"/>
    <n v="0"/>
    <n v="1"/>
  </r>
  <r>
    <s v="LA-700184"/>
    <d v="2024-01-25T00:00:00"/>
    <x v="0"/>
    <s v="Q1"/>
    <x v="0"/>
    <x v="2"/>
    <x v="2"/>
    <x v="2"/>
    <x v="0"/>
    <x v="4"/>
    <n v="5200"/>
    <n v="79500"/>
    <n v="36"/>
    <n v="0.624"/>
    <s v="Approved"/>
    <x v="1"/>
    <n v="1"/>
    <n v="0"/>
    <n v="79500"/>
    <n v="9.0700000000000003E-2"/>
    <n v="4"/>
    <n v="1"/>
    <n v="1"/>
  </r>
  <r>
    <s v="LA-700185"/>
    <d v="2024-01-25T00:00:00"/>
    <x v="0"/>
    <s v="Q1"/>
    <x v="0"/>
    <x v="1"/>
    <x v="3"/>
    <x v="1"/>
    <x v="0"/>
    <x v="3"/>
    <n v="5100"/>
    <n v="12000"/>
    <n v="48"/>
    <n v="0.13500000000000001"/>
    <s v="Approved"/>
    <x v="1"/>
    <n v="1"/>
    <n v="0"/>
    <n v="9500"/>
    <n v="0.1128"/>
    <n v="6"/>
    <n v="0"/>
    <n v="1"/>
  </r>
  <r>
    <s v="LA-700186"/>
    <d v="2024-01-25T00:00:00"/>
    <x v="0"/>
    <s v="Q1"/>
    <x v="0"/>
    <x v="2"/>
    <x v="1"/>
    <x v="0"/>
    <x v="0"/>
    <x v="1"/>
    <n v="4600"/>
    <n v="56000"/>
    <n v="60"/>
    <n v="0.36"/>
    <s v="Approved"/>
    <x v="1"/>
    <n v="1"/>
    <n v="0"/>
    <n v="50500"/>
    <n v="0.1079"/>
    <n v="4"/>
    <n v="1"/>
    <n v="1"/>
  </r>
  <r>
    <s v="LA-700187"/>
    <d v="2024-01-25T00:00:00"/>
    <x v="0"/>
    <s v="Q1"/>
    <x v="0"/>
    <x v="2"/>
    <x v="0"/>
    <x v="3"/>
    <x v="0"/>
    <x v="2"/>
    <n v="6000"/>
    <n v="112000"/>
    <n v="24"/>
    <n v="1.1060000000000001"/>
    <s v="Rejected"/>
    <x v="0"/>
    <n v="0"/>
    <n v="1"/>
    <n v="0"/>
    <m/>
    <n v="14"/>
    <n v="0"/>
    <n v="1"/>
  </r>
  <r>
    <s v="LA-700188"/>
    <d v="2024-01-25T00:00:00"/>
    <x v="0"/>
    <s v="Q1"/>
    <x v="0"/>
    <x v="1"/>
    <x v="2"/>
    <x v="4"/>
    <x v="0"/>
    <x v="0"/>
    <n v="7650"/>
    <n v="11500"/>
    <n v="36"/>
    <n v="0.158"/>
    <s v="Approved"/>
    <x v="1"/>
    <n v="1"/>
    <n v="0"/>
    <n v="11500"/>
    <n v="0.13919999999999999"/>
    <n v="3"/>
    <n v="1"/>
    <n v="1"/>
  </r>
  <r>
    <s v="LA-700189"/>
    <d v="2024-01-25T00:00:00"/>
    <x v="0"/>
    <s v="Q1"/>
    <x v="0"/>
    <x v="1"/>
    <x v="2"/>
    <x v="0"/>
    <x v="1"/>
    <x v="1"/>
    <n v="3200"/>
    <n v="10500"/>
    <n v="12"/>
    <n v="0.502"/>
    <s v="Rejected"/>
    <x v="3"/>
    <n v="0"/>
    <n v="1"/>
    <n v="0"/>
    <m/>
    <n v="1"/>
    <n v="1"/>
    <n v="1"/>
  </r>
  <r>
    <s v="LA-700190"/>
    <d v="2024-01-25T00:00:00"/>
    <x v="0"/>
    <s v="Q1"/>
    <x v="0"/>
    <x v="3"/>
    <x v="2"/>
    <x v="2"/>
    <x v="0"/>
    <x v="2"/>
    <n v="11450"/>
    <n v="402500"/>
    <n v="240"/>
    <n v="0.42"/>
    <s v="Rejected"/>
    <x v="5"/>
    <n v="0"/>
    <n v="1"/>
    <n v="0"/>
    <m/>
    <n v="9"/>
    <n v="1"/>
    <n v="1"/>
  </r>
  <r>
    <s v="LA-700191"/>
    <d v="2024-01-26T00:00:00"/>
    <x v="0"/>
    <s v="Q1"/>
    <x v="0"/>
    <x v="1"/>
    <x v="0"/>
    <x v="3"/>
    <x v="0"/>
    <x v="0"/>
    <n v="5450"/>
    <n v="18500"/>
    <n v="24"/>
    <n v="0.40799999999999997"/>
    <s v="Approved"/>
    <x v="1"/>
    <n v="1"/>
    <n v="0"/>
    <n v="18500"/>
    <n v="0.13739999999999999"/>
    <n v="6"/>
    <n v="0"/>
    <n v="1"/>
  </r>
  <r>
    <s v="LA-700192"/>
    <d v="2024-01-26T00:00:00"/>
    <x v="0"/>
    <s v="Q1"/>
    <x v="0"/>
    <x v="0"/>
    <x v="3"/>
    <x v="0"/>
    <x v="0"/>
    <x v="4"/>
    <n v="5850"/>
    <n v="20500"/>
    <n v="60"/>
    <n v="0.21"/>
    <s v="Approved"/>
    <x v="1"/>
    <n v="1"/>
    <n v="0"/>
    <n v="18500"/>
    <n v="7.1599999999999997E-2"/>
    <n v="6"/>
    <n v="0"/>
    <n v="1"/>
  </r>
  <r>
    <s v="LA-700193"/>
    <d v="2024-01-26T00:00:00"/>
    <x v="0"/>
    <s v="Q1"/>
    <x v="0"/>
    <x v="2"/>
    <x v="3"/>
    <x v="2"/>
    <x v="0"/>
    <x v="1"/>
    <n v="3750"/>
    <n v="90500"/>
    <n v="60"/>
    <n v="0.68799999999999994"/>
    <s v="Rejected"/>
    <x v="3"/>
    <n v="0"/>
    <n v="1"/>
    <n v="0"/>
    <m/>
    <n v="13"/>
    <n v="0"/>
    <n v="1"/>
  </r>
  <r>
    <s v="LA-700194"/>
    <d v="2024-01-26T00:00:00"/>
    <x v="0"/>
    <s v="Q1"/>
    <x v="0"/>
    <x v="0"/>
    <x v="3"/>
    <x v="3"/>
    <x v="0"/>
    <x v="4"/>
    <n v="6950"/>
    <n v="38000"/>
    <n v="36"/>
    <n v="0.41399999999999998"/>
    <s v="Rejected"/>
    <x v="2"/>
    <n v="0"/>
    <n v="1"/>
    <n v="0"/>
    <m/>
    <n v="5"/>
    <n v="0"/>
    <n v="1"/>
  </r>
  <r>
    <s v="LA-700195"/>
    <d v="2024-01-26T00:00:00"/>
    <x v="0"/>
    <s v="Q1"/>
    <x v="0"/>
    <x v="3"/>
    <x v="2"/>
    <x v="2"/>
    <x v="2"/>
    <x v="0"/>
    <n v="5800"/>
    <n v="584500"/>
    <n v="240"/>
    <n v="0.78400000000000003"/>
    <s v="Rejected"/>
    <x v="0"/>
    <n v="0"/>
    <n v="1"/>
    <n v="0"/>
    <m/>
    <n v="9"/>
    <n v="1"/>
    <n v="1"/>
  </r>
  <r>
    <s v="LA-700196"/>
    <d v="2024-01-27T00:00:00"/>
    <x v="0"/>
    <s v="Q1"/>
    <x v="0"/>
    <x v="3"/>
    <x v="3"/>
    <x v="1"/>
    <x v="2"/>
    <x v="1"/>
    <n v="4500"/>
    <n v="165500"/>
    <n v="300"/>
    <n v="0.28100000000000003"/>
    <s v="Approved"/>
    <x v="1"/>
    <n v="1"/>
    <n v="0"/>
    <n v="165500"/>
    <n v="6.0400000000000002E-2"/>
    <n v="15"/>
    <n v="1"/>
    <n v="1"/>
  </r>
  <r>
    <s v="LA-700197"/>
    <d v="2024-01-27T00:00:00"/>
    <x v="0"/>
    <s v="Q1"/>
    <x v="0"/>
    <x v="2"/>
    <x v="1"/>
    <x v="4"/>
    <x v="2"/>
    <x v="4"/>
    <n v="7200"/>
    <n v="84000"/>
    <n v="60"/>
    <n v="0.33900000000000002"/>
    <s v="Approved"/>
    <x v="1"/>
    <n v="1"/>
    <n v="0"/>
    <n v="84000"/>
    <n v="9.4399999999999998E-2"/>
    <n v="6"/>
    <n v="1"/>
    <n v="1"/>
  </r>
  <r>
    <s v="LA-700198"/>
    <d v="2024-01-27T00:00:00"/>
    <x v="0"/>
    <s v="Q1"/>
    <x v="0"/>
    <x v="3"/>
    <x v="3"/>
    <x v="2"/>
    <x v="2"/>
    <x v="0"/>
    <n v="4250"/>
    <n v="172500"/>
    <n v="300"/>
    <n v="0.34799999999999998"/>
    <s v="Approved"/>
    <x v="1"/>
    <n v="1"/>
    <n v="0"/>
    <n v="172500"/>
    <n v="7.5300000000000006E-2"/>
    <n v="32"/>
    <n v="0"/>
    <n v="1"/>
  </r>
  <r>
    <s v="LA-700199"/>
    <d v="2024-01-27T00:00:00"/>
    <x v="0"/>
    <s v="Q1"/>
    <x v="0"/>
    <x v="0"/>
    <x v="1"/>
    <x v="2"/>
    <x v="0"/>
    <x v="3"/>
    <n v="5600"/>
    <n v="30000"/>
    <n v="36"/>
    <n v="0.23699999999999999"/>
    <s v="Approved"/>
    <x v="1"/>
    <n v="1"/>
    <n v="0"/>
    <n v="30000"/>
    <n v="6.4399999999999999E-2"/>
    <n v="2"/>
    <n v="1"/>
    <n v="1"/>
  </r>
  <r>
    <s v="LA-700200"/>
    <d v="2024-01-29T00:00:00"/>
    <x v="0"/>
    <s v="Q1"/>
    <x v="0"/>
    <x v="1"/>
    <x v="2"/>
    <x v="3"/>
    <x v="2"/>
    <x v="1"/>
    <n v="5600"/>
    <n v="11500"/>
    <n v="24"/>
    <n v="0.156"/>
    <s v="Approved"/>
    <x v="1"/>
    <n v="1"/>
    <n v="0"/>
    <n v="10500"/>
    <n v="0.12529999999999999"/>
    <n v="2"/>
    <n v="1"/>
    <n v="1"/>
  </r>
  <r>
    <s v="LA-700201"/>
    <d v="2024-01-29T00:00:00"/>
    <x v="0"/>
    <s v="Q1"/>
    <x v="0"/>
    <x v="0"/>
    <x v="1"/>
    <x v="2"/>
    <x v="1"/>
    <x v="1"/>
    <n v="3000"/>
    <n v="30000"/>
    <n v="60"/>
    <n v="0.35499999999999998"/>
    <s v="Approved"/>
    <x v="1"/>
    <n v="1"/>
    <n v="0"/>
    <n v="27000"/>
    <n v="7.5499999999999998E-2"/>
    <n v="2"/>
    <n v="1"/>
    <n v="1"/>
  </r>
  <r>
    <s v="LA-700202"/>
    <d v="2024-01-29T00:00:00"/>
    <x v="0"/>
    <s v="Q1"/>
    <x v="0"/>
    <x v="1"/>
    <x v="3"/>
    <x v="3"/>
    <x v="2"/>
    <x v="3"/>
    <n v="4300"/>
    <n v="12500"/>
    <n v="24"/>
    <n v="0.26700000000000002"/>
    <s v="Rejected"/>
    <x v="2"/>
    <n v="0"/>
    <n v="1"/>
    <n v="0"/>
    <m/>
    <n v="7"/>
    <n v="0"/>
    <n v="1"/>
  </r>
  <r>
    <s v="LA-700203"/>
    <d v="2024-01-29T00:00:00"/>
    <x v="0"/>
    <s v="Q1"/>
    <x v="0"/>
    <x v="0"/>
    <x v="0"/>
    <x v="1"/>
    <x v="2"/>
    <x v="1"/>
    <n v="5950"/>
    <n v="27500"/>
    <n v="60"/>
    <n v="0.17499999999999999"/>
    <s v="Approved"/>
    <x v="1"/>
    <n v="1"/>
    <n v="0"/>
    <n v="25000"/>
    <n v="8.0199999999999994E-2"/>
    <n v="4"/>
    <n v="1"/>
    <n v="1"/>
  </r>
  <r>
    <s v="LA-700204"/>
    <d v="2024-01-29T00:00:00"/>
    <x v="0"/>
    <s v="Q1"/>
    <x v="0"/>
    <x v="1"/>
    <x v="0"/>
    <x v="1"/>
    <x v="2"/>
    <x v="0"/>
    <n v="7050"/>
    <n v="23000"/>
    <n v="36"/>
    <n v="0.24299999999999999"/>
    <s v="Rejected"/>
    <x v="0"/>
    <n v="0"/>
    <n v="1"/>
    <n v="0"/>
    <m/>
    <n v="5"/>
    <n v="0"/>
    <n v="1"/>
  </r>
  <r>
    <s v="LA-700205"/>
    <d v="2024-01-29T00:00:00"/>
    <x v="0"/>
    <s v="Q1"/>
    <x v="0"/>
    <x v="0"/>
    <x v="2"/>
    <x v="4"/>
    <x v="0"/>
    <x v="3"/>
    <n v="4200"/>
    <n v="31000"/>
    <n v="48"/>
    <n v="0.36699999999999999"/>
    <s v="Approved"/>
    <x v="1"/>
    <n v="1"/>
    <n v="0"/>
    <n v="31000"/>
    <n v="6.3100000000000003E-2"/>
    <n v="2"/>
    <n v="1"/>
    <n v="1"/>
  </r>
  <r>
    <s v="LA-700206"/>
    <d v="2024-01-29T00:00:00"/>
    <x v="0"/>
    <s v="Q1"/>
    <x v="0"/>
    <x v="1"/>
    <x v="1"/>
    <x v="1"/>
    <x v="1"/>
    <x v="2"/>
    <n v="2800"/>
    <n v="10000"/>
    <n v="36"/>
    <n v="0.25600000000000001"/>
    <s v="Rejected"/>
    <x v="0"/>
    <n v="0"/>
    <n v="1"/>
    <n v="0"/>
    <m/>
    <n v="2"/>
    <n v="1"/>
    <n v="1"/>
  </r>
  <r>
    <s v="LA-700207"/>
    <d v="2024-01-29T00:00:00"/>
    <x v="0"/>
    <s v="Q1"/>
    <x v="0"/>
    <x v="1"/>
    <x v="3"/>
    <x v="3"/>
    <x v="1"/>
    <x v="0"/>
    <n v="4350"/>
    <n v="13500"/>
    <n v="36"/>
    <n v="0.20799999999999999"/>
    <s v="Approved"/>
    <x v="1"/>
    <n v="1"/>
    <n v="0"/>
    <n v="12000"/>
    <n v="0.14050000000000001"/>
    <n v="5"/>
    <n v="0"/>
    <n v="1"/>
  </r>
  <r>
    <s v="LA-700208"/>
    <d v="2024-01-29T00:00:00"/>
    <x v="0"/>
    <s v="Q1"/>
    <x v="0"/>
    <x v="1"/>
    <x v="3"/>
    <x v="2"/>
    <x v="0"/>
    <x v="4"/>
    <n v="9000"/>
    <n v="8000"/>
    <n v="24"/>
    <n v="0.254"/>
    <s v="Rejected"/>
    <x v="0"/>
    <n v="0"/>
    <n v="1"/>
    <n v="0"/>
    <m/>
    <n v="6"/>
    <n v="0"/>
    <n v="1"/>
  </r>
  <r>
    <s v="LA-700209"/>
    <d v="2024-01-30T00:00:00"/>
    <x v="0"/>
    <s v="Q1"/>
    <x v="0"/>
    <x v="1"/>
    <x v="3"/>
    <x v="2"/>
    <x v="1"/>
    <x v="4"/>
    <n v="7150"/>
    <n v="8500"/>
    <n v="12"/>
    <n v="0.254"/>
    <s v="Approved"/>
    <x v="1"/>
    <n v="1"/>
    <n v="0"/>
    <n v="8500"/>
    <n v="0.1115"/>
    <n v="4"/>
    <n v="0"/>
    <n v="1"/>
  </r>
  <r>
    <s v="LA-700210"/>
    <d v="2024-01-30T00:00:00"/>
    <x v="0"/>
    <s v="Q1"/>
    <x v="0"/>
    <x v="1"/>
    <x v="1"/>
    <x v="1"/>
    <x v="0"/>
    <x v="1"/>
    <n v="3900"/>
    <n v="9000"/>
    <n v="60"/>
    <n v="0.26500000000000001"/>
    <s v="Approved"/>
    <x v="1"/>
    <n v="1"/>
    <n v="0"/>
    <n v="8000"/>
    <n v="0.12570000000000001"/>
    <n v="3"/>
    <n v="1"/>
    <n v="1"/>
  </r>
  <r>
    <s v="LA-700211"/>
    <d v="2024-01-30T00:00:00"/>
    <x v="0"/>
    <s v="Q1"/>
    <x v="0"/>
    <x v="2"/>
    <x v="3"/>
    <x v="3"/>
    <x v="1"/>
    <x v="0"/>
    <n v="3100"/>
    <n v="133000"/>
    <n v="36"/>
    <n v="1.5409999999999999"/>
    <s v="Rejected"/>
    <x v="3"/>
    <n v="0"/>
    <n v="1"/>
    <n v="0"/>
    <m/>
    <n v="8"/>
    <n v="1"/>
    <n v="1"/>
  </r>
  <r>
    <s v="LA-700212"/>
    <d v="2024-01-30T00:00:00"/>
    <x v="0"/>
    <s v="Q1"/>
    <x v="0"/>
    <x v="2"/>
    <x v="0"/>
    <x v="4"/>
    <x v="2"/>
    <x v="0"/>
    <n v="2700"/>
    <n v="62500"/>
    <n v="60"/>
    <n v="0.67200000000000004"/>
    <s v="Approved"/>
    <x v="1"/>
    <n v="1"/>
    <n v="0"/>
    <n v="62500"/>
    <n v="0.12470000000000001"/>
    <n v="12"/>
    <n v="0"/>
    <n v="1"/>
  </r>
  <r>
    <s v="LA-700213"/>
    <d v="2024-01-30T00:00:00"/>
    <x v="0"/>
    <s v="Q1"/>
    <x v="0"/>
    <x v="1"/>
    <x v="2"/>
    <x v="1"/>
    <x v="0"/>
    <x v="4"/>
    <n v="3800"/>
    <n v="18000"/>
    <n v="60"/>
    <n v="0.191"/>
    <s v="Approved"/>
    <x v="1"/>
    <n v="1"/>
    <n v="0"/>
    <n v="18000"/>
    <n v="0.1142"/>
    <n v="2"/>
    <n v="1"/>
    <n v="1"/>
  </r>
  <r>
    <s v="LA-700214"/>
    <d v="2024-01-30T00:00:00"/>
    <x v="0"/>
    <s v="Q1"/>
    <x v="0"/>
    <x v="1"/>
    <x v="0"/>
    <x v="3"/>
    <x v="1"/>
    <x v="4"/>
    <n v="10400"/>
    <n v="24000"/>
    <n v="24"/>
    <n v="0.34699999999999998"/>
    <s v="Approved"/>
    <x v="1"/>
    <n v="1"/>
    <n v="0"/>
    <n v="24000"/>
    <n v="0.11559999999999999"/>
    <n v="6"/>
    <n v="0"/>
    <n v="1"/>
  </r>
  <r>
    <s v="LA-700215"/>
    <d v="2024-01-30T00:00:00"/>
    <x v="0"/>
    <s v="Q1"/>
    <x v="0"/>
    <x v="0"/>
    <x v="0"/>
    <x v="2"/>
    <x v="0"/>
    <x v="2"/>
    <n v="5800"/>
    <n v="33000"/>
    <n v="60"/>
    <n v="0.214"/>
    <s v="Rejected"/>
    <x v="4"/>
    <n v="0"/>
    <n v="1"/>
    <n v="0"/>
    <m/>
    <n v="9"/>
    <n v="0"/>
    <n v="1"/>
  </r>
  <r>
    <s v="LA-700216"/>
    <d v="2024-01-30T00:00:00"/>
    <x v="0"/>
    <s v="Q1"/>
    <x v="0"/>
    <x v="0"/>
    <x v="3"/>
    <x v="2"/>
    <x v="1"/>
    <x v="4"/>
    <n v="5550"/>
    <n v="28500"/>
    <n v="60"/>
    <n v="0.25600000000000001"/>
    <s v="Approved"/>
    <x v="1"/>
    <n v="1"/>
    <n v="0"/>
    <n v="25500"/>
    <n v="7.7700000000000005E-2"/>
    <n v="5"/>
    <n v="0"/>
    <n v="1"/>
  </r>
  <r>
    <s v="LA-700217"/>
    <d v="2024-01-30T00:00:00"/>
    <x v="0"/>
    <s v="Q1"/>
    <x v="0"/>
    <x v="3"/>
    <x v="3"/>
    <x v="4"/>
    <x v="2"/>
    <x v="4"/>
    <n v="5000"/>
    <n v="313500"/>
    <n v="300"/>
    <n v="0.50600000000000001"/>
    <s v="Approved"/>
    <x v="1"/>
    <n v="1"/>
    <n v="0"/>
    <n v="313500"/>
    <n v="5.1999999999999998E-2"/>
    <n v="25"/>
    <n v="0"/>
    <n v="1"/>
  </r>
  <r>
    <s v="LA-700218"/>
    <d v="2024-01-30T00:00:00"/>
    <x v="0"/>
    <s v="Q1"/>
    <x v="0"/>
    <x v="1"/>
    <x v="2"/>
    <x v="3"/>
    <x v="1"/>
    <x v="0"/>
    <n v="5200"/>
    <n v="19500"/>
    <n v="60"/>
    <n v="0.153"/>
    <s v="Approved"/>
    <x v="1"/>
    <n v="1"/>
    <n v="0"/>
    <n v="17500"/>
    <n v="0.14050000000000001"/>
    <n v="2"/>
    <n v="1"/>
    <n v="1"/>
  </r>
  <r>
    <s v="LA-700219"/>
    <d v="2024-01-30T00:00:00"/>
    <x v="0"/>
    <s v="Q1"/>
    <x v="0"/>
    <x v="2"/>
    <x v="1"/>
    <x v="3"/>
    <x v="0"/>
    <x v="1"/>
    <n v="4450"/>
    <n v="87000"/>
    <n v="36"/>
    <n v="0.69299999999999995"/>
    <s v="Rejected"/>
    <x v="3"/>
    <n v="0"/>
    <n v="1"/>
    <n v="0"/>
    <m/>
    <n v="4"/>
    <n v="1"/>
    <n v="1"/>
  </r>
  <r>
    <s v="LA-700220"/>
    <d v="2024-01-30T00:00:00"/>
    <x v="0"/>
    <s v="Q1"/>
    <x v="0"/>
    <x v="3"/>
    <x v="1"/>
    <x v="1"/>
    <x v="2"/>
    <x v="0"/>
    <n v="2550"/>
    <n v="100000"/>
    <n v="180"/>
    <n v="0.503"/>
    <s v="Rejected"/>
    <x v="3"/>
    <n v="0"/>
    <n v="1"/>
    <n v="0"/>
    <m/>
    <n v="5"/>
    <n v="1"/>
    <n v="1"/>
  </r>
  <r>
    <s v="LA-700221"/>
    <d v="2024-01-30T00:00:00"/>
    <x v="0"/>
    <s v="Q1"/>
    <x v="0"/>
    <x v="0"/>
    <x v="3"/>
    <x v="3"/>
    <x v="0"/>
    <x v="1"/>
    <n v="4650"/>
    <n v="27500"/>
    <n v="60"/>
    <n v="0.36199999999999999"/>
    <s v="Approved"/>
    <x v="1"/>
    <n v="1"/>
    <n v="0"/>
    <n v="27500"/>
    <n v="7.4200000000000002E-2"/>
    <n v="9"/>
    <n v="0"/>
    <n v="1"/>
  </r>
  <r>
    <s v="LA-700222"/>
    <d v="2024-01-30T00:00:00"/>
    <x v="0"/>
    <s v="Q1"/>
    <x v="0"/>
    <x v="3"/>
    <x v="1"/>
    <x v="3"/>
    <x v="0"/>
    <x v="3"/>
    <n v="7900"/>
    <n v="132500"/>
    <n v="180"/>
    <n v="0.35099999999999998"/>
    <s v="Approved"/>
    <x v="1"/>
    <n v="1"/>
    <n v="0"/>
    <n v="132500"/>
    <n v="4.3499999999999997E-2"/>
    <n v="8"/>
    <n v="1"/>
    <n v="1"/>
  </r>
  <r>
    <s v="LA-700223"/>
    <d v="2024-01-31T00:00:00"/>
    <x v="0"/>
    <s v="Q1"/>
    <x v="0"/>
    <x v="1"/>
    <x v="0"/>
    <x v="3"/>
    <x v="1"/>
    <x v="0"/>
    <n v="3850"/>
    <n v="17000"/>
    <n v="24"/>
    <n v="0.26400000000000001"/>
    <s v="Rejected"/>
    <x v="5"/>
    <n v="0"/>
    <n v="1"/>
    <n v="0"/>
    <m/>
    <n v="4"/>
    <n v="0"/>
    <n v="1"/>
  </r>
  <r>
    <s v="LA-700224"/>
    <d v="2024-01-31T00:00:00"/>
    <x v="0"/>
    <s v="Q1"/>
    <x v="0"/>
    <x v="0"/>
    <x v="2"/>
    <x v="0"/>
    <x v="0"/>
    <x v="4"/>
    <n v="12300"/>
    <n v="23000"/>
    <n v="48"/>
    <n v="0.105"/>
    <s v="Approved"/>
    <x v="1"/>
    <n v="1"/>
    <n v="0"/>
    <n v="20500"/>
    <n v="7.0000000000000007E-2"/>
    <n v="4"/>
    <n v="1"/>
    <n v="1"/>
  </r>
  <r>
    <s v="LA-700225"/>
    <d v="2024-01-31T00:00:00"/>
    <x v="0"/>
    <s v="Q1"/>
    <x v="0"/>
    <x v="1"/>
    <x v="2"/>
    <x v="2"/>
    <x v="1"/>
    <x v="1"/>
    <n v="4550"/>
    <n v="14000"/>
    <n v="60"/>
    <n v="0.248"/>
    <s v="Approved"/>
    <x v="1"/>
    <n v="1"/>
    <n v="0"/>
    <n v="11000"/>
    <n v="0.12559999999999999"/>
    <n v="3"/>
    <n v="1"/>
    <n v="1"/>
  </r>
  <r>
    <s v="LA-700226"/>
    <d v="2024-01-31T00:00:00"/>
    <x v="0"/>
    <s v="Q1"/>
    <x v="0"/>
    <x v="1"/>
    <x v="3"/>
    <x v="3"/>
    <x v="1"/>
    <x v="4"/>
    <n v="2400"/>
    <n v="19000"/>
    <n v="36"/>
    <n v="0.44500000000000001"/>
    <s v="Approved"/>
    <x v="1"/>
    <n v="1"/>
    <n v="0"/>
    <n v="15000"/>
    <n v="0.11899999999999999"/>
    <n v="3"/>
    <n v="1"/>
    <n v="1"/>
  </r>
  <r>
    <s v="LA-700227"/>
    <d v="2024-01-31T00:00:00"/>
    <x v="0"/>
    <s v="Q1"/>
    <x v="0"/>
    <x v="1"/>
    <x v="1"/>
    <x v="2"/>
    <x v="1"/>
    <x v="0"/>
    <n v="2750"/>
    <n v="12500"/>
    <n v="24"/>
    <n v="0.27100000000000002"/>
    <s v="Rejected"/>
    <x v="4"/>
    <n v="0"/>
    <n v="1"/>
    <n v="0"/>
    <m/>
    <n v="5"/>
    <n v="0"/>
    <n v="1"/>
  </r>
  <r>
    <s v="LA-700228"/>
    <d v="2024-01-31T00:00:00"/>
    <x v="0"/>
    <s v="Q1"/>
    <x v="0"/>
    <x v="3"/>
    <x v="1"/>
    <x v="3"/>
    <x v="0"/>
    <x v="4"/>
    <n v="4350"/>
    <n v="475500"/>
    <n v="300"/>
    <n v="0.82499999999999996"/>
    <s v="Rejected"/>
    <x v="4"/>
    <n v="0"/>
    <n v="1"/>
    <n v="0"/>
    <m/>
    <n v="11"/>
    <n v="1"/>
    <n v="1"/>
  </r>
  <r>
    <s v="LA-700229"/>
    <d v="2024-01-31T00:00:00"/>
    <x v="0"/>
    <s v="Q1"/>
    <x v="0"/>
    <x v="3"/>
    <x v="3"/>
    <x v="2"/>
    <x v="2"/>
    <x v="0"/>
    <n v="8850"/>
    <n v="176000"/>
    <n v="240"/>
    <n v="0.27100000000000002"/>
    <s v="Approved"/>
    <x v="1"/>
    <n v="1"/>
    <n v="0"/>
    <n v="141000"/>
    <n v="7.0599999999999996E-2"/>
    <n v="10"/>
    <n v="1"/>
    <n v="1"/>
  </r>
  <r>
    <s v="LA-700230"/>
    <d v="2024-01-31T00:00:00"/>
    <x v="0"/>
    <s v="Q1"/>
    <x v="0"/>
    <x v="3"/>
    <x v="2"/>
    <x v="0"/>
    <x v="0"/>
    <x v="0"/>
    <n v="4000"/>
    <n v="198000"/>
    <n v="240"/>
    <n v="0.41199999999999998"/>
    <s v="Approved"/>
    <x v="1"/>
    <n v="1"/>
    <n v="0"/>
    <n v="198000"/>
    <n v="7.5200000000000003E-2"/>
    <n v="7"/>
    <n v="1"/>
    <n v="1"/>
  </r>
  <r>
    <s v="LA-700231"/>
    <d v="2024-01-31T00:00:00"/>
    <x v="0"/>
    <s v="Q1"/>
    <x v="0"/>
    <x v="1"/>
    <x v="2"/>
    <x v="3"/>
    <x v="0"/>
    <x v="4"/>
    <n v="5350"/>
    <n v="10500"/>
    <n v="48"/>
    <n v="0.11600000000000001"/>
    <s v="Approved"/>
    <x v="1"/>
    <n v="1"/>
    <n v="0"/>
    <n v="10500"/>
    <n v="0.1118"/>
    <n v="2"/>
    <n v="1"/>
    <n v="1"/>
  </r>
  <r>
    <s v="LA-700232"/>
    <d v="2024-02-01T00:00:00"/>
    <x v="0"/>
    <s v="Q1"/>
    <x v="1"/>
    <x v="2"/>
    <x v="3"/>
    <x v="4"/>
    <x v="0"/>
    <x v="0"/>
    <n v="4600"/>
    <n v="71500"/>
    <n v="36"/>
    <n v="0.56200000000000006"/>
    <s v="Rejected"/>
    <x v="0"/>
    <n v="0"/>
    <n v="1"/>
    <n v="0"/>
    <m/>
    <n v="15"/>
    <n v="0"/>
    <n v="1"/>
  </r>
  <r>
    <s v="LA-700233"/>
    <d v="2024-02-01T00:00:00"/>
    <x v="0"/>
    <s v="Q1"/>
    <x v="1"/>
    <x v="3"/>
    <x v="3"/>
    <x v="2"/>
    <x v="1"/>
    <x v="0"/>
    <n v="5700"/>
    <n v="240500"/>
    <n v="240"/>
    <n v="0.44500000000000001"/>
    <s v="Approved"/>
    <x v="1"/>
    <n v="1"/>
    <n v="0"/>
    <n v="240500"/>
    <n v="7.3999999999999996E-2"/>
    <n v="33"/>
    <n v="0"/>
    <n v="1"/>
  </r>
  <r>
    <s v="LA-700234"/>
    <d v="2024-02-01T00:00:00"/>
    <x v="0"/>
    <s v="Q1"/>
    <x v="1"/>
    <x v="0"/>
    <x v="3"/>
    <x v="1"/>
    <x v="0"/>
    <x v="1"/>
    <n v="9150"/>
    <n v="28000"/>
    <n v="60"/>
    <n v="0.20200000000000001"/>
    <s v="Approved"/>
    <x v="1"/>
    <n v="1"/>
    <n v="0"/>
    <n v="28000"/>
    <n v="8.1199999999999994E-2"/>
    <n v="5"/>
    <n v="0"/>
    <n v="1"/>
  </r>
  <r>
    <s v="LA-700235"/>
    <d v="2024-02-01T00:00:00"/>
    <x v="0"/>
    <s v="Q1"/>
    <x v="1"/>
    <x v="1"/>
    <x v="3"/>
    <x v="3"/>
    <x v="1"/>
    <x v="1"/>
    <n v="4000"/>
    <n v="8500"/>
    <n v="48"/>
    <n v="0.13"/>
    <s v="Approved"/>
    <x v="1"/>
    <n v="1"/>
    <n v="0"/>
    <n v="7500"/>
    <n v="0.12770000000000001"/>
    <n v="5"/>
    <n v="0"/>
    <n v="1"/>
  </r>
  <r>
    <s v="LA-700236"/>
    <d v="2024-02-02T00:00:00"/>
    <x v="0"/>
    <s v="Q1"/>
    <x v="1"/>
    <x v="2"/>
    <x v="1"/>
    <x v="4"/>
    <x v="2"/>
    <x v="4"/>
    <n v="5950"/>
    <n v="87000"/>
    <n v="24"/>
    <n v="0.85699999999999998"/>
    <s v="Approved"/>
    <x v="1"/>
    <n v="1"/>
    <n v="0"/>
    <n v="87000"/>
    <n v="0.10349999999999999"/>
    <n v="3"/>
    <n v="1"/>
    <n v="1"/>
  </r>
  <r>
    <s v="LA-700237"/>
    <d v="2024-02-02T00:00:00"/>
    <x v="0"/>
    <s v="Q1"/>
    <x v="1"/>
    <x v="0"/>
    <x v="3"/>
    <x v="4"/>
    <x v="1"/>
    <x v="4"/>
    <n v="7150"/>
    <n v="22000"/>
    <n v="36"/>
    <n v="0.214"/>
    <s v="Approved"/>
    <x v="1"/>
    <n v="1"/>
    <n v="0"/>
    <n v="22000"/>
    <n v="6.9199999999999998E-2"/>
    <n v="5"/>
    <n v="0"/>
    <n v="1"/>
  </r>
  <r>
    <s v="LA-700238"/>
    <d v="2024-02-02T00:00:00"/>
    <x v="0"/>
    <s v="Q1"/>
    <x v="1"/>
    <x v="0"/>
    <x v="3"/>
    <x v="0"/>
    <x v="1"/>
    <x v="2"/>
    <n v="3050"/>
    <n v="86500"/>
    <n v="48"/>
    <n v="0.77200000000000002"/>
    <s v="Rejected"/>
    <x v="3"/>
    <n v="0"/>
    <n v="1"/>
    <n v="0"/>
    <m/>
    <n v="5"/>
    <n v="0"/>
    <n v="1"/>
  </r>
  <r>
    <s v="LA-700239"/>
    <d v="2024-02-02T00:00:00"/>
    <x v="0"/>
    <s v="Q1"/>
    <x v="1"/>
    <x v="0"/>
    <x v="0"/>
    <x v="2"/>
    <x v="0"/>
    <x v="0"/>
    <n v="4300"/>
    <n v="30000"/>
    <n v="60"/>
    <n v="0.218"/>
    <s v="Rejected"/>
    <x v="4"/>
    <n v="0"/>
    <n v="1"/>
    <n v="0"/>
    <m/>
    <n v="9"/>
    <n v="0"/>
    <n v="1"/>
  </r>
  <r>
    <s v="LA-700240"/>
    <d v="2024-02-03T00:00:00"/>
    <x v="0"/>
    <s v="Q1"/>
    <x v="1"/>
    <x v="0"/>
    <x v="2"/>
    <x v="3"/>
    <x v="0"/>
    <x v="2"/>
    <n v="3000"/>
    <n v="35000"/>
    <n v="48"/>
    <n v="0.39700000000000002"/>
    <s v="Rejected"/>
    <x v="0"/>
    <n v="0"/>
    <n v="1"/>
    <n v="0"/>
    <m/>
    <n v="3"/>
    <n v="1"/>
    <n v="1"/>
  </r>
  <r>
    <s v="LA-700241"/>
    <d v="2024-02-03T00:00:00"/>
    <x v="0"/>
    <s v="Q1"/>
    <x v="1"/>
    <x v="0"/>
    <x v="3"/>
    <x v="2"/>
    <x v="0"/>
    <x v="1"/>
    <n v="10300"/>
    <n v="18000"/>
    <n v="36"/>
    <n v="0.28199999999999997"/>
    <s v="Approved"/>
    <x v="1"/>
    <n v="1"/>
    <n v="0"/>
    <n v="18000"/>
    <n v="8.4599999999999995E-2"/>
    <n v="7"/>
    <n v="0"/>
    <n v="1"/>
  </r>
  <r>
    <s v="LA-700242"/>
    <d v="2024-02-03T00:00:00"/>
    <x v="0"/>
    <s v="Q1"/>
    <x v="1"/>
    <x v="1"/>
    <x v="2"/>
    <x v="1"/>
    <x v="0"/>
    <x v="1"/>
    <n v="3800"/>
    <n v="22000"/>
    <n v="12"/>
    <n v="0.61799999999999999"/>
    <s v="Approved"/>
    <x v="1"/>
    <n v="1"/>
    <n v="0"/>
    <n v="22000"/>
    <n v="0.12920000000000001"/>
    <n v="4"/>
    <n v="0"/>
    <n v="1"/>
  </r>
  <r>
    <s v="LA-700243"/>
    <d v="2024-02-03T00:00:00"/>
    <x v="0"/>
    <s v="Q1"/>
    <x v="1"/>
    <x v="1"/>
    <x v="2"/>
    <x v="2"/>
    <x v="1"/>
    <x v="0"/>
    <n v="5300"/>
    <n v="9500"/>
    <n v="12"/>
    <n v="0.27800000000000002"/>
    <s v="Approved"/>
    <x v="1"/>
    <n v="1"/>
    <n v="0"/>
    <n v="9500"/>
    <n v="0.1386"/>
    <n v="2"/>
    <n v="1"/>
    <n v="1"/>
  </r>
  <r>
    <s v="LA-700244"/>
    <d v="2024-02-04T00:00:00"/>
    <x v="0"/>
    <s v="Q1"/>
    <x v="1"/>
    <x v="1"/>
    <x v="3"/>
    <x v="1"/>
    <x v="1"/>
    <x v="2"/>
    <n v="4800"/>
    <n v="17000"/>
    <n v="60"/>
    <n v="0.214"/>
    <s v="Approved"/>
    <x v="1"/>
    <n v="1"/>
    <n v="0"/>
    <n v="17000"/>
    <n v="0.15790000000000001"/>
    <n v="4"/>
    <n v="0"/>
    <n v="1"/>
  </r>
  <r>
    <s v="LA-700245"/>
    <d v="2024-02-04T00:00:00"/>
    <x v="0"/>
    <s v="Q1"/>
    <x v="1"/>
    <x v="0"/>
    <x v="2"/>
    <x v="3"/>
    <x v="2"/>
    <x v="3"/>
    <n v="9150"/>
    <n v="42000"/>
    <n v="48"/>
    <n v="0.27200000000000002"/>
    <s v="Approved"/>
    <x v="1"/>
    <n v="1"/>
    <n v="0"/>
    <n v="42000"/>
    <n v="6.9699999999999998E-2"/>
    <n v="2"/>
    <n v="1"/>
    <n v="1"/>
  </r>
  <r>
    <s v="LA-700246"/>
    <d v="2024-02-04T00:00:00"/>
    <x v="0"/>
    <s v="Q1"/>
    <x v="1"/>
    <x v="3"/>
    <x v="3"/>
    <x v="3"/>
    <x v="0"/>
    <x v="3"/>
    <n v="5900"/>
    <n v="221500"/>
    <n v="240"/>
    <n v="0.34200000000000003"/>
    <s v="Approved"/>
    <x v="1"/>
    <n v="1"/>
    <n v="0"/>
    <n v="221500"/>
    <n v="4.3299999999999998E-2"/>
    <n v="33"/>
    <n v="0"/>
    <n v="1"/>
  </r>
  <r>
    <s v="LA-700247"/>
    <d v="2024-02-05T00:00:00"/>
    <x v="0"/>
    <s v="Q1"/>
    <x v="1"/>
    <x v="1"/>
    <x v="3"/>
    <x v="2"/>
    <x v="2"/>
    <x v="0"/>
    <n v="6100"/>
    <n v="10000"/>
    <n v="24"/>
    <n v="0.26100000000000001"/>
    <s v="Rejected"/>
    <x v="0"/>
    <n v="0"/>
    <n v="1"/>
    <n v="0"/>
    <m/>
    <n v="3"/>
    <n v="1"/>
    <n v="1"/>
  </r>
  <r>
    <s v="LA-700248"/>
    <d v="2024-02-05T00:00:00"/>
    <x v="0"/>
    <s v="Q1"/>
    <x v="1"/>
    <x v="1"/>
    <x v="2"/>
    <x v="3"/>
    <x v="2"/>
    <x v="4"/>
    <n v="4000"/>
    <n v="9000"/>
    <n v="36"/>
    <n v="0.27700000000000002"/>
    <s v="Rejected"/>
    <x v="5"/>
    <n v="0"/>
    <n v="1"/>
    <n v="0"/>
    <m/>
    <n v="1"/>
    <n v="1"/>
    <n v="1"/>
  </r>
  <r>
    <s v="LA-700249"/>
    <d v="2024-02-05T00:00:00"/>
    <x v="0"/>
    <s v="Q1"/>
    <x v="1"/>
    <x v="1"/>
    <x v="1"/>
    <x v="3"/>
    <x v="1"/>
    <x v="1"/>
    <n v="3400"/>
    <n v="7500"/>
    <n v="36"/>
    <n v="0.124"/>
    <s v="Rejected"/>
    <x v="0"/>
    <n v="0"/>
    <n v="1"/>
    <n v="0"/>
    <m/>
    <n v="3"/>
    <n v="1"/>
    <n v="1"/>
  </r>
  <r>
    <s v="LA-700250"/>
    <d v="2024-02-05T00:00:00"/>
    <x v="0"/>
    <s v="Q1"/>
    <x v="1"/>
    <x v="1"/>
    <x v="1"/>
    <x v="2"/>
    <x v="1"/>
    <x v="2"/>
    <n v="14250"/>
    <n v="16500"/>
    <n v="12"/>
    <n v="0.33700000000000002"/>
    <s v="Rejected"/>
    <x v="5"/>
    <n v="0"/>
    <n v="1"/>
    <n v="0"/>
    <m/>
    <n v="1"/>
    <n v="1"/>
    <n v="1"/>
  </r>
  <r>
    <s v="LA-700251"/>
    <d v="2024-02-05T00:00:00"/>
    <x v="0"/>
    <s v="Q1"/>
    <x v="1"/>
    <x v="0"/>
    <x v="3"/>
    <x v="0"/>
    <x v="2"/>
    <x v="0"/>
    <n v="3800"/>
    <n v="39000"/>
    <n v="48"/>
    <n v="0.39900000000000002"/>
    <s v="Rejected"/>
    <x v="0"/>
    <n v="0"/>
    <n v="1"/>
    <n v="0"/>
    <m/>
    <n v="5"/>
    <n v="0"/>
    <n v="1"/>
  </r>
  <r>
    <s v="LA-700252"/>
    <d v="2024-02-05T00:00:00"/>
    <x v="0"/>
    <s v="Q1"/>
    <x v="1"/>
    <x v="2"/>
    <x v="3"/>
    <x v="1"/>
    <x v="1"/>
    <x v="4"/>
    <n v="4300"/>
    <n v="146000"/>
    <n v="60"/>
    <n v="0.78600000000000003"/>
    <s v="Rejected"/>
    <x v="3"/>
    <n v="0"/>
    <n v="1"/>
    <n v="0"/>
    <m/>
    <n v="17"/>
    <n v="0"/>
    <n v="1"/>
  </r>
  <r>
    <s v="LA-700253"/>
    <d v="2024-02-05T00:00:00"/>
    <x v="0"/>
    <s v="Q1"/>
    <x v="1"/>
    <x v="0"/>
    <x v="0"/>
    <x v="4"/>
    <x v="0"/>
    <x v="3"/>
    <n v="6400"/>
    <n v="48000"/>
    <n v="60"/>
    <n v="0.36299999999999999"/>
    <s v="Approved"/>
    <x v="1"/>
    <n v="1"/>
    <n v="0"/>
    <n v="48000"/>
    <n v="6.3E-2"/>
    <n v="8"/>
    <n v="0"/>
    <n v="1"/>
  </r>
  <r>
    <s v="LA-700254"/>
    <d v="2024-02-05T00:00:00"/>
    <x v="0"/>
    <s v="Q1"/>
    <x v="1"/>
    <x v="1"/>
    <x v="3"/>
    <x v="3"/>
    <x v="0"/>
    <x v="1"/>
    <n v="7550"/>
    <n v="13000"/>
    <n v="24"/>
    <n v="0.32300000000000001"/>
    <s v="Approved"/>
    <x v="1"/>
    <n v="1"/>
    <n v="0"/>
    <n v="10500"/>
    <n v="0.12230000000000001"/>
    <n v="4"/>
    <n v="0"/>
    <n v="1"/>
  </r>
  <r>
    <s v="LA-700255"/>
    <d v="2024-02-05T00:00:00"/>
    <x v="0"/>
    <s v="Q1"/>
    <x v="1"/>
    <x v="2"/>
    <x v="3"/>
    <x v="2"/>
    <x v="0"/>
    <x v="2"/>
    <n v="3400"/>
    <n v="116000"/>
    <n v="36"/>
    <n v="1.3009999999999999"/>
    <s v="Rejected"/>
    <x v="0"/>
    <n v="0"/>
    <n v="1"/>
    <n v="0"/>
    <m/>
    <n v="9"/>
    <n v="1"/>
    <n v="1"/>
  </r>
  <r>
    <s v="LA-700256"/>
    <d v="2024-02-06T00:00:00"/>
    <x v="0"/>
    <s v="Q1"/>
    <x v="1"/>
    <x v="3"/>
    <x v="3"/>
    <x v="1"/>
    <x v="1"/>
    <x v="1"/>
    <n v="5250"/>
    <n v="256000"/>
    <n v="240"/>
    <n v="0.45500000000000002"/>
    <s v="Approved"/>
    <x v="1"/>
    <n v="1"/>
    <n v="0"/>
    <n v="205000"/>
    <n v="6.0600000000000001E-2"/>
    <n v="13"/>
    <n v="1"/>
    <n v="1"/>
  </r>
  <r>
    <s v="LA-700257"/>
    <d v="2024-02-06T00:00:00"/>
    <x v="0"/>
    <s v="Q1"/>
    <x v="1"/>
    <x v="3"/>
    <x v="3"/>
    <x v="2"/>
    <x v="1"/>
    <x v="4"/>
    <n v="4200"/>
    <n v="205500"/>
    <n v="240"/>
    <n v="0.40500000000000003"/>
    <s v="Approved"/>
    <x v="1"/>
    <n v="1"/>
    <n v="0"/>
    <n v="205500"/>
    <n v="5.1799999999999999E-2"/>
    <n v="25"/>
    <n v="0"/>
    <n v="1"/>
  </r>
  <r>
    <s v="LA-700258"/>
    <d v="2024-02-06T00:00:00"/>
    <x v="0"/>
    <s v="Q1"/>
    <x v="1"/>
    <x v="2"/>
    <x v="3"/>
    <x v="3"/>
    <x v="2"/>
    <x v="4"/>
    <n v="4600"/>
    <n v="70000"/>
    <n v="24"/>
    <n v="0.86199999999999999"/>
    <s v="Approved"/>
    <x v="1"/>
    <n v="1"/>
    <n v="0"/>
    <n v="70000"/>
    <n v="9.8000000000000004E-2"/>
    <n v="6"/>
    <n v="1"/>
    <n v="1"/>
  </r>
  <r>
    <s v="LA-700259"/>
    <d v="2024-02-06T00:00:00"/>
    <x v="0"/>
    <s v="Q1"/>
    <x v="1"/>
    <x v="2"/>
    <x v="3"/>
    <x v="2"/>
    <x v="0"/>
    <x v="1"/>
    <n v="4300"/>
    <n v="124500"/>
    <n v="36"/>
    <n v="1.0489999999999999"/>
    <s v="Withdrawn"/>
    <x v="1"/>
    <n v="0"/>
    <n v="0"/>
    <n v="0"/>
    <m/>
    <n v="17"/>
    <n v="0"/>
    <n v="1"/>
  </r>
  <r>
    <s v="LA-700260"/>
    <d v="2024-02-06T00:00:00"/>
    <x v="0"/>
    <s v="Q1"/>
    <x v="1"/>
    <x v="3"/>
    <x v="3"/>
    <x v="3"/>
    <x v="1"/>
    <x v="1"/>
    <n v="4300"/>
    <n v="215000"/>
    <n v="240"/>
    <n v="0.53900000000000003"/>
    <s v="Rejected"/>
    <x v="3"/>
    <n v="0"/>
    <n v="1"/>
    <n v="0"/>
    <m/>
    <n v="12"/>
    <n v="1"/>
    <n v="1"/>
  </r>
  <r>
    <s v="LA-700261"/>
    <d v="2024-02-06T00:00:00"/>
    <x v="0"/>
    <s v="Q1"/>
    <x v="1"/>
    <x v="0"/>
    <x v="3"/>
    <x v="2"/>
    <x v="1"/>
    <x v="0"/>
    <n v="4900"/>
    <n v="36000"/>
    <n v="48"/>
    <n v="0.35699999999999998"/>
    <s v="Rejected"/>
    <x v="0"/>
    <n v="0"/>
    <n v="1"/>
    <n v="0"/>
    <m/>
    <n v="3"/>
    <n v="1"/>
    <n v="1"/>
  </r>
  <r>
    <s v="LA-700262"/>
    <d v="2024-02-06T00:00:00"/>
    <x v="0"/>
    <s v="Q1"/>
    <x v="1"/>
    <x v="1"/>
    <x v="0"/>
    <x v="2"/>
    <x v="1"/>
    <x v="3"/>
    <n v="6350"/>
    <n v="21000"/>
    <n v="60"/>
    <n v="0.157"/>
    <s v="Approved"/>
    <x v="1"/>
    <n v="1"/>
    <n v="0"/>
    <n v="21000"/>
    <n v="0.1086"/>
    <n v="4"/>
    <n v="0"/>
    <n v="1"/>
  </r>
  <r>
    <s v="LA-700263"/>
    <d v="2024-02-06T00:00:00"/>
    <x v="0"/>
    <s v="Q1"/>
    <x v="1"/>
    <x v="2"/>
    <x v="3"/>
    <x v="3"/>
    <x v="1"/>
    <x v="1"/>
    <n v="8050"/>
    <n v="77500"/>
    <n v="12"/>
    <n v="1.0149999999999999"/>
    <s v="Withdrawn"/>
    <x v="1"/>
    <n v="0"/>
    <n v="0"/>
    <n v="0"/>
    <m/>
    <n v="12"/>
    <n v="0"/>
    <n v="1"/>
  </r>
  <r>
    <s v="LA-700264"/>
    <d v="2024-02-07T00:00:00"/>
    <x v="0"/>
    <s v="Q1"/>
    <x v="1"/>
    <x v="1"/>
    <x v="1"/>
    <x v="3"/>
    <x v="1"/>
    <x v="0"/>
    <n v="5000"/>
    <n v="9500"/>
    <n v="12"/>
    <n v="0.27600000000000002"/>
    <s v="Approved"/>
    <x v="1"/>
    <n v="1"/>
    <n v="0"/>
    <n v="9500"/>
    <n v="0.14050000000000001"/>
    <n v="1"/>
    <n v="1"/>
    <n v="1"/>
  </r>
  <r>
    <s v="LA-700265"/>
    <d v="2024-02-07T00:00:00"/>
    <x v="0"/>
    <s v="Q1"/>
    <x v="1"/>
    <x v="1"/>
    <x v="2"/>
    <x v="3"/>
    <x v="0"/>
    <x v="1"/>
    <n v="6200"/>
    <n v="9000"/>
    <n v="60"/>
    <n v="0.23899999999999999"/>
    <s v="Rejected"/>
    <x v="5"/>
    <n v="0"/>
    <n v="1"/>
    <n v="0"/>
    <m/>
    <n v="3"/>
    <n v="1"/>
    <n v="1"/>
  </r>
  <r>
    <s v="LA-700266"/>
    <d v="2024-02-07T00:00:00"/>
    <x v="0"/>
    <s v="Q1"/>
    <x v="1"/>
    <x v="3"/>
    <x v="3"/>
    <x v="3"/>
    <x v="0"/>
    <x v="4"/>
    <n v="4550"/>
    <n v="196000"/>
    <n v="240"/>
    <n v="0.48399999999999999"/>
    <s v="Approved"/>
    <x v="1"/>
    <n v="1"/>
    <n v="0"/>
    <n v="157000"/>
    <n v="4.4999999999999998E-2"/>
    <n v="21"/>
    <n v="0"/>
    <n v="1"/>
  </r>
  <r>
    <s v="LA-700267"/>
    <d v="2024-02-07T00:00:00"/>
    <x v="0"/>
    <s v="Q1"/>
    <x v="1"/>
    <x v="0"/>
    <x v="2"/>
    <x v="2"/>
    <x v="0"/>
    <x v="2"/>
    <n v="8950"/>
    <n v="23000"/>
    <n v="36"/>
    <n v="0.16700000000000001"/>
    <s v="Rejected"/>
    <x v="0"/>
    <n v="0"/>
    <n v="1"/>
    <n v="0"/>
    <m/>
    <n v="4"/>
    <n v="1"/>
    <n v="1"/>
  </r>
  <r>
    <s v="LA-700268"/>
    <d v="2024-02-07T00:00:00"/>
    <x v="0"/>
    <s v="Q1"/>
    <x v="1"/>
    <x v="1"/>
    <x v="2"/>
    <x v="2"/>
    <x v="1"/>
    <x v="0"/>
    <n v="3850"/>
    <n v="15000"/>
    <n v="24"/>
    <n v="0.35199999999999998"/>
    <s v="Approved"/>
    <x v="1"/>
    <n v="1"/>
    <n v="0"/>
    <n v="15000"/>
    <n v="0.13969999999999999"/>
    <n v="2"/>
    <n v="1"/>
    <n v="1"/>
  </r>
  <r>
    <s v="LA-700269"/>
    <d v="2024-02-07T00:00:00"/>
    <x v="0"/>
    <s v="Q1"/>
    <x v="1"/>
    <x v="2"/>
    <x v="3"/>
    <x v="2"/>
    <x v="0"/>
    <x v="3"/>
    <n v="4100"/>
    <n v="82500"/>
    <n v="60"/>
    <n v="0.57099999999999995"/>
    <s v="Approved"/>
    <x v="1"/>
    <n v="1"/>
    <n v="0"/>
    <n v="82500"/>
    <n v="8.5500000000000007E-2"/>
    <n v="18"/>
    <n v="0"/>
    <n v="1"/>
  </r>
  <r>
    <s v="LA-700270"/>
    <d v="2024-02-08T00:00:00"/>
    <x v="0"/>
    <s v="Q1"/>
    <x v="1"/>
    <x v="0"/>
    <x v="3"/>
    <x v="2"/>
    <x v="1"/>
    <x v="0"/>
    <n v="3450"/>
    <n v="35500"/>
    <n v="60"/>
    <n v="0.38500000000000001"/>
    <s v="Rejected"/>
    <x v="0"/>
    <n v="0"/>
    <n v="1"/>
    <n v="0"/>
    <m/>
    <n v="7"/>
    <n v="0"/>
    <n v="1"/>
  </r>
  <r>
    <s v="LA-700271"/>
    <d v="2024-02-08T00:00:00"/>
    <x v="0"/>
    <s v="Q1"/>
    <x v="1"/>
    <x v="1"/>
    <x v="0"/>
    <x v="4"/>
    <x v="0"/>
    <x v="0"/>
    <n v="6100"/>
    <n v="26500"/>
    <n v="12"/>
    <n v="0.59399999999999997"/>
    <s v="Rejected"/>
    <x v="0"/>
    <n v="0"/>
    <n v="1"/>
    <n v="0"/>
    <m/>
    <n v="6"/>
    <n v="0"/>
    <n v="1"/>
  </r>
  <r>
    <s v="LA-700272"/>
    <d v="2024-02-08T00:00:00"/>
    <x v="0"/>
    <s v="Q1"/>
    <x v="1"/>
    <x v="2"/>
    <x v="3"/>
    <x v="2"/>
    <x v="0"/>
    <x v="1"/>
    <n v="5400"/>
    <n v="120500"/>
    <n v="24"/>
    <n v="1.238"/>
    <s v="Withdrawn"/>
    <x v="1"/>
    <n v="0"/>
    <n v="0"/>
    <n v="0"/>
    <m/>
    <n v="14"/>
    <n v="0"/>
    <n v="1"/>
  </r>
  <r>
    <s v="LA-700273"/>
    <d v="2024-02-08T00:00:00"/>
    <x v="0"/>
    <s v="Q1"/>
    <x v="1"/>
    <x v="1"/>
    <x v="0"/>
    <x v="4"/>
    <x v="0"/>
    <x v="4"/>
    <n v="5850"/>
    <n v="5500"/>
    <n v="36"/>
    <n v="0.26100000000000001"/>
    <s v="Approved"/>
    <x v="1"/>
    <n v="1"/>
    <n v="0"/>
    <n v="4500"/>
    <n v="0.11360000000000001"/>
    <n v="4"/>
    <n v="0"/>
    <n v="1"/>
  </r>
  <r>
    <s v="LA-700274"/>
    <d v="2024-02-08T00:00:00"/>
    <x v="0"/>
    <s v="Q1"/>
    <x v="1"/>
    <x v="1"/>
    <x v="2"/>
    <x v="0"/>
    <x v="0"/>
    <x v="1"/>
    <n v="2850"/>
    <n v="6000"/>
    <n v="36"/>
    <n v="0.30299999999999999"/>
    <s v="Approved"/>
    <x v="1"/>
    <n v="1"/>
    <n v="0"/>
    <n v="5000"/>
    <n v="0.122"/>
    <n v="1"/>
    <n v="1"/>
    <n v="1"/>
  </r>
  <r>
    <s v="LA-700275"/>
    <d v="2024-02-08T00:00:00"/>
    <x v="0"/>
    <s v="Q1"/>
    <x v="1"/>
    <x v="1"/>
    <x v="1"/>
    <x v="2"/>
    <x v="0"/>
    <x v="1"/>
    <n v="3500"/>
    <n v="24500"/>
    <n v="24"/>
    <n v="0.52300000000000002"/>
    <s v="Rejected"/>
    <x v="3"/>
    <n v="0"/>
    <n v="1"/>
    <n v="0"/>
    <m/>
    <n v="1"/>
    <n v="1"/>
    <n v="1"/>
  </r>
  <r>
    <s v="LA-700276"/>
    <d v="2024-02-08T00:00:00"/>
    <x v="0"/>
    <s v="Q1"/>
    <x v="1"/>
    <x v="0"/>
    <x v="1"/>
    <x v="0"/>
    <x v="2"/>
    <x v="4"/>
    <n v="5150"/>
    <n v="37500"/>
    <n v="60"/>
    <n v="0.311"/>
    <s v="Approved"/>
    <x v="1"/>
    <n v="1"/>
    <n v="0"/>
    <n v="37500"/>
    <n v="6.9599999999999995E-2"/>
    <n v="3"/>
    <n v="1"/>
    <n v="1"/>
  </r>
  <r>
    <s v="LA-700277"/>
    <d v="2024-02-08T00:00:00"/>
    <x v="0"/>
    <s v="Q1"/>
    <x v="1"/>
    <x v="1"/>
    <x v="0"/>
    <x v="2"/>
    <x v="1"/>
    <x v="4"/>
    <n v="9850"/>
    <n v="22500"/>
    <n v="12"/>
    <n v="0.438"/>
    <s v="Approved"/>
    <x v="1"/>
    <n v="1"/>
    <n v="0"/>
    <n v="18000"/>
    <n v="0.1133"/>
    <n v="5"/>
    <n v="0"/>
    <n v="1"/>
  </r>
  <r>
    <s v="LA-700278"/>
    <d v="2024-02-08T00:00:00"/>
    <x v="0"/>
    <s v="Q1"/>
    <x v="1"/>
    <x v="1"/>
    <x v="3"/>
    <x v="3"/>
    <x v="0"/>
    <x v="4"/>
    <n v="3900"/>
    <n v="8000"/>
    <n v="24"/>
    <n v="0.17699999999999999"/>
    <s v="Approved"/>
    <x v="1"/>
    <n v="1"/>
    <n v="0"/>
    <n v="6500"/>
    <n v="0.1182"/>
    <n v="9"/>
    <n v="0"/>
    <n v="1"/>
  </r>
  <r>
    <s v="LA-700279"/>
    <d v="2024-02-08T00:00:00"/>
    <x v="0"/>
    <s v="Q1"/>
    <x v="1"/>
    <x v="0"/>
    <x v="3"/>
    <x v="2"/>
    <x v="1"/>
    <x v="1"/>
    <n v="6350"/>
    <n v="11000"/>
    <n v="36"/>
    <n v="0.11799999999999999"/>
    <s v="Rejected"/>
    <x v="4"/>
    <n v="0"/>
    <n v="1"/>
    <n v="0"/>
    <m/>
    <n v="12"/>
    <n v="0"/>
    <n v="1"/>
  </r>
  <r>
    <s v="LA-700280"/>
    <d v="2024-02-08T00:00:00"/>
    <x v="0"/>
    <s v="Q1"/>
    <x v="1"/>
    <x v="2"/>
    <x v="3"/>
    <x v="2"/>
    <x v="1"/>
    <x v="0"/>
    <n v="5200"/>
    <n v="93000"/>
    <n v="24"/>
    <n v="1.0720000000000001"/>
    <s v="Rejected"/>
    <x v="3"/>
    <n v="0"/>
    <n v="1"/>
    <n v="0"/>
    <m/>
    <n v="13"/>
    <n v="0"/>
    <n v="1"/>
  </r>
  <r>
    <s v="LA-700281"/>
    <d v="2024-02-09T00:00:00"/>
    <x v="0"/>
    <s v="Q1"/>
    <x v="1"/>
    <x v="1"/>
    <x v="1"/>
    <x v="0"/>
    <x v="1"/>
    <x v="4"/>
    <n v="6800"/>
    <n v="16000"/>
    <n v="36"/>
    <n v="0.24299999999999999"/>
    <s v="Approved"/>
    <x v="1"/>
    <n v="1"/>
    <n v="0"/>
    <n v="16000"/>
    <n v="0.1176"/>
    <n v="2"/>
    <n v="1"/>
    <n v="1"/>
  </r>
  <r>
    <s v="LA-700282"/>
    <d v="2024-02-09T00:00:00"/>
    <x v="0"/>
    <s v="Q1"/>
    <x v="1"/>
    <x v="1"/>
    <x v="1"/>
    <x v="4"/>
    <x v="2"/>
    <x v="3"/>
    <n v="6050"/>
    <n v="10000"/>
    <n v="48"/>
    <n v="0.28199999999999997"/>
    <s v="Approved"/>
    <x v="1"/>
    <n v="1"/>
    <n v="0"/>
    <n v="9000"/>
    <n v="0.1103"/>
    <n v="1"/>
    <n v="1"/>
    <n v="1"/>
  </r>
  <r>
    <s v="LA-700283"/>
    <d v="2024-02-09T00:00:00"/>
    <x v="0"/>
    <s v="Q1"/>
    <x v="1"/>
    <x v="1"/>
    <x v="3"/>
    <x v="2"/>
    <x v="0"/>
    <x v="1"/>
    <n v="3600"/>
    <n v="10000"/>
    <n v="60"/>
    <n v="0.30499999999999999"/>
    <s v="Approved"/>
    <x v="1"/>
    <n v="1"/>
    <n v="0"/>
    <n v="8000"/>
    <n v="0.12470000000000001"/>
    <n v="4"/>
    <n v="0"/>
    <n v="1"/>
  </r>
  <r>
    <s v="LA-700284"/>
    <d v="2024-02-09T00:00:00"/>
    <x v="0"/>
    <s v="Q1"/>
    <x v="1"/>
    <x v="0"/>
    <x v="2"/>
    <x v="1"/>
    <x v="1"/>
    <x v="2"/>
    <n v="4150"/>
    <n v="13500"/>
    <n v="48"/>
    <n v="0.27500000000000002"/>
    <s v="Approved"/>
    <x v="1"/>
    <n v="1"/>
    <n v="0"/>
    <n v="13500"/>
    <n v="0.1129"/>
    <n v="5"/>
    <n v="0"/>
    <n v="1"/>
  </r>
  <r>
    <s v="LA-700285"/>
    <d v="2024-02-09T00:00:00"/>
    <x v="0"/>
    <s v="Q1"/>
    <x v="1"/>
    <x v="2"/>
    <x v="0"/>
    <x v="2"/>
    <x v="0"/>
    <x v="1"/>
    <n v="4650"/>
    <n v="100500"/>
    <n v="12"/>
    <n v="2.056"/>
    <s v="Rejected"/>
    <x v="3"/>
    <n v="0"/>
    <n v="1"/>
    <n v="0"/>
    <m/>
    <n v="12"/>
    <n v="0"/>
    <n v="1"/>
  </r>
  <r>
    <s v="LA-700286"/>
    <d v="2024-02-09T00:00:00"/>
    <x v="0"/>
    <s v="Q1"/>
    <x v="1"/>
    <x v="0"/>
    <x v="3"/>
    <x v="3"/>
    <x v="0"/>
    <x v="0"/>
    <n v="7200"/>
    <n v="19000"/>
    <n v="36"/>
    <n v="0.33100000000000002"/>
    <s v="Withdrawn"/>
    <x v="1"/>
    <n v="0"/>
    <n v="0"/>
    <n v="0"/>
    <m/>
    <n v="7"/>
    <n v="0"/>
    <n v="1"/>
  </r>
  <r>
    <s v="LA-700287"/>
    <d v="2024-02-10T00:00:00"/>
    <x v="0"/>
    <s v="Q1"/>
    <x v="1"/>
    <x v="1"/>
    <x v="2"/>
    <x v="4"/>
    <x v="0"/>
    <x v="2"/>
    <n v="5850"/>
    <n v="26000"/>
    <n v="48"/>
    <n v="0.184"/>
    <s v="Rejected"/>
    <x v="0"/>
    <n v="0"/>
    <n v="1"/>
    <n v="0"/>
    <m/>
    <n v="2"/>
    <n v="1"/>
    <n v="1"/>
  </r>
  <r>
    <s v="LA-700288"/>
    <d v="2024-02-10T00:00:00"/>
    <x v="0"/>
    <s v="Q1"/>
    <x v="1"/>
    <x v="0"/>
    <x v="0"/>
    <x v="0"/>
    <x v="2"/>
    <x v="0"/>
    <n v="7250"/>
    <n v="43000"/>
    <n v="60"/>
    <n v="0.17299999999999999"/>
    <s v="Rejected"/>
    <x v="4"/>
    <n v="0"/>
    <n v="1"/>
    <n v="0"/>
    <m/>
    <n v="12"/>
    <n v="0"/>
    <n v="1"/>
  </r>
  <r>
    <s v="LA-700289"/>
    <d v="2024-02-10T00:00:00"/>
    <x v="0"/>
    <s v="Q1"/>
    <x v="1"/>
    <x v="3"/>
    <x v="2"/>
    <x v="0"/>
    <x v="1"/>
    <x v="1"/>
    <n v="10700"/>
    <n v="156000"/>
    <n v="240"/>
    <n v="0.316"/>
    <s v="Approved"/>
    <x v="1"/>
    <n v="1"/>
    <n v="0"/>
    <n v="156000"/>
    <n v="5.4699999999999999E-2"/>
    <n v="9"/>
    <n v="1"/>
    <n v="1"/>
  </r>
  <r>
    <s v="LA-700290"/>
    <d v="2024-02-10T00:00:00"/>
    <x v="0"/>
    <s v="Q1"/>
    <x v="1"/>
    <x v="3"/>
    <x v="2"/>
    <x v="3"/>
    <x v="0"/>
    <x v="1"/>
    <n v="3900"/>
    <n v="460500"/>
    <n v="240"/>
    <n v="0.83799999999999997"/>
    <s v="Rejected"/>
    <x v="4"/>
    <n v="0"/>
    <n v="1"/>
    <n v="0"/>
    <m/>
    <n v="14"/>
    <n v="1"/>
    <n v="1"/>
  </r>
  <r>
    <s v="LA-700291"/>
    <d v="2024-02-10T00:00:00"/>
    <x v="0"/>
    <s v="Q1"/>
    <x v="1"/>
    <x v="1"/>
    <x v="0"/>
    <x v="3"/>
    <x v="0"/>
    <x v="2"/>
    <n v="6750"/>
    <n v="6500"/>
    <n v="24"/>
    <n v="0.21199999999999999"/>
    <s v="Approved"/>
    <x v="1"/>
    <n v="1"/>
    <n v="0"/>
    <n v="6500"/>
    <n v="0.16500000000000001"/>
    <n v="3"/>
    <n v="1"/>
    <n v="1"/>
  </r>
  <r>
    <s v="LA-700292"/>
    <d v="2024-02-10T00:00:00"/>
    <x v="0"/>
    <s v="Q1"/>
    <x v="1"/>
    <x v="2"/>
    <x v="3"/>
    <x v="1"/>
    <x v="2"/>
    <x v="2"/>
    <n v="9650"/>
    <n v="161500"/>
    <n v="12"/>
    <n v="1.6879999999999999"/>
    <s v="Rejected"/>
    <x v="0"/>
    <n v="0"/>
    <n v="1"/>
    <n v="0"/>
    <m/>
    <n v="14"/>
    <n v="0"/>
    <n v="1"/>
  </r>
  <r>
    <s v="LA-700293"/>
    <d v="2024-02-11T00:00:00"/>
    <x v="0"/>
    <s v="Q1"/>
    <x v="1"/>
    <x v="1"/>
    <x v="2"/>
    <x v="0"/>
    <x v="2"/>
    <x v="0"/>
    <n v="3250"/>
    <n v="16000"/>
    <n v="48"/>
    <n v="0.21099999999999999"/>
    <s v="Approved"/>
    <x v="1"/>
    <n v="1"/>
    <n v="0"/>
    <n v="16000"/>
    <n v="0.1343"/>
    <n v="3"/>
    <n v="1"/>
    <n v="1"/>
  </r>
  <r>
    <s v="LA-700294"/>
    <d v="2024-02-11T00:00:00"/>
    <x v="0"/>
    <s v="Q1"/>
    <x v="1"/>
    <x v="1"/>
    <x v="3"/>
    <x v="2"/>
    <x v="0"/>
    <x v="1"/>
    <n v="4750"/>
    <n v="13500"/>
    <n v="12"/>
    <n v="0.432"/>
    <s v="Withdrawn"/>
    <x v="1"/>
    <n v="0"/>
    <n v="0"/>
    <n v="0"/>
    <m/>
    <n v="7"/>
    <n v="0"/>
    <n v="1"/>
  </r>
  <r>
    <s v="LA-700295"/>
    <d v="2024-02-11T00:00:00"/>
    <x v="0"/>
    <s v="Q1"/>
    <x v="1"/>
    <x v="2"/>
    <x v="3"/>
    <x v="3"/>
    <x v="2"/>
    <x v="4"/>
    <n v="8500"/>
    <n v="77500"/>
    <n v="12"/>
    <n v="0.92400000000000004"/>
    <s v="Approved"/>
    <x v="1"/>
    <n v="1"/>
    <n v="0"/>
    <n v="77500"/>
    <n v="0.1003"/>
    <n v="7"/>
    <n v="1"/>
    <n v="1"/>
  </r>
  <r>
    <s v="LA-700296"/>
    <d v="2024-02-11T00:00:00"/>
    <x v="0"/>
    <s v="Q1"/>
    <x v="1"/>
    <x v="1"/>
    <x v="1"/>
    <x v="4"/>
    <x v="1"/>
    <x v="4"/>
    <n v="4750"/>
    <n v="18500"/>
    <n v="60"/>
    <n v="0.218"/>
    <s v="Approved"/>
    <x v="1"/>
    <n v="1"/>
    <n v="0"/>
    <n v="16500"/>
    <n v="0.1119"/>
    <n v="2"/>
    <n v="1"/>
    <n v="1"/>
  </r>
  <r>
    <s v="LA-700297"/>
    <d v="2024-02-12T00:00:00"/>
    <x v="0"/>
    <s v="Q1"/>
    <x v="1"/>
    <x v="0"/>
    <x v="2"/>
    <x v="2"/>
    <x v="1"/>
    <x v="0"/>
    <n v="9100"/>
    <n v="18500"/>
    <n v="60"/>
    <n v="0.189"/>
    <s v="Withdrawn"/>
    <x v="1"/>
    <n v="0"/>
    <n v="0"/>
    <n v="0"/>
    <m/>
    <n v="3"/>
    <n v="1"/>
    <n v="1"/>
  </r>
  <r>
    <s v="LA-700298"/>
    <d v="2024-02-12T00:00:00"/>
    <x v="0"/>
    <s v="Q1"/>
    <x v="1"/>
    <x v="0"/>
    <x v="1"/>
    <x v="2"/>
    <x v="1"/>
    <x v="2"/>
    <n v="5150"/>
    <n v="30500"/>
    <n v="36"/>
    <n v="0.32100000000000001"/>
    <s v="Rejected"/>
    <x v="0"/>
    <n v="0"/>
    <n v="1"/>
    <n v="0"/>
    <m/>
    <n v="1"/>
    <n v="1"/>
    <n v="1"/>
  </r>
  <r>
    <s v="LA-700299"/>
    <d v="2024-02-12T00:00:00"/>
    <x v="0"/>
    <s v="Q1"/>
    <x v="1"/>
    <x v="1"/>
    <x v="0"/>
    <x v="1"/>
    <x v="0"/>
    <x v="1"/>
    <n v="5750"/>
    <n v="16500"/>
    <n v="24"/>
    <n v="0.34300000000000003"/>
    <s v="Approved"/>
    <x v="1"/>
    <n v="1"/>
    <n v="0"/>
    <n v="16500"/>
    <n v="0.124"/>
    <n v="3"/>
    <n v="1"/>
    <n v="1"/>
  </r>
  <r>
    <s v="LA-700300"/>
    <d v="2024-02-12T00:00:00"/>
    <x v="0"/>
    <s v="Q1"/>
    <x v="1"/>
    <x v="2"/>
    <x v="3"/>
    <x v="3"/>
    <x v="0"/>
    <x v="4"/>
    <n v="6300"/>
    <n v="68500"/>
    <n v="24"/>
    <n v="0.58199999999999996"/>
    <s v="Approved"/>
    <x v="1"/>
    <n v="1"/>
    <n v="0"/>
    <n v="68500"/>
    <n v="9.3700000000000006E-2"/>
    <n v="12"/>
    <n v="0"/>
    <n v="1"/>
  </r>
  <r>
    <s v="LA-700301"/>
    <d v="2024-02-12T00:00:00"/>
    <x v="0"/>
    <s v="Q1"/>
    <x v="1"/>
    <x v="1"/>
    <x v="3"/>
    <x v="2"/>
    <x v="2"/>
    <x v="3"/>
    <n v="5400"/>
    <n v="17000"/>
    <n v="60"/>
    <n v="0.14299999999999999"/>
    <s v="Approved"/>
    <x v="1"/>
    <n v="1"/>
    <n v="0"/>
    <n v="13500"/>
    <n v="0.1085"/>
    <n v="5"/>
    <n v="0"/>
    <n v="1"/>
  </r>
  <r>
    <s v="LA-700302"/>
    <d v="2024-02-12T00:00:00"/>
    <x v="0"/>
    <s v="Q1"/>
    <x v="1"/>
    <x v="1"/>
    <x v="2"/>
    <x v="3"/>
    <x v="0"/>
    <x v="3"/>
    <n v="2900"/>
    <n v="18500"/>
    <n v="36"/>
    <n v="0.36"/>
    <s v="Approved"/>
    <x v="1"/>
    <n v="1"/>
    <n v="0"/>
    <n v="15000"/>
    <n v="0.10879999999999999"/>
    <n v="3"/>
    <n v="1"/>
    <n v="1"/>
  </r>
  <r>
    <s v="LA-700303"/>
    <d v="2024-02-12T00:00:00"/>
    <x v="0"/>
    <s v="Q1"/>
    <x v="1"/>
    <x v="1"/>
    <x v="1"/>
    <x v="3"/>
    <x v="2"/>
    <x v="0"/>
    <n v="6250"/>
    <n v="14500"/>
    <n v="24"/>
    <n v="0.28100000000000003"/>
    <s v="Approved"/>
    <x v="1"/>
    <n v="1"/>
    <n v="0"/>
    <n v="14500"/>
    <n v="0.13800000000000001"/>
    <n v="1"/>
    <n v="1"/>
    <n v="1"/>
  </r>
  <r>
    <s v="LA-700304"/>
    <d v="2024-02-12T00:00:00"/>
    <x v="0"/>
    <s v="Q1"/>
    <x v="1"/>
    <x v="1"/>
    <x v="2"/>
    <x v="2"/>
    <x v="2"/>
    <x v="3"/>
    <n v="3250"/>
    <n v="13000"/>
    <n v="36"/>
    <n v="0.35199999999999998"/>
    <s v="Approved"/>
    <x v="1"/>
    <n v="1"/>
    <n v="0"/>
    <n v="11500"/>
    <n v="0.11119999999999999"/>
    <n v="2"/>
    <n v="1"/>
    <n v="1"/>
  </r>
  <r>
    <s v="LA-700305"/>
    <d v="2024-02-12T00:00:00"/>
    <x v="0"/>
    <s v="Q1"/>
    <x v="1"/>
    <x v="2"/>
    <x v="3"/>
    <x v="4"/>
    <x v="1"/>
    <x v="4"/>
    <n v="4000"/>
    <n v="110000"/>
    <n v="60"/>
    <n v="0.71699999999999997"/>
    <s v="Approved"/>
    <x v="1"/>
    <n v="1"/>
    <n v="0"/>
    <n v="110000"/>
    <n v="9.8799999999999999E-2"/>
    <n v="14"/>
    <n v="0"/>
    <n v="1"/>
  </r>
  <r>
    <s v="LA-700306"/>
    <d v="2024-02-12T00:00:00"/>
    <x v="0"/>
    <s v="Q1"/>
    <x v="1"/>
    <x v="1"/>
    <x v="3"/>
    <x v="3"/>
    <x v="0"/>
    <x v="4"/>
    <n v="7750"/>
    <n v="16500"/>
    <n v="24"/>
    <n v="0.22500000000000001"/>
    <s v="Approved"/>
    <x v="1"/>
    <n v="1"/>
    <n v="0"/>
    <n v="15000"/>
    <n v="0.1162"/>
    <n v="3"/>
    <n v="1"/>
    <n v="1"/>
  </r>
  <r>
    <s v="LA-700307"/>
    <d v="2024-02-12T00:00:00"/>
    <x v="0"/>
    <s v="Q1"/>
    <x v="1"/>
    <x v="1"/>
    <x v="1"/>
    <x v="3"/>
    <x v="0"/>
    <x v="2"/>
    <n v="7850"/>
    <n v="16500"/>
    <n v="48"/>
    <n v="0.24199999999999999"/>
    <s v="Rejected"/>
    <x v="0"/>
    <n v="0"/>
    <n v="1"/>
    <n v="0"/>
    <m/>
    <n v="1"/>
    <n v="1"/>
    <n v="1"/>
  </r>
  <r>
    <s v="LA-700308"/>
    <d v="2024-02-12T00:00:00"/>
    <x v="0"/>
    <s v="Q1"/>
    <x v="1"/>
    <x v="1"/>
    <x v="3"/>
    <x v="0"/>
    <x v="0"/>
    <x v="1"/>
    <n v="8350"/>
    <n v="7000"/>
    <n v="24"/>
    <n v="0.16200000000000001"/>
    <s v="Approved"/>
    <x v="1"/>
    <n v="1"/>
    <n v="0"/>
    <n v="7000"/>
    <n v="0.12559999999999999"/>
    <n v="4"/>
    <n v="0"/>
    <n v="1"/>
  </r>
  <r>
    <s v="LA-700309"/>
    <d v="2024-02-12T00:00:00"/>
    <x v="0"/>
    <s v="Q1"/>
    <x v="1"/>
    <x v="1"/>
    <x v="0"/>
    <x v="2"/>
    <x v="1"/>
    <x v="0"/>
    <n v="6400"/>
    <n v="14500"/>
    <n v="12"/>
    <n v="0.39600000000000002"/>
    <s v="Rejected"/>
    <x v="0"/>
    <n v="0"/>
    <n v="1"/>
    <n v="0"/>
    <m/>
    <n v="4"/>
    <n v="0"/>
    <n v="1"/>
  </r>
  <r>
    <s v="LA-700310"/>
    <d v="2024-02-13T00:00:00"/>
    <x v="0"/>
    <s v="Q1"/>
    <x v="1"/>
    <x v="1"/>
    <x v="2"/>
    <x v="2"/>
    <x v="0"/>
    <x v="1"/>
    <n v="4200"/>
    <n v="19000"/>
    <n v="48"/>
    <n v="0.34699999999999998"/>
    <s v="Approved"/>
    <x v="1"/>
    <n v="1"/>
    <n v="0"/>
    <n v="19000"/>
    <n v="0.12379999999999999"/>
    <n v="3"/>
    <n v="1"/>
    <n v="1"/>
  </r>
  <r>
    <s v="LA-700311"/>
    <d v="2024-02-13T00:00:00"/>
    <x v="0"/>
    <s v="Q1"/>
    <x v="1"/>
    <x v="2"/>
    <x v="3"/>
    <x v="4"/>
    <x v="0"/>
    <x v="2"/>
    <n v="8600"/>
    <n v="114500"/>
    <n v="36"/>
    <n v="0.67700000000000005"/>
    <s v="Rejected"/>
    <x v="0"/>
    <n v="0"/>
    <n v="1"/>
    <n v="0"/>
    <m/>
    <n v="11"/>
    <n v="0"/>
    <n v="1"/>
  </r>
  <r>
    <s v="LA-700312"/>
    <d v="2024-02-13T00:00:00"/>
    <x v="0"/>
    <s v="Q1"/>
    <x v="1"/>
    <x v="0"/>
    <x v="3"/>
    <x v="3"/>
    <x v="0"/>
    <x v="4"/>
    <n v="5450"/>
    <n v="40500"/>
    <n v="60"/>
    <n v="0.32600000000000001"/>
    <s v="Rejected"/>
    <x v="2"/>
    <n v="0"/>
    <n v="1"/>
    <n v="0"/>
    <m/>
    <n v="5"/>
    <n v="0"/>
    <n v="1"/>
  </r>
  <r>
    <s v="LA-700313"/>
    <d v="2024-02-13T00:00:00"/>
    <x v="0"/>
    <s v="Q1"/>
    <x v="1"/>
    <x v="1"/>
    <x v="3"/>
    <x v="1"/>
    <x v="1"/>
    <x v="1"/>
    <n v="2600"/>
    <n v="10500"/>
    <n v="24"/>
    <n v="0.41199999999999998"/>
    <s v="Approved"/>
    <x v="1"/>
    <n v="1"/>
    <n v="0"/>
    <n v="8500"/>
    <n v="0.1235"/>
    <n v="4"/>
    <n v="0"/>
    <n v="1"/>
  </r>
  <r>
    <s v="LA-700314"/>
    <d v="2024-02-13T00:00:00"/>
    <x v="0"/>
    <s v="Q1"/>
    <x v="1"/>
    <x v="1"/>
    <x v="3"/>
    <x v="4"/>
    <x v="2"/>
    <x v="0"/>
    <n v="5900"/>
    <n v="23000"/>
    <n v="60"/>
    <n v="0.312"/>
    <s v="Approved"/>
    <x v="1"/>
    <n v="1"/>
    <n v="0"/>
    <n v="23000"/>
    <n v="0.13930000000000001"/>
    <n v="4"/>
    <n v="0"/>
    <n v="1"/>
  </r>
  <r>
    <s v="LA-700315"/>
    <d v="2024-02-13T00:00:00"/>
    <x v="0"/>
    <s v="Q1"/>
    <x v="1"/>
    <x v="1"/>
    <x v="1"/>
    <x v="3"/>
    <x v="0"/>
    <x v="1"/>
    <n v="7850"/>
    <n v="9000"/>
    <n v="12"/>
    <n v="0.33500000000000002"/>
    <s v="Rejected"/>
    <x v="4"/>
    <n v="0"/>
    <n v="1"/>
    <n v="0"/>
    <m/>
    <n v="7"/>
    <n v="0"/>
    <n v="1"/>
  </r>
  <r>
    <s v="LA-700316"/>
    <d v="2024-02-13T00:00:00"/>
    <x v="0"/>
    <s v="Q1"/>
    <x v="1"/>
    <x v="3"/>
    <x v="3"/>
    <x v="3"/>
    <x v="1"/>
    <x v="3"/>
    <n v="8600"/>
    <n v="140500"/>
    <n v="240"/>
    <n v="0.29699999999999999"/>
    <s v="Approved"/>
    <x v="1"/>
    <n v="1"/>
    <n v="0"/>
    <n v="140500"/>
    <n v="4.6100000000000002E-2"/>
    <n v="24"/>
    <n v="0"/>
    <n v="1"/>
  </r>
  <r>
    <s v="LA-700317"/>
    <d v="2024-02-13T00:00:00"/>
    <x v="0"/>
    <s v="Q1"/>
    <x v="1"/>
    <x v="1"/>
    <x v="0"/>
    <x v="4"/>
    <x v="0"/>
    <x v="4"/>
    <n v="4500"/>
    <n v="12500"/>
    <n v="24"/>
    <n v="0.32600000000000001"/>
    <s v="Approved"/>
    <x v="1"/>
    <n v="1"/>
    <n v="0"/>
    <n v="12500"/>
    <n v="0.10979999999999999"/>
    <n v="5"/>
    <n v="0"/>
    <n v="1"/>
  </r>
  <r>
    <s v="LA-700318"/>
    <d v="2024-02-13T00:00:00"/>
    <x v="0"/>
    <s v="Q1"/>
    <x v="1"/>
    <x v="1"/>
    <x v="3"/>
    <x v="3"/>
    <x v="1"/>
    <x v="1"/>
    <n v="4550"/>
    <n v="9500"/>
    <n v="12"/>
    <n v="0.35299999999999998"/>
    <s v="Approved"/>
    <x v="1"/>
    <n v="1"/>
    <n v="0"/>
    <n v="9500"/>
    <n v="0.1226"/>
    <n v="7"/>
    <n v="0"/>
    <n v="1"/>
  </r>
  <r>
    <s v="LA-700319"/>
    <d v="2024-02-14T00:00:00"/>
    <x v="0"/>
    <s v="Q1"/>
    <x v="1"/>
    <x v="0"/>
    <x v="3"/>
    <x v="4"/>
    <x v="0"/>
    <x v="0"/>
    <n v="10200"/>
    <n v="74500"/>
    <n v="48"/>
    <n v="0.26300000000000001"/>
    <s v="Rejected"/>
    <x v="0"/>
    <n v="0"/>
    <n v="1"/>
    <n v="0"/>
    <m/>
    <n v="9"/>
    <n v="0"/>
    <n v="1"/>
  </r>
  <r>
    <s v="LA-700320"/>
    <d v="2024-02-14T00:00:00"/>
    <x v="0"/>
    <s v="Q1"/>
    <x v="1"/>
    <x v="3"/>
    <x v="2"/>
    <x v="2"/>
    <x v="0"/>
    <x v="4"/>
    <n v="7000"/>
    <n v="263500"/>
    <n v="180"/>
    <n v="0.51800000000000002"/>
    <s v="Approved"/>
    <x v="1"/>
    <n v="1"/>
    <n v="0"/>
    <n v="263500"/>
    <n v="4.8300000000000003E-2"/>
    <n v="4"/>
    <n v="1"/>
    <n v="1"/>
  </r>
  <r>
    <s v="LA-700321"/>
    <d v="2024-02-14T00:00:00"/>
    <x v="0"/>
    <s v="Q1"/>
    <x v="1"/>
    <x v="0"/>
    <x v="3"/>
    <x v="2"/>
    <x v="2"/>
    <x v="1"/>
    <n v="4400"/>
    <n v="22500"/>
    <n v="48"/>
    <n v="0.36399999999999999"/>
    <s v="Approved"/>
    <x v="1"/>
    <n v="1"/>
    <n v="0"/>
    <n v="20000"/>
    <n v="8.0199999999999994E-2"/>
    <n v="8"/>
    <n v="0"/>
    <n v="1"/>
  </r>
  <r>
    <s v="LA-700322"/>
    <d v="2024-02-14T00:00:00"/>
    <x v="0"/>
    <s v="Q1"/>
    <x v="1"/>
    <x v="0"/>
    <x v="0"/>
    <x v="2"/>
    <x v="0"/>
    <x v="1"/>
    <n v="3950"/>
    <n v="29500"/>
    <n v="48"/>
    <n v="0.376"/>
    <s v="Approved"/>
    <x v="1"/>
    <n v="1"/>
    <n v="0"/>
    <n v="29500"/>
    <n v="8.5099999999999995E-2"/>
    <n v="8"/>
    <n v="0"/>
    <n v="1"/>
  </r>
  <r>
    <s v="LA-700323"/>
    <d v="2024-02-14T00:00:00"/>
    <x v="0"/>
    <s v="Q1"/>
    <x v="1"/>
    <x v="3"/>
    <x v="1"/>
    <x v="4"/>
    <x v="0"/>
    <x v="3"/>
    <n v="6000"/>
    <n v="326500"/>
    <n v="180"/>
    <n v="0.58699999999999997"/>
    <s v="Approved"/>
    <x v="1"/>
    <n v="1"/>
    <n v="0"/>
    <n v="326500"/>
    <n v="4.6300000000000001E-2"/>
    <n v="10"/>
    <n v="1"/>
    <n v="1"/>
  </r>
  <r>
    <s v="LA-700324"/>
    <d v="2024-02-15T00:00:00"/>
    <x v="0"/>
    <s v="Q1"/>
    <x v="1"/>
    <x v="0"/>
    <x v="1"/>
    <x v="2"/>
    <x v="1"/>
    <x v="1"/>
    <n v="3700"/>
    <n v="31000"/>
    <n v="48"/>
    <n v="0.443"/>
    <s v="Approved"/>
    <x v="1"/>
    <n v="1"/>
    <n v="0"/>
    <n v="31000"/>
    <n v="7.5700000000000003E-2"/>
    <n v="3"/>
    <n v="1"/>
    <n v="1"/>
  </r>
  <r>
    <s v="LA-700325"/>
    <d v="2024-02-15T00:00:00"/>
    <x v="0"/>
    <s v="Q1"/>
    <x v="1"/>
    <x v="1"/>
    <x v="3"/>
    <x v="1"/>
    <x v="2"/>
    <x v="1"/>
    <n v="3900"/>
    <n v="17500"/>
    <n v="60"/>
    <n v="0.34799999999999998"/>
    <s v="Withdrawn"/>
    <x v="1"/>
    <n v="0"/>
    <n v="0"/>
    <n v="0"/>
    <m/>
    <n v="6"/>
    <n v="0"/>
    <n v="1"/>
  </r>
  <r>
    <s v="LA-700326"/>
    <d v="2024-02-15T00:00:00"/>
    <x v="0"/>
    <s v="Q1"/>
    <x v="1"/>
    <x v="1"/>
    <x v="2"/>
    <x v="1"/>
    <x v="0"/>
    <x v="1"/>
    <n v="4800"/>
    <n v="12000"/>
    <n v="12"/>
    <n v="0.30599999999999999"/>
    <s v="Approved"/>
    <x v="1"/>
    <n v="1"/>
    <n v="0"/>
    <n v="11000"/>
    <n v="0.127"/>
    <n v="3"/>
    <n v="1"/>
    <n v="1"/>
  </r>
  <r>
    <s v="LA-700327"/>
    <d v="2024-02-15T00:00:00"/>
    <x v="0"/>
    <s v="Q1"/>
    <x v="1"/>
    <x v="1"/>
    <x v="3"/>
    <x v="1"/>
    <x v="0"/>
    <x v="1"/>
    <n v="7400"/>
    <n v="13500"/>
    <n v="36"/>
    <n v="0.27300000000000002"/>
    <s v="Approved"/>
    <x v="1"/>
    <n v="1"/>
    <n v="0"/>
    <n v="12000"/>
    <n v="0.12470000000000001"/>
    <n v="4"/>
    <n v="0"/>
    <n v="1"/>
  </r>
  <r>
    <s v="LA-700328"/>
    <d v="2024-02-15T00:00:00"/>
    <x v="0"/>
    <s v="Q1"/>
    <x v="1"/>
    <x v="0"/>
    <x v="1"/>
    <x v="3"/>
    <x v="1"/>
    <x v="2"/>
    <n v="6700"/>
    <n v="36000"/>
    <n v="60"/>
    <n v="0.17399999999999999"/>
    <s v="Rejected"/>
    <x v="0"/>
    <n v="0"/>
    <n v="1"/>
    <n v="0"/>
    <m/>
    <n v="3"/>
    <n v="1"/>
    <n v="1"/>
  </r>
  <r>
    <s v="LA-700329"/>
    <d v="2024-02-15T00:00:00"/>
    <x v="0"/>
    <s v="Q1"/>
    <x v="1"/>
    <x v="1"/>
    <x v="2"/>
    <x v="0"/>
    <x v="0"/>
    <x v="4"/>
    <n v="11050"/>
    <n v="11000"/>
    <n v="12"/>
    <n v="0.309"/>
    <s v="Approved"/>
    <x v="1"/>
    <n v="1"/>
    <n v="0"/>
    <n v="10000"/>
    <n v="0.11310000000000001"/>
    <n v="2"/>
    <n v="1"/>
    <n v="1"/>
  </r>
  <r>
    <s v="LA-700330"/>
    <d v="2024-02-15T00:00:00"/>
    <x v="0"/>
    <s v="Q1"/>
    <x v="1"/>
    <x v="1"/>
    <x v="3"/>
    <x v="1"/>
    <x v="2"/>
    <x v="4"/>
    <n v="2400"/>
    <n v="11500"/>
    <n v="48"/>
    <n v="0.183"/>
    <s v="Approved"/>
    <x v="1"/>
    <n v="1"/>
    <n v="0"/>
    <n v="11500"/>
    <n v="0.11210000000000001"/>
    <n v="3"/>
    <n v="1"/>
    <n v="1"/>
  </r>
  <r>
    <s v="LA-700331"/>
    <d v="2024-02-15T00:00:00"/>
    <x v="0"/>
    <s v="Q1"/>
    <x v="1"/>
    <x v="0"/>
    <x v="1"/>
    <x v="2"/>
    <x v="0"/>
    <x v="1"/>
    <n v="4300"/>
    <n v="11000"/>
    <n v="36"/>
    <n v="0.317"/>
    <s v="Approved"/>
    <x v="1"/>
    <n v="1"/>
    <n v="0"/>
    <n v="11000"/>
    <n v="8.1500000000000003E-2"/>
    <n v="2"/>
    <n v="1"/>
    <n v="1"/>
  </r>
  <r>
    <s v="LA-700332"/>
    <d v="2024-02-16T00:00:00"/>
    <x v="0"/>
    <s v="Q1"/>
    <x v="1"/>
    <x v="2"/>
    <x v="0"/>
    <x v="2"/>
    <x v="1"/>
    <x v="2"/>
    <n v="6000"/>
    <n v="140500"/>
    <n v="12"/>
    <n v="2.2599999999999998"/>
    <s v="Rejected"/>
    <x v="3"/>
    <n v="0"/>
    <n v="1"/>
    <n v="0"/>
    <m/>
    <n v="11"/>
    <n v="0"/>
    <n v="1"/>
  </r>
  <r>
    <s v="LA-700333"/>
    <d v="2024-02-16T00:00:00"/>
    <x v="0"/>
    <s v="Q1"/>
    <x v="1"/>
    <x v="0"/>
    <x v="2"/>
    <x v="3"/>
    <x v="1"/>
    <x v="1"/>
    <n v="12500"/>
    <n v="28000"/>
    <n v="48"/>
    <n v="0.189"/>
    <s v="Approved"/>
    <x v="1"/>
    <n v="1"/>
    <n v="0"/>
    <n v="28000"/>
    <n v="7.9100000000000004E-2"/>
    <n v="2"/>
    <n v="1"/>
    <n v="1"/>
  </r>
  <r>
    <s v="LA-700334"/>
    <d v="2024-02-16T00:00:00"/>
    <x v="0"/>
    <s v="Q1"/>
    <x v="1"/>
    <x v="0"/>
    <x v="3"/>
    <x v="2"/>
    <x v="0"/>
    <x v="4"/>
    <n v="6350"/>
    <n v="41000"/>
    <n v="36"/>
    <n v="0.314"/>
    <s v="Approved"/>
    <x v="1"/>
    <n v="1"/>
    <n v="0"/>
    <n v="37000"/>
    <n v="7.0300000000000001E-2"/>
    <n v="4"/>
    <n v="1"/>
    <n v="1"/>
  </r>
  <r>
    <s v="LA-700335"/>
    <d v="2024-02-16T00:00:00"/>
    <x v="0"/>
    <s v="Q1"/>
    <x v="1"/>
    <x v="1"/>
    <x v="2"/>
    <x v="3"/>
    <x v="1"/>
    <x v="1"/>
    <n v="5050"/>
    <n v="23500"/>
    <n v="36"/>
    <n v="0.25900000000000001"/>
    <s v="Approved"/>
    <x v="1"/>
    <n v="1"/>
    <n v="0"/>
    <n v="19000"/>
    <n v="0.1268"/>
    <n v="2"/>
    <n v="1"/>
    <n v="1"/>
  </r>
  <r>
    <s v="LA-700336"/>
    <d v="2024-02-16T00:00:00"/>
    <x v="0"/>
    <s v="Q1"/>
    <x v="1"/>
    <x v="2"/>
    <x v="3"/>
    <x v="2"/>
    <x v="1"/>
    <x v="1"/>
    <n v="5250"/>
    <n v="41500"/>
    <n v="12"/>
    <n v="0.90600000000000003"/>
    <s v="Rejected"/>
    <x v="3"/>
    <n v="0"/>
    <n v="1"/>
    <n v="0"/>
    <m/>
    <n v="7"/>
    <n v="1"/>
    <n v="1"/>
  </r>
  <r>
    <s v="LA-700337"/>
    <d v="2024-02-16T00:00:00"/>
    <x v="0"/>
    <s v="Q1"/>
    <x v="1"/>
    <x v="1"/>
    <x v="1"/>
    <x v="1"/>
    <x v="1"/>
    <x v="4"/>
    <n v="9200"/>
    <n v="9000"/>
    <n v="12"/>
    <n v="0.313"/>
    <s v="Rejected"/>
    <x v="5"/>
    <n v="0"/>
    <n v="1"/>
    <n v="0"/>
    <m/>
    <n v="2"/>
    <n v="1"/>
    <n v="1"/>
  </r>
  <r>
    <s v="LA-700338"/>
    <d v="2024-02-16T00:00:00"/>
    <x v="0"/>
    <s v="Q1"/>
    <x v="1"/>
    <x v="1"/>
    <x v="3"/>
    <x v="3"/>
    <x v="0"/>
    <x v="0"/>
    <n v="9050"/>
    <n v="7000"/>
    <n v="36"/>
    <n v="0.185"/>
    <s v="Approved"/>
    <x v="1"/>
    <n v="1"/>
    <n v="0"/>
    <n v="7000"/>
    <n v="0.14530000000000001"/>
    <n v="8"/>
    <n v="0"/>
    <n v="1"/>
  </r>
  <r>
    <s v="LA-700339"/>
    <d v="2024-02-16T00:00:00"/>
    <x v="0"/>
    <s v="Q1"/>
    <x v="1"/>
    <x v="1"/>
    <x v="3"/>
    <x v="2"/>
    <x v="2"/>
    <x v="1"/>
    <n v="6550"/>
    <n v="15000"/>
    <n v="36"/>
    <n v="0.185"/>
    <s v="Rejected"/>
    <x v="0"/>
    <n v="0"/>
    <n v="1"/>
    <n v="0"/>
    <m/>
    <n v="9"/>
    <n v="0"/>
    <n v="1"/>
  </r>
  <r>
    <s v="LA-700340"/>
    <d v="2024-02-17T00:00:00"/>
    <x v="0"/>
    <s v="Q1"/>
    <x v="1"/>
    <x v="1"/>
    <x v="0"/>
    <x v="4"/>
    <x v="0"/>
    <x v="1"/>
    <n v="5400"/>
    <n v="13500"/>
    <n v="12"/>
    <n v="0.33600000000000002"/>
    <s v="Approved"/>
    <x v="1"/>
    <n v="1"/>
    <n v="0"/>
    <n v="13500"/>
    <n v="0.1229"/>
    <n v="3"/>
    <n v="1"/>
    <n v="1"/>
  </r>
  <r>
    <s v="LA-700341"/>
    <d v="2024-02-17T00:00:00"/>
    <x v="0"/>
    <s v="Q1"/>
    <x v="1"/>
    <x v="1"/>
    <x v="2"/>
    <x v="3"/>
    <x v="0"/>
    <x v="3"/>
    <n v="2650"/>
    <n v="6500"/>
    <n v="12"/>
    <n v="0.318"/>
    <s v="Approved"/>
    <x v="1"/>
    <n v="1"/>
    <n v="0"/>
    <n v="5000"/>
    <n v="0.114"/>
    <n v="2"/>
    <n v="1"/>
    <n v="1"/>
  </r>
  <r>
    <s v="LA-700342"/>
    <d v="2024-02-17T00:00:00"/>
    <x v="0"/>
    <s v="Q1"/>
    <x v="1"/>
    <x v="0"/>
    <x v="2"/>
    <x v="3"/>
    <x v="0"/>
    <x v="4"/>
    <n v="9450"/>
    <n v="31000"/>
    <n v="48"/>
    <n v="0.28399999999999997"/>
    <s v="Approved"/>
    <x v="1"/>
    <n v="1"/>
    <n v="0"/>
    <n v="31000"/>
    <n v="6.7599999999999993E-2"/>
    <n v="5"/>
    <n v="0"/>
    <n v="1"/>
  </r>
  <r>
    <s v="LA-700343"/>
    <d v="2024-02-17T00:00:00"/>
    <x v="0"/>
    <s v="Q1"/>
    <x v="1"/>
    <x v="1"/>
    <x v="3"/>
    <x v="0"/>
    <x v="0"/>
    <x v="3"/>
    <n v="6000"/>
    <n v="9500"/>
    <n v="60"/>
    <n v="0.17499999999999999"/>
    <s v="Approved"/>
    <x v="1"/>
    <n v="1"/>
    <n v="0"/>
    <n v="7500"/>
    <n v="0.10920000000000001"/>
    <n v="3"/>
    <n v="1"/>
    <n v="1"/>
  </r>
  <r>
    <s v="LA-700344"/>
    <d v="2024-02-17T00:00:00"/>
    <x v="0"/>
    <s v="Q1"/>
    <x v="1"/>
    <x v="1"/>
    <x v="2"/>
    <x v="2"/>
    <x v="2"/>
    <x v="1"/>
    <n v="9050"/>
    <n v="10000"/>
    <n v="36"/>
    <n v="0.109"/>
    <s v="Approved"/>
    <x v="1"/>
    <n v="1"/>
    <n v="0"/>
    <n v="10000"/>
    <n v="0.12970000000000001"/>
    <n v="2"/>
    <n v="1"/>
    <n v="1"/>
  </r>
  <r>
    <s v="LA-700345"/>
    <d v="2024-02-18T00:00:00"/>
    <x v="0"/>
    <s v="Q1"/>
    <x v="1"/>
    <x v="2"/>
    <x v="1"/>
    <x v="3"/>
    <x v="1"/>
    <x v="2"/>
    <n v="6450"/>
    <n v="70500"/>
    <n v="24"/>
    <n v="0.71599999999999997"/>
    <s v="Rejected"/>
    <x v="0"/>
    <n v="0"/>
    <n v="1"/>
    <n v="0"/>
    <m/>
    <n v="3"/>
    <n v="1"/>
    <n v="1"/>
  </r>
  <r>
    <s v="LA-700346"/>
    <d v="2024-02-18T00:00:00"/>
    <x v="0"/>
    <s v="Q1"/>
    <x v="1"/>
    <x v="0"/>
    <x v="1"/>
    <x v="2"/>
    <x v="2"/>
    <x v="0"/>
    <n v="8750"/>
    <n v="24000"/>
    <n v="48"/>
    <n v="0.154"/>
    <s v="Withdrawn"/>
    <x v="1"/>
    <n v="0"/>
    <n v="0"/>
    <n v="0"/>
    <m/>
    <n v="3"/>
    <n v="1"/>
    <n v="1"/>
  </r>
  <r>
    <s v="LA-700347"/>
    <d v="2024-02-19T00:00:00"/>
    <x v="0"/>
    <s v="Q1"/>
    <x v="1"/>
    <x v="3"/>
    <x v="3"/>
    <x v="1"/>
    <x v="0"/>
    <x v="4"/>
    <n v="4900"/>
    <n v="193000"/>
    <n v="240"/>
    <n v="0.33200000000000002"/>
    <s v="Approved"/>
    <x v="1"/>
    <n v="1"/>
    <n v="0"/>
    <n v="193000"/>
    <n v="5.0099999999999999E-2"/>
    <n v="24"/>
    <n v="0"/>
    <n v="1"/>
  </r>
  <r>
    <s v="LA-700348"/>
    <d v="2024-02-19T00:00:00"/>
    <x v="0"/>
    <s v="Q1"/>
    <x v="1"/>
    <x v="2"/>
    <x v="0"/>
    <x v="2"/>
    <x v="0"/>
    <x v="1"/>
    <n v="7150"/>
    <n v="49000"/>
    <n v="12"/>
    <n v="0.71099999999999997"/>
    <s v="Rejected"/>
    <x v="4"/>
    <n v="0"/>
    <n v="1"/>
    <n v="0"/>
    <m/>
    <n v="21"/>
    <n v="0"/>
    <n v="1"/>
  </r>
  <r>
    <s v="LA-700349"/>
    <d v="2024-02-19T00:00:00"/>
    <x v="0"/>
    <s v="Q1"/>
    <x v="1"/>
    <x v="1"/>
    <x v="1"/>
    <x v="3"/>
    <x v="2"/>
    <x v="2"/>
    <n v="4800"/>
    <n v="9500"/>
    <n v="12"/>
    <n v="0.35299999999999998"/>
    <s v="Approved"/>
    <x v="1"/>
    <n v="1"/>
    <n v="0"/>
    <n v="9500"/>
    <n v="0.15759999999999999"/>
    <n v="2"/>
    <n v="1"/>
    <n v="1"/>
  </r>
  <r>
    <s v="LA-700350"/>
    <d v="2024-02-19T00:00:00"/>
    <x v="0"/>
    <s v="Q1"/>
    <x v="1"/>
    <x v="3"/>
    <x v="1"/>
    <x v="2"/>
    <x v="2"/>
    <x v="1"/>
    <n v="8500"/>
    <n v="298500"/>
    <n v="240"/>
    <n v="0.33500000000000002"/>
    <s v="Approved"/>
    <x v="1"/>
    <n v="1"/>
    <n v="0"/>
    <n v="239000"/>
    <n v="6.6500000000000004E-2"/>
    <n v="8"/>
    <n v="1"/>
    <n v="1"/>
  </r>
  <r>
    <s v="LA-700351"/>
    <d v="2024-02-19T00:00:00"/>
    <x v="0"/>
    <s v="Q1"/>
    <x v="1"/>
    <x v="1"/>
    <x v="2"/>
    <x v="1"/>
    <x v="0"/>
    <x v="0"/>
    <n v="5550"/>
    <n v="17000"/>
    <n v="60"/>
    <n v="0.28299999999999997"/>
    <s v="Rejected"/>
    <x v="4"/>
    <n v="0"/>
    <n v="1"/>
    <n v="0"/>
    <m/>
    <n v="9"/>
    <n v="0"/>
    <n v="1"/>
  </r>
  <r>
    <s v="LA-700352"/>
    <d v="2024-02-20T00:00:00"/>
    <x v="0"/>
    <s v="Q1"/>
    <x v="1"/>
    <x v="0"/>
    <x v="2"/>
    <x v="2"/>
    <x v="1"/>
    <x v="1"/>
    <n v="4850"/>
    <n v="28000"/>
    <n v="36"/>
    <n v="0.34200000000000003"/>
    <s v="Approved"/>
    <x v="1"/>
    <n v="1"/>
    <n v="0"/>
    <n v="28000"/>
    <n v="7.8700000000000006E-2"/>
    <n v="3"/>
    <n v="1"/>
    <n v="1"/>
  </r>
  <r>
    <s v="LA-700353"/>
    <d v="2024-02-20T00:00:00"/>
    <x v="0"/>
    <s v="Q1"/>
    <x v="1"/>
    <x v="1"/>
    <x v="2"/>
    <x v="1"/>
    <x v="2"/>
    <x v="0"/>
    <n v="5500"/>
    <n v="5500"/>
    <n v="36"/>
    <n v="0.158"/>
    <s v="Rejected"/>
    <x v="0"/>
    <n v="0"/>
    <n v="1"/>
    <n v="0"/>
    <m/>
    <n v="1"/>
    <n v="1"/>
    <n v="1"/>
  </r>
  <r>
    <s v="LA-700354"/>
    <d v="2024-02-20T00:00:00"/>
    <x v="0"/>
    <s v="Q1"/>
    <x v="1"/>
    <x v="1"/>
    <x v="3"/>
    <x v="1"/>
    <x v="0"/>
    <x v="4"/>
    <n v="3800"/>
    <n v="10500"/>
    <n v="24"/>
    <n v="0.25800000000000001"/>
    <s v="Approved"/>
    <x v="1"/>
    <n v="1"/>
    <n v="0"/>
    <n v="10500"/>
    <n v="0.1166"/>
    <n v="6"/>
    <n v="0"/>
    <n v="1"/>
  </r>
  <r>
    <s v="LA-700355"/>
    <d v="2024-02-20T00:00:00"/>
    <x v="0"/>
    <s v="Q1"/>
    <x v="1"/>
    <x v="1"/>
    <x v="3"/>
    <x v="2"/>
    <x v="1"/>
    <x v="1"/>
    <n v="6200"/>
    <n v="13000"/>
    <n v="60"/>
    <n v="0.27200000000000002"/>
    <s v="Rejected"/>
    <x v="5"/>
    <n v="0"/>
    <n v="1"/>
    <n v="0"/>
    <m/>
    <n v="7"/>
    <n v="0"/>
    <n v="1"/>
  </r>
  <r>
    <s v="LA-700356"/>
    <d v="2024-02-21T00:00:00"/>
    <x v="0"/>
    <s v="Q1"/>
    <x v="1"/>
    <x v="2"/>
    <x v="2"/>
    <x v="4"/>
    <x v="1"/>
    <x v="3"/>
    <n v="4200"/>
    <n v="135500"/>
    <n v="60"/>
    <n v="0.89600000000000002"/>
    <s v="Rejected"/>
    <x v="3"/>
    <n v="0"/>
    <n v="1"/>
    <n v="0"/>
    <m/>
    <n v="6"/>
    <n v="1"/>
    <n v="1"/>
  </r>
  <r>
    <s v="LA-700357"/>
    <d v="2024-02-21T00:00:00"/>
    <x v="0"/>
    <s v="Q1"/>
    <x v="1"/>
    <x v="0"/>
    <x v="2"/>
    <x v="1"/>
    <x v="1"/>
    <x v="0"/>
    <n v="6500"/>
    <n v="46500"/>
    <n v="36"/>
    <n v="0.27700000000000002"/>
    <s v="Approved"/>
    <x v="1"/>
    <n v="1"/>
    <n v="0"/>
    <n v="46500"/>
    <n v="9.4299999999999995E-2"/>
    <n v="7"/>
    <n v="0"/>
    <n v="1"/>
  </r>
  <r>
    <s v="LA-700358"/>
    <d v="2024-02-21T00:00:00"/>
    <x v="0"/>
    <s v="Q1"/>
    <x v="1"/>
    <x v="0"/>
    <x v="3"/>
    <x v="3"/>
    <x v="2"/>
    <x v="1"/>
    <n v="13000"/>
    <n v="20000"/>
    <n v="48"/>
    <n v="0.115"/>
    <s v="Rejected"/>
    <x v="2"/>
    <n v="0"/>
    <n v="1"/>
    <n v="0"/>
    <m/>
    <n v="10"/>
    <n v="0"/>
    <n v="1"/>
  </r>
  <r>
    <s v="LA-700359"/>
    <d v="2024-02-21T00:00:00"/>
    <x v="0"/>
    <s v="Q1"/>
    <x v="1"/>
    <x v="3"/>
    <x v="3"/>
    <x v="0"/>
    <x v="1"/>
    <x v="4"/>
    <n v="7300"/>
    <n v="548000"/>
    <n v="240"/>
    <n v="0.58499999999999996"/>
    <s v="Approved"/>
    <x v="1"/>
    <n v="1"/>
    <n v="0"/>
    <n v="548000"/>
    <n v="4.8500000000000001E-2"/>
    <n v="17"/>
    <n v="0"/>
    <n v="1"/>
  </r>
  <r>
    <s v="LA-700360"/>
    <d v="2024-02-21T00:00:00"/>
    <x v="0"/>
    <s v="Q1"/>
    <x v="1"/>
    <x v="1"/>
    <x v="1"/>
    <x v="1"/>
    <x v="0"/>
    <x v="3"/>
    <n v="6350"/>
    <n v="11500"/>
    <n v="48"/>
    <n v="0.14499999999999999"/>
    <s v="Approved"/>
    <x v="1"/>
    <n v="1"/>
    <n v="0"/>
    <n v="11500"/>
    <n v="0.1114"/>
    <n v="2"/>
    <n v="1"/>
    <n v="1"/>
  </r>
  <r>
    <s v="LA-700361"/>
    <d v="2024-02-21T00:00:00"/>
    <x v="0"/>
    <s v="Q1"/>
    <x v="1"/>
    <x v="1"/>
    <x v="0"/>
    <x v="3"/>
    <x v="0"/>
    <x v="4"/>
    <n v="4050"/>
    <n v="11000"/>
    <n v="24"/>
    <n v="0.308"/>
    <s v="Approved"/>
    <x v="1"/>
    <n v="1"/>
    <n v="0"/>
    <n v="10000"/>
    <n v="0.1119"/>
    <n v="8"/>
    <n v="0"/>
    <n v="1"/>
  </r>
  <r>
    <s v="LA-700362"/>
    <d v="2024-02-21T00:00:00"/>
    <x v="0"/>
    <s v="Q1"/>
    <x v="1"/>
    <x v="2"/>
    <x v="3"/>
    <x v="4"/>
    <x v="0"/>
    <x v="1"/>
    <n v="4200"/>
    <n v="161500"/>
    <n v="24"/>
    <n v="1.84"/>
    <s v="Rejected"/>
    <x v="3"/>
    <n v="0"/>
    <n v="1"/>
    <n v="0"/>
    <m/>
    <n v="14"/>
    <n v="0"/>
    <n v="1"/>
  </r>
  <r>
    <s v="LA-700363"/>
    <d v="2024-02-21T00:00:00"/>
    <x v="0"/>
    <s v="Q1"/>
    <x v="1"/>
    <x v="2"/>
    <x v="2"/>
    <x v="3"/>
    <x v="0"/>
    <x v="4"/>
    <n v="3850"/>
    <n v="75500"/>
    <n v="24"/>
    <n v="0.95799999999999996"/>
    <s v="Approved"/>
    <x v="1"/>
    <n v="1"/>
    <n v="0"/>
    <n v="75500"/>
    <n v="9.4799999999999995E-2"/>
    <n v="6"/>
    <n v="1"/>
    <n v="1"/>
  </r>
  <r>
    <s v="LA-700364"/>
    <d v="2024-02-21T00:00:00"/>
    <x v="0"/>
    <s v="Q1"/>
    <x v="1"/>
    <x v="2"/>
    <x v="1"/>
    <x v="2"/>
    <x v="0"/>
    <x v="4"/>
    <n v="7600"/>
    <n v="49500"/>
    <n v="24"/>
    <n v="0.51100000000000001"/>
    <s v="Approved"/>
    <x v="1"/>
    <n v="1"/>
    <n v="0"/>
    <n v="44500"/>
    <n v="9.5899999999999999E-2"/>
    <n v="6"/>
    <n v="1"/>
    <n v="1"/>
  </r>
  <r>
    <s v="LA-700365"/>
    <d v="2024-02-21T00:00:00"/>
    <x v="0"/>
    <s v="Q1"/>
    <x v="1"/>
    <x v="3"/>
    <x v="3"/>
    <x v="2"/>
    <x v="0"/>
    <x v="3"/>
    <n v="2450"/>
    <n v="381000"/>
    <n v="240"/>
    <n v="1.23"/>
    <s v="Rejected"/>
    <x v="3"/>
    <n v="0"/>
    <n v="1"/>
    <n v="0"/>
    <m/>
    <n v="16"/>
    <n v="0"/>
    <n v="1"/>
  </r>
  <r>
    <s v="LA-700366"/>
    <d v="2024-02-21T00:00:00"/>
    <x v="0"/>
    <s v="Q1"/>
    <x v="1"/>
    <x v="0"/>
    <x v="1"/>
    <x v="2"/>
    <x v="0"/>
    <x v="0"/>
    <n v="5000"/>
    <n v="35500"/>
    <n v="36"/>
    <n v="0.373"/>
    <s v="Rejected"/>
    <x v="0"/>
    <n v="0"/>
    <n v="1"/>
    <n v="0"/>
    <m/>
    <n v="3"/>
    <n v="1"/>
    <n v="1"/>
  </r>
  <r>
    <s v="LA-700367"/>
    <d v="2024-02-21T00:00:00"/>
    <x v="0"/>
    <s v="Q1"/>
    <x v="1"/>
    <x v="1"/>
    <x v="2"/>
    <x v="3"/>
    <x v="2"/>
    <x v="4"/>
    <n v="8100"/>
    <n v="10000"/>
    <n v="48"/>
    <n v="0.13100000000000001"/>
    <s v="Approved"/>
    <x v="1"/>
    <n v="1"/>
    <n v="0"/>
    <n v="9000"/>
    <n v="0.1178"/>
    <n v="4"/>
    <n v="0"/>
    <n v="1"/>
  </r>
  <r>
    <s v="LA-700368"/>
    <d v="2024-02-21T00:00:00"/>
    <x v="0"/>
    <s v="Q1"/>
    <x v="1"/>
    <x v="1"/>
    <x v="3"/>
    <x v="1"/>
    <x v="0"/>
    <x v="1"/>
    <n v="4300"/>
    <n v="14000"/>
    <n v="60"/>
    <n v="0.28599999999999998"/>
    <s v="Approved"/>
    <x v="1"/>
    <n v="1"/>
    <n v="0"/>
    <n v="12500"/>
    <n v="0.1221"/>
    <n v="9"/>
    <n v="0"/>
    <n v="1"/>
  </r>
  <r>
    <s v="LA-700369"/>
    <d v="2024-02-21T00:00:00"/>
    <x v="0"/>
    <s v="Q1"/>
    <x v="1"/>
    <x v="1"/>
    <x v="3"/>
    <x v="3"/>
    <x v="0"/>
    <x v="4"/>
    <n v="5050"/>
    <n v="9500"/>
    <n v="36"/>
    <n v="0.23699999999999999"/>
    <s v="Approved"/>
    <x v="1"/>
    <n v="1"/>
    <n v="0"/>
    <n v="7500"/>
    <n v="0.114"/>
    <n v="5"/>
    <n v="0"/>
    <n v="1"/>
  </r>
  <r>
    <s v="LA-700370"/>
    <d v="2024-02-21T00:00:00"/>
    <x v="0"/>
    <s v="Q1"/>
    <x v="1"/>
    <x v="1"/>
    <x v="2"/>
    <x v="4"/>
    <x v="1"/>
    <x v="1"/>
    <n v="4300"/>
    <n v="10500"/>
    <n v="48"/>
    <n v="0.309"/>
    <s v="Approved"/>
    <x v="1"/>
    <n v="1"/>
    <n v="0"/>
    <n v="9500"/>
    <n v="0.1232"/>
    <n v="3"/>
    <n v="1"/>
    <n v="1"/>
  </r>
  <r>
    <s v="LA-700371"/>
    <d v="2024-02-22T00:00:00"/>
    <x v="0"/>
    <s v="Q1"/>
    <x v="1"/>
    <x v="1"/>
    <x v="2"/>
    <x v="3"/>
    <x v="0"/>
    <x v="0"/>
    <n v="5450"/>
    <n v="8000"/>
    <n v="36"/>
    <n v="0.192"/>
    <s v="Approved"/>
    <x v="1"/>
    <n v="1"/>
    <n v="0"/>
    <n v="7000"/>
    <n v="0.14360000000000001"/>
    <n v="2"/>
    <n v="1"/>
    <n v="1"/>
  </r>
  <r>
    <s v="LA-700372"/>
    <d v="2024-02-22T00:00:00"/>
    <x v="0"/>
    <s v="Q1"/>
    <x v="1"/>
    <x v="3"/>
    <x v="0"/>
    <x v="2"/>
    <x v="1"/>
    <x v="4"/>
    <n v="3900"/>
    <n v="161500"/>
    <n v="180"/>
    <n v="0.44600000000000001"/>
    <s v="Rejected"/>
    <x v="4"/>
    <n v="0"/>
    <n v="1"/>
    <n v="0"/>
    <m/>
    <n v="31"/>
    <n v="0"/>
    <n v="1"/>
  </r>
  <r>
    <s v="LA-700373"/>
    <d v="2024-02-22T00:00:00"/>
    <x v="0"/>
    <s v="Q1"/>
    <x v="1"/>
    <x v="1"/>
    <x v="1"/>
    <x v="3"/>
    <x v="1"/>
    <x v="4"/>
    <n v="3450"/>
    <n v="5000"/>
    <n v="12"/>
    <n v="0.27900000000000003"/>
    <s v="Approved"/>
    <x v="1"/>
    <n v="1"/>
    <n v="0"/>
    <n v="5000"/>
    <n v="0.1153"/>
    <n v="2"/>
    <n v="1"/>
    <n v="1"/>
  </r>
  <r>
    <s v="LA-700374"/>
    <d v="2024-02-22T00:00:00"/>
    <x v="0"/>
    <s v="Q1"/>
    <x v="1"/>
    <x v="0"/>
    <x v="3"/>
    <x v="1"/>
    <x v="1"/>
    <x v="4"/>
    <n v="3150"/>
    <n v="37500"/>
    <n v="48"/>
    <n v="0.51900000000000002"/>
    <s v="Approved"/>
    <x v="1"/>
    <n v="1"/>
    <n v="0"/>
    <n v="34000"/>
    <n v="7.2099999999999997E-2"/>
    <n v="4"/>
    <n v="1"/>
    <n v="1"/>
  </r>
  <r>
    <s v="LA-700375"/>
    <d v="2024-02-23T00:00:00"/>
    <x v="0"/>
    <s v="Q1"/>
    <x v="1"/>
    <x v="2"/>
    <x v="2"/>
    <x v="3"/>
    <x v="0"/>
    <x v="1"/>
    <n v="3700"/>
    <n v="95000"/>
    <n v="60"/>
    <n v="0.621"/>
    <s v="Rejected"/>
    <x v="3"/>
    <n v="0"/>
    <n v="1"/>
    <n v="0"/>
    <m/>
    <n v="10"/>
    <n v="1"/>
    <n v="1"/>
  </r>
  <r>
    <s v="LA-700376"/>
    <d v="2024-02-23T00:00:00"/>
    <x v="0"/>
    <s v="Q1"/>
    <x v="1"/>
    <x v="2"/>
    <x v="1"/>
    <x v="1"/>
    <x v="0"/>
    <x v="1"/>
    <n v="7300"/>
    <n v="151000"/>
    <n v="24"/>
    <n v="1.0860000000000001"/>
    <s v="Approved"/>
    <x v="1"/>
    <n v="1"/>
    <n v="0"/>
    <n v="121000"/>
    <n v="0.10340000000000001"/>
    <n v="4"/>
    <n v="1"/>
    <n v="1"/>
  </r>
  <r>
    <s v="LA-700377"/>
    <d v="2024-02-23T00:00:00"/>
    <x v="0"/>
    <s v="Q1"/>
    <x v="1"/>
    <x v="2"/>
    <x v="2"/>
    <x v="2"/>
    <x v="0"/>
    <x v="1"/>
    <n v="12400"/>
    <n v="97000"/>
    <n v="24"/>
    <n v="0.60699999999999998"/>
    <s v="Approved"/>
    <x v="1"/>
    <n v="1"/>
    <n v="0"/>
    <n v="97000"/>
    <n v="0.10829999999999999"/>
    <n v="10"/>
    <n v="1"/>
    <n v="1"/>
  </r>
  <r>
    <s v="LA-700378"/>
    <d v="2024-02-23T00:00:00"/>
    <x v="0"/>
    <s v="Q1"/>
    <x v="1"/>
    <x v="1"/>
    <x v="3"/>
    <x v="3"/>
    <x v="0"/>
    <x v="0"/>
    <n v="2900"/>
    <n v="17500"/>
    <n v="12"/>
    <n v="0.76700000000000002"/>
    <s v="Approved"/>
    <x v="1"/>
    <n v="1"/>
    <n v="0"/>
    <n v="14000"/>
    <n v="0.13830000000000001"/>
    <n v="3"/>
    <n v="1"/>
    <n v="1"/>
  </r>
  <r>
    <s v="LA-700379"/>
    <d v="2024-02-23T00:00:00"/>
    <x v="0"/>
    <s v="Q1"/>
    <x v="1"/>
    <x v="3"/>
    <x v="2"/>
    <x v="4"/>
    <x v="1"/>
    <x v="2"/>
    <n v="4100"/>
    <n v="140000"/>
    <n v="240"/>
    <n v="0.29699999999999999"/>
    <s v="Rejected"/>
    <x v="0"/>
    <n v="0"/>
    <n v="1"/>
    <n v="0"/>
    <m/>
    <n v="6"/>
    <n v="1"/>
    <n v="1"/>
  </r>
  <r>
    <s v="LA-700380"/>
    <d v="2024-02-23T00:00:00"/>
    <x v="0"/>
    <s v="Q1"/>
    <x v="1"/>
    <x v="1"/>
    <x v="3"/>
    <x v="0"/>
    <x v="1"/>
    <x v="3"/>
    <n v="3150"/>
    <n v="11000"/>
    <n v="36"/>
    <n v="0.35699999999999998"/>
    <s v="Rejected"/>
    <x v="5"/>
    <n v="0"/>
    <n v="1"/>
    <n v="0"/>
    <m/>
    <n v="4"/>
    <n v="0"/>
    <n v="1"/>
  </r>
  <r>
    <s v="LA-700381"/>
    <d v="2024-02-24T00:00:00"/>
    <x v="0"/>
    <s v="Q1"/>
    <x v="1"/>
    <x v="1"/>
    <x v="3"/>
    <x v="1"/>
    <x v="0"/>
    <x v="0"/>
    <n v="8100"/>
    <n v="13500"/>
    <n v="60"/>
    <n v="0.248"/>
    <s v="Rejected"/>
    <x v="0"/>
    <n v="0"/>
    <n v="1"/>
    <n v="0"/>
    <m/>
    <n v="3"/>
    <n v="1"/>
    <n v="1"/>
  </r>
  <r>
    <s v="LA-700382"/>
    <d v="2024-02-24T00:00:00"/>
    <x v="0"/>
    <s v="Q1"/>
    <x v="1"/>
    <x v="0"/>
    <x v="2"/>
    <x v="2"/>
    <x v="0"/>
    <x v="0"/>
    <n v="8450"/>
    <n v="24500"/>
    <n v="60"/>
    <n v="0.26800000000000002"/>
    <s v="Rejected"/>
    <x v="0"/>
    <n v="0"/>
    <n v="1"/>
    <n v="0"/>
    <m/>
    <n v="2"/>
    <n v="1"/>
    <n v="1"/>
  </r>
  <r>
    <s v="LA-700383"/>
    <d v="2024-02-24T00:00:00"/>
    <x v="0"/>
    <s v="Q1"/>
    <x v="1"/>
    <x v="0"/>
    <x v="2"/>
    <x v="0"/>
    <x v="0"/>
    <x v="1"/>
    <n v="13550"/>
    <n v="55000"/>
    <n v="48"/>
    <n v="0.32"/>
    <s v="Approved"/>
    <x v="1"/>
    <n v="1"/>
    <n v="0"/>
    <n v="55000"/>
    <n v="8.5000000000000006E-2"/>
    <n v="3"/>
    <n v="1"/>
    <n v="1"/>
  </r>
  <r>
    <s v="LA-700384"/>
    <d v="2024-02-25T00:00:00"/>
    <x v="0"/>
    <s v="Q1"/>
    <x v="1"/>
    <x v="3"/>
    <x v="2"/>
    <x v="3"/>
    <x v="2"/>
    <x v="3"/>
    <n v="8150"/>
    <n v="374000"/>
    <n v="240"/>
    <n v="0.51200000000000001"/>
    <s v="Approved"/>
    <x v="1"/>
    <n v="1"/>
    <n v="0"/>
    <n v="299000"/>
    <n v="4.2299999999999997E-2"/>
    <n v="12"/>
    <n v="1"/>
    <n v="1"/>
  </r>
  <r>
    <s v="LA-700385"/>
    <d v="2024-02-25T00:00:00"/>
    <x v="0"/>
    <s v="Q1"/>
    <x v="1"/>
    <x v="0"/>
    <x v="2"/>
    <x v="3"/>
    <x v="0"/>
    <x v="4"/>
    <n v="7100"/>
    <n v="39500"/>
    <n v="60"/>
    <n v="0.35499999999999998"/>
    <s v="Approved"/>
    <x v="1"/>
    <n v="1"/>
    <n v="0"/>
    <n v="31500"/>
    <n v="7.3200000000000001E-2"/>
    <n v="5"/>
    <n v="0"/>
    <n v="1"/>
  </r>
  <r>
    <s v="LA-700386"/>
    <d v="2024-02-26T00:00:00"/>
    <x v="0"/>
    <s v="Q1"/>
    <x v="1"/>
    <x v="0"/>
    <x v="2"/>
    <x v="3"/>
    <x v="0"/>
    <x v="0"/>
    <n v="5400"/>
    <n v="15000"/>
    <n v="48"/>
    <n v="0.27300000000000002"/>
    <s v="Approved"/>
    <x v="1"/>
    <n v="1"/>
    <n v="0"/>
    <n v="12000"/>
    <n v="9.3399999999999997E-2"/>
    <n v="2"/>
    <n v="1"/>
    <n v="1"/>
  </r>
  <r>
    <s v="LA-700387"/>
    <d v="2024-02-26T00:00:00"/>
    <x v="0"/>
    <s v="Q1"/>
    <x v="1"/>
    <x v="1"/>
    <x v="2"/>
    <x v="1"/>
    <x v="2"/>
    <x v="1"/>
    <n v="7550"/>
    <n v="11500"/>
    <n v="48"/>
    <n v="0.23799999999999999"/>
    <s v="Approved"/>
    <x v="1"/>
    <n v="1"/>
    <n v="0"/>
    <n v="10500"/>
    <n v="0.13109999999999999"/>
    <n v="5"/>
    <n v="0"/>
    <n v="1"/>
  </r>
  <r>
    <s v="LA-700388"/>
    <d v="2024-02-26T00:00:00"/>
    <x v="0"/>
    <s v="Q1"/>
    <x v="1"/>
    <x v="1"/>
    <x v="1"/>
    <x v="1"/>
    <x v="1"/>
    <x v="4"/>
    <n v="8000"/>
    <n v="11000"/>
    <n v="12"/>
    <n v="0.26400000000000001"/>
    <s v="Approved"/>
    <x v="1"/>
    <n v="1"/>
    <n v="0"/>
    <n v="11000"/>
    <n v="0.1119"/>
    <n v="3"/>
    <n v="1"/>
    <n v="1"/>
  </r>
  <r>
    <s v="LA-700389"/>
    <d v="2024-02-26T00:00:00"/>
    <x v="0"/>
    <s v="Q1"/>
    <x v="1"/>
    <x v="3"/>
    <x v="2"/>
    <x v="3"/>
    <x v="1"/>
    <x v="0"/>
    <n v="7050"/>
    <n v="145000"/>
    <n v="300"/>
    <n v="0.26500000000000001"/>
    <s v="Approved"/>
    <x v="1"/>
    <n v="1"/>
    <n v="0"/>
    <n v="116000"/>
    <n v="7.1599999999999997E-2"/>
    <n v="5"/>
    <n v="1"/>
    <n v="1"/>
  </r>
  <r>
    <s v="LA-700390"/>
    <d v="2024-02-26T00:00:00"/>
    <x v="0"/>
    <s v="Q1"/>
    <x v="1"/>
    <x v="2"/>
    <x v="3"/>
    <x v="0"/>
    <x v="1"/>
    <x v="1"/>
    <n v="4150"/>
    <n v="129000"/>
    <n v="24"/>
    <n v="1.482"/>
    <s v="Rejected"/>
    <x v="3"/>
    <n v="0"/>
    <n v="1"/>
    <n v="0"/>
    <m/>
    <n v="20"/>
    <n v="0"/>
    <n v="1"/>
  </r>
  <r>
    <s v="LA-700391"/>
    <d v="2024-02-27T00:00:00"/>
    <x v="0"/>
    <s v="Q1"/>
    <x v="1"/>
    <x v="3"/>
    <x v="0"/>
    <x v="2"/>
    <x v="0"/>
    <x v="0"/>
    <n v="2350"/>
    <n v="241500"/>
    <n v="240"/>
    <n v="0.72699999999999998"/>
    <s v="Approved"/>
    <x v="1"/>
    <n v="1"/>
    <n v="0"/>
    <n v="241500"/>
    <n v="7.3200000000000001E-2"/>
    <n v="10"/>
    <n v="1"/>
    <n v="1"/>
  </r>
  <r>
    <s v="LA-700392"/>
    <d v="2024-02-27T00:00:00"/>
    <x v="0"/>
    <s v="Q1"/>
    <x v="1"/>
    <x v="2"/>
    <x v="3"/>
    <x v="1"/>
    <x v="0"/>
    <x v="1"/>
    <n v="5950"/>
    <n v="122000"/>
    <n v="60"/>
    <n v="0.65700000000000003"/>
    <s v="Approved"/>
    <x v="1"/>
    <n v="1"/>
    <n v="0"/>
    <n v="122000"/>
    <n v="0.1077"/>
    <n v="14"/>
    <n v="0"/>
    <n v="1"/>
  </r>
  <r>
    <s v="LA-700393"/>
    <d v="2024-02-27T00:00:00"/>
    <x v="0"/>
    <s v="Q1"/>
    <x v="1"/>
    <x v="0"/>
    <x v="2"/>
    <x v="1"/>
    <x v="1"/>
    <x v="1"/>
    <n v="3450"/>
    <n v="25000"/>
    <n v="48"/>
    <n v="0.245"/>
    <s v="Approved"/>
    <x v="1"/>
    <n v="1"/>
    <n v="0"/>
    <n v="25000"/>
    <n v="7.6999999999999999E-2"/>
    <n v="3"/>
    <n v="1"/>
    <n v="1"/>
  </r>
  <r>
    <s v="LA-700394"/>
    <d v="2024-02-27T00:00:00"/>
    <x v="0"/>
    <s v="Q1"/>
    <x v="1"/>
    <x v="0"/>
    <x v="3"/>
    <x v="1"/>
    <x v="0"/>
    <x v="1"/>
    <n v="5750"/>
    <n v="41000"/>
    <n v="60"/>
    <n v="0.33300000000000002"/>
    <s v="Approved"/>
    <x v="1"/>
    <n v="1"/>
    <n v="0"/>
    <n v="33000"/>
    <n v="8.0799999999999997E-2"/>
    <n v="11"/>
    <n v="0"/>
    <n v="1"/>
  </r>
  <r>
    <s v="LA-700395"/>
    <d v="2024-02-27T00:00:00"/>
    <x v="0"/>
    <s v="Q1"/>
    <x v="1"/>
    <x v="0"/>
    <x v="2"/>
    <x v="1"/>
    <x v="0"/>
    <x v="2"/>
    <n v="5200"/>
    <n v="16500"/>
    <n v="36"/>
    <n v="0.31"/>
    <s v="Withdrawn"/>
    <x v="1"/>
    <n v="0"/>
    <n v="0"/>
    <n v="0"/>
    <m/>
    <n v="2"/>
    <n v="1"/>
    <n v="1"/>
  </r>
  <r>
    <s v="LA-700396"/>
    <d v="2024-02-28T00:00:00"/>
    <x v="0"/>
    <s v="Q1"/>
    <x v="1"/>
    <x v="2"/>
    <x v="2"/>
    <x v="3"/>
    <x v="2"/>
    <x v="1"/>
    <n v="11200"/>
    <n v="223000"/>
    <n v="60"/>
    <n v="0.66400000000000003"/>
    <s v="Rejected"/>
    <x v="3"/>
    <n v="0"/>
    <n v="1"/>
    <n v="0"/>
    <m/>
    <n v="6"/>
    <n v="1"/>
    <n v="1"/>
  </r>
  <r>
    <s v="LA-700397"/>
    <d v="2024-02-28T00:00:00"/>
    <x v="0"/>
    <s v="Q1"/>
    <x v="1"/>
    <x v="3"/>
    <x v="0"/>
    <x v="1"/>
    <x v="1"/>
    <x v="4"/>
    <n v="7650"/>
    <n v="171000"/>
    <n v="180"/>
    <n v="0.39700000000000002"/>
    <s v="Rejected"/>
    <x v="4"/>
    <n v="0"/>
    <n v="1"/>
    <n v="0"/>
    <m/>
    <n v="20"/>
    <n v="0"/>
    <n v="1"/>
  </r>
  <r>
    <s v="LA-700398"/>
    <d v="2024-02-28T00:00:00"/>
    <x v="0"/>
    <s v="Q1"/>
    <x v="1"/>
    <x v="1"/>
    <x v="2"/>
    <x v="2"/>
    <x v="0"/>
    <x v="0"/>
    <n v="6600"/>
    <n v="4000"/>
    <n v="60"/>
    <n v="0.13400000000000001"/>
    <s v="Approved"/>
    <x v="1"/>
    <n v="1"/>
    <n v="0"/>
    <n v="3500"/>
    <n v="0.13819999999999999"/>
    <n v="2"/>
    <n v="1"/>
    <n v="1"/>
  </r>
  <r>
    <s v="LA-700399"/>
    <d v="2024-02-28T00:00:00"/>
    <x v="0"/>
    <s v="Q1"/>
    <x v="1"/>
    <x v="3"/>
    <x v="2"/>
    <x v="4"/>
    <x v="0"/>
    <x v="1"/>
    <n v="2400"/>
    <n v="237500"/>
    <n v="300"/>
    <n v="0.66300000000000003"/>
    <s v="Approved"/>
    <x v="1"/>
    <n v="1"/>
    <n v="0"/>
    <n v="237500"/>
    <n v="5.9400000000000001E-2"/>
    <n v="11"/>
    <n v="1"/>
    <n v="1"/>
  </r>
  <r>
    <s v="LA-700400"/>
    <d v="2024-02-28T00:00:00"/>
    <x v="0"/>
    <s v="Q1"/>
    <x v="1"/>
    <x v="1"/>
    <x v="0"/>
    <x v="2"/>
    <x v="0"/>
    <x v="4"/>
    <n v="1850"/>
    <n v="15000"/>
    <n v="36"/>
    <n v="0.36399999999999999"/>
    <s v="Rejected"/>
    <x v="4"/>
    <n v="0"/>
    <n v="1"/>
    <n v="0"/>
    <m/>
    <n v="7"/>
    <n v="0"/>
    <n v="1"/>
  </r>
  <r>
    <s v="LA-700401"/>
    <d v="2024-02-29T00:00:00"/>
    <x v="0"/>
    <s v="Q1"/>
    <x v="1"/>
    <x v="1"/>
    <x v="2"/>
    <x v="2"/>
    <x v="2"/>
    <x v="4"/>
    <n v="3000"/>
    <n v="14000"/>
    <n v="24"/>
    <n v="0.28100000000000003"/>
    <s v="Approved"/>
    <x v="1"/>
    <n v="1"/>
    <n v="0"/>
    <n v="14000"/>
    <n v="0.1138"/>
    <n v="2"/>
    <n v="1"/>
    <n v="1"/>
  </r>
  <r>
    <s v="LA-700402"/>
    <d v="2024-02-29T00:00:00"/>
    <x v="0"/>
    <s v="Q1"/>
    <x v="1"/>
    <x v="2"/>
    <x v="0"/>
    <x v="1"/>
    <x v="1"/>
    <x v="0"/>
    <n v="4400"/>
    <n v="83500"/>
    <n v="60"/>
    <n v="0.626"/>
    <s v="Approved"/>
    <x v="1"/>
    <n v="1"/>
    <n v="0"/>
    <n v="83500"/>
    <n v="0.1187"/>
    <n v="11"/>
    <n v="0"/>
    <n v="1"/>
  </r>
  <r>
    <s v="LA-700403"/>
    <d v="2024-02-29T00:00:00"/>
    <x v="0"/>
    <s v="Q1"/>
    <x v="1"/>
    <x v="1"/>
    <x v="2"/>
    <x v="3"/>
    <x v="0"/>
    <x v="0"/>
    <n v="7450"/>
    <n v="9500"/>
    <n v="36"/>
    <n v="0.26"/>
    <s v="Rejected"/>
    <x v="0"/>
    <n v="0"/>
    <n v="1"/>
    <n v="0"/>
    <m/>
    <n v="2"/>
    <n v="1"/>
    <n v="1"/>
  </r>
  <r>
    <s v="LA-700404"/>
    <d v="2024-02-29T00:00:00"/>
    <x v="0"/>
    <s v="Q1"/>
    <x v="1"/>
    <x v="2"/>
    <x v="0"/>
    <x v="3"/>
    <x v="2"/>
    <x v="4"/>
    <n v="9000"/>
    <n v="46500"/>
    <n v="36"/>
    <n v="0.378"/>
    <s v="Rejected"/>
    <x v="0"/>
    <n v="0"/>
    <n v="1"/>
    <n v="0"/>
    <m/>
    <n v="10"/>
    <n v="1"/>
    <n v="1"/>
  </r>
  <r>
    <s v="LA-700405"/>
    <d v="2024-02-29T00:00:00"/>
    <x v="0"/>
    <s v="Q1"/>
    <x v="1"/>
    <x v="1"/>
    <x v="3"/>
    <x v="2"/>
    <x v="2"/>
    <x v="1"/>
    <n v="4500"/>
    <n v="17000"/>
    <n v="24"/>
    <n v="0.38200000000000001"/>
    <s v="Approved"/>
    <x v="1"/>
    <n v="1"/>
    <n v="0"/>
    <n v="15500"/>
    <n v="0.1293"/>
    <n v="5"/>
    <n v="0"/>
    <n v="1"/>
  </r>
  <r>
    <s v="LA-700406"/>
    <d v="2024-02-29T00:00:00"/>
    <x v="0"/>
    <s v="Q1"/>
    <x v="1"/>
    <x v="1"/>
    <x v="1"/>
    <x v="3"/>
    <x v="0"/>
    <x v="3"/>
    <n v="5600"/>
    <n v="10000"/>
    <n v="24"/>
    <n v="0.20300000000000001"/>
    <s v="Approved"/>
    <x v="1"/>
    <n v="1"/>
    <n v="0"/>
    <n v="9000"/>
    <n v="0.1051"/>
    <n v="3"/>
    <n v="1"/>
    <n v="1"/>
  </r>
  <r>
    <s v="LA-700407"/>
    <d v="2024-03-01T00:00:00"/>
    <x v="0"/>
    <s v="Q1"/>
    <x v="2"/>
    <x v="1"/>
    <x v="2"/>
    <x v="2"/>
    <x v="0"/>
    <x v="1"/>
    <n v="4850"/>
    <n v="15000"/>
    <n v="36"/>
    <n v="0.316"/>
    <s v="Rejected"/>
    <x v="5"/>
    <n v="0"/>
    <n v="1"/>
    <n v="0"/>
    <m/>
    <n v="2"/>
    <n v="1"/>
    <n v="1"/>
  </r>
  <r>
    <s v="LA-700408"/>
    <d v="2024-03-01T00:00:00"/>
    <x v="0"/>
    <s v="Q1"/>
    <x v="2"/>
    <x v="1"/>
    <x v="2"/>
    <x v="2"/>
    <x v="2"/>
    <x v="4"/>
    <n v="2250"/>
    <n v="14500"/>
    <n v="48"/>
    <n v="0.28399999999999997"/>
    <s v="Approved"/>
    <x v="1"/>
    <n v="1"/>
    <n v="0"/>
    <n v="11500"/>
    <n v="0.1152"/>
    <n v="2"/>
    <n v="1"/>
    <n v="1"/>
  </r>
  <r>
    <s v="LA-700409"/>
    <d v="2024-03-01T00:00:00"/>
    <x v="0"/>
    <s v="Q1"/>
    <x v="2"/>
    <x v="1"/>
    <x v="1"/>
    <x v="2"/>
    <x v="0"/>
    <x v="2"/>
    <n v="6300"/>
    <n v="9500"/>
    <n v="12"/>
    <n v="0.30199999999999999"/>
    <s v="Rejected"/>
    <x v="0"/>
    <n v="0"/>
    <n v="1"/>
    <n v="0"/>
    <m/>
    <n v="2"/>
    <n v="1"/>
    <n v="1"/>
  </r>
  <r>
    <s v="LA-700410"/>
    <d v="2024-03-01T00:00:00"/>
    <x v="0"/>
    <s v="Q1"/>
    <x v="2"/>
    <x v="0"/>
    <x v="1"/>
    <x v="2"/>
    <x v="0"/>
    <x v="3"/>
    <n v="6350"/>
    <n v="15000"/>
    <n v="60"/>
    <n v="0.17399999999999999"/>
    <s v="Approved"/>
    <x v="1"/>
    <n v="1"/>
    <n v="0"/>
    <n v="13500"/>
    <n v="6.88E-2"/>
    <n v="4"/>
    <n v="1"/>
    <n v="1"/>
  </r>
  <r>
    <s v="LA-700411"/>
    <d v="2024-03-01T00:00:00"/>
    <x v="0"/>
    <s v="Q1"/>
    <x v="2"/>
    <x v="2"/>
    <x v="1"/>
    <x v="2"/>
    <x v="1"/>
    <x v="4"/>
    <n v="4050"/>
    <n v="98500"/>
    <n v="60"/>
    <n v="0.69699999999999995"/>
    <s v="Approved"/>
    <x v="1"/>
    <n v="1"/>
    <n v="0"/>
    <n v="79000"/>
    <n v="9.4399999999999998E-2"/>
    <n v="7"/>
    <n v="1"/>
    <n v="1"/>
  </r>
  <r>
    <s v="LA-700412"/>
    <d v="2024-03-01T00:00:00"/>
    <x v="0"/>
    <s v="Q1"/>
    <x v="2"/>
    <x v="2"/>
    <x v="3"/>
    <x v="0"/>
    <x v="0"/>
    <x v="3"/>
    <n v="7900"/>
    <n v="53500"/>
    <n v="60"/>
    <n v="0.34899999999999998"/>
    <s v="Approved"/>
    <x v="1"/>
    <n v="1"/>
    <n v="0"/>
    <n v="53500"/>
    <n v="0.09"/>
    <n v="20"/>
    <n v="0"/>
    <n v="1"/>
  </r>
  <r>
    <s v="LA-700413"/>
    <d v="2024-03-01T00:00:00"/>
    <x v="0"/>
    <s v="Q1"/>
    <x v="2"/>
    <x v="3"/>
    <x v="0"/>
    <x v="0"/>
    <x v="0"/>
    <x v="3"/>
    <n v="4300"/>
    <n v="429000"/>
    <n v="180"/>
    <n v="0.95899999999999996"/>
    <s v="Approved"/>
    <x v="1"/>
    <n v="1"/>
    <n v="0"/>
    <n v="429000"/>
    <n v="3.5000000000000003E-2"/>
    <n v="15"/>
    <n v="1"/>
    <n v="1"/>
  </r>
  <r>
    <s v="LA-700414"/>
    <d v="2024-03-02T00:00:00"/>
    <x v="0"/>
    <s v="Q1"/>
    <x v="2"/>
    <x v="0"/>
    <x v="0"/>
    <x v="3"/>
    <x v="2"/>
    <x v="0"/>
    <n v="6950"/>
    <n v="31000"/>
    <n v="60"/>
    <n v="0.32400000000000001"/>
    <s v="Rejected"/>
    <x v="0"/>
    <n v="0"/>
    <n v="1"/>
    <n v="0"/>
    <m/>
    <n v="7"/>
    <n v="0"/>
    <n v="1"/>
  </r>
  <r>
    <s v="LA-700415"/>
    <d v="2024-03-02T00:00:00"/>
    <x v="0"/>
    <s v="Q1"/>
    <x v="2"/>
    <x v="0"/>
    <x v="3"/>
    <x v="4"/>
    <x v="0"/>
    <x v="1"/>
    <n v="4700"/>
    <n v="61500"/>
    <n v="36"/>
    <n v="0.51"/>
    <s v="Withdrawn"/>
    <x v="1"/>
    <n v="0"/>
    <n v="0"/>
    <n v="0"/>
    <m/>
    <n v="4"/>
    <n v="1"/>
    <n v="1"/>
  </r>
  <r>
    <s v="LA-700416"/>
    <d v="2024-03-02T00:00:00"/>
    <x v="0"/>
    <s v="Q1"/>
    <x v="2"/>
    <x v="1"/>
    <x v="3"/>
    <x v="1"/>
    <x v="0"/>
    <x v="1"/>
    <n v="6150"/>
    <n v="11000"/>
    <n v="36"/>
    <n v="0.126"/>
    <s v="Approved"/>
    <x v="1"/>
    <n v="1"/>
    <n v="0"/>
    <n v="10000"/>
    <n v="0.13059999999999999"/>
    <n v="4"/>
    <n v="0"/>
    <n v="1"/>
  </r>
  <r>
    <s v="LA-700417"/>
    <d v="2024-03-02T00:00:00"/>
    <x v="0"/>
    <s v="Q1"/>
    <x v="2"/>
    <x v="0"/>
    <x v="1"/>
    <x v="4"/>
    <x v="2"/>
    <x v="1"/>
    <n v="7050"/>
    <n v="54500"/>
    <n v="48"/>
    <n v="0.35099999999999998"/>
    <s v="Rejected"/>
    <x v="5"/>
    <n v="0"/>
    <n v="1"/>
    <n v="0"/>
    <m/>
    <n v="2"/>
    <n v="1"/>
    <n v="1"/>
  </r>
  <r>
    <s v="LA-700418"/>
    <d v="2024-03-02T00:00:00"/>
    <x v="0"/>
    <s v="Q1"/>
    <x v="2"/>
    <x v="1"/>
    <x v="3"/>
    <x v="1"/>
    <x v="1"/>
    <x v="3"/>
    <n v="4350"/>
    <n v="11000"/>
    <n v="48"/>
    <n v="0.20799999999999999"/>
    <s v="Approved"/>
    <x v="1"/>
    <n v="1"/>
    <n v="0"/>
    <n v="10000"/>
    <n v="0.1074"/>
    <n v="9"/>
    <n v="0"/>
    <n v="1"/>
  </r>
  <r>
    <s v="LA-700419"/>
    <d v="2024-03-03T00:00:00"/>
    <x v="0"/>
    <s v="Q1"/>
    <x v="2"/>
    <x v="0"/>
    <x v="3"/>
    <x v="2"/>
    <x v="1"/>
    <x v="2"/>
    <n v="4300"/>
    <n v="30000"/>
    <n v="36"/>
    <n v="0.44700000000000001"/>
    <s v="Rejected"/>
    <x v="0"/>
    <n v="0"/>
    <n v="1"/>
    <n v="0"/>
    <m/>
    <n v="12"/>
    <n v="0"/>
    <n v="1"/>
  </r>
  <r>
    <s v="LA-700420"/>
    <d v="2024-03-03T00:00:00"/>
    <x v="0"/>
    <s v="Q1"/>
    <x v="2"/>
    <x v="1"/>
    <x v="1"/>
    <x v="0"/>
    <x v="1"/>
    <x v="0"/>
    <n v="7250"/>
    <n v="9500"/>
    <n v="36"/>
    <n v="0.28299999999999997"/>
    <s v="Rejected"/>
    <x v="0"/>
    <n v="0"/>
    <n v="1"/>
    <n v="0"/>
    <m/>
    <n v="2"/>
    <n v="1"/>
    <n v="1"/>
  </r>
  <r>
    <s v="LA-700421"/>
    <d v="2024-03-03T00:00:00"/>
    <x v="0"/>
    <s v="Q1"/>
    <x v="2"/>
    <x v="3"/>
    <x v="1"/>
    <x v="4"/>
    <x v="0"/>
    <x v="4"/>
    <n v="8700"/>
    <n v="205500"/>
    <n v="180"/>
    <n v="0.38100000000000001"/>
    <s v="Rejected"/>
    <x v="4"/>
    <n v="0"/>
    <n v="1"/>
    <n v="0"/>
    <m/>
    <n v="8"/>
    <n v="1"/>
    <n v="1"/>
  </r>
  <r>
    <s v="LA-700422"/>
    <d v="2024-03-04T00:00:00"/>
    <x v="0"/>
    <s v="Q1"/>
    <x v="2"/>
    <x v="0"/>
    <x v="1"/>
    <x v="4"/>
    <x v="2"/>
    <x v="1"/>
    <n v="18300"/>
    <n v="19500"/>
    <n v="36"/>
    <n v="0.224"/>
    <s v="Rejected"/>
    <x v="5"/>
    <n v="0"/>
    <n v="1"/>
    <n v="0"/>
    <m/>
    <n v="3"/>
    <n v="1"/>
    <n v="1"/>
  </r>
  <r>
    <s v="LA-700423"/>
    <d v="2024-03-04T00:00:00"/>
    <x v="0"/>
    <s v="Q1"/>
    <x v="2"/>
    <x v="1"/>
    <x v="0"/>
    <x v="2"/>
    <x v="2"/>
    <x v="1"/>
    <n v="7850"/>
    <n v="14500"/>
    <n v="60"/>
    <n v="0.154"/>
    <s v="Rejected"/>
    <x v="4"/>
    <n v="0"/>
    <n v="1"/>
    <n v="0"/>
    <m/>
    <n v="8"/>
    <n v="0"/>
    <n v="1"/>
  </r>
  <r>
    <s v="LA-700424"/>
    <d v="2024-03-04T00:00:00"/>
    <x v="0"/>
    <s v="Q1"/>
    <x v="2"/>
    <x v="1"/>
    <x v="1"/>
    <x v="3"/>
    <x v="0"/>
    <x v="1"/>
    <n v="10700"/>
    <n v="19000"/>
    <n v="48"/>
    <n v="0.17499999999999999"/>
    <s v="Rejected"/>
    <x v="4"/>
    <n v="0"/>
    <n v="1"/>
    <n v="0"/>
    <m/>
    <n v="6"/>
    <n v="0"/>
    <n v="1"/>
  </r>
  <r>
    <s v="LA-700425"/>
    <d v="2024-03-04T00:00:00"/>
    <x v="0"/>
    <s v="Q1"/>
    <x v="2"/>
    <x v="1"/>
    <x v="3"/>
    <x v="2"/>
    <x v="1"/>
    <x v="0"/>
    <n v="5100"/>
    <n v="24000"/>
    <n v="24"/>
    <n v="0.372"/>
    <s v="Approved"/>
    <x v="1"/>
    <n v="1"/>
    <n v="0"/>
    <n v="24000"/>
    <n v="0.1426"/>
    <n v="7"/>
    <n v="0"/>
    <n v="1"/>
  </r>
  <r>
    <s v="LA-700426"/>
    <d v="2024-03-04T00:00:00"/>
    <x v="0"/>
    <s v="Q1"/>
    <x v="2"/>
    <x v="2"/>
    <x v="3"/>
    <x v="3"/>
    <x v="0"/>
    <x v="2"/>
    <n v="6500"/>
    <n v="26500"/>
    <n v="24"/>
    <n v="0.29499999999999998"/>
    <s v="Rejected"/>
    <x v="5"/>
    <n v="0"/>
    <n v="1"/>
    <n v="0"/>
    <m/>
    <n v="10"/>
    <n v="1"/>
    <n v="1"/>
  </r>
  <r>
    <s v="LA-700427"/>
    <d v="2024-03-04T00:00:00"/>
    <x v="0"/>
    <s v="Q1"/>
    <x v="2"/>
    <x v="1"/>
    <x v="2"/>
    <x v="3"/>
    <x v="0"/>
    <x v="1"/>
    <n v="4600"/>
    <n v="9500"/>
    <n v="48"/>
    <n v="0.17499999999999999"/>
    <s v="Rejected"/>
    <x v="2"/>
    <n v="0"/>
    <n v="1"/>
    <n v="0"/>
    <m/>
    <n v="2"/>
    <n v="1"/>
    <n v="1"/>
  </r>
  <r>
    <s v="LA-700428"/>
    <d v="2024-03-04T00:00:00"/>
    <x v="0"/>
    <s v="Q1"/>
    <x v="2"/>
    <x v="3"/>
    <x v="2"/>
    <x v="2"/>
    <x v="0"/>
    <x v="0"/>
    <n v="4050"/>
    <n v="621000"/>
    <n v="240"/>
    <n v="1.107"/>
    <s v="Rejected"/>
    <x v="0"/>
    <n v="0"/>
    <n v="1"/>
    <n v="0"/>
    <m/>
    <n v="8"/>
    <n v="1"/>
    <n v="1"/>
  </r>
  <r>
    <s v="LA-700429"/>
    <d v="2024-03-04T00:00:00"/>
    <x v="0"/>
    <s v="Q1"/>
    <x v="2"/>
    <x v="0"/>
    <x v="0"/>
    <x v="1"/>
    <x v="0"/>
    <x v="2"/>
    <n v="5050"/>
    <n v="24000"/>
    <n v="36"/>
    <n v="0.20399999999999999"/>
    <s v="Rejected"/>
    <x v="0"/>
    <n v="0"/>
    <n v="1"/>
    <n v="0"/>
    <m/>
    <n v="5"/>
    <n v="0"/>
    <n v="1"/>
  </r>
  <r>
    <s v="LA-700430"/>
    <d v="2024-03-05T00:00:00"/>
    <x v="0"/>
    <s v="Q1"/>
    <x v="2"/>
    <x v="0"/>
    <x v="0"/>
    <x v="3"/>
    <x v="0"/>
    <x v="4"/>
    <n v="4050"/>
    <n v="62500"/>
    <n v="60"/>
    <n v="0.52800000000000002"/>
    <s v="Rejected"/>
    <x v="4"/>
    <n v="0"/>
    <n v="1"/>
    <n v="0"/>
    <m/>
    <n v="11"/>
    <n v="0"/>
    <n v="1"/>
  </r>
  <r>
    <s v="LA-700431"/>
    <d v="2024-03-05T00:00:00"/>
    <x v="0"/>
    <s v="Q1"/>
    <x v="2"/>
    <x v="0"/>
    <x v="3"/>
    <x v="1"/>
    <x v="1"/>
    <x v="4"/>
    <n v="4350"/>
    <n v="24000"/>
    <n v="36"/>
    <n v="0.33500000000000002"/>
    <s v="Approved"/>
    <x v="1"/>
    <n v="1"/>
    <n v="0"/>
    <n v="24000"/>
    <n v="7.2400000000000006E-2"/>
    <n v="7"/>
    <n v="0"/>
    <n v="1"/>
  </r>
  <r>
    <s v="LA-700432"/>
    <d v="2024-03-05T00:00:00"/>
    <x v="0"/>
    <s v="Q1"/>
    <x v="2"/>
    <x v="1"/>
    <x v="2"/>
    <x v="0"/>
    <x v="1"/>
    <x v="0"/>
    <n v="2150"/>
    <n v="19000"/>
    <n v="24"/>
    <n v="0.51"/>
    <s v="Approved"/>
    <x v="1"/>
    <n v="1"/>
    <n v="0"/>
    <n v="15000"/>
    <n v="0.1394"/>
    <n v="2"/>
    <n v="1"/>
    <n v="1"/>
  </r>
  <r>
    <s v="LA-700433"/>
    <d v="2024-03-05T00:00:00"/>
    <x v="0"/>
    <s v="Q1"/>
    <x v="2"/>
    <x v="0"/>
    <x v="2"/>
    <x v="1"/>
    <x v="1"/>
    <x v="2"/>
    <n v="3700"/>
    <n v="52500"/>
    <n v="36"/>
    <n v="0.53400000000000003"/>
    <s v="Rejected"/>
    <x v="0"/>
    <n v="0"/>
    <n v="1"/>
    <n v="0"/>
    <m/>
    <n v="3"/>
    <n v="1"/>
    <n v="1"/>
  </r>
  <r>
    <s v="LA-700434"/>
    <d v="2024-03-05T00:00:00"/>
    <x v="0"/>
    <s v="Q1"/>
    <x v="2"/>
    <x v="1"/>
    <x v="3"/>
    <x v="2"/>
    <x v="0"/>
    <x v="4"/>
    <n v="6000"/>
    <n v="16000"/>
    <n v="60"/>
    <n v="0.19600000000000001"/>
    <s v="Rejected"/>
    <x v="4"/>
    <n v="0"/>
    <n v="1"/>
    <n v="0"/>
    <m/>
    <n v="12"/>
    <n v="0"/>
    <n v="1"/>
  </r>
  <r>
    <s v="LA-700435"/>
    <d v="2024-03-05T00:00:00"/>
    <x v="0"/>
    <s v="Q1"/>
    <x v="2"/>
    <x v="0"/>
    <x v="2"/>
    <x v="4"/>
    <x v="0"/>
    <x v="0"/>
    <n v="2450"/>
    <n v="30500"/>
    <n v="48"/>
    <n v="0.36299999999999999"/>
    <s v="Rejected"/>
    <x v="0"/>
    <n v="0"/>
    <n v="1"/>
    <n v="0"/>
    <m/>
    <n v="3"/>
    <n v="1"/>
    <n v="1"/>
  </r>
  <r>
    <s v="LA-700436"/>
    <d v="2024-03-05T00:00:00"/>
    <x v="0"/>
    <s v="Q1"/>
    <x v="2"/>
    <x v="0"/>
    <x v="3"/>
    <x v="0"/>
    <x v="1"/>
    <x v="4"/>
    <n v="3600"/>
    <n v="15500"/>
    <n v="36"/>
    <n v="0.32500000000000001"/>
    <s v="Approved"/>
    <x v="1"/>
    <n v="1"/>
    <n v="0"/>
    <n v="14000"/>
    <n v="7.2300000000000003E-2"/>
    <n v="4"/>
    <n v="1"/>
    <n v="1"/>
  </r>
  <r>
    <s v="LA-700437"/>
    <d v="2024-03-05T00:00:00"/>
    <x v="0"/>
    <s v="Q1"/>
    <x v="2"/>
    <x v="0"/>
    <x v="2"/>
    <x v="4"/>
    <x v="2"/>
    <x v="3"/>
    <n v="6300"/>
    <n v="20500"/>
    <n v="60"/>
    <n v="0.21199999999999999"/>
    <s v="Approved"/>
    <x v="1"/>
    <n v="1"/>
    <n v="0"/>
    <n v="20500"/>
    <n v="6.6400000000000001E-2"/>
    <n v="2"/>
    <n v="1"/>
    <n v="1"/>
  </r>
  <r>
    <s v="LA-700438"/>
    <d v="2024-03-05T00:00:00"/>
    <x v="0"/>
    <s v="Q1"/>
    <x v="2"/>
    <x v="2"/>
    <x v="2"/>
    <x v="3"/>
    <x v="1"/>
    <x v="2"/>
    <n v="6650"/>
    <n v="78000"/>
    <n v="24"/>
    <n v="0.73599999999999999"/>
    <s v="Rejected"/>
    <x v="3"/>
    <n v="0"/>
    <n v="1"/>
    <n v="0"/>
    <m/>
    <n v="8"/>
    <n v="1"/>
    <n v="1"/>
  </r>
  <r>
    <s v="LA-700439"/>
    <d v="2024-03-05T00:00:00"/>
    <x v="0"/>
    <s v="Q1"/>
    <x v="2"/>
    <x v="0"/>
    <x v="3"/>
    <x v="2"/>
    <x v="0"/>
    <x v="2"/>
    <n v="8900"/>
    <n v="19000"/>
    <n v="60"/>
    <n v="0.14899999999999999"/>
    <s v="Rejected"/>
    <x v="0"/>
    <n v="0"/>
    <n v="1"/>
    <n v="0"/>
    <m/>
    <n v="15"/>
    <n v="0"/>
    <n v="1"/>
  </r>
  <r>
    <s v="LA-700440"/>
    <d v="2024-03-06T00:00:00"/>
    <x v="0"/>
    <s v="Q1"/>
    <x v="2"/>
    <x v="1"/>
    <x v="2"/>
    <x v="3"/>
    <x v="1"/>
    <x v="0"/>
    <n v="8800"/>
    <n v="10500"/>
    <n v="36"/>
    <n v="0.123"/>
    <s v="Approved"/>
    <x v="1"/>
    <n v="1"/>
    <n v="0"/>
    <n v="8500"/>
    <n v="0.13780000000000001"/>
    <n v="2"/>
    <n v="1"/>
    <n v="1"/>
  </r>
  <r>
    <s v="LA-700441"/>
    <d v="2024-03-06T00:00:00"/>
    <x v="0"/>
    <s v="Q1"/>
    <x v="2"/>
    <x v="0"/>
    <x v="0"/>
    <x v="4"/>
    <x v="0"/>
    <x v="1"/>
    <n v="7800"/>
    <n v="44500"/>
    <n v="48"/>
    <n v="0.307"/>
    <s v="Rejected"/>
    <x v="4"/>
    <n v="0"/>
    <n v="1"/>
    <n v="0"/>
    <m/>
    <n v="9"/>
    <n v="0"/>
    <n v="1"/>
  </r>
  <r>
    <s v="LA-700442"/>
    <d v="2024-03-06T00:00:00"/>
    <x v="0"/>
    <s v="Q1"/>
    <x v="2"/>
    <x v="2"/>
    <x v="3"/>
    <x v="2"/>
    <x v="0"/>
    <x v="1"/>
    <n v="7650"/>
    <n v="97500"/>
    <n v="60"/>
    <n v="0.50900000000000001"/>
    <s v="Rejected"/>
    <x v="3"/>
    <n v="0"/>
    <n v="1"/>
    <n v="0"/>
    <m/>
    <n v="15"/>
    <n v="0"/>
    <n v="1"/>
  </r>
  <r>
    <s v="LA-700443"/>
    <d v="2024-03-06T00:00:00"/>
    <x v="0"/>
    <s v="Q1"/>
    <x v="2"/>
    <x v="3"/>
    <x v="1"/>
    <x v="3"/>
    <x v="1"/>
    <x v="0"/>
    <n v="7600"/>
    <n v="256500"/>
    <n v="300"/>
    <n v="0.40500000000000003"/>
    <s v="Rejected"/>
    <x v="0"/>
    <n v="0"/>
    <n v="1"/>
    <n v="0"/>
    <m/>
    <n v="4"/>
    <n v="1"/>
    <n v="1"/>
  </r>
  <r>
    <s v="LA-700444"/>
    <d v="2024-03-06T00:00:00"/>
    <x v="0"/>
    <s v="Q1"/>
    <x v="2"/>
    <x v="1"/>
    <x v="1"/>
    <x v="4"/>
    <x v="0"/>
    <x v="1"/>
    <n v="4250"/>
    <n v="4500"/>
    <n v="12"/>
    <n v="0.16"/>
    <s v="Approved"/>
    <x v="1"/>
    <n v="1"/>
    <n v="0"/>
    <n v="4000"/>
    <n v="0.1195"/>
    <n v="1"/>
    <n v="1"/>
    <n v="1"/>
  </r>
  <r>
    <s v="LA-700445"/>
    <d v="2024-03-06T00:00:00"/>
    <x v="0"/>
    <s v="Q1"/>
    <x v="2"/>
    <x v="2"/>
    <x v="2"/>
    <x v="2"/>
    <x v="1"/>
    <x v="0"/>
    <n v="6300"/>
    <n v="87500"/>
    <n v="36"/>
    <n v="0.54700000000000004"/>
    <s v="Approved"/>
    <x v="1"/>
    <n v="1"/>
    <n v="0"/>
    <n v="79000"/>
    <n v="0.12640000000000001"/>
    <n v="8"/>
    <n v="1"/>
    <n v="1"/>
  </r>
  <r>
    <s v="LA-700446"/>
    <d v="2024-03-06T00:00:00"/>
    <x v="0"/>
    <s v="Q1"/>
    <x v="2"/>
    <x v="1"/>
    <x v="2"/>
    <x v="2"/>
    <x v="2"/>
    <x v="0"/>
    <n v="3150"/>
    <n v="19000"/>
    <n v="12"/>
    <n v="0.76300000000000001"/>
    <s v="Rejected"/>
    <x v="3"/>
    <n v="0"/>
    <n v="1"/>
    <n v="0"/>
    <m/>
    <n v="3"/>
    <n v="1"/>
    <n v="1"/>
  </r>
  <r>
    <s v="LA-700447"/>
    <d v="2024-03-06T00:00:00"/>
    <x v="0"/>
    <s v="Q1"/>
    <x v="2"/>
    <x v="1"/>
    <x v="1"/>
    <x v="1"/>
    <x v="1"/>
    <x v="1"/>
    <n v="3650"/>
    <n v="8000"/>
    <n v="60"/>
    <n v="0.23400000000000001"/>
    <s v="Rejected"/>
    <x v="4"/>
    <n v="0"/>
    <n v="1"/>
    <n v="0"/>
    <m/>
    <n v="6"/>
    <n v="0"/>
    <n v="1"/>
  </r>
  <r>
    <s v="LA-700448"/>
    <d v="2024-03-06T00:00:00"/>
    <x v="0"/>
    <s v="Q1"/>
    <x v="2"/>
    <x v="0"/>
    <x v="3"/>
    <x v="4"/>
    <x v="0"/>
    <x v="4"/>
    <n v="4850"/>
    <n v="47500"/>
    <n v="36"/>
    <n v="0.47399999999999998"/>
    <s v="Approved"/>
    <x v="1"/>
    <n v="1"/>
    <n v="0"/>
    <n v="47500"/>
    <n v="7.1199999999999999E-2"/>
    <n v="13"/>
    <n v="0"/>
    <n v="1"/>
  </r>
  <r>
    <s v="LA-700449"/>
    <d v="2024-03-07T00:00:00"/>
    <x v="0"/>
    <s v="Q1"/>
    <x v="2"/>
    <x v="2"/>
    <x v="3"/>
    <x v="3"/>
    <x v="1"/>
    <x v="1"/>
    <n v="4000"/>
    <n v="117000"/>
    <n v="12"/>
    <n v="2.6779999999999999"/>
    <s v="Rejected"/>
    <x v="3"/>
    <n v="0"/>
    <n v="1"/>
    <n v="0"/>
    <m/>
    <n v="13"/>
    <n v="0"/>
    <n v="1"/>
  </r>
  <r>
    <s v="LA-700450"/>
    <d v="2024-03-07T00:00:00"/>
    <x v="0"/>
    <s v="Q1"/>
    <x v="2"/>
    <x v="1"/>
    <x v="0"/>
    <x v="2"/>
    <x v="0"/>
    <x v="4"/>
    <n v="3400"/>
    <n v="8000"/>
    <n v="48"/>
    <n v="0.186"/>
    <s v="Rejected"/>
    <x v="0"/>
    <n v="0"/>
    <n v="1"/>
    <n v="0"/>
    <m/>
    <n v="4"/>
    <n v="0"/>
    <n v="1"/>
  </r>
  <r>
    <s v="LA-700451"/>
    <d v="2024-03-07T00:00:00"/>
    <x v="0"/>
    <s v="Q1"/>
    <x v="2"/>
    <x v="1"/>
    <x v="0"/>
    <x v="3"/>
    <x v="0"/>
    <x v="4"/>
    <n v="8500"/>
    <n v="20500"/>
    <n v="12"/>
    <n v="0.371"/>
    <s v="Approved"/>
    <x v="1"/>
    <n v="1"/>
    <n v="0"/>
    <n v="18500"/>
    <n v="0.1143"/>
    <n v="2"/>
    <n v="1"/>
    <n v="1"/>
  </r>
  <r>
    <s v="LA-700452"/>
    <d v="2024-03-07T00:00:00"/>
    <x v="0"/>
    <s v="Q1"/>
    <x v="2"/>
    <x v="0"/>
    <x v="0"/>
    <x v="3"/>
    <x v="1"/>
    <x v="1"/>
    <n v="7200"/>
    <n v="35000"/>
    <n v="36"/>
    <n v="0.373"/>
    <s v="Approved"/>
    <x v="1"/>
    <n v="1"/>
    <n v="0"/>
    <n v="28000"/>
    <n v="8.5300000000000001E-2"/>
    <n v="3"/>
    <n v="1"/>
    <n v="1"/>
  </r>
  <r>
    <s v="LA-700453"/>
    <d v="2024-03-07T00:00:00"/>
    <x v="0"/>
    <s v="Q1"/>
    <x v="2"/>
    <x v="1"/>
    <x v="0"/>
    <x v="2"/>
    <x v="1"/>
    <x v="1"/>
    <n v="4750"/>
    <n v="14000"/>
    <n v="60"/>
    <n v="0.29599999999999999"/>
    <s v="Rejected"/>
    <x v="5"/>
    <n v="0"/>
    <n v="1"/>
    <n v="0"/>
    <m/>
    <n v="3"/>
    <n v="1"/>
    <n v="1"/>
  </r>
  <r>
    <s v="LA-700454"/>
    <d v="2024-03-07T00:00:00"/>
    <x v="0"/>
    <s v="Q1"/>
    <x v="2"/>
    <x v="0"/>
    <x v="0"/>
    <x v="1"/>
    <x v="0"/>
    <x v="0"/>
    <n v="12250"/>
    <n v="22500"/>
    <n v="60"/>
    <n v="0.23699999999999999"/>
    <s v="Rejected"/>
    <x v="0"/>
    <n v="0"/>
    <n v="1"/>
    <n v="0"/>
    <m/>
    <n v="6"/>
    <n v="0"/>
    <n v="1"/>
  </r>
  <r>
    <s v="LA-700455"/>
    <d v="2024-03-07T00:00:00"/>
    <x v="0"/>
    <s v="Q1"/>
    <x v="2"/>
    <x v="0"/>
    <x v="3"/>
    <x v="2"/>
    <x v="1"/>
    <x v="2"/>
    <n v="3600"/>
    <n v="40500"/>
    <n v="60"/>
    <n v="0.32500000000000001"/>
    <s v="Rejected"/>
    <x v="0"/>
    <n v="0"/>
    <n v="1"/>
    <n v="0"/>
    <m/>
    <n v="6"/>
    <n v="0"/>
    <n v="1"/>
  </r>
  <r>
    <s v="LA-700456"/>
    <d v="2024-03-07T00:00:00"/>
    <x v="0"/>
    <s v="Q1"/>
    <x v="2"/>
    <x v="0"/>
    <x v="3"/>
    <x v="1"/>
    <x v="1"/>
    <x v="2"/>
    <n v="8050"/>
    <n v="38000"/>
    <n v="60"/>
    <n v="0.34100000000000003"/>
    <s v="Rejected"/>
    <x v="0"/>
    <n v="0"/>
    <n v="1"/>
    <n v="0"/>
    <m/>
    <n v="7"/>
    <n v="0"/>
    <n v="1"/>
  </r>
  <r>
    <s v="LA-700457"/>
    <d v="2024-03-07T00:00:00"/>
    <x v="0"/>
    <s v="Q1"/>
    <x v="2"/>
    <x v="1"/>
    <x v="2"/>
    <x v="3"/>
    <x v="1"/>
    <x v="1"/>
    <n v="6450"/>
    <n v="16500"/>
    <n v="36"/>
    <n v="0.315"/>
    <s v="Approved"/>
    <x v="1"/>
    <n v="1"/>
    <n v="0"/>
    <n v="16500"/>
    <n v="0.128"/>
    <n v="1"/>
    <n v="1"/>
    <n v="1"/>
  </r>
  <r>
    <s v="LA-700458"/>
    <d v="2024-03-07T00:00:00"/>
    <x v="0"/>
    <s v="Q1"/>
    <x v="2"/>
    <x v="2"/>
    <x v="0"/>
    <x v="2"/>
    <x v="1"/>
    <x v="0"/>
    <n v="4600"/>
    <n v="61500"/>
    <n v="60"/>
    <n v="0.44700000000000001"/>
    <s v="Approved"/>
    <x v="1"/>
    <n v="1"/>
    <n v="0"/>
    <n v="61500"/>
    <n v="0.1242"/>
    <n v="8"/>
    <n v="1"/>
    <n v="1"/>
  </r>
  <r>
    <s v="LA-700459"/>
    <d v="2024-03-07T00:00:00"/>
    <x v="0"/>
    <s v="Q1"/>
    <x v="2"/>
    <x v="3"/>
    <x v="3"/>
    <x v="1"/>
    <x v="1"/>
    <x v="4"/>
    <n v="4150"/>
    <n v="146500"/>
    <n v="240"/>
    <n v="0.47"/>
    <s v="Approved"/>
    <x v="1"/>
    <n v="1"/>
    <n v="0"/>
    <n v="117000"/>
    <n v="4.8800000000000003E-2"/>
    <n v="20"/>
    <n v="0"/>
    <n v="1"/>
  </r>
  <r>
    <s v="LA-700460"/>
    <d v="2024-03-07T00:00:00"/>
    <x v="0"/>
    <s v="Q1"/>
    <x v="2"/>
    <x v="1"/>
    <x v="1"/>
    <x v="2"/>
    <x v="1"/>
    <x v="0"/>
    <n v="2900"/>
    <n v="5500"/>
    <n v="36"/>
    <n v="0.23200000000000001"/>
    <s v="Rejected"/>
    <x v="0"/>
    <n v="0"/>
    <n v="1"/>
    <n v="0"/>
    <m/>
    <n v="2"/>
    <n v="1"/>
    <n v="1"/>
  </r>
  <r>
    <s v="LA-700461"/>
    <d v="2024-03-07T00:00:00"/>
    <x v="0"/>
    <s v="Q1"/>
    <x v="2"/>
    <x v="3"/>
    <x v="3"/>
    <x v="1"/>
    <x v="0"/>
    <x v="4"/>
    <n v="18500"/>
    <n v="261000"/>
    <n v="300"/>
    <n v="0.27400000000000002"/>
    <s v="Approved"/>
    <x v="1"/>
    <n v="1"/>
    <n v="0"/>
    <n v="209000"/>
    <n v="5.1299999999999998E-2"/>
    <n v="15"/>
    <n v="1"/>
    <n v="1"/>
  </r>
  <r>
    <s v="LA-700462"/>
    <d v="2024-03-07T00:00:00"/>
    <x v="0"/>
    <s v="Q1"/>
    <x v="2"/>
    <x v="1"/>
    <x v="2"/>
    <x v="3"/>
    <x v="2"/>
    <x v="3"/>
    <n v="3900"/>
    <n v="16000"/>
    <n v="24"/>
    <n v="0.41"/>
    <s v="Approved"/>
    <x v="1"/>
    <n v="1"/>
    <n v="0"/>
    <n v="16000"/>
    <n v="0.10979999999999999"/>
    <n v="1"/>
    <n v="1"/>
    <n v="1"/>
  </r>
  <r>
    <s v="LA-700463"/>
    <d v="2024-03-08T00:00:00"/>
    <x v="0"/>
    <s v="Q1"/>
    <x v="2"/>
    <x v="0"/>
    <x v="3"/>
    <x v="1"/>
    <x v="0"/>
    <x v="0"/>
    <n v="4800"/>
    <n v="30500"/>
    <n v="36"/>
    <n v="0.27400000000000002"/>
    <s v="Withdrawn"/>
    <x v="1"/>
    <n v="0"/>
    <n v="0"/>
    <n v="0"/>
    <m/>
    <n v="7"/>
    <n v="0"/>
    <n v="1"/>
  </r>
  <r>
    <s v="LA-700464"/>
    <d v="2024-03-08T00:00:00"/>
    <x v="0"/>
    <s v="Q1"/>
    <x v="2"/>
    <x v="3"/>
    <x v="3"/>
    <x v="3"/>
    <x v="1"/>
    <x v="1"/>
    <n v="4700"/>
    <n v="346500"/>
    <n v="180"/>
    <n v="0.70499999999999996"/>
    <s v="Approved"/>
    <x v="1"/>
    <n v="1"/>
    <n v="0"/>
    <n v="346500"/>
    <n v="6.2600000000000003E-2"/>
    <n v="33"/>
    <n v="0"/>
    <n v="1"/>
  </r>
  <r>
    <s v="LA-700465"/>
    <d v="2024-03-08T00:00:00"/>
    <x v="0"/>
    <s v="Q1"/>
    <x v="2"/>
    <x v="3"/>
    <x v="2"/>
    <x v="3"/>
    <x v="0"/>
    <x v="1"/>
    <n v="4400"/>
    <n v="152500"/>
    <n v="180"/>
    <n v="0.48899999999999999"/>
    <s v="Approved"/>
    <x v="1"/>
    <n v="1"/>
    <n v="0"/>
    <n v="122000"/>
    <n v="5.7099999999999998E-2"/>
    <n v="11"/>
    <n v="1"/>
    <n v="1"/>
  </r>
  <r>
    <s v="LA-700466"/>
    <d v="2024-03-08T00:00:00"/>
    <x v="0"/>
    <s v="Q1"/>
    <x v="2"/>
    <x v="1"/>
    <x v="1"/>
    <x v="3"/>
    <x v="0"/>
    <x v="3"/>
    <n v="6000"/>
    <n v="14500"/>
    <n v="60"/>
    <n v="0.22800000000000001"/>
    <s v="Approved"/>
    <x v="1"/>
    <n v="1"/>
    <n v="0"/>
    <n v="14500"/>
    <n v="0.1094"/>
    <n v="2"/>
    <n v="1"/>
    <n v="1"/>
  </r>
  <r>
    <s v="LA-700467"/>
    <d v="2024-03-09T00:00:00"/>
    <x v="0"/>
    <s v="Q1"/>
    <x v="2"/>
    <x v="1"/>
    <x v="3"/>
    <x v="2"/>
    <x v="2"/>
    <x v="1"/>
    <n v="6850"/>
    <n v="15500"/>
    <n v="24"/>
    <n v="0.33500000000000002"/>
    <s v="Approved"/>
    <x v="1"/>
    <n v="1"/>
    <n v="0"/>
    <n v="12500"/>
    <n v="0.12280000000000001"/>
    <n v="6"/>
    <n v="0"/>
    <n v="1"/>
  </r>
  <r>
    <s v="LA-700468"/>
    <d v="2024-03-09T00:00:00"/>
    <x v="0"/>
    <s v="Q1"/>
    <x v="2"/>
    <x v="3"/>
    <x v="3"/>
    <x v="3"/>
    <x v="0"/>
    <x v="2"/>
    <n v="4650"/>
    <n v="97500"/>
    <n v="300"/>
    <n v="0.24"/>
    <s v="Approved"/>
    <x v="1"/>
    <n v="1"/>
    <n v="0"/>
    <n v="97500"/>
    <n v="9.1200000000000003E-2"/>
    <n v="22"/>
    <n v="0"/>
    <n v="1"/>
  </r>
  <r>
    <s v="LA-700469"/>
    <d v="2024-03-09T00:00:00"/>
    <x v="0"/>
    <s v="Q1"/>
    <x v="2"/>
    <x v="1"/>
    <x v="3"/>
    <x v="3"/>
    <x v="1"/>
    <x v="3"/>
    <n v="8200"/>
    <n v="27000"/>
    <n v="48"/>
    <n v="0.30099999999999999"/>
    <s v="Approved"/>
    <x v="1"/>
    <n v="1"/>
    <n v="0"/>
    <n v="24500"/>
    <n v="0.1104"/>
    <n v="5"/>
    <n v="0"/>
    <n v="1"/>
  </r>
  <r>
    <s v="LA-700470"/>
    <d v="2024-03-09T00:00:00"/>
    <x v="0"/>
    <s v="Q1"/>
    <x v="2"/>
    <x v="2"/>
    <x v="3"/>
    <x v="1"/>
    <x v="0"/>
    <x v="1"/>
    <n v="5300"/>
    <n v="70500"/>
    <n v="12"/>
    <n v="1.3779999999999999"/>
    <s v="Rejected"/>
    <x v="3"/>
    <n v="0"/>
    <n v="1"/>
    <n v="0"/>
    <m/>
    <n v="15"/>
    <n v="0"/>
    <n v="1"/>
  </r>
  <r>
    <s v="LA-700471"/>
    <d v="2024-03-10T00:00:00"/>
    <x v="0"/>
    <s v="Q1"/>
    <x v="2"/>
    <x v="0"/>
    <x v="0"/>
    <x v="1"/>
    <x v="1"/>
    <x v="4"/>
    <n v="3450"/>
    <n v="12000"/>
    <n v="36"/>
    <n v="0.35399999999999998"/>
    <s v="Approved"/>
    <x v="1"/>
    <n v="1"/>
    <n v="0"/>
    <n v="11000"/>
    <n v="7.3999999999999996E-2"/>
    <n v="5"/>
    <n v="0"/>
    <n v="1"/>
  </r>
  <r>
    <s v="LA-700472"/>
    <d v="2024-03-10T00:00:00"/>
    <x v="0"/>
    <s v="Q1"/>
    <x v="2"/>
    <x v="1"/>
    <x v="3"/>
    <x v="3"/>
    <x v="1"/>
    <x v="4"/>
    <n v="5850"/>
    <n v="4500"/>
    <n v="12"/>
    <n v="0.126"/>
    <s v="Approved"/>
    <x v="1"/>
    <n v="1"/>
    <n v="0"/>
    <n v="4500"/>
    <n v="0.11650000000000001"/>
    <n v="4"/>
    <n v="0"/>
    <n v="1"/>
  </r>
  <r>
    <s v="LA-700473"/>
    <d v="2024-03-10T00:00:00"/>
    <x v="0"/>
    <s v="Q1"/>
    <x v="2"/>
    <x v="0"/>
    <x v="1"/>
    <x v="2"/>
    <x v="2"/>
    <x v="4"/>
    <n v="5750"/>
    <n v="20500"/>
    <n v="48"/>
    <n v="0.26100000000000001"/>
    <s v="Approved"/>
    <x v="1"/>
    <n v="1"/>
    <n v="0"/>
    <n v="20500"/>
    <n v="7.5200000000000003E-2"/>
    <n v="2"/>
    <n v="1"/>
    <n v="1"/>
  </r>
  <r>
    <s v="LA-700474"/>
    <d v="2024-03-10T00:00:00"/>
    <x v="0"/>
    <s v="Q1"/>
    <x v="2"/>
    <x v="2"/>
    <x v="2"/>
    <x v="1"/>
    <x v="0"/>
    <x v="0"/>
    <n v="7400"/>
    <n v="84500"/>
    <n v="12"/>
    <n v="1.1850000000000001"/>
    <s v="Rejected"/>
    <x v="0"/>
    <n v="0"/>
    <n v="1"/>
    <n v="0"/>
    <m/>
    <n v="7"/>
    <n v="1"/>
    <n v="1"/>
  </r>
  <r>
    <s v="LA-700475"/>
    <d v="2024-03-10T00:00:00"/>
    <x v="0"/>
    <s v="Q1"/>
    <x v="2"/>
    <x v="2"/>
    <x v="3"/>
    <x v="2"/>
    <x v="1"/>
    <x v="2"/>
    <n v="5100"/>
    <n v="32500"/>
    <n v="12"/>
    <n v="0.753"/>
    <s v="Rejected"/>
    <x v="0"/>
    <n v="0"/>
    <n v="1"/>
    <n v="0"/>
    <m/>
    <n v="20"/>
    <n v="0"/>
    <n v="1"/>
  </r>
  <r>
    <s v="LA-700476"/>
    <d v="2024-03-10T00:00:00"/>
    <x v="0"/>
    <s v="Q1"/>
    <x v="2"/>
    <x v="1"/>
    <x v="2"/>
    <x v="0"/>
    <x v="0"/>
    <x v="0"/>
    <n v="2700"/>
    <n v="7000"/>
    <n v="36"/>
    <n v="0.32200000000000001"/>
    <s v="Approved"/>
    <x v="1"/>
    <n v="1"/>
    <n v="0"/>
    <n v="6500"/>
    <n v="0.14330000000000001"/>
    <n v="3"/>
    <n v="1"/>
    <n v="1"/>
  </r>
  <r>
    <s v="LA-700477"/>
    <d v="2024-03-11T00:00:00"/>
    <x v="0"/>
    <s v="Q1"/>
    <x v="2"/>
    <x v="2"/>
    <x v="2"/>
    <x v="3"/>
    <x v="1"/>
    <x v="1"/>
    <n v="4650"/>
    <n v="141500"/>
    <n v="12"/>
    <n v="2.871"/>
    <s v="Rejected"/>
    <x v="3"/>
    <n v="0"/>
    <n v="1"/>
    <n v="0"/>
    <m/>
    <n v="9"/>
    <n v="1"/>
    <n v="1"/>
  </r>
  <r>
    <s v="LA-700478"/>
    <d v="2024-03-11T00:00:00"/>
    <x v="0"/>
    <s v="Q1"/>
    <x v="2"/>
    <x v="1"/>
    <x v="3"/>
    <x v="3"/>
    <x v="0"/>
    <x v="3"/>
    <n v="9200"/>
    <n v="19500"/>
    <n v="12"/>
    <n v="0.41399999999999998"/>
    <s v="Approved"/>
    <x v="1"/>
    <n v="1"/>
    <n v="0"/>
    <n v="19500"/>
    <n v="0.1053"/>
    <n v="7"/>
    <n v="0"/>
    <n v="1"/>
  </r>
  <r>
    <s v="LA-700479"/>
    <d v="2024-03-11T00:00:00"/>
    <x v="0"/>
    <s v="Q1"/>
    <x v="2"/>
    <x v="0"/>
    <x v="2"/>
    <x v="0"/>
    <x v="1"/>
    <x v="4"/>
    <n v="3500"/>
    <n v="23500"/>
    <n v="48"/>
    <n v="0.33900000000000002"/>
    <s v="Approved"/>
    <x v="1"/>
    <n v="1"/>
    <n v="0"/>
    <n v="19000"/>
    <n v="6.9900000000000004E-2"/>
    <n v="2"/>
    <n v="1"/>
    <n v="1"/>
  </r>
  <r>
    <s v="LA-700480"/>
    <d v="2024-03-11T00:00:00"/>
    <x v="0"/>
    <s v="Q1"/>
    <x v="2"/>
    <x v="3"/>
    <x v="0"/>
    <x v="3"/>
    <x v="1"/>
    <x v="3"/>
    <n v="3600"/>
    <n v="618000"/>
    <n v="300"/>
    <n v="1.232"/>
    <s v="Rejected"/>
    <x v="3"/>
    <n v="0"/>
    <n v="1"/>
    <n v="0"/>
    <m/>
    <n v="19"/>
    <n v="0"/>
    <n v="1"/>
  </r>
  <r>
    <s v="LA-700481"/>
    <d v="2024-03-11T00:00:00"/>
    <x v="0"/>
    <s v="Q1"/>
    <x v="2"/>
    <x v="0"/>
    <x v="1"/>
    <x v="3"/>
    <x v="1"/>
    <x v="0"/>
    <n v="4300"/>
    <n v="20500"/>
    <n v="36"/>
    <n v="0.248"/>
    <s v="Approved"/>
    <x v="1"/>
    <n v="1"/>
    <n v="0"/>
    <n v="18500"/>
    <n v="9.7500000000000003E-2"/>
    <n v="3"/>
    <n v="1"/>
    <n v="1"/>
  </r>
  <r>
    <s v="LA-700482"/>
    <d v="2024-03-11T00:00:00"/>
    <x v="0"/>
    <s v="Q1"/>
    <x v="2"/>
    <x v="0"/>
    <x v="0"/>
    <x v="0"/>
    <x v="1"/>
    <x v="0"/>
    <n v="1950"/>
    <n v="35000"/>
    <n v="60"/>
    <n v="0.45900000000000002"/>
    <s v="Rejected"/>
    <x v="4"/>
    <n v="0"/>
    <n v="1"/>
    <n v="0"/>
    <m/>
    <n v="10"/>
    <n v="0"/>
    <n v="1"/>
  </r>
  <r>
    <s v="LA-700483"/>
    <d v="2024-03-12T00:00:00"/>
    <x v="0"/>
    <s v="Q1"/>
    <x v="2"/>
    <x v="1"/>
    <x v="3"/>
    <x v="1"/>
    <x v="0"/>
    <x v="4"/>
    <n v="3650"/>
    <n v="14000"/>
    <n v="60"/>
    <n v="0.17399999999999999"/>
    <s v="Approved"/>
    <x v="1"/>
    <n v="1"/>
    <n v="0"/>
    <n v="14000"/>
    <n v="0.11990000000000001"/>
    <n v="4"/>
    <n v="0"/>
    <n v="1"/>
  </r>
  <r>
    <s v="LA-700484"/>
    <d v="2024-03-12T00:00:00"/>
    <x v="0"/>
    <s v="Q1"/>
    <x v="2"/>
    <x v="3"/>
    <x v="3"/>
    <x v="1"/>
    <x v="1"/>
    <x v="0"/>
    <n v="5450"/>
    <n v="484500"/>
    <n v="240"/>
    <n v="0.64900000000000002"/>
    <s v="Rejected"/>
    <x v="3"/>
    <n v="0"/>
    <n v="1"/>
    <n v="0"/>
    <m/>
    <n v="41"/>
    <n v="0"/>
    <n v="1"/>
  </r>
  <r>
    <s v="LA-700485"/>
    <d v="2024-03-12T00:00:00"/>
    <x v="0"/>
    <s v="Q1"/>
    <x v="2"/>
    <x v="3"/>
    <x v="2"/>
    <x v="1"/>
    <x v="1"/>
    <x v="2"/>
    <n v="6050"/>
    <n v="110500"/>
    <n v="180"/>
    <n v="0.318"/>
    <s v="Approved"/>
    <x v="1"/>
    <n v="1"/>
    <n v="0"/>
    <n v="99500"/>
    <n v="9.2999999999999999E-2"/>
    <n v="8"/>
    <n v="1"/>
    <n v="1"/>
  </r>
  <r>
    <s v="LA-700486"/>
    <d v="2024-03-12T00:00:00"/>
    <x v="0"/>
    <s v="Q1"/>
    <x v="2"/>
    <x v="3"/>
    <x v="2"/>
    <x v="1"/>
    <x v="0"/>
    <x v="4"/>
    <n v="3450"/>
    <n v="157500"/>
    <n v="240"/>
    <n v="0.35499999999999998"/>
    <s v="Approved"/>
    <x v="1"/>
    <n v="1"/>
    <n v="0"/>
    <n v="157500"/>
    <n v="4.5900000000000003E-2"/>
    <n v="11"/>
    <n v="1"/>
    <n v="1"/>
  </r>
  <r>
    <s v="LA-700487"/>
    <d v="2024-03-12T00:00:00"/>
    <x v="0"/>
    <s v="Q1"/>
    <x v="2"/>
    <x v="2"/>
    <x v="3"/>
    <x v="4"/>
    <x v="0"/>
    <x v="1"/>
    <n v="3350"/>
    <n v="91000"/>
    <n v="12"/>
    <n v="2.5790000000000002"/>
    <s v="Rejected"/>
    <x v="3"/>
    <n v="0"/>
    <n v="1"/>
    <n v="0"/>
    <m/>
    <n v="17"/>
    <n v="0"/>
    <n v="1"/>
  </r>
  <r>
    <s v="LA-700488"/>
    <d v="2024-03-12T00:00:00"/>
    <x v="0"/>
    <s v="Q1"/>
    <x v="2"/>
    <x v="3"/>
    <x v="3"/>
    <x v="1"/>
    <x v="0"/>
    <x v="1"/>
    <n v="5250"/>
    <n v="395500"/>
    <n v="240"/>
    <n v="0.60099999999999998"/>
    <s v="Rejected"/>
    <x v="3"/>
    <n v="0"/>
    <n v="1"/>
    <n v="0"/>
    <m/>
    <n v="32"/>
    <n v="0"/>
    <n v="1"/>
  </r>
  <r>
    <s v="LA-700489"/>
    <d v="2024-03-12T00:00:00"/>
    <x v="0"/>
    <s v="Q1"/>
    <x v="2"/>
    <x v="0"/>
    <x v="1"/>
    <x v="1"/>
    <x v="0"/>
    <x v="1"/>
    <n v="4100"/>
    <n v="16000"/>
    <n v="48"/>
    <n v="0.158"/>
    <s v="Approved"/>
    <x v="1"/>
    <n v="1"/>
    <n v="0"/>
    <n v="16000"/>
    <n v="8.4900000000000003E-2"/>
    <n v="1"/>
    <n v="1"/>
    <n v="1"/>
  </r>
  <r>
    <s v="LA-700490"/>
    <d v="2024-03-12T00:00:00"/>
    <x v="0"/>
    <s v="Q1"/>
    <x v="2"/>
    <x v="1"/>
    <x v="3"/>
    <x v="3"/>
    <x v="1"/>
    <x v="2"/>
    <n v="2950"/>
    <n v="16500"/>
    <n v="12"/>
    <n v="0.61799999999999999"/>
    <s v="Rejected"/>
    <x v="3"/>
    <n v="0"/>
    <n v="1"/>
    <n v="0"/>
    <m/>
    <n v="5"/>
    <n v="0"/>
    <n v="1"/>
  </r>
  <r>
    <s v="LA-700491"/>
    <d v="2024-03-12T00:00:00"/>
    <x v="0"/>
    <s v="Q1"/>
    <x v="2"/>
    <x v="2"/>
    <x v="0"/>
    <x v="0"/>
    <x v="1"/>
    <x v="4"/>
    <n v="5200"/>
    <n v="83500"/>
    <n v="60"/>
    <n v="0.57499999999999996"/>
    <s v="Approved"/>
    <x v="1"/>
    <n v="1"/>
    <n v="0"/>
    <n v="83500"/>
    <n v="9.4799999999999995E-2"/>
    <n v="9"/>
    <n v="1"/>
    <n v="1"/>
  </r>
  <r>
    <s v="LA-700492"/>
    <d v="2024-03-12T00:00:00"/>
    <x v="0"/>
    <s v="Q1"/>
    <x v="2"/>
    <x v="3"/>
    <x v="3"/>
    <x v="3"/>
    <x v="1"/>
    <x v="2"/>
    <n v="2550"/>
    <n v="361500"/>
    <n v="180"/>
    <n v="1.2290000000000001"/>
    <s v="Rejected"/>
    <x v="0"/>
    <n v="0"/>
    <n v="1"/>
    <n v="0"/>
    <m/>
    <n v="23"/>
    <n v="0"/>
    <n v="1"/>
  </r>
  <r>
    <s v="LA-700493"/>
    <d v="2024-03-13T00:00:00"/>
    <x v="0"/>
    <s v="Q1"/>
    <x v="2"/>
    <x v="1"/>
    <x v="2"/>
    <x v="2"/>
    <x v="0"/>
    <x v="2"/>
    <n v="4450"/>
    <n v="27000"/>
    <n v="60"/>
    <n v="0.33500000000000002"/>
    <s v="Rejected"/>
    <x v="0"/>
    <n v="0"/>
    <n v="1"/>
    <n v="0"/>
    <m/>
    <n v="2"/>
    <n v="1"/>
    <n v="1"/>
  </r>
  <r>
    <s v="LA-700494"/>
    <d v="2024-03-13T00:00:00"/>
    <x v="0"/>
    <s v="Q1"/>
    <x v="2"/>
    <x v="0"/>
    <x v="3"/>
    <x v="2"/>
    <x v="0"/>
    <x v="2"/>
    <n v="5500"/>
    <n v="25000"/>
    <n v="48"/>
    <n v="0.3"/>
    <s v="Rejected"/>
    <x v="0"/>
    <n v="0"/>
    <n v="1"/>
    <n v="0"/>
    <m/>
    <n v="8"/>
    <n v="0"/>
    <n v="1"/>
  </r>
  <r>
    <s v="LA-700495"/>
    <d v="2024-03-13T00:00:00"/>
    <x v="0"/>
    <s v="Q1"/>
    <x v="2"/>
    <x v="1"/>
    <x v="3"/>
    <x v="1"/>
    <x v="0"/>
    <x v="4"/>
    <n v="5250"/>
    <n v="9500"/>
    <n v="36"/>
    <n v="0.123"/>
    <s v="Approved"/>
    <x v="1"/>
    <n v="1"/>
    <n v="0"/>
    <n v="7500"/>
    <n v="0.11409999999999999"/>
    <n v="7"/>
    <n v="0"/>
    <n v="1"/>
  </r>
  <r>
    <s v="LA-700496"/>
    <d v="2024-03-13T00:00:00"/>
    <x v="0"/>
    <s v="Q1"/>
    <x v="2"/>
    <x v="3"/>
    <x v="2"/>
    <x v="3"/>
    <x v="1"/>
    <x v="4"/>
    <n v="6450"/>
    <n v="140000"/>
    <n v="180"/>
    <n v="0.26100000000000001"/>
    <s v="Approved"/>
    <x v="1"/>
    <n v="1"/>
    <n v="0"/>
    <n v="112000"/>
    <n v="5.3699999999999998E-2"/>
    <n v="11"/>
    <n v="1"/>
    <n v="1"/>
  </r>
  <r>
    <s v="LA-700497"/>
    <d v="2024-03-13T00:00:00"/>
    <x v="0"/>
    <s v="Q1"/>
    <x v="2"/>
    <x v="1"/>
    <x v="0"/>
    <x v="0"/>
    <x v="1"/>
    <x v="4"/>
    <n v="5550"/>
    <n v="29000"/>
    <n v="12"/>
    <n v="0.629"/>
    <s v="Approved"/>
    <x v="1"/>
    <n v="1"/>
    <n v="0"/>
    <n v="26000"/>
    <n v="0.1135"/>
    <n v="4"/>
    <n v="0"/>
    <n v="1"/>
  </r>
  <r>
    <s v="LA-700498"/>
    <d v="2024-03-13T00:00:00"/>
    <x v="0"/>
    <s v="Q1"/>
    <x v="2"/>
    <x v="3"/>
    <x v="2"/>
    <x v="3"/>
    <x v="0"/>
    <x v="1"/>
    <n v="6100"/>
    <n v="366500"/>
    <n v="180"/>
    <n v="0.66500000000000004"/>
    <s v="Rejected"/>
    <x v="3"/>
    <n v="0"/>
    <n v="1"/>
    <n v="0"/>
    <m/>
    <n v="9"/>
    <n v="1"/>
    <n v="1"/>
  </r>
  <r>
    <s v="LA-700499"/>
    <d v="2024-03-13T00:00:00"/>
    <x v="0"/>
    <s v="Q1"/>
    <x v="2"/>
    <x v="0"/>
    <x v="1"/>
    <x v="3"/>
    <x v="0"/>
    <x v="3"/>
    <n v="5200"/>
    <n v="21000"/>
    <n v="60"/>
    <n v="0.215"/>
    <s v="Rejected"/>
    <x v="4"/>
    <n v="0"/>
    <n v="1"/>
    <n v="0"/>
    <m/>
    <n v="6"/>
    <n v="0"/>
    <n v="1"/>
  </r>
  <r>
    <s v="LA-700500"/>
    <d v="2024-03-13T00:00:00"/>
    <x v="0"/>
    <s v="Q1"/>
    <x v="2"/>
    <x v="2"/>
    <x v="2"/>
    <x v="1"/>
    <x v="1"/>
    <x v="4"/>
    <n v="3600"/>
    <n v="76500"/>
    <n v="24"/>
    <n v="1.1950000000000001"/>
    <s v="Rejected"/>
    <x v="3"/>
    <n v="0"/>
    <n v="1"/>
    <n v="0"/>
    <m/>
    <n v="11"/>
    <n v="0"/>
    <n v="1"/>
  </r>
  <r>
    <s v="LA-700501"/>
    <d v="2024-03-13T00:00:00"/>
    <x v="0"/>
    <s v="Q1"/>
    <x v="2"/>
    <x v="0"/>
    <x v="3"/>
    <x v="2"/>
    <x v="0"/>
    <x v="3"/>
    <n v="5050"/>
    <n v="12500"/>
    <n v="36"/>
    <n v="0.20300000000000001"/>
    <s v="Approved"/>
    <x v="1"/>
    <n v="1"/>
    <n v="0"/>
    <n v="12500"/>
    <n v="6.5500000000000003E-2"/>
    <n v="4"/>
    <n v="1"/>
    <n v="1"/>
  </r>
  <r>
    <s v="LA-700502"/>
    <d v="2024-03-13T00:00:00"/>
    <x v="0"/>
    <s v="Q1"/>
    <x v="2"/>
    <x v="3"/>
    <x v="3"/>
    <x v="3"/>
    <x v="1"/>
    <x v="1"/>
    <n v="4250"/>
    <n v="714500"/>
    <n v="180"/>
    <n v="1.421"/>
    <s v="Rejected"/>
    <x v="3"/>
    <n v="0"/>
    <n v="1"/>
    <n v="0"/>
    <m/>
    <n v="19"/>
    <n v="0"/>
    <n v="1"/>
  </r>
  <r>
    <s v="LA-700503"/>
    <d v="2024-03-13T00:00:00"/>
    <x v="0"/>
    <s v="Q1"/>
    <x v="2"/>
    <x v="3"/>
    <x v="3"/>
    <x v="2"/>
    <x v="0"/>
    <x v="1"/>
    <n v="3150"/>
    <n v="297500"/>
    <n v="240"/>
    <n v="0.73199999999999998"/>
    <s v="Approved"/>
    <x v="1"/>
    <n v="1"/>
    <n v="0"/>
    <n v="297500"/>
    <n v="5.6599999999999998E-2"/>
    <n v="20"/>
    <n v="0"/>
    <n v="1"/>
  </r>
  <r>
    <s v="LA-700504"/>
    <d v="2024-03-13T00:00:00"/>
    <x v="0"/>
    <s v="Q1"/>
    <x v="2"/>
    <x v="1"/>
    <x v="0"/>
    <x v="1"/>
    <x v="1"/>
    <x v="2"/>
    <n v="3200"/>
    <n v="17500"/>
    <n v="36"/>
    <n v="0.34300000000000003"/>
    <s v="Rejected"/>
    <x v="4"/>
    <n v="0"/>
    <n v="1"/>
    <n v="0"/>
    <m/>
    <n v="8"/>
    <n v="0"/>
    <n v="1"/>
  </r>
  <r>
    <s v="LA-700505"/>
    <d v="2024-03-13T00:00:00"/>
    <x v="0"/>
    <s v="Q1"/>
    <x v="2"/>
    <x v="1"/>
    <x v="3"/>
    <x v="4"/>
    <x v="2"/>
    <x v="0"/>
    <n v="2550"/>
    <n v="12500"/>
    <n v="36"/>
    <n v="0.34"/>
    <s v="Approved"/>
    <x v="1"/>
    <n v="1"/>
    <n v="0"/>
    <n v="10000"/>
    <n v="0.14380000000000001"/>
    <n v="6"/>
    <n v="0"/>
    <n v="1"/>
  </r>
  <r>
    <s v="LA-700506"/>
    <d v="2024-03-13T00:00:00"/>
    <x v="0"/>
    <s v="Q1"/>
    <x v="2"/>
    <x v="0"/>
    <x v="3"/>
    <x v="3"/>
    <x v="2"/>
    <x v="4"/>
    <n v="8750"/>
    <n v="20500"/>
    <n v="60"/>
    <n v="0.11799999999999999"/>
    <s v="Approved"/>
    <x v="1"/>
    <n v="1"/>
    <n v="0"/>
    <n v="16500"/>
    <n v="6.83E-2"/>
    <n v="8"/>
    <n v="0"/>
    <n v="1"/>
  </r>
  <r>
    <s v="LA-700507"/>
    <d v="2024-03-13T00:00:00"/>
    <x v="0"/>
    <s v="Q1"/>
    <x v="2"/>
    <x v="0"/>
    <x v="3"/>
    <x v="1"/>
    <x v="0"/>
    <x v="4"/>
    <n v="5350"/>
    <n v="35500"/>
    <n v="36"/>
    <n v="0.376"/>
    <s v="Approved"/>
    <x v="1"/>
    <n v="1"/>
    <n v="0"/>
    <n v="35500"/>
    <n v="7.1099999999999997E-2"/>
    <n v="5"/>
    <n v="0"/>
    <n v="1"/>
  </r>
  <r>
    <s v="LA-700508"/>
    <d v="2024-03-13T00:00:00"/>
    <x v="0"/>
    <s v="Q1"/>
    <x v="2"/>
    <x v="0"/>
    <x v="2"/>
    <x v="3"/>
    <x v="2"/>
    <x v="0"/>
    <n v="4650"/>
    <n v="21500"/>
    <n v="60"/>
    <n v="0.28399999999999997"/>
    <s v="Approved"/>
    <x v="1"/>
    <n v="1"/>
    <n v="0"/>
    <n v="17000"/>
    <n v="0.1004"/>
    <n v="3"/>
    <n v="1"/>
    <n v="1"/>
  </r>
  <r>
    <s v="LA-700509"/>
    <d v="2024-03-13T00:00:00"/>
    <x v="0"/>
    <s v="Q1"/>
    <x v="2"/>
    <x v="0"/>
    <x v="0"/>
    <x v="3"/>
    <x v="1"/>
    <x v="0"/>
    <n v="4450"/>
    <n v="19000"/>
    <n v="48"/>
    <n v="0.35099999999999998"/>
    <s v="Withdrawn"/>
    <x v="1"/>
    <n v="0"/>
    <n v="0"/>
    <n v="0"/>
    <m/>
    <n v="10"/>
    <n v="0"/>
    <n v="1"/>
  </r>
  <r>
    <s v="LA-700510"/>
    <d v="2024-03-13T00:00:00"/>
    <x v="0"/>
    <s v="Q1"/>
    <x v="2"/>
    <x v="1"/>
    <x v="3"/>
    <x v="2"/>
    <x v="1"/>
    <x v="0"/>
    <n v="4950"/>
    <n v="11000"/>
    <n v="12"/>
    <n v="0.251"/>
    <s v="Approved"/>
    <x v="1"/>
    <n v="1"/>
    <n v="0"/>
    <n v="11000"/>
    <n v="0.1348"/>
    <n v="3"/>
    <n v="1"/>
    <n v="1"/>
  </r>
  <r>
    <s v="LA-700511"/>
    <d v="2024-03-13T00:00:00"/>
    <x v="0"/>
    <s v="Q1"/>
    <x v="2"/>
    <x v="3"/>
    <x v="0"/>
    <x v="2"/>
    <x v="2"/>
    <x v="3"/>
    <n v="6350"/>
    <n v="165500"/>
    <n v="180"/>
    <n v="0.314"/>
    <s v="Rejected"/>
    <x v="4"/>
    <n v="0"/>
    <n v="1"/>
    <n v="0"/>
    <m/>
    <n v="29"/>
    <n v="0"/>
    <n v="1"/>
  </r>
  <r>
    <s v="LA-700512"/>
    <d v="2024-03-14T00:00:00"/>
    <x v="0"/>
    <s v="Q1"/>
    <x v="2"/>
    <x v="2"/>
    <x v="3"/>
    <x v="1"/>
    <x v="0"/>
    <x v="1"/>
    <n v="3800"/>
    <n v="65000"/>
    <n v="12"/>
    <n v="1.609"/>
    <s v="Rejected"/>
    <x v="3"/>
    <n v="0"/>
    <n v="1"/>
    <n v="0"/>
    <m/>
    <n v="17"/>
    <n v="0"/>
    <n v="1"/>
  </r>
  <r>
    <s v="LA-700513"/>
    <d v="2024-03-14T00:00:00"/>
    <x v="0"/>
    <s v="Q1"/>
    <x v="2"/>
    <x v="3"/>
    <x v="2"/>
    <x v="1"/>
    <x v="1"/>
    <x v="4"/>
    <n v="9600"/>
    <n v="371500"/>
    <n v="300"/>
    <n v="0.28699999999999998"/>
    <s v="Approved"/>
    <x v="1"/>
    <n v="1"/>
    <n v="0"/>
    <n v="334500"/>
    <n v="5.3900000000000003E-2"/>
    <n v="13"/>
    <n v="1"/>
    <n v="1"/>
  </r>
  <r>
    <s v="LA-700514"/>
    <d v="2024-03-14T00:00:00"/>
    <x v="0"/>
    <s v="Q1"/>
    <x v="2"/>
    <x v="0"/>
    <x v="3"/>
    <x v="4"/>
    <x v="0"/>
    <x v="3"/>
    <n v="3200"/>
    <n v="88500"/>
    <n v="36"/>
    <n v="0.97199999999999998"/>
    <s v="Approved"/>
    <x v="1"/>
    <n v="1"/>
    <n v="0"/>
    <n v="88500"/>
    <n v="6.6600000000000006E-2"/>
    <n v="5"/>
    <n v="0"/>
    <n v="1"/>
  </r>
  <r>
    <s v="LA-700515"/>
    <d v="2024-03-14T00:00:00"/>
    <x v="0"/>
    <s v="Q1"/>
    <x v="2"/>
    <x v="1"/>
    <x v="2"/>
    <x v="1"/>
    <x v="1"/>
    <x v="4"/>
    <n v="4750"/>
    <n v="6500"/>
    <n v="48"/>
    <n v="0.21099999999999999"/>
    <s v="Approved"/>
    <x v="1"/>
    <n v="1"/>
    <n v="0"/>
    <n v="6500"/>
    <n v="0.11409999999999999"/>
    <n v="1"/>
    <n v="1"/>
    <n v="1"/>
  </r>
  <r>
    <s v="LA-700516"/>
    <d v="2024-03-14T00:00:00"/>
    <x v="0"/>
    <s v="Q1"/>
    <x v="2"/>
    <x v="2"/>
    <x v="1"/>
    <x v="3"/>
    <x v="2"/>
    <x v="0"/>
    <n v="6650"/>
    <n v="34500"/>
    <n v="36"/>
    <n v="0.28299999999999997"/>
    <s v="Rejected"/>
    <x v="0"/>
    <n v="0"/>
    <n v="1"/>
    <n v="0"/>
    <m/>
    <n v="8"/>
    <n v="1"/>
    <n v="1"/>
  </r>
  <r>
    <s v="LA-700517"/>
    <d v="2024-03-14T00:00:00"/>
    <x v="0"/>
    <s v="Q1"/>
    <x v="2"/>
    <x v="1"/>
    <x v="3"/>
    <x v="3"/>
    <x v="0"/>
    <x v="3"/>
    <n v="6100"/>
    <n v="4500"/>
    <n v="48"/>
    <n v="0.13900000000000001"/>
    <s v="Approved"/>
    <x v="1"/>
    <n v="1"/>
    <n v="0"/>
    <n v="4500"/>
    <n v="0.10979999999999999"/>
    <n v="8"/>
    <n v="0"/>
    <n v="1"/>
  </r>
  <r>
    <s v="LA-700518"/>
    <d v="2024-03-14T00:00:00"/>
    <x v="0"/>
    <s v="Q1"/>
    <x v="2"/>
    <x v="3"/>
    <x v="3"/>
    <x v="2"/>
    <x v="0"/>
    <x v="1"/>
    <n v="6200"/>
    <n v="134500"/>
    <n v="180"/>
    <n v="0.27200000000000002"/>
    <s v="Approved"/>
    <x v="1"/>
    <n v="1"/>
    <n v="0"/>
    <n v="121000"/>
    <n v="5.8000000000000003E-2"/>
    <n v="16"/>
    <n v="0"/>
    <n v="1"/>
  </r>
  <r>
    <s v="LA-700519"/>
    <d v="2024-03-14T00:00:00"/>
    <x v="0"/>
    <s v="Q1"/>
    <x v="2"/>
    <x v="1"/>
    <x v="0"/>
    <x v="4"/>
    <x v="0"/>
    <x v="1"/>
    <n v="4250"/>
    <n v="7000"/>
    <n v="48"/>
    <n v="0.215"/>
    <s v="Rejected"/>
    <x v="4"/>
    <n v="0"/>
    <n v="1"/>
    <n v="0"/>
    <m/>
    <n v="8"/>
    <n v="0"/>
    <n v="1"/>
  </r>
  <r>
    <s v="LA-700520"/>
    <d v="2024-03-15T00:00:00"/>
    <x v="0"/>
    <s v="Q1"/>
    <x v="2"/>
    <x v="0"/>
    <x v="3"/>
    <x v="0"/>
    <x v="1"/>
    <x v="1"/>
    <n v="9550"/>
    <n v="19000"/>
    <n v="48"/>
    <n v="0.246"/>
    <s v="Approved"/>
    <x v="1"/>
    <n v="1"/>
    <n v="0"/>
    <n v="15000"/>
    <n v="8.43E-2"/>
    <n v="7"/>
    <n v="0"/>
    <n v="1"/>
  </r>
  <r>
    <s v="LA-700521"/>
    <d v="2024-03-15T00:00:00"/>
    <x v="0"/>
    <s v="Q1"/>
    <x v="2"/>
    <x v="2"/>
    <x v="3"/>
    <x v="0"/>
    <x v="1"/>
    <x v="3"/>
    <n v="4750"/>
    <n v="73000"/>
    <n v="12"/>
    <n v="1.466"/>
    <s v="Approved"/>
    <x v="1"/>
    <n v="1"/>
    <n v="0"/>
    <n v="73000"/>
    <n v="9.6699999999999994E-2"/>
    <n v="10"/>
    <n v="1"/>
    <n v="1"/>
  </r>
  <r>
    <s v="LA-700522"/>
    <d v="2024-03-15T00:00:00"/>
    <x v="0"/>
    <s v="Q1"/>
    <x v="2"/>
    <x v="3"/>
    <x v="0"/>
    <x v="1"/>
    <x v="1"/>
    <x v="1"/>
    <n v="10500"/>
    <n v="322500"/>
    <n v="240"/>
    <n v="0.36399999999999999"/>
    <s v="Approved"/>
    <x v="1"/>
    <n v="1"/>
    <n v="0"/>
    <n v="258000"/>
    <n v="6.08E-2"/>
    <n v="10"/>
    <n v="1"/>
    <n v="1"/>
  </r>
  <r>
    <s v="LA-700523"/>
    <d v="2024-03-15T00:00:00"/>
    <x v="0"/>
    <s v="Q1"/>
    <x v="2"/>
    <x v="1"/>
    <x v="1"/>
    <x v="1"/>
    <x v="1"/>
    <x v="1"/>
    <n v="3650"/>
    <n v="13500"/>
    <n v="60"/>
    <n v="0.14000000000000001"/>
    <s v="Rejected"/>
    <x v="0"/>
    <n v="0"/>
    <n v="1"/>
    <n v="0"/>
    <m/>
    <n v="3"/>
    <n v="1"/>
    <n v="1"/>
  </r>
  <r>
    <s v="LA-700524"/>
    <d v="2024-03-15T00:00:00"/>
    <x v="0"/>
    <s v="Q1"/>
    <x v="2"/>
    <x v="2"/>
    <x v="3"/>
    <x v="4"/>
    <x v="1"/>
    <x v="1"/>
    <n v="5750"/>
    <n v="88500"/>
    <n v="24"/>
    <n v="0.89100000000000001"/>
    <s v="Rejected"/>
    <x v="3"/>
    <n v="0"/>
    <n v="1"/>
    <n v="0"/>
    <m/>
    <n v="20"/>
    <n v="0"/>
    <n v="1"/>
  </r>
  <r>
    <s v="LA-700525"/>
    <d v="2024-03-15T00:00:00"/>
    <x v="0"/>
    <s v="Q1"/>
    <x v="2"/>
    <x v="3"/>
    <x v="3"/>
    <x v="1"/>
    <x v="0"/>
    <x v="4"/>
    <n v="11200"/>
    <n v="400000"/>
    <n v="240"/>
    <n v="0.42099999999999999"/>
    <s v="Rejected"/>
    <x v="5"/>
    <n v="0"/>
    <n v="1"/>
    <n v="0"/>
    <m/>
    <n v="15"/>
    <n v="1"/>
    <n v="1"/>
  </r>
  <r>
    <s v="LA-700526"/>
    <d v="2024-03-15T00:00:00"/>
    <x v="0"/>
    <s v="Q1"/>
    <x v="2"/>
    <x v="2"/>
    <x v="3"/>
    <x v="2"/>
    <x v="1"/>
    <x v="0"/>
    <n v="4500"/>
    <n v="58000"/>
    <n v="24"/>
    <n v="0.69599999999999995"/>
    <s v="Rejected"/>
    <x v="0"/>
    <n v="0"/>
    <n v="1"/>
    <n v="0"/>
    <m/>
    <n v="19"/>
    <n v="0"/>
    <n v="1"/>
  </r>
  <r>
    <s v="LA-700527"/>
    <d v="2024-03-15T00:00:00"/>
    <x v="0"/>
    <s v="Q1"/>
    <x v="2"/>
    <x v="2"/>
    <x v="2"/>
    <x v="2"/>
    <x v="0"/>
    <x v="4"/>
    <n v="5800"/>
    <n v="198000"/>
    <n v="12"/>
    <n v="3.12"/>
    <s v="Rejected"/>
    <x v="3"/>
    <n v="0"/>
    <n v="1"/>
    <n v="0"/>
    <m/>
    <n v="7"/>
    <n v="1"/>
    <n v="1"/>
  </r>
  <r>
    <s v="LA-700528"/>
    <d v="2024-03-15T00:00:00"/>
    <x v="0"/>
    <s v="Q1"/>
    <x v="2"/>
    <x v="1"/>
    <x v="1"/>
    <x v="0"/>
    <x v="1"/>
    <x v="0"/>
    <n v="14100"/>
    <n v="8500"/>
    <n v="36"/>
    <n v="0.14299999999999999"/>
    <s v="Rejected"/>
    <x v="0"/>
    <n v="0"/>
    <n v="1"/>
    <n v="0"/>
    <m/>
    <n v="4"/>
    <n v="0"/>
    <n v="1"/>
  </r>
  <r>
    <s v="LA-700529"/>
    <d v="2024-03-15T00:00:00"/>
    <x v="0"/>
    <s v="Q1"/>
    <x v="2"/>
    <x v="1"/>
    <x v="1"/>
    <x v="1"/>
    <x v="2"/>
    <x v="1"/>
    <n v="6500"/>
    <n v="7500"/>
    <n v="60"/>
    <n v="0.127"/>
    <s v="Approved"/>
    <x v="1"/>
    <n v="1"/>
    <n v="0"/>
    <n v="7000"/>
    <n v="0.1237"/>
    <n v="2"/>
    <n v="1"/>
    <n v="1"/>
  </r>
  <r>
    <s v="LA-700530"/>
    <d v="2024-03-16T00:00:00"/>
    <x v="0"/>
    <s v="Q1"/>
    <x v="2"/>
    <x v="0"/>
    <x v="2"/>
    <x v="3"/>
    <x v="2"/>
    <x v="1"/>
    <n v="5050"/>
    <n v="32000"/>
    <n v="48"/>
    <n v="0.27900000000000003"/>
    <s v="Approved"/>
    <x v="1"/>
    <n v="1"/>
    <n v="0"/>
    <n v="25500"/>
    <n v="8.09E-2"/>
    <n v="3"/>
    <n v="1"/>
    <n v="1"/>
  </r>
  <r>
    <s v="LA-700531"/>
    <d v="2024-03-16T00:00:00"/>
    <x v="0"/>
    <s v="Q1"/>
    <x v="2"/>
    <x v="1"/>
    <x v="1"/>
    <x v="3"/>
    <x v="1"/>
    <x v="1"/>
    <n v="6950"/>
    <n v="14000"/>
    <n v="60"/>
    <n v="0.16300000000000001"/>
    <s v="Approved"/>
    <x v="1"/>
    <n v="1"/>
    <n v="0"/>
    <n v="14000"/>
    <n v="0.12559999999999999"/>
    <n v="1"/>
    <n v="1"/>
    <n v="1"/>
  </r>
  <r>
    <s v="LA-700532"/>
    <d v="2024-03-16T00:00:00"/>
    <x v="0"/>
    <s v="Q1"/>
    <x v="2"/>
    <x v="1"/>
    <x v="3"/>
    <x v="0"/>
    <x v="0"/>
    <x v="1"/>
    <n v="6900"/>
    <n v="25500"/>
    <n v="24"/>
    <n v="0.39400000000000002"/>
    <s v="Rejected"/>
    <x v="0"/>
    <n v="0"/>
    <n v="1"/>
    <n v="0"/>
    <m/>
    <n v="5"/>
    <n v="0"/>
    <n v="1"/>
  </r>
  <r>
    <s v="LA-700533"/>
    <d v="2024-03-16T00:00:00"/>
    <x v="0"/>
    <s v="Q1"/>
    <x v="2"/>
    <x v="1"/>
    <x v="3"/>
    <x v="4"/>
    <x v="0"/>
    <x v="1"/>
    <n v="4150"/>
    <n v="25000"/>
    <n v="60"/>
    <n v="0.22500000000000001"/>
    <s v="Approved"/>
    <x v="1"/>
    <n v="1"/>
    <n v="0"/>
    <n v="20000"/>
    <n v="0.13109999999999999"/>
    <n v="5"/>
    <n v="0"/>
    <n v="1"/>
  </r>
  <r>
    <s v="LA-700534"/>
    <d v="2024-03-16T00:00:00"/>
    <x v="0"/>
    <s v="Q1"/>
    <x v="2"/>
    <x v="3"/>
    <x v="3"/>
    <x v="3"/>
    <x v="0"/>
    <x v="1"/>
    <n v="8200"/>
    <n v="467000"/>
    <n v="240"/>
    <n v="0.59099999999999997"/>
    <s v="Approved"/>
    <x v="1"/>
    <n v="1"/>
    <n v="0"/>
    <n v="467000"/>
    <n v="5.9499999999999997E-2"/>
    <n v="27"/>
    <n v="0"/>
    <n v="1"/>
  </r>
  <r>
    <s v="LA-700535"/>
    <d v="2024-03-16T00:00:00"/>
    <x v="0"/>
    <s v="Q1"/>
    <x v="2"/>
    <x v="2"/>
    <x v="3"/>
    <x v="2"/>
    <x v="0"/>
    <x v="2"/>
    <n v="2800"/>
    <n v="105500"/>
    <n v="12"/>
    <n v="3.4569999999999999"/>
    <s v="Rejected"/>
    <x v="3"/>
    <n v="0"/>
    <n v="1"/>
    <n v="0"/>
    <m/>
    <n v="19"/>
    <n v="0"/>
    <n v="1"/>
  </r>
  <r>
    <s v="LA-700536"/>
    <d v="2024-03-16T00:00:00"/>
    <x v="0"/>
    <s v="Q1"/>
    <x v="2"/>
    <x v="0"/>
    <x v="0"/>
    <x v="1"/>
    <x v="0"/>
    <x v="4"/>
    <n v="1900"/>
    <n v="37500"/>
    <n v="60"/>
    <n v="0.46200000000000002"/>
    <s v="Approved"/>
    <x v="1"/>
    <n v="1"/>
    <n v="0"/>
    <n v="37500"/>
    <n v="7.0099999999999996E-2"/>
    <n v="3"/>
    <n v="1"/>
    <n v="1"/>
  </r>
  <r>
    <s v="LA-700537"/>
    <d v="2024-03-17T00:00:00"/>
    <x v="0"/>
    <s v="Q1"/>
    <x v="2"/>
    <x v="1"/>
    <x v="3"/>
    <x v="3"/>
    <x v="1"/>
    <x v="1"/>
    <n v="9900"/>
    <n v="13500"/>
    <n v="24"/>
    <n v="0.214"/>
    <s v="Approved"/>
    <x v="1"/>
    <n v="1"/>
    <n v="0"/>
    <n v="12000"/>
    <n v="0.12540000000000001"/>
    <n v="6"/>
    <n v="0"/>
    <n v="1"/>
  </r>
  <r>
    <s v="LA-700538"/>
    <d v="2024-03-17T00:00:00"/>
    <x v="0"/>
    <s v="Q1"/>
    <x v="2"/>
    <x v="1"/>
    <x v="1"/>
    <x v="2"/>
    <x v="2"/>
    <x v="4"/>
    <n v="6300"/>
    <n v="19500"/>
    <n v="24"/>
    <n v="0.38200000000000001"/>
    <s v="Approved"/>
    <x v="1"/>
    <n v="1"/>
    <n v="0"/>
    <n v="15500"/>
    <n v="0.1104"/>
    <n v="1"/>
    <n v="1"/>
    <n v="1"/>
  </r>
  <r>
    <s v="LA-700539"/>
    <d v="2024-03-17T00:00:00"/>
    <x v="0"/>
    <s v="Q1"/>
    <x v="2"/>
    <x v="3"/>
    <x v="3"/>
    <x v="2"/>
    <x v="1"/>
    <x v="1"/>
    <n v="3050"/>
    <n v="249500"/>
    <n v="180"/>
    <n v="0.72099999999999997"/>
    <s v="Approved"/>
    <x v="1"/>
    <n v="1"/>
    <n v="0"/>
    <n v="224500"/>
    <n v="6.3299999999999995E-2"/>
    <n v="16"/>
    <n v="0"/>
    <n v="1"/>
  </r>
  <r>
    <s v="LA-700540"/>
    <d v="2024-03-17T00:00:00"/>
    <x v="0"/>
    <s v="Q1"/>
    <x v="2"/>
    <x v="0"/>
    <x v="2"/>
    <x v="2"/>
    <x v="2"/>
    <x v="0"/>
    <n v="10000"/>
    <n v="26000"/>
    <n v="60"/>
    <n v="0.218"/>
    <s v="Approved"/>
    <x v="1"/>
    <n v="1"/>
    <n v="0"/>
    <n v="21000"/>
    <n v="0.1017"/>
    <n v="3"/>
    <n v="1"/>
    <n v="1"/>
  </r>
  <r>
    <s v="LA-700541"/>
    <d v="2024-03-18T00:00:00"/>
    <x v="0"/>
    <s v="Q1"/>
    <x v="2"/>
    <x v="1"/>
    <x v="3"/>
    <x v="2"/>
    <x v="0"/>
    <x v="4"/>
    <n v="3100"/>
    <n v="8500"/>
    <n v="24"/>
    <n v="0.26500000000000001"/>
    <s v="Approved"/>
    <x v="1"/>
    <n v="1"/>
    <n v="0"/>
    <n v="8500"/>
    <n v="0.1176"/>
    <n v="7"/>
    <n v="0"/>
    <n v="1"/>
  </r>
  <r>
    <s v="LA-700542"/>
    <d v="2024-03-18T00:00:00"/>
    <x v="0"/>
    <s v="Q1"/>
    <x v="2"/>
    <x v="1"/>
    <x v="0"/>
    <x v="3"/>
    <x v="0"/>
    <x v="1"/>
    <n v="9450"/>
    <n v="12000"/>
    <n v="24"/>
    <n v="0.14000000000000001"/>
    <s v="Approved"/>
    <x v="1"/>
    <n v="1"/>
    <n v="0"/>
    <n v="12000"/>
    <n v="0.12970000000000001"/>
    <n v="3"/>
    <n v="1"/>
    <n v="1"/>
  </r>
  <r>
    <s v="LA-700543"/>
    <d v="2024-03-18T00:00:00"/>
    <x v="0"/>
    <s v="Q1"/>
    <x v="2"/>
    <x v="1"/>
    <x v="1"/>
    <x v="3"/>
    <x v="1"/>
    <x v="4"/>
    <n v="9750"/>
    <n v="8500"/>
    <n v="24"/>
    <n v="0.27700000000000002"/>
    <s v="Approved"/>
    <x v="1"/>
    <n v="1"/>
    <n v="0"/>
    <n v="8500"/>
    <n v="0.1133"/>
    <n v="3"/>
    <n v="1"/>
    <n v="1"/>
  </r>
  <r>
    <s v="LA-700544"/>
    <d v="2024-03-18T00:00:00"/>
    <x v="0"/>
    <s v="Q1"/>
    <x v="2"/>
    <x v="1"/>
    <x v="3"/>
    <x v="3"/>
    <x v="1"/>
    <x v="3"/>
    <n v="8550"/>
    <n v="27000"/>
    <n v="36"/>
    <n v="0.246"/>
    <s v="Approved"/>
    <x v="1"/>
    <n v="1"/>
    <n v="0"/>
    <n v="24500"/>
    <n v="0.11219999999999999"/>
    <n v="5"/>
    <n v="0"/>
    <n v="1"/>
  </r>
  <r>
    <s v="LA-700545"/>
    <d v="2024-03-18T00:00:00"/>
    <x v="0"/>
    <s v="Q1"/>
    <x v="2"/>
    <x v="0"/>
    <x v="1"/>
    <x v="3"/>
    <x v="1"/>
    <x v="1"/>
    <n v="6100"/>
    <n v="15500"/>
    <n v="36"/>
    <n v="0.29399999999999998"/>
    <s v="Approved"/>
    <x v="1"/>
    <n v="1"/>
    <n v="0"/>
    <n v="15500"/>
    <n v="7.9100000000000004E-2"/>
    <n v="3"/>
    <n v="1"/>
    <n v="1"/>
  </r>
  <r>
    <s v="LA-700546"/>
    <d v="2024-03-19T00:00:00"/>
    <x v="0"/>
    <s v="Q1"/>
    <x v="2"/>
    <x v="1"/>
    <x v="2"/>
    <x v="3"/>
    <x v="1"/>
    <x v="0"/>
    <n v="5350"/>
    <n v="13000"/>
    <n v="48"/>
    <n v="0.20100000000000001"/>
    <s v="Approved"/>
    <x v="1"/>
    <n v="1"/>
    <n v="0"/>
    <n v="11500"/>
    <n v="0.1376"/>
    <n v="1"/>
    <n v="1"/>
    <n v="1"/>
  </r>
  <r>
    <s v="LA-700547"/>
    <d v="2024-03-19T00:00:00"/>
    <x v="0"/>
    <s v="Q1"/>
    <x v="2"/>
    <x v="2"/>
    <x v="3"/>
    <x v="2"/>
    <x v="0"/>
    <x v="1"/>
    <n v="3350"/>
    <n v="151000"/>
    <n v="36"/>
    <n v="1.6839999999999999"/>
    <s v="Rejected"/>
    <x v="3"/>
    <n v="0"/>
    <n v="1"/>
    <n v="0"/>
    <m/>
    <n v="13"/>
    <n v="0"/>
    <n v="1"/>
  </r>
  <r>
    <s v="LA-700548"/>
    <d v="2024-03-19T00:00:00"/>
    <x v="0"/>
    <s v="Q1"/>
    <x v="2"/>
    <x v="0"/>
    <x v="2"/>
    <x v="4"/>
    <x v="0"/>
    <x v="3"/>
    <n v="4150"/>
    <n v="46500"/>
    <n v="36"/>
    <n v="0.434"/>
    <s v="Approved"/>
    <x v="1"/>
    <n v="1"/>
    <n v="0"/>
    <n v="42000"/>
    <n v="6.8000000000000005E-2"/>
    <n v="2"/>
    <n v="1"/>
    <n v="1"/>
  </r>
  <r>
    <s v="LA-700549"/>
    <d v="2024-03-19T00:00:00"/>
    <x v="0"/>
    <s v="Q1"/>
    <x v="2"/>
    <x v="1"/>
    <x v="3"/>
    <x v="2"/>
    <x v="1"/>
    <x v="2"/>
    <n v="5750"/>
    <n v="9500"/>
    <n v="24"/>
    <n v="0.23599999999999999"/>
    <s v="Withdrawn"/>
    <x v="1"/>
    <n v="0"/>
    <n v="0"/>
    <n v="0"/>
    <m/>
    <n v="4"/>
    <n v="0"/>
    <n v="1"/>
  </r>
  <r>
    <s v="LA-700550"/>
    <d v="2024-03-19T00:00:00"/>
    <x v="0"/>
    <s v="Q1"/>
    <x v="2"/>
    <x v="1"/>
    <x v="3"/>
    <x v="2"/>
    <x v="1"/>
    <x v="4"/>
    <n v="6200"/>
    <n v="6000"/>
    <n v="60"/>
    <n v="0.22700000000000001"/>
    <s v="Approved"/>
    <x v="1"/>
    <n v="1"/>
    <n v="0"/>
    <n v="6000"/>
    <n v="0.1149"/>
    <n v="3"/>
    <n v="1"/>
    <n v="1"/>
  </r>
  <r>
    <s v="LA-700551"/>
    <d v="2024-03-19T00:00:00"/>
    <x v="0"/>
    <s v="Q1"/>
    <x v="2"/>
    <x v="2"/>
    <x v="3"/>
    <x v="3"/>
    <x v="0"/>
    <x v="3"/>
    <n v="3950"/>
    <n v="190500"/>
    <n v="36"/>
    <n v="1.794"/>
    <s v="Approved"/>
    <x v="1"/>
    <n v="1"/>
    <n v="0"/>
    <n v="190500"/>
    <n v="9.2799999999999994E-2"/>
    <n v="18"/>
    <n v="0"/>
    <n v="1"/>
  </r>
  <r>
    <s v="LA-700552"/>
    <d v="2024-03-19T00:00:00"/>
    <x v="0"/>
    <s v="Q1"/>
    <x v="2"/>
    <x v="1"/>
    <x v="2"/>
    <x v="3"/>
    <x v="0"/>
    <x v="0"/>
    <n v="4150"/>
    <n v="29000"/>
    <n v="48"/>
    <n v="0.317"/>
    <s v="Approved"/>
    <x v="1"/>
    <n v="1"/>
    <n v="0"/>
    <n v="29000"/>
    <n v="0.1376"/>
    <n v="2"/>
    <n v="1"/>
    <n v="1"/>
  </r>
  <r>
    <s v="LA-700553"/>
    <d v="2024-03-19T00:00:00"/>
    <x v="0"/>
    <s v="Q1"/>
    <x v="2"/>
    <x v="1"/>
    <x v="3"/>
    <x v="2"/>
    <x v="1"/>
    <x v="0"/>
    <n v="7650"/>
    <n v="10000"/>
    <n v="24"/>
    <n v="0.27200000000000002"/>
    <s v="Rejected"/>
    <x v="0"/>
    <n v="0"/>
    <n v="1"/>
    <n v="0"/>
    <m/>
    <n v="5"/>
    <n v="0"/>
    <n v="1"/>
  </r>
  <r>
    <s v="LA-700554"/>
    <d v="2024-03-19T00:00:00"/>
    <x v="0"/>
    <s v="Q1"/>
    <x v="2"/>
    <x v="3"/>
    <x v="1"/>
    <x v="3"/>
    <x v="2"/>
    <x v="4"/>
    <n v="8050"/>
    <n v="319500"/>
    <n v="240"/>
    <n v="0.42"/>
    <s v="Withdrawn"/>
    <x v="1"/>
    <n v="0"/>
    <n v="0"/>
    <n v="0"/>
    <m/>
    <n v="11"/>
    <n v="1"/>
    <n v="1"/>
  </r>
  <r>
    <s v="LA-700555"/>
    <d v="2024-03-20T00:00:00"/>
    <x v="0"/>
    <s v="Q1"/>
    <x v="2"/>
    <x v="0"/>
    <x v="0"/>
    <x v="0"/>
    <x v="0"/>
    <x v="4"/>
    <n v="8500"/>
    <n v="44000"/>
    <n v="48"/>
    <n v="0.27600000000000002"/>
    <s v="Rejected"/>
    <x v="0"/>
    <n v="0"/>
    <n v="1"/>
    <n v="0"/>
    <m/>
    <n v="5"/>
    <n v="0"/>
    <n v="1"/>
  </r>
  <r>
    <s v="LA-700556"/>
    <d v="2024-03-20T00:00:00"/>
    <x v="0"/>
    <s v="Q1"/>
    <x v="2"/>
    <x v="1"/>
    <x v="3"/>
    <x v="0"/>
    <x v="0"/>
    <x v="0"/>
    <n v="5300"/>
    <n v="17500"/>
    <n v="24"/>
    <n v="0.26800000000000002"/>
    <s v="Rejected"/>
    <x v="0"/>
    <n v="0"/>
    <n v="1"/>
    <n v="0"/>
    <m/>
    <n v="2"/>
    <n v="1"/>
    <n v="1"/>
  </r>
  <r>
    <s v="LA-700557"/>
    <d v="2024-03-20T00:00:00"/>
    <x v="0"/>
    <s v="Q1"/>
    <x v="2"/>
    <x v="2"/>
    <x v="1"/>
    <x v="4"/>
    <x v="0"/>
    <x v="3"/>
    <n v="3850"/>
    <n v="134500"/>
    <n v="36"/>
    <n v="1.371"/>
    <s v="Rejected"/>
    <x v="3"/>
    <n v="0"/>
    <n v="1"/>
    <n v="0"/>
    <m/>
    <n v="5"/>
    <n v="1"/>
    <n v="1"/>
  </r>
  <r>
    <s v="LA-700558"/>
    <d v="2024-03-20T00:00:00"/>
    <x v="0"/>
    <s v="Q1"/>
    <x v="2"/>
    <x v="2"/>
    <x v="2"/>
    <x v="3"/>
    <x v="2"/>
    <x v="4"/>
    <n v="9400"/>
    <n v="101500"/>
    <n v="60"/>
    <n v="0.312"/>
    <s v="Approved"/>
    <x v="1"/>
    <n v="1"/>
    <n v="0"/>
    <n v="81000"/>
    <n v="9.7900000000000001E-2"/>
    <n v="11"/>
    <n v="0"/>
    <n v="1"/>
  </r>
  <r>
    <s v="LA-700559"/>
    <d v="2024-03-20T00:00:00"/>
    <x v="0"/>
    <s v="Q1"/>
    <x v="2"/>
    <x v="1"/>
    <x v="3"/>
    <x v="4"/>
    <x v="0"/>
    <x v="0"/>
    <n v="4150"/>
    <n v="22000"/>
    <n v="48"/>
    <n v="0.26"/>
    <s v="Rejected"/>
    <x v="0"/>
    <n v="0"/>
    <n v="1"/>
    <n v="0"/>
    <m/>
    <n v="5"/>
    <n v="0"/>
    <n v="1"/>
  </r>
  <r>
    <s v="LA-700560"/>
    <d v="2024-03-20T00:00:00"/>
    <x v="0"/>
    <s v="Q1"/>
    <x v="2"/>
    <x v="2"/>
    <x v="3"/>
    <x v="0"/>
    <x v="1"/>
    <x v="1"/>
    <n v="4100"/>
    <n v="159000"/>
    <n v="24"/>
    <n v="1.89"/>
    <s v="Rejected"/>
    <x v="3"/>
    <n v="0"/>
    <n v="1"/>
    <n v="0"/>
    <m/>
    <n v="27"/>
    <n v="0"/>
    <n v="1"/>
  </r>
  <r>
    <s v="LA-700561"/>
    <d v="2024-03-20T00:00:00"/>
    <x v="0"/>
    <s v="Q1"/>
    <x v="2"/>
    <x v="3"/>
    <x v="3"/>
    <x v="2"/>
    <x v="1"/>
    <x v="4"/>
    <n v="3300"/>
    <n v="176500"/>
    <n v="180"/>
    <n v="0.51600000000000001"/>
    <s v="Approved"/>
    <x v="1"/>
    <n v="1"/>
    <n v="0"/>
    <n v="159000"/>
    <n v="5.1200000000000002E-2"/>
    <n v="18"/>
    <n v="0"/>
    <n v="1"/>
  </r>
  <r>
    <s v="LA-700562"/>
    <d v="2024-03-20T00:00:00"/>
    <x v="0"/>
    <s v="Q1"/>
    <x v="2"/>
    <x v="1"/>
    <x v="3"/>
    <x v="4"/>
    <x v="0"/>
    <x v="1"/>
    <n v="4150"/>
    <n v="13000"/>
    <n v="60"/>
    <n v="0.14599999999999999"/>
    <s v="Approved"/>
    <x v="1"/>
    <n v="1"/>
    <n v="0"/>
    <n v="13000"/>
    <n v="0.12280000000000001"/>
    <n v="5"/>
    <n v="0"/>
    <n v="1"/>
  </r>
  <r>
    <s v="LA-700563"/>
    <d v="2024-03-20T00:00:00"/>
    <x v="0"/>
    <s v="Q1"/>
    <x v="2"/>
    <x v="2"/>
    <x v="3"/>
    <x v="2"/>
    <x v="1"/>
    <x v="1"/>
    <n v="9050"/>
    <n v="95500"/>
    <n v="24"/>
    <n v="0.63300000000000001"/>
    <s v="Approved"/>
    <x v="1"/>
    <n v="1"/>
    <n v="0"/>
    <n v="95500"/>
    <n v="0.1075"/>
    <n v="13"/>
    <n v="0"/>
    <n v="1"/>
  </r>
  <r>
    <s v="LA-700564"/>
    <d v="2024-03-21T00:00:00"/>
    <x v="0"/>
    <s v="Q1"/>
    <x v="2"/>
    <x v="1"/>
    <x v="1"/>
    <x v="3"/>
    <x v="0"/>
    <x v="0"/>
    <n v="4050"/>
    <n v="15500"/>
    <n v="48"/>
    <n v="0.222"/>
    <s v="Rejected"/>
    <x v="0"/>
    <n v="0"/>
    <n v="1"/>
    <n v="0"/>
    <m/>
    <n v="3"/>
    <n v="1"/>
    <n v="1"/>
  </r>
  <r>
    <s v="LA-700565"/>
    <d v="2024-03-21T00:00:00"/>
    <x v="0"/>
    <s v="Q1"/>
    <x v="2"/>
    <x v="1"/>
    <x v="2"/>
    <x v="2"/>
    <x v="2"/>
    <x v="2"/>
    <n v="7450"/>
    <n v="11500"/>
    <n v="24"/>
    <n v="0.247"/>
    <s v="Rejected"/>
    <x v="0"/>
    <n v="0"/>
    <n v="1"/>
    <n v="0"/>
    <m/>
    <n v="1"/>
    <n v="1"/>
    <n v="1"/>
  </r>
  <r>
    <s v="LA-700566"/>
    <d v="2024-03-21T00:00:00"/>
    <x v="0"/>
    <s v="Q1"/>
    <x v="2"/>
    <x v="1"/>
    <x v="2"/>
    <x v="4"/>
    <x v="0"/>
    <x v="1"/>
    <n v="3550"/>
    <n v="14000"/>
    <n v="48"/>
    <n v="0.187"/>
    <s v="Approved"/>
    <x v="1"/>
    <n v="1"/>
    <n v="0"/>
    <n v="11000"/>
    <n v="0.12559999999999999"/>
    <n v="2"/>
    <n v="1"/>
    <n v="1"/>
  </r>
  <r>
    <s v="LA-700567"/>
    <d v="2024-03-21T00:00:00"/>
    <x v="0"/>
    <s v="Q1"/>
    <x v="2"/>
    <x v="2"/>
    <x v="3"/>
    <x v="3"/>
    <x v="0"/>
    <x v="0"/>
    <n v="6550"/>
    <n v="73500"/>
    <n v="12"/>
    <n v="1.2170000000000001"/>
    <s v="Rejected"/>
    <x v="0"/>
    <n v="0"/>
    <n v="1"/>
    <n v="0"/>
    <m/>
    <n v="20"/>
    <n v="0"/>
    <n v="1"/>
  </r>
  <r>
    <s v="LA-700568"/>
    <d v="2024-03-21T00:00:00"/>
    <x v="0"/>
    <s v="Q1"/>
    <x v="2"/>
    <x v="1"/>
    <x v="3"/>
    <x v="2"/>
    <x v="1"/>
    <x v="4"/>
    <n v="4000"/>
    <n v="10500"/>
    <n v="48"/>
    <n v="0.309"/>
    <s v="Approved"/>
    <x v="1"/>
    <n v="1"/>
    <n v="0"/>
    <n v="10500"/>
    <n v="0.1188"/>
    <n v="6"/>
    <n v="0"/>
    <n v="1"/>
  </r>
  <r>
    <s v="LA-700569"/>
    <d v="2024-03-21T00:00:00"/>
    <x v="0"/>
    <s v="Q1"/>
    <x v="2"/>
    <x v="1"/>
    <x v="3"/>
    <x v="1"/>
    <x v="1"/>
    <x v="4"/>
    <n v="4500"/>
    <n v="13500"/>
    <n v="12"/>
    <n v="0.50700000000000001"/>
    <s v="Rejected"/>
    <x v="3"/>
    <n v="0"/>
    <n v="1"/>
    <n v="0"/>
    <m/>
    <n v="5"/>
    <n v="0"/>
    <n v="1"/>
  </r>
  <r>
    <s v="LA-700570"/>
    <d v="2024-03-22T00:00:00"/>
    <x v="0"/>
    <s v="Q1"/>
    <x v="2"/>
    <x v="1"/>
    <x v="2"/>
    <x v="2"/>
    <x v="0"/>
    <x v="0"/>
    <n v="5750"/>
    <n v="11500"/>
    <n v="36"/>
    <n v="0.313"/>
    <s v="Rejected"/>
    <x v="0"/>
    <n v="0"/>
    <n v="1"/>
    <n v="0"/>
    <m/>
    <n v="2"/>
    <n v="1"/>
    <n v="1"/>
  </r>
  <r>
    <s v="LA-700571"/>
    <d v="2024-03-22T00:00:00"/>
    <x v="0"/>
    <s v="Q1"/>
    <x v="2"/>
    <x v="0"/>
    <x v="3"/>
    <x v="2"/>
    <x v="0"/>
    <x v="0"/>
    <n v="7450"/>
    <n v="18000"/>
    <n v="60"/>
    <n v="0.11"/>
    <s v="Approved"/>
    <x v="1"/>
    <n v="1"/>
    <n v="0"/>
    <n v="18000"/>
    <n v="9.8699999999999996E-2"/>
    <n v="11"/>
    <n v="0"/>
    <n v="1"/>
  </r>
  <r>
    <s v="LA-700572"/>
    <d v="2024-03-22T00:00:00"/>
    <x v="0"/>
    <s v="Q1"/>
    <x v="2"/>
    <x v="0"/>
    <x v="2"/>
    <x v="1"/>
    <x v="0"/>
    <x v="0"/>
    <n v="3450"/>
    <n v="23500"/>
    <n v="36"/>
    <n v="0.42"/>
    <s v="Rejected"/>
    <x v="0"/>
    <n v="0"/>
    <n v="1"/>
    <n v="0"/>
    <m/>
    <n v="4"/>
    <n v="1"/>
    <n v="1"/>
  </r>
  <r>
    <s v="LA-700573"/>
    <d v="2024-03-22T00:00:00"/>
    <x v="0"/>
    <s v="Q1"/>
    <x v="2"/>
    <x v="1"/>
    <x v="3"/>
    <x v="2"/>
    <x v="0"/>
    <x v="1"/>
    <n v="4150"/>
    <n v="10000"/>
    <n v="12"/>
    <n v="0.36399999999999999"/>
    <s v="Rejected"/>
    <x v="5"/>
    <n v="0"/>
    <n v="1"/>
    <n v="0"/>
    <m/>
    <n v="7"/>
    <n v="0"/>
    <n v="1"/>
  </r>
  <r>
    <s v="LA-700574"/>
    <d v="2024-03-22T00:00:00"/>
    <x v="0"/>
    <s v="Q1"/>
    <x v="2"/>
    <x v="1"/>
    <x v="0"/>
    <x v="2"/>
    <x v="2"/>
    <x v="3"/>
    <n v="2900"/>
    <n v="11000"/>
    <n v="12"/>
    <n v="0.41"/>
    <s v="Approved"/>
    <x v="1"/>
    <n v="1"/>
    <n v="0"/>
    <n v="9000"/>
    <n v="0.1091"/>
    <n v="3"/>
    <n v="1"/>
    <n v="1"/>
  </r>
  <r>
    <s v="LA-700575"/>
    <d v="2024-03-23T00:00:00"/>
    <x v="0"/>
    <s v="Q1"/>
    <x v="2"/>
    <x v="1"/>
    <x v="3"/>
    <x v="2"/>
    <x v="0"/>
    <x v="4"/>
    <n v="4200"/>
    <n v="24500"/>
    <n v="24"/>
    <n v="0.41499999999999998"/>
    <s v="Approved"/>
    <x v="1"/>
    <n v="1"/>
    <n v="0"/>
    <n v="24500"/>
    <n v="0.1166"/>
    <n v="5"/>
    <n v="0"/>
    <n v="1"/>
  </r>
  <r>
    <s v="LA-700576"/>
    <d v="2024-03-23T00:00:00"/>
    <x v="0"/>
    <s v="Q1"/>
    <x v="2"/>
    <x v="3"/>
    <x v="3"/>
    <x v="2"/>
    <x v="0"/>
    <x v="1"/>
    <n v="4850"/>
    <n v="299000"/>
    <n v="240"/>
    <n v="0.56799999999999995"/>
    <s v="Approved"/>
    <x v="1"/>
    <n v="1"/>
    <n v="0"/>
    <n v="299000"/>
    <n v="5.3400000000000003E-2"/>
    <n v="13"/>
    <n v="1"/>
    <n v="1"/>
  </r>
  <r>
    <s v="LA-700577"/>
    <d v="2024-03-23T00:00:00"/>
    <x v="0"/>
    <s v="Q1"/>
    <x v="2"/>
    <x v="1"/>
    <x v="3"/>
    <x v="1"/>
    <x v="0"/>
    <x v="4"/>
    <n v="4250"/>
    <n v="14000"/>
    <n v="36"/>
    <n v="0.26700000000000002"/>
    <s v="Approved"/>
    <x v="1"/>
    <n v="1"/>
    <n v="0"/>
    <n v="11000"/>
    <n v="0.11650000000000001"/>
    <n v="5"/>
    <n v="0"/>
    <n v="1"/>
  </r>
  <r>
    <s v="LA-700578"/>
    <d v="2024-03-23T00:00:00"/>
    <x v="0"/>
    <s v="Q1"/>
    <x v="2"/>
    <x v="0"/>
    <x v="3"/>
    <x v="2"/>
    <x v="0"/>
    <x v="4"/>
    <n v="4600"/>
    <n v="44000"/>
    <n v="48"/>
    <n v="0.34200000000000003"/>
    <s v="Approved"/>
    <x v="1"/>
    <n v="1"/>
    <n v="0"/>
    <n v="44000"/>
    <n v="6.9500000000000006E-2"/>
    <n v="5"/>
    <n v="0"/>
    <n v="1"/>
  </r>
  <r>
    <s v="LA-700579"/>
    <d v="2024-03-23T00:00:00"/>
    <x v="0"/>
    <s v="Q1"/>
    <x v="2"/>
    <x v="0"/>
    <x v="3"/>
    <x v="3"/>
    <x v="2"/>
    <x v="3"/>
    <n v="2500"/>
    <n v="19500"/>
    <n v="36"/>
    <n v="0.39800000000000002"/>
    <s v="Approved"/>
    <x v="1"/>
    <n v="1"/>
    <n v="0"/>
    <n v="17500"/>
    <n v="6.4199999999999993E-2"/>
    <n v="5"/>
    <n v="0"/>
    <n v="1"/>
  </r>
  <r>
    <s v="LA-700580"/>
    <d v="2024-03-23T00:00:00"/>
    <x v="0"/>
    <s v="Q1"/>
    <x v="2"/>
    <x v="1"/>
    <x v="0"/>
    <x v="1"/>
    <x v="1"/>
    <x v="1"/>
    <n v="9150"/>
    <n v="4500"/>
    <n v="48"/>
    <n v="7.8E-2"/>
    <s v="Approved"/>
    <x v="1"/>
    <n v="1"/>
    <n v="0"/>
    <n v="4500"/>
    <n v="0.122"/>
    <n v="2"/>
    <n v="1"/>
    <n v="1"/>
  </r>
  <r>
    <s v="LA-700581"/>
    <d v="2024-03-23T00:00:00"/>
    <x v="0"/>
    <s v="Q1"/>
    <x v="2"/>
    <x v="3"/>
    <x v="1"/>
    <x v="3"/>
    <x v="1"/>
    <x v="4"/>
    <n v="5100"/>
    <n v="173000"/>
    <n v="240"/>
    <n v="0.45200000000000001"/>
    <s v="Approved"/>
    <x v="1"/>
    <n v="1"/>
    <n v="0"/>
    <n v="155500"/>
    <n v="4.9200000000000001E-2"/>
    <n v="9"/>
    <n v="1"/>
    <n v="1"/>
  </r>
  <r>
    <s v="LA-700582"/>
    <d v="2024-03-23T00:00:00"/>
    <x v="0"/>
    <s v="Q1"/>
    <x v="2"/>
    <x v="2"/>
    <x v="2"/>
    <x v="0"/>
    <x v="1"/>
    <x v="4"/>
    <n v="6500"/>
    <n v="43500"/>
    <n v="36"/>
    <n v="0.42299999999999999"/>
    <s v="Approved"/>
    <x v="1"/>
    <n v="1"/>
    <n v="0"/>
    <n v="39000"/>
    <n v="9.8299999999999998E-2"/>
    <n v="6"/>
    <n v="1"/>
    <n v="1"/>
  </r>
  <r>
    <s v="LA-700583"/>
    <d v="2024-03-24T00:00:00"/>
    <x v="0"/>
    <s v="Q1"/>
    <x v="2"/>
    <x v="1"/>
    <x v="3"/>
    <x v="3"/>
    <x v="1"/>
    <x v="2"/>
    <n v="4100"/>
    <n v="12500"/>
    <n v="12"/>
    <n v="0.45300000000000001"/>
    <s v="Rejected"/>
    <x v="3"/>
    <n v="0"/>
    <n v="1"/>
    <n v="0"/>
    <m/>
    <n v="5"/>
    <n v="0"/>
    <n v="1"/>
  </r>
  <r>
    <s v="LA-700584"/>
    <d v="2024-03-24T00:00:00"/>
    <x v="0"/>
    <s v="Q1"/>
    <x v="2"/>
    <x v="1"/>
    <x v="0"/>
    <x v="0"/>
    <x v="1"/>
    <x v="2"/>
    <n v="2600"/>
    <n v="8500"/>
    <n v="60"/>
    <n v="0.28199999999999997"/>
    <s v="Rejected"/>
    <x v="0"/>
    <n v="0"/>
    <n v="1"/>
    <n v="0"/>
    <m/>
    <n v="3"/>
    <n v="1"/>
    <n v="1"/>
  </r>
  <r>
    <s v="LA-700585"/>
    <d v="2024-03-24T00:00:00"/>
    <x v="0"/>
    <s v="Q1"/>
    <x v="2"/>
    <x v="2"/>
    <x v="2"/>
    <x v="1"/>
    <x v="1"/>
    <x v="4"/>
    <n v="6350"/>
    <n v="105000"/>
    <n v="60"/>
    <n v="0.45"/>
    <s v="Approved"/>
    <x v="1"/>
    <n v="1"/>
    <n v="0"/>
    <n v="105000"/>
    <n v="9.9099999999999994E-2"/>
    <n v="8"/>
    <n v="1"/>
    <n v="1"/>
  </r>
  <r>
    <s v="LA-700586"/>
    <d v="2024-03-25T00:00:00"/>
    <x v="0"/>
    <s v="Q1"/>
    <x v="2"/>
    <x v="0"/>
    <x v="0"/>
    <x v="2"/>
    <x v="0"/>
    <x v="0"/>
    <n v="4850"/>
    <n v="47500"/>
    <n v="48"/>
    <n v="0.40600000000000003"/>
    <s v="Approved"/>
    <x v="1"/>
    <n v="1"/>
    <n v="0"/>
    <n v="47500"/>
    <n v="9.9900000000000003E-2"/>
    <n v="4"/>
    <n v="1"/>
    <n v="1"/>
  </r>
  <r>
    <s v="LA-700587"/>
    <d v="2024-03-25T00:00:00"/>
    <x v="0"/>
    <s v="Q1"/>
    <x v="2"/>
    <x v="0"/>
    <x v="1"/>
    <x v="1"/>
    <x v="0"/>
    <x v="0"/>
    <n v="6400"/>
    <n v="51500"/>
    <n v="48"/>
    <n v="0.33300000000000002"/>
    <s v="Rejected"/>
    <x v="4"/>
    <n v="0"/>
    <n v="1"/>
    <n v="0"/>
    <m/>
    <n v="5"/>
    <n v="0"/>
    <n v="1"/>
  </r>
  <r>
    <s v="LA-700588"/>
    <d v="2024-03-25T00:00:00"/>
    <x v="0"/>
    <s v="Q1"/>
    <x v="2"/>
    <x v="2"/>
    <x v="1"/>
    <x v="4"/>
    <x v="0"/>
    <x v="4"/>
    <n v="5550"/>
    <n v="41000"/>
    <n v="24"/>
    <n v="0.439"/>
    <s v="Approved"/>
    <x v="1"/>
    <n v="1"/>
    <n v="0"/>
    <n v="41000"/>
    <n v="0.1031"/>
    <n v="4"/>
    <n v="1"/>
    <n v="1"/>
  </r>
  <r>
    <s v="LA-700589"/>
    <d v="2024-03-25T00:00:00"/>
    <x v="0"/>
    <s v="Q1"/>
    <x v="2"/>
    <x v="0"/>
    <x v="1"/>
    <x v="3"/>
    <x v="2"/>
    <x v="1"/>
    <n v="7100"/>
    <n v="49000"/>
    <n v="60"/>
    <n v="0.36"/>
    <s v="Rejected"/>
    <x v="0"/>
    <n v="0"/>
    <n v="1"/>
    <n v="0"/>
    <m/>
    <n v="4"/>
    <n v="1"/>
    <n v="1"/>
  </r>
  <r>
    <s v="LA-700590"/>
    <d v="2024-03-25T00:00:00"/>
    <x v="0"/>
    <s v="Q1"/>
    <x v="2"/>
    <x v="1"/>
    <x v="0"/>
    <x v="3"/>
    <x v="2"/>
    <x v="3"/>
    <n v="4850"/>
    <n v="5500"/>
    <n v="24"/>
    <n v="0.16700000000000001"/>
    <s v="Rejected"/>
    <x v="4"/>
    <n v="0"/>
    <n v="1"/>
    <n v="0"/>
    <m/>
    <n v="7"/>
    <n v="0"/>
    <n v="1"/>
  </r>
  <r>
    <s v="LA-700591"/>
    <d v="2024-03-25T00:00:00"/>
    <x v="0"/>
    <s v="Q1"/>
    <x v="2"/>
    <x v="1"/>
    <x v="3"/>
    <x v="3"/>
    <x v="1"/>
    <x v="1"/>
    <n v="2600"/>
    <n v="7000"/>
    <n v="48"/>
    <n v="0.31"/>
    <s v="Approved"/>
    <x v="1"/>
    <n v="1"/>
    <n v="0"/>
    <n v="7000"/>
    <n v="0.121"/>
    <n v="3"/>
    <n v="1"/>
    <n v="1"/>
  </r>
  <r>
    <s v="LA-700592"/>
    <d v="2024-03-26T00:00:00"/>
    <x v="0"/>
    <s v="Q1"/>
    <x v="2"/>
    <x v="1"/>
    <x v="2"/>
    <x v="3"/>
    <x v="2"/>
    <x v="4"/>
    <n v="11400"/>
    <n v="9000"/>
    <n v="24"/>
    <n v="0.16500000000000001"/>
    <s v="Approved"/>
    <x v="1"/>
    <n v="1"/>
    <n v="0"/>
    <n v="9000"/>
    <n v="0.111"/>
    <n v="2"/>
    <n v="1"/>
    <n v="1"/>
  </r>
  <r>
    <s v="LA-700593"/>
    <d v="2024-03-26T00:00:00"/>
    <x v="0"/>
    <s v="Q1"/>
    <x v="2"/>
    <x v="1"/>
    <x v="3"/>
    <x v="2"/>
    <x v="1"/>
    <x v="2"/>
    <n v="7150"/>
    <n v="3500"/>
    <n v="48"/>
    <n v="0.14299999999999999"/>
    <s v="Rejected"/>
    <x v="0"/>
    <n v="0"/>
    <n v="1"/>
    <n v="0"/>
    <m/>
    <n v="6"/>
    <n v="0"/>
    <n v="1"/>
  </r>
  <r>
    <s v="LA-700594"/>
    <d v="2024-03-26T00:00:00"/>
    <x v="0"/>
    <s v="Q1"/>
    <x v="2"/>
    <x v="1"/>
    <x v="1"/>
    <x v="2"/>
    <x v="1"/>
    <x v="4"/>
    <n v="8400"/>
    <n v="12500"/>
    <n v="24"/>
    <n v="0.21299999999999999"/>
    <s v="Approved"/>
    <x v="1"/>
    <n v="1"/>
    <n v="0"/>
    <n v="12500"/>
    <n v="0.1169"/>
    <n v="1"/>
    <n v="1"/>
    <n v="1"/>
  </r>
  <r>
    <s v="LA-700595"/>
    <d v="2024-03-26T00:00:00"/>
    <x v="0"/>
    <s v="Q1"/>
    <x v="2"/>
    <x v="0"/>
    <x v="1"/>
    <x v="3"/>
    <x v="0"/>
    <x v="0"/>
    <n v="12200"/>
    <n v="19500"/>
    <n v="60"/>
    <n v="0.22900000000000001"/>
    <s v="Approved"/>
    <x v="1"/>
    <n v="1"/>
    <n v="0"/>
    <n v="19500"/>
    <n v="9.7100000000000006E-2"/>
    <n v="1"/>
    <n v="1"/>
    <n v="1"/>
  </r>
  <r>
    <s v="LA-700596"/>
    <d v="2024-03-26T00:00:00"/>
    <x v="0"/>
    <s v="Q1"/>
    <x v="2"/>
    <x v="2"/>
    <x v="0"/>
    <x v="0"/>
    <x v="1"/>
    <x v="1"/>
    <n v="4650"/>
    <n v="82500"/>
    <n v="60"/>
    <n v="0.44400000000000001"/>
    <s v="Rejected"/>
    <x v="4"/>
    <n v="0"/>
    <n v="1"/>
    <n v="0"/>
    <m/>
    <n v="15"/>
    <n v="0"/>
    <n v="1"/>
  </r>
  <r>
    <s v="LA-700597"/>
    <d v="2024-03-26T00:00:00"/>
    <x v="0"/>
    <s v="Q1"/>
    <x v="2"/>
    <x v="1"/>
    <x v="3"/>
    <x v="1"/>
    <x v="0"/>
    <x v="0"/>
    <n v="5150"/>
    <n v="9500"/>
    <n v="60"/>
    <n v="0.106"/>
    <s v="Rejected"/>
    <x v="0"/>
    <n v="0"/>
    <n v="1"/>
    <n v="0"/>
    <m/>
    <n v="3"/>
    <n v="1"/>
    <n v="1"/>
  </r>
  <r>
    <s v="LA-700598"/>
    <d v="2024-03-26T00:00:00"/>
    <x v="0"/>
    <s v="Q1"/>
    <x v="2"/>
    <x v="2"/>
    <x v="3"/>
    <x v="2"/>
    <x v="0"/>
    <x v="4"/>
    <n v="6900"/>
    <n v="68000"/>
    <n v="24"/>
    <n v="0.64"/>
    <s v="Rejected"/>
    <x v="3"/>
    <n v="0"/>
    <n v="1"/>
    <n v="0"/>
    <m/>
    <n v="17"/>
    <n v="0"/>
    <n v="1"/>
  </r>
  <r>
    <s v="LA-700599"/>
    <d v="2024-03-26T00:00:00"/>
    <x v="0"/>
    <s v="Q1"/>
    <x v="2"/>
    <x v="1"/>
    <x v="0"/>
    <x v="4"/>
    <x v="0"/>
    <x v="1"/>
    <n v="3000"/>
    <n v="13000"/>
    <n v="48"/>
    <n v="0.33100000000000002"/>
    <s v="Approved"/>
    <x v="1"/>
    <n v="1"/>
    <n v="0"/>
    <n v="13000"/>
    <n v="0.12740000000000001"/>
    <n v="5"/>
    <n v="0"/>
    <n v="1"/>
  </r>
  <r>
    <s v="LA-700600"/>
    <d v="2024-03-27T00:00:00"/>
    <x v="0"/>
    <s v="Q1"/>
    <x v="2"/>
    <x v="1"/>
    <x v="3"/>
    <x v="0"/>
    <x v="0"/>
    <x v="1"/>
    <n v="3600"/>
    <n v="10000"/>
    <n v="36"/>
    <n v="0.33800000000000002"/>
    <s v="Approved"/>
    <x v="1"/>
    <n v="1"/>
    <n v="0"/>
    <n v="9000"/>
    <n v="0.12759999999999999"/>
    <n v="3"/>
    <n v="1"/>
    <n v="1"/>
  </r>
  <r>
    <s v="LA-700601"/>
    <d v="2024-03-27T00:00:00"/>
    <x v="0"/>
    <s v="Q1"/>
    <x v="2"/>
    <x v="0"/>
    <x v="2"/>
    <x v="2"/>
    <x v="0"/>
    <x v="0"/>
    <n v="3300"/>
    <n v="32500"/>
    <n v="60"/>
    <n v="0.28799999999999998"/>
    <s v="Rejected"/>
    <x v="0"/>
    <n v="0"/>
    <n v="1"/>
    <n v="0"/>
    <m/>
    <n v="2"/>
    <n v="1"/>
    <n v="1"/>
  </r>
  <r>
    <s v="LA-700602"/>
    <d v="2024-03-27T00:00:00"/>
    <x v="0"/>
    <s v="Q1"/>
    <x v="2"/>
    <x v="1"/>
    <x v="1"/>
    <x v="2"/>
    <x v="0"/>
    <x v="4"/>
    <n v="11000"/>
    <n v="16000"/>
    <n v="12"/>
    <n v="0.35199999999999998"/>
    <s v="Approved"/>
    <x v="1"/>
    <n v="1"/>
    <n v="0"/>
    <n v="14500"/>
    <n v="0.11310000000000001"/>
    <n v="1"/>
    <n v="1"/>
    <n v="1"/>
  </r>
  <r>
    <s v="LA-700603"/>
    <d v="2024-03-27T00:00:00"/>
    <x v="0"/>
    <s v="Q1"/>
    <x v="2"/>
    <x v="0"/>
    <x v="1"/>
    <x v="2"/>
    <x v="1"/>
    <x v="1"/>
    <n v="5650"/>
    <n v="14500"/>
    <n v="48"/>
    <n v="0.19600000000000001"/>
    <s v="Rejected"/>
    <x v="5"/>
    <n v="0"/>
    <n v="1"/>
    <n v="0"/>
    <m/>
    <n v="2"/>
    <n v="1"/>
    <n v="1"/>
  </r>
  <r>
    <s v="LA-700604"/>
    <d v="2024-03-27T00:00:00"/>
    <x v="0"/>
    <s v="Q1"/>
    <x v="2"/>
    <x v="1"/>
    <x v="1"/>
    <x v="0"/>
    <x v="2"/>
    <x v="1"/>
    <n v="6700"/>
    <n v="20000"/>
    <n v="48"/>
    <n v="0.23699999999999999"/>
    <s v="Approved"/>
    <x v="1"/>
    <n v="1"/>
    <n v="0"/>
    <n v="20000"/>
    <n v="0.1237"/>
    <n v="1"/>
    <n v="1"/>
    <n v="1"/>
  </r>
  <r>
    <s v="LA-700605"/>
    <d v="2024-03-27T00:00:00"/>
    <x v="0"/>
    <s v="Q1"/>
    <x v="2"/>
    <x v="1"/>
    <x v="1"/>
    <x v="2"/>
    <x v="0"/>
    <x v="0"/>
    <n v="6450"/>
    <n v="7000"/>
    <n v="36"/>
    <n v="0.13"/>
    <s v="Approved"/>
    <x v="1"/>
    <n v="1"/>
    <n v="0"/>
    <n v="7000"/>
    <n v="0.14180000000000001"/>
    <n v="1"/>
    <n v="1"/>
    <n v="1"/>
  </r>
  <r>
    <s v="LA-700606"/>
    <d v="2024-03-27T00:00:00"/>
    <x v="0"/>
    <s v="Q1"/>
    <x v="2"/>
    <x v="1"/>
    <x v="0"/>
    <x v="1"/>
    <x v="1"/>
    <x v="4"/>
    <n v="6550"/>
    <n v="34500"/>
    <n v="48"/>
    <n v="0.217"/>
    <s v="Rejected"/>
    <x v="5"/>
    <n v="0"/>
    <n v="1"/>
    <n v="0"/>
    <m/>
    <n v="3"/>
    <n v="1"/>
    <n v="1"/>
  </r>
  <r>
    <s v="LA-700607"/>
    <d v="2024-03-27T00:00:00"/>
    <x v="0"/>
    <s v="Q1"/>
    <x v="2"/>
    <x v="1"/>
    <x v="0"/>
    <x v="3"/>
    <x v="1"/>
    <x v="2"/>
    <n v="4250"/>
    <n v="12500"/>
    <n v="36"/>
    <n v="0.317"/>
    <s v="Rejected"/>
    <x v="0"/>
    <n v="0"/>
    <n v="1"/>
    <n v="0"/>
    <m/>
    <n v="5"/>
    <n v="0"/>
    <n v="1"/>
  </r>
  <r>
    <s v="LA-700608"/>
    <d v="2024-03-27T00:00:00"/>
    <x v="0"/>
    <s v="Q1"/>
    <x v="2"/>
    <x v="1"/>
    <x v="2"/>
    <x v="3"/>
    <x v="2"/>
    <x v="2"/>
    <n v="6050"/>
    <n v="3500"/>
    <n v="12"/>
    <n v="0.20599999999999999"/>
    <s v="Rejected"/>
    <x v="4"/>
    <n v="0"/>
    <n v="1"/>
    <n v="0"/>
    <m/>
    <n v="6"/>
    <n v="0"/>
    <n v="1"/>
  </r>
  <r>
    <s v="LA-700609"/>
    <d v="2024-03-27T00:00:00"/>
    <x v="0"/>
    <s v="Q1"/>
    <x v="2"/>
    <x v="0"/>
    <x v="3"/>
    <x v="2"/>
    <x v="0"/>
    <x v="3"/>
    <n v="6600"/>
    <n v="24500"/>
    <n v="36"/>
    <n v="0.24299999999999999"/>
    <s v="Approved"/>
    <x v="1"/>
    <n v="1"/>
    <n v="0"/>
    <n v="19500"/>
    <n v="6.8599999999999994E-2"/>
    <n v="6"/>
    <n v="0"/>
    <n v="1"/>
  </r>
  <r>
    <s v="LA-700610"/>
    <d v="2024-03-28T00:00:00"/>
    <x v="0"/>
    <s v="Q1"/>
    <x v="2"/>
    <x v="1"/>
    <x v="3"/>
    <x v="2"/>
    <x v="1"/>
    <x v="2"/>
    <n v="4200"/>
    <n v="7500"/>
    <n v="60"/>
    <n v="0.25700000000000001"/>
    <s v="Rejected"/>
    <x v="0"/>
    <n v="0"/>
    <n v="1"/>
    <n v="0"/>
    <m/>
    <n v="4"/>
    <n v="0"/>
    <n v="1"/>
  </r>
  <r>
    <s v="LA-700611"/>
    <d v="2024-03-28T00:00:00"/>
    <x v="0"/>
    <s v="Q1"/>
    <x v="2"/>
    <x v="0"/>
    <x v="3"/>
    <x v="0"/>
    <x v="1"/>
    <x v="4"/>
    <n v="7900"/>
    <n v="27000"/>
    <n v="60"/>
    <n v="0.11799999999999999"/>
    <s v="Rejected"/>
    <x v="0"/>
    <n v="0"/>
    <n v="1"/>
    <n v="0"/>
    <m/>
    <n v="7"/>
    <n v="0"/>
    <n v="1"/>
  </r>
  <r>
    <s v="LA-700612"/>
    <d v="2024-03-28T00:00:00"/>
    <x v="0"/>
    <s v="Q1"/>
    <x v="2"/>
    <x v="1"/>
    <x v="2"/>
    <x v="3"/>
    <x v="0"/>
    <x v="0"/>
    <n v="5550"/>
    <n v="5500"/>
    <n v="36"/>
    <n v="9.8000000000000004E-2"/>
    <s v="Approved"/>
    <x v="1"/>
    <n v="1"/>
    <n v="0"/>
    <n v="5500"/>
    <n v="0.14449999999999999"/>
    <n v="3"/>
    <n v="1"/>
    <n v="1"/>
  </r>
  <r>
    <s v="LA-700613"/>
    <d v="2024-03-28T00:00:00"/>
    <x v="0"/>
    <s v="Q1"/>
    <x v="2"/>
    <x v="1"/>
    <x v="2"/>
    <x v="4"/>
    <x v="0"/>
    <x v="4"/>
    <n v="4250"/>
    <n v="7000"/>
    <n v="48"/>
    <n v="0.11899999999999999"/>
    <s v="Approved"/>
    <x v="1"/>
    <n v="1"/>
    <n v="0"/>
    <n v="7000"/>
    <n v="0.11840000000000001"/>
    <n v="1"/>
    <n v="1"/>
    <n v="1"/>
  </r>
  <r>
    <s v="LA-700614"/>
    <d v="2024-03-28T00:00:00"/>
    <x v="0"/>
    <s v="Q1"/>
    <x v="2"/>
    <x v="1"/>
    <x v="3"/>
    <x v="4"/>
    <x v="1"/>
    <x v="1"/>
    <n v="4450"/>
    <n v="8000"/>
    <n v="12"/>
    <n v="0.308"/>
    <s v="Approved"/>
    <x v="1"/>
    <n v="1"/>
    <n v="0"/>
    <n v="8000"/>
    <n v="0.1275"/>
    <n v="5"/>
    <n v="0"/>
    <n v="1"/>
  </r>
  <r>
    <s v="LA-700615"/>
    <d v="2024-03-28T00:00:00"/>
    <x v="0"/>
    <s v="Q1"/>
    <x v="2"/>
    <x v="0"/>
    <x v="3"/>
    <x v="1"/>
    <x v="1"/>
    <x v="1"/>
    <n v="4350"/>
    <n v="36500"/>
    <n v="60"/>
    <n v="0.26900000000000002"/>
    <s v="Rejected"/>
    <x v="5"/>
    <n v="0"/>
    <n v="1"/>
    <n v="0"/>
    <m/>
    <n v="8"/>
    <n v="0"/>
    <n v="1"/>
  </r>
  <r>
    <s v="LA-700616"/>
    <d v="2024-03-28T00:00:00"/>
    <x v="0"/>
    <s v="Q1"/>
    <x v="2"/>
    <x v="1"/>
    <x v="1"/>
    <x v="3"/>
    <x v="1"/>
    <x v="1"/>
    <n v="3350"/>
    <n v="14500"/>
    <n v="60"/>
    <n v="0.14899999999999999"/>
    <s v="Approved"/>
    <x v="1"/>
    <n v="1"/>
    <n v="0"/>
    <n v="14500"/>
    <n v="0.12670000000000001"/>
    <n v="2"/>
    <n v="1"/>
    <n v="1"/>
  </r>
  <r>
    <s v="LA-700617"/>
    <d v="2024-03-28T00:00:00"/>
    <x v="0"/>
    <s v="Q1"/>
    <x v="2"/>
    <x v="1"/>
    <x v="3"/>
    <x v="1"/>
    <x v="2"/>
    <x v="0"/>
    <n v="6800"/>
    <n v="17000"/>
    <n v="24"/>
    <n v="0.22700000000000001"/>
    <s v="Approved"/>
    <x v="1"/>
    <n v="1"/>
    <n v="0"/>
    <n v="17000"/>
    <n v="0.1368"/>
    <n v="7"/>
    <n v="0"/>
    <n v="1"/>
  </r>
  <r>
    <s v="LA-700618"/>
    <d v="2024-03-28T00:00:00"/>
    <x v="0"/>
    <s v="Q1"/>
    <x v="2"/>
    <x v="0"/>
    <x v="0"/>
    <x v="2"/>
    <x v="0"/>
    <x v="0"/>
    <n v="3850"/>
    <n v="35000"/>
    <n v="36"/>
    <n v="0.39900000000000002"/>
    <s v="Rejected"/>
    <x v="4"/>
    <n v="0"/>
    <n v="1"/>
    <n v="0"/>
    <m/>
    <n v="13"/>
    <n v="0"/>
    <n v="1"/>
  </r>
  <r>
    <s v="LA-700619"/>
    <d v="2024-03-28T00:00:00"/>
    <x v="0"/>
    <s v="Q1"/>
    <x v="2"/>
    <x v="2"/>
    <x v="3"/>
    <x v="2"/>
    <x v="1"/>
    <x v="4"/>
    <n v="11850"/>
    <n v="134000"/>
    <n v="12"/>
    <n v="1.2070000000000001"/>
    <s v="Approved"/>
    <x v="1"/>
    <n v="1"/>
    <n v="0"/>
    <n v="134000"/>
    <n v="9.9000000000000005E-2"/>
    <n v="13"/>
    <n v="0"/>
    <n v="1"/>
  </r>
  <r>
    <s v="LA-700620"/>
    <d v="2024-03-28T00:00:00"/>
    <x v="0"/>
    <s v="Q1"/>
    <x v="2"/>
    <x v="1"/>
    <x v="3"/>
    <x v="2"/>
    <x v="0"/>
    <x v="1"/>
    <n v="2850"/>
    <n v="9500"/>
    <n v="24"/>
    <n v="0.33900000000000002"/>
    <s v="Approved"/>
    <x v="1"/>
    <n v="1"/>
    <n v="0"/>
    <n v="9500"/>
    <n v="0.1246"/>
    <n v="3"/>
    <n v="1"/>
    <n v="1"/>
  </r>
  <r>
    <s v="LA-700621"/>
    <d v="2024-03-28T00:00:00"/>
    <x v="0"/>
    <s v="Q1"/>
    <x v="2"/>
    <x v="1"/>
    <x v="1"/>
    <x v="1"/>
    <x v="1"/>
    <x v="3"/>
    <n v="14450"/>
    <n v="26000"/>
    <n v="48"/>
    <n v="0.11799999999999999"/>
    <s v="Approved"/>
    <x v="1"/>
    <n v="1"/>
    <n v="0"/>
    <n v="26000"/>
    <n v="0.1137"/>
    <n v="1"/>
    <n v="1"/>
    <n v="1"/>
  </r>
  <r>
    <s v="LA-700622"/>
    <d v="2024-03-28T00:00:00"/>
    <x v="0"/>
    <s v="Q1"/>
    <x v="2"/>
    <x v="1"/>
    <x v="3"/>
    <x v="0"/>
    <x v="0"/>
    <x v="4"/>
    <n v="6700"/>
    <n v="13000"/>
    <n v="48"/>
    <n v="0.13300000000000001"/>
    <s v="Approved"/>
    <x v="1"/>
    <n v="1"/>
    <n v="0"/>
    <n v="10500"/>
    <n v="0.11749999999999999"/>
    <n v="5"/>
    <n v="0"/>
    <n v="1"/>
  </r>
  <r>
    <s v="LA-700623"/>
    <d v="2024-03-29T00:00:00"/>
    <x v="0"/>
    <s v="Q1"/>
    <x v="2"/>
    <x v="0"/>
    <x v="3"/>
    <x v="3"/>
    <x v="2"/>
    <x v="2"/>
    <n v="8800"/>
    <n v="30000"/>
    <n v="36"/>
    <n v="0.32100000000000001"/>
    <s v="Approved"/>
    <x v="1"/>
    <n v="1"/>
    <n v="0"/>
    <n v="30000"/>
    <n v="0.1191"/>
    <n v="6"/>
    <n v="0"/>
    <n v="1"/>
  </r>
  <r>
    <s v="LA-700624"/>
    <d v="2024-03-29T00:00:00"/>
    <x v="0"/>
    <s v="Q1"/>
    <x v="2"/>
    <x v="1"/>
    <x v="2"/>
    <x v="4"/>
    <x v="2"/>
    <x v="4"/>
    <n v="8650"/>
    <n v="16500"/>
    <n v="12"/>
    <n v="0.22500000000000001"/>
    <s v="Approved"/>
    <x v="1"/>
    <n v="1"/>
    <n v="0"/>
    <n v="16500"/>
    <n v="0.1135"/>
    <n v="4"/>
    <n v="0"/>
    <n v="1"/>
  </r>
  <r>
    <s v="LA-700625"/>
    <d v="2024-03-29T00:00:00"/>
    <x v="0"/>
    <s v="Q1"/>
    <x v="2"/>
    <x v="3"/>
    <x v="0"/>
    <x v="1"/>
    <x v="2"/>
    <x v="4"/>
    <n v="7000"/>
    <n v="251000"/>
    <n v="180"/>
    <n v="0.35799999999999998"/>
    <s v="Approved"/>
    <x v="1"/>
    <n v="1"/>
    <n v="0"/>
    <n v="251000"/>
    <n v="5.28E-2"/>
    <n v="12"/>
    <n v="1"/>
    <n v="1"/>
  </r>
  <r>
    <s v="LA-700626"/>
    <d v="2024-03-29T00:00:00"/>
    <x v="0"/>
    <s v="Q1"/>
    <x v="2"/>
    <x v="1"/>
    <x v="1"/>
    <x v="3"/>
    <x v="0"/>
    <x v="0"/>
    <n v="2700"/>
    <n v="8000"/>
    <n v="12"/>
    <n v="0.47099999999999997"/>
    <s v="Rejected"/>
    <x v="0"/>
    <n v="0"/>
    <n v="1"/>
    <n v="0"/>
    <m/>
    <n v="2"/>
    <n v="1"/>
    <n v="1"/>
  </r>
  <r>
    <s v="LA-700627"/>
    <d v="2024-03-30T00:00:00"/>
    <x v="0"/>
    <s v="Q1"/>
    <x v="2"/>
    <x v="2"/>
    <x v="3"/>
    <x v="0"/>
    <x v="2"/>
    <x v="1"/>
    <n v="5850"/>
    <n v="61500"/>
    <n v="12"/>
    <n v="1.17"/>
    <s v="Rejected"/>
    <x v="3"/>
    <n v="0"/>
    <n v="1"/>
    <n v="0"/>
    <m/>
    <n v="20"/>
    <n v="0"/>
    <n v="1"/>
  </r>
  <r>
    <s v="LA-700628"/>
    <d v="2024-03-30T00:00:00"/>
    <x v="0"/>
    <s v="Q1"/>
    <x v="2"/>
    <x v="1"/>
    <x v="3"/>
    <x v="2"/>
    <x v="0"/>
    <x v="1"/>
    <n v="10300"/>
    <n v="5500"/>
    <n v="48"/>
    <n v="0.255"/>
    <s v="Rejected"/>
    <x v="5"/>
    <n v="0"/>
    <n v="1"/>
    <n v="0"/>
    <m/>
    <n v="4"/>
    <n v="0"/>
    <n v="1"/>
  </r>
  <r>
    <s v="LA-700629"/>
    <d v="2024-03-30T00:00:00"/>
    <x v="0"/>
    <s v="Q1"/>
    <x v="2"/>
    <x v="0"/>
    <x v="0"/>
    <x v="3"/>
    <x v="1"/>
    <x v="4"/>
    <n v="4600"/>
    <n v="49000"/>
    <n v="48"/>
    <n v="0.33100000000000002"/>
    <s v="Approved"/>
    <x v="1"/>
    <n v="1"/>
    <n v="0"/>
    <n v="44000"/>
    <n v="6.6699999999999995E-2"/>
    <n v="5"/>
    <n v="0"/>
    <n v="1"/>
  </r>
  <r>
    <s v="LA-700630"/>
    <d v="2024-03-30T00:00:00"/>
    <x v="0"/>
    <s v="Q1"/>
    <x v="2"/>
    <x v="0"/>
    <x v="0"/>
    <x v="2"/>
    <x v="1"/>
    <x v="3"/>
    <n v="3250"/>
    <n v="29000"/>
    <n v="36"/>
    <n v="0.44600000000000001"/>
    <s v="Approved"/>
    <x v="1"/>
    <n v="1"/>
    <n v="0"/>
    <n v="29000"/>
    <n v="6.3299999999999995E-2"/>
    <n v="8"/>
    <n v="0"/>
    <n v="1"/>
  </r>
  <r>
    <s v="LA-700631"/>
    <d v="2024-03-30T00:00:00"/>
    <x v="0"/>
    <s v="Q1"/>
    <x v="2"/>
    <x v="3"/>
    <x v="2"/>
    <x v="2"/>
    <x v="2"/>
    <x v="4"/>
    <n v="9400"/>
    <n v="236000"/>
    <n v="180"/>
    <n v="0.41099999999999998"/>
    <s v="Rejected"/>
    <x v="2"/>
    <n v="0"/>
    <n v="1"/>
    <n v="0"/>
    <m/>
    <n v="9"/>
    <n v="1"/>
    <n v="1"/>
  </r>
  <r>
    <s v="LA-700632"/>
    <d v="2024-03-31T00:00:00"/>
    <x v="0"/>
    <s v="Q1"/>
    <x v="2"/>
    <x v="1"/>
    <x v="3"/>
    <x v="3"/>
    <x v="0"/>
    <x v="0"/>
    <n v="2700"/>
    <n v="22000"/>
    <n v="24"/>
    <n v="0.55600000000000005"/>
    <s v="Approved"/>
    <x v="1"/>
    <n v="1"/>
    <n v="0"/>
    <n v="20000"/>
    <n v="0.14280000000000001"/>
    <n v="12"/>
    <n v="0"/>
    <n v="1"/>
  </r>
  <r>
    <s v="LA-700633"/>
    <d v="2024-03-31T00:00:00"/>
    <x v="0"/>
    <s v="Q1"/>
    <x v="2"/>
    <x v="3"/>
    <x v="3"/>
    <x v="0"/>
    <x v="1"/>
    <x v="1"/>
    <n v="7550"/>
    <n v="212000"/>
    <n v="300"/>
    <n v="0.34100000000000003"/>
    <s v="Approved"/>
    <x v="1"/>
    <n v="1"/>
    <n v="0"/>
    <n v="212000"/>
    <n v="6.1800000000000001E-2"/>
    <n v="21"/>
    <n v="0"/>
    <n v="1"/>
  </r>
  <r>
    <s v="LA-700634"/>
    <d v="2024-04-01T00:00:00"/>
    <x v="0"/>
    <s v="Q2"/>
    <x v="3"/>
    <x v="2"/>
    <x v="2"/>
    <x v="3"/>
    <x v="0"/>
    <x v="1"/>
    <n v="3000"/>
    <n v="109000"/>
    <n v="12"/>
    <n v="3.423"/>
    <s v="Rejected"/>
    <x v="4"/>
    <n v="0"/>
    <n v="1"/>
    <n v="0"/>
    <m/>
    <n v="9"/>
    <n v="1"/>
    <n v="1"/>
  </r>
  <r>
    <s v="LA-700635"/>
    <d v="2024-04-01T00:00:00"/>
    <x v="0"/>
    <s v="Q2"/>
    <x v="3"/>
    <x v="1"/>
    <x v="3"/>
    <x v="2"/>
    <x v="1"/>
    <x v="0"/>
    <n v="10650"/>
    <n v="13500"/>
    <n v="60"/>
    <n v="0.17499999999999999"/>
    <s v="Approved"/>
    <x v="1"/>
    <n v="1"/>
    <n v="0"/>
    <n v="13500"/>
    <n v="0.1376"/>
    <n v="5"/>
    <n v="0"/>
    <n v="1"/>
  </r>
  <r>
    <s v="LA-700636"/>
    <d v="2024-04-01T00:00:00"/>
    <x v="0"/>
    <s v="Q2"/>
    <x v="3"/>
    <x v="2"/>
    <x v="1"/>
    <x v="3"/>
    <x v="0"/>
    <x v="1"/>
    <n v="9000"/>
    <n v="104000"/>
    <n v="36"/>
    <n v="0.58899999999999997"/>
    <s v="Approved"/>
    <x v="1"/>
    <n v="1"/>
    <n v="0"/>
    <n v="104000"/>
    <n v="0.1053"/>
    <n v="9"/>
    <n v="1"/>
    <n v="1"/>
  </r>
  <r>
    <s v="LA-700637"/>
    <d v="2024-04-01T00:00:00"/>
    <x v="0"/>
    <s v="Q2"/>
    <x v="3"/>
    <x v="2"/>
    <x v="2"/>
    <x v="4"/>
    <x v="1"/>
    <x v="0"/>
    <n v="4950"/>
    <n v="169500"/>
    <n v="12"/>
    <n v="3.2309999999999999"/>
    <s v="Rejected"/>
    <x v="0"/>
    <n v="0"/>
    <n v="1"/>
    <n v="0"/>
    <m/>
    <n v="4"/>
    <n v="1"/>
    <n v="1"/>
  </r>
  <r>
    <s v="LA-700638"/>
    <d v="2024-04-01T00:00:00"/>
    <x v="0"/>
    <s v="Q2"/>
    <x v="3"/>
    <x v="1"/>
    <x v="3"/>
    <x v="0"/>
    <x v="1"/>
    <x v="2"/>
    <n v="9250"/>
    <n v="10500"/>
    <n v="36"/>
    <n v="0.28599999999999998"/>
    <s v="Rejected"/>
    <x v="0"/>
    <n v="0"/>
    <n v="1"/>
    <n v="0"/>
    <m/>
    <n v="10"/>
    <n v="0"/>
    <n v="1"/>
  </r>
  <r>
    <s v="LA-700639"/>
    <d v="2024-04-01T00:00:00"/>
    <x v="0"/>
    <s v="Q2"/>
    <x v="3"/>
    <x v="2"/>
    <x v="1"/>
    <x v="0"/>
    <x v="0"/>
    <x v="3"/>
    <n v="4050"/>
    <n v="67000"/>
    <n v="60"/>
    <n v="0.53300000000000003"/>
    <s v="Approved"/>
    <x v="1"/>
    <n v="1"/>
    <n v="0"/>
    <n v="60500"/>
    <n v="9.4600000000000004E-2"/>
    <n v="7"/>
    <n v="1"/>
    <n v="1"/>
  </r>
  <r>
    <s v="LA-700640"/>
    <d v="2024-04-01T00:00:00"/>
    <x v="0"/>
    <s v="Q2"/>
    <x v="3"/>
    <x v="1"/>
    <x v="0"/>
    <x v="1"/>
    <x v="1"/>
    <x v="1"/>
    <n v="8600"/>
    <n v="22000"/>
    <n v="60"/>
    <n v="0.13400000000000001"/>
    <s v="Rejected"/>
    <x v="5"/>
    <n v="0"/>
    <n v="1"/>
    <n v="0"/>
    <m/>
    <n v="3"/>
    <n v="1"/>
    <n v="1"/>
  </r>
  <r>
    <s v="LA-700641"/>
    <d v="2024-04-01T00:00:00"/>
    <x v="0"/>
    <s v="Q2"/>
    <x v="3"/>
    <x v="1"/>
    <x v="1"/>
    <x v="2"/>
    <x v="0"/>
    <x v="1"/>
    <n v="6600"/>
    <n v="20500"/>
    <n v="12"/>
    <n v="0.38"/>
    <s v="Approved"/>
    <x v="1"/>
    <n v="1"/>
    <n v="0"/>
    <n v="20500"/>
    <n v="0.1295"/>
    <n v="1"/>
    <n v="1"/>
    <n v="1"/>
  </r>
  <r>
    <s v="LA-700642"/>
    <d v="2024-04-01T00:00:00"/>
    <x v="0"/>
    <s v="Q2"/>
    <x v="3"/>
    <x v="3"/>
    <x v="2"/>
    <x v="1"/>
    <x v="0"/>
    <x v="2"/>
    <n v="6950"/>
    <n v="357500"/>
    <n v="180"/>
    <n v="0.46500000000000002"/>
    <s v="Rejected"/>
    <x v="4"/>
    <n v="0"/>
    <n v="1"/>
    <n v="0"/>
    <m/>
    <n v="12"/>
    <n v="1"/>
    <n v="1"/>
  </r>
  <r>
    <s v="LA-700643"/>
    <d v="2024-04-02T00:00:00"/>
    <x v="0"/>
    <s v="Q2"/>
    <x v="3"/>
    <x v="1"/>
    <x v="3"/>
    <x v="3"/>
    <x v="0"/>
    <x v="2"/>
    <n v="6750"/>
    <n v="9000"/>
    <n v="12"/>
    <n v="0.33"/>
    <s v="Rejected"/>
    <x v="0"/>
    <n v="0"/>
    <n v="1"/>
    <n v="0"/>
    <m/>
    <n v="4"/>
    <n v="0"/>
    <n v="1"/>
  </r>
  <r>
    <s v="LA-700644"/>
    <d v="2024-04-02T00:00:00"/>
    <x v="0"/>
    <s v="Q2"/>
    <x v="3"/>
    <x v="3"/>
    <x v="3"/>
    <x v="1"/>
    <x v="0"/>
    <x v="3"/>
    <n v="3750"/>
    <n v="189500"/>
    <n v="180"/>
    <n v="0.51800000000000002"/>
    <s v="Approved"/>
    <x v="1"/>
    <n v="1"/>
    <n v="0"/>
    <n v="189500"/>
    <n v="4.3099999999999999E-2"/>
    <n v="15"/>
    <n v="1"/>
    <n v="1"/>
  </r>
  <r>
    <s v="LA-700645"/>
    <d v="2024-04-02T00:00:00"/>
    <x v="0"/>
    <s v="Q2"/>
    <x v="3"/>
    <x v="1"/>
    <x v="0"/>
    <x v="1"/>
    <x v="2"/>
    <x v="2"/>
    <n v="11050"/>
    <n v="9500"/>
    <n v="36"/>
    <n v="0.26400000000000001"/>
    <s v="Rejected"/>
    <x v="4"/>
    <n v="0"/>
    <n v="1"/>
    <n v="0"/>
    <m/>
    <n v="6"/>
    <n v="0"/>
    <n v="1"/>
  </r>
  <r>
    <s v="LA-700646"/>
    <d v="2024-04-02T00:00:00"/>
    <x v="0"/>
    <s v="Q2"/>
    <x v="3"/>
    <x v="3"/>
    <x v="0"/>
    <x v="2"/>
    <x v="0"/>
    <x v="0"/>
    <n v="3650"/>
    <n v="112500"/>
    <n v="180"/>
    <n v="0.37"/>
    <s v="Approved"/>
    <x v="1"/>
    <n v="1"/>
    <n v="0"/>
    <n v="101000"/>
    <n v="8.2900000000000001E-2"/>
    <n v="13"/>
    <n v="1"/>
    <n v="1"/>
  </r>
  <r>
    <s v="LA-700647"/>
    <d v="2024-04-02T00:00:00"/>
    <x v="0"/>
    <s v="Q2"/>
    <x v="3"/>
    <x v="2"/>
    <x v="3"/>
    <x v="2"/>
    <x v="2"/>
    <x v="3"/>
    <n v="5800"/>
    <n v="85500"/>
    <n v="24"/>
    <n v="0.89400000000000002"/>
    <s v="Rejected"/>
    <x v="3"/>
    <n v="0"/>
    <n v="1"/>
    <n v="0"/>
    <m/>
    <n v="18"/>
    <n v="0"/>
    <n v="1"/>
  </r>
  <r>
    <s v="LA-700648"/>
    <d v="2024-04-02T00:00:00"/>
    <x v="0"/>
    <s v="Q2"/>
    <x v="3"/>
    <x v="1"/>
    <x v="3"/>
    <x v="3"/>
    <x v="1"/>
    <x v="3"/>
    <n v="12700"/>
    <n v="13000"/>
    <n v="60"/>
    <n v="0.23400000000000001"/>
    <s v="Approved"/>
    <x v="1"/>
    <n v="1"/>
    <n v="0"/>
    <n v="13000"/>
    <n v="0.1069"/>
    <n v="4"/>
    <n v="0"/>
    <n v="1"/>
  </r>
  <r>
    <s v="LA-700649"/>
    <d v="2024-04-02T00:00:00"/>
    <x v="0"/>
    <s v="Q2"/>
    <x v="3"/>
    <x v="3"/>
    <x v="2"/>
    <x v="2"/>
    <x v="0"/>
    <x v="3"/>
    <n v="5650"/>
    <n v="253000"/>
    <n v="180"/>
    <n v="0.52200000000000002"/>
    <s v="Approved"/>
    <x v="1"/>
    <n v="1"/>
    <n v="0"/>
    <n v="202500"/>
    <n v="4.1599999999999998E-2"/>
    <n v="8"/>
    <n v="1"/>
    <n v="1"/>
  </r>
  <r>
    <s v="LA-700650"/>
    <d v="2024-04-02T00:00:00"/>
    <x v="0"/>
    <s v="Q2"/>
    <x v="3"/>
    <x v="2"/>
    <x v="3"/>
    <x v="1"/>
    <x v="0"/>
    <x v="4"/>
    <n v="6350"/>
    <n v="173500"/>
    <n v="24"/>
    <n v="1.3779999999999999"/>
    <s v="Rejected"/>
    <x v="3"/>
    <n v="0"/>
    <n v="1"/>
    <n v="0"/>
    <m/>
    <n v="14"/>
    <n v="0"/>
    <n v="1"/>
  </r>
  <r>
    <s v="LA-700651"/>
    <d v="2024-04-02T00:00:00"/>
    <x v="0"/>
    <s v="Q2"/>
    <x v="3"/>
    <x v="2"/>
    <x v="3"/>
    <x v="1"/>
    <x v="2"/>
    <x v="2"/>
    <n v="18300"/>
    <n v="177000"/>
    <n v="60"/>
    <n v="0.434"/>
    <s v="Rejected"/>
    <x v="0"/>
    <n v="0"/>
    <n v="1"/>
    <n v="0"/>
    <m/>
    <n v="17"/>
    <n v="0"/>
    <n v="1"/>
  </r>
  <r>
    <s v="LA-700652"/>
    <d v="2024-04-03T00:00:00"/>
    <x v="0"/>
    <s v="Q2"/>
    <x v="3"/>
    <x v="3"/>
    <x v="3"/>
    <x v="2"/>
    <x v="0"/>
    <x v="4"/>
    <n v="5000"/>
    <n v="125000"/>
    <n v="240"/>
    <n v="0.32200000000000001"/>
    <s v="Approved"/>
    <x v="1"/>
    <n v="1"/>
    <n v="0"/>
    <n v="100000"/>
    <n v="5.2299999999999999E-2"/>
    <n v="29"/>
    <n v="0"/>
    <n v="1"/>
  </r>
  <r>
    <s v="LA-700653"/>
    <d v="2024-04-03T00:00:00"/>
    <x v="0"/>
    <s v="Q2"/>
    <x v="3"/>
    <x v="1"/>
    <x v="1"/>
    <x v="1"/>
    <x v="0"/>
    <x v="4"/>
    <n v="4700"/>
    <n v="5500"/>
    <n v="48"/>
    <n v="0.27"/>
    <s v="Approved"/>
    <x v="1"/>
    <n v="1"/>
    <n v="0"/>
    <n v="5500"/>
    <n v="0.1183"/>
    <n v="1"/>
    <n v="1"/>
    <n v="1"/>
  </r>
  <r>
    <s v="LA-700654"/>
    <d v="2024-04-03T00:00:00"/>
    <x v="0"/>
    <s v="Q2"/>
    <x v="3"/>
    <x v="3"/>
    <x v="2"/>
    <x v="2"/>
    <x v="1"/>
    <x v="0"/>
    <n v="3100"/>
    <n v="303500"/>
    <n v="300"/>
    <n v="0.79500000000000004"/>
    <s v="Approved"/>
    <x v="1"/>
    <n v="1"/>
    <n v="0"/>
    <n v="303500"/>
    <n v="6.9900000000000004E-2"/>
    <n v="16"/>
    <n v="0"/>
    <n v="1"/>
  </r>
  <r>
    <s v="LA-700655"/>
    <d v="2024-04-03T00:00:00"/>
    <x v="0"/>
    <s v="Q2"/>
    <x v="3"/>
    <x v="2"/>
    <x v="3"/>
    <x v="4"/>
    <x v="0"/>
    <x v="1"/>
    <n v="8000"/>
    <n v="115500"/>
    <n v="36"/>
    <n v="0.57199999999999995"/>
    <s v="Approved"/>
    <x v="1"/>
    <n v="1"/>
    <n v="0"/>
    <n v="115500"/>
    <n v="0.1152"/>
    <n v="13"/>
    <n v="0"/>
    <n v="1"/>
  </r>
  <r>
    <s v="LA-700656"/>
    <d v="2024-04-03T00:00:00"/>
    <x v="0"/>
    <s v="Q2"/>
    <x v="3"/>
    <x v="0"/>
    <x v="3"/>
    <x v="1"/>
    <x v="1"/>
    <x v="1"/>
    <n v="5450"/>
    <n v="7500"/>
    <n v="36"/>
    <n v="0.1"/>
    <s v="Approved"/>
    <x v="1"/>
    <n v="1"/>
    <n v="0"/>
    <n v="7500"/>
    <n v="8.7499999999999994E-2"/>
    <n v="5"/>
    <n v="0"/>
    <n v="1"/>
  </r>
  <r>
    <s v="LA-700657"/>
    <d v="2024-04-03T00:00:00"/>
    <x v="0"/>
    <s v="Q2"/>
    <x v="3"/>
    <x v="3"/>
    <x v="3"/>
    <x v="2"/>
    <x v="0"/>
    <x v="4"/>
    <n v="4300"/>
    <n v="123000"/>
    <n v="300"/>
    <n v="0.26400000000000001"/>
    <s v="Rejected"/>
    <x v="4"/>
    <n v="0"/>
    <n v="1"/>
    <n v="0"/>
    <m/>
    <n v="21"/>
    <n v="0"/>
    <n v="1"/>
  </r>
  <r>
    <s v="LA-700658"/>
    <d v="2024-04-04T00:00:00"/>
    <x v="0"/>
    <s v="Q2"/>
    <x v="3"/>
    <x v="1"/>
    <x v="0"/>
    <x v="3"/>
    <x v="0"/>
    <x v="4"/>
    <n v="7150"/>
    <n v="6000"/>
    <n v="12"/>
    <n v="0.28599999999999998"/>
    <s v="Approved"/>
    <x v="1"/>
    <n v="1"/>
    <n v="0"/>
    <n v="5500"/>
    <n v="0.1108"/>
    <n v="4"/>
    <n v="0"/>
    <n v="1"/>
  </r>
  <r>
    <s v="LA-700659"/>
    <d v="2024-04-04T00:00:00"/>
    <x v="0"/>
    <s v="Q2"/>
    <x v="3"/>
    <x v="2"/>
    <x v="3"/>
    <x v="2"/>
    <x v="0"/>
    <x v="4"/>
    <n v="4500"/>
    <n v="71500"/>
    <n v="24"/>
    <n v="0.97899999999999998"/>
    <s v="Rejected"/>
    <x v="3"/>
    <n v="0"/>
    <n v="1"/>
    <n v="0"/>
    <m/>
    <n v="12"/>
    <n v="0"/>
    <n v="1"/>
  </r>
  <r>
    <s v="LA-700660"/>
    <d v="2024-04-04T00:00:00"/>
    <x v="0"/>
    <s v="Q2"/>
    <x v="3"/>
    <x v="0"/>
    <x v="1"/>
    <x v="4"/>
    <x v="1"/>
    <x v="1"/>
    <n v="4750"/>
    <n v="31000"/>
    <n v="48"/>
    <n v="0.38400000000000001"/>
    <s v="Rejected"/>
    <x v="0"/>
    <n v="0"/>
    <n v="1"/>
    <n v="0"/>
    <m/>
    <n v="1"/>
    <n v="1"/>
    <n v="1"/>
  </r>
  <r>
    <s v="LA-700661"/>
    <d v="2024-04-05T00:00:00"/>
    <x v="0"/>
    <s v="Q2"/>
    <x v="3"/>
    <x v="1"/>
    <x v="2"/>
    <x v="3"/>
    <x v="0"/>
    <x v="0"/>
    <n v="4100"/>
    <n v="14500"/>
    <n v="60"/>
    <n v="0.28199999999999997"/>
    <s v="Rejected"/>
    <x v="0"/>
    <n v="0"/>
    <n v="1"/>
    <n v="0"/>
    <m/>
    <n v="1"/>
    <n v="1"/>
    <n v="1"/>
  </r>
  <r>
    <s v="LA-700662"/>
    <d v="2024-04-05T00:00:00"/>
    <x v="0"/>
    <s v="Q2"/>
    <x v="3"/>
    <x v="3"/>
    <x v="1"/>
    <x v="1"/>
    <x v="2"/>
    <x v="1"/>
    <n v="4200"/>
    <n v="163500"/>
    <n v="240"/>
    <n v="0.34499999999999997"/>
    <s v="Rejected"/>
    <x v="5"/>
    <n v="0"/>
    <n v="1"/>
    <n v="0"/>
    <m/>
    <n v="9"/>
    <n v="1"/>
    <n v="1"/>
  </r>
  <r>
    <s v="LA-700663"/>
    <d v="2024-04-05T00:00:00"/>
    <x v="0"/>
    <s v="Q2"/>
    <x v="3"/>
    <x v="2"/>
    <x v="2"/>
    <x v="1"/>
    <x v="0"/>
    <x v="3"/>
    <n v="2950"/>
    <n v="140500"/>
    <n v="24"/>
    <n v="2.2450000000000001"/>
    <s v="Rejected"/>
    <x v="3"/>
    <n v="0"/>
    <n v="1"/>
    <n v="0"/>
    <m/>
    <n v="7"/>
    <n v="1"/>
    <n v="1"/>
  </r>
  <r>
    <s v="LA-700664"/>
    <d v="2024-04-05T00:00:00"/>
    <x v="0"/>
    <s v="Q2"/>
    <x v="3"/>
    <x v="1"/>
    <x v="2"/>
    <x v="3"/>
    <x v="2"/>
    <x v="4"/>
    <n v="4650"/>
    <n v="10000"/>
    <n v="36"/>
    <n v="0.20100000000000001"/>
    <s v="Rejected"/>
    <x v="4"/>
    <n v="0"/>
    <n v="1"/>
    <n v="0"/>
    <m/>
    <n v="6"/>
    <n v="0"/>
    <n v="1"/>
  </r>
  <r>
    <s v="LA-700665"/>
    <d v="2024-04-05T00:00:00"/>
    <x v="0"/>
    <s v="Q2"/>
    <x v="3"/>
    <x v="3"/>
    <x v="0"/>
    <x v="3"/>
    <x v="0"/>
    <x v="4"/>
    <n v="3850"/>
    <n v="361500"/>
    <n v="180"/>
    <n v="0.94899999999999995"/>
    <s v="Rejected"/>
    <x v="3"/>
    <n v="0"/>
    <n v="1"/>
    <n v="0"/>
    <m/>
    <n v="15"/>
    <n v="1"/>
    <n v="1"/>
  </r>
  <r>
    <s v="LA-700666"/>
    <d v="2024-04-06T00:00:00"/>
    <x v="0"/>
    <s v="Q2"/>
    <x v="3"/>
    <x v="1"/>
    <x v="0"/>
    <x v="2"/>
    <x v="0"/>
    <x v="1"/>
    <n v="5500"/>
    <n v="12500"/>
    <n v="24"/>
    <n v="0.20100000000000001"/>
    <s v="Approved"/>
    <x v="1"/>
    <n v="1"/>
    <n v="0"/>
    <n v="12500"/>
    <n v="0.1236"/>
    <n v="2"/>
    <n v="1"/>
    <n v="1"/>
  </r>
  <r>
    <s v="LA-700667"/>
    <d v="2024-04-06T00:00:00"/>
    <x v="0"/>
    <s v="Q2"/>
    <x v="3"/>
    <x v="2"/>
    <x v="1"/>
    <x v="3"/>
    <x v="2"/>
    <x v="3"/>
    <n v="3600"/>
    <n v="78500"/>
    <n v="36"/>
    <n v="0.92600000000000005"/>
    <s v="Approved"/>
    <x v="1"/>
    <n v="1"/>
    <n v="0"/>
    <n v="63000"/>
    <n v="9.7500000000000003E-2"/>
    <n v="3"/>
    <n v="1"/>
    <n v="1"/>
  </r>
  <r>
    <s v="LA-700668"/>
    <d v="2024-04-06T00:00:00"/>
    <x v="0"/>
    <s v="Q2"/>
    <x v="3"/>
    <x v="3"/>
    <x v="1"/>
    <x v="3"/>
    <x v="0"/>
    <x v="4"/>
    <n v="7500"/>
    <n v="395000"/>
    <n v="300"/>
    <n v="0.46300000000000002"/>
    <s v="Approved"/>
    <x v="1"/>
    <n v="1"/>
    <n v="0"/>
    <n v="355500"/>
    <n v="4.7899999999999998E-2"/>
    <n v="5"/>
    <n v="1"/>
    <n v="1"/>
  </r>
  <r>
    <s v="LA-700669"/>
    <d v="2024-04-06T00:00:00"/>
    <x v="0"/>
    <s v="Q2"/>
    <x v="3"/>
    <x v="1"/>
    <x v="0"/>
    <x v="4"/>
    <x v="2"/>
    <x v="0"/>
    <n v="3000"/>
    <n v="5000"/>
    <n v="60"/>
    <n v="0.153"/>
    <s v="Rejected"/>
    <x v="0"/>
    <n v="0"/>
    <n v="1"/>
    <n v="0"/>
    <m/>
    <n v="3"/>
    <n v="1"/>
    <n v="1"/>
  </r>
  <r>
    <s v="LA-700670"/>
    <d v="2024-04-07T00:00:00"/>
    <x v="0"/>
    <s v="Q2"/>
    <x v="3"/>
    <x v="3"/>
    <x v="0"/>
    <x v="4"/>
    <x v="0"/>
    <x v="1"/>
    <n v="4900"/>
    <n v="605000"/>
    <n v="180"/>
    <n v="1.0289999999999999"/>
    <s v="Rejected"/>
    <x v="3"/>
    <n v="0"/>
    <n v="1"/>
    <n v="0"/>
    <m/>
    <n v="26"/>
    <n v="0"/>
    <n v="1"/>
  </r>
  <r>
    <s v="LA-700671"/>
    <d v="2024-04-07T00:00:00"/>
    <x v="0"/>
    <s v="Q2"/>
    <x v="3"/>
    <x v="2"/>
    <x v="3"/>
    <x v="2"/>
    <x v="2"/>
    <x v="1"/>
    <n v="5250"/>
    <n v="80000"/>
    <n v="24"/>
    <n v="0.89100000000000001"/>
    <s v="Rejected"/>
    <x v="3"/>
    <n v="0"/>
    <n v="1"/>
    <n v="0"/>
    <m/>
    <n v="10"/>
    <n v="1"/>
    <n v="1"/>
  </r>
  <r>
    <s v="LA-700672"/>
    <d v="2024-04-08T00:00:00"/>
    <x v="0"/>
    <s v="Q2"/>
    <x v="3"/>
    <x v="2"/>
    <x v="3"/>
    <x v="1"/>
    <x v="2"/>
    <x v="4"/>
    <n v="3750"/>
    <n v="45500"/>
    <n v="24"/>
    <n v="0.61899999999999999"/>
    <s v="Rejected"/>
    <x v="3"/>
    <n v="0"/>
    <n v="1"/>
    <n v="0"/>
    <m/>
    <n v="20"/>
    <n v="0"/>
    <n v="1"/>
  </r>
  <r>
    <s v="LA-700673"/>
    <d v="2024-04-08T00:00:00"/>
    <x v="0"/>
    <s v="Q2"/>
    <x v="3"/>
    <x v="3"/>
    <x v="3"/>
    <x v="4"/>
    <x v="2"/>
    <x v="2"/>
    <n v="6900"/>
    <n v="326500"/>
    <n v="180"/>
    <n v="0.57399999999999995"/>
    <s v="Rejected"/>
    <x v="3"/>
    <n v="0"/>
    <n v="1"/>
    <n v="0"/>
    <m/>
    <n v="13"/>
    <n v="1"/>
    <n v="1"/>
  </r>
  <r>
    <s v="LA-700674"/>
    <d v="2024-04-08T00:00:00"/>
    <x v="0"/>
    <s v="Q2"/>
    <x v="3"/>
    <x v="1"/>
    <x v="2"/>
    <x v="2"/>
    <x v="0"/>
    <x v="1"/>
    <n v="5250"/>
    <n v="11000"/>
    <n v="60"/>
    <n v="0.12"/>
    <s v="Approved"/>
    <x v="1"/>
    <n v="1"/>
    <n v="0"/>
    <n v="11000"/>
    <n v="0.12839999999999999"/>
    <n v="3"/>
    <n v="1"/>
    <n v="1"/>
  </r>
  <r>
    <s v="LA-700675"/>
    <d v="2024-04-08T00:00:00"/>
    <x v="0"/>
    <s v="Q2"/>
    <x v="3"/>
    <x v="1"/>
    <x v="2"/>
    <x v="2"/>
    <x v="1"/>
    <x v="3"/>
    <n v="3250"/>
    <n v="12000"/>
    <n v="12"/>
    <n v="0.45400000000000001"/>
    <s v="Approved"/>
    <x v="1"/>
    <n v="1"/>
    <n v="0"/>
    <n v="12000"/>
    <n v="0.1067"/>
    <n v="2"/>
    <n v="1"/>
    <n v="1"/>
  </r>
  <r>
    <s v="LA-700676"/>
    <d v="2024-04-08T00:00:00"/>
    <x v="0"/>
    <s v="Q2"/>
    <x v="3"/>
    <x v="0"/>
    <x v="0"/>
    <x v="0"/>
    <x v="2"/>
    <x v="2"/>
    <n v="5800"/>
    <n v="27000"/>
    <n v="36"/>
    <n v="0.313"/>
    <s v="Rejected"/>
    <x v="0"/>
    <n v="0"/>
    <n v="1"/>
    <n v="0"/>
    <m/>
    <n v="3"/>
    <n v="1"/>
    <n v="1"/>
  </r>
  <r>
    <s v="LA-700677"/>
    <d v="2024-04-08T00:00:00"/>
    <x v="0"/>
    <s v="Q2"/>
    <x v="3"/>
    <x v="1"/>
    <x v="0"/>
    <x v="3"/>
    <x v="1"/>
    <x v="2"/>
    <n v="4650"/>
    <n v="6500"/>
    <n v="36"/>
    <n v="0.29199999999999998"/>
    <s v="Rejected"/>
    <x v="4"/>
    <n v="0"/>
    <n v="1"/>
    <n v="0"/>
    <m/>
    <n v="7"/>
    <n v="0"/>
    <n v="1"/>
  </r>
  <r>
    <s v="LA-700678"/>
    <d v="2024-04-08T00:00:00"/>
    <x v="0"/>
    <s v="Q2"/>
    <x v="3"/>
    <x v="1"/>
    <x v="3"/>
    <x v="0"/>
    <x v="2"/>
    <x v="4"/>
    <n v="10100"/>
    <n v="10500"/>
    <n v="24"/>
    <n v="0.18099999999999999"/>
    <s v="Approved"/>
    <x v="1"/>
    <n v="1"/>
    <n v="0"/>
    <n v="9500"/>
    <n v="0.1202"/>
    <n v="4"/>
    <n v="0"/>
    <n v="1"/>
  </r>
  <r>
    <s v="LA-700679"/>
    <d v="2024-04-08T00:00:00"/>
    <x v="0"/>
    <s v="Q2"/>
    <x v="3"/>
    <x v="0"/>
    <x v="3"/>
    <x v="3"/>
    <x v="2"/>
    <x v="0"/>
    <n v="8700"/>
    <n v="23500"/>
    <n v="60"/>
    <n v="0.23200000000000001"/>
    <s v="Rejected"/>
    <x v="0"/>
    <n v="0"/>
    <n v="1"/>
    <n v="0"/>
    <m/>
    <n v="9"/>
    <n v="0"/>
    <n v="1"/>
  </r>
  <r>
    <s v="LA-700680"/>
    <d v="2024-04-08T00:00:00"/>
    <x v="0"/>
    <s v="Q2"/>
    <x v="3"/>
    <x v="1"/>
    <x v="2"/>
    <x v="3"/>
    <x v="0"/>
    <x v="2"/>
    <n v="4350"/>
    <n v="20500"/>
    <n v="36"/>
    <n v="0.24299999999999999"/>
    <s v="Approved"/>
    <x v="1"/>
    <n v="1"/>
    <n v="0"/>
    <n v="20500"/>
    <n v="0.16370000000000001"/>
    <n v="2"/>
    <n v="1"/>
    <n v="1"/>
  </r>
  <r>
    <s v="LA-700681"/>
    <d v="2024-04-08T00:00:00"/>
    <x v="0"/>
    <s v="Q2"/>
    <x v="3"/>
    <x v="1"/>
    <x v="2"/>
    <x v="0"/>
    <x v="2"/>
    <x v="1"/>
    <n v="8000"/>
    <n v="14000"/>
    <n v="48"/>
    <n v="0.13200000000000001"/>
    <s v="Approved"/>
    <x v="1"/>
    <n v="1"/>
    <n v="0"/>
    <n v="14000"/>
    <n v="0.12529999999999999"/>
    <n v="3"/>
    <n v="1"/>
    <n v="1"/>
  </r>
  <r>
    <s v="LA-700682"/>
    <d v="2024-04-08T00:00:00"/>
    <x v="0"/>
    <s v="Q2"/>
    <x v="3"/>
    <x v="0"/>
    <x v="1"/>
    <x v="1"/>
    <x v="0"/>
    <x v="0"/>
    <n v="2250"/>
    <n v="31000"/>
    <n v="48"/>
    <n v="0.57199999999999995"/>
    <s v="Rejected"/>
    <x v="0"/>
    <n v="0"/>
    <n v="1"/>
    <n v="0"/>
    <m/>
    <n v="3"/>
    <n v="1"/>
    <n v="1"/>
  </r>
  <r>
    <s v="LA-700683"/>
    <d v="2024-04-09T00:00:00"/>
    <x v="0"/>
    <s v="Q2"/>
    <x v="3"/>
    <x v="1"/>
    <x v="0"/>
    <x v="2"/>
    <x v="0"/>
    <x v="3"/>
    <n v="4650"/>
    <n v="19500"/>
    <n v="36"/>
    <n v="0.28599999999999998"/>
    <s v="Approved"/>
    <x v="1"/>
    <n v="1"/>
    <n v="0"/>
    <n v="19500"/>
    <n v="0.1074"/>
    <n v="3"/>
    <n v="1"/>
    <n v="1"/>
  </r>
  <r>
    <s v="LA-700684"/>
    <d v="2024-04-09T00:00:00"/>
    <x v="0"/>
    <s v="Q2"/>
    <x v="3"/>
    <x v="0"/>
    <x v="3"/>
    <x v="3"/>
    <x v="2"/>
    <x v="0"/>
    <n v="6350"/>
    <n v="44000"/>
    <n v="36"/>
    <n v="0.36699999999999999"/>
    <s v="Approved"/>
    <x v="1"/>
    <n v="1"/>
    <n v="0"/>
    <n v="44000"/>
    <n v="9.8699999999999996E-2"/>
    <n v="5"/>
    <n v="0"/>
    <n v="1"/>
  </r>
  <r>
    <s v="LA-700685"/>
    <d v="2024-04-09T00:00:00"/>
    <x v="0"/>
    <s v="Q2"/>
    <x v="3"/>
    <x v="0"/>
    <x v="3"/>
    <x v="1"/>
    <x v="0"/>
    <x v="0"/>
    <n v="5400"/>
    <n v="28500"/>
    <n v="60"/>
    <n v="0.27900000000000003"/>
    <s v="Rejected"/>
    <x v="5"/>
    <n v="0"/>
    <n v="1"/>
    <n v="0"/>
    <m/>
    <n v="7"/>
    <n v="0"/>
    <n v="1"/>
  </r>
  <r>
    <s v="LA-700686"/>
    <d v="2024-04-09T00:00:00"/>
    <x v="0"/>
    <s v="Q2"/>
    <x v="3"/>
    <x v="2"/>
    <x v="1"/>
    <x v="1"/>
    <x v="2"/>
    <x v="4"/>
    <n v="6700"/>
    <n v="92000"/>
    <n v="12"/>
    <n v="1.2929999999999999"/>
    <s v="Rejected"/>
    <x v="4"/>
    <n v="0"/>
    <n v="1"/>
    <n v="0"/>
    <m/>
    <n v="10"/>
    <n v="1"/>
    <n v="1"/>
  </r>
  <r>
    <s v="LA-700687"/>
    <d v="2024-04-09T00:00:00"/>
    <x v="0"/>
    <s v="Q2"/>
    <x v="3"/>
    <x v="0"/>
    <x v="0"/>
    <x v="1"/>
    <x v="1"/>
    <x v="3"/>
    <n v="6150"/>
    <n v="8000"/>
    <n v="48"/>
    <n v="0.26700000000000002"/>
    <s v="Approved"/>
    <x v="1"/>
    <n v="1"/>
    <n v="0"/>
    <n v="8000"/>
    <n v="6.6400000000000001E-2"/>
    <n v="6"/>
    <n v="0"/>
    <n v="1"/>
  </r>
  <r>
    <s v="LA-700688"/>
    <d v="2024-04-09T00:00:00"/>
    <x v="0"/>
    <s v="Q2"/>
    <x v="3"/>
    <x v="1"/>
    <x v="3"/>
    <x v="0"/>
    <x v="2"/>
    <x v="0"/>
    <n v="9750"/>
    <n v="15000"/>
    <n v="24"/>
    <n v="0.13100000000000001"/>
    <s v="Approved"/>
    <x v="1"/>
    <n v="1"/>
    <n v="0"/>
    <n v="13500"/>
    <n v="0.13739999999999999"/>
    <n v="5"/>
    <n v="0"/>
    <n v="1"/>
  </r>
  <r>
    <s v="LA-700689"/>
    <d v="2024-04-09T00:00:00"/>
    <x v="0"/>
    <s v="Q2"/>
    <x v="3"/>
    <x v="2"/>
    <x v="3"/>
    <x v="1"/>
    <x v="1"/>
    <x v="0"/>
    <n v="4600"/>
    <n v="83000"/>
    <n v="24"/>
    <n v="1.0249999999999999"/>
    <s v="Rejected"/>
    <x v="0"/>
    <n v="0"/>
    <n v="1"/>
    <n v="0"/>
    <m/>
    <n v="9"/>
    <n v="1"/>
    <n v="1"/>
  </r>
  <r>
    <s v="LA-700690"/>
    <d v="2024-04-09T00:00:00"/>
    <x v="0"/>
    <s v="Q2"/>
    <x v="3"/>
    <x v="0"/>
    <x v="3"/>
    <x v="2"/>
    <x v="0"/>
    <x v="0"/>
    <n v="5300"/>
    <n v="62500"/>
    <n v="60"/>
    <n v="0.46500000000000002"/>
    <s v="Rejected"/>
    <x v="0"/>
    <n v="0"/>
    <n v="1"/>
    <n v="0"/>
    <m/>
    <n v="5"/>
    <n v="0"/>
    <n v="1"/>
  </r>
  <r>
    <s v="LA-700691"/>
    <d v="2024-04-09T00:00:00"/>
    <x v="0"/>
    <s v="Q2"/>
    <x v="3"/>
    <x v="1"/>
    <x v="0"/>
    <x v="3"/>
    <x v="1"/>
    <x v="1"/>
    <n v="4150"/>
    <n v="10500"/>
    <n v="24"/>
    <n v="0.314"/>
    <s v="Rejected"/>
    <x v="5"/>
    <n v="0"/>
    <n v="1"/>
    <n v="0"/>
    <m/>
    <n v="2"/>
    <n v="1"/>
    <n v="1"/>
  </r>
  <r>
    <s v="LA-700692"/>
    <d v="2024-04-09T00:00:00"/>
    <x v="0"/>
    <s v="Q2"/>
    <x v="3"/>
    <x v="2"/>
    <x v="1"/>
    <x v="3"/>
    <x v="0"/>
    <x v="0"/>
    <n v="4000"/>
    <n v="97000"/>
    <n v="60"/>
    <n v="0.67800000000000005"/>
    <s v="Rejected"/>
    <x v="0"/>
    <n v="0"/>
    <n v="1"/>
    <n v="0"/>
    <m/>
    <n v="5"/>
    <n v="1"/>
    <n v="1"/>
  </r>
  <r>
    <s v="LA-700693"/>
    <d v="2024-04-10T00:00:00"/>
    <x v="0"/>
    <s v="Q2"/>
    <x v="3"/>
    <x v="1"/>
    <x v="3"/>
    <x v="2"/>
    <x v="0"/>
    <x v="4"/>
    <n v="3650"/>
    <n v="9000"/>
    <n v="48"/>
    <n v="0.22500000000000001"/>
    <s v="Approved"/>
    <x v="1"/>
    <n v="1"/>
    <n v="0"/>
    <n v="8000"/>
    <n v="0.11260000000000001"/>
    <n v="3"/>
    <n v="1"/>
    <n v="1"/>
  </r>
  <r>
    <s v="LA-700694"/>
    <d v="2024-04-10T00:00:00"/>
    <x v="0"/>
    <s v="Q2"/>
    <x v="3"/>
    <x v="0"/>
    <x v="0"/>
    <x v="3"/>
    <x v="1"/>
    <x v="1"/>
    <n v="6200"/>
    <n v="41500"/>
    <n v="60"/>
    <n v="0.29599999999999999"/>
    <s v="Approved"/>
    <x v="1"/>
    <n v="1"/>
    <n v="0"/>
    <n v="41500"/>
    <n v="8.3900000000000002E-2"/>
    <n v="2"/>
    <n v="1"/>
    <n v="1"/>
  </r>
  <r>
    <s v="LA-700695"/>
    <d v="2024-04-10T00:00:00"/>
    <x v="0"/>
    <s v="Q2"/>
    <x v="3"/>
    <x v="2"/>
    <x v="3"/>
    <x v="1"/>
    <x v="0"/>
    <x v="4"/>
    <n v="8500"/>
    <n v="53000"/>
    <n v="12"/>
    <n v="0.64500000000000002"/>
    <s v="Approved"/>
    <x v="1"/>
    <n v="1"/>
    <n v="0"/>
    <n v="42500"/>
    <n v="9.64E-2"/>
    <n v="14"/>
    <n v="0"/>
    <n v="1"/>
  </r>
  <r>
    <s v="LA-700696"/>
    <d v="2024-04-10T00:00:00"/>
    <x v="0"/>
    <s v="Q2"/>
    <x v="3"/>
    <x v="0"/>
    <x v="2"/>
    <x v="2"/>
    <x v="1"/>
    <x v="1"/>
    <n v="3850"/>
    <n v="26000"/>
    <n v="48"/>
    <n v="0.34899999999999998"/>
    <s v="Rejected"/>
    <x v="2"/>
    <n v="0"/>
    <n v="1"/>
    <n v="0"/>
    <m/>
    <n v="4"/>
    <n v="1"/>
    <n v="1"/>
  </r>
  <r>
    <s v="LA-700697"/>
    <d v="2024-04-11T00:00:00"/>
    <x v="0"/>
    <s v="Q2"/>
    <x v="3"/>
    <x v="1"/>
    <x v="3"/>
    <x v="2"/>
    <x v="0"/>
    <x v="0"/>
    <n v="3600"/>
    <n v="11000"/>
    <n v="24"/>
    <n v="0.29599999999999999"/>
    <s v="Approved"/>
    <x v="1"/>
    <n v="1"/>
    <n v="0"/>
    <n v="11000"/>
    <n v="0.14199999999999999"/>
    <n v="5"/>
    <n v="0"/>
    <n v="1"/>
  </r>
  <r>
    <s v="LA-700698"/>
    <d v="2024-04-11T00:00:00"/>
    <x v="0"/>
    <s v="Q2"/>
    <x v="3"/>
    <x v="0"/>
    <x v="3"/>
    <x v="2"/>
    <x v="0"/>
    <x v="3"/>
    <n v="2800"/>
    <n v="15000"/>
    <n v="60"/>
    <n v="0.16700000000000001"/>
    <s v="Approved"/>
    <x v="1"/>
    <n v="1"/>
    <n v="0"/>
    <n v="15000"/>
    <n v="6.6299999999999998E-2"/>
    <n v="5"/>
    <n v="0"/>
    <n v="1"/>
  </r>
  <r>
    <s v="LA-700699"/>
    <d v="2024-04-11T00:00:00"/>
    <x v="0"/>
    <s v="Q2"/>
    <x v="3"/>
    <x v="2"/>
    <x v="0"/>
    <x v="1"/>
    <x v="1"/>
    <x v="4"/>
    <n v="9450"/>
    <n v="56000"/>
    <n v="36"/>
    <n v="0.29099999999999998"/>
    <s v="Rejected"/>
    <x v="5"/>
    <n v="0"/>
    <n v="1"/>
    <n v="0"/>
    <m/>
    <n v="10"/>
    <n v="1"/>
    <n v="1"/>
  </r>
  <r>
    <s v="LA-700700"/>
    <d v="2024-04-11T00:00:00"/>
    <x v="0"/>
    <s v="Q2"/>
    <x v="3"/>
    <x v="1"/>
    <x v="3"/>
    <x v="3"/>
    <x v="0"/>
    <x v="4"/>
    <n v="8000"/>
    <n v="11500"/>
    <n v="24"/>
    <n v="0.27100000000000002"/>
    <s v="Approved"/>
    <x v="1"/>
    <n v="1"/>
    <n v="0"/>
    <n v="11500"/>
    <n v="0.114"/>
    <n v="5"/>
    <n v="0"/>
    <n v="1"/>
  </r>
  <r>
    <s v="LA-700701"/>
    <d v="2024-04-11T00:00:00"/>
    <x v="0"/>
    <s v="Q2"/>
    <x v="3"/>
    <x v="2"/>
    <x v="3"/>
    <x v="0"/>
    <x v="0"/>
    <x v="3"/>
    <n v="4450"/>
    <n v="94000"/>
    <n v="60"/>
    <n v="0.56999999999999995"/>
    <s v="Approved"/>
    <x v="1"/>
    <n v="1"/>
    <n v="0"/>
    <n v="75000"/>
    <n v="9.2799999999999994E-2"/>
    <n v="16"/>
    <n v="0"/>
    <n v="1"/>
  </r>
  <r>
    <s v="LA-700702"/>
    <d v="2024-04-11T00:00:00"/>
    <x v="0"/>
    <s v="Q2"/>
    <x v="3"/>
    <x v="1"/>
    <x v="0"/>
    <x v="0"/>
    <x v="0"/>
    <x v="0"/>
    <n v="3600"/>
    <n v="13000"/>
    <n v="48"/>
    <n v="0.17"/>
    <s v="Rejected"/>
    <x v="4"/>
    <n v="0"/>
    <n v="1"/>
    <n v="0"/>
    <m/>
    <n v="7"/>
    <n v="0"/>
    <n v="1"/>
  </r>
  <r>
    <s v="LA-700703"/>
    <d v="2024-04-11T00:00:00"/>
    <x v="0"/>
    <s v="Q2"/>
    <x v="3"/>
    <x v="1"/>
    <x v="3"/>
    <x v="4"/>
    <x v="1"/>
    <x v="0"/>
    <n v="4400"/>
    <n v="6500"/>
    <n v="24"/>
    <n v="0.29699999999999999"/>
    <s v="Rejected"/>
    <x v="0"/>
    <n v="0"/>
    <n v="1"/>
    <n v="0"/>
    <m/>
    <n v="8"/>
    <n v="0"/>
    <n v="1"/>
  </r>
  <r>
    <s v="LA-700704"/>
    <d v="2024-04-11T00:00:00"/>
    <x v="0"/>
    <s v="Q2"/>
    <x v="3"/>
    <x v="2"/>
    <x v="2"/>
    <x v="1"/>
    <x v="2"/>
    <x v="4"/>
    <n v="6700"/>
    <n v="28000"/>
    <n v="24"/>
    <n v="0.442"/>
    <s v="Approved"/>
    <x v="1"/>
    <n v="1"/>
    <n v="0"/>
    <n v="22500"/>
    <n v="9.8299999999999998E-2"/>
    <n v="6"/>
    <n v="1"/>
    <n v="1"/>
  </r>
  <r>
    <s v="LA-700705"/>
    <d v="2024-04-11T00:00:00"/>
    <x v="0"/>
    <s v="Q2"/>
    <x v="3"/>
    <x v="2"/>
    <x v="1"/>
    <x v="3"/>
    <x v="1"/>
    <x v="1"/>
    <n v="3950"/>
    <n v="138500"/>
    <n v="60"/>
    <n v="0.95899999999999996"/>
    <s v="Approved"/>
    <x v="1"/>
    <n v="1"/>
    <n v="0"/>
    <n v="138500"/>
    <n v="0.10539999999999999"/>
    <n v="12"/>
    <n v="0"/>
    <n v="1"/>
  </r>
  <r>
    <s v="LA-700706"/>
    <d v="2024-04-11T00:00:00"/>
    <x v="0"/>
    <s v="Q2"/>
    <x v="3"/>
    <x v="0"/>
    <x v="1"/>
    <x v="3"/>
    <x v="2"/>
    <x v="3"/>
    <n v="3400"/>
    <n v="37000"/>
    <n v="36"/>
    <n v="0.44600000000000001"/>
    <s v="Rejected"/>
    <x v="4"/>
    <n v="0"/>
    <n v="1"/>
    <n v="0"/>
    <m/>
    <n v="6"/>
    <n v="0"/>
    <n v="1"/>
  </r>
  <r>
    <s v="LA-700707"/>
    <d v="2024-04-12T00:00:00"/>
    <x v="0"/>
    <s v="Q2"/>
    <x v="3"/>
    <x v="1"/>
    <x v="0"/>
    <x v="3"/>
    <x v="0"/>
    <x v="2"/>
    <n v="11700"/>
    <n v="24500"/>
    <n v="24"/>
    <n v="0.17499999999999999"/>
    <s v="Rejected"/>
    <x v="5"/>
    <n v="0"/>
    <n v="1"/>
    <n v="0"/>
    <m/>
    <n v="2"/>
    <n v="1"/>
    <n v="1"/>
  </r>
  <r>
    <s v="LA-700708"/>
    <d v="2024-04-12T00:00:00"/>
    <x v="0"/>
    <s v="Q2"/>
    <x v="3"/>
    <x v="2"/>
    <x v="3"/>
    <x v="1"/>
    <x v="1"/>
    <x v="1"/>
    <n v="4900"/>
    <n v="56500"/>
    <n v="60"/>
    <n v="0.46100000000000002"/>
    <s v="Approved"/>
    <x v="1"/>
    <n v="1"/>
    <n v="0"/>
    <n v="56500"/>
    <n v="0.11210000000000001"/>
    <n v="29"/>
    <n v="0"/>
    <n v="1"/>
  </r>
  <r>
    <s v="LA-700709"/>
    <d v="2024-04-12T00:00:00"/>
    <x v="0"/>
    <s v="Q2"/>
    <x v="3"/>
    <x v="1"/>
    <x v="2"/>
    <x v="4"/>
    <x v="1"/>
    <x v="3"/>
    <n v="5550"/>
    <n v="8000"/>
    <n v="12"/>
    <n v="0.35599999999999998"/>
    <s v="Approved"/>
    <x v="1"/>
    <n v="1"/>
    <n v="0"/>
    <n v="6500"/>
    <n v="0.10829999999999999"/>
    <n v="2"/>
    <n v="1"/>
    <n v="1"/>
  </r>
  <r>
    <s v="LA-700710"/>
    <d v="2024-04-12T00:00:00"/>
    <x v="0"/>
    <s v="Q2"/>
    <x v="3"/>
    <x v="1"/>
    <x v="3"/>
    <x v="4"/>
    <x v="2"/>
    <x v="0"/>
    <n v="5050"/>
    <n v="11000"/>
    <n v="48"/>
    <n v="0.16200000000000001"/>
    <s v="Rejected"/>
    <x v="2"/>
    <n v="0"/>
    <n v="1"/>
    <n v="0"/>
    <m/>
    <n v="4"/>
    <n v="0"/>
    <n v="1"/>
  </r>
  <r>
    <s v="LA-700711"/>
    <d v="2024-04-12T00:00:00"/>
    <x v="0"/>
    <s v="Q2"/>
    <x v="3"/>
    <x v="1"/>
    <x v="2"/>
    <x v="1"/>
    <x v="1"/>
    <x v="0"/>
    <n v="2500"/>
    <n v="12500"/>
    <n v="48"/>
    <n v="0.19500000000000001"/>
    <s v="Rejected"/>
    <x v="0"/>
    <n v="0"/>
    <n v="1"/>
    <n v="0"/>
    <m/>
    <n v="3"/>
    <n v="1"/>
    <n v="1"/>
  </r>
  <r>
    <s v="LA-700712"/>
    <d v="2024-04-12T00:00:00"/>
    <x v="0"/>
    <s v="Q2"/>
    <x v="3"/>
    <x v="1"/>
    <x v="3"/>
    <x v="1"/>
    <x v="0"/>
    <x v="4"/>
    <n v="2850"/>
    <n v="9000"/>
    <n v="24"/>
    <n v="0.224"/>
    <s v="Approved"/>
    <x v="1"/>
    <n v="1"/>
    <n v="0"/>
    <n v="8000"/>
    <n v="0.11849999999999999"/>
    <n v="3"/>
    <n v="1"/>
    <n v="1"/>
  </r>
  <r>
    <s v="LA-700713"/>
    <d v="2024-04-12T00:00:00"/>
    <x v="0"/>
    <s v="Q2"/>
    <x v="3"/>
    <x v="1"/>
    <x v="0"/>
    <x v="2"/>
    <x v="1"/>
    <x v="1"/>
    <n v="7200"/>
    <n v="7000"/>
    <n v="36"/>
    <n v="8.4000000000000005E-2"/>
    <s v="Approved"/>
    <x v="1"/>
    <n v="1"/>
    <n v="0"/>
    <n v="7000"/>
    <n v="0.1244"/>
    <n v="3"/>
    <n v="1"/>
    <n v="1"/>
  </r>
  <r>
    <s v="LA-700714"/>
    <d v="2024-04-12T00:00:00"/>
    <x v="0"/>
    <s v="Q2"/>
    <x v="3"/>
    <x v="1"/>
    <x v="1"/>
    <x v="2"/>
    <x v="0"/>
    <x v="1"/>
    <n v="4700"/>
    <n v="10000"/>
    <n v="24"/>
    <n v="0.17899999999999999"/>
    <s v="Approved"/>
    <x v="1"/>
    <n v="1"/>
    <n v="0"/>
    <n v="10000"/>
    <n v="0.1234"/>
    <n v="1"/>
    <n v="1"/>
    <n v="1"/>
  </r>
  <r>
    <s v="LA-700715"/>
    <d v="2024-04-12T00:00:00"/>
    <x v="0"/>
    <s v="Q2"/>
    <x v="3"/>
    <x v="2"/>
    <x v="2"/>
    <x v="2"/>
    <x v="0"/>
    <x v="0"/>
    <n v="2250"/>
    <n v="71000"/>
    <n v="36"/>
    <n v="1.099"/>
    <s v="Rejected"/>
    <x v="3"/>
    <n v="0"/>
    <n v="1"/>
    <n v="0"/>
    <m/>
    <n v="5"/>
    <n v="1"/>
    <n v="1"/>
  </r>
  <r>
    <s v="LA-700716"/>
    <d v="2024-04-12T00:00:00"/>
    <x v="0"/>
    <s v="Q2"/>
    <x v="3"/>
    <x v="2"/>
    <x v="2"/>
    <x v="2"/>
    <x v="1"/>
    <x v="3"/>
    <n v="8450"/>
    <n v="89500"/>
    <n v="12"/>
    <n v="1.0129999999999999"/>
    <s v="Rejected"/>
    <x v="3"/>
    <n v="0"/>
    <n v="1"/>
    <n v="0"/>
    <m/>
    <n v="4"/>
    <n v="1"/>
    <n v="1"/>
  </r>
  <r>
    <s v="LA-700717"/>
    <d v="2024-04-13T00:00:00"/>
    <x v="0"/>
    <s v="Q2"/>
    <x v="3"/>
    <x v="2"/>
    <x v="2"/>
    <x v="3"/>
    <x v="0"/>
    <x v="1"/>
    <n v="3150"/>
    <n v="99000"/>
    <n v="60"/>
    <n v="0.81399999999999995"/>
    <s v="Rejected"/>
    <x v="3"/>
    <n v="0"/>
    <n v="1"/>
    <n v="0"/>
    <m/>
    <n v="9"/>
    <n v="1"/>
    <n v="1"/>
  </r>
  <r>
    <s v="LA-700718"/>
    <d v="2024-04-13T00:00:00"/>
    <x v="0"/>
    <s v="Q2"/>
    <x v="3"/>
    <x v="3"/>
    <x v="3"/>
    <x v="3"/>
    <x v="2"/>
    <x v="4"/>
    <n v="5550"/>
    <n v="219500"/>
    <n v="240"/>
    <n v="0.371"/>
    <s v="Rejected"/>
    <x v="5"/>
    <n v="0"/>
    <n v="1"/>
    <n v="0"/>
    <m/>
    <n v="15"/>
    <n v="1"/>
    <n v="1"/>
  </r>
  <r>
    <s v="LA-700719"/>
    <d v="2024-04-13T00:00:00"/>
    <x v="0"/>
    <s v="Q2"/>
    <x v="3"/>
    <x v="1"/>
    <x v="3"/>
    <x v="4"/>
    <x v="1"/>
    <x v="1"/>
    <n v="7450"/>
    <n v="14000"/>
    <n v="60"/>
    <n v="0.13800000000000001"/>
    <s v="Approved"/>
    <x v="1"/>
    <n v="1"/>
    <n v="0"/>
    <n v="14000"/>
    <n v="0.1236"/>
    <n v="6"/>
    <n v="0"/>
    <n v="1"/>
  </r>
  <r>
    <s v="LA-700720"/>
    <d v="2024-04-13T00:00:00"/>
    <x v="0"/>
    <s v="Q2"/>
    <x v="3"/>
    <x v="1"/>
    <x v="0"/>
    <x v="1"/>
    <x v="0"/>
    <x v="4"/>
    <n v="2450"/>
    <n v="21000"/>
    <n v="36"/>
    <n v="0.47"/>
    <s v="Approved"/>
    <x v="1"/>
    <n v="1"/>
    <n v="0"/>
    <n v="17000"/>
    <n v="0.11550000000000001"/>
    <n v="4"/>
    <n v="0"/>
    <n v="1"/>
  </r>
  <r>
    <s v="LA-700721"/>
    <d v="2024-04-14T00:00:00"/>
    <x v="0"/>
    <s v="Q2"/>
    <x v="3"/>
    <x v="2"/>
    <x v="3"/>
    <x v="1"/>
    <x v="1"/>
    <x v="3"/>
    <n v="7900"/>
    <n v="28000"/>
    <n v="24"/>
    <n v="0.38600000000000001"/>
    <s v="Approved"/>
    <x v="1"/>
    <n v="1"/>
    <n v="0"/>
    <n v="28000"/>
    <n v="8.8900000000000007E-2"/>
    <n v="6"/>
    <n v="1"/>
    <n v="1"/>
  </r>
  <r>
    <s v="LA-700722"/>
    <d v="2024-04-14T00:00:00"/>
    <x v="0"/>
    <s v="Q2"/>
    <x v="3"/>
    <x v="3"/>
    <x v="0"/>
    <x v="3"/>
    <x v="1"/>
    <x v="2"/>
    <n v="8150"/>
    <n v="297500"/>
    <n v="240"/>
    <n v="0.42199999999999999"/>
    <s v="Rejected"/>
    <x v="4"/>
    <n v="0"/>
    <n v="1"/>
    <n v="0"/>
    <m/>
    <n v="27"/>
    <n v="0"/>
    <n v="1"/>
  </r>
  <r>
    <s v="LA-700723"/>
    <d v="2024-04-14T00:00:00"/>
    <x v="0"/>
    <s v="Q2"/>
    <x v="3"/>
    <x v="1"/>
    <x v="1"/>
    <x v="2"/>
    <x v="1"/>
    <x v="1"/>
    <n v="4350"/>
    <n v="10500"/>
    <n v="12"/>
    <n v="0.38300000000000001"/>
    <s v="Approved"/>
    <x v="1"/>
    <n v="1"/>
    <n v="0"/>
    <n v="10500"/>
    <n v="0.12609999999999999"/>
    <n v="2"/>
    <n v="1"/>
    <n v="1"/>
  </r>
  <r>
    <s v="LA-700724"/>
    <d v="2024-04-14T00:00:00"/>
    <x v="0"/>
    <s v="Q2"/>
    <x v="3"/>
    <x v="1"/>
    <x v="2"/>
    <x v="2"/>
    <x v="1"/>
    <x v="1"/>
    <n v="5250"/>
    <n v="7000"/>
    <n v="60"/>
    <n v="9.2999999999999999E-2"/>
    <s v="Approved"/>
    <x v="1"/>
    <n v="1"/>
    <n v="0"/>
    <n v="6500"/>
    <n v="0.1235"/>
    <n v="2"/>
    <n v="1"/>
    <n v="1"/>
  </r>
  <r>
    <s v="LA-700725"/>
    <d v="2024-04-15T00:00:00"/>
    <x v="0"/>
    <s v="Q2"/>
    <x v="3"/>
    <x v="3"/>
    <x v="3"/>
    <x v="2"/>
    <x v="0"/>
    <x v="4"/>
    <n v="5750"/>
    <n v="225000"/>
    <n v="240"/>
    <n v="0.46"/>
    <s v="Approved"/>
    <x v="1"/>
    <n v="1"/>
    <n v="0"/>
    <n v="225000"/>
    <n v="4.5100000000000001E-2"/>
    <n v="17"/>
    <n v="0"/>
    <n v="1"/>
  </r>
  <r>
    <s v="LA-700726"/>
    <d v="2024-04-15T00:00:00"/>
    <x v="0"/>
    <s v="Q2"/>
    <x v="3"/>
    <x v="3"/>
    <x v="3"/>
    <x v="0"/>
    <x v="1"/>
    <x v="1"/>
    <n v="5550"/>
    <n v="415500"/>
    <n v="300"/>
    <n v="0.502"/>
    <s v="Approved"/>
    <x v="1"/>
    <n v="1"/>
    <n v="0"/>
    <n v="415500"/>
    <n v="6.3799999999999996E-2"/>
    <n v="20"/>
    <n v="0"/>
    <n v="1"/>
  </r>
  <r>
    <s v="LA-700727"/>
    <d v="2024-04-15T00:00:00"/>
    <x v="0"/>
    <s v="Q2"/>
    <x v="3"/>
    <x v="1"/>
    <x v="3"/>
    <x v="2"/>
    <x v="0"/>
    <x v="1"/>
    <n v="4050"/>
    <n v="16000"/>
    <n v="24"/>
    <n v="0.39700000000000002"/>
    <s v="Withdrawn"/>
    <x v="1"/>
    <n v="0"/>
    <n v="0"/>
    <n v="0"/>
    <m/>
    <n v="9"/>
    <n v="0"/>
    <n v="1"/>
  </r>
  <r>
    <s v="LA-700728"/>
    <d v="2024-04-15T00:00:00"/>
    <x v="0"/>
    <s v="Q2"/>
    <x v="3"/>
    <x v="0"/>
    <x v="2"/>
    <x v="2"/>
    <x v="0"/>
    <x v="1"/>
    <n v="4450"/>
    <n v="26500"/>
    <n v="48"/>
    <n v="0.19400000000000001"/>
    <s v="Rejected"/>
    <x v="0"/>
    <n v="0"/>
    <n v="1"/>
    <n v="0"/>
    <m/>
    <n v="4"/>
    <n v="1"/>
    <n v="1"/>
  </r>
  <r>
    <s v="LA-700729"/>
    <d v="2024-04-16T00:00:00"/>
    <x v="0"/>
    <s v="Q2"/>
    <x v="3"/>
    <x v="1"/>
    <x v="0"/>
    <x v="3"/>
    <x v="1"/>
    <x v="3"/>
    <n v="4000"/>
    <n v="27500"/>
    <n v="24"/>
    <n v="0.40400000000000003"/>
    <s v="Rejected"/>
    <x v="4"/>
    <n v="0"/>
    <n v="1"/>
    <n v="0"/>
    <m/>
    <n v="7"/>
    <n v="0"/>
    <n v="1"/>
  </r>
  <r>
    <s v="LA-700730"/>
    <d v="2024-04-16T00:00:00"/>
    <x v="0"/>
    <s v="Q2"/>
    <x v="3"/>
    <x v="3"/>
    <x v="0"/>
    <x v="1"/>
    <x v="2"/>
    <x v="2"/>
    <n v="4250"/>
    <n v="190500"/>
    <n v="180"/>
    <n v="0.51200000000000001"/>
    <s v="Rejected"/>
    <x v="0"/>
    <n v="0"/>
    <n v="1"/>
    <n v="0"/>
    <m/>
    <n v="7"/>
    <n v="1"/>
    <n v="1"/>
  </r>
  <r>
    <s v="LA-700731"/>
    <d v="2024-04-16T00:00:00"/>
    <x v="0"/>
    <s v="Q2"/>
    <x v="3"/>
    <x v="2"/>
    <x v="2"/>
    <x v="1"/>
    <x v="2"/>
    <x v="4"/>
    <n v="14050"/>
    <n v="225000"/>
    <n v="12"/>
    <n v="1.5680000000000001"/>
    <s v="Rejected"/>
    <x v="3"/>
    <n v="0"/>
    <n v="1"/>
    <n v="0"/>
    <m/>
    <n v="4"/>
    <n v="1"/>
    <n v="1"/>
  </r>
  <r>
    <s v="LA-700732"/>
    <d v="2024-04-16T00:00:00"/>
    <x v="0"/>
    <s v="Q2"/>
    <x v="3"/>
    <x v="3"/>
    <x v="2"/>
    <x v="0"/>
    <x v="0"/>
    <x v="3"/>
    <n v="5100"/>
    <n v="161000"/>
    <n v="300"/>
    <n v="0.40300000000000002"/>
    <s v="Approved"/>
    <x v="1"/>
    <n v="1"/>
    <n v="0"/>
    <n v="145000"/>
    <n v="4.5600000000000002E-2"/>
    <n v="11"/>
    <n v="1"/>
    <n v="1"/>
  </r>
  <r>
    <s v="LA-700733"/>
    <d v="2024-04-16T00:00:00"/>
    <x v="0"/>
    <s v="Q2"/>
    <x v="3"/>
    <x v="3"/>
    <x v="3"/>
    <x v="2"/>
    <x v="1"/>
    <x v="1"/>
    <n v="6200"/>
    <n v="352500"/>
    <n v="180"/>
    <n v="0.57399999999999995"/>
    <s v="Approved"/>
    <x v="1"/>
    <n v="1"/>
    <n v="0"/>
    <n v="282000"/>
    <n v="5.8900000000000001E-2"/>
    <n v="19"/>
    <n v="0"/>
    <n v="1"/>
  </r>
  <r>
    <s v="LA-700734"/>
    <d v="2024-04-16T00:00:00"/>
    <x v="0"/>
    <s v="Q2"/>
    <x v="3"/>
    <x v="1"/>
    <x v="2"/>
    <x v="2"/>
    <x v="0"/>
    <x v="0"/>
    <n v="7800"/>
    <n v="8000"/>
    <n v="24"/>
    <n v="0.23300000000000001"/>
    <s v="Approved"/>
    <x v="1"/>
    <n v="1"/>
    <n v="0"/>
    <n v="6500"/>
    <n v="0.14069999999999999"/>
    <n v="2"/>
    <n v="1"/>
    <n v="1"/>
  </r>
  <r>
    <s v="LA-700735"/>
    <d v="2024-04-17T00:00:00"/>
    <x v="0"/>
    <s v="Q2"/>
    <x v="3"/>
    <x v="0"/>
    <x v="3"/>
    <x v="2"/>
    <x v="0"/>
    <x v="0"/>
    <n v="5850"/>
    <n v="38500"/>
    <n v="36"/>
    <n v="0.28599999999999998"/>
    <s v="Approved"/>
    <x v="1"/>
    <n v="1"/>
    <n v="0"/>
    <n v="38500"/>
    <n v="9.9099999999999994E-2"/>
    <n v="5"/>
    <n v="0"/>
    <n v="1"/>
  </r>
  <r>
    <s v="LA-700736"/>
    <d v="2024-04-17T00:00:00"/>
    <x v="0"/>
    <s v="Q2"/>
    <x v="3"/>
    <x v="0"/>
    <x v="2"/>
    <x v="3"/>
    <x v="0"/>
    <x v="1"/>
    <n v="4350"/>
    <n v="25000"/>
    <n v="48"/>
    <n v="0.30599999999999999"/>
    <s v="Approved"/>
    <x v="1"/>
    <n v="1"/>
    <n v="0"/>
    <n v="25000"/>
    <n v="8.2900000000000001E-2"/>
    <n v="4"/>
    <n v="1"/>
    <n v="1"/>
  </r>
  <r>
    <s v="LA-700737"/>
    <d v="2024-04-17T00:00:00"/>
    <x v="0"/>
    <s v="Q2"/>
    <x v="3"/>
    <x v="2"/>
    <x v="0"/>
    <x v="4"/>
    <x v="0"/>
    <x v="1"/>
    <n v="6250"/>
    <n v="111500"/>
    <n v="12"/>
    <n v="1.6639999999999999"/>
    <s v="Rejected"/>
    <x v="3"/>
    <n v="0"/>
    <n v="1"/>
    <n v="0"/>
    <m/>
    <n v="16"/>
    <n v="0"/>
    <n v="1"/>
  </r>
  <r>
    <s v="LA-700738"/>
    <d v="2024-04-17T00:00:00"/>
    <x v="0"/>
    <s v="Q2"/>
    <x v="3"/>
    <x v="1"/>
    <x v="2"/>
    <x v="2"/>
    <x v="0"/>
    <x v="4"/>
    <n v="7500"/>
    <n v="12000"/>
    <n v="24"/>
    <n v="0.253"/>
    <s v="Approved"/>
    <x v="1"/>
    <n v="1"/>
    <n v="0"/>
    <n v="12000"/>
    <n v="0.11269999999999999"/>
    <n v="2"/>
    <n v="1"/>
    <n v="1"/>
  </r>
  <r>
    <s v="LA-700739"/>
    <d v="2024-04-17T00:00:00"/>
    <x v="0"/>
    <s v="Q2"/>
    <x v="3"/>
    <x v="1"/>
    <x v="2"/>
    <x v="2"/>
    <x v="0"/>
    <x v="1"/>
    <n v="9350"/>
    <n v="9500"/>
    <n v="36"/>
    <n v="0.27"/>
    <s v="Approved"/>
    <x v="1"/>
    <n v="1"/>
    <n v="0"/>
    <n v="9500"/>
    <n v="0.12280000000000001"/>
    <n v="2"/>
    <n v="1"/>
    <n v="1"/>
  </r>
  <r>
    <s v="LA-700740"/>
    <d v="2024-04-18T00:00:00"/>
    <x v="0"/>
    <s v="Q2"/>
    <x v="3"/>
    <x v="1"/>
    <x v="0"/>
    <x v="0"/>
    <x v="1"/>
    <x v="0"/>
    <n v="3100"/>
    <n v="15500"/>
    <n v="48"/>
    <n v="0.32500000000000001"/>
    <s v="Rejected"/>
    <x v="0"/>
    <n v="0"/>
    <n v="1"/>
    <n v="0"/>
    <m/>
    <n v="6"/>
    <n v="0"/>
    <n v="1"/>
  </r>
  <r>
    <s v="LA-700741"/>
    <d v="2024-04-18T00:00:00"/>
    <x v="0"/>
    <s v="Q2"/>
    <x v="3"/>
    <x v="0"/>
    <x v="0"/>
    <x v="2"/>
    <x v="1"/>
    <x v="3"/>
    <n v="7450"/>
    <n v="73500"/>
    <n v="60"/>
    <n v="0.26800000000000002"/>
    <s v="Approved"/>
    <x v="1"/>
    <n v="1"/>
    <n v="0"/>
    <n v="73500"/>
    <n v="6.3500000000000001E-2"/>
    <n v="7"/>
    <n v="0"/>
    <n v="1"/>
  </r>
  <r>
    <s v="LA-700742"/>
    <d v="2024-04-18T00:00:00"/>
    <x v="0"/>
    <s v="Q2"/>
    <x v="3"/>
    <x v="1"/>
    <x v="0"/>
    <x v="3"/>
    <x v="1"/>
    <x v="0"/>
    <n v="2800"/>
    <n v="8500"/>
    <n v="48"/>
    <n v="0.23300000000000001"/>
    <s v="Approved"/>
    <x v="1"/>
    <n v="1"/>
    <n v="0"/>
    <n v="8500"/>
    <n v="0.1414"/>
    <n v="5"/>
    <n v="0"/>
    <n v="1"/>
  </r>
  <r>
    <s v="LA-700743"/>
    <d v="2024-04-18T00:00:00"/>
    <x v="0"/>
    <s v="Q2"/>
    <x v="3"/>
    <x v="1"/>
    <x v="3"/>
    <x v="4"/>
    <x v="2"/>
    <x v="4"/>
    <n v="5700"/>
    <n v="6500"/>
    <n v="48"/>
    <n v="0.16"/>
    <s v="Approved"/>
    <x v="1"/>
    <n v="1"/>
    <n v="0"/>
    <n v="5000"/>
    <n v="0.1173"/>
    <n v="6"/>
    <n v="0"/>
    <n v="1"/>
  </r>
  <r>
    <s v="LA-700744"/>
    <d v="2024-04-19T00:00:00"/>
    <x v="0"/>
    <s v="Q2"/>
    <x v="3"/>
    <x v="1"/>
    <x v="3"/>
    <x v="2"/>
    <x v="2"/>
    <x v="0"/>
    <n v="5800"/>
    <n v="11000"/>
    <n v="36"/>
    <n v="0.13900000000000001"/>
    <s v="Approved"/>
    <x v="1"/>
    <n v="1"/>
    <n v="0"/>
    <n v="11000"/>
    <n v="0.14050000000000001"/>
    <n v="6"/>
    <n v="0"/>
    <n v="1"/>
  </r>
  <r>
    <s v="LA-700745"/>
    <d v="2024-04-19T00:00:00"/>
    <x v="0"/>
    <s v="Q2"/>
    <x v="3"/>
    <x v="0"/>
    <x v="3"/>
    <x v="3"/>
    <x v="1"/>
    <x v="4"/>
    <n v="7700"/>
    <n v="41500"/>
    <n v="36"/>
    <n v="0.23300000000000001"/>
    <s v="Approved"/>
    <x v="1"/>
    <n v="1"/>
    <n v="0"/>
    <n v="37500"/>
    <n v="7.0000000000000007E-2"/>
    <n v="7"/>
    <n v="0"/>
    <n v="1"/>
  </r>
  <r>
    <s v="LA-700746"/>
    <d v="2024-04-19T00:00:00"/>
    <x v="0"/>
    <s v="Q2"/>
    <x v="3"/>
    <x v="2"/>
    <x v="1"/>
    <x v="3"/>
    <x v="0"/>
    <x v="1"/>
    <n v="3350"/>
    <n v="152000"/>
    <n v="12"/>
    <n v="4.1260000000000003"/>
    <s v="Rejected"/>
    <x v="3"/>
    <n v="0"/>
    <n v="1"/>
    <n v="0"/>
    <m/>
    <n v="5"/>
    <n v="1"/>
    <n v="1"/>
  </r>
  <r>
    <s v="LA-700747"/>
    <d v="2024-04-19T00:00:00"/>
    <x v="0"/>
    <s v="Q2"/>
    <x v="3"/>
    <x v="2"/>
    <x v="0"/>
    <x v="1"/>
    <x v="1"/>
    <x v="4"/>
    <n v="5350"/>
    <n v="136500"/>
    <n v="24"/>
    <n v="1.393"/>
    <s v="Rejected"/>
    <x v="3"/>
    <n v="0"/>
    <n v="1"/>
    <n v="0"/>
    <m/>
    <n v="13"/>
    <n v="0"/>
    <n v="1"/>
  </r>
  <r>
    <s v="LA-700748"/>
    <d v="2024-04-19T00:00:00"/>
    <x v="0"/>
    <s v="Q2"/>
    <x v="3"/>
    <x v="0"/>
    <x v="2"/>
    <x v="1"/>
    <x v="0"/>
    <x v="3"/>
    <n v="6800"/>
    <n v="27000"/>
    <n v="48"/>
    <n v="0.245"/>
    <s v="Approved"/>
    <x v="1"/>
    <n v="1"/>
    <n v="0"/>
    <n v="21500"/>
    <n v="6.5500000000000003E-2"/>
    <n v="4"/>
    <n v="1"/>
    <n v="1"/>
  </r>
  <r>
    <s v="LA-700749"/>
    <d v="2024-04-19T00:00:00"/>
    <x v="0"/>
    <s v="Q2"/>
    <x v="3"/>
    <x v="1"/>
    <x v="3"/>
    <x v="3"/>
    <x v="1"/>
    <x v="4"/>
    <n v="6100"/>
    <n v="15500"/>
    <n v="24"/>
    <n v="0.27100000000000002"/>
    <s v="Approved"/>
    <x v="1"/>
    <n v="1"/>
    <n v="0"/>
    <n v="15500"/>
    <n v="0.1143"/>
    <n v="5"/>
    <n v="0"/>
    <n v="1"/>
  </r>
  <r>
    <s v="LA-700750"/>
    <d v="2024-04-19T00:00:00"/>
    <x v="0"/>
    <s v="Q2"/>
    <x v="3"/>
    <x v="0"/>
    <x v="0"/>
    <x v="2"/>
    <x v="0"/>
    <x v="1"/>
    <n v="5550"/>
    <n v="17000"/>
    <n v="60"/>
    <n v="0.20699999999999999"/>
    <s v="Withdrawn"/>
    <x v="1"/>
    <n v="0"/>
    <n v="0"/>
    <n v="0"/>
    <m/>
    <n v="11"/>
    <n v="0"/>
    <n v="1"/>
  </r>
  <r>
    <s v="LA-700751"/>
    <d v="2024-04-19T00:00:00"/>
    <x v="0"/>
    <s v="Q2"/>
    <x v="3"/>
    <x v="1"/>
    <x v="3"/>
    <x v="2"/>
    <x v="1"/>
    <x v="0"/>
    <n v="4750"/>
    <n v="11000"/>
    <n v="60"/>
    <n v="0.16300000000000001"/>
    <s v="Approved"/>
    <x v="1"/>
    <n v="1"/>
    <n v="0"/>
    <n v="11000"/>
    <n v="0.1404"/>
    <n v="4"/>
    <n v="0"/>
    <n v="1"/>
  </r>
  <r>
    <s v="LA-700752"/>
    <d v="2024-04-19T00:00:00"/>
    <x v="0"/>
    <s v="Q2"/>
    <x v="3"/>
    <x v="3"/>
    <x v="2"/>
    <x v="1"/>
    <x v="1"/>
    <x v="1"/>
    <n v="3400"/>
    <n v="428000"/>
    <n v="300"/>
    <n v="0.92200000000000004"/>
    <s v="Approved"/>
    <x v="1"/>
    <n v="1"/>
    <n v="0"/>
    <n v="428000"/>
    <n v="5.9499999999999997E-2"/>
    <n v="12"/>
    <n v="1"/>
    <n v="1"/>
  </r>
  <r>
    <s v="LA-700753"/>
    <d v="2024-04-19T00:00:00"/>
    <x v="0"/>
    <s v="Q2"/>
    <x v="3"/>
    <x v="2"/>
    <x v="1"/>
    <x v="4"/>
    <x v="0"/>
    <x v="3"/>
    <n v="4150"/>
    <n v="84000"/>
    <n v="24"/>
    <n v="1.087"/>
    <s v="Approved"/>
    <x v="1"/>
    <n v="1"/>
    <n v="0"/>
    <n v="67000"/>
    <n v="9.1399999999999995E-2"/>
    <n v="4"/>
    <n v="1"/>
    <n v="1"/>
  </r>
  <r>
    <s v="LA-700754"/>
    <d v="2024-04-19T00:00:00"/>
    <x v="0"/>
    <s v="Q2"/>
    <x v="3"/>
    <x v="0"/>
    <x v="0"/>
    <x v="3"/>
    <x v="1"/>
    <x v="0"/>
    <n v="7250"/>
    <n v="69000"/>
    <n v="48"/>
    <n v="0.33400000000000002"/>
    <s v="Approved"/>
    <x v="1"/>
    <n v="1"/>
    <n v="0"/>
    <n v="69000"/>
    <n v="9.69E-2"/>
    <n v="4"/>
    <n v="1"/>
    <n v="1"/>
  </r>
  <r>
    <s v="LA-700755"/>
    <d v="2024-04-19T00:00:00"/>
    <x v="0"/>
    <s v="Q2"/>
    <x v="3"/>
    <x v="3"/>
    <x v="3"/>
    <x v="2"/>
    <x v="1"/>
    <x v="1"/>
    <n v="6700"/>
    <n v="318000"/>
    <n v="180"/>
    <n v="0.59199999999999997"/>
    <s v="Rejected"/>
    <x v="3"/>
    <n v="0"/>
    <n v="1"/>
    <n v="0"/>
    <m/>
    <n v="28"/>
    <n v="0"/>
    <n v="1"/>
  </r>
  <r>
    <s v="LA-700756"/>
    <d v="2024-04-19T00:00:00"/>
    <x v="0"/>
    <s v="Q2"/>
    <x v="3"/>
    <x v="3"/>
    <x v="2"/>
    <x v="1"/>
    <x v="1"/>
    <x v="1"/>
    <n v="5600"/>
    <n v="594000"/>
    <n v="300"/>
    <n v="0.78300000000000003"/>
    <s v="Rejected"/>
    <x v="3"/>
    <n v="0"/>
    <n v="1"/>
    <n v="0"/>
    <m/>
    <n v="7"/>
    <n v="1"/>
    <n v="1"/>
  </r>
  <r>
    <s v="LA-700757"/>
    <d v="2024-04-20T00:00:00"/>
    <x v="0"/>
    <s v="Q2"/>
    <x v="3"/>
    <x v="3"/>
    <x v="2"/>
    <x v="3"/>
    <x v="0"/>
    <x v="1"/>
    <n v="4400"/>
    <n v="138000"/>
    <n v="240"/>
    <n v="0.27400000000000002"/>
    <s v="Rejected"/>
    <x v="5"/>
    <n v="0"/>
    <n v="1"/>
    <n v="0"/>
    <m/>
    <n v="5"/>
    <n v="1"/>
    <n v="1"/>
  </r>
  <r>
    <s v="LA-700758"/>
    <d v="2024-04-20T00:00:00"/>
    <x v="0"/>
    <s v="Q2"/>
    <x v="3"/>
    <x v="2"/>
    <x v="0"/>
    <x v="0"/>
    <x v="0"/>
    <x v="0"/>
    <n v="2450"/>
    <n v="77500"/>
    <n v="60"/>
    <n v="0.76900000000000002"/>
    <s v="Rejected"/>
    <x v="0"/>
    <n v="0"/>
    <n v="1"/>
    <n v="0"/>
    <m/>
    <n v="19"/>
    <n v="0"/>
    <n v="1"/>
  </r>
  <r>
    <s v="LA-700759"/>
    <d v="2024-04-20T00:00:00"/>
    <x v="0"/>
    <s v="Q2"/>
    <x v="3"/>
    <x v="1"/>
    <x v="3"/>
    <x v="1"/>
    <x v="2"/>
    <x v="2"/>
    <n v="4950"/>
    <n v="10000"/>
    <n v="12"/>
    <n v="0.42499999999999999"/>
    <s v="Approved"/>
    <x v="1"/>
    <n v="1"/>
    <n v="0"/>
    <n v="9000"/>
    <n v="0.16020000000000001"/>
    <n v="4"/>
    <n v="0"/>
    <n v="1"/>
  </r>
  <r>
    <s v="LA-700760"/>
    <d v="2024-04-20T00:00:00"/>
    <x v="0"/>
    <s v="Q2"/>
    <x v="3"/>
    <x v="1"/>
    <x v="0"/>
    <x v="2"/>
    <x v="1"/>
    <x v="3"/>
    <n v="4650"/>
    <n v="12000"/>
    <n v="36"/>
    <n v="0.27300000000000002"/>
    <s v="Approved"/>
    <x v="1"/>
    <n v="1"/>
    <n v="0"/>
    <n v="9500"/>
    <n v="0.1113"/>
    <n v="4"/>
    <n v="0"/>
    <n v="1"/>
  </r>
  <r>
    <s v="LA-700761"/>
    <d v="2024-04-20T00:00:00"/>
    <x v="0"/>
    <s v="Q2"/>
    <x v="3"/>
    <x v="1"/>
    <x v="0"/>
    <x v="3"/>
    <x v="0"/>
    <x v="4"/>
    <n v="4350"/>
    <n v="15500"/>
    <n v="48"/>
    <n v="0.29799999999999999"/>
    <s v="Approved"/>
    <x v="1"/>
    <n v="1"/>
    <n v="0"/>
    <n v="15500"/>
    <n v="0.1124"/>
    <n v="2"/>
    <n v="1"/>
    <n v="1"/>
  </r>
  <r>
    <s v="LA-700762"/>
    <d v="2024-04-21T00:00:00"/>
    <x v="0"/>
    <s v="Q2"/>
    <x v="3"/>
    <x v="0"/>
    <x v="0"/>
    <x v="0"/>
    <x v="1"/>
    <x v="1"/>
    <n v="7500"/>
    <n v="71500"/>
    <n v="48"/>
    <n v="0.34499999999999997"/>
    <s v="Approved"/>
    <x v="1"/>
    <n v="1"/>
    <n v="0"/>
    <n v="64500"/>
    <n v="7.9500000000000001E-2"/>
    <n v="5"/>
    <n v="0"/>
    <n v="1"/>
  </r>
  <r>
    <s v="LA-700763"/>
    <d v="2024-04-21T00:00:00"/>
    <x v="0"/>
    <s v="Q2"/>
    <x v="3"/>
    <x v="3"/>
    <x v="2"/>
    <x v="3"/>
    <x v="2"/>
    <x v="0"/>
    <n v="9050"/>
    <n v="427000"/>
    <n v="300"/>
    <n v="0.41199999999999998"/>
    <s v="Rejected"/>
    <x v="0"/>
    <n v="0"/>
    <n v="1"/>
    <n v="0"/>
    <m/>
    <n v="7"/>
    <n v="1"/>
    <n v="1"/>
  </r>
  <r>
    <s v="LA-700764"/>
    <d v="2024-04-22T00:00:00"/>
    <x v="0"/>
    <s v="Q2"/>
    <x v="3"/>
    <x v="3"/>
    <x v="3"/>
    <x v="2"/>
    <x v="1"/>
    <x v="2"/>
    <n v="7350"/>
    <n v="356000"/>
    <n v="180"/>
    <n v="0.61599999999999999"/>
    <s v="Rejected"/>
    <x v="0"/>
    <n v="0"/>
    <n v="1"/>
    <n v="0"/>
    <m/>
    <n v="15"/>
    <n v="1"/>
    <n v="1"/>
  </r>
  <r>
    <s v="LA-700765"/>
    <d v="2024-04-22T00:00:00"/>
    <x v="0"/>
    <s v="Q2"/>
    <x v="3"/>
    <x v="1"/>
    <x v="0"/>
    <x v="3"/>
    <x v="0"/>
    <x v="0"/>
    <n v="5300"/>
    <n v="25000"/>
    <n v="36"/>
    <n v="0.252"/>
    <s v="Approved"/>
    <x v="1"/>
    <n v="1"/>
    <n v="0"/>
    <n v="25000"/>
    <n v="0.14050000000000001"/>
    <n v="3"/>
    <n v="1"/>
    <n v="1"/>
  </r>
  <r>
    <s v="LA-700766"/>
    <d v="2024-04-22T00:00:00"/>
    <x v="0"/>
    <s v="Q2"/>
    <x v="3"/>
    <x v="1"/>
    <x v="3"/>
    <x v="2"/>
    <x v="0"/>
    <x v="1"/>
    <n v="3900"/>
    <n v="8500"/>
    <n v="36"/>
    <n v="0.317"/>
    <s v="Approved"/>
    <x v="1"/>
    <n v="1"/>
    <n v="0"/>
    <n v="8500"/>
    <n v="0.13139999999999999"/>
    <n v="2"/>
    <n v="1"/>
    <n v="1"/>
  </r>
  <r>
    <s v="LA-700767"/>
    <d v="2024-04-22T00:00:00"/>
    <x v="0"/>
    <s v="Q2"/>
    <x v="3"/>
    <x v="0"/>
    <x v="3"/>
    <x v="0"/>
    <x v="1"/>
    <x v="4"/>
    <n v="7900"/>
    <n v="19500"/>
    <n v="60"/>
    <n v="0.14599999999999999"/>
    <s v="Approved"/>
    <x v="1"/>
    <n v="1"/>
    <n v="0"/>
    <n v="19500"/>
    <n v="7.1800000000000003E-2"/>
    <n v="6"/>
    <n v="0"/>
    <n v="1"/>
  </r>
  <r>
    <s v="LA-700768"/>
    <d v="2024-04-23T00:00:00"/>
    <x v="0"/>
    <s v="Q2"/>
    <x v="3"/>
    <x v="1"/>
    <x v="3"/>
    <x v="3"/>
    <x v="0"/>
    <x v="1"/>
    <n v="4150"/>
    <n v="18500"/>
    <n v="36"/>
    <n v="0.30599999999999999"/>
    <s v="Approved"/>
    <x v="1"/>
    <n v="1"/>
    <n v="0"/>
    <n v="16500"/>
    <n v="0.1234"/>
    <n v="4"/>
    <n v="0"/>
    <n v="1"/>
  </r>
  <r>
    <s v="LA-700769"/>
    <d v="2024-04-23T00:00:00"/>
    <x v="0"/>
    <s v="Q2"/>
    <x v="3"/>
    <x v="3"/>
    <x v="2"/>
    <x v="2"/>
    <x v="2"/>
    <x v="4"/>
    <n v="8150"/>
    <n v="345500"/>
    <n v="240"/>
    <n v="0.497"/>
    <s v="Approved"/>
    <x v="1"/>
    <n v="1"/>
    <n v="0"/>
    <n v="311000"/>
    <n v="4.58E-2"/>
    <n v="16"/>
    <n v="0"/>
    <n v="1"/>
  </r>
  <r>
    <s v="LA-700770"/>
    <d v="2024-04-23T00:00:00"/>
    <x v="0"/>
    <s v="Q2"/>
    <x v="3"/>
    <x v="1"/>
    <x v="0"/>
    <x v="0"/>
    <x v="1"/>
    <x v="4"/>
    <n v="5600"/>
    <n v="5000"/>
    <n v="12"/>
    <n v="0.246"/>
    <s v="Approved"/>
    <x v="1"/>
    <n v="1"/>
    <n v="0"/>
    <n v="5000"/>
    <n v="0.1158"/>
    <n v="2"/>
    <n v="1"/>
    <n v="1"/>
  </r>
  <r>
    <s v="LA-700771"/>
    <d v="2024-04-23T00:00:00"/>
    <x v="0"/>
    <s v="Q2"/>
    <x v="3"/>
    <x v="3"/>
    <x v="0"/>
    <x v="2"/>
    <x v="0"/>
    <x v="0"/>
    <n v="3100"/>
    <n v="275500"/>
    <n v="300"/>
    <n v="0.745"/>
    <s v="Rejected"/>
    <x v="4"/>
    <n v="0"/>
    <n v="1"/>
    <n v="0"/>
    <m/>
    <n v="16"/>
    <n v="0"/>
    <n v="1"/>
  </r>
  <r>
    <s v="LA-700772"/>
    <d v="2024-04-23T00:00:00"/>
    <x v="0"/>
    <s v="Q2"/>
    <x v="3"/>
    <x v="1"/>
    <x v="1"/>
    <x v="1"/>
    <x v="2"/>
    <x v="3"/>
    <n v="9300"/>
    <n v="14000"/>
    <n v="60"/>
    <n v="9.8000000000000004E-2"/>
    <s v="Approved"/>
    <x v="1"/>
    <n v="1"/>
    <n v="0"/>
    <n v="14000"/>
    <n v="0.1133"/>
    <n v="3"/>
    <n v="1"/>
    <n v="1"/>
  </r>
  <r>
    <s v="LA-700773"/>
    <d v="2024-04-23T00:00:00"/>
    <x v="0"/>
    <s v="Q2"/>
    <x v="3"/>
    <x v="0"/>
    <x v="3"/>
    <x v="2"/>
    <x v="1"/>
    <x v="3"/>
    <n v="5150"/>
    <n v="42500"/>
    <n v="48"/>
    <n v="0.251"/>
    <s v="Approved"/>
    <x v="1"/>
    <n v="1"/>
    <n v="0"/>
    <n v="42500"/>
    <n v="6.8699999999999997E-2"/>
    <n v="6"/>
    <n v="0"/>
    <n v="1"/>
  </r>
  <r>
    <s v="LA-700774"/>
    <d v="2024-04-23T00:00:00"/>
    <x v="0"/>
    <s v="Q2"/>
    <x v="3"/>
    <x v="1"/>
    <x v="3"/>
    <x v="1"/>
    <x v="0"/>
    <x v="0"/>
    <n v="4550"/>
    <n v="12500"/>
    <n v="48"/>
    <n v="0.16300000000000001"/>
    <s v="Rejected"/>
    <x v="0"/>
    <n v="0"/>
    <n v="1"/>
    <n v="0"/>
    <m/>
    <n v="5"/>
    <n v="0"/>
    <n v="1"/>
  </r>
  <r>
    <s v="LA-700775"/>
    <d v="2024-04-23T00:00:00"/>
    <x v="0"/>
    <s v="Q2"/>
    <x v="3"/>
    <x v="0"/>
    <x v="3"/>
    <x v="3"/>
    <x v="0"/>
    <x v="0"/>
    <n v="2600"/>
    <n v="24000"/>
    <n v="60"/>
    <n v="0.373"/>
    <s v="Rejected"/>
    <x v="0"/>
    <n v="0"/>
    <n v="1"/>
    <n v="0"/>
    <m/>
    <n v="8"/>
    <n v="0"/>
    <n v="1"/>
  </r>
  <r>
    <s v="LA-700776"/>
    <d v="2024-04-23T00:00:00"/>
    <x v="0"/>
    <s v="Q2"/>
    <x v="3"/>
    <x v="0"/>
    <x v="3"/>
    <x v="0"/>
    <x v="2"/>
    <x v="3"/>
    <n v="9650"/>
    <n v="17000"/>
    <n v="48"/>
    <n v="0.23400000000000001"/>
    <s v="Approved"/>
    <x v="1"/>
    <n v="1"/>
    <n v="0"/>
    <n v="17000"/>
    <n v="6.54E-2"/>
    <n v="9"/>
    <n v="0"/>
    <n v="1"/>
  </r>
  <r>
    <s v="LA-700777"/>
    <d v="2024-04-23T00:00:00"/>
    <x v="0"/>
    <s v="Q2"/>
    <x v="3"/>
    <x v="1"/>
    <x v="2"/>
    <x v="3"/>
    <x v="0"/>
    <x v="2"/>
    <n v="4550"/>
    <n v="9000"/>
    <n v="24"/>
    <n v="0.30499999999999999"/>
    <s v="Rejected"/>
    <x v="0"/>
    <n v="0"/>
    <n v="1"/>
    <n v="0"/>
    <m/>
    <n v="3"/>
    <n v="1"/>
    <n v="1"/>
  </r>
  <r>
    <s v="LA-700778"/>
    <d v="2024-04-24T00:00:00"/>
    <x v="0"/>
    <s v="Q2"/>
    <x v="3"/>
    <x v="1"/>
    <x v="2"/>
    <x v="2"/>
    <x v="1"/>
    <x v="2"/>
    <n v="5250"/>
    <n v="21000"/>
    <n v="48"/>
    <n v="0.215"/>
    <s v="Rejected"/>
    <x v="5"/>
    <n v="0"/>
    <n v="1"/>
    <n v="0"/>
    <m/>
    <n v="2"/>
    <n v="1"/>
    <n v="1"/>
  </r>
  <r>
    <s v="LA-700779"/>
    <d v="2024-04-24T00:00:00"/>
    <x v="0"/>
    <s v="Q2"/>
    <x v="3"/>
    <x v="0"/>
    <x v="2"/>
    <x v="2"/>
    <x v="2"/>
    <x v="4"/>
    <n v="9250"/>
    <n v="48500"/>
    <n v="36"/>
    <n v="0.313"/>
    <s v="Rejected"/>
    <x v="5"/>
    <n v="0"/>
    <n v="1"/>
    <n v="0"/>
    <m/>
    <n v="3"/>
    <n v="1"/>
    <n v="1"/>
  </r>
  <r>
    <s v="LA-700780"/>
    <d v="2024-04-24T00:00:00"/>
    <x v="0"/>
    <s v="Q2"/>
    <x v="3"/>
    <x v="0"/>
    <x v="3"/>
    <x v="4"/>
    <x v="1"/>
    <x v="1"/>
    <n v="5000"/>
    <n v="26500"/>
    <n v="60"/>
    <n v="0.28999999999999998"/>
    <s v="Approved"/>
    <x v="1"/>
    <n v="1"/>
    <n v="0"/>
    <n v="26500"/>
    <n v="8.3299999999999999E-2"/>
    <n v="7"/>
    <n v="0"/>
    <n v="1"/>
  </r>
  <r>
    <s v="LA-700781"/>
    <d v="2024-04-24T00:00:00"/>
    <x v="0"/>
    <s v="Q2"/>
    <x v="3"/>
    <x v="1"/>
    <x v="3"/>
    <x v="1"/>
    <x v="0"/>
    <x v="4"/>
    <n v="3900"/>
    <n v="9500"/>
    <n v="36"/>
    <n v="0.13500000000000001"/>
    <s v="Approved"/>
    <x v="1"/>
    <n v="1"/>
    <n v="0"/>
    <n v="7500"/>
    <n v="0.1162"/>
    <n v="6"/>
    <n v="0"/>
    <n v="1"/>
  </r>
  <r>
    <s v="LA-700782"/>
    <d v="2024-04-24T00:00:00"/>
    <x v="0"/>
    <s v="Q2"/>
    <x v="3"/>
    <x v="2"/>
    <x v="3"/>
    <x v="3"/>
    <x v="2"/>
    <x v="2"/>
    <n v="11650"/>
    <n v="90500"/>
    <n v="60"/>
    <n v="0.374"/>
    <s v="Rejected"/>
    <x v="0"/>
    <n v="0"/>
    <n v="1"/>
    <n v="0"/>
    <m/>
    <n v="14"/>
    <n v="0"/>
    <n v="1"/>
  </r>
  <r>
    <s v="LA-700783"/>
    <d v="2024-04-24T00:00:00"/>
    <x v="0"/>
    <s v="Q2"/>
    <x v="3"/>
    <x v="2"/>
    <x v="3"/>
    <x v="1"/>
    <x v="2"/>
    <x v="4"/>
    <n v="5250"/>
    <n v="122500"/>
    <n v="12"/>
    <n v="2.2480000000000002"/>
    <s v="Rejected"/>
    <x v="3"/>
    <n v="0"/>
    <n v="1"/>
    <n v="0"/>
    <m/>
    <n v="18"/>
    <n v="0"/>
    <n v="1"/>
  </r>
  <r>
    <s v="LA-700784"/>
    <d v="2024-04-24T00:00:00"/>
    <x v="0"/>
    <s v="Q2"/>
    <x v="3"/>
    <x v="1"/>
    <x v="3"/>
    <x v="2"/>
    <x v="0"/>
    <x v="4"/>
    <n v="4850"/>
    <n v="14500"/>
    <n v="36"/>
    <n v="0.22"/>
    <s v="Approved"/>
    <x v="1"/>
    <n v="1"/>
    <n v="0"/>
    <n v="14500"/>
    <n v="0.1182"/>
    <n v="7"/>
    <n v="0"/>
    <n v="1"/>
  </r>
  <r>
    <s v="LA-700785"/>
    <d v="2024-04-24T00:00:00"/>
    <x v="0"/>
    <s v="Q2"/>
    <x v="3"/>
    <x v="3"/>
    <x v="3"/>
    <x v="3"/>
    <x v="2"/>
    <x v="0"/>
    <n v="5150"/>
    <n v="265500"/>
    <n v="300"/>
    <n v="0.51900000000000002"/>
    <s v="Rejected"/>
    <x v="4"/>
    <n v="0"/>
    <n v="1"/>
    <n v="0"/>
    <m/>
    <n v="28"/>
    <n v="0"/>
    <n v="1"/>
  </r>
  <r>
    <s v="LA-700786"/>
    <d v="2024-04-24T00:00:00"/>
    <x v="0"/>
    <s v="Q2"/>
    <x v="3"/>
    <x v="1"/>
    <x v="3"/>
    <x v="1"/>
    <x v="2"/>
    <x v="3"/>
    <n v="5250"/>
    <n v="8000"/>
    <n v="36"/>
    <n v="0.21199999999999999"/>
    <s v="Approved"/>
    <x v="1"/>
    <n v="1"/>
    <n v="0"/>
    <n v="7000"/>
    <n v="0.1147"/>
    <n v="5"/>
    <n v="0"/>
    <n v="1"/>
  </r>
  <r>
    <s v="LA-700787"/>
    <d v="2024-04-24T00:00:00"/>
    <x v="0"/>
    <s v="Q2"/>
    <x v="3"/>
    <x v="1"/>
    <x v="0"/>
    <x v="4"/>
    <x v="0"/>
    <x v="4"/>
    <n v="6900"/>
    <n v="8500"/>
    <n v="48"/>
    <n v="0.18"/>
    <s v="Rejected"/>
    <x v="4"/>
    <n v="0"/>
    <n v="1"/>
    <n v="0"/>
    <m/>
    <n v="9"/>
    <n v="0"/>
    <n v="1"/>
  </r>
  <r>
    <s v="LA-700788"/>
    <d v="2024-04-24T00:00:00"/>
    <x v="0"/>
    <s v="Q2"/>
    <x v="3"/>
    <x v="0"/>
    <x v="0"/>
    <x v="0"/>
    <x v="1"/>
    <x v="1"/>
    <n v="5800"/>
    <n v="25500"/>
    <n v="60"/>
    <n v="0.28899999999999998"/>
    <s v="Approved"/>
    <x v="1"/>
    <n v="1"/>
    <n v="0"/>
    <n v="25500"/>
    <n v="8.6599999999999996E-2"/>
    <n v="11"/>
    <n v="0"/>
    <n v="1"/>
  </r>
  <r>
    <s v="LA-700789"/>
    <d v="2024-04-24T00:00:00"/>
    <x v="0"/>
    <s v="Q2"/>
    <x v="3"/>
    <x v="0"/>
    <x v="3"/>
    <x v="2"/>
    <x v="0"/>
    <x v="2"/>
    <n v="5800"/>
    <n v="40500"/>
    <n v="36"/>
    <n v="0.35699999999999998"/>
    <s v="Approved"/>
    <x v="1"/>
    <n v="1"/>
    <n v="0"/>
    <n v="36500"/>
    <n v="0.1174"/>
    <n v="6"/>
    <n v="0"/>
    <n v="1"/>
  </r>
  <r>
    <s v="LA-700790"/>
    <d v="2024-04-24T00:00:00"/>
    <x v="0"/>
    <s v="Q2"/>
    <x v="3"/>
    <x v="1"/>
    <x v="1"/>
    <x v="4"/>
    <x v="0"/>
    <x v="4"/>
    <n v="4700"/>
    <n v="5000"/>
    <n v="24"/>
    <n v="0.20699999999999999"/>
    <s v="Approved"/>
    <x v="1"/>
    <n v="1"/>
    <n v="0"/>
    <n v="5000"/>
    <n v="0.1144"/>
    <n v="1"/>
    <n v="1"/>
    <n v="1"/>
  </r>
  <r>
    <s v="LA-700791"/>
    <d v="2024-04-24T00:00:00"/>
    <x v="0"/>
    <s v="Q2"/>
    <x v="3"/>
    <x v="0"/>
    <x v="2"/>
    <x v="4"/>
    <x v="1"/>
    <x v="3"/>
    <n v="11700"/>
    <n v="17000"/>
    <n v="60"/>
    <n v="0.16300000000000001"/>
    <s v="Approved"/>
    <x v="1"/>
    <n v="1"/>
    <n v="0"/>
    <n v="17000"/>
    <n v="6.6500000000000004E-2"/>
    <n v="2"/>
    <n v="1"/>
    <n v="1"/>
  </r>
  <r>
    <s v="LA-700792"/>
    <d v="2024-04-25T00:00:00"/>
    <x v="0"/>
    <s v="Q2"/>
    <x v="3"/>
    <x v="0"/>
    <x v="2"/>
    <x v="2"/>
    <x v="0"/>
    <x v="1"/>
    <n v="4300"/>
    <n v="18000"/>
    <n v="48"/>
    <n v="0.314"/>
    <s v="Rejected"/>
    <x v="0"/>
    <n v="0"/>
    <n v="1"/>
    <n v="0"/>
    <m/>
    <n v="3"/>
    <n v="1"/>
    <n v="1"/>
  </r>
  <r>
    <s v="LA-700793"/>
    <d v="2024-04-25T00:00:00"/>
    <x v="0"/>
    <s v="Q2"/>
    <x v="3"/>
    <x v="2"/>
    <x v="0"/>
    <x v="3"/>
    <x v="1"/>
    <x v="0"/>
    <n v="5100"/>
    <n v="104500"/>
    <n v="24"/>
    <n v="1.0960000000000001"/>
    <s v="Rejected"/>
    <x v="0"/>
    <n v="0"/>
    <n v="1"/>
    <n v="0"/>
    <m/>
    <n v="21"/>
    <n v="0"/>
    <n v="1"/>
  </r>
  <r>
    <s v="LA-700794"/>
    <d v="2024-04-25T00:00:00"/>
    <x v="0"/>
    <s v="Q2"/>
    <x v="3"/>
    <x v="3"/>
    <x v="3"/>
    <x v="3"/>
    <x v="0"/>
    <x v="1"/>
    <n v="4250"/>
    <n v="386000"/>
    <n v="300"/>
    <n v="0.73799999999999999"/>
    <s v="Approved"/>
    <x v="1"/>
    <n v="1"/>
    <n v="0"/>
    <n v="386000"/>
    <n v="6.3200000000000006E-2"/>
    <n v="19"/>
    <n v="0"/>
    <n v="1"/>
  </r>
  <r>
    <s v="LA-700795"/>
    <d v="2024-04-25T00:00:00"/>
    <x v="0"/>
    <s v="Q2"/>
    <x v="3"/>
    <x v="0"/>
    <x v="3"/>
    <x v="2"/>
    <x v="0"/>
    <x v="4"/>
    <n v="6050"/>
    <n v="33000"/>
    <n v="60"/>
    <n v="0.20100000000000001"/>
    <s v="Approved"/>
    <x v="1"/>
    <n v="1"/>
    <n v="0"/>
    <n v="33000"/>
    <n v="7.46E-2"/>
    <n v="5"/>
    <n v="0"/>
    <n v="1"/>
  </r>
  <r>
    <s v="LA-700796"/>
    <d v="2024-04-25T00:00:00"/>
    <x v="0"/>
    <s v="Q2"/>
    <x v="3"/>
    <x v="1"/>
    <x v="3"/>
    <x v="1"/>
    <x v="0"/>
    <x v="0"/>
    <n v="7900"/>
    <n v="24500"/>
    <n v="12"/>
    <n v="0.36"/>
    <s v="Rejected"/>
    <x v="0"/>
    <n v="0"/>
    <n v="1"/>
    <n v="0"/>
    <m/>
    <n v="4"/>
    <n v="0"/>
    <n v="1"/>
  </r>
  <r>
    <s v="LA-700797"/>
    <d v="2024-04-25T00:00:00"/>
    <x v="0"/>
    <s v="Q2"/>
    <x v="3"/>
    <x v="0"/>
    <x v="0"/>
    <x v="4"/>
    <x v="2"/>
    <x v="3"/>
    <n v="5200"/>
    <n v="21500"/>
    <n v="36"/>
    <n v="0.24199999999999999"/>
    <s v="Approved"/>
    <x v="1"/>
    <n v="1"/>
    <n v="0"/>
    <n v="21500"/>
    <n v="7.0000000000000007E-2"/>
    <n v="4"/>
    <n v="1"/>
    <n v="1"/>
  </r>
  <r>
    <s v="LA-700798"/>
    <d v="2024-04-26T00:00:00"/>
    <x v="0"/>
    <s v="Q2"/>
    <x v="3"/>
    <x v="1"/>
    <x v="3"/>
    <x v="3"/>
    <x v="1"/>
    <x v="4"/>
    <n v="4450"/>
    <n v="11000"/>
    <n v="36"/>
    <n v="0.16200000000000001"/>
    <s v="Approved"/>
    <x v="1"/>
    <n v="1"/>
    <n v="0"/>
    <n v="9000"/>
    <n v="0.11509999999999999"/>
    <n v="8"/>
    <n v="0"/>
    <n v="1"/>
  </r>
  <r>
    <s v="LA-700799"/>
    <d v="2024-04-26T00:00:00"/>
    <x v="0"/>
    <s v="Q2"/>
    <x v="3"/>
    <x v="1"/>
    <x v="0"/>
    <x v="0"/>
    <x v="1"/>
    <x v="4"/>
    <n v="8150"/>
    <n v="25000"/>
    <n v="36"/>
    <n v="0.22"/>
    <s v="Approved"/>
    <x v="1"/>
    <n v="1"/>
    <n v="0"/>
    <n v="25000"/>
    <n v="0.11360000000000001"/>
    <n v="4"/>
    <n v="0"/>
    <n v="1"/>
  </r>
  <r>
    <s v="LA-700800"/>
    <d v="2024-04-26T00:00:00"/>
    <x v="0"/>
    <s v="Q2"/>
    <x v="3"/>
    <x v="1"/>
    <x v="2"/>
    <x v="1"/>
    <x v="1"/>
    <x v="2"/>
    <n v="7100"/>
    <n v="15500"/>
    <n v="12"/>
    <n v="0.36099999999999999"/>
    <s v="Rejected"/>
    <x v="0"/>
    <n v="0"/>
    <n v="1"/>
    <n v="0"/>
    <m/>
    <n v="1"/>
    <n v="1"/>
    <n v="1"/>
  </r>
  <r>
    <s v="LA-700801"/>
    <d v="2024-04-26T00:00:00"/>
    <x v="0"/>
    <s v="Q2"/>
    <x v="3"/>
    <x v="1"/>
    <x v="3"/>
    <x v="3"/>
    <x v="1"/>
    <x v="0"/>
    <n v="8500"/>
    <n v="12500"/>
    <n v="48"/>
    <n v="0.20899999999999999"/>
    <s v="Rejected"/>
    <x v="0"/>
    <n v="0"/>
    <n v="1"/>
    <n v="0"/>
    <m/>
    <n v="4"/>
    <n v="0"/>
    <n v="1"/>
  </r>
  <r>
    <s v="LA-700802"/>
    <d v="2024-04-27T00:00:00"/>
    <x v="0"/>
    <s v="Q2"/>
    <x v="3"/>
    <x v="2"/>
    <x v="0"/>
    <x v="3"/>
    <x v="2"/>
    <x v="3"/>
    <n v="4450"/>
    <n v="63500"/>
    <n v="60"/>
    <n v="0.36299999999999999"/>
    <s v="Approved"/>
    <x v="1"/>
    <n v="1"/>
    <n v="0"/>
    <n v="51000"/>
    <n v="9.01E-2"/>
    <n v="10"/>
    <n v="1"/>
    <n v="1"/>
  </r>
  <r>
    <s v="LA-700803"/>
    <d v="2024-04-27T00:00:00"/>
    <x v="0"/>
    <s v="Q2"/>
    <x v="3"/>
    <x v="1"/>
    <x v="3"/>
    <x v="3"/>
    <x v="1"/>
    <x v="2"/>
    <n v="5650"/>
    <n v="6500"/>
    <n v="60"/>
    <n v="0.17199999999999999"/>
    <s v="Rejected"/>
    <x v="0"/>
    <n v="0"/>
    <n v="1"/>
    <n v="0"/>
    <m/>
    <n v="4"/>
    <n v="0"/>
    <n v="1"/>
  </r>
  <r>
    <s v="LA-700804"/>
    <d v="2024-04-27T00:00:00"/>
    <x v="0"/>
    <s v="Q2"/>
    <x v="3"/>
    <x v="1"/>
    <x v="2"/>
    <x v="0"/>
    <x v="0"/>
    <x v="1"/>
    <n v="3750"/>
    <n v="11500"/>
    <n v="12"/>
    <n v="0.45800000000000002"/>
    <s v="Approved"/>
    <x v="1"/>
    <n v="1"/>
    <n v="0"/>
    <n v="10500"/>
    <n v="0.12620000000000001"/>
    <n v="2"/>
    <n v="1"/>
    <n v="1"/>
  </r>
  <r>
    <s v="LA-700805"/>
    <d v="2024-04-27T00:00:00"/>
    <x v="0"/>
    <s v="Q2"/>
    <x v="3"/>
    <x v="2"/>
    <x v="3"/>
    <x v="2"/>
    <x v="0"/>
    <x v="1"/>
    <n v="3800"/>
    <n v="47500"/>
    <n v="12"/>
    <n v="1.3240000000000001"/>
    <s v="Rejected"/>
    <x v="3"/>
    <n v="0"/>
    <n v="1"/>
    <n v="0"/>
    <m/>
    <n v="11"/>
    <n v="0"/>
    <n v="1"/>
  </r>
  <r>
    <s v="LA-700806"/>
    <d v="2024-04-28T00:00:00"/>
    <x v="0"/>
    <s v="Q2"/>
    <x v="3"/>
    <x v="2"/>
    <x v="0"/>
    <x v="1"/>
    <x v="1"/>
    <x v="1"/>
    <n v="4900"/>
    <n v="69500"/>
    <n v="36"/>
    <n v="0.66400000000000003"/>
    <s v="Approved"/>
    <x v="1"/>
    <n v="1"/>
    <n v="0"/>
    <n v="69500"/>
    <n v="0.1086"/>
    <n v="7"/>
    <n v="1"/>
    <n v="1"/>
  </r>
  <r>
    <s v="LA-700807"/>
    <d v="2024-04-28T00:00:00"/>
    <x v="0"/>
    <s v="Q2"/>
    <x v="3"/>
    <x v="0"/>
    <x v="2"/>
    <x v="3"/>
    <x v="1"/>
    <x v="1"/>
    <n v="4800"/>
    <n v="17500"/>
    <n v="48"/>
    <n v="0.215"/>
    <s v="Approved"/>
    <x v="1"/>
    <n v="1"/>
    <n v="0"/>
    <n v="16000"/>
    <n v="7.9899999999999999E-2"/>
    <n v="2"/>
    <n v="1"/>
    <n v="1"/>
  </r>
  <r>
    <s v="LA-700808"/>
    <d v="2024-04-28T00:00:00"/>
    <x v="0"/>
    <s v="Q2"/>
    <x v="3"/>
    <x v="1"/>
    <x v="2"/>
    <x v="2"/>
    <x v="0"/>
    <x v="0"/>
    <n v="5050"/>
    <n v="7000"/>
    <n v="60"/>
    <n v="0.129"/>
    <s v="Approved"/>
    <x v="1"/>
    <n v="1"/>
    <n v="0"/>
    <n v="5500"/>
    <n v="0.13780000000000001"/>
    <n v="3"/>
    <n v="1"/>
    <n v="1"/>
  </r>
  <r>
    <s v="LA-700809"/>
    <d v="2024-04-28T00:00:00"/>
    <x v="0"/>
    <s v="Q2"/>
    <x v="3"/>
    <x v="1"/>
    <x v="3"/>
    <x v="2"/>
    <x v="0"/>
    <x v="2"/>
    <n v="4600"/>
    <n v="14000"/>
    <n v="36"/>
    <n v="0.17100000000000001"/>
    <s v="Rejected"/>
    <x v="0"/>
    <n v="0"/>
    <n v="1"/>
    <n v="0"/>
    <m/>
    <n v="4"/>
    <n v="0"/>
    <n v="1"/>
  </r>
  <r>
    <s v="LA-700810"/>
    <d v="2024-04-28T00:00:00"/>
    <x v="0"/>
    <s v="Q2"/>
    <x v="3"/>
    <x v="2"/>
    <x v="2"/>
    <x v="3"/>
    <x v="1"/>
    <x v="2"/>
    <n v="3600"/>
    <n v="79000"/>
    <n v="24"/>
    <n v="1.2330000000000001"/>
    <s v="Rejected"/>
    <x v="3"/>
    <n v="0"/>
    <n v="1"/>
    <n v="0"/>
    <m/>
    <n v="8"/>
    <n v="1"/>
    <n v="1"/>
  </r>
  <r>
    <s v="LA-700811"/>
    <d v="2024-04-28T00:00:00"/>
    <x v="0"/>
    <s v="Q2"/>
    <x v="3"/>
    <x v="2"/>
    <x v="3"/>
    <x v="2"/>
    <x v="0"/>
    <x v="0"/>
    <n v="4300"/>
    <n v="103000"/>
    <n v="36"/>
    <n v="0.96299999999999997"/>
    <s v="Rejected"/>
    <x v="3"/>
    <n v="0"/>
    <n v="1"/>
    <n v="0"/>
    <m/>
    <n v="30"/>
    <n v="0"/>
    <n v="1"/>
  </r>
  <r>
    <s v="LA-700812"/>
    <d v="2024-04-29T00:00:00"/>
    <x v="0"/>
    <s v="Q2"/>
    <x v="3"/>
    <x v="2"/>
    <x v="2"/>
    <x v="3"/>
    <x v="1"/>
    <x v="3"/>
    <n v="3600"/>
    <n v="89500"/>
    <n v="12"/>
    <n v="2.38"/>
    <s v="Rejected"/>
    <x v="3"/>
    <n v="0"/>
    <n v="1"/>
    <n v="0"/>
    <m/>
    <n v="5"/>
    <n v="1"/>
    <n v="1"/>
  </r>
  <r>
    <s v="LA-700813"/>
    <d v="2024-04-29T00:00:00"/>
    <x v="0"/>
    <s v="Q2"/>
    <x v="3"/>
    <x v="3"/>
    <x v="1"/>
    <x v="2"/>
    <x v="2"/>
    <x v="0"/>
    <n v="7000"/>
    <n v="527500"/>
    <n v="180"/>
    <n v="0.72299999999999998"/>
    <s v="Rejected"/>
    <x v="0"/>
    <n v="0"/>
    <n v="1"/>
    <n v="0"/>
    <m/>
    <n v="4"/>
    <n v="1"/>
    <n v="1"/>
  </r>
  <r>
    <s v="LA-700814"/>
    <d v="2024-04-29T00:00:00"/>
    <x v="0"/>
    <s v="Q2"/>
    <x v="3"/>
    <x v="0"/>
    <x v="1"/>
    <x v="3"/>
    <x v="1"/>
    <x v="1"/>
    <n v="6150"/>
    <n v="18500"/>
    <n v="36"/>
    <n v="0.20899999999999999"/>
    <s v="Approved"/>
    <x v="1"/>
    <n v="1"/>
    <n v="0"/>
    <n v="18500"/>
    <n v="7.8700000000000006E-2"/>
    <n v="1"/>
    <n v="1"/>
    <n v="1"/>
  </r>
  <r>
    <s v="LA-700815"/>
    <d v="2024-04-29T00:00:00"/>
    <x v="0"/>
    <s v="Q2"/>
    <x v="3"/>
    <x v="2"/>
    <x v="1"/>
    <x v="2"/>
    <x v="1"/>
    <x v="1"/>
    <n v="5700"/>
    <n v="91500"/>
    <n v="24"/>
    <n v="0.86099999999999999"/>
    <s v="Approved"/>
    <x v="1"/>
    <n v="1"/>
    <n v="0"/>
    <n v="73000"/>
    <n v="0.1067"/>
    <n v="8"/>
    <n v="1"/>
    <n v="1"/>
  </r>
  <r>
    <s v="LA-700816"/>
    <d v="2024-04-29T00:00:00"/>
    <x v="0"/>
    <s v="Q2"/>
    <x v="3"/>
    <x v="2"/>
    <x v="1"/>
    <x v="3"/>
    <x v="0"/>
    <x v="2"/>
    <n v="1450"/>
    <n v="62500"/>
    <n v="60"/>
    <n v="1.0069999999999999"/>
    <s v="Rejected"/>
    <x v="0"/>
    <n v="0"/>
    <n v="1"/>
    <n v="0"/>
    <m/>
    <n v="5"/>
    <n v="1"/>
    <n v="1"/>
  </r>
  <r>
    <s v="LA-700817"/>
    <d v="2024-04-29T00:00:00"/>
    <x v="0"/>
    <s v="Q2"/>
    <x v="3"/>
    <x v="3"/>
    <x v="2"/>
    <x v="4"/>
    <x v="0"/>
    <x v="1"/>
    <n v="2400"/>
    <n v="218500"/>
    <n v="180"/>
    <n v="0.94199999999999995"/>
    <s v="Rejected"/>
    <x v="3"/>
    <n v="0"/>
    <n v="1"/>
    <n v="0"/>
    <m/>
    <n v="10"/>
    <n v="1"/>
    <n v="1"/>
  </r>
  <r>
    <s v="LA-700818"/>
    <d v="2024-04-29T00:00:00"/>
    <x v="0"/>
    <s v="Q2"/>
    <x v="3"/>
    <x v="1"/>
    <x v="1"/>
    <x v="0"/>
    <x v="2"/>
    <x v="0"/>
    <n v="3450"/>
    <n v="4500"/>
    <n v="24"/>
    <n v="0.156"/>
    <s v="Approved"/>
    <x v="1"/>
    <n v="1"/>
    <n v="0"/>
    <n v="4500"/>
    <n v="0.1396"/>
    <n v="1"/>
    <n v="1"/>
    <n v="1"/>
  </r>
  <r>
    <s v="LA-700819"/>
    <d v="2024-04-29T00:00:00"/>
    <x v="0"/>
    <s v="Q2"/>
    <x v="3"/>
    <x v="2"/>
    <x v="2"/>
    <x v="0"/>
    <x v="0"/>
    <x v="3"/>
    <n v="3050"/>
    <n v="101000"/>
    <n v="60"/>
    <n v="0.80200000000000005"/>
    <s v="Approved"/>
    <x v="1"/>
    <n v="1"/>
    <n v="0"/>
    <n v="101000"/>
    <n v="9.5799999999999996E-2"/>
    <n v="6"/>
    <n v="1"/>
    <n v="1"/>
  </r>
  <r>
    <s v="LA-700820"/>
    <d v="2024-04-30T00:00:00"/>
    <x v="0"/>
    <s v="Q2"/>
    <x v="3"/>
    <x v="1"/>
    <x v="2"/>
    <x v="1"/>
    <x v="2"/>
    <x v="4"/>
    <n v="5800"/>
    <n v="12500"/>
    <n v="12"/>
    <n v="0.245"/>
    <s v="Approved"/>
    <x v="1"/>
    <n v="1"/>
    <n v="0"/>
    <n v="10000"/>
    <n v="0.1111"/>
    <n v="2"/>
    <n v="1"/>
    <n v="1"/>
  </r>
  <r>
    <s v="LA-700821"/>
    <d v="2024-04-30T00:00:00"/>
    <x v="0"/>
    <s v="Q2"/>
    <x v="3"/>
    <x v="1"/>
    <x v="1"/>
    <x v="0"/>
    <x v="0"/>
    <x v="2"/>
    <n v="3350"/>
    <n v="27000"/>
    <n v="36"/>
    <n v="0.39100000000000001"/>
    <s v="Rejected"/>
    <x v="0"/>
    <n v="0"/>
    <n v="1"/>
    <n v="0"/>
    <m/>
    <n v="3"/>
    <n v="1"/>
    <n v="1"/>
  </r>
  <r>
    <s v="LA-700822"/>
    <d v="2024-04-30T00:00:00"/>
    <x v="0"/>
    <s v="Q2"/>
    <x v="3"/>
    <x v="1"/>
    <x v="2"/>
    <x v="1"/>
    <x v="1"/>
    <x v="3"/>
    <n v="4450"/>
    <n v="12000"/>
    <n v="12"/>
    <n v="0.40899999999999997"/>
    <s v="Rejected"/>
    <x v="0"/>
    <n v="0"/>
    <n v="1"/>
    <n v="0"/>
    <m/>
    <n v="3"/>
    <n v="1"/>
    <n v="1"/>
  </r>
  <r>
    <s v="LA-700823"/>
    <d v="2024-04-30T00:00:00"/>
    <x v="0"/>
    <s v="Q2"/>
    <x v="3"/>
    <x v="0"/>
    <x v="1"/>
    <x v="3"/>
    <x v="0"/>
    <x v="0"/>
    <n v="6000"/>
    <n v="22500"/>
    <n v="36"/>
    <n v="0.36499999999999999"/>
    <s v="Rejected"/>
    <x v="0"/>
    <n v="0"/>
    <n v="1"/>
    <n v="0"/>
    <m/>
    <n v="2"/>
    <n v="1"/>
    <n v="1"/>
  </r>
  <r>
    <s v="LA-700824"/>
    <d v="2024-04-30T00:00:00"/>
    <x v="0"/>
    <s v="Q2"/>
    <x v="3"/>
    <x v="2"/>
    <x v="3"/>
    <x v="1"/>
    <x v="0"/>
    <x v="1"/>
    <n v="5700"/>
    <n v="55000"/>
    <n v="24"/>
    <n v="0.56899999999999995"/>
    <s v="Approved"/>
    <x v="1"/>
    <n v="1"/>
    <n v="0"/>
    <n v="55000"/>
    <n v="0.11260000000000001"/>
    <n v="15"/>
    <n v="0"/>
    <n v="1"/>
  </r>
  <r>
    <s v="LA-700825"/>
    <d v="2024-04-30T00:00:00"/>
    <x v="0"/>
    <s v="Q2"/>
    <x v="3"/>
    <x v="0"/>
    <x v="3"/>
    <x v="2"/>
    <x v="1"/>
    <x v="1"/>
    <n v="5050"/>
    <n v="13500"/>
    <n v="60"/>
    <n v="0.22900000000000001"/>
    <s v="Approved"/>
    <x v="1"/>
    <n v="1"/>
    <n v="0"/>
    <n v="12000"/>
    <n v="8.2299999999999998E-2"/>
    <n v="10"/>
    <n v="0"/>
    <n v="1"/>
  </r>
  <r>
    <s v="LA-700826"/>
    <d v="2024-04-30T00:00:00"/>
    <x v="0"/>
    <s v="Q2"/>
    <x v="3"/>
    <x v="3"/>
    <x v="3"/>
    <x v="3"/>
    <x v="1"/>
    <x v="4"/>
    <n v="8200"/>
    <n v="169000"/>
    <n v="180"/>
    <n v="0.313"/>
    <s v="Approved"/>
    <x v="1"/>
    <n v="1"/>
    <n v="0"/>
    <n v="152000"/>
    <n v="5.21E-2"/>
    <n v="31"/>
    <n v="0"/>
    <n v="1"/>
  </r>
  <r>
    <s v="LA-700827"/>
    <d v="2024-04-30T00:00:00"/>
    <x v="0"/>
    <s v="Q2"/>
    <x v="3"/>
    <x v="0"/>
    <x v="0"/>
    <x v="3"/>
    <x v="2"/>
    <x v="4"/>
    <n v="2650"/>
    <n v="34500"/>
    <n v="36"/>
    <n v="0.46899999999999997"/>
    <s v="Approved"/>
    <x v="1"/>
    <n v="1"/>
    <n v="0"/>
    <n v="34500"/>
    <n v="7.3599999999999999E-2"/>
    <n v="7"/>
    <n v="0"/>
    <n v="1"/>
  </r>
  <r>
    <s v="LA-700828"/>
    <d v="2024-04-30T00:00:00"/>
    <x v="0"/>
    <s v="Q2"/>
    <x v="3"/>
    <x v="1"/>
    <x v="2"/>
    <x v="2"/>
    <x v="2"/>
    <x v="4"/>
    <n v="5550"/>
    <n v="17500"/>
    <n v="12"/>
    <n v="0.42299999999999999"/>
    <s v="Approved"/>
    <x v="1"/>
    <n v="1"/>
    <n v="0"/>
    <n v="14000"/>
    <n v="0.1167"/>
    <n v="3"/>
    <n v="1"/>
    <n v="1"/>
  </r>
  <r>
    <s v="LA-700829"/>
    <d v="2024-05-01T00:00:00"/>
    <x v="0"/>
    <s v="Q2"/>
    <x v="4"/>
    <x v="0"/>
    <x v="3"/>
    <x v="2"/>
    <x v="1"/>
    <x v="2"/>
    <n v="7350"/>
    <n v="35000"/>
    <n v="48"/>
    <n v="0.16700000000000001"/>
    <s v="Rejected"/>
    <x v="0"/>
    <n v="0"/>
    <n v="1"/>
    <n v="0"/>
    <m/>
    <n v="5"/>
    <n v="0"/>
    <n v="1"/>
  </r>
  <r>
    <s v="LA-700830"/>
    <d v="2024-05-01T00:00:00"/>
    <x v="0"/>
    <s v="Q2"/>
    <x v="4"/>
    <x v="1"/>
    <x v="3"/>
    <x v="1"/>
    <x v="1"/>
    <x v="1"/>
    <n v="4550"/>
    <n v="15000"/>
    <n v="36"/>
    <n v="0.245"/>
    <s v="Approved"/>
    <x v="1"/>
    <n v="1"/>
    <n v="0"/>
    <n v="15000"/>
    <n v="0.12330000000000001"/>
    <n v="3"/>
    <n v="1"/>
    <n v="1"/>
  </r>
  <r>
    <s v="LA-700831"/>
    <d v="2024-05-01T00:00:00"/>
    <x v="0"/>
    <s v="Q2"/>
    <x v="4"/>
    <x v="0"/>
    <x v="2"/>
    <x v="2"/>
    <x v="1"/>
    <x v="0"/>
    <n v="1300"/>
    <n v="49000"/>
    <n v="48"/>
    <n v="1.038"/>
    <s v="Rejected"/>
    <x v="3"/>
    <n v="0"/>
    <n v="1"/>
    <n v="0"/>
    <m/>
    <n v="4"/>
    <n v="1"/>
    <n v="1"/>
  </r>
  <r>
    <s v="LA-700832"/>
    <d v="2024-05-01T00:00:00"/>
    <x v="0"/>
    <s v="Q2"/>
    <x v="4"/>
    <x v="1"/>
    <x v="3"/>
    <x v="1"/>
    <x v="0"/>
    <x v="2"/>
    <n v="4200"/>
    <n v="13000"/>
    <n v="60"/>
    <n v="0.30299999999999999"/>
    <s v="Rejected"/>
    <x v="0"/>
    <n v="0"/>
    <n v="1"/>
    <n v="0"/>
    <m/>
    <n v="5"/>
    <n v="0"/>
    <n v="1"/>
  </r>
  <r>
    <s v="LA-700833"/>
    <d v="2024-05-01T00:00:00"/>
    <x v="0"/>
    <s v="Q2"/>
    <x v="4"/>
    <x v="1"/>
    <x v="0"/>
    <x v="1"/>
    <x v="1"/>
    <x v="4"/>
    <n v="3800"/>
    <n v="12000"/>
    <n v="24"/>
    <n v="0.28299999999999997"/>
    <s v="Approved"/>
    <x v="1"/>
    <n v="1"/>
    <n v="0"/>
    <n v="12000"/>
    <n v="0.1186"/>
    <n v="6"/>
    <n v="0"/>
    <n v="1"/>
  </r>
  <r>
    <s v="LA-700834"/>
    <d v="2024-05-01T00:00:00"/>
    <x v="0"/>
    <s v="Q2"/>
    <x v="4"/>
    <x v="3"/>
    <x v="2"/>
    <x v="2"/>
    <x v="1"/>
    <x v="0"/>
    <n v="6400"/>
    <n v="266500"/>
    <n v="240"/>
    <n v="0.47099999999999997"/>
    <s v="Approved"/>
    <x v="1"/>
    <n v="1"/>
    <n v="0"/>
    <n v="266500"/>
    <n v="7.2800000000000004E-2"/>
    <n v="8"/>
    <n v="1"/>
    <n v="1"/>
  </r>
  <r>
    <s v="LA-700835"/>
    <d v="2024-05-01T00:00:00"/>
    <x v="0"/>
    <s v="Q2"/>
    <x v="4"/>
    <x v="1"/>
    <x v="2"/>
    <x v="4"/>
    <x v="0"/>
    <x v="3"/>
    <n v="3650"/>
    <n v="9500"/>
    <n v="36"/>
    <n v="0.25600000000000001"/>
    <s v="Approved"/>
    <x v="1"/>
    <n v="1"/>
    <n v="0"/>
    <n v="9500"/>
    <n v="0.10920000000000001"/>
    <n v="1"/>
    <n v="1"/>
    <n v="1"/>
  </r>
  <r>
    <s v="LA-700836"/>
    <d v="2024-05-01T00:00:00"/>
    <x v="0"/>
    <s v="Q2"/>
    <x v="4"/>
    <x v="3"/>
    <x v="3"/>
    <x v="1"/>
    <x v="1"/>
    <x v="4"/>
    <n v="6900"/>
    <n v="290500"/>
    <n v="240"/>
    <n v="0.5"/>
    <s v="Approved"/>
    <x v="1"/>
    <n v="1"/>
    <n v="0"/>
    <n v="290500"/>
    <n v="5.2200000000000003E-2"/>
    <n v="37"/>
    <n v="0"/>
    <n v="1"/>
  </r>
  <r>
    <s v="LA-700837"/>
    <d v="2024-05-02T00:00:00"/>
    <x v="0"/>
    <s v="Q2"/>
    <x v="4"/>
    <x v="1"/>
    <x v="0"/>
    <x v="3"/>
    <x v="1"/>
    <x v="0"/>
    <n v="9550"/>
    <n v="10000"/>
    <n v="60"/>
    <n v="8.8999999999999996E-2"/>
    <s v="Approved"/>
    <x v="1"/>
    <n v="1"/>
    <n v="0"/>
    <n v="9000"/>
    <n v="0.13780000000000001"/>
    <n v="4"/>
    <n v="0"/>
    <n v="1"/>
  </r>
  <r>
    <s v="LA-700838"/>
    <d v="2024-05-02T00:00:00"/>
    <x v="0"/>
    <s v="Q2"/>
    <x v="4"/>
    <x v="1"/>
    <x v="0"/>
    <x v="1"/>
    <x v="0"/>
    <x v="4"/>
    <n v="3750"/>
    <n v="15000"/>
    <n v="48"/>
    <n v="0.16"/>
    <s v="Rejected"/>
    <x v="4"/>
    <n v="0"/>
    <n v="1"/>
    <n v="0"/>
    <m/>
    <n v="7"/>
    <n v="0"/>
    <n v="1"/>
  </r>
  <r>
    <s v="LA-700839"/>
    <d v="2024-05-02T00:00:00"/>
    <x v="0"/>
    <s v="Q2"/>
    <x v="4"/>
    <x v="1"/>
    <x v="3"/>
    <x v="0"/>
    <x v="1"/>
    <x v="1"/>
    <n v="6200"/>
    <n v="15500"/>
    <n v="24"/>
    <n v="0.28799999999999998"/>
    <s v="Approved"/>
    <x v="1"/>
    <n v="1"/>
    <n v="0"/>
    <n v="15500"/>
    <n v="0.13239999999999999"/>
    <n v="3"/>
    <n v="1"/>
    <n v="1"/>
  </r>
  <r>
    <s v="LA-700840"/>
    <d v="2024-05-02T00:00:00"/>
    <x v="0"/>
    <s v="Q2"/>
    <x v="4"/>
    <x v="2"/>
    <x v="2"/>
    <x v="2"/>
    <x v="0"/>
    <x v="4"/>
    <n v="5700"/>
    <n v="74000"/>
    <n v="36"/>
    <n v="0.65700000000000003"/>
    <s v="Approved"/>
    <x v="1"/>
    <n v="1"/>
    <n v="0"/>
    <n v="66500"/>
    <n v="0.1031"/>
    <n v="7"/>
    <n v="1"/>
    <n v="1"/>
  </r>
  <r>
    <s v="LA-700841"/>
    <d v="2024-05-03T00:00:00"/>
    <x v="0"/>
    <s v="Q2"/>
    <x v="4"/>
    <x v="2"/>
    <x v="2"/>
    <x v="4"/>
    <x v="0"/>
    <x v="0"/>
    <n v="4500"/>
    <n v="101000"/>
    <n v="36"/>
    <n v="0.92500000000000004"/>
    <s v="Approved"/>
    <x v="1"/>
    <n v="1"/>
    <n v="0"/>
    <n v="101000"/>
    <n v="0.12559999999999999"/>
    <n v="9"/>
    <n v="1"/>
    <n v="1"/>
  </r>
  <r>
    <s v="LA-700842"/>
    <d v="2024-05-03T00:00:00"/>
    <x v="0"/>
    <s v="Q2"/>
    <x v="4"/>
    <x v="1"/>
    <x v="2"/>
    <x v="3"/>
    <x v="2"/>
    <x v="2"/>
    <n v="6000"/>
    <n v="11000"/>
    <n v="60"/>
    <n v="0.21299999999999999"/>
    <s v="Approved"/>
    <x v="1"/>
    <n v="1"/>
    <n v="0"/>
    <n v="10000"/>
    <n v="0.1593"/>
    <n v="2"/>
    <n v="1"/>
    <n v="1"/>
  </r>
  <r>
    <s v="LA-700843"/>
    <d v="2024-05-03T00:00:00"/>
    <x v="0"/>
    <s v="Q2"/>
    <x v="4"/>
    <x v="3"/>
    <x v="3"/>
    <x v="2"/>
    <x v="1"/>
    <x v="3"/>
    <n v="5450"/>
    <n v="211500"/>
    <n v="240"/>
    <n v="0.377"/>
    <s v="Approved"/>
    <x v="1"/>
    <n v="1"/>
    <n v="0"/>
    <n v="211500"/>
    <n v="4.0099999999999997E-2"/>
    <n v="21"/>
    <n v="0"/>
    <n v="1"/>
  </r>
  <r>
    <s v="LA-700844"/>
    <d v="2024-05-03T00:00:00"/>
    <x v="0"/>
    <s v="Q2"/>
    <x v="4"/>
    <x v="0"/>
    <x v="3"/>
    <x v="3"/>
    <x v="0"/>
    <x v="0"/>
    <n v="6250"/>
    <n v="19000"/>
    <n v="60"/>
    <n v="0.16200000000000001"/>
    <s v="Rejected"/>
    <x v="4"/>
    <n v="0"/>
    <n v="1"/>
    <n v="0"/>
    <m/>
    <n v="8"/>
    <n v="0"/>
    <n v="1"/>
  </r>
  <r>
    <s v="LA-700845"/>
    <d v="2024-05-03T00:00:00"/>
    <x v="0"/>
    <s v="Q2"/>
    <x v="4"/>
    <x v="0"/>
    <x v="2"/>
    <x v="4"/>
    <x v="0"/>
    <x v="0"/>
    <n v="4900"/>
    <n v="16000"/>
    <n v="48"/>
    <n v="0.30499999999999999"/>
    <s v="Approved"/>
    <x v="1"/>
    <n v="1"/>
    <n v="0"/>
    <n v="16000"/>
    <n v="9.6799999999999997E-2"/>
    <n v="3"/>
    <n v="1"/>
    <n v="1"/>
  </r>
  <r>
    <s v="LA-700846"/>
    <d v="2024-05-03T00:00:00"/>
    <x v="0"/>
    <s v="Q2"/>
    <x v="4"/>
    <x v="1"/>
    <x v="2"/>
    <x v="0"/>
    <x v="0"/>
    <x v="0"/>
    <n v="4500"/>
    <n v="26500"/>
    <n v="60"/>
    <n v="0.25700000000000001"/>
    <s v="Withdrawn"/>
    <x v="1"/>
    <n v="0"/>
    <n v="0"/>
    <n v="0"/>
    <m/>
    <n v="6"/>
    <n v="0"/>
    <n v="1"/>
  </r>
  <r>
    <s v="LA-700847"/>
    <d v="2024-05-04T00:00:00"/>
    <x v="0"/>
    <s v="Q2"/>
    <x v="4"/>
    <x v="2"/>
    <x v="1"/>
    <x v="2"/>
    <x v="2"/>
    <x v="2"/>
    <n v="11200"/>
    <n v="47000"/>
    <n v="60"/>
    <n v="0.14099999999999999"/>
    <s v="Rejected"/>
    <x v="0"/>
    <n v="0"/>
    <n v="1"/>
    <n v="0"/>
    <m/>
    <n v="4"/>
    <n v="1"/>
    <n v="1"/>
  </r>
  <r>
    <s v="LA-700848"/>
    <d v="2024-05-04T00:00:00"/>
    <x v="0"/>
    <s v="Q2"/>
    <x v="4"/>
    <x v="2"/>
    <x v="2"/>
    <x v="2"/>
    <x v="0"/>
    <x v="2"/>
    <n v="6350"/>
    <n v="103500"/>
    <n v="24"/>
    <n v="0.82899999999999996"/>
    <s v="Rejected"/>
    <x v="0"/>
    <n v="0"/>
    <n v="1"/>
    <n v="0"/>
    <m/>
    <n v="10"/>
    <n v="1"/>
    <n v="1"/>
  </r>
  <r>
    <s v="LA-700849"/>
    <d v="2024-05-04T00:00:00"/>
    <x v="0"/>
    <s v="Q2"/>
    <x v="4"/>
    <x v="0"/>
    <x v="3"/>
    <x v="2"/>
    <x v="1"/>
    <x v="4"/>
    <n v="4350"/>
    <n v="21000"/>
    <n v="48"/>
    <n v="0.36299999999999999"/>
    <s v="Approved"/>
    <x v="1"/>
    <n v="1"/>
    <n v="0"/>
    <n v="21000"/>
    <n v="7.5800000000000006E-2"/>
    <n v="5"/>
    <n v="0"/>
    <n v="1"/>
  </r>
  <r>
    <s v="LA-700850"/>
    <d v="2024-05-04T00:00:00"/>
    <x v="0"/>
    <s v="Q2"/>
    <x v="4"/>
    <x v="3"/>
    <x v="3"/>
    <x v="2"/>
    <x v="0"/>
    <x v="2"/>
    <n v="5550"/>
    <n v="104000"/>
    <n v="300"/>
    <n v="0.30499999999999999"/>
    <s v="Rejected"/>
    <x v="4"/>
    <n v="0"/>
    <n v="1"/>
    <n v="0"/>
    <m/>
    <n v="27"/>
    <n v="0"/>
    <n v="1"/>
  </r>
  <r>
    <s v="LA-700851"/>
    <d v="2024-05-05T00:00:00"/>
    <x v="0"/>
    <s v="Q2"/>
    <x v="4"/>
    <x v="1"/>
    <x v="2"/>
    <x v="1"/>
    <x v="0"/>
    <x v="2"/>
    <n v="4500"/>
    <n v="15500"/>
    <n v="24"/>
    <n v="0.215"/>
    <s v="Rejected"/>
    <x v="0"/>
    <n v="0"/>
    <n v="1"/>
    <n v="0"/>
    <m/>
    <n v="1"/>
    <n v="1"/>
    <n v="1"/>
  </r>
  <r>
    <s v="LA-700852"/>
    <d v="2024-05-05T00:00:00"/>
    <x v="0"/>
    <s v="Q2"/>
    <x v="4"/>
    <x v="1"/>
    <x v="1"/>
    <x v="1"/>
    <x v="1"/>
    <x v="4"/>
    <n v="3200"/>
    <n v="10500"/>
    <n v="48"/>
    <n v="0.28299999999999997"/>
    <s v="Approved"/>
    <x v="1"/>
    <n v="1"/>
    <n v="0"/>
    <n v="9500"/>
    <n v="0.114"/>
    <n v="1"/>
    <n v="1"/>
    <n v="1"/>
  </r>
  <r>
    <s v="LA-700853"/>
    <d v="2024-05-05T00:00:00"/>
    <x v="0"/>
    <s v="Q2"/>
    <x v="4"/>
    <x v="0"/>
    <x v="3"/>
    <x v="2"/>
    <x v="1"/>
    <x v="3"/>
    <n v="4300"/>
    <n v="25500"/>
    <n v="60"/>
    <n v="0.28699999999999998"/>
    <s v="Approved"/>
    <x v="1"/>
    <n v="1"/>
    <n v="0"/>
    <n v="25500"/>
    <n v="6.7599999999999993E-2"/>
    <n v="5"/>
    <n v="0"/>
    <n v="1"/>
  </r>
  <r>
    <s v="LA-700854"/>
    <d v="2024-05-06T00:00:00"/>
    <x v="0"/>
    <s v="Q2"/>
    <x v="4"/>
    <x v="2"/>
    <x v="3"/>
    <x v="0"/>
    <x v="0"/>
    <x v="1"/>
    <n v="8000"/>
    <n v="108000"/>
    <n v="12"/>
    <n v="1.3839999999999999"/>
    <s v="Rejected"/>
    <x v="3"/>
    <n v="0"/>
    <n v="1"/>
    <n v="0"/>
    <m/>
    <n v="10"/>
    <n v="1"/>
    <n v="1"/>
  </r>
  <r>
    <s v="LA-700855"/>
    <d v="2024-05-06T00:00:00"/>
    <x v="0"/>
    <s v="Q2"/>
    <x v="4"/>
    <x v="1"/>
    <x v="1"/>
    <x v="2"/>
    <x v="0"/>
    <x v="1"/>
    <n v="2050"/>
    <n v="12500"/>
    <n v="36"/>
    <n v="0.42099999999999999"/>
    <s v="Rejected"/>
    <x v="5"/>
    <n v="0"/>
    <n v="1"/>
    <n v="0"/>
    <m/>
    <n v="2"/>
    <n v="1"/>
    <n v="1"/>
  </r>
  <r>
    <s v="LA-700856"/>
    <d v="2024-05-06T00:00:00"/>
    <x v="0"/>
    <s v="Q2"/>
    <x v="4"/>
    <x v="2"/>
    <x v="1"/>
    <x v="1"/>
    <x v="2"/>
    <x v="1"/>
    <n v="5000"/>
    <n v="58500"/>
    <n v="60"/>
    <n v="0.42799999999999999"/>
    <s v="Approved"/>
    <x v="1"/>
    <n v="1"/>
    <n v="0"/>
    <n v="58500"/>
    <n v="0.11020000000000001"/>
    <n v="5"/>
    <n v="1"/>
    <n v="1"/>
  </r>
  <r>
    <s v="LA-700857"/>
    <d v="2024-05-06T00:00:00"/>
    <x v="0"/>
    <s v="Q2"/>
    <x v="4"/>
    <x v="0"/>
    <x v="1"/>
    <x v="2"/>
    <x v="1"/>
    <x v="3"/>
    <n v="6200"/>
    <n v="26500"/>
    <n v="60"/>
    <n v="0.23699999999999999"/>
    <s v="Approved"/>
    <x v="1"/>
    <n v="1"/>
    <n v="0"/>
    <n v="26500"/>
    <n v="7.0499999999999993E-2"/>
    <n v="4"/>
    <n v="1"/>
    <n v="1"/>
  </r>
  <r>
    <s v="LA-700858"/>
    <d v="2024-05-06T00:00:00"/>
    <x v="0"/>
    <s v="Q2"/>
    <x v="4"/>
    <x v="0"/>
    <x v="3"/>
    <x v="3"/>
    <x v="1"/>
    <x v="4"/>
    <n v="9150"/>
    <n v="20500"/>
    <n v="60"/>
    <n v="0.17699999999999999"/>
    <s v="Approved"/>
    <x v="1"/>
    <n v="1"/>
    <n v="0"/>
    <n v="16500"/>
    <n v="7.0599999999999996E-2"/>
    <n v="13"/>
    <n v="0"/>
    <n v="1"/>
  </r>
  <r>
    <s v="LA-700859"/>
    <d v="2024-05-06T00:00:00"/>
    <x v="0"/>
    <s v="Q2"/>
    <x v="4"/>
    <x v="0"/>
    <x v="1"/>
    <x v="2"/>
    <x v="2"/>
    <x v="4"/>
    <n v="7350"/>
    <n v="32000"/>
    <n v="60"/>
    <n v="0.28100000000000003"/>
    <s v="Approved"/>
    <x v="1"/>
    <n v="1"/>
    <n v="0"/>
    <n v="32000"/>
    <n v="7.2499999999999995E-2"/>
    <n v="3"/>
    <n v="1"/>
    <n v="1"/>
  </r>
  <r>
    <s v="LA-700860"/>
    <d v="2024-05-06T00:00:00"/>
    <x v="0"/>
    <s v="Q2"/>
    <x v="4"/>
    <x v="1"/>
    <x v="0"/>
    <x v="3"/>
    <x v="0"/>
    <x v="3"/>
    <n v="10000"/>
    <n v="15000"/>
    <n v="60"/>
    <n v="9.2999999999999999E-2"/>
    <s v="Approved"/>
    <x v="1"/>
    <n v="1"/>
    <n v="0"/>
    <n v="15000"/>
    <n v="0.1082"/>
    <n v="5"/>
    <n v="0"/>
    <n v="1"/>
  </r>
  <r>
    <s v="LA-700861"/>
    <d v="2024-05-06T00:00:00"/>
    <x v="0"/>
    <s v="Q2"/>
    <x v="4"/>
    <x v="3"/>
    <x v="2"/>
    <x v="4"/>
    <x v="0"/>
    <x v="4"/>
    <n v="5050"/>
    <n v="258500"/>
    <n v="240"/>
    <n v="0.51100000000000001"/>
    <s v="Approved"/>
    <x v="1"/>
    <n v="1"/>
    <n v="0"/>
    <n v="232500"/>
    <n v="4.9299999999999997E-2"/>
    <n v="12"/>
    <n v="1"/>
    <n v="1"/>
  </r>
  <r>
    <s v="LA-700862"/>
    <d v="2024-05-07T00:00:00"/>
    <x v="0"/>
    <s v="Q2"/>
    <x v="4"/>
    <x v="0"/>
    <x v="2"/>
    <x v="0"/>
    <x v="0"/>
    <x v="4"/>
    <n v="3250"/>
    <n v="36000"/>
    <n v="36"/>
    <n v="0.56100000000000005"/>
    <s v="Approved"/>
    <x v="1"/>
    <n v="1"/>
    <n v="0"/>
    <n v="36000"/>
    <n v="6.8900000000000003E-2"/>
    <n v="3"/>
    <n v="1"/>
    <n v="1"/>
  </r>
  <r>
    <s v="LA-700863"/>
    <d v="2024-05-07T00:00:00"/>
    <x v="0"/>
    <s v="Q2"/>
    <x v="4"/>
    <x v="0"/>
    <x v="1"/>
    <x v="3"/>
    <x v="0"/>
    <x v="0"/>
    <n v="4500"/>
    <n v="25500"/>
    <n v="36"/>
    <n v="0.25600000000000001"/>
    <s v="Rejected"/>
    <x v="4"/>
    <n v="0"/>
    <n v="1"/>
    <n v="0"/>
    <m/>
    <n v="7"/>
    <n v="0"/>
    <n v="1"/>
  </r>
  <r>
    <s v="LA-700864"/>
    <d v="2024-05-07T00:00:00"/>
    <x v="0"/>
    <s v="Q2"/>
    <x v="4"/>
    <x v="1"/>
    <x v="1"/>
    <x v="3"/>
    <x v="1"/>
    <x v="2"/>
    <n v="3800"/>
    <n v="20000"/>
    <n v="60"/>
    <n v="0.22500000000000001"/>
    <s v="Rejected"/>
    <x v="0"/>
    <n v="0"/>
    <n v="1"/>
    <n v="0"/>
    <m/>
    <n v="2"/>
    <n v="1"/>
    <n v="1"/>
  </r>
  <r>
    <s v="LA-700865"/>
    <d v="2024-05-07T00:00:00"/>
    <x v="0"/>
    <s v="Q2"/>
    <x v="4"/>
    <x v="2"/>
    <x v="3"/>
    <x v="3"/>
    <x v="0"/>
    <x v="0"/>
    <n v="5200"/>
    <n v="58000"/>
    <n v="60"/>
    <n v="0.48299999999999998"/>
    <s v="Rejected"/>
    <x v="0"/>
    <n v="0"/>
    <n v="1"/>
    <n v="0"/>
    <m/>
    <n v="9"/>
    <n v="1"/>
    <n v="1"/>
  </r>
  <r>
    <s v="LA-700866"/>
    <d v="2024-05-07T00:00:00"/>
    <x v="0"/>
    <s v="Q2"/>
    <x v="4"/>
    <x v="2"/>
    <x v="0"/>
    <x v="4"/>
    <x v="0"/>
    <x v="2"/>
    <n v="4300"/>
    <n v="113500"/>
    <n v="24"/>
    <n v="1.27"/>
    <s v="Rejected"/>
    <x v="0"/>
    <n v="0"/>
    <n v="1"/>
    <n v="0"/>
    <m/>
    <n v="19"/>
    <n v="0"/>
    <n v="1"/>
  </r>
  <r>
    <s v="LA-700867"/>
    <d v="2024-05-07T00:00:00"/>
    <x v="0"/>
    <s v="Q2"/>
    <x v="4"/>
    <x v="1"/>
    <x v="1"/>
    <x v="2"/>
    <x v="2"/>
    <x v="2"/>
    <n v="3900"/>
    <n v="17000"/>
    <n v="36"/>
    <n v="0.32900000000000001"/>
    <s v="Rejected"/>
    <x v="0"/>
    <n v="0"/>
    <n v="1"/>
    <n v="0"/>
    <m/>
    <n v="2"/>
    <n v="1"/>
    <n v="1"/>
  </r>
  <r>
    <s v="LA-700868"/>
    <d v="2024-05-07T00:00:00"/>
    <x v="0"/>
    <s v="Q2"/>
    <x v="4"/>
    <x v="0"/>
    <x v="3"/>
    <x v="1"/>
    <x v="1"/>
    <x v="1"/>
    <n v="3400"/>
    <n v="24000"/>
    <n v="36"/>
    <n v="0.38"/>
    <s v="Approved"/>
    <x v="1"/>
    <n v="1"/>
    <n v="0"/>
    <n v="24000"/>
    <n v="8.1199999999999994E-2"/>
    <n v="7"/>
    <n v="0"/>
    <n v="1"/>
  </r>
  <r>
    <s v="LA-700869"/>
    <d v="2024-05-07T00:00:00"/>
    <x v="0"/>
    <s v="Q2"/>
    <x v="4"/>
    <x v="1"/>
    <x v="0"/>
    <x v="3"/>
    <x v="1"/>
    <x v="0"/>
    <n v="4400"/>
    <n v="17500"/>
    <n v="60"/>
    <n v="0.311"/>
    <s v="Rejected"/>
    <x v="0"/>
    <n v="0"/>
    <n v="1"/>
    <n v="0"/>
    <m/>
    <n v="2"/>
    <n v="1"/>
    <n v="1"/>
  </r>
  <r>
    <s v="LA-700870"/>
    <d v="2024-05-07T00:00:00"/>
    <x v="0"/>
    <s v="Q2"/>
    <x v="4"/>
    <x v="1"/>
    <x v="1"/>
    <x v="3"/>
    <x v="1"/>
    <x v="2"/>
    <n v="4400"/>
    <n v="14500"/>
    <n v="12"/>
    <n v="0.39900000000000002"/>
    <s v="Rejected"/>
    <x v="0"/>
    <n v="0"/>
    <n v="1"/>
    <n v="0"/>
    <m/>
    <n v="2"/>
    <n v="1"/>
    <n v="1"/>
  </r>
  <r>
    <s v="LA-700871"/>
    <d v="2024-05-07T00:00:00"/>
    <x v="0"/>
    <s v="Q2"/>
    <x v="4"/>
    <x v="3"/>
    <x v="3"/>
    <x v="2"/>
    <x v="0"/>
    <x v="3"/>
    <n v="9800"/>
    <n v="374000"/>
    <n v="180"/>
    <n v="0.44600000000000001"/>
    <s v="Approved"/>
    <x v="1"/>
    <n v="1"/>
    <n v="0"/>
    <n v="374000"/>
    <n v="4.3499999999999997E-2"/>
    <n v="39"/>
    <n v="0"/>
    <n v="1"/>
  </r>
  <r>
    <s v="LA-700872"/>
    <d v="2024-05-08T00:00:00"/>
    <x v="0"/>
    <s v="Q2"/>
    <x v="4"/>
    <x v="1"/>
    <x v="2"/>
    <x v="2"/>
    <x v="0"/>
    <x v="0"/>
    <n v="2900"/>
    <n v="13500"/>
    <n v="60"/>
    <n v="0.23899999999999999"/>
    <s v="Rejected"/>
    <x v="0"/>
    <n v="0"/>
    <n v="1"/>
    <n v="0"/>
    <m/>
    <n v="2"/>
    <n v="1"/>
    <n v="1"/>
  </r>
  <r>
    <s v="LA-700873"/>
    <d v="2024-05-08T00:00:00"/>
    <x v="0"/>
    <s v="Q2"/>
    <x v="4"/>
    <x v="3"/>
    <x v="1"/>
    <x v="1"/>
    <x v="2"/>
    <x v="3"/>
    <n v="5650"/>
    <n v="147500"/>
    <n v="240"/>
    <n v="0.34"/>
    <s v="Approved"/>
    <x v="1"/>
    <n v="1"/>
    <n v="0"/>
    <n v="147500"/>
    <n v="4.1000000000000002E-2"/>
    <n v="4"/>
    <n v="1"/>
    <n v="1"/>
  </r>
  <r>
    <s v="LA-700874"/>
    <d v="2024-05-08T00:00:00"/>
    <x v="0"/>
    <s v="Q2"/>
    <x v="4"/>
    <x v="1"/>
    <x v="3"/>
    <x v="3"/>
    <x v="0"/>
    <x v="0"/>
    <n v="5400"/>
    <n v="10500"/>
    <n v="24"/>
    <n v="0.20799999999999999"/>
    <s v="Approved"/>
    <x v="1"/>
    <n v="1"/>
    <n v="0"/>
    <n v="10500"/>
    <n v="0.1363"/>
    <n v="8"/>
    <n v="0"/>
    <n v="1"/>
  </r>
  <r>
    <s v="LA-700875"/>
    <d v="2024-05-08T00:00:00"/>
    <x v="0"/>
    <s v="Q2"/>
    <x v="4"/>
    <x v="3"/>
    <x v="1"/>
    <x v="4"/>
    <x v="0"/>
    <x v="2"/>
    <n v="8850"/>
    <n v="273500"/>
    <n v="300"/>
    <n v="0.36399999999999999"/>
    <s v="Approved"/>
    <x v="1"/>
    <n v="1"/>
    <n v="0"/>
    <n v="246000"/>
    <n v="9.4E-2"/>
    <n v="6"/>
    <n v="1"/>
    <n v="1"/>
  </r>
  <r>
    <s v="LA-700876"/>
    <d v="2024-05-08T00:00:00"/>
    <x v="0"/>
    <s v="Q2"/>
    <x v="4"/>
    <x v="0"/>
    <x v="3"/>
    <x v="2"/>
    <x v="0"/>
    <x v="1"/>
    <n v="5300"/>
    <n v="36500"/>
    <n v="48"/>
    <n v="0.36699999999999999"/>
    <s v="Approved"/>
    <x v="1"/>
    <n v="1"/>
    <n v="0"/>
    <n v="36500"/>
    <n v="7.9799999999999996E-2"/>
    <n v="6"/>
    <n v="0"/>
    <n v="1"/>
  </r>
  <r>
    <s v="LA-700877"/>
    <d v="2024-05-08T00:00:00"/>
    <x v="0"/>
    <s v="Q2"/>
    <x v="4"/>
    <x v="1"/>
    <x v="3"/>
    <x v="1"/>
    <x v="1"/>
    <x v="1"/>
    <n v="4500"/>
    <n v="25500"/>
    <n v="24"/>
    <n v="0.499"/>
    <s v="Approved"/>
    <x v="1"/>
    <n v="1"/>
    <n v="0"/>
    <n v="25500"/>
    <n v="0.12139999999999999"/>
    <n v="7"/>
    <n v="0"/>
    <n v="1"/>
  </r>
  <r>
    <s v="LA-700878"/>
    <d v="2024-05-08T00:00:00"/>
    <x v="0"/>
    <s v="Q2"/>
    <x v="4"/>
    <x v="2"/>
    <x v="0"/>
    <x v="2"/>
    <x v="2"/>
    <x v="2"/>
    <n v="6350"/>
    <n v="97000"/>
    <n v="24"/>
    <n v="0.80300000000000005"/>
    <s v="Rejected"/>
    <x v="0"/>
    <n v="0"/>
    <n v="1"/>
    <n v="0"/>
    <m/>
    <n v="7"/>
    <n v="1"/>
    <n v="1"/>
  </r>
  <r>
    <s v="LA-700879"/>
    <d v="2024-05-08T00:00:00"/>
    <x v="0"/>
    <s v="Q2"/>
    <x v="4"/>
    <x v="1"/>
    <x v="0"/>
    <x v="1"/>
    <x v="1"/>
    <x v="4"/>
    <n v="4450"/>
    <n v="11000"/>
    <n v="48"/>
    <n v="0.27600000000000002"/>
    <s v="Approved"/>
    <x v="1"/>
    <n v="1"/>
    <n v="0"/>
    <n v="11000"/>
    <n v="0.1186"/>
    <n v="4"/>
    <n v="0"/>
    <n v="1"/>
  </r>
  <r>
    <s v="LA-700880"/>
    <d v="2024-05-09T00:00:00"/>
    <x v="0"/>
    <s v="Q2"/>
    <x v="4"/>
    <x v="3"/>
    <x v="2"/>
    <x v="4"/>
    <x v="2"/>
    <x v="0"/>
    <n v="3550"/>
    <n v="458500"/>
    <n v="240"/>
    <n v="0.98799999999999999"/>
    <s v="Rejected"/>
    <x v="3"/>
    <n v="0"/>
    <n v="1"/>
    <n v="0"/>
    <m/>
    <n v="5"/>
    <n v="1"/>
    <n v="1"/>
  </r>
  <r>
    <s v="LA-700881"/>
    <d v="2024-05-09T00:00:00"/>
    <x v="0"/>
    <s v="Q2"/>
    <x v="4"/>
    <x v="1"/>
    <x v="3"/>
    <x v="3"/>
    <x v="0"/>
    <x v="3"/>
    <n v="7100"/>
    <n v="18500"/>
    <n v="24"/>
    <n v="0.27300000000000002"/>
    <s v="Approved"/>
    <x v="1"/>
    <n v="1"/>
    <n v="0"/>
    <n v="15000"/>
    <n v="0.108"/>
    <n v="3"/>
    <n v="1"/>
    <n v="1"/>
  </r>
  <r>
    <s v="LA-700882"/>
    <d v="2024-05-09T00:00:00"/>
    <x v="0"/>
    <s v="Q2"/>
    <x v="4"/>
    <x v="1"/>
    <x v="2"/>
    <x v="1"/>
    <x v="1"/>
    <x v="0"/>
    <n v="4400"/>
    <n v="25000"/>
    <n v="48"/>
    <n v="0.24"/>
    <s v="Rejected"/>
    <x v="0"/>
    <n v="0"/>
    <n v="1"/>
    <n v="0"/>
    <m/>
    <n v="1"/>
    <n v="1"/>
    <n v="1"/>
  </r>
  <r>
    <s v="LA-700883"/>
    <d v="2024-05-09T00:00:00"/>
    <x v="0"/>
    <s v="Q2"/>
    <x v="4"/>
    <x v="3"/>
    <x v="2"/>
    <x v="0"/>
    <x v="0"/>
    <x v="0"/>
    <n v="8400"/>
    <n v="156000"/>
    <n v="240"/>
    <n v="0.27700000000000002"/>
    <s v="Rejected"/>
    <x v="4"/>
    <n v="0"/>
    <n v="1"/>
    <n v="0"/>
    <m/>
    <n v="17"/>
    <n v="0"/>
    <n v="1"/>
  </r>
  <r>
    <s v="LA-700884"/>
    <d v="2024-05-09T00:00:00"/>
    <x v="0"/>
    <s v="Q2"/>
    <x v="4"/>
    <x v="2"/>
    <x v="2"/>
    <x v="0"/>
    <x v="0"/>
    <x v="4"/>
    <n v="2700"/>
    <n v="67500"/>
    <n v="24"/>
    <n v="1.357"/>
    <s v="Rejected"/>
    <x v="3"/>
    <n v="0"/>
    <n v="1"/>
    <n v="0"/>
    <m/>
    <n v="8"/>
    <n v="1"/>
    <n v="1"/>
  </r>
  <r>
    <s v="LA-700885"/>
    <d v="2024-05-09T00:00:00"/>
    <x v="0"/>
    <s v="Q2"/>
    <x v="4"/>
    <x v="1"/>
    <x v="1"/>
    <x v="1"/>
    <x v="1"/>
    <x v="0"/>
    <n v="5050"/>
    <n v="7500"/>
    <n v="36"/>
    <n v="0.26600000000000001"/>
    <s v="Approved"/>
    <x v="1"/>
    <n v="1"/>
    <n v="0"/>
    <n v="6000"/>
    <n v="0.1467"/>
    <n v="1"/>
    <n v="1"/>
    <n v="1"/>
  </r>
  <r>
    <s v="LA-700886"/>
    <d v="2024-05-09T00:00:00"/>
    <x v="0"/>
    <s v="Q2"/>
    <x v="4"/>
    <x v="1"/>
    <x v="3"/>
    <x v="2"/>
    <x v="2"/>
    <x v="0"/>
    <n v="5150"/>
    <n v="15000"/>
    <n v="36"/>
    <n v="0.19700000000000001"/>
    <s v="Rejected"/>
    <x v="0"/>
    <n v="0"/>
    <n v="1"/>
    <n v="0"/>
    <m/>
    <n v="5"/>
    <n v="0"/>
    <n v="1"/>
  </r>
  <r>
    <s v="LA-700887"/>
    <d v="2024-05-09T00:00:00"/>
    <x v="0"/>
    <s v="Q2"/>
    <x v="4"/>
    <x v="1"/>
    <x v="3"/>
    <x v="1"/>
    <x v="0"/>
    <x v="2"/>
    <n v="3150"/>
    <n v="18500"/>
    <n v="36"/>
    <n v="0.33900000000000002"/>
    <s v="Approved"/>
    <x v="1"/>
    <n v="1"/>
    <n v="0"/>
    <n v="16500"/>
    <n v="0.158"/>
    <n v="8"/>
    <n v="0"/>
    <n v="1"/>
  </r>
  <r>
    <s v="LA-700888"/>
    <d v="2024-05-09T00:00:00"/>
    <x v="0"/>
    <s v="Q2"/>
    <x v="4"/>
    <x v="3"/>
    <x v="0"/>
    <x v="0"/>
    <x v="0"/>
    <x v="0"/>
    <n v="4450"/>
    <n v="221500"/>
    <n v="180"/>
    <n v="0.59399999999999997"/>
    <s v="Withdrawn"/>
    <x v="1"/>
    <n v="0"/>
    <n v="0"/>
    <n v="0"/>
    <m/>
    <n v="12"/>
    <n v="1"/>
    <n v="1"/>
  </r>
  <r>
    <s v="LA-700889"/>
    <d v="2024-05-09T00:00:00"/>
    <x v="0"/>
    <s v="Q2"/>
    <x v="4"/>
    <x v="1"/>
    <x v="1"/>
    <x v="3"/>
    <x v="1"/>
    <x v="1"/>
    <n v="4950"/>
    <n v="9000"/>
    <n v="36"/>
    <n v="0.191"/>
    <s v="Approved"/>
    <x v="1"/>
    <n v="1"/>
    <n v="0"/>
    <n v="9000"/>
    <n v="0.123"/>
    <n v="1"/>
    <n v="1"/>
    <n v="1"/>
  </r>
  <r>
    <s v="LA-700890"/>
    <d v="2024-05-09T00:00:00"/>
    <x v="0"/>
    <s v="Q2"/>
    <x v="4"/>
    <x v="0"/>
    <x v="2"/>
    <x v="2"/>
    <x v="0"/>
    <x v="0"/>
    <n v="3450"/>
    <n v="40000"/>
    <n v="48"/>
    <n v="0.40600000000000003"/>
    <s v="Approved"/>
    <x v="1"/>
    <n v="1"/>
    <n v="0"/>
    <n v="32000"/>
    <n v="9.7100000000000006E-2"/>
    <n v="2"/>
    <n v="1"/>
    <n v="1"/>
  </r>
  <r>
    <s v="LA-700891"/>
    <d v="2024-05-10T00:00:00"/>
    <x v="0"/>
    <s v="Q2"/>
    <x v="4"/>
    <x v="1"/>
    <x v="3"/>
    <x v="2"/>
    <x v="2"/>
    <x v="0"/>
    <n v="6950"/>
    <n v="15000"/>
    <n v="12"/>
    <n v="0.26700000000000002"/>
    <s v="Rejected"/>
    <x v="0"/>
    <n v="0"/>
    <n v="1"/>
    <n v="0"/>
    <m/>
    <n v="6"/>
    <n v="0"/>
    <n v="1"/>
  </r>
  <r>
    <s v="LA-700892"/>
    <d v="2024-05-10T00:00:00"/>
    <x v="0"/>
    <s v="Q2"/>
    <x v="4"/>
    <x v="2"/>
    <x v="1"/>
    <x v="4"/>
    <x v="0"/>
    <x v="2"/>
    <n v="6150"/>
    <n v="55500"/>
    <n v="12"/>
    <n v="0.88800000000000001"/>
    <s v="Rejected"/>
    <x v="0"/>
    <n v="0"/>
    <n v="1"/>
    <n v="0"/>
    <m/>
    <n v="3"/>
    <n v="1"/>
    <n v="1"/>
  </r>
  <r>
    <s v="LA-700893"/>
    <d v="2024-05-10T00:00:00"/>
    <x v="0"/>
    <s v="Q2"/>
    <x v="4"/>
    <x v="2"/>
    <x v="0"/>
    <x v="3"/>
    <x v="0"/>
    <x v="1"/>
    <n v="7150"/>
    <n v="44500"/>
    <n v="24"/>
    <n v="0.47299999999999998"/>
    <s v="Rejected"/>
    <x v="4"/>
    <n v="0"/>
    <n v="1"/>
    <n v="0"/>
    <m/>
    <n v="11"/>
    <n v="0"/>
    <n v="1"/>
  </r>
  <r>
    <s v="LA-700894"/>
    <d v="2024-05-10T00:00:00"/>
    <x v="0"/>
    <s v="Q2"/>
    <x v="4"/>
    <x v="3"/>
    <x v="1"/>
    <x v="3"/>
    <x v="1"/>
    <x v="0"/>
    <n v="2700"/>
    <n v="455000"/>
    <n v="240"/>
    <n v="1.2809999999999999"/>
    <s v="Rejected"/>
    <x v="0"/>
    <n v="0"/>
    <n v="1"/>
    <n v="0"/>
    <m/>
    <n v="6"/>
    <n v="1"/>
    <n v="1"/>
  </r>
  <r>
    <s v="LA-700895"/>
    <d v="2024-05-10T00:00:00"/>
    <x v="0"/>
    <s v="Q2"/>
    <x v="4"/>
    <x v="2"/>
    <x v="1"/>
    <x v="3"/>
    <x v="0"/>
    <x v="1"/>
    <n v="3850"/>
    <n v="61000"/>
    <n v="24"/>
    <n v="0.90600000000000003"/>
    <s v="Rejected"/>
    <x v="3"/>
    <n v="0"/>
    <n v="1"/>
    <n v="0"/>
    <m/>
    <n v="7"/>
    <n v="1"/>
    <n v="1"/>
  </r>
  <r>
    <s v="LA-700896"/>
    <d v="2024-05-10T00:00:00"/>
    <x v="0"/>
    <s v="Q2"/>
    <x v="4"/>
    <x v="1"/>
    <x v="3"/>
    <x v="3"/>
    <x v="0"/>
    <x v="0"/>
    <n v="4150"/>
    <n v="8500"/>
    <n v="60"/>
    <n v="0.21199999999999999"/>
    <s v="Rejected"/>
    <x v="0"/>
    <n v="0"/>
    <n v="1"/>
    <n v="0"/>
    <m/>
    <n v="5"/>
    <n v="0"/>
    <n v="1"/>
  </r>
  <r>
    <s v="LA-700897"/>
    <d v="2024-05-10T00:00:00"/>
    <x v="0"/>
    <s v="Q2"/>
    <x v="4"/>
    <x v="2"/>
    <x v="3"/>
    <x v="3"/>
    <x v="2"/>
    <x v="0"/>
    <n v="7150"/>
    <n v="171000"/>
    <n v="24"/>
    <n v="1.335"/>
    <s v="Rejected"/>
    <x v="3"/>
    <n v="0"/>
    <n v="1"/>
    <n v="0"/>
    <m/>
    <n v="17"/>
    <n v="0"/>
    <n v="1"/>
  </r>
  <r>
    <s v="LA-700898"/>
    <d v="2024-05-11T00:00:00"/>
    <x v="0"/>
    <s v="Q2"/>
    <x v="4"/>
    <x v="1"/>
    <x v="1"/>
    <x v="0"/>
    <x v="2"/>
    <x v="3"/>
    <n v="6600"/>
    <n v="7500"/>
    <n v="24"/>
    <n v="0.16"/>
    <s v="Approved"/>
    <x v="1"/>
    <n v="1"/>
    <n v="0"/>
    <n v="7500"/>
    <n v="0.1079"/>
    <n v="2"/>
    <n v="1"/>
    <n v="1"/>
  </r>
  <r>
    <s v="LA-700899"/>
    <d v="2024-05-11T00:00:00"/>
    <x v="0"/>
    <s v="Q2"/>
    <x v="4"/>
    <x v="1"/>
    <x v="2"/>
    <x v="4"/>
    <x v="1"/>
    <x v="1"/>
    <n v="10250"/>
    <n v="21500"/>
    <n v="60"/>
    <n v="0.22500000000000001"/>
    <s v="Approved"/>
    <x v="1"/>
    <n v="1"/>
    <n v="0"/>
    <n v="21500"/>
    <n v="0.12529999999999999"/>
    <n v="3"/>
    <n v="1"/>
    <n v="1"/>
  </r>
  <r>
    <s v="LA-700900"/>
    <d v="2024-05-11T00:00:00"/>
    <x v="0"/>
    <s v="Q2"/>
    <x v="4"/>
    <x v="0"/>
    <x v="3"/>
    <x v="4"/>
    <x v="2"/>
    <x v="2"/>
    <n v="5450"/>
    <n v="17000"/>
    <n v="36"/>
    <n v="0.311"/>
    <s v="Rejected"/>
    <x v="2"/>
    <n v="0"/>
    <n v="1"/>
    <n v="0"/>
    <m/>
    <n v="7"/>
    <n v="0"/>
    <n v="1"/>
  </r>
  <r>
    <s v="LA-700901"/>
    <d v="2024-05-11T00:00:00"/>
    <x v="0"/>
    <s v="Q2"/>
    <x v="4"/>
    <x v="1"/>
    <x v="0"/>
    <x v="0"/>
    <x v="0"/>
    <x v="1"/>
    <n v="4100"/>
    <n v="25000"/>
    <n v="48"/>
    <n v="0.31"/>
    <s v="Approved"/>
    <x v="1"/>
    <n v="1"/>
    <n v="0"/>
    <n v="25000"/>
    <n v="0.12659999999999999"/>
    <n v="7"/>
    <n v="0"/>
    <n v="1"/>
  </r>
  <r>
    <s v="LA-700902"/>
    <d v="2024-05-11T00:00:00"/>
    <x v="0"/>
    <s v="Q2"/>
    <x v="4"/>
    <x v="0"/>
    <x v="0"/>
    <x v="3"/>
    <x v="2"/>
    <x v="1"/>
    <n v="5400"/>
    <n v="24000"/>
    <n v="60"/>
    <n v="0.19800000000000001"/>
    <s v="Approved"/>
    <x v="1"/>
    <n v="1"/>
    <n v="0"/>
    <n v="19000"/>
    <n v="8.5199999999999998E-2"/>
    <n v="7"/>
    <n v="0"/>
    <n v="1"/>
  </r>
  <r>
    <s v="LA-700903"/>
    <d v="2024-05-11T00:00:00"/>
    <x v="0"/>
    <s v="Q2"/>
    <x v="4"/>
    <x v="1"/>
    <x v="0"/>
    <x v="3"/>
    <x v="2"/>
    <x v="4"/>
    <n v="5500"/>
    <n v="17000"/>
    <n v="48"/>
    <n v="0.32"/>
    <s v="Approved"/>
    <x v="1"/>
    <n v="1"/>
    <n v="0"/>
    <n v="13500"/>
    <n v="0.1129"/>
    <n v="3"/>
    <n v="1"/>
    <n v="1"/>
  </r>
  <r>
    <s v="LA-700904"/>
    <d v="2024-05-11T00:00:00"/>
    <x v="0"/>
    <s v="Q2"/>
    <x v="4"/>
    <x v="1"/>
    <x v="2"/>
    <x v="1"/>
    <x v="2"/>
    <x v="1"/>
    <n v="8600"/>
    <n v="10500"/>
    <n v="48"/>
    <n v="0.23"/>
    <s v="Approved"/>
    <x v="1"/>
    <n v="1"/>
    <n v="0"/>
    <n v="10500"/>
    <n v="0.12740000000000001"/>
    <n v="2"/>
    <n v="1"/>
    <n v="1"/>
  </r>
  <r>
    <s v="LA-700905"/>
    <d v="2024-05-12T00:00:00"/>
    <x v="0"/>
    <s v="Q2"/>
    <x v="4"/>
    <x v="2"/>
    <x v="1"/>
    <x v="3"/>
    <x v="1"/>
    <x v="1"/>
    <n v="4800"/>
    <n v="99000"/>
    <n v="60"/>
    <n v="0.501"/>
    <s v="Approved"/>
    <x v="1"/>
    <n v="1"/>
    <n v="0"/>
    <n v="79000"/>
    <n v="0.1043"/>
    <n v="4"/>
    <n v="1"/>
    <n v="1"/>
  </r>
  <r>
    <s v="LA-700906"/>
    <d v="2024-05-12T00:00:00"/>
    <x v="0"/>
    <s v="Q2"/>
    <x v="4"/>
    <x v="2"/>
    <x v="2"/>
    <x v="2"/>
    <x v="2"/>
    <x v="1"/>
    <n v="4300"/>
    <n v="112500"/>
    <n v="36"/>
    <n v="0.99399999999999999"/>
    <s v="Rejected"/>
    <x v="3"/>
    <n v="0"/>
    <n v="1"/>
    <n v="0"/>
    <m/>
    <n v="4"/>
    <n v="1"/>
    <n v="1"/>
  </r>
  <r>
    <s v="LA-700907"/>
    <d v="2024-05-12T00:00:00"/>
    <x v="0"/>
    <s v="Q2"/>
    <x v="4"/>
    <x v="0"/>
    <x v="2"/>
    <x v="4"/>
    <x v="0"/>
    <x v="4"/>
    <n v="3700"/>
    <n v="20000"/>
    <n v="48"/>
    <n v="0.20499999999999999"/>
    <s v="Approved"/>
    <x v="1"/>
    <n v="1"/>
    <n v="0"/>
    <n v="16000"/>
    <n v="7.6600000000000001E-2"/>
    <n v="2"/>
    <n v="1"/>
    <n v="1"/>
  </r>
  <r>
    <s v="LA-700908"/>
    <d v="2024-05-12T00:00:00"/>
    <x v="0"/>
    <s v="Q2"/>
    <x v="4"/>
    <x v="1"/>
    <x v="2"/>
    <x v="3"/>
    <x v="0"/>
    <x v="3"/>
    <n v="8750"/>
    <n v="13000"/>
    <n v="12"/>
    <n v="0.32600000000000001"/>
    <s v="Approved"/>
    <x v="1"/>
    <n v="1"/>
    <n v="0"/>
    <n v="13000"/>
    <n v="0.1056"/>
    <n v="2"/>
    <n v="1"/>
    <n v="1"/>
  </r>
  <r>
    <s v="LA-700909"/>
    <d v="2024-05-13T00:00:00"/>
    <x v="0"/>
    <s v="Q2"/>
    <x v="4"/>
    <x v="0"/>
    <x v="2"/>
    <x v="2"/>
    <x v="2"/>
    <x v="3"/>
    <n v="11250"/>
    <n v="36000"/>
    <n v="36"/>
    <n v="0.193"/>
    <s v="Approved"/>
    <x v="1"/>
    <n v="1"/>
    <n v="0"/>
    <n v="36000"/>
    <n v="6.3100000000000003E-2"/>
    <n v="3"/>
    <n v="1"/>
    <n v="1"/>
  </r>
  <r>
    <s v="LA-700910"/>
    <d v="2024-05-13T00:00:00"/>
    <x v="0"/>
    <s v="Q2"/>
    <x v="4"/>
    <x v="1"/>
    <x v="2"/>
    <x v="3"/>
    <x v="1"/>
    <x v="4"/>
    <n v="6150"/>
    <n v="3500"/>
    <n v="24"/>
    <n v="0.16900000000000001"/>
    <s v="Approved"/>
    <x v="1"/>
    <n v="1"/>
    <n v="0"/>
    <n v="3000"/>
    <n v="0.11310000000000001"/>
    <n v="2"/>
    <n v="1"/>
    <n v="1"/>
  </r>
  <r>
    <s v="LA-700911"/>
    <d v="2024-05-13T00:00:00"/>
    <x v="0"/>
    <s v="Q2"/>
    <x v="4"/>
    <x v="1"/>
    <x v="2"/>
    <x v="4"/>
    <x v="1"/>
    <x v="3"/>
    <n v="2750"/>
    <n v="13500"/>
    <n v="12"/>
    <n v="0.57599999999999996"/>
    <s v="Approved"/>
    <x v="1"/>
    <n v="1"/>
    <n v="0"/>
    <n v="12000"/>
    <n v="0.1111"/>
    <n v="2"/>
    <n v="1"/>
    <n v="1"/>
  </r>
  <r>
    <s v="LA-700912"/>
    <d v="2024-05-13T00:00:00"/>
    <x v="0"/>
    <s v="Q2"/>
    <x v="4"/>
    <x v="2"/>
    <x v="3"/>
    <x v="3"/>
    <x v="0"/>
    <x v="1"/>
    <n v="6350"/>
    <n v="69500"/>
    <n v="36"/>
    <n v="0.55600000000000005"/>
    <s v="Approved"/>
    <x v="1"/>
    <n v="1"/>
    <n v="0"/>
    <n v="62500"/>
    <n v="0.1053"/>
    <n v="16"/>
    <n v="0"/>
    <n v="1"/>
  </r>
  <r>
    <s v="LA-700913"/>
    <d v="2024-05-13T00:00:00"/>
    <x v="0"/>
    <s v="Q2"/>
    <x v="4"/>
    <x v="0"/>
    <x v="2"/>
    <x v="4"/>
    <x v="0"/>
    <x v="0"/>
    <n v="6200"/>
    <n v="36500"/>
    <n v="48"/>
    <n v="0.29199999999999998"/>
    <s v="Rejected"/>
    <x v="0"/>
    <n v="0"/>
    <n v="1"/>
    <n v="0"/>
    <m/>
    <n v="3"/>
    <n v="1"/>
    <n v="1"/>
  </r>
  <r>
    <s v="LA-700914"/>
    <d v="2024-05-13T00:00:00"/>
    <x v="0"/>
    <s v="Q2"/>
    <x v="4"/>
    <x v="2"/>
    <x v="3"/>
    <x v="2"/>
    <x v="1"/>
    <x v="1"/>
    <n v="4950"/>
    <n v="95500"/>
    <n v="12"/>
    <n v="1.93"/>
    <s v="Withdrawn"/>
    <x v="1"/>
    <n v="0"/>
    <n v="0"/>
    <n v="0"/>
    <m/>
    <n v="19"/>
    <n v="0"/>
    <n v="1"/>
  </r>
  <r>
    <s v="LA-700915"/>
    <d v="2024-05-14T00:00:00"/>
    <x v="0"/>
    <s v="Q2"/>
    <x v="4"/>
    <x v="0"/>
    <x v="3"/>
    <x v="3"/>
    <x v="0"/>
    <x v="4"/>
    <n v="5950"/>
    <n v="28000"/>
    <n v="36"/>
    <n v="0.36599999999999999"/>
    <s v="Approved"/>
    <x v="1"/>
    <n v="1"/>
    <n v="0"/>
    <n v="28000"/>
    <n v="7.8399999999999997E-2"/>
    <n v="7"/>
    <n v="0"/>
    <n v="1"/>
  </r>
  <r>
    <s v="LA-700916"/>
    <d v="2024-05-14T00:00:00"/>
    <x v="0"/>
    <s v="Q2"/>
    <x v="4"/>
    <x v="0"/>
    <x v="2"/>
    <x v="0"/>
    <x v="0"/>
    <x v="4"/>
    <n v="7600"/>
    <n v="64500"/>
    <n v="48"/>
    <n v="0.30099999999999999"/>
    <s v="Rejected"/>
    <x v="4"/>
    <n v="0"/>
    <n v="1"/>
    <n v="0"/>
    <m/>
    <n v="8"/>
    <n v="0"/>
    <n v="1"/>
  </r>
  <r>
    <s v="LA-700917"/>
    <d v="2024-05-14T00:00:00"/>
    <x v="0"/>
    <s v="Q2"/>
    <x v="4"/>
    <x v="3"/>
    <x v="2"/>
    <x v="3"/>
    <x v="1"/>
    <x v="1"/>
    <n v="4150"/>
    <n v="164000"/>
    <n v="240"/>
    <n v="0.46899999999999997"/>
    <s v="Rejected"/>
    <x v="3"/>
    <n v="0"/>
    <n v="1"/>
    <n v="0"/>
    <m/>
    <n v="6"/>
    <n v="1"/>
    <n v="1"/>
  </r>
  <r>
    <s v="LA-700918"/>
    <d v="2024-05-14T00:00:00"/>
    <x v="0"/>
    <s v="Q2"/>
    <x v="4"/>
    <x v="1"/>
    <x v="1"/>
    <x v="3"/>
    <x v="0"/>
    <x v="1"/>
    <n v="3050"/>
    <n v="9500"/>
    <n v="48"/>
    <n v="0.217"/>
    <s v="Approved"/>
    <x v="1"/>
    <n v="1"/>
    <n v="0"/>
    <n v="8500"/>
    <n v="0.1239"/>
    <n v="1"/>
    <n v="1"/>
    <n v="1"/>
  </r>
  <r>
    <s v="LA-700919"/>
    <d v="2024-05-14T00:00:00"/>
    <x v="0"/>
    <s v="Q2"/>
    <x v="4"/>
    <x v="1"/>
    <x v="1"/>
    <x v="3"/>
    <x v="0"/>
    <x v="1"/>
    <n v="4500"/>
    <n v="13000"/>
    <n v="12"/>
    <n v="0.504"/>
    <s v="Approved"/>
    <x v="1"/>
    <n v="1"/>
    <n v="0"/>
    <n v="10500"/>
    <n v="0.12809999999999999"/>
    <n v="1"/>
    <n v="1"/>
    <n v="1"/>
  </r>
  <r>
    <s v="LA-700920"/>
    <d v="2024-05-14T00:00:00"/>
    <x v="0"/>
    <s v="Q2"/>
    <x v="4"/>
    <x v="0"/>
    <x v="0"/>
    <x v="2"/>
    <x v="2"/>
    <x v="1"/>
    <n v="5400"/>
    <n v="24000"/>
    <n v="60"/>
    <n v="0.3"/>
    <s v="Rejected"/>
    <x v="2"/>
    <n v="0"/>
    <n v="1"/>
    <n v="0"/>
    <m/>
    <n v="4"/>
    <n v="1"/>
    <n v="1"/>
  </r>
  <r>
    <s v="LA-700921"/>
    <d v="2024-05-14T00:00:00"/>
    <x v="0"/>
    <s v="Q2"/>
    <x v="4"/>
    <x v="3"/>
    <x v="0"/>
    <x v="4"/>
    <x v="0"/>
    <x v="4"/>
    <n v="4650"/>
    <n v="242500"/>
    <n v="300"/>
    <n v="0.51700000000000002"/>
    <s v="Approved"/>
    <x v="1"/>
    <n v="1"/>
    <n v="0"/>
    <n v="242500"/>
    <n v="4.87E-2"/>
    <n v="7"/>
    <n v="1"/>
    <n v="1"/>
  </r>
  <r>
    <s v="LA-700922"/>
    <d v="2024-05-14T00:00:00"/>
    <x v="0"/>
    <s v="Q2"/>
    <x v="4"/>
    <x v="1"/>
    <x v="3"/>
    <x v="2"/>
    <x v="1"/>
    <x v="0"/>
    <n v="2850"/>
    <n v="7500"/>
    <n v="60"/>
    <n v="0.20699999999999999"/>
    <s v="Approved"/>
    <x v="1"/>
    <n v="1"/>
    <n v="0"/>
    <n v="6000"/>
    <n v="0.14749999999999999"/>
    <n v="8"/>
    <n v="0"/>
    <n v="1"/>
  </r>
  <r>
    <s v="LA-700923"/>
    <d v="2024-05-15T00:00:00"/>
    <x v="0"/>
    <s v="Q2"/>
    <x v="4"/>
    <x v="1"/>
    <x v="3"/>
    <x v="2"/>
    <x v="0"/>
    <x v="4"/>
    <n v="4950"/>
    <n v="10500"/>
    <n v="24"/>
    <n v="0.247"/>
    <s v="Approved"/>
    <x v="1"/>
    <n v="1"/>
    <n v="0"/>
    <n v="10500"/>
    <n v="0.11559999999999999"/>
    <n v="7"/>
    <n v="0"/>
    <n v="1"/>
  </r>
  <r>
    <s v="LA-700924"/>
    <d v="2024-05-15T00:00:00"/>
    <x v="0"/>
    <s v="Q2"/>
    <x v="4"/>
    <x v="0"/>
    <x v="3"/>
    <x v="3"/>
    <x v="1"/>
    <x v="0"/>
    <n v="3150"/>
    <n v="31000"/>
    <n v="48"/>
    <n v="0.30199999999999999"/>
    <s v="Approved"/>
    <x v="1"/>
    <n v="1"/>
    <n v="0"/>
    <n v="31000"/>
    <n v="9.4799999999999995E-2"/>
    <n v="5"/>
    <n v="0"/>
    <n v="1"/>
  </r>
  <r>
    <s v="LA-700925"/>
    <d v="2024-05-15T00:00:00"/>
    <x v="0"/>
    <s v="Q2"/>
    <x v="4"/>
    <x v="0"/>
    <x v="3"/>
    <x v="4"/>
    <x v="0"/>
    <x v="0"/>
    <n v="6550"/>
    <n v="41500"/>
    <n v="60"/>
    <n v="0.26200000000000001"/>
    <s v="Approved"/>
    <x v="1"/>
    <n v="1"/>
    <n v="0"/>
    <n v="37500"/>
    <n v="9.4899999999999998E-2"/>
    <n v="5"/>
    <n v="0"/>
    <n v="1"/>
  </r>
  <r>
    <s v="LA-700926"/>
    <d v="2024-05-15T00:00:00"/>
    <x v="0"/>
    <s v="Q2"/>
    <x v="4"/>
    <x v="1"/>
    <x v="3"/>
    <x v="2"/>
    <x v="1"/>
    <x v="1"/>
    <n v="3600"/>
    <n v="5000"/>
    <n v="24"/>
    <n v="0.253"/>
    <s v="Approved"/>
    <x v="1"/>
    <n v="1"/>
    <n v="0"/>
    <n v="4000"/>
    <n v="0.12520000000000001"/>
    <n v="5"/>
    <n v="0"/>
    <n v="1"/>
  </r>
  <r>
    <s v="LA-700927"/>
    <d v="2024-05-15T00:00:00"/>
    <x v="0"/>
    <s v="Q2"/>
    <x v="4"/>
    <x v="0"/>
    <x v="1"/>
    <x v="4"/>
    <x v="0"/>
    <x v="3"/>
    <n v="6100"/>
    <n v="27500"/>
    <n v="36"/>
    <n v="0.22700000000000001"/>
    <s v="Approved"/>
    <x v="1"/>
    <n v="1"/>
    <n v="0"/>
    <n v="27500"/>
    <n v="5.9400000000000001E-2"/>
    <n v="2"/>
    <n v="1"/>
    <n v="1"/>
  </r>
  <r>
    <s v="LA-700928"/>
    <d v="2024-05-15T00:00:00"/>
    <x v="0"/>
    <s v="Q2"/>
    <x v="4"/>
    <x v="3"/>
    <x v="3"/>
    <x v="2"/>
    <x v="1"/>
    <x v="1"/>
    <n v="6100"/>
    <n v="197500"/>
    <n v="300"/>
    <n v="0.41"/>
    <s v="Approved"/>
    <x v="1"/>
    <n v="1"/>
    <n v="0"/>
    <n v="197500"/>
    <n v="5.3600000000000002E-2"/>
    <n v="17"/>
    <n v="0"/>
    <n v="1"/>
  </r>
  <r>
    <s v="LA-700929"/>
    <d v="2024-05-15T00:00:00"/>
    <x v="0"/>
    <s v="Q2"/>
    <x v="4"/>
    <x v="3"/>
    <x v="2"/>
    <x v="3"/>
    <x v="0"/>
    <x v="4"/>
    <n v="4100"/>
    <n v="648000"/>
    <n v="240"/>
    <n v="1.1659999999999999"/>
    <s v="Rejected"/>
    <x v="3"/>
    <n v="0"/>
    <n v="1"/>
    <n v="0"/>
    <m/>
    <n v="9"/>
    <n v="1"/>
    <n v="1"/>
  </r>
  <r>
    <s v="LA-700930"/>
    <d v="2024-05-15T00:00:00"/>
    <x v="0"/>
    <s v="Q2"/>
    <x v="4"/>
    <x v="3"/>
    <x v="3"/>
    <x v="2"/>
    <x v="0"/>
    <x v="1"/>
    <n v="3500"/>
    <n v="338500"/>
    <n v="300"/>
    <n v="0.754"/>
    <s v="Rejected"/>
    <x v="3"/>
    <n v="0"/>
    <n v="1"/>
    <n v="0"/>
    <m/>
    <n v="23"/>
    <n v="0"/>
    <n v="1"/>
  </r>
  <r>
    <s v="LA-700931"/>
    <d v="2024-05-15T00:00:00"/>
    <x v="0"/>
    <s v="Q2"/>
    <x v="4"/>
    <x v="1"/>
    <x v="2"/>
    <x v="4"/>
    <x v="1"/>
    <x v="4"/>
    <n v="10300"/>
    <n v="9000"/>
    <n v="36"/>
    <n v="0.186"/>
    <s v="Approved"/>
    <x v="1"/>
    <n v="1"/>
    <n v="0"/>
    <n v="9000"/>
    <n v="0.1177"/>
    <n v="2"/>
    <n v="1"/>
    <n v="1"/>
  </r>
  <r>
    <s v="LA-700932"/>
    <d v="2024-05-15T00:00:00"/>
    <x v="0"/>
    <s v="Q2"/>
    <x v="4"/>
    <x v="1"/>
    <x v="3"/>
    <x v="2"/>
    <x v="1"/>
    <x v="1"/>
    <n v="5150"/>
    <n v="4500"/>
    <n v="12"/>
    <n v="0.161"/>
    <s v="Approved"/>
    <x v="1"/>
    <n v="1"/>
    <n v="0"/>
    <n v="3500"/>
    <n v="0.123"/>
    <n v="7"/>
    <n v="0"/>
    <n v="1"/>
  </r>
  <r>
    <s v="LA-700933"/>
    <d v="2024-05-15T00:00:00"/>
    <x v="0"/>
    <s v="Q2"/>
    <x v="4"/>
    <x v="3"/>
    <x v="1"/>
    <x v="4"/>
    <x v="0"/>
    <x v="0"/>
    <n v="6900"/>
    <n v="252500"/>
    <n v="240"/>
    <n v="0.437"/>
    <s v="Approved"/>
    <x v="1"/>
    <n v="1"/>
    <n v="0"/>
    <n v="252500"/>
    <n v="7.51E-2"/>
    <n v="9"/>
    <n v="1"/>
    <n v="1"/>
  </r>
  <r>
    <s v="LA-700934"/>
    <d v="2024-05-15T00:00:00"/>
    <x v="0"/>
    <s v="Q2"/>
    <x v="4"/>
    <x v="1"/>
    <x v="2"/>
    <x v="2"/>
    <x v="1"/>
    <x v="2"/>
    <n v="9750"/>
    <n v="10000"/>
    <n v="36"/>
    <n v="0.26"/>
    <s v="Approved"/>
    <x v="1"/>
    <n v="1"/>
    <n v="0"/>
    <n v="10000"/>
    <n v="0.15909999999999999"/>
    <n v="2"/>
    <n v="1"/>
    <n v="1"/>
  </r>
  <r>
    <s v="LA-700935"/>
    <d v="2024-05-16T00:00:00"/>
    <x v="0"/>
    <s v="Q2"/>
    <x v="4"/>
    <x v="2"/>
    <x v="2"/>
    <x v="3"/>
    <x v="2"/>
    <x v="4"/>
    <n v="5250"/>
    <n v="56000"/>
    <n v="60"/>
    <n v="0.34699999999999998"/>
    <s v="Approved"/>
    <x v="1"/>
    <n v="1"/>
    <n v="0"/>
    <n v="56000"/>
    <n v="9.8799999999999999E-2"/>
    <n v="4"/>
    <n v="1"/>
    <n v="1"/>
  </r>
  <r>
    <s v="LA-700936"/>
    <d v="2024-05-16T00:00:00"/>
    <x v="0"/>
    <s v="Q2"/>
    <x v="4"/>
    <x v="0"/>
    <x v="3"/>
    <x v="3"/>
    <x v="1"/>
    <x v="3"/>
    <n v="6850"/>
    <n v="18000"/>
    <n v="60"/>
    <n v="0.188"/>
    <s v="Approved"/>
    <x v="1"/>
    <n v="1"/>
    <n v="0"/>
    <n v="18000"/>
    <n v="6.9400000000000003E-2"/>
    <n v="5"/>
    <n v="0"/>
    <n v="1"/>
  </r>
  <r>
    <s v="LA-700937"/>
    <d v="2024-05-16T00:00:00"/>
    <x v="0"/>
    <s v="Q2"/>
    <x v="4"/>
    <x v="0"/>
    <x v="3"/>
    <x v="3"/>
    <x v="1"/>
    <x v="2"/>
    <n v="4200"/>
    <n v="28000"/>
    <n v="36"/>
    <n v="0.378"/>
    <s v="Approved"/>
    <x v="1"/>
    <n v="1"/>
    <n v="0"/>
    <n v="22500"/>
    <n v="0.11749999999999999"/>
    <n v="9"/>
    <n v="0"/>
    <n v="1"/>
  </r>
  <r>
    <s v="LA-700938"/>
    <d v="2024-05-16T00:00:00"/>
    <x v="0"/>
    <s v="Q2"/>
    <x v="4"/>
    <x v="0"/>
    <x v="2"/>
    <x v="2"/>
    <x v="0"/>
    <x v="0"/>
    <n v="5350"/>
    <n v="13500"/>
    <n v="60"/>
    <n v="0.24099999999999999"/>
    <s v="Rejected"/>
    <x v="0"/>
    <n v="0"/>
    <n v="1"/>
    <n v="0"/>
    <m/>
    <n v="4"/>
    <n v="1"/>
    <n v="1"/>
  </r>
  <r>
    <s v="LA-700939"/>
    <d v="2024-05-16T00:00:00"/>
    <x v="0"/>
    <s v="Q2"/>
    <x v="4"/>
    <x v="2"/>
    <x v="3"/>
    <x v="4"/>
    <x v="0"/>
    <x v="1"/>
    <n v="2650"/>
    <n v="89500"/>
    <n v="60"/>
    <n v="0.84599999999999997"/>
    <s v="Withdrawn"/>
    <x v="1"/>
    <n v="0"/>
    <n v="0"/>
    <n v="0"/>
    <m/>
    <n v="23"/>
    <n v="0"/>
    <n v="1"/>
  </r>
  <r>
    <s v="LA-700940"/>
    <d v="2024-05-16T00:00:00"/>
    <x v="0"/>
    <s v="Q2"/>
    <x v="4"/>
    <x v="2"/>
    <x v="1"/>
    <x v="4"/>
    <x v="2"/>
    <x v="1"/>
    <n v="7500"/>
    <n v="72500"/>
    <n v="60"/>
    <n v="0.39600000000000002"/>
    <s v="Approved"/>
    <x v="1"/>
    <n v="1"/>
    <n v="0"/>
    <n v="72500"/>
    <n v="0.1066"/>
    <n v="12"/>
    <n v="0"/>
    <n v="1"/>
  </r>
  <r>
    <s v="LA-700941"/>
    <d v="2024-05-16T00:00:00"/>
    <x v="0"/>
    <s v="Q2"/>
    <x v="4"/>
    <x v="1"/>
    <x v="1"/>
    <x v="3"/>
    <x v="1"/>
    <x v="0"/>
    <n v="5550"/>
    <n v="3000"/>
    <n v="24"/>
    <n v="0.23"/>
    <s v="Approved"/>
    <x v="1"/>
    <n v="1"/>
    <n v="0"/>
    <n v="3000"/>
    <n v="0.13789999999999999"/>
    <n v="2"/>
    <n v="1"/>
    <n v="1"/>
  </r>
  <r>
    <s v="LA-700942"/>
    <d v="2024-05-16T00:00:00"/>
    <x v="0"/>
    <s v="Q2"/>
    <x v="4"/>
    <x v="2"/>
    <x v="3"/>
    <x v="3"/>
    <x v="0"/>
    <x v="1"/>
    <n v="6800"/>
    <n v="77500"/>
    <n v="24"/>
    <n v="0.6"/>
    <s v="Approved"/>
    <x v="1"/>
    <n v="1"/>
    <n v="0"/>
    <n v="77500"/>
    <n v="0.1036"/>
    <n v="10"/>
    <n v="1"/>
    <n v="1"/>
  </r>
  <r>
    <s v="LA-700943"/>
    <d v="2024-05-16T00:00:00"/>
    <x v="0"/>
    <s v="Q2"/>
    <x v="4"/>
    <x v="0"/>
    <x v="3"/>
    <x v="2"/>
    <x v="0"/>
    <x v="1"/>
    <n v="3500"/>
    <n v="25000"/>
    <n v="36"/>
    <n v="0.39100000000000001"/>
    <s v="Approved"/>
    <x v="1"/>
    <n v="1"/>
    <n v="0"/>
    <n v="25000"/>
    <n v="8.1900000000000001E-2"/>
    <n v="9"/>
    <n v="0"/>
    <n v="1"/>
  </r>
  <r>
    <s v="LA-700944"/>
    <d v="2024-05-17T00:00:00"/>
    <x v="0"/>
    <s v="Q2"/>
    <x v="4"/>
    <x v="1"/>
    <x v="3"/>
    <x v="1"/>
    <x v="1"/>
    <x v="2"/>
    <n v="6150"/>
    <n v="13000"/>
    <n v="48"/>
    <n v="0.113"/>
    <s v="Rejected"/>
    <x v="0"/>
    <n v="0"/>
    <n v="1"/>
    <n v="0"/>
    <m/>
    <n v="5"/>
    <n v="0"/>
    <n v="1"/>
  </r>
  <r>
    <s v="LA-700945"/>
    <d v="2024-05-17T00:00:00"/>
    <x v="0"/>
    <s v="Q2"/>
    <x v="4"/>
    <x v="0"/>
    <x v="2"/>
    <x v="3"/>
    <x v="1"/>
    <x v="0"/>
    <n v="10000"/>
    <n v="25000"/>
    <n v="48"/>
    <n v="0.189"/>
    <s v="Rejected"/>
    <x v="0"/>
    <n v="0"/>
    <n v="1"/>
    <n v="0"/>
    <m/>
    <n v="3"/>
    <n v="1"/>
    <n v="1"/>
  </r>
  <r>
    <s v="LA-700946"/>
    <d v="2024-05-17T00:00:00"/>
    <x v="0"/>
    <s v="Q2"/>
    <x v="4"/>
    <x v="1"/>
    <x v="1"/>
    <x v="3"/>
    <x v="0"/>
    <x v="4"/>
    <n v="6650"/>
    <n v="10000"/>
    <n v="48"/>
    <n v="0.245"/>
    <s v="Approved"/>
    <x v="1"/>
    <n v="1"/>
    <n v="0"/>
    <n v="10000"/>
    <n v="0.11459999999999999"/>
    <n v="2"/>
    <n v="1"/>
    <n v="1"/>
  </r>
  <r>
    <s v="LA-700947"/>
    <d v="2024-05-17T00:00:00"/>
    <x v="0"/>
    <s v="Q2"/>
    <x v="4"/>
    <x v="1"/>
    <x v="0"/>
    <x v="1"/>
    <x v="1"/>
    <x v="4"/>
    <n v="6400"/>
    <n v="8500"/>
    <n v="48"/>
    <n v="0.17899999999999999"/>
    <s v="Rejected"/>
    <x v="4"/>
    <n v="0"/>
    <n v="1"/>
    <n v="0"/>
    <m/>
    <n v="7"/>
    <n v="0"/>
    <n v="1"/>
  </r>
  <r>
    <s v="LA-700948"/>
    <d v="2024-05-17T00:00:00"/>
    <x v="0"/>
    <s v="Q2"/>
    <x v="4"/>
    <x v="0"/>
    <x v="3"/>
    <x v="2"/>
    <x v="0"/>
    <x v="1"/>
    <n v="8050"/>
    <n v="50000"/>
    <n v="60"/>
    <n v="0.223"/>
    <s v="Approved"/>
    <x v="1"/>
    <n v="1"/>
    <n v="0"/>
    <n v="40000"/>
    <n v="7.8399999999999997E-2"/>
    <n v="5"/>
    <n v="0"/>
    <n v="1"/>
  </r>
  <r>
    <s v="LA-700949"/>
    <d v="2024-05-17T00:00:00"/>
    <x v="0"/>
    <s v="Q2"/>
    <x v="4"/>
    <x v="0"/>
    <x v="2"/>
    <x v="2"/>
    <x v="2"/>
    <x v="2"/>
    <n v="5800"/>
    <n v="27000"/>
    <n v="36"/>
    <n v="0.28399999999999997"/>
    <s v="Approved"/>
    <x v="1"/>
    <n v="1"/>
    <n v="0"/>
    <n v="24500"/>
    <n v="0.11899999999999999"/>
    <n v="2"/>
    <n v="1"/>
    <n v="1"/>
  </r>
  <r>
    <s v="LA-700950"/>
    <d v="2024-05-17T00:00:00"/>
    <x v="0"/>
    <s v="Q2"/>
    <x v="4"/>
    <x v="1"/>
    <x v="3"/>
    <x v="2"/>
    <x v="1"/>
    <x v="0"/>
    <n v="14450"/>
    <n v="24500"/>
    <n v="24"/>
    <n v="0.221"/>
    <s v="Approved"/>
    <x v="1"/>
    <n v="1"/>
    <n v="0"/>
    <n v="24500"/>
    <n v="0.14199999999999999"/>
    <n v="4"/>
    <n v="0"/>
    <n v="1"/>
  </r>
  <r>
    <s v="LA-700951"/>
    <d v="2024-05-18T00:00:00"/>
    <x v="0"/>
    <s v="Q2"/>
    <x v="4"/>
    <x v="0"/>
    <x v="1"/>
    <x v="3"/>
    <x v="0"/>
    <x v="4"/>
    <n v="3100"/>
    <n v="75500"/>
    <n v="60"/>
    <n v="0.64200000000000002"/>
    <s v="Approved"/>
    <x v="1"/>
    <n v="1"/>
    <n v="0"/>
    <n v="75500"/>
    <n v="7.0699999999999999E-2"/>
    <n v="2"/>
    <n v="1"/>
    <n v="1"/>
  </r>
  <r>
    <s v="LA-700952"/>
    <d v="2024-05-18T00:00:00"/>
    <x v="0"/>
    <s v="Q2"/>
    <x v="4"/>
    <x v="2"/>
    <x v="3"/>
    <x v="2"/>
    <x v="2"/>
    <x v="3"/>
    <n v="6250"/>
    <n v="69000"/>
    <n v="60"/>
    <n v="0.40300000000000002"/>
    <s v="Approved"/>
    <x v="1"/>
    <n v="1"/>
    <n v="0"/>
    <n v="69000"/>
    <n v="8.8400000000000006E-2"/>
    <n v="14"/>
    <n v="0"/>
    <n v="1"/>
  </r>
  <r>
    <s v="LA-700953"/>
    <d v="2024-05-18T00:00:00"/>
    <x v="0"/>
    <s v="Q2"/>
    <x v="4"/>
    <x v="1"/>
    <x v="3"/>
    <x v="0"/>
    <x v="0"/>
    <x v="1"/>
    <n v="6300"/>
    <n v="18500"/>
    <n v="60"/>
    <n v="0.29199999999999998"/>
    <s v="Approved"/>
    <x v="1"/>
    <n v="1"/>
    <n v="0"/>
    <n v="18500"/>
    <n v="0.122"/>
    <n v="7"/>
    <n v="0"/>
    <n v="1"/>
  </r>
  <r>
    <s v="LA-700954"/>
    <d v="2024-05-18T00:00:00"/>
    <x v="0"/>
    <s v="Q2"/>
    <x v="4"/>
    <x v="2"/>
    <x v="3"/>
    <x v="1"/>
    <x v="1"/>
    <x v="1"/>
    <n v="7300"/>
    <n v="128000"/>
    <n v="12"/>
    <n v="1.643"/>
    <s v="Rejected"/>
    <x v="3"/>
    <n v="0"/>
    <n v="1"/>
    <n v="0"/>
    <m/>
    <n v="16"/>
    <n v="0"/>
    <n v="1"/>
  </r>
  <r>
    <s v="LA-700955"/>
    <d v="2024-05-18T00:00:00"/>
    <x v="0"/>
    <s v="Q2"/>
    <x v="4"/>
    <x v="0"/>
    <x v="2"/>
    <x v="4"/>
    <x v="0"/>
    <x v="4"/>
    <n v="11550"/>
    <n v="33000"/>
    <n v="48"/>
    <n v="0.25600000000000001"/>
    <s v="Approved"/>
    <x v="1"/>
    <n v="1"/>
    <n v="0"/>
    <n v="33000"/>
    <n v="7.6700000000000004E-2"/>
    <n v="2"/>
    <n v="1"/>
    <n v="1"/>
  </r>
  <r>
    <s v="LA-700956"/>
    <d v="2024-05-18T00:00:00"/>
    <x v="0"/>
    <s v="Q2"/>
    <x v="4"/>
    <x v="0"/>
    <x v="1"/>
    <x v="2"/>
    <x v="0"/>
    <x v="4"/>
    <n v="3350"/>
    <n v="16500"/>
    <n v="36"/>
    <n v="0.32700000000000001"/>
    <s v="Approved"/>
    <x v="1"/>
    <n v="1"/>
    <n v="0"/>
    <n v="16500"/>
    <n v="7.2499999999999995E-2"/>
    <n v="3"/>
    <n v="1"/>
    <n v="1"/>
  </r>
  <r>
    <s v="LA-700957"/>
    <d v="2024-05-18T00:00:00"/>
    <x v="0"/>
    <s v="Q2"/>
    <x v="4"/>
    <x v="3"/>
    <x v="3"/>
    <x v="2"/>
    <x v="0"/>
    <x v="2"/>
    <n v="3950"/>
    <n v="186500"/>
    <n v="240"/>
    <n v="0.55200000000000005"/>
    <s v="Rejected"/>
    <x v="0"/>
    <n v="0"/>
    <n v="1"/>
    <n v="0"/>
    <m/>
    <n v="14"/>
    <n v="1"/>
    <n v="1"/>
  </r>
  <r>
    <s v="LA-700958"/>
    <d v="2024-05-19T00:00:00"/>
    <x v="0"/>
    <s v="Q2"/>
    <x v="4"/>
    <x v="1"/>
    <x v="3"/>
    <x v="1"/>
    <x v="1"/>
    <x v="1"/>
    <n v="8850"/>
    <n v="12000"/>
    <n v="36"/>
    <n v="0.111"/>
    <s v="Approved"/>
    <x v="1"/>
    <n v="1"/>
    <n v="0"/>
    <n v="11000"/>
    <n v="0.1242"/>
    <n v="4"/>
    <n v="0"/>
    <n v="1"/>
  </r>
  <r>
    <s v="LA-700959"/>
    <d v="2024-05-19T00:00:00"/>
    <x v="0"/>
    <s v="Q2"/>
    <x v="4"/>
    <x v="1"/>
    <x v="3"/>
    <x v="3"/>
    <x v="0"/>
    <x v="0"/>
    <n v="4900"/>
    <n v="11500"/>
    <n v="60"/>
    <n v="0.16800000000000001"/>
    <s v="Approved"/>
    <x v="1"/>
    <n v="1"/>
    <n v="0"/>
    <n v="9000"/>
    <n v="0.14360000000000001"/>
    <n v="4"/>
    <n v="0"/>
    <n v="1"/>
  </r>
  <r>
    <s v="LA-700960"/>
    <d v="2024-05-19T00:00:00"/>
    <x v="0"/>
    <s v="Q2"/>
    <x v="4"/>
    <x v="0"/>
    <x v="1"/>
    <x v="1"/>
    <x v="0"/>
    <x v="3"/>
    <n v="3850"/>
    <n v="20500"/>
    <n v="36"/>
    <n v="0.40500000000000003"/>
    <s v="Approved"/>
    <x v="1"/>
    <n v="1"/>
    <n v="0"/>
    <n v="16500"/>
    <n v="5.9900000000000002E-2"/>
    <n v="2"/>
    <n v="1"/>
    <n v="1"/>
  </r>
  <r>
    <s v="LA-700961"/>
    <d v="2024-05-19T00:00:00"/>
    <x v="0"/>
    <s v="Q2"/>
    <x v="4"/>
    <x v="2"/>
    <x v="3"/>
    <x v="3"/>
    <x v="2"/>
    <x v="1"/>
    <n v="5000"/>
    <n v="92000"/>
    <n v="36"/>
    <n v="0.71"/>
    <s v="Rejected"/>
    <x v="3"/>
    <n v="0"/>
    <n v="1"/>
    <n v="0"/>
    <m/>
    <n v="15"/>
    <n v="0"/>
    <n v="1"/>
  </r>
  <r>
    <s v="LA-700962"/>
    <d v="2024-05-19T00:00:00"/>
    <x v="0"/>
    <s v="Q2"/>
    <x v="4"/>
    <x v="1"/>
    <x v="2"/>
    <x v="2"/>
    <x v="0"/>
    <x v="3"/>
    <n v="4900"/>
    <n v="17500"/>
    <n v="24"/>
    <n v="0.252"/>
    <s v="Approved"/>
    <x v="1"/>
    <n v="1"/>
    <n v="0"/>
    <n v="17500"/>
    <n v="0.1091"/>
    <n v="2"/>
    <n v="1"/>
    <n v="1"/>
  </r>
  <r>
    <s v="LA-700963"/>
    <d v="2024-05-20T00:00:00"/>
    <x v="0"/>
    <s v="Q2"/>
    <x v="4"/>
    <x v="0"/>
    <x v="1"/>
    <x v="1"/>
    <x v="0"/>
    <x v="1"/>
    <n v="4500"/>
    <n v="24000"/>
    <n v="48"/>
    <n v="0.31900000000000001"/>
    <s v="Approved"/>
    <x v="1"/>
    <n v="1"/>
    <n v="0"/>
    <n v="24000"/>
    <n v="7.8299999999999995E-2"/>
    <n v="2"/>
    <n v="1"/>
    <n v="1"/>
  </r>
  <r>
    <s v="LA-700964"/>
    <d v="2024-05-20T00:00:00"/>
    <x v="0"/>
    <s v="Q2"/>
    <x v="4"/>
    <x v="1"/>
    <x v="0"/>
    <x v="2"/>
    <x v="1"/>
    <x v="1"/>
    <n v="5350"/>
    <n v="6000"/>
    <n v="36"/>
    <n v="0.24"/>
    <s v="Approved"/>
    <x v="1"/>
    <n v="1"/>
    <n v="0"/>
    <n v="6000"/>
    <n v="0.1244"/>
    <n v="5"/>
    <n v="0"/>
    <n v="1"/>
  </r>
  <r>
    <s v="LA-700965"/>
    <d v="2024-05-20T00:00:00"/>
    <x v="0"/>
    <s v="Q2"/>
    <x v="4"/>
    <x v="1"/>
    <x v="3"/>
    <x v="2"/>
    <x v="0"/>
    <x v="1"/>
    <n v="2850"/>
    <n v="18500"/>
    <n v="36"/>
    <n v="0.42099999999999999"/>
    <s v="Approved"/>
    <x v="1"/>
    <n v="1"/>
    <n v="0"/>
    <n v="18500"/>
    <n v="0.12839999999999999"/>
    <n v="7"/>
    <n v="0"/>
    <n v="1"/>
  </r>
  <r>
    <s v="LA-700966"/>
    <d v="2024-05-20T00:00:00"/>
    <x v="0"/>
    <s v="Q2"/>
    <x v="4"/>
    <x v="3"/>
    <x v="2"/>
    <x v="1"/>
    <x v="0"/>
    <x v="1"/>
    <n v="12650"/>
    <n v="410500"/>
    <n v="300"/>
    <n v="0.253"/>
    <s v="Approved"/>
    <x v="1"/>
    <n v="1"/>
    <n v="0"/>
    <n v="410500"/>
    <n v="5.8599999999999999E-2"/>
    <n v="10"/>
    <n v="1"/>
    <n v="1"/>
  </r>
  <r>
    <s v="LA-700967"/>
    <d v="2024-05-20T00:00:00"/>
    <x v="0"/>
    <s v="Q2"/>
    <x v="4"/>
    <x v="1"/>
    <x v="0"/>
    <x v="1"/>
    <x v="1"/>
    <x v="4"/>
    <n v="3750"/>
    <n v="7500"/>
    <n v="48"/>
    <n v="0.183"/>
    <s v="Approved"/>
    <x v="1"/>
    <n v="1"/>
    <n v="0"/>
    <n v="7500"/>
    <n v="0.1138"/>
    <n v="3"/>
    <n v="1"/>
    <n v="1"/>
  </r>
  <r>
    <s v="LA-700968"/>
    <d v="2024-05-21T00:00:00"/>
    <x v="0"/>
    <s v="Q2"/>
    <x v="4"/>
    <x v="2"/>
    <x v="3"/>
    <x v="2"/>
    <x v="0"/>
    <x v="4"/>
    <n v="4800"/>
    <n v="30000"/>
    <n v="12"/>
    <n v="0.627"/>
    <s v="Approved"/>
    <x v="1"/>
    <n v="1"/>
    <n v="0"/>
    <n v="30000"/>
    <n v="9.3200000000000005E-2"/>
    <n v="14"/>
    <n v="0"/>
    <n v="1"/>
  </r>
  <r>
    <s v="LA-700969"/>
    <d v="2024-05-21T00:00:00"/>
    <x v="0"/>
    <s v="Q2"/>
    <x v="4"/>
    <x v="1"/>
    <x v="2"/>
    <x v="3"/>
    <x v="2"/>
    <x v="1"/>
    <n v="4250"/>
    <n v="11000"/>
    <n v="36"/>
    <n v="0.30599999999999999"/>
    <s v="Withdrawn"/>
    <x v="1"/>
    <n v="0"/>
    <n v="0"/>
    <n v="0"/>
    <m/>
    <n v="2"/>
    <n v="1"/>
    <n v="1"/>
  </r>
  <r>
    <s v="LA-700970"/>
    <d v="2024-05-21T00:00:00"/>
    <x v="0"/>
    <s v="Q2"/>
    <x v="4"/>
    <x v="1"/>
    <x v="0"/>
    <x v="1"/>
    <x v="0"/>
    <x v="4"/>
    <n v="7800"/>
    <n v="15500"/>
    <n v="60"/>
    <n v="0.184"/>
    <s v="Approved"/>
    <x v="1"/>
    <n v="1"/>
    <n v="0"/>
    <n v="14000"/>
    <n v="0.1128"/>
    <n v="4"/>
    <n v="0"/>
    <n v="1"/>
  </r>
  <r>
    <s v="LA-700971"/>
    <d v="2024-05-21T00:00:00"/>
    <x v="0"/>
    <s v="Q2"/>
    <x v="4"/>
    <x v="0"/>
    <x v="2"/>
    <x v="2"/>
    <x v="1"/>
    <x v="0"/>
    <n v="6150"/>
    <n v="38500"/>
    <n v="36"/>
    <n v="0.309"/>
    <s v="Rejected"/>
    <x v="0"/>
    <n v="0"/>
    <n v="1"/>
    <n v="0"/>
    <m/>
    <n v="3"/>
    <n v="1"/>
    <n v="1"/>
  </r>
  <r>
    <s v="LA-700972"/>
    <d v="2024-05-21T00:00:00"/>
    <x v="0"/>
    <s v="Q2"/>
    <x v="4"/>
    <x v="0"/>
    <x v="0"/>
    <x v="4"/>
    <x v="1"/>
    <x v="1"/>
    <n v="4900"/>
    <n v="36500"/>
    <n v="36"/>
    <n v="0.4"/>
    <s v="Rejected"/>
    <x v="4"/>
    <n v="0"/>
    <n v="1"/>
    <n v="0"/>
    <m/>
    <n v="12"/>
    <n v="0"/>
    <n v="1"/>
  </r>
  <r>
    <s v="LA-700973"/>
    <d v="2024-05-21T00:00:00"/>
    <x v="0"/>
    <s v="Q2"/>
    <x v="4"/>
    <x v="1"/>
    <x v="3"/>
    <x v="3"/>
    <x v="1"/>
    <x v="0"/>
    <n v="4150"/>
    <n v="11500"/>
    <n v="12"/>
    <n v="0.313"/>
    <s v="Approved"/>
    <x v="1"/>
    <n v="1"/>
    <n v="0"/>
    <n v="11500"/>
    <n v="0.14319999999999999"/>
    <n v="2"/>
    <n v="1"/>
    <n v="1"/>
  </r>
  <r>
    <s v="LA-700974"/>
    <d v="2024-05-21T00:00:00"/>
    <x v="0"/>
    <s v="Q2"/>
    <x v="4"/>
    <x v="0"/>
    <x v="2"/>
    <x v="2"/>
    <x v="1"/>
    <x v="0"/>
    <n v="4500"/>
    <n v="16500"/>
    <n v="60"/>
    <n v="0.28299999999999997"/>
    <s v="Rejected"/>
    <x v="0"/>
    <n v="0"/>
    <n v="1"/>
    <n v="0"/>
    <m/>
    <n v="5"/>
    <n v="0"/>
    <n v="1"/>
  </r>
  <r>
    <s v="LA-700975"/>
    <d v="2024-05-21T00:00:00"/>
    <x v="0"/>
    <s v="Q2"/>
    <x v="4"/>
    <x v="1"/>
    <x v="0"/>
    <x v="2"/>
    <x v="0"/>
    <x v="4"/>
    <n v="7350"/>
    <n v="12000"/>
    <n v="12"/>
    <n v="0.309"/>
    <s v="Rejected"/>
    <x v="4"/>
    <n v="0"/>
    <n v="1"/>
    <n v="0"/>
    <m/>
    <n v="7"/>
    <n v="0"/>
    <n v="1"/>
  </r>
  <r>
    <s v="LA-700976"/>
    <d v="2024-05-21T00:00:00"/>
    <x v="0"/>
    <s v="Q2"/>
    <x v="4"/>
    <x v="0"/>
    <x v="2"/>
    <x v="3"/>
    <x v="0"/>
    <x v="3"/>
    <n v="3250"/>
    <n v="34500"/>
    <n v="60"/>
    <n v="0.42799999999999999"/>
    <s v="Approved"/>
    <x v="1"/>
    <n v="1"/>
    <n v="0"/>
    <n v="27500"/>
    <n v="6.7400000000000002E-2"/>
    <n v="2"/>
    <n v="1"/>
    <n v="1"/>
  </r>
  <r>
    <s v="LA-700977"/>
    <d v="2024-05-21T00:00:00"/>
    <x v="0"/>
    <s v="Q2"/>
    <x v="4"/>
    <x v="1"/>
    <x v="0"/>
    <x v="0"/>
    <x v="0"/>
    <x v="0"/>
    <n v="3150"/>
    <n v="21000"/>
    <n v="48"/>
    <n v="0.33400000000000002"/>
    <s v="Approved"/>
    <x v="1"/>
    <n v="1"/>
    <n v="0"/>
    <n v="19000"/>
    <n v="0.13969999999999999"/>
    <n v="6"/>
    <n v="0"/>
    <n v="1"/>
  </r>
  <r>
    <s v="LA-700978"/>
    <d v="2024-05-21T00:00:00"/>
    <x v="0"/>
    <s v="Q2"/>
    <x v="4"/>
    <x v="0"/>
    <x v="0"/>
    <x v="1"/>
    <x v="0"/>
    <x v="2"/>
    <n v="4350"/>
    <n v="21000"/>
    <n v="48"/>
    <n v="0.23799999999999999"/>
    <s v="Rejected"/>
    <x v="5"/>
    <n v="0"/>
    <n v="1"/>
    <n v="0"/>
    <m/>
    <n v="5"/>
    <n v="0"/>
    <n v="1"/>
  </r>
  <r>
    <s v="LA-700979"/>
    <d v="2024-05-21T00:00:00"/>
    <x v="0"/>
    <s v="Q2"/>
    <x v="4"/>
    <x v="2"/>
    <x v="2"/>
    <x v="1"/>
    <x v="0"/>
    <x v="2"/>
    <n v="8500"/>
    <n v="89500"/>
    <n v="24"/>
    <n v="0.73499999999999999"/>
    <s v="Rejected"/>
    <x v="3"/>
    <n v="0"/>
    <n v="1"/>
    <n v="0"/>
    <m/>
    <n v="5"/>
    <n v="1"/>
    <n v="1"/>
  </r>
  <r>
    <s v="LA-700980"/>
    <d v="2024-05-22T00:00:00"/>
    <x v="0"/>
    <s v="Q2"/>
    <x v="4"/>
    <x v="2"/>
    <x v="2"/>
    <x v="2"/>
    <x v="2"/>
    <x v="1"/>
    <n v="6250"/>
    <n v="145000"/>
    <n v="24"/>
    <n v="1.141"/>
    <s v="Rejected"/>
    <x v="3"/>
    <n v="0"/>
    <n v="1"/>
    <n v="0"/>
    <m/>
    <n v="5"/>
    <n v="1"/>
    <n v="1"/>
  </r>
  <r>
    <s v="LA-700981"/>
    <d v="2024-05-22T00:00:00"/>
    <x v="0"/>
    <s v="Q2"/>
    <x v="4"/>
    <x v="2"/>
    <x v="1"/>
    <x v="2"/>
    <x v="2"/>
    <x v="3"/>
    <n v="5650"/>
    <n v="213000"/>
    <n v="36"/>
    <n v="1.452"/>
    <s v="Approved"/>
    <x v="1"/>
    <n v="1"/>
    <n v="0"/>
    <n v="170500"/>
    <n v="9.7500000000000003E-2"/>
    <n v="6"/>
    <n v="1"/>
    <n v="1"/>
  </r>
  <r>
    <s v="LA-700982"/>
    <d v="2024-05-22T00:00:00"/>
    <x v="0"/>
    <s v="Q2"/>
    <x v="4"/>
    <x v="1"/>
    <x v="2"/>
    <x v="3"/>
    <x v="1"/>
    <x v="3"/>
    <n v="2700"/>
    <n v="7500"/>
    <n v="60"/>
    <n v="0.218"/>
    <s v="Approved"/>
    <x v="1"/>
    <n v="1"/>
    <n v="0"/>
    <n v="7000"/>
    <n v="0.1096"/>
    <n v="2"/>
    <n v="1"/>
    <n v="1"/>
  </r>
  <r>
    <s v="LA-700983"/>
    <d v="2024-05-22T00:00:00"/>
    <x v="0"/>
    <s v="Q2"/>
    <x v="4"/>
    <x v="0"/>
    <x v="2"/>
    <x v="1"/>
    <x v="1"/>
    <x v="1"/>
    <n v="5100"/>
    <n v="27500"/>
    <n v="48"/>
    <n v="0.36899999999999999"/>
    <s v="Withdrawn"/>
    <x v="1"/>
    <n v="0"/>
    <n v="0"/>
    <n v="0"/>
    <m/>
    <n v="3"/>
    <n v="1"/>
    <n v="1"/>
  </r>
  <r>
    <s v="LA-700984"/>
    <d v="2024-05-22T00:00:00"/>
    <x v="0"/>
    <s v="Q2"/>
    <x v="4"/>
    <x v="0"/>
    <x v="3"/>
    <x v="1"/>
    <x v="0"/>
    <x v="2"/>
    <n v="4900"/>
    <n v="32500"/>
    <n v="60"/>
    <n v="0.24399999999999999"/>
    <s v="Rejected"/>
    <x v="0"/>
    <n v="0"/>
    <n v="1"/>
    <n v="0"/>
    <m/>
    <n v="8"/>
    <n v="0"/>
    <n v="1"/>
  </r>
  <r>
    <s v="LA-700985"/>
    <d v="2024-05-22T00:00:00"/>
    <x v="0"/>
    <s v="Q2"/>
    <x v="4"/>
    <x v="0"/>
    <x v="3"/>
    <x v="2"/>
    <x v="0"/>
    <x v="2"/>
    <n v="4900"/>
    <n v="25500"/>
    <n v="48"/>
    <n v="0.24299999999999999"/>
    <s v="Rejected"/>
    <x v="4"/>
    <n v="0"/>
    <n v="1"/>
    <n v="0"/>
    <m/>
    <n v="9"/>
    <n v="0"/>
    <n v="1"/>
  </r>
  <r>
    <s v="LA-700986"/>
    <d v="2024-05-22T00:00:00"/>
    <x v="0"/>
    <s v="Q2"/>
    <x v="4"/>
    <x v="1"/>
    <x v="0"/>
    <x v="0"/>
    <x v="0"/>
    <x v="1"/>
    <n v="9600"/>
    <n v="10000"/>
    <n v="48"/>
    <n v="0.217"/>
    <s v="Approved"/>
    <x v="1"/>
    <n v="1"/>
    <n v="0"/>
    <n v="8000"/>
    <n v="0.1193"/>
    <n v="2"/>
    <n v="1"/>
    <n v="1"/>
  </r>
  <r>
    <s v="LA-700987"/>
    <d v="2024-05-22T00:00:00"/>
    <x v="0"/>
    <s v="Q2"/>
    <x v="4"/>
    <x v="3"/>
    <x v="3"/>
    <x v="3"/>
    <x v="1"/>
    <x v="2"/>
    <n v="1850"/>
    <n v="392500"/>
    <n v="300"/>
    <n v="1.4590000000000001"/>
    <s v="Rejected"/>
    <x v="0"/>
    <n v="0"/>
    <n v="1"/>
    <n v="0"/>
    <m/>
    <n v="13"/>
    <n v="1"/>
    <n v="1"/>
  </r>
  <r>
    <s v="LA-700988"/>
    <d v="2024-05-23T00:00:00"/>
    <x v="0"/>
    <s v="Q2"/>
    <x v="4"/>
    <x v="2"/>
    <x v="0"/>
    <x v="3"/>
    <x v="1"/>
    <x v="4"/>
    <n v="9550"/>
    <n v="107500"/>
    <n v="60"/>
    <n v="0.46200000000000002"/>
    <s v="Approved"/>
    <x v="1"/>
    <n v="1"/>
    <n v="0"/>
    <n v="107500"/>
    <n v="0.1017"/>
    <n v="10"/>
    <n v="1"/>
    <n v="1"/>
  </r>
  <r>
    <s v="LA-700989"/>
    <d v="2024-05-23T00:00:00"/>
    <x v="0"/>
    <s v="Q2"/>
    <x v="4"/>
    <x v="1"/>
    <x v="3"/>
    <x v="3"/>
    <x v="1"/>
    <x v="3"/>
    <n v="11300"/>
    <n v="18000"/>
    <n v="24"/>
    <n v="0.254"/>
    <s v="Approved"/>
    <x v="1"/>
    <n v="1"/>
    <n v="0"/>
    <n v="18000"/>
    <n v="0.10929999999999999"/>
    <n v="4"/>
    <n v="0"/>
    <n v="1"/>
  </r>
  <r>
    <s v="LA-700990"/>
    <d v="2024-05-23T00:00:00"/>
    <x v="0"/>
    <s v="Q2"/>
    <x v="4"/>
    <x v="1"/>
    <x v="3"/>
    <x v="4"/>
    <x v="0"/>
    <x v="1"/>
    <n v="5850"/>
    <n v="11500"/>
    <n v="12"/>
    <n v="0.28299999999999997"/>
    <s v="Approved"/>
    <x v="1"/>
    <n v="1"/>
    <n v="0"/>
    <n v="9000"/>
    <n v="0.12590000000000001"/>
    <n v="7"/>
    <n v="0"/>
    <n v="1"/>
  </r>
  <r>
    <s v="LA-700991"/>
    <d v="2024-05-23T00:00:00"/>
    <x v="0"/>
    <s v="Q2"/>
    <x v="4"/>
    <x v="0"/>
    <x v="2"/>
    <x v="3"/>
    <x v="1"/>
    <x v="4"/>
    <n v="5600"/>
    <n v="46500"/>
    <n v="36"/>
    <n v="0.34200000000000003"/>
    <s v="Rejected"/>
    <x v="4"/>
    <n v="0"/>
    <n v="1"/>
    <n v="0"/>
    <m/>
    <n v="7"/>
    <n v="0"/>
    <n v="1"/>
  </r>
  <r>
    <s v="LA-700992"/>
    <d v="2024-05-23T00:00:00"/>
    <x v="0"/>
    <s v="Q2"/>
    <x v="4"/>
    <x v="1"/>
    <x v="0"/>
    <x v="1"/>
    <x v="1"/>
    <x v="4"/>
    <n v="4100"/>
    <n v="10500"/>
    <n v="48"/>
    <n v="0.183"/>
    <s v="Rejected"/>
    <x v="4"/>
    <n v="0"/>
    <n v="1"/>
    <n v="0"/>
    <m/>
    <n v="7"/>
    <n v="0"/>
    <n v="1"/>
  </r>
  <r>
    <s v="LA-700993"/>
    <d v="2024-05-23T00:00:00"/>
    <x v="0"/>
    <s v="Q2"/>
    <x v="4"/>
    <x v="1"/>
    <x v="3"/>
    <x v="1"/>
    <x v="0"/>
    <x v="4"/>
    <n v="8500"/>
    <n v="16000"/>
    <n v="24"/>
    <n v="0.33100000000000002"/>
    <s v="Approved"/>
    <x v="1"/>
    <n v="1"/>
    <n v="0"/>
    <n v="16000"/>
    <n v="0.11219999999999999"/>
    <n v="6"/>
    <n v="0"/>
    <n v="1"/>
  </r>
  <r>
    <s v="LA-700994"/>
    <d v="2024-05-23T00:00:00"/>
    <x v="0"/>
    <s v="Q2"/>
    <x v="4"/>
    <x v="1"/>
    <x v="3"/>
    <x v="3"/>
    <x v="0"/>
    <x v="2"/>
    <n v="5850"/>
    <n v="21000"/>
    <n v="48"/>
    <n v="0.154"/>
    <s v="Rejected"/>
    <x v="0"/>
    <n v="0"/>
    <n v="1"/>
    <n v="0"/>
    <m/>
    <n v="6"/>
    <n v="0"/>
    <n v="1"/>
  </r>
  <r>
    <s v="LA-700995"/>
    <d v="2024-05-23T00:00:00"/>
    <x v="0"/>
    <s v="Q2"/>
    <x v="4"/>
    <x v="1"/>
    <x v="1"/>
    <x v="4"/>
    <x v="0"/>
    <x v="1"/>
    <n v="3100"/>
    <n v="6500"/>
    <n v="48"/>
    <n v="0.28000000000000003"/>
    <s v="Approved"/>
    <x v="1"/>
    <n v="1"/>
    <n v="0"/>
    <n v="6500"/>
    <n v="0.1216"/>
    <n v="3"/>
    <n v="1"/>
    <n v="1"/>
  </r>
  <r>
    <s v="LA-700996"/>
    <d v="2024-05-23T00:00:00"/>
    <x v="0"/>
    <s v="Q2"/>
    <x v="4"/>
    <x v="1"/>
    <x v="1"/>
    <x v="2"/>
    <x v="0"/>
    <x v="1"/>
    <n v="3850"/>
    <n v="14000"/>
    <n v="12"/>
    <n v="0.56599999999999995"/>
    <s v="Withdrawn"/>
    <x v="1"/>
    <n v="0"/>
    <n v="0"/>
    <n v="0"/>
    <m/>
    <n v="3"/>
    <n v="1"/>
    <n v="1"/>
  </r>
  <r>
    <s v="LA-700997"/>
    <d v="2024-05-23T00:00:00"/>
    <x v="0"/>
    <s v="Q2"/>
    <x v="4"/>
    <x v="1"/>
    <x v="0"/>
    <x v="4"/>
    <x v="0"/>
    <x v="1"/>
    <n v="5000"/>
    <n v="8500"/>
    <n v="48"/>
    <n v="0.16300000000000001"/>
    <s v="Approved"/>
    <x v="1"/>
    <n v="1"/>
    <n v="0"/>
    <n v="8500"/>
    <n v="0.125"/>
    <n v="2"/>
    <n v="1"/>
    <n v="1"/>
  </r>
  <r>
    <s v="LA-700998"/>
    <d v="2024-05-24T00:00:00"/>
    <x v="0"/>
    <s v="Q2"/>
    <x v="4"/>
    <x v="3"/>
    <x v="2"/>
    <x v="1"/>
    <x v="1"/>
    <x v="2"/>
    <n v="4400"/>
    <n v="488000"/>
    <n v="240"/>
    <n v="0.81"/>
    <s v="Rejected"/>
    <x v="0"/>
    <n v="0"/>
    <n v="1"/>
    <n v="0"/>
    <m/>
    <n v="11"/>
    <n v="1"/>
    <n v="1"/>
  </r>
  <r>
    <s v="LA-700999"/>
    <d v="2024-05-24T00:00:00"/>
    <x v="0"/>
    <s v="Q2"/>
    <x v="4"/>
    <x v="1"/>
    <x v="2"/>
    <x v="2"/>
    <x v="0"/>
    <x v="1"/>
    <n v="3500"/>
    <n v="14500"/>
    <n v="12"/>
    <n v="0.48499999999999999"/>
    <s v="Approved"/>
    <x v="1"/>
    <n v="1"/>
    <n v="0"/>
    <n v="14500"/>
    <n v="0.122"/>
    <n v="2"/>
    <n v="1"/>
    <n v="1"/>
  </r>
  <r>
    <s v="LA-701000"/>
    <d v="2024-05-24T00:00:00"/>
    <x v="0"/>
    <s v="Q2"/>
    <x v="4"/>
    <x v="2"/>
    <x v="2"/>
    <x v="2"/>
    <x v="0"/>
    <x v="2"/>
    <n v="3250"/>
    <n v="86000"/>
    <n v="24"/>
    <n v="1.4650000000000001"/>
    <s v="Rejected"/>
    <x v="0"/>
    <n v="0"/>
    <n v="1"/>
    <n v="0"/>
    <m/>
    <n v="6"/>
    <n v="1"/>
    <n v="1"/>
  </r>
  <r>
    <s v="LA-701001"/>
    <d v="2024-05-24T00:00:00"/>
    <x v="0"/>
    <s v="Q2"/>
    <x v="4"/>
    <x v="1"/>
    <x v="1"/>
    <x v="1"/>
    <x v="0"/>
    <x v="0"/>
    <n v="11350"/>
    <n v="9000"/>
    <n v="36"/>
    <n v="0.25700000000000001"/>
    <s v="Rejected"/>
    <x v="0"/>
    <n v="0"/>
    <n v="1"/>
    <n v="0"/>
    <m/>
    <n v="2"/>
    <n v="1"/>
    <n v="1"/>
  </r>
  <r>
    <s v="LA-701002"/>
    <d v="2024-05-24T00:00:00"/>
    <x v="0"/>
    <s v="Q2"/>
    <x v="4"/>
    <x v="3"/>
    <x v="3"/>
    <x v="3"/>
    <x v="0"/>
    <x v="1"/>
    <n v="5750"/>
    <n v="471000"/>
    <n v="240"/>
    <n v="0.76700000000000002"/>
    <s v="Rejected"/>
    <x v="3"/>
    <n v="0"/>
    <n v="1"/>
    <n v="0"/>
    <m/>
    <n v="13"/>
    <n v="1"/>
    <n v="1"/>
  </r>
  <r>
    <s v="LA-701003"/>
    <d v="2024-05-25T00:00:00"/>
    <x v="0"/>
    <s v="Q2"/>
    <x v="4"/>
    <x v="0"/>
    <x v="1"/>
    <x v="1"/>
    <x v="0"/>
    <x v="3"/>
    <n v="6400"/>
    <n v="10500"/>
    <n v="48"/>
    <n v="0.221"/>
    <s v="Approved"/>
    <x v="1"/>
    <n v="1"/>
    <n v="0"/>
    <n v="10500"/>
    <n v="6.93E-2"/>
    <n v="2"/>
    <n v="1"/>
    <n v="1"/>
  </r>
  <r>
    <s v="LA-701004"/>
    <d v="2024-05-26T00:00:00"/>
    <x v="0"/>
    <s v="Q2"/>
    <x v="4"/>
    <x v="1"/>
    <x v="0"/>
    <x v="1"/>
    <x v="1"/>
    <x v="0"/>
    <n v="7850"/>
    <n v="10000"/>
    <n v="36"/>
    <n v="0.13900000000000001"/>
    <s v="Rejected"/>
    <x v="2"/>
    <n v="0"/>
    <n v="1"/>
    <n v="0"/>
    <m/>
    <n v="3"/>
    <n v="1"/>
    <n v="1"/>
  </r>
  <r>
    <s v="LA-701005"/>
    <d v="2024-05-26T00:00:00"/>
    <x v="0"/>
    <s v="Q2"/>
    <x v="4"/>
    <x v="1"/>
    <x v="1"/>
    <x v="3"/>
    <x v="0"/>
    <x v="1"/>
    <n v="5250"/>
    <n v="8000"/>
    <n v="24"/>
    <n v="0.20499999999999999"/>
    <s v="Approved"/>
    <x v="1"/>
    <n v="1"/>
    <n v="0"/>
    <n v="8000"/>
    <n v="0.1222"/>
    <n v="2"/>
    <n v="1"/>
    <n v="1"/>
  </r>
  <r>
    <s v="LA-701006"/>
    <d v="2024-05-26T00:00:00"/>
    <x v="0"/>
    <s v="Q2"/>
    <x v="4"/>
    <x v="3"/>
    <x v="3"/>
    <x v="2"/>
    <x v="0"/>
    <x v="2"/>
    <n v="6400"/>
    <n v="124000"/>
    <n v="180"/>
    <n v="0.21199999999999999"/>
    <s v="Approved"/>
    <x v="1"/>
    <n v="1"/>
    <n v="0"/>
    <n v="124000"/>
    <n v="9.4299999999999995E-2"/>
    <n v="26"/>
    <n v="0"/>
    <n v="1"/>
  </r>
  <r>
    <s v="LA-701007"/>
    <d v="2024-05-26T00:00:00"/>
    <x v="0"/>
    <s v="Q2"/>
    <x v="4"/>
    <x v="3"/>
    <x v="3"/>
    <x v="2"/>
    <x v="2"/>
    <x v="4"/>
    <n v="10300"/>
    <n v="226000"/>
    <n v="240"/>
    <n v="0.33"/>
    <s v="Approved"/>
    <x v="1"/>
    <n v="1"/>
    <n v="0"/>
    <n v="181000"/>
    <n v="4.7100000000000003E-2"/>
    <n v="35"/>
    <n v="0"/>
    <n v="1"/>
  </r>
  <r>
    <s v="LA-701008"/>
    <d v="2024-05-27T00:00:00"/>
    <x v="0"/>
    <s v="Q2"/>
    <x v="4"/>
    <x v="1"/>
    <x v="3"/>
    <x v="4"/>
    <x v="0"/>
    <x v="2"/>
    <n v="5950"/>
    <n v="8500"/>
    <n v="48"/>
    <n v="0.26200000000000001"/>
    <s v="Rejected"/>
    <x v="0"/>
    <n v="0"/>
    <n v="1"/>
    <n v="0"/>
    <m/>
    <n v="4"/>
    <n v="0"/>
    <n v="1"/>
  </r>
  <r>
    <s v="LA-701009"/>
    <d v="2024-05-27T00:00:00"/>
    <x v="0"/>
    <s v="Q2"/>
    <x v="4"/>
    <x v="0"/>
    <x v="2"/>
    <x v="1"/>
    <x v="0"/>
    <x v="0"/>
    <n v="6500"/>
    <n v="38500"/>
    <n v="60"/>
    <n v="0.18099999999999999"/>
    <s v="Rejected"/>
    <x v="0"/>
    <n v="0"/>
    <n v="1"/>
    <n v="0"/>
    <m/>
    <n v="3"/>
    <n v="1"/>
    <n v="1"/>
  </r>
  <r>
    <s v="LA-701010"/>
    <d v="2024-05-27T00:00:00"/>
    <x v="0"/>
    <s v="Q2"/>
    <x v="4"/>
    <x v="0"/>
    <x v="3"/>
    <x v="3"/>
    <x v="0"/>
    <x v="1"/>
    <n v="2650"/>
    <n v="15500"/>
    <n v="60"/>
    <n v="0.32500000000000001"/>
    <s v="Withdrawn"/>
    <x v="1"/>
    <n v="0"/>
    <n v="0"/>
    <n v="0"/>
    <m/>
    <n v="8"/>
    <n v="0"/>
    <n v="1"/>
  </r>
  <r>
    <s v="LA-701011"/>
    <d v="2024-05-27T00:00:00"/>
    <x v="0"/>
    <s v="Q2"/>
    <x v="4"/>
    <x v="0"/>
    <x v="3"/>
    <x v="3"/>
    <x v="0"/>
    <x v="1"/>
    <n v="3350"/>
    <n v="25000"/>
    <n v="48"/>
    <n v="0.27100000000000002"/>
    <s v="Rejected"/>
    <x v="0"/>
    <n v="0"/>
    <n v="1"/>
    <n v="0"/>
    <m/>
    <n v="8"/>
    <n v="0"/>
    <n v="1"/>
  </r>
  <r>
    <s v="LA-701012"/>
    <d v="2024-05-27T00:00:00"/>
    <x v="0"/>
    <s v="Q2"/>
    <x v="4"/>
    <x v="3"/>
    <x v="1"/>
    <x v="4"/>
    <x v="1"/>
    <x v="1"/>
    <n v="5600"/>
    <n v="206500"/>
    <n v="300"/>
    <n v="0.28899999999999998"/>
    <s v="Rejected"/>
    <x v="5"/>
    <n v="0"/>
    <n v="1"/>
    <n v="0"/>
    <m/>
    <n v="6"/>
    <n v="1"/>
    <n v="1"/>
  </r>
  <r>
    <s v="LA-701013"/>
    <d v="2024-05-27T00:00:00"/>
    <x v="0"/>
    <s v="Q2"/>
    <x v="4"/>
    <x v="0"/>
    <x v="3"/>
    <x v="3"/>
    <x v="1"/>
    <x v="0"/>
    <n v="4800"/>
    <n v="26000"/>
    <n v="60"/>
    <n v="0.17899999999999999"/>
    <s v="Approved"/>
    <x v="1"/>
    <n v="1"/>
    <n v="0"/>
    <n v="26000"/>
    <n v="9.7100000000000006E-2"/>
    <n v="8"/>
    <n v="0"/>
    <n v="1"/>
  </r>
  <r>
    <s v="LA-701014"/>
    <d v="2024-05-28T00:00:00"/>
    <x v="0"/>
    <s v="Q2"/>
    <x v="4"/>
    <x v="0"/>
    <x v="3"/>
    <x v="2"/>
    <x v="0"/>
    <x v="2"/>
    <n v="4650"/>
    <n v="30500"/>
    <n v="48"/>
    <n v="0.314"/>
    <s v="Rejected"/>
    <x v="0"/>
    <n v="0"/>
    <n v="1"/>
    <n v="0"/>
    <m/>
    <n v="5"/>
    <n v="0"/>
    <n v="1"/>
  </r>
  <r>
    <s v="LA-701015"/>
    <d v="2024-05-28T00:00:00"/>
    <x v="0"/>
    <s v="Q2"/>
    <x v="4"/>
    <x v="1"/>
    <x v="2"/>
    <x v="1"/>
    <x v="0"/>
    <x v="0"/>
    <n v="5750"/>
    <n v="6000"/>
    <n v="60"/>
    <n v="9.9000000000000005E-2"/>
    <s v="Rejected"/>
    <x v="0"/>
    <n v="0"/>
    <n v="1"/>
    <n v="0"/>
    <m/>
    <n v="1"/>
    <n v="1"/>
    <n v="1"/>
  </r>
  <r>
    <s v="LA-701016"/>
    <d v="2024-05-28T00:00:00"/>
    <x v="0"/>
    <s v="Q2"/>
    <x v="4"/>
    <x v="0"/>
    <x v="0"/>
    <x v="2"/>
    <x v="0"/>
    <x v="4"/>
    <n v="5650"/>
    <n v="23500"/>
    <n v="36"/>
    <n v="0.35199999999999998"/>
    <s v="Approved"/>
    <x v="1"/>
    <n v="1"/>
    <n v="0"/>
    <n v="23500"/>
    <n v="7.3999999999999996E-2"/>
    <n v="4"/>
    <n v="1"/>
    <n v="1"/>
  </r>
  <r>
    <s v="LA-701017"/>
    <d v="2024-05-28T00:00:00"/>
    <x v="0"/>
    <s v="Q2"/>
    <x v="4"/>
    <x v="1"/>
    <x v="1"/>
    <x v="0"/>
    <x v="2"/>
    <x v="2"/>
    <n v="3000"/>
    <n v="20000"/>
    <n v="24"/>
    <n v="0.42099999999999999"/>
    <s v="Rejected"/>
    <x v="0"/>
    <n v="0"/>
    <n v="1"/>
    <n v="0"/>
    <m/>
    <n v="2"/>
    <n v="1"/>
    <n v="1"/>
  </r>
  <r>
    <s v="LA-701018"/>
    <d v="2024-05-28T00:00:00"/>
    <x v="0"/>
    <s v="Q2"/>
    <x v="4"/>
    <x v="2"/>
    <x v="3"/>
    <x v="0"/>
    <x v="1"/>
    <x v="0"/>
    <n v="2800"/>
    <n v="111500"/>
    <n v="24"/>
    <n v="2.0630000000000002"/>
    <s v="Rejected"/>
    <x v="3"/>
    <n v="0"/>
    <n v="1"/>
    <n v="0"/>
    <m/>
    <n v="14"/>
    <n v="0"/>
    <n v="1"/>
  </r>
  <r>
    <s v="LA-701019"/>
    <d v="2024-05-28T00:00:00"/>
    <x v="0"/>
    <s v="Q2"/>
    <x v="4"/>
    <x v="1"/>
    <x v="3"/>
    <x v="0"/>
    <x v="0"/>
    <x v="0"/>
    <n v="5300"/>
    <n v="9500"/>
    <n v="60"/>
    <n v="0.23100000000000001"/>
    <s v="Withdrawn"/>
    <x v="1"/>
    <n v="0"/>
    <n v="0"/>
    <n v="0"/>
    <m/>
    <n v="5"/>
    <n v="0"/>
    <n v="1"/>
  </r>
  <r>
    <s v="LA-701020"/>
    <d v="2024-05-29T00:00:00"/>
    <x v="0"/>
    <s v="Q2"/>
    <x v="4"/>
    <x v="1"/>
    <x v="3"/>
    <x v="1"/>
    <x v="1"/>
    <x v="0"/>
    <n v="3100"/>
    <n v="14500"/>
    <n v="48"/>
    <n v="0.23200000000000001"/>
    <s v="Rejected"/>
    <x v="5"/>
    <n v="0"/>
    <n v="1"/>
    <n v="0"/>
    <m/>
    <n v="3"/>
    <n v="1"/>
    <n v="1"/>
  </r>
  <r>
    <s v="LA-701021"/>
    <d v="2024-05-29T00:00:00"/>
    <x v="0"/>
    <s v="Q2"/>
    <x v="4"/>
    <x v="2"/>
    <x v="1"/>
    <x v="3"/>
    <x v="0"/>
    <x v="0"/>
    <n v="2200"/>
    <n v="73000"/>
    <n v="24"/>
    <n v="1.659"/>
    <s v="Withdrawn"/>
    <x v="1"/>
    <n v="0"/>
    <n v="0"/>
    <n v="0"/>
    <m/>
    <n v="4"/>
    <n v="1"/>
    <n v="1"/>
  </r>
  <r>
    <s v="LA-701022"/>
    <d v="2024-05-29T00:00:00"/>
    <x v="0"/>
    <s v="Q2"/>
    <x v="4"/>
    <x v="0"/>
    <x v="2"/>
    <x v="2"/>
    <x v="0"/>
    <x v="1"/>
    <n v="4550"/>
    <n v="24000"/>
    <n v="60"/>
    <n v="0.16300000000000001"/>
    <s v="Approved"/>
    <x v="1"/>
    <n v="1"/>
    <n v="0"/>
    <n v="24000"/>
    <n v="8.6199999999999999E-2"/>
    <n v="3"/>
    <n v="1"/>
    <n v="1"/>
  </r>
  <r>
    <s v="LA-701023"/>
    <d v="2024-05-29T00:00:00"/>
    <x v="0"/>
    <s v="Q2"/>
    <x v="4"/>
    <x v="1"/>
    <x v="3"/>
    <x v="2"/>
    <x v="0"/>
    <x v="0"/>
    <n v="1850"/>
    <n v="9000"/>
    <n v="48"/>
    <n v="0.33"/>
    <s v="Approved"/>
    <x v="1"/>
    <n v="1"/>
    <n v="0"/>
    <n v="9000"/>
    <n v="0.14430000000000001"/>
    <n v="5"/>
    <n v="0"/>
    <n v="1"/>
  </r>
  <r>
    <s v="LA-701024"/>
    <d v="2024-05-29T00:00:00"/>
    <x v="0"/>
    <s v="Q2"/>
    <x v="4"/>
    <x v="2"/>
    <x v="2"/>
    <x v="0"/>
    <x v="0"/>
    <x v="0"/>
    <n v="4800"/>
    <n v="80500"/>
    <n v="24"/>
    <n v="0.88400000000000001"/>
    <s v="Rejected"/>
    <x v="0"/>
    <n v="0"/>
    <n v="1"/>
    <n v="0"/>
    <m/>
    <n v="6"/>
    <n v="1"/>
    <n v="1"/>
  </r>
  <r>
    <s v="LA-701025"/>
    <d v="2024-05-29T00:00:00"/>
    <x v="0"/>
    <s v="Q2"/>
    <x v="4"/>
    <x v="2"/>
    <x v="1"/>
    <x v="2"/>
    <x v="0"/>
    <x v="3"/>
    <n v="3600"/>
    <n v="108500"/>
    <n v="12"/>
    <n v="2.8330000000000002"/>
    <s v="Rejected"/>
    <x v="3"/>
    <n v="0"/>
    <n v="1"/>
    <n v="0"/>
    <m/>
    <n v="5"/>
    <n v="1"/>
    <n v="1"/>
  </r>
  <r>
    <s v="LA-701026"/>
    <d v="2024-05-29T00:00:00"/>
    <x v="0"/>
    <s v="Q2"/>
    <x v="4"/>
    <x v="2"/>
    <x v="2"/>
    <x v="2"/>
    <x v="0"/>
    <x v="1"/>
    <n v="7800"/>
    <n v="88000"/>
    <n v="60"/>
    <n v="0.46200000000000002"/>
    <s v="Rejected"/>
    <x v="4"/>
    <n v="0"/>
    <n v="1"/>
    <n v="0"/>
    <m/>
    <n v="6"/>
    <n v="1"/>
    <n v="1"/>
  </r>
  <r>
    <s v="LA-701027"/>
    <d v="2024-05-30T00:00:00"/>
    <x v="0"/>
    <s v="Q2"/>
    <x v="4"/>
    <x v="3"/>
    <x v="3"/>
    <x v="0"/>
    <x v="2"/>
    <x v="0"/>
    <n v="6600"/>
    <n v="345000"/>
    <n v="300"/>
    <n v="0.42899999999999999"/>
    <s v="Approved"/>
    <x v="1"/>
    <n v="1"/>
    <n v="0"/>
    <n v="276000"/>
    <n v="7.0000000000000007E-2"/>
    <n v="18"/>
    <n v="0"/>
    <n v="1"/>
  </r>
  <r>
    <s v="LA-701028"/>
    <d v="2024-05-30T00:00:00"/>
    <x v="0"/>
    <s v="Q2"/>
    <x v="4"/>
    <x v="3"/>
    <x v="1"/>
    <x v="2"/>
    <x v="1"/>
    <x v="0"/>
    <n v="5250"/>
    <n v="206000"/>
    <n v="180"/>
    <n v="0.5"/>
    <s v="Rejected"/>
    <x v="0"/>
    <n v="0"/>
    <n v="1"/>
    <n v="0"/>
    <m/>
    <n v="6"/>
    <n v="1"/>
    <n v="1"/>
  </r>
  <r>
    <s v="LA-701029"/>
    <d v="2024-05-30T00:00:00"/>
    <x v="0"/>
    <s v="Q2"/>
    <x v="4"/>
    <x v="1"/>
    <x v="3"/>
    <x v="1"/>
    <x v="1"/>
    <x v="1"/>
    <n v="6850"/>
    <n v="6000"/>
    <n v="60"/>
    <n v="0.252"/>
    <s v="Approved"/>
    <x v="1"/>
    <n v="1"/>
    <n v="0"/>
    <n v="6000"/>
    <n v="0.1273"/>
    <n v="5"/>
    <n v="0"/>
    <n v="1"/>
  </r>
  <r>
    <s v="LA-701030"/>
    <d v="2024-05-30T00:00:00"/>
    <x v="0"/>
    <s v="Q2"/>
    <x v="4"/>
    <x v="1"/>
    <x v="2"/>
    <x v="1"/>
    <x v="0"/>
    <x v="4"/>
    <n v="10000"/>
    <n v="14000"/>
    <n v="24"/>
    <n v="0.20300000000000001"/>
    <s v="Approved"/>
    <x v="1"/>
    <n v="1"/>
    <n v="0"/>
    <n v="14000"/>
    <n v="0.1186"/>
    <n v="2"/>
    <n v="1"/>
    <n v="1"/>
  </r>
  <r>
    <s v="LA-701031"/>
    <d v="2024-05-30T00:00:00"/>
    <x v="0"/>
    <s v="Q2"/>
    <x v="4"/>
    <x v="3"/>
    <x v="2"/>
    <x v="4"/>
    <x v="1"/>
    <x v="2"/>
    <n v="3900"/>
    <n v="268000"/>
    <n v="300"/>
    <n v="0.57699999999999996"/>
    <s v="Rejected"/>
    <x v="0"/>
    <n v="0"/>
    <n v="1"/>
    <n v="0"/>
    <m/>
    <n v="10"/>
    <n v="1"/>
    <n v="1"/>
  </r>
  <r>
    <s v="LA-701032"/>
    <d v="2024-05-30T00:00:00"/>
    <x v="0"/>
    <s v="Q2"/>
    <x v="4"/>
    <x v="1"/>
    <x v="0"/>
    <x v="1"/>
    <x v="0"/>
    <x v="0"/>
    <n v="1650"/>
    <n v="19500"/>
    <n v="60"/>
    <n v="0.42199999999999999"/>
    <s v="Rejected"/>
    <x v="0"/>
    <n v="0"/>
    <n v="1"/>
    <n v="0"/>
    <m/>
    <n v="7"/>
    <n v="0"/>
    <n v="1"/>
  </r>
  <r>
    <s v="LA-701033"/>
    <d v="2024-05-30T00:00:00"/>
    <x v="0"/>
    <s v="Q2"/>
    <x v="4"/>
    <x v="2"/>
    <x v="3"/>
    <x v="0"/>
    <x v="0"/>
    <x v="3"/>
    <n v="4850"/>
    <n v="44000"/>
    <n v="24"/>
    <n v="0.48099999999999998"/>
    <s v="Approved"/>
    <x v="1"/>
    <n v="1"/>
    <n v="0"/>
    <n v="44000"/>
    <n v="9.4200000000000006E-2"/>
    <n v="13"/>
    <n v="0"/>
    <n v="1"/>
  </r>
  <r>
    <s v="LA-701034"/>
    <d v="2024-05-31T00:00:00"/>
    <x v="0"/>
    <s v="Q2"/>
    <x v="4"/>
    <x v="1"/>
    <x v="3"/>
    <x v="3"/>
    <x v="1"/>
    <x v="4"/>
    <n v="4900"/>
    <n v="18500"/>
    <n v="48"/>
    <n v="0.34399999999999997"/>
    <s v="Withdrawn"/>
    <x v="1"/>
    <n v="0"/>
    <n v="0"/>
    <n v="0"/>
    <m/>
    <n v="5"/>
    <n v="0"/>
    <n v="1"/>
  </r>
  <r>
    <s v="LA-701035"/>
    <d v="2024-05-31T00:00:00"/>
    <x v="0"/>
    <s v="Q2"/>
    <x v="4"/>
    <x v="1"/>
    <x v="2"/>
    <x v="4"/>
    <x v="2"/>
    <x v="4"/>
    <n v="8450"/>
    <n v="9500"/>
    <n v="24"/>
    <n v="0.129"/>
    <s v="Approved"/>
    <x v="1"/>
    <n v="1"/>
    <n v="0"/>
    <n v="8500"/>
    <n v="0.1132"/>
    <n v="2"/>
    <n v="1"/>
    <n v="1"/>
  </r>
  <r>
    <s v="LA-701036"/>
    <d v="2024-05-31T00:00:00"/>
    <x v="0"/>
    <s v="Q2"/>
    <x v="4"/>
    <x v="0"/>
    <x v="0"/>
    <x v="2"/>
    <x v="0"/>
    <x v="0"/>
    <n v="4900"/>
    <n v="18000"/>
    <n v="60"/>
    <n v="0.245"/>
    <s v="Approved"/>
    <x v="1"/>
    <n v="1"/>
    <n v="0"/>
    <n v="14500"/>
    <n v="9.4700000000000006E-2"/>
    <n v="6"/>
    <n v="0"/>
    <n v="1"/>
  </r>
  <r>
    <s v="LA-701037"/>
    <d v="2024-05-31T00:00:00"/>
    <x v="0"/>
    <s v="Q2"/>
    <x v="4"/>
    <x v="2"/>
    <x v="1"/>
    <x v="3"/>
    <x v="1"/>
    <x v="1"/>
    <n v="4950"/>
    <n v="164000"/>
    <n v="24"/>
    <n v="1.625"/>
    <s v="Approved"/>
    <x v="1"/>
    <n v="1"/>
    <n v="0"/>
    <n v="131000"/>
    <n v="0.1079"/>
    <n v="5"/>
    <n v="1"/>
    <n v="1"/>
  </r>
  <r>
    <s v="LA-701038"/>
    <d v="2024-05-31T00:00:00"/>
    <x v="0"/>
    <s v="Q2"/>
    <x v="4"/>
    <x v="0"/>
    <x v="2"/>
    <x v="2"/>
    <x v="2"/>
    <x v="1"/>
    <n v="6950"/>
    <n v="44000"/>
    <n v="60"/>
    <n v="0.33200000000000002"/>
    <s v="Approved"/>
    <x v="1"/>
    <n v="1"/>
    <n v="0"/>
    <n v="39500"/>
    <n v="8.2900000000000001E-2"/>
    <n v="4"/>
    <n v="1"/>
    <n v="1"/>
  </r>
  <r>
    <s v="LA-701039"/>
    <d v="2024-06-01T00:00:00"/>
    <x v="0"/>
    <s v="Q2"/>
    <x v="5"/>
    <x v="1"/>
    <x v="3"/>
    <x v="3"/>
    <x v="0"/>
    <x v="1"/>
    <n v="5950"/>
    <n v="9000"/>
    <n v="36"/>
    <n v="0.20599999999999999"/>
    <s v="Approved"/>
    <x v="1"/>
    <n v="1"/>
    <n v="0"/>
    <n v="9000"/>
    <n v="0.121"/>
    <n v="3"/>
    <n v="1"/>
    <n v="1"/>
  </r>
  <r>
    <s v="LA-701040"/>
    <d v="2024-06-01T00:00:00"/>
    <x v="0"/>
    <s v="Q2"/>
    <x v="5"/>
    <x v="1"/>
    <x v="0"/>
    <x v="2"/>
    <x v="0"/>
    <x v="0"/>
    <n v="3350"/>
    <n v="19500"/>
    <n v="48"/>
    <n v="0.31900000000000001"/>
    <s v="Approved"/>
    <x v="1"/>
    <n v="1"/>
    <n v="0"/>
    <n v="19500"/>
    <n v="0.1459"/>
    <n v="6"/>
    <n v="0"/>
    <n v="1"/>
  </r>
  <r>
    <s v="LA-701041"/>
    <d v="2024-06-01T00:00:00"/>
    <x v="0"/>
    <s v="Q2"/>
    <x v="5"/>
    <x v="1"/>
    <x v="3"/>
    <x v="3"/>
    <x v="1"/>
    <x v="0"/>
    <n v="6500"/>
    <n v="14000"/>
    <n v="12"/>
    <n v="0.34300000000000003"/>
    <s v="Rejected"/>
    <x v="0"/>
    <n v="0"/>
    <n v="1"/>
    <n v="0"/>
    <m/>
    <n v="5"/>
    <n v="0"/>
    <n v="1"/>
  </r>
  <r>
    <s v="LA-701042"/>
    <d v="2024-06-01T00:00:00"/>
    <x v="0"/>
    <s v="Q2"/>
    <x v="5"/>
    <x v="1"/>
    <x v="3"/>
    <x v="4"/>
    <x v="2"/>
    <x v="1"/>
    <n v="6750"/>
    <n v="12500"/>
    <n v="36"/>
    <n v="0.309"/>
    <s v="Approved"/>
    <x v="1"/>
    <n v="1"/>
    <n v="0"/>
    <n v="12500"/>
    <n v="0.12820000000000001"/>
    <n v="8"/>
    <n v="0"/>
    <n v="1"/>
  </r>
  <r>
    <s v="LA-701043"/>
    <d v="2024-06-01T00:00:00"/>
    <x v="0"/>
    <s v="Q2"/>
    <x v="5"/>
    <x v="1"/>
    <x v="1"/>
    <x v="2"/>
    <x v="1"/>
    <x v="2"/>
    <n v="3250"/>
    <n v="26500"/>
    <n v="36"/>
    <n v="0.34200000000000003"/>
    <s v="Rejected"/>
    <x v="0"/>
    <n v="0"/>
    <n v="1"/>
    <n v="0"/>
    <m/>
    <n v="1"/>
    <n v="1"/>
    <n v="1"/>
  </r>
  <r>
    <s v="LA-701044"/>
    <d v="2024-06-02T00:00:00"/>
    <x v="0"/>
    <s v="Q2"/>
    <x v="5"/>
    <x v="1"/>
    <x v="3"/>
    <x v="0"/>
    <x v="0"/>
    <x v="1"/>
    <n v="4150"/>
    <n v="10500"/>
    <n v="60"/>
    <n v="0.16400000000000001"/>
    <s v="Approved"/>
    <x v="1"/>
    <n v="1"/>
    <n v="0"/>
    <n v="10500"/>
    <n v="0.1239"/>
    <n v="5"/>
    <n v="0"/>
    <n v="1"/>
  </r>
  <r>
    <s v="LA-701045"/>
    <d v="2024-06-03T00:00:00"/>
    <x v="0"/>
    <s v="Q2"/>
    <x v="5"/>
    <x v="0"/>
    <x v="0"/>
    <x v="2"/>
    <x v="0"/>
    <x v="3"/>
    <n v="5300"/>
    <n v="26500"/>
    <n v="60"/>
    <n v="0.20100000000000001"/>
    <s v="Approved"/>
    <x v="1"/>
    <n v="1"/>
    <n v="0"/>
    <n v="26500"/>
    <n v="6.1499999999999999E-2"/>
    <n v="5"/>
    <n v="0"/>
    <n v="1"/>
  </r>
  <r>
    <s v="LA-701046"/>
    <d v="2024-06-03T00:00:00"/>
    <x v="0"/>
    <s v="Q2"/>
    <x v="5"/>
    <x v="0"/>
    <x v="3"/>
    <x v="3"/>
    <x v="1"/>
    <x v="3"/>
    <n v="13150"/>
    <n v="37000"/>
    <n v="48"/>
    <n v="0.29599999999999999"/>
    <s v="Rejected"/>
    <x v="4"/>
    <n v="0"/>
    <n v="1"/>
    <n v="0"/>
    <m/>
    <n v="10"/>
    <n v="0"/>
    <n v="1"/>
  </r>
  <r>
    <s v="LA-701047"/>
    <d v="2024-06-03T00:00:00"/>
    <x v="0"/>
    <s v="Q2"/>
    <x v="5"/>
    <x v="3"/>
    <x v="2"/>
    <x v="3"/>
    <x v="1"/>
    <x v="3"/>
    <n v="3150"/>
    <n v="206500"/>
    <n v="180"/>
    <n v="0.71199999999999997"/>
    <s v="Approved"/>
    <x v="1"/>
    <n v="1"/>
    <n v="0"/>
    <n v="165000"/>
    <n v="4.3999999999999997E-2"/>
    <n v="9"/>
    <n v="1"/>
    <n v="1"/>
  </r>
  <r>
    <s v="LA-701048"/>
    <d v="2024-06-03T00:00:00"/>
    <x v="0"/>
    <s v="Q2"/>
    <x v="5"/>
    <x v="1"/>
    <x v="0"/>
    <x v="3"/>
    <x v="0"/>
    <x v="4"/>
    <n v="2400"/>
    <n v="13000"/>
    <n v="12"/>
    <n v="0.57699999999999996"/>
    <s v="Rejected"/>
    <x v="4"/>
    <n v="0"/>
    <n v="1"/>
    <n v="0"/>
    <m/>
    <n v="7"/>
    <n v="0"/>
    <n v="1"/>
  </r>
  <r>
    <s v="LA-701049"/>
    <d v="2024-06-03T00:00:00"/>
    <x v="0"/>
    <s v="Q2"/>
    <x v="5"/>
    <x v="2"/>
    <x v="2"/>
    <x v="2"/>
    <x v="0"/>
    <x v="2"/>
    <n v="9250"/>
    <n v="62500"/>
    <n v="24"/>
    <n v="0.55600000000000005"/>
    <s v="Approved"/>
    <x v="1"/>
    <n v="1"/>
    <n v="0"/>
    <n v="62500"/>
    <n v="0.14499999999999999"/>
    <n v="4"/>
    <n v="1"/>
    <n v="1"/>
  </r>
  <r>
    <s v="LA-701050"/>
    <d v="2024-06-03T00:00:00"/>
    <x v="0"/>
    <s v="Q2"/>
    <x v="5"/>
    <x v="0"/>
    <x v="1"/>
    <x v="1"/>
    <x v="0"/>
    <x v="1"/>
    <n v="13300"/>
    <n v="11000"/>
    <n v="36"/>
    <n v="0.125"/>
    <s v="Approved"/>
    <x v="1"/>
    <n v="1"/>
    <n v="0"/>
    <n v="9000"/>
    <n v="7.4499999999999997E-2"/>
    <n v="2"/>
    <n v="1"/>
    <n v="1"/>
  </r>
  <r>
    <s v="LA-701051"/>
    <d v="2024-06-03T00:00:00"/>
    <x v="0"/>
    <s v="Q2"/>
    <x v="5"/>
    <x v="0"/>
    <x v="2"/>
    <x v="2"/>
    <x v="1"/>
    <x v="0"/>
    <n v="4200"/>
    <n v="52000"/>
    <n v="48"/>
    <n v="0.45900000000000002"/>
    <s v="Rejected"/>
    <x v="0"/>
    <n v="0"/>
    <n v="1"/>
    <n v="0"/>
    <m/>
    <n v="2"/>
    <n v="1"/>
    <n v="1"/>
  </r>
  <r>
    <s v="LA-701052"/>
    <d v="2024-06-04T00:00:00"/>
    <x v="0"/>
    <s v="Q2"/>
    <x v="5"/>
    <x v="0"/>
    <x v="3"/>
    <x v="1"/>
    <x v="0"/>
    <x v="0"/>
    <n v="3500"/>
    <n v="39000"/>
    <n v="48"/>
    <n v="0.40400000000000003"/>
    <s v="Approved"/>
    <x v="1"/>
    <n v="1"/>
    <n v="0"/>
    <n v="39000"/>
    <n v="9.6500000000000002E-2"/>
    <n v="8"/>
    <n v="0"/>
    <n v="1"/>
  </r>
  <r>
    <s v="LA-701053"/>
    <d v="2024-06-04T00:00:00"/>
    <x v="0"/>
    <s v="Q2"/>
    <x v="5"/>
    <x v="1"/>
    <x v="0"/>
    <x v="2"/>
    <x v="1"/>
    <x v="1"/>
    <n v="4600"/>
    <n v="5500"/>
    <n v="12"/>
    <n v="0.216"/>
    <s v="Approved"/>
    <x v="1"/>
    <n v="1"/>
    <n v="0"/>
    <n v="5500"/>
    <n v="0.128"/>
    <n v="4"/>
    <n v="0"/>
    <n v="1"/>
  </r>
  <r>
    <s v="LA-701054"/>
    <d v="2024-06-04T00:00:00"/>
    <x v="0"/>
    <s v="Q2"/>
    <x v="5"/>
    <x v="1"/>
    <x v="0"/>
    <x v="0"/>
    <x v="0"/>
    <x v="3"/>
    <n v="6600"/>
    <n v="18000"/>
    <n v="60"/>
    <n v="0.16"/>
    <s v="Approved"/>
    <x v="1"/>
    <n v="1"/>
    <n v="0"/>
    <n v="18000"/>
    <n v="0.1096"/>
    <n v="6"/>
    <n v="0"/>
    <n v="1"/>
  </r>
  <r>
    <s v="LA-701055"/>
    <d v="2024-06-04T00:00:00"/>
    <x v="0"/>
    <s v="Q2"/>
    <x v="5"/>
    <x v="1"/>
    <x v="3"/>
    <x v="3"/>
    <x v="2"/>
    <x v="3"/>
    <n v="8700"/>
    <n v="11500"/>
    <n v="24"/>
    <n v="0.23200000000000001"/>
    <s v="Approved"/>
    <x v="1"/>
    <n v="1"/>
    <n v="0"/>
    <n v="11500"/>
    <n v="0.1106"/>
    <n v="11"/>
    <n v="0"/>
    <n v="1"/>
  </r>
  <r>
    <s v="LA-701056"/>
    <d v="2024-06-04T00:00:00"/>
    <x v="0"/>
    <s v="Q2"/>
    <x v="5"/>
    <x v="3"/>
    <x v="3"/>
    <x v="2"/>
    <x v="1"/>
    <x v="3"/>
    <n v="4600"/>
    <n v="275000"/>
    <n v="300"/>
    <n v="0.39700000000000002"/>
    <s v="Approved"/>
    <x v="1"/>
    <n v="1"/>
    <n v="0"/>
    <n v="247500"/>
    <n v="4.7E-2"/>
    <n v="44"/>
    <n v="0"/>
    <n v="1"/>
  </r>
  <r>
    <s v="LA-701057"/>
    <d v="2024-06-04T00:00:00"/>
    <x v="0"/>
    <s v="Q2"/>
    <x v="5"/>
    <x v="0"/>
    <x v="1"/>
    <x v="3"/>
    <x v="0"/>
    <x v="1"/>
    <n v="4200"/>
    <n v="15500"/>
    <n v="36"/>
    <n v="0.28100000000000003"/>
    <s v="Approved"/>
    <x v="1"/>
    <n v="1"/>
    <n v="0"/>
    <n v="15500"/>
    <n v="7.5800000000000006E-2"/>
    <n v="2"/>
    <n v="1"/>
    <n v="1"/>
  </r>
  <r>
    <s v="LA-701058"/>
    <d v="2024-06-04T00:00:00"/>
    <x v="0"/>
    <s v="Q2"/>
    <x v="5"/>
    <x v="2"/>
    <x v="3"/>
    <x v="2"/>
    <x v="0"/>
    <x v="1"/>
    <n v="4150"/>
    <n v="53000"/>
    <n v="36"/>
    <n v="0.52900000000000003"/>
    <s v="Approved"/>
    <x v="1"/>
    <n v="1"/>
    <n v="0"/>
    <n v="42500"/>
    <n v="0.1072"/>
    <n v="14"/>
    <n v="0"/>
    <n v="1"/>
  </r>
  <r>
    <s v="LA-701059"/>
    <d v="2024-06-05T00:00:00"/>
    <x v="0"/>
    <s v="Q2"/>
    <x v="5"/>
    <x v="0"/>
    <x v="0"/>
    <x v="3"/>
    <x v="0"/>
    <x v="4"/>
    <n v="3250"/>
    <n v="28500"/>
    <n v="36"/>
    <n v="0.46500000000000002"/>
    <s v="Rejected"/>
    <x v="3"/>
    <n v="0"/>
    <n v="1"/>
    <n v="0"/>
    <m/>
    <n v="5"/>
    <n v="0"/>
    <n v="1"/>
  </r>
  <r>
    <s v="LA-701060"/>
    <d v="2024-06-05T00:00:00"/>
    <x v="0"/>
    <s v="Q2"/>
    <x v="5"/>
    <x v="1"/>
    <x v="3"/>
    <x v="1"/>
    <x v="0"/>
    <x v="3"/>
    <n v="6050"/>
    <n v="8000"/>
    <n v="24"/>
    <n v="0.28899999999999998"/>
    <s v="Approved"/>
    <x v="1"/>
    <n v="1"/>
    <n v="0"/>
    <n v="8000"/>
    <n v="0.1069"/>
    <n v="7"/>
    <n v="0"/>
    <n v="1"/>
  </r>
  <r>
    <s v="LA-701061"/>
    <d v="2024-06-05T00:00:00"/>
    <x v="0"/>
    <s v="Q2"/>
    <x v="5"/>
    <x v="2"/>
    <x v="2"/>
    <x v="1"/>
    <x v="0"/>
    <x v="0"/>
    <n v="4350"/>
    <n v="241000"/>
    <n v="24"/>
    <n v="2.6560000000000001"/>
    <s v="Rejected"/>
    <x v="0"/>
    <n v="0"/>
    <n v="1"/>
    <n v="0"/>
    <m/>
    <n v="3"/>
    <n v="1"/>
    <n v="1"/>
  </r>
  <r>
    <s v="LA-701062"/>
    <d v="2024-06-05T00:00:00"/>
    <x v="0"/>
    <s v="Q2"/>
    <x v="5"/>
    <x v="0"/>
    <x v="0"/>
    <x v="1"/>
    <x v="1"/>
    <x v="1"/>
    <n v="6450"/>
    <n v="34500"/>
    <n v="48"/>
    <n v="0.25700000000000001"/>
    <s v="Approved"/>
    <x v="1"/>
    <n v="1"/>
    <n v="0"/>
    <n v="34500"/>
    <n v="8.1100000000000005E-2"/>
    <n v="5"/>
    <n v="0"/>
    <n v="1"/>
  </r>
  <r>
    <s v="LA-701063"/>
    <d v="2024-06-05T00:00:00"/>
    <x v="0"/>
    <s v="Q2"/>
    <x v="5"/>
    <x v="1"/>
    <x v="3"/>
    <x v="2"/>
    <x v="2"/>
    <x v="3"/>
    <n v="5450"/>
    <n v="7500"/>
    <n v="60"/>
    <n v="0.17299999999999999"/>
    <s v="Approved"/>
    <x v="1"/>
    <n v="1"/>
    <n v="0"/>
    <n v="7500"/>
    <n v="0.1104"/>
    <n v="7"/>
    <n v="0"/>
    <n v="1"/>
  </r>
  <r>
    <s v="LA-701064"/>
    <d v="2024-06-05T00:00:00"/>
    <x v="0"/>
    <s v="Q2"/>
    <x v="5"/>
    <x v="1"/>
    <x v="1"/>
    <x v="2"/>
    <x v="1"/>
    <x v="1"/>
    <n v="11500"/>
    <n v="15500"/>
    <n v="24"/>
    <n v="0.224"/>
    <s v="Approved"/>
    <x v="1"/>
    <n v="1"/>
    <n v="0"/>
    <n v="15500"/>
    <n v="0.1285"/>
    <n v="2"/>
    <n v="1"/>
    <n v="1"/>
  </r>
  <r>
    <s v="LA-701065"/>
    <d v="2024-06-05T00:00:00"/>
    <x v="0"/>
    <s v="Q2"/>
    <x v="5"/>
    <x v="0"/>
    <x v="1"/>
    <x v="0"/>
    <x v="0"/>
    <x v="0"/>
    <n v="3400"/>
    <n v="70500"/>
    <n v="48"/>
    <n v="0.59399999999999997"/>
    <s v="Rejected"/>
    <x v="0"/>
    <n v="0"/>
    <n v="1"/>
    <n v="0"/>
    <m/>
    <n v="2"/>
    <n v="1"/>
    <n v="1"/>
  </r>
  <r>
    <s v="LA-701066"/>
    <d v="2024-06-05T00:00:00"/>
    <x v="0"/>
    <s v="Q2"/>
    <x v="5"/>
    <x v="1"/>
    <x v="1"/>
    <x v="2"/>
    <x v="2"/>
    <x v="4"/>
    <n v="5150"/>
    <n v="7000"/>
    <n v="60"/>
    <n v="0.107"/>
    <s v="Approved"/>
    <x v="1"/>
    <n v="1"/>
    <n v="0"/>
    <n v="5500"/>
    <n v="0.1157"/>
    <n v="4"/>
    <n v="0"/>
    <n v="1"/>
  </r>
  <r>
    <s v="LA-701067"/>
    <d v="2024-06-05T00:00:00"/>
    <x v="0"/>
    <s v="Q2"/>
    <x v="5"/>
    <x v="2"/>
    <x v="3"/>
    <x v="4"/>
    <x v="2"/>
    <x v="0"/>
    <n v="8100"/>
    <n v="57000"/>
    <n v="60"/>
    <n v="0.22"/>
    <s v="Approved"/>
    <x v="1"/>
    <n v="1"/>
    <n v="0"/>
    <n v="51500"/>
    <n v="0.12039999999999999"/>
    <n v="14"/>
    <n v="0"/>
    <n v="1"/>
  </r>
  <r>
    <s v="LA-701068"/>
    <d v="2024-06-05T00:00:00"/>
    <x v="0"/>
    <s v="Q2"/>
    <x v="5"/>
    <x v="0"/>
    <x v="0"/>
    <x v="2"/>
    <x v="1"/>
    <x v="4"/>
    <n v="8500"/>
    <n v="22500"/>
    <n v="36"/>
    <n v="0.22700000000000001"/>
    <s v="Approved"/>
    <x v="1"/>
    <n v="1"/>
    <n v="0"/>
    <n v="22500"/>
    <n v="7.22E-2"/>
    <n v="4"/>
    <n v="1"/>
    <n v="1"/>
  </r>
  <r>
    <s v="LA-701069"/>
    <d v="2024-06-06T00:00:00"/>
    <x v="0"/>
    <s v="Q2"/>
    <x v="5"/>
    <x v="1"/>
    <x v="3"/>
    <x v="1"/>
    <x v="2"/>
    <x v="0"/>
    <n v="10350"/>
    <n v="4500"/>
    <n v="12"/>
    <n v="0.127"/>
    <s v="Approved"/>
    <x v="1"/>
    <n v="1"/>
    <n v="0"/>
    <n v="4500"/>
    <n v="0.14019999999999999"/>
    <n v="6"/>
    <n v="0"/>
    <n v="1"/>
  </r>
  <r>
    <s v="LA-701070"/>
    <d v="2024-06-06T00:00:00"/>
    <x v="0"/>
    <s v="Q2"/>
    <x v="5"/>
    <x v="0"/>
    <x v="2"/>
    <x v="3"/>
    <x v="0"/>
    <x v="3"/>
    <n v="4250"/>
    <n v="26500"/>
    <n v="48"/>
    <n v="0.29299999999999998"/>
    <s v="Approved"/>
    <x v="1"/>
    <n v="1"/>
    <n v="0"/>
    <n v="24000"/>
    <n v="6.6000000000000003E-2"/>
    <n v="3"/>
    <n v="1"/>
    <n v="1"/>
  </r>
  <r>
    <s v="LA-701071"/>
    <d v="2024-06-06T00:00:00"/>
    <x v="0"/>
    <s v="Q2"/>
    <x v="5"/>
    <x v="2"/>
    <x v="3"/>
    <x v="1"/>
    <x v="1"/>
    <x v="4"/>
    <n v="2750"/>
    <n v="58500"/>
    <n v="36"/>
    <n v="0.89300000000000002"/>
    <s v="Rejected"/>
    <x v="3"/>
    <n v="0"/>
    <n v="1"/>
    <n v="0"/>
    <m/>
    <n v="18"/>
    <n v="0"/>
    <n v="1"/>
  </r>
  <r>
    <s v="LA-701072"/>
    <d v="2024-06-06T00:00:00"/>
    <x v="0"/>
    <s v="Q2"/>
    <x v="5"/>
    <x v="1"/>
    <x v="2"/>
    <x v="4"/>
    <x v="0"/>
    <x v="1"/>
    <n v="5250"/>
    <n v="23500"/>
    <n v="12"/>
    <n v="0.52500000000000002"/>
    <s v="Approved"/>
    <x v="1"/>
    <n v="1"/>
    <n v="0"/>
    <n v="23500"/>
    <n v="0.1273"/>
    <n v="2"/>
    <n v="1"/>
    <n v="1"/>
  </r>
  <r>
    <s v="LA-701073"/>
    <d v="2024-06-07T00:00:00"/>
    <x v="0"/>
    <s v="Q2"/>
    <x v="5"/>
    <x v="2"/>
    <x v="3"/>
    <x v="3"/>
    <x v="1"/>
    <x v="1"/>
    <n v="3450"/>
    <n v="66000"/>
    <n v="36"/>
    <n v="0.82799999999999996"/>
    <s v="Rejected"/>
    <x v="3"/>
    <n v="0"/>
    <n v="1"/>
    <n v="0"/>
    <m/>
    <n v="10"/>
    <n v="1"/>
    <n v="1"/>
  </r>
  <r>
    <s v="LA-701074"/>
    <d v="2024-06-07T00:00:00"/>
    <x v="0"/>
    <s v="Q2"/>
    <x v="5"/>
    <x v="1"/>
    <x v="3"/>
    <x v="1"/>
    <x v="0"/>
    <x v="1"/>
    <n v="5600"/>
    <n v="11000"/>
    <n v="60"/>
    <n v="0.22500000000000001"/>
    <s v="Withdrawn"/>
    <x v="1"/>
    <n v="0"/>
    <n v="0"/>
    <n v="0"/>
    <m/>
    <n v="6"/>
    <n v="0"/>
    <n v="1"/>
  </r>
  <r>
    <s v="LA-701075"/>
    <d v="2024-06-07T00:00:00"/>
    <x v="0"/>
    <s v="Q2"/>
    <x v="5"/>
    <x v="2"/>
    <x v="2"/>
    <x v="2"/>
    <x v="1"/>
    <x v="4"/>
    <n v="7650"/>
    <n v="160500"/>
    <n v="12"/>
    <n v="1.895"/>
    <s v="Rejected"/>
    <x v="3"/>
    <n v="0"/>
    <n v="1"/>
    <n v="0"/>
    <m/>
    <n v="10"/>
    <n v="1"/>
    <n v="1"/>
  </r>
  <r>
    <s v="LA-701076"/>
    <d v="2024-06-07T00:00:00"/>
    <x v="0"/>
    <s v="Q2"/>
    <x v="5"/>
    <x v="3"/>
    <x v="2"/>
    <x v="2"/>
    <x v="1"/>
    <x v="4"/>
    <n v="5150"/>
    <n v="452500"/>
    <n v="300"/>
    <n v="0.71199999999999997"/>
    <s v="Rejected"/>
    <x v="3"/>
    <n v="0"/>
    <n v="1"/>
    <n v="0"/>
    <m/>
    <n v="6"/>
    <n v="1"/>
    <n v="1"/>
  </r>
  <r>
    <s v="LA-701077"/>
    <d v="2024-06-07T00:00:00"/>
    <x v="0"/>
    <s v="Q2"/>
    <x v="5"/>
    <x v="0"/>
    <x v="0"/>
    <x v="1"/>
    <x v="1"/>
    <x v="4"/>
    <n v="3550"/>
    <n v="44000"/>
    <n v="60"/>
    <n v="0.376"/>
    <s v="Approved"/>
    <x v="1"/>
    <n v="1"/>
    <n v="0"/>
    <n v="44000"/>
    <n v="7.6100000000000001E-2"/>
    <n v="3"/>
    <n v="1"/>
    <n v="1"/>
  </r>
  <r>
    <s v="LA-701078"/>
    <d v="2024-06-08T00:00:00"/>
    <x v="0"/>
    <s v="Q2"/>
    <x v="5"/>
    <x v="0"/>
    <x v="1"/>
    <x v="2"/>
    <x v="2"/>
    <x v="2"/>
    <n v="2450"/>
    <n v="17000"/>
    <n v="60"/>
    <n v="0.35599999999999998"/>
    <s v="Withdrawn"/>
    <x v="1"/>
    <n v="0"/>
    <n v="0"/>
    <n v="0"/>
    <m/>
    <n v="3"/>
    <n v="1"/>
    <n v="1"/>
  </r>
  <r>
    <s v="LA-701079"/>
    <d v="2024-06-08T00:00:00"/>
    <x v="0"/>
    <s v="Q2"/>
    <x v="5"/>
    <x v="2"/>
    <x v="3"/>
    <x v="2"/>
    <x v="0"/>
    <x v="3"/>
    <n v="5600"/>
    <n v="73000"/>
    <n v="12"/>
    <n v="1.216"/>
    <s v="Rejected"/>
    <x v="4"/>
    <n v="0"/>
    <n v="1"/>
    <n v="0"/>
    <m/>
    <n v="22"/>
    <n v="0"/>
    <n v="1"/>
  </r>
  <r>
    <s v="LA-701080"/>
    <d v="2024-06-08T00:00:00"/>
    <x v="0"/>
    <s v="Q2"/>
    <x v="5"/>
    <x v="3"/>
    <x v="3"/>
    <x v="1"/>
    <x v="2"/>
    <x v="4"/>
    <n v="3900"/>
    <n v="549000"/>
    <n v="240"/>
    <n v="1.028"/>
    <s v="Withdrawn"/>
    <x v="1"/>
    <n v="0"/>
    <n v="0"/>
    <n v="0"/>
    <m/>
    <n v="19"/>
    <n v="0"/>
    <n v="1"/>
  </r>
  <r>
    <s v="LA-701081"/>
    <d v="2024-06-09T00:00:00"/>
    <x v="0"/>
    <s v="Q2"/>
    <x v="5"/>
    <x v="3"/>
    <x v="3"/>
    <x v="1"/>
    <x v="1"/>
    <x v="4"/>
    <n v="5400"/>
    <n v="140500"/>
    <n v="240"/>
    <n v="0.24"/>
    <s v="Approved"/>
    <x v="1"/>
    <n v="1"/>
    <n v="0"/>
    <n v="140500"/>
    <n v="4.99E-2"/>
    <n v="21"/>
    <n v="0"/>
    <n v="1"/>
  </r>
  <r>
    <s v="LA-701082"/>
    <d v="2024-06-09T00:00:00"/>
    <x v="0"/>
    <s v="Q2"/>
    <x v="5"/>
    <x v="3"/>
    <x v="2"/>
    <x v="2"/>
    <x v="1"/>
    <x v="0"/>
    <n v="6100"/>
    <n v="383500"/>
    <n v="180"/>
    <n v="0.71699999999999997"/>
    <s v="Rejected"/>
    <x v="0"/>
    <n v="0"/>
    <n v="1"/>
    <n v="0"/>
    <m/>
    <n v="15"/>
    <n v="1"/>
    <n v="1"/>
  </r>
  <r>
    <s v="LA-701083"/>
    <d v="2024-06-10T00:00:00"/>
    <x v="0"/>
    <s v="Q2"/>
    <x v="5"/>
    <x v="2"/>
    <x v="1"/>
    <x v="2"/>
    <x v="0"/>
    <x v="2"/>
    <n v="11000"/>
    <n v="40000"/>
    <n v="24"/>
    <n v="0.35399999999999998"/>
    <s v="Approved"/>
    <x v="1"/>
    <n v="1"/>
    <n v="0"/>
    <n v="40000"/>
    <n v="0.14230000000000001"/>
    <n v="7"/>
    <n v="1"/>
    <n v="1"/>
  </r>
  <r>
    <s v="LA-701084"/>
    <d v="2024-06-10T00:00:00"/>
    <x v="0"/>
    <s v="Q2"/>
    <x v="5"/>
    <x v="3"/>
    <x v="2"/>
    <x v="2"/>
    <x v="0"/>
    <x v="3"/>
    <n v="2150"/>
    <n v="263500"/>
    <n v="180"/>
    <n v="1.135"/>
    <s v="Approved"/>
    <x v="1"/>
    <n v="1"/>
    <n v="0"/>
    <n v="237000"/>
    <n v="4.3700000000000003E-2"/>
    <n v="8"/>
    <n v="1"/>
    <n v="1"/>
  </r>
  <r>
    <s v="LA-701085"/>
    <d v="2024-06-10T00:00:00"/>
    <x v="0"/>
    <s v="Q2"/>
    <x v="5"/>
    <x v="2"/>
    <x v="2"/>
    <x v="3"/>
    <x v="0"/>
    <x v="1"/>
    <n v="3650"/>
    <n v="90500"/>
    <n v="60"/>
    <n v="0.65200000000000002"/>
    <s v="Withdrawn"/>
    <x v="1"/>
    <n v="0"/>
    <n v="0"/>
    <n v="0"/>
    <m/>
    <n v="6"/>
    <n v="1"/>
    <n v="1"/>
  </r>
  <r>
    <s v="LA-701086"/>
    <d v="2024-06-10T00:00:00"/>
    <x v="0"/>
    <s v="Q2"/>
    <x v="5"/>
    <x v="1"/>
    <x v="3"/>
    <x v="3"/>
    <x v="0"/>
    <x v="1"/>
    <n v="9650"/>
    <n v="13500"/>
    <n v="60"/>
    <n v="0.25"/>
    <s v="Approved"/>
    <x v="1"/>
    <n v="1"/>
    <n v="0"/>
    <n v="13500"/>
    <n v="0.1239"/>
    <n v="10"/>
    <n v="0"/>
    <n v="1"/>
  </r>
  <r>
    <s v="LA-701087"/>
    <d v="2024-06-10T00:00:00"/>
    <x v="0"/>
    <s v="Q2"/>
    <x v="5"/>
    <x v="1"/>
    <x v="1"/>
    <x v="3"/>
    <x v="2"/>
    <x v="2"/>
    <n v="8050"/>
    <n v="14000"/>
    <n v="12"/>
    <n v="0.371"/>
    <s v="Rejected"/>
    <x v="0"/>
    <n v="0"/>
    <n v="1"/>
    <n v="0"/>
    <m/>
    <n v="2"/>
    <n v="1"/>
    <n v="1"/>
  </r>
  <r>
    <s v="LA-701088"/>
    <d v="2024-06-10T00:00:00"/>
    <x v="0"/>
    <s v="Q2"/>
    <x v="5"/>
    <x v="3"/>
    <x v="2"/>
    <x v="1"/>
    <x v="1"/>
    <x v="0"/>
    <n v="8850"/>
    <n v="248500"/>
    <n v="180"/>
    <n v="0.44800000000000001"/>
    <s v="Approved"/>
    <x v="1"/>
    <n v="1"/>
    <n v="0"/>
    <n v="248500"/>
    <n v="7.6899999999999996E-2"/>
    <n v="13"/>
    <n v="1"/>
    <n v="1"/>
  </r>
  <r>
    <s v="LA-701089"/>
    <d v="2024-06-10T00:00:00"/>
    <x v="0"/>
    <s v="Q2"/>
    <x v="5"/>
    <x v="1"/>
    <x v="2"/>
    <x v="2"/>
    <x v="0"/>
    <x v="1"/>
    <n v="1750"/>
    <n v="11500"/>
    <n v="60"/>
    <n v="0.23"/>
    <s v="Approved"/>
    <x v="1"/>
    <n v="1"/>
    <n v="0"/>
    <n v="11500"/>
    <n v="0.1208"/>
    <n v="2"/>
    <n v="1"/>
    <n v="1"/>
  </r>
  <r>
    <s v="LA-701090"/>
    <d v="2024-06-10T00:00:00"/>
    <x v="0"/>
    <s v="Q2"/>
    <x v="5"/>
    <x v="3"/>
    <x v="3"/>
    <x v="0"/>
    <x v="0"/>
    <x v="4"/>
    <n v="6400"/>
    <n v="389500"/>
    <n v="240"/>
    <n v="0.60399999999999998"/>
    <s v="Rejected"/>
    <x v="3"/>
    <n v="0"/>
    <n v="1"/>
    <n v="0"/>
    <m/>
    <n v="15"/>
    <n v="1"/>
    <n v="1"/>
  </r>
  <r>
    <s v="LA-701091"/>
    <d v="2024-06-10T00:00:00"/>
    <x v="0"/>
    <s v="Q2"/>
    <x v="5"/>
    <x v="1"/>
    <x v="1"/>
    <x v="3"/>
    <x v="1"/>
    <x v="1"/>
    <n v="5400"/>
    <n v="8000"/>
    <n v="24"/>
    <n v="0.18099999999999999"/>
    <s v="Approved"/>
    <x v="1"/>
    <n v="1"/>
    <n v="0"/>
    <n v="8000"/>
    <n v="0.1197"/>
    <n v="1"/>
    <n v="1"/>
    <n v="1"/>
  </r>
  <r>
    <s v="LA-701092"/>
    <d v="2024-06-10T00:00:00"/>
    <x v="0"/>
    <s v="Q2"/>
    <x v="5"/>
    <x v="1"/>
    <x v="3"/>
    <x v="4"/>
    <x v="1"/>
    <x v="1"/>
    <n v="9800"/>
    <n v="4500"/>
    <n v="24"/>
    <n v="0.25"/>
    <s v="Rejected"/>
    <x v="5"/>
    <n v="0"/>
    <n v="1"/>
    <n v="0"/>
    <m/>
    <n v="5"/>
    <n v="0"/>
    <n v="1"/>
  </r>
  <r>
    <s v="LA-701093"/>
    <d v="2024-06-11T00:00:00"/>
    <x v="0"/>
    <s v="Q2"/>
    <x v="5"/>
    <x v="0"/>
    <x v="1"/>
    <x v="2"/>
    <x v="0"/>
    <x v="2"/>
    <n v="3900"/>
    <n v="14500"/>
    <n v="60"/>
    <n v="0.317"/>
    <s v="Rejected"/>
    <x v="0"/>
    <n v="0"/>
    <n v="1"/>
    <n v="0"/>
    <m/>
    <n v="2"/>
    <n v="1"/>
    <n v="1"/>
  </r>
  <r>
    <s v="LA-701094"/>
    <d v="2024-06-11T00:00:00"/>
    <x v="0"/>
    <s v="Q2"/>
    <x v="5"/>
    <x v="3"/>
    <x v="3"/>
    <x v="4"/>
    <x v="1"/>
    <x v="0"/>
    <n v="6050"/>
    <n v="208500"/>
    <n v="240"/>
    <n v="0.42399999999999999"/>
    <s v="Rejected"/>
    <x v="0"/>
    <n v="0"/>
    <n v="1"/>
    <n v="0"/>
    <m/>
    <n v="14"/>
    <n v="1"/>
    <n v="1"/>
  </r>
  <r>
    <s v="LA-701095"/>
    <d v="2024-06-11T00:00:00"/>
    <x v="0"/>
    <s v="Q2"/>
    <x v="5"/>
    <x v="3"/>
    <x v="2"/>
    <x v="1"/>
    <x v="2"/>
    <x v="2"/>
    <n v="11250"/>
    <n v="340500"/>
    <n v="300"/>
    <n v="0.41099999999999998"/>
    <s v="Rejected"/>
    <x v="0"/>
    <n v="0"/>
    <n v="1"/>
    <n v="0"/>
    <m/>
    <n v="18"/>
    <n v="0"/>
    <n v="1"/>
  </r>
  <r>
    <s v="LA-701096"/>
    <d v="2024-06-12T00:00:00"/>
    <x v="0"/>
    <s v="Q2"/>
    <x v="5"/>
    <x v="0"/>
    <x v="3"/>
    <x v="0"/>
    <x v="1"/>
    <x v="0"/>
    <n v="5450"/>
    <n v="27500"/>
    <n v="36"/>
    <n v="0.4"/>
    <s v="Rejected"/>
    <x v="0"/>
    <n v="0"/>
    <n v="1"/>
    <n v="0"/>
    <m/>
    <n v="5"/>
    <n v="0"/>
    <n v="1"/>
  </r>
  <r>
    <s v="LA-701097"/>
    <d v="2024-06-12T00:00:00"/>
    <x v="0"/>
    <s v="Q2"/>
    <x v="5"/>
    <x v="3"/>
    <x v="1"/>
    <x v="0"/>
    <x v="0"/>
    <x v="0"/>
    <n v="3700"/>
    <n v="174000"/>
    <n v="180"/>
    <n v="0.42799999999999999"/>
    <s v="Rejected"/>
    <x v="2"/>
    <n v="0"/>
    <n v="1"/>
    <n v="0"/>
    <m/>
    <n v="7"/>
    <n v="1"/>
    <n v="1"/>
  </r>
  <r>
    <s v="LA-701098"/>
    <d v="2024-06-12T00:00:00"/>
    <x v="0"/>
    <s v="Q2"/>
    <x v="5"/>
    <x v="1"/>
    <x v="0"/>
    <x v="2"/>
    <x v="0"/>
    <x v="4"/>
    <n v="5900"/>
    <n v="13000"/>
    <n v="48"/>
    <n v="0.24"/>
    <s v="Approved"/>
    <x v="1"/>
    <n v="1"/>
    <n v="0"/>
    <n v="13000"/>
    <n v="0.11169999999999999"/>
    <n v="3"/>
    <n v="1"/>
    <n v="1"/>
  </r>
  <r>
    <s v="LA-701099"/>
    <d v="2024-06-13T00:00:00"/>
    <x v="0"/>
    <s v="Q2"/>
    <x v="5"/>
    <x v="1"/>
    <x v="0"/>
    <x v="1"/>
    <x v="2"/>
    <x v="1"/>
    <n v="5250"/>
    <n v="12500"/>
    <n v="36"/>
    <n v="0.28199999999999997"/>
    <s v="Approved"/>
    <x v="1"/>
    <n v="1"/>
    <n v="0"/>
    <n v="12500"/>
    <n v="0.128"/>
    <n v="8"/>
    <n v="0"/>
    <n v="1"/>
  </r>
  <r>
    <s v="LA-701100"/>
    <d v="2024-06-13T00:00:00"/>
    <x v="0"/>
    <s v="Q2"/>
    <x v="5"/>
    <x v="0"/>
    <x v="3"/>
    <x v="1"/>
    <x v="0"/>
    <x v="1"/>
    <n v="2700"/>
    <n v="13000"/>
    <n v="60"/>
    <n v="0.156"/>
    <s v="Approved"/>
    <x v="1"/>
    <n v="1"/>
    <n v="0"/>
    <n v="13000"/>
    <n v="7.9600000000000004E-2"/>
    <n v="9"/>
    <n v="0"/>
    <n v="1"/>
  </r>
  <r>
    <s v="LA-701101"/>
    <d v="2024-06-13T00:00:00"/>
    <x v="0"/>
    <s v="Q2"/>
    <x v="5"/>
    <x v="1"/>
    <x v="3"/>
    <x v="3"/>
    <x v="0"/>
    <x v="2"/>
    <n v="8350"/>
    <n v="14500"/>
    <n v="60"/>
    <n v="0.14399999999999999"/>
    <s v="Rejected"/>
    <x v="0"/>
    <n v="0"/>
    <n v="1"/>
    <n v="0"/>
    <m/>
    <n v="4"/>
    <n v="0"/>
    <n v="1"/>
  </r>
  <r>
    <s v="LA-701102"/>
    <d v="2024-06-13T00:00:00"/>
    <x v="0"/>
    <s v="Q2"/>
    <x v="5"/>
    <x v="2"/>
    <x v="0"/>
    <x v="0"/>
    <x v="2"/>
    <x v="1"/>
    <n v="3850"/>
    <n v="102000"/>
    <n v="36"/>
    <n v="0.92100000000000004"/>
    <s v="Approved"/>
    <x v="1"/>
    <n v="1"/>
    <n v="0"/>
    <n v="92000"/>
    <n v="0.112"/>
    <n v="10"/>
    <n v="1"/>
    <n v="1"/>
  </r>
  <r>
    <s v="LA-701103"/>
    <d v="2024-06-13T00:00:00"/>
    <x v="0"/>
    <s v="Q2"/>
    <x v="5"/>
    <x v="1"/>
    <x v="2"/>
    <x v="1"/>
    <x v="1"/>
    <x v="0"/>
    <n v="6600"/>
    <n v="21000"/>
    <n v="48"/>
    <n v="0.151"/>
    <s v="Rejected"/>
    <x v="0"/>
    <n v="0"/>
    <n v="1"/>
    <n v="0"/>
    <m/>
    <n v="2"/>
    <n v="1"/>
    <n v="1"/>
  </r>
  <r>
    <s v="LA-701104"/>
    <d v="2024-06-14T00:00:00"/>
    <x v="0"/>
    <s v="Q2"/>
    <x v="5"/>
    <x v="1"/>
    <x v="3"/>
    <x v="3"/>
    <x v="1"/>
    <x v="4"/>
    <n v="6500"/>
    <n v="27500"/>
    <n v="12"/>
    <n v="0.51800000000000002"/>
    <s v="Approved"/>
    <x v="1"/>
    <n v="1"/>
    <n v="0"/>
    <n v="25000"/>
    <n v="0.11600000000000001"/>
    <n v="8"/>
    <n v="0"/>
    <n v="1"/>
  </r>
  <r>
    <s v="LA-701105"/>
    <d v="2024-06-14T00:00:00"/>
    <x v="0"/>
    <s v="Q2"/>
    <x v="5"/>
    <x v="3"/>
    <x v="2"/>
    <x v="2"/>
    <x v="0"/>
    <x v="1"/>
    <n v="5150"/>
    <n v="235500"/>
    <n v="300"/>
    <n v="0.50900000000000001"/>
    <s v="Rejected"/>
    <x v="3"/>
    <n v="0"/>
    <n v="1"/>
    <n v="0"/>
    <m/>
    <n v="8"/>
    <n v="1"/>
    <n v="1"/>
  </r>
  <r>
    <s v="LA-701106"/>
    <d v="2024-06-14T00:00:00"/>
    <x v="0"/>
    <s v="Q2"/>
    <x v="5"/>
    <x v="1"/>
    <x v="1"/>
    <x v="4"/>
    <x v="0"/>
    <x v="1"/>
    <n v="5750"/>
    <n v="9500"/>
    <n v="24"/>
    <n v="0.159"/>
    <s v="Rejected"/>
    <x v="4"/>
    <n v="0"/>
    <n v="1"/>
    <n v="0"/>
    <m/>
    <n v="4"/>
    <n v="0"/>
    <n v="1"/>
  </r>
  <r>
    <s v="LA-701107"/>
    <d v="2024-06-14T00:00:00"/>
    <x v="0"/>
    <s v="Q2"/>
    <x v="5"/>
    <x v="1"/>
    <x v="3"/>
    <x v="2"/>
    <x v="1"/>
    <x v="4"/>
    <n v="4850"/>
    <n v="7500"/>
    <n v="48"/>
    <n v="0.184"/>
    <s v="Approved"/>
    <x v="1"/>
    <n v="1"/>
    <n v="0"/>
    <n v="7500"/>
    <n v="0.1115"/>
    <n v="5"/>
    <n v="0"/>
    <n v="1"/>
  </r>
  <r>
    <s v="LA-701108"/>
    <d v="2024-06-14T00:00:00"/>
    <x v="0"/>
    <s v="Q2"/>
    <x v="5"/>
    <x v="1"/>
    <x v="2"/>
    <x v="2"/>
    <x v="1"/>
    <x v="1"/>
    <n v="5800"/>
    <n v="21500"/>
    <n v="12"/>
    <n v="0.52100000000000002"/>
    <s v="Approved"/>
    <x v="1"/>
    <n v="1"/>
    <n v="0"/>
    <n v="19500"/>
    <n v="0.12379999999999999"/>
    <n v="2"/>
    <n v="1"/>
    <n v="1"/>
  </r>
  <r>
    <s v="LA-701109"/>
    <d v="2024-06-14T00:00:00"/>
    <x v="0"/>
    <s v="Q2"/>
    <x v="5"/>
    <x v="1"/>
    <x v="0"/>
    <x v="4"/>
    <x v="2"/>
    <x v="4"/>
    <n v="15650"/>
    <n v="47000"/>
    <n v="60"/>
    <n v="0.26500000000000001"/>
    <s v="Approved"/>
    <x v="1"/>
    <n v="1"/>
    <n v="0"/>
    <n v="47000"/>
    <n v="0.11210000000000001"/>
    <n v="3"/>
    <n v="1"/>
    <n v="1"/>
  </r>
  <r>
    <s v="LA-701110"/>
    <d v="2024-06-14T00:00:00"/>
    <x v="0"/>
    <s v="Q2"/>
    <x v="5"/>
    <x v="3"/>
    <x v="2"/>
    <x v="2"/>
    <x v="2"/>
    <x v="1"/>
    <n v="3900"/>
    <n v="280000"/>
    <n v="300"/>
    <n v="0.48799999999999999"/>
    <s v="Approved"/>
    <x v="1"/>
    <n v="1"/>
    <n v="0"/>
    <n v="280000"/>
    <n v="5.74E-2"/>
    <n v="6"/>
    <n v="1"/>
    <n v="1"/>
  </r>
  <r>
    <s v="LA-701111"/>
    <d v="2024-06-15T00:00:00"/>
    <x v="0"/>
    <s v="Q2"/>
    <x v="5"/>
    <x v="2"/>
    <x v="3"/>
    <x v="2"/>
    <x v="1"/>
    <x v="2"/>
    <n v="3700"/>
    <n v="35000"/>
    <n v="60"/>
    <n v="0.33"/>
    <s v="Rejected"/>
    <x v="5"/>
    <n v="0"/>
    <n v="1"/>
    <n v="0"/>
    <m/>
    <n v="12"/>
    <n v="0"/>
    <n v="1"/>
  </r>
  <r>
    <s v="LA-701112"/>
    <d v="2024-06-15T00:00:00"/>
    <x v="0"/>
    <s v="Q2"/>
    <x v="5"/>
    <x v="1"/>
    <x v="0"/>
    <x v="3"/>
    <x v="0"/>
    <x v="1"/>
    <n v="4200"/>
    <n v="9000"/>
    <n v="60"/>
    <n v="0.26100000000000001"/>
    <s v="Approved"/>
    <x v="1"/>
    <n v="1"/>
    <n v="0"/>
    <n v="7000"/>
    <n v="0.1283"/>
    <n v="4"/>
    <n v="0"/>
    <n v="1"/>
  </r>
  <r>
    <s v="LA-701113"/>
    <d v="2024-06-15T00:00:00"/>
    <x v="0"/>
    <s v="Q2"/>
    <x v="5"/>
    <x v="1"/>
    <x v="1"/>
    <x v="2"/>
    <x v="0"/>
    <x v="1"/>
    <n v="3200"/>
    <n v="21500"/>
    <n v="48"/>
    <n v="0.40100000000000002"/>
    <s v="Rejected"/>
    <x v="0"/>
    <n v="0"/>
    <n v="1"/>
    <n v="0"/>
    <m/>
    <n v="2"/>
    <n v="1"/>
    <n v="1"/>
  </r>
  <r>
    <s v="LA-701114"/>
    <d v="2024-06-15T00:00:00"/>
    <x v="0"/>
    <s v="Q2"/>
    <x v="5"/>
    <x v="2"/>
    <x v="0"/>
    <x v="1"/>
    <x v="1"/>
    <x v="1"/>
    <n v="3200"/>
    <n v="140000"/>
    <n v="60"/>
    <n v="1.1060000000000001"/>
    <s v="Rejected"/>
    <x v="3"/>
    <n v="0"/>
    <n v="1"/>
    <n v="0"/>
    <m/>
    <n v="9"/>
    <n v="1"/>
    <n v="1"/>
  </r>
  <r>
    <s v="LA-701115"/>
    <d v="2024-06-16T00:00:00"/>
    <x v="0"/>
    <s v="Q2"/>
    <x v="5"/>
    <x v="0"/>
    <x v="0"/>
    <x v="4"/>
    <x v="2"/>
    <x v="3"/>
    <n v="7500"/>
    <n v="18500"/>
    <n v="36"/>
    <n v="0.23599999999999999"/>
    <s v="Rejected"/>
    <x v="4"/>
    <n v="0"/>
    <n v="1"/>
    <n v="0"/>
    <m/>
    <n v="9"/>
    <n v="0"/>
    <n v="1"/>
  </r>
  <r>
    <s v="LA-701116"/>
    <d v="2024-06-17T00:00:00"/>
    <x v="0"/>
    <s v="Q2"/>
    <x v="5"/>
    <x v="0"/>
    <x v="1"/>
    <x v="0"/>
    <x v="2"/>
    <x v="0"/>
    <n v="9250"/>
    <n v="30500"/>
    <n v="36"/>
    <n v="0.193"/>
    <s v="Approved"/>
    <x v="1"/>
    <n v="1"/>
    <n v="0"/>
    <n v="30500"/>
    <n v="9.8400000000000001E-2"/>
    <n v="3"/>
    <n v="1"/>
    <n v="1"/>
  </r>
  <r>
    <s v="LA-701117"/>
    <d v="2024-06-17T00:00:00"/>
    <x v="0"/>
    <s v="Q2"/>
    <x v="5"/>
    <x v="1"/>
    <x v="3"/>
    <x v="1"/>
    <x v="2"/>
    <x v="1"/>
    <n v="7700"/>
    <n v="6500"/>
    <n v="12"/>
    <n v="0.315"/>
    <s v="Approved"/>
    <x v="1"/>
    <n v="1"/>
    <n v="0"/>
    <n v="6500"/>
    <n v="0.126"/>
    <n v="5"/>
    <n v="0"/>
    <n v="1"/>
  </r>
  <r>
    <s v="LA-701118"/>
    <d v="2024-06-17T00:00:00"/>
    <x v="0"/>
    <s v="Q2"/>
    <x v="5"/>
    <x v="1"/>
    <x v="1"/>
    <x v="2"/>
    <x v="1"/>
    <x v="1"/>
    <n v="8500"/>
    <n v="27500"/>
    <n v="60"/>
    <n v="0.153"/>
    <s v="Approved"/>
    <x v="1"/>
    <n v="1"/>
    <n v="0"/>
    <n v="27500"/>
    <n v="0.1221"/>
    <n v="2"/>
    <n v="1"/>
    <n v="1"/>
  </r>
  <r>
    <s v="LA-701119"/>
    <d v="2024-06-17T00:00:00"/>
    <x v="0"/>
    <s v="Q2"/>
    <x v="5"/>
    <x v="1"/>
    <x v="2"/>
    <x v="3"/>
    <x v="0"/>
    <x v="1"/>
    <n v="2350"/>
    <n v="21000"/>
    <n v="24"/>
    <n v="0.58899999999999997"/>
    <s v="Rejected"/>
    <x v="4"/>
    <n v="0"/>
    <n v="1"/>
    <n v="0"/>
    <m/>
    <n v="6"/>
    <n v="0"/>
    <n v="1"/>
  </r>
  <r>
    <s v="LA-701120"/>
    <d v="2024-06-17T00:00:00"/>
    <x v="0"/>
    <s v="Q2"/>
    <x v="5"/>
    <x v="1"/>
    <x v="1"/>
    <x v="1"/>
    <x v="2"/>
    <x v="0"/>
    <n v="6100"/>
    <n v="7500"/>
    <n v="60"/>
    <n v="0.14099999999999999"/>
    <s v="Rejected"/>
    <x v="0"/>
    <n v="0"/>
    <n v="1"/>
    <n v="0"/>
    <m/>
    <n v="2"/>
    <n v="1"/>
    <n v="1"/>
  </r>
  <r>
    <s v="LA-701121"/>
    <d v="2024-06-17T00:00:00"/>
    <x v="0"/>
    <s v="Q2"/>
    <x v="5"/>
    <x v="1"/>
    <x v="1"/>
    <x v="2"/>
    <x v="1"/>
    <x v="0"/>
    <n v="5500"/>
    <n v="6000"/>
    <n v="60"/>
    <n v="9.2999999999999999E-2"/>
    <s v="Rejected"/>
    <x v="5"/>
    <n v="0"/>
    <n v="1"/>
    <n v="0"/>
    <m/>
    <n v="2"/>
    <n v="1"/>
    <n v="1"/>
  </r>
  <r>
    <s v="LA-701122"/>
    <d v="2024-06-17T00:00:00"/>
    <x v="0"/>
    <s v="Q2"/>
    <x v="5"/>
    <x v="1"/>
    <x v="0"/>
    <x v="2"/>
    <x v="0"/>
    <x v="0"/>
    <n v="5550"/>
    <n v="12500"/>
    <n v="12"/>
    <n v="0.30499999999999999"/>
    <s v="Rejected"/>
    <x v="0"/>
    <n v="0"/>
    <n v="1"/>
    <n v="0"/>
    <m/>
    <n v="3"/>
    <n v="1"/>
    <n v="1"/>
  </r>
  <r>
    <s v="LA-701123"/>
    <d v="2024-06-17T00:00:00"/>
    <x v="0"/>
    <s v="Q2"/>
    <x v="5"/>
    <x v="1"/>
    <x v="1"/>
    <x v="2"/>
    <x v="1"/>
    <x v="2"/>
    <n v="2300"/>
    <n v="20000"/>
    <n v="60"/>
    <n v="0.26700000000000002"/>
    <s v="Rejected"/>
    <x v="0"/>
    <n v="0"/>
    <n v="1"/>
    <n v="0"/>
    <m/>
    <n v="2"/>
    <n v="1"/>
    <n v="1"/>
  </r>
  <r>
    <s v="LA-701124"/>
    <d v="2024-06-17T00:00:00"/>
    <x v="0"/>
    <s v="Q2"/>
    <x v="5"/>
    <x v="1"/>
    <x v="2"/>
    <x v="1"/>
    <x v="0"/>
    <x v="4"/>
    <n v="4850"/>
    <n v="11000"/>
    <n v="12"/>
    <n v="0.39"/>
    <s v="Approved"/>
    <x v="1"/>
    <n v="1"/>
    <n v="0"/>
    <n v="11000"/>
    <n v="0.1201"/>
    <n v="2"/>
    <n v="1"/>
    <n v="1"/>
  </r>
  <r>
    <s v="LA-701125"/>
    <d v="2024-06-17T00:00:00"/>
    <x v="0"/>
    <s v="Q2"/>
    <x v="5"/>
    <x v="1"/>
    <x v="0"/>
    <x v="2"/>
    <x v="2"/>
    <x v="4"/>
    <n v="10100"/>
    <n v="7000"/>
    <n v="36"/>
    <n v="0.126"/>
    <s v="Approved"/>
    <x v="1"/>
    <n v="1"/>
    <n v="0"/>
    <n v="7000"/>
    <n v="0.1133"/>
    <n v="5"/>
    <n v="0"/>
    <n v="1"/>
  </r>
  <r>
    <s v="LA-701126"/>
    <d v="2024-06-17T00:00:00"/>
    <x v="0"/>
    <s v="Q2"/>
    <x v="5"/>
    <x v="1"/>
    <x v="3"/>
    <x v="1"/>
    <x v="1"/>
    <x v="0"/>
    <n v="4450"/>
    <n v="19000"/>
    <n v="60"/>
    <n v="0.16300000000000001"/>
    <s v="Rejected"/>
    <x v="0"/>
    <n v="0"/>
    <n v="1"/>
    <n v="0"/>
    <m/>
    <n v="5"/>
    <n v="0"/>
    <n v="1"/>
  </r>
  <r>
    <s v="LA-701127"/>
    <d v="2024-06-17T00:00:00"/>
    <x v="0"/>
    <s v="Q2"/>
    <x v="5"/>
    <x v="1"/>
    <x v="3"/>
    <x v="3"/>
    <x v="0"/>
    <x v="3"/>
    <n v="3650"/>
    <n v="7500"/>
    <n v="24"/>
    <n v="0.29099999999999998"/>
    <s v="Rejected"/>
    <x v="5"/>
    <n v="0"/>
    <n v="1"/>
    <n v="0"/>
    <m/>
    <n v="3"/>
    <n v="1"/>
    <n v="1"/>
  </r>
  <r>
    <s v="LA-701128"/>
    <d v="2024-06-18T00:00:00"/>
    <x v="0"/>
    <s v="Q2"/>
    <x v="5"/>
    <x v="3"/>
    <x v="1"/>
    <x v="1"/>
    <x v="1"/>
    <x v="4"/>
    <n v="3800"/>
    <n v="295000"/>
    <n v="180"/>
    <n v="0.84199999999999997"/>
    <s v="Rejected"/>
    <x v="3"/>
    <n v="0"/>
    <n v="1"/>
    <n v="0"/>
    <m/>
    <n v="13"/>
    <n v="1"/>
    <n v="1"/>
  </r>
  <r>
    <s v="LA-701129"/>
    <d v="2024-06-18T00:00:00"/>
    <x v="0"/>
    <s v="Q2"/>
    <x v="5"/>
    <x v="0"/>
    <x v="3"/>
    <x v="1"/>
    <x v="0"/>
    <x v="0"/>
    <n v="4750"/>
    <n v="41500"/>
    <n v="36"/>
    <n v="0.35499999999999998"/>
    <s v="Rejected"/>
    <x v="0"/>
    <n v="0"/>
    <n v="1"/>
    <n v="0"/>
    <m/>
    <n v="6"/>
    <n v="0"/>
    <n v="1"/>
  </r>
  <r>
    <s v="LA-701130"/>
    <d v="2024-06-18T00:00:00"/>
    <x v="0"/>
    <s v="Q2"/>
    <x v="5"/>
    <x v="2"/>
    <x v="2"/>
    <x v="2"/>
    <x v="1"/>
    <x v="4"/>
    <n v="8700"/>
    <n v="203500"/>
    <n v="60"/>
    <n v="0.74299999999999999"/>
    <s v="Approved"/>
    <x v="1"/>
    <n v="1"/>
    <n v="0"/>
    <n v="203500"/>
    <n v="0.1031"/>
    <n v="7"/>
    <n v="1"/>
    <n v="1"/>
  </r>
  <r>
    <s v="LA-701131"/>
    <d v="2024-06-18T00:00:00"/>
    <x v="0"/>
    <s v="Q2"/>
    <x v="5"/>
    <x v="3"/>
    <x v="1"/>
    <x v="2"/>
    <x v="1"/>
    <x v="4"/>
    <n v="10750"/>
    <n v="339000"/>
    <n v="180"/>
    <n v="0.35099999999999998"/>
    <s v="Approved"/>
    <x v="1"/>
    <n v="1"/>
    <n v="0"/>
    <n v="339000"/>
    <n v="4.9299999999999997E-2"/>
    <n v="10"/>
    <n v="1"/>
    <n v="1"/>
  </r>
  <r>
    <s v="LA-701132"/>
    <d v="2024-06-18T00:00:00"/>
    <x v="0"/>
    <s v="Q2"/>
    <x v="5"/>
    <x v="0"/>
    <x v="3"/>
    <x v="4"/>
    <x v="2"/>
    <x v="4"/>
    <n v="12100"/>
    <n v="45000"/>
    <n v="48"/>
    <n v="0.16800000000000001"/>
    <s v="Approved"/>
    <x v="1"/>
    <n v="1"/>
    <n v="0"/>
    <n v="40500"/>
    <n v="7.2599999999999998E-2"/>
    <n v="4"/>
    <n v="1"/>
    <n v="1"/>
  </r>
  <r>
    <s v="LA-701133"/>
    <d v="2024-06-18T00:00:00"/>
    <x v="0"/>
    <s v="Q2"/>
    <x v="5"/>
    <x v="3"/>
    <x v="3"/>
    <x v="3"/>
    <x v="1"/>
    <x v="1"/>
    <n v="9600"/>
    <n v="212500"/>
    <n v="180"/>
    <n v="0.371"/>
    <s v="Rejected"/>
    <x v="5"/>
    <n v="0"/>
    <n v="1"/>
    <n v="0"/>
    <m/>
    <n v="8"/>
    <n v="1"/>
    <n v="1"/>
  </r>
  <r>
    <s v="LA-701134"/>
    <d v="2024-06-18T00:00:00"/>
    <x v="0"/>
    <s v="Q2"/>
    <x v="5"/>
    <x v="0"/>
    <x v="3"/>
    <x v="1"/>
    <x v="1"/>
    <x v="2"/>
    <n v="5300"/>
    <n v="28000"/>
    <n v="60"/>
    <n v="0.23100000000000001"/>
    <s v="Rejected"/>
    <x v="0"/>
    <n v="0"/>
    <n v="1"/>
    <n v="0"/>
    <m/>
    <n v="5"/>
    <n v="0"/>
    <n v="1"/>
  </r>
  <r>
    <s v="LA-701135"/>
    <d v="2024-06-18T00:00:00"/>
    <x v="0"/>
    <s v="Q2"/>
    <x v="5"/>
    <x v="1"/>
    <x v="3"/>
    <x v="0"/>
    <x v="0"/>
    <x v="0"/>
    <n v="6900"/>
    <n v="6500"/>
    <n v="36"/>
    <n v="9.4E-2"/>
    <s v="Approved"/>
    <x v="1"/>
    <n v="1"/>
    <n v="0"/>
    <n v="6500"/>
    <n v="0.14000000000000001"/>
    <n v="5"/>
    <n v="0"/>
    <n v="1"/>
  </r>
  <r>
    <s v="LA-701136"/>
    <d v="2024-06-19T00:00:00"/>
    <x v="0"/>
    <s v="Q2"/>
    <x v="5"/>
    <x v="0"/>
    <x v="2"/>
    <x v="3"/>
    <x v="1"/>
    <x v="1"/>
    <n v="7250"/>
    <n v="25500"/>
    <n v="60"/>
    <n v="0.312"/>
    <s v="Approved"/>
    <x v="1"/>
    <n v="1"/>
    <n v="0"/>
    <n v="23000"/>
    <n v="8.3099999999999993E-2"/>
    <n v="2"/>
    <n v="1"/>
    <n v="1"/>
  </r>
  <r>
    <s v="LA-701137"/>
    <d v="2024-06-19T00:00:00"/>
    <x v="0"/>
    <s v="Q2"/>
    <x v="5"/>
    <x v="2"/>
    <x v="1"/>
    <x v="3"/>
    <x v="1"/>
    <x v="4"/>
    <n v="6600"/>
    <n v="107000"/>
    <n v="12"/>
    <n v="1.58"/>
    <s v="Rejected"/>
    <x v="3"/>
    <n v="0"/>
    <n v="1"/>
    <n v="0"/>
    <m/>
    <n v="5"/>
    <n v="1"/>
    <n v="1"/>
  </r>
  <r>
    <s v="LA-701138"/>
    <d v="2024-06-20T00:00:00"/>
    <x v="0"/>
    <s v="Q2"/>
    <x v="5"/>
    <x v="0"/>
    <x v="2"/>
    <x v="2"/>
    <x v="0"/>
    <x v="3"/>
    <n v="9900"/>
    <n v="30500"/>
    <n v="36"/>
    <n v="0.27800000000000002"/>
    <s v="Approved"/>
    <x v="1"/>
    <n v="1"/>
    <n v="0"/>
    <n v="27500"/>
    <n v="7.5499999999999998E-2"/>
    <n v="2"/>
    <n v="1"/>
    <n v="1"/>
  </r>
  <r>
    <s v="LA-701139"/>
    <d v="2024-06-20T00:00:00"/>
    <x v="0"/>
    <s v="Q2"/>
    <x v="5"/>
    <x v="1"/>
    <x v="2"/>
    <x v="4"/>
    <x v="1"/>
    <x v="3"/>
    <n v="5800"/>
    <n v="13000"/>
    <n v="36"/>
    <n v="0.193"/>
    <s v="Rejected"/>
    <x v="4"/>
    <n v="0"/>
    <n v="1"/>
    <n v="0"/>
    <m/>
    <n v="6"/>
    <n v="0"/>
    <n v="1"/>
  </r>
  <r>
    <s v="LA-701140"/>
    <d v="2024-06-20T00:00:00"/>
    <x v="0"/>
    <s v="Q2"/>
    <x v="5"/>
    <x v="2"/>
    <x v="3"/>
    <x v="4"/>
    <x v="1"/>
    <x v="0"/>
    <n v="4550"/>
    <n v="73000"/>
    <n v="60"/>
    <n v="0.53500000000000003"/>
    <s v="Rejected"/>
    <x v="3"/>
    <n v="0"/>
    <n v="1"/>
    <n v="0"/>
    <m/>
    <n v="22"/>
    <n v="0"/>
    <n v="1"/>
  </r>
  <r>
    <s v="LA-701141"/>
    <d v="2024-06-20T00:00:00"/>
    <x v="0"/>
    <s v="Q2"/>
    <x v="5"/>
    <x v="0"/>
    <x v="1"/>
    <x v="2"/>
    <x v="1"/>
    <x v="0"/>
    <n v="5350"/>
    <n v="26000"/>
    <n v="36"/>
    <n v="0.245"/>
    <s v="Approved"/>
    <x v="1"/>
    <n v="1"/>
    <n v="0"/>
    <n v="26000"/>
    <n v="9.8199999999999996E-2"/>
    <n v="3"/>
    <n v="1"/>
    <n v="1"/>
  </r>
  <r>
    <s v="LA-701142"/>
    <d v="2024-06-20T00:00:00"/>
    <x v="0"/>
    <s v="Q2"/>
    <x v="5"/>
    <x v="0"/>
    <x v="3"/>
    <x v="3"/>
    <x v="0"/>
    <x v="3"/>
    <n v="6800"/>
    <n v="18000"/>
    <n v="36"/>
    <n v="0.23499999999999999"/>
    <s v="Approved"/>
    <x v="1"/>
    <n v="1"/>
    <n v="0"/>
    <n v="18000"/>
    <n v="6.2600000000000003E-2"/>
    <n v="8"/>
    <n v="0"/>
    <n v="1"/>
  </r>
  <r>
    <s v="LA-701143"/>
    <d v="2024-06-20T00:00:00"/>
    <x v="0"/>
    <s v="Q2"/>
    <x v="5"/>
    <x v="0"/>
    <x v="3"/>
    <x v="1"/>
    <x v="0"/>
    <x v="2"/>
    <n v="4700"/>
    <n v="39500"/>
    <n v="60"/>
    <n v="0.41399999999999998"/>
    <s v="Rejected"/>
    <x v="0"/>
    <n v="0"/>
    <n v="1"/>
    <n v="0"/>
    <m/>
    <n v="5"/>
    <n v="0"/>
    <n v="1"/>
  </r>
  <r>
    <s v="LA-701144"/>
    <d v="2024-06-20T00:00:00"/>
    <x v="0"/>
    <s v="Q2"/>
    <x v="5"/>
    <x v="1"/>
    <x v="2"/>
    <x v="2"/>
    <x v="0"/>
    <x v="4"/>
    <n v="5050"/>
    <n v="18000"/>
    <n v="60"/>
    <n v="0.24299999999999999"/>
    <s v="Approved"/>
    <x v="1"/>
    <n v="1"/>
    <n v="0"/>
    <n v="18000"/>
    <n v="0.1201"/>
    <n v="2"/>
    <n v="1"/>
    <n v="1"/>
  </r>
  <r>
    <s v="LA-701145"/>
    <d v="2024-06-20T00:00:00"/>
    <x v="0"/>
    <s v="Q2"/>
    <x v="5"/>
    <x v="3"/>
    <x v="2"/>
    <x v="2"/>
    <x v="1"/>
    <x v="4"/>
    <n v="5150"/>
    <n v="228000"/>
    <n v="300"/>
    <n v="0.308"/>
    <s v="Approved"/>
    <x v="1"/>
    <n v="1"/>
    <n v="0"/>
    <n v="228000"/>
    <n v="4.8899999999999999E-2"/>
    <n v="6"/>
    <n v="1"/>
    <n v="1"/>
  </r>
  <r>
    <s v="LA-701146"/>
    <d v="2024-06-20T00:00:00"/>
    <x v="0"/>
    <s v="Q2"/>
    <x v="5"/>
    <x v="1"/>
    <x v="3"/>
    <x v="2"/>
    <x v="0"/>
    <x v="2"/>
    <n v="4000"/>
    <n v="15500"/>
    <n v="24"/>
    <n v="0.33400000000000002"/>
    <s v="Approved"/>
    <x v="1"/>
    <n v="1"/>
    <n v="0"/>
    <n v="14000"/>
    <n v="0.16089999999999999"/>
    <n v="9"/>
    <n v="0"/>
    <n v="1"/>
  </r>
  <r>
    <s v="LA-701147"/>
    <d v="2024-06-20T00:00:00"/>
    <x v="0"/>
    <s v="Q2"/>
    <x v="5"/>
    <x v="1"/>
    <x v="2"/>
    <x v="3"/>
    <x v="2"/>
    <x v="3"/>
    <n v="9050"/>
    <n v="25500"/>
    <n v="36"/>
    <n v="0.251"/>
    <s v="Approved"/>
    <x v="1"/>
    <n v="1"/>
    <n v="0"/>
    <n v="25500"/>
    <n v="0.1157"/>
    <n v="4"/>
    <n v="0"/>
    <n v="1"/>
  </r>
  <r>
    <s v="LA-701148"/>
    <d v="2024-06-21T00:00:00"/>
    <x v="0"/>
    <s v="Q2"/>
    <x v="5"/>
    <x v="3"/>
    <x v="3"/>
    <x v="1"/>
    <x v="0"/>
    <x v="1"/>
    <n v="4800"/>
    <n v="193000"/>
    <n v="240"/>
    <n v="0.33300000000000002"/>
    <s v="Approved"/>
    <x v="1"/>
    <n v="1"/>
    <n v="0"/>
    <n v="154500"/>
    <n v="5.5899999999999998E-2"/>
    <n v="17"/>
    <n v="0"/>
    <n v="1"/>
  </r>
  <r>
    <s v="LA-701149"/>
    <d v="2024-06-21T00:00:00"/>
    <x v="0"/>
    <s v="Q2"/>
    <x v="5"/>
    <x v="1"/>
    <x v="3"/>
    <x v="3"/>
    <x v="0"/>
    <x v="0"/>
    <n v="3550"/>
    <n v="14500"/>
    <n v="60"/>
    <n v="0.23"/>
    <s v="Approved"/>
    <x v="1"/>
    <n v="1"/>
    <n v="0"/>
    <n v="14500"/>
    <n v="0.13539999999999999"/>
    <n v="5"/>
    <n v="0"/>
    <n v="1"/>
  </r>
  <r>
    <s v="LA-701150"/>
    <d v="2024-06-21T00:00:00"/>
    <x v="0"/>
    <s v="Q2"/>
    <x v="5"/>
    <x v="1"/>
    <x v="3"/>
    <x v="2"/>
    <x v="0"/>
    <x v="2"/>
    <n v="5600"/>
    <n v="15000"/>
    <n v="24"/>
    <n v="0.18"/>
    <s v="Approved"/>
    <x v="1"/>
    <n v="1"/>
    <n v="0"/>
    <n v="15000"/>
    <n v="0.1608"/>
    <n v="3"/>
    <n v="1"/>
    <n v="1"/>
  </r>
  <r>
    <s v="LA-701151"/>
    <d v="2024-06-21T00:00:00"/>
    <x v="0"/>
    <s v="Q2"/>
    <x v="5"/>
    <x v="1"/>
    <x v="3"/>
    <x v="3"/>
    <x v="2"/>
    <x v="3"/>
    <n v="5400"/>
    <n v="14500"/>
    <n v="24"/>
    <n v="0.29499999999999998"/>
    <s v="Approved"/>
    <x v="1"/>
    <n v="1"/>
    <n v="0"/>
    <n v="14500"/>
    <n v="0.11020000000000001"/>
    <n v="6"/>
    <n v="0"/>
    <n v="1"/>
  </r>
  <r>
    <s v="LA-701152"/>
    <d v="2024-06-22T00:00:00"/>
    <x v="0"/>
    <s v="Q2"/>
    <x v="5"/>
    <x v="1"/>
    <x v="1"/>
    <x v="3"/>
    <x v="0"/>
    <x v="4"/>
    <n v="5800"/>
    <n v="7000"/>
    <n v="48"/>
    <n v="0.19500000000000001"/>
    <s v="Approved"/>
    <x v="1"/>
    <n v="1"/>
    <n v="0"/>
    <n v="7000"/>
    <n v="0.1148"/>
    <n v="2"/>
    <n v="1"/>
    <n v="1"/>
  </r>
  <r>
    <s v="LA-701153"/>
    <d v="2024-06-22T00:00:00"/>
    <x v="0"/>
    <s v="Q2"/>
    <x v="5"/>
    <x v="1"/>
    <x v="3"/>
    <x v="0"/>
    <x v="0"/>
    <x v="0"/>
    <n v="2300"/>
    <n v="10500"/>
    <n v="36"/>
    <n v="0.26100000000000001"/>
    <s v="Rejected"/>
    <x v="0"/>
    <n v="0"/>
    <n v="1"/>
    <n v="0"/>
    <m/>
    <n v="4"/>
    <n v="0"/>
    <n v="1"/>
  </r>
  <r>
    <s v="LA-701154"/>
    <d v="2024-06-22T00:00:00"/>
    <x v="0"/>
    <s v="Q2"/>
    <x v="5"/>
    <x v="3"/>
    <x v="0"/>
    <x v="3"/>
    <x v="0"/>
    <x v="1"/>
    <n v="5300"/>
    <n v="168500"/>
    <n v="240"/>
    <n v="0.32900000000000001"/>
    <s v="Approved"/>
    <x v="1"/>
    <n v="1"/>
    <n v="0"/>
    <n v="168500"/>
    <n v="5.6000000000000001E-2"/>
    <n v="14"/>
    <n v="1"/>
    <n v="1"/>
  </r>
  <r>
    <s v="LA-701155"/>
    <d v="2024-06-22T00:00:00"/>
    <x v="0"/>
    <s v="Q2"/>
    <x v="5"/>
    <x v="1"/>
    <x v="1"/>
    <x v="0"/>
    <x v="1"/>
    <x v="4"/>
    <n v="3000"/>
    <n v="8500"/>
    <n v="12"/>
    <n v="0.36199999999999999"/>
    <s v="Approved"/>
    <x v="1"/>
    <n v="1"/>
    <n v="0"/>
    <n v="8500"/>
    <n v="0.11169999999999999"/>
    <n v="2"/>
    <n v="1"/>
    <n v="1"/>
  </r>
  <r>
    <s v="LA-701156"/>
    <d v="2024-06-23T00:00:00"/>
    <x v="0"/>
    <s v="Q2"/>
    <x v="5"/>
    <x v="2"/>
    <x v="2"/>
    <x v="2"/>
    <x v="1"/>
    <x v="4"/>
    <n v="9700"/>
    <n v="53500"/>
    <n v="60"/>
    <n v="0.35499999999999998"/>
    <s v="Approved"/>
    <x v="1"/>
    <n v="1"/>
    <n v="0"/>
    <n v="53500"/>
    <n v="9.6199999999999994E-2"/>
    <n v="5"/>
    <n v="1"/>
    <n v="1"/>
  </r>
  <r>
    <s v="LA-701157"/>
    <d v="2024-06-23T00:00:00"/>
    <x v="0"/>
    <s v="Q2"/>
    <x v="5"/>
    <x v="0"/>
    <x v="3"/>
    <x v="3"/>
    <x v="1"/>
    <x v="0"/>
    <n v="4650"/>
    <n v="38500"/>
    <n v="60"/>
    <n v="0.33"/>
    <s v="Approved"/>
    <x v="1"/>
    <n v="1"/>
    <n v="0"/>
    <n v="38500"/>
    <n v="9.8799999999999999E-2"/>
    <n v="8"/>
    <n v="0"/>
    <n v="1"/>
  </r>
  <r>
    <s v="LA-701158"/>
    <d v="2024-06-23T00:00:00"/>
    <x v="0"/>
    <s v="Q2"/>
    <x v="5"/>
    <x v="0"/>
    <x v="2"/>
    <x v="3"/>
    <x v="2"/>
    <x v="4"/>
    <n v="9150"/>
    <n v="33000"/>
    <n v="48"/>
    <n v="0.20699999999999999"/>
    <s v="Rejected"/>
    <x v="4"/>
    <n v="0"/>
    <n v="1"/>
    <n v="0"/>
    <m/>
    <n v="9"/>
    <n v="0"/>
    <n v="1"/>
  </r>
  <r>
    <s v="LA-701159"/>
    <d v="2024-06-23T00:00:00"/>
    <x v="0"/>
    <s v="Q2"/>
    <x v="5"/>
    <x v="0"/>
    <x v="3"/>
    <x v="2"/>
    <x v="1"/>
    <x v="1"/>
    <n v="5400"/>
    <n v="32500"/>
    <n v="60"/>
    <n v="0.23300000000000001"/>
    <s v="Rejected"/>
    <x v="0"/>
    <n v="0"/>
    <n v="1"/>
    <n v="0"/>
    <m/>
    <n v="5"/>
    <n v="0"/>
    <n v="1"/>
  </r>
  <r>
    <s v="LA-701160"/>
    <d v="2024-06-23T00:00:00"/>
    <x v="0"/>
    <s v="Q2"/>
    <x v="5"/>
    <x v="2"/>
    <x v="1"/>
    <x v="0"/>
    <x v="0"/>
    <x v="1"/>
    <n v="3950"/>
    <n v="126500"/>
    <n v="60"/>
    <n v="0.81200000000000006"/>
    <s v="Withdrawn"/>
    <x v="1"/>
    <n v="0"/>
    <n v="0"/>
    <n v="0"/>
    <m/>
    <n v="6"/>
    <n v="1"/>
    <n v="1"/>
  </r>
  <r>
    <s v="LA-701161"/>
    <d v="2024-06-24T00:00:00"/>
    <x v="0"/>
    <s v="Q2"/>
    <x v="5"/>
    <x v="0"/>
    <x v="3"/>
    <x v="3"/>
    <x v="1"/>
    <x v="4"/>
    <n v="3900"/>
    <n v="24500"/>
    <n v="36"/>
    <n v="0.33200000000000002"/>
    <s v="Rejected"/>
    <x v="4"/>
    <n v="0"/>
    <n v="1"/>
    <n v="0"/>
    <m/>
    <n v="13"/>
    <n v="0"/>
    <n v="1"/>
  </r>
  <r>
    <s v="LA-701162"/>
    <d v="2024-06-24T00:00:00"/>
    <x v="0"/>
    <s v="Q2"/>
    <x v="5"/>
    <x v="1"/>
    <x v="0"/>
    <x v="2"/>
    <x v="2"/>
    <x v="4"/>
    <n v="11200"/>
    <n v="15000"/>
    <n v="60"/>
    <n v="8.3000000000000004E-2"/>
    <s v="Approved"/>
    <x v="1"/>
    <n v="1"/>
    <n v="0"/>
    <n v="12000"/>
    <n v="0.11890000000000001"/>
    <n v="2"/>
    <n v="1"/>
    <n v="1"/>
  </r>
  <r>
    <s v="LA-701163"/>
    <d v="2024-06-24T00:00:00"/>
    <x v="0"/>
    <s v="Q2"/>
    <x v="5"/>
    <x v="1"/>
    <x v="3"/>
    <x v="2"/>
    <x v="0"/>
    <x v="0"/>
    <n v="3700"/>
    <n v="12500"/>
    <n v="48"/>
    <n v="0.20300000000000001"/>
    <s v="Approved"/>
    <x v="1"/>
    <n v="1"/>
    <n v="0"/>
    <n v="11000"/>
    <n v="0.14180000000000001"/>
    <n v="6"/>
    <n v="0"/>
    <n v="1"/>
  </r>
  <r>
    <s v="LA-701164"/>
    <d v="2024-06-24T00:00:00"/>
    <x v="0"/>
    <s v="Q2"/>
    <x v="5"/>
    <x v="0"/>
    <x v="2"/>
    <x v="1"/>
    <x v="0"/>
    <x v="4"/>
    <n v="2750"/>
    <n v="35500"/>
    <n v="60"/>
    <n v="0.32900000000000001"/>
    <s v="Approved"/>
    <x v="1"/>
    <n v="1"/>
    <n v="0"/>
    <n v="28500"/>
    <n v="7.0499999999999993E-2"/>
    <n v="5"/>
    <n v="0"/>
    <n v="1"/>
  </r>
  <r>
    <s v="LA-701165"/>
    <d v="2024-06-25T00:00:00"/>
    <x v="0"/>
    <s v="Q2"/>
    <x v="5"/>
    <x v="2"/>
    <x v="2"/>
    <x v="2"/>
    <x v="1"/>
    <x v="3"/>
    <n v="6950"/>
    <n v="65500"/>
    <n v="24"/>
    <n v="0.48799999999999999"/>
    <s v="Approved"/>
    <x v="1"/>
    <n v="1"/>
    <n v="0"/>
    <n v="59000"/>
    <n v="9.3899999999999997E-2"/>
    <n v="7"/>
    <n v="1"/>
    <n v="1"/>
  </r>
  <r>
    <s v="LA-701166"/>
    <d v="2024-06-25T00:00:00"/>
    <x v="0"/>
    <s v="Q2"/>
    <x v="5"/>
    <x v="0"/>
    <x v="3"/>
    <x v="2"/>
    <x v="1"/>
    <x v="1"/>
    <n v="6050"/>
    <n v="19000"/>
    <n v="60"/>
    <n v="0.155"/>
    <s v="Approved"/>
    <x v="1"/>
    <n v="1"/>
    <n v="0"/>
    <n v="19000"/>
    <n v="8.7099999999999997E-2"/>
    <n v="10"/>
    <n v="0"/>
    <n v="1"/>
  </r>
  <r>
    <s v="LA-701167"/>
    <d v="2024-06-25T00:00:00"/>
    <x v="0"/>
    <s v="Q2"/>
    <x v="5"/>
    <x v="0"/>
    <x v="1"/>
    <x v="0"/>
    <x v="1"/>
    <x v="3"/>
    <n v="8350"/>
    <n v="14000"/>
    <n v="36"/>
    <n v="0.13300000000000001"/>
    <s v="Approved"/>
    <x v="1"/>
    <n v="1"/>
    <n v="0"/>
    <n v="11000"/>
    <n v="6.8000000000000005E-2"/>
    <n v="6"/>
    <n v="0"/>
    <n v="1"/>
  </r>
  <r>
    <s v="LA-701168"/>
    <d v="2024-06-25T00:00:00"/>
    <x v="0"/>
    <s v="Q2"/>
    <x v="5"/>
    <x v="3"/>
    <x v="3"/>
    <x v="3"/>
    <x v="0"/>
    <x v="0"/>
    <n v="5300"/>
    <n v="319000"/>
    <n v="240"/>
    <n v="0.48199999999999998"/>
    <s v="Rejected"/>
    <x v="3"/>
    <n v="0"/>
    <n v="1"/>
    <n v="0"/>
    <m/>
    <n v="22"/>
    <n v="0"/>
    <n v="1"/>
  </r>
  <r>
    <s v="LA-701169"/>
    <d v="2024-06-25T00:00:00"/>
    <x v="0"/>
    <s v="Q2"/>
    <x v="5"/>
    <x v="1"/>
    <x v="1"/>
    <x v="2"/>
    <x v="0"/>
    <x v="4"/>
    <n v="6100"/>
    <n v="7500"/>
    <n v="36"/>
    <n v="0.23"/>
    <s v="Approved"/>
    <x v="1"/>
    <n v="1"/>
    <n v="0"/>
    <n v="7500"/>
    <n v="0.11119999999999999"/>
    <n v="4"/>
    <n v="0"/>
    <n v="1"/>
  </r>
  <r>
    <s v="LA-701170"/>
    <d v="2024-06-25T00:00:00"/>
    <x v="0"/>
    <s v="Q2"/>
    <x v="5"/>
    <x v="1"/>
    <x v="1"/>
    <x v="4"/>
    <x v="1"/>
    <x v="0"/>
    <n v="3700"/>
    <n v="14000"/>
    <n v="60"/>
    <n v="0.19500000000000001"/>
    <s v="Rejected"/>
    <x v="0"/>
    <n v="0"/>
    <n v="1"/>
    <n v="0"/>
    <m/>
    <n v="2"/>
    <n v="1"/>
    <n v="1"/>
  </r>
  <r>
    <s v="LA-701171"/>
    <d v="2024-06-26T00:00:00"/>
    <x v="0"/>
    <s v="Q2"/>
    <x v="5"/>
    <x v="2"/>
    <x v="2"/>
    <x v="2"/>
    <x v="0"/>
    <x v="0"/>
    <n v="4950"/>
    <n v="85500"/>
    <n v="36"/>
    <n v="0.73899999999999999"/>
    <s v="Rejected"/>
    <x v="4"/>
    <n v="0"/>
    <n v="1"/>
    <n v="0"/>
    <m/>
    <n v="13"/>
    <n v="0"/>
    <n v="1"/>
  </r>
  <r>
    <s v="LA-701172"/>
    <d v="2024-06-26T00:00:00"/>
    <x v="0"/>
    <s v="Q2"/>
    <x v="5"/>
    <x v="1"/>
    <x v="2"/>
    <x v="2"/>
    <x v="0"/>
    <x v="1"/>
    <n v="5200"/>
    <n v="15000"/>
    <n v="48"/>
    <n v="0.13"/>
    <s v="Rejected"/>
    <x v="0"/>
    <n v="0"/>
    <n v="1"/>
    <n v="0"/>
    <m/>
    <n v="3"/>
    <n v="1"/>
    <n v="1"/>
  </r>
  <r>
    <s v="LA-701173"/>
    <d v="2024-06-26T00:00:00"/>
    <x v="0"/>
    <s v="Q2"/>
    <x v="5"/>
    <x v="2"/>
    <x v="3"/>
    <x v="1"/>
    <x v="0"/>
    <x v="1"/>
    <n v="4200"/>
    <n v="57500"/>
    <n v="12"/>
    <n v="1.278"/>
    <s v="Rejected"/>
    <x v="3"/>
    <n v="0"/>
    <n v="1"/>
    <n v="0"/>
    <m/>
    <n v="16"/>
    <n v="0"/>
    <n v="1"/>
  </r>
  <r>
    <s v="LA-701174"/>
    <d v="2024-06-26T00:00:00"/>
    <x v="0"/>
    <s v="Q2"/>
    <x v="5"/>
    <x v="1"/>
    <x v="2"/>
    <x v="2"/>
    <x v="0"/>
    <x v="1"/>
    <n v="3450"/>
    <n v="13500"/>
    <n v="60"/>
    <n v="0.30399999999999999"/>
    <s v="Approved"/>
    <x v="1"/>
    <n v="1"/>
    <n v="0"/>
    <n v="13500"/>
    <n v="0.12859999999999999"/>
    <n v="1"/>
    <n v="1"/>
    <n v="1"/>
  </r>
  <r>
    <s v="LA-701175"/>
    <d v="2024-06-26T00:00:00"/>
    <x v="0"/>
    <s v="Q2"/>
    <x v="5"/>
    <x v="3"/>
    <x v="3"/>
    <x v="3"/>
    <x v="1"/>
    <x v="1"/>
    <n v="4450"/>
    <n v="435500"/>
    <n v="240"/>
    <n v="0.78300000000000003"/>
    <s v="Rejected"/>
    <x v="3"/>
    <n v="0"/>
    <n v="1"/>
    <n v="0"/>
    <m/>
    <n v="30"/>
    <n v="0"/>
    <n v="1"/>
  </r>
  <r>
    <s v="LA-701176"/>
    <d v="2024-06-27T00:00:00"/>
    <x v="0"/>
    <s v="Q2"/>
    <x v="5"/>
    <x v="3"/>
    <x v="3"/>
    <x v="0"/>
    <x v="0"/>
    <x v="3"/>
    <n v="4700"/>
    <n v="139000"/>
    <n v="240"/>
    <n v="0.28799999999999998"/>
    <s v="Approved"/>
    <x v="1"/>
    <n v="1"/>
    <n v="0"/>
    <n v="139000"/>
    <n v="4.0500000000000001E-2"/>
    <n v="15"/>
    <n v="1"/>
    <n v="1"/>
  </r>
  <r>
    <s v="LA-701177"/>
    <d v="2024-06-27T00:00:00"/>
    <x v="0"/>
    <s v="Q2"/>
    <x v="5"/>
    <x v="1"/>
    <x v="2"/>
    <x v="1"/>
    <x v="0"/>
    <x v="0"/>
    <n v="5100"/>
    <n v="10500"/>
    <n v="24"/>
    <n v="0.28199999999999997"/>
    <s v="Rejected"/>
    <x v="2"/>
    <n v="0"/>
    <n v="1"/>
    <n v="0"/>
    <m/>
    <n v="3"/>
    <n v="1"/>
    <n v="1"/>
  </r>
  <r>
    <s v="LA-701178"/>
    <d v="2024-06-27T00:00:00"/>
    <x v="0"/>
    <s v="Q2"/>
    <x v="5"/>
    <x v="1"/>
    <x v="3"/>
    <x v="1"/>
    <x v="0"/>
    <x v="1"/>
    <n v="5400"/>
    <n v="13500"/>
    <n v="24"/>
    <n v="0.34100000000000003"/>
    <s v="Approved"/>
    <x v="1"/>
    <n v="1"/>
    <n v="0"/>
    <n v="13500"/>
    <n v="0.1258"/>
    <n v="3"/>
    <n v="1"/>
    <n v="1"/>
  </r>
  <r>
    <s v="LA-701179"/>
    <d v="2024-06-27T00:00:00"/>
    <x v="0"/>
    <s v="Q2"/>
    <x v="5"/>
    <x v="3"/>
    <x v="1"/>
    <x v="2"/>
    <x v="0"/>
    <x v="0"/>
    <n v="2700"/>
    <n v="504000"/>
    <n v="240"/>
    <n v="1.3240000000000001"/>
    <s v="Rejected"/>
    <x v="0"/>
    <n v="0"/>
    <n v="1"/>
    <n v="0"/>
    <m/>
    <n v="8"/>
    <n v="1"/>
    <n v="1"/>
  </r>
  <r>
    <s v="LA-701180"/>
    <d v="2024-06-27T00:00:00"/>
    <x v="0"/>
    <s v="Q2"/>
    <x v="5"/>
    <x v="1"/>
    <x v="2"/>
    <x v="3"/>
    <x v="0"/>
    <x v="4"/>
    <n v="3750"/>
    <n v="10000"/>
    <n v="60"/>
    <n v="0.30299999999999999"/>
    <s v="Approved"/>
    <x v="1"/>
    <n v="1"/>
    <n v="0"/>
    <n v="10000"/>
    <n v="0.1115"/>
    <n v="2"/>
    <n v="1"/>
    <n v="1"/>
  </r>
  <r>
    <s v="LA-701181"/>
    <d v="2024-06-27T00:00:00"/>
    <x v="0"/>
    <s v="Q2"/>
    <x v="5"/>
    <x v="1"/>
    <x v="3"/>
    <x v="2"/>
    <x v="1"/>
    <x v="4"/>
    <n v="5600"/>
    <n v="24000"/>
    <n v="36"/>
    <n v="0.32100000000000001"/>
    <s v="Approved"/>
    <x v="1"/>
    <n v="1"/>
    <n v="0"/>
    <n v="21500"/>
    <n v="0.1168"/>
    <n v="6"/>
    <n v="0"/>
    <n v="1"/>
  </r>
  <r>
    <s v="LA-701182"/>
    <d v="2024-06-27T00:00:00"/>
    <x v="0"/>
    <s v="Q2"/>
    <x v="5"/>
    <x v="1"/>
    <x v="0"/>
    <x v="4"/>
    <x v="1"/>
    <x v="1"/>
    <n v="8550"/>
    <n v="26500"/>
    <n v="36"/>
    <n v="0.17399999999999999"/>
    <s v="Approved"/>
    <x v="1"/>
    <n v="1"/>
    <n v="0"/>
    <n v="26500"/>
    <n v="0.1222"/>
    <n v="3"/>
    <n v="1"/>
    <n v="1"/>
  </r>
  <r>
    <s v="LA-701183"/>
    <d v="2024-06-28T00:00:00"/>
    <x v="0"/>
    <s v="Q2"/>
    <x v="5"/>
    <x v="1"/>
    <x v="3"/>
    <x v="1"/>
    <x v="0"/>
    <x v="4"/>
    <n v="2400"/>
    <n v="13000"/>
    <n v="24"/>
    <n v="0.42399999999999999"/>
    <s v="Approved"/>
    <x v="1"/>
    <n v="1"/>
    <n v="0"/>
    <n v="13000"/>
    <n v="0.10879999999999999"/>
    <n v="8"/>
    <n v="0"/>
    <n v="1"/>
  </r>
  <r>
    <s v="LA-701184"/>
    <d v="2024-06-28T00:00:00"/>
    <x v="0"/>
    <s v="Q2"/>
    <x v="5"/>
    <x v="3"/>
    <x v="3"/>
    <x v="1"/>
    <x v="1"/>
    <x v="1"/>
    <n v="7350"/>
    <n v="106500"/>
    <n v="180"/>
    <n v="0.191"/>
    <s v="Rejected"/>
    <x v="0"/>
    <n v="0"/>
    <n v="1"/>
    <n v="0"/>
    <m/>
    <n v="16"/>
    <n v="0"/>
    <n v="1"/>
  </r>
  <r>
    <s v="LA-701185"/>
    <d v="2024-06-28T00:00:00"/>
    <x v="0"/>
    <s v="Q2"/>
    <x v="5"/>
    <x v="3"/>
    <x v="3"/>
    <x v="0"/>
    <x v="0"/>
    <x v="2"/>
    <n v="12200"/>
    <n v="233500"/>
    <n v="300"/>
    <n v="0.34399999999999997"/>
    <s v="Approved"/>
    <x v="1"/>
    <n v="1"/>
    <n v="0"/>
    <n v="210000"/>
    <n v="9.8400000000000001E-2"/>
    <n v="10"/>
    <n v="1"/>
    <n v="1"/>
  </r>
  <r>
    <s v="LA-701186"/>
    <d v="2024-06-28T00:00:00"/>
    <x v="0"/>
    <s v="Q2"/>
    <x v="5"/>
    <x v="0"/>
    <x v="1"/>
    <x v="1"/>
    <x v="2"/>
    <x v="4"/>
    <n v="5000"/>
    <n v="20500"/>
    <n v="60"/>
    <n v="0.16600000000000001"/>
    <s v="Approved"/>
    <x v="1"/>
    <n v="1"/>
    <n v="0"/>
    <n v="20500"/>
    <n v="7.4399999999999994E-2"/>
    <n v="2"/>
    <n v="1"/>
    <n v="1"/>
  </r>
  <r>
    <s v="LA-701187"/>
    <d v="2024-06-28T00:00:00"/>
    <x v="0"/>
    <s v="Q2"/>
    <x v="5"/>
    <x v="1"/>
    <x v="1"/>
    <x v="3"/>
    <x v="2"/>
    <x v="0"/>
    <n v="11450"/>
    <n v="7500"/>
    <n v="60"/>
    <n v="0.19600000000000001"/>
    <s v="Withdrawn"/>
    <x v="1"/>
    <n v="0"/>
    <n v="0"/>
    <n v="0"/>
    <m/>
    <n v="2"/>
    <n v="1"/>
    <n v="1"/>
  </r>
  <r>
    <s v="LA-701188"/>
    <d v="2024-06-28T00:00:00"/>
    <x v="0"/>
    <s v="Q2"/>
    <x v="5"/>
    <x v="2"/>
    <x v="0"/>
    <x v="1"/>
    <x v="0"/>
    <x v="4"/>
    <n v="4150"/>
    <n v="256500"/>
    <n v="24"/>
    <n v="3.0529999999999999"/>
    <s v="Rejected"/>
    <x v="3"/>
    <n v="0"/>
    <n v="1"/>
    <n v="0"/>
    <m/>
    <n v="10"/>
    <n v="1"/>
    <n v="1"/>
  </r>
  <r>
    <s v="LA-701189"/>
    <d v="2024-06-29T00:00:00"/>
    <x v="0"/>
    <s v="Q2"/>
    <x v="5"/>
    <x v="1"/>
    <x v="2"/>
    <x v="2"/>
    <x v="1"/>
    <x v="4"/>
    <n v="10800"/>
    <n v="18500"/>
    <n v="60"/>
    <n v="0.221"/>
    <s v="Rejected"/>
    <x v="4"/>
    <n v="0"/>
    <n v="1"/>
    <n v="0"/>
    <m/>
    <n v="5"/>
    <n v="0"/>
    <n v="1"/>
  </r>
  <r>
    <s v="LA-701190"/>
    <d v="2024-06-29T00:00:00"/>
    <x v="0"/>
    <s v="Q2"/>
    <x v="5"/>
    <x v="3"/>
    <x v="2"/>
    <x v="4"/>
    <x v="1"/>
    <x v="4"/>
    <n v="3750"/>
    <n v="282500"/>
    <n v="240"/>
    <n v="0.623"/>
    <s v="Approved"/>
    <x v="1"/>
    <n v="1"/>
    <n v="0"/>
    <n v="254000"/>
    <n v="5.1499999999999997E-2"/>
    <n v="6"/>
    <n v="1"/>
    <n v="1"/>
  </r>
  <r>
    <s v="LA-701191"/>
    <d v="2024-06-29T00:00:00"/>
    <x v="0"/>
    <s v="Q2"/>
    <x v="5"/>
    <x v="0"/>
    <x v="2"/>
    <x v="2"/>
    <x v="2"/>
    <x v="2"/>
    <n v="4350"/>
    <n v="26500"/>
    <n v="36"/>
    <n v="0.38500000000000001"/>
    <s v="Rejected"/>
    <x v="0"/>
    <n v="0"/>
    <n v="1"/>
    <n v="0"/>
    <m/>
    <n v="2"/>
    <n v="1"/>
    <n v="1"/>
  </r>
  <r>
    <s v="LA-701192"/>
    <d v="2024-06-30T00:00:00"/>
    <x v="0"/>
    <s v="Q2"/>
    <x v="5"/>
    <x v="3"/>
    <x v="3"/>
    <x v="0"/>
    <x v="1"/>
    <x v="4"/>
    <n v="2900"/>
    <n v="212000"/>
    <n v="180"/>
    <n v="0.82299999999999995"/>
    <s v="Rejected"/>
    <x v="3"/>
    <n v="0"/>
    <n v="1"/>
    <n v="0"/>
    <m/>
    <n v="18"/>
    <n v="0"/>
    <n v="1"/>
  </r>
  <r>
    <s v="LA-701193"/>
    <d v="2024-06-30T00:00:00"/>
    <x v="0"/>
    <s v="Q2"/>
    <x v="5"/>
    <x v="0"/>
    <x v="2"/>
    <x v="2"/>
    <x v="0"/>
    <x v="1"/>
    <n v="9350"/>
    <n v="32500"/>
    <n v="48"/>
    <n v="0.30099999999999999"/>
    <s v="Approved"/>
    <x v="1"/>
    <n v="1"/>
    <n v="0"/>
    <n v="29000"/>
    <n v="8.1000000000000003E-2"/>
    <n v="2"/>
    <n v="1"/>
    <n v="1"/>
  </r>
  <r>
    <s v="LA-701194"/>
    <d v="2024-06-30T00:00:00"/>
    <x v="0"/>
    <s v="Q2"/>
    <x v="5"/>
    <x v="1"/>
    <x v="0"/>
    <x v="2"/>
    <x v="0"/>
    <x v="2"/>
    <n v="6750"/>
    <n v="8500"/>
    <n v="60"/>
    <n v="0.14000000000000001"/>
    <s v="Rejected"/>
    <x v="5"/>
    <n v="0"/>
    <n v="1"/>
    <n v="0"/>
    <m/>
    <n v="4"/>
    <n v="0"/>
    <n v="1"/>
  </r>
  <r>
    <s v="LA-701195"/>
    <d v="2024-06-30T00:00:00"/>
    <x v="0"/>
    <s v="Q2"/>
    <x v="5"/>
    <x v="1"/>
    <x v="1"/>
    <x v="3"/>
    <x v="0"/>
    <x v="3"/>
    <n v="2550"/>
    <n v="11000"/>
    <n v="36"/>
    <n v="0.38200000000000001"/>
    <s v="Approved"/>
    <x v="1"/>
    <n v="1"/>
    <n v="0"/>
    <n v="11000"/>
    <n v="0.1143"/>
    <n v="2"/>
    <n v="1"/>
    <n v="1"/>
  </r>
  <r>
    <s v="LA-701196"/>
    <d v="2024-06-30T00:00:00"/>
    <x v="0"/>
    <s v="Q2"/>
    <x v="5"/>
    <x v="2"/>
    <x v="2"/>
    <x v="3"/>
    <x v="2"/>
    <x v="1"/>
    <n v="7400"/>
    <n v="86500"/>
    <n v="24"/>
    <n v="0.65600000000000003"/>
    <s v="Rejected"/>
    <x v="4"/>
    <n v="0"/>
    <n v="1"/>
    <n v="0"/>
    <m/>
    <n v="14"/>
    <n v="0"/>
    <n v="1"/>
  </r>
  <r>
    <s v="LA-701197"/>
    <d v="2024-07-01T00:00:00"/>
    <x v="0"/>
    <s v="Q3"/>
    <x v="6"/>
    <x v="0"/>
    <x v="3"/>
    <x v="3"/>
    <x v="1"/>
    <x v="3"/>
    <n v="10000"/>
    <n v="49500"/>
    <n v="48"/>
    <n v="0.36399999999999999"/>
    <s v="Withdrawn"/>
    <x v="1"/>
    <n v="0"/>
    <n v="0"/>
    <n v="0"/>
    <m/>
    <n v="10"/>
    <n v="0"/>
    <n v="1"/>
  </r>
  <r>
    <s v="LA-701198"/>
    <d v="2024-07-01T00:00:00"/>
    <x v="0"/>
    <s v="Q3"/>
    <x v="6"/>
    <x v="1"/>
    <x v="1"/>
    <x v="1"/>
    <x v="2"/>
    <x v="1"/>
    <n v="5750"/>
    <n v="16000"/>
    <n v="48"/>
    <n v="0.28000000000000003"/>
    <s v="Approved"/>
    <x v="1"/>
    <n v="1"/>
    <n v="0"/>
    <n v="16000"/>
    <n v="0.1222"/>
    <n v="1"/>
    <n v="1"/>
    <n v="1"/>
  </r>
  <r>
    <s v="LA-701199"/>
    <d v="2024-07-01T00:00:00"/>
    <x v="0"/>
    <s v="Q3"/>
    <x v="6"/>
    <x v="1"/>
    <x v="1"/>
    <x v="3"/>
    <x v="2"/>
    <x v="4"/>
    <n v="3550"/>
    <n v="9500"/>
    <n v="24"/>
    <n v="0.36099999999999999"/>
    <s v="Approved"/>
    <x v="1"/>
    <n v="1"/>
    <n v="0"/>
    <n v="7500"/>
    <n v="0.11509999999999999"/>
    <n v="2"/>
    <n v="1"/>
    <n v="1"/>
  </r>
  <r>
    <s v="LA-701200"/>
    <d v="2024-07-01T00:00:00"/>
    <x v="0"/>
    <s v="Q3"/>
    <x v="6"/>
    <x v="2"/>
    <x v="1"/>
    <x v="1"/>
    <x v="0"/>
    <x v="2"/>
    <n v="4600"/>
    <n v="83000"/>
    <n v="24"/>
    <n v="0.96599999999999997"/>
    <s v="Rejected"/>
    <x v="0"/>
    <n v="0"/>
    <n v="1"/>
    <n v="0"/>
    <m/>
    <n v="4"/>
    <n v="1"/>
    <n v="1"/>
  </r>
  <r>
    <s v="LA-701201"/>
    <d v="2024-07-02T00:00:00"/>
    <x v="0"/>
    <s v="Q3"/>
    <x v="6"/>
    <x v="2"/>
    <x v="3"/>
    <x v="2"/>
    <x v="1"/>
    <x v="4"/>
    <n v="4000"/>
    <n v="89000"/>
    <n v="36"/>
    <n v="0.89300000000000002"/>
    <s v="Rejected"/>
    <x v="3"/>
    <n v="0"/>
    <n v="1"/>
    <n v="0"/>
    <m/>
    <n v="15"/>
    <n v="0"/>
    <n v="1"/>
  </r>
  <r>
    <s v="LA-701202"/>
    <d v="2024-07-02T00:00:00"/>
    <x v="0"/>
    <s v="Q3"/>
    <x v="6"/>
    <x v="3"/>
    <x v="3"/>
    <x v="4"/>
    <x v="0"/>
    <x v="4"/>
    <n v="6500"/>
    <n v="447000"/>
    <n v="180"/>
    <n v="0.72299999999999998"/>
    <s v="Rejected"/>
    <x v="3"/>
    <n v="0"/>
    <n v="1"/>
    <n v="0"/>
    <m/>
    <n v="18"/>
    <n v="0"/>
    <n v="1"/>
  </r>
  <r>
    <s v="LA-701203"/>
    <d v="2024-07-02T00:00:00"/>
    <x v="0"/>
    <s v="Q3"/>
    <x v="6"/>
    <x v="3"/>
    <x v="3"/>
    <x v="3"/>
    <x v="0"/>
    <x v="4"/>
    <n v="10100"/>
    <n v="137000"/>
    <n v="180"/>
    <n v="0.32400000000000001"/>
    <s v="Approved"/>
    <x v="1"/>
    <n v="1"/>
    <n v="0"/>
    <n v="109500"/>
    <n v="5.2299999999999999E-2"/>
    <n v="25"/>
    <n v="0"/>
    <n v="1"/>
  </r>
  <r>
    <s v="LA-701204"/>
    <d v="2024-07-02T00:00:00"/>
    <x v="0"/>
    <s v="Q3"/>
    <x v="6"/>
    <x v="1"/>
    <x v="3"/>
    <x v="3"/>
    <x v="0"/>
    <x v="0"/>
    <n v="2750"/>
    <n v="9000"/>
    <n v="48"/>
    <n v="0.307"/>
    <s v="Approved"/>
    <x v="1"/>
    <n v="1"/>
    <n v="0"/>
    <n v="7000"/>
    <n v="0.1376"/>
    <n v="3"/>
    <n v="1"/>
    <n v="1"/>
  </r>
  <r>
    <s v="LA-701205"/>
    <d v="2024-07-02T00:00:00"/>
    <x v="0"/>
    <s v="Q3"/>
    <x v="6"/>
    <x v="1"/>
    <x v="1"/>
    <x v="3"/>
    <x v="0"/>
    <x v="4"/>
    <n v="3450"/>
    <n v="12500"/>
    <n v="12"/>
    <n v="0.51200000000000001"/>
    <s v="Approved"/>
    <x v="1"/>
    <n v="1"/>
    <n v="0"/>
    <n v="10000"/>
    <n v="0.1154"/>
    <n v="2"/>
    <n v="1"/>
    <n v="1"/>
  </r>
  <r>
    <s v="LA-701206"/>
    <d v="2024-07-02T00:00:00"/>
    <x v="0"/>
    <s v="Q3"/>
    <x v="6"/>
    <x v="1"/>
    <x v="3"/>
    <x v="1"/>
    <x v="1"/>
    <x v="4"/>
    <n v="2550"/>
    <n v="15000"/>
    <n v="12"/>
    <n v="0.70699999999999996"/>
    <s v="Rejected"/>
    <x v="3"/>
    <n v="0"/>
    <n v="1"/>
    <n v="0"/>
    <m/>
    <n v="9"/>
    <n v="0"/>
    <n v="1"/>
  </r>
  <r>
    <s v="LA-701207"/>
    <d v="2024-07-02T00:00:00"/>
    <x v="0"/>
    <s v="Q3"/>
    <x v="6"/>
    <x v="0"/>
    <x v="3"/>
    <x v="3"/>
    <x v="1"/>
    <x v="4"/>
    <n v="8600"/>
    <n v="22000"/>
    <n v="60"/>
    <n v="0.23499999999999999"/>
    <s v="Approved"/>
    <x v="1"/>
    <n v="1"/>
    <n v="0"/>
    <n v="20000"/>
    <n v="7.1300000000000002E-2"/>
    <n v="6"/>
    <n v="0"/>
    <n v="1"/>
  </r>
  <r>
    <s v="LA-701208"/>
    <d v="2024-07-03T00:00:00"/>
    <x v="0"/>
    <s v="Q3"/>
    <x v="6"/>
    <x v="1"/>
    <x v="1"/>
    <x v="1"/>
    <x v="2"/>
    <x v="3"/>
    <n v="5450"/>
    <n v="11500"/>
    <n v="24"/>
    <n v="0.24199999999999999"/>
    <s v="Approved"/>
    <x v="1"/>
    <n v="1"/>
    <n v="0"/>
    <n v="11500"/>
    <n v="0.1114"/>
    <n v="1"/>
    <n v="1"/>
    <n v="1"/>
  </r>
  <r>
    <s v="LA-701209"/>
    <d v="2024-07-03T00:00:00"/>
    <x v="0"/>
    <s v="Q3"/>
    <x v="6"/>
    <x v="0"/>
    <x v="3"/>
    <x v="0"/>
    <x v="1"/>
    <x v="4"/>
    <n v="6550"/>
    <n v="24000"/>
    <n v="36"/>
    <n v="0.20399999999999999"/>
    <s v="Approved"/>
    <x v="1"/>
    <n v="1"/>
    <n v="0"/>
    <n v="24000"/>
    <n v="6.8400000000000002E-2"/>
    <n v="8"/>
    <n v="0"/>
    <n v="1"/>
  </r>
  <r>
    <s v="LA-701210"/>
    <d v="2024-07-03T00:00:00"/>
    <x v="0"/>
    <s v="Q3"/>
    <x v="6"/>
    <x v="0"/>
    <x v="3"/>
    <x v="2"/>
    <x v="1"/>
    <x v="0"/>
    <n v="5100"/>
    <n v="28000"/>
    <n v="48"/>
    <n v="0.215"/>
    <s v="Rejected"/>
    <x v="0"/>
    <n v="0"/>
    <n v="1"/>
    <n v="0"/>
    <m/>
    <n v="4"/>
    <n v="1"/>
    <n v="1"/>
  </r>
  <r>
    <s v="LA-701211"/>
    <d v="2024-07-03T00:00:00"/>
    <x v="0"/>
    <s v="Q3"/>
    <x v="6"/>
    <x v="2"/>
    <x v="2"/>
    <x v="3"/>
    <x v="0"/>
    <x v="0"/>
    <n v="8200"/>
    <n v="83500"/>
    <n v="36"/>
    <n v="0.432"/>
    <s v="Rejected"/>
    <x v="4"/>
    <n v="0"/>
    <n v="1"/>
    <n v="0"/>
    <m/>
    <n v="10"/>
    <n v="1"/>
    <n v="1"/>
  </r>
  <r>
    <s v="LA-701212"/>
    <d v="2024-07-03T00:00:00"/>
    <x v="0"/>
    <s v="Q3"/>
    <x v="6"/>
    <x v="1"/>
    <x v="3"/>
    <x v="2"/>
    <x v="1"/>
    <x v="1"/>
    <n v="3100"/>
    <n v="9500"/>
    <n v="36"/>
    <n v="0.23"/>
    <s v="Rejected"/>
    <x v="0"/>
    <n v="0"/>
    <n v="1"/>
    <n v="0"/>
    <m/>
    <n v="6"/>
    <n v="0"/>
    <n v="1"/>
  </r>
  <r>
    <s v="LA-701213"/>
    <d v="2024-07-03T00:00:00"/>
    <x v="0"/>
    <s v="Q3"/>
    <x v="6"/>
    <x v="1"/>
    <x v="3"/>
    <x v="3"/>
    <x v="0"/>
    <x v="3"/>
    <n v="5900"/>
    <n v="10500"/>
    <n v="60"/>
    <n v="0.223"/>
    <s v="Approved"/>
    <x v="1"/>
    <n v="1"/>
    <n v="0"/>
    <n v="8500"/>
    <n v="0.1041"/>
    <n v="6"/>
    <n v="0"/>
    <n v="1"/>
  </r>
  <r>
    <s v="LA-701214"/>
    <d v="2024-07-03T00:00:00"/>
    <x v="0"/>
    <s v="Q3"/>
    <x v="6"/>
    <x v="3"/>
    <x v="3"/>
    <x v="3"/>
    <x v="2"/>
    <x v="0"/>
    <n v="2500"/>
    <n v="417500"/>
    <n v="180"/>
    <n v="1.488"/>
    <s v="Rejected"/>
    <x v="3"/>
    <n v="0"/>
    <n v="1"/>
    <n v="0"/>
    <m/>
    <n v="30"/>
    <n v="0"/>
    <n v="1"/>
  </r>
  <r>
    <s v="LA-701215"/>
    <d v="2024-07-03T00:00:00"/>
    <x v="0"/>
    <s v="Q3"/>
    <x v="6"/>
    <x v="1"/>
    <x v="3"/>
    <x v="2"/>
    <x v="1"/>
    <x v="0"/>
    <n v="4100"/>
    <n v="6000"/>
    <n v="12"/>
    <n v="0.29399999999999998"/>
    <s v="Approved"/>
    <x v="1"/>
    <n v="1"/>
    <n v="0"/>
    <n v="6000"/>
    <n v="0.1358"/>
    <n v="8"/>
    <n v="0"/>
    <n v="1"/>
  </r>
  <r>
    <s v="LA-701216"/>
    <d v="2024-07-04T00:00:00"/>
    <x v="0"/>
    <s v="Q3"/>
    <x v="6"/>
    <x v="2"/>
    <x v="2"/>
    <x v="3"/>
    <x v="2"/>
    <x v="0"/>
    <n v="5100"/>
    <n v="204500"/>
    <n v="60"/>
    <n v="1.008"/>
    <s v="Withdrawn"/>
    <x v="1"/>
    <n v="0"/>
    <n v="0"/>
    <n v="0"/>
    <m/>
    <n v="10"/>
    <n v="1"/>
    <n v="1"/>
  </r>
  <r>
    <s v="LA-701217"/>
    <d v="2024-07-04T00:00:00"/>
    <x v="0"/>
    <s v="Q3"/>
    <x v="6"/>
    <x v="1"/>
    <x v="3"/>
    <x v="3"/>
    <x v="1"/>
    <x v="1"/>
    <n v="7500"/>
    <n v="21000"/>
    <n v="36"/>
    <n v="0.26700000000000002"/>
    <s v="Approved"/>
    <x v="1"/>
    <n v="1"/>
    <n v="0"/>
    <n v="21000"/>
    <n v="0.1225"/>
    <n v="3"/>
    <n v="1"/>
    <n v="1"/>
  </r>
  <r>
    <s v="LA-701218"/>
    <d v="2024-07-04T00:00:00"/>
    <x v="0"/>
    <s v="Q3"/>
    <x v="6"/>
    <x v="2"/>
    <x v="3"/>
    <x v="4"/>
    <x v="1"/>
    <x v="1"/>
    <n v="3700"/>
    <n v="106500"/>
    <n v="36"/>
    <n v="1.0620000000000001"/>
    <s v="Rejected"/>
    <x v="4"/>
    <n v="0"/>
    <n v="1"/>
    <n v="0"/>
    <m/>
    <n v="11"/>
    <n v="0"/>
    <n v="1"/>
  </r>
  <r>
    <s v="LA-701219"/>
    <d v="2024-07-05T00:00:00"/>
    <x v="0"/>
    <s v="Q3"/>
    <x v="6"/>
    <x v="2"/>
    <x v="0"/>
    <x v="4"/>
    <x v="0"/>
    <x v="1"/>
    <n v="4800"/>
    <n v="29000"/>
    <n v="60"/>
    <n v="0.34399999999999997"/>
    <s v="Rejected"/>
    <x v="5"/>
    <n v="0"/>
    <n v="1"/>
    <n v="0"/>
    <m/>
    <n v="8"/>
    <n v="1"/>
    <n v="1"/>
  </r>
  <r>
    <s v="LA-701220"/>
    <d v="2024-07-05T00:00:00"/>
    <x v="0"/>
    <s v="Q3"/>
    <x v="6"/>
    <x v="1"/>
    <x v="2"/>
    <x v="4"/>
    <x v="0"/>
    <x v="4"/>
    <n v="6250"/>
    <n v="12000"/>
    <n v="60"/>
    <n v="0.11600000000000001"/>
    <s v="Rejected"/>
    <x v="4"/>
    <n v="0"/>
    <n v="1"/>
    <n v="0"/>
    <m/>
    <n v="7"/>
    <n v="0"/>
    <n v="1"/>
  </r>
  <r>
    <s v="LA-701221"/>
    <d v="2024-07-05T00:00:00"/>
    <x v="0"/>
    <s v="Q3"/>
    <x v="6"/>
    <x v="1"/>
    <x v="3"/>
    <x v="0"/>
    <x v="0"/>
    <x v="0"/>
    <n v="3350"/>
    <n v="20000"/>
    <n v="24"/>
    <n v="0.38900000000000001"/>
    <s v="Rejected"/>
    <x v="0"/>
    <n v="0"/>
    <n v="1"/>
    <n v="0"/>
    <m/>
    <n v="9"/>
    <n v="0"/>
    <n v="1"/>
  </r>
  <r>
    <s v="LA-701222"/>
    <d v="2024-07-06T00:00:00"/>
    <x v="0"/>
    <s v="Q3"/>
    <x v="6"/>
    <x v="2"/>
    <x v="2"/>
    <x v="2"/>
    <x v="1"/>
    <x v="4"/>
    <n v="6500"/>
    <n v="121000"/>
    <n v="60"/>
    <n v="0.59099999999999997"/>
    <s v="Approved"/>
    <x v="1"/>
    <n v="1"/>
    <n v="0"/>
    <n v="109000"/>
    <n v="9.8299999999999998E-2"/>
    <n v="10"/>
    <n v="1"/>
    <n v="1"/>
  </r>
  <r>
    <s v="LA-701223"/>
    <d v="2024-07-06T00:00:00"/>
    <x v="0"/>
    <s v="Q3"/>
    <x v="6"/>
    <x v="1"/>
    <x v="2"/>
    <x v="4"/>
    <x v="1"/>
    <x v="3"/>
    <n v="9100"/>
    <n v="18000"/>
    <n v="36"/>
    <n v="0.17899999999999999"/>
    <s v="Rejected"/>
    <x v="4"/>
    <n v="0"/>
    <n v="1"/>
    <n v="0"/>
    <m/>
    <n v="6"/>
    <n v="0"/>
    <n v="1"/>
  </r>
  <r>
    <s v="LA-701224"/>
    <d v="2024-07-06T00:00:00"/>
    <x v="0"/>
    <s v="Q3"/>
    <x v="6"/>
    <x v="2"/>
    <x v="2"/>
    <x v="2"/>
    <x v="1"/>
    <x v="1"/>
    <n v="4900"/>
    <n v="87000"/>
    <n v="12"/>
    <n v="1.7210000000000001"/>
    <s v="Rejected"/>
    <x v="3"/>
    <n v="0"/>
    <n v="1"/>
    <n v="0"/>
    <m/>
    <n v="8"/>
    <n v="1"/>
    <n v="1"/>
  </r>
  <r>
    <s v="LA-701225"/>
    <d v="2024-07-06T00:00:00"/>
    <x v="0"/>
    <s v="Q3"/>
    <x v="6"/>
    <x v="1"/>
    <x v="3"/>
    <x v="2"/>
    <x v="1"/>
    <x v="3"/>
    <n v="5250"/>
    <n v="7500"/>
    <n v="48"/>
    <n v="0.24399999999999999"/>
    <s v="Approved"/>
    <x v="1"/>
    <n v="1"/>
    <n v="0"/>
    <n v="7000"/>
    <n v="0.1096"/>
    <n v="3"/>
    <n v="1"/>
    <n v="1"/>
  </r>
  <r>
    <s v="LA-701226"/>
    <d v="2024-07-07T00:00:00"/>
    <x v="0"/>
    <s v="Q3"/>
    <x v="6"/>
    <x v="1"/>
    <x v="1"/>
    <x v="0"/>
    <x v="0"/>
    <x v="0"/>
    <n v="4200"/>
    <n v="6000"/>
    <n v="60"/>
    <n v="0.20399999999999999"/>
    <s v="Approved"/>
    <x v="1"/>
    <n v="1"/>
    <n v="0"/>
    <n v="6000"/>
    <n v="0.14069999999999999"/>
    <n v="2"/>
    <n v="1"/>
    <n v="1"/>
  </r>
  <r>
    <s v="LA-701227"/>
    <d v="2024-07-08T00:00:00"/>
    <x v="0"/>
    <s v="Q3"/>
    <x v="6"/>
    <x v="1"/>
    <x v="3"/>
    <x v="1"/>
    <x v="2"/>
    <x v="0"/>
    <n v="8200"/>
    <n v="9500"/>
    <n v="60"/>
    <n v="7.8E-2"/>
    <s v="Approved"/>
    <x v="1"/>
    <n v="1"/>
    <n v="0"/>
    <n v="9500"/>
    <n v="0.13950000000000001"/>
    <n v="2"/>
    <n v="1"/>
    <n v="1"/>
  </r>
  <r>
    <s v="LA-701228"/>
    <d v="2024-07-08T00:00:00"/>
    <x v="0"/>
    <s v="Q3"/>
    <x v="6"/>
    <x v="1"/>
    <x v="0"/>
    <x v="3"/>
    <x v="0"/>
    <x v="2"/>
    <n v="4950"/>
    <n v="7500"/>
    <n v="48"/>
    <n v="0.11700000000000001"/>
    <s v="Rejected"/>
    <x v="0"/>
    <n v="0"/>
    <n v="1"/>
    <n v="0"/>
    <m/>
    <n v="4"/>
    <n v="0"/>
    <n v="1"/>
  </r>
  <r>
    <s v="LA-701229"/>
    <d v="2024-07-08T00:00:00"/>
    <x v="0"/>
    <s v="Q3"/>
    <x v="6"/>
    <x v="3"/>
    <x v="2"/>
    <x v="3"/>
    <x v="0"/>
    <x v="0"/>
    <n v="3900"/>
    <n v="418000"/>
    <n v="240"/>
    <n v="0.86699999999999999"/>
    <s v="Rejected"/>
    <x v="0"/>
    <n v="0"/>
    <n v="1"/>
    <n v="0"/>
    <m/>
    <n v="11"/>
    <n v="1"/>
    <n v="1"/>
  </r>
  <r>
    <s v="LA-701230"/>
    <d v="2024-07-08T00:00:00"/>
    <x v="0"/>
    <s v="Q3"/>
    <x v="6"/>
    <x v="0"/>
    <x v="0"/>
    <x v="2"/>
    <x v="0"/>
    <x v="1"/>
    <n v="8850"/>
    <n v="11000"/>
    <n v="36"/>
    <n v="0.24"/>
    <s v="Approved"/>
    <x v="1"/>
    <n v="1"/>
    <n v="0"/>
    <n v="11000"/>
    <n v="8.8999999999999996E-2"/>
    <n v="6"/>
    <n v="0"/>
    <n v="1"/>
  </r>
  <r>
    <s v="LA-701231"/>
    <d v="2024-07-08T00:00:00"/>
    <x v="0"/>
    <s v="Q3"/>
    <x v="6"/>
    <x v="0"/>
    <x v="3"/>
    <x v="1"/>
    <x v="1"/>
    <x v="1"/>
    <n v="5200"/>
    <n v="33500"/>
    <n v="36"/>
    <n v="0.308"/>
    <s v="Approved"/>
    <x v="1"/>
    <n v="1"/>
    <n v="0"/>
    <n v="33500"/>
    <n v="8.0799999999999997E-2"/>
    <n v="4"/>
    <n v="1"/>
    <n v="1"/>
  </r>
  <r>
    <s v="LA-701232"/>
    <d v="2024-07-08T00:00:00"/>
    <x v="0"/>
    <s v="Q3"/>
    <x v="6"/>
    <x v="0"/>
    <x v="1"/>
    <x v="3"/>
    <x v="1"/>
    <x v="4"/>
    <n v="4100"/>
    <n v="27000"/>
    <n v="36"/>
    <n v="0.42099999999999999"/>
    <s v="Approved"/>
    <x v="1"/>
    <n v="1"/>
    <n v="0"/>
    <n v="27000"/>
    <n v="6.9400000000000003E-2"/>
    <n v="4"/>
    <n v="1"/>
    <n v="1"/>
  </r>
  <r>
    <s v="LA-701233"/>
    <d v="2024-07-08T00:00:00"/>
    <x v="0"/>
    <s v="Q3"/>
    <x v="6"/>
    <x v="1"/>
    <x v="3"/>
    <x v="2"/>
    <x v="1"/>
    <x v="3"/>
    <n v="4350"/>
    <n v="14500"/>
    <n v="24"/>
    <n v="0.33400000000000002"/>
    <s v="Approved"/>
    <x v="1"/>
    <n v="1"/>
    <n v="0"/>
    <n v="11500"/>
    <n v="0.106"/>
    <n v="5"/>
    <n v="0"/>
    <n v="1"/>
  </r>
  <r>
    <s v="LA-701234"/>
    <d v="2024-07-09T00:00:00"/>
    <x v="0"/>
    <s v="Q3"/>
    <x v="6"/>
    <x v="1"/>
    <x v="2"/>
    <x v="2"/>
    <x v="0"/>
    <x v="0"/>
    <n v="7250"/>
    <n v="7000"/>
    <n v="24"/>
    <n v="0.187"/>
    <s v="Rejected"/>
    <x v="0"/>
    <n v="0"/>
    <n v="1"/>
    <n v="0"/>
    <m/>
    <n v="3"/>
    <n v="1"/>
    <n v="1"/>
  </r>
  <r>
    <s v="LA-701235"/>
    <d v="2024-07-09T00:00:00"/>
    <x v="0"/>
    <s v="Q3"/>
    <x v="6"/>
    <x v="0"/>
    <x v="1"/>
    <x v="2"/>
    <x v="2"/>
    <x v="4"/>
    <n v="4200"/>
    <n v="33000"/>
    <n v="60"/>
    <n v="0.214"/>
    <s v="Rejected"/>
    <x v="0"/>
    <n v="0"/>
    <n v="1"/>
    <n v="0"/>
    <m/>
    <n v="2"/>
    <n v="1"/>
    <n v="1"/>
  </r>
  <r>
    <s v="LA-701236"/>
    <d v="2024-07-09T00:00:00"/>
    <x v="0"/>
    <s v="Q3"/>
    <x v="6"/>
    <x v="1"/>
    <x v="1"/>
    <x v="4"/>
    <x v="0"/>
    <x v="4"/>
    <n v="8300"/>
    <n v="9000"/>
    <n v="36"/>
    <n v="0.14599999999999999"/>
    <s v="Approved"/>
    <x v="1"/>
    <n v="1"/>
    <n v="0"/>
    <n v="8000"/>
    <n v="0.1144"/>
    <n v="1"/>
    <n v="1"/>
    <n v="1"/>
  </r>
  <r>
    <s v="LA-701237"/>
    <d v="2024-07-09T00:00:00"/>
    <x v="0"/>
    <s v="Q3"/>
    <x v="6"/>
    <x v="0"/>
    <x v="0"/>
    <x v="2"/>
    <x v="0"/>
    <x v="4"/>
    <n v="4550"/>
    <n v="32500"/>
    <n v="60"/>
    <n v="0.37"/>
    <s v="Rejected"/>
    <x v="4"/>
    <n v="0"/>
    <n v="1"/>
    <n v="0"/>
    <m/>
    <n v="14"/>
    <n v="0"/>
    <n v="1"/>
  </r>
  <r>
    <s v="LA-701238"/>
    <d v="2024-07-10T00:00:00"/>
    <x v="0"/>
    <s v="Q3"/>
    <x v="6"/>
    <x v="0"/>
    <x v="3"/>
    <x v="3"/>
    <x v="1"/>
    <x v="0"/>
    <n v="4550"/>
    <n v="30000"/>
    <n v="48"/>
    <n v="0.40200000000000002"/>
    <s v="Approved"/>
    <x v="1"/>
    <n v="1"/>
    <n v="0"/>
    <n v="24000"/>
    <n v="9.1800000000000007E-2"/>
    <n v="11"/>
    <n v="0"/>
    <n v="1"/>
  </r>
  <r>
    <s v="LA-701239"/>
    <d v="2024-07-10T00:00:00"/>
    <x v="0"/>
    <s v="Q3"/>
    <x v="6"/>
    <x v="2"/>
    <x v="2"/>
    <x v="0"/>
    <x v="1"/>
    <x v="0"/>
    <n v="7250"/>
    <n v="84500"/>
    <n v="60"/>
    <n v="0.36599999999999999"/>
    <s v="Withdrawn"/>
    <x v="1"/>
    <n v="0"/>
    <n v="0"/>
    <n v="0"/>
    <m/>
    <n v="4"/>
    <n v="1"/>
    <n v="1"/>
  </r>
  <r>
    <s v="LA-701240"/>
    <d v="2024-07-10T00:00:00"/>
    <x v="0"/>
    <s v="Q3"/>
    <x v="6"/>
    <x v="1"/>
    <x v="3"/>
    <x v="1"/>
    <x v="0"/>
    <x v="4"/>
    <n v="3150"/>
    <n v="12000"/>
    <n v="24"/>
    <n v="0.40799999999999997"/>
    <s v="Rejected"/>
    <x v="5"/>
    <n v="0"/>
    <n v="1"/>
    <n v="0"/>
    <m/>
    <n v="3"/>
    <n v="1"/>
    <n v="1"/>
  </r>
  <r>
    <s v="LA-701241"/>
    <d v="2024-07-10T00:00:00"/>
    <x v="0"/>
    <s v="Q3"/>
    <x v="6"/>
    <x v="1"/>
    <x v="2"/>
    <x v="3"/>
    <x v="0"/>
    <x v="3"/>
    <n v="6300"/>
    <n v="13000"/>
    <n v="60"/>
    <n v="0.192"/>
    <s v="Approved"/>
    <x v="1"/>
    <n v="1"/>
    <n v="0"/>
    <n v="11500"/>
    <n v="0.10630000000000001"/>
    <n v="2"/>
    <n v="1"/>
    <n v="1"/>
  </r>
  <r>
    <s v="LA-701242"/>
    <d v="2024-07-10T00:00:00"/>
    <x v="0"/>
    <s v="Q3"/>
    <x v="6"/>
    <x v="2"/>
    <x v="3"/>
    <x v="2"/>
    <x v="0"/>
    <x v="0"/>
    <n v="3600"/>
    <n v="84000"/>
    <n v="12"/>
    <n v="2.133"/>
    <s v="Rejected"/>
    <x v="3"/>
    <n v="0"/>
    <n v="1"/>
    <n v="0"/>
    <m/>
    <n v="14"/>
    <n v="0"/>
    <n v="1"/>
  </r>
  <r>
    <s v="LA-701243"/>
    <d v="2024-07-11T00:00:00"/>
    <x v="0"/>
    <s v="Q3"/>
    <x v="6"/>
    <x v="2"/>
    <x v="2"/>
    <x v="3"/>
    <x v="0"/>
    <x v="1"/>
    <n v="3850"/>
    <n v="73500"/>
    <n v="24"/>
    <n v="1.1279999999999999"/>
    <s v="Approved"/>
    <x v="1"/>
    <n v="1"/>
    <n v="0"/>
    <n v="66000"/>
    <n v="0.10879999999999999"/>
    <n v="6"/>
    <n v="1"/>
    <n v="1"/>
  </r>
  <r>
    <s v="LA-701244"/>
    <d v="2024-07-11T00:00:00"/>
    <x v="0"/>
    <s v="Q3"/>
    <x v="6"/>
    <x v="2"/>
    <x v="2"/>
    <x v="1"/>
    <x v="2"/>
    <x v="4"/>
    <n v="11150"/>
    <n v="50500"/>
    <n v="12"/>
    <n v="0.626"/>
    <s v="Rejected"/>
    <x v="4"/>
    <n v="0"/>
    <n v="1"/>
    <n v="0"/>
    <m/>
    <n v="11"/>
    <n v="0"/>
    <n v="1"/>
  </r>
  <r>
    <s v="LA-701245"/>
    <d v="2024-07-11T00:00:00"/>
    <x v="0"/>
    <s v="Q3"/>
    <x v="6"/>
    <x v="0"/>
    <x v="3"/>
    <x v="3"/>
    <x v="1"/>
    <x v="1"/>
    <n v="8350"/>
    <n v="33500"/>
    <n v="36"/>
    <n v="0.32900000000000001"/>
    <s v="Approved"/>
    <x v="1"/>
    <n v="1"/>
    <n v="0"/>
    <n v="33500"/>
    <n v="7.4200000000000002E-2"/>
    <n v="5"/>
    <n v="0"/>
    <n v="1"/>
  </r>
  <r>
    <s v="LA-701246"/>
    <d v="2024-07-11T00:00:00"/>
    <x v="0"/>
    <s v="Q3"/>
    <x v="6"/>
    <x v="3"/>
    <x v="2"/>
    <x v="3"/>
    <x v="0"/>
    <x v="3"/>
    <n v="6200"/>
    <n v="363000"/>
    <n v="180"/>
    <n v="0.53700000000000003"/>
    <s v="Approved"/>
    <x v="1"/>
    <n v="1"/>
    <n v="0"/>
    <n v="326500"/>
    <n v="4.9700000000000001E-2"/>
    <n v="10"/>
    <n v="1"/>
    <n v="1"/>
  </r>
  <r>
    <s v="LA-701247"/>
    <d v="2024-07-12T00:00:00"/>
    <x v="0"/>
    <s v="Q3"/>
    <x v="6"/>
    <x v="2"/>
    <x v="2"/>
    <x v="2"/>
    <x v="1"/>
    <x v="4"/>
    <n v="10750"/>
    <n v="157000"/>
    <n v="60"/>
    <n v="0.46500000000000002"/>
    <s v="Approved"/>
    <x v="1"/>
    <n v="1"/>
    <n v="0"/>
    <n v="157000"/>
    <n v="9.3600000000000003E-2"/>
    <n v="5"/>
    <n v="1"/>
    <n v="1"/>
  </r>
  <r>
    <s v="LA-701248"/>
    <d v="2024-07-12T00:00:00"/>
    <x v="0"/>
    <s v="Q3"/>
    <x v="6"/>
    <x v="1"/>
    <x v="3"/>
    <x v="4"/>
    <x v="0"/>
    <x v="0"/>
    <n v="4250"/>
    <n v="9500"/>
    <n v="48"/>
    <n v="0.20399999999999999"/>
    <s v="Approved"/>
    <x v="1"/>
    <n v="1"/>
    <n v="0"/>
    <n v="7500"/>
    <n v="0.1419"/>
    <n v="8"/>
    <n v="0"/>
    <n v="1"/>
  </r>
  <r>
    <s v="LA-701249"/>
    <d v="2024-07-12T00:00:00"/>
    <x v="0"/>
    <s v="Q3"/>
    <x v="6"/>
    <x v="3"/>
    <x v="2"/>
    <x v="2"/>
    <x v="1"/>
    <x v="1"/>
    <n v="7250"/>
    <n v="231000"/>
    <n v="180"/>
    <n v="0.437"/>
    <s v="Approved"/>
    <x v="1"/>
    <n v="1"/>
    <n v="0"/>
    <n v="231000"/>
    <n v="6.0299999999999999E-2"/>
    <n v="12"/>
    <n v="1"/>
    <n v="1"/>
  </r>
  <r>
    <s v="LA-701250"/>
    <d v="2024-07-12T00:00:00"/>
    <x v="0"/>
    <s v="Q3"/>
    <x v="6"/>
    <x v="2"/>
    <x v="3"/>
    <x v="3"/>
    <x v="1"/>
    <x v="4"/>
    <n v="5600"/>
    <n v="241500"/>
    <n v="12"/>
    <n v="3.847"/>
    <s v="Rejected"/>
    <x v="3"/>
    <n v="0"/>
    <n v="1"/>
    <n v="0"/>
    <m/>
    <n v="14"/>
    <n v="0"/>
    <n v="1"/>
  </r>
  <r>
    <s v="LA-701251"/>
    <d v="2024-07-12T00:00:00"/>
    <x v="0"/>
    <s v="Q3"/>
    <x v="6"/>
    <x v="0"/>
    <x v="1"/>
    <x v="2"/>
    <x v="1"/>
    <x v="2"/>
    <n v="3400"/>
    <n v="11000"/>
    <n v="36"/>
    <n v="0.186"/>
    <s v="Rejected"/>
    <x v="0"/>
    <n v="0"/>
    <n v="1"/>
    <n v="0"/>
    <m/>
    <n v="2"/>
    <n v="1"/>
    <n v="1"/>
  </r>
  <r>
    <s v="LA-701252"/>
    <d v="2024-07-12T00:00:00"/>
    <x v="0"/>
    <s v="Q3"/>
    <x v="6"/>
    <x v="3"/>
    <x v="3"/>
    <x v="2"/>
    <x v="0"/>
    <x v="4"/>
    <n v="6050"/>
    <n v="226000"/>
    <n v="300"/>
    <n v="0.46500000000000002"/>
    <s v="Approved"/>
    <x v="1"/>
    <n v="1"/>
    <n v="0"/>
    <n v="226000"/>
    <n v="5.1999999999999998E-2"/>
    <n v="19"/>
    <n v="0"/>
    <n v="1"/>
  </r>
  <r>
    <s v="LA-701253"/>
    <d v="2024-07-13T00:00:00"/>
    <x v="0"/>
    <s v="Q3"/>
    <x v="6"/>
    <x v="1"/>
    <x v="2"/>
    <x v="3"/>
    <x v="0"/>
    <x v="2"/>
    <n v="10300"/>
    <n v="7000"/>
    <n v="60"/>
    <n v="0.17899999999999999"/>
    <s v="Rejected"/>
    <x v="0"/>
    <n v="0"/>
    <n v="1"/>
    <n v="0"/>
    <m/>
    <n v="1"/>
    <n v="1"/>
    <n v="1"/>
  </r>
  <r>
    <s v="LA-701254"/>
    <d v="2024-07-13T00:00:00"/>
    <x v="0"/>
    <s v="Q3"/>
    <x v="6"/>
    <x v="2"/>
    <x v="3"/>
    <x v="2"/>
    <x v="1"/>
    <x v="4"/>
    <n v="5250"/>
    <n v="106500"/>
    <n v="36"/>
    <n v="0.85"/>
    <s v="Rejected"/>
    <x v="3"/>
    <n v="0"/>
    <n v="1"/>
    <n v="0"/>
    <m/>
    <n v="7"/>
    <n v="1"/>
    <n v="1"/>
  </r>
  <r>
    <s v="LA-701255"/>
    <d v="2024-07-13T00:00:00"/>
    <x v="0"/>
    <s v="Q3"/>
    <x v="6"/>
    <x v="3"/>
    <x v="1"/>
    <x v="0"/>
    <x v="0"/>
    <x v="4"/>
    <n v="3750"/>
    <n v="320500"/>
    <n v="180"/>
    <n v="0.86499999999999999"/>
    <s v="Rejected"/>
    <x v="3"/>
    <n v="0"/>
    <n v="1"/>
    <n v="0"/>
    <m/>
    <n v="6"/>
    <n v="1"/>
    <n v="1"/>
  </r>
  <r>
    <s v="LA-701256"/>
    <d v="2024-07-13T00:00:00"/>
    <x v="0"/>
    <s v="Q3"/>
    <x v="6"/>
    <x v="1"/>
    <x v="2"/>
    <x v="3"/>
    <x v="0"/>
    <x v="2"/>
    <n v="5000"/>
    <n v="6000"/>
    <n v="48"/>
    <n v="0.188"/>
    <s v="Rejected"/>
    <x v="0"/>
    <n v="0"/>
    <n v="1"/>
    <n v="0"/>
    <m/>
    <n v="2"/>
    <n v="1"/>
    <n v="1"/>
  </r>
  <r>
    <s v="LA-701257"/>
    <d v="2024-07-14T00:00:00"/>
    <x v="0"/>
    <s v="Q3"/>
    <x v="6"/>
    <x v="0"/>
    <x v="2"/>
    <x v="1"/>
    <x v="0"/>
    <x v="4"/>
    <n v="6150"/>
    <n v="14000"/>
    <n v="60"/>
    <n v="0.153"/>
    <s v="Approved"/>
    <x v="1"/>
    <n v="1"/>
    <n v="0"/>
    <n v="14000"/>
    <n v="7.2800000000000004E-2"/>
    <n v="2"/>
    <n v="1"/>
    <n v="1"/>
  </r>
  <r>
    <s v="LA-701258"/>
    <d v="2024-07-14T00:00:00"/>
    <x v="0"/>
    <s v="Q3"/>
    <x v="6"/>
    <x v="2"/>
    <x v="3"/>
    <x v="3"/>
    <x v="2"/>
    <x v="0"/>
    <n v="4250"/>
    <n v="58500"/>
    <n v="60"/>
    <n v="0.53900000000000003"/>
    <s v="Approved"/>
    <x v="1"/>
    <n v="1"/>
    <n v="0"/>
    <n v="52500"/>
    <n v="0.12770000000000001"/>
    <n v="14"/>
    <n v="0"/>
    <n v="1"/>
  </r>
  <r>
    <s v="LA-701259"/>
    <d v="2024-07-15T00:00:00"/>
    <x v="0"/>
    <s v="Q3"/>
    <x v="6"/>
    <x v="1"/>
    <x v="1"/>
    <x v="3"/>
    <x v="2"/>
    <x v="3"/>
    <n v="7250"/>
    <n v="10500"/>
    <n v="60"/>
    <n v="8.7999999999999995E-2"/>
    <s v="Approved"/>
    <x v="1"/>
    <n v="1"/>
    <n v="0"/>
    <n v="10500"/>
    <n v="0.10920000000000001"/>
    <n v="1"/>
    <n v="1"/>
    <n v="1"/>
  </r>
  <r>
    <s v="LA-701260"/>
    <d v="2024-07-15T00:00:00"/>
    <x v="0"/>
    <s v="Q3"/>
    <x v="6"/>
    <x v="1"/>
    <x v="3"/>
    <x v="1"/>
    <x v="0"/>
    <x v="1"/>
    <n v="7300"/>
    <n v="6000"/>
    <n v="60"/>
    <n v="0.16800000000000001"/>
    <s v="Approved"/>
    <x v="1"/>
    <n v="1"/>
    <n v="0"/>
    <n v="6000"/>
    <n v="0.12470000000000001"/>
    <n v="5"/>
    <n v="0"/>
    <n v="1"/>
  </r>
  <r>
    <s v="LA-701261"/>
    <d v="2024-07-15T00:00:00"/>
    <x v="0"/>
    <s v="Q3"/>
    <x v="6"/>
    <x v="1"/>
    <x v="3"/>
    <x v="2"/>
    <x v="1"/>
    <x v="3"/>
    <n v="5050"/>
    <n v="12000"/>
    <n v="48"/>
    <n v="0.30499999999999999"/>
    <s v="Approved"/>
    <x v="1"/>
    <n v="1"/>
    <n v="0"/>
    <n v="12000"/>
    <n v="0.1103"/>
    <n v="7"/>
    <n v="0"/>
    <n v="1"/>
  </r>
  <r>
    <s v="LA-701262"/>
    <d v="2024-07-15T00:00:00"/>
    <x v="0"/>
    <s v="Q3"/>
    <x v="6"/>
    <x v="2"/>
    <x v="2"/>
    <x v="3"/>
    <x v="0"/>
    <x v="1"/>
    <n v="3000"/>
    <n v="203500"/>
    <n v="24"/>
    <n v="3.2040000000000002"/>
    <s v="Rejected"/>
    <x v="3"/>
    <n v="0"/>
    <n v="1"/>
    <n v="0"/>
    <m/>
    <n v="6"/>
    <n v="1"/>
    <n v="1"/>
  </r>
  <r>
    <s v="LA-701263"/>
    <d v="2024-07-15T00:00:00"/>
    <x v="0"/>
    <s v="Q3"/>
    <x v="6"/>
    <x v="0"/>
    <x v="1"/>
    <x v="2"/>
    <x v="1"/>
    <x v="4"/>
    <n v="3800"/>
    <n v="40000"/>
    <n v="36"/>
    <n v="0.51600000000000001"/>
    <s v="Rejected"/>
    <x v="4"/>
    <n v="0"/>
    <n v="1"/>
    <n v="0"/>
    <m/>
    <n v="6"/>
    <n v="0"/>
    <n v="1"/>
  </r>
  <r>
    <s v="LA-701264"/>
    <d v="2024-07-15T00:00:00"/>
    <x v="0"/>
    <s v="Q3"/>
    <x v="6"/>
    <x v="0"/>
    <x v="2"/>
    <x v="2"/>
    <x v="1"/>
    <x v="0"/>
    <n v="4200"/>
    <n v="31500"/>
    <n v="48"/>
    <n v="0.34300000000000003"/>
    <s v="Rejected"/>
    <x v="0"/>
    <n v="0"/>
    <n v="1"/>
    <n v="0"/>
    <m/>
    <n v="2"/>
    <n v="1"/>
    <n v="1"/>
  </r>
  <r>
    <s v="LA-701265"/>
    <d v="2024-07-15T00:00:00"/>
    <x v="0"/>
    <s v="Q3"/>
    <x v="6"/>
    <x v="2"/>
    <x v="1"/>
    <x v="1"/>
    <x v="0"/>
    <x v="4"/>
    <n v="3300"/>
    <n v="158000"/>
    <n v="60"/>
    <n v="1.1439999999999999"/>
    <s v="Rejected"/>
    <x v="3"/>
    <n v="0"/>
    <n v="1"/>
    <n v="0"/>
    <m/>
    <n v="6"/>
    <n v="1"/>
    <n v="1"/>
  </r>
  <r>
    <s v="LA-701266"/>
    <d v="2024-07-15T00:00:00"/>
    <x v="0"/>
    <s v="Q3"/>
    <x v="6"/>
    <x v="1"/>
    <x v="3"/>
    <x v="3"/>
    <x v="2"/>
    <x v="0"/>
    <n v="9200"/>
    <n v="10500"/>
    <n v="60"/>
    <n v="0.26200000000000001"/>
    <s v="Rejected"/>
    <x v="5"/>
    <n v="0"/>
    <n v="1"/>
    <n v="0"/>
    <m/>
    <n v="3"/>
    <n v="1"/>
    <n v="1"/>
  </r>
  <r>
    <s v="LA-701267"/>
    <d v="2024-07-16T00:00:00"/>
    <x v="0"/>
    <s v="Q3"/>
    <x v="6"/>
    <x v="0"/>
    <x v="1"/>
    <x v="1"/>
    <x v="0"/>
    <x v="1"/>
    <n v="3050"/>
    <n v="21500"/>
    <n v="48"/>
    <n v="0.378"/>
    <s v="Approved"/>
    <x v="1"/>
    <n v="1"/>
    <n v="0"/>
    <n v="17000"/>
    <n v="8.1000000000000003E-2"/>
    <n v="3"/>
    <n v="1"/>
    <n v="1"/>
  </r>
  <r>
    <s v="LA-701268"/>
    <d v="2024-07-16T00:00:00"/>
    <x v="0"/>
    <s v="Q3"/>
    <x v="6"/>
    <x v="1"/>
    <x v="3"/>
    <x v="2"/>
    <x v="0"/>
    <x v="4"/>
    <n v="9250"/>
    <n v="14000"/>
    <n v="12"/>
    <n v="0.32500000000000001"/>
    <s v="Approved"/>
    <x v="1"/>
    <n v="1"/>
    <n v="0"/>
    <n v="12500"/>
    <n v="0.11749999999999999"/>
    <n v="3"/>
    <n v="1"/>
    <n v="1"/>
  </r>
  <r>
    <s v="LA-701269"/>
    <d v="2024-07-16T00:00:00"/>
    <x v="0"/>
    <s v="Q3"/>
    <x v="6"/>
    <x v="1"/>
    <x v="3"/>
    <x v="3"/>
    <x v="2"/>
    <x v="2"/>
    <n v="8700"/>
    <n v="15500"/>
    <n v="24"/>
    <n v="0.19500000000000001"/>
    <s v="Rejected"/>
    <x v="0"/>
    <n v="0"/>
    <n v="1"/>
    <n v="0"/>
    <m/>
    <n v="8"/>
    <n v="0"/>
    <n v="1"/>
  </r>
  <r>
    <s v="LA-701270"/>
    <d v="2024-07-16T00:00:00"/>
    <x v="0"/>
    <s v="Q3"/>
    <x v="6"/>
    <x v="1"/>
    <x v="2"/>
    <x v="2"/>
    <x v="1"/>
    <x v="1"/>
    <n v="8200"/>
    <n v="16000"/>
    <n v="24"/>
    <n v="0.19900000000000001"/>
    <s v="Approved"/>
    <x v="1"/>
    <n v="1"/>
    <n v="0"/>
    <n v="14500"/>
    <n v="0.1265"/>
    <n v="2"/>
    <n v="1"/>
    <n v="1"/>
  </r>
  <r>
    <s v="LA-701271"/>
    <d v="2024-07-16T00:00:00"/>
    <x v="0"/>
    <s v="Q3"/>
    <x v="6"/>
    <x v="0"/>
    <x v="2"/>
    <x v="3"/>
    <x v="0"/>
    <x v="0"/>
    <n v="6800"/>
    <n v="34500"/>
    <n v="60"/>
    <n v="0.33600000000000002"/>
    <s v="Approved"/>
    <x v="1"/>
    <n v="1"/>
    <n v="0"/>
    <n v="34500"/>
    <n v="9.4700000000000006E-2"/>
    <n v="4"/>
    <n v="1"/>
    <n v="1"/>
  </r>
  <r>
    <s v="LA-701272"/>
    <d v="2024-07-17T00:00:00"/>
    <x v="0"/>
    <s v="Q3"/>
    <x v="6"/>
    <x v="1"/>
    <x v="1"/>
    <x v="1"/>
    <x v="0"/>
    <x v="0"/>
    <n v="7450"/>
    <n v="9000"/>
    <n v="36"/>
    <n v="0.28000000000000003"/>
    <s v="Rejected"/>
    <x v="5"/>
    <n v="0"/>
    <n v="1"/>
    <n v="0"/>
    <m/>
    <n v="3"/>
    <n v="1"/>
    <n v="1"/>
  </r>
  <r>
    <s v="LA-701273"/>
    <d v="2024-07-17T00:00:00"/>
    <x v="0"/>
    <s v="Q3"/>
    <x v="6"/>
    <x v="1"/>
    <x v="3"/>
    <x v="1"/>
    <x v="0"/>
    <x v="1"/>
    <n v="4550"/>
    <n v="16000"/>
    <n v="12"/>
    <n v="0.40300000000000002"/>
    <s v="Approved"/>
    <x v="1"/>
    <n v="1"/>
    <n v="0"/>
    <n v="16000"/>
    <n v="0.12670000000000001"/>
    <n v="8"/>
    <n v="0"/>
    <n v="1"/>
  </r>
  <r>
    <s v="LA-701274"/>
    <d v="2024-07-17T00:00:00"/>
    <x v="0"/>
    <s v="Q3"/>
    <x v="6"/>
    <x v="0"/>
    <x v="1"/>
    <x v="3"/>
    <x v="2"/>
    <x v="1"/>
    <n v="8550"/>
    <n v="17500"/>
    <n v="60"/>
    <n v="0.23699999999999999"/>
    <s v="Rejected"/>
    <x v="2"/>
    <n v="0"/>
    <n v="1"/>
    <n v="0"/>
    <m/>
    <n v="2"/>
    <n v="1"/>
    <n v="1"/>
  </r>
  <r>
    <s v="LA-701275"/>
    <d v="2024-07-17T00:00:00"/>
    <x v="0"/>
    <s v="Q3"/>
    <x v="6"/>
    <x v="1"/>
    <x v="2"/>
    <x v="2"/>
    <x v="1"/>
    <x v="1"/>
    <n v="6050"/>
    <n v="32000"/>
    <n v="60"/>
    <n v="0.28000000000000003"/>
    <s v="Rejected"/>
    <x v="2"/>
    <n v="0"/>
    <n v="1"/>
    <n v="0"/>
    <m/>
    <n v="2"/>
    <n v="1"/>
    <n v="1"/>
  </r>
  <r>
    <s v="LA-701276"/>
    <d v="2024-07-17T00:00:00"/>
    <x v="0"/>
    <s v="Q3"/>
    <x v="6"/>
    <x v="2"/>
    <x v="3"/>
    <x v="3"/>
    <x v="1"/>
    <x v="1"/>
    <n v="3300"/>
    <n v="83500"/>
    <n v="36"/>
    <n v="1.012"/>
    <s v="Rejected"/>
    <x v="3"/>
    <n v="0"/>
    <n v="1"/>
    <n v="0"/>
    <m/>
    <n v="13"/>
    <n v="0"/>
    <n v="1"/>
  </r>
  <r>
    <s v="LA-701277"/>
    <d v="2024-07-17T00:00:00"/>
    <x v="0"/>
    <s v="Q3"/>
    <x v="6"/>
    <x v="1"/>
    <x v="3"/>
    <x v="1"/>
    <x v="0"/>
    <x v="4"/>
    <n v="4400"/>
    <n v="10500"/>
    <n v="12"/>
    <n v="0.32"/>
    <s v="Approved"/>
    <x v="1"/>
    <n v="1"/>
    <n v="0"/>
    <n v="10500"/>
    <n v="0.11899999999999999"/>
    <n v="10"/>
    <n v="0"/>
    <n v="1"/>
  </r>
  <r>
    <s v="LA-701278"/>
    <d v="2024-07-17T00:00:00"/>
    <x v="0"/>
    <s v="Q3"/>
    <x v="6"/>
    <x v="2"/>
    <x v="3"/>
    <x v="2"/>
    <x v="1"/>
    <x v="1"/>
    <n v="4000"/>
    <n v="63500"/>
    <n v="24"/>
    <n v="0.79900000000000004"/>
    <s v="Approved"/>
    <x v="1"/>
    <n v="1"/>
    <n v="0"/>
    <n v="57000"/>
    <n v="0.10440000000000001"/>
    <n v="14"/>
    <n v="0"/>
    <n v="1"/>
  </r>
  <r>
    <s v="LA-701279"/>
    <d v="2024-07-18T00:00:00"/>
    <x v="0"/>
    <s v="Q3"/>
    <x v="6"/>
    <x v="1"/>
    <x v="1"/>
    <x v="4"/>
    <x v="1"/>
    <x v="3"/>
    <n v="3050"/>
    <n v="14500"/>
    <n v="48"/>
    <n v="0.25700000000000001"/>
    <s v="Approved"/>
    <x v="1"/>
    <n v="1"/>
    <n v="0"/>
    <n v="14500"/>
    <n v="0.10630000000000001"/>
    <n v="2"/>
    <n v="1"/>
    <n v="1"/>
  </r>
  <r>
    <s v="LA-701280"/>
    <d v="2024-07-18T00:00:00"/>
    <x v="0"/>
    <s v="Q3"/>
    <x v="6"/>
    <x v="0"/>
    <x v="1"/>
    <x v="2"/>
    <x v="0"/>
    <x v="0"/>
    <n v="6500"/>
    <n v="36500"/>
    <n v="60"/>
    <n v="0.21099999999999999"/>
    <s v="Rejected"/>
    <x v="0"/>
    <n v="0"/>
    <n v="1"/>
    <n v="0"/>
    <m/>
    <n v="3"/>
    <n v="1"/>
    <n v="1"/>
  </r>
  <r>
    <s v="LA-701281"/>
    <d v="2024-07-18T00:00:00"/>
    <x v="0"/>
    <s v="Q3"/>
    <x v="6"/>
    <x v="0"/>
    <x v="3"/>
    <x v="3"/>
    <x v="2"/>
    <x v="1"/>
    <n v="5000"/>
    <n v="31500"/>
    <n v="36"/>
    <n v="0.27100000000000002"/>
    <s v="Rejected"/>
    <x v="0"/>
    <n v="0"/>
    <n v="1"/>
    <n v="0"/>
    <m/>
    <n v="6"/>
    <n v="0"/>
    <n v="1"/>
  </r>
  <r>
    <s v="LA-701282"/>
    <d v="2024-07-18T00:00:00"/>
    <x v="0"/>
    <s v="Q3"/>
    <x v="6"/>
    <x v="1"/>
    <x v="3"/>
    <x v="3"/>
    <x v="1"/>
    <x v="2"/>
    <n v="4850"/>
    <n v="11500"/>
    <n v="24"/>
    <n v="0.26100000000000001"/>
    <s v="Rejected"/>
    <x v="5"/>
    <n v="0"/>
    <n v="1"/>
    <n v="0"/>
    <m/>
    <n v="8"/>
    <n v="0"/>
    <n v="1"/>
  </r>
  <r>
    <s v="LA-701283"/>
    <d v="2024-07-18T00:00:00"/>
    <x v="0"/>
    <s v="Q3"/>
    <x v="6"/>
    <x v="2"/>
    <x v="0"/>
    <x v="2"/>
    <x v="0"/>
    <x v="4"/>
    <n v="2600"/>
    <n v="93500"/>
    <n v="12"/>
    <n v="3.3069999999999999"/>
    <s v="Rejected"/>
    <x v="3"/>
    <n v="0"/>
    <n v="1"/>
    <n v="0"/>
    <m/>
    <n v="9"/>
    <n v="1"/>
    <n v="1"/>
  </r>
  <r>
    <s v="LA-701284"/>
    <d v="2024-07-18T00:00:00"/>
    <x v="0"/>
    <s v="Q3"/>
    <x v="6"/>
    <x v="2"/>
    <x v="1"/>
    <x v="1"/>
    <x v="1"/>
    <x v="2"/>
    <n v="5600"/>
    <n v="82000"/>
    <n v="12"/>
    <n v="1.474"/>
    <s v="Rejected"/>
    <x v="4"/>
    <n v="0"/>
    <n v="1"/>
    <n v="0"/>
    <m/>
    <n v="7"/>
    <n v="1"/>
    <n v="1"/>
  </r>
  <r>
    <s v="LA-701285"/>
    <d v="2024-07-18T00:00:00"/>
    <x v="0"/>
    <s v="Q3"/>
    <x v="6"/>
    <x v="3"/>
    <x v="3"/>
    <x v="0"/>
    <x v="0"/>
    <x v="2"/>
    <n v="4100"/>
    <n v="388500"/>
    <n v="300"/>
    <n v="0.68300000000000005"/>
    <s v="Rejected"/>
    <x v="0"/>
    <n v="0"/>
    <n v="1"/>
    <n v="0"/>
    <m/>
    <n v="23"/>
    <n v="0"/>
    <n v="1"/>
  </r>
  <r>
    <s v="LA-701286"/>
    <d v="2024-07-19T00:00:00"/>
    <x v="0"/>
    <s v="Q3"/>
    <x v="6"/>
    <x v="0"/>
    <x v="1"/>
    <x v="0"/>
    <x v="1"/>
    <x v="3"/>
    <n v="7250"/>
    <n v="13500"/>
    <n v="36"/>
    <n v="0.27700000000000002"/>
    <s v="Approved"/>
    <x v="1"/>
    <n v="1"/>
    <n v="0"/>
    <n v="13500"/>
    <n v="6.1800000000000001E-2"/>
    <n v="4"/>
    <n v="1"/>
    <n v="1"/>
  </r>
  <r>
    <s v="LA-701287"/>
    <d v="2024-07-19T00:00:00"/>
    <x v="0"/>
    <s v="Q3"/>
    <x v="6"/>
    <x v="2"/>
    <x v="3"/>
    <x v="3"/>
    <x v="2"/>
    <x v="1"/>
    <n v="6950"/>
    <n v="57500"/>
    <n v="24"/>
    <n v="0.59"/>
    <s v="Rejected"/>
    <x v="3"/>
    <n v="0"/>
    <n v="1"/>
    <n v="0"/>
    <m/>
    <n v="14"/>
    <n v="0"/>
    <n v="1"/>
  </r>
  <r>
    <s v="LA-701288"/>
    <d v="2024-07-20T00:00:00"/>
    <x v="0"/>
    <s v="Q3"/>
    <x v="6"/>
    <x v="2"/>
    <x v="3"/>
    <x v="2"/>
    <x v="0"/>
    <x v="1"/>
    <n v="3200"/>
    <n v="81000"/>
    <n v="12"/>
    <n v="2.3159999999999998"/>
    <s v="Rejected"/>
    <x v="3"/>
    <n v="0"/>
    <n v="1"/>
    <n v="0"/>
    <m/>
    <n v="17"/>
    <n v="0"/>
    <n v="1"/>
  </r>
  <r>
    <s v="LA-701289"/>
    <d v="2024-07-20T00:00:00"/>
    <x v="0"/>
    <s v="Q3"/>
    <x v="6"/>
    <x v="2"/>
    <x v="2"/>
    <x v="2"/>
    <x v="0"/>
    <x v="2"/>
    <n v="6150"/>
    <n v="96000"/>
    <n v="24"/>
    <n v="0.92500000000000004"/>
    <s v="Rejected"/>
    <x v="3"/>
    <n v="0"/>
    <n v="1"/>
    <n v="0"/>
    <m/>
    <n v="8"/>
    <n v="1"/>
    <n v="1"/>
  </r>
  <r>
    <s v="LA-701290"/>
    <d v="2024-07-21T00:00:00"/>
    <x v="0"/>
    <s v="Q3"/>
    <x v="6"/>
    <x v="0"/>
    <x v="0"/>
    <x v="2"/>
    <x v="0"/>
    <x v="0"/>
    <n v="11200"/>
    <n v="17000"/>
    <n v="60"/>
    <n v="0.27500000000000002"/>
    <s v="Rejected"/>
    <x v="2"/>
    <n v="0"/>
    <n v="1"/>
    <n v="0"/>
    <m/>
    <n v="4"/>
    <n v="1"/>
    <n v="1"/>
  </r>
  <r>
    <s v="LA-701291"/>
    <d v="2024-07-21T00:00:00"/>
    <x v="0"/>
    <s v="Q3"/>
    <x v="6"/>
    <x v="2"/>
    <x v="0"/>
    <x v="3"/>
    <x v="1"/>
    <x v="0"/>
    <n v="4350"/>
    <n v="87500"/>
    <n v="24"/>
    <n v="1.1639999999999999"/>
    <s v="Rejected"/>
    <x v="4"/>
    <n v="0"/>
    <n v="1"/>
    <n v="0"/>
    <m/>
    <n v="21"/>
    <n v="0"/>
    <n v="1"/>
  </r>
  <r>
    <s v="LA-701292"/>
    <d v="2024-07-22T00:00:00"/>
    <x v="0"/>
    <s v="Q3"/>
    <x v="6"/>
    <x v="0"/>
    <x v="3"/>
    <x v="1"/>
    <x v="2"/>
    <x v="4"/>
    <n v="5750"/>
    <n v="35500"/>
    <n v="60"/>
    <n v="0.29899999999999999"/>
    <s v="Rejected"/>
    <x v="5"/>
    <n v="0"/>
    <n v="1"/>
    <n v="0"/>
    <m/>
    <n v="9"/>
    <n v="0"/>
    <n v="1"/>
  </r>
  <r>
    <s v="LA-701293"/>
    <d v="2024-07-22T00:00:00"/>
    <x v="0"/>
    <s v="Q3"/>
    <x v="6"/>
    <x v="1"/>
    <x v="1"/>
    <x v="3"/>
    <x v="1"/>
    <x v="1"/>
    <n v="7350"/>
    <n v="10500"/>
    <n v="36"/>
    <n v="0.155"/>
    <s v="Rejected"/>
    <x v="4"/>
    <n v="0"/>
    <n v="1"/>
    <n v="0"/>
    <m/>
    <n v="6"/>
    <n v="0"/>
    <n v="1"/>
  </r>
  <r>
    <s v="LA-701294"/>
    <d v="2024-07-22T00:00:00"/>
    <x v="0"/>
    <s v="Q3"/>
    <x v="6"/>
    <x v="1"/>
    <x v="2"/>
    <x v="2"/>
    <x v="2"/>
    <x v="0"/>
    <n v="7050"/>
    <n v="22000"/>
    <n v="48"/>
    <n v="0.30499999999999999"/>
    <s v="Rejected"/>
    <x v="0"/>
    <n v="0"/>
    <n v="1"/>
    <n v="0"/>
    <m/>
    <n v="1"/>
    <n v="1"/>
    <n v="1"/>
  </r>
  <r>
    <s v="LA-701295"/>
    <d v="2024-07-22T00:00:00"/>
    <x v="0"/>
    <s v="Q3"/>
    <x v="6"/>
    <x v="1"/>
    <x v="1"/>
    <x v="3"/>
    <x v="1"/>
    <x v="4"/>
    <n v="12550"/>
    <n v="17000"/>
    <n v="60"/>
    <n v="0.17199999999999999"/>
    <s v="Approved"/>
    <x v="1"/>
    <n v="1"/>
    <n v="0"/>
    <n v="17000"/>
    <n v="0.1137"/>
    <n v="2"/>
    <n v="1"/>
    <n v="1"/>
  </r>
  <r>
    <s v="LA-701296"/>
    <d v="2024-07-22T00:00:00"/>
    <x v="0"/>
    <s v="Q3"/>
    <x v="6"/>
    <x v="1"/>
    <x v="2"/>
    <x v="1"/>
    <x v="0"/>
    <x v="3"/>
    <n v="4450"/>
    <n v="9500"/>
    <n v="12"/>
    <n v="0.41299999999999998"/>
    <s v="Rejected"/>
    <x v="5"/>
    <n v="0"/>
    <n v="1"/>
    <n v="0"/>
    <m/>
    <n v="1"/>
    <n v="1"/>
    <n v="1"/>
  </r>
  <r>
    <s v="LA-701297"/>
    <d v="2024-07-22T00:00:00"/>
    <x v="0"/>
    <s v="Q3"/>
    <x v="6"/>
    <x v="1"/>
    <x v="3"/>
    <x v="2"/>
    <x v="0"/>
    <x v="3"/>
    <n v="4750"/>
    <n v="11000"/>
    <n v="36"/>
    <n v="0.19500000000000001"/>
    <s v="Approved"/>
    <x v="1"/>
    <n v="1"/>
    <n v="0"/>
    <n v="11000"/>
    <n v="0.1143"/>
    <n v="7"/>
    <n v="0"/>
    <n v="1"/>
  </r>
  <r>
    <s v="LA-701298"/>
    <d v="2024-07-22T00:00:00"/>
    <x v="0"/>
    <s v="Q3"/>
    <x v="6"/>
    <x v="3"/>
    <x v="2"/>
    <x v="2"/>
    <x v="0"/>
    <x v="0"/>
    <n v="5900"/>
    <n v="157500"/>
    <n v="180"/>
    <n v="0.31900000000000001"/>
    <s v="Approved"/>
    <x v="1"/>
    <n v="1"/>
    <n v="0"/>
    <n v="126000"/>
    <n v="7.3099999999999998E-2"/>
    <n v="11"/>
    <n v="1"/>
    <n v="1"/>
  </r>
  <r>
    <s v="LA-701299"/>
    <d v="2024-07-22T00:00:00"/>
    <x v="0"/>
    <s v="Q3"/>
    <x v="6"/>
    <x v="1"/>
    <x v="3"/>
    <x v="3"/>
    <x v="0"/>
    <x v="1"/>
    <n v="5300"/>
    <n v="8000"/>
    <n v="24"/>
    <n v="0.27200000000000002"/>
    <s v="Approved"/>
    <x v="1"/>
    <n v="1"/>
    <n v="0"/>
    <n v="7000"/>
    <n v="0.1273"/>
    <n v="6"/>
    <n v="0"/>
    <n v="1"/>
  </r>
  <r>
    <s v="LA-701300"/>
    <d v="2024-07-23T00:00:00"/>
    <x v="0"/>
    <s v="Q3"/>
    <x v="6"/>
    <x v="3"/>
    <x v="1"/>
    <x v="1"/>
    <x v="2"/>
    <x v="4"/>
    <n v="3300"/>
    <n v="207500"/>
    <n v="240"/>
    <n v="0.64200000000000002"/>
    <s v="Approved"/>
    <x v="1"/>
    <n v="1"/>
    <n v="0"/>
    <n v="187000"/>
    <n v="5.3699999999999998E-2"/>
    <n v="12"/>
    <n v="1"/>
    <n v="1"/>
  </r>
  <r>
    <s v="LA-701301"/>
    <d v="2024-07-23T00:00:00"/>
    <x v="0"/>
    <s v="Q3"/>
    <x v="6"/>
    <x v="0"/>
    <x v="1"/>
    <x v="1"/>
    <x v="2"/>
    <x v="3"/>
    <n v="5100"/>
    <n v="22000"/>
    <n v="48"/>
    <n v="0.20100000000000001"/>
    <s v="Approved"/>
    <x v="1"/>
    <n v="1"/>
    <n v="0"/>
    <n v="20000"/>
    <n v="6.9699999999999998E-2"/>
    <n v="2"/>
    <n v="1"/>
    <n v="1"/>
  </r>
  <r>
    <s v="LA-701302"/>
    <d v="2024-07-23T00:00:00"/>
    <x v="0"/>
    <s v="Q3"/>
    <x v="6"/>
    <x v="2"/>
    <x v="2"/>
    <x v="4"/>
    <x v="0"/>
    <x v="2"/>
    <n v="4400"/>
    <n v="15000"/>
    <n v="36"/>
    <n v="0.247"/>
    <s v="Approved"/>
    <x v="1"/>
    <n v="1"/>
    <n v="0"/>
    <n v="15000"/>
    <n v="0.14330000000000001"/>
    <n v="7"/>
    <n v="1"/>
    <n v="1"/>
  </r>
  <r>
    <s v="LA-701303"/>
    <d v="2024-07-23T00:00:00"/>
    <x v="0"/>
    <s v="Q3"/>
    <x v="6"/>
    <x v="1"/>
    <x v="3"/>
    <x v="2"/>
    <x v="0"/>
    <x v="2"/>
    <n v="5850"/>
    <n v="26500"/>
    <n v="36"/>
    <n v="0.20200000000000001"/>
    <s v="Rejected"/>
    <x v="0"/>
    <n v="0"/>
    <n v="1"/>
    <n v="0"/>
    <m/>
    <n v="4"/>
    <n v="0"/>
    <n v="1"/>
  </r>
  <r>
    <s v="LA-701304"/>
    <d v="2024-07-23T00:00:00"/>
    <x v="0"/>
    <s v="Q3"/>
    <x v="6"/>
    <x v="3"/>
    <x v="2"/>
    <x v="4"/>
    <x v="0"/>
    <x v="0"/>
    <n v="4100"/>
    <n v="219500"/>
    <n v="300"/>
    <n v="0.51400000000000001"/>
    <s v="Rejected"/>
    <x v="4"/>
    <n v="0"/>
    <n v="1"/>
    <n v="0"/>
    <m/>
    <n v="13"/>
    <n v="1"/>
    <n v="1"/>
  </r>
  <r>
    <s v="LA-701305"/>
    <d v="2024-07-24T00:00:00"/>
    <x v="0"/>
    <s v="Q3"/>
    <x v="6"/>
    <x v="2"/>
    <x v="0"/>
    <x v="3"/>
    <x v="0"/>
    <x v="0"/>
    <n v="8650"/>
    <n v="49000"/>
    <n v="12"/>
    <n v="0.60699999999999998"/>
    <s v="Approved"/>
    <x v="1"/>
    <n v="1"/>
    <n v="0"/>
    <n v="49000"/>
    <n v="0.12139999999999999"/>
    <n v="13"/>
    <n v="0"/>
    <n v="1"/>
  </r>
  <r>
    <s v="LA-701306"/>
    <d v="2024-07-24T00:00:00"/>
    <x v="0"/>
    <s v="Q3"/>
    <x v="6"/>
    <x v="0"/>
    <x v="1"/>
    <x v="3"/>
    <x v="1"/>
    <x v="3"/>
    <n v="6650"/>
    <n v="43000"/>
    <n v="36"/>
    <n v="0.40300000000000002"/>
    <s v="Approved"/>
    <x v="1"/>
    <n v="1"/>
    <n v="0"/>
    <n v="43000"/>
    <n v="6.54E-2"/>
    <n v="2"/>
    <n v="1"/>
    <n v="1"/>
  </r>
  <r>
    <s v="LA-701307"/>
    <d v="2024-07-25T00:00:00"/>
    <x v="0"/>
    <s v="Q3"/>
    <x v="6"/>
    <x v="2"/>
    <x v="3"/>
    <x v="4"/>
    <x v="2"/>
    <x v="1"/>
    <n v="5850"/>
    <n v="81500"/>
    <n v="24"/>
    <n v="0.83899999999999997"/>
    <s v="Rejected"/>
    <x v="3"/>
    <n v="0"/>
    <n v="1"/>
    <n v="0"/>
    <m/>
    <n v="20"/>
    <n v="0"/>
    <n v="1"/>
  </r>
  <r>
    <s v="LA-701308"/>
    <d v="2024-07-25T00:00:00"/>
    <x v="0"/>
    <s v="Q3"/>
    <x v="6"/>
    <x v="1"/>
    <x v="3"/>
    <x v="1"/>
    <x v="1"/>
    <x v="4"/>
    <n v="6200"/>
    <n v="12000"/>
    <n v="36"/>
    <n v="0.17899999999999999"/>
    <s v="Approved"/>
    <x v="1"/>
    <n v="1"/>
    <n v="0"/>
    <n v="12000"/>
    <n v="0.11990000000000001"/>
    <n v="7"/>
    <n v="0"/>
    <n v="1"/>
  </r>
  <r>
    <s v="LA-701309"/>
    <d v="2024-07-25T00:00:00"/>
    <x v="0"/>
    <s v="Q3"/>
    <x v="6"/>
    <x v="0"/>
    <x v="3"/>
    <x v="4"/>
    <x v="1"/>
    <x v="4"/>
    <n v="13350"/>
    <n v="44000"/>
    <n v="48"/>
    <n v="0.14299999999999999"/>
    <s v="Approved"/>
    <x v="1"/>
    <n v="1"/>
    <n v="0"/>
    <n v="44000"/>
    <n v="7.6600000000000001E-2"/>
    <n v="15"/>
    <n v="0"/>
    <n v="1"/>
  </r>
  <r>
    <s v="LA-701310"/>
    <d v="2024-07-25T00:00:00"/>
    <x v="0"/>
    <s v="Q3"/>
    <x v="6"/>
    <x v="3"/>
    <x v="2"/>
    <x v="3"/>
    <x v="1"/>
    <x v="4"/>
    <n v="7600"/>
    <n v="164500"/>
    <n v="300"/>
    <n v="0.22900000000000001"/>
    <s v="Approved"/>
    <x v="1"/>
    <n v="1"/>
    <n v="0"/>
    <n v="148000"/>
    <n v="4.4900000000000002E-2"/>
    <n v="10"/>
    <n v="1"/>
    <n v="1"/>
  </r>
  <r>
    <s v="LA-701311"/>
    <d v="2024-07-25T00:00:00"/>
    <x v="0"/>
    <s v="Q3"/>
    <x v="6"/>
    <x v="3"/>
    <x v="3"/>
    <x v="3"/>
    <x v="1"/>
    <x v="4"/>
    <n v="2250"/>
    <n v="363500"/>
    <n v="240"/>
    <n v="1.169"/>
    <s v="Approved"/>
    <x v="1"/>
    <n v="1"/>
    <n v="0"/>
    <n v="363500"/>
    <n v="5.0700000000000002E-2"/>
    <n v="16"/>
    <n v="0"/>
    <n v="1"/>
  </r>
  <r>
    <s v="LA-701312"/>
    <d v="2024-07-25T00:00:00"/>
    <x v="0"/>
    <s v="Q3"/>
    <x v="6"/>
    <x v="2"/>
    <x v="2"/>
    <x v="2"/>
    <x v="1"/>
    <x v="0"/>
    <n v="5850"/>
    <n v="86500"/>
    <n v="12"/>
    <n v="1.391"/>
    <s v="Rejected"/>
    <x v="0"/>
    <n v="0"/>
    <n v="1"/>
    <n v="0"/>
    <m/>
    <n v="4"/>
    <n v="1"/>
    <n v="1"/>
  </r>
  <r>
    <s v="LA-701313"/>
    <d v="2024-07-25T00:00:00"/>
    <x v="0"/>
    <s v="Q3"/>
    <x v="6"/>
    <x v="2"/>
    <x v="1"/>
    <x v="3"/>
    <x v="1"/>
    <x v="3"/>
    <n v="8900"/>
    <n v="46500"/>
    <n v="60"/>
    <n v="0.28499999999999998"/>
    <s v="Approved"/>
    <x v="1"/>
    <n v="1"/>
    <n v="0"/>
    <n v="46500"/>
    <n v="8.77E-2"/>
    <n v="3"/>
    <n v="1"/>
    <n v="1"/>
  </r>
  <r>
    <s v="LA-701314"/>
    <d v="2024-07-25T00:00:00"/>
    <x v="0"/>
    <s v="Q3"/>
    <x v="6"/>
    <x v="2"/>
    <x v="3"/>
    <x v="2"/>
    <x v="1"/>
    <x v="1"/>
    <n v="17650"/>
    <n v="60000"/>
    <n v="60"/>
    <n v="0.161"/>
    <s v="Approved"/>
    <x v="1"/>
    <n v="1"/>
    <n v="0"/>
    <n v="54000"/>
    <n v="0.1087"/>
    <n v="12"/>
    <n v="0"/>
    <n v="1"/>
  </r>
  <r>
    <s v="LA-701315"/>
    <d v="2024-07-25T00:00:00"/>
    <x v="0"/>
    <s v="Q3"/>
    <x v="6"/>
    <x v="2"/>
    <x v="1"/>
    <x v="2"/>
    <x v="0"/>
    <x v="2"/>
    <n v="3000"/>
    <n v="83500"/>
    <n v="36"/>
    <n v="1.008"/>
    <s v="Withdrawn"/>
    <x v="1"/>
    <n v="0"/>
    <n v="0"/>
    <n v="0"/>
    <m/>
    <n v="6"/>
    <n v="1"/>
    <n v="1"/>
  </r>
  <r>
    <s v="LA-701316"/>
    <d v="2024-07-26T00:00:00"/>
    <x v="0"/>
    <s v="Q3"/>
    <x v="6"/>
    <x v="0"/>
    <x v="1"/>
    <x v="3"/>
    <x v="1"/>
    <x v="0"/>
    <n v="5650"/>
    <n v="25500"/>
    <n v="36"/>
    <n v="0.214"/>
    <s v="Approved"/>
    <x v="1"/>
    <n v="1"/>
    <n v="0"/>
    <n v="25500"/>
    <n v="9.8900000000000002E-2"/>
    <n v="3"/>
    <n v="1"/>
    <n v="1"/>
  </r>
  <r>
    <s v="LA-701317"/>
    <d v="2024-07-26T00:00:00"/>
    <x v="0"/>
    <s v="Q3"/>
    <x v="6"/>
    <x v="1"/>
    <x v="2"/>
    <x v="1"/>
    <x v="0"/>
    <x v="0"/>
    <n v="8550"/>
    <n v="10000"/>
    <n v="36"/>
    <n v="0.246"/>
    <s v="Rejected"/>
    <x v="0"/>
    <n v="0"/>
    <n v="1"/>
    <n v="0"/>
    <m/>
    <n v="1"/>
    <n v="1"/>
    <n v="1"/>
  </r>
  <r>
    <s v="LA-701318"/>
    <d v="2024-07-26T00:00:00"/>
    <x v="0"/>
    <s v="Q3"/>
    <x v="6"/>
    <x v="0"/>
    <x v="1"/>
    <x v="3"/>
    <x v="0"/>
    <x v="2"/>
    <n v="8450"/>
    <n v="19000"/>
    <n v="60"/>
    <n v="0.104"/>
    <s v="Rejected"/>
    <x v="5"/>
    <n v="0"/>
    <n v="1"/>
    <n v="0"/>
    <m/>
    <n v="4"/>
    <n v="1"/>
    <n v="1"/>
  </r>
  <r>
    <s v="LA-701319"/>
    <d v="2024-07-26T00:00:00"/>
    <x v="0"/>
    <s v="Q3"/>
    <x v="6"/>
    <x v="1"/>
    <x v="0"/>
    <x v="3"/>
    <x v="0"/>
    <x v="1"/>
    <n v="5700"/>
    <n v="10500"/>
    <n v="24"/>
    <n v="0.3"/>
    <s v="Approved"/>
    <x v="1"/>
    <n v="1"/>
    <n v="0"/>
    <n v="10500"/>
    <n v="0.12570000000000001"/>
    <n v="3"/>
    <n v="1"/>
    <n v="1"/>
  </r>
  <r>
    <s v="LA-701320"/>
    <d v="2024-07-26T00:00:00"/>
    <x v="0"/>
    <s v="Q3"/>
    <x v="6"/>
    <x v="1"/>
    <x v="3"/>
    <x v="2"/>
    <x v="1"/>
    <x v="4"/>
    <n v="4400"/>
    <n v="8000"/>
    <n v="12"/>
    <n v="0.25600000000000001"/>
    <s v="Approved"/>
    <x v="1"/>
    <n v="1"/>
    <n v="0"/>
    <n v="8000"/>
    <n v="0.1115"/>
    <n v="5"/>
    <n v="0"/>
    <n v="1"/>
  </r>
  <r>
    <s v="LA-701321"/>
    <d v="2024-07-26T00:00:00"/>
    <x v="0"/>
    <s v="Q3"/>
    <x v="6"/>
    <x v="0"/>
    <x v="3"/>
    <x v="2"/>
    <x v="0"/>
    <x v="3"/>
    <n v="1700"/>
    <n v="50000"/>
    <n v="48"/>
    <n v="0.86899999999999999"/>
    <s v="Approved"/>
    <x v="1"/>
    <n v="1"/>
    <n v="0"/>
    <n v="40000"/>
    <n v="6.8400000000000002E-2"/>
    <n v="6"/>
    <n v="0"/>
    <n v="1"/>
  </r>
  <r>
    <s v="LA-701322"/>
    <d v="2024-07-27T00:00:00"/>
    <x v="0"/>
    <s v="Q3"/>
    <x v="6"/>
    <x v="0"/>
    <x v="1"/>
    <x v="1"/>
    <x v="1"/>
    <x v="3"/>
    <n v="4000"/>
    <n v="46500"/>
    <n v="36"/>
    <n v="0.45900000000000002"/>
    <s v="Approved"/>
    <x v="1"/>
    <n v="1"/>
    <n v="0"/>
    <n v="37000"/>
    <n v="6.3200000000000006E-2"/>
    <n v="3"/>
    <n v="1"/>
    <n v="1"/>
  </r>
  <r>
    <s v="LA-701323"/>
    <d v="2024-07-27T00:00:00"/>
    <x v="0"/>
    <s v="Q3"/>
    <x v="6"/>
    <x v="1"/>
    <x v="2"/>
    <x v="0"/>
    <x v="2"/>
    <x v="1"/>
    <n v="12000"/>
    <n v="10000"/>
    <n v="12"/>
    <n v="0.26200000000000001"/>
    <s v="Withdrawn"/>
    <x v="1"/>
    <n v="0"/>
    <n v="0"/>
    <n v="0"/>
    <m/>
    <n v="2"/>
    <n v="1"/>
    <n v="1"/>
  </r>
  <r>
    <s v="LA-701324"/>
    <d v="2024-07-28T00:00:00"/>
    <x v="0"/>
    <s v="Q3"/>
    <x v="6"/>
    <x v="0"/>
    <x v="1"/>
    <x v="2"/>
    <x v="1"/>
    <x v="3"/>
    <n v="5600"/>
    <n v="18000"/>
    <n v="60"/>
    <n v="0.25600000000000001"/>
    <s v="Approved"/>
    <x v="1"/>
    <n v="1"/>
    <n v="0"/>
    <n v="16000"/>
    <n v="6.9099999999999995E-2"/>
    <n v="2"/>
    <n v="1"/>
    <n v="1"/>
  </r>
  <r>
    <s v="LA-701325"/>
    <d v="2024-07-28T00:00:00"/>
    <x v="0"/>
    <s v="Q3"/>
    <x v="6"/>
    <x v="2"/>
    <x v="0"/>
    <x v="1"/>
    <x v="0"/>
    <x v="3"/>
    <n v="5350"/>
    <n v="175500"/>
    <n v="24"/>
    <n v="1.7250000000000001"/>
    <s v="Rejected"/>
    <x v="3"/>
    <n v="0"/>
    <n v="1"/>
    <n v="0"/>
    <m/>
    <n v="5"/>
    <n v="1"/>
    <n v="1"/>
  </r>
  <r>
    <s v="LA-701326"/>
    <d v="2024-07-28T00:00:00"/>
    <x v="0"/>
    <s v="Q3"/>
    <x v="6"/>
    <x v="3"/>
    <x v="2"/>
    <x v="3"/>
    <x v="2"/>
    <x v="4"/>
    <n v="8000"/>
    <n v="114500"/>
    <n v="300"/>
    <n v="0.14699999999999999"/>
    <s v="Rejected"/>
    <x v="2"/>
    <n v="0"/>
    <n v="1"/>
    <n v="0"/>
    <m/>
    <n v="8"/>
    <n v="1"/>
    <n v="1"/>
  </r>
  <r>
    <s v="LA-701327"/>
    <d v="2024-07-28T00:00:00"/>
    <x v="0"/>
    <s v="Q3"/>
    <x v="6"/>
    <x v="0"/>
    <x v="2"/>
    <x v="4"/>
    <x v="1"/>
    <x v="3"/>
    <n v="4650"/>
    <n v="33500"/>
    <n v="48"/>
    <n v="0.32800000000000001"/>
    <s v="Approved"/>
    <x v="1"/>
    <n v="1"/>
    <n v="0"/>
    <n v="33500"/>
    <n v="7.4099999999999999E-2"/>
    <n v="2"/>
    <n v="1"/>
    <n v="1"/>
  </r>
  <r>
    <s v="LA-701328"/>
    <d v="2024-07-28T00:00:00"/>
    <x v="0"/>
    <s v="Q3"/>
    <x v="6"/>
    <x v="1"/>
    <x v="2"/>
    <x v="1"/>
    <x v="1"/>
    <x v="1"/>
    <n v="12650"/>
    <n v="14000"/>
    <n v="36"/>
    <n v="0.151"/>
    <s v="Approved"/>
    <x v="1"/>
    <n v="1"/>
    <n v="0"/>
    <n v="14000"/>
    <n v="0.1239"/>
    <n v="2"/>
    <n v="1"/>
    <n v="1"/>
  </r>
  <r>
    <s v="LA-701329"/>
    <d v="2024-07-28T00:00:00"/>
    <x v="0"/>
    <s v="Q3"/>
    <x v="6"/>
    <x v="3"/>
    <x v="3"/>
    <x v="2"/>
    <x v="0"/>
    <x v="1"/>
    <n v="6900"/>
    <n v="346000"/>
    <n v="180"/>
    <n v="0.53300000000000003"/>
    <s v="Approved"/>
    <x v="1"/>
    <n v="1"/>
    <n v="0"/>
    <n v="311500"/>
    <n v="5.33E-2"/>
    <n v="40"/>
    <n v="0"/>
    <n v="1"/>
  </r>
  <r>
    <s v="LA-701330"/>
    <d v="2024-07-29T00:00:00"/>
    <x v="0"/>
    <s v="Q3"/>
    <x v="6"/>
    <x v="0"/>
    <x v="3"/>
    <x v="2"/>
    <x v="1"/>
    <x v="1"/>
    <n v="10000"/>
    <n v="21500"/>
    <n v="36"/>
    <n v="0.14699999999999999"/>
    <s v="Rejected"/>
    <x v="4"/>
    <n v="0"/>
    <n v="1"/>
    <n v="0"/>
    <m/>
    <n v="16"/>
    <n v="0"/>
    <n v="1"/>
  </r>
  <r>
    <s v="LA-701331"/>
    <d v="2024-07-29T00:00:00"/>
    <x v="0"/>
    <s v="Q3"/>
    <x v="6"/>
    <x v="1"/>
    <x v="3"/>
    <x v="3"/>
    <x v="0"/>
    <x v="1"/>
    <n v="4650"/>
    <n v="12500"/>
    <n v="48"/>
    <n v="0.124"/>
    <s v="Approved"/>
    <x v="1"/>
    <n v="1"/>
    <n v="0"/>
    <n v="12500"/>
    <n v="0.12379999999999999"/>
    <n v="9"/>
    <n v="0"/>
    <n v="1"/>
  </r>
  <r>
    <s v="LA-701332"/>
    <d v="2024-07-29T00:00:00"/>
    <x v="0"/>
    <s v="Q3"/>
    <x v="6"/>
    <x v="2"/>
    <x v="1"/>
    <x v="1"/>
    <x v="1"/>
    <x v="1"/>
    <n v="5150"/>
    <n v="83500"/>
    <n v="24"/>
    <n v="0.82699999999999996"/>
    <s v="Rejected"/>
    <x v="4"/>
    <n v="0"/>
    <n v="1"/>
    <n v="0"/>
    <m/>
    <n v="9"/>
    <n v="1"/>
    <n v="1"/>
  </r>
  <r>
    <s v="LA-701333"/>
    <d v="2024-07-29T00:00:00"/>
    <x v="0"/>
    <s v="Q3"/>
    <x v="6"/>
    <x v="1"/>
    <x v="2"/>
    <x v="2"/>
    <x v="1"/>
    <x v="1"/>
    <n v="5050"/>
    <n v="16500"/>
    <n v="24"/>
    <n v="0.27300000000000002"/>
    <s v="Approved"/>
    <x v="1"/>
    <n v="1"/>
    <n v="0"/>
    <n v="13000"/>
    <n v="0.13039999999999999"/>
    <n v="2"/>
    <n v="1"/>
    <n v="1"/>
  </r>
  <r>
    <s v="LA-701334"/>
    <d v="2024-07-30T00:00:00"/>
    <x v="0"/>
    <s v="Q3"/>
    <x v="6"/>
    <x v="1"/>
    <x v="3"/>
    <x v="0"/>
    <x v="0"/>
    <x v="1"/>
    <n v="4500"/>
    <n v="7500"/>
    <n v="60"/>
    <n v="0.192"/>
    <s v="Approved"/>
    <x v="1"/>
    <n v="1"/>
    <n v="0"/>
    <n v="6000"/>
    <n v="0.12570000000000001"/>
    <n v="8"/>
    <n v="0"/>
    <n v="1"/>
  </r>
  <r>
    <s v="LA-701335"/>
    <d v="2024-07-30T00:00:00"/>
    <x v="0"/>
    <s v="Q3"/>
    <x v="6"/>
    <x v="0"/>
    <x v="1"/>
    <x v="4"/>
    <x v="1"/>
    <x v="0"/>
    <n v="14450"/>
    <n v="33500"/>
    <n v="60"/>
    <n v="0.16400000000000001"/>
    <s v="Approved"/>
    <x v="1"/>
    <n v="1"/>
    <n v="0"/>
    <n v="33500"/>
    <n v="9.8199999999999996E-2"/>
    <n v="3"/>
    <n v="1"/>
    <n v="1"/>
  </r>
  <r>
    <s v="LA-701336"/>
    <d v="2024-07-30T00:00:00"/>
    <x v="0"/>
    <s v="Q3"/>
    <x v="6"/>
    <x v="1"/>
    <x v="1"/>
    <x v="4"/>
    <x v="2"/>
    <x v="3"/>
    <n v="9150"/>
    <n v="12500"/>
    <n v="36"/>
    <n v="9.7000000000000003E-2"/>
    <s v="Approved"/>
    <x v="1"/>
    <n v="1"/>
    <n v="0"/>
    <n v="10000"/>
    <n v="0.1123"/>
    <n v="1"/>
    <n v="1"/>
    <n v="1"/>
  </r>
  <r>
    <s v="LA-701337"/>
    <d v="2024-07-30T00:00:00"/>
    <x v="0"/>
    <s v="Q3"/>
    <x v="6"/>
    <x v="0"/>
    <x v="3"/>
    <x v="3"/>
    <x v="2"/>
    <x v="1"/>
    <n v="8550"/>
    <n v="22000"/>
    <n v="60"/>
    <n v="0.245"/>
    <s v="Rejected"/>
    <x v="2"/>
    <n v="0"/>
    <n v="1"/>
    <n v="0"/>
    <m/>
    <n v="12"/>
    <n v="0"/>
    <n v="1"/>
  </r>
  <r>
    <s v="LA-701338"/>
    <d v="2024-07-30T00:00:00"/>
    <x v="0"/>
    <s v="Q3"/>
    <x v="6"/>
    <x v="1"/>
    <x v="3"/>
    <x v="2"/>
    <x v="2"/>
    <x v="1"/>
    <n v="5350"/>
    <n v="21000"/>
    <n v="24"/>
    <n v="0.38700000000000001"/>
    <s v="Rejected"/>
    <x v="0"/>
    <n v="0"/>
    <n v="1"/>
    <n v="0"/>
    <m/>
    <n v="5"/>
    <n v="0"/>
    <n v="1"/>
  </r>
  <r>
    <s v="LA-701339"/>
    <d v="2024-07-30T00:00:00"/>
    <x v="0"/>
    <s v="Q3"/>
    <x v="6"/>
    <x v="1"/>
    <x v="3"/>
    <x v="1"/>
    <x v="1"/>
    <x v="4"/>
    <n v="6550"/>
    <n v="25500"/>
    <n v="36"/>
    <n v="0.251"/>
    <s v="Approved"/>
    <x v="1"/>
    <n v="1"/>
    <n v="0"/>
    <n v="25500"/>
    <n v="0.11550000000000001"/>
    <n v="7"/>
    <n v="0"/>
    <n v="1"/>
  </r>
  <r>
    <s v="LA-701340"/>
    <d v="2024-07-30T00:00:00"/>
    <x v="0"/>
    <s v="Q3"/>
    <x v="6"/>
    <x v="0"/>
    <x v="2"/>
    <x v="3"/>
    <x v="0"/>
    <x v="2"/>
    <n v="5550"/>
    <n v="30000"/>
    <n v="48"/>
    <n v="0.36199999999999999"/>
    <s v="Approved"/>
    <x v="1"/>
    <n v="1"/>
    <n v="0"/>
    <n v="30000"/>
    <n v="0.11509999999999999"/>
    <n v="3"/>
    <n v="1"/>
    <n v="1"/>
  </r>
  <r>
    <s v="LA-701341"/>
    <d v="2024-07-30T00:00:00"/>
    <x v="0"/>
    <s v="Q3"/>
    <x v="6"/>
    <x v="0"/>
    <x v="3"/>
    <x v="4"/>
    <x v="1"/>
    <x v="3"/>
    <n v="5600"/>
    <n v="26000"/>
    <n v="36"/>
    <n v="0.27400000000000002"/>
    <s v="Approved"/>
    <x v="1"/>
    <n v="1"/>
    <n v="0"/>
    <n v="26000"/>
    <n v="6.8400000000000002E-2"/>
    <n v="7"/>
    <n v="0"/>
    <n v="1"/>
  </r>
  <r>
    <s v="LA-701342"/>
    <d v="2024-07-30T00:00:00"/>
    <x v="0"/>
    <s v="Q3"/>
    <x v="6"/>
    <x v="0"/>
    <x v="2"/>
    <x v="2"/>
    <x v="0"/>
    <x v="4"/>
    <n v="2200"/>
    <n v="18000"/>
    <n v="36"/>
    <n v="0.46100000000000002"/>
    <s v="Approved"/>
    <x v="1"/>
    <n v="1"/>
    <n v="0"/>
    <n v="16000"/>
    <n v="7.2800000000000004E-2"/>
    <n v="3"/>
    <n v="1"/>
    <n v="1"/>
  </r>
  <r>
    <s v="LA-701343"/>
    <d v="2024-07-31T00:00:00"/>
    <x v="0"/>
    <s v="Q3"/>
    <x v="6"/>
    <x v="1"/>
    <x v="0"/>
    <x v="3"/>
    <x v="2"/>
    <x v="0"/>
    <n v="3200"/>
    <n v="7000"/>
    <n v="36"/>
    <n v="0.23100000000000001"/>
    <s v="Approved"/>
    <x v="1"/>
    <n v="1"/>
    <n v="0"/>
    <n v="5500"/>
    <n v="0.13539999999999999"/>
    <n v="3"/>
    <n v="1"/>
    <n v="1"/>
  </r>
  <r>
    <s v="LA-701344"/>
    <d v="2024-07-31T00:00:00"/>
    <x v="0"/>
    <s v="Q3"/>
    <x v="6"/>
    <x v="1"/>
    <x v="3"/>
    <x v="4"/>
    <x v="0"/>
    <x v="0"/>
    <n v="5800"/>
    <n v="9500"/>
    <n v="12"/>
    <n v="0.20100000000000001"/>
    <s v="Rejected"/>
    <x v="0"/>
    <n v="0"/>
    <n v="1"/>
    <n v="0"/>
    <m/>
    <n v="3"/>
    <n v="1"/>
    <n v="1"/>
  </r>
  <r>
    <s v="LA-701345"/>
    <d v="2024-07-31T00:00:00"/>
    <x v="0"/>
    <s v="Q3"/>
    <x v="6"/>
    <x v="0"/>
    <x v="2"/>
    <x v="3"/>
    <x v="0"/>
    <x v="1"/>
    <n v="6400"/>
    <n v="32000"/>
    <n v="36"/>
    <n v="0.27"/>
    <s v="Rejected"/>
    <x v="0"/>
    <n v="0"/>
    <n v="1"/>
    <n v="0"/>
    <m/>
    <n v="3"/>
    <n v="1"/>
    <n v="1"/>
  </r>
  <r>
    <s v="LA-701346"/>
    <d v="2024-07-31T00:00:00"/>
    <x v="0"/>
    <s v="Q3"/>
    <x v="6"/>
    <x v="2"/>
    <x v="2"/>
    <x v="1"/>
    <x v="2"/>
    <x v="0"/>
    <n v="5300"/>
    <n v="116500"/>
    <n v="24"/>
    <n v="1.105"/>
    <s v="Rejected"/>
    <x v="0"/>
    <n v="0"/>
    <n v="1"/>
    <n v="0"/>
    <m/>
    <n v="10"/>
    <n v="1"/>
    <n v="1"/>
  </r>
  <r>
    <s v="LA-701347"/>
    <d v="2024-07-31T00:00:00"/>
    <x v="0"/>
    <s v="Q3"/>
    <x v="6"/>
    <x v="1"/>
    <x v="3"/>
    <x v="2"/>
    <x v="1"/>
    <x v="4"/>
    <n v="8400"/>
    <n v="13500"/>
    <n v="48"/>
    <n v="0.21199999999999999"/>
    <s v="Approved"/>
    <x v="1"/>
    <n v="1"/>
    <n v="0"/>
    <n v="12000"/>
    <n v="0.11609999999999999"/>
    <n v="4"/>
    <n v="0"/>
    <n v="1"/>
  </r>
  <r>
    <s v="LA-701348"/>
    <d v="2024-07-31T00:00:00"/>
    <x v="0"/>
    <s v="Q3"/>
    <x v="6"/>
    <x v="1"/>
    <x v="3"/>
    <x v="3"/>
    <x v="0"/>
    <x v="4"/>
    <n v="7100"/>
    <n v="6500"/>
    <n v="24"/>
    <n v="0.27"/>
    <s v="Approved"/>
    <x v="1"/>
    <n v="1"/>
    <n v="0"/>
    <n v="6000"/>
    <n v="0.1179"/>
    <n v="4"/>
    <n v="0"/>
    <n v="1"/>
  </r>
  <r>
    <s v="LA-701349"/>
    <d v="2024-07-31T00:00:00"/>
    <x v="0"/>
    <s v="Q3"/>
    <x v="6"/>
    <x v="2"/>
    <x v="3"/>
    <x v="2"/>
    <x v="0"/>
    <x v="1"/>
    <n v="5850"/>
    <n v="77500"/>
    <n v="60"/>
    <n v="0.35899999999999999"/>
    <s v="Approved"/>
    <x v="1"/>
    <n v="1"/>
    <n v="0"/>
    <n v="77500"/>
    <n v="0.1114"/>
    <n v="17"/>
    <n v="0"/>
    <n v="1"/>
  </r>
  <r>
    <s v="LA-701350"/>
    <d v="2024-07-31T00:00:00"/>
    <x v="0"/>
    <s v="Q3"/>
    <x v="6"/>
    <x v="1"/>
    <x v="3"/>
    <x v="4"/>
    <x v="1"/>
    <x v="1"/>
    <n v="12550"/>
    <n v="10500"/>
    <n v="60"/>
    <n v="0.20499999999999999"/>
    <s v="Approved"/>
    <x v="1"/>
    <n v="1"/>
    <n v="0"/>
    <n v="9500"/>
    <n v="0.126"/>
    <n v="3"/>
    <n v="1"/>
    <n v="1"/>
  </r>
  <r>
    <s v="LA-701351"/>
    <d v="2024-07-31T00:00:00"/>
    <x v="0"/>
    <s v="Q3"/>
    <x v="6"/>
    <x v="1"/>
    <x v="3"/>
    <x v="1"/>
    <x v="0"/>
    <x v="4"/>
    <n v="5650"/>
    <n v="9000"/>
    <n v="60"/>
    <n v="0.183"/>
    <s v="Approved"/>
    <x v="1"/>
    <n v="1"/>
    <n v="0"/>
    <n v="9000"/>
    <n v="0.1149"/>
    <n v="5"/>
    <n v="0"/>
    <n v="1"/>
  </r>
  <r>
    <s v="LA-701352"/>
    <d v="2024-07-31T00:00:00"/>
    <x v="0"/>
    <s v="Q3"/>
    <x v="6"/>
    <x v="1"/>
    <x v="0"/>
    <x v="1"/>
    <x v="0"/>
    <x v="1"/>
    <n v="7900"/>
    <n v="17500"/>
    <n v="48"/>
    <n v="0.14499999999999999"/>
    <s v="Approved"/>
    <x v="1"/>
    <n v="1"/>
    <n v="0"/>
    <n v="17500"/>
    <n v="0.1241"/>
    <n v="4"/>
    <n v="0"/>
    <n v="1"/>
  </r>
  <r>
    <s v="LA-701353"/>
    <d v="2024-07-31T00:00:00"/>
    <x v="0"/>
    <s v="Q3"/>
    <x v="6"/>
    <x v="3"/>
    <x v="1"/>
    <x v="3"/>
    <x v="1"/>
    <x v="0"/>
    <n v="5150"/>
    <n v="431000"/>
    <n v="240"/>
    <n v="0.70099999999999996"/>
    <s v="Rejected"/>
    <x v="0"/>
    <n v="0"/>
    <n v="1"/>
    <n v="0"/>
    <m/>
    <n v="6"/>
    <n v="1"/>
    <n v="1"/>
  </r>
  <r>
    <s v="LA-701354"/>
    <d v="2024-07-31T00:00:00"/>
    <x v="0"/>
    <s v="Q3"/>
    <x v="6"/>
    <x v="2"/>
    <x v="3"/>
    <x v="2"/>
    <x v="0"/>
    <x v="0"/>
    <n v="9500"/>
    <n v="105000"/>
    <n v="60"/>
    <n v="0.47399999999999998"/>
    <s v="Approved"/>
    <x v="1"/>
    <n v="1"/>
    <n v="0"/>
    <n v="105000"/>
    <n v="0.11799999999999999"/>
    <n v="19"/>
    <n v="0"/>
    <n v="1"/>
  </r>
  <r>
    <s v="LA-701355"/>
    <d v="2024-08-01T00:00:00"/>
    <x v="0"/>
    <s v="Q3"/>
    <x v="7"/>
    <x v="3"/>
    <x v="2"/>
    <x v="2"/>
    <x v="0"/>
    <x v="1"/>
    <n v="3900"/>
    <n v="124500"/>
    <n v="180"/>
    <n v="0.45500000000000002"/>
    <s v="Approved"/>
    <x v="1"/>
    <n v="1"/>
    <n v="0"/>
    <n v="99500"/>
    <n v="5.8099999999999999E-2"/>
    <n v="5"/>
    <n v="1"/>
    <n v="1"/>
  </r>
  <r>
    <s v="LA-701356"/>
    <d v="2024-08-01T00:00:00"/>
    <x v="0"/>
    <s v="Q3"/>
    <x v="7"/>
    <x v="1"/>
    <x v="3"/>
    <x v="1"/>
    <x v="0"/>
    <x v="1"/>
    <n v="4750"/>
    <n v="17500"/>
    <n v="48"/>
    <n v="0.252"/>
    <s v="Approved"/>
    <x v="1"/>
    <n v="1"/>
    <n v="0"/>
    <n v="16000"/>
    <n v="0.1234"/>
    <n v="3"/>
    <n v="1"/>
    <n v="1"/>
  </r>
  <r>
    <s v="LA-701357"/>
    <d v="2024-08-01T00:00:00"/>
    <x v="0"/>
    <s v="Q3"/>
    <x v="7"/>
    <x v="0"/>
    <x v="1"/>
    <x v="2"/>
    <x v="0"/>
    <x v="0"/>
    <n v="4200"/>
    <n v="50000"/>
    <n v="48"/>
    <n v="0.51600000000000001"/>
    <s v="Rejected"/>
    <x v="0"/>
    <n v="0"/>
    <n v="1"/>
    <n v="0"/>
    <m/>
    <n v="3"/>
    <n v="1"/>
    <n v="1"/>
  </r>
  <r>
    <s v="LA-701358"/>
    <d v="2024-08-01T00:00:00"/>
    <x v="0"/>
    <s v="Q3"/>
    <x v="7"/>
    <x v="1"/>
    <x v="1"/>
    <x v="2"/>
    <x v="2"/>
    <x v="3"/>
    <n v="6100"/>
    <n v="11500"/>
    <n v="12"/>
    <n v="0.34300000000000003"/>
    <s v="Approved"/>
    <x v="1"/>
    <n v="1"/>
    <n v="0"/>
    <n v="11500"/>
    <n v="0.1101"/>
    <n v="2"/>
    <n v="1"/>
    <n v="1"/>
  </r>
  <r>
    <s v="LA-701359"/>
    <d v="2024-08-01T00:00:00"/>
    <x v="0"/>
    <s v="Q3"/>
    <x v="7"/>
    <x v="2"/>
    <x v="2"/>
    <x v="1"/>
    <x v="0"/>
    <x v="4"/>
    <n v="5800"/>
    <n v="39000"/>
    <n v="24"/>
    <n v="0.50900000000000001"/>
    <s v="Approved"/>
    <x v="1"/>
    <n v="1"/>
    <n v="0"/>
    <n v="39000"/>
    <n v="9.5000000000000001E-2"/>
    <n v="7"/>
    <n v="1"/>
    <n v="1"/>
  </r>
  <r>
    <s v="LA-701360"/>
    <d v="2024-08-01T00:00:00"/>
    <x v="0"/>
    <s v="Q3"/>
    <x v="7"/>
    <x v="1"/>
    <x v="1"/>
    <x v="3"/>
    <x v="2"/>
    <x v="1"/>
    <n v="10750"/>
    <n v="9000"/>
    <n v="12"/>
    <n v="0.27500000000000002"/>
    <s v="Approved"/>
    <x v="1"/>
    <n v="1"/>
    <n v="0"/>
    <n v="9000"/>
    <n v="0.1263"/>
    <n v="2"/>
    <n v="1"/>
    <n v="1"/>
  </r>
  <r>
    <s v="LA-701361"/>
    <d v="2024-08-01T00:00:00"/>
    <x v="0"/>
    <s v="Q3"/>
    <x v="7"/>
    <x v="2"/>
    <x v="0"/>
    <x v="3"/>
    <x v="0"/>
    <x v="2"/>
    <n v="10300"/>
    <n v="140000"/>
    <n v="12"/>
    <n v="1.248"/>
    <s v="Rejected"/>
    <x v="4"/>
    <n v="0"/>
    <n v="1"/>
    <n v="0"/>
    <m/>
    <n v="14"/>
    <n v="0"/>
    <n v="1"/>
  </r>
  <r>
    <s v="LA-701362"/>
    <d v="2024-08-01T00:00:00"/>
    <x v="0"/>
    <s v="Q3"/>
    <x v="7"/>
    <x v="2"/>
    <x v="3"/>
    <x v="1"/>
    <x v="1"/>
    <x v="0"/>
    <n v="6500"/>
    <n v="50000"/>
    <n v="12"/>
    <n v="0.88500000000000001"/>
    <s v="Rejected"/>
    <x v="0"/>
    <n v="0"/>
    <n v="1"/>
    <n v="0"/>
    <m/>
    <n v="33"/>
    <n v="0"/>
    <n v="1"/>
  </r>
  <r>
    <s v="LA-701363"/>
    <d v="2024-08-02T00:00:00"/>
    <x v="0"/>
    <s v="Q3"/>
    <x v="7"/>
    <x v="1"/>
    <x v="3"/>
    <x v="3"/>
    <x v="0"/>
    <x v="1"/>
    <n v="4400"/>
    <n v="8500"/>
    <n v="60"/>
    <n v="0.253"/>
    <s v="Withdrawn"/>
    <x v="1"/>
    <n v="0"/>
    <n v="0"/>
    <n v="0"/>
    <m/>
    <n v="10"/>
    <n v="0"/>
    <n v="1"/>
  </r>
  <r>
    <s v="LA-701364"/>
    <d v="2024-08-02T00:00:00"/>
    <x v="0"/>
    <s v="Q3"/>
    <x v="7"/>
    <x v="0"/>
    <x v="1"/>
    <x v="4"/>
    <x v="1"/>
    <x v="3"/>
    <n v="7100"/>
    <n v="27500"/>
    <n v="48"/>
    <n v="0.26800000000000002"/>
    <s v="Approved"/>
    <x v="1"/>
    <n v="1"/>
    <n v="0"/>
    <n v="27500"/>
    <n v="6.8699999999999997E-2"/>
    <n v="5"/>
    <n v="0"/>
    <n v="1"/>
  </r>
  <r>
    <s v="LA-701365"/>
    <d v="2024-08-02T00:00:00"/>
    <x v="0"/>
    <s v="Q3"/>
    <x v="7"/>
    <x v="0"/>
    <x v="2"/>
    <x v="2"/>
    <x v="0"/>
    <x v="4"/>
    <n v="6400"/>
    <n v="28500"/>
    <n v="60"/>
    <n v="0.17199999999999999"/>
    <s v="Rejected"/>
    <x v="2"/>
    <n v="0"/>
    <n v="1"/>
    <n v="0"/>
    <m/>
    <n v="4"/>
    <n v="1"/>
    <n v="1"/>
  </r>
  <r>
    <s v="LA-701366"/>
    <d v="2024-08-02T00:00:00"/>
    <x v="0"/>
    <s v="Q3"/>
    <x v="7"/>
    <x v="3"/>
    <x v="3"/>
    <x v="2"/>
    <x v="0"/>
    <x v="1"/>
    <n v="8850"/>
    <n v="310000"/>
    <n v="180"/>
    <n v="0.43099999999999999"/>
    <s v="Approved"/>
    <x v="1"/>
    <n v="1"/>
    <n v="0"/>
    <n v="310000"/>
    <n v="5.8599999999999999E-2"/>
    <n v="27"/>
    <n v="0"/>
    <n v="1"/>
  </r>
  <r>
    <s v="LA-701367"/>
    <d v="2024-08-02T00:00:00"/>
    <x v="0"/>
    <s v="Q3"/>
    <x v="7"/>
    <x v="0"/>
    <x v="1"/>
    <x v="2"/>
    <x v="1"/>
    <x v="2"/>
    <n v="4000"/>
    <n v="55500"/>
    <n v="60"/>
    <n v="0.442"/>
    <s v="Rejected"/>
    <x v="0"/>
    <n v="0"/>
    <n v="1"/>
    <n v="0"/>
    <m/>
    <n v="2"/>
    <n v="1"/>
    <n v="1"/>
  </r>
  <r>
    <s v="LA-701368"/>
    <d v="2024-08-03T00:00:00"/>
    <x v="0"/>
    <s v="Q3"/>
    <x v="7"/>
    <x v="1"/>
    <x v="3"/>
    <x v="0"/>
    <x v="2"/>
    <x v="1"/>
    <n v="6150"/>
    <n v="12000"/>
    <n v="24"/>
    <n v="0.247"/>
    <s v="Approved"/>
    <x v="1"/>
    <n v="1"/>
    <n v="0"/>
    <n v="12000"/>
    <n v="0.13139999999999999"/>
    <n v="5"/>
    <n v="0"/>
    <n v="1"/>
  </r>
  <r>
    <s v="LA-701369"/>
    <d v="2024-08-03T00:00:00"/>
    <x v="0"/>
    <s v="Q3"/>
    <x v="7"/>
    <x v="0"/>
    <x v="2"/>
    <x v="2"/>
    <x v="0"/>
    <x v="3"/>
    <n v="6950"/>
    <n v="43000"/>
    <n v="60"/>
    <n v="0.17499999999999999"/>
    <s v="Approved"/>
    <x v="1"/>
    <n v="1"/>
    <n v="0"/>
    <n v="43000"/>
    <n v="6.6199999999999995E-2"/>
    <n v="1"/>
    <n v="1"/>
    <n v="1"/>
  </r>
  <r>
    <s v="LA-701370"/>
    <d v="2024-08-04T00:00:00"/>
    <x v="0"/>
    <s v="Q3"/>
    <x v="7"/>
    <x v="1"/>
    <x v="3"/>
    <x v="3"/>
    <x v="2"/>
    <x v="1"/>
    <n v="9750"/>
    <n v="6000"/>
    <n v="36"/>
    <n v="0.23699999999999999"/>
    <s v="Rejected"/>
    <x v="0"/>
    <n v="0"/>
    <n v="1"/>
    <n v="0"/>
    <m/>
    <n v="3"/>
    <n v="1"/>
    <n v="1"/>
  </r>
  <r>
    <s v="LA-701371"/>
    <d v="2024-08-04T00:00:00"/>
    <x v="0"/>
    <s v="Q3"/>
    <x v="7"/>
    <x v="2"/>
    <x v="3"/>
    <x v="4"/>
    <x v="0"/>
    <x v="0"/>
    <n v="4150"/>
    <n v="69000"/>
    <n v="36"/>
    <n v="0.70699999999999996"/>
    <s v="Rejected"/>
    <x v="0"/>
    <n v="0"/>
    <n v="1"/>
    <n v="0"/>
    <m/>
    <n v="13"/>
    <n v="0"/>
    <n v="1"/>
  </r>
  <r>
    <s v="LA-701372"/>
    <d v="2024-08-04T00:00:00"/>
    <x v="0"/>
    <s v="Q3"/>
    <x v="7"/>
    <x v="3"/>
    <x v="2"/>
    <x v="4"/>
    <x v="0"/>
    <x v="3"/>
    <n v="5450"/>
    <n v="209500"/>
    <n v="240"/>
    <n v="0.41699999999999998"/>
    <s v="Approved"/>
    <x v="1"/>
    <n v="1"/>
    <n v="0"/>
    <n v="209500"/>
    <n v="4.6899999999999997E-2"/>
    <n v="10"/>
    <n v="1"/>
    <n v="1"/>
  </r>
  <r>
    <s v="LA-701373"/>
    <d v="2024-08-04T00:00:00"/>
    <x v="0"/>
    <s v="Q3"/>
    <x v="7"/>
    <x v="1"/>
    <x v="2"/>
    <x v="3"/>
    <x v="0"/>
    <x v="1"/>
    <n v="8900"/>
    <n v="12000"/>
    <n v="60"/>
    <n v="0.121"/>
    <s v="Rejected"/>
    <x v="4"/>
    <n v="0"/>
    <n v="1"/>
    <n v="0"/>
    <m/>
    <n v="5"/>
    <n v="0"/>
    <n v="1"/>
  </r>
  <r>
    <s v="LA-701374"/>
    <d v="2024-08-04T00:00:00"/>
    <x v="0"/>
    <s v="Q3"/>
    <x v="7"/>
    <x v="0"/>
    <x v="3"/>
    <x v="3"/>
    <x v="0"/>
    <x v="1"/>
    <n v="5150"/>
    <n v="32500"/>
    <n v="36"/>
    <n v="0.42899999999999999"/>
    <s v="Rejected"/>
    <x v="0"/>
    <n v="0"/>
    <n v="1"/>
    <n v="0"/>
    <m/>
    <n v="6"/>
    <n v="0"/>
    <n v="1"/>
  </r>
  <r>
    <s v="LA-701375"/>
    <d v="2024-08-05T00:00:00"/>
    <x v="0"/>
    <s v="Q3"/>
    <x v="7"/>
    <x v="0"/>
    <x v="2"/>
    <x v="4"/>
    <x v="0"/>
    <x v="4"/>
    <n v="3250"/>
    <n v="19500"/>
    <n v="60"/>
    <n v="0.32700000000000001"/>
    <s v="Approved"/>
    <x v="1"/>
    <n v="1"/>
    <n v="0"/>
    <n v="19500"/>
    <n v="6.3700000000000007E-2"/>
    <n v="2"/>
    <n v="1"/>
    <n v="1"/>
  </r>
  <r>
    <s v="LA-701376"/>
    <d v="2024-08-05T00:00:00"/>
    <x v="0"/>
    <s v="Q3"/>
    <x v="7"/>
    <x v="3"/>
    <x v="0"/>
    <x v="3"/>
    <x v="1"/>
    <x v="3"/>
    <n v="9100"/>
    <n v="204000"/>
    <n v="300"/>
    <n v="0.32500000000000001"/>
    <s v="Approved"/>
    <x v="1"/>
    <n v="1"/>
    <n v="0"/>
    <n v="183500"/>
    <n v="4.3999999999999997E-2"/>
    <n v="17"/>
    <n v="0"/>
    <n v="1"/>
  </r>
  <r>
    <s v="LA-701377"/>
    <d v="2024-08-05T00:00:00"/>
    <x v="0"/>
    <s v="Q3"/>
    <x v="7"/>
    <x v="2"/>
    <x v="1"/>
    <x v="3"/>
    <x v="1"/>
    <x v="2"/>
    <n v="14250"/>
    <n v="41500"/>
    <n v="24"/>
    <n v="0.22900000000000001"/>
    <s v="Rejected"/>
    <x v="0"/>
    <n v="0"/>
    <n v="1"/>
    <n v="0"/>
    <m/>
    <n v="5"/>
    <n v="1"/>
    <n v="1"/>
  </r>
  <r>
    <s v="LA-701378"/>
    <d v="2024-08-05T00:00:00"/>
    <x v="0"/>
    <s v="Q3"/>
    <x v="7"/>
    <x v="2"/>
    <x v="3"/>
    <x v="3"/>
    <x v="0"/>
    <x v="0"/>
    <n v="3300"/>
    <n v="156500"/>
    <n v="12"/>
    <n v="4.343"/>
    <s v="Rejected"/>
    <x v="3"/>
    <n v="0"/>
    <n v="1"/>
    <n v="0"/>
    <m/>
    <n v="20"/>
    <n v="0"/>
    <n v="1"/>
  </r>
  <r>
    <s v="LA-701379"/>
    <d v="2024-08-05T00:00:00"/>
    <x v="0"/>
    <s v="Q3"/>
    <x v="7"/>
    <x v="1"/>
    <x v="2"/>
    <x v="2"/>
    <x v="0"/>
    <x v="1"/>
    <n v="6300"/>
    <n v="13000"/>
    <n v="60"/>
    <n v="0.1"/>
    <s v="Approved"/>
    <x v="1"/>
    <n v="1"/>
    <n v="0"/>
    <n v="11500"/>
    <n v="0.1285"/>
    <n v="2"/>
    <n v="1"/>
    <n v="1"/>
  </r>
  <r>
    <s v="LA-701380"/>
    <d v="2024-08-05T00:00:00"/>
    <x v="0"/>
    <s v="Q3"/>
    <x v="7"/>
    <x v="1"/>
    <x v="3"/>
    <x v="3"/>
    <x v="0"/>
    <x v="0"/>
    <n v="4150"/>
    <n v="10000"/>
    <n v="12"/>
    <n v="0.30199999999999999"/>
    <s v="Rejected"/>
    <x v="0"/>
    <n v="0"/>
    <n v="1"/>
    <n v="0"/>
    <m/>
    <n v="6"/>
    <n v="0"/>
    <n v="1"/>
  </r>
  <r>
    <s v="LA-701381"/>
    <d v="2024-08-05T00:00:00"/>
    <x v="0"/>
    <s v="Q3"/>
    <x v="7"/>
    <x v="1"/>
    <x v="3"/>
    <x v="2"/>
    <x v="1"/>
    <x v="4"/>
    <n v="8650"/>
    <n v="8000"/>
    <n v="12"/>
    <n v="0.17299999999999999"/>
    <s v="Approved"/>
    <x v="1"/>
    <n v="1"/>
    <n v="0"/>
    <n v="8000"/>
    <n v="0.11550000000000001"/>
    <n v="8"/>
    <n v="0"/>
    <n v="1"/>
  </r>
  <r>
    <s v="LA-701382"/>
    <d v="2024-08-06T00:00:00"/>
    <x v="0"/>
    <s v="Q3"/>
    <x v="7"/>
    <x v="0"/>
    <x v="2"/>
    <x v="2"/>
    <x v="0"/>
    <x v="1"/>
    <n v="4450"/>
    <n v="21500"/>
    <n v="48"/>
    <n v="0.28499999999999998"/>
    <s v="Approved"/>
    <x v="1"/>
    <n v="1"/>
    <n v="0"/>
    <n v="17000"/>
    <n v="7.6899999999999996E-2"/>
    <n v="2"/>
    <n v="1"/>
    <n v="1"/>
  </r>
  <r>
    <s v="LA-701383"/>
    <d v="2024-08-06T00:00:00"/>
    <x v="0"/>
    <s v="Q3"/>
    <x v="7"/>
    <x v="0"/>
    <x v="0"/>
    <x v="2"/>
    <x v="0"/>
    <x v="4"/>
    <n v="7500"/>
    <n v="25500"/>
    <n v="36"/>
    <n v="0.29099999999999998"/>
    <s v="Rejected"/>
    <x v="0"/>
    <n v="0"/>
    <n v="1"/>
    <n v="0"/>
    <m/>
    <n v="5"/>
    <n v="0"/>
    <n v="1"/>
  </r>
  <r>
    <s v="LA-701384"/>
    <d v="2024-08-06T00:00:00"/>
    <x v="0"/>
    <s v="Q3"/>
    <x v="7"/>
    <x v="2"/>
    <x v="3"/>
    <x v="0"/>
    <x v="0"/>
    <x v="4"/>
    <n v="4800"/>
    <n v="56500"/>
    <n v="12"/>
    <n v="1.2190000000000001"/>
    <s v="Rejected"/>
    <x v="3"/>
    <n v="0"/>
    <n v="1"/>
    <n v="0"/>
    <m/>
    <n v="17"/>
    <n v="0"/>
    <n v="1"/>
  </r>
  <r>
    <s v="LA-701385"/>
    <d v="2024-08-06T00:00:00"/>
    <x v="0"/>
    <s v="Q3"/>
    <x v="7"/>
    <x v="2"/>
    <x v="3"/>
    <x v="2"/>
    <x v="1"/>
    <x v="4"/>
    <n v="5100"/>
    <n v="60000"/>
    <n v="60"/>
    <n v="0.34200000000000003"/>
    <s v="Rejected"/>
    <x v="2"/>
    <n v="0"/>
    <n v="1"/>
    <n v="0"/>
    <m/>
    <n v="17"/>
    <n v="0"/>
    <n v="1"/>
  </r>
  <r>
    <s v="LA-701386"/>
    <d v="2024-08-06T00:00:00"/>
    <x v="0"/>
    <s v="Q3"/>
    <x v="7"/>
    <x v="3"/>
    <x v="3"/>
    <x v="3"/>
    <x v="0"/>
    <x v="1"/>
    <n v="19600"/>
    <n v="374500"/>
    <n v="240"/>
    <n v="0.30199999999999999"/>
    <s v="Approved"/>
    <x v="1"/>
    <n v="1"/>
    <n v="0"/>
    <n v="374500"/>
    <n v="6.0600000000000001E-2"/>
    <n v="25"/>
    <n v="0"/>
    <n v="1"/>
  </r>
  <r>
    <s v="LA-701387"/>
    <d v="2024-08-06T00:00:00"/>
    <x v="0"/>
    <s v="Q3"/>
    <x v="7"/>
    <x v="3"/>
    <x v="2"/>
    <x v="3"/>
    <x v="0"/>
    <x v="1"/>
    <n v="5600"/>
    <n v="311000"/>
    <n v="240"/>
    <n v="0.58399999999999996"/>
    <s v="Rejected"/>
    <x v="3"/>
    <n v="0"/>
    <n v="1"/>
    <n v="0"/>
    <m/>
    <n v="11"/>
    <n v="1"/>
    <n v="1"/>
  </r>
  <r>
    <s v="LA-701388"/>
    <d v="2024-08-06T00:00:00"/>
    <x v="0"/>
    <s v="Q3"/>
    <x v="7"/>
    <x v="3"/>
    <x v="2"/>
    <x v="2"/>
    <x v="0"/>
    <x v="4"/>
    <n v="12350"/>
    <n v="171500"/>
    <n v="240"/>
    <n v="0.30399999999999999"/>
    <s v="Approved"/>
    <x v="1"/>
    <n v="1"/>
    <n v="0"/>
    <n v="154500"/>
    <n v="5.0299999999999997E-2"/>
    <n v="11"/>
    <n v="1"/>
    <n v="1"/>
  </r>
  <r>
    <s v="LA-701389"/>
    <d v="2024-08-06T00:00:00"/>
    <x v="0"/>
    <s v="Q3"/>
    <x v="7"/>
    <x v="2"/>
    <x v="3"/>
    <x v="2"/>
    <x v="0"/>
    <x v="0"/>
    <n v="2800"/>
    <n v="74000"/>
    <n v="36"/>
    <n v="1.0580000000000001"/>
    <s v="Rejected"/>
    <x v="0"/>
    <n v="0"/>
    <n v="1"/>
    <n v="0"/>
    <m/>
    <n v="15"/>
    <n v="0"/>
    <n v="1"/>
  </r>
  <r>
    <s v="LA-701390"/>
    <d v="2024-08-06T00:00:00"/>
    <x v="0"/>
    <s v="Q3"/>
    <x v="7"/>
    <x v="0"/>
    <x v="3"/>
    <x v="2"/>
    <x v="1"/>
    <x v="1"/>
    <n v="2800"/>
    <n v="15500"/>
    <n v="36"/>
    <n v="0.312"/>
    <s v="Rejected"/>
    <x v="5"/>
    <n v="0"/>
    <n v="1"/>
    <n v="0"/>
    <m/>
    <n v="5"/>
    <n v="0"/>
    <n v="1"/>
  </r>
  <r>
    <s v="LA-701391"/>
    <d v="2024-08-07T00:00:00"/>
    <x v="0"/>
    <s v="Q3"/>
    <x v="7"/>
    <x v="2"/>
    <x v="2"/>
    <x v="1"/>
    <x v="1"/>
    <x v="0"/>
    <n v="3450"/>
    <n v="68000"/>
    <n v="60"/>
    <n v="0.59299999999999997"/>
    <s v="Rejected"/>
    <x v="3"/>
    <n v="0"/>
    <n v="1"/>
    <n v="0"/>
    <m/>
    <n v="4"/>
    <n v="1"/>
    <n v="1"/>
  </r>
  <r>
    <s v="LA-701392"/>
    <d v="2024-08-07T00:00:00"/>
    <x v="0"/>
    <s v="Q3"/>
    <x v="7"/>
    <x v="1"/>
    <x v="3"/>
    <x v="1"/>
    <x v="0"/>
    <x v="3"/>
    <n v="3850"/>
    <n v="37000"/>
    <n v="24"/>
    <n v="0.52200000000000002"/>
    <s v="Approved"/>
    <x v="1"/>
    <n v="1"/>
    <n v="0"/>
    <n v="33500"/>
    <n v="9.8000000000000004E-2"/>
    <n v="6"/>
    <n v="0"/>
    <n v="1"/>
  </r>
  <r>
    <s v="LA-701393"/>
    <d v="2024-08-07T00:00:00"/>
    <x v="0"/>
    <s v="Q3"/>
    <x v="7"/>
    <x v="0"/>
    <x v="3"/>
    <x v="3"/>
    <x v="1"/>
    <x v="4"/>
    <n v="2750"/>
    <n v="33000"/>
    <n v="60"/>
    <n v="0.42899999999999999"/>
    <s v="Approved"/>
    <x v="1"/>
    <n v="1"/>
    <n v="0"/>
    <n v="33000"/>
    <n v="7.1999999999999995E-2"/>
    <n v="7"/>
    <n v="0"/>
    <n v="1"/>
  </r>
  <r>
    <s v="LA-701394"/>
    <d v="2024-08-07T00:00:00"/>
    <x v="0"/>
    <s v="Q3"/>
    <x v="7"/>
    <x v="1"/>
    <x v="3"/>
    <x v="2"/>
    <x v="0"/>
    <x v="4"/>
    <n v="1600"/>
    <n v="20500"/>
    <n v="60"/>
    <n v="0.41"/>
    <s v="Withdrawn"/>
    <x v="1"/>
    <n v="0"/>
    <n v="0"/>
    <n v="0"/>
    <m/>
    <n v="4"/>
    <n v="0"/>
    <n v="1"/>
  </r>
  <r>
    <s v="LA-701395"/>
    <d v="2024-08-07T00:00:00"/>
    <x v="0"/>
    <s v="Q3"/>
    <x v="7"/>
    <x v="1"/>
    <x v="1"/>
    <x v="1"/>
    <x v="0"/>
    <x v="2"/>
    <n v="3850"/>
    <n v="20500"/>
    <n v="12"/>
    <n v="0.52700000000000002"/>
    <s v="Rejected"/>
    <x v="0"/>
    <n v="0"/>
    <n v="1"/>
    <n v="0"/>
    <m/>
    <n v="2"/>
    <n v="1"/>
    <n v="1"/>
  </r>
  <r>
    <s v="LA-701396"/>
    <d v="2024-08-07T00:00:00"/>
    <x v="0"/>
    <s v="Q3"/>
    <x v="7"/>
    <x v="0"/>
    <x v="2"/>
    <x v="2"/>
    <x v="1"/>
    <x v="0"/>
    <n v="7600"/>
    <n v="27000"/>
    <n v="48"/>
    <n v="0.157"/>
    <s v="Withdrawn"/>
    <x v="1"/>
    <n v="0"/>
    <n v="0"/>
    <n v="0"/>
    <m/>
    <n v="4"/>
    <n v="1"/>
    <n v="1"/>
  </r>
  <r>
    <s v="LA-701397"/>
    <d v="2024-08-07T00:00:00"/>
    <x v="0"/>
    <s v="Q3"/>
    <x v="7"/>
    <x v="0"/>
    <x v="3"/>
    <x v="2"/>
    <x v="2"/>
    <x v="0"/>
    <n v="5300"/>
    <n v="18500"/>
    <n v="36"/>
    <n v="0.215"/>
    <s v="Rejected"/>
    <x v="2"/>
    <n v="0"/>
    <n v="1"/>
    <n v="0"/>
    <m/>
    <n v="6"/>
    <n v="0"/>
    <n v="1"/>
  </r>
  <r>
    <s v="LA-701398"/>
    <d v="2024-08-08T00:00:00"/>
    <x v="0"/>
    <s v="Q3"/>
    <x v="7"/>
    <x v="1"/>
    <x v="3"/>
    <x v="2"/>
    <x v="0"/>
    <x v="3"/>
    <n v="4600"/>
    <n v="11500"/>
    <n v="36"/>
    <n v="0.316"/>
    <s v="Approved"/>
    <x v="1"/>
    <n v="1"/>
    <n v="0"/>
    <n v="11500"/>
    <n v="0.1105"/>
    <n v="6"/>
    <n v="0"/>
    <n v="1"/>
  </r>
  <r>
    <s v="LA-701399"/>
    <d v="2024-08-08T00:00:00"/>
    <x v="0"/>
    <s v="Q3"/>
    <x v="7"/>
    <x v="2"/>
    <x v="2"/>
    <x v="2"/>
    <x v="1"/>
    <x v="2"/>
    <n v="6150"/>
    <n v="90000"/>
    <n v="12"/>
    <n v="1.4"/>
    <s v="Withdrawn"/>
    <x v="1"/>
    <n v="0"/>
    <n v="0"/>
    <n v="0"/>
    <m/>
    <n v="11"/>
    <n v="0"/>
    <n v="1"/>
  </r>
  <r>
    <s v="LA-701400"/>
    <d v="2024-08-08T00:00:00"/>
    <x v="0"/>
    <s v="Q3"/>
    <x v="7"/>
    <x v="1"/>
    <x v="0"/>
    <x v="2"/>
    <x v="1"/>
    <x v="3"/>
    <n v="4950"/>
    <n v="13000"/>
    <n v="24"/>
    <n v="0.24399999999999999"/>
    <s v="Approved"/>
    <x v="1"/>
    <n v="1"/>
    <n v="0"/>
    <n v="10500"/>
    <n v="0.1052"/>
    <n v="7"/>
    <n v="0"/>
    <n v="1"/>
  </r>
  <r>
    <s v="LA-701401"/>
    <d v="2024-08-09T00:00:00"/>
    <x v="0"/>
    <s v="Q3"/>
    <x v="7"/>
    <x v="0"/>
    <x v="3"/>
    <x v="4"/>
    <x v="1"/>
    <x v="0"/>
    <n v="6900"/>
    <n v="24500"/>
    <n v="36"/>
    <n v="0.161"/>
    <s v="Rejected"/>
    <x v="0"/>
    <n v="0"/>
    <n v="1"/>
    <n v="0"/>
    <m/>
    <n v="6"/>
    <n v="0"/>
    <n v="1"/>
  </r>
  <r>
    <s v="LA-701402"/>
    <d v="2024-08-09T00:00:00"/>
    <x v="0"/>
    <s v="Q3"/>
    <x v="7"/>
    <x v="1"/>
    <x v="3"/>
    <x v="2"/>
    <x v="1"/>
    <x v="0"/>
    <n v="2800"/>
    <n v="3000"/>
    <n v="24"/>
    <n v="0.14599999999999999"/>
    <s v="Rejected"/>
    <x v="4"/>
    <n v="0"/>
    <n v="1"/>
    <n v="0"/>
    <m/>
    <n v="11"/>
    <n v="0"/>
    <n v="1"/>
  </r>
  <r>
    <s v="LA-701403"/>
    <d v="2024-08-09T00:00:00"/>
    <x v="0"/>
    <s v="Q3"/>
    <x v="7"/>
    <x v="3"/>
    <x v="3"/>
    <x v="0"/>
    <x v="0"/>
    <x v="2"/>
    <n v="5150"/>
    <n v="398500"/>
    <n v="240"/>
    <n v="0.65500000000000003"/>
    <s v="Rejected"/>
    <x v="0"/>
    <n v="0"/>
    <n v="1"/>
    <n v="0"/>
    <m/>
    <n v="18"/>
    <n v="0"/>
    <n v="1"/>
  </r>
  <r>
    <s v="LA-701404"/>
    <d v="2024-08-09T00:00:00"/>
    <x v="0"/>
    <s v="Q3"/>
    <x v="7"/>
    <x v="2"/>
    <x v="3"/>
    <x v="0"/>
    <x v="2"/>
    <x v="1"/>
    <n v="4650"/>
    <n v="155000"/>
    <n v="12"/>
    <n v="3.1269999999999998"/>
    <s v="Rejected"/>
    <x v="3"/>
    <n v="0"/>
    <n v="1"/>
    <n v="0"/>
    <m/>
    <n v="17"/>
    <n v="0"/>
    <n v="1"/>
  </r>
  <r>
    <s v="LA-701405"/>
    <d v="2024-08-09T00:00:00"/>
    <x v="0"/>
    <s v="Q3"/>
    <x v="7"/>
    <x v="1"/>
    <x v="3"/>
    <x v="1"/>
    <x v="2"/>
    <x v="1"/>
    <n v="5150"/>
    <n v="5500"/>
    <n v="48"/>
    <n v="0.129"/>
    <s v="Approved"/>
    <x v="1"/>
    <n v="1"/>
    <n v="0"/>
    <n v="4500"/>
    <n v="0.12970000000000001"/>
    <n v="9"/>
    <n v="0"/>
    <n v="1"/>
  </r>
  <r>
    <s v="LA-701406"/>
    <d v="2024-08-09T00:00:00"/>
    <x v="0"/>
    <s v="Q3"/>
    <x v="7"/>
    <x v="1"/>
    <x v="0"/>
    <x v="4"/>
    <x v="2"/>
    <x v="2"/>
    <n v="10350"/>
    <n v="15000"/>
    <n v="60"/>
    <n v="0.17599999999999999"/>
    <s v="Rejected"/>
    <x v="0"/>
    <n v="0"/>
    <n v="1"/>
    <n v="0"/>
    <m/>
    <n v="5"/>
    <n v="0"/>
    <n v="1"/>
  </r>
  <r>
    <s v="LA-701407"/>
    <d v="2024-08-10T00:00:00"/>
    <x v="0"/>
    <s v="Q3"/>
    <x v="7"/>
    <x v="1"/>
    <x v="1"/>
    <x v="4"/>
    <x v="2"/>
    <x v="0"/>
    <n v="10750"/>
    <n v="13500"/>
    <n v="60"/>
    <n v="0.253"/>
    <s v="Approved"/>
    <x v="1"/>
    <n v="1"/>
    <n v="0"/>
    <n v="13500"/>
    <n v="0.1386"/>
    <n v="1"/>
    <n v="1"/>
    <n v="1"/>
  </r>
  <r>
    <s v="LA-701408"/>
    <d v="2024-08-10T00:00:00"/>
    <x v="0"/>
    <s v="Q3"/>
    <x v="7"/>
    <x v="3"/>
    <x v="1"/>
    <x v="2"/>
    <x v="0"/>
    <x v="0"/>
    <n v="3100"/>
    <n v="395000"/>
    <n v="180"/>
    <n v="1.1040000000000001"/>
    <s v="Rejected"/>
    <x v="0"/>
    <n v="0"/>
    <n v="1"/>
    <n v="0"/>
    <m/>
    <n v="9"/>
    <n v="1"/>
    <n v="1"/>
  </r>
  <r>
    <s v="LA-701409"/>
    <d v="2024-08-10T00:00:00"/>
    <x v="0"/>
    <s v="Q3"/>
    <x v="7"/>
    <x v="2"/>
    <x v="1"/>
    <x v="3"/>
    <x v="1"/>
    <x v="1"/>
    <n v="4000"/>
    <n v="84500"/>
    <n v="60"/>
    <n v="0.66600000000000004"/>
    <s v="Approved"/>
    <x v="1"/>
    <n v="1"/>
    <n v="0"/>
    <n v="84500"/>
    <n v="0.10970000000000001"/>
    <n v="6"/>
    <n v="1"/>
    <n v="1"/>
  </r>
  <r>
    <s v="LA-701410"/>
    <d v="2024-08-10T00:00:00"/>
    <x v="0"/>
    <s v="Q3"/>
    <x v="7"/>
    <x v="2"/>
    <x v="0"/>
    <x v="3"/>
    <x v="2"/>
    <x v="1"/>
    <n v="4000"/>
    <n v="70000"/>
    <n v="12"/>
    <n v="1.7090000000000001"/>
    <s v="Rejected"/>
    <x v="3"/>
    <n v="0"/>
    <n v="1"/>
    <n v="0"/>
    <m/>
    <n v="8"/>
    <n v="1"/>
    <n v="1"/>
  </r>
  <r>
    <s v="LA-701411"/>
    <d v="2024-08-11T00:00:00"/>
    <x v="0"/>
    <s v="Q3"/>
    <x v="7"/>
    <x v="0"/>
    <x v="3"/>
    <x v="2"/>
    <x v="1"/>
    <x v="0"/>
    <n v="3800"/>
    <n v="23000"/>
    <n v="60"/>
    <n v="0.25900000000000001"/>
    <s v="Approved"/>
    <x v="1"/>
    <n v="1"/>
    <n v="0"/>
    <n v="23000"/>
    <n v="9.7900000000000001E-2"/>
    <n v="8"/>
    <n v="0"/>
    <n v="1"/>
  </r>
  <r>
    <s v="LA-701412"/>
    <d v="2024-08-11T00:00:00"/>
    <x v="0"/>
    <s v="Q3"/>
    <x v="7"/>
    <x v="1"/>
    <x v="0"/>
    <x v="0"/>
    <x v="2"/>
    <x v="4"/>
    <n v="11650"/>
    <n v="7000"/>
    <n v="60"/>
    <n v="0.17399999999999999"/>
    <s v="Approved"/>
    <x v="1"/>
    <n v="1"/>
    <n v="0"/>
    <n v="7000"/>
    <n v="0.1119"/>
    <n v="2"/>
    <n v="1"/>
    <n v="1"/>
  </r>
  <r>
    <s v="LA-701413"/>
    <d v="2024-08-11T00:00:00"/>
    <x v="0"/>
    <s v="Q3"/>
    <x v="7"/>
    <x v="2"/>
    <x v="0"/>
    <x v="0"/>
    <x v="0"/>
    <x v="4"/>
    <n v="5900"/>
    <n v="104000"/>
    <n v="24"/>
    <n v="0.98199999999999998"/>
    <s v="Rejected"/>
    <x v="3"/>
    <n v="0"/>
    <n v="1"/>
    <n v="0"/>
    <m/>
    <n v="14"/>
    <n v="0"/>
    <n v="1"/>
  </r>
  <r>
    <s v="LA-701414"/>
    <d v="2024-08-11T00:00:00"/>
    <x v="0"/>
    <s v="Q3"/>
    <x v="7"/>
    <x v="2"/>
    <x v="3"/>
    <x v="2"/>
    <x v="1"/>
    <x v="1"/>
    <n v="2850"/>
    <n v="99500"/>
    <n v="12"/>
    <n v="3.2970000000000002"/>
    <s v="Rejected"/>
    <x v="3"/>
    <n v="0"/>
    <n v="1"/>
    <n v="0"/>
    <m/>
    <n v="15"/>
    <n v="0"/>
    <n v="1"/>
  </r>
  <r>
    <s v="LA-701415"/>
    <d v="2024-08-11T00:00:00"/>
    <x v="0"/>
    <s v="Q3"/>
    <x v="7"/>
    <x v="0"/>
    <x v="3"/>
    <x v="3"/>
    <x v="2"/>
    <x v="0"/>
    <n v="6500"/>
    <n v="24000"/>
    <n v="48"/>
    <n v="0.30299999999999999"/>
    <s v="Approved"/>
    <x v="1"/>
    <n v="1"/>
    <n v="0"/>
    <n v="24000"/>
    <n v="0.1007"/>
    <n v="7"/>
    <n v="0"/>
    <n v="1"/>
  </r>
  <r>
    <s v="LA-701416"/>
    <d v="2024-08-12T00:00:00"/>
    <x v="0"/>
    <s v="Q3"/>
    <x v="7"/>
    <x v="1"/>
    <x v="0"/>
    <x v="2"/>
    <x v="0"/>
    <x v="1"/>
    <n v="4800"/>
    <n v="14000"/>
    <n v="60"/>
    <n v="0.16400000000000001"/>
    <s v="Rejected"/>
    <x v="4"/>
    <n v="0"/>
    <n v="1"/>
    <n v="0"/>
    <m/>
    <n v="6"/>
    <n v="0"/>
    <n v="1"/>
  </r>
  <r>
    <s v="LA-701417"/>
    <d v="2024-08-12T00:00:00"/>
    <x v="0"/>
    <s v="Q3"/>
    <x v="7"/>
    <x v="1"/>
    <x v="3"/>
    <x v="4"/>
    <x v="0"/>
    <x v="3"/>
    <n v="6000"/>
    <n v="10000"/>
    <n v="48"/>
    <n v="0.25800000000000001"/>
    <s v="Approved"/>
    <x v="1"/>
    <n v="1"/>
    <n v="0"/>
    <n v="9000"/>
    <n v="0.10920000000000001"/>
    <n v="5"/>
    <n v="0"/>
    <n v="1"/>
  </r>
  <r>
    <s v="LA-701418"/>
    <d v="2024-08-12T00:00:00"/>
    <x v="0"/>
    <s v="Q3"/>
    <x v="7"/>
    <x v="1"/>
    <x v="3"/>
    <x v="3"/>
    <x v="0"/>
    <x v="1"/>
    <n v="6500"/>
    <n v="9000"/>
    <n v="12"/>
    <n v="0.219"/>
    <s v="Approved"/>
    <x v="1"/>
    <n v="1"/>
    <n v="0"/>
    <n v="8000"/>
    <n v="0.1263"/>
    <n v="4"/>
    <n v="0"/>
    <n v="1"/>
  </r>
  <r>
    <s v="LA-701419"/>
    <d v="2024-08-12T00:00:00"/>
    <x v="0"/>
    <s v="Q3"/>
    <x v="7"/>
    <x v="0"/>
    <x v="3"/>
    <x v="2"/>
    <x v="0"/>
    <x v="4"/>
    <n v="5750"/>
    <n v="27000"/>
    <n v="36"/>
    <n v="0.371"/>
    <s v="Approved"/>
    <x v="1"/>
    <n v="1"/>
    <n v="0"/>
    <n v="27000"/>
    <n v="7.1800000000000003E-2"/>
    <n v="5"/>
    <n v="0"/>
    <n v="1"/>
  </r>
  <r>
    <s v="LA-701420"/>
    <d v="2024-08-12T00:00:00"/>
    <x v="0"/>
    <s v="Q3"/>
    <x v="7"/>
    <x v="0"/>
    <x v="3"/>
    <x v="2"/>
    <x v="1"/>
    <x v="4"/>
    <n v="5850"/>
    <n v="25000"/>
    <n v="36"/>
    <n v="0.27300000000000002"/>
    <s v="Approved"/>
    <x v="1"/>
    <n v="1"/>
    <n v="0"/>
    <n v="25000"/>
    <n v="7.2400000000000006E-2"/>
    <n v="4"/>
    <n v="1"/>
    <n v="1"/>
  </r>
  <r>
    <s v="LA-701421"/>
    <d v="2024-08-12T00:00:00"/>
    <x v="0"/>
    <s v="Q3"/>
    <x v="7"/>
    <x v="1"/>
    <x v="2"/>
    <x v="4"/>
    <x v="0"/>
    <x v="2"/>
    <n v="9350"/>
    <n v="12500"/>
    <n v="60"/>
    <n v="0.20799999999999999"/>
    <s v="Withdrawn"/>
    <x v="1"/>
    <n v="0"/>
    <n v="0"/>
    <n v="0"/>
    <m/>
    <n v="3"/>
    <n v="1"/>
    <n v="1"/>
  </r>
  <r>
    <s v="LA-701422"/>
    <d v="2024-08-13T00:00:00"/>
    <x v="0"/>
    <s v="Q3"/>
    <x v="7"/>
    <x v="3"/>
    <x v="3"/>
    <x v="3"/>
    <x v="0"/>
    <x v="3"/>
    <n v="3850"/>
    <n v="202000"/>
    <n v="240"/>
    <n v="0.52900000000000003"/>
    <s v="Approved"/>
    <x v="1"/>
    <n v="1"/>
    <n v="0"/>
    <n v="202000"/>
    <n v="3.78E-2"/>
    <n v="28"/>
    <n v="0"/>
    <n v="1"/>
  </r>
  <r>
    <s v="LA-701423"/>
    <d v="2024-08-13T00:00:00"/>
    <x v="0"/>
    <s v="Q3"/>
    <x v="7"/>
    <x v="0"/>
    <x v="2"/>
    <x v="4"/>
    <x v="0"/>
    <x v="2"/>
    <n v="10850"/>
    <n v="49500"/>
    <n v="60"/>
    <n v="0.14899999999999999"/>
    <s v="Rejected"/>
    <x v="0"/>
    <n v="0"/>
    <n v="1"/>
    <n v="0"/>
    <m/>
    <n v="3"/>
    <n v="1"/>
    <n v="1"/>
  </r>
  <r>
    <s v="LA-701424"/>
    <d v="2024-08-13T00:00:00"/>
    <x v="0"/>
    <s v="Q3"/>
    <x v="7"/>
    <x v="1"/>
    <x v="2"/>
    <x v="3"/>
    <x v="1"/>
    <x v="2"/>
    <n v="5250"/>
    <n v="11500"/>
    <n v="24"/>
    <n v="0.17100000000000001"/>
    <s v="Rejected"/>
    <x v="0"/>
    <n v="0"/>
    <n v="1"/>
    <n v="0"/>
    <m/>
    <n v="2"/>
    <n v="1"/>
    <n v="1"/>
  </r>
  <r>
    <s v="LA-701425"/>
    <d v="2024-08-13T00:00:00"/>
    <x v="0"/>
    <s v="Q3"/>
    <x v="7"/>
    <x v="1"/>
    <x v="1"/>
    <x v="3"/>
    <x v="1"/>
    <x v="0"/>
    <n v="3000"/>
    <n v="7500"/>
    <n v="60"/>
    <n v="0.29899999999999999"/>
    <s v="Approved"/>
    <x v="1"/>
    <n v="1"/>
    <n v="0"/>
    <n v="7500"/>
    <n v="0.13689999999999999"/>
    <n v="2"/>
    <n v="1"/>
    <n v="1"/>
  </r>
  <r>
    <s v="LA-701426"/>
    <d v="2024-08-13T00:00:00"/>
    <x v="0"/>
    <s v="Q3"/>
    <x v="7"/>
    <x v="2"/>
    <x v="1"/>
    <x v="2"/>
    <x v="2"/>
    <x v="1"/>
    <n v="7350"/>
    <n v="99000"/>
    <n v="60"/>
    <n v="0.47199999999999998"/>
    <s v="Rejected"/>
    <x v="3"/>
    <n v="0"/>
    <n v="1"/>
    <n v="0"/>
    <m/>
    <n v="4"/>
    <n v="1"/>
    <n v="1"/>
  </r>
  <r>
    <s v="LA-701427"/>
    <d v="2024-08-13T00:00:00"/>
    <x v="0"/>
    <s v="Q3"/>
    <x v="7"/>
    <x v="2"/>
    <x v="3"/>
    <x v="3"/>
    <x v="0"/>
    <x v="3"/>
    <n v="8050"/>
    <n v="89500"/>
    <n v="36"/>
    <n v="0.55600000000000005"/>
    <s v="Approved"/>
    <x v="1"/>
    <n v="1"/>
    <n v="0"/>
    <n v="89500"/>
    <n v="9.0499999999999997E-2"/>
    <n v="19"/>
    <n v="0"/>
    <n v="1"/>
  </r>
  <r>
    <s v="LA-701428"/>
    <d v="2024-08-13T00:00:00"/>
    <x v="0"/>
    <s v="Q3"/>
    <x v="7"/>
    <x v="2"/>
    <x v="0"/>
    <x v="1"/>
    <x v="0"/>
    <x v="3"/>
    <n v="3000"/>
    <n v="148500"/>
    <n v="24"/>
    <n v="2.4119999999999999"/>
    <s v="Rejected"/>
    <x v="3"/>
    <n v="0"/>
    <n v="1"/>
    <n v="0"/>
    <m/>
    <n v="5"/>
    <n v="1"/>
    <n v="1"/>
  </r>
  <r>
    <s v="LA-701429"/>
    <d v="2024-08-13T00:00:00"/>
    <x v="0"/>
    <s v="Q3"/>
    <x v="7"/>
    <x v="1"/>
    <x v="3"/>
    <x v="2"/>
    <x v="2"/>
    <x v="0"/>
    <n v="8250"/>
    <n v="18000"/>
    <n v="60"/>
    <n v="0.27100000000000002"/>
    <s v="Rejected"/>
    <x v="0"/>
    <n v="0"/>
    <n v="1"/>
    <n v="0"/>
    <m/>
    <n v="4"/>
    <n v="0"/>
    <n v="1"/>
  </r>
  <r>
    <s v="LA-701430"/>
    <d v="2024-08-13T00:00:00"/>
    <x v="0"/>
    <s v="Q3"/>
    <x v="7"/>
    <x v="2"/>
    <x v="3"/>
    <x v="3"/>
    <x v="0"/>
    <x v="1"/>
    <n v="2250"/>
    <n v="32500"/>
    <n v="36"/>
    <n v="0.61199999999999999"/>
    <s v="Rejected"/>
    <x v="3"/>
    <n v="0"/>
    <n v="1"/>
    <n v="0"/>
    <m/>
    <n v="18"/>
    <n v="0"/>
    <n v="1"/>
  </r>
  <r>
    <s v="LA-701431"/>
    <d v="2024-08-13T00:00:00"/>
    <x v="0"/>
    <s v="Q3"/>
    <x v="7"/>
    <x v="1"/>
    <x v="2"/>
    <x v="1"/>
    <x v="0"/>
    <x v="1"/>
    <n v="7200"/>
    <n v="7500"/>
    <n v="36"/>
    <n v="0.17699999999999999"/>
    <s v="Approved"/>
    <x v="1"/>
    <n v="1"/>
    <n v="0"/>
    <n v="7000"/>
    <n v="0.125"/>
    <n v="3"/>
    <n v="1"/>
    <n v="1"/>
  </r>
  <r>
    <s v="LA-701432"/>
    <d v="2024-08-14T00:00:00"/>
    <x v="0"/>
    <s v="Q3"/>
    <x v="7"/>
    <x v="1"/>
    <x v="3"/>
    <x v="1"/>
    <x v="0"/>
    <x v="0"/>
    <n v="2100"/>
    <n v="8000"/>
    <n v="48"/>
    <n v="0.30499999999999999"/>
    <s v="Approved"/>
    <x v="1"/>
    <n v="1"/>
    <n v="0"/>
    <n v="7000"/>
    <n v="0.13689999999999999"/>
    <n v="6"/>
    <n v="0"/>
    <n v="1"/>
  </r>
  <r>
    <s v="LA-701433"/>
    <d v="2024-08-14T00:00:00"/>
    <x v="0"/>
    <s v="Q3"/>
    <x v="7"/>
    <x v="0"/>
    <x v="3"/>
    <x v="4"/>
    <x v="2"/>
    <x v="0"/>
    <n v="7550"/>
    <n v="34500"/>
    <n v="60"/>
    <n v="0.153"/>
    <s v="Approved"/>
    <x v="1"/>
    <n v="1"/>
    <n v="0"/>
    <n v="27500"/>
    <n v="9.8199999999999996E-2"/>
    <n v="10"/>
    <n v="0"/>
    <n v="1"/>
  </r>
  <r>
    <s v="LA-701434"/>
    <d v="2024-08-14T00:00:00"/>
    <x v="0"/>
    <s v="Q3"/>
    <x v="7"/>
    <x v="0"/>
    <x v="0"/>
    <x v="0"/>
    <x v="1"/>
    <x v="2"/>
    <n v="6000"/>
    <n v="53500"/>
    <n v="48"/>
    <n v="0.44500000000000001"/>
    <s v="Rejected"/>
    <x v="0"/>
    <n v="0"/>
    <n v="1"/>
    <n v="0"/>
    <m/>
    <n v="4"/>
    <n v="1"/>
    <n v="1"/>
  </r>
  <r>
    <s v="LA-701435"/>
    <d v="2024-08-14T00:00:00"/>
    <x v="0"/>
    <s v="Q3"/>
    <x v="7"/>
    <x v="1"/>
    <x v="3"/>
    <x v="2"/>
    <x v="1"/>
    <x v="3"/>
    <n v="2450"/>
    <n v="8000"/>
    <n v="24"/>
    <n v="0.34599999999999997"/>
    <s v="Approved"/>
    <x v="1"/>
    <n v="1"/>
    <n v="0"/>
    <n v="8000"/>
    <n v="0.1094"/>
    <n v="5"/>
    <n v="0"/>
    <n v="1"/>
  </r>
  <r>
    <s v="LA-701436"/>
    <d v="2024-08-14T00:00:00"/>
    <x v="0"/>
    <s v="Q3"/>
    <x v="7"/>
    <x v="1"/>
    <x v="0"/>
    <x v="3"/>
    <x v="0"/>
    <x v="0"/>
    <n v="3700"/>
    <n v="23500"/>
    <n v="24"/>
    <n v="0.51200000000000001"/>
    <s v="Rejected"/>
    <x v="0"/>
    <n v="0"/>
    <n v="1"/>
    <n v="0"/>
    <m/>
    <n v="2"/>
    <n v="1"/>
    <n v="1"/>
  </r>
  <r>
    <s v="LA-701437"/>
    <d v="2024-08-14T00:00:00"/>
    <x v="0"/>
    <s v="Q3"/>
    <x v="7"/>
    <x v="0"/>
    <x v="1"/>
    <x v="2"/>
    <x v="0"/>
    <x v="0"/>
    <n v="2500"/>
    <n v="27500"/>
    <n v="48"/>
    <n v="0.32700000000000001"/>
    <s v="Rejected"/>
    <x v="5"/>
    <n v="0"/>
    <n v="1"/>
    <n v="0"/>
    <m/>
    <n v="2"/>
    <n v="1"/>
    <n v="1"/>
  </r>
  <r>
    <s v="LA-701438"/>
    <d v="2024-08-14T00:00:00"/>
    <x v="0"/>
    <s v="Q3"/>
    <x v="7"/>
    <x v="1"/>
    <x v="2"/>
    <x v="4"/>
    <x v="2"/>
    <x v="2"/>
    <n v="2150"/>
    <n v="7500"/>
    <n v="12"/>
    <n v="0.54300000000000004"/>
    <s v="Rejected"/>
    <x v="0"/>
    <n v="0"/>
    <n v="1"/>
    <n v="0"/>
    <m/>
    <n v="1"/>
    <n v="1"/>
    <n v="1"/>
  </r>
  <r>
    <s v="LA-701439"/>
    <d v="2024-08-14T00:00:00"/>
    <x v="0"/>
    <s v="Q3"/>
    <x v="7"/>
    <x v="1"/>
    <x v="2"/>
    <x v="3"/>
    <x v="1"/>
    <x v="3"/>
    <n v="6350"/>
    <n v="32000"/>
    <n v="24"/>
    <n v="0.29499999999999998"/>
    <s v="Approved"/>
    <x v="1"/>
    <n v="1"/>
    <n v="0"/>
    <n v="32000"/>
    <n v="0.1053"/>
    <n v="3"/>
    <n v="1"/>
    <n v="1"/>
  </r>
  <r>
    <s v="LA-701440"/>
    <d v="2024-08-14T00:00:00"/>
    <x v="0"/>
    <s v="Q3"/>
    <x v="7"/>
    <x v="1"/>
    <x v="0"/>
    <x v="2"/>
    <x v="1"/>
    <x v="1"/>
    <n v="3950"/>
    <n v="18000"/>
    <n v="24"/>
    <n v="0.41899999999999998"/>
    <s v="Rejected"/>
    <x v="4"/>
    <n v="0"/>
    <n v="1"/>
    <n v="0"/>
    <m/>
    <n v="6"/>
    <n v="0"/>
    <n v="1"/>
  </r>
  <r>
    <s v="LA-701441"/>
    <d v="2024-08-14T00:00:00"/>
    <x v="0"/>
    <s v="Q3"/>
    <x v="7"/>
    <x v="1"/>
    <x v="0"/>
    <x v="2"/>
    <x v="0"/>
    <x v="1"/>
    <n v="3550"/>
    <n v="8000"/>
    <n v="12"/>
    <n v="0.42099999999999999"/>
    <s v="Approved"/>
    <x v="1"/>
    <n v="1"/>
    <n v="0"/>
    <n v="8000"/>
    <n v="0.12379999999999999"/>
    <n v="5"/>
    <n v="0"/>
    <n v="1"/>
  </r>
  <r>
    <s v="LA-701442"/>
    <d v="2024-08-15T00:00:00"/>
    <x v="0"/>
    <s v="Q3"/>
    <x v="7"/>
    <x v="2"/>
    <x v="3"/>
    <x v="3"/>
    <x v="0"/>
    <x v="1"/>
    <n v="7750"/>
    <n v="67000"/>
    <n v="12"/>
    <n v="0.88"/>
    <s v="Approved"/>
    <x v="1"/>
    <n v="1"/>
    <n v="0"/>
    <n v="53500"/>
    <n v="0.1111"/>
    <n v="11"/>
    <n v="0"/>
    <n v="1"/>
  </r>
  <r>
    <s v="LA-701443"/>
    <d v="2024-08-15T00:00:00"/>
    <x v="0"/>
    <s v="Q3"/>
    <x v="7"/>
    <x v="0"/>
    <x v="1"/>
    <x v="1"/>
    <x v="1"/>
    <x v="1"/>
    <n v="5000"/>
    <n v="8000"/>
    <n v="48"/>
    <n v="0.20699999999999999"/>
    <s v="Approved"/>
    <x v="1"/>
    <n v="1"/>
    <n v="0"/>
    <n v="6500"/>
    <n v="7.8600000000000003E-2"/>
    <n v="3"/>
    <n v="1"/>
    <n v="1"/>
  </r>
  <r>
    <s v="LA-701444"/>
    <d v="2024-08-16T00:00:00"/>
    <x v="0"/>
    <s v="Q3"/>
    <x v="7"/>
    <x v="2"/>
    <x v="1"/>
    <x v="1"/>
    <x v="0"/>
    <x v="0"/>
    <n v="4850"/>
    <n v="84000"/>
    <n v="36"/>
    <n v="0.78100000000000003"/>
    <s v="Rejected"/>
    <x v="0"/>
    <n v="0"/>
    <n v="1"/>
    <n v="0"/>
    <m/>
    <n v="7"/>
    <n v="1"/>
    <n v="1"/>
  </r>
  <r>
    <s v="LA-701445"/>
    <d v="2024-08-16T00:00:00"/>
    <x v="0"/>
    <s v="Q3"/>
    <x v="7"/>
    <x v="0"/>
    <x v="0"/>
    <x v="2"/>
    <x v="0"/>
    <x v="2"/>
    <n v="5400"/>
    <n v="40500"/>
    <n v="48"/>
    <n v="0.255"/>
    <s v="Rejected"/>
    <x v="0"/>
    <n v="0"/>
    <n v="1"/>
    <n v="0"/>
    <m/>
    <n v="3"/>
    <n v="1"/>
    <n v="1"/>
  </r>
  <r>
    <s v="LA-701446"/>
    <d v="2024-08-16T00:00:00"/>
    <x v="0"/>
    <s v="Q3"/>
    <x v="7"/>
    <x v="3"/>
    <x v="1"/>
    <x v="2"/>
    <x v="0"/>
    <x v="0"/>
    <n v="6900"/>
    <n v="279500"/>
    <n v="300"/>
    <n v="0.36599999999999999"/>
    <s v="Rejected"/>
    <x v="0"/>
    <n v="0"/>
    <n v="1"/>
    <n v="0"/>
    <m/>
    <n v="6"/>
    <n v="1"/>
    <n v="1"/>
  </r>
  <r>
    <s v="LA-701447"/>
    <d v="2024-08-16T00:00:00"/>
    <x v="0"/>
    <s v="Q3"/>
    <x v="7"/>
    <x v="0"/>
    <x v="1"/>
    <x v="3"/>
    <x v="0"/>
    <x v="1"/>
    <n v="5550"/>
    <n v="76500"/>
    <n v="60"/>
    <n v="0.38900000000000001"/>
    <s v="Rejected"/>
    <x v="4"/>
    <n v="0"/>
    <n v="1"/>
    <n v="0"/>
    <m/>
    <n v="6"/>
    <n v="0"/>
    <n v="1"/>
  </r>
  <r>
    <s v="LA-701448"/>
    <d v="2024-08-16T00:00:00"/>
    <x v="0"/>
    <s v="Q3"/>
    <x v="7"/>
    <x v="1"/>
    <x v="2"/>
    <x v="3"/>
    <x v="0"/>
    <x v="4"/>
    <n v="4450"/>
    <n v="8500"/>
    <n v="24"/>
    <n v="0.187"/>
    <s v="Approved"/>
    <x v="1"/>
    <n v="1"/>
    <n v="0"/>
    <n v="7000"/>
    <n v="0.1186"/>
    <n v="2"/>
    <n v="1"/>
    <n v="1"/>
  </r>
  <r>
    <s v="LA-701449"/>
    <d v="2024-08-17T00:00:00"/>
    <x v="0"/>
    <s v="Q3"/>
    <x v="7"/>
    <x v="3"/>
    <x v="1"/>
    <x v="4"/>
    <x v="2"/>
    <x v="2"/>
    <n v="4600"/>
    <n v="261000"/>
    <n v="240"/>
    <n v="0.54"/>
    <s v="Approved"/>
    <x v="1"/>
    <n v="1"/>
    <n v="0"/>
    <n v="261000"/>
    <n v="9.3799999999999994E-2"/>
    <n v="6"/>
    <n v="1"/>
    <n v="1"/>
  </r>
  <r>
    <s v="LA-701450"/>
    <d v="2024-08-17T00:00:00"/>
    <x v="0"/>
    <s v="Q3"/>
    <x v="7"/>
    <x v="2"/>
    <x v="3"/>
    <x v="0"/>
    <x v="0"/>
    <x v="0"/>
    <n v="3650"/>
    <n v="68500"/>
    <n v="24"/>
    <n v="1.02"/>
    <s v="Approved"/>
    <x v="1"/>
    <n v="1"/>
    <n v="0"/>
    <n v="68500"/>
    <n v="0.1212"/>
    <n v="10"/>
    <n v="1"/>
    <n v="1"/>
  </r>
  <r>
    <s v="LA-701451"/>
    <d v="2024-08-17T00:00:00"/>
    <x v="0"/>
    <s v="Q3"/>
    <x v="7"/>
    <x v="3"/>
    <x v="3"/>
    <x v="3"/>
    <x v="1"/>
    <x v="1"/>
    <n v="8150"/>
    <n v="649000"/>
    <n v="180"/>
    <n v="0.68200000000000005"/>
    <s v="Approved"/>
    <x v="1"/>
    <n v="1"/>
    <n v="0"/>
    <n v="649000"/>
    <n v="5.74E-2"/>
    <n v="10"/>
    <n v="1"/>
    <n v="1"/>
  </r>
  <r>
    <s v="LA-701452"/>
    <d v="2024-08-17T00:00:00"/>
    <x v="0"/>
    <s v="Q3"/>
    <x v="7"/>
    <x v="2"/>
    <x v="3"/>
    <x v="4"/>
    <x v="0"/>
    <x v="4"/>
    <n v="7250"/>
    <n v="105000"/>
    <n v="24"/>
    <n v="0.86199999999999999"/>
    <s v="Approved"/>
    <x v="1"/>
    <n v="1"/>
    <n v="0"/>
    <n v="84000"/>
    <n v="9.7600000000000006E-2"/>
    <n v="20"/>
    <n v="0"/>
    <n v="1"/>
  </r>
  <r>
    <s v="LA-701453"/>
    <d v="2024-08-17T00:00:00"/>
    <x v="0"/>
    <s v="Q3"/>
    <x v="7"/>
    <x v="1"/>
    <x v="3"/>
    <x v="4"/>
    <x v="1"/>
    <x v="0"/>
    <n v="1550"/>
    <n v="8500"/>
    <n v="60"/>
    <n v="0.189"/>
    <s v="Rejected"/>
    <x v="0"/>
    <n v="0"/>
    <n v="1"/>
    <n v="0"/>
    <m/>
    <n v="7"/>
    <n v="0"/>
    <n v="1"/>
  </r>
  <r>
    <s v="LA-701454"/>
    <d v="2024-08-17T00:00:00"/>
    <x v="0"/>
    <s v="Q3"/>
    <x v="7"/>
    <x v="1"/>
    <x v="1"/>
    <x v="4"/>
    <x v="0"/>
    <x v="4"/>
    <n v="6250"/>
    <n v="17500"/>
    <n v="48"/>
    <n v="0.192"/>
    <s v="Approved"/>
    <x v="1"/>
    <n v="1"/>
    <n v="0"/>
    <n v="14000"/>
    <n v="0.1129"/>
    <n v="2"/>
    <n v="1"/>
    <n v="1"/>
  </r>
  <r>
    <s v="LA-701455"/>
    <d v="2024-08-18T00:00:00"/>
    <x v="0"/>
    <s v="Q3"/>
    <x v="7"/>
    <x v="3"/>
    <x v="1"/>
    <x v="2"/>
    <x v="1"/>
    <x v="4"/>
    <n v="4050"/>
    <n v="158000"/>
    <n v="300"/>
    <n v="0.30199999999999999"/>
    <s v="Approved"/>
    <x v="1"/>
    <n v="1"/>
    <n v="0"/>
    <n v="158000"/>
    <n v="4.6699999999999998E-2"/>
    <n v="7"/>
    <n v="1"/>
    <n v="1"/>
  </r>
  <r>
    <s v="LA-701456"/>
    <d v="2024-08-18T00:00:00"/>
    <x v="0"/>
    <s v="Q3"/>
    <x v="7"/>
    <x v="3"/>
    <x v="2"/>
    <x v="1"/>
    <x v="2"/>
    <x v="4"/>
    <n v="6900"/>
    <n v="250000"/>
    <n v="180"/>
    <n v="0.40899999999999997"/>
    <s v="Rejected"/>
    <x v="4"/>
    <n v="0"/>
    <n v="1"/>
    <n v="0"/>
    <m/>
    <n v="10"/>
    <n v="1"/>
    <n v="1"/>
  </r>
  <r>
    <s v="LA-701457"/>
    <d v="2024-08-18T00:00:00"/>
    <x v="0"/>
    <s v="Q3"/>
    <x v="7"/>
    <x v="2"/>
    <x v="0"/>
    <x v="4"/>
    <x v="0"/>
    <x v="1"/>
    <n v="3100"/>
    <n v="61000"/>
    <n v="60"/>
    <n v="0.65400000000000003"/>
    <s v="Rejected"/>
    <x v="3"/>
    <n v="0"/>
    <n v="1"/>
    <n v="0"/>
    <m/>
    <n v="16"/>
    <n v="0"/>
    <n v="1"/>
  </r>
  <r>
    <s v="LA-701458"/>
    <d v="2024-08-18T00:00:00"/>
    <x v="0"/>
    <s v="Q3"/>
    <x v="7"/>
    <x v="1"/>
    <x v="2"/>
    <x v="4"/>
    <x v="0"/>
    <x v="4"/>
    <n v="5100"/>
    <n v="9500"/>
    <n v="36"/>
    <n v="0.247"/>
    <s v="Approved"/>
    <x v="1"/>
    <n v="1"/>
    <n v="0"/>
    <n v="9500"/>
    <n v="0.11840000000000001"/>
    <n v="2"/>
    <n v="1"/>
    <n v="1"/>
  </r>
  <r>
    <s v="LA-701459"/>
    <d v="2024-08-19T00:00:00"/>
    <x v="0"/>
    <s v="Q3"/>
    <x v="7"/>
    <x v="2"/>
    <x v="3"/>
    <x v="0"/>
    <x v="2"/>
    <x v="4"/>
    <n v="6200"/>
    <n v="110500"/>
    <n v="12"/>
    <n v="1.704"/>
    <s v="Rejected"/>
    <x v="3"/>
    <n v="0"/>
    <n v="1"/>
    <n v="0"/>
    <m/>
    <n v="10"/>
    <n v="1"/>
    <n v="1"/>
  </r>
  <r>
    <s v="LA-701460"/>
    <d v="2024-08-19T00:00:00"/>
    <x v="0"/>
    <s v="Q3"/>
    <x v="7"/>
    <x v="2"/>
    <x v="3"/>
    <x v="2"/>
    <x v="0"/>
    <x v="3"/>
    <n v="7000"/>
    <n v="95000"/>
    <n v="60"/>
    <n v="0.38700000000000001"/>
    <s v="Approved"/>
    <x v="1"/>
    <n v="1"/>
    <n v="0"/>
    <n v="95000"/>
    <n v="9.1399999999999995E-2"/>
    <n v="19"/>
    <n v="0"/>
    <n v="1"/>
  </r>
  <r>
    <s v="LA-701461"/>
    <d v="2024-08-19T00:00:00"/>
    <x v="0"/>
    <s v="Q3"/>
    <x v="7"/>
    <x v="1"/>
    <x v="2"/>
    <x v="1"/>
    <x v="0"/>
    <x v="1"/>
    <n v="4550"/>
    <n v="13000"/>
    <n v="60"/>
    <n v="0.182"/>
    <s v="Rejected"/>
    <x v="0"/>
    <n v="0"/>
    <n v="1"/>
    <n v="0"/>
    <m/>
    <n v="3"/>
    <n v="1"/>
    <n v="1"/>
  </r>
  <r>
    <s v="LA-701462"/>
    <d v="2024-08-19T00:00:00"/>
    <x v="0"/>
    <s v="Q3"/>
    <x v="7"/>
    <x v="2"/>
    <x v="3"/>
    <x v="2"/>
    <x v="2"/>
    <x v="0"/>
    <n v="2500"/>
    <n v="52500"/>
    <n v="60"/>
    <n v="0.628"/>
    <s v="Rejected"/>
    <x v="3"/>
    <n v="0"/>
    <n v="1"/>
    <n v="0"/>
    <m/>
    <n v="21"/>
    <n v="0"/>
    <n v="1"/>
  </r>
  <r>
    <s v="LA-701463"/>
    <d v="2024-08-19T00:00:00"/>
    <x v="0"/>
    <s v="Q3"/>
    <x v="7"/>
    <x v="0"/>
    <x v="0"/>
    <x v="1"/>
    <x v="1"/>
    <x v="0"/>
    <n v="5150"/>
    <n v="39000"/>
    <n v="48"/>
    <n v="0.28000000000000003"/>
    <s v="Rejected"/>
    <x v="4"/>
    <n v="0"/>
    <n v="1"/>
    <n v="0"/>
    <m/>
    <n v="9"/>
    <n v="0"/>
    <n v="1"/>
  </r>
  <r>
    <s v="LA-701464"/>
    <d v="2024-08-19T00:00:00"/>
    <x v="0"/>
    <s v="Q3"/>
    <x v="7"/>
    <x v="3"/>
    <x v="1"/>
    <x v="3"/>
    <x v="2"/>
    <x v="4"/>
    <n v="2150"/>
    <n v="223000"/>
    <n v="240"/>
    <n v="0.92500000000000004"/>
    <s v="Withdrawn"/>
    <x v="1"/>
    <n v="0"/>
    <n v="0"/>
    <n v="0"/>
    <m/>
    <n v="11"/>
    <n v="1"/>
    <n v="1"/>
  </r>
  <r>
    <s v="LA-701465"/>
    <d v="2024-08-19T00:00:00"/>
    <x v="0"/>
    <s v="Q3"/>
    <x v="7"/>
    <x v="2"/>
    <x v="2"/>
    <x v="0"/>
    <x v="2"/>
    <x v="1"/>
    <n v="6000"/>
    <n v="91500"/>
    <n v="36"/>
    <n v="0.58699999999999997"/>
    <s v="Rejected"/>
    <x v="3"/>
    <n v="0"/>
    <n v="1"/>
    <n v="0"/>
    <m/>
    <n v="14"/>
    <n v="0"/>
    <n v="1"/>
  </r>
  <r>
    <s v="LA-701466"/>
    <d v="2024-08-19T00:00:00"/>
    <x v="0"/>
    <s v="Q3"/>
    <x v="7"/>
    <x v="0"/>
    <x v="0"/>
    <x v="3"/>
    <x v="0"/>
    <x v="1"/>
    <n v="7800"/>
    <n v="21500"/>
    <n v="36"/>
    <n v="0.224"/>
    <s v="Approved"/>
    <x v="1"/>
    <n v="1"/>
    <n v="0"/>
    <n v="21500"/>
    <n v="7.9699999999999993E-2"/>
    <n v="6"/>
    <n v="0"/>
    <n v="1"/>
  </r>
  <r>
    <s v="LA-701467"/>
    <d v="2024-08-19T00:00:00"/>
    <x v="0"/>
    <s v="Q3"/>
    <x v="7"/>
    <x v="1"/>
    <x v="3"/>
    <x v="1"/>
    <x v="0"/>
    <x v="1"/>
    <n v="5300"/>
    <n v="14500"/>
    <n v="48"/>
    <n v="0.13200000000000001"/>
    <s v="Approved"/>
    <x v="1"/>
    <n v="1"/>
    <n v="0"/>
    <n v="14500"/>
    <n v="0.12470000000000001"/>
    <n v="2"/>
    <n v="1"/>
    <n v="1"/>
  </r>
  <r>
    <s v="LA-701468"/>
    <d v="2024-08-19T00:00:00"/>
    <x v="0"/>
    <s v="Q3"/>
    <x v="7"/>
    <x v="0"/>
    <x v="2"/>
    <x v="4"/>
    <x v="0"/>
    <x v="4"/>
    <n v="5650"/>
    <n v="20000"/>
    <n v="60"/>
    <n v="0.253"/>
    <s v="Approved"/>
    <x v="1"/>
    <n v="1"/>
    <n v="0"/>
    <n v="18000"/>
    <n v="7.0699999999999999E-2"/>
    <n v="2"/>
    <n v="1"/>
    <n v="1"/>
  </r>
  <r>
    <s v="LA-701469"/>
    <d v="2024-08-19T00:00:00"/>
    <x v="0"/>
    <s v="Q3"/>
    <x v="7"/>
    <x v="1"/>
    <x v="3"/>
    <x v="2"/>
    <x v="0"/>
    <x v="0"/>
    <n v="2300"/>
    <n v="11000"/>
    <n v="24"/>
    <n v="0.28000000000000003"/>
    <s v="Approved"/>
    <x v="1"/>
    <n v="1"/>
    <n v="0"/>
    <n v="9000"/>
    <n v="0.1391"/>
    <n v="2"/>
    <n v="1"/>
    <n v="1"/>
  </r>
  <r>
    <s v="LA-701470"/>
    <d v="2024-08-19T00:00:00"/>
    <x v="0"/>
    <s v="Q3"/>
    <x v="7"/>
    <x v="1"/>
    <x v="3"/>
    <x v="1"/>
    <x v="0"/>
    <x v="3"/>
    <n v="8200"/>
    <n v="20500"/>
    <n v="24"/>
    <n v="0.35"/>
    <s v="Approved"/>
    <x v="1"/>
    <n v="1"/>
    <n v="0"/>
    <n v="18500"/>
    <n v="0.1104"/>
    <n v="6"/>
    <n v="0"/>
    <n v="1"/>
  </r>
  <r>
    <s v="LA-701471"/>
    <d v="2024-08-19T00:00:00"/>
    <x v="0"/>
    <s v="Q3"/>
    <x v="7"/>
    <x v="0"/>
    <x v="2"/>
    <x v="0"/>
    <x v="1"/>
    <x v="4"/>
    <n v="4000"/>
    <n v="9000"/>
    <n v="36"/>
    <n v="0.26900000000000002"/>
    <s v="Approved"/>
    <x v="1"/>
    <n v="1"/>
    <n v="0"/>
    <n v="7000"/>
    <n v="7.5700000000000003E-2"/>
    <n v="3"/>
    <n v="1"/>
    <n v="1"/>
  </r>
  <r>
    <s v="LA-701472"/>
    <d v="2024-08-19T00:00:00"/>
    <x v="0"/>
    <s v="Q3"/>
    <x v="7"/>
    <x v="2"/>
    <x v="1"/>
    <x v="0"/>
    <x v="1"/>
    <x v="1"/>
    <n v="5250"/>
    <n v="55000"/>
    <n v="12"/>
    <n v="0.97399999999999998"/>
    <s v="Rejected"/>
    <x v="3"/>
    <n v="0"/>
    <n v="1"/>
    <n v="0"/>
    <m/>
    <n v="3"/>
    <n v="1"/>
    <n v="1"/>
  </r>
  <r>
    <s v="LA-701473"/>
    <d v="2024-08-19T00:00:00"/>
    <x v="0"/>
    <s v="Q3"/>
    <x v="7"/>
    <x v="2"/>
    <x v="0"/>
    <x v="3"/>
    <x v="1"/>
    <x v="4"/>
    <n v="5150"/>
    <n v="226500"/>
    <n v="24"/>
    <n v="2.081"/>
    <s v="Rejected"/>
    <x v="3"/>
    <n v="0"/>
    <n v="1"/>
    <n v="0"/>
    <m/>
    <n v="16"/>
    <n v="0"/>
    <n v="1"/>
  </r>
  <r>
    <s v="LA-701474"/>
    <d v="2024-08-19T00:00:00"/>
    <x v="0"/>
    <s v="Q3"/>
    <x v="7"/>
    <x v="2"/>
    <x v="3"/>
    <x v="3"/>
    <x v="2"/>
    <x v="0"/>
    <n v="6350"/>
    <n v="72000"/>
    <n v="12"/>
    <n v="1.2090000000000001"/>
    <s v="Rejected"/>
    <x v="0"/>
    <n v="0"/>
    <n v="1"/>
    <n v="0"/>
    <m/>
    <n v="10"/>
    <n v="1"/>
    <n v="1"/>
  </r>
  <r>
    <s v="LA-701475"/>
    <d v="2024-08-20T00:00:00"/>
    <x v="0"/>
    <s v="Q3"/>
    <x v="7"/>
    <x v="1"/>
    <x v="3"/>
    <x v="1"/>
    <x v="0"/>
    <x v="1"/>
    <n v="10450"/>
    <n v="8500"/>
    <n v="48"/>
    <n v="0.17699999999999999"/>
    <s v="Rejected"/>
    <x v="0"/>
    <n v="0"/>
    <n v="1"/>
    <n v="0"/>
    <m/>
    <n v="4"/>
    <n v="0"/>
    <n v="1"/>
  </r>
  <r>
    <s v="LA-701476"/>
    <d v="2024-08-20T00:00:00"/>
    <x v="0"/>
    <s v="Q3"/>
    <x v="7"/>
    <x v="3"/>
    <x v="1"/>
    <x v="3"/>
    <x v="1"/>
    <x v="4"/>
    <n v="3350"/>
    <n v="221000"/>
    <n v="300"/>
    <n v="0.59499999999999997"/>
    <s v="Approved"/>
    <x v="1"/>
    <n v="1"/>
    <n v="0"/>
    <n v="221000"/>
    <n v="5.2999999999999999E-2"/>
    <n v="5"/>
    <n v="1"/>
    <n v="1"/>
  </r>
  <r>
    <s v="LA-701477"/>
    <d v="2024-08-20T00:00:00"/>
    <x v="0"/>
    <s v="Q3"/>
    <x v="7"/>
    <x v="2"/>
    <x v="0"/>
    <x v="1"/>
    <x v="2"/>
    <x v="0"/>
    <n v="3100"/>
    <n v="87000"/>
    <n v="12"/>
    <n v="2.5459999999999998"/>
    <s v="Rejected"/>
    <x v="0"/>
    <n v="0"/>
    <n v="1"/>
    <n v="0"/>
    <m/>
    <n v="11"/>
    <n v="0"/>
    <n v="1"/>
  </r>
  <r>
    <s v="LA-701478"/>
    <d v="2024-08-20T00:00:00"/>
    <x v="0"/>
    <s v="Q3"/>
    <x v="7"/>
    <x v="1"/>
    <x v="2"/>
    <x v="2"/>
    <x v="2"/>
    <x v="1"/>
    <n v="5500"/>
    <n v="14000"/>
    <n v="24"/>
    <n v="0.33600000000000002"/>
    <s v="Rejected"/>
    <x v="0"/>
    <n v="0"/>
    <n v="1"/>
    <n v="0"/>
    <m/>
    <n v="1"/>
    <n v="1"/>
    <n v="1"/>
  </r>
  <r>
    <s v="LA-701479"/>
    <d v="2024-08-21T00:00:00"/>
    <x v="0"/>
    <s v="Q3"/>
    <x v="7"/>
    <x v="3"/>
    <x v="2"/>
    <x v="1"/>
    <x v="0"/>
    <x v="1"/>
    <n v="6950"/>
    <n v="412500"/>
    <n v="300"/>
    <n v="0.498"/>
    <s v="Rejected"/>
    <x v="3"/>
    <n v="0"/>
    <n v="1"/>
    <n v="0"/>
    <m/>
    <n v="9"/>
    <n v="1"/>
    <n v="1"/>
  </r>
  <r>
    <s v="LA-701480"/>
    <d v="2024-08-21T00:00:00"/>
    <x v="0"/>
    <s v="Q3"/>
    <x v="7"/>
    <x v="0"/>
    <x v="0"/>
    <x v="2"/>
    <x v="2"/>
    <x v="1"/>
    <n v="10300"/>
    <n v="22500"/>
    <n v="36"/>
    <n v="0.28199999999999997"/>
    <s v="Approved"/>
    <x v="1"/>
    <n v="1"/>
    <n v="0"/>
    <n v="20000"/>
    <n v="8.5800000000000001E-2"/>
    <n v="5"/>
    <n v="0"/>
    <n v="1"/>
  </r>
  <r>
    <s v="LA-701481"/>
    <d v="2024-08-21T00:00:00"/>
    <x v="0"/>
    <s v="Q3"/>
    <x v="7"/>
    <x v="3"/>
    <x v="3"/>
    <x v="3"/>
    <x v="1"/>
    <x v="1"/>
    <n v="5550"/>
    <n v="1069500"/>
    <n v="180"/>
    <n v="1.5960000000000001"/>
    <s v="Rejected"/>
    <x v="3"/>
    <n v="0"/>
    <n v="1"/>
    <n v="0"/>
    <m/>
    <n v="23"/>
    <n v="0"/>
    <n v="1"/>
  </r>
  <r>
    <s v="LA-701482"/>
    <d v="2024-08-21T00:00:00"/>
    <x v="0"/>
    <s v="Q3"/>
    <x v="7"/>
    <x v="0"/>
    <x v="3"/>
    <x v="4"/>
    <x v="0"/>
    <x v="4"/>
    <n v="4500"/>
    <n v="28500"/>
    <n v="48"/>
    <n v="0.39100000000000001"/>
    <s v="Rejected"/>
    <x v="5"/>
    <n v="0"/>
    <n v="1"/>
    <n v="0"/>
    <m/>
    <n v="4"/>
    <n v="1"/>
    <n v="1"/>
  </r>
  <r>
    <s v="LA-701483"/>
    <d v="2024-08-21T00:00:00"/>
    <x v="0"/>
    <s v="Q3"/>
    <x v="7"/>
    <x v="0"/>
    <x v="2"/>
    <x v="0"/>
    <x v="0"/>
    <x v="4"/>
    <n v="4550"/>
    <n v="38500"/>
    <n v="60"/>
    <n v="0.30499999999999999"/>
    <s v="Approved"/>
    <x v="1"/>
    <n v="1"/>
    <n v="0"/>
    <n v="38500"/>
    <n v="7.5300000000000006E-2"/>
    <n v="2"/>
    <n v="1"/>
    <n v="1"/>
  </r>
  <r>
    <s v="LA-701484"/>
    <d v="2024-08-21T00:00:00"/>
    <x v="0"/>
    <s v="Q3"/>
    <x v="7"/>
    <x v="0"/>
    <x v="0"/>
    <x v="0"/>
    <x v="2"/>
    <x v="4"/>
    <n v="12950"/>
    <n v="27500"/>
    <n v="48"/>
    <n v="0.27800000000000002"/>
    <s v="Rejected"/>
    <x v="0"/>
    <n v="0"/>
    <n v="1"/>
    <n v="0"/>
    <m/>
    <n v="6"/>
    <n v="0"/>
    <n v="1"/>
  </r>
  <r>
    <s v="LA-701485"/>
    <d v="2024-08-21T00:00:00"/>
    <x v="0"/>
    <s v="Q3"/>
    <x v="7"/>
    <x v="2"/>
    <x v="1"/>
    <x v="2"/>
    <x v="2"/>
    <x v="1"/>
    <n v="6900"/>
    <n v="71500"/>
    <n v="60"/>
    <n v="0.434"/>
    <s v="Approved"/>
    <x v="1"/>
    <n v="1"/>
    <n v="0"/>
    <n v="71500"/>
    <n v="0.1074"/>
    <n v="7"/>
    <n v="1"/>
    <n v="1"/>
  </r>
  <r>
    <s v="LA-701486"/>
    <d v="2024-08-21T00:00:00"/>
    <x v="0"/>
    <s v="Q3"/>
    <x v="7"/>
    <x v="1"/>
    <x v="3"/>
    <x v="0"/>
    <x v="0"/>
    <x v="0"/>
    <n v="7850"/>
    <n v="9000"/>
    <n v="24"/>
    <n v="0.29699999999999999"/>
    <s v="Rejected"/>
    <x v="0"/>
    <n v="0"/>
    <n v="1"/>
    <n v="0"/>
    <m/>
    <n v="6"/>
    <n v="0"/>
    <n v="1"/>
  </r>
  <r>
    <s v="LA-701487"/>
    <d v="2024-08-21T00:00:00"/>
    <x v="0"/>
    <s v="Q3"/>
    <x v="7"/>
    <x v="1"/>
    <x v="0"/>
    <x v="3"/>
    <x v="0"/>
    <x v="3"/>
    <n v="5450"/>
    <n v="6500"/>
    <n v="36"/>
    <n v="0.26100000000000001"/>
    <s v="Rejected"/>
    <x v="4"/>
    <n v="0"/>
    <n v="1"/>
    <n v="0"/>
    <m/>
    <n v="12"/>
    <n v="0"/>
    <n v="1"/>
  </r>
  <r>
    <s v="LA-701488"/>
    <d v="2024-08-21T00:00:00"/>
    <x v="0"/>
    <s v="Q3"/>
    <x v="7"/>
    <x v="0"/>
    <x v="3"/>
    <x v="3"/>
    <x v="0"/>
    <x v="2"/>
    <n v="4800"/>
    <n v="16500"/>
    <n v="36"/>
    <n v="0.27"/>
    <s v="Approved"/>
    <x v="1"/>
    <n v="1"/>
    <n v="0"/>
    <n v="15000"/>
    <n v="0.11849999999999999"/>
    <n v="3"/>
    <n v="1"/>
    <n v="1"/>
  </r>
  <r>
    <s v="LA-701489"/>
    <d v="2024-08-21T00:00:00"/>
    <x v="0"/>
    <s v="Q3"/>
    <x v="7"/>
    <x v="1"/>
    <x v="2"/>
    <x v="1"/>
    <x v="2"/>
    <x v="1"/>
    <n v="9800"/>
    <n v="12500"/>
    <n v="12"/>
    <n v="0.17799999999999999"/>
    <s v="Approved"/>
    <x v="1"/>
    <n v="1"/>
    <n v="0"/>
    <n v="11000"/>
    <n v="0.12479999999999999"/>
    <n v="2"/>
    <n v="1"/>
    <n v="1"/>
  </r>
  <r>
    <s v="LA-701490"/>
    <d v="2024-08-21T00:00:00"/>
    <x v="0"/>
    <s v="Q3"/>
    <x v="7"/>
    <x v="0"/>
    <x v="1"/>
    <x v="1"/>
    <x v="0"/>
    <x v="4"/>
    <n v="5550"/>
    <n v="22000"/>
    <n v="60"/>
    <n v="0.24399999999999999"/>
    <s v="Approved"/>
    <x v="1"/>
    <n v="1"/>
    <n v="0"/>
    <n v="20000"/>
    <n v="7.2300000000000003E-2"/>
    <n v="3"/>
    <n v="1"/>
    <n v="1"/>
  </r>
  <r>
    <s v="LA-701491"/>
    <d v="2024-08-21T00:00:00"/>
    <x v="0"/>
    <s v="Q3"/>
    <x v="7"/>
    <x v="3"/>
    <x v="1"/>
    <x v="2"/>
    <x v="1"/>
    <x v="4"/>
    <n v="5550"/>
    <n v="419500"/>
    <n v="240"/>
    <n v="0.58399999999999996"/>
    <s v="Approved"/>
    <x v="1"/>
    <n v="1"/>
    <n v="0"/>
    <n v="335500"/>
    <n v="5.28E-2"/>
    <n v="3"/>
    <n v="1"/>
    <n v="1"/>
  </r>
  <r>
    <s v="LA-701492"/>
    <d v="2024-08-22T00:00:00"/>
    <x v="0"/>
    <s v="Q3"/>
    <x v="7"/>
    <x v="3"/>
    <x v="1"/>
    <x v="3"/>
    <x v="2"/>
    <x v="4"/>
    <n v="2550"/>
    <n v="321500"/>
    <n v="240"/>
    <n v="1.016"/>
    <s v="Rejected"/>
    <x v="3"/>
    <n v="0"/>
    <n v="1"/>
    <n v="0"/>
    <m/>
    <n v="17"/>
    <n v="0"/>
    <n v="1"/>
  </r>
  <r>
    <s v="LA-701493"/>
    <d v="2024-08-22T00:00:00"/>
    <x v="0"/>
    <s v="Q3"/>
    <x v="7"/>
    <x v="1"/>
    <x v="3"/>
    <x v="3"/>
    <x v="2"/>
    <x v="1"/>
    <n v="11300"/>
    <n v="26500"/>
    <n v="48"/>
    <n v="0.19500000000000001"/>
    <s v="Rejected"/>
    <x v="0"/>
    <n v="0"/>
    <n v="1"/>
    <n v="0"/>
    <m/>
    <n v="4"/>
    <n v="0"/>
    <n v="1"/>
  </r>
  <r>
    <s v="LA-701494"/>
    <d v="2024-08-22T00:00:00"/>
    <x v="0"/>
    <s v="Q3"/>
    <x v="7"/>
    <x v="3"/>
    <x v="2"/>
    <x v="2"/>
    <x v="1"/>
    <x v="1"/>
    <n v="6050"/>
    <n v="273000"/>
    <n v="240"/>
    <n v="0.39300000000000002"/>
    <s v="Approved"/>
    <x v="1"/>
    <n v="1"/>
    <n v="0"/>
    <n v="245500"/>
    <n v="5.6099999999999997E-2"/>
    <n v="7"/>
    <n v="1"/>
    <n v="1"/>
  </r>
  <r>
    <s v="LA-701495"/>
    <d v="2024-08-22T00:00:00"/>
    <x v="0"/>
    <s v="Q3"/>
    <x v="7"/>
    <x v="1"/>
    <x v="3"/>
    <x v="2"/>
    <x v="0"/>
    <x v="0"/>
    <n v="3200"/>
    <n v="18000"/>
    <n v="12"/>
    <n v="0.62"/>
    <s v="Rejected"/>
    <x v="3"/>
    <n v="0"/>
    <n v="1"/>
    <n v="0"/>
    <m/>
    <n v="5"/>
    <n v="0"/>
    <n v="1"/>
  </r>
  <r>
    <s v="LA-701496"/>
    <d v="2024-08-22T00:00:00"/>
    <x v="0"/>
    <s v="Q3"/>
    <x v="7"/>
    <x v="1"/>
    <x v="0"/>
    <x v="1"/>
    <x v="2"/>
    <x v="1"/>
    <n v="5200"/>
    <n v="34500"/>
    <n v="48"/>
    <n v="0.36799999999999999"/>
    <s v="Approved"/>
    <x v="1"/>
    <n v="1"/>
    <n v="0"/>
    <n v="27500"/>
    <n v="0.1242"/>
    <n v="3"/>
    <n v="1"/>
    <n v="1"/>
  </r>
  <r>
    <s v="LA-701497"/>
    <d v="2024-08-22T00:00:00"/>
    <x v="0"/>
    <s v="Q3"/>
    <x v="7"/>
    <x v="1"/>
    <x v="0"/>
    <x v="2"/>
    <x v="1"/>
    <x v="4"/>
    <n v="6900"/>
    <n v="22000"/>
    <n v="48"/>
    <n v="0.27500000000000002"/>
    <s v="Approved"/>
    <x v="1"/>
    <n v="1"/>
    <n v="0"/>
    <n v="22000"/>
    <n v="0.11650000000000001"/>
    <n v="3"/>
    <n v="1"/>
    <n v="1"/>
  </r>
  <r>
    <s v="LA-701498"/>
    <d v="2024-08-22T00:00:00"/>
    <x v="0"/>
    <s v="Q3"/>
    <x v="7"/>
    <x v="1"/>
    <x v="3"/>
    <x v="4"/>
    <x v="0"/>
    <x v="0"/>
    <n v="4150"/>
    <n v="10000"/>
    <n v="12"/>
    <n v="0.38500000000000001"/>
    <s v="Approved"/>
    <x v="1"/>
    <n v="1"/>
    <n v="0"/>
    <n v="10000"/>
    <n v="0.14000000000000001"/>
    <n v="5"/>
    <n v="0"/>
    <n v="1"/>
  </r>
  <r>
    <s v="LA-701499"/>
    <d v="2024-08-22T00:00:00"/>
    <x v="0"/>
    <s v="Q3"/>
    <x v="7"/>
    <x v="0"/>
    <x v="2"/>
    <x v="2"/>
    <x v="0"/>
    <x v="1"/>
    <n v="6000"/>
    <n v="57500"/>
    <n v="60"/>
    <n v="0.28599999999999998"/>
    <s v="Approved"/>
    <x v="1"/>
    <n v="1"/>
    <n v="0"/>
    <n v="52000"/>
    <n v="8.3199999999999996E-2"/>
    <n v="3"/>
    <n v="1"/>
    <n v="1"/>
  </r>
  <r>
    <s v="LA-701500"/>
    <d v="2024-08-22T00:00:00"/>
    <x v="0"/>
    <s v="Q3"/>
    <x v="7"/>
    <x v="2"/>
    <x v="3"/>
    <x v="3"/>
    <x v="0"/>
    <x v="4"/>
    <n v="2000"/>
    <n v="123500"/>
    <n v="60"/>
    <n v="1.383"/>
    <s v="Rejected"/>
    <x v="3"/>
    <n v="0"/>
    <n v="1"/>
    <n v="0"/>
    <m/>
    <n v="16"/>
    <n v="0"/>
    <n v="1"/>
  </r>
  <r>
    <s v="LA-701501"/>
    <d v="2024-08-22T00:00:00"/>
    <x v="0"/>
    <s v="Q3"/>
    <x v="7"/>
    <x v="3"/>
    <x v="3"/>
    <x v="1"/>
    <x v="0"/>
    <x v="0"/>
    <n v="4300"/>
    <n v="176500"/>
    <n v="300"/>
    <n v="0.317"/>
    <s v="Rejected"/>
    <x v="0"/>
    <n v="0"/>
    <n v="1"/>
    <n v="0"/>
    <m/>
    <n v="34"/>
    <n v="0"/>
    <n v="1"/>
  </r>
  <r>
    <s v="LA-701502"/>
    <d v="2024-08-22T00:00:00"/>
    <x v="0"/>
    <s v="Q3"/>
    <x v="7"/>
    <x v="2"/>
    <x v="1"/>
    <x v="2"/>
    <x v="1"/>
    <x v="2"/>
    <n v="5000"/>
    <n v="44500"/>
    <n v="24"/>
    <n v="0.626"/>
    <s v="Rejected"/>
    <x v="3"/>
    <n v="0"/>
    <n v="1"/>
    <n v="0"/>
    <m/>
    <n v="7"/>
    <n v="1"/>
    <n v="1"/>
  </r>
  <r>
    <s v="LA-701503"/>
    <d v="2024-08-23T00:00:00"/>
    <x v="0"/>
    <s v="Q3"/>
    <x v="7"/>
    <x v="3"/>
    <x v="3"/>
    <x v="2"/>
    <x v="2"/>
    <x v="1"/>
    <n v="5950"/>
    <n v="231000"/>
    <n v="180"/>
    <n v="0.436"/>
    <s v="Rejected"/>
    <x v="5"/>
    <n v="0"/>
    <n v="1"/>
    <n v="0"/>
    <m/>
    <n v="14"/>
    <n v="1"/>
    <n v="1"/>
  </r>
  <r>
    <s v="LA-701504"/>
    <d v="2024-08-23T00:00:00"/>
    <x v="0"/>
    <s v="Q3"/>
    <x v="7"/>
    <x v="0"/>
    <x v="2"/>
    <x v="2"/>
    <x v="1"/>
    <x v="4"/>
    <n v="3150"/>
    <n v="36500"/>
    <n v="36"/>
    <n v="0.58599999999999997"/>
    <s v="Approved"/>
    <x v="1"/>
    <n v="1"/>
    <n v="0"/>
    <n v="33000"/>
    <n v="7.3200000000000001E-2"/>
    <n v="3"/>
    <n v="1"/>
    <n v="1"/>
  </r>
  <r>
    <s v="LA-701505"/>
    <d v="2024-08-23T00:00:00"/>
    <x v="0"/>
    <s v="Q3"/>
    <x v="7"/>
    <x v="2"/>
    <x v="1"/>
    <x v="3"/>
    <x v="0"/>
    <x v="4"/>
    <n v="4450"/>
    <n v="62500"/>
    <n v="36"/>
    <n v="0.54600000000000004"/>
    <s v="Approved"/>
    <x v="1"/>
    <n v="1"/>
    <n v="0"/>
    <n v="62500"/>
    <n v="0.1027"/>
    <n v="4"/>
    <n v="1"/>
    <n v="1"/>
  </r>
  <r>
    <s v="LA-701506"/>
    <d v="2024-08-23T00:00:00"/>
    <x v="0"/>
    <s v="Q3"/>
    <x v="7"/>
    <x v="3"/>
    <x v="3"/>
    <x v="1"/>
    <x v="0"/>
    <x v="0"/>
    <n v="3000"/>
    <n v="153000"/>
    <n v="240"/>
    <n v="0.39400000000000002"/>
    <s v="Approved"/>
    <x v="1"/>
    <n v="1"/>
    <n v="0"/>
    <n v="153000"/>
    <n v="7.2800000000000004E-2"/>
    <n v="14"/>
    <n v="1"/>
    <n v="1"/>
  </r>
  <r>
    <s v="LA-701507"/>
    <d v="2024-08-23T00:00:00"/>
    <x v="0"/>
    <s v="Q3"/>
    <x v="7"/>
    <x v="1"/>
    <x v="1"/>
    <x v="2"/>
    <x v="1"/>
    <x v="4"/>
    <n v="5650"/>
    <n v="35000"/>
    <n v="36"/>
    <n v="0.44900000000000001"/>
    <s v="Approved"/>
    <x v="1"/>
    <n v="1"/>
    <n v="0"/>
    <n v="35000"/>
    <n v="0.1164"/>
    <n v="2"/>
    <n v="1"/>
    <n v="1"/>
  </r>
  <r>
    <s v="LA-701508"/>
    <d v="2024-08-23T00:00:00"/>
    <x v="0"/>
    <s v="Q3"/>
    <x v="7"/>
    <x v="1"/>
    <x v="0"/>
    <x v="2"/>
    <x v="1"/>
    <x v="4"/>
    <n v="5450"/>
    <n v="13500"/>
    <n v="36"/>
    <n v="0.33200000000000002"/>
    <s v="Approved"/>
    <x v="1"/>
    <n v="1"/>
    <n v="0"/>
    <n v="13500"/>
    <n v="0.1144"/>
    <n v="2"/>
    <n v="1"/>
    <n v="1"/>
  </r>
  <r>
    <s v="LA-701509"/>
    <d v="2024-08-23T00:00:00"/>
    <x v="0"/>
    <s v="Q3"/>
    <x v="7"/>
    <x v="2"/>
    <x v="3"/>
    <x v="2"/>
    <x v="1"/>
    <x v="3"/>
    <n v="4750"/>
    <n v="136000"/>
    <n v="36"/>
    <n v="1.056"/>
    <s v="Rejected"/>
    <x v="3"/>
    <n v="0"/>
    <n v="1"/>
    <n v="0"/>
    <m/>
    <n v="25"/>
    <n v="0"/>
    <n v="1"/>
  </r>
  <r>
    <s v="LA-701510"/>
    <d v="2024-08-23T00:00:00"/>
    <x v="0"/>
    <s v="Q3"/>
    <x v="7"/>
    <x v="0"/>
    <x v="3"/>
    <x v="2"/>
    <x v="1"/>
    <x v="4"/>
    <n v="5200"/>
    <n v="26000"/>
    <n v="48"/>
    <n v="0.35399999999999998"/>
    <s v="Approved"/>
    <x v="1"/>
    <n v="1"/>
    <n v="0"/>
    <n v="23500"/>
    <n v="6.93E-2"/>
    <n v="8"/>
    <n v="0"/>
    <n v="1"/>
  </r>
  <r>
    <s v="LA-701511"/>
    <d v="2024-08-23T00:00:00"/>
    <x v="0"/>
    <s v="Q3"/>
    <x v="7"/>
    <x v="3"/>
    <x v="2"/>
    <x v="4"/>
    <x v="0"/>
    <x v="4"/>
    <n v="5500"/>
    <n v="381500"/>
    <n v="180"/>
    <n v="0.66100000000000003"/>
    <s v="Approved"/>
    <x v="1"/>
    <n v="1"/>
    <n v="0"/>
    <n v="305000"/>
    <n v="4.7300000000000002E-2"/>
    <n v="9"/>
    <n v="1"/>
    <n v="1"/>
  </r>
  <r>
    <s v="LA-701512"/>
    <d v="2024-08-23T00:00:00"/>
    <x v="0"/>
    <s v="Q3"/>
    <x v="7"/>
    <x v="1"/>
    <x v="2"/>
    <x v="1"/>
    <x v="1"/>
    <x v="3"/>
    <n v="8950"/>
    <n v="13000"/>
    <n v="12"/>
    <n v="0.32600000000000001"/>
    <s v="Approved"/>
    <x v="1"/>
    <n v="1"/>
    <n v="0"/>
    <n v="10500"/>
    <n v="0.1089"/>
    <n v="2"/>
    <n v="1"/>
    <n v="1"/>
  </r>
  <r>
    <s v="LA-701513"/>
    <d v="2024-08-24T00:00:00"/>
    <x v="0"/>
    <s v="Q3"/>
    <x v="7"/>
    <x v="3"/>
    <x v="2"/>
    <x v="3"/>
    <x v="2"/>
    <x v="4"/>
    <n v="2150"/>
    <n v="524500"/>
    <n v="180"/>
    <n v="1.9790000000000001"/>
    <s v="Rejected"/>
    <x v="3"/>
    <n v="0"/>
    <n v="1"/>
    <n v="0"/>
    <m/>
    <n v="7"/>
    <n v="1"/>
    <n v="1"/>
  </r>
  <r>
    <s v="LA-701514"/>
    <d v="2024-08-24T00:00:00"/>
    <x v="0"/>
    <s v="Q3"/>
    <x v="7"/>
    <x v="2"/>
    <x v="2"/>
    <x v="3"/>
    <x v="1"/>
    <x v="1"/>
    <n v="8050"/>
    <n v="69500"/>
    <n v="60"/>
    <n v="0.254"/>
    <s v="Approved"/>
    <x v="1"/>
    <n v="1"/>
    <n v="0"/>
    <n v="62500"/>
    <n v="0.10340000000000001"/>
    <n v="8"/>
    <n v="1"/>
    <n v="1"/>
  </r>
  <r>
    <s v="LA-701515"/>
    <d v="2024-08-24T00:00:00"/>
    <x v="0"/>
    <s v="Q3"/>
    <x v="7"/>
    <x v="1"/>
    <x v="3"/>
    <x v="4"/>
    <x v="0"/>
    <x v="0"/>
    <n v="2150"/>
    <n v="12500"/>
    <n v="60"/>
    <n v="0.375"/>
    <s v="Approved"/>
    <x v="1"/>
    <n v="1"/>
    <n v="0"/>
    <n v="10000"/>
    <n v="0.13880000000000001"/>
    <n v="5"/>
    <n v="0"/>
    <n v="1"/>
  </r>
  <r>
    <s v="LA-701516"/>
    <d v="2024-08-25T00:00:00"/>
    <x v="0"/>
    <s v="Q3"/>
    <x v="7"/>
    <x v="2"/>
    <x v="2"/>
    <x v="2"/>
    <x v="0"/>
    <x v="4"/>
    <n v="6500"/>
    <n v="69000"/>
    <n v="36"/>
    <n v="0.40300000000000002"/>
    <s v="Approved"/>
    <x v="1"/>
    <n v="1"/>
    <n v="0"/>
    <n v="69000"/>
    <n v="0.1042"/>
    <n v="5"/>
    <n v="1"/>
    <n v="1"/>
  </r>
  <r>
    <s v="LA-701517"/>
    <d v="2024-08-25T00:00:00"/>
    <x v="0"/>
    <s v="Q3"/>
    <x v="7"/>
    <x v="1"/>
    <x v="3"/>
    <x v="2"/>
    <x v="0"/>
    <x v="1"/>
    <n v="3450"/>
    <n v="17000"/>
    <n v="24"/>
    <n v="0.40500000000000003"/>
    <s v="Approved"/>
    <x v="1"/>
    <n v="1"/>
    <n v="0"/>
    <n v="17000"/>
    <n v="0.12540000000000001"/>
    <n v="3"/>
    <n v="1"/>
    <n v="1"/>
  </r>
  <r>
    <s v="LA-701518"/>
    <d v="2024-08-25T00:00:00"/>
    <x v="0"/>
    <s v="Q3"/>
    <x v="7"/>
    <x v="1"/>
    <x v="3"/>
    <x v="1"/>
    <x v="2"/>
    <x v="1"/>
    <n v="13000"/>
    <n v="6500"/>
    <n v="60"/>
    <n v="8.1000000000000003E-2"/>
    <s v="Approved"/>
    <x v="1"/>
    <n v="1"/>
    <n v="0"/>
    <n v="6000"/>
    <n v="0.125"/>
    <n v="5"/>
    <n v="0"/>
    <n v="1"/>
  </r>
  <r>
    <s v="LA-701519"/>
    <d v="2024-08-25T00:00:00"/>
    <x v="0"/>
    <s v="Q3"/>
    <x v="7"/>
    <x v="3"/>
    <x v="1"/>
    <x v="1"/>
    <x v="0"/>
    <x v="1"/>
    <n v="4700"/>
    <n v="319000"/>
    <n v="240"/>
    <n v="0.58399999999999996"/>
    <s v="Approved"/>
    <x v="1"/>
    <n v="1"/>
    <n v="0"/>
    <n v="287000"/>
    <n v="5.6399999999999999E-2"/>
    <n v="6"/>
    <n v="1"/>
    <n v="1"/>
  </r>
  <r>
    <s v="LA-701520"/>
    <d v="2024-08-26T00:00:00"/>
    <x v="0"/>
    <s v="Q3"/>
    <x v="7"/>
    <x v="0"/>
    <x v="2"/>
    <x v="4"/>
    <x v="1"/>
    <x v="0"/>
    <n v="3650"/>
    <n v="31500"/>
    <n v="60"/>
    <n v="0.28799999999999998"/>
    <s v="Rejected"/>
    <x v="0"/>
    <n v="0"/>
    <n v="1"/>
    <n v="0"/>
    <m/>
    <n v="7"/>
    <n v="0"/>
    <n v="1"/>
  </r>
  <r>
    <s v="LA-701521"/>
    <d v="2024-08-26T00:00:00"/>
    <x v="0"/>
    <s v="Q3"/>
    <x v="7"/>
    <x v="0"/>
    <x v="3"/>
    <x v="1"/>
    <x v="0"/>
    <x v="4"/>
    <n v="6550"/>
    <n v="36000"/>
    <n v="60"/>
    <n v="0.35599999999999998"/>
    <s v="Approved"/>
    <x v="1"/>
    <n v="1"/>
    <n v="0"/>
    <n v="36000"/>
    <n v="7.1300000000000002E-2"/>
    <n v="5"/>
    <n v="0"/>
    <n v="1"/>
  </r>
  <r>
    <s v="LA-701522"/>
    <d v="2024-08-26T00:00:00"/>
    <x v="0"/>
    <s v="Q3"/>
    <x v="7"/>
    <x v="1"/>
    <x v="3"/>
    <x v="1"/>
    <x v="1"/>
    <x v="3"/>
    <n v="1900"/>
    <n v="6500"/>
    <n v="48"/>
    <n v="0.24099999999999999"/>
    <s v="Approved"/>
    <x v="1"/>
    <n v="1"/>
    <n v="0"/>
    <n v="6500"/>
    <n v="0.1143"/>
    <n v="4"/>
    <n v="0"/>
    <n v="1"/>
  </r>
  <r>
    <s v="LA-701523"/>
    <d v="2024-08-26T00:00:00"/>
    <x v="0"/>
    <s v="Q3"/>
    <x v="7"/>
    <x v="1"/>
    <x v="3"/>
    <x v="2"/>
    <x v="0"/>
    <x v="1"/>
    <n v="5250"/>
    <n v="14500"/>
    <n v="48"/>
    <n v="0.29599999999999999"/>
    <s v="Approved"/>
    <x v="1"/>
    <n v="1"/>
    <n v="0"/>
    <n v="11500"/>
    <n v="0.127"/>
    <n v="4"/>
    <n v="0"/>
    <n v="1"/>
  </r>
  <r>
    <s v="LA-701524"/>
    <d v="2024-08-26T00:00:00"/>
    <x v="0"/>
    <s v="Q3"/>
    <x v="7"/>
    <x v="2"/>
    <x v="3"/>
    <x v="3"/>
    <x v="2"/>
    <x v="3"/>
    <n v="4850"/>
    <n v="49500"/>
    <n v="24"/>
    <n v="0.63200000000000001"/>
    <s v="Approved"/>
    <x v="1"/>
    <n v="1"/>
    <n v="0"/>
    <n v="49500"/>
    <n v="9.3399999999999997E-2"/>
    <n v="13"/>
    <n v="0"/>
    <n v="1"/>
  </r>
  <r>
    <s v="LA-701525"/>
    <d v="2024-08-26T00:00:00"/>
    <x v="0"/>
    <s v="Q3"/>
    <x v="7"/>
    <x v="0"/>
    <x v="2"/>
    <x v="1"/>
    <x v="2"/>
    <x v="4"/>
    <n v="2600"/>
    <n v="38500"/>
    <n v="48"/>
    <n v="0.442"/>
    <s v="Approved"/>
    <x v="1"/>
    <n v="1"/>
    <n v="0"/>
    <n v="38500"/>
    <n v="7.2800000000000004E-2"/>
    <n v="2"/>
    <n v="1"/>
    <n v="1"/>
  </r>
  <r>
    <s v="LA-701526"/>
    <d v="2024-08-26T00:00:00"/>
    <x v="0"/>
    <s v="Q3"/>
    <x v="7"/>
    <x v="1"/>
    <x v="0"/>
    <x v="2"/>
    <x v="1"/>
    <x v="4"/>
    <n v="3850"/>
    <n v="19000"/>
    <n v="12"/>
    <n v="0.51400000000000001"/>
    <s v="Rejected"/>
    <x v="4"/>
    <n v="0"/>
    <n v="1"/>
    <n v="0"/>
    <m/>
    <n v="8"/>
    <n v="0"/>
    <n v="1"/>
  </r>
  <r>
    <s v="LA-701527"/>
    <d v="2024-08-26T00:00:00"/>
    <x v="0"/>
    <s v="Q3"/>
    <x v="7"/>
    <x v="1"/>
    <x v="3"/>
    <x v="3"/>
    <x v="2"/>
    <x v="1"/>
    <n v="2450"/>
    <n v="14500"/>
    <n v="36"/>
    <n v="0.247"/>
    <s v="Approved"/>
    <x v="1"/>
    <n v="1"/>
    <n v="0"/>
    <n v="14500"/>
    <n v="0.129"/>
    <n v="5"/>
    <n v="0"/>
    <n v="1"/>
  </r>
  <r>
    <s v="LA-701528"/>
    <d v="2024-08-26T00:00:00"/>
    <x v="0"/>
    <s v="Q3"/>
    <x v="7"/>
    <x v="2"/>
    <x v="2"/>
    <x v="2"/>
    <x v="1"/>
    <x v="4"/>
    <n v="5200"/>
    <n v="76000"/>
    <n v="24"/>
    <n v="0.872"/>
    <s v="Rejected"/>
    <x v="3"/>
    <n v="0"/>
    <n v="1"/>
    <n v="0"/>
    <m/>
    <n v="5"/>
    <n v="1"/>
    <n v="1"/>
  </r>
  <r>
    <s v="LA-701529"/>
    <d v="2024-08-26T00:00:00"/>
    <x v="0"/>
    <s v="Q3"/>
    <x v="7"/>
    <x v="3"/>
    <x v="0"/>
    <x v="2"/>
    <x v="1"/>
    <x v="3"/>
    <n v="4300"/>
    <n v="146500"/>
    <n v="300"/>
    <n v="0.438"/>
    <s v="Rejected"/>
    <x v="4"/>
    <n v="0"/>
    <n v="1"/>
    <n v="0"/>
    <m/>
    <n v="21"/>
    <n v="0"/>
    <n v="1"/>
  </r>
  <r>
    <s v="LA-701530"/>
    <d v="2024-08-26T00:00:00"/>
    <x v="0"/>
    <s v="Q3"/>
    <x v="7"/>
    <x v="3"/>
    <x v="2"/>
    <x v="3"/>
    <x v="1"/>
    <x v="3"/>
    <n v="4350"/>
    <n v="262000"/>
    <n v="300"/>
    <n v="0.499"/>
    <s v="Approved"/>
    <x v="1"/>
    <n v="1"/>
    <n v="0"/>
    <n v="236000"/>
    <n v="3.7400000000000003E-2"/>
    <n v="15"/>
    <n v="1"/>
    <n v="1"/>
  </r>
  <r>
    <s v="LA-701531"/>
    <d v="2024-08-27T00:00:00"/>
    <x v="0"/>
    <s v="Q3"/>
    <x v="7"/>
    <x v="2"/>
    <x v="3"/>
    <x v="1"/>
    <x v="1"/>
    <x v="3"/>
    <n v="3850"/>
    <n v="103000"/>
    <n v="36"/>
    <n v="1.0680000000000001"/>
    <s v="Approved"/>
    <x v="1"/>
    <n v="1"/>
    <n v="0"/>
    <n v="103000"/>
    <n v="8.5900000000000004E-2"/>
    <n v="15"/>
    <n v="0"/>
    <n v="1"/>
  </r>
  <r>
    <s v="LA-701532"/>
    <d v="2024-08-27T00:00:00"/>
    <x v="0"/>
    <s v="Q3"/>
    <x v="7"/>
    <x v="3"/>
    <x v="3"/>
    <x v="0"/>
    <x v="1"/>
    <x v="4"/>
    <n v="5550"/>
    <n v="342500"/>
    <n v="240"/>
    <n v="0.63600000000000001"/>
    <s v="Approved"/>
    <x v="1"/>
    <n v="1"/>
    <n v="0"/>
    <n v="308000"/>
    <n v="5.0299999999999997E-2"/>
    <n v="18"/>
    <n v="0"/>
    <n v="1"/>
  </r>
  <r>
    <s v="LA-701533"/>
    <d v="2024-08-27T00:00:00"/>
    <x v="0"/>
    <s v="Q3"/>
    <x v="7"/>
    <x v="2"/>
    <x v="0"/>
    <x v="2"/>
    <x v="2"/>
    <x v="4"/>
    <n v="4700"/>
    <n v="129000"/>
    <n v="12"/>
    <n v="2.6379999999999999"/>
    <s v="Rejected"/>
    <x v="4"/>
    <n v="0"/>
    <n v="1"/>
    <n v="0"/>
    <m/>
    <n v="14"/>
    <n v="0"/>
    <n v="1"/>
  </r>
  <r>
    <s v="LA-701534"/>
    <d v="2024-08-27T00:00:00"/>
    <x v="0"/>
    <s v="Q3"/>
    <x v="7"/>
    <x v="1"/>
    <x v="3"/>
    <x v="3"/>
    <x v="2"/>
    <x v="4"/>
    <n v="6050"/>
    <n v="6500"/>
    <n v="24"/>
    <n v="0.14799999999999999"/>
    <s v="Approved"/>
    <x v="1"/>
    <n v="1"/>
    <n v="0"/>
    <n v="6000"/>
    <n v="0.11310000000000001"/>
    <n v="8"/>
    <n v="0"/>
    <n v="1"/>
  </r>
  <r>
    <s v="LA-701535"/>
    <d v="2024-08-27T00:00:00"/>
    <x v="0"/>
    <s v="Q3"/>
    <x v="7"/>
    <x v="1"/>
    <x v="1"/>
    <x v="3"/>
    <x v="0"/>
    <x v="4"/>
    <n v="4850"/>
    <n v="7500"/>
    <n v="60"/>
    <n v="0.21199999999999999"/>
    <s v="Approved"/>
    <x v="1"/>
    <n v="1"/>
    <n v="0"/>
    <n v="6000"/>
    <n v="0.11459999999999999"/>
    <n v="1"/>
    <n v="1"/>
    <n v="1"/>
  </r>
  <r>
    <s v="LA-701536"/>
    <d v="2024-08-27T00:00:00"/>
    <x v="0"/>
    <s v="Q3"/>
    <x v="7"/>
    <x v="1"/>
    <x v="2"/>
    <x v="2"/>
    <x v="0"/>
    <x v="4"/>
    <n v="4900"/>
    <n v="9500"/>
    <n v="48"/>
    <n v="0.25"/>
    <s v="Approved"/>
    <x v="1"/>
    <n v="1"/>
    <n v="0"/>
    <n v="8500"/>
    <n v="0.1167"/>
    <n v="2"/>
    <n v="1"/>
    <n v="1"/>
  </r>
  <r>
    <s v="LA-701537"/>
    <d v="2024-08-27T00:00:00"/>
    <x v="0"/>
    <s v="Q3"/>
    <x v="7"/>
    <x v="0"/>
    <x v="3"/>
    <x v="2"/>
    <x v="1"/>
    <x v="0"/>
    <n v="6300"/>
    <n v="18000"/>
    <n v="36"/>
    <n v="0.186"/>
    <s v="Approved"/>
    <x v="1"/>
    <n v="1"/>
    <n v="0"/>
    <n v="16000"/>
    <n v="9.6199999999999994E-2"/>
    <n v="8"/>
    <n v="0"/>
    <n v="1"/>
  </r>
  <r>
    <s v="LA-701538"/>
    <d v="2024-08-27T00:00:00"/>
    <x v="0"/>
    <s v="Q3"/>
    <x v="7"/>
    <x v="0"/>
    <x v="2"/>
    <x v="2"/>
    <x v="0"/>
    <x v="1"/>
    <n v="6300"/>
    <n v="30000"/>
    <n v="48"/>
    <n v="0.28899999999999998"/>
    <s v="Approved"/>
    <x v="1"/>
    <n v="1"/>
    <n v="0"/>
    <n v="27000"/>
    <n v="7.9699999999999993E-2"/>
    <n v="2"/>
    <n v="1"/>
    <n v="1"/>
  </r>
  <r>
    <s v="LA-701539"/>
    <d v="2024-08-28T00:00:00"/>
    <x v="0"/>
    <s v="Q3"/>
    <x v="7"/>
    <x v="0"/>
    <x v="2"/>
    <x v="2"/>
    <x v="0"/>
    <x v="0"/>
    <n v="4050"/>
    <n v="20500"/>
    <n v="36"/>
    <n v="0.40200000000000002"/>
    <s v="Rejected"/>
    <x v="0"/>
    <n v="0"/>
    <n v="1"/>
    <n v="0"/>
    <m/>
    <n v="3"/>
    <n v="1"/>
    <n v="1"/>
  </r>
  <r>
    <s v="LA-701540"/>
    <d v="2024-08-28T00:00:00"/>
    <x v="0"/>
    <s v="Q3"/>
    <x v="7"/>
    <x v="1"/>
    <x v="0"/>
    <x v="4"/>
    <x v="2"/>
    <x v="4"/>
    <n v="5000"/>
    <n v="5000"/>
    <n v="24"/>
    <n v="0.11799999999999999"/>
    <s v="Approved"/>
    <x v="1"/>
    <n v="1"/>
    <n v="0"/>
    <n v="5000"/>
    <n v="0.107"/>
    <n v="3"/>
    <n v="1"/>
    <n v="1"/>
  </r>
  <r>
    <s v="LA-701541"/>
    <d v="2024-08-28T00:00:00"/>
    <x v="0"/>
    <s v="Q3"/>
    <x v="7"/>
    <x v="2"/>
    <x v="2"/>
    <x v="2"/>
    <x v="0"/>
    <x v="1"/>
    <n v="4600"/>
    <n v="144000"/>
    <n v="36"/>
    <n v="1.1779999999999999"/>
    <s v="Rejected"/>
    <x v="3"/>
    <n v="0"/>
    <n v="1"/>
    <n v="0"/>
    <m/>
    <n v="7"/>
    <n v="1"/>
    <n v="1"/>
  </r>
  <r>
    <s v="LA-701542"/>
    <d v="2024-08-28T00:00:00"/>
    <x v="0"/>
    <s v="Q3"/>
    <x v="7"/>
    <x v="1"/>
    <x v="3"/>
    <x v="3"/>
    <x v="0"/>
    <x v="4"/>
    <n v="17850"/>
    <n v="23000"/>
    <n v="12"/>
    <n v="0.182"/>
    <s v="Approved"/>
    <x v="1"/>
    <n v="1"/>
    <n v="0"/>
    <n v="20500"/>
    <n v="0.11799999999999999"/>
    <n v="3"/>
    <n v="1"/>
    <n v="1"/>
  </r>
  <r>
    <s v="LA-701543"/>
    <d v="2024-08-28T00:00:00"/>
    <x v="0"/>
    <s v="Q3"/>
    <x v="7"/>
    <x v="2"/>
    <x v="3"/>
    <x v="3"/>
    <x v="0"/>
    <x v="0"/>
    <n v="5000"/>
    <n v="60000"/>
    <n v="60"/>
    <n v="0.40200000000000002"/>
    <s v="Approved"/>
    <x v="1"/>
    <n v="1"/>
    <n v="0"/>
    <n v="60000"/>
    <n v="0.12659999999999999"/>
    <n v="12"/>
    <n v="0"/>
    <n v="1"/>
  </r>
  <r>
    <s v="LA-701544"/>
    <d v="2024-08-28T00:00:00"/>
    <x v="0"/>
    <s v="Q3"/>
    <x v="7"/>
    <x v="3"/>
    <x v="3"/>
    <x v="2"/>
    <x v="0"/>
    <x v="1"/>
    <n v="4200"/>
    <n v="150500"/>
    <n v="240"/>
    <n v="0.41499999999999998"/>
    <s v="Approved"/>
    <x v="1"/>
    <n v="1"/>
    <n v="0"/>
    <n v="150500"/>
    <n v="5.8400000000000001E-2"/>
    <n v="16"/>
    <n v="0"/>
    <n v="1"/>
  </r>
  <r>
    <s v="LA-701545"/>
    <d v="2024-08-28T00:00:00"/>
    <x v="0"/>
    <s v="Q3"/>
    <x v="7"/>
    <x v="2"/>
    <x v="2"/>
    <x v="3"/>
    <x v="1"/>
    <x v="4"/>
    <n v="3050"/>
    <n v="114000"/>
    <n v="60"/>
    <n v="0.90100000000000002"/>
    <s v="Approved"/>
    <x v="1"/>
    <n v="1"/>
    <n v="0"/>
    <n v="102500"/>
    <n v="9.6500000000000002E-2"/>
    <n v="6"/>
    <n v="1"/>
    <n v="1"/>
  </r>
  <r>
    <s v="LA-701546"/>
    <d v="2024-08-28T00:00:00"/>
    <x v="0"/>
    <s v="Q3"/>
    <x v="7"/>
    <x v="1"/>
    <x v="2"/>
    <x v="2"/>
    <x v="0"/>
    <x v="4"/>
    <n v="4500"/>
    <n v="14500"/>
    <n v="60"/>
    <n v="0.24399999999999999"/>
    <s v="Rejected"/>
    <x v="0"/>
    <n v="0"/>
    <n v="1"/>
    <n v="0"/>
    <m/>
    <n v="2"/>
    <n v="1"/>
    <n v="1"/>
  </r>
  <r>
    <s v="LA-701547"/>
    <d v="2024-08-28T00:00:00"/>
    <x v="0"/>
    <s v="Q3"/>
    <x v="7"/>
    <x v="2"/>
    <x v="2"/>
    <x v="1"/>
    <x v="0"/>
    <x v="1"/>
    <n v="10050"/>
    <n v="138000"/>
    <n v="36"/>
    <n v="0.67500000000000004"/>
    <s v="Approved"/>
    <x v="1"/>
    <n v="1"/>
    <n v="0"/>
    <n v="138000"/>
    <n v="0.10489999999999999"/>
    <n v="7"/>
    <n v="1"/>
    <n v="1"/>
  </r>
  <r>
    <s v="LA-701548"/>
    <d v="2024-08-29T00:00:00"/>
    <x v="0"/>
    <s v="Q3"/>
    <x v="7"/>
    <x v="1"/>
    <x v="1"/>
    <x v="2"/>
    <x v="2"/>
    <x v="4"/>
    <n v="4150"/>
    <n v="28000"/>
    <n v="12"/>
    <n v="0.73699999999999999"/>
    <s v="Approved"/>
    <x v="1"/>
    <n v="1"/>
    <n v="0"/>
    <n v="28000"/>
    <n v="0.1144"/>
    <n v="3"/>
    <n v="1"/>
    <n v="1"/>
  </r>
  <r>
    <s v="LA-701549"/>
    <d v="2024-08-29T00:00:00"/>
    <x v="0"/>
    <s v="Q3"/>
    <x v="7"/>
    <x v="1"/>
    <x v="2"/>
    <x v="3"/>
    <x v="0"/>
    <x v="2"/>
    <n v="3800"/>
    <n v="11000"/>
    <n v="48"/>
    <n v="0.32500000000000001"/>
    <s v="Rejected"/>
    <x v="0"/>
    <n v="0"/>
    <n v="1"/>
    <n v="0"/>
    <m/>
    <n v="4"/>
    <n v="0"/>
    <n v="1"/>
  </r>
  <r>
    <s v="LA-701550"/>
    <d v="2024-08-29T00:00:00"/>
    <x v="0"/>
    <s v="Q3"/>
    <x v="7"/>
    <x v="1"/>
    <x v="3"/>
    <x v="1"/>
    <x v="1"/>
    <x v="1"/>
    <n v="4900"/>
    <n v="9500"/>
    <n v="48"/>
    <n v="0.28699999999999998"/>
    <s v="Approved"/>
    <x v="1"/>
    <n v="1"/>
    <n v="0"/>
    <n v="9500"/>
    <n v="0.12720000000000001"/>
    <n v="3"/>
    <n v="1"/>
    <n v="1"/>
  </r>
  <r>
    <s v="LA-701551"/>
    <d v="2024-08-29T00:00:00"/>
    <x v="0"/>
    <s v="Q3"/>
    <x v="7"/>
    <x v="0"/>
    <x v="2"/>
    <x v="1"/>
    <x v="0"/>
    <x v="4"/>
    <n v="3650"/>
    <n v="22500"/>
    <n v="36"/>
    <n v="0.29599999999999999"/>
    <s v="Approved"/>
    <x v="1"/>
    <n v="1"/>
    <n v="0"/>
    <n v="22500"/>
    <n v="7.9600000000000004E-2"/>
    <n v="3"/>
    <n v="1"/>
    <n v="1"/>
  </r>
  <r>
    <s v="LA-701552"/>
    <d v="2024-08-29T00:00:00"/>
    <x v="0"/>
    <s v="Q3"/>
    <x v="7"/>
    <x v="1"/>
    <x v="2"/>
    <x v="1"/>
    <x v="0"/>
    <x v="0"/>
    <n v="4050"/>
    <n v="14000"/>
    <n v="60"/>
    <n v="0.224"/>
    <s v="Approved"/>
    <x v="1"/>
    <n v="1"/>
    <n v="0"/>
    <n v="12500"/>
    <n v="0.13600000000000001"/>
    <n v="3"/>
    <n v="1"/>
    <n v="1"/>
  </r>
  <r>
    <s v="LA-701553"/>
    <d v="2024-08-29T00:00:00"/>
    <x v="0"/>
    <s v="Q3"/>
    <x v="7"/>
    <x v="1"/>
    <x v="2"/>
    <x v="3"/>
    <x v="0"/>
    <x v="3"/>
    <n v="7100"/>
    <n v="15000"/>
    <n v="12"/>
    <n v="0.33800000000000002"/>
    <s v="Approved"/>
    <x v="1"/>
    <n v="1"/>
    <n v="0"/>
    <n v="13500"/>
    <n v="0.11169999999999999"/>
    <n v="1"/>
    <n v="1"/>
    <n v="1"/>
  </r>
  <r>
    <s v="LA-701554"/>
    <d v="2024-08-29T00:00:00"/>
    <x v="0"/>
    <s v="Q3"/>
    <x v="7"/>
    <x v="1"/>
    <x v="3"/>
    <x v="3"/>
    <x v="0"/>
    <x v="0"/>
    <n v="5750"/>
    <n v="5000"/>
    <n v="48"/>
    <n v="0.18099999999999999"/>
    <s v="Approved"/>
    <x v="1"/>
    <n v="1"/>
    <n v="0"/>
    <n v="5000"/>
    <n v="0.13900000000000001"/>
    <n v="7"/>
    <n v="0"/>
    <n v="1"/>
  </r>
  <r>
    <s v="LA-701555"/>
    <d v="2024-08-29T00:00:00"/>
    <x v="0"/>
    <s v="Q3"/>
    <x v="7"/>
    <x v="0"/>
    <x v="3"/>
    <x v="2"/>
    <x v="2"/>
    <x v="4"/>
    <n v="3500"/>
    <n v="19500"/>
    <n v="48"/>
    <n v="0.251"/>
    <s v="Approved"/>
    <x v="1"/>
    <n v="1"/>
    <n v="0"/>
    <n v="19500"/>
    <n v="7.7200000000000005E-2"/>
    <n v="7"/>
    <n v="0"/>
    <n v="1"/>
  </r>
  <r>
    <s v="LA-701556"/>
    <d v="2024-08-30T00:00:00"/>
    <x v="0"/>
    <s v="Q3"/>
    <x v="7"/>
    <x v="2"/>
    <x v="3"/>
    <x v="2"/>
    <x v="2"/>
    <x v="0"/>
    <n v="5800"/>
    <n v="66000"/>
    <n v="24"/>
    <n v="0.754"/>
    <s v="Rejected"/>
    <x v="0"/>
    <n v="0"/>
    <n v="1"/>
    <n v="0"/>
    <m/>
    <n v="18"/>
    <n v="0"/>
    <n v="1"/>
  </r>
  <r>
    <s v="LA-701557"/>
    <d v="2024-08-30T00:00:00"/>
    <x v="0"/>
    <s v="Q3"/>
    <x v="7"/>
    <x v="1"/>
    <x v="3"/>
    <x v="0"/>
    <x v="1"/>
    <x v="1"/>
    <n v="6450"/>
    <n v="18000"/>
    <n v="48"/>
    <n v="0.25600000000000001"/>
    <s v="Approved"/>
    <x v="1"/>
    <n v="1"/>
    <n v="0"/>
    <n v="18000"/>
    <n v="0.12470000000000001"/>
    <n v="5"/>
    <n v="0"/>
    <n v="1"/>
  </r>
  <r>
    <s v="LA-701558"/>
    <d v="2024-08-30T00:00:00"/>
    <x v="0"/>
    <s v="Q3"/>
    <x v="7"/>
    <x v="2"/>
    <x v="3"/>
    <x v="2"/>
    <x v="0"/>
    <x v="4"/>
    <n v="9150"/>
    <n v="152000"/>
    <n v="60"/>
    <n v="0.40799999999999997"/>
    <s v="Approved"/>
    <x v="1"/>
    <n v="1"/>
    <n v="0"/>
    <n v="152000"/>
    <n v="9.4E-2"/>
    <n v="9"/>
    <n v="1"/>
    <n v="1"/>
  </r>
  <r>
    <s v="LA-701559"/>
    <d v="2024-08-31T00:00:00"/>
    <x v="0"/>
    <s v="Q3"/>
    <x v="7"/>
    <x v="0"/>
    <x v="1"/>
    <x v="2"/>
    <x v="0"/>
    <x v="4"/>
    <n v="6050"/>
    <n v="28500"/>
    <n v="48"/>
    <n v="0.247"/>
    <s v="Approved"/>
    <x v="1"/>
    <n v="1"/>
    <n v="0"/>
    <n v="28500"/>
    <n v="7.1900000000000006E-2"/>
    <n v="2"/>
    <n v="1"/>
    <n v="1"/>
  </r>
  <r>
    <s v="LA-701560"/>
    <d v="2024-08-31T00:00:00"/>
    <x v="0"/>
    <s v="Q3"/>
    <x v="7"/>
    <x v="2"/>
    <x v="3"/>
    <x v="3"/>
    <x v="0"/>
    <x v="2"/>
    <n v="2050"/>
    <n v="157500"/>
    <n v="24"/>
    <n v="3.6829999999999998"/>
    <s v="Rejected"/>
    <x v="0"/>
    <n v="0"/>
    <n v="1"/>
    <n v="0"/>
    <m/>
    <n v="9"/>
    <n v="1"/>
    <n v="1"/>
  </r>
  <r>
    <s v="LA-701561"/>
    <d v="2024-08-31T00:00:00"/>
    <x v="0"/>
    <s v="Q3"/>
    <x v="7"/>
    <x v="0"/>
    <x v="3"/>
    <x v="0"/>
    <x v="0"/>
    <x v="0"/>
    <n v="16500"/>
    <n v="38000"/>
    <n v="48"/>
    <n v="0.26500000000000001"/>
    <s v="Approved"/>
    <x v="1"/>
    <n v="1"/>
    <n v="0"/>
    <n v="34000"/>
    <n v="9.4600000000000004E-2"/>
    <n v="6"/>
    <n v="0"/>
    <n v="1"/>
  </r>
  <r>
    <s v="LA-701562"/>
    <d v="2024-09-01T00:00:00"/>
    <x v="0"/>
    <s v="Q3"/>
    <x v="8"/>
    <x v="0"/>
    <x v="3"/>
    <x v="3"/>
    <x v="2"/>
    <x v="1"/>
    <n v="4400"/>
    <n v="22000"/>
    <n v="48"/>
    <n v="0.23799999999999999"/>
    <s v="Approved"/>
    <x v="1"/>
    <n v="1"/>
    <n v="0"/>
    <n v="22000"/>
    <n v="8.1699999999999995E-2"/>
    <n v="5"/>
    <n v="0"/>
    <n v="1"/>
  </r>
  <r>
    <s v="LA-701563"/>
    <d v="2024-09-01T00:00:00"/>
    <x v="0"/>
    <s v="Q3"/>
    <x v="8"/>
    <x v="1"/>
    <x v="1"/>
    <x v="0"/>
    <x v="2"/>
    <x v="0"/>
    <n v="7200"/>
    <n v="11000"/>
    <n v="60"/>
    <n v="0.27700000000000002"/>
    <s v="Approved"/>
    <x v="1"/>
    <n v="1"/>
    <n v="0"/>
    <n v="11000"/>
    <n v="0.14130000000000001"/>
    <n v="2"/>
    <n v="1"/>
    <n v="1"/>
  </r>
  <r>
    <s v="LA-701564"/>
    <d v="2024-09-01T00:00:00"/>
    <x v="0"/>
    <s v="Q3"/>
    <x v="8"/>
    <x v="0"/>
    <x v="3"/>
    <x v="2"/>
    <x v="1"/>
    <x v="4"/>
    <n v="6150"/>
    <n v="42500"/>
    <n v="48"/>
    <n v="0.41199999999999998"/>
    <s v="Approved"/>
    <x v="1"/>
    <n v="1"/>
    <n v="0"/>
    <n v="42500"/>
    <n v="7.46E-2"/>
    <n v="7"/>
    <n v="0"/>
    <n v="1"/>
  </r>
  <r>
    <s v="LA-701565"/>
    <d v="2024-09-01T00:00:00"/>
    <x v="0"/>
    <s v="Q3"/>
    <x v="8"/>
    <x v="3"/>
    <x v="0"/>
    <x v="1"/>
    <x v="0"/>
    <x v="1"/>
    <n v="8700"/>
    <n v="189500"/>
    <n v="240"/>
    <n v="0.253"/>
    <s v="Rejected"/>
    <x v="4"/>
    <n v="0"/>
    <n v="1"/>
    <n v="0"/>
    <m/>
    <n v="27"/>
    <n v="0"/>
    <n v="1"/>
  </r>
  <r>
    <s v="LA-701566"/>
    <d v="2024-09-02T00:00:00"/>
    <x v="0"/>
    <s v="Q3"/>
    <x v="8"/>
    <x v="1"/>
    <x v="3"/>
    <x v="1"/>
    <x v="0"/>
    <x v="3"/>
    <n v="3900"/>
    <n v="12000"/>
    <n v="36"/>
    <n v="0.222"/>
    <s v="Approved"/>
    <x v="1"/>
    <n v="1"/>
    <n v="0"/>
    <n v="12000"/>
    <n v="0.1099"/>
    <n v="5"/>
    <n v="0"/>
    <n v="1"/>
  </r>
  <r>
    <s v="LA-701567"/>
    <d v="2024-09-02T00:00:00"/>
    <x v="0"/>
    <s v="Q3"/>
    <x v="8"/>
    <x v="1"/>
    <x v="3"/>
    <x v="4"/>
    <x v="0"/>
    <x v="1"/>
    <n v="10500"/>
    <n v="13000"/>
    <n v="24"/>
    <n v="0.20899999999999999"/>
    <s v="Approved"/>
    <x v="1"/>
    <n v="1"/>
    <n v="0"/>
    <n v="13000"/>
    <n v="0.12429999999999999"/>
    <n v="4"/>
    <n v="0"/>
    <n v="1"/>
  </r>
  <r>
    <s v="LA-701568"/>
    <d v="2024-09-02T00:00:00"/>
    <x v="0"/>
    <s v="Q3"/>
    <x v="8"/>
    <x v="2"/>
    <x v="3"/>
    <x v="4"/>
    <x v="0"/>
    <x v="1"/>
    <n v="4300"/>
    <n v="87500"/>
    <n v="24"/>
    <n v="1.117"/>
    <s v="Rejected"/>
    <x v="3"/>
    <n v="0"/>
    <n v="1"/>
    <n v="0"/>
    <m/>
    <n v="13"/>
    <n v="0"/>
    <n v="1"/>
  </r>
  <r>
    <s v="LA-701569"/>
    <d v="2024-09-02T00:00:00"/>
    <x v="0"/>
    <s v="Q3"/>
    <x v="8"/>
    <x v="3"/>
    <x v="0"/>
    <x v="2"/>
    <x v="1"/>
    <x v="1"/>
    <n v="4950"/>
    <n v="362500"/>
    <n v="300"/>
    <n v="0.53900000000000003"/>
    <s v="Approved"/>
    <x v="1"/>
    <n v="1"/>
    <n v="0"/>
    <n v="326000"/>
    <n v="5.3400000000000003E-2"/>
    <n v="9"/>
    <n v="1"/>
    <n v="1"/>
  </r>
  <r>
    <s v="LA-701570"/>
    <d v="2024-09-02T00:00:00"/>
    <x v="0"/>
    <s v="Q3"/>
    <x v="8"/>
    <x v="0"/>
    <x v="2"/>
    <x v="3"/>
    <x v="1"/>
    <x v="4"/>
    <n v="2400"/>
    <n v="21000"/>
    <n v="60"/>
    <n v="0.36299999999999999"/>
    <s v="Approved"/>
    <x v="1"/>
    <n v="1"/>
    <n v="0"/>
    <n v="19000"/>
    <n v="6.88E-2"/>
    <n v="3"/>
    <n v="1"/>
    <n v="1"/>
  </r>
  <r>
    <s v="LA-701571"/>
    <d v="2024-09-02T00:00:00"/>
    <x v="0"/>
    <s v="Q3"/>
    <x v="8"/>
    <x v="1"/>
    <x v="3"/>
    <x v="3"/>
    <x v="0"/>
    <x v="2"/>
    <n v="2850"/>
    <n v="16500"/>
    <n v="60"/>
    <n v="0.27700000000000002"/>
    <s v="Rejected"/>
    <x v="0"/>
    <n v="0"/>
    <n v="1"/>
    <n v="0"/>
    <m/>
    <n v="6"/>
    <n v="0"/>
    <n v="1"/>
  </r>
  <r>
    <s v="LA-701572"/>
    <d v="2024-09-02T00:00:00"/>
    <x v="0"/>
    <s v="Q3"/>
    <x v="8"/>
    <x v="3"/>
    <x v="2"/>
    <x v="1"/>
    <x v="2"/>
    <x v="4"/>
    <n v="5350"/>
    <n v="282000"/>
    <n v="180"/>
    <n v="0.61699999999999999"/>
    <s v="Approved"/>
    <x v="1"/>
    <n v="1"/>
    <n v="0"/>
    <n v="225500"/>
    <n v="4.9399999999999999E-2"/>
    <n v="9"/>
    <n v="1"/>
    <n v="1"/>
  </r>
  <r>
    <s v="LA-701573"/>
    <d v="2024-09-02T00:00:00"/>
    <x v="0"/>
    <s v="Q3"/>
    <x v="8"/>
    <x v="1"/>
    <x v="3"/>
    <x v="2"/>
    <x v="1"/>
    <x v="0"/>
    <n v="8600"/>
    <n v="7500"/>
    <n v="36"/>
    <n v="0.185"/>
    <s v="Rejected"/>
    <x v="2"/>
    <n v="0"/>
    <n v="1"/>
    <n v="0"/>
    <m/>
    <n v="8"/>
    <n v="0"/>
    <n v="1"/>
  </r>
  <r>
    <s v="LA-701574"/>
    <d v="2024-09-03T00:00:00"/>
    <x v="0"/>
    <s v="Q3"/>
    <x v="8"/>
    <x v="1"/>
    <x v="1"/>
    <x v="2"/>
    <x v="1"/>
    <x v="4"/>
    <n v="11800"/>
    <n v="9000"/>
    <n v="60"/>
    <n v="0.113"/>
    <s v="Approved"/>
    <x v="1"/>
    <n v="1"/>
    <n v="0"/>
    <n v="9000"/>
    <n v="0.1123"/>
    <n v="1"/>
    <n v="1"/>
    <n v="1"/>
  </r>
  <r>
    <s v="LA-701575"/>
    <d v="2024-09-03T00:00:00"/>
    <x v="0"/>
    <s v="Q3"/>
    <x v="8"/>
    <x v="1"/>
    <x v="2"/>
    <x v="4"/>
    <x v="2"/>
    <x v="1"/>
    <n v="3950"/>
    <n v="12000"/>
    <n v="24"/>
    <n v="0.28399999999999997"/>
    <s v="Approved"/>
    <x v="1"/>
    <n v="1"/>
    <n v="0"/>
    <n v="12000"/>
    <n v="0.13009999999999999"/>
    <n v="4"/>
    <n v="0"/>
    <n v="1"/>
  </r>
  <r>
    <s v="LA-701576"/>
    <d v="2024-09-03T00:00:00"/>
    <x v="0"/>
    <s v="Q3"/>
    <x v="8"/>
    <x v="2"/>
    <x v="2"/>
    <x v="1"/>
    <x v="1"/>
    <x v="1"/>
    <n v="5800"/>
    <n v="57000"/>
    <n v="24"/>
    <n v="0.69099999999999995"/>
    <s v="Withdrawn"/>
    <x v="1"/>
    <n v="0"/>
    <n v="0"/>
    <n v="0"/>
    <m/>
    <n v="8"/>
    <n v="1"/>
    <n v="1"/>
  </r>
  <r>
    <s v="LA-701577"/>
    <d v="2024-09-03T00:00:00"/>
    <x v="0"/>
    <s v="Q3"/>
    <x v="8"/>
    <x v="0"/>
    <x v="1"/>
    <x v="3"/>
    <x v="1"/>
    <x v="4"/>
    <n v="4700"/>
    <n v="22500"/>
    <n v="48"/>
    <n v="0.29699999999999999"/>
    <s v="Approved"/>
    <x v="1"/>
    <n v="1"/>
    <n v="0"/>
    <n v="22500"/>
    <n v="7.2999999999999995E-2"/>
    <n v="3"/>
    <n v="1"/>
    <n v="1"/>
  </r>
  <r>
    <s v="LA-701578"/>
    <d v="2024-09-03T00:00:00"/>
    <x v="0"/>
    <s v="Q3"/>
    <x v="8"/>
    <x v="0"/>
    <x v="2"/>
    <x v="1"/>
    <x v="0"/>
    <x v="0"/>
    <n v="7250"/>
    <n v="12000"/>
    <n v="48"/>
    <n v="0.251"/>
    <s v="Approved"/>
    <x v="1"/>
    <n v="1"/>
    <n v="0"/>
    <n v="12000"/>
    <n v="9.9299999999999999E-2"/>
    <n v="5"/>
    <n v="0"/>
    <n v="1"/>
  </r>
  <r>
    <s v="LA-701579"/>
    <d v="2024-09-03T00:00:00"/>
    <x v="0"/>
    <s v="Q3"/>
    <x v="8"/>
    <x v="2"/>
    <x v="0"/>
    <x v="3"/>
    <x v="0"/>
    <x v="1"/>
    <n v="6050"/>
    <n v="234500"/>
    <n v="36"/>
    <n v="1.431"/>
    <s v="Rejected"/>
    <x v="3"/>
    <n v="0"/>
    <n v="1"/>
    <n v="0"/>
    <m/>
    <n v="7"/>
    <n v="1"/>
    <n v="1"/>
  </r>
  <r>
    <s v="LA-701580"/>
    <d v="2024-09-04T00:00:00"/>
    <x v="0"/>
    <s v="Q3"/>
    <x v="8"/>
    <x v="2"/>
    <x v="1"/>
    <x v="1"/>
    <x v="1"/>
    <x v="1"/>
    <n v="4950"/>
    <n v="127500"/>
    <n v="36"/>
    <n v="1.0169999999999999"/>
    <s v="Approved"/>
    <x v="1"/>
    <n v="1"/>
    <n v="0"/>
    <n v="127500"/>
    <n v="0.10929999999999999"/>
    <n v="10"/>
    <n v="1"/>
    <n v="1"/>
  </r>
  <r>
    <s v="LA-701581"/>
    <d v="2024-09-04T00:00:00"/>
    <x v="0"/>
    <s v="Q3"/>
    <x v="8"/>
    <x v="1"/>
    <x v="2"/>
    <x v="3"/>
    <x v="0"/>
    <x v="2"/>
    <n v="6650"/>
    <n v="11500"/>
    <n v="36"/>
    <n v="0.254"/>
    <s v="Rejected"/>
    <x v="0"/>
    <n v="0"/>
    <n v="1"/>
    <n v="0"/>
    <m/>
    <n v="2"/>
    <n v="1"/>
    <n v="1"/>
  </r>
  <r>
    <s v="LA-701582"/>
    <d v="2024-09-04T00:00:00"/>
    <x v="0"/>
    <s v="Q3"/>
    <x v="8"/>
    <x v="0"/>
    <x v="0"/>
    <x v="1"/>
    <x v="0"/>
    <x v="0"/>
    <n v="4750"/>
    <n v="45500"/>
    <n v="48"/>
    <n v="0.43099999999999999"/>
    <s v="Rejected"/>
    <x v="0"/>
    <n v="0"/>
    <n v="1"/>
    <n v="0"/>
    <m/>
    <n v="7"/>
    <n v="0"/>
    <n v="1"/>
  </r>
  <r>
    <s v="LA-701583"/>
    <d v="2024-09-04T00:00:00"/>
    <x v="0"/>
    <s v="Q3"/>
    <x v="8"/>
    <x v="3"/>
    <x v="0"/>
    <x v="1"/>
    <x v="0"/>
    <x v="4"/>
    <n v="5500"/>
    <n v="747000"/>
    <n v="240"/>
    <n v="1.0289999999999999"/>
    <s v="Rejected"/>
    <x v="3"/>
    <n v="0"/>
    <n v="1"/>
    <n v="0"/>
    <m/>
    <n v="15"/>
    <n v="1"/>
    <n v="1"/>
  </r>
  <r>
    <s v="LA-701584"/>
    <d v="2024-09-04T00:00:00"/>
    <x v="0"/>
    <s v="Q3"/>
    <x v="8"/>
    <x v="0"/>
    <x v="1"/>
    <x v="4"/>
    <x v="0"/>
    <x v="0"/>
    <n v="10900"/>
    <n v="37000"/>
    <n v="48"/>
    <n v="0.157"/>
    <s v="Approved"/>
    <x v="1"/>
    <n v="1"/>
    <n v="0"/>
    <n v="37000"/>
    <n v="9.74E-2"/>
    <n v="2"/>
    <n v="1"/>
    <n v="1"/>
  </r>
  <r>
    <s v="LA-701585"/>
    <d v="2024-09-04T00:00:00"/>
    <x v="0"/>
    <s v="Q3"/>
    <x v="8"/>
    <x v="0"/>
    <x v="0"/>
    <x v="2"/>
    <x v="0"/>
    <x v="3"/>
    <n v="3150"/>
    <n v="45500"/>
    <n v="36"/>
    <n v="0.55700000000000005"/>
    <s v="Rejected"/>
    <x v="4"/>
    <n v="0"/>
    <n v="1"/>
    <n v="0"/>
    <m/>
    <n v="8"/>
    <n v="0"/>
    <n v="1"/>
  </r>
  <r>
    <s v="LA-701586"/>
    <d v="2024-09-05T00:00:00"/>
    <x v="0"/>
    <s v="Q3"/>
    <x v="8"/>
    <x v="0"/>
    <x v="1"/>
    <x v="1"/>
    <x v="1"/>
    <x v="0"/>
    <n v="5000"/>
    <n v="23500"/>
    <n v="48"/>
    <n v="0.34"/>
    <s v="Approved"/>
    <x v="1"/>
    <n v="1"/>
    <n v="0"/>
    <n v="21000"/>
    <n v="9.9900000000000003E-2"/>
    <n v="2"/>
    <n v="1"/>
    <n v="1"/>
  </r>
  <r>
    <s v="LA-701587"/>
    <d v="2024-09-05T00:00:00"/>
    <x v="0"/>
    <s v="Q3"/>
    <x v="8"/>
    <x v="1"/>
    <x v="2"/>
    <x v="3"/>
    <x v="0"/>
    <x v="0"/>
    <n v="4500"/>
    <n v="7500"/>
    <n v="48"/>
    <n v="0.26500000000000001"/>
    <s v="Rejected"/>
    <x v="0"/>
    <n v="0"/>
    <n v="1"/>
    <n v="0"/>
    <m/>
    <n v="2"/>
    <n v="1"/>
    <n v="1"/>
  </r>
  <r>
    <s v="LA-701588"/>
    <d v="2024-09-05T00:00:00"/>
    <x v="0"/>
    <s v="Q3"/>
    <x v="8"/>
    <x v="2"/>
    <x v="1"/>
    <x v="4"/>
    <x v="0"/>
    <x v="0"/>
    <n v="2750"/>
    <n v="75500"/>
    <n v="12"/>
    <n v="2.5009999999999999"/>
    <s v="Rejected"/>
    <x v="0"/>
    <n v="0"/>
    <n v="1"/>
    <n v="0"/>
    <m/>
    <n v="5"/>
    <n v="1"/>
    <n v="1"/>
  </r>
  <r>
    <s v="LA-701589"/>
    <d v="2024-09-05T00:00:00"/>
    <x v="0"/>
    <s v="Q3"/>
    <x v="8"/>
    <x v="1"/>
    <x v="3"/>
    <x v="2"/>
    <x v="1"/>
    <x v="1"/>
    <n v="9400"/>
    <n v="13000"/>
    <n v="36"/>
    <n v="0.156"/>
    <s v="Approved"/>
    <x v="1"/>
    <n v="1"/>
    <n v="0"/>
    <n v="13000"/>
    <n v="0.1278"/>
    <n v="5"/>
    <n v="0"/>
    <n v="1"/>
  </r>
  <r>
    <s v="LA-701590"/>
    <d v="2024-09-05T00:00:00"/>
    <x v="0"/>
    <s v="Q3"/>
    <x v="8"/>
    <x v="3"/>
    <x v="3"/>
    <x v="3"/>
    <x v="0"/>
    <x v="2"/>
    <n v="10700"/>
    <n v="110500"/>
    <n v="300"/>
    <n v="0.122"/>
    <s v="Rejected"/>
    <x v="0"/>
    <n v="0"/>
    <n v="1"/>
    <n v="0"/>
    <m/>
    <n v="19"/>
    <n v="0"/>
    <n v="1"/>
  </r>
  <r>
    <s v="LA-701591"/>
    <d v="2024-09-05T00:00:00"/>
    <x v="0"/>
    <s v="Q3"/>
    <x v="8"/>
    <x v="1"/>
    <x v="2"/>
    <x v="1"/>
    <x v="1"/>
    <x v="1"/>
    <n v="4200"/>
    <n v="10500"/>
    <n v="12"/>
    <n v="0.35199999999999998"/>
    <s v="Rejected"/>
    <x v="5"/>
    <n v="0"/>
    <n v="1"/>
    <n v="0"/>
    <m/>
    <n v="2"/>
    <n v="1"/>
    <n v="1"/>
  </r>
  <r>
    <s v="LA-701592"/>
    <d v="2024-09-05T00:00:00"/>
    <x v="0"/>
    <s v="Q3"/>
    <x v="8"/>
    <x v="1"/>
    <x v="1"/>
    <x v="3"/>
    <x v="2"/>
    <x v="1"/>
    <n v="4850"/>
    <n v="14000"/>
    <n v="36"/>
    <n v="0.23300000000000001"/>
    <s v="Rejected"/>
    <x v="5"/>
    <n v="0"/>
    <n v="1"/>
    <n v="0"/>
    <m/>
    <n v="2"/>
    <n v="1"/>
    <n v="1"/>
  </r>
  <r>
    <s v="LA-701593"/>
    <d v="2024-09-05T00:00:00"/>
    <x v="0"/>
    <s v="Q3"/>
    <x v="8"/>
    <x v="3"/>
    <x v="3"/>
    <x v="2"/>
    <x v="1"/>
    <x v="4"/>
    <n v="6300"/>
    <n v="171000"/>
    <n v="300"/>
    <n v="0.39600000000000002"/>
    <s v="Approved"/>
    <x v="1"/>
    <n v="1"/>
    <n v="0"/>
    <n v="154000"/>
    <n v="4.9099999999999998E-2"/>
    <n v="14"/>
    <n v="1"/>
    <n v="1"/>
  </r>
  <r>
    <s v="LA-701594"/>
    <d v="2024-09-05T00:00:00"/>
    <x v="0"/>
    <s v="Q3"/>
    <x v="8"/>
    <x v="2"/>
    <x v="1"/>
    <x v="2"/>
    <x v="1"/>
    <x v="0"/>
    <n v="6450"/>
    <n v="39500"/>
    <n v="12"/>
    <n v="0.70499999999999996"/>
    <s v="Rejected"/>
    <x v="3"/>
    <n v="0"/>
    <n v="1"/>
    <n v="0"/>
    <m/>
    <n v="6"/>
    <n v="1"/>
    <n v="1"/>
  </r>
  <r>
    <s v="LA-701595"/>
    <d v="2024-09-06T00:00:00"/>
    <x v="0"/>
    <s v="Q3"/>
    <x v="8"/>
    <x v="3"/>
    <x v="2"/>
    <x v="2"/>
    <x v="0"/>
    <x v="0"/>
    <n v="9550"/>
    <n v="314500"/>
    <n v="180"/>
    <n v="0.34300000000000003"/>
    <s v="Approved"/>
    <x v="1"/>
    <n v="1"/>
    <n v="0"/>
    <n v="314500"/>
    <n v="7.6100000000000001E-2"/>
    <n v="9"/>
    <n v="1"/>
    <n v="1"/>
  </r>
  <r>
    <s v="LA-701596"/>
    <d v="2024-09-06T00:00:00"/>
    <x v="0"/>
    <s v="Q3"/>
    <x v="8"/>
    <x v="0"/>
    <x v="0"/>
    <x v="3"/>
    <x v="1"/>
    <x v="3"/>
    <n v="4100"/>
    <n v="27000"/>
    <n v="36"/>
    <n v="0.26400000000000001"/>
    <s v="Approved"/>
    <x v="1"/>
    <n v="1"/>
    <n v="0"/>
    <n v="27000"/>
    <n v="6.8199999999999997E-2"/>
    <n v="3"/>
    <n v="1"/>
    <n v="1"/>
  </r>
  <r>
    <s v="LA-701597"/>
    <d v="2024-09-07T00:00:00"/>
    <x v="0"/>
    <s v="Q3"/>
    <x v="8"/>
    <x v="1"/>
    <x v="2"/>
    <x v="3"/>
    <x v="2"/>
    <x v="4"/>
    <n v="6050"/>
    <n v="7500"/>
    <n v="36"/>
    <n v="0.129"/>
    <s v="Approved"/>
    <x v="1"/>
    <n v="1"/>
    <n v="0"/>
    <n v="7500"/>
    <n v="0.1193"/>
    <n v="2"/>
    <n v="1"/>
    <n v="1"/>
  </r>
  <r>
    <s v="LA-701598"/>
    <d v="2024-09-07T00:00:00"/>
    <x v="0"/>
    <s v="Q3"/>
    <x v="8"/>
    <x v="1"/>
    <x v="1"/>
    <x v="4"/>
    <x v="2"/>
    <x v="1"/>
    <n v="4600"/>
    <n v="17500"/>
    <n v="12"/>
    <n v="0.43"/>
    <s v="Approved"/>
    <x v="1"/>
    <n v="1"/>
    <n v="0"/>
    <n v="14000"/>
    <n v="0.1211"/>
    <n v="2"/>
    <n v="1"/>
    <n v="1"/>
  </r>
  <r>
    <s v="LA-701599"/>
    <d v="2024-09-07T00:00:00"/>
    <x v="0"/>
    <s v="Q3"/>
    <x v="8"/>
    <x v="1"/>
    <x v="1"/>
    <x v="3"/>
    <x v="0"/>
    <x v="4"/>
    <n v="3800"/>
    <n v="37000"/>
    <n v="24"/>
    <n v="0.68700000000000006"/>
    <s v="Rejected"/>
    <x v="3"/>
    <n v="0"/>
    <n v="1"/>
    <n v="0"/>
    <m/>
    <n v="1"/>
    <n v="1"/>
    <n v="1"/>
  </r>
  <r>
    <s v="LA-701600"/>
    <d v="2024-09-07T00:00:00"/>
    <x v="0"/>
    <s v="Q3"/>
    <x v="8"/>
    <x v="1"/>
    <x v="2"/>
    <x v="1"/>
    <x v="1"/>
    <x v="1"/>
    <n v="6100"/>
    <n v="4500"/>
    <n v="12"/>
    <n v="0.125"/>
    <s v="Approved"/>
    <x v="1"/>
    <n v="1"/>
    <n v="0"/>
    <n v="3500"/>
    <n v="0.1283"/>
    <n v="3"/>
    <n v="1"/>
    <n v="1"/>
  </r>
  <r>
    <s v="LA-701601"/>
    <d v="2024-09-07T00:00:00"/>
    <x v="0"/>
    <s v="Q3"/>
    <x v="8"/>
    <x v="3"/>
    <x v="0"/>
    <x v="1"/>
    <x v="1"/>
    <x v="3"/>
    <n v="4700"/>
    <n v="146500"/>
    <n v="240"/>
    <n v="0.41299999999999998"/>
    <s v="Approved"/>
    <x v="1"/>
    <n v="1"/>
    <n v="0"/>
    <n v="146500"/>
    <n v="3.8899999999999997E-2"/>
    <n v="16"/>
    <n v="0"/>
    <n v="1"/>
  </r>
  <r>
    <s v="LA-701602"/>
    <d v="2024-09-07T00:00:00"/>
    <x v="0"/>
    <s v="Q3"/>
    <x v="8"/>
    <x v="2"/>
    <x v="2"/>
    <x v="3"/>
    <x v="0"/>
    <x v="2"/>
    <n v="3500"/>
    <n v="100000"/>
    <n v="12"/>
    <n v="2.5960000000000001"/>
    <s v="Rejected"/>
    <x v="0"/>
    <n v="0"/>
    <n v="1"/>
    <n v="0"/>
    <m/>
    <n v="6"/>
    <n v="1"/>
    <n v="1"/>
  </r>
  <r>
    <s v="LA-701603"/>
    <d v="2024-09-08T00:00:00"/>
    <x v="0"/>
    <s v="Q3"/>
    <x v="8"/>
    <x v="2"/>
    <x v="1"/>
    <x v="4"/>
    <x v="1"/>
    <x v="0"/>
    <n v="5750"/>
    <n v="98500"/>
    <n v="12"/>
    <n v="1.607"/>
    <s v="Rejected"/>
    <x v="3"/>
    <n v="0"/>
    <n v="1"/>
    <n v="0"/>
    <m/>
    <n v="5"/>
    <n v="1"/>
    <n v="1"/>
  </r>
  <r>
    <s v="LA-701604"/>
    <d v="2024-09-08T00:00:00"/>
    <x v="0"/>
    <s v="Q3"/>
    <x v="8"/>
    <x v="0"/>
    <x v="3"/>
    <x v="0"/>
    <x v="2"/>
    <x v="0"/>
    <n v="5300"/>
    <n v="18000"/>
    <n v="48"/>
    <n v="0.247"/>
    <s v="Rejected"/>
    <x v="0"/>
    <n v="0"/>
    <n v="1"/>
    <n v="0"/>
    <m/>
    <n v="5"/>
    <n v="0"/>
    <n v="1"/>
  </r>
  <r>
    <s v="LA-701605"/>
    <d v="2024-09-08T00:00:00"/>
    <x v="0"/>
    <s v="Q3"/>
    <x v="8"/>
    <x v="0"/>
    <x v="2"/>
    <x v="0"/>
    <x v="1"/>
    <x v="4"/>
    <n v="8600"/>
    <n v="18000"/>
    <n v="48"/>
    <n v="0.106"/>
    <s v="Approved"/>
    <x v="1"/>
    <n v="1"/>
    <n v="0"/>
    <n v="14500"/>
    <n v="7.0900000000000005E-2"/>
    <n v="2"/>
    <n v="1"/>
    <n v="1"/>
  </r>
  <r>
    <s v="LA-701606"/>
    <d v="2024-09-08T00:00:00"/>
    <x v="0"/>
    <s v="Q3"/>
    <x v="8"/>
    <x v="3"/>
    <x v="0"/>
    <x v="2"/>
    <x v="1"/>
    <x v="1"/>
    <n v="8150"/>
    <n v="340000"/>
    <n v="240"/>
    <n v="0.42899999999999999"/>
    <s v="Approved"/>
    <x v="1"/>
    <n v="1"/>
    <n v="0"/>
    <n v="340000"/>
    <n v="5.3999999999999999E-2"/>
    <n v="33"/>
    <n v="0"/>
    <n v="1"/>
  </r>
  <r>
    <s v="LA-701607"/>
    <d v="2024-09-08T00:00:00"/>
    <x v="0"/>
    <s v="Q3"/>
    <x v="8"/>
    <x v="1"/>
    <x v="3"/>
    <x v="2"/>
    <x v="1"/>
    <x v="0"/>
    <n v="5950"/>
    <n v="23500"/>
    <n v="60"/>
    <n v="0.152"/>
    <s v="Rejected"/>
    <x v="0"/>
    <n v="0"/>
    <n v="1"/>
    <n v="0"/>
    <m/>
    <n v="8"/>
    <n v="0"/>
    <n v="1"/>
  </r>
  <r>
    <s v="LA-701608"/>
    <d v="2024-09-09T00:00:00"/>
    <x v="0"/>
    <s v="Q3"/>
    <x v="8"/>
    <x v="1"/>
    <x v="3"/>
    <x v="3"/>
    <x v="2"/>
    <x v="2"/>
    <n v="8800"/>
    <n v="5500"/>
    <n v="24"/>
    <n v="0.23100000000000001"/>
    <s v="Rejected"/>
    <x v="0"/>
    <n v="0"/>
    <n v="1"/>
    <n v="0"/>
    <m/>
    <n v="4"/>
    <n v="0"/>
    <n v="1"/>
  </r>
  <r>
    <s v="LA-701609"/>
    <d v="2024-09-09T00:00:00"/>
    <x v="0"/>
    <s v="Q3"/>
    <x v="8"/>
    <x v="3"/>
    <x v="0"/>
    <x v="1"/>
    <x v="1"/>
    <x v="4"/>
    <n v="3100"/>
    <n v="261000"/>
    <n v="300"/>
    <n v="0.64900000000000002"/>
    <s v="Approved"/>
    <x v="1"/>
    <n v="1"/>
    <n v="0"/>
    <n v="261000"/>
    <n v="5.3400000000000003E-2"/>
    <n v="26"/>
    <n v="0"/>
    <n v="1"/>
  </r>
  <r>
    <s v="LA-701610"/>
    <d v="2024-09-09T00:00:00"/>
    <x v="0"/>
    <s v="Q3"/>
    <x v="8"/>
    <x v="2"/>
    <x v="1"/>
    <x v="4"/>
    <x v="1"/>
    <x v="0"/>
    <n v="6350"/>
    <n v="95500"/>
    <n v="60"/>
    <n v="0.56100000000000005"/>
    <s v="Approved"/>
    <x v="1"/>
    <n v="1"/>
    <n v="0"/>
    <n v="95500"/>
    <n v="0.12540000000000001"/>
    <n v="6"/>
    <n v="1"/>
    <n v="1"/>
  </r>
  <r>
    <s v="LA-701611"/>
    <d v="2024-09-09T00:00:00"/>
    <x v="0"/>
    <s v="Q3"/>
    <x v="8"/>
    <x v="0"/>
    <x v="2"/>
    <x v="3"/>
    <x v="2"/>
    <x v="2"/>
    <n v="4650"/>
    <n v="12500"/>
    <n v="60"/>
    <n v="0.17699999999999999"/>
    <s v="Rejected"/>
    <x v="2"/>
    <n v="0"/>
    <n v="1"/>
    <n v="0"/>
    <m/>
    <n v="2"/>
    <n v="1"/>
    <n v="1"/>
  </r>
  <r>
    <s v="LA-701612"/>
    <d v="2024-09-09T00:00:00"/>
    <x v="0"/>
    <s v="Q3"/>
    <x v="8"/>
    <x v="1"/>
    <x v="1"/>
    <x v="3"/>
    <x v="0"/>
    <x v="0"/>
    <n v="2400"/>
    <n v="8500"/>
    <n v="12"/>
    <n v="0.40799999999999997"/>
    <s v="Withdrawn"/>
    <x v="1"/>
    <n v="0"/>
    <n v="0"/>
    <n v="0"/>
    <m/>
    <n v="1"/>
    <n v="1"/>
    <n v="1"/>
  </r>
  <r>
    <s v="LA-701613"/>
    <d v="2024-09-09T00:00:00"/>
    <x v="0"/>
    <s v="Q3"/>
    <x v="8"/>
    <x v="2"/>
    <x v="3"/>
    <x v="2"/>
    <x v="2"/>
    <x v="4"/>
    <n v="5300"/>
    <n v="51500"/>
    <n v="12"/>
    <n v="1.0069999999999999"/>
    <s v="Approved"/>
    <x v="1"/>
    <n v="1"/>
    <n v="0"/>
    <n v="51500"/>
    <n v="9.5399999999999999E-2"/>
    <n v="10"/>
    <n v="1"/>
    <n v="1"/>
  </r>
  <r>
    <s v="LA-701614"/>
    <d v="2024-09-09T00:00:00"/>
    <x v="0"/>
    <s v="Q3"/>
    <x v="8"/>
    <x v="3"/>
    <x v="2"/>
    <x v="1"/>
    <x v="1"/>
    <x v="0"/>
    <n v="2800"/>
    <n v="76000"/>
    <n v="180"/>
    <n v="0.44700000000000001"/>
    <s v="Rejected"/>
    <x v="2"/>
    <n v="0"/>
    <n v="1"/>
    <n v="0"/>
    <m/>
    <n v="8"/>
    <n v="1"/>
    <n v="1"/>
  </r>
  <r>
    <s v="LA-701615"/>
    <d v="2024-09-10T00:00:00"/>
    <x v="0"/>
    <s v="Q3"/>
    <x v="8"/>
    <x v="1"/>
    <x v="1"/>
    <x v="2"/>
    <x v="0"/>
    <x v="0"/>
    <n v="5750"/>
    <n v="8000"/>
    <n v="24"/>
    <n v="0.29399999999999998"/>
    <s v="Rejected"/>
    <x v="0"/>
    <n v="0"/>
    <n v="1"/>
    <n v="0"/>
    <m/>
    <n v="2"/>
    <n v="1"/>
    <n v="1"/>
  </r>
  <r>
    <s v="LA-701616"/>
    <d v="2024-09-10T00:00:00"/>
    <x v="0"/>
    <s v="Q3"/>
    <x v="8"/>
    <x v="0"/>
    <x v="2"/>
    <x v="3"/>
    <x v="2"/>
    <x v="1"/>
    <n v="4350"/>
    <n v="42500"/>
    <n v="60"/>
    <n v="0.42"/>
    <s v="Approved"/>
    <x v="1"/>
    <n v="1"/>
    <n v="0"/>
    <n v="42500"/>
    <n v="7.9500000000000001E-2"/>
    <n v="3"/>
    <n v="1"/>
    <n v="1"/>
  </r>
  <r>
    <s v="LA-701617"/>
    <d v="2024-09-10T00:00:00"/>
    <x v="0"/>
    <s v="Q3"/>
    <x v="8"/>
    <x v="3"/>
    <x v="3"/>
    <x v="1"/>
    <x v="2"/>
    <x v="1"/>
    <n v="3450"/>
    <n v="578000"/>
    <n v="300"/>
    <n v="1.0900000000000001"/>
    <s v="Rejected"/>
    <x v="3"/>
    <n v="0"/>
    <n v="1"/>
    <n v="0"/>
    <m/>
    <n v="29"/>
    <n v="0"/>
    <n v="1"/>
  </r>
  <r>
    <s v="LA-701618"/>
    <d v="2024-09-10T00:00:00"/>
    <x v="0"/>
    <s v="Q3"/>
    <x v="8"/>
    <x v="3"/>
    <x v="3"/>
    <x v="2"/>
    <x v="0"/>
    <x v="4"/>
    <n v="6150"/>
    <n v="507500"/>
    <n v="180"/>
    <n v="0.72799999999999998"/>
    <s v="Approved"/>
    <x v="1"/>
    <n v="1"/>
    <n v="0"/>
    <n v="406000"/>
    <n v="4.5100000000000001E-2"/>
    <n v="23"/>
    <n v="0"/>
    <n v="1"/>
  </r>
  <r>
    <s v="LA-701619"/>
    <d v="2024-09-10T00:00:00"/>
    <x v="0"/>
    <s v="Q3"/>
    <x v="8"/>
    <x v="2"/>
    <x v="0"/>
    <x v="1"/>
    <x v="0"/>
    <x v="1"/>
    <n v="10300"/>
    <n v="56500"/>
    <n v="36"/>
    <n v="0.34300000000000003"/>
    <s v="Approved"/>
    <x v="1"/>
    <n v="1"/>
    <n v="0"/>
    <n v="56500"/>
    <n v="0.1079"/>
    <n v="12"/>
    <n v="0"/>
    <n v="1"/>
  </r>
  <r>
    <s v="LA-701620"/>
    <d v="2024-09-10T00:00:00"/>
    <x v="0"/>
    <s v="Q3"/>
    <x v="8"/>
    <x v="1"/>
    <x v="0"/>
    <x v="2"/>
    <x v="0"/>
    <x v="1"/>
    <n v="11450"/>
    <n v="7000"/>
    <n v="24"/>
    <n v="9.7000000000000003E-2"/>
    <s v="Rejected"/>
    <x v="4"/>
    <n v="0"/>
    <n v="1"/>
    <n v="0"/>
    <m/>
    <n v="10"/>
    <n v="0"/>
    <n v="1"/>
  </r>
  <r>
    <s v="LA-701621"/>
    <d v="2024-09-10T00:00:00"/>
    <x v="0"/>
    <s v="Q3"/>
    <x v="8"/>
    <x v="1"/>
    <x v="3"/>
    <x v="3"/>
    <x v="0"/>
    <x v="1"/>
    <n v="5200"/>
    <n v="5500"/>
    <n v="48"/>
    <n v="0.154"/>
    <s v="Rejected"/>
    <x v="0"/>
    <n v="0"/>
    <n v="1"/>
    <n v="0"/>
    <m/>
    <n v="3"/>
    <n v="1"/>
    <n v="1"/>
  </r>
  <r>
    <s v="LA-701622"/>
    <d v="2024-09-10T00:00:00"/>
    <x v="0"/>
    <s v="Q3"/>
    <x v="8"/>
    <x v="1"/>
    <x v="0"/>
    <x v="1"/>
    <x v="0"/>
    <x v="0"/>
    <n v="3300"/>
    <n v="5500"/>
    <n v="48"/>
    <n v="0.19500000000000001"/>
    <s v="Approved"/>
    <x v="1"/>
    <n v="1"/>
    <n v="0"/>
    <n v="5500"/>
    <n v="0.1409"/>
    <n v="2"/>
    <n v="1"/>
    <n v="1"/>
  </r>
  <r>
    <s v="LA-701623"/>
    <d v="2024-09-10T00:00:00"/>
    <x v="0"/>
    <s v="Q3"/>
    <x v="8"/>
    <x v="1"/>
    <x v="3"/>
    <x v="4"/>
    <x v="0"/>
    <x v="4"/>
    <n v="3150"/>
    <n v="13000"/>
    <n v="24"/>
    <n v="0.27500000000000002"/>
    <s v="Approved"/>
    <x v="1"/>
    <n v="1"/>
    <n v="0"/>
    <n v="11500"/>
    <n v="0.1142"/>
    <n v="5"/>
    <n v="0"/>
    <n v="1"/>
  </r>
  <r>
    <s v="LA-701624"/>
    <d v="2024-09-10T00:00:00"/>
    <x v="0"/>
    <s v="Q3"/>
    <x v="8"/>
    <x v="0"/>
    <x v="3"/>
    <x v="2"/>
    <x v="0"/>
    <x v="2"/>
    <n v="3800"/>
    <n v="52000"/>
    <n v="48"/>
    <n v="0.57599999999999996"/>
    <s v="Rejected"/>
    <x v="0"/>
    <n v="0"/>
    <n v="1"/>
    <n v="0"/>
    <m/>
    <n v="8"/>
    <n v="0"/>
    <n v="1"/>
  </r>
  <r>
    <s v="LA-701625"/>
    <d v="2024-09-10T00:00:00"/>
    <x v="0"/>
    <s v="Q3"/>
    <x v="8"/>
    <x v="1"/>
    <x v="3"/>
    <x v="3"/>
    <x v="0"/>
    <x v="4"/>
    <n v="2750"/>
    <n v="21000"/>
    <n v="48"/>
    <n v="0.32200000000000001"/>
    <s v="Approved"/>
    <x v="1"/>
    <n v="1"/>
    <n v="0"/>
    <n v="21000"/>
    <n v="0.1186"/>
    <n v="4"/>
    <n v="0"/>
    <n v="1"/>
  </r>
  <r>
    <s v="LA-701626"/>
    <d v="2024-09-10T00:00:00"/>
    <x v="0"/>
    <s v="Q3"/>
    <x v="8"/>
    <x v="2"/>
    <x v="3"/>
    <x v="3"/>
    <x v="0"/>
    <x v="0"/>
    <n v="3050"/>
    <n v="77500"/>
    <n v="24"/>
    <n v="1.2629999999999999"/>
    <s v="Rejected"/>
    <x v="0"/>
    <n v="0"/>
    <n v="1"/>
    <n v="0"/>
    <m/>
    <n v="20"/>
    <n v="0"/>
    <n v="1"/>
  </r>
  <r>
    <s v="LA-701627"/>
    <d v="2024-09-11T00:00:00"/>
    <x v="0"/>
    <s v="Q3"/>
    <x v="8"/>
    <x v="1"/>
    <x v="2"/>
    <x v="2"/>
    <x v="0"/>
    <x v="4"/>
    <n v="3100"/>
    <n v="19000"/>
    <n v="24"/>
    <n v="0.504"/>
    <s v="Withdrawn"/>
    <x v="1"/>
    <n v="0"/>
    <n v="0"/>
    <n v="0"/>
    <m/>
    <n v="5"/>
    <n v="0"/>
    <n v="1"/>
  </r>
  <r>
    <s v="LA-701628"/>
    <d v="2024-09-11T00:00:00"/>
    <x v="0"/>
    <s v="Q3"/>
    <x v="8"/>
    <x v="1"/>
    <x v="1"/>
    <x v="4"/>
    <x v="2"/>
    <x v="0"/>
    <n v="3150"/>
    <n v="7500"/>
    <n v="24"/>
    <n v="0.28999999999999998"/>
    <s v="Approved"/>
    <x v="1"/>
    <n v="1"/>
    <n v="0"/>
    <n v="7500"/>
    <n v="0.14030000000000001"/>
    <n v="2"/>
    <n v="1"/>
    <n v="1"/>
  </r>
  <r>
    <s v="LA-701629"/>
    <d v="2024-09-11T00:00:00"/>
    <x v="0"/>
    <s v="Q3"/>
    <x v="8"/>
    <x v="1"/>
    <x v="0"/>
    <x v="2"/>
    <x v="1"/>
    <x v="3"/>
    <n v="5400"/>
    <n v="13000"/>
    <n v="24"/>
    <n v="0.30399999999999999"/>
    <s v="Rejected"/>
    <x v="4"/>
    <n v="0"/>
    <n v="1"/>
    <n v="0"/>
    <m/>
    <n v="6"/>
    <n v="0"/>
    <n v="1"/>
  </r>
  <r>
    <s v="LA-701630"/>
    <d v="2024-09-11T00:00:00"/>
    <x v="0"/>
    <s v="Q3"/>
    <x v="8"/>
    <x v="2"/>
    <x v="0"/>
    <x v="1"/>
    <x v="2"/>
    <x v="4"/>
    <n v="5800"/>
    <n v="168500"/>
    <n v="24"/>
    <n v="1.5289999999999999"/>
    <s v="Rejected"/>
    <x v="3"/>
    <n v="0"/>
    <n v="1"/>
    <n v="0"/>
    <m/>
    <n v="7"/>
    <n v="1"/>
    <n v="1"/>
  </r>
  <r>
    <s v="LA-701631"/>
    <d v="2024-09-11T00:00:00"/>
    <x v="0"/>
    <s v="Q3"/>
    <x v="8"/>
    <x v="2"/>
    <x v="3"/>
    <x v="2"/>
    <x v="2"/>
    <x v="4"/>
    <n v="5400"/>
    <n v="48500"/>
    <n v="36"/>
    <n v="0.47299999999999998"/>
    <s v="Rejected"/>
    <x v="4"/>
    <n v="0"/>
    <n v="1"/>
    <n v="0"/>
    <m/>
    <n v="26"/>
    <n v="0"/>
    <n v="1"/>
  </r>
  <r>
    <s v="LA-701632"/>
    <d v="2024-09-11T00:00:00"/>
    <x v="0"/>
    <s v="Q3"/>
    <x v="8"/>
    <x v="0"/>
    <x v="2"/>
    <x v="2"/>
    <x v="0"/>
    <x v="2"/>
    <n v="7400"/>
    <n v="23000"/>
    <n v="48"/>
    <n v="0.23300000000000001"/>
    <s v="Approved"/>
    <x v="1"/>
    <n v="1"/>
    <n v="0"/>
    <n v="23000"/>
    <n v="0.1166"/>
    <n v="3"/>
    <n v="1"/>
    <n v="1"/>
  </r>
  <r>
    <s v="LA-701633"/>
    <d v="2024-09-11T00:00:00"/>
    <x v="0"/>
    <s v="Q3"/>
    <x v="8"/>
    <x v="1"/>
    <x v="3"/>
    <x v="1"/>
    <x v="0"/>
    <x v="3"/>
    <n v="5200"/>
    <n v="11500"/>
    <n v="24"/>
    <n v="0.31"/>
    <s v="Approved"/>
    <x v="1"/>
    <n v="1"/>
    <n v="0"/>
    <n v="10500"/>
    <n v="0.10680000000000001"/>
    <n v="6"/>
    <n v="0"/>
    <n v="1"/>
  </r>
  <r>
    <s v="LA-701634"/>
    <d v="2024-09-11T00:00:00"/>
    <x v="0"/>
    <s v="Q3"/>
    <x v="8"/>
    <x v="1"/>
    <x v="3"/>
    <x v="2"/>
    <x v="2"/>
    <x v="0"/>
    <n v="7000"/>
    <n v="6500"/>
    <n v="24"/>
    <n v="0.155"/>
    <s v="Rejected"/>
    <x v="5"/>
    <n v="0"/>
    <n v="1"/>
    <n v="0"/>
    <m/>
    <n v="4"/>
    <n v="0"/>
    <n v="1"/>
  </r>
  <r>
    <s v="LA-701635"/>
    <d v="2024-09-11T00:00:00"/>
    <x v="0"/>
    <s v="Q3"/>
    <x v="8"/>
    <x v="0"/>
    <x v="3"/>
    <x v="3"/>
    <x v="0"/>
    <x v="3"/>
    <n v="4950"/>
    <n v="50500"/>
    <n v="48"/>
    <n v="0.374"/>
    <s v="Approved"/>
    <x v="1"/>
    <n v="1"/>
    <n v="0"/>
    <n v="50500"/>
    <n v="6.9400000000000003E-2"/>
    <n v="6"/>
    <n v="0"/>
    <n v="1"/>
  </r>
  <r>
    <s v="LA-701636"/>
    <d v="2024-09-11T00:00:00"/>
    <x v="0"/>
    <s v="Q3"/>
    <x v="8"/>
    <x v="0"/>
    <x v="3"/>
    <x v="1"/>
    <x v="0"/>
    <x v="1"/>
    <n v="5050"/>
    <n v="31000"/>
    <n v="36"/>
    <n v="0.38"/>
    <s v="Approved"/>
    <x v="1"/>
    <n v="1"/>
    <n v="0"/>
    <n v="25000"/>
    <n v="7.8600000000000003E-2"/>
    <n v="6"/>
    <n v="0"/>
    <n v="1"/>
  </r>
  <r>
    <s v="LA-701637"/>
    <d v="2024-09-12T00:00:00"/>
    <x v="0"/>
    <s v="Q3"/>
    <x v="8"/>
    <x v="1"/>
    <x v="0"/>
    <x v="4"/>
    <x v="0"/>
    <x v="0"/>
    <n v="10550"/>
    <n v="11500"/>
    <n v="48"/>
    <n v="0.23400000000000001"/>
    <s v="Withdrawn"/>
    <x v="1"/>
    <n v="0"/>
    <n v="0"/>
    <n v="0"/>
    <m/>
    <n v="4"/>
    <n v="0"/>
    <n v="1"/>
  </r>
  <r>
    <s v="LA-701638"/>
    <d v="2024-09-12T00:00:00"/>
    <x v="0"/>
    <s v="Q3"/>
    <x v="8"/>
    <x v="2"/>
    <x v="2"/>
    <x v="0"/>
    <x v="2"/>
    <x v="4"/>
    <n v="8050"/>
    <n v="45500"/>
    <n v="36"/>
    <n v="0.27700000000000002"/>
    <s v="Approved"/>
    <x v="1"/>
    <n v="1"/>
    <n v="0"/>
    <n v="45500"/>
    <n v="9.8799999999999999E-2"/>
    <n v="7"/>
    <n v="1"/>
    <n v="1"/>
  </r>
  <r>
    <s v="LA-701639"/>
    <d v="2024-09-12T00:00:00"/>
    <x v="0"/>
    <s v="Q3"/>
    <x v="8"/>
    <x v="1"/>
    <x v="3"/>
    <x v="1"/>
    <x v="0"/>
    <x v="0"/>
    <n v="5750"/>
    <n v="13000"/>
    <n v="24"/>
    <n v="0.314"/>
    <s v="Rejected"/>
    <x v="5"/>
    <n v="0"/>
    <n v="1"/>
    <n v="0"/>
    <m/>
    <n v="10"/>
    <n v="0"/>
    <n v="1"/>
  </r>
  <r>
    <s v="LA-701640"/>
    <d v="2024-09-12T00:00:00"/>
    <x v="0"/>
    <s v="Q3"/>
    <x v="8"/>
    <x v="0"/>
    <x v="3"/>
    <x v="2"/>
    <x v="1"/>
    <x v="0"/>
    <n v="7250"/>
    <n v="23000"/>
    <n v="60"/>
    <n v="0.16200000000000001"/>
    <s v="Approved"/>
    <x v="1"/>
    <n v="1"/>
    <n v="0"/>
    <n v="20500"/>
    <n v="9.3600000000000003E-2"/>
    <n v="5"/>
    <n v="0"/>
    <n v="1"/>
  </r>
  <r>
    <s v="LA-701641"/>
    <d v="2024-09-12T00:00:00"/>
    <x v="0"/>
    <s v="Q3"/>
    <x v="8"/>
    <x v="2"/>
    <x v="2"/>
    <x v="3"/>
    <x v="2"/>
    <x v="1"/>
    <n v="5200"/>
    <n v="47500"/>
    <n v="60"/>
    <n v="0.32800000000000001"/>
    <s v="Approved"/>
    <x v="1"/>
    <n v="1"/>
    <n v="0"/>
    <n v="47500"/>
    <n v="0.10589999999999999"/>
    <n v="4"/>
    <n v="1"/>
    <n v="1"/>
  </r>
  <r>
    <s v="LA-701642"/>
    <d v="2024-09-12T00:00:00"/>
    <x v="0"/>
    <s v="Q3"/>
    <x v="8"/>
    <x v="1"/>
    <x v="3"/>
    <x v="3"/>
    <x v="0"/>
    <x v="3"/>
    <n v="2450"/>
    <n v="15500"/>
    <n v="48"/>
    <n v="0.311"/>
    <s v="Rejected"/>
    <x v="4"/>
    <n v="0"/>
    <n v="1"/>
    <n v="0"/>
    <m/>
    <n v="9"/>
    <n v="0"/>
    <n v="1"/>
  </r>
  <r>
    <s v="LA-701643"/>
    <d v="2024-09-12T00:00:00"/>
    <x v="0"/>
    <s v="Q3"/>
    <x v="8"/>
    <x v="0"/>
    <x v="3"/>
    <x v="1"/>
    <x v="0"/>
    <x v="2"/>
    <n v="4250"/>
    <n v="22000"/>
    <n v="36"/>
    <n v="0.38700000000000001"/>
    <s v="Rejected"/>
    <x v="0"/>
    <n v="0"/>
    <n v="1"/>
    <n v="0"/>
    <m/>
    <n v="7"/>
    <n v="0"/>
    <n v="1"/>
  </r>
  <r>
    <s v="LA-701644"/>
    <d v="2024-09-13T00:00:00"/>
    <x v="0"/>
    <s v="Q3"/>
    <x v="8"/>
    <x v="3"/>
    <x v="3"/>
    <x v="2"/>
    <x v="2"/>
    <x v="1"/>
    <n v="7400"/>
    <n v="510000"/>
    <n v="240"/>
    <n v="0.68799999999999994"/>
    <s v="Rejected"/>
    <x v="3"/>
    <n v="0"/>
    <n v="1"/>
    <n v="0"/>
    <m/>
    <n v="18"/>
    <n v="0"/>
    <n v="1"/>
  </r>
  <r>
    <s v="LA-701645"/>
    <d v="2024-09-13T00:00:00"/>
    <x v="0"/>
    <s v="Q3"/>
    <x v="8"/>
    <x v="3"/>
    <x v="0"/>
    <x v="1"/>
    <x v="0"/>
    <x v="2"/>
    <n v="2150"/>
    <n v="141500"/>
    <n v="240"/>
    <n v="0.57199999999999995"/>
    <s v="Withdrawn"/>
    <x v="1"/>
    <n v="0"/>
    <n v="0"/>
    <n v="0"/>
    <m/>
    <n v="12"/>
    <n v="1"/>
    <n v="1"/>
  </r>
  <r>
    <s v="LA-701646"/>
    <d v="2024-09-13T00:00:00"/>
    <x v="0"/>
    <s v="Q3"/>
    <x v="8"/>
    <x v="1"/>
    <x v="2"/>
    <x v="2"/>
    <x v="1"/>
    <x v="4"/>
    <n v="6950"/>
    <n v="16000"/>
    <n v="12"/>
    <n v="0.27"/>
    <s v="Approved"/>
    <x v="1"/>
    <n v="1"/>
    <n v="0"/>
    <n v="16000"/>
    <n v="0.1172"/>
    <n v="2"/>
    <n v="1"/>
    <n v="1"/>
  </r>
  <r>
    <s v="LA-701647"/>
    <d v="2024-09-13T00:00:00"/>
    <x v="0"/>
    <s v="Q3"/>
    <x v="8"/>
    <x v="0"/>
    <x v="3"/>
    <x v="3"/>
    <x v="1"/>
    <x v="0"/>
    <n v="3450"/>
    <n v="24000"/>
    <n v="36"/>
    <n v="0.36"/>
    <s v="Approved"/>
    <x v="1"/>
    <n v="1"/>
    <n v="0"/>
    <n v="24000"/>
    <n v="9.5100000000000004E-2"/>
    <n v="10"/>
    <n v="0"/>
    <n v="1"/>
  </r>
  <r>
    <s v="LA-701648"/>
    <d v="2024-09-13T00:00:00"/>
    <x v="0"/>
    <s v="Q3"/>
    <x v="8"/>
    <x v="1"/>
    <x v="0"/>
    <x v="1"/>
    <x v="1"/>
    <x v="4"/>
    <n v="6550"/>
    <n v="6000"/>
    <n v="36"/>
    <n v="0.254"/>
    <s v="Approved"/>
    <x v="1"/>
    <n v="1"/>
    <n v="0"/>
    <n v="6000"/>
    <n v="0.1166"/>
    <n v="6"/>
    <n v="0"/>
    <n v="1"/>
  </r>
  <r>
    <s v="LA-701649"/>
    <d v="2024-09-13T00:00:00"/>
    <x v="0"/>
    <s v="Q3"/>
    <x v="8"/>
    <x v="2"/>
    <x v="3"/>
    <x v="4"/>
    <x v="0"/>
    <x v="4"/>
    <n v="2350"/>
    <n v="50500"/>
    <n v="60"/>
    <n v="0.52100000000000002"/>
    <s v="Approved"/>
    <x v="1"/>
    <n v="1"/>
    <n v="0"/>
    <n v="45500"/>
    <n v="9.7199999999999995E-2"/>
    <n v="10"/>
    <n v="1"/>
    <n v="1"/>
  </r>
  <r>
    <s v="LA-701650"/>
    <d v="2024-09-13T00:00:00"/>
    <x v="0"/>
    <s v="Q3"/>
    <x v="8"/>
    <x v="3"/>
    <x v="3"/>
    <x v="3"/>
    <x v="1"/>
    <x v="1"/>
    <n v="6050"/>
    <n v="162500"/>
    <n v="240"/>
    <n v="0.315"/>
    <s v="Approved"/>
    <x v="1"/>
    <n v="1"/>
    <n v="0"/>
    <n v="162500"/>
    <n v="5.8599999999999999E-2"/>
    <n v="31"/>
    <n v="0"/>
    <n v="1"/>
  </r>
  <r>
    <s v="LA-701651"/>
    <d v="2024-09-14T00:00:00"/>
    <x v="0"/>
    <s v="Q3"/>
    <x v="8"/>
    <x v="3"/>
    <x v="1"/>
    <x v="3"/>
    <x v="1"/>
    <x v="0"/>
    <n v="4950"/>
    <n v="246500"/>
    <n v="300"/>
    <n v="0.47499999999999998"/>
    <s v="Approved"/>
    <x v="1"/>
    <n v="1"/>
    <n v="0"/>
    <n v="246500"/>
    <n v="7.5800000000000006E-2"/>
    <n v="12"/>
    <n v="1"/>
    <n v="1"/>
  </r>
  <r>
    <s v="LA-701652"/>
    <d v="2024-09-14T00:00:00"/>
    <x v="0"/>
    <s v="Q3"/>
    <x v="8"/>
    <x v="1"/>
    <x v="3"/>
    <x v="4"/>
    <x v="1"/>
    <x v="0"/>
    <n v="21700"/>
    <n v="29500"/>
    <n v="48"/>
    <n v="9.4E-2"/>
    <s v="Approved"/>
    <x v="1"/>
    <n v="1"/>
    <n v="0"/>
    <n v="23500"/>
    <n v="0.1429"/>
    <n v="4"/>
    <n v="0"/>
    <n v="1"/>
  </r>
  <r>
    <s v="LA-701653"/>
    <d v="2024-09-14T00:00:00"/>
    <x v="0"/>
    <s v="Q3"/>
    <x v="8"/>
    <x v="3"/>
    <x v="1"/>
    <x v="4"/>
    <x v="0"/>
    <x v="2"/>
    <n v="2350"/>
    <n v="96000"/>
    <n v="180"/>
    <n v="0.51200000000000001"/>
    <s v="Approved"/>
    <x v="1"/>
    <n v="1"/>
    <n v="0"/>
    <n v="96000"/>
    <n v="8.8999999999999996E-2"/>
    <n v="10"/>
    <n v="1"/>
    <n v="1"/>
  </r>
  <r>
    <s v="LA-701654"/>
    <d v="2024-09-14T00:00:00"/>
    <x v="0"/>
    <s v="Q3"/>
    <x v="8"/>
    <x v="3"/>
    <x v="3"/>
    <x v="2"/>
    <x v="0"/>
    <x v="1"/>
    <n v="8950"/>
    <n v="214500"/>
    <n v="240"/>
    <n v="0.218"/>
    <s v="Approved"/>
    <x v="1"/>
    <n v="1"/>
    <n v="0"/>
    <n v="171500"/>
    <n v="5.7799999999999997E-2"/>
    <n v="25"/>
    <n v="0"/>
    <n v="1"/>
  </r>
  <r>
    <s v="LA-701655"/>
    <d v="2024-09-14T00:00:00"/>
    <x v="0"/>
    <s v="Q3"/>
    <x v="8"/>
    <x v="1"/>
    <x v="1"/>
    <x v="1"/>
    <x v="1"/>
    <x v="0"/>
    <n v="3350"/>
    <n v="16000"/>
    <n v="48"/>
    <n v="0.34200000000000003"/>
    <s v="Rejected"/>
    <x v="0"/>
    <n v="0"/>
    <n v="1"/>
    <n v="0"/>
    <m/>
    <n v="1"/>
    <n v="1"/>
    <n v="1"/>
  </r>
  <r>
    <s v="LA-701656"/>
    <d v="2024-09-14T00:00:00"/>
    <x v="0"/>
    <s v="Q3"/>
    <x v="8"/>
    <x v="1"/>
    <x v="1"/>
    <x v="2"/>
    <x v="0"/>
    <x v="2"/>
    <n v="6000"/>
    <n v="15500"/>
    <n v="36"/>
    <n v="0.27200000000000002"/>
    <s v="Rejected"/>
    <x v="0"/>
    <n v="0"/>
    <n v="1"/>
    <n v="0"/>
    <m/>
    <n v="1"/>
    <n v="1"/>
    <n v="1"/>
  </r>
  <r>
    <s v="LA-701657"/>
    <d v="2024-09-14T00:00:00"/>
    <x v="0"/>
    <s v="Q3"/>
    <x v="8"/>
    <x v="0"/>
    <x v="3"/>
    <x v="3"/>
    <x v="2"/>
    <x v="2"/>
    <n v="4250"/>
    <n v="43000"/>
    <n v="60"/>
    <n v="0.42799999999999999"/>
    <s v="Rejected"/>
    <x v="0"/>
    <n v="0"/>
    <n v="1"/>
    <n v="0"/>
    <m/>
    <n v="4"/>
    <n v="1"/>
    <n v="1"/>
  </r>
  <r>
    <s v="LA-701658"/>
    <d v="2024-09-15T00:00:00"/>
    <x v="0"/>
    <s v="Q3"/>
    <x v="8"/>
    <x v="1"/>
    <x v="0"/>
    <x v="4"/>
    <x v="1"/>
    <x v="0"/>
    <n v="7250"/>
    <n v="7500"/>
    <n v="48"/>
    <n v="0.192"/>
    <s v="Rejected"/>
    <x v="0"/>
    <n v="0"/>
    <n v="1"/>
    <n v="0"/>
    <m/>
    <n v="10"/>
    <n v="0"/>
    <n v="1"/>
  </r>
  <r>
    <s v="LA-701659"/>
    <d v="2024-09-15T00:00:00"/>
    <x v="0"/>
    <s v="Q3"/>
    <x v="8"/>
    <x v="1"/>
    <x v="1"/>
    <x v="2"/>
    <x v="1"/>
    <x v="0"/>
    <n v="6600"/>
    <n v="12000"/>
    <n v="48"/>
    <n v="0.24199999999999999"/>
    <s v="Approved"/>
    <x v="1"/>
    <n v="1"/>
    <n v="0"/>
    <n v="12000"/>
    <n v="0.1414"/>
    <n v="1"/>
    <n v="1"/>
    <n v="1"/>
  </r>
  <r>
    <s v="LA-701660"/>
    <d v="2024-09-15T00:00:00"/>
    <x v="0"/>
    <s v="Q3"/>
    <x v="8"/>
    <x v="1"/>
    <x v="2"/>
    <x v="2"/>
    <x v="0"/>
    <x v="0"/>
    <n v="4950"/>
    <n v="9500"/>
    <n v="24"/>
    <n v="0.221"/>
    <s v="Rejected"/>
    <x v="0"/>
    <n v="0"/>
    <n v="1"/>
    <n v="0"/>
    <m/>
    <n v="4"/>
    <n v="0"/>
    <n v="1"/>
  </r>
  <r>
    <s v="LA-701661"/>
    <d v="2024-09-16T00:00:00"/>
    <x v="0"/>
    <s v="Q3"/>
    <x v="8"/>
    <x v="1"/>
    <x v="1"/>
    <x v="2"/>
    <x v="0"/>
    <x v="0"/>
    <n v="4300"/>
    <n v="20500"/>
    <n v="24"/>
    <n v="0.29699999999999999"/>
    <s v="Approved"/>
    <x v="1"/>
    <n v="1"/>
    <n v="0"/>
    <n v="20500"/>
    <n v="0.13639999999999999"/>
    <n v="3"/>
    <n v="1"/>
    <n v="1"/>
  </r>
  <r>
    <s v="LA-701662"/>
    <d v="2024-09-16T00:00:00"/>
    <x v="0"/>
    <s v="Q3"/>
    <x v="8"/>
    <x v="3"/>
    <x v="1"/>
    <x v="0"/>
    <x v="1"/>
    <x v="0"/>
    <n v="6750"/>
    <n v="375500"/>
    <n v="240"/>
    <n v="0.54"/>
    <s v="Rejected"/>
    <x v="3"/>
    <n v="0"/>
    <n v="1"/>
    <n v="0"/>
    <m/>
    <n v="6"/>
    <n v="1"/>
    <n v="1"/>
  </r>
  <r>
    <s v="LA-701663"/>
    <d v="2024-09-16T00:00:00"/>
    <x v="0"/>
    <s v="Q3"/>
    <x v="8"/>
    <x v="1"/>
    <x v="2"/>
    <x v="3"/>
    <x v="0"/>
    <x v="0"/>
    <n v="4550"/>
    <n v="17500"/>
    <n v="48"/>
    <n v="0.23100000000000001"/>
    <s v="Approved"/>
    <x v="1"/>
    <n v="1"/>
    <n v="0"/>
    <n v="17500"/>
    <n v="0.1358"/>
    <n v="2"/>
    <n v="1"/>
    <n v="1"/>
  </r>
  <r>
    <s v="LA-701664"/>
    <d v="2024-09-16T00:00:00"/>
    <x v="0"/>
    <s v="Q3"/>
    <x v="8"/>
    <x v="2"/>
    <x v="3"/>
    <x v="3"/>
    <x v="1"/>
    <x v="1"/>
    <n v="5800"/>
    <n v="95500"/>
    <n v="12"/>
    <n v="1.5620000000000001"/>
    <s v="Rejected"/>
    <x v="3"/>
    <n v="0"/>
    <n v="1"/>
    <n v="0"/>
    <m/>
    <n v="19"/>
    <n v="0"/>
    <n v="1"/>
  </r>
  <r>
    <s v="LA-701665"/>
    <d v="2024-09-16T00:00:00"/>
    <x v="0"/>
    <s v="Q3"/>
    <x v="8"/>
    <x v="3"/>
    <x v="2"/>
    <x v="2"/>
    <x v="0"/>
    <x v="4"/>
    <n v="4400"/>
    <n v="201000"/>
    <n v="300"/>
    <n v="0.39100000000000001"/>
    <s v="Approved"/>
    <x v="1"/>
    <n v="1"/>
    <n v="0"/>
    <n v="201000"/>
    <n v="5.2600000000000001E-2"/>
    <n v="6"/>
    <n v="1"/>
    <n v="1"/>
  </r>
  <r>
    <s v="LA-701666"/>
    <d v="2024-09-16T00:00:00"/>
    <x v="0"/>
    <s v="Q3"/>
    <x v="8"/>
    <x v="0"/>
    <x v="1"/>
    <x v="2"/>
    <x v="0"/>
    <x v="1"/>
    <n v="6150"/>
    <n v="32000"/>
    <n v="48"/>
    <n v="0.307"/>
    <s v="Approved"/>
    <x v="1"/>
    <n v="1"/>
    <n v="0"/>
    <n v="32000"/>
    <n v="8.1199999999999994E-2"/>
    <n v="1"/>
    <n v="1"/>
    <n v="1"/>
  </r>
  <r>
    <s v="LA-701667"/>
    <d v="2024-09-16T00:00:00"/>
    <x v="0"/>
    <s v="Q3"/>
    <x v="8"/>
    <x v="1"/>
    <x v="3"/>
    <x v="3"/>
    <x v="1"/>
    <x v="1"/>
    <n v="5450"/>
    <n v="11500"/>
    <n v="36"/>
    <n v="0.221"/>
    <s v="Rejected"/>
    <x v="0"/>
    <n v="0"/>
    <n v="1"/>
    <n v="0"/>
    <m/>
    <n v="4"/>
    <n v="0"/>
    <n v="1"/>
  </r>
  <r>
    <s v="LA-701668"/>
    <d v="2024-09-16T00:00:00"/>
    <x v="0"/>
    <s v="Q3"/>
    <x v="8"/>
    <x v="3"/>
    <x v="2"/>
    <x v="1"/>
    <x v="1"/>
    <x v="0"/>
    <n v="5450"/>
    <n v="408000"/>
    <n v="300"/>
    <n v="0.57099999999999995"/>
    <s v="Approved"/>
    <x v="1"/>
    <n v="1"/>
    <n v="0"/>
    <n v="408000"/>
    <n v="7.8299999999999995E-2"/>
    <n v="8"/>
    <n v="1"/>
    <n v="1"/>
  </r>
  <r>
    <s v="LA-701669"/>
    <d v="2024-09-16T00:00:00"/>
    <x v="0"/>
    <s v="Q3"/>
    <x v="8"/>
    <x v="1"/>
    <x v="3"/>
    <x v="3"/>
    <x v="1"/>
    <x v="4"/>
    <n v="8100"/>
    <n v="26500"/>
    <n v="60"/>
    <n v="0.28299999999999997"/>
    <s v="Withdrawn"/>
    <x v="1"/>
    <n v="0"/>
    <n v="0"/>
    <n v="0"/>
    <m/>
    <n v="5"/>
    <n v="0"/>
    <n v="1"/>
  </r>
  <r>
    <s v="LA-701670"/>
    <d v="2024-09-16T00:00:00"/>
    <x v="0"/>
    <s v="Q3"/>
    <x v="8"/>
    <x v="1"/>
    <x v="3"/>
    <x v="2"/>
    <x v="0"/>
    <x v="1"/>
    <n v="2150"/>
    <n v="10500"/>
    <n v="36"/>
    <n v="0.34200000000000003"/>
    <s v="Approved"/>
    <x v="1"/>
    <n v="1"/>
    <n v="0"/>
    <n v="10500"/>
    <n v="0.122"/>
    <n v="5"/>
    <n v="0"/>
    <n v="1"/>
  </r>
  <r>
    <s v="LA-701671"/>
    <d v="2024-09-16T00:00:00"/>
    <x v="0"/>
    <s v="Q3"/>
    <x v="8"/>
    <x v="0"/>
    <x v="2"/>
    <x v="3"/>
    <x v="0"/>
    <x v="0"/>
    <n v="3300"/>
    <n v="30500"/>
    <n v="36"/>
    <n v="0.48599999999999999"/>
    <s v="Approved"/>
    <x v="1"/>
    <n v="1"/>
    <n v="0"/>
    <n v="27500"/>
    <n v="9.8000000000000004E-2"/>
    <n v="4"/>
    <n v="1"/>
    <n v="1"/>
  </r>
  <r>
    <s v="LA-701672"/>
    <d v="2024-09-17T00:00:00"/>
    <x v="0"/>
    <s v="Q3"/>
    <x v="8"/>
    <x v="0"/>
    <x v="3"/>
    <x v="3"/>
    <x v="1"/>
    <x v="2"/>
    <n v="4550"/>
    <n v="27500"/>
    <n v="36"/>
    <n v="0.41599999999999998"/>
    <s v="Rejected"/>
    <x v="0"/>
    <n v="0"/>
    <n v="1"/>
    <n v="0"/>
    <m/>
    <n v="5"/>
    <n v="0"/>
    <n v="1"/>
  </r>
  <r>
    <s v="LA-701673"/>
    <d v="2024-09-17T00:00:00"/>
    <x v="0"/>
    <s v="Q3"/>
    <x v="8"/>
    <x v="2"/>
    <x v="2"/>
    <x v="2"/>
    <x v="1"/>
    <x v="1"/>
    <n v="4950"/>
    <n v="49000"/>
    <n v="24"/>
    <n v="0.56100000000000005"/>
    <s v="Rejected"/>
    <x v="4"/>
    <n v="0"/>
    <n v="1"/>
    <n v="0"/>
    <m/>
    <n v="10"/>
    <n v="1"/>
    <n v="1"/>
  </r>
  <r>
    <s v="LA-701674"/>
    <d v="2024-09-17T00:00:00"/>
    <x v="0"/>
    <s v="Q3"/>
    <x v="8"/>
    <x v="2"/>
    <x v="1"/>
    <x v="1"/>
    <x v="0"/>
    <x v="1"/>
    <n v="6900"/>
    <n v="142500"/>
    <n v="60"/>
    <n v="0.67400000000000004"/>
    <s v="Rejected"/>
    <x v="3"/>
    <n v="0"/>
    <n v="1"/>
    <n v="0"/>
    <m/>
    <n v="5"/>
    <n v="1"/>
    <n v="1"/>
  </r>
  <r>
    <s v="LA-701675"/>
    <d v="2024-09-17T00:00:00"/>
    <x v="0"/>
    <s v="Q3"/>
    <x v="8"/>
    <x v="3"/>
    <x v="0"/>
    <x v="2"/>
    <x v="0"/>
    <x v="3"/>
    <n v="8150"/>
    <n v="462500"/>
    <n v="240"/>
    <n v="0.61799999999999999"/>
    <s v="Approved"/>
    <x v="1"/>
    <n v="1"/>
    <n v="0"/>
    <n v="462500"/>
    <n v="4.4200000000000003E-2"/>
    <n v="11"/>
    <n v="1"/>
    <n v="1"/>
  </r>
  <r>
    <s v="LA-701676"/>
    <d v="2024-09-17T00:00:00"/>
    <x v="0"/>
    <s v="Q3"/>
    <x v="8"/>
    <x v="3"/>
    <x v="2"/>
    <x v="4"/>
    <x v="2"/>
    <x v="0"/>
    <n v="3750"/>
    <n v="147500"/>
    <n v="180"/>
    <n v="0.48599999999999999"/>
    <s v="Rejected"/>
    <x v="4"/>
    <n v="0"/>
    <n v="1"/>
    <n v="0"/>
    <m/>
    <n v="16"/>
    <n v="0"/>
    <n v="1"/>
  </r>
  <r>
    <s v="LA-701677"/>
    <d v="2024-09-18T00:00:00"/>
    <x v="0"/>
    <s v="Q3"/>
    <x v="8"/>
    <x v="3"/>
    <x v="3"/>
    <x v="2"/>
    <x v="0"/>
    <x v="1"/>
    <n v="4250"/>
    <n v="167000"/>
    <n v="240"/>
    <n v="0.42299999999999999"/>
    <s v="Rejected"/>
    <x v="5"/>
    <n v="0"/>
    <n v="1"/>
    <n v="0"/>
    <m/>
    <n v="12"/>
    <n v="1"/>
    <n v="1"/>
  </r>
  <r>
    <s v="LA-701678"/>
    <d v="2024-09-18T00:00:00"/>
    <x v="0"/>
    <s v="Q3"/>
    <x v="8"/>
    <x v="0"/>
    <x v="3"/>
    <x v="3"/>
    <x v="0"/>
    <x v="3"/>
    <n v="9300"/>
    <n v="26000"/>
    <n v="48"/>
    <n v="0.30499999999999999"/>
    <s v="Approved"/>
    <x v="1"/>
    <n v="1"/>
    <n v="0"/>
    <n v="23500"/>
    <n v="6.4000000000000001E-2"/>
    <n v="9"/>
    <n v="0"/>
    <n v="1"/>
  </r>
  <r>
    <s v="LA-701679"/>
    <d v="2024-09-18T00:00:00"/>
    <x v="0"/>
    <s v="Q3"/>
    <x v="8"/>
    <x v="0"/>
    <x v="2"/>
    <x v="2"/>
    <x v="1"/>
    <x v="1"/>
    <n v="7750"/>
    <n v="34000"/>
    <n v="48"/>
    <n v="0.26700000000000002"/>
    <s v="Approved"/>
    <x v="1"/>
    <n v="1"/>
    <n v="0"/>
    <n v="34000"/>
    <n v="8.3699999999999997E-2"/>
    <n v="3"/>
    <n v="1"/>
    <n v="1"/>
  </r>
  <r>
    <s v="LA-701680"/>
    <d v="2024-09-18T00:00:00"/>
    <x v="0"/>
    <s v="Q3"/>
    <x v="8"/>
    <x v="0"/>
    <x v="3"/>
    <x v="1"/>
    <x v="0"/>
    <x v="0"/>
    <n v="6000"/>
    <n v="25000"/>
    <n v="60"/>
    <n v="0.20100000000000001"/>
    <s v="Rejected"/>
    <x v="0"/>
    <n v="0"/>
    <n v="1"/>
    <n v="0"/>
    <m/>
    <n v="5"/>
    <n v="0"/>
    <n v="1"/>
  </r>
  <r>
    <s v="LA-701681"/>
    <d v="2024-09-18T00:00:00"/>
    <x v="0"/>
    <s v="Q3"/>
    <x v="8"/>
    <x v="2"/>
    <x v="1"/>
    <x v="1"/>
    <x v="1"/>
    <x v="1"/>
    <n v="2250"/>
    <n v="119000"/>
    <n v="12"/>
    <n v="4.859"/>
    <s v="Rejected"/>
    <x v="3"/>
    <n v="0"/>
    <n v="1"/>
    <n v="0"/>
    <m/>
    <n v="5"/>
    <n v="1"/>
    <n v="1"/>
  </r>
  <r>
    <s v="LA-701682"/>
    <d v="2024-09-18T00:00:00"/>
    <x v="0"/>
    <s v="Q3"/>
    <x v="8"/>
    <x v="3"/>
    <x v="2"/>
    <x v="1"/>
    <x v="1"/>
    <x v="4"/>
    <n v="4100"/>
    <n v="312500"/>
    <n v="180"/>
    <n v="0.71299999999999997"/>
    <s v="Rejected"/>
    <x v="3"/>
    <n v="0"/>
    <n v="1"/>
    <n v="0"/>
    <m/>
    <n v="12"/>
    <n v="1"/>
    <n v="1"/>
  </r>
  <r>
    <s v="LA-701683"/>
    <d v="2024-09-18T00:00:00"/>
    <x v="0"/>
    <s v="Q3"/>
    <x v="8"/>
    <x v="0"/>
    <x v="0"/>
    <x v="2"/>
    <x v="2"/>
    <x v="0"/>
    <n v="8200"/>
    <n v="46000"/>
    <n v="36"/>
    <n v="0.374"/>
    <s v="Approved"/>
    <x v="1"/>
    <n v="1"/>
    <n v="0"/>
    <n v="41500"/>
    <n v="9.7500000000000003E-2"/>
    <n v="3"/>
    <n v="1"/>
    <n v="1"/>
  </r>
  <r>
    <s v="LA-701684"/>
    <d v="2024-09-19T00:00:00"/>
    <x v="0"/>
    <s v="Q3"/>
    <x v="8"/>
    <x v="3"/>
    <x v="0"/>
    <x v="0"/>
    <x v="2"/>
    <x v="4"/>
    <n v="7000"/>
    <n v="114500"/>
    <n v="300"/>
    <n v="0.16600000000000001"/>
    <s v="Approved"/>
    <x v="1"/>
    <n v="1"/>
    <n v="0"/>
    <n v="114500"/>
    <n v="5.16E-2"/>
    <n v="17"/>
    <n v="0"/>
    <n v="1"/>
  </r>
  <r>
    <s v="LA-701685"/>
    <d v="2024-09-19T00:00:00"/>
    <x v="0"/>
    <s v="Q3"/>
    <x v="8"/>
    <x v="3"/>
    <x v="0"/>
    <x v="2"/>
    <x v="2"/>
    <x v="2"/>
    <n v="3200"/>
    <n v="164500"/>
    <n v="180"/>
    <n v="0.51400000000000001"/>
    <s v="Rejected"/>
    <x v="4"/>
    <n v="0"/>
    <n v="1"/>
    <n v="0"/>
    <m/>
    <n v="26"/>
    <n v="0"/>
    <n v="1"/>
  </r>
  <r>
    <s v="LA-701686"/>
    <d v="2024-09-19T00:00:00"/>
    <x v="0"/>
    <s v="Q3"/>
    <x v="8"/>
    <x v="0"/>
    <x v="3"/>
    <x v="2"/>
    <x v="2"/>
    <x v="0"/>
    <n v="3150"/>
    <n v="32000"/>
    <n v="48"/>
    <n v="0.32600000000000001"/>
    <s v="Approved"/>
    <x v="1"/>
    <n v="1"/>
    <n v="0"/>
    <n v="32000"/>
    <n v="9.9199999999999997E-2"/>
    <n v="9"/>
    <n v="0"/>
    <n v="1"/>
  </r>
  <r>
    <s v="LA-701687"/>
    <d v="2024-09-19T00:00:00"/>
    <x v="0"/>
    <s v="Q3"/>
    <x v="8"/>
    <x v="1"/>
    <x v="2"/>
    <x v="2"/>
    <x v="0"/>
    <x v="1"/>
    <n v="8500"/>
    <n v="8000"/>
    <n v="36"/>
    <n v="0.124"/>
    <s v="Approved"/>
    <x v="1"/>
    <n v="1"/>
    <n v="0"/>
    <n v="8000"/>
    <n v="0.12970000000000001"/>
    <n v="2"/>
    <n v="1"/>
    <n v="1"/>
  </r>
  <r>
    <s v="LA-701688"/>
    <d v="2024-09-19T00:00:00"/>
    <x v="0"/>
    <s v="Q3"/>
    <x v="8"/>
    <x v="1"/>
    <x v="3"/>
    <x v="1"/>
    <x v="1"/>
    <x v="2"/>
    <n v="6050"/>
    <n v="22500"/>
    <n v="24"/>
    <n v="0.29799999999999999"/>
    <s v="Rejected"/>
    <x v="0"/>
    <n v="0"/>
    <n v="1"/>
    <n v="0"/>
    <m/>
    <n v="4"/>
    <n v="0"/>
    <n v="1"/>
  </r>
  <r>
    <s v="LA-701689"/>
    <d v="2024-09-19T00:00:00"/>
    <x v="0"/>
    <s v="Q3"/>
    <x v="8"/>
    <x v="0"/>
    <x v="0"/>
    <x v="1"/>
    <x v="1"/>
    <x v="4"/>
    <n v="4200"/>
    <n v="22000"/>
    <n v="48"/>
    <n v="0.189"/>
    <s v="Approved"/>
    <x v="1"/>
    <n v="1"/>
    <n v="0"/>
    <n v="22000"/>
    <n v="7.7100000000000002E-2"/>
    <n v="5"/>
    <n v="0"/>
    <n v="1"/>
  </r>
  <r>
    <s v="LA-701690"/>
    <d v="2024-09-19T00:00:00"/>
    <x v="0"/>
    <s v="Q3"/>
    <x v="8"/>
    <x v="2"/>
    <x v="3"/>
    <x v="2"/>
    <x v="0"/>
    <x v="1"/>
    <n v="3800"/>
    <n v="67500"/>
    <n v="12"/>
    <n v="1.7030000000000001"/>
    <s v="Withdrawn"/>
    <x v="1"/>
    <n v="0"/>
    <n v="0"/>
    <n v="0"/>
    <m/>
    <n v="9"/>
    <n v="1"/>
    <n v="1"/>
  </r>
  <r>
    <s v="LA-701691"/>
    <d v="2024-09-19T00:00:00"/>
    <x v="0"/>
    <s v="Q3"/>
    <x v="8"/>
    <x v="1"/>
    <x v="2"/>
    <x v="2"/>
    <x v="2"/>
    <x v="0"/>
    <n v="5450"/>
    <n v="14000"/>
    <n v="36"/>
    <n v="0.316"/>
    <s v="Rejected"/>
    <x v="0"/>
    <n v="0"/>
    <n v="1"/>
    <n v="0"/>
    <m/>
    <n v="2"/>
    <n v="1"/>
    <n v="1"/>
  </r>
  <r>
    <s v="LA-701692"/>
    <d v="2024-09-19T00:00:00"/>
    <x v="0"/>
    <s v="Q3"/>
    <x v="8"/>
    <x v="0"/>
    <x v="3"/>
    <x v="1"/>
    <x v="0"/>
    <x v="4"/>
    <n v="5300"/>
    <n v="13500"/>
    <n v="48"/>
    <n v="0.187"/>
    <s v="Approved"/>
    <x v="1"/>
    <n v="1"/>
    <n v="0"/>
    <n v="13500"/>
    <n v="7.5700000000000003E-2"/>
    <n v="10"/>
    <n v="0"/>
    <n v="1"/>
  </r>
  <r>
    <s v="LA-701693"/>
    <d v="2024-09-19T00:00:00"/>
    <x v="0"/>
    <s v="Q3"/>
    <x v="8"/>
    <x v="1"/>
    <x v="3"/>
    <x v="0"/>
    <x v="1"/>
    <x v="1"/>
    <n v="3250"/>
    <n v="13500"/>
    <n v="48"/>
    <n v="0.308"/>
    <s v="Approved"/>
    <x v="1"/>
    <n v="1"/>
    <n v="0"/>
    <n v="12000"/>
    <n v="0.129"/>
    <n v="5"/>
    <n v="0"/>
    <n v="1"/>
  </r>
  <r>
    <s v="LA-701694"/>
    <d v="2024-09-19T00:00:00"/>
    <x v="0"/>
    <s v="Q3"/>
    <x v="8"/>
    <x v="2"/>
    <x v="3"/>
    <x v="1"/>
    <x v="0"/>
    <x v="3"/>
    <n v="4000"/>
    <n v="114500"/>
    <n v="12"/>
    <n v="2.7570000000000001"/>
    <s v="Rejected"/>
    <x v="3"/>
    <n v="0"/>
    <n v="1"/>
    <n v="0"/>
    <m/>
    <n v="5"/>
    <n v="1"/>
    <n v="1"/>
  </r>
  <r>
    <s v="LA-701695"/>
    <d v="2024-09-19T00:00:00"/>
    <x v="0"/>
    <s v="Q3"/>
    <x v="8"/>
    <x v="1"/>
    <x v="0"/>
    <x v="2"/>
    <x v="0"/>
    <x v="3"/>
    <n v="5600"/>
    <n v="17500"/>
    <n v="48"/>
    <n v="0.21"/>
    <s v="Approved"/>
    <x v="1"/>
    <n v="1"/>
    <n v="0"/>
    <n v="17500"/>
    <n v="0.1066"/>
    <n v="3"/>
    <n v="1"/>
    <n v="1"/>
  </r>
  <r>
    <s v="LA-701696"/>
    <d v="2024-09-19T00:00:00"/>
    <x v="0"/>
    <s v="Q3"/>
    <x v="8"/>
    <x v="1"/>
    <x v="2"/>
    <x v="3"/>
    <x v="1"/>
    <x v="4"/>
    <n v="9750"/>
    <n v="7500"/>
    <n v="24"/>
    <n v="0.221"/>
    <s v="Approved"/>
    <x v="1"/>
    <n v="1"/>
    <n v="0"/>
    <n v="7000"/>
    <n v="0.1148"/>
    <n v="1"/>
    <n v="1"/>
    <n v="1"/>
  </r>
  <r>
    <s v="LA-701697"/>
    <d v="2024-09-19T00:00:00"/>
    <x v="0"/>
    <s v="Q3"/>
    <x v="8"/>
    <x v="2"/>
    <x v="3"/>
    <x v="2"/>
    <x v="0"/>
    <x v="1"/>
    <n v="2800"/>
    <n v="152500"/>
    <n v="12"/>
    <n v="5.0129999999999999"/>
    <s v="Rejected"/>
    <x v="3"/>
    <n v="0"/>
    <n v="1"/>
    <n v="0"/>
    <m/>
    <n v="21"/>
    <n v="0"/>
    <n v="1"/>
  </r>
  <r>
    <s v="LA-701698"/>
    <d v="2024-09-19T00:00:00"/>
    <x v="0"/>
    <s v="Q3"/>
    <x v="8"/>
    <x v="1"/>
    <x v="0"/>
    <x v="1"/>
    <x v="0"/>
    <x v="0"/>
    <n v="5550"/>
    <n v="10000"/>
    <n v="48"/>
    <n v="0.26600000000000001"/>
    <s v="Approved"/>
    <x v="1"/>
    <n v="1"/>
    <n v="0"/>
    <n v="10000"/>
    <n v="0.14399999999999999"/>
    <n v="3"/>
    <n v="1"/>
    <n v="1"/>
  </r>
  <r>
    <s v="LA-701699"/>
    <d v="2024-09-20T00:00:00"/>
    <x v="0"/>
    <s v="Q3"/>
    <x v="8"/>
    <x v="1"/>
    <x v="2"/>
    <x v="2"/>
    <x v="0"/>
    <x v="1"/>
    <n v="4850"/>
    <n v="14000"/>
    <n v="36"/>
    <n v="0.17599999999999999"/>
    <s v="Approved"/>
    <x v="1"/>
    <n v="1"/>
    <n v="0"/>
    <n v="11000"/>
    <n v="0.1215"/>
    <n v="1"/>
    <n v="1"/>
    <n v="1"/>
  </r>
  <r>
    <s v="LA-701700"/>
    <d v="2024-09-20T00:00:00"/>
    <x v="0"/>
    <s v="Q3"/>
    <x v="8"/>
    <x v="1"/>
    <x v="3"/>
    <x v="1"/>
    <x v="0"/>
    <x v="4"/>
    <n v="3450"/>
    <n v="9500"/>
    <n v="24"/>
    <n v="0.33900000000000002"/>
    <s v="Approved"/>
    <x v="1"/>
    <n v="1"/>
    <n v="0"/>
    <n v="7500"/>
    <n v="0.1152"/>
    <n v="3"/>
    <n v="1"/>
    <n v="1"/>
  </r>
  <r>
    <s v="LA-701701"/>
    <d v="2024-09-20T00:00:00"/>
    <x v="0"/>
    <s v="Q3"/>
    <x v="8"/>
    <x v="0"/>
    <x v="3"/>
    <x v="1"/>
    <x v="1"/>
    <x v="4"/>
    <n v="4700"/>
    <n v="18500"/>
    <n v="60"/>
    <n v="0.26900000000000002"/>
    <s v="Rejected"/>
    <x v="0"/>
    <n v="0"/>
    <n v="1"/>
    <n v="0"/>
    <m/>
    <n v="10"/>
    <n v="0"/>
    <n v="1"/>
  </r>
  <r>
    <s v="LA-701702"/>
    <d v="2024-09-20T00:00:00"/>
    <x v="0"/>
    <s v="Q3"/>
    <x v="8"/>
    <x v="2"/>
    <x v="1"/>
    <x v="2"/>
    <x v="1"/>
    <x v="1"/>
    <n v="10400"/>
    <n v="93000"/>
    <n v="12"/>
    <n v="1.0109999999999999"/>
    <s v="Rejected"/>
    <x v="3"/>
    <n v="0"/>
    <n v="1"/>
    <n v="0"/>
    <m/>
    <n v="5"/>
    <n v="1"/>
    <n v="1"/>
  </r>
  <r>
    <s v="LA-701703"/>
    <d v="2024-09-20T00:00:00"/>
    <x v="0"/>
    <s v="Q3"/>
    <x v="8"/>
    <x v="2"/>
    <x v="0"/>
    <x v="3"/>
    <x v="1"/>
    <x v="4"/>
    <n v="5300"/>
    <n v="80500"/>
    <n v="60"/>
    <n v="0.53700000000000003"/>
    <s v="Rejected"/>
    <x v="4"/>
    <n v="0"/>
    <n v="1"/>
    <n v="0"/>
    <m/>
    <n v="17"/>
    <n v="0"/>
    <n v="1"/>
  </r>
  <r>
    <s v="LA-701704"/>
    <d v="2024-09-20T00:00:00"/>
    <x v="0"/>
    <s v="Q3"/>
    <x v="8"/>
    <x v="0"/>
    <x v="3"/>
    <x v="2"/>
    <x v="1"/>
    <x v="0"/>
    <n v="5850"/>
    <n v="36000"/>
    <n v="60"/>
    <n v="0.224"/>
    <s v="Approved"/>
    <x v="1"/>
    <n v="1"/>
    <n v="0"/>
    <n v="36000"/>
    <n v="9.3399999999999997E-2"/>
    <n v="9"/>
    <n v="0"/>
    <n v="1"/>
  </r>
  <r>
    <s v="LA-701705"/>
    <d v="2024-09-20T00:00:00"/>
    <x v="0"/>
    <s v="Q3"/>
    <x v="8"/>
    <x v="2"/>
    <x v="3"/>
    <x v="4"/>
    <x v="1"/>
    <x v="2"/>
    <n v="5100"/>
    <n v="123000"/>
    <n v="12"/>
    <n v="2.198"/>
    <s v="Rejected"/>
    <x v="3"/>
    <n v="0"/>
    <n v="1"/>
    <n v="0"/>
    <m/>
    <n v="18"/>
    <n v="0"/>
    <n v="1"/>
  </r>
  <r>
    <s v="LA-701706"/>
    <d v="2024-09-20T00:00:00"/>
    <x v="0"/>
    <s v="Q3"/>
    <x v="8"/>
    <x v="3"/>
    <x v="0"/>
    <x v="4"/>
    <x v="1"/>
    <x v="4"/>
    <n v="5050"/>
    <n v="318000"/>
    <n v="180"/>
    <n v="0.67100000000000004"/>
    <s v="Rejected"/>
    <x v="3"/>
    <n v="0"/>
    <n v="1"/>
    <n v="0"/>
    <m/>
    <n v="15"/>
    <n v="1"/>
    <n v="1"/>
  </r>
  <r>
    <s v="LA-701707"/>
    <d v="2024-09-20T00:00:00"/>
    <x v="0"/>
    <s v="Q3"/>
    <x v="8"/>
    <x v="1"/>
    <x v="2"/>
    <x v="1"/>
    <x v="1"/>
    <x v="1"/>
    <n v="4150"/>
    <n v="6000"/>
    <n v="48"/>
    <n v="0.27100000000000002"/>
    <s v="Approved"/>
    <x v="1"/>
    <n v="1"/>
    <n v="0"/>
    <n v="5000"/>
    <n v="0.13070000000000001"/>
    <n v="2"/>
    <n v="1"/>
    <n v="1"/>
  </r>
  <r>
    <s v="LA-701708"/>
    <d v="2024-09-20T00:00:00"/>
    <x v="0"/>
    <s v="Q3"/>
    <x v="8"/>
    <x v="1"/>
    <x v="0"/>
    <x v="1"/>
    <x v="1"/>
    <x v="4"/>
    <n v="6950"/>
    <n v="7000"/>
    <n v="36"/>
    <n v="0.26"/>
    <s v="Approved"/>
    <x v="1"/>
    <n v="1"/>
    <n v="0"/>
    <n v="7000"/>
    <n v="0.1128"/>
    <n v="3"/>
    <n v="1"/>
    <n v="1"/>
  </r>
  <r>
    <s v="LA-701709"/>
    <d v="2024-09-20T00:00:00"/>
    <x v="0"/>
    <s v="Q3"/>
    <x v="8"/>
    <x v="3"/>
    <x v="0"/>
    <x v="2"/>
    <x v="1"/>
    <x v="1"/>
    <n v="11100"/>
    <n v="201000"/>
    <n v="180"/>
    <n v="0.224"/>
    <s v="Approved"/>
    <x v="1"/>
    <n v="1"/>
    <n v="0"/>
    <n v="201000"/>
    <n v="5.5500000000000001E-2"/>
    <n v="15"/>
    <n v="1"/>
    <n v="1"/>
  </r>
  <r>
    <s v="LA-701710"/>
    <d v="2024-09-20T00:00:00"/>
    <x v="0"/>
    <s v="Q3"/>
    <x v="8"/>
    <x v="0"/>
    <x v="2"/>
    <x v="4"/>
    <x v="0"/>
    <x v="0"/>
    <n v="2800"/>
    <n v="24500"/>
    <n v="60"/>
    <n v="0.29499999999999998"/>
    <s v="Rejected"/>
    <x v="0"/>
    <n v="0"/>
    <n v="1"/>
    <n v="0"/>
    <m/>
    <n v="3"/>
    <n v="1"/>
    <n v="1"/>
  </r>
  <r>
    <s v="LA-701711"/>
    <d v="2024-09-21T00:00:00"/>
    <x v="0"/>
    <s v="Q3"/>
    <x v="8"/>
    <x v="3"/>
    <x v="3"/>
    <x v="1"/>
    <x v="0"/>
    <x v="2"/>
    <n v="6800"/>
    <n v="317000"/>
    <n v="180"/>
    <n v="0.60699999999999998"/>
    <s v="Rejected"/>
    <x v="0"/>
    <n v="0"/>
    <n v="1"/>
    <n v="0"/>
    <m/>
    <n v="12"/>
    <n v="1"/>
    <n v="1"/>
  </r>
  <r>
    <s v="LA-701712"/>
    <d v="2024-09-21T00:00:00"/>
    <x v="0"/>
    <s v="Q3"/>
    <x v="8"/>
    <x v="1"/>
    <x v="3"/>
    <x v="3"/>
    <x v="2"/>
    <x v="1"/>
    <n v="6850"/>
    <n v="13500"/>
    <n v="24"/>
    <n v="0.22800000000000001"/>
    <s v="Approved"/>
    <x v="1"/>
    <n v="1"/>
    <n v="0"/>
    <n v="13500"/>
    <n v="0.12659999999999999"/>
    <n v="4"/>
    <n v="0"/>
    <n v="1"/>
  </r>
  <r>
    <s v="LA-701713"/>
    <d v="2024-09-21T00:00:00"/>
    <x v="0"/>
    <s v="Q3"/>
    <x v="8"/>
    <x v="2"/>
    <x v="2"/>
    <x v="1"/>
    <x v="0"/>
    <x v="0"/>
    <n v="7800"/>
    <n v="66500"/>
    <n v="12"/>
    <n v="0.89800000000000002"/>
    <s v="Rejected"/>
    <x v="0"/>
    <n v="0"/>
    <n v="1"/>
    <n v="0"/>
    <m/>
    <n v="8"/>
    <n v="1"/>
    <n v="1"/>
  </r>
  <r>
    <s v="LA-701714"/>
    <d v="2024-09-21T00:00:00"/>
    <x v="0"/>
    <s v="Q3"/>
    <x v="8"/>
    <x v="2"/>
    <x v="2"/>
    <x v="0"/>
    <x v="1"/>
    <x v="0"/>
    <n v="5150"/>
    <n v="46000"/>
    <n v="36"/>
    <n v="0.43"/>
    <s v="Rejected"/>
    <x v="0"/>
    <n v="0"/>
    <n v="1"/>
    <n v="0"/>
    <m/>
    <n v="8"/>
    <n v="1"/>
    <n v="1"/>
  </r>
  <r>
    <s v="LA-701715"/>
    <d v="2024-09-22T00:00:00"/>
    <x v="0"/>
    <s v="Q3"/>
    <x v="8"/>
    <x v="1"/>
    <x v="3"/>
    <x v="0"/>
    <x v="2"/>
    <x v="1"/>
    <n v="8850"/>
    <n v="8000"/>
    <n v="48"/>
    <n v="0.154"/>
    <s v="Approved"/>
    <x v="1"/>
    <n v="1"/>
    <n v="0"/>
    <n v="7000"/>
    <n v="0.1308"/>
    <n v="3"/>
    <n v="1"/>
    <n v="1"/>
  </r>
  <r>
    <s v="LA-701716"/>
    <d v="2024-09-22T00:00:00"/>
    <x v="0"/>
    <s v="Q3"/>
    <x v="8"/>
    <x v="3"/>
    <x v="3"/>
    <x v="2"/>
    <x v="1"/>
    <x v="4"/>
    <n v="2500"/>
    <n v="171500"/>
    <n v="240"/>
    <n v="0.624"/>
    <s v="Approved"/>
    <x v="1"/>
    <n v="1"/>
    <n v="0"/>
    <n v="154500"/>
    <n v="4.8599999999999997E-2"/>
    <n v="16"/>
    <n v="0"/>
    <n v="1"/>
  </r>
  <r>
    <s v="LA-701717"/>
    <d v="2024-09-23T00:00:00"/>
    <x v="0"/>
    <s v="Q3"/>
    <x v="8"/>
    <x v="1"/>
    <x v="3"/>
    <x v="2"/>
    <x v="0"/>
    <x v="1"/>
    <n v="17900"/>
    <n v="5000"/>
    <n v="60"/>
    <n v="0.16500000000000001"/>
    <s v="Approved"/>
    <x v="1"/>
    <n v="1"/>
    <n v="0"/>
    <n v="5000"/>
    <n v="0.1229"/>
    <n v="3"/>
    <n v="1"/>
    <n v="1"/>
  </r>
  <r>
    <s v="LA-701718"/>
    <d v="2024-09-23T00:00:00"/>
    <x v="0"/>
    <s v="Q3"/>
    <x v="8"/>
    <x v="1"/>
    <x v="2"/>
    <x v="2"/>
    <x v="0"/>
    <x v="0"/>
    <n v="7100"/>
    <n v="9000"/>
    <n v="36"/>
    <n v="0.19600000000000001"/>
    <s v="Rejected"/>
    <x v="5"/>
    <n v="0"/>
    <n v="1"/>
    <n v="0"/>
    <m/>
    <n v="1"/>
    <n v="1"/>
    <n v="1"/>
  </r>
  <r>
    <s v="LA-701719"/>
    <d v="2024-09-23T00:00:00"/>
    <x v="0"/>
    <s v="Q3"/>
    <x v="8"/>
    <x v="1"/>
    <x v="0"/>
    <x v="0"/>
    <x v="2"/>
    <x v="4"/>
    <n v="4750"/>
    <n v="8500"/>
    <n v="36"/>
    <n v="0.20399999999999999"/>
    <s v="Rejected"/>
    <x v="5"/>
    <n v="0"/>
    <n v="1"/>
    <n v="0"/>
    <m/>
    <n v="4"/>
    <n v="0"/>
    <n v="1"/>
  </r>
  <r>
    <s v="LA-701720"/>
    <d v="2024-09-23T00:00:00"/>
    <x v="0"/>
    <s v="Q3"/>
    <x v="8"/>
    <x v="1"/>
    <x v="3"/>
    <x v="2"/>
    <x v="1"/>
    <x v="0"/>
    <n v="5350"/>
    <n v="7500"/>
    <n v="36"/>
    <n v="0.17"/>
    <s v="Approved"/>
    <x v="1"/>
    <n v="1"/>
    <n v="0"/>
    <n v="7500"/>
    <n v="0.14019999999999999"/>
    <n v="6"/>
    <n v="0"/>
    <n v="1"/>
  </r>
  <r>
    <s v="LA-701721"/>
    <d v="2024-09-23T00:00:00"/>
    <x v="0"/>
    <s v="Q3"/>
    <x v="8"/>
    <x v="1"/>
    <x v="3"/>
    <x v="1"/>
    <x v="0"/>
    <x v="1"/>
    <n v="4400"/>
    <n v="17500"/>
    <n v="48"/>
    <n v="0.27700000000000002"/>
    <s v="Approved"/>
    <x v="1"/>
    <n v="1"/>
    <n v="0"/>
    <n v="17500"/>
    <n v="0.1258"/>
    <n v="13"/>
    <n v="0"/>
    <n v="1"/>
  </r>
  <r>
    <s v="LA-701722"/>
    <d v="2024-09-23T00:00:00"/>
    <x v="0"/>
    <s v="Q3"/>
    <x v="8"/>
    <x v="2"/>
    <x v="1"/>
    <x v="1"/>
    <x v="1"/>
    <x v="0"/>
    <n v="3250"/>
    <n v="44500"/>
    <n v="60"/>
    <n v="0.35"/>
    <s v="Rejected"/>
    <x v="0"/>
    <n v="0"/>
    <n v="1"/>
    <n v="0"/>
    <m/>
    <n v="6"/>
    <n v="1"/>
    <n v="1"/>
  </r>
  <r>
    <s v="LA-701723"/>
    <d v="2024-09-23T00:00:00"/>
    <x v="0"/>
    <s v="Q3"/>
    <x v="8"/>
    <x v="0"/>
    <x v="1"/>
    <x v="4"/>
    <x v="1"/>
    <x v="1"/>
    <n v="7650"/>
    <n v="28500"/>
    <n v="36"/>
    <n v="0.184"/>
    <s v="Approved"/>
    <x v="1"/>
    <n v="1"/>
    <n v="0"/>
    <n v="28500"/>
    <n v="8.4000000000000005E-2"/>
    <n v="2"/>
    <n v="1"/>
    <n v="1"/>
  </r>
  <r>
    <s v="LA-701724"/>
    <d v="2024-09-23T00:00:00"/>
    <x v="0"/>
    <s v="Q3"/>
    <x v="8"/>
    <x v="3"/>
    <x v="3"/>
    <x v="2"/>
    <x v="0"/>
    <x v="4"/>
    <n v="7600"/>
    <n v="116000"/>
    <n v="300"/>
    <n v="0.215"/>
    <s v="Approved"/>
    <x v="1"/>
    <n v="1"/>
    <n v="0"/>
    <n v="104500"/>
    <n v="4.7500000000000001E-2"/>
    <n v="26"/>
    <n v="0"/>
    <n v="1"/>
  </r>
  <r>
    <s v="LA-701725"/>
    <d v="2024-09-23T00:00:00"/>
    <x v="0"/>
    <s v="Q3"/>
    <x v="8"/>
    <x v="2"/>
    <x v="3"/>
    <x v="2"/>
    <x v="2"/>
    <x v="4"/>
    <n v="3550"/>
    <n v="116500"/>
    <n v="36"/>
    <n v="1.262"/>
    <s v="Rejected"/>
    <x v="3"/>
    <n v="0"/>
    <n v="1"/>
    <n v="0"/>
    <m/>
    <n v="32"/>
    <n v="0"/>
    <n v="1"/>
  </r>
  <r>
    <s v="LA-701726"/>
    <d v="2024-09-23T00:00:00"/>
    <x v="0"/>
    <s v="Q3"/>
    <x v="8"/>
    <x v="2"/>
    <x v="3"/>
    <x v="1"/>
    <x v="1"/>
    <x v="3"/>
    <n v="4400"/>
    <n v="78500"/>
    <n v="60"/>
    <n v="0.53300000000000003"/>
    <s v="Approved"/>
    <x v="1"/>
    <n v="1"/>
    <n v="0"/>
    <n v="78500"/>
    <n v="9.5600000000000004E-2"/>
    <n v="8"/>
    <n v="1"/>
    <n v="1"/>
  </r>
  <r>
    <s v="LA-701727"/>
    <d v="2024-09-24T00:00:00"/>
    <x v="0"/>
    <s v="Q3"/>
    <x v="8"/>
    <x v="1"/>
    <x v="2"/>
    <x v="2"/>
    <x v="1"/>
    <x v="1"/>
    <n v="4550"/>
    <n v="15500"/>
    <n v="48"/>
    <n v="0.14599999999999999"/>
    <s v="Rejected"/>
    <x v="0"/>
    <n v="0"/>
    <n v="1"/>
    <n v="0"/>
    <m/>
    <n v="2"/>
    <n v="1"/>
    <n v="1"/>
  </r>
  <r>
    <s v="LA-701728"/>
    <d v="2024-09-24T00:00:00"/>
    <x v="0"/>
    <s v="Q3"/>
    <x v="8"/>
    <x v="1"/>
    <x v="2"/>
    <x v="3"/>
    <x v="0"/>
    <x v="1"/>
    <n v="4050"/>
    <n v="17000"/>
    <n v="24"/>
    <n v="0.44400000000000001"/>
    <s v="Approved"/>
    <x v="1"/>
    <n v="1"/>
    <n v="0"/>
    <n v="17000"/>
    <n v="0.12740000000000001"/>
    <n v="3"/>
    <n v="1"/>
    <n v="1"/>
  </r>
  <r>
    <s v="LA-701729"/>
    <d v="2024-09-24T00:00:00"/>
    <x v="0"/>
    <s v="Q3"/>
    <x v="8"/>
    <x v="3"/>
    <x v="3"/>
    <x v="3"/>
    <x v="0"/>
    <x v="1"/>
    <n v="5050"/>
    <n v="253500"/>
    <n v="180"/>
    <n v="0.57399999999999995"/>
    <s v="Approved"/>
    <x v="1"/>
    <n v="1"/>
    <n v="0"/>
    <n v="228000"/>
    <n v="5.6800000000000003E-2"/>
    <n v="13"/>
    <n v="1"/>
    <n v="1"/>
  </r>
  <r>
    <s v="LA-701730"/>
    <d v="2024-09-24T00:00:00"/>
    <x v="0"/>
    <s v="Q3"/>
    <x v="8"/>
    <x v="0"/>
    <x v="2"/>
    <x v="2"/>
    <x v="0"/>
    <x v="4"/>
    <n v="5900"/>
    <n v="18000"/>
    <n v="48"/>
    <n v="0.19500000000000001"/>
    <s v="Approved"/>
    <x v="1"/>
    <n v="1"/>
    <n v="0"/>
    <n v="18000"/>
    <n v="7.8100000000000003E-2"/>
    <n v="2"/>
    <n v="1"/>
    <n v="1"/>
  </r>
  <r>
    <s v="LA-701731"/>
    <d v="2024-09-24T00:00:00"/>
    <x v="0"/>
    <s v="Q3"/>
    <x v="8"/>
    <x v="3"/>
    <x v="3"/>
    <x v="2"/>
    <x v="2"/>
    <x v="3"/>
    <n v="3800"/>
    <n v="318000"/>
    <n v="240"/>
    <n v="0.73199999999999998"/>
    <s v="Approved"/>
    <x v="1"/>
    <n v="1"/>
    <n v="0"/>
    <n v="254500"/>
    <n v="4.4699999999999997E-2"/>
    <n v="21"/>
    <n v="0"/>
    <n v="1"/>
  </r>
  <r>
    <s v="LA-701732"/>
    <d v="2024-09-25T00:00:00"/>
    <x v="0"/>
    <s v="Q3"/>
    <x v="8"/>
    <x v="1"/>
    <x v="1"/>
    <x v="0"/>
    <x v="1"/>
    <x v="4"/>
    <n v="7900"/>
    <n v="10000"/>
    <n v="60"/>
    <n v="0.155"/>
    <s v="Approved"/>
    <x v="1"/>
    <n v="1"/>
    <n v="0"/>
    <n v="10000"/>
    <n v="0.115"/>
    <n v="1"/>
    <n v="1"/>
    <n v="1"/>
  </r>
  <r>
    <s v="LA-701733"/>
    <d v="2024-09-25T00:00:00"/>
    <x v="0"/>
    <s v="Q3"/>
    <x v="8"/>
    <x v="3"/>
    <x v="0"/>
    <x v="4"/>
    <x v="1"/>
    <x v="2"/>
    <n v="2000"/>
    <n v="151500"/>
    <n v="240"/>
    <n v="0.64100000000000001"/>
    <s v="Approved"/>
    <x v="1"/>
    <n v="1"/>
    <n v="0"/>
    <n v="151500"/>
    <n v="9.5500000000000002E-2"/>
    <n v="9"/>
    <n v="1"/>
    <n v="1"/>
  </r>
  <r>
    <s v="LA-701734"/>
    <d v="2024-09-25T00:00:00"/>
    <x v="0"/>
    <s v="Q3"/>
    <x v="8"/>
    <x v="1"/>
    <x v="3"/>
    <x v="0"/>
    <x v="2"/>
    <x v="1"/>
    <n v="12900"/>
    <n v="8500"/>
    <n v="24"/>
    <n v="0.20899999999999999"/>
    <s v="Approved"/>
    <x v="1"/>
    <n v="1"/>
    <n v="0"/>
    <n v="8500"/>
    <n v="0.13020000000000001"/>
    <n v="8"/>
    <n v="0"/>
    <n v="1"/>
  </r>
  <r>
    <s v="LA-701735"/>
    <d v="2024-09-26T00:00:00"/>
    <x v="0"/>
    <s v="Q3"/>
    <x v="8"/>
    <x v="2"/>
    <x v="0"/>
    <x v="0"/>
    <x v="1"/>
    <x v="1"/>
    <n v="6200"/>
    <n v="30000"/>
    <n v="36"/>
    <n v="0.251"/>
    <s v="Approved"/>
    <x v="1"/>
    <n v="1"/>
    <n v="0"/>
    <n v="30000"/>
    <n v="0.10970000000000001"/>
    <n v="13"/>
    <n v="0"/>
    <n v="1"/>
  </r>
  <r>
    <s v="LA-701736"/>
    <d v="2024-09-26T00:00:00"/>
    <x v="0"/>
    <s v="Q3"/>
    <x v="8"/>
    <x v="1"/>
    <x v="3"/>
    <x v="0"/>
    <x v="0"/>
    <x v="0"/>
    <n v="5750"/>
    <n v="10000"/>
    <n v="12"/>
    <n v="0.23300000000000001"/>
    <s v="Approved"/>
    <x v="1"/>
    <n v="1"/>
    <n v="0"/>
    <n v="8000"/>
    <n v="0.14000000000000001"/>
    <n v="3"/>
    <n v="1"/>
    <n v="1"/>
  </r>
  <r>
    <s v="LA-701737"/>
    <d v="2024-09-26T00:00:00"/>
    <x v="0"/>
    <s v="Q3"/>
    <x v="8"/>
    <x v="0"/>
    <x v="0"/>
    <x v="1"/>
    <x v="0"/>
    <x v="2"/>
    <n v="6950"/>
    <n v="31500"/>
    <n v="60"/>
    <n v="0.17799999999999999"/>
    <s v="Rejected"/>
    <x v="0"/>
    <n v="0"/>
    <n v="1"/>
    <n v="0"/>
    <m/>
    <n v="6"/>
    <n v="0"/>
    <n v="1"/>
  </r>
  <r>
    <s v="LA-701738"/>
    <d v="2024-09-26T00:00:00"/>
    <x v="0"/>
    <s v="Q3"/>
    <x v="8"/>
    <x v="0"/>
    <x v="0"/>
    <x v="1"/>
    <x v="0"/>
    <x v="1"/>
    <n v="2600"/>
    <n v="46500"/>
    <n v="36"/>
    <n v="0.68200000000000005"/>
    <s v="Rejected"/>
    <x v="3"/>
    <n v="0"/>
    <n v="1"/>
    <n v="0"/>
    <m/>
    <n v="7"/>
    <n v="0"/>
    <n v="1"/>
  </r>
  <r>
    <s v="LA-701739"/>
    <d v="2024-09-26T00:00:00"/>
    <x v="0"/>
    <s v="Q3"/>
    <x v="8"/>
    <x v="1"/>
    <x v="1"/>
    <x v="3"/>
    <x v="2"/>
    <x v="4"/>
    <n v="3800"/>
    <n v="9500"/>
    <n v="48"/>
    <n v="0.161"/>
    <s v="Approved"/>
    <x v="1"/>
    <n v="1"/>
    <n v="0"/>
    <n v="9500"/>
    <n v="0.114"/>
    <n v="2"/>
    <n v="1"/>
    <n v="1"/>
  </r>
  <r>
    <s v="LA-701740"/>
    <d v="2024-09-26T00:00:00"/>
    <x v="0"/>
    <s v="Q3"/>
    <x v="8"/>
    <x v="1"/>
    <x v="2"/>
    <x v="2"/>
    <x v="1"/>
    <x v="1"/>
    <n v="4650"/>
    <n v="8500"/>
    <n v="24"/>
    <n v="0.222"/>
    <s v="Approved"/>
    <x v="1"/>
    <n v="1"/>
    <n v="0"/>
    <n v="8500"/>
    <n v="0.12609999999999999"/>
    <n v="2"/>
    <n v="1"/>
    <n v="1"/>
  </r>
  <r>
    <s v="LA-701741"/>
    <d v="2024-09-26T00:00:00"/>
    <x v="0"/>
    <s v="Q3"/>
    <x v="8"/>
    <x v="0"/>
    <x v="0"/>
    <x v="4"/>
    <x v="0"/>
    <x v="2"/>
    <n v="7000"/>
    <n v="14500"/>
    <n v="36"/>
    <n v="0.30099999999999999"/>
    <s v="Withdrawn"/>
    <x v="1"/>
    <n v="0"/>
    <n v="0"/>
    <n v="0"/>
    <m/>
    <n v="11"/>
    <n v="0"/>
    <n v="1"/>
  </r>
  <r>
    <s v="LA-701742"/>
    <d v="2024-09-26T00:00:00"/>
    <x v="0"/>
    <s v="Q3"/>
    <x v="8"/>
    <x v="3"/>
    <x v="1"/>
    <x v="3"/>
    <x v="2"/>
    <x v="0"/>
    <n v="4100"/>
    <n v="207500"/>
    <n v="180"/>
    <n v="0.48599999999999999"/>
    <s v="Approved"/>
    <x v="1"/>
    <n v="1"/>
    <n v="0"/>
    <n v="207500"/>
    <n v="7.5300000000000006E-2"/>
    <n v="7"/>
    <n v="1"/>
    <n v="1"/>
  </r>
  <r>
    <s v="LA-701743"/>
    <d v="2024-09-27T00:00:00"/>
    <x v="0"/>
    <s v="Q3"/>
    <x v="8"/>
    <x v="3"/>
    <x v="2"/>
    <x v="2"/>
    <x v="0"/>
    <x v="4"/>
    <n v="3600"/>
    <n v="138000"/>
    <n v="180"/>
    <n v="0.39400000000000002"/>
    <s v="Rejected"/>
    <x v="4"/>
    <n v="0"/>
    <n v="1"/>
    <n v="0"/>
    <m/>
    <n v="13"/>
    <n v="1"/>
    <n v="1"/>
  </r>
  <r>
    <s v="LA-701744"/>
    <d v="2024-09-27T00:00:00"/>
    <x v="0"/>
    <s v="Q3"/>
    <x v="8"/>
    <x v="1"/>
    <x v="3"/>
    <x v="0"/>
    <x v="1"/>
    <x v="1"/>
    <n v="6700"/>
    <n v="8000"/>
    <n v="24"/>
    <n v="0.20100000000000001"/>
    <s v="Approved"/>
    <x v="1"/>
    <n v="1"/>
    <n v="0"/>
    <n v="8000"/>
    <n v="0.13139999999999999"/>
    <n v="9"/>
    <n v="0"/>
    <n v="1"/>
  </r>
  <r>
    <s v="LA-701745"/>
    <d v="2024-09-27T00:00:00"/>
    <x v="0"/>
    <s v="Q3"/>
    <x v="8"/>
    <x v="1"/>
    <x v="1"/>
    <x v="3"/>
    <x v="1"/>
    <x v="1"/>
    <n v="4250"/>
    <n v="21000"/>
    <n v="60"/>
    <n v="0.17100000000000001"/>
    <s v="Approved"/>
    <x v="1"/>
    <n v="1"/>
    <n v="0"/>
    <n v="21000"/>
    <n v="0.12670000000000001"/>
    <n v="2"/>
    <n v="1"/>
    <n v="1"/>
  </r>
  <r>
    <s v="LA-701746"/>
    <d v="2024-09-27T00:00:00"/>
    <x v="0"/>
    <s v="Q3"/>
    <x v="8"/>
    <x v="0"/>
    <x v="3"/>
    <x v="3"/>
    <x v="2"/>
    <x v="4"/>
    <n v="5650"/>
    <n v="13000"/>
    <n v="36"/>
    <n v="0.29399999999999998"/>
    <s v="Approved"/>
    <x v="1"/>
    <n v="1"/>
    <n v="0"/>
    <n v="13000"/>
    <n v="7.5999999999999998E-2"/>
    <n v="6"/>
    <n v="0"/>
    <n v="1"/>
  </r>
  <r>
    <s v="LA-701747"/>
    <d v="2024-09-27T00:00:00"/>
    <x v="0"/>
    <s v="Q3"/>
    <x v="8"/>
    <x v="1"/>
    <x v="3"/>
    <x v="1"/>
    <x v="2"/>
    <x v="1"/>
    <n v="6050"/>
    <n v="11000"/>
    <n v="60"/>
    <n v="9.9000000000000005E-2"/>
    <s v="Rejected"/>
    <x v="5"/>
    <n v="0"/>
    <n v="1"/>
    <n v="0"/>
    <m/>
    <n v="5"/>
    <n v="0"/>
    <n v="1"/>
  </r>
  <r>
    <s v="LA-701748"/>
    <d v="2024-09-27T00:00:00"/>
    <x v="0"/>
    <s v="Q3"/>
    <x v="8"/>
    <x v="0"/>
    <x v="3"/>
    <x v="4"/>
    <x v="1"/>
    <x v="0"/>
    <n v="9200"/>
    <n v="28000"/>
    <n v="48"/>
    <n v="0.25800000000000001"/>
    <s v="Approved"/>
    <x v="1"/>
    <n v="1"/>
    <n v="0"/>
    <n v="28000"/>
    <n v="9.4200000000000006E-2"/>
    <n v="5"/>
    <n v="0"/>
    <n v="1"/>
  </r>
  <r>
    <s v="LA-701749"/>
    <d v="2024-09-27T00:00:00"/>
    <x v="0"/>
    <s v="Q3"/>
    <x v="8"/>
    <x v="1"/>
    <x v="3"/>
    <x v="1"/>
    <x v="1"/>
    <x v="1"/>
    <n v="1850"/>
    <n v="19500"/>
    <n v="12"/>
    <n v="1.0029999999999999"/>
    <s v="Approved"/>
    <x v="1"/>
    <n v="1"/>
    <n v="0"/>
    <n v="19500"/>
    <n v="0.12330000000000001"/>
    <n v="4"/>
    <n v="0"/>
    <n v="1"/>
  </r>
  <r>
    <s v="LA-701750"/>
    <d v="2024-09-27T00:00:00"/>
    <x v="0"/>
    <s v="Q3"/>
    <x v="8"/>
    <x v="2"/>
    <x v="0"/>
    <x v="0"/>
    <x v="1"/>
    <x v="0"/>
    <n v="7050"/>
    <n v="247000"/>
    <n v="24"/>
    <n v="1.754"/>
    <s v="Rejected"/>
    <x v="0"/>
    <n v="0"/>
    <n v="1"/>
    <n v="0"/>
    <m/>
    <n v="7"/>
    <n v="1"/>
    <n v="1"/>
  </r>
  <r>
    <s v="LA-701751"/>
    <d v="2024-09-28T00:00:00"/>
    <x v="0"/>
    <s v="Q3"/>
    <x v="8"/>
    <x v="1"/>
    <x v="3"/>
    <x v="2"/>
    <x v="1"/>
    <x v="3"/>
    <n v="4600"/>
    <n v="9500"/>
    <n v="24"/>
    <n v="0.33600000000000002"/>
    <s v="Approved"/>
    <x v="1"/>
    <n v="1"/>
    <n v="0"/>
    <n v="9500"/>
    <n v="0.1085"/>
    <n v="5"/>
    <n v="0"/>
    <n v="1"/>
  </r>
  <r>
    <s v="LA-701752"/>
    <d v="2024-09-28T00:00:00"/>
    <x v="0"/>
    <s v="Q3"/>
    <x v="8"/>
    <x v="1"/>
    <x v="2"/>
    <x v="3"/>
    <x v="2"/>
    <x v="1"/>
    <n v="6900"/>
    <n v="16000"/>
    <n v="60"/>
    <n v="0.222"/>
    <s v="Approved"/>
    <x v="1"/>
    <n v="1"/>
    <n v="0"/>
    <n v="14500"/>
    <n v="0.1222"/>
    <n v="3"/>
    <n v="1"/>
    <n v="1"/>
  </r>
  <r>
    <s v="LA-701753"/>
    <d v="2024-09-28T00:00:00"/>
    <x v="0"/>
    <s v="Q3"/>
    <x v="8"/>
    <x v="3"/>
    <x v="2"/>
    <x v="0"/>
    <x v="1"/>
    <x v="1"/>
    <n v="5300"/>
    <n v="350000"/>
    <n v="300"/>
    <n v="0.57099999999999995"/>
    <s v="Approved"/>
    <x v="1"/>
    <n v="1"/>
    <n v="0"/>
    <n v="350000"/>
    <n v="5.5500000000000001E-2"/>
    <n v="12"/>
    <n v="1"/>
    <n v="1"/>
  </r>
  <r>
    <s v="LA-701754"/>
    <d v="2024-09-28T00:00:00"/>
    <x v="0"/>
    <s v="Q3"/>
    <x v="8"/>
    <x v="0"/>
    <x v="1"/>
    <x v="3"/>
    <x v="2"/>
    <x v="4"/>
    <n v="4300"/>
    <n v="43000"/>
    <n v="60"/>
    <n v="0.25900000000000001"/>
    <s v="Rejected"/>
    <x v="5"/>
    <n v="0"/>
    <n v="1"/>
    <n v="0"/>
    <m/>
    <n v="2"/>
    <n v="1"/>
    <n v="1"/>
  </r>
  <r>
    <s v="LA-701755"/>
    <d v="2024-09-28T00:00:00"/>
    <x v="0"/>
    <s v="Q3"/>
    <x v="8"/>
    <x v="2"/>
    <x v="1"/>
    <x v="3"/>
    <x v="2"/>
    <x v="2"/>
    <n v="9250"/>
    <n v="118500"/>
    <n v="36"/>
    <n v="0.51500000000000001"/>
    <s v="Withdrawn"/>
    <x v="1"/>
    <n v="0"/>
    <n v="0"/>
    <n v="0"/>
    <m/>
    <n v="4"/>
    <n v="1"/>
    <n v="1"/>
  </r>
  <r>
    <s v="LA-701756"/>
    <d v="2024-09-28T00:00:00"/>
    <x v="0"/>
    <s v="Q3"/>
    <x v="8"/>
    <x v="1"/>
    <x v="1"/>
    <x v="3"/>
    <x v="1"/>
    <x v="0"/>
    <n v="5250"/>
    <n v="23000"/>
    <n v="36"/>
    <n v="0.316"/>
    <s v="Rejected"/>
    <x v="0"/>
    <n v="0"/>
    <n v="1"/>
    <n v="0"/>
    <m/>
    <n v="2"/>
    <n v="1"/>
    <n v="1"/>
  </r>
  <r>
    <s v="LA-701757"/>
    <d v="2024-09-29T00:00:00"/>
    <x v="0"/>
    <s v="Q3"/>
    <x v="8"/>
    <x v="1"/>
    <x v="1"/>
    <x v="3"/>
    <x v="0"/>
    <x v="4"/>
    <n v="2550"/>
    <n v="26500"/>
    <n v="48"/>
    <n v="0.42199999999999999"/>
    <s v="Approved"/>
    <x v="1"/>
    <n v="1"/>
    <n v="0"/>
    <n v="21000"/>
    <n v="0.1162"/>
    <n v="1"/>
    <n v="1"/>
    <n v="1"/>
  </r>
  <r>
    <s v="LA-701758"/>
    <d v="2024-09-29T00:00:00"/>
    <x v="0"/>
    <s v="Q3"/>
    <x v="8"/>
    <x v="0"/>
    <x v="2"/>
    <x v="2"/>
    <x v="1"/>
    <x v="1"/>
    <n v="8000"/>
    <n v="47500"/>
    <n v="60"/>
    <n v="0.191"/>
    <s v="Approved"/>
    <x v="1"/>
    <n v="1"/>
    <n v="0"/>
    <n v="38000"/>
    <n v="7.8E-2"/>
    <n v="3"/>
    <n v="1"/>
    <n v="1"/>
  </r>
  <r>
    <s v="LA-701759"/>
    <d v="2024-09-29T00:00:00"/>
    <x v="0"/>
    <s v="Q3"/>
    <x v="8"/>
    <x v="1"/>
    <x v="2"/>
    <x v="3"/>
    <x v="1"/>
    <x v="1"/>
    <n v="3800"/>
    <n v="19500"/>
    <n v="48"/>
    <n v="0.34100000000000003"/>
    <s v="Approved"/>
    <x v="1"/>
    <n v="1"/>
    <n v="0"/>
    <n v="17500"/>
    <n v="0.1236"/>
    <n v="2"/>
    <n v="1"/>
    <n v="1"/>
  </r>
  <r>
    <s v="LA-701760"/>
    <d v="2024-09-29T00:00:00"/>
    <x v="0"/>
    <s v="Q3"/>
    <x v="8"/>
    <x v="2"/>
    <x v="0"/>
    <x v="2"/>
    <x v="1"/>
    <x v="0"/>
    <n v="5100"/>
    <n v="143500"/>
    <n v="24"/>
    <n v="1.419"/>
    <s v="Rejected"/>
    <x v="3"/>
    <n v="0"/>
    <n v="1"/>
    <n v="0"/>
    <m/>
    <n v="11"/>
    <n v="0"/>
    <n v="1"/>
  </r>
  <r>
    <s v="LA-701761"/>
    <d v="2024-09-30T00:00:00"/>
    <x v="0"/>
    <s v="Q3"/>
    <x v="8"/>
    <x v="0"/>
    <x v="1"/>
    <x v="1"/>
    <x v="2"/>
    <x v="1"/>
    <n v="10750"/>
    <n v="35500"/>
    <n v="48"/>
    <n v="0.27"/>
    <s v="Approved"/>
    <x v="1"/>
    <n v="1"/>
    <n v="0"/>
    <n v="28500"/>
    <n v="7.9100000000000004E-2"/>
    <n v="4"/>
    <n v="1"/>
    <n v="1"/>
  </r>
  <r>
    <s v="LA-701762"/>
    <d v="2024-09-30T00:00:00"/>
    <x v="0"/>
    <s v="Q3"/>
    <x v="8"/>
    <x v="1"/>
    <x v="0"/>
    <x v="1"/>
    <x v="0"/>
    <x v="1"/>
    <n v="10300"/>
    <n v="17000"/>
    <n v="24"/>
    <n v="0.13300000000000001"/>
    <s v="Approved"/>
    <x v="1"/>
    <n v="1"/>
    <n v="0"/>
    <n v="13500"/>
    <n v="0.1202"/>
    <n v="4"/>
    <n v="0"/>
    <n v="1"/>
  </r>
  <r>
    <s v="LA-701763"/>
    <d v="2024-09-30T00:00:00"/>
    <x v="0"/>
    <s v="Q3"/>
    <x v="8"/>
    <x v="1"/>
    <x v="3"/>
    <x v="1"/>
    <x v="0"/>
    <x v="1"/>
    <n v="7700"/>
    <n v="14500"/>
    <n v="60"/>
    <n v="0.13200000000000001"/>
    <s v="Approved"/>
    <x v="1"/>
    <n v="1"/>
    <n v="0"/>
    <n v="11500"/>
    <n v="0.1295"/>
    <n v="2"/>
    <n v="1"/>
    <n v="1"/>
  </r>
  <r>
    <s v="LA-701764"/>
    <d v="2024-09-30T00:00:00"/>
    <x v="0"/>
    <s v="Q3"/>
    <x v="8"/>
    <x v="0"/>
    <x v="3"/>
    <x v="2"/>
    <x v="1"/>
    <x v="4"/>
    <n v="6450"/>
    <n v="43000"/>
    <n v="60"/>
    <n v="0.27100000000000002"/>
    <s v="Approved"/>
    <x v="1"/>
    <n v="1"/>
    <n v="0"/>
    <n v="38500"/>
    <n v="6.8900000000000003E-2"/>
    <n v="11"/>
    <n v="0"/>
    <n v="1"/>
  </r>
  <r>
    <s v="LA-701765"/>
    <d v="2024-09-30T00:00:00"/>
    <x v="0"/>
    <s v="Q3"/>
    <x v="8"/>
    <x v="1"/>
    <x v="0"/>
    <x v="4"/>
    <x v="0"/>
    <x v="3"/>
    <n v="2500"/>
    <n v="15500"/>
    <n v="24"/>
    <n v="0.46600000000000003"/>
    <s v="Approved"/>
    <x v="1"/>
    <n v="1"/>
    <n v="0"/>
    <n v="14000"/>
    <n v="0.1067"/>
    <n v="7"/>
    <n v="0"/>
    <n v="1"/>
  </r>
  <r>
    <s v="LA-701766"/>
    <d v="2024-09-30T00:00:00"/>
    <x v="0"/>
    <s v="Q3"/>
    <x v="8"/>
    <x v="1"/>
    <x v="0"/>
    <x v="4"/>
    <x v="1"/>
    <x v="2"/>
    <n v="4550"/>
    <n v="13000"/>
    <n v="12"/>
    <n v="0.45800000000000002"/>
    <s v="Rejected"/>
    <x v="0"/>
    <n v="0"/>
    <n v="1"/>
    <n v="0"/>
    <m/>
    <n v="5"/>
    <n v="0"/>
    <n v="1"/>
  </r>
  <r>
    <s v="LA-701767"/>
    <d v="2024-09-30T00:00:00"/>
    <x v="0"/>
    <s v="Q3"/>
    <x v="8"/>
    <x v="2"/>
    <x v="3"/>
    <x v="2"/>
    <x v="0"/>
    <x v="4"/>
    <n v="4450"/>
    <n v="48500"/>
    <n v="36"/>
    <n v="0.46100000000000002"/>
    <s v="Approved"/>
    <x v="1"/>
    <n v="1"/>
    <n v="0"/>
    <n v="39000"/>
    <n v="9.9400000000000002E-2"/>
    <n v="18"/>
    <n v="0"/>
    <n v="1"/>
  </r>
  <r>
    <s v="LA-701768"/>
    <d v="2024-09-30T00:00:00"/>
    <x v="0"/>
    <s v="Q3"/>
    <x v="8"/>
    <x v="2"/>
    <x v="2"/>
    <x v="3"/>
    <x v="2"/>
    <x v="1"/>
    <n v="7150"/>
    <n v="56500"/>
    <n v="24"/>
    <n v="0.46100000000000002"/>
    <s v="Approved"/>
    <x v="1"/>
    <n v="1"/>
    <n v="0"/>
    <n v="45000"/>
    <n v="0.1114"/>
    <n v="12"/>
    <n v="0"/>
    <n v="1"/>
  </r>
  <r>
    <s v="LA-701769"/>
    <d v="2024-09-30T00:00:00"/>
    <x v="0"/>
    <s v="Q3"/>
    <x v="8"/>
    <x v="2"/>
    <x v="3"/>
    <x v="0"/>
    <x v="1"/>
    <x v="2"/>
    <n v="2550"/>
    <n v="59000"/>
    <n v="60"/>
    <n v="0.57699999999999996"/>
    <s v="Approved"/>
    <x v="1"/>
    <n v="1"/>
    <n v="0"/>
    <n v="53000"/>
    <n v="0.1401"/>
    <n v="19"/>
    <n v="0"/>
    <n v="1"/>
  </r>
  <r>
    <s v="LA-701770"/>
    <d v="2024-10-01T00:00:00"/>
    <x v="0"/>
    <s v="Q4"/>
    <x v="9"/>
    <x v="2"/>
    <x v="3"/>
    <x v="2"/>
    <x v="1"/>
    <x v="2"/>
    <n v="5250"/>
    <n v="145500"/>
    <n v="12"/>
    <n v="2.5169999999999999"/>
    <s v="Rejected"/>
    <x v="4"/>
    <n v="0"/>
    <n v="1"/>
    <n v="0"/>
    <m/>
    <n v="14"/>
    <n v="0"/>
    <n v="1"/>
  </r>
  <r>
    <s v="LA-701771"/>
    <d v="2024-10-01T00:00:00"/>
    <x v="0"/>
    <s v="Q4"/>
    <x v="9"/>
    <x v="1"/>
    <x v="0"/>
    <x v="2"/>
    <x v="0"/>
    <x v="3"/>
    <n v="19500"/>
    <n v="5500"/>
    <n v="12"/>
    <n v="0.224"/>
    <s v="Approved"/>
    <x v="1"/>
    <n v="1"/>
    <n v="0"/>
    <n v="5000"/>
    <n v="0.11070000000000001"/>
    <n v="2"/>
    <n v="1"/>
    <n v="1"/>
  </r>
  <r>
    <s v="LA-701772"/>
    <d v="2024-10-02T00:00:00"/>
    <x v="0"/>
    <s v="Q4"/>
    <x v="9"/>
    <x v="1"/>
    <x v="3"/>
    <x v="2"/>
    <x v="0"/>
    <x v="1"/>
    <n v="5850"/>
    <n v="15000"/>
    <n v="36"/>
    <n v="0.248"/>
    <s v="Approved"/>
    <x v="1"/>
    <n v="1"/>
    <n v="0"/>
    <n v="15000"/>
    <n v="0.1265"/>
    <n v="4"/>
    <n v="0"/>
    <n v="1"/>
  </r>
  <r>
    <s v="LA-701773"/>
    <d v="2024-10-02T00:00:00"/>
    <x v="0"/>
    <s v="Q4"/>
    <x v="9"/>
    <x v="0"/>
    <x v="0"/>
    <x v="0"/>
    <x v="2"/>
    <x v="4"/>
    <n v="8300"/>
    <n v="22000"/>
    <n v="48"/>
    <n v="0.246"/>
    <s v="Approved"/>
    <x v="1"/>
    <n v="1"/>
    <n v="0"/>
    <n v="22000"/>
    <n v="6.7699999999999996E-2"/>
    <n v="5"/>
    <n v="0"/>
    <n v="1"/>
  </r>
  <r>
    <s v="LA-701774"/>
    <d v="2024-10-02T00:00:00"/>
    <x v="0"/>
    <s v="Q4"/>
    <x v="9"/>
    <x v="0"/>
    <x v="0"/>
    <x v="1"/>
    <x v="0"/>
    <x v="2"/>
    <n v="3250"/>
    <n v="30500"/>
    <n v="48"/>
    <n v="0.44900000000000001"/>
    <s v="Rejected"/>
    <x v="5"/>
    <n v="0"/>
    <n v="1"/>
    <n v="0"/>
    <m/>
    <n v="7"/>
    <n v="0"/>
    <n v="1"/>
  </r>
  <r>
    <s v="LA-701775"/>
    <d v="2024-10-02T00:00:00"/>
    <x v="0"/>
    <s v="Q4"/>
    <x v="9"/>
    <x v="0"/>
    <x v="3"/>
    <x v="4"/>
    <x v="0"/>
    <x v="2"/>
    <n v="4350"/>
    <n v="31500"/>
    <n v="36"/>
    <n v="0.35699999999999998"/>
    <s v="Rejected"/>
    <x v="4"/>
    <n v="0"/>
    <n v="1"/>
    <n v="0"/>
    <m/>
    <n v="10"/>
    <n v="0"/>
    <n v="1"/>
  </r>
  <r>
    <s v="LA-701776"/>
    <d v="2024-10-02T00:00:00"/>
    <x v="0"/>
    <s v="Q4"/>
    <x v="9"/>
    <x v="1"/>
    <x v="3"/>
    <x v="3"/>
    <x v="1"/>
    <x v="0"/>
    <n v="6100"/>
    <n v="24500"/>
    <n v="12"/>
    <n v="0.43099999999999999"/>
    <s v="Approved"/>
    <x v="1"/>
    <n v="1"/>
    <n v="0"/>
    <n v="19500"/>
    <n v="0.13650000000000001"/>
    <n v="5"/>
    <n v="0"/>
    <n v="1"/>
  </r>
  <r>
    <s v="LA-701777"/>
    <d v="2024-10-02T00:00:00"/>
    <x v="0"/>
    <s v="Q4"/>
    <x v="9"/>
    <x v="3"/>
    <x v="0"/>
    <x v="2"/>
    <x v="0"/>
    <x v="1"/>
    <n v="3550"/>
    <n v="167000"/>
    <n v="240"/>
    <n v="0.54700000000000004"/>
    <s v="Approved"/>
    <x v="1"/>
    <n v="1"/>
    <n v="0"/>
    <n v="150500"/>
    <n v="5.74E-2"/>
    <n v="36"/>
    <n v="0"/>
    <n v="1"/>
  </r>
  <r>
    <s v="LA-701778"/>
    <d v="2024-10-02T00:00:00"/>
    <x v="0"/>
    <s v="Q4"/>
    <x v="9"/>
    <x v="2"/>
    <x v="3"/>
    <x v="3"/>
    <x v="1"/>
    <x v="1"/>
    <n v="3050"/>
    <n v="88000"/>
    <n v="12"/>
    <n v="2.754"/>
    <s v="Rejected"/>
    <x v="3"/>
    <n v="0"/>
    <n v="1"/>
    <n v="0"/>
    <m/>
    <n v="15"/>
    <n v="0"/>
    <n v="1"/>
  </r>
  <r>
    <s v="LA-701779"/>
    <d v="2024-10-03T00:00:00"/>
    <x v="0"/>
    <s v="Q4"/>
    <x v="9"/>
    <x v="1"/>
    <x v="1"/>
    <x v="2"/>
    <x v="0"/>
    <x v="0"/>
    <n v="3150"/>
    <n v="13500"/>
    <n v="36"/>
    <n v="0.23"/>
    <s v="Rejected"/>
    <x v="0"/>
    <n v="0"/>
    <n v="1"/>
    <n v="0"/>
    <m/>
    <n v="3"/>
    <n v="1"/>
    <n v="1"/>
  </r>
  <r>
    <s v="LA-701780"/>
    <d v="2024-10-03T00:00:00"/>
    <x v="0"/>
    <s v="Q4"/>
    <x v="9"/>
    <x v="0"/>
    <x v="1"/>
    <x v="1"/>
    <x v="1"/>
    <x v="4"/>
    <n v="5600"/>
    <n v="16500"/>
    <n v="60"/>
    <n v="0.249"/>
    <s v="Approved"/>
    <x v="1"/>
    <n v="1"/>
    <n v="0"/>
    <n v="13000"/>
    <n v="7.1300000000000002E-2"/>
    <n v="4"/>
    <n v="1"/>
    <n v="1"/>
  </r>
  <r>
    <s v="LA-701781"/>
    <d v="2024-10-03T00:00:00"/>
    <x v="0"/>
    <s v="Q4"/>
    <x v="9"/>
    <x v="1"/>
    <x v="3"/>
    <x v="3"/>
    <x v="0"/>
    <x v="4"/>
    <n v="5050"/>
    <n v="12500"/>
    <n v="12"/>
    <n v="0.40300000000000002"/>
    <s v="Approved"/>
    <x v="1"/>
    <n v="1"/>
    <n v="0"/>
    <n v="12500"/>
    <n v="0.1164"/>
    <n v="3"/>
    <n v="1"/>
    <n v="1"/>
  </r>
  <r>
    <s v="LA-701782"/>
    <d v="2024-10-03T00:00:00"/>
    <x v="0"/>
    <s v="Q4"/>
    <x v="9"/>
    <x v="0"/>
    <x v="0"/>
    <x v="2"/>
    <x v="1"/>
    <x v="3"/>
    <n v="5350"/>
    <n v="39000"/>
    <n v="48"/>
    <n v="0.27100000000000002"/>
    <s v="Rejected"/>
    <x v="4"/>
    <n v="0"/>
    <n v="1"/>
    <n v="0"/>
    <m/>
    <n v="10"/>
    <n v="0"/>
    <n v="1"/>
  </r>
  <r>
    <s v="LA-701783"/>
    <d v="2024-10-03T00:00:00"/>
    <x v="0"/>
    <s v="Q4"/>
    <x v="9"/>
    <x v="0"/>
    <x v="2"/>
    <x v="2"/>
    <x v="1"/>
    <x v="1"/>
    <n v="6950"/>
    <n v="18000"/>
    <n v="36"/>
    <n v="0.317"/>
    <s v="Rejected"/>
    <x v="5"/>
    <n v="0"/>
    <n v="1"/>
    <n v="0"/>
    <m/>
    <n v="2"/>
    <n v="1"/>
    <n v="1"/>
  </r>
  <r>
    <s v="LA-701784"/>
    <d v="2024-10-03T00:00:00"/>
    <x v="0"/>
    <s v="Q4"/>
    <x v="9"/>
    <x v="0"/>
    <x v="1"/>
    <x v="2"/>
    <x v="1"/>
    <x v="1"/>
    <n v="7150"/>
    <n v="34000"/>
    <n v="48"/>
    <n v="0.26100000000000001"/>
    <s v="Rejected"/>
    <x v="0"/>
    <n v="0"/>
    <n v="1"/>
    <n v="0"/>
    <m/>
    <n v="3"/>
    <n v="1"/>
    <n v="1"/>
  </r>
  <r>
    <s v="LA-701785"/>
    <d v="2024-10-03T00:00:00"/>
    <x v="0"/>
    <s v="Q4"/>
    <x v="9"/>
    <x v="3"/>
    <x v="3"/>
    <x v="4"/>
    <x v="2"/>
    <x v="1"/>
    <n v="4650"/>
    <n v="438000"/>
    <n v="300"/>
    <n v="0.73299999999999998"/>
    <s v="Approved"/>
    <x v="1"/>
    <n v="1"/>
    <n v="0"/>
    <n v="350500"/>
    <n v="5.8099999999999999E-2"/>
    <n v="12"/>
    <n v="1"/>
    <n v="1"/>
  </r>
  <r>
    <s v="LA-701786"/>
    <d v="2024-10-03T00:00:00"/>
    <x v="0"/>
    <s v="Q4"/>
    <x v="9"/>
    <x v="1"/>
    <x v="1"/>
    <x v="2"/>
    <x v="1"/>
    <x v="0"/>
    <n v="4650"/>
    <n v="6500"/>
    <n v="12"/>
    <n v="0.29099999999999998"/>
    <s v="Rejected"/>
    <x v="0"/>
    <n v="0"/>
    <n v="1"/>
    <n v="0"/>
    <m/>
    <n v="1"/>
    <n v="1"/>
    <n v="1"/>
  </r>
  <r>
    <s v="LA-701787"/>
    <d v="2024-10-04T00:00:00"/>
    <x v="0"/>
    <s v="Q4"/>
    <x v="9"/>
    <x v="0"/>
    <x v="0"/>
    <x v="3"/>
    <x v="0"/>
    <x v="0"/>
    <n v="4550"/>
    <n v="38000"/>
    <n v="48"/>
    <n v="0.35299999999999998"/>
    <s v="Withdrawn"/>
    <x v="1"/>
    <n v="0"/>
    <n v="0"/>
    <n v="0"/>
    <m/>
    <n v="7"/>
    <n v="0"/>
    <n v="1"/>
  </r>
  <r>
    <s v="LA-701788"/>
    <d v="2024-10-04T00:00:00"/>
    <x v="0"/>
    <s v="Q4"/>
    <x v="9"/>
    <x v="2"/>
    <x v="2"/>
    <x v="2"/>
    <x v="2"/>
    <x v="4"/>
    <n v="11550"/>
    <n v="95000"/>
    <n v="12"/>
    <n v="0.78500000000000003"/>
    <s v="Rejected"/>
    <x v="3"/>
    <n v="0"/>
    <n v="1"/>
    <n v="0"/>
    <m/>
    <n v="6"/>
    <n v="1"/>
    <n v="1"/>
  </r>
  <r>
    <s v="LA-701789"/>
    <d v="2024-10-04T00:00:00"/>
    <x v="0"/>
    <s v="Q4"/>
    <x v="9"/>
    <x v="1"/>
    <x v="3"/>
    <x v="2"/>
    <x v="2"/>
    <x v="0"/>
    <n v="3900"/>
    <n v="6500"/>
    <n v="60"/>
    <n v="0.23899999999999999"/>
    <s v="Withdrawn"/>
    <x v="1"/>
    <n v="0"/>
    <n v="0"/>
    <n v="0"/>
    <m/>
    <n v="4"/>
    <n v="0"/>
    <n v="1"/>
  </r>
  <r>
    <s v="LA-701790"/>
    <d v="2024-10-04T00:00:00"/>
    <x v="0"/>
    <s v="Q4"/>
    <x v="9"/>
    <x v="1"/>
    <x v="3"/>
    <x v="2"/>
    <x v="1"/>
    <x v="4"/>
    <n v="3650"/>
    <n v="19000"/>
    <n v="24"/>
    <n v="0.36799999999999999"/>
    <s v="Rejected"/>
    <x v="0"/>
    <n v="0"/>
    <n v="1"/>
    <n v="0"/>
    <m/>
    <n v="7"/>
    <n v="0"/>
    <n v="1"/>
  </r>
  <r>
    <s v="LA-701791"/>
    <d v="2024-10-04T00:00:00"/>
    <x v="0"/>
    <s v="Q4"/>
    <x v="9"/>
    <x v="1"/>
    <x v="2"/>
    <x v="0"/>
    <x v="0"/>
    <x v="3"/>
    <n v="3900"/>
    <n v="8500"/>
    <n v="12"/>
    <n v="0.27100000000000002"/>
    <s v="Approved"/>
    <x v="1"/>
    <n v="1"/>
    <n v="0"/>
    <n v="7000"/>
    <n v="0.11219999999999999"/>
    <n v="2"/>
    <n v="1"/>
    <n v="1"/>
  </r>
  <r>
    <s v="LA-701792"/>
    <d v="2024-10-04T00:00:00"/>
    <x v="0"/>
    <s v="Q4"/>
    <x v="9"/>
    <x v="1"/>
    <x v="2"/>
    <x v="3"/>
    <x v="1"/>
    <x v="3"/>
    <n v="9550"/>
    <n v="7500"/>
    <n v="36"/>
    <n v="0.20399999999999999"/>
    <s v="Approved"/>
    <x v="1"/>
    <n v="1"/>
    <n v="0"/>
    <n v="7500"/>
    <n v="0.1069"/>
    <n v="2"/>
    <n v="1"/>
    <n v="1"/>
  </r>
  <r>
    <s v="LA-701793"/>
    <d v="2024-10-04T00:00:00"/>
    <x v="0"/>
    <s v="Q4"/>
    <x v="9"/>
    <x v="0"/>
    <x v="3"/>
    <x v="3"/>
    <x v="1"/>
    <x v="0"/>
    <n v="2300"/>
    <n v="17000"/>
    <n v="60"/>
    <n v="0.314"/>
    <s v="Rejected"/>
    <x v="2"/>
    <n v="0"/>
    <n v="1"/>
    <n v="0"/>
    <m/>
    <n v="8"/>
    <n v="0"/>
    <n v="1"/>
  </r>
  <r>
    <s v="LA-701794"/>
    <d v="2024-10-04T00:00:00"/>
    <x v="0"/>
    <s v="Q4"/>
    <x v="9"/>
    <x v="3"/>
    <x v="3"/>
    <x v="2"/>
    <x v="0"/>
    <x v="2"/>
    <n v="12800"/>
    <n v="189000"/>
    <n v="300"/>
    <n v="0.32500000000000001"/>
    <s v="Rejected"/>
    <x v="0"/>
    <n v="0"/>
    <n v="1"/>
    <n v="0"/>
    <m/>
    <n v="11"/>
    <n v="1"/>
    <n v="1"/>
  </r>
  <r>
    <s v="LA-701795"/>
    <d v="2024-10-04T00:00:00"/>
    <x v="0"/>
    <s v="Q4"/>
    <x v="9"/>
    <x v="0"/>
    <x v="2"/>
    <x v="2"/>
    <x v="1"/>
    <x v="0"/>
    <n v="5100"/>
    <n v="56000"/>
    <n v="36"/>
    <n v="0.438"/>
    <s v="Rejected"/>
    <x v="0"/>
    <n v="0"/>
    <n v="1"/>
    <n v="0"/>
    <m/>
    <n v="3"/>
    <n v="1"/>
    <n v="1"/>
  </r>
  <r>
    <s v="LA-701796"/>
    <d v="2024-10-05T00:00:00"/>
    <x v="0"/>
    <s v="Q4"/>
    <x v="9"/>
    <x v="1"/>
    <x v="3"/>
    <x v="2"/>
    <x v="0"/>
    <x v="0"/>
    <n v="6800"/>
    <n v="14500"/>
    <n v="60"/>
    <n v="0.188"/>
    <s v="Approved"/>
    <x v="1"/>
    <n v="1"/>
    <n v="0"/>
    <n v="14500"/>
    <n v="0.1353"/>
    <n v="5"/>
    <n v="0"/>
    <n v="1"/>
  </r>
  <r>
    <s v="LA-701797"/>
    <d v="2024-10-05T00:00:00"/>
    <x v="0"/>
    <s v="Q4"/>
    <x v="9"/>
    <x v="1"/>
    <x v="3"/>
    <x v="0"/>
    <x v="2"/>
    <x v="1"/>
    <n v="6100"/>
    <n v="7000"/>
    <n v="48"/>
    <n v="0.17699999999999999"/>
    <s v="Withdrawn"/>
    <x v="1"/>
    <n v="0"/>
    <n v="0"/>
    <n v="0"/>
    <m/>
    <n v="8"/>
    <n v="0"/>
    <n v="1"/>
  </r>
  <r>
    <s v="LA-701798"/>
    <d v="2024-10-06T00:00:00"/>
    <x v="0"/>
    <s v="Q4"/>
    <x v="9"/>
    <x v="1"/>
    <x v="1"/>
    <x v="3"/>
    <x v="0"/>
    <x v="1"/>
    <n v="5250"/>
    <n v="9500"/>
    <n v="48"/>
    <n v="0.13700000000000001"/>
    <s v="Approved"/>
    <x v="1"/>
    <n v="1"/>
    <n v="0"/>
    <n v="9500"/>
    <n v="0.1196"/>
    <n v="1"/>
    <n v="1"/>
    <n v="1"/>
  </r>
  <r>
    <s v="LA-701799"/>
    <d v="2024-10-06T00:00:00"/>
    <x v="0"/>
    <s v="Q4"/>
    <x v="9"/>
    <x v="1"/>
    <x v="2"/>
    <x v="4"/>
    <x v="1"/>
    <x v="2"/>
    <n v="3750"/>
    <n v="14500"/>
    <n v="24"/>
    <n v="0.39800000000000002"/>
    <s v="Rejected"/>
    <x v="0"/>
    <n v="0"/>
    <n v="1"/>
    <n v="0"/>
    <m/>
    <n v="2"/>
    <n v="1"/>
    <n v="1"/>
  </r>
  <r>
    <s v="LA-701800"/>
    <d v="2024-10-06T00:00:00"/>
    <x v="0"/>
    <s v="Q4"/>
    <x v="9"/>
    <x v="1"/>
    <x v="1"/>
    <x v="2"/>
    <x v="0"/>
    <x v="1"/>
    <n v="2500"/>
    <n v="13500"/>
    <n v="36"/>
    <n v="0.308"/>
    <s v="Rejected"/>
    <x v="0"/>
    <n v="0"/>
    <n v="1"/>
    <n v="0"/>
    <m/>
    <n v="1"/>
    <n v="1"/>
    <n v="1"/>
  </r>
  <r>
    <s v="LA-701801"/>
    <d v="2024-10-06T00:00:00"/>
    <x v="0"/>
    <s v="Q4"/>
    <x v="9"/>
    <x v="2"/>
    <x v="3"/>
    <x v="2"/>
    <x v="0"/>
    <x v="1"/>
    <n v="6900"/>
    <n v="91000"/>
    <n v="12"/>
    <n v="1.339"/>
    <s v="Rejected"/>
    <x v="3"/>
    <n v="0"/>
    <n v="1"/>
    <n v="0"/>
    <m/>
    <n v="16"/>
    <n v="0"/>
    <n v="1"/>
  </r>
  <r>
    <s v="LA-701802"/>
    <d v="2024-10-06T00:00:00"/>
    <x v="0"/>
    <s v="Q4"/>
    <x v="9"/>
    <x v="2"/>
    <x v="1"/>
    <x v="2"/>
    <x v="0"/>
    <x v="1"/>
    <n v="7500"/>
    <n v="99000"/>
    <n v="36"/>
    <n v="0.63"/>
    <s v="Approved"/>
    <x v="1"/>
    <n v="1"/>
    <n v="0"/>
    <n v="89000"/>
    <n v="0.1072"/>
    <n v="12"/>
    <n v="0"/>
    <n v="1"/>
  </r>
  <r>
    <s v="LA-701803"/>
    <d v="2024-10-06T00:00:00"/>
    <x v="0"/>
    <s v="Q4"/>
    <x v="9"/>
    <x v="1"/>
    <x v="3"/>
    <x v="2"/>
    <x v="1"/>
    <x v="2"/>
    <n v="3500"/>
    <n v="7500"/>
    <n v="60"/>
    <n v="0.26500000000000001"/>
    <s v="Rejected"/>
    <x v="2"/>
    <n v="0"/>
    <n v="1"/>
    <n v="0"/>
    <m/>
    <n v="7"/>
    <n v="0"/>
    <n v="1"/>
  </r>
  <r>
    <s v="LA-701804"/>
    <d v="2024-10-06T00:00:00"/>
    <x v="0"/>
    <s v="Q4"/>
    <x v="9"/>
    <x v="1"/>
    <x v="2"/>
    <x v="3"/>
    <x v="0"/>
    <x v="0"/>
    <n v="7800"/>
    <n v="5500"/>
    <n v="12"/>
    <n v="0.17199999999999999"/>
    <s v="Rejected"/>
    <x v="0"/>
    <n v="0"/>
    <n v="1"/>
    <n v="0"/>
    <m/>
    <n v="3"/>
    <n v="1"/>
    <n v="1"/>
  </r>
  <r>
    <s v="LA-701805"/>
    <d v="2024-10-07T00:00:00"/>
    <x v="0"/>
    <s v="Q4"/>
    <x v="9"/>
    <x v="2"/>
    <x v="1"/>
    <x v="3"/>
    <x v="1"/>
    <x v="1"/>
    <n v="3950"/>
    <n v="83000"/>
    <n v="12"/>
    <n v="1.9730000000000001"/>
    <s v="Rejected"/>
    <x v="3"/>
    <n v="0"/>
    <n v="1"/>
    <n v="0"/>
    <m/>
    <n v="5"/>
    <n v="1"/>
    <n v="1"/>
  </r>
  <r>
    <s v="LA-701806"/>
    <d v="2024-10-07T00:00:00"/>
    <x v="0"/>
    <s v="Q4"/>
    <x v="9"/>
    <x v="0"/>
    <x v="0"/>
    <x v="2"/>
    <x v="2"/>
    <x v="1"/>
    <n v="11300"/>
    <n v="26500"/>
    <n v="48"/>
    <n v="0.21299999999999999"/>
    <s v="Approved"/>
    <x v="1"/>
    <n v="1"/>
    <n v="0"/>
    <n v="26500"/>
    <n v="8.3099999999999993E-2"/>
    <n v="3"/>
    <n v="1"/>
    <n v="1"/>
  </r>
  <r>
    <s v="LA-701807"/>
    <d v="2024-10-07T00:00:00"/>
    <x v="0"/>
    <s v="Q4"/>
    <x v="9"/>
    <x v="0"/>
    <x v="3"/>
    <x v="3"/>
    <x v="1"/>
    <x v="4"/>
    <n v="3350"/>
    <n v="25500"/>
    <n v="36"/>
    <n v="0.35299999999999998"/>
    <s v="Approved"/>
    <x v="1"/>
    <n v="1"/>
    <n v="0"/>
    <n v="23000"/>
    <n v="7.3899999999999993E-2"/>
    <n v="4"/>
    <n v="1"/>
    <n v="1"/>
  </r>
  <r>
    <s v="LA-701808"/>
    <d v="2024-10-07T00:00:00"/>
    <x v="0"/>
    <s v="Q4"/>
    <x v="9"/>
    <x v="1"/>
    <x v="3"/>
    <x v="1"/>
    <x v="2"/>
    <x v="2"/>
    <n v="12600"/>
    <n v="9000"/>
    <n v="60"/>
    <n v="9.1999999999999998E-2"/>
    <s v="Rejected"/>
    <x v="5"/>
    <n v="0"/>
    <n v="1"/>
    <n v="0"/>
    <m/>
    <n v="3"/>
    <n v="1"/>
    <n v="1"/>
  </r>
  <r>
    <s v="LA-701809"/>
    <d v="2024-10-07T00:00:00"/>
    <x v="0"/>
    <s v="Q4"/>
    <x v="9"/>
    <x v="1"/>
    <x v="2"/>
    <x v="1"/>
    <x v="0"/>
    <x v="4"/>
    <n v="10300"/>
    <n v="16500"/>
    <n v="36"/>
    <n v="0.221"/>
    <s v="Approved"/>
    <x v="1"/>
    <n v="1"/>
    <n v="0"/>
    <n v="16500"/>
    <n v="0.1198"/>
    <n v="2"/>
    <n v="1"/>
    <n v="1"/>
  </r>
  <r>
    <s v="LA-701810"/>
    <d v="2024-10-07T00:00:00"/>
    <x v="0"/>
    <s v="Q4"/>
    <x v="9"/>
    <x v="2"/>
    <x v="3"/>
    <x v="2"/>
    <x v="1"/>
    <x v="4"/>
    <n v="10050"/>
    <n v="97000"/>
    <n v="12"/>
    <n v="0.90500000000000003"/>
    <s v="Rejected"/>
    <x v="3"/>
    <n v="0"/>
    <n v="1"/>
    <n v="0"/>
    <m/>
    <n v="14"/>
    <n v="0"/>
    <n v="1"/>
  </r>
  <r>
    <s v="LA-701811"/>
    <d v="2024-10-07T00:00:00"/>
    <x v="0"/>
    <s v="Q4"/>
    <x v="9"/>
    <x v="1"/>
    <x v="1"/>
    <x v="2"/>
    <x v="1"/>
    <x v="4"/>
    <n v="5450"/>
    <n v="12500"/>
    <n v="60"/>
    <n v="0.18099999999999999"/>
    <s v="Approved"/>
    <x v="1"/>
    <n v="1"/>
    <n v="0"/>
    <n v="12500"/>
    <n v="0.1153"/>
    <n v="2"/>
    <n v="1"/>
    <n v="1"/>
  </r>
  <r>
    <s v="LA-701812"/>
    <d v="2024-10-07T00:00:00"/>
    <x v="0"/>
    <s v="Q4"/>
    <x v="9"/>
    <x v="2"/>
    <x v="3"/>
    <x v="2"/>
    <x v="0"/>
    <x v="1"/>
    <n v="8300"/>
    <n v="135500"/>
    <n v="24"/>
    <n v="0.96099999999999997"/>
    <s v="Rejected"/>
    <x v="3"/>
    <n v="0"/>
    <n v="1"/>
    <n v="0"/>
    <m/>
    <n v="27"/>
    <n v="0"/>
    <n v="1"/>
  </r>
  <r>
    <s v="LA-701813"/>
    <d v="2024-10-07T00:00:00"/>
    <x v="0"/>
    <s v="Q4"/>
    <x v="9"/>
    <x v="1"/>
    <x v="3"/>
    <x v="2"/>
    <x v="0"/>
    <x v="1"/>
    <n v="8950"/>
    <n v="10000"/>
    <n v="12"/>
    <n v="0.26400000000000001"/>
    <s v="Approved"/>
    <x v="1"/>
    <n v="1"/>
    <n v="0"/>
    <n v="10000"/>
    <n v="0.12759999999999999"/>
    <n v="3"/>
    <n v="1"/>
    <n v="1"/>
  </r>
  <r>
    <s v="LA-701814"/>
    <d v="2024-10-07T00:00:00"/>
    <x v="0"/>
    <s v="Q4"/>
    <x v="9"/>
    <x v="0"/>
    <x v="3"/>
    <x v="3"/>
    <x v="2"/>
    <x v="1"/>
    <n v="3250"/>
    <n v="43000"/>
    <n v="48"/>
    <n v="0.53800000000000003"/>
    <s v="Rejected"/>
    <x v="3"/>
    <n v="0"/>
    <n v="1"/>
    <n v="0"/>
    <m/>
    <n v="5"/>
    <n v="0"/>
    <n v="1"/>
  </r>
  <r>
    <s v="LA-701815"/>
    <d v="2024-10-07T00:00:00"/>
    <x v="0"/>
    <s v="Q4"/>
    <x v="9"/>
    <x v="2"/>
    <x v="3"/>
    <x v="2"/>
    <x v="1"/>
    <x v="1"/>
    <n v="6250"/>
    <n v="214500"/>
    <n v="12"/>
    <n v="3.2250000000000001"/>
    <s v="Rejected"/>
    <x v="3"/>
    <n v="0"/>
    <n v="1"/>
    <n v="0"/>
    <m/>
    <n v="15"/>
    <n v="0"/>
    <n v="1"/>
  </r>
  <r>
    <s v="LA-701816"/>
    <d v="2024-10-08T00:00:00"/>
    <x v="0"/>
    <s v="Q4"/>
    <x v="9"/>
    <x v="0"/>
    <x v="1"/>
    <x v="1"/>
    <x v="2"/>
    <x v="3"/>
    <n v="11300"/>
    <n v="29000"/>
    <n v="48"/>
    <n v="0.25800000000000001"/>
    <s v="Approved"/>
    <x v="1"/>
    <n v="1"/>
    <n v="0"/>
    <n v="23000"/>
    <n v="6.6699999999999995E-2"/>
    <n v="2"/>
    <n v="1"/>
    <n v="1"/>
  </r>
  <r>
    <s v="LA-701817"/>
    <d v="2024-10-08T00:00:00"/>
    <x v="0"/>
    <s v="Q4"/>
    <x v="9"/>
    <x v="1"/>
    <x v="3"/>
    <x v="3"/>
    <x v="1"/>
    <x v="4"/>
    <n v="4850"/>
    <n v="18000"/>
    <n v="60"/>
    <n v="0.14099999999999999"/>
    <s v="Approved"/>
    <x v="1"/>
    <n v="1"/>
    <n v="0"/>
    <n v="14500"/>
    <n v="0.1166"/>
    <n v="3"/>
    <n v="1"/>
    <n v="1"/>
  </r>
  <r>
    <s v="LA-701818"/>
    <d v="2024-10-08T00:00:00"/>
    <x v="0"/>
    <s v="Q4"/>
    <x v="9"/>
    <x v="1"/>
    <x v="3"/>
    <x v="2"/>
    <x v="2"/>
    <x v="1"/>
    <n v="7800"/>
    <n v="6000"/>
    <n v="24"/>
    <n v="0.245"/>
    <s v="Rejected"/>
    <x v="0"/>
    <n v="0"/>
    <n v="1"/>
    <n v="0"/>
    <m/>
    <n v="5"/>
    <n v="0"/>
    <n v="1"/>
  </r>
  <r>
    <s v="LA-701819"/>
    <d v="2024-10-08T00:00:00"/>
    <x v="0"/>
    <s v="Q4"/>
    <x v="9"/>
    <x v="0"/>
    <x v="0"/>
    <x v="3"/>
    <x v="0"/>
    <x v="3"/>
    <n v="1250"/>
    <n v="22000"/>
    <n v="48"/>
    <n v="0.65300000000000002"/>
    <s v="Approved"/>
    <x v="1"/>
    <n v="1"/>
    <n v="0"/>
    <n v="17500"/>
    <n v="6.2199999999999998E-2"/>
    <n v="8"/>
    <n v="0"/>
    <n v="1"/>
  </r>
  <r>
    <s v="LA-701820"/>
    <d v="2024-10-08T00:00:00"/>
    <x v="0"/>
    <s v="Q4"/>
    <x v="9"/>
    <x v="0"/>
    <x v="3"/>
    <x v="1"/>
    <x v="1"/>
    <x v="0"/>
    <n v="4250"/>
    <n v="22500"/>
    <n v="48"/>
    <n v="0.29099999999999998"/>
    <s v="Approved"/>
    <x v="1"/>
    <n v="1"/>
    <n v="0"/>
    <n v="18000"/>
    <n v="8.8700000000000001E-2"/>
    <n v="10"/>
    <n v="0"/>
    <n v="1"/>
  </r>
  <r>
    <s v="LA-701821"/>
    <d v="2024-10-08T00:00:00"/>
    <x v="0"/>
    <s v="Q4"/>
    <x v="9"/>
    <x v="0"/>
    <x v="3"/>
    <x v="1"/>
    <x v="1"/>
    <x v="2"/>
    <n v="4750"/>
    <n v="27000"/>
    <n v="60"/>
    <n v="0.21199999999999999"/>
    <s v="Rejected"/>
    <x v="2"/>
    <n v="0"/>
    <n v="1"/>
    <n v="0"/>
    <m/>
    <n v="5"/>
    <n v="0"/>
    <n v="1"/>
  </r>
  <r>
    <s v="LA-701822"/>
    <d v="2024-10-08T00:00:00"/>
    <x v="0"/>
    <s v="Q4"/>
    <x v="9"/>
    <x v="3"/>
    <x v="3"/>
    <x v="2"/>
    <x v="0"/>
    <x v="0"/>
    <n v="4900"/>
    <n v="241500"/>
    <n v="240"/>
    <n v="0.436"/>
    <s v="Rejected"/>
    <x v="0"/>
    <n v="0"/>
    <n v="1"/>
    <n v="0"/>
    <m/>
    <n v="27"/>
    <n v="0"/>
    <n v="1"/>
  </r>
  <r>
    <s v="LA-701823"/>
    <d v="2024-10-09T00:00:00"/>
    <x v="0"/>
    <s v="Q4"/>
    <x v="9"/>
    <x v="0"/>
    <x v="3"/>
    <x v="4"/>
    <x v="0"/>
    <x v="4"/>
    <n v="13450"/>
    <n v="17500"/>
    <n v="36"/>
    <n v="0.28499999999999998"/>
    <s v="Approved"/>
    <x v="1"/>
    <n v="1"/>
    <n v="0"/>
    <n v="16000"/>
    <n v="6.9099999999999995E-2"/>
    <n v="3"/>
    <n v="1"/>
    <n v="1"/>
  </r>
  <r>
    <s v="LA-701824"/>
    <d v="2024-10-09T00:00:00"/>
    <x v="0"/>
    <s v="Q4"/>
    <x v="9"/>
    <x v="1"/>
    <x v="3"/>
    <x v="3"/>
    <x v="0"/>
    <x v="0"/>
    <n v="4400"/>
    <n v="7000"/>
    <n v="36"/>
    <n v="0.188"/>
    <s v="Rejected"/>
    <x v="2"/>
    <n v="0"/>
    <n v="1"/>
    <n v="0"/>
    <m/>
    <n v="3"/>
    <n v="1"/>
    <n v="1"/>
  </r>
  <r>
    <s v="LA-701825"/>
    <d v="2024-10-09T00:00:00"/>
    <x v="0"/>
    <s v="Q4"/>
    <x v="9"/>
    <x v="1"/>
    <x v="1"/>
    <x v="4"/>
    <x v="2"/>
    <x v="2"/>
    <n v="9050"/>
    <n v="17500"/>
    <n v="36"/>
    <n v="0.28199999999999997"/>
    <s v="Rejected"/>
    <x v="4"/>
    <n v="0"/>
    <n v="1"/>
    <n v="0"/>
    <m/>
    <n v="5"/>
    <n v="0"/>
    <n v="1"/>
  </r>
  <r>
    <s v="LA-701826"/>
    <d v="2024-10-09T00:00:00"/>
    <x v="0"/>
    <s v="Q4"/>
    <x v="9"/>
    <x v="1"/>
    <x v="1"/>
    <x v="3"/>
    <x v="0"/>
    <x v="0"/>
    <n v="3400"/>
    <n v="8500"/>
    <n v="12"/>
    <n v="0.45800000000000002"/>
    <s v="Rejected"/>
    <x v="3"/>
    <n v="0"/>
    <n v="1"/>
    <n v="0"/>
    <m/>
    <n v="1"/>
    <n v="1"/>
    <n v="1"/>
  </r>
  <r>
    <s v="LA-701827"/>
    <d v="2024-10-09T00:00:00"/>
    <x v="0"/>
    <s v="Q4"/>
    <x v="9"/>
    <x v="3"/>
    <x v="3"/>
    <x v="3"/>
    <x v="0"/>
    <x v="1"/>
    <n v="7650"/>
    <n v="232000"/>
    <n v="240"/>
    <n v="0.315"/>
    <s v="Withdrawn"/>
    <x v="1"/>
    <n v="0"/>
    <n v="0"/>
    <n v="0"/>
    <m/>
    <n v="13"/>
    <n v="1"/>
    <n v="1"/>
  </r>
  <r>
    <s v="LA-701828"/>
    <d v="2024-10-09T00:00:00"/>
    <x v="0"/>
    <s v="Q4"/>
    <x v="9"/>
    <x v="0"/>
    <x v="3"/>
    <x v="2"/>
    <x v="1"/>
    <x v="3"/>
    <n v="5400"/>
    <n v="35500"/>
    <n v="60"/>
    <n v="0.30399999999999999"/>
    <s v="Approved"/>
    <x v="1"/>
    <n v="1"/>
    <n v="0"/>
    <n v="35500"/>
    <n v="6.9199999999999998E-2"/>
    <n v="5"/>
    <n v="0"/>
    <n v="1"/>
  </r>
  <r>
    <s v="LA-701829"/>
    <d v="2024-10-09T00:00:00"/>
    <x v="0"/>
    <s v="Q4"/>
    <x v="9"/>
    <x v="0"/>
    <x v="3"/>
    <x v="2"/>
    <x v="0"/>
    <x v="1"/>
    <n v="4550"/>
    <n v="20500"/>
    <n v="36"/>
    <n v="0.27900000000000003"/>
    <s v="Approved"/>
    <x v="1"/>
    <n v="1"/>
    <n v="0"/>
    <n v="18500"/>
    <n v="8.3599999999999994E-2"/>
    <n v="5"/>
    <n v="0"/>
    <n v="1"/>
  </r>
  <r>
    <s v="LA-701830"/>
    <d v="2024-10-09T00:00:00"/>
    <x v="0"/>
    <s v="Q4"/>
    <x v="9"/>
    <x v="3"/>
    <x v="3"/>
    <x v="2"/>
    <x v="0"/>
    <x v="2"/>
    <n v="3700"/>
    <n v="246500"/>
    <n v="240"/>
    <n v="0.50900000000000001"/>
    <s v="Rejected"/>
    <x v="0"/>
    <n v="0"/>
    <n v="1"/>
    <n v="0"/>
    <m/>
    <n v="21"/>
    <n v="0"/>
    <n v="1"/>
  </r>
  <r>
    <s v="LA-701831"/>
    <d v="2024-10-09T00:00:00"/>
    <x v="0"/>
    <s v="Q4"/>
    <x v="9"/>
    <x v="0"/>
    <x v="2"/>
    <x v="3"/>
    <x v="1"/>
    <x v="1"/>
    <n v="4200"/>
    <n v="43000"/>
    <n v="48"/>
    <n v="0.317"/>
    <s v="Approved"/>
    <x v="1"/>
    <n v="1"/>
    <n v="0"/>
    <n v="43000"/>
    <n v="8.3099999999999993E-2"/>
    <n v="4"/>
    <n v="1"/>
    <n v="1"/>
  </r>
  <r>
    <s v="LA-701832"/>
    <d v="2024-10-09T00:00:00"/>
    <x v="0"/>
    <s v="Q4"/>
    <x v="9"/>
    <x v="0"/>
    <x v="3"/>
    <x v="2"/>
    <x v="1"/>
    <x v="4"/>
    <n v="3100"/>
    <n v="31000"/>
    <n v="36"/>
    <n v="0.376"/>
    <s v="Approved"/>
    <x v="1"/>
    <n v="1"/>
    <n v="0"/>
    <n v="25000"/>
    <n v="7.0400000000000004E-2"/>
    <n v="9"/>
    <n v="0"/>
    <n v="1"/>
  </r>
  <r>
    <s v="LA-701833"/>
    <d v="2024-10-09T00:00:00"/>
    <x v="0"/>
    <s v="Q4"/>
    <x v="9"/>
    <x v="3"/>
    <x v="3"/>
    <x v="3"/>
    <x v="2"/>
    <x v="4"/>
    <n v="9500"/>
    <n v="178500"/>
    <n v="300"/>
    <n v="0.35499999999999998"/>
    <s v="Rejected"/>
    <x v="2"/>
    <n v="0"/>
    <n v="1"/>
    <n v="0"/>
    <m/>
    <n v="17"/>
    <n v="0"/>
    <n v="1"/>
  </r>
  <r>
    <s v="LA-701834"/>
    <d v="2024-10-09T00:00:00"/>
    <x v="0"/>
    <s v="Q4"/>
    <x v="9"/>
    <x v="0"/>
    <x v="3"/>
    <x v="2"/>
    <x v="1"/>
    <x v="0"/>
    <n v="4450"/>
    <n v="13000"/>
    <n v="48"/>
    <n v="0.27"/>
    <s v="Approved"/>
    <x v="1"/>
    <n v="1"/>
    <n v="0"/>
    <n v="11500"/>
    <n v="9.64E-2"/>
    <n v="5"/>
    <n v="0"/>
    <n v="1"/>
  </r>
  <r>
    <s v="LA-701835"/>
    <d v="2024-10-10T00:00:00"/>
    <x v="0"/>
    <s v="Q4"/>
    <x v="9"/>
    <x v="0"/>
    <x v="3"/>
    <x v="4"/>
    <x v="2"/>
    <x v="3"/>
    <n v="3950"/>
    <n v="17500"/>
    <n v="60"/>
    <n v="0.21"/>
    <s v="Rejected"/>
    <x v="2"/>
    <n v="0"/>
    <n v="1"/>
    <n v="0"/>
    <m/>
    <n v="3"/>
    <n v="1"/>
    <n v="1"/>
  </r>
  <r>
    <s v="LA-701836"/>
    <d v="2024-10-10T00:00:00"/>
    <x v="0"/>
    <s v="Q4"/>
    <x v="9"/>
    <x v="2"/>
    <x v="2"/>
    <x v="1"/>
    <x v="1"/>
    <x v="0"/>
    <n v="5300"/>
    <n v="170000"/>
    <n v="24"/>
    <n v="1.546"/>
    <s v="Rejected"/>
    <x v="3"/>
    <n v="0"/>
    <n v="1"/>
    <n v="0"/>
    <m/>
    <n v="6"/>
    <n v="1"/>
    <n v="1"/>
  </r>
  <r>
    <s v="LA-701837"/>
    <d v="2024-10-10T00:00:00"/>
    <x v="0"/>
    <s v="Q4"/>
    <x v="9"/>
    <x v="3"/>
    <x v="1"/>
    <x v="2"/>
    <x v="2"/>
    <x v="0"/>
    <n v="5850"/>
    <n v="186500"/>
    <n v="240"/>
    <n v="0.41399999999999998"/>
    <s v="Withdrawn"/>
    <x v="1"/>
    <n v="0"/>
    <n v="0"/>
    <n v="0"/>
    <m/>
    <n v="8"/>
    <n v="1"/>
    <n v="1"/>
  </r>
  <r>
    <s v="LA-701838"/>
    <d v="2024-10-10T00:00:00"/>
    <x v="0"/>
    <s v="Q4"/>
    <x v="9"/>
    <x v="1"/>
    <x v="1"/>
    <x v="4"/>
    <x v="0"/>
    <x v="2"/>
    <n v="4600"/>
    <n v="12500"/>
    <n v="12"/>
    <n v="0.46300000000000002"/>
    <s v="Rejected"/>
    <x v="0"/>
    <n v="0"/>
    <n v="1"/>
    <n v="0"/>
    <m/>
    <n v="3"/>
    <n v="1"/>
    <n v="1"/>
  </r>
  <r>
    <s v="LA-701839"/>
    <d v="2024-10-10T00:00:00"/>
    <x v="0"/>
    <s v="Q4"/>
    <x v="9"/>
    <x v="1"/>
    <x v="3"/>
    <x v="1"/>
    <x v="0"/>
    <x v="1"/>
    <n v="7950"/>
    <n v="15500"/>
    <n v="60"/>
    <n v="0.24199999999999999"/>
    <s v="Rejected"/>
    <x v="4"/>
    <n v="0"/>
    <n v="1"/>
    <n v="0"/>
    <m/>
    <n v="9"/>
    <n v="0"/>
    <n v="1"/>
  </r>
  <r>
    <s v="LA-701840"/>
    <d v="2024-10-10T00:00:00"/>
    <x v="0"/>
    <s v="Q4"/>
    <x v="9"/>
    <x v="2"/>
    <x v="3"/>
    <x v="3"/>
    <x v="2"/>
    <x v="4"/>
    <n v="5650"/>
    <n v="87000"/>
    <n v="24"/>
    <n v="0.878"/>
    <s v="Approved"/>
    <x v="1"/>
    <n v="1"/>
    <n v="0"/>
    <n v="87000"/>
    <n v="9.7900000000000001E-2"/>
    <n v="13"/>
    <n v="0"/>
    <n v="1"/>
  </r>
  <r>
    <s v="LA-701841"/>
    <d v="2024-10-11T00:00:00"/>
    <x v="0"/>
    <s v="Q4"/>
    <x v="9"/>
    <x v="3"/>
    <x v="3"/>
    <x v="1"/>
    <x v="1"/>
    <x v="4"/>
    <n v="9350"/>
    <n v="264500"/>
    <n v="180"/>
    <n v="0.32600000000000001"/>
    <s v="Rejected"/>
    <x v="0"/>
    <n v="0"/>
    <n v="1"/>
    <n v="0"/>
    <m/>
    <n v="33"/>
    <n v="0"/>
    <n v="1"/>
  </r>
  <r>
    <s v="LA-701842"/>
    <d v="2024-10-11T00:00:00"/>
    <x v="0"/>
    <s v="Q4"/>
    <x v="9"/>
    <x v="2"/>
    <x v="2"/>
    <x v="1"/>
    <x v="0"/>
    <x v="4"/>
    <n v="5600"/>
    <n v="142500"/>
    <n v="60"/>
    <n v="0.66900000000000004"/>
    <s v="Rejected"/>
    <x v="4"/>
    <n v="0"/>
    <n v="1"/>
    <n v="0"/>
    <m/>
    <n v="13"/>
    <n v="0"/>
    <n v="1"/>
  </r>
  <r>
    <s v="LA-701843"/>
    <d v="2024-10-11T00:00:00"/>
    <x v="0"/>
    <s v="Q4"/>
    <x v="9"/>
    <x v="1"/>
    <x v="3"/>
    <x v="1"/>
    <x v="1"/>
    <x v="3"/>
    <n v="3150"/>
    <n v="10000"/>
    <n v="24"/>
    <n v="0.23"/>
    <s v="Approved"/>
    <x v="1"/>
    <n v="1"/>
    <n v="0"/>
    <n v="8000"/>
    <n v="0.1041"/>
    <n v="6"/>
    <n v="0"/>
    <n v="1"/>
  </r>
  <r>
    <s v="LA-701844"/>
    <d v="2024-10-11T00:00:00"/>
    <x v="0"/>
    <s v="Q4"/>
    <x v="9"/>
    <x v="1"/>
    <x v="2"/>
    <x v="2"/>
    <x v="1"/>
    <x v="3"/>
    <n v="5550"/>
    <n v="8500"/>
    <n v="60"/>
    <n v="0.20200000000000001"/>
    <s v="Withdrawn"/>
    <x v="1"/>
    <n v="0"/>
    <n v="0"/>
    <n v="0"/>
    <m/>
    <n v="6"/>
    <n v="0"/>
    <n v="1"/>
  </r>
  <r>
    <s v="LA-701845"/>
    <d v="2024-10-11T00:00:00"/>
    <x v="0"/>
    <s v="Q4"/>
    <x v="9"/>
    <x v="1"/>
    <x v="3"/>
    <x v="1"/>
    <x v="2"/>
    <x v="0"/>
    <n v="7900"/>
    <n v="8500"/>
    <n v="36"/>
    <n v="0.221"/>
    <s v="Rejected"/>
    <x v="5"/>
    <n v="0"/>
    <n v="1"/>
    <n v="0"/>
    <m/>
    <n v="5"/>
    <n v="0"/>
    <n v="1"/>
  </r>
  <r>
    <s v="LA-701846"/>
    <d v="2024-10-11T00:00:00"/>
    <x v="0"/>
    <s v="Q4"/>
    <x v="9"/>
    <x v="2"/>
    <x v="2"/>
    <x v="0"/>
    <x v="0"/>
    <x v="4"/>
    <n v="5800"/>
    <n v="78500"/>
    <n v="36"/>
    <n v="0.56000000000000005"/>
    <s v="Approved"/>
    <x v="1"/>
    <n v="1"/>
    <n v="0"/>
    <n v="78500"/>
    <n v="0.1019"/>
    <n v="5"/>
    <n v="1"/>
    <n v="1"/>
  </r>
  <r>
    <s v="LA-701847"/>
    <d v="2024-10-11T00:00:00"/>
    <x v="0"/>
    <s v="Q4"/>
    <x v="9"/>
    <x v="2"/>
    <x v="0"/>
    <x v="4"/>
    <x v="1"/>
    <x v="1"/>
    <n v="4350"/>
    <n v="135500"/>
    <n v="12"/>
    <n v="2.887"/>
    <s v="Rejected"/>
    <x v="3"/>
    <n v="0"/>
    <n v="1"/>
    <n v="0"/>
    <m/>
    <n v="14"/>
    <n v="0"/>
    <n v="1"/>
  </r>
  <r>
    <s v="LA-701848"/>
    <d v="2024-10-12T00:00:00"/>
    <x v="0"/>
    <s v="Q4"/>
    <x v="9"/>
    <x v="1"/>
    <x v="3"/>
    <x v="3"/>
    <x v="2"/>
    <x v="1"/>
    <n v="5950"/>
    <n v="7000"/>
    <n v="12"/>
    <n v="0.18"/>
    <s v="Rejected"/>
    <x v="5"/>
    <n v="0"/>
    <n v="1"/>
    <n v="0"/>
    <m/>
    <n v="5"/>
    <n v="0"/>
    <n v="1"/>
  </r>
  <r>
    <s v="LA-701849"/>
    <d v="2024-10-12T00:00:00"/>
    <x v="0"/>
    <s v="Q4"/>
    <x v="9"/>
    <x v="1"/>
    <x v="3"/>
    <x v="1"/>
    <x v="2"/>
    <x v="1"/>
    <n v="3850"/>
    <n v="7500"/>
    <n v="60"/>
    <n v="0.23"/>
    <s v="Rejected"/>
    <x v="0"/>
    <n v="0"/>
    <n v="1"/>
    <n v="0"/>
    <m/>
    <n v="7"/>
    <n v="0"/>
    <n v="1"/>
  </r>
  <r>
    <s v="LA-701850"/>
    <d v="2024-10-13T00:00:00"/>
    <x v="0"/>
    <s v="Q4"/>
    <x v="9"/>
    <x v="0"/>
    <x v="0"/>
    <x v="3"/>
    <x v="0"/>
    <x v="0"/>
    <n v="4100"/>
    <n v="15500"/>
    <n v="36"/>
    <n v="0.33300000000000002"/>
    <s v="Rejected"/>
    <x v="4"/>
    <n v="0"/>
    <n v="1"/>
    <n v="0"/>
    <m/>
    <n v="7"/>
    <n v="0"/>
    <n v="1"/>
  </r>
  <r>
    <s v="LA-701851"/>
    <d v="2024-10-13T00:00:00"/>
    <x v="0"/>
    <s v="Q4"/>
    <x v="9"/>
    <x v="1"/>
    <x v="3"/>
    <x v="3"/>
    <x v="0"/>
    <x v="1"/>
    <n v="6450"/>
    <n v="4500"/>
    <n v="48"/>
    <n v="0.156"/>
    <s v="Rejected"/>
    <x v="5"/>
    <n v="0"/>
    <n v="1"/>
    <n v="0"/>
    <m/>
    <n v="3"/>
    <n v="1"/>
    <n v="1"/>
  </r>
  <r>
    <s v="LA-701852"/>
    <d v="2024-10-13T00:00:00"/>
    <x v="0"/>
    <s v="Q4"/>
    <x v="9"/>
    <x v="1"/>
    <x v="1"/>
    <x v="1"/>
    <x v="0"/>
    <x v="1"/>
    <n v="11650"/>
    <n v="11500"/>
    <n v="48"/>
    <n v="0.23699999999999999"/>
    <s v="Rejected"/>
    <x v="2"/>
    <n v="0"/>
    <n v="1"/>
    <n v="0"/>
    <m/>
    <n v="2"/>
    <n v="1"/>
    <n v="1"/>
  </r>
  <r>
    <s v="LA-701853"/>
    <d v="2024-10-13T00:00:00"/>
    <x v="0"/>
    <s v="Q4"/>
    <x v="9"/>
    <x v="1"/>
    <x v="0"/>
    <x v="3"/>
    <x v="0"/>
    <x v="0"/>
    <n v="4800"/>
    <n v="9000"/>
    <n v="60"/>
    <n v="0.26"/>
    <s v="Approved"/>
    <x v="1"/>
    <n v="1"/>
    <n v="0"/>
    <n v="9000"/>
    <n v="0.14199999999999999"/>
    <n v="3"/>
    <n v="1"/>
    <n v="1"/>
  </r>
  <r>
    <s v="LA-701854"/>
    <d v="2024-10-13T00:00:00"/>
    <x v="0"/>
    <s v="Q4"/>
    <x v="9"/>
    <x v="1"/>
    <x v="1"/>
    <x v="1"/>
    <x v="0"/>
    <x v="1"/>
    <n v="5000"/>
    <n v="10000"/>
    <n v="24"/>
    <n v="0.17899999999999999"/>
    <s v="Rejected"/>
    <x v="5"/>
    <n v="0"/>
    <n v="1"/>
    <n v="0"/>
    <m/>
    <n v="1"/>
    <n v="1"/>
    <n v="1"/>
  </r>
  <r>
    <s v="LA-701855"/>
    <d v="2024-10-13T00:00:00"/>
    <x v="0"/>
    <s v="Q4"/>
    <x v="9"/>
    <x v="0"/>
    <x v="2"/>
    <x v="2"/>
    <x v="0"/>
    <x v="0"/>
    <n v="2550"/>
    <n v="48500"/>
    <n v="60"/>
    <n v="0.53500000000000003"/>
    <s v="Rejected"/>
    <x v="3"/>
    <n v="0"/>
    <n v="1"/>
    <n v="0"/>
    <m/>
    <n v="4"/>
    <n v="1"/>
    <n v="1"/>
  </r>
  <r>
    <s v="LA-701856"/>
    <d v="2024-10-13T00:00:00"/>
    <x v="0"/>
    <s v="Q4"/>
    <x v="9"/>
    <x v="3"/>
    <x v="2"/>
    <x v="0"/>
    <x v="1"/>
    <x v="1"/>
    <n v="4700"/>
    <n v="406000"/>
    <n v="180"/>
    <n v="0.84899999999999998"/>
    <s v="Approved"/>
    <x v="1"/>
    <n v="1"/>
    <n v="0"/>
    <n v="406000"/>
    <n v="6.2300000000000001E-2"/>
    <n v="7"/>
    <n v="1"/>
    <n v="1"/>
  </r>
  <r>
    <s v="LA-701857"/>
    <d v="2024-10-13T00:00:00"/>
    <x v="0"/>
    <s v="Q4"/>
    <x v="9"/>
    <x v="0"/>
    <x v="3"/>
    <x v="1"/>
    <x v="2"/>
    <x v="4"/>
    <n v="5200"/>
    <n v="30000"/>
    <n v="60"/>
    <n v="0.26500000000000001"/>
    <s v="Withdrawn"/>
    <x v="1"/>
    <n v="0"/>
    <n v="0"/>
    <n v="0"/>
    <m/>
    <n v="18"/>
    <n v="0"/>
    <n v="1"/>
  </r>
  <r>
    <s v="LA-701858"/>
    <d v="2024-10-14T00:00:00"/>
    <x v="0"/>
    <s v="Q4"/>
    <x v="9"/>
    <x v="1"/>
    <x v="3"/>
    <x v="2"/>
    <x v="1"/>
    <x v="4"/>
    <n v="7000"/>
    <n v="8500"/>
    <n v="48"/>
    <n v="0.185"/>
    <s v="Approved"/>
    <x v="1"/>
    <n v="1"/>
    <n v="0"/>
    <n v="7000"/>
    <n v="0.11650000000000001"/>
    <n v="4"/>
    <n v="0"/>
    <n v="1"/>
  </r>
  <r>
    <s v="LA-701859"/>
    <d v="2024-10-14T00:00:00"/>
    <x v="0"/>
    <s v="Q4"/>
    <x v="9"/>
    <x v="2"/>
    <x v="3"/>
    <x v="1"/>
    <x v="0"/>
    <x v="4"/>
    <n v="10250"/>
    <n v="47000"/>
    <n v="60"/>
    <n v="0.20300000000000001"/>
    <s v="Rejected"/>
    <x v="0"/>
    <n v="0"/>
    <n v="1"/>
    <n v="0"/>
    <m/>
    <n v="11"/>
    <n v="0"/>
    <n v="1"/>
  </r>
  <r>
    <s v="LA-701860"/>
    <d v="2024-10-14T00:00:00"/>
    <x v="0"/>
    <s v="Q4"/>
    <x v="9"/>
    <x v="1"/>
    <x v="2"/>
    <x v="3"/>
    <x v="2"/>
    <x v="1"/>
    <n v="5400"/>
    <n v="9000"/>
    <n v="24"/>
    <n v="0.20499999999999999"/>
    <s v="Approved"/>
    <x v="1"/>
    <n v="1"/>
    <n v="0"/>
    <n v="9000"/>
    <n v="0.12690000000000001"/>
    <n v="3"/>
    <n v="1"/>
    <n v="1"/>
  </r>
  <r>
    <s v="LA-701861"/>
    <d v="2024-10-14T00:00:00"/>
    <x v="0"/>
    <s v="Q4"/>
    <x v="9"/>
    <x v="1"/>
    <x v="3"/>
    <x v="3"/>
    <x v="0"/>
    <x v="1"/>
    <n v="8550"/>
    <n v="12000"/>
    <n v="36"/>
    <n v="0.14699999999999999"/>
    <s v="Approved"/>
    <x v="1"/>
    <n v="1"/>
    <n v="0"/>
    <n v="12000"/>
    <n v="0.127"/>
    <n v="9"/>
    <n v="0"/>
    <n v="1"/>
  </r>
  <r>
    <s v="LA-701862"/>
    <d v="2024-10-14T00:00:00"/>
    <x v="0"/>
    <s v="Q4"/>
    <x v="9"/>
    <x v="2"/>
    <x v="1"/>
    <x v="2"/>
    <x v="1"/>
    <x v="4"/>
    <n v="10200"/>
    <n v="68500"/>
    <n v="24"/>
    <n v="0.36199999999999999"/>
    <s v="Approved"/>
    <x v="1"/>
    <n v="1"/>
    <n v="0"/>
    <n v="68500"/>
    <n v="0.10299999999999999"/>
    <n v="6"/>
    <n v="1"/>
    <n v="1"/>
  </r>
  <r>
    <s v="LA-701863"/>
    <d v="2024-10-14T00:00:00"/>
    <x v="0"/>
    <s v="Q4"/>
    <x v="9"/>
    <x v="3"/>
    <x v="0"/>
    <x v="4"/>
    <x v="1"/>
    <x v="4"/>
    <n v="6450"/>
    <n v="65000"/>
    <n v="180"/>
    <n v="0.13500000000000001"/>
    <s v="Rejected"/>
    <x v="4"/>
    <n v="0"/>
    <n v="1"/>
    <n v="0"/>
    <m/>
    <n v="16"/>
    <n v="0"/>
    <n v="1"/>
  </r>
  <r>
    <s v="LA-701864"/>
    <d v="2024-10-14T00:00:00"/>
    <x v="0"/>
    <s v="Q4"/>
    <x v="9"/>
    <x v="0"/>
    <x v="3"/>
    <x v="0"/>
    <x v="0"/>
    <x v="4"/>
    <n v="9900"/>
    <n v="22500"/>
    <n v="48"/>
    <n v="0.215"/>
    <s v="Approved"/>
    <x v="1"/>
    <n v="1"/>
    <n v="0"/>
    <n v="22500"/>
    <n v="7.2700000000000001E-2"/>
    <n v="7"/>
    <n v="0"/>
    <n v="1"/>
  </r>
  <r>
    <s v="LA-701865"/>
    <d v="2024-10-14T00:00:00"/>
    <x v="0"/>
    <s v="Q4"/>
    <x v="9"/>
    <x v="1"/>
    <x v="2"/>
    <x v="3"/>
    <x v="1"/>
    <x v="0"/>
    <n v="6850"/>
    <n v="9500"/>
    <n v="36"/>
    <n v="0.28000000000000003"/>
    <s v="Rejected"/>
    <x v="0"/>
    <n v="0"/>
    <n v="1"/>
    <n v="0"/>
    <m/>
    <n v="2"/>
    <n v="1"/>
    <n v="1"/>
  </r>
  <r>
    <s v="LA-701866"/>
    <d v="2024-10-14T00:00:00"/>
    <x v="0"/>
    <s v="Q4"/>
    <x v="9"/>
    <x v="0"/>
    <x v="3"/>
    <x v="4"/>
    <x v="2"/>
    <x v="1"/>
    <n v="7050"/>
    <n v="25000"/>
    <n v="60"/>
    <n v="0.188"/>
    <s v="Approved"/>
    <x v="1"/>
    <n v="1"/>
    <n v="0"/>
    <n v="25000"/>
    <n v="7.8700000000000006E-2"/>
    <n v="5"/>
    <n v="0"/>
    <n v="1"/>
  </r>
  <r>
    <s v="LA-701867"/>
    <d v="2024-10-14T00:00:00"/>
    <x v="0"/>
    <s v="Q4"/>
    <x v="9"/>
    <x v="1"/>
    <x v="2"/>
    <x v="1"/>
    <x v="1"/>
    <x v="4"/>
    <n v="5400"/>
    <n v="10500"/>
    <n v="60"/>
    <n v="0.215"/>
    <s v="Approved"/>
    <x v="1"/>
    <n v="1"/>
    <n v="0"/>
    <n v="10500"/>
    <n v="0.1149"/>
    <n v="3"/>
    <n v="1"/>
    <n v="1"/>
  </r>
  <r>
    <s v="LA-701868"/>
    <d v="2024-10-15T00:00:00"/>
    <x v="0"/>
    <s v="Q4"/>
    <x v="9"/>
    <x v="2"/>
    <x v="1"/>
    <x v="3"/>
    <x v="2"/>
    <x v="4"/>
    <n v="6800"/>
    <n v="77500"/>
    <n v="60"/>
    <n v="0.35199999999999998"/>
    <s v="Approved"/>
    <x v="1"/>
    <n v="1"/>
    <n v="0"/>
    <n v="77500"/>
    <n v="9.4100000000000003E-2"/>
    <n v="4"/>
    <n v="1"/>
    <n v="1"/>
  </r>
  <r>
    <s v="LA-701869"/>
    <d v="2024-10-15T00:00:00"/>
    <x v="0"/>
    <s v="Q4"/>
    <x v="9"/>
    <x v="2"/>
    <x v="3"/>
    <x v="2"/>
    <x v="0"/>
    <x v="3"/>
    <n v="3250"/>
    <n v="84500"/>
    <n v="24"/>
    <n v="1.3919999999999999"/>
    <s v="Rejected"/>
    <x v="3"/>
    <n v="0"/>
    <n v="1"/>
    <n v="0"/>
    <m/>
    <n v="18"/>
    <n v="0"/>
    <n v="1"/>
  </r>
  <r>
    <s v="LA-701870"/>
    <d v="2024-10-15T00:00:00"/>
    <x v="0"/>
    <s v="Q4"/>
    <x v="9"/>
    <x v="1"/>
    <x v="3"/>
    <x v="3"/>
    <x v="0"/>
    <x v="4"/>
    <n v="6400"/>
    <n v="21500"/>
    <n v="12"/>
    <n v="0.41199999999999998"/>
    <s v="Approved"/>
    <x v="1"/>
    <n v="1"/>
    <n v="0"/>
    <n v="21500"/>
    <n v="0.1111"/>
    <n v="5"/>
    <n v="0"/>
    <n v="1"/>
  </r>
  <r>
    <s v="LA-701871"/>
    <d v="2024-10-15T00:00:00"/>
    <x v="0"/>
    <s v="Q4"/>
    <x v="9"/>
    <x v="3"/>
    <x v="2"/>
    <x v="4"/>
    <x v="2"/>
    <x v="1"/>
    <n v="10700"/>
    <n v="283000"/>
    <n v="240"/>
    <n v="0.36199999999999999"/>
    <s v="Approved"/>
    <x v="1"/>
    <n v="1"/>
    <n v="0"/>
    <n v="226500"/>
    <n v="6.2899999999999998E-2"/>
    <n v="8"/>
    <n v="1"/>
    <n v="1"/>
  </r>
  <r>
    <s v="LA-701872"/>
    <d v="2024-10-15T00:00:00"/>
    <x v="0"/>
    <s v="Q4"/>
    <x v="9"/>
    <x v="1"/>
    <x v="2"/>
    <x v="0"/>
    <x v="0"/>
    <x v="1"/>
    <n v="7750"/>
    <n v="11500"/>
    <n v="48"/>
    <n v="0.22700000000000001"/>
    <s v="Approved"/>
    <x v="1"/>
    <n v="1"/>
    <n v="0"/>
    <n v="11500"/>
    <n v="0.13159999999999999"/>
    <n v="3"/>
    <n v="1"/>
    <n v="1"/>
  </r>
  <r>
    <s v="LA-701873"/>
    <d v="2024-10-15T00:00:00"/>
    <x v="0"/>
    <s v="Q4"/>
    <x v="9"/>
    <x v="3"/>
    <x v="2"/>
    <x v="2"/>
    <x v="1"/>
    <x v="1"/>
    <n v="2900"/>
    <n v="172500"/>
    <n v="180"/>
    <n v="0.56899999999999995"/>
    <s v="Rejected"/>
    <x v="4"/>
    <n v="0"/>
    <n v="1"/>
    <n v="0"/>
    <m/>
    <n v="13"/>
    <n v="1"/>
    <n v="1"/>
  </r>
  <r>
    <s v="LA-701874"/>
    <d v="2024-10-15T00:00:00"/>
    <x v="0"/>
    <s v="Q4"/>
    <x v="9"/>
    <x v="0"/>
    <x v="1"/>
    <x v="0"/>
    <x v="0"/>
    <x v="1"/>
    <n v="3600"/>
    <n v="36000"/>
    <n v="48"/>
    <n v="0.44600000000000001"/>
    <s v="Rejected"/>
    <x v="4"/>
    <n v="0"/>
    <n v="1"/>
    <n v="0"/>
    <m/>
    <n v="8"/>
    <n v="0"/>
    <n v="1"/>
  </r>
  <r>
    <s v="LA-701875"/>
    <d v="2024-10-15T00:00:00"/>
    <x v="0"/>
    <s v="Q4"/>
    <x v="9"/>
    <x v="1"/>
    <x v="1"/>
    <x v="3"/>
    <x v="1"/>
    <x v="4"/>
    <n v="7300"/>
    <n v="7000"/>
    <n v="24"/>
    <n v="0.22800000000000001"/>
    <s v="Approved"/>
    <x v="1"/>
    <n v="1"/>
    <n v="0"/>
    <n v="5500"/>
    <n v="0.11360000000000001"/>
    <n v="2"/>
    <n v="1"/>
    <n v="1"/>
  </r>
  <r>
    <s v="LA-701876"/>
    <d v="2024-10-15T00:00:00"/>
    <x v="0"/>
    <s v="Q4"/>
    <x v="9"/>
    <x v="2"/>
    <x v="0"/>
    <x v="1"/>
    <x v="1"/>
    <x v="0"/>
    <n v="5900"/>
    <n v="118000"/>
    <n v="60"/>
    <n v="0.50700000000000001"/>
    <s v="Rejected"/>
    <x v="0"/>
    <n v="0"/>
    <n v="1"/>
    <n v="0"/>
    <m/>
    <n v="15"/>
    <n v="0"/>
    <n v="1"/>
  </r>
  <r>
    <s v="LA-701877"/>
    <d v="2024-10-16T00:00:00"/>
    <x v="0"/>
    <s v="Q4"/>
    <x v="9"/>
    <x v="3"/>
    <x v="3"/>
    <x v="2"/>
    <x v="1"/>
    <x v="2"/>
    <n v="8200"/>
    <n v="378500"/>
    <n v="240"/>
    <n v="0.41399999999999998"/>
    <s v="Approved"/>
    <x v="1"/>
    <n v="1"/>
    <n v="0"/>
    <n v="378500"/>
    <n v="9.6100000000000005E-2"/>
    <n v="20"/>
    <n v="0"/>
    <n v="1"/>
  </r>
  <r>
    <s v="LA-701878"/>
    <d v="2024-10-16T00:00:00"/>
    <x v="0"/>
    <s v="Q4"/>
    <x v="9"/>
    <x v="1"/>
    <x v="0"/>
    <x v="1"/>
    <x v="0"/>
    <x v="0"/>
    <n v="3100"/>
    <n v="8500"/>
    <n v="60"/>
    <n v="0.152"/>
    <s v="Rejected"/>
    <x v="0"/>
    <n v="0"/>
    <n v="1"/>
    <n v="0"/>
    <m/>
    <n v="3"/>
    <n v="1"/>
    <n v="1"/>
  </r>
  <r>
    <s v="LA-701879"/>
    <d v="2024-10-16T00:00:00"/>
    <x v="0"/>
    <s v="Q4"/>
    <x v="9"/>
    <x v="0"/>
    <x v="3"/>
    <x v="2"/>
    <x v="0"/>
    <x v="1"/>
    <n v="6400"/>
    <n v="20500"/>
    <n v="48"/>
    <n v="0.25700000000000001"/>
    <s v="Rejected"/>
    <x v="4"/>
    <n v="0"/>
    <n v="1"/>
    <n v="0"/>
    <m/>
    <n v="12"/>
    <n v="0"/>
    <n v="1"/>
  </r>
  <r>
    <s v="LA-701880"/>
    <d v="2024-10-16T00:00:00"/>
    <x v="0"/>
    <s v="Q4"/>
    <x v="9"/>
    <x v="0"/>
    <x v="2"/>
    <x v="2"/>
    <x v="0"/>
    <x v="2"/>
    <n v="2600"/>
    <n v="40000"/>
    <n v="60"/>
    <n v="0.38300000000000001"/>
    <s v="Rejected"/>
    <x v="0"/>
    <n v="0"/>
    <n v="1"/>
    <n v="0"/>
    <m/>
    <n v="5"/>
    <n v="0"/>
    <n v="1"/>
  </r>
  <r>
    <s v="LA-701881"/>
    <d v="2024-10-16T00:00:00"/>
    <x v="0"/>
    <s v="Q4"/>
    <x v="9"/>
    <x v="1"/>
    <x v="3"/>
    <x v="3"/>
    <x v="0"/>
    <x v="0"/>
    <n v="4950"/>
    <n v="12000"/>
    <n v="48"/>
    <n v="0.153"/>
    <s v="Rejected"/>
    <x v="0"/>
    <n v="0"/>
    <n v="1"/>
    <n v="0"/>
    <m/>
    <n v="6"/>
    <n v="0"/>
    <n v="1"/>
  </r>
  <r>
    <s v="LA-701882"/>
    <d v="2024-10-16T00:00:00"/>
    <x v="0"/>
    <s v="Q4"/>
    <x v="9"/>
    <x v="0"/>
    <x v="2"/>
    <x v="3"/>
    <x v="0"/>
    <x v="1"/>
    <n v="9850"/>
    <n v="34500"/>
    <n v="36"/>
    <n v="0.33700000000000002"/>
    <s v="Rejected"/>
    <x v="0"/>
    <n v="0"/>
    <n v="1"/>
    <n v="0"/>
    <m/>
    <n v="3"/>
    <n v="1"/>
    <n v="1"/>
  </r>
  <r>
    <s v="LA-701883"/>
    <d v="2024-10-16T00:00:00"/>
    <x v="0"/>
    <s v="Q4"/>
    <x v="9"/>
    <x v="0"/>
    <x v="3"/>
    <x v="4"/>
    <x v="2"/>
    <x v="1"/>
    <n v="4850"/>
    <n v="27000"/>
    <n v="60"/>
    <n v="0.35099999999999998"/>
    <s v="Rejected"/>
    <x v="0"/>
    <n v="0"/>
    <n v="1"/>
    <n v="0"/>
    <m/>
    <n v="8"/>
    <n v="0"/>
    <n v="1"/>
  </r>
  <r>
    <s v="LA-701884"/>
    <d v="2024-10-16T00:00:00"/>
    <x v="0"/>
    <s v="Q4"/>
    <x v="9"/>
    <x v="3"/>
    <x v="2"/>
    <x v="2"/>
    <x v="1"/>
    <x v="1"/>
    <n v="2600"/>
    <n v="338000"/>
    <n v="180"/>
    <n v="1.1319999999999999"/>
    <s v="Rejected"/>
    <x v="3"/>
    <n v="0"/>
    <n v="1"/>
    <n v="0"/>
    <m/>
    <n v="7"/>
    <n v="1"/>
    <n v="1"/>
  </r>
  <r>
    <s v="LA-701885"/>
    <d v="2024-10-16T00:00:00"/>
    <x v="0"/>
    <s v="Q4"/>
    <x v="9"/>
    <x v="1"/>
    <x v="3"/>
    <x v="0"/>
    <x v="0"/>
    <x v="3"/>
    <n v="2950"/>
    <n v="10000"/>
    <n v="48"/>
    <n v="0.152"/>
    <s v="Rejected"/>
    <x v="5"/>
    <n v="0"/>
    <n v="1"/>
    <n v="0"/>
    <m/>
    <n v="4"/>
    <n v="0"/>
    <n v="1"/>
  </r>
  <r>
    <s v="LA-701886"/>
    <d v="2024-10-16T00:00:00"/>
    <x v="0"/>
    <s v="Q4"/>
    <x v="9"/>
    <x v="1"/>
    <x v="2"/>
    <x v="1"/>
    <x v="0"/>
    <x v="0"/>
    <n v="4650"/>
    <n v="8000"/>
    <n v="60"/>
    <n v="0.182"/>
    <s v="Approved"/>
    <x v="1"/>
    <n v="1"/>
    <n v="0"/>
    <n v="8000"/>
    <n v="0.13930000000000001"/>
    <n v="2"/>
    <n v="1"/>
    <n v="1"/>
  </r>
  <r>
    <s v="LA-701887"/>
    <d v="2024-10-16T00:00:00"/>
    <x v="0"/>
    <s v="Q4"/>
    <x v="9"/>
    <x v="2"/>
    <x v="3"/>
    <x v="1"/>
    <x v="1"/>
    <x v="4"/>
    <n v="9850"/>
    <n v="93000"/>
    <n v="36"/>
    <n v="0.39600000000000002"/>
    <s v="Approved"/>
    <x v="1"/>
    <n v="1"/>
    <n v="0"/>
    <n v="93000"/>
    <n v="0.10050000000000001"/>
    <n v="13"/>
    <n v="0"/>
    <n v="1"/>
  </r>
  <r>
    <s v="LA-701888"/>
    <d v="2024-10-16T00:00:00"/>
    <x v="0"/>
    <s v="Q4"/>
    <x v="9"/>
    <x v="1"/>
    <x v="2"/>
    <x v="3"/>
    <x v="0"/>
    <x v="4"/>
    <n v="5450"/>
    <n v="18500"/>
    <n v="12"/>
    <n v="0.51600000000000001"/>
    <s v="Approved"/>
    <x v="1"/>
    <n v="1"/>
    <n v="0"/>
    <n v="18500"/>
    <n v="0.1149"/>
    <n v="1"/>
    <n v="1"/>
    <n v="1"/>
  </r>
  <r>
    <s v="LA-701889"/>
    <d v="2024-10-16T00:00:00"/>
    <x v="0"/>
    <s v="Q4"/>
    <x v="9"/>
    <x v="1"/>
    <x v="3"/>
    <x v="0"/>
    <x v="0"/>
    <x v="4"/>
    <n v="6150"/>
    <n v="19500"/>
    <n v="48"/>
    <n v="0.33200000000000002"/>
    <s v="Withdrawn"/>
    <x v="1"/>
    <n v="0"/>
    <n v="0"/>
    <n v="0"/>
    <m/>
    <n v="3"/>
    <n v="1"/>
    <n v="1"/>
  </r>
  <r>
    <s v="LA-701890"/>
    <d v="2024-10-17T00:00:00"/>
    <x v="0"/>
    <s v="Q4"/>
    <x v="9"/>
    <x v="1"/>
    <x v="1"/>
    <x v="3"/>
    <x v="1"/>
    <x v="0"/>
    <n v="3800"/>
    <n v="6000"/>
    <n v="36"/>
    <n v="0.16400000000000001"/>
    <s v="Rejected"/>
    <x v="0"/>
    <n v="0"/>
    <n v="1"/>
    <n v="0"/>
    <m/>
    <n v="2"/>
    <n v="1"/>
    <n v="1"/>
  </r>
  <r>
    <s v="LA-701891"/>
    <d v="2024-10-17T00:00:00"/>
    <x v="0"/>
    <s v="Q4"/>
    <x v="9"/>
    <x v="0"/>
    <x v="2"/>
    <x v="2"/>
    <x v="1"/>
    <x v="1"/>
    <n v="5200"/>
    <n v="37500"/>
    <n v="48"/>
    <n v="0.27"/>
    <s v="Approved"/>
    <x v="1"/>
    <n v="1"/>
    <n v="0"/>
    <n v="34000"/>
    <n v="8.2299999999999998E-2"/>
    <n v="3"/>
    <n v="1"/>
    <n v="1"/>
  </r>
  <r>
    <s v="LA-701892"/>
    <d v="2024-10-17T00:00:00"/>
    <x v="0"/>
    <s v="Q4"/>
    <x v="9"/>
    <x v="1"/>
    <x v="3"/>
    <x v="4"/>
    <x v="2"/>
    <x v="0"/>
    <n v="5950"/>
    <n v="4500"/>
    <n v="12"/>
    <n v="0.19600000000000001"/>
    <s v="Approved"/>
    <x v="1"/>
    <n v="1"/>
    <n v="0"/>
    <n v="4000"/>
    <n v="0.1411"/>
    <n v="3"/>
    <n v="1"/>
    <n v="1"/>
  </r>
  <r>
    <s v="LA-701893"/>
    <d v="2024-10-17T00:00:00"/>
    <x v="0"/>
    <s v="Q4"/>
    <x v="9"/>
    <x v="3"/>
    <x v="1"/>
    <x v="3"/>
    <x v="0"/>
    <x v="1"/>
    <n v="2250"/>
    <n v="370500"/>
    <n v="240"/>
    <n v="1.319"/>
    <s v="Rejected"/>
    <x v="3"/>
    <n v="0"/>
    <n v="1"/>
    <n v="0"/>
    <m/>
    <n v="5"/>
    <n v="1"/>
    <n v="1"/>
  </r>
  <r>
    <s v="LA-701894"/>
    <d v="2024-10-17T00:00:00"/>
    <x v="0"/>
    <s v="Q4"/>
    <x v="9"/>
    <x v="0"/>
    <x v="3"/>
    <x v="1"/>
    <x v="2"/>
    <x v="4"/>
    <n v="7000"/>
    <n v="21500"/>
    <n v="60"/>
    <n v="0.311"/>
    <s v="Approved"/>
    <x v="1"/>
    <n v="1"/>
    <n v="0"/>
    <n v="19500"/>
    <n v="7.3800000000000004E-2"/>
    <n v="6"/>
    <n v="0"/>
    <n v="1"/>
  </r>
  <r>
    <s v="LA-701895"/>
    <d v="2024-10-17T00:00:00"/>
    <x v="0"/>
    <s v="Q4"/>
    <x v="9"/>
    <x v="1"/>
    <x v="2"/>
    <x v="2"/>
    <x v="0"/>
    <x v="2"/>
    <n v="4850"/>
    <n v="12500"/>
    <n v="48"/>
    <n v="0.127"/>
    <s v="Rejected"/>
    <x v="2"/>
    <n v="0"/>
    <n v="1"/>
    <n v="0"/>
    <m/>
    <n v="3"/>
    <n v="1"/>
    <n v="1"/>
  </r>
  <r>
    <s v="LA-701896"/>
    <d v="2024-10-17T00:00:00"/>
    <x v="0"/>
    <s v="Q4"/>
    <x v="9"/>
    <x v="2"/>
    <x v="0"/>
    <x v="3"/>
    <x v="1"/>
    <x v="0"/>
    <n v="8250"/>
    <n v="99000"/>
    <n v="12"/>
    <n v="1.2769999999999999"/>
    <s v="Rejected"/>
    <x v="0"/>
    <n v="0"/>
    <n v="1"/>
    <n v="0"/>
    <m/>
    <n v="9"/>
    <n v="1"/>
    <n v="1"/>
  </r>
  <r>
    <s v="LA-701897"/>
    <d v="2024-10-18T00:00:00"/>
    <x v="0"/>
    <s v="Q4"/>
    <x v="9"/>
    <x v="1"/>
    <x v="0"/>
    <x v="3"/>
    <x v="2"/>
    <x v="4"/>
    <n v="8200"/>
    <n v="16000"/>
    <n v="48"/>
    <n v="0.184"/>
    <s v="Approved"/>
    <x v="1"/>
    <n v="1"/>
    <n v="0"/>
    <n v="13000"/>
    <n v="0.1191"/>
    <n v="3"/>
    <n v="1"/>
    <n v="1"/>
  </r>
  <r>
    <s v="LA-701898"/>
    <d v="2024-10-18T00:00:00"/>
    <x v="0"/>
    <s v="Q4"/>
    <x v="9"/>
    <x v="1"/>
    <x v="1"/>
    <x v="3"/>
    <x v="0"/>
    <x v="1"/>
    <n v="7750"/>
    <n v="10500"/>
    <n v="60"/>
    <n v="0.27600000000000002"/>
    <s v="Rejected"/>
    <x v="4"/>
    <n v="0"/>
    <n v="1"/>
    <n v="0"/>
    <m/>
    <n v="5"/>
    <n v="0"/>
    <n v="1"/>
  </r>
  <r>
    <s v="LA-701899"/>
    <d v="2024-10-18T00:00:00"/>
    <x v="0"/>
    <s v="Q4"/>
    <x v="9"/>
    <x v="3"/>
    <x v="0"/>
    <x v="3"/>
    <x v="0"/>
    <x v="0"/>
    <n v="6350"/>
    <n v="192000"/>
    <n v="180"/>
    <n v="0.45300000000000001"/>
    <s v="Rejected"/>
    <x v="0"/>
    <n v="0"/>
    <n v="1"/>
    <n v="0"/>
    <m/>
    <n v="15"/>
    <n v="1"/>
    <n v="1"/>
  </r>
  <r>
    <s v="LA-701900"/>
    <d v="2024-10-18T00:00:00"/>
    <x v="0"/>
    <s v="Q4"/>
    <x v="9"/>
    <x v="3"/>
    <x v="0"/>
    <x v="3"/>
    <x v="0"/>
    <x v="0"/>
    <n v="4750"/>
    <n v="243500"/>
    <n v="180"/>
    <n v="0.50900000000000001"/>
    <s v="Approved"/>
    <x v="1"/>
    <n v="1"/>
    <n v="0"/>
    <n v="243500"/>
    <n v="7.1900000000000006E-2"/>
    <n v="17"/>
    <n v="0"/>
    <n v="1"/>
  </r>
  <r>
    <s v="LA-701901"/>
    <d v="2024-10-19T00:00:00"/>
    <x v="0"/>
    <s v="Q4"/>
    <x v="9"/>
    <x v="0"/>
    <x v="0"/>
    <x v="2"/>
    <x v="1"/>
    <x v="4"/>
    <n v="7700"/>
    <n v="32500"/>
    <n v="60"/>
    <n v="0.14799999999999999"/>
    <s v="Rejected"/>
    <x v="4"/>
    <n v="0"/>
    <n v="1"/>
    <n v="0"/>
    <m/>
    <n v="8"/>
    <n v="0"/>
    <n v="1"/>
  </r>
  <r>
    <s v="LA-701902"/>
    <d v="2024-10-19T00:00:00"/>
    <x v="0"/>
    <s v="Q4"/>
    <x v="9"/>
    <x v="2"/>
    <x v="1"/>
    <x v="1"/>
    <x v="1"/>
    <x v="0"/>
    <n v="6300"/>
    <n v="90500"/>
    <n v="24"/>
    <n v="0.85"/>
    <s v="Rejected"/>
    <x v="0"/>
    <n v="0"/>
    <n v="1"/>
    <n v="0"/>
    <m/>
    <n v="6"/>
    <n v="1"/>
    <n v="1"/>
  </r>
  <r>
    <s v="LA-701903"/>
    <d v="2024-10-19T00:00:00"/>
    <x v="0"/>
    <s v="Q4"/>
    <x v="9"/>
    <x v="1"/>
    <x v="3"/>
    <x v="1"/>
    <x v="0"/>
    <x v="1"/>
    <n v="6200"/>
    <n v="18000"/>
    <n v="48"/>
    <n v="0.25900000000000001"/>
    <s v="Approved"/>
    <x v="1"/>
    <n v="1"/>
    <n v="0"/>
    <n v="16000"/>
    <n v="0.12330000000000001"/>
    <n v="3"/>
    <n v="1"/>
    <n v="1"/>
  </r>
  <r>
    <s v="LA-701904"/>
    <d v="2024-10-19T00:00:00"/>
    <x v="0"/>
    <s v="Q4"/>
    <x v="9"/>
    <x v="1"/>
    <x v="0"/>
    <x v="0"/>
    <x v="0"/>
    <x v="4"/>
    <n v="2850"/>
    <n v="11000"/>
    <n v="12"/>
    <n v="0.55900000000000005"/>
    <s v="Approved"/>
    <x v="1"/>
    <n v="1"/>
    <n v="0"/>
    <n v="11000"/>
    <n v="0.1145"/>
    <n v="4"/>
    <n v="0"/>
    <n v="1"/>
  </r>
  <r>
    <s v="LA-701905"/>
    <d v="2024-10-19T00:00:00"/>
    <x v="0"/>
    <s v="Q4"/>
    <x v="9"/>
    <x v="1"/>
    <x v="3"/>
    <x v="2"/>
    <x v="0"/>
    <x v="3"/>
    <n v="7250"/>
    <n v="8000"/>
    <n v="60"/>
    <n v="0.12"/>
    <s v="Approved"/>
    <x v="1"/>
    <n v="1"/>
    <n v="0"/>
    <n v="8000"/>
    <n v="0.1076"/>
    <n v="5"/>
    <n v="0"/>
    <n v="1"/>
  </r>
  <r>
    <s v="LA-701906"/>
    <d v="2024-10-19T00:00:00"/>
    <x v="0"/>
    <s v="Q4"/>
    <x v="9"/>
    <x v="0"/>
    <x v="3"/>
    <x v="2"/>
    <x v="0"/>
    <x v="1"/>
    <n v="7650"/>
    <n v="24000"/>
    <n v="48"/>
    <n v="0.24299999999999999"/>
    <s v="Rejected"/>
    <x v="5"/>
    <n v="0"/>
    <n v="1"/>
    <n v="0"/>
    <m/>
    <n v="4"/>
    <n v="1"/>
    <n v="1"/>
  </r>
  <r>
    <s v="LA-701907"/>
    <d v="2024-10-20T00:00:00"/>
    <x v="0"/>
    <s v="Q4"/>
    <x v="9"/>
    <x v="2"/>
    <x v="3"/>
    <x v="4"/>
    <x v="1"/>
    <x v="0"/>
    <n v="2800"/>
    <n v="100500"/>
    <n v="60"/>
    <n v="0.89900000000000002"/>
    <s v="Rejected"/>
    <x v="0"/>
    <n v="0"/>
    <n v="1"/>
    <n v="0"/>
    <m/>
    <n v="11"/>
    <n v="0"/>
    <n v="1"/>
  </r>
  <r>
    <s v="LA-701908"/>
    <d v="2024-10-20T00:00:00"/>
    <x v="0"/>
    <s v="Q4"/>
    <x v="9"/>
    <x v="2"/>
    <x v="0"/>
    <x v="3"/>
    <x v="1"/>
    <x v="2"/>
    <n v="8400"/>
    <n v="143000"/>
    <n v="60"/>
    <n v="0.59599999999999997"/>
    <s v="Rejected"/>
    <x v="4"/>
    <n v="0"/>
    <n v="1"/>
    <n v="0"/>
    <m/>
    <n v="18"/>
    <n v="0"/>
    <n v="1"/>
  </r>
  <r>
    <s v="LA-701909"/>
    <d v="2024-10-20T00:00:00"/>
    <x v="0"/>
    <s v="Q4"/>
    <x v="9"/>
    <x v="1"/>
    <x v="3"/>
    <x v="2"/>
    <x v="2"/>
    <x v="0"/>
    <n v="6050"/>
    <n v="7500"/>
    <n v="12"/>
    <n v="0.249"/>
    <s v="Approved"/>
    <x v="1"/>
    <n v="1"/>
    <n v="0"/>
    <n v="7500"/>
    <n v="0.1376"/>
    <n v="5"/>
    <n v="0"/>
    <n v="1"/>
  </r>
  <r>
    <s v="LA-701910"/>
    <d v="2024-10-20T00:00:00"/>
    <x v="0"/>
    <s v="Q4"/>
    <x v="9"/>
    <x v="0"/>
    <x v="3"/>
    <x v="2"/>
    <x v="0"/>
    <x v="1"/>
    <n v="5150"/>
    <n v="7000"/>
    <n v="36"/>
    <n v="0.16800000000000001"/>
    <s v="Approved"/>
    <x v="1"/>
    <n v="1"/>
    <n v="0"/>
    <n v="7000"/>
    <n v="7.7100000000000002E-2"/>
    <n v="3"/>
    <n v="1"/>
    <n v="1"/>
  </r>
  <r>
    <s v="LA-701911"/>
    <d v="2024-10-20T00:00:00"/>
    <x v="0"/>
    <s v="Q4"/>
    <x v="9"/>
    <x v="2"/>
    <x v="1"/>
    <x v="1"/>
    <x v="1"/>
    <x v="1"/>
    <n v="3850"/>
    <n v="45000"/>
    <n v="60"/>
    <n v="0.44"/>
    <s v="Approved"/>
    <x v="1"/>
    <n v="1"/>
    <n v="0"/>
    <n v="45000"/>
    <n v="0.1095"/>
    <n v="4"/>
    <n v="1"/>
    <n v="1"/>
  </r>
  <r>
    <s v="LA-701912"/>
    <d v="2024-10-20T00:00:00"/>
    <x v="0"/>
    <s v="Q4"/>
    <x v="9"/>
    <x v="2"/>
    <x v="3"/>
    <x v="0"/>
    <x v="1"/>
    <x v="3"/>
    <n v="5500"/>
    <n v="102500"/>
    <n v="12"/>
    <n v="1.7949999999999999"/>
    <s v="Rejected"/>
    <x v="3"/>
    <n v="0"/>
    <n v="1"/>
    <n v="0"/>
    <m/>
    <n v="13"/>
    <n v="0"/>
    <n v="1"/>
  </r>
  <r>
    <s v="LA-701913"/>
    <d v="2024-10-20T00:00:00"/>
    <x v="0"/>
    <s v="Q4"/>
    <x v="9"/>
    <x v="3"/>
    <x v="2"/>
    <x v="0"/>
    <x v="1"/>
    <x v="3"/>
    <n v="5250"/>
    <n v="155000"/>
    <n v="240"/>
    <n v="0.41499999999999998"/>
    <s v="Approved"/>
    <x v="1"/>
    <n v="1"/>
    <n v="0"/>
    <n v="155000"/>
    <n v="3.8399999999999997E-2"/>
    <n v="8"/>
    <n v="1"/>
    <n v="1"/>
  </r>
  <r>
    <s v="LA-701914"/>
    <d v="2024-10-21T00:00:00"/>
    <x v="0"/>
    <s v="Q4"/>
    <x v="9"/>
    <x v="2"/>
    <x v="2"/>
    <x v="1"/>
    <x v="1"/>
    <x v="1"/>
    <n v="3800"/>
    <n v="84500"/>
    <n v="12"/>
    <n v="2.1459999999999999"/>
    <s v="Rejected"/>
    <x v="3"/>
    <n v="0"/>
    <n v="1"/>
    <n v="0"/>
    <m/>
    <n v="7"/>
    <n v="1"/>
    <n v="1"/>
  </r>
  <r>
    <s v="LA-701915"/>
    <d v="2024-10-21T00:00:00"/>
    <x v="0"/>
    <s v="Q4"/>
    <x v="9"/>
    <x v="1"/>
    <x v="2"/>
    <x v="2"/>
    <x v="0"/>
    <x v="4"/>
    <n v="5550"/>
    <n v="24500"/>
    <n v="24"/>
    <n v="0.45200000000000001"/>
    <s v="Rejected"/>
    <x v="4"/>
    <n v="0"/>
    <n v="1"/>
    <n v="0"/>
    <m/>
    <n v="5"/>
    <n v="0"/>
    <n v="1"/>
  </r>
  <r>
    <s v="LA-701916"/>
    <d v="2024-10-21T00:00:00"/>
    <x v="0"/>
    <s v="Q4"/>
    <x v="9"/>
    <x v="3"/>
    <x v="3"/>
    <x v="3"/>
    <x v="0"/>
    <x v="4"/>
    <n v="7650"/>
    <n v="214500"/>
    <n v="240"/>
    <n v="0.40500000000000003"/>
    <s v="Approved"/>
    <x v="1"/>
    <n v="1"/>
    <n v="0"/>
    <n v="214500"/>
    <n v="5.2499999999999998E-2"/>
    <n v="17"/>
    <n v="0"/>
    <n v="1"/>
  </r>
  <r>
    <s v="LA-701917"/>
    <d v="2024-10-21T00:00:00"/>
    <x v="0"/>
    <s v="Q4"/>
    <x v="9"/>
    <x v="2"/>
    <x v="3"/>
    <x v="1"/>
    <x v="2"/>
    <x v="1"/>
    <n v="8100"/>
    <n v="210500"/>
    <n v="36"/>
    <n v="1.0009999999999999"/>
    <s v="Approved"/>
    <x v="1"/>
    <n v="1"/>
    <n v="0"/>
    <n v="210500"/>
    <n v="0.1099"/>
    <n v="24"/>
    <n v="0"/>
    <n v="1"/>
  </r>
  <r>
    <s v="LA-701918"/>
    <d v="2024-10-21T00:00:00"/>
    <x v="0"/>
    <s v="Q4"/>
    <x v="9"/>
    <x v="3"/>
    <x v="2"/>
    <x v="1"/>
    <x v="2"/>
    <x v="1"/>
    <n v="2450"/>
    <n v="215500"/>
    <n v="240"/>
    <n v="0.71599999999999997"/>
    <s v="Approved"/>
    <x v="1"/>
    <n v="1"/>
    <n v="0"/>
    <n v="215500"/>
    <n v="5.9900000000000002E-2"/>
    <n v="9"/>
    <n v="1"/>
    <n v="1"/>
  </r>
  <r>
    <s v="LA-701919"/>
    <d v="2024-10-21T00:00:00"/>
    <x v="0"/>
    <s v="Q4"/>
    <x v="9"/>
    <x v="1"/>
    <x v="3"/>
    <x v="3"/>
    <x v="0"/>
    <x v="0"/>
    <n v="7400"/>
    <n v="12000"/>
    <n v="12"/>
    <n v="0.318"/>
    <s v="Approved"/>
    <x v="1"/>
    <n v="1"/>
    <n v="0"/>
    <n v="12000"/>
    <n v="0.13900000000000001"/>
    <n v="3"/>
    <n v="1"/>
    <n v="1"/>
  </r>
  <r>
    <s v="LA-701920"/>
    <d v="2024-10-21T00:00:00"/>
    <x v="0"/>
    <s v="Q4"/>
    <x v="9"/>
    <x v="1"/>
    <x v="1"/>
    <x v="3"/>
    <x v="0"/>
    <x v="4"/>
    <n v="3750"/>
    <n v="3000"/>
    <n v="60"/>
    <n v="0.17"/>
    <s v="Approved"/>
    <x v="1"/>
    <n v="1"/>
    <n v="0"/>
    <n v="3000"/>
    <n v="0.109"/>
    <n v="2"/>
    <n v="1"/>
    <n v="1"/>
  </r>
  <r>
    <s v="LA-701921"/>
    <d v="2024-10-21T00:00:00"/>
    <x v="0"/>
    <s v="Q4"/>
    <x v="9"/>
    <x v="0"/>
    <x v="3"/>
    <x v="2"/>
    <x v="1"/>
    <x v="1"/>
    <n v="5500"/>
    <n v="47000"/>
    <n v="36"/>
    <n v="0.40300000000000002"/>
    <s v="Approved"/>
    <x v="1"/>
    <n v="1"/>
    <n v="0"/>
    <n v="47000"/>
    <n v="8.3199999999999996E-2"/>
    <n v="5"/>
    <n v="0"/>
    <n v="1"/>
  </r>
  <r>
    <s v="LA-701922"/>
    <d v="2024-10-21T00:00:00"/>
    <x v="0"/>
    <s v="Q4"/>
    <x v="9"/>
    <x v="0"/>
    <x v="3"/>
    <x v="1"/>
    <x v="1"/>
    <x v="1"/>
    <n v="9500"/>
    <n v="11500"/>
    <n v="48"/>
    <n v="0.21299999999999999"/>
    <s v="Approved"/>
    <x v="1"/>
    <n v="1"/>
    <n v="0"/>
    <n v="9000"/>
    <n v="8.2699999999999996E-2"/>
    <n v="13"/>
    <n v="0"/>
    <n v="1"/>
  </r>
  <r>
    <s v="LA-701923"/>
    <d v="2024-10-21T00:00:00"/>
    <x v="0"/>
    <s v="Q4"/>
    <x v="9"/>
    <x v="2"/>
    <x v="0"/>
    <x v="1"/>
    <x v="2"/>
    <x v="1"/>
    <n v="5100"/>
    <n v="93500"/>
    <n v="24"/>
    <n v="0.93100000000000005"/>
    <s v="Approved"/>
    <x v="1"/>
    <n v="1"/>
    <n v="0"/>
    <n v="84000"/>
    <n v="0.10780000000000001"/>
    <n v="18"/>
    <n v="0"/>
    <n v="1"/>
  </r>
  <r>
    <s v="LA-701924"/>
    <d v="2024-10-21T00:00:00"/>
    <x v="0"/>
    <s v="Q4"/>
    <x v="9"/>
    <x v="2"/>
    <x v="3"/>
    <x v="4"/>
    <x v="1"/>
    <x v="1"/>
    <n v="9750"/>
    <n v="86000"/>
    <n v="60"/>
    <n v="0.249"/>
    <s v="Approved"/>
    <x v="1"/>
    <n v="1"/>
    <n v="0"/>
    <n v="86000"/>
    <n v="0.1095"/>
    <n v="12"/>
    <n v="0"/>
    <n v="1"/>
  </r>
  <r>
    <s v="LA-701925"/>
    <d v="2024-10-21T00:00:00"/>
    <x v="0"/>
    <s v="Q4"/>
    <x v="9"/>
    <x v="1"/>
    <x v="3"/>
    <x v="3"/>
    <x v="1"/>
    <x v="4"/>
    <n v="8050"/>
    <n v="18000"/>
    <n v="48"/>
    <n v="0.26800000000000002"/>
    <s v="Approved"/>
    <x v="1"/>
    <n v="1"/>
    <n v="0"/>
    <n v="18000"/>
    <n v="0.1134"/>
    <n v="4"/>
    <n v="0"/>
    <n v="1"/>
  </r>
  <r>
    <s v="LA-701926"/>
    <d v="2024-10-22T00:00:00"/>
    <x v="0"/>
    <s v="Q4"/>
    <x v="9"/>
    <x v="1"/>
    <x v="2"/>
    <x v="1"/>
    <x v="1"/>
    <x v="1"/>
    <n v="4250"/>
    <n v="9500"/>
    <n v="36"/>
    <n v="0.23499999999999999"/>
    <s v="Approved"/>
    <x v="1"/>
    <n v="1"/>
    <n v="0"/>
    <n v="8500"/>
    <n v="0.12"/>
    <n v="1"/>
    <n v="1"/>
    <n v="1"/>
  </r>
  <r>
    <s v="LA-701927"/>
    <d v="2024-10-22T00:00:00"/>
    <x v="0"/>
    <s v="Q4"/>
    <x v="9"/>
    <x v="3"/>
    <x v="2"/>
    <x v="1"/>
    <x v="1"/>
    <x v="1"/>
    <n v="14700"/>
    <n v="174000"/>
    <n v="240"/>
    <n v="0.14899999999999999"/>
    <s v="Approved"/>
    <x v="1"/>
    <n v="1"/>
    <n v="0"/>
    <n v="174000"/>
    <n v="6.54E-2"/>
    <n v="7"/>
    <n v="1"/>
    <n v="1"/>
  </r>
  <r>
    <s v="LA-701928"/>
    <d v="2024-10-22T00:00:00"/>
    <x v="0"/>
    <s v="Q4"/>
    <x v="9"/>
    <x v="0"/>
    <x v="1"/>
    <x v="3"/>
    <x v="0"/>
    <x v="0"/>
    <n v="4150"/>
    <n v="51000"/>
    <n v="60"/>
    <n v="0.46700000000000003"/>
    <s v="Withdrawn"/>
    <x v="1"/>
    <n v="0"/>
    <n v="0"/>
    <n v="0"/>
    <m/>
    <n v="5"/>
    <n v="0"/>
    <n v="1"/>
  </r>
  <r>
    <s v="LA-701929"/>
    <d v="2024-10-22T00:00:00"/>
    <x v="0"/>
    <s v="Q4"/>
    <x v="9"/>
    <x v="2"/>
    <x v="1"/>
    <x v="3"/>
    <x v="0"/>
    <x v="4"/>
    <n v="11950"/>
    <n v="85500"/>
    <n v="60"/>
    <n v="0.255"/>
    <s v="Approved"/>
    <x v="1"/>
    <n v="1"/>
    <n v="0"/>
    <n v="68500"/>
    <n v="9.8199999999999996E-2"/>
    <n v="4"/>
    <n v="1"/>
    <n v="1"/>
  </r>
  <r>
    <s v="LA-701930"/>
    <d v="2024-10-22T00:00:00"/>
    <x v="0"/>
    <s v="Q4"/>
    <x v="9"/>
    <x v="1"/>
    <x v="3"/>
    <x v="3"/>
    <x v="1"/>
    <x v="1"/>
    <n v="3800"/>
    <n v="12500"/>
    <n v="48"/>
    <n v="0.317"/>
    <s v="Approved"/>
    <x v="1"/>
    <n v="1"/>
    <n v="0"/>
    <n v="11000"/>
    <n v="0.1229"/>
    <n v="6"/>
    <n v="0"/>
    <n v="1"/>
  </r>
  <r>
    <s v="LA-701931"/>
    <d v="2024-10-22T00:00:00"/>
    <x v="0"/>
    <s v="Q4"/>
    <x v="9"/>
    <x v="0"/>
    <x v="0"/>
    <x v="1"/>
    <x v="0"/>
    <x v="4"/>
    <n v="2450"/>
    <n v="48000"/>
    <n v="60"/>
    <n v="0.504"/>
    <s v="Withdrawn"/>
    <x v="1"/>
    <n v="0"/>
    <n v="0"/>
    <n v="0"/>
    <m/>
    <n v="7"/>
    <n v="0"/>
    <n v="1"/>
  </r>
  <r>
    <s v="LA-701932"/>
    <d v="2024-10-22T00:00:00"/>
    <x v="0"/>
    <s v="Q4"/>
    <x v="9"/>
    <x v="1"/>
    <x v="1"/>
    <x v="1"/>
    <x v="2"/>
    <x v="0"/>
    <n v="10100"/>
    <n v="14000"/>
    <n v="12"/>
    <n v="0.26900000000000002"/>
    <s v="Rejected"/>
    <x v="0"/>
    <n v="0"/>
    <n v="1"/>
    <n v="0"/>
    <m/>
    <n v="1"/>
    <n v="1"/>
    <n v="1"/>
  </r>
  <r>
    <s v="LA-701933"/>
    <d v="2024-10-22T00:00:00"/>
    <x v="0"/>
    <s v="Q4"/>
    <x v="9"/>
    <x v="0"/>
    <x v="1"/>
    <x v="1"/>
    <x v="0"/>
    <x v="1"/>
    <n v="5100"/>
    <n v="56500"/>
    <n v="36"/>
    <n v="0.41099999999999998"/>
    <s v="Approved"/>
    <x v="1"/>
    <n v="1"/>
    <n v="0"/>
    <n v="56500"/>
    <n v="8.0699999999999994E-2"/>
    <n v="2"/>
    <n v="1"/>
    <n v="1"/>
  </r>
  <r>
    <s v="LA-701934"/>
    <d v="2024-10-22T00:00:00"/>
    <x v="0"/>
    <s v="Q4"/>
    <x v="9"/>
    <x v="1"/>
    <x v="0"/>
    <x v="2"/>
    <x v="0"/>
    <x v="2"/>
    <n v="5250"/>
    <n v="18000"/>
    <n v="48"/>
    <n v="0.24099999999999999"/>
    <s v="Rejected"/>
    <x v="0"/>
    <n v="0"/>
    <n v="1"/>
    <n v="0"/>
    <m/>
    <n v="4"/>
    <n v="0"/>
    <n v="1"/>
  </r>
  <r>
    <s v="LA-701935"/>
    <d v="2024-10-23T00:00:00"/>
    <x v="0"/>
    <s v="Q4"/>
    <x v="9"/>
    <x v="1"/>
    <x v="2"/>
    <x v="3"/>
    <x v="1"/>
    <x v="2"/>
    <n v="3400"/>
    <n v="11500"/>
    <n v="36"/>
    <n v="0.313"/>
    <s v="Approved"/>
    <x v="1"/>
    <n v="1"/>
    <n v="0"/>
    <n v="11500"/>
    <n v="0.15870000000000001"/>
    <n v="2"/>
    <n v="1"/>
    <n v="1"/>
  </r>
  <r>
    <s v="LA-701936"/>
    <d v="2024-10-23T00:00:00"/>
    <x v="0"/>
    <s v="Q4"/>
    <x v="9"/>
    <x v="3"/>
    <x v="2"/>
    <x v="4"/>
    <x v="2"/>
    <x v="1"/>
    <n v="5450"/>
    <n v="370000"/>
    <n v="180"/>
    <n v="0.747"/>
    <s v="Rejected"/>
    <x v="3"/>
    <n v="0"/>
    <n v="1"/>
    <n v="0"/>
    <m/>
    <n v="7"/>
    <n v="1"/>
    <n v="1"/>
  </r>
  <r>
    <s v="LA-701937"/>
    <d v="2024-10-23T00:00:00"/>
    <x v="0"/>
    <s v="Q4"/>
    <x v="9"/>
    <x v="0"/>
    <x v="1"/>
    <x v="3"/>
    <x v="2"/>
    <x v="1"/>
    <n v="10250"/>
    <n v="18500"/>
    <n v="60"/>
    <n v="0.19700000000000001"/>
    <s v="Approved"/>
    <x v="1"/>
    <n v="1"/>
    <n v="0"/>
    <n v="18500"/>
    <n v="8.5599999999999996E-2"/>
    <n v="5"/>
    <n v="0"/>
    <n v="1"/>
  </r>
  <r>
    <s v="LA-701938"/>
    <d v="2024-10-23T00:00:00"/>
    <x v="0"/>
    <s v="Q4"/>
    <x v="9"/>
    <x v="0"/>
    <x v="3"/>
    <x v="2"/>
    <x v="1"/>
    <x v="4"/>
    <n v="5900"/>
    <n v="16000"/>
    <n v="60"/>
    <n v="0.29399999999999998"/>
    <s v="Approved"/>
    <x v="1"/>
    <n v="1"/>
    <n v="0"/>
    <n v="16000"/>
    <n v="7.1900000000000006E-2"/>
    <n v="8"/>
    <n v="0"/>
    <n v="1"/>
  </r>
  <r>
    <s v="LA-701939"/>
    <d v="2024-10-23T00:00:00"/>
    <x v="0"/>
    <s v="Q4"/>
    <x v="9"/>
    <x v="2"/>
    <x v="3"/>
    <x v="3"/>
    <x v="1"/>
    <x v="3"/>
    <n v="8900"/>
    <n v="86500"/>
    <n v="12"/>
    <n v="1.028"/>
    <s v="Rejected"/>
    <x v="3"/>
    <n v="0"/>
    <n v="1"/>
    <n v="0"/>
    <m/>
    <n v="16"/>
    <n v="0"/>
    <n v="1"/>
  </r>
  <r>
    <s v="LA-701940"/>
    <d v="2024-10-23T00:00:00"/>
    <x v="0"/>
    <s v="Q4"/>
    <x v="9"/>
    <x v="1"/>
    <x v="1"/>
    <x v="2"/>
    <x v="1"/>
    <x v="1"/>
    <n v="5600"/>
    <n v="17000"/>
    <n v="36"/>
    <n v="0.28499999999999998"/>
    <s v="Approved"/>
    <x v="1"/>
    <n v="1"/>
    <n v="0"/>
    <n v="15500"/>
    <n v="0.123"/>
    <n v="2"/>
    <n v="1"/>
    <n v="1"/>
  </r>
  <r>
    <s v="LA-701941"/>
    <d v="2024-10-23T00:00:00"/>
    <x v="0"/>
    <s v="Q4"/>
    <x v="9"/>
    <x v="0"/>
    <x v="2"/>
    <x v="0"/>
    <x v="0"/>
    <x v="4"/>
    <n v="5650"/>
    <n v="17000"/>
    <n v="36"/>
    <n v="0.29499999999999998"/>
    <s v="Approved"/>
    <x v="1"/>
    <n v="1"/>
    <n v="0"/>
    <n v="13500"/>
    <n v="7.8899999999999998E-2"/>
    <n v="2"/>
    <n v="1"/>
    <n v="1"/>
  </r>
  <r>
    <s v="LA-701942"/>
    <d v="2024-10-23T00:00:00"/>
    <x v="0"/>
    <s v="Q4"/>
    <x v="9"/>
    <x v="1"/>
    <x v="0"/>
    <x v="2"/>
    <x v="1"/>
    <x v="0"/>
    <n v="5250"/>
    <n v="13000"/>
    <n v="60"/>
    <n v="0.16200000000000001"/>
    <s v="Approved"/>
    <x v="1"/>
    <n v="1"/>
    <n v="0"/>
    <n v="11500"/>
    <n v="0.13719999999999999"/>
    <n v="2"/>
    <n v="1"/>
    <n v="1"/>
  </r>
  <r>
    <s v="LA-701943"/>
    <d v="2024-10-23T00:00:00"/>
    <x v="0"/>
    <s v="Q4"/>
    <x v="9"/>
    <x v="1"/>
    <x v="3"/>
    <x v="3"/>
    <x v="1"/>
    <x v="0"/>
    <n v="3400"/>
    <n v="4500"/>
    <n v="12"/>
    <n v="0.20100000000000001"/>
    <s v="Approved"/>
    <x v="1"/>
    <n v="1"/>
    <n v="0"/>
    <n v="4500"/>
    <n v="0.1414"/>
    <n v="11"/>
    <n v="0"/>
    <n v="1"/>
  </r>
  <r>
    <s v="LA-701944"/>
    <d v="2024-10-24T00:00:00"/>
    <x v="0"/>
    <s v="Q4"/>
    <x v="9"/>
    <x v="0"/>
    <x v="1"/>
    <x v="3"/>
    <x v="0"/>
    <x v="1"/>
    <n v="4550"/>
    <n v="21500"/>
    <n v="36"/>
    <n v="0.21"/>
    <s v="Approved"/>
    <x v="1"/>
    <n v="1"/>
    <n v="0"/>
    <n v="17000"/>
    <n v="8.3599999999999994E-2"/>
    <n v="5"/>
    <n v="0"/>
    <n v="1"/>
  </r>
  <r>
    <s v="LA-701945"/>
    <d v="2024-10-24T00:00:00"/>
    <x v="0"/>
    <s v="Q4"/>
    <x v="9"/>
    <x v="2"/>
    <x v="0"/>
    <x v="4"/>
    <x v="0"/>
    <x v="1"/>
    <n v="7350"/>
    <n v="111000"/>
    <n v="12"/>
    <n v="1.4039999999999999"/>
    <s v="Withdrawn"/>
    <x v="1"/>
    <n v="0"/>
    <n v="0"/>
    <n v="0"/>
    <m/>
    <n v="7"/>
    <n v="1"/>
    <n v="1"/>
  </r>
  <r>
    <s v="LA-701946"/>
    <d v="2024-10-24T00:00:00"/>
    <x v="0"/>
    <s v="Q4"/>
    <x v="9"/>
    <x v="2"/>
    <x v="0"/>
    <x v="1"/>
    <x v="1"/>
    <x v="1"/>
    <n v="3450"/>
    <n v="129500"/>
    <n v="60"/>
    <n v="1.0029999999999999"/>
    <s v="Rejected"/>
    <x v="3"/>
    <n v="0"/>
    <n v="1"/>
    <n v="0"/>
    <m/>
    <n v="11"/>
    <n v="0"/>
    <n v="1"/>
  </r>
  <r>
    <s v="LA-701947"/>
    <d v="2024-10-24T00:00:00"/>
    <x v="0"/>
    <s v="Q4"/>
    <x v="9"/>
    <x v="2"/>
    <x v="1"/>
    <x v="4"/>
    <x v="1"/>
    <x v="1"/>
    <n v="6950"/>
    <n v="152000"/>
    <n v="36"/>
    <n v="0.93799999999999994"/>
    <s v="Rejected"/>
    <x v="3"/>
    <n v="0"/>
    <n v="1"/>
    <n v="0"/>
    <m/>
    <n v="3"/>
    <n v="1"/>
    <n v="1"/>
  </r>
  <r>
    <s v="LA-701948"/>
    <d v="2024-10-24T00:00:00"/>
    <x v="0"/>
    <s v="Q4"/>
    <x v="9"/>
    <x v="1"/>
    <x v="2"/>
    <x v="1"/>
    <x v="2"/>
    <x v="4"/>
    <n v="3850"/>
    <n v="9000"/>
    <n v="60"/>
    <n v="0.14799999999999999"/>
    <s v="Approved"/>
    <x v="1"/>
    <n v="1"/>
    <n v="0"/>
    <n v="9000"/>
    <n v="0.1133"/>
    <n v="2"/>
    <n v="1"/>
    <n v="1"/>
  </r>
  <r>
    <s v="LA-701949"/>
    <d v="2024-10-25T00:00:00"/>
    <x v="0"/>
    <s v="Q4"/>
    <x v="9"/>
    <x v="0"/>
    <x v="2"/>
    <x v="2"/>
    <x v="0"/>
    <x v="4"/>
    <n v="4250"/>
    <n v="56000"/>
    <n v="36"/>
    <n v="0.48899999999999999"/>
    <s v="Rejected"/>
    <x v="4"/>
    <n v="0"/>
    <n v="1"/>
    <n v="0"/>
    <m/>
    <n v="7"/>
    <n v="0"/>
    <n v="1"/>
  </r>
  <r>
    <s v="LA-701950"/>
    <d v="2024-10-25T00:00:00"/>
    <x v="0"/>
    <s v="Q4"/>
    <x v="9"/>
    <x v="1"/>
    <x v="3"/>
    <x v="3"/>
    <x v="0"/>
    <x v="1"/>
    <n v="4450"/>
    <n v="7000"/>
    <n v="48"/>
    <n v="0.214"/>
    <s v="Approved"/>
    <x v="1"/>
    <n v="1"/>
    <n v="0"/>
    <n v="6500"/>
    <n v="0.129"/>
    <n v="4"/>
    <n v="0"/>
    <n v="1"/>
  </r>
  <r>
    <s v="LA-701951"/>
    <d v="2024-10-25T00:00:00"/>
    <x v="0"/>
    <s v="Q4"/>
    <x v="9"/>
    <x v="3"/>
    <x v="3"/>
    <x v="3"/>
    <x v="1"/>
    <x v="0"/>
    <n v="9250"/>
    <n v="279500"/>
    <n v="300"/>
    <n v="0.39700000000000002"/>
    <s v="Approved"/>
    <x v="1"/>
    <n v="1"/>
    <n v="0"/>
    <n v="279500"/>
    <n v="7.2700000000000001E-2"/>
    <n v="19"/>
    <n v="0"/>
    <n v="1"/>
  </r>
  <r>
    <s v="LA-701952"/>
    <d v="2024-10-25T00:00:00"/>
    <x v="0"/>
    <s v="Q4"/>
    <x v="9"/>
    <x v="1"/>
    <x v="0"/>
    <x v="1"/>
    <x v="2"/>
    <x v="0"/>
    <n v="3200"/>
    <n v="15500"/>
    <n v="12"/>
    <n v="0.56000000000000005"/>
    <s v="Rejected"/>
    <x v="4"/>
    <n v="0"/>
    <n v="1"/>
    <n v="0"/>
    <m/>
    <n v="9"/>
    <n v="0"/>
    <n v="1"/>
  </r>
  <r>
    <s v="LA-701953"/>
    <d v="2024-10-25T00:00:00"/>
    <x v="0"/>
    <s v="Q4"/>
    <x v="9"/>
    <x v="1"/>
    <x v="2"/>
    <x v="1"/>
    <x v="2"/>
    <x v="0"/>
    <n v="7850"/>
    <n v="12000"/>
    <n v="48"/>
    <n v="0.17299999999999999"/>
    <s v="Rejected"/>
    <x v="4"/>
    <n v="0"/>
    <n v="1"/>
    <n v="0"/>
    <m/>
    <n v="7"/>
    <n v="0"/>
    <n v="1"/>
  </r>
  <r>
    <s v="LA-701954"/>
    <d v="2024-10-25T00:00:00"/>
    <x v="0"/>
    <s v="Q4"/>
    <x v="9"/>
    <x v="2"/>
    <x v="0"/>
    <x v="3"/>
    <x v="1"/>
    <x v="1"/>
    <n v="3000"/>
    <n v="48000"/>
    <n v="60"/>
    <n v="0.505"/>
    <s v="Approved"/>
    <x v="1"/>
    <n v="1"/>
    <n v="0"/>
    <n v="38500"/>
    <n v="0.1067"/>
    <n v="13"/>
    <n v="0"/>
    <n v="1"/>
  </r>
  <r>
    <s v="LA-701955"/>
    <d v="2024-10-25T00:00:00"/>
    <x v="0"/>
    <s v="Q4"/>
    <x v="9"/>
    <x v="0"/>
    <x v="3"/>
    <x v="2"/>
    <x v="1"/>
    <x v="3"/>
    <n v="4300"/>
    <n v="64000"/>
    <n v="60"/>
    <n v="0.373"/>
    <s v="Approved"/>
    <x v="1"/>
    <n v="1"/>
    <n v="0"/>
    <n v="51000"/>
    <n v="6.3100000000000003E-2"/>
    <n v="10"/>
    <n v="0"/>
    <n v="1"/>
  </r>
  <r>
    <s v="LA-701956"/>
    <d v="2024-10-25T00:00:00"/>
    <x v="0"/>
    <s v="Q4"/>
    <x v="9"/>
    <x v="2"/>
    <x v="1"/>
    <x v="4"/>
    <x v="2"/>
    <x v="1"/>
    <n v="4750"/>
    <n v="56500"/>
    <n v="60"/>
    <n v="0.33600000000000002"/>
    <s v="Approved"/>
    <x v="1"/>
    <n v="1"/>
    <n v="0"/>
    <n v="45000"/>
    <n v="0.11210000000000001"/>
    <n v="5"/>
    <n v="1"/>
    <n v="1"/>
  </r>
  <r>
    <s v="LA-701957"/>
    <d v="2024-10-25T00:00:00"/>
    <x v="0"/>
    <s v="Q4"/>
    <x v="9"/>
    <x v="0"/>
    <x v="3"/>
    <x v="0"/>
    <x v="0"/>
    <x v="0"/>
    <n v="3600"/>
    <n v="13500"/>
    <n v="60"/>
    <n v="0.26200000000000001"/>
    <s v="Rejected"/>
    <x v="0"/>
    <n v="0"/>
    <n v="1"/>
    <n v="0"/>
    <m/>
    <n v="5"/>
    <n v="0"/>
    <n v="1"/>
  </r>
  <r>
    <s v="LA-701958"/>
    <d v="2024-10-25T00:00:00"/>
    <x v="0"/>
    <s v="Q4"/>
    <x v="9"/>
    <x v="1"/>
    <x v="1"/>
    <x v="2"/>
    <x v="1"/>
    <x v="1"/>
    <n v="4850"/>
    <n v="15000"/>
    <n v="24"/>
    <n v="0.30599999999999999"/>
    <s v="Approved"/>
    <x v="1"/>
    <n v="1"/>
    <n v="0"/>
    <n v="15000"/>
    <n v="0.1225"/>
    <n v="2"/>
    <n v="1"/>
    <n v="1"/>
  </r>
  <r>
    <s v="LA-701959"/>
    <d v="2024-10-26T00:00:00"/>
    <x v="0"/>
    <s v="Q4"/>
    <x v="9"/>
    <x v="0"/>
    <x v="3"/>
    <x v="2"/>
    <x v="1"/>
    <x v="3"/>
    <n v="2900"/>
    <n v="8500"/>
    <n v="60"/>
    <n v="0.20200000000000001"/>
    <s v="Approved"/>
    <x v="1"/>
    <n v="1"/>
    <n v="0"/>
    <n v="8500"/>
    <n v="6.7299999999999999E-2"/>
    <n v="10"/>
    <n v="0"/>
    <n v="1"/>
  </r>
  <r>
    <s v="LA-701960"/>
    <d v="2024-10-26T00:00:00"/>
    <x v="0"/>
    <s v="Q4"/>
    <x v="9"/>
    <x v="1"/>
    <x v="2"/>
    <x v="3"/>
    <x v="0"/>
    <x v="1"/>
    <n v="6450"/>
    <n v="18500"/>
    <n v="60"/>
    <n v="0.17"/>
    <s v="Approved"/>
    <x v="1"/>
    <n v="1"/>
    <n v="0"/>
    <n v="18500"/>
    <n v="0.1188"/>
    <n v="3"/>
    <n v="1"/>
    <n v="1"/>
  </r>
  <r>
    <s v="LA-701961"/>
    <d v="2024-10-26T00:00:00"/>
    <x v="0"/>
    <s v="Q4"/>
    <x v="9"/>
    <x v="2"/>
    <x v="0"/>
    <x v="2"/>
    <x v="2"/>
    <x v="1"/>
    <n v="7300"/>
    <n v="85000"/>
    <n v="36"/>
    <n v="0.61399999999999999"/>
    <s v="Approved"/>
    <x v="1"/>
    <n v="1"/>
    <n v="0"/>
    <n v="85000"/>
    <n v="0.10539999999999999"/>
    <n v="8"/>
    <n v="1"/>
    <n v="1"/>
  </r>
  <r>
    <s v="LA-701962"/>
    <d v="2024-10-26T00:00:00"/>
    <x v="0"/>
    <s v="Q4"/>
    <x v="9"/>
    <x v="3"/>
    <x v="3"/>
    <x v="2"/>
    <x v="0"/>
    <x v="3"/>
    <n v="5050"/>
    <n v="226000"/>
    <n v="240"/>
    <n v="0.47399999999999998"/>
    <s v="Approved"/>
    <x v="1"/>
    <n v="1"/>
    <n v="0"/>
    <n v="226000"/>
    <n v="4.1200000000000001E-2"/>
    <n v="20"/>
    <n v="0"/>
    <n v="1"/>
  </r>
  <r>
    <s v="LA-701963"/>
    <d v="2024-10-26T00:00:00"/>
    <x v="0"/>
    <s v="Q4"/>
    <x v="9"/>
    <x v="0"/>
    <x v="0"/>
    <x v="3"/>
    <x v="2"/>
    <x v="3"/>
    <n v="6850"/>
    <n v="25500"/>
    <n v="36"/>
    <n v="0.24299999999999999"/>
    <s v="Approved"/>
    <x v="1"/>
    <n v="1"/>
    <n v="0"/>
    <n v="25500"/>
    <n v="6.7100000000000007E-2"/>
    <n v="4"/>
    <n v="1"/>
    <n v="1"/>
  </r>
  <r>
    <s v="LA-701964"/>
    <d v="2024-10-26T00:00:00"/>
    <x v="0"/>
    <s v="Q4"/>
    <x v="9"/>
    <x v="1"/>
    <x v="2"/>
    <x v="1"/>
    <x v="0"/>
    <x v="1"/>
    <n v="3300"/>
    <n v="6500"/>
    <n v="48"/>
    <n v="0.249"/>
    <s v="Approved"/>
    <x v="1"/>
    <n v="1"/>
    <n v="0"/>
    <n v="6000"/>
    <n v="0.1283"/>
    <n v="2"/>
    <n v="1"/>
    <n v="1"/>
  </r>
  <r>
    <s v="LA-701965"/>
    <d v="2024-10-26T00:00:00"/>
    <x v="0"/>
    <s v="Q4"/>
    <x v="9"/>
    <x v="1"/>
    <x v="3"/>
    <x v="4"/>
    <x v="0"/>
    <x v="1"/>
    <n v="7700"/>
    <n v="9500"/>
    <n v="60"/>
    <n v="9.9000000000000005E-2"/>
    <s v="Approved"/>
    <x v="1"/>
    <n v="1"/>
    <n v="0"/>
    <n v="9500"/>
    <n v="0.11749999999999999"/>
    <n v="5"/>
    <n v="0"/>
    <n v="1"/>
  </r>
  <r>
    <s v="LA-701966"/>
    <d v="2024-10-27T00:00:00"/>
    <x v="0"/>
    <s v="Q4"/>
    <x v="9"/>
    <x v="2"/>
    <x v="2"/>
    <x v="0"/>
    <x v="0"/>
    <x v="0"/>
    <n v="5850"/>
    <n v="67000"/>
    <n v="24"/>
    <n v="0.76500000000000001"/>
    <s v="Rejected"/>
    <x v="0"/>
    <n v="0"/>
    <n v="1"/>
    <n v="0"/>
    <m/>
    <n v="7"/>
    <n v="1"/>
    <n v="1"/>
  </r>
  <r>
    <s v="LA-701967"/>
    <d v="2024-10-27T00:00:00"/>
    <x v="0"/>
    <s v="Q4"/>
    <x v="9"/>
    <x v="2"/>
    <x v="3"/>
    <x v="2"/>
    <x v="1"/>
    <x v="1"/>
    <n v="4100"/>
    <n v="80000"/>
    <n v="24"/>
    <n v="0.96799999999999997"/>
    <s v="Rejected"/>
    <x v="3"/>
    <n v="0"/>
    <n v="1"/>
    <n v="0"/>
    <m/>
    <n v="17"/>
    <n v="0"/>
    <n v="1"/>
  </r>
  <r>
    <s v="LA-701968"/>
    <d v="2024-10-27T00:00:00"/>
    <x v="0"/>
    <s v="Q4"/>
    <x v="9"/>
    <x v="2"/>
    <x v="3"/>
    <x v="1"/>
    <x v="0"/>
    <x v="1"/>
    <n v="5900"/>
    <n v="82000"/>
    <n v="36"/>
    <n v="0.52100000000000002"/>
    <s v="Rejected"/>
    <x v="4"/>
    <n v="0"/>
    <n v="1"/>
    <n v="0"/>
    <m/>
    <n v="23"/>
    <n v="0"/>
    <n v="1"/>
  </r>
  <r>
    <s v="LA-701969"/>
    <d v="2024-10-28T00:00:00"/>
    <x v="0"/>
    <s v="Q4"/>
    <x v="9"/>
    <x v="1"/>
    <x v="3"/>
    <x v="2"/>
    <x v="1"/>
    <x v="1"/>
    <n v="7350"/>
    <n v="10500"/>
    <n v="36"/>
    <n v="0.14599999999999999"/>
    <s v="Approved"/>
    <x v="1"/>
    <n v="1"/>
    <n v="0"/>
    <n v="10500"/>
    <n v="0.124"/>
    <n v="7"/>
    <n v="0"/>
    <n v="1"/>
  </r>
  <r>
    <s v="LA-701970"/>
    <d v="2024-10-28T00:00:00"/>
    <x v="0"/>
    <s v="Q4"/>
    <x v="9"/>
    <x v="1"/>
    <x v="1"/>
    <x v="0"/>
    <x v="0"/>
    <x v="1"/>
    <n v="4300"/>
    <n v="13500"/>
    <n v="36"/>
    <n v="0.27500000000000002"/>
    <s v="Approved"/>
    <x v="1"/>
    <n v="1"/>
    <n v="0"/>
    <n v="11000"/>
    <n v="0.12230000000000001"/>
    <n v="2"/>
    <n v="1"/>
    <n v="1"/>
  </r>
  <r>
    <s v="LA-701971"/>
    <d v="2024-10-28T00:00:00"/>
    <x v="0"/>
    <s v="Q4"/>
    <x v="9"/>
    <x v="2"/>
    <x v="3"/>
    <x v="3"/>
    <x v="2"/>
    <x v="2"/>
    <n v="4600"/>
    <n v="33500"/>
    <n v="12"/>
    <n v="0.746"/>
    <s v="Rejected"/>
    <x v="0"/>
    <n v="0"/>
    <n v="1"/>
    <n v="0"/>
    <m/>
    <n v="19"/>
    <n v="0"/>
    <n v="1"/>
  </r>
  <r>
    <s v="LA-701972"/>
    <d v="2024-10-28T00:00:00"/>
    <x v="0"/>
    <s v="Q4"/>
    <x v="9"/>
    <x v="2"/>
    <x v="2"/>
    <x v="2"/>
    <x v="0"/>
    <x v="0"/>
    <n v="14250"/>
    <n v="129000"/>
    <n v="36"/>
    <n v="0.40699999999999997"/>
    <s v="Approved"/>
    <x v="1"/>
    <n v="1"/>
    <n v="0"/>
    <n v="116000"/>
    <n v="0.13150000000000001"/>
    <n v="6"/>
    <n v="1"/>
    <n v="1"/>
  </r>
  <r>
    <s v="LA-701973"/>
    <d v="2024-10-28T00:00:00"/>
    <x v="0"/>
    <s v="Q4"/>
    <x v="9"/>
    <x v="1"/>
    <x v="3"/>
    <x v="3"/>
    <x v="0"/>
    <x v="3"/>
    <n v="4100"/>
    <n v="17000"/>
    <n v="12"/>
    <n v="0.46600000000000003"/>
    <s v="Approved"/>
    <x v="1"/>
    <n v="1"/>
    <n v="0"/>
    <n v="17000"/>
    <n v="0.1134"/>
    <n v="3"/>
    <n v="1"/>
    <n v="1"/>
  </r>
  <r>
    <s v="LA-701974"/>
    <d v="2024-10-28T00:00:00"/>
    <x v="0"/>
    <s v="Q4"/>
    <x v="9"/>
    <x v="1"/>
    <x v="2"/>
    <x v="1"/>
    <x v="0"/>
    <x v="1"/>
    <n v="10400"/>
    <n v="8000"/>
    <n v="24"/>
    <n v="0.22800000000000001"/>
    <s v="Approved"/>
    <x v="1"/>
    <n v="1"/>
    <n v="0"/>
    <n v="7000"/>
    <n v="0.1217"/>
    <n v="3"/>
    <n v="1"/>
    <n v="1"/>
  </r>
  <r>
    <s v="LA-701975"/>
    <d v="2024-10-28T00:00:00"/>
    <x v="0"/>
    <s v="Q4"/>
    <x v="9"/>
    <x v="2"/>
    <x v="3"/>
    <x v="2"/>
    <x v="1"/>
    <x v="1"/>
    <n v="3900"/>
    <n v="145000"/>
    <n v="60"/>
    <n v="0.97899999999999998"/>
    <s v="Approved"/>
    <x v="1"/>
    <n v="1"/>
    <n v="0"/>
    <n v="130500"/>
    <n v="0.11070000000000001"/>
    <n v="21"/>
    <n v="0"/>
    <n v="1"/>
  </r>
  <r>
    <s v="LA-701976"/>
    <d v="2024-10-28T00:00:00"/>
    <x v="0"/>
    <s v="Q4"/>
    <x v="9"/>
    <x v="0"/>
    <x v="1"/>
    <x v="2"/>
    <x v="0"/>
    <x v="4"/>
    <n v="3350"/>
    <n v="18000"/>
    <n v="48"/>
    <n v="0.32200000000000001"/>
    <s v="Approved"/>
    <x v="1"/>
    <n v="1"/>
    <n v="0"/>
    <n v="18000"/>
    <n v="7.4300000000000005E-2"/>
    <n v="1"/>
    <n v="1"/>
    <n v="1"/>
  </r>
  <r>
    <s v="LA-701977"/>
    <d v="2024-10-28T00:00:00"/>
    <x v="0"/>
    <s v="Q4"/>
    <x v="9"/>
    <x v="2"/>
    <x v="3"/>
    <x v="3"/>
    <x v="0"/>
    <x v="1"/>
    <n v="3050"/>
    <n v="120500"/>
    <n v="36"/>
    <n v="1.341"/>
    <s v="Rejected"/>
    <x v="3"/>
    <n v="0"/>
    <n v="1"/>
    <n v="0"/>
    <m/>
    <n v="7"/>
    <n v="1"/>
    <n v="1"/>
  </r>
  <r>
    <s v="LA-701978"/>
    <d v="2024-10-29T00:00:00"/>
    <x v="0"/>
    <s v="Q4"/>
    <x v="9"/>
    <x v="3"/>
    <x v="3"/>
    <x v="3"/>
    <x v="0"/>
    <x v="4"/>
    <n v="5100"/>
    <n v="393000"/>
    <n v="240"/>
    <n v="0.56299999999999994"/>
    <s v="Rejected"/>
    <x v="3"/>
    <n v="0"/>
    <n v="1"/>
    <n v="0"/>
    <m/>
    <n v="14"/>
    <n v="1"/>
    <n v="1"/>
  </r>
  <r>
    <s v="LA-701979"/>
    <d v="2024-10-29T00:00:00"/>
    <x v="0"/>
    <s v="Q4"/>
    <x v="9"/>
    <x v="3"/>
    <x v="3"/>
    <x v="2"/>
    <x v="2"/>
    <x v="1"/>
    <n v="4200"/>
    <n v="268000"/>
    <n v="300"/>
    <n v="0.47899999999999998"/>
    <s v="Approved"/>
    <x v="1"/>
    <n v="1"/>
    <n v="0"/>
    <n v="268000"/>
    <n v="5.7099999999999998E-2"/>
    <n v="16"/>
    <n v="0"/>
    <n v="1"/>
  </r>
  <r>
    <s v="LA-701980"/>
    <d v="2024-10-29T00:00:00"/>
    <x v="0"/>
    <s v="Q4"/>
    <x v="9"/>
    <x v="1"/>
    <x v="3"/>
    <x v="2"/>
    <x v="0"/>
    <x v="4"/>
    <n v="3850"/>
    <n v="7000"/>
    <n v="24"/>
    <n v="0.31"/>
    <s v="Approved"/>
    <x v="1"/>
    <n v="1"/>
    <n v="0"/>
    <n v="7000"/>
    <n v="0.1162"/>
    <n v="2"/>
    <n v="1"/>
    <n v="1"/>
  </r>
  <r>
    <s v="LA-701981"/>
    <d v="2024-10-29T00:00:00"/>
    <x v="0"/>
    <s v="Q4"/>
    <x v="9"/>
    <x v="0"/>
    <x v="1"/>
    <x v="2"/>
    <x v="0"/>
    <x v="0"/>
    <n v="3700"/>
    <n v="19500"/>
    <n v="36"/>
    <n v="0.40500000000000003"/>
    <s v="Approved"/>
    <x v="1"/>
    <n v="1"/>
    <n v="0"/>
    <n v="19500"/>
    <n v="9.7600000000000006E-2"/>
    <n v="2"/>
    <n v="1"/>
    <n v="1"/>
  </r>
  <r>
    <s v="LA-701982"/>
    <d v="2024-10-29T00:00:00"/>
    <x v="0"/>
    <s v="Q4"/>
    <x v="9"/>
    <x v="1"/>
    <x v="2"/>
    <x v="0"/>
    <x v="0"/>
    <x v="1"/>
    <n v="2700"/>
    <n v="19000"/>
    <n v="36"/>
    <n v="0.35899999999999999"/>
    <s v="Approved"/>
    <x v="1"/>
    <n v="1"/>
    <n v="0"/>
    <n v="19000"/>
    <n v="0.1225"/>
    <n v="2"/>
    <n v="1"/>
    <n v="1"/>
  </r>
  <r>
    <s v="LA-701983"/>
    <d v="2024-10-29T00:00:00"/>
    <x v="0"/>
    <s v="Q4"/>
    <x v="9"/>
    <x v="0"/>
    <x v="3"/>
    <x v="3"/>
    <x v="2"/>
    <x v="1"/>
    <n v="7550"/>
    <n v="23000"/>
    <n v="48"/>
    <n v="0.22500000000000001"/>
    <s v="Approved"/>
    <x v="1"/>
    <n v="1"/>
    <n v="0"/>
    <n v="18500"/>
    <n v="7.8E-2"/>
    <n v="7"/>
    <n v="0"/>
    <n v="1"/>
  </r>
  <r>
    <s v="LA-701984"/>
    <d v="2024-10-29T00:00:00"/>
    <x v="0"/>
    <s v="Q4"/>
    <x v="9"/>
    <x v="0"/>
    <x v="0"/>
    <x v="1"/>
    <x v="1"/>
    <x v="3"/>
    <n v="7950"/>
    <n v="11500"/>
    <n v="48"/>
    <n v="0.22800000000000001"/>
    <s v="Rejected"/>
    <x v="0"/>
    <n v="0"/>
    <n v="1"/>
    <n v="0"/>
    <m/>
    <n v="5"/>
    <n v="0"/>
    <n v="1"/>
  </r>
  <r>
    <s v="LA-701985"/>
    <d v="2024-10-29T00:00:00"/>
    <x v="0"/>
    <s v="Q4"/>
    <x v="9"/>
    <x v="1"/>
    <x v="0"/>
    <x v="1"/>
    <x v="1"/>
    <x v="3"/>
    <n v="7600"/>
    <n v="17000"/>
    <n v="36"/>
    <n v="0.14099999999999999"/>
    <s v="Approved"/>
    <x v="1"/>
    <n v="1"/>
    <n v="0"/>
    <n v="15500"/>
    <n v="0.10539999999999999"/>
    <n v="2"/>
    <n v="1"/>
    <n v="1"/>
  </r>
  <r>
    <s v="LA-701986"/>
    <d v="2024-10-29T00:00:00"/>
    <x v="0"/>
    <s v="Q4"/>
    <x v="9"/>
    <x v="2"/>
    <x v="2"/>
    <x v="4"/>
    <x v="0"/>
    <x v="3"/>
    <n v="4950"/>
    <n v="57500"/>
    <n v="12"/>
    <n v="1.258"/>
    <s v="Rejected"/>
    <x v="3"/>
    <n v="0"/>
    <n v="1"/>
    <n v="0"/>
    <m/>
    <n v="3"/>
    <n v="1"/>
    <n v="1"/>
  </r>
  <r>
    <s v="LA-701987"/>
    <d v="2024-10-29T00:00:00"/>
    <x v="0"/>
    <s v="Q4"/>
    <x v="9"/>
    <x v="1"/>
    <x v="3"/>
    <x v="2"/>
    <x v="0"/>
    <x v="4"/>
    <n v="3050"/>
    <n v="21500"/>
    <n v="48"/>
    <n v="0.39700000000000002"/>
    <s v="Approved"/>
    <x v="1"/>
    <n v="1"/>
    <n v="0"/>
    <n v="21500"/>
    <n v="0.12189999999999999"/>
    <n v="5"/>
    <n v="0"/>
    <n v="1"/>
  </r>
  <r>
    <s v="LA-701988"/>
    <d v="2024-10-29T00:00:00"/>
    <x v="0"/>
    <s v="Q4"/>
    <x v="9"/>
    <x v="3"/>
    <x v="1"/>
    <x v="2"/>
    <x v="0"/>
    <x v="0"/>
    <n v="6600"/>
    <n v="581000"/>
    <n v="240"/>
    <n v="0.74299999999999999"/>
    <s v="Rejected"/>
    <x v="3"/>
    <n v="0"/>
    <n v="1"/>
    <n v="0"/>
    <m/>
    <n v="9"/>
    <n v="1"/>
    <n v="1"/>
  </r>
  <r>
    <s v="LA-701989"/>
    <d v="2024-10-30T00:00:00"/>
    <x v="0"/>
    <s v="Q4"/>
    <x v="9"/>
    <x v="2"/>
    <x v="0"/>
    <x v="2"/>
    <x v="2"/>
    <x v="0"/>
    <n v="4650"/>
    <n v="89500"/>
    <n v="36"/>
    <n v="0.68500000000000005"/>
    <s v="Rejected"/>
    <x v="3"/>
    <n v="0"/>
    <n v="1"/>
    <n v="0"/>
    <m/>
    <n v="20"/>
    <n v="0"/>
    <n v="1"/>
  </r>
  <r>
    <s v="LA-701990"/>
    <d v="2024-10-30T00:00:00"/>
    <x v="0"/>
    <s v="Q4"/>
    <x v="9"/>
    <x v="1"/>
    <x v="3"/>
    <x v="1"/>
    <x v="0"/>
    <x v="4"/>
    <n v="5750"/>
    <n v="13500"/>
    <n v="60"/>
    <n v="0.25700000000000001"/>
    <s v="Approved"/>
    <x v="1"/>
    <n v="1"/>
    <n v="0"/>
    <n v="13500"/>
    <n v="0.1145"/>
    <n v="7"/>
    <n v="0"/>
    <n v="1"/>
  </r>
  <r>
    <s v="LA-701991"/>
    <d v="2024-10-30T00:00:00"/>
    <x v="0"/>
    <s v="Q4"/>
    <x v="9"/>
    <x v="1"/>
    <x v="3"/>
    <x v="2"/>
    <x v="1"/>
    <x v="3"/>
    <n v="8900"/>
    <n v="9000"/>
    <n v="24"/>
    <n v="0.13100000000000001"/>
    <s v="Approved"/>
    <x v="1"/>
    <n v="1"/>
    <n v="0"/>
    <n v="7000"/>
    <n v="0.1101"/>
    <n v="7"/>
    <n v="0"/>
    <n v="1"/>
  </r>
  <r>
    <s v="LA-701992"/>
    <d v="2024-10-30T00:00:00"/>
    <x v="0"/>
    <s v="Q4"/>
    <x v="9"/>
    <x v="1"/>
    <x v="3"/>
    <x v="2"/>
    <x v="1"/>
    <x v="1"/>
    <n v="5100"/>
    <n v="15000"/>
    <n v="12"/>
    <n v="0.374"/>
    <s v="Approved"/>
    <x v="1"/>
    <n v="1"/>
    <n v="0"/>
    <n v="13500"/>
    <n v="0.1236"/>
    <n v="7"/>
    <n v="0"/>
    <n v="1"/>
  </r>
  <r>
    <s v="LA-701993"/>
    <d v="2024-10-30T00:00:00"/>
    <x v="0"/>
    <s v="Q4"/>
    <x v="9"/>
    <x v="1"/>
    <x v="3"/>
    <x v="2"/>
    <x v="1"/>
    <x v="0"/>
    <n v="9600"/>
    <n v="17000"/>
    <n v="12"/>
    <n v="0.309"/>
    <s v="Approved"/>
    <x v="1"/>
    <n v="1"/>
    <n v="0"/>
    <n v="17000"/>
    <n v="0.1452"/>
    <n v="8"/>
    <n v="0"/>
    <n v="1"/>
  </r>
  <r>
    <s v="LA-701994"/>
    <d v="2024-10-30T00:00:00"/>
    <x v="0"/>
    <s v="Q4"/>
    <x v="9"/>
    <x v="1"/>
    <x v="3"/>
    <x v="2"/>
    <x v="0"/>
    <x v="2"/>
    <n v="3300"/>
    <n v="10500"/>
    <n v="60"/>
    <n v="0.30299999999999999"/>
    <s v="Approved"/>
    <x v="1"/>
    <n v="1"/>
    <n v="0"/>
    <n v="10500"/>
    <n v="0.15790000000000001"/>
    <n v="5"/>
    <n v="0"/>
    <n v="1"/>
  </r>
  <r>
    <s v="LA-701995"/>
    <d v="2024-10-30T00:00:00"/>
    <x v="0"/>
    <s v="Q4"/>
    <x v="9"/>
    <x v="1"/>
    <x v="1"/>
    <x v="3"/>
    <x v="0"/>
    <x v="1"/>
    <n v="2400"/>
    <n v="8000"/>
    <n v="60"/>
    <n v="0.19700000000000001"/>
    <s v="Approved"/>
    <x v="1"/>
    <n v="1"/>
    <n v="0"/>
    <n v="8000"/>
    <n v="0.1249"/>
    <n v="2"/>
    <n v="1"/>
    <n v="1"/>
  </r>
  <r>
    <s v="LA-701996"/>
    <d v="2024-10-30T00:00:00"/>
    <x v="0"/>
    <s v="Q4"/>
    <x v="9"/>
    <x v="1"/>
    <x v="3"/>
    <x v="3"/>
    <x v="1"/>
    <x v="4"/>
    <n v="4900"/>
    <n v="6000"/>
    <n v="12"/>
    <n v="0.19400000000000001"/>
    <s v="Approved"/>
    <x v="1"/>
    <n v="1"/>
    <n v="0"/>
    <n v="5500"/>
    <n v="0.1113"/>
    <n v="3"/>
    <n v="1"/>
    <n v="1"/>
  </r>
  <r>
    <s v="LA-701997"/>
    <d v="2024-10-30T00:00:00"/>
    <x v="0"/>
    <s v="Q4"/>
    <x v="9"/>
    <x v="2"/>
    <x v="2"/>
    <x v="1"/>
    <x v="1"/>
    <x v="1"/>
    <n v="3700"/>
    <n v="176000"/>
    <n v="24"/>
    <n v="2.3780000000000001"/>
    <s v="Rejected"/>
    <x v="3"/>
    <n v="0"/>
    <n v="1"/>
    <n v="0"/>
    <m/>
    <n v="3"/>
    <n v="1"/>
    <n v="1"/>
  </r>
  <r>
    <s v="LA-701998"/>
    <d v="2024-10-30T00:00:00"/>
    <x v="0"/>
    <s v="Q4"/>
    <x v="9"/>
    <x v="1"/>
    <x v="3"/>
    <x v="2"/>
    <x v="2"/>
    <x v="0"/>
    <n v="17100"/>
    <n v="19000"/>
    <n v="60"/>
    <n v="8.3000000000000004E-2"/>
    <s v="Approved"/>
    <x v="1"/>
    <n v="1"/>
    <n v="0"/>
    <n v="17000"/>
    <n v="0.13880000000000001"/>
    <n v="3"/>
    <n v="1"/>
    <n v="1"/>
  </r>
  <r>
    <s v="LA-701999"/>
    <d v="2024-10-30T00:00:00"/>
    <x v="0"/>
    <s v="Q4"/>
    <x v="9"/>
    <x v="1"/>
    <x v="3"/>
    <x v="2"/>
    <x v="1"/>
    <x v="4"/>
    <n v="3150"/>
    <n v="14000"/>
    <n v="60"/>
    <n v="0.16600000000000001"/>
    <s v="Approved"/>
    <x v="1"/>
    <n v="1"/>
    <n v="0"/>
    <n v="14000"/>
    <n v="0.1144"/>
    <n v="3"/>
    <n v="1"/>
    <n v="1"/>
  </r>
  <r>
    <s v="LA-702000"/>
    <d v="2024-10-31T00:00:00"/>
    <x v="0"/>
    <s v="Q4"/>
    <x v="9"/>
    <x v="1"/>
    <x v="1"/>
    <x v="3"/>
    <x v="2"/>
    <x v="2"/>
    <n v="9450"/>
    <n v="7500"/>
    <n v="60"/>
    <n v="8.3000000000000004E-2"/>
    <s v="Rejected"/>
    <x v="0"/>
    <n v="0"/>
    <n v="1"/>
    <n v="0"/>
    <m/>
    <n v="1"/>
    <n v="1"/>
    <n v="1"/>
  </r>
  <r>
    <s v="LA-702001"/>
    <d v="2024-10-31T00:00:00"/>
    <x v="0"/>
    <s v="Q4"/>
    <x v="9"/>
    <x v="0"/>
    <x v="3"/>
    <x v="2"/>
    <x v="0"/>
    <x v="3"/>
    <n v="8100"/>
    <n v="28500"/>
    <n v="60"/>
    <n v="0.13100000000000001"/>
    <s v="Approved"/>
    <x v="1"/>
    <n v="1"/>
    <n v="0"/>
    <n v="28500"/>
    <n v="6.6799999999999998E-2"/>
    <n v="8"/>
    <n v="0"/>
    <n v="1"/>
  </r>
  <r>
    <s v="LA-702002"/>
    <d v="2024-10-31T00:00:00"/>
    <x v="0"/>
    <s v="Q4"/>
    <x v="9"/>
    <x v="1"/>
    <x v="2"/>
    <x v="1"/>
    <x v="0"/>
    <x v="1"/>
    <n v="6400"/>
    <n v="13000"/>
    <n v="48"/>
    <n v="0.22900000000000001"/>
    <s v="Rejected"/>
    <x v="4"/>
    <n v="0"/>
    <n v="1"/>
    <n v="0"/>
    <m/>
    <n v="7"/>
    <n v="0"/>
    <n v="1"/>
  </r>
  <r>
    <s v="LA-702003"/>
    <d v="2024-10-31T00:00:00"/>
    <x v="0"/>
    <s v="Q4"/>
    <x v="9"/>
    <x v="3"/>
    <x v="3"/>
    <x v="4"/>
    <x v="0"/>
    <x v="4"/>
    <n v="3500"/>
    <n v="532500"/>
    <n v="180"/>
    <n v="1.3089999999999999"/>
    <s v="Rejected"/>
    <x v="3"/>
    <n v="0"/>
    <n v="1"/>
    <n v="0"/>
    <m/>
    <n v="21"/>
    <n v="0"/>
    <n v="1"/>
  </r>
  <r>
    <s v="LA-702004"/>
    <d v="2024-10-31T00:00:00"/>
    <x v="0"/>
    <s v="Q4"/>
    <x v="9"/>
    <x v="0"/>
    <x v="3"/>
    <x v="2"/>
    <x v="2"/>
    <x v="4"/>
    <n v="5000"/>
    <n v="30500"/>
    <n v="36"/>
    <n v="0.28199999999999997"/>
    <s v="Approved"/>
    <x v="1"/>
    <n v="1"/>
    <n v="0"/>
    <n v="30500"/>
    <n v="7.2999999999999995E-2"/>
    <n v="6"/>
    <n v="0"/>
    <n v="1"/>
  </r>
  <r>
    <s v="LA-702005"/>
    <d v="2024-10-31T00:00:00"/>
    <x v="0"/>
    <s v="Q4"/>
    <x v="9"/>
    <x v="1"/>
    <x v="1"/>
    <x v="3"/>
    <x v="1"/>
    <x v="1"/>
    <n v="6800"/>
    <n v="17500"/>
    <n v="24"/>
    <n v="0.186"/>
    <s v="Approved"/>
    <x v="1"/>
    <n v="1"/>
    <n v="0"/>
    <n v="16000"/>
    <n v="0.12590000000000001"/>
    <n v="2"/>
    <n v="1"/>
    <n v="1"/>
  </r>
  <r>
    <s v="LA-702006"/>
    <d v="2024-10-31T00:00:00"/>
    <x v="0"/>
    <s v="Q4"/>
    <x v="9"/>
    <x v="1"/>
    <x v="3"/>
    <x v="2"/>
    <x v="2"/>
    <x v="4"/>
    <n v="5750"/>
    <n v="18000"/>
    <n v="36"/>
    <n v="0.31"/>
    <s v="Approved"/>
    <x v="1"/>
    <n v="1"/>
    <n v="0"/>
    <n v="18000"/>
    <n v="0.11609999999999999"/>
    <n v="4"/>
    <n v="0"/>
    <n v="1"/>
  </r>
  <r>
    <s v="LA-702007"/>
    <d v="2024-11-01T00:00:00"/>
    <x v="0"/>
    <s v="Q4"/>
    <x v="10"/>
    <x v="0"/>
    <x v="0"/>
    <x v="3"/>
    <x v="0"/>
    <x v="1"/>
    <n v="7550"/>
    <n v="17500"/>
    <n v="36"/>
    <n v="0.13900000000000001"/>
    <s v="Approved"/>
    <x v="1"/>
    <n v="1"/>
    <n v="0"/>
    <n v="17500"/>
    <n v="8.3400000000000002E-2"/>
    <n v="5"/>
    <n v="0"/>
    <n v="1"/>
  </r>
  <r>
    <s v="LA-702008"/>
    <d v="2024-11-01T00:00:00"/>
    <x v="0"/>
    <s v="Q4"/>
    <x v="10"/>
    <x v="1"/>
    <x v="2"/>
    <x v="0"/>
    <x v="0"/>
    <x v="0"/>
    <n v="5000"/>
    <n v="7500"/>
    <n v="48"/>
    <n v="0.24399999999999999"/>
    <s v="Approved"/>
    <x v="1"/>
    <n v="1"/>
    <n v="0"/>
    <n v="7500"/>
    <n v="0.1386"/>
    <n v="1"/>
    <n v="1"/>
    <n v="1"/>
  </r>
  <r>
    <s v="LA-702009"/>
    <d v="2024-11-01T00:00:00"/>
    <x v="0"/>
    <s v="Q4"/>
    <x v="10"/>
    <x v="3"/>
    <x v="2"/>
    <x v="3"/>
    <x v="1"/>
    <x v="0"/>
    <n v="6600"/>
    <n v="381500"/>
    <n v="300"/>
    <n v="0.42"/>
    <s v="Approved"/>
    <x v="1"/>
    <n v="1"/>
    <n v="0"/>
    <n v="343500"/>
    <n v="7.9000000000000001E-2"/>
    <n v="7"/>
    <n v="1"/>
    <n v="1"/>
  </r>
  <r>
    <s v="LA-702010"/>
    <d v="2024-11-01T00:00:00"/>
    <x v="0"/>
    <s v="Q4"/>
    <x v="10"/>
    <x v="1"/>
    <x v="3"/>
    <x v="0"/>
    <x v="1"/>
    <x v="1"/>
    <n v="6350"/>
    <n v="9000"/>
    <n v="12"/>
    <n v="0.30199999999999999"/>
    <s v="Approved"/>
    <x v="1"/>
    <n v="1"/>
    <n v="0"/>
    <n v="7000"/>
    <n v="0.1278"/>
    <n v="6"/>
    <n v="0"/>
    <n v="1"/>
  </r>
  <r>
    <s v="LA-702011"/>
    <d v="2024-11-01T00:00:00"/>
    <x v="0"/>
    <s v="Q4"/>
    <x v="10"/>
    <x v="1"/>
    <x v="3"/>
    <x v="2"/>
    <x v="0"/>
    <x v="4"/>
    <n v="3700"/>
    <n v="9500"/>
    <n v="60"/>
    <n v="0.28299999999999997"/>
    <s v="Approved"/>
    <x v="1"/>
    <n v="1"/>
    <n v="0"/>
    <n v="8500"/>
    <n v="0.1154"/>
    <n v="5"/>
    <n v="0"/>
    <n v="1"/>
  </r>
  <r>
    <s v="LA-702012"/>
    <d v="2024-11-01T00:00:00"/>
    <x v="0"/>
    <s v="Q4"/>
    <x v="10"/>
    <x v="2"/>
    <x v="3"/>
    <x v="2"/>
    <x v="0"/>
    <x v="2"/>
    <n v="5400"/>
    <n v="42500"/>
    <n v="12"/>
    <n v="0.78600000000000003"/>
    <s v="Rejected"/>
    <x v="0"/>
    <n v="0"/>
    <n v="1"/>
    <n v="0"/>
    <m/>
    <n v="13"/>
    <n v="0"/>
    <n v="1"/>
  </r>
  <r>
    <s v="LA-702013"/>
    <d v="2024-11-01T00:00:00"/>
    <x v="0"/>
    <s v="Q4"/>
    <x v="10"/>
    <x v="3"/>
    <x v="2"/>
    <x v="2"/>
    <x v="2"/>
    <x v="0"/>
    <n v="3000"/>
    <n v="497000"/>
    <n v="240"/>
    <n v="1.161"/>
    <s v="Withdrawn"/>
    <x v="1"/>
    <n v="0"/>
    <n v="0"/>
    <n v="0"/>
    <m/>
    <n v="6"/>
    <n v="1"/>
    <n v="1"/>
  </r>
  <r>
    <s v="LA-702014"/>
    <d v="2024-11-01T00:00:00"/>
    <x v="0"/>
    <s v="Q4"/>
    <x v="10"/>
    <x v="2"/>
    <x v="2"/>
    <x v="2"/>
    <x v="1"/>
    <x v="3"/>
    <n v="5500"/>
    <n v="55000"/>
    <n v="24"/>
    <n v="0.55700000000000005"/>
    <s v="Approved"/>
    <x v="1"/>
    <n v="1"/>
    <n v="0"/>
    <n v="55000"/>
    <n v="9.3200000000000005E-2"/>
    <n v="3"/>
    <n v="1"/>
    <n v="1"/>
  </r>
  <r>
    <s v="LA-702015"/>
    <d v="2024-11-01T00:00:00"/>
    <x v="0"/>
    <s v="Q4"/>
    <x v="10"/>
    <x v="3"/>
    <x v="2"/>
    <x v="4"/>
    <x v="0"/>
    <x v="1"/>
    <n v="3700"/>
    <n v="352500"/>
    <n v="240"/>
    <n v="0.72299999999999998"/>
    <s v="Rejected"/>
    <x v="3"/>
    <n v="0"/>
    <n v="1"/>
    <n v="0"/>
    <m/>
    <n v="9"/>
    <n v="1"/>
    <n v="1"/>
  </r>
  <r>
    <s v="LA-702016"/>
    <d v="2024-11-01T00:00:00"/>
    <x v="0"/>
    <s v="Q4"/>
    <x v="10"/>
    <x v="1"/>
    <x v="2"/>
    <x v="1"/>
    <x v="1"/>
    <x v="1"/>
    <n v="7150"/>
    <n v="9000"/>
    <n v="24"/>
    <n v="0.161"/>
    <s v="Approved"/>
    <x v="1"/>
    <n v="1"/>
    <n v="0"/>
    <n v="9000"/>
    <n v="0.12529999999999999"/>
    <n v="2"/>
    <n v="1"/>
    <n v="1"/>
  </r>
  <r>
    <s v="LA-702017"/>
    <d v="2024-11-01T00:00:00"/>
    <x v="0"/>
    <s v="Q4"/>
    <x v="10"/>
    <x v="1"/>
    <x v="3"/>
    <x v="2"/>
    <x v="0"/>
    <x v="0"/>
    <n v="7800"/>
    <n v="13500"/>
    <n v="60"/>
    <n v="0.246"/>
    <s v="Rejected"/>
    <x v="0"/>
    <n v="0"/>
    <n v="1"/>
    <n v="0"/>
    <m/>
    <n v="6"/>
    <n v="0"/>
    <n v="1"/>
  </r>
  <r>
    <s v="LA-702018"/>
    <d v="2024-11-02T00:00:00"/>
    <x v="0"/>
    <s v="Q4"/>
    <x v="10"/>
    <x v="1"/>
    <x v="3"/>
    <x v="3"/>
    <x v="1"/>
    <x v="0"/>
    <n v="3950"/>
    <n v="33500"/>
    <n v="48"/>
    <n v="0.44500000000000001"/>
    <s v="Rejected"/>
    <x v="0"/>
    <n v="0"/>
    <n v="1"/>
    <n v="0"/>
    <m/>
    <n v="3"/>
    <n v="1"/>
    <n v="1"/>
  </r>
  <r>
    <s v="LA-702019"/>
    <d v="2024-11-02T00:00:00"/>
    <x v="0"/>
    <s v="Q4"/>
    <x v="10"/>
    <x v="1"/>
    <x v="3"/>
    <x v="4"/>
    <x v="1"/>
    <x v="2"/>
    <n v="6000"/>
    <n v="6000"/>
    <n v="12"/>
    <n v="0.23499999999999999"/>
    <s v="Approved"/>
    <x v="1"/>
    <n v="1"/>
    <n v="0"/>
    <n v="5500"/>
    <n v="0.15409999999999999"/>
    <n v="8"/>
    <n v="0"/>
    <n v="1"/>
  </r>
  <r>
    <s v="LA-702020"/>
    <d v="2024-11-02T00:00:00"/>
    <x v="0"/>
    <s v="Q4"/>
    <x v="10"/>
    <x v="1"/>
    <x v="3"/>
    <x v="4"/>
    <x v="1"/>
    <x v="0"/>
    <n v="4650"/>
    <n v="6000"/>
    <n v="12"/>
    <n v="0.24299999999999999"/>
    <s v="Approved"/>
    <x v="1"/>
    <n v="1"/>
    <n v="0"/>
    <n v="6000"/>
    <n v="0.14019999999999999"/>
    <n v="6"/>
    <n v="0"/>
    <n v="1"/>
  </r>
  <r>
    <s v="LA-702021"/>
    <d v="2024-11-02T00:00:00"/>
    <x v="0"/>
    <s v="Q4"/>
    <x v="10"/>
    <x v="1"/>
    <x v="0"/>
    <x v="1"/>
    <x v="1"/>
    <x v="2"/>
    <n v="5500"/>
    <n v="20000"/>
    <n v="12"/>
    <n v="0.38600000000000001"/>
    <s v="Rejected"/>
    <x v="0"/>
    <n v="0"/>
    <n v="1"/>
    <n v="0"/>
    <m/>
    <n v="5"/>
    <n v="0"/>
    <n v="1"/>
  </r>
  <r>
    <s v="LA-702022"/>
    <d v="2024-11-02T00:00:00"/>
    <x v="0"/>
    <s v="Q4"/>
    <x v="10"/>
    <x v="1"/>
    <x v="1"/>
    <x v="3"/>
    <x v="0"/>
    <x v="4"/>
    <n v="6500"/>
    <n v="14000"/>
    <n v="12"/>
    <n v="0.25800000000000001"/>
    <s v="Rejected"/>
    <x v="4"/>
    <n v="0"/>
    <n v="1"/>
    <n v="0"/>
    <m/>
    <n v="6"/>
    <n v="0"/>
    <n v="1"/>
  </r>
  <r>
    <s v="LA-702023"/>
    <d v="2024-11-02T00:00:00"/>
    <x v="0"/>
    <s v="Q4"/>
    <x v="10"/>
    <x v="0"/>
    <x v="1"/>
    <x v="2"/>
    <x v="1"/>
    <x v="4"/>
    <n v="3850"/>
    <n v="72000"/>
    <n v="36"/>
    <n v="0.64200000000000002"/>
    <s v="Approved"/>
    <x v="1"/>
    <n v="1"/>
    <n v="0"/>
    <n v="72000"/>
    <n v="7.4399999999999994E-2"/>
    <n v="2"/>
    <n v="1"/>
    <n v="1"/>
  </r>
  <r>
    <s v="LA-702024"/>
    <d v="2024-11-02T00:00:00"/>
    <x v="0"/>
    <s v="Q4"/>
    <x v="10"/>
    <x v="2"/>
    <x v="1"/>
    <x v="2"/>
    <x v="1"/>
    <x v="0"/>
    <n v="6600"/>
    <n v="76500"/>
    <n v="12"/>
    <n v="1.137"/>
    <s v="Rejected"/>
    <x v="4"/>
    <n v="0"/>
    <n v="1"/>
    <n v="0"/>
    <m/>
    <n v="9"/>
    <n v="1"/>
    <n v="1"/>
  </r>
  <r>
    <s v="LA-702025"/>
    <d v="2024-11-02T00:00:00"/>
    <x v="0"/>
    <s v="Q4"/>
    <x v="10"/>
    <x v="1"/>
    <x v="3"/>
    <x v="4"/>
    <x v="1"/>
    <x v="2"/>
    <n v="5250"/>
    <n v="12000"/>
    <n v="60"/>
    <n v="0.17499999999999999"/>
    <s v="Approved"/>
    <x v="1"/>
    <n v="1"/>
    <n v="0"/>
    <n v="11000"/>
    <n v="0.1613"/>
    <n v="5"/>
    <n v="0"/>
    <n v="1"/>
  </r>
  <r>
    <s v="LA-702026"/>
    <d v="2024-11-03T00:00:00"/>
    <x v="0"/>
    <s v="Q4"/>
    <x v="10"/>
    <x v="3"/>
    <x v="2"/>
    <x v="2"/>
    <x v="2"/>
    <x v="1"/>
    <n v="2350"/>
    <n v="330000"/>
    <n v="300"/>
    <n v="0.96599999999999997"/>
    <s v="Rejected"/>
    <x v="3"/>
    <n v="0"/>
    <n v="1"/>
    <n v="0"/>
    <m/>
    <n v="7"/>
    <n v="1"/>
    <n v="1"/>
  </r>
  <r>
    <s v="LA-702027"/>
    <d v="2024-11-03T00:00:00"/>
    <x v="0"/>
    <s v="Q4"/>
    <x v="10"/>
    <x v="1"/>
    <x v="3"/>
    <x v="2"/>
    <x v="1"/>
    <x v="0"/>
    <n v="5200"/>
    <n v="12000"/>
    <n v="24"/>
    <n v="0.17699999999999999"/>
    <s v="Approved"/>
    <x v="1"/>
    <n v="1"/>
    <n v="0"/>
    <n v="9500"/>
    <n v="0.13900000000000001"/>
    <n v="7"/>
    <n v="0"/>
    <n v="1"/>
  </r>
  <r>
    <s v="LA-702028"/>
    <d v="2024-11-03T00:00:00"/>
    <x v="0"/>
    <s v="Q4"/>
    <x v="10"/>
    <x v="3"/>
    <x v="2"/>
    <x v="2"/>
    <x v="1"/>
    <x v="1"/>
    <n v="7850"/>
    <n v="385000"/>
    <n v="240"/>
    <n v="0.41899999999999998"/>
    <s v="Approved"/>
    <x v="1"/>
    <n v="1"/>
    <n v="0"/>
    <n v="308000"/>
    <n v="5.7200000000000001E-2"/>
    <n v="11"/>
    <n v="1"/>
    <n v="1"/>
  </r>
  <r>
    <s v="LA-702029"/>
    <d v="2024-11-03T00:00:00"/>
    <x v="0"/>
    <s v="Q4"/>
    <x v="10"/>
    <x v="1"/>
    <x v="3"/>
    <x v="2"/>
    <x v="1"/>
    <x v="1"/>
    <n v="5200"/>
    <n v="13500"/>
    <n v="48"/>
    <n v="0.26700000000000002"/>
    <s v="Rejected"/>
    <x v="5"/>
    <n v="0"/>
    <n v="1"/>
    <n v="0"/>
    <m/>
    <n v="6"/>
    <n v="0"/>
    <n v="1"/>
  </r>
  <r>
    <s v="LA-702030"/>
    <d v="2024-11-03T00:00:00"/>
    <x v="0"/>
    <s v="Q4"/>
    <x v="10"/>
    <x v="1"/>
    <x v="2"/>
    <x v="2"/>
    <x v="0"/>
    <x v="3"/>
    <n v="6550"/>
    <n v="7000"/>
    <n v="36"/>
    <n v="0.22800000000000001"/>
    <s v="Approved"/>
    <x v="1"/>
    <n v="1"/>
    <n v="0"/>
    <n v="7000"/>
    <n v="0.1115"/>
    <n v="2"/>
    <n v="1"/>
    <n v="1"/>
  </r>
  <r>
    <s v="LA-702031"/>
    <d v="2024-11-03T00:00:00"/>
    <x v="0"/>
    <s v="Q4"/>
    <x v="10"/>
    <x v="1"/>
    <x v="2"/>
    <x v="2"/>
    <x v="2"/>
    <x v="4"/>
    <n v="3550"/>
    <n v="24500"/>
    <n v="48"/>
    <n v="0.42799999999999999"/>
    <s v="Rejected"/>
    <x v="4"/>
    <n v="0"/>
    <n v="1"/>
    <n v="0"/>
    <m/>
    <n v="7"/>
    <n v="0"/>
    <n v="1"/>
  </r>
  <r>
    <s v="LA-702032"/>
    <d v="2024-11-03T00:00:00"/>
    <x v="0"/>
    <s v="Q4"/>
    <x v="10"/>
    <x v="1"/>
    <x v="2"/>
    <x v="2"/>
    <x v="0"/>
    <x v="3"/>
    <n v="11000"/>
    <n v="15500"/>
    <n v="60"/>
    <n v="9.1999999999999998E-2"/>
    <s v="Approved"/>
    <x v="1"/>
    <n v="1"/>
    <n v="0"/>
    <n v="14000"/>
    <n v="0.1135"/>
    <n v="3"/>
    <n v="1"/>
    <n v="1"/>
  </r>
  <r>
    <s v="LA-702033"/>
    <d v="2024-11-03T00:00:00"/>
    <x v="0"/>
    <s v="Q4"/>
    <x v="10"/>
    <x v="3"/>
    <x v="3"/>
    <x v="2"/>
    <x v="2"/>
    <x v="1"/>
    <n v="8750"/>
    <n v="186000"/>
    <n v="240"/>
    <n v="0.33700000000000002"/>
    <s v="Approved"/>
    <x v="1"/>
    <n v="1"/>
    <n v="0"/>
    <n v="186000"/>
    <n v="5.8200000000000002E-2"/>
    <n v="24"/>
    <n v="0"/>
    <n v="1"/>
  </r>
  <r>
    <s v="LA-702034"/>
    <d v="2024-11-04T00:00:00"/>
    <x v="0"/>
    <s v="Q4"/>
    <x v="10"/>
    <x v="1"/>
    <x v="3"/>
    <x v="2"/>
    <x v="0"/>
    <x v="0"/>
    <n v="3850"/>
    <n v="10500"/>
    <n v="60"/>
    <n v="0.247"/>
    <s v="Rejected"/>
    <x v="4"/>
    <n v="0"/>
    <n v="1"/>
    <n v="0"/>
    <m/>
    <n v="9"/>
    <n v="0"/>
    <n v="1"/>
  </r>
  <r>
    <s v="LA-702035"/>
    <d v="2024-11-04T00:00:00"/>
    <x v="0"/>
    <s v="Q4"/>
    <x v="10"/>
    <x v="0"/>
    <x v="3"/>
    <x v="4"/>
    <x v="2"/>
    <x v="2"/>
    <n v="3750"/>
    <n v="31000"/>
    <n v="36"/>
    <n v="0.30599999999999999"/>
    <s v="Rejected"/>
    <x v="0"/>
    <n v="0"/>
    <n v="1"/>
    <n v="0"/>
    <m/>
    <n v="4"/>
    <n v="1"/>
    <n v="1"/>
  </r>
  <r>
    <s v="LA-702036"/>
    <d v="2024-11-04T00:00:00"/>
    <x v="0"/>
    <s v="Q4"/>
    <x v="10"/>
    <x v="3"/>
    <x v="0"/>
    <x v="1"/>
    <x v="1"/>
    <x v="2"/>
    <n v="11200"/>
    <n v="373500"/>
    <n v="180"/>
    <n v="0.48199999999999998"/>
    <s v="Rejected"/>
    <x v="4"/>
    <n v="0"/>
    <n v="1"/>
    <n v="0"/>
    <m/>
    <n v="16"/>
    <n v="0"/>
    <n v="1"/>
  </r>
  <r>
    <s v="LA-702037"/>
    <d v="2024-11-04T00:00:00"/>
    <x v="0"/>
    <s v="Q4"/>
    <x v="10"/>
    <x v="3"/>
    <x v="0"/>
    <x v="3"/>
    <x v="1"/>
    <x v="3"/>
    <n v="2650"/>
    <n v="502500"/>
    <n v="240"/>
    <n v="1.4530000000000001"/>
    <s v="Rejected"/>
    <x v="3"/>
    <n v="0"/>
    <n v="1"/>
    <n v="0"/>
    <m/>
    <n v="23"/>
    <n v="0"/>
    <n v="1"/>
  </r>
  <r>
    <s v="LA-702038"/>
    <d v="2024-11-05T00:00:00"/>
    <x v="0"/>
    <s v="Q4"/>
    <x v="10"/>
    <x v="1"/>
    <x v="3"/>
    <x v="0"/>
    <x v="2"/>
    <x v="4"/>
    <n v="8200"/>
    <n v="8500"/>
    <n v="36"/>
    <n v="0.111"/>
    <s v="Approved"/>
    <x v="1"/>
    <n v="1"/>
    <n v="0"/>
    <n v="8500"/>
    <n v="0.1152"/>
    <n v="10"/>
    <n v="0"/>
    <n v="1"/>
  </r>
  <r>
    <s v="LA-702039"/>
    <d v="2024-11-05T00:00:00"/>
    <x v="0"/>
    <s v="Q4"/>
    <x v="10"/>
    <x v="2"/>
    <x v="0"/>
    <x v="1"/>
    <x v="0"/>
    <x v="4"/>
    <n v="2700"/>
    <n v="100500"/>
    <n v="24"/>
    <n v="1.8049999999999999"/>
    <s v="Rejected"/>
    <x v="3"/>
    <n v="0"/>
    <n v="1"/>
    <n v="0"/>
    <m/>
    <n v="36"/>
    <n v="0"/>
    <n v="1"/>
  </r>
  <r>
    <s v="LA-702040"/>
    <d v="2024-11-05T00:00:00"/>
    <x v="0"/>
    <s v="Q4"/>
    <x v="10"/>
    <x v="1"/>
    <x v="2"/>
    <x v="1"/>
    <x v="2"/>
    <x v="2"/>
    <n v="8450"/>
    <n v="14000"/>
    <n v="24"/>
    <n v="0.192"/>
    <s v="Rejected"/>
    <x v="4"/>
    <n v="0"/>
    <n v="1"/>
    <n v="0"/>
    <m/>
    <n v="8"/>
    <n v="0"/>
    <n v="1"/>
  </r>
  <r>
    <s v="LA-702041"/>
    <d v="2024-11-05T00:00:00"/>
    <x v="0"/>
    <s v="Q4"/>
    <x v="10"/>
    <x v="3"/>
    <x v="2"/>
    <x v="0"/>
    <x v="0"/>
    <x v="0"/>
    <n v="8050"/>
    <n v="286000"/>
    <n v="180"/>
    <n v="0.45200000000000001"/>
    <s v="Rejected"/>
    <x v="0"/>
    <n v="0"/>
    <n v="1"/>
    <n v="0"/>
    <m/>
    <n v="9"/>
    <n v="1"/>
    <n v="1"/>
  </r>
  <r>
    <s v="LA-702042"/>
    <d v="2024-11-05T00:00:00"/>
    <x v="0"/>
    <s v="Q4"/>
    <x v="10"/>
    <x v="2"/>
    <x v="2"/>
    <x v="3"/>
    <x v="1"/>
    <x v="0"/>
    <n v="6450"/>
    <n v="66500"/>
    <n v="12"/>
    <n v="1.0429999999999999"/>
    <s v="Rejected"/>
    <x v="0"/>
    <n v="0"/>
    <n v="1"/>
    <n v="0"/>
    <m/>
    <n v="6"/>
    <n v="1"/>
    <n v="1"/>
  </r>
  <r>
    <s v="LA-702043"/>
    <d v="2024-11-05T00:00:00"/>
    <x v="0"/>
    <s v="Q4"/>
    <x v="10"/>
    <x v="1"/>
    <x v="1"/>
    <x v="1"/>
    <x v="0"/>
    <x v="0"/>
    <n v="6100"/>
    <n v="16500"/>
    <n v="60"/>
    <n v="0.121"/>
    <s v="Withdrawn"/>
    <x v="1"/>
    <n v="0"/>
    <n v="0"/>
    <n v="0"/>
    <m/>
    <n v="1"/>
    <n v="1"/>
    <n v="1"/>
  </r>
  <r>
    <s v="LA-702044"/>
    <d v="2024-11-06T00:00:00"/>
    <x v="0"/>
    <s v="Q4"/>
    <x v="10"/>
    <x v="2"/>
    <x v="3"/>
    <x v="1"/>
    <x v="0"/>
    <x v="2"/>
    <n v="4050"/>
    <n v="155000"/>
    <n v="24"/>
    <n v="1.9219999999999999"/>
    <s v="Rejected"/>
    <x v="0"/>
    <n v="0"/>
    <n v="1"/>
    <n v="0"/>
    <m/>
    <n v="6"/>
    <n v="1"/>
    <n v="1"/>
  </r>
  <r>
    <s v="LA-702045"/>
    <d v="2024-11-06T00:00:00"/>
    <x v="0"/>
    <s v="Q4"/>
    <x v="10"/>
    <x v="0"/>
    <x v="2"/>
    <x v="2"/>
    <x v="2"/>
    <x v="3"/>
    <n v="5100"/>
    <n v="75000"/>
    <n v="60"/>
    <n v="0.42499999999999999"/>
    <s v="Rejected"/>
    <x v="2"/>
    <n v="0"/>
    <n v="1"/>
    <n v="0"/>
    <m/>
    <n v="4"/>
    <n v="1"/>
    <n v="1"/>
  </r>
  <r>
    <s v="LA-702046"/>
    <d v="2024-11-06T00:00:00"/>
    <x v="0"/>
    <s v="Q4"/>
    <x v="10"/>
    <x v="1"/>
    <x v="0"/>
    <x v="1"/>
    <x v="1"/>
    <x v="0"/>
    <n v="4000"/>
    <n v="6500"/>
    <n v="36"/>
    <n v="0.254"/>
    <s v="Approved"/>
    <x v="1"/>
    <n v="1"/>
    <n v="0"/>
    <n v="6000"/>
    <n v="0.1399"/>
    <n v="3"/>
    <n v="1"/>
    <n v="1"/>
  </r>
  <r>
    <s v="LA-702047"/>
    <d v="2024-11-06T00:00:00"/>
    <x v="0"/>
    <s v="Q4"/>
    <x v="10"/>
    <x v="1"/>
    <x v="3"/>
    <x v="3"/>
    <x v="0"/>
    <x v="4"/>
    <n v="7400"/>
    <n v="4500"/>
    <n v="48"/>
    <n v="0.14899999999999999"/>
    <s v="Approved"/>
    <x v="1"/>
    <n v="1"/>
    <n v="0"/>
    <n v="3500"/>
    <n v="0.1115"/>
    <n v="7"/>
    <n v="0"/>
    <n v="1"/>
  </r>
  <r>
    <s v="LA-702048"/>
    <d v="2024-11-06T00:00:00"/>
    <x v="0"/>
    <s v="Q4"/>
    <x v="10"/>
    <x v="3"/>
    <x v="3"/>
    <x v="4"/>
    <x v="2"/>
    <x v="3"/>
    <n v="4800"/>
    <n v="248500"/>
    <n v="300"/>
    <n v="0.47299999999999998"/>
    <s v="Approved"/>
    <x v="1"/>
    <n v="1"/>
    <n v="0"/>
    <n v="248500"/>
    <n v="4.3200000000000002E-2"/>
    <n v="22"/>
    <n v="0"/>
    <n v="1"/>
  </r>
  <r>
    <s v="LA-702049"/>
    <d v="2024-11-06T00:00:00"/>
    <x v="0"/>
    <s v="Q4"/>
    <x v="10"/>
    <x v="1"/>
    <x v="1"/>
    <x v="2"/>
    <x v="0"/>
    <x v="1"/>
    <n v="4550"/>
    <n v="8000"/>
    <n v="24"/>
    <n v="0.22900000000000001"/>
    <s v="Approved"/>
    <x v="1"/>
    <n v="1"/>
    <n v="0"/>
    <n v="6500"/>
    <n v="0.1268"/>
    <n v="3"/>
    <n v="1"/>
    <n v="1"/>
  </r>
  <r>
    <s v="LA-702050"/>
    <d v="2024-11-06T00:00:00"/>
    <x v="0"/>
    <s v="Q4"/>
    <x v="10"/>
    <x v="0"/>
    <x v="3"/>
    <x v="2"/>
    <x v="2"/>
    <x v="4"/>
    <n v="5950"/>
    <n v="61000"/>
    <n v="48"/>
    <n v="0.35299999999999998"/>
    <s v="Approved"/>
    <x v="1"/>
    <n v="1"/>
    <n v="0"/>
    <n v="61000"/>
    <n v="7.0999999999999994E-2"/>
    <n v="10"/>
    <n v="0"/>
    <n v="1"/>
  </r>
  <r>
    <s v="LA-702051"/>
    <d v="2024-11-06T00:00:00"/>
    <x v="0"/>
    <s v="Q4"/>
    <x v="10"/>
    <x v="0"/>
    <x v="0"/>
    <x v="2"/>
    <x v="1"/>
    <x v="0"/>
    <n v="10350"/>
    <n v="18500"/>
    <n v="60"/>
    <n v="0.222"/>
    <s v="Rejected"/>
    <x v="0"/>
    <n v="0"/>
    <n v="1"/>
    <n v="0"/>
    <m/>
    <n v="5"/>
    <n v="0"/>
    <n v="1"/>
  </r>
  <r>
    <s v="LA-702052"/>
    <d v="2024-11-06T00:00:00"/>
    <x v="0"/>
    <s v="Q4"/>
    <x v="10"/>
    <x v="1"/>
    <x v="3"/>
    <x v="3"/>
    <x v="1"/>
    <x v="3"/>
    <n v="6250"/>
    <n v="20500"/>
    <n v="48"/>
    <n v="0.32400000000000001"/>
    <s v="Approved"/>
    <x v="1"/>
    <n v="1"/>
    <n v="0"/>
    <n v="16500"/>
    <n v="0.1057"/>
    <n v="3"/>
    <n v="1"/>
    <n v="1"/>
  </r>
  <r>
    <s v="LA-702053"/>
    <d v="2024-11-06T00:00:00"/>
    <x v="0"/>
    <s v="Q4"/>
    <x v="10"/>
    <x v="0"/>
    <x v="1"/>
    <x v="1"/>
    <x v="1"/>
    <x v="0"/>
    <n v="6000"/>
    <n v="18500"/>
    <n v="48"/>
    <n v="0.20899999999999999"/>
    <s v="Rejected"/>
    <x v="5"/>
    <n v="0"/>
    <n v="1"/>
    <n v="0"/>
    <m/>
    <n v="2"/>
    <n v="1"/>
    <n v="1"/>
  </r>
  <r>
    <s v="LA-702054"/>
    <d v="2024-11-07T00:00:00"/>
    <x v="0"/>
    <s v="Q4"/>
    <x v="10"/>
    <x v="1"/>
    <x v="3"/>
    <x v="2"/>
    <x v="1"/>
    <x v="2"/>
    <n v="3700"/>
    <n v="15500"/>
    <n v="12"/>
    <n v="0.59199999999999997"/>
    <s v="Rejected"/>
    <x v="3"/>
    <n v="0"/>
    <n v="1"/>
    <n v="0"/>
    <m/>
    <n v="3"/>
    <n v="1"/>
    <n v="1"/>
  </r>
  <r>
    <s v="LA-702055"/>
    <d v="2024-11-07T00:00:00"/>
    <x v="0"/>
    <s v="Q4"/>
    <x v="10"/>
    <x v="1"/>
    <x v="3"/>
    <x v="2"/>
    <x v="1"/>
    <x v="2"/>
    <n v="4350"/>
    <n v="9500"/>
    <n v="60"/>
    <n v="0.14199999999999999"/>
    <s v="Rejected"/>
    <x v="0"/>
    <n v="0"/>
    <n v="1"/>
    <n v="0"/>
    <m/>
    <n v="6"/>
    <n v="0"/>
    <n v="1"/>
  </r>
  <r>
    <s v="LA-702056"/>
    <d v="2024-11-07T00:00:00"/>
    <x v="0"/>
    <s v="Q4"/>
    <x v="10"/>
    <x v="1"/>
    <x v="3"/>
    <x v="0"/>
    <x v="2"/>
    <x v="3"/>
    <n v="8250"/>
    <n v="13000"/>
    <n v="36"/>
    <n v="0.26800000000000002"/>
    <s v="Approved"/>
    <x v="1"/>
    <n v="1"/>
    <n v="0"/>
    <n v="10500"/>
    <n v="0.1045"/>
    <n v="6"/>
    <n v="0"/>
    <n v="1"/>
  </r>
  <r>
    <s v="LA-702057"/>
    <d v="2024-11-07T00:00:00"/>
    <x v="0"/>
    <s v="Q4"/>
    <x v="10"/>
    <x v="0"/>
    <x v="1"/>
    <x v="4"/>
    <x v="0"/>
    <x v="2"/>
    <n v="5550"/>
    <n v="46500"/>
    <n v="36"/>
    <n v="0.501"/>
    <s v="Withdrawn"/>
    <x v="1"/>
    <n v="0"/>
    <n v="0"/>
    <n v="0"/>
    <m/>
    <n v="2"/>
    <n v="1"/>
    <n v="1"/>
  </r>
  <r>
    <s v="LA-702058"/>
    <d v="2024-11-07T00:00:00"/>
    <x v="0"/>
    <s v="Q4"/>
    <x v="10"/>
    <x v="0"/>
    <x v="3"/>
    <x v="3"/>
    <x v="0"/>
    <x v="2"/>
    <n v="4500"/>
    <n v="21000"/>
    <n v="36"/>
    <n v="0.32"/>
    <s v="Withdrawn"/>
    <x v="1"/>
    <n v="0"/>
    <n v="0"/>
    <n v="0"/>
    <m/>
    <n v="6"/>
    <n v="0"/>
    <n v="1"/>
  </r>
  <r>
    <s v="LA-702059"/>
    <d v="2024-11-07T00:00:00"/>
    <x v="0"/>
    <s v="Q4"/>
    <x v="10"/>
    <x v="0"/>
    <x v="3"/>
    <x v="3"/>
    <x v="2"/>
    <x v="4"/>
    <n v="5200"/>
    <n v="53500"/>
    <n v="36"/>
    <n v="0.38100000000000001"/>
    <s v="Approved"/>
    <x v="1"/>
    <n v="1"/>
    <n v="0"/>
    <n v="53500"/>
    <n v="7.4499999999999997E-2"/>
    <n v="9"/>
    <n v="0"/>
    <n v="1"/>
  </r>
  <r>
    <s v="LA-702060"/>
    <d v="2024-11-08T00:00:00"/>
    <x v="0"/>
    <s v="Q4"/>
    <x v="10"/>
    <x v="1"/>
    <x v="1"/>
    <x v="4"/>
    <x v="0"/>
    <x v="1"/>
    <n v="8250"/>
    <n v="4500"/>
    <n v="12"/>
    <n v="0.19400000000000001"/>
    <s v="Rejected"/>
    <x v="5"/>
    <n v="0"/>
    <n v="1"/>
    <n v="0"/>
    <m/>
    <n v="1"/>
    <n v="1"/>
    <n v="1"/>
  </r>
  <r>
    <s v="LA-702061"/>
    <d v="2024-11-08T00:00:00"/>
    <x v="0"/>
    <s v="Q4"/>
    <x v="10"/>
    <x v="0"/>
    <x v="3"/>
    <x v="4"/>
    <x v="0"/>
    <x v="4"/>
    <n v="9600"/>
    <n v="37000"/>
    <n v="48"/>
    <n v="0.31"/>
    <s v="Approved"/>
    <x v="1"/>
    <n v="1"/>
    <n v="0"/>
    <n v="37000"/>
    <n v="7.3200000000000001E-2"/>
    <n v="6"/>
    <n v="0"/>
    <n v="1"/>
  </r>
  <r>
    <s v="LA-702062"/>
    <d v="2024-11-08T00:00:00"/>
    <x v="0"/>
    <s v="Q4"/>
    <x v="10"/>
    <x v="1"/>
    <x v="0"/>
    <x v="0"/>
    <x v="0"/>
    <x v="4"/>
    <n v="5300"/>
    <n v="21500"/>
    <n v="60"/>
    <n v="0.30199999999999999"/>
    <s v="Approved"/>
    <x v="1"/>
    <n v="1"/>
    <n v="0"/>
    <n v="21500"/>
    <n v="0.1104"/>
    <n v="5"/>
    <n v="0"/>
    <n v="1"/>
  </r>
  <r>
    <s v="LA-702063"/>
    <d v="2024-11-08T00:00:00"/>
    <x v="0"/>
    <s v="Q4"/>
    <x v="10"/>
    <x v="1"/>
    <x v="2"/>
    <x v="2"/>
    <x v="0"/>
    <x v="0"/>
    <n v="5150"/>
    <n v="23000"/>
    <n v="12"/>
    <n v="0.52600000000000002"/>
    <s v="Rejected"/>
    <x v="0"/>
    <n v="0"/>
    <n v="1"/>
    <n v="0"/>
    <m/>
    <n v="2"/>
    <n v="1"/>
    <n v="1"/>
  </r>
  <r>
    <s v="LA-702064"/>
    <d v="2024-11-09T00:00:00"/>
    <x v="0"/>
    <s v="Q4"/>
    <x v="10"/>
    <x v="1"/>
    <x v="0"/>
    <x v="2"/>
    <x v="0"/>
    <x v="4"/>
    <n v="2150"/>
    <n v="13000"/>
    <n v="24"/>
    <n v="0.371"/>
    <s v="Rejected"/>
    <x v="4"/>
    <n v="0"/>
    <n v="1"/>
    <n v="0"/>
    <m/>
    <n v="7"/>
    <n v="0"/>
    <n v="1"/>
  </r>
  <r>
    <s v="LA-702065"/>
    <d v="2024-11-09T00:00:00"/>
    <x v="0"/>
    <s v="Q4"/>
    <x v="10"/>
    <x v="0"/>
    <x v="2"/>
    <x v="1"/>
    <x v="0"/>
    <x v="1"/>
    <n v="4650"/>
    <n v="15500"/>
    <n v="36"/>
    <n v="0.29399999999999998"/>
    <s v="Approved"/>
    <x v="1"/>
    <n v="1"/>
    <n v="0"/>
    <n v="15500"/>
    <n v="8.8300000000000003E-2"/>
    <n v="2"/>
    <n v="1"/>
    <n v="1"/>
  </r>
  <r>
    <s v="LA-702066"/>
    <d v="2024-11-09T00:00:00"/>
    <x v="0"/>
    <s v="Q4"/>
    <x v="10"/>
    <x v="0"/>
    <x v="3"/>
    <x v="1"/>
    <x v="0"/>
    <x v="0"/>
    <n v="3700"/>
    <n v="24000"/>
    <n v="60"/>
    <n v="0.28899999999999998"/>
    <s v="Rejected"/>
    <x v="0"/>
    <n v="0"/>
    <n v="1"/>
    <n v="0"/>
    <m/>
    <n v="9"/>
    <n v="0"/>
    <n v="1"/>
  </r>
  <r>
    <s v="LA-702067"/>
    <d v="2024-11-09T00:00:00"/>
    <x v="0"/>
    <s v="Q4"/>
    <x v="10"/>
    <x v="0"/>
    <x v="3"/>
    <x v="2"/>
    <x v="0"/>
    <x v="2"/>
    <n v="3500"/>
    <n v="22500"/>
    <n v="48"/>
    <n v="0.34899999999999998"/>
    <s v="Rejected"/>
    <x v="0"/>
    <n v="0"/>
    <n v="1"/>
    <n v="0"/>
    <m/>
    <n v="11"/>
    <n v="0"/>
    <n v="1"/>
  </r>
  <r>
    <s v="LA-702068"/>
    <d v="2024-11-09T00:00:00"/>
    <x v="0"/>
    <s v="Q4"/>
    <x v="10"/>
    <x v="0"/>
    <x v="3"/>
    <x v="2"/>
    <x v="0"/>
    <x v="1"/>
    <n v="2650"/>
    <n v="22000"/>
    <n v="48"/>
    <n v="0.39700000000000002"/>
    <s v="Approved"/>
    <x v="1"/>
    <n v="1"/>
    <n v="0"/>
    <n v="20000"/>
    <n v="7.7899999999999997E-2"/>
    <n v="7"/>
    <n v="0"/>
    <n v="1"/>
  </r>
  <r>
    <s v="LA-702069"/>
    <d v="2024-11-10T00:00:00"/>
    <x v="0"/>
    <s v="Q4"/>
    <x v="10"/>
    <x v="1"/>
    <x v="2"/>
    <x v="2"/>
    <x v="2"/>
    <x v="0"/>
    <n v="9850"/>
    <n v="31000"/>
    <n v="12"/>
    <n v="0.49199999999999999"/>
    <s v="Approved"/>
    <x v="1"/>
    <n v="1"/>
    <n v="0"/>
    <n v="28000"/>
    <n v="0.14480000000000001"/>
    <n v="3"/>
    <n v="1"/>
    <n v="1"/>
  </r>
  <r>
    <s v="LA-702070"/>
    <d v="2024-11-10T00:00:00"/>
    <x v="0"/>
    <s v="Q4"/>
    <x v="10"/>
    <x v="0"/>
    <x v="3"/>
    <x v="2"/>
    <x v="1"/>
    <x v="4"/>
    <n v="4900"/>
    <n v="20500"/>
    <n v="48"/>
    <n v="0.19900000000000001"/>
    <s v="Approved"/>
    <x v="1"/>
    <n v="1"/>
    <n v="0"/>
    <n v="20500"/>
    <n v="7.3499999999999996E-2"/>
    <n v="4"/>
    <n v="1"/>
    <n v="1"/>
  </r>
  <r>
    <s v="LA-702071"/>
    <d v="2024-11-10T00:00:00"/>
    <x v="0"/>
    <s v="Q4"/>
    <x v="10"/>
    <x v="2"/>
    <x v="2"/>
    <x v="2"/>
    <x v="1"/>
    <x v="1"/>
    <n v="2100"/>
    <n v="133000"/>
    <n v="24"/>
    <n v="2.9710000000000001"/>
    <s v="Rejected"/>
    <x v="3"/>
    <n v="0"/>
    <n v="1"/>
    <n v="0"/>
    <m/>
    <n v="5"/>
    <n v="1"/>
    <n v="1"/>
  </r>
  <r>
    <s v="LA-702072"/>
    <d v="2024-11-10T00:00:00"/>
    <x v="0"/>
    <s v="Q4"/>
    <x v="10"/>
    <x v="1"/>
    <x v="3"/>
    <x v="1"/>
    <x v="1"/>
    <x v="0"/>
    <n v="6400"/>
    <n v="17500"/>
    <n v="24"/>
    <n v="0.29399999999999998"/>
    <s v="Rejected"/>
    <x v="0"/>
    <n v="0"/>
    <n v="1"/>
    <n v="0"/>
    <m/>
    <n v="4"/>
    <n v="0"/>
    <n v="1"/>
  </r>
  <r>
    <s v="LA-702073"/>
    <d v="2024-11-10T00:00:00"/>
    <x v="0"/>
    <s v="Q4"/>
    <x v="10"/>
    <x v="2"/>
    <x v="3"/>
    <x v="2"/>
    <x v="1"/>
    <x v="4"/>
    <n v="3400"/>
    <n v="60000"/>
    <n v="60"/>
    <n v="0.48799999999999999"/>
    <s v="Approved"/>
    <x v="1"/>
    <n v="1"/>
    <n v="0"/>
    <n v="60000"/>
    <n v="9.5200000000000007E-2"/>
    <n v="11"/>
    <n v="0"/>
    <n v="1"/>
  </r>
  <r>
    <s v="LA-702074"/>
    <d v="2024-11-10T00:00:00"/>
    <x v="0"/>
    <s v="Q4"/>
    <x v="10"/>
    <x v="1"/>
    <x v="0"/>
    <x v="2"/>
    <x v="0"/>
    <x v="4"/>
    <n v="6850"/>
    <n v="11000"/>
    <n v="24"/>
    <n v="0.29499999999999998"/>
    <s v="Rejected"/>
    <x v="5"/>
    <n v="0"/>
    <n v="1"/>
    <n v="0"/>
    <m/>
    <n v="3"/>
    <n v="1"/>
    <n v="1"/>
  </r>
  <r>
    <s v="LA-702075"/>
    <d v="2024-11-11T00:00:00"/>
    <x v="0"/>
    <s v="Q4"/>
    <x v="10"/>
    <x v="0"/>
    <x v="1"/>
    <x v="3"/>
    <x v="0"/>
    <x v="1"/>
    <n v="3550"/>
    <n v="23500"/>
    <n v="36"/>
    <n v="0.44900000000000001"/>
    <s v="Rejected"/>
    <x v="0"/>
    <n v="0"/>
    <n v="1"/>
    <n v="0"/>
    <m/>
    <n v="2"/>
    <n v="1"/>
    <n v="1"/>
  </r>
  <r>
    <s v="LA-702076"/>
    <d v="2024-11-11T00:00:00"/>
    <x v="0"/>
    <s v="Q4"/>
    <x v="10"/>
    <x v="1"/>
    <x v="3"/>
    <x v="0"/>
    <x v="1"/>
    <x v="4"/>
    <n v="5000"/>
    <n v="11500"/>
    <n v="48"/>
    <n v="0.19800000000000001"/>
    <s v="Approved"/>
    <x v="1"/>
    <n v="1"/>
    <n v="0"/>
    <n v="11500"/>
    <n v="0.1166"/>
    <n v="5"/>
    <n v="0"/>
    <n v="1"/>
  </r>
  <r>
    <s v="LA-702077"/>
    <d v="2024-11-11T00:00:00"/>
    <x v="0"/>
    <s v="Q4"/>
    <x v="10"/>
    <x v="2"/>
    <x v="3"/>
    <x v="1"/>
    <x v="2"/>
    <x v="2"/>
    <n v="9050"/>
    <n v="79500"/>
    <n v="24"/>
    <n v="0.63800000000000001"/>
    <s v="Rejected"/>
    <x v="0"/>
    <n v="0"/>
    <n v="1"/>
    <n v="0"/>
    <m/>
    <n v="10"/>
    <n v="1"/>
    <n v="1"/>
  </r>
  <r>
    <s v="LA-702078"/>
    <d v="2024-11-11T00:00:00"/>
    <x v="0"/>
    <s v="Q4"/>
    <x v="10"/>
    <x v="1"/>
    <x v="0"/>
    <x v="3"/>
    <x v="0"/>
    <x v="1"/>
    <n v="2450"/>
    <n v="7000"/>
    <n v="60"/>
    <n v="0.20699999999999999"/>
    <s v="Approved"/>
    <x v="1"/>
    <n v="1"/>
    <n v="0"/>
    <n v="7000"/>
    <n v="0.12640000000000001"/>
    <n v="4"/>
    <n v="0"/>
    <n v="1"/>
  </r>
  <r>
    <s v="LA-702079"/>
    <d v="2024-11-11T00:00:00"/>
    <x v="0"/>
    <s v="Q4"/>
    <x v="10"/>
    <x v="0"/>
    <x v="3"/>
    <x v="3"/>
    <x v="2"/>
    <x v="1"/>
    <n v="2550"/>
    <n v="36000"/>
    <n v="60"/>
    <n v="0.52700000000000002"/>
    <s v="Approved"/>
    <x v="1"/>
    <n v="1"/>
    <n v="0"/>
    <n v="36000"/>
    <n v="8.5099999999999995E-2"/>
    <n v="6"/>
    <n v="0"/>
    <n v="1"/>
  </r>
  <r>
    <s v="LA-702080"/>
    <d v="2024-11-11T00:00:00"/>
    <x v="0"/>
    <s v="Q4"/>
    <x v="10"/>
    <x v="0"/>
    <x v="3"/>
    <x v="4"/>
    <x v="0"/>
    <x v="3"/>
    <n v="5400"/>
    <n v="58500"/>
    <n v="60"/>
    <n v="0.30599999999999999"/>
    <s v="Approved"/>
    <x v="1"/>
    <n v="1"/>
    <n v="0"/>
    <n v="58500"/>
    <n v="6.5600000000000006E-2"/>
    <n v="4"/>
    <n v="1"/>
    <n v="1"/>
  </r>
  <r>
    <s v="LA-702081"/>
    <d v="2024-11-12T00:00:00"/>
    <x v="0"/>
    <s v="Q4"/>
    <x v="10"/>
    <x v="1"/>
    <x v="2"/>
    <x v="0"/>
    <x v="0"/>
    <x v="2"/>
    <n v="7500"/>
    <n v="7500"/>
    <n v="36"/>
    <n v="0.161"/>
    <s v="Approved"/>
    <x v="1"/>
    <n v="1"/>
    <n v="0"/>
    <n v="7500"/>
    <n v="0.1608"/>
    <n v="3"/>
    <n v="1"/>
    <n v="1"/>
  </r>
  <r>
    <s v="LA-702082"/>
    <d v="2024-11-12T00:00:00"/>
    <x v="0"/>
    <s v="Q4"/>
    <x v="10"/>
    <x v="0"/>
    <x v="0"/>
    <x v="2"/>
    <x v="0"/>
    <x v="1"/>
    <n v="5100"/>
    <n v="23000"/>
    <n v="48"/>
    <n v="0.16700000000000001"/>
    <s v="Rejected"/>
    <x v="4"/>
    <n v="0"/>
    <n v="1"/>
    <n v="0"/>
    <m/>
    <n v="7"/>
    <n v="0"/>
    <n v="1"/>
  </r>
  <r>
    <s v="LA-702083"/>
    <d v="2024-11-12T00:00:00"/>
    <x v="0"/>
    <s v="Q4"/>
    <x v="10"/>
    <x v="0"/>
    <x v="0"/>
    <x v="3"/>
    <x v="0"/>
    <x v="4"/>
    <n v="2750"/>
    <n v="21000"/>
    <n v="60"/>
    <n v="0.39100000000000001"/>
    <s v="Approved"/>
    <x v="1"/>
    <n v="1"/>
    <n v="0"/>
    <n v="21000"/>
    <n v="6.9199999999999998E-2"/>
    <n v="3"/>
    <n v="1"/>
    <n v="1"/>
  </r>
  <r>
    <s v="LA-702084"/>
    <d v="2024-11-13T00:00:00"/>
    <x v="0"/>
    <s v="Q4"/>
    <x v="10"/>
    <x v="1"/>
    <x v="3"/>
    <x v="3"/>
    <x v="0"/>
    <x v="1"/>
    <n v="5550"/>
    <n v="21500"/>
    <n v="48"/>
    <n v="0.16300000000000001"/>
    <s v="Rejected"/>
    <x v="5"/>
    <n v="0"/>
    <n v="1"/>
    <n v="0"/>
    <m/>
    <n v="7"/>
    <n v="0"/>
    <n v="1"/>
  </r>
  <r>
    <s v="LA-702085"/>
    <d v="2024-11-13T00:00:00"/>
    <x v="0"/>
    <s v="Q4"/>
    <x v="10"/>
    <x v="1"/>
    <x v="3"/>
    <x v="2"/>
    <x v="0"/>
    <x v="2"/>
    <n v="5100"/>
    <n v="6000"/>
    <n v="24"/>
    <n v="0.25800000000000001"/>
    <s v="Approved"/>
    <x v="1"/>
    <n v="1"/>
    <n v="0"/>
    <n v="6000"/>
    <n v="0.15490000000000001"/>
    <n v="4"/>
    <n v="0"/>
    <n v="1"/>
  </r>
  <r>
    <s v="LA-702086"/>
    <d v="2024-11-13T00:00:00"/>
    <x v="0"/>
    <s v="Q4"/>
    <x v="10"/>
    <x v="0"/>
    <x v="2"/>
    <x v="1"/>
    <x v="2"/>
    <x v="1"/>
    <n v="7400"/>
    <n v="40500"/>
    <n v="36"/>
    <n v="0.39"/>
    <s v="Rejected"/>
    <x v="5"/>
    <n v="0"/>
    <n v="1"/>
    <n v="0"/>
    <m/>
    <n v="5"/>
    <n v="0"/>
    <n v="1"/>
  </r>
  <r>
    <s v="LA-702087"/>
    <d v="2024-11-13T00:00:00"/>
    <x v="0"/>
    <s v="Q4"/>
    <x v="10"/>
    <x v="1"/>
    <x v="3"/>
    <x v="2"/>
    <x v="1"/>
    <x v="1"/>
    <n v="6200"/>
    <n v="9500"/>
    <n v="36"/>
    <n v="0.112"/>
    <s v="Approved"/>
    <x v="1"/>
    <n v="1"/>
    <n v="0"/>
    <n v="9500"/>
    <n v="0.12720000000000001"/>
    <n v="4"/>
    <n v="0"/>
    <n v="1"/>
  </r>
  <r>
    <s v="LA-702088"/>
    <d v="2024-11-14T00:00:00"/>
    <x v="0"/>
    <s v="Q4"/>
    <x v="10"/>
    <x v="0"/>
    <x v="3"/>
    <x v="2"/>
    <x v="1"/>
    <x v="1"/>
    <n v="3650"/>
    <n v="15000"/>
    <n v="36"/>
    <n v="0.28199999999999997"/>
    <s v="Approved"/>
    <x v="1"/>
    <n v="1"/>
    <n v="0"/>
    <n v="15000"/>
    <n v="8.9399999999999993E-2"/>
    <n v="7"/>
    <n v="0"/>
    <n v="1"/>
  </r>
  <r>
    <s v="LA-702089"/>
    <d v="2024-11-14T00:00:00"/>
    <x v="0"/>
    <s v="Q4"/>
    <x v="10"/>
    <x v="3"/>
    <x v="1"/>
    <x v="3"/>
    <x v="0"/>
    <x v="2"/>
    <n v="9450"/>
    <n v="510500"/>
    <n v="180"/>
    <n v="0.499"/>
    <s v="Rejected"/>
    <x v="0"/>
    <n v="0"/>
    <n v="1"/>
    <n v="0"/>
    <m/>
    <n v="10"/>
    <n v="1"/>
    <n v="1"/>
  </r>
  <r>
    <s v="LA-702090"/>
    <d v="2024-11-14T00:00:00"/>
    <x v="0"/>
    <s v="Q4"/>
    <x v="10"/>
    <x v="0"/>
    <x v="1"/>
    <x v="4"/>
    <x v="0"/>
    <x v="0"/>
    <n v="3400"/>
    <n v="34500"/>
    <n v="36"/>
    <n v="0.52700000000000002"/>
    <s v="Rejected"/>
    <x v="0"/>
    <n v="0"/>
    <n v="1"/>
    <n v="0"/>
    <m/>
    <n v="1"/>
    <n v="1"/>
    <n v="1"/>
  </r>
  <r>
    <s v="LA-702091"/>
    <d v="2024-11-14T00:00:00"/>
    <x v="0"/>
    <s v="Q4"/>
    <x v="10"/>
    <x v="0"/>
    <x v="3"/>
    <x v="3"/>
    <x v="0"/>
    <x v="4"/>
    <n v="10600"/>
    <n v="28000"/>
    <n v="48"/>
    <n v="0.28699999999999998"/>
    <s v="Approved"/>
    <x v="1"/>
    <n v="1"/>
    <n v="0"/>
    <n v="28000"/>
    <n v="7.1400000000000005E-2"/>
    <n v="6"/>
    <n v="0"/>
    <n v="1"/>
  </r>
  <r>
    <s v="LA-702092"/>
    <d v="2024-11-14T00:00:00"/>
    <x v="0"/>
    <s v="Q4"/>
    <x v="10"/>
    <x v="3"/>
    <x v="1"/>
    <x v="3"/>
    <x v="1"/>
    <x v="3"/>
    <n v="3400"/>
    <n v="547500"/>
    <n v="300"/>
    <n v="1.0609999999999999"/>
    <s v="Approved"/>
    <x v="1"/>
    <n v="1"/>
    <n v="0"/>
    <n v="438000"/>
    <n v="4.3499999999999997E-2"/>
    <n v="4"/>
    <n v="1"/>
    <n v="1"/>
  </r>
  <r>
    <s v="LA-702093"/>
    <d v="2024-11-14T00:00:00"/>
    <x v="0"/>
    <s v="Q4"/>
    <x v="10"/>
    <x v="1"/>
    <x v="0"/>
    <x v="0"/>
    <x v="2"/>
    <x v="1"/>
    <n v="7450"/>
    <n v="28500"/>
    <n v="36"/>
    <n v="0.35799999999999998"/>
    <s v="Approved"/>
    <x v="1"/>
    <n v="1"/>
    <n v="0"/>
    <n v="28500"/>
    <n v="0.12659999999999999"/>
    <n v="5"/>
    <n v="0"/>
    <n v="1"/>
  </r>
  <r>
    <s v="LA-702094"/>
    <d v="2024-11-14T00:00:00"/>
    <x v="0"/>
    <s v="Q4"/>
    <x v="10"/>
    <x v="3"/>
    <x v="1"/>
    <x v="4"/>
    <x v="0"/>
    <x v="0"/>
    <n v="10250"/>
    <n v="518500"/>
    <n v="300"/>
    <n v="0.40400000000000003"/>
    <s v="Approved"/>
    <x v="1"/>
    <n v="1"/>
    <n v="0"/>
    <n v="415000"/>
    <n v="7.5600000000000001E-2"/>
    <n v="8"/>
    <n v="1"/>
    <n v="1"/>
  </r>
  <r>
    <s v="LA-702095"/>
    <d v="2024-11-14T00:00:00"/>
    <x v="0"/>
    <s v="Q4"/>
    <x v="10"/>
    <x v="1"/>
    <x v="1"/>
    <x v="1"/>
    <x v="2"/>
    <x v="4"/>
    <n v="9750"/>
    <n v="13500"/>
    <n v="24"/>
    <n v="0.246"/>
    <s v="Rejected"/>
    <x v="4"/>
    <n v="0"/>
    <n v="1"/>
    <n v="0"/>
    <m/>
    <n v="6"/>
    <n v="0"/>
    <n v="1"/>
  </r>
  <r>
    <s v="LA-702096"/>
    <d v="2024-11-15T00:00:00"/>
    <x v="0"/>
    <s v="Q4"/>
    <x v="10"/>
    <x v="1"/>
    <x v="2"/>
    <x v="0"/>
    <x v="0"/>
    <x v="1"/>
    <n v="2850"/>
    <n v="28000"/>
    <n v="24"/>
    <n v="0.52600000000000002"/>
    <s v="Approved"/>
    <x v="1"/>
    <n v="1"/>
    <n v="0"/>
    <n v="28000"/>
    <n v="0.12909999999999999"/>
    <n v="2"/>
    <n v="1"/>
    <n v="1"/>
  </r>
  <r>
    <s v="LA-702097"/>
    <d v="2024-11-15T00:00:00"/>
    <x v="0"/>
    <s v="Q4"/>
    <x v="10"/>
    <x v="1"/>
    <x v="2"/>
    <x v="3"/>
    <x v="0"/>
    <x v="1"/>
    <n v="4500"/>
    <n v="11000"/>
    <n v="24"/>
    <n v="0.26600000000000001"/>
    <s v="Rejected"/>
    <x v="5"/>
    <n v="0"/>
    <n v="1"/>
    <n v="0"/>
    <m/>
    <n v="2"/>
    <n v="1"/>
    <n v="1"/>
  </r>
  <r>
    <s v="LA-702098"/>
    <d v="2024-11-15T00:00:00"/>
    <x v="0"/>
    <s v="Q4"/>
    <x v="10"/>
    <x v="0"/>
    <x v="3"/>
    <x v="0"/>
    <x v="2"/>
    <x v="4"/>
    <n v="3900"/>
    <n v="38000"/>
    <n v="48"/>
    <n v="0.36399999999999999"/>
    <s v="Approved"/>
    <x v="1"/>
    <n v="1"/>
    <n v="0"/>
    <n v="38000"/>
    <n v="6.5699999999999995E-2"/>
    <n v="3"/>
    <n v="1"/>
    <n v="1"/>
  </r>
  <r>
    <s v="LA-702099"/>
    <d v="2024-11-15T00:00:00"/>
    <x v="0"/>
    <s v="Q4"/>
    <x v="10"/>
    <x v="1"/>
    <x v="1"/>
    <x v="4"/>
    <x v="1"/>
    <x v="3"/>
    <n v="8750"/>
    <n v="35500"/>
    <n v="48"/>
    <n v="0.17899999999999999"/>
    <s v="Approved"/>
    <x v="1"/>
    <n v="1"/>
    <n v="0"/>
    <n v="35500"/>
    <n v="0.10829999999999999"/>
    <n v="2"/>
    <n v="1"/>
    <n v="1"/>
  </r>
  <r>
    <s v="LA-702100"/>
    <d v="2024-11-15T00:00:00"/>
    <x v="0"/>
    <s v="Q4"/>
    <x v="10"/>
    <x v="3"/>
    <x v="2"/>
    <x v="3"/>
    <x v="0"/>
    <x v="3"/>
    <n v="8300"/>
    <n v="600500"/>
    <n v="300"/>
    <n v="0.52700000000000002"/>
    <s v="Approved"/>
    <x v="1"/>
    <n v="1"/>
    <n v="0"/>
    <n v="600500"/>
    <n v="4.2200000000000001E-2"/>
    <n v="7"/>
    <n v="1"/>
    <n v="1"/>
  </r>
  <r>
    <s v="LA-702101"/>
    <d v="2024-11-15T00:00:00"/>
    <x v="0"/>
    <s v="Q4"/>
    <x v="10"/>
    <x v="3"/>
    <x v="3"/>
    <x v="1"/>
    <x v="1"/>
    <x v="1"/>
    <n v="5300"/>
    <n v="255500"/>
    <n v="300"/>
    <n v="0.48899999999999999"/>
    <s v="Rejected"/>
    <x v="3"/>
    <n v="0"/>
    <n v="1"/>
    <n v="0"/>
    <m/>
    <n v="19"/>
    <n v="0"/>
    <n v="1"/>
  </r>
  <r>
    <s v="LA-702102"/>
    <d v="2024-11-16T00:00:00"/>
    <x v="0"/>
    <s v="Q4"/>
    <x v="10"/>
    <x v="1"/>
    <x v="1"/>
    <x v="4"/>
    <x v="0"/>
    <x v="1"/>
    <n v="4750"/>
    <n v="10000"/>
    <n v="24"/>
    <n v="0.29699999999999999"/>
    <s v="Approved"/>
    <x v="1"/>
    <n v="1"/>
    <n v="0"/>
    <n v="8000"/>
    <n v="0.12379999999999999"/>
    <n v="2"/>
    <n v="1"/>
    <n v="1"/>
  </r>
  <r>
    <s v="LA-702103"/>
    <d v="2024-11-16T00:00:00"/>
    <x v="0"/>
    <s v="Q4"/>
    <x v="10"/>
    <x v="1"/>
    <x v="3"/>
    <x v="0"/>
    <x v="2"/>
    <x v="4"/>
    <n v="9050"/>
    <n v="16000"/>
    <n v="60"/>
    <n v="0.125"/>
    <s v="Rejected"/>
    <x v="5"/>
    <n v="0"/>
    <n v="1"/>
    <n v="0"/>
    <m/>
    <n v="6"/>
    <n v="0"/>
    <n v="1"/>
  </r>
  <r>
    <s v="LA-702104"/>
    <d v="2024-11-16T00:00:00"/>
    <x v="0"/>
    <s v="Q4"/>
    <x v="10"/>
    <x v="3"/>
    <x v="3"/>
    <x v="1"/>
    <x v="0"/>
    <x v="0"/>
    <n v="10100"/>
    <n v="301000"/>
    <n v="240"/>
    <n v="0.39700000000000002"/>
    <s v="Rejected"/>
    <x v="0"/>
    <n v="0"/>
    <n v="1"/>
    <n v="0"/>
    <m/>
    <n v="23"/>
    <n v="0"/>
    <n v="1"/>
  </r>
  <r>
    <s v="LA-702105"/>
    <d v="2024-11-16T00:00:00"/>
    <x v="0"/>
    <s v="Q4"/>
    <x v="10"/>
    <x v="1"/>
    <x v="3"/>
    <x v="2"/>
    <x v="0"/>
    <x v="1"/>
    <n v="10400"/>
    <n v="7500"/>
    <n v="48"/>
    <n v="0.21099999999999999"/>
    <s v="Approved"/>
    <x v="1"/>
    <n v="1"/>
    <n v="0"/>
    <n v="7000"/>
    <n v="0.12609999999999999"/>
    <n v="3"/>
    <n v="1"/>
    <n v="1"/>
  </r>
  <r>
    <s v="LA-702106"/>
    <d v="2024-11-16T00:00:00"/>
    <x v="0"/>
    <s v="Q4"/>
    <x v="10"/>
    <x v="1"/>
    <x v="3"/>
    <x v="2"/>
    <x v="0"/>
    <x v="3"/>
    <n v="7700"/>
    <n v="15500"/>
    <n v="60"/>
    <n v="0.14299999999999999"/>
    <s v="Approved"/>
    <x v="1"/>
    <n v="1"/>
    <n v="0"/>
    <n v="15500"/>
    <n v="0.1066"/>
    <n v="4"/>
    <n v="0"/>
    <n v="1"/>
  </r>
  <r>
    <s v="LA-702107"/>
    <d v="2024-11-18T00:00:00"/>
    <x v="0"/>
    <s v="Q4"/>
    <x v="10"/>
    <x v="0"/>
    <x v="0"/>
    <x v="2"/>
    <x v="2"/>
    <x v="0"/>
    <n v="3800"/>
    <n v="23000"/>
    <n v="36"/>
    <n v="0.41399999999999998"/>
    <s v="Rejected"/>
    <x v="0"/>
    <n v="0"/>
    <n v="1"/>
    <n v="0"/>
    <m/>
    <n v="4"/>
    <n v="1"/>
    <n v="1"/>
  </r>
  <r>
    <s v="LA-702108"/>
    <d v="2024-11-18T00:00:00"/>
    <x v="0"/>
    <s v="Q4"/>
    <x v="10"/>
    <x v="0"/>
    <x v="3"/>
    <x v="1"/>
    <x v="2"/>
    <x v="4"/>
    <n v="5200"/>
    <n v="54000"/>
    <n v="60"/>
    <n v="0.35199999999999998"/>
    <s v="Approved"/>
    <x v="1"/>
    <n v="1"/>
    <n v="0"/>
    <n v="48500"/>
    <n v="7.0400000000000004E-2"/>
    <n v="7"/>
    <n v="0"/>
    <n v="1"/>
  </r>
  <r>
    <s v="LA-702109"/>
    <d v="2024-11-18T00:00:00"/>
    <x v="0"/>
    <s v="Q4"/>
    <x v="10"/>
    <x v="1"/>
    <x v="3"/>
    <x v="2"/>
    <x v="1"/>
    <x v="3"/>
    <n v="9600"/>
    <n v="6500"/>
    <n v="12"/>
    <n v="0.25900000000000001"/>
    <s v="Approved"/>
    <x v="1"/>
    <n v="1"/>
    <n v="0"/>
    <n v="6500"/>
    <n v="0.106"/>
    <n v="4"/>
    <n v="0"/>
    <n v="1"/>
  </r>
  <r>
    <s v="LA-702110"/>
    <d v="2024-11-18T00:00:00"/>
    <x v="0"/>
    <s v="Q4"/>
    <x v="10"/>
    <x v="1"/>
    <x v="3"/>
    <x v="2"/>
    <x v="1"/>
    <x v="4"/>
    <n v="5100"/>
    <n v="19500"/>
    <n v="24"/>
    <n v="0.34499999999999997"/>
    <s v="Approved"/>
    <x v="1"/>
    <n v="1"/>
    <n v="0"/>
    <n v="19500"/>
    <n v="0.1086"/>
    <n v="5"/>
    <n v="0"/>
    <n v="1"/>
  </r>
  <r>
    <s v="LA-702111"/>
    <d v="2024-11-18T00:00:00"/>
    <x v="0"/>
    <s v="Q4"/>
    <x v="10"/>
    <x v="1"/>
    <x v="1"/>
    <x v="2"/>
    <x v="2"/>
    <x v="1"/>
    <n v="8900"/>
    <n v="11000"/>
    <n v="36"/>
    <n v="0.28299999999999997"/>
    <s v="Approved"/>
    <x v="1"/>
    <n v="1"/>
    <n v="0"/>
    <n v="10000"/>
    <n v="0.1235"/>
    <n v="2"/>
    <n v="1"/>
    <n v="1"/>
  </r>
  <r>
    <s v="LA-702112"/>
    <d v="2024-11-18T00:00:00"/>
    <x v="0"/>
    <s v="Q4"/>
    <x v="10"/>
    <x v="1"/>
    <x v="1"/>
    <x v="4"/>
    <x v="0"/>
    <x v="4"/>
    <n v="3450"/>
    <n v="6000"/>
    <n v="24"/>
    <n v="0.23499999999999999"/>
    <s v="Approved"/>
    <x v="1"/>
    <n v="1"/>
    <n v="0"/>
    <n v="6000"/>
    <n v="0.113"/>
    <n v="3"/>
    <n v="1"/>
    <n v="1"/>
  </r>
  <r>
    <s v="LA-702113"/>
    <d v="2024-11-18T00:00:00"/>
    <x v="0"/>
    <s v="Q4"/>
    <x v="10"/>
    <x v="1"/>
    <x v="2"/>
    <x v="2"/>
    <x v="2"/>
    <x v="2"/>
    <n v="6200"/>
    <n v="8000"/>
    <n v="36"/>
    <n v="0.185"/>
    <s v="Rejected"/>
    <x v="0"/>
    <n v="0"/>
    <n v="1"/>
    <n v="0"/>
    <m/>
    <n v="2"/>
    <n v="1"/>
    <n v="1"/>
  </r>
  <r>
    <s v="LA-702114"/>
    <d v="2024-11-18T00:00:00"/>
    <x v="0"/>
    <s v="Q4"/>
    <x v="10"/>
    <x v="2"/>
    <x v="3"/>
    <x v="2"/>
    <x v="1"/>
    <x v="0"/>
    <n v="4800"/>
    <n v="42000"/>
    <n v="12"/>
    <n v="0.92600000000000005"/>
    <s v="Rejected"/>
    <x v="0"/>
    <n v="0"/>
    <n v="1"/>
    <n v="0"/>
    <m/>
    <n v="14"/>
    <n v="0"/>
    <n v="1"/>
  </r>
  <r>
    <s v="LA-702115"/>
    <d v="2024-11-18T00:00:00"/>
    <x v="0"/>
    <s v="Q4"/>
    <x v="10"/>
    <x v="1"/>
    <x v="1"/>
    <x v="3"/>
    <x v="0"/>
    <x v="2"/>
    <n v="7400"/>
    <n v="13000"/>
    <n v="12"/>
    <n v="0.36399999999999999"/>
    <s v="Rejected"/>
    <x v="5"/>
    <n v="0"/>
    <n v="1"/>
    <n v="0"/>
    <m/>
    <n v="1"/>
    <n v="1"/>
    <n v="1"/>
  </r>
  <r>
    <s v="LA-702116"/>
    <d v="2024-11-19T00:00:00"/>
    <x v="0"/>
    <s v="Q4"/>
    <x v="10"/>
    <x v="0"/>
    <x v="2"/>
    <x v="2"/>
    <x v="0"/>
    <x v="0"/>
    <n v="5500"/>
    <n v="25500"/>
    <n v="36"/>
    <n v="0.21099999999999999"/>
    <s v="Rejected"/>
    <x v="0"/>
    <n v="0"/>
    <n v="1"/>
    <n v="0"/>
    <m/>
    <n v="3"/>
    <n v="1"/>
    <n v="1"/>
  </r>
  <r>
    <s v="LA-702117"/>
    <d v="2024-11-19T00:00:00"/>
    <x v="0"/>
    <s v="Q4"/>
    <x v="10"/>
    <x v="1"/>
    <x v="1"/>
    <x v="3"/>
    <x v="1"/>
    <x v="3"/>
    <n v="6500"/>
    <n v="23000"/>
    <n v="36"/>
    <n v="0.20799999999999999"/>
    <s v="Approved"/>
    <x v="1"/>
    <n v="1"/>
    <n v="0"/>
    <n v="23000"/>
    <n v="0.10680000000000001"/>
    <n v="1"/>
    <n v="1"/>
    <n v="1"/>
  </r>
  <r>
    <s v="LA-702118"/>
    <d v="2024-11-19T00:00:00"/>
    <x v="0"/>
    <s v="Q4"/>
    <x v="10"/>
    <x v="1"/>
    <x v="2"/>
    <x v="2"/>
    <x v="0"/>
    <x v="4"/>
    <n v="3650"/>
    <n v="19000"/>
    <n v="48"/>
    <n v="0.23699999999999999"/>
    <s v="Approved"/>
    <x v="1"/>
    <n v="1"/>
    <n v="0"/>
    <n v="19000"/>
    <n v="0.1144"/>
    <n v="3"/>
    <n v="1"/>
    <n v="1"/>
  </r>
  <r>
    <s v="LA-702119"/>
    <d v="2024-11-20T00:00:00"/>
    <x v="0"/>
    <s v="Q4"/>
    <x v="10"/>
    <x v="1"/>
    <x v="2"/>
    <x v="2"/>
    <x v="2"/>
    <x v="4"/>
    <n v="7100"/>
    <n v="10000"/>
    <n v="48"/>
    <n v="0.17"/>
    <s v="Rejected"/>
    <x v="4"/>
    <n v="0"/>
    <n v="1"/>
    <n v="0"/>
    <m/>
    <n v="7"/>
    <n v="0"/>
    <n v="1"/>
  </r>
  <r>
    <s v="LA-702120"/>
    <d v="2024-11-20T00:00:00"/>
    <x v="0"/>
    <s v="Q4"/>
    <x v="10"/>
    <x v="0"/>
    <x v="2"/>
    <x v="2"/>
    <x v="0"/>
    <x v="0"/>
    <n v="5550"/>
    <n v="25500"/>
    <n v="36"/>
    <n v="0.36299999999999999"/>
    <s v="Approved"/>
    <x v="1"/>
    <n v="1"/>
    <n v="0"/>
    <n v="20500"/>
    <n v="9.6000000000000002E-2"/>
    <n v="4"/>
    <n v="1"/>
    <n v="1"/>
  </r>
  <r>
    <s v="LA-702121"/>
    <d v="2024-11-20T00:00:00"/>
    <x v="0"/>
    <s v="Q4"/>
    <x v="10"/>
    <x v="2"/>
    <x v="1"/>
    <x v="3"/>
    <x v="2"/>
    <x v="3"/>
    <n v="4900"/>
    <n v="179000"/>
    <n v="60"/>
    <n v="0.99099999999999999"/>
    <s v="Rejected"/>
    <x v="3"/>
    <n v="0"/>
    <n v="1"/>
    <n v="0"/>
    <m/>
    <n v="5"/>
    <n v="1"/>
    <n v="1"/>
  </r>
  <r>
    <s v="LA-702122"/>
    <d v="2024-11-20T00:00:00"/>
    <x v="0"/>
    <s v="Q4"/>
    <x v="10"/>
    <x v="1"/>
    <x v="0"/>
    <x v="3"/>
    <x v="2"/>
    <x v="1"/>
    <n v="3700"/>
    <n v="20000"/>
    <n v="24"/>
    <n v="0.36499999999999999"/>
    <s v="Approved"/>
    <x v="1"/>
    <n v="1"/>
    <n v="0"/>
    <n v="20000"/>
    <n v="0.1263"/>
    <n v="5"/>
    <n v="0"/>
    <n v="1"/>
  </r>
  <r>
    <s v="LA-702123"/>
    <d v="2024-11-20T00:00:00"/>
    <x v="0"/>
    <s v="Q4"/>
    <x v="10"/>
    <x v="0"/>
    <x v="1"/>
    <x v="3"/>
    <x v="0"/>
    <x v="1"/>
    <n v="2550"/>
    <n v="30500"/>
    <n v="48"/>
    <n v="0.435"/>
    <s v="Approved"/>
    <x v="1"/>
    <n v="1"/>
    <n v="0"/>
    <n v="30500"/>
    <n v="8.4599999999999995E-2"/>
    <n v="3"/>
    <n v="1"/>
    <n v="1"/>
  </r>
  <r>
    <s v="LA-702124"/>
    <d v="2024-11-20T00:00:00"/>
    <x v="0"/>
    <s v="Q4"/>
    <x v="10"/>
    <x v="2"/>
    <x v="3"/>
    <x v="1"/>
    <x v="1"/>
    <x v="4"/>
    <n v="4050"/>
    <n v="153000"/>
    <n v="60"/>
    <n v="0.999"/>
    <s v="Rejected"/>
    <x v="3"/>
    <n v="0"/>
    <n v="1"/>
    <n v="0"/>
    <m/>
    <n v="11"/>
    <n v="0"/>
    <n v="1"/>
  </r>
  <r>
    <s v="LA-702125"/>
    <d v="2024-11-20T00:00:00"/>
    <x v="0"/>
    <s v="Q4"/>
    <x v="10"/>
    <x v="0"/>
    <x v="3"/>
    <x v="3"/>
    <x v="2"/>
    <x v="4"/>
    <n v="4750"/>
    <n v="30500"/>
    <n v="60"/>
    <n v="0.19400000000000001"/>
    <s v="Approved"/>
    <x v="1"/>
    <n v="1"/>
    <n v="0"/>
    <n v="30500"/>
    <n v="6.9599999999999995E-2"/>
    <n v="8"/>
    <n v="0"/>
    <n v="1"/>
  </r>
  <r>
    <s v="LA-702126"/>
    <d v="2024-11-20T00:00:00"/>
    <x v="0"/>
    <s v="Q4"/>
    <x v="10"/>
    <x v="1"/>
    <x v="2"/>
    <x v="1"/>
    <x v="0"/>
    <x v="2"/>
    <n v="10450"/>
    <n v="8500"/>
    <n v="60"/>
    <n v="7.1999999999999995E-2"/>
    <s v="Rejected"/>
    <x v="0"/>
    <n v="0"/>
    <n v="1"/>
    <n v="0"/>
    <m/>
    <n v="2"/>
    <n v="1"/>
    <n v="1"/>
  </r>
  <r>
    <s v="LA-702127"/>
    <d v="2024-11-20T00:00:00"/>
    <x v="0"/>
    <s v="Q4"/>
    <x v="10"/>
    <x v="1"/>
    <x v="3"/>
    <x v="2"/>
    <x v="0"/>
    <x v="0"/>
    <n v="4650"/>
    <n v="14500"/>
    <n v="48"/>
    <n v="0.25800000000000001"/>
    <s v="Approved"/>
    <x v="1"/>
    <n v="1"/>
    <n v="0"/>
    <n v="14500"/>
    <n v="0.13739999999999999"/>
    <n v="6"/>
    <n v="0"/>
    <n v="1"/>
  </r>
  <r>
    <s v="LA-702128"/>
    <d v="2024-11-20T00:00:00"/>
    <x v="0"/>
    <s v="Q4"/>
    <x v="10"/>
    <x v="0"/>
    <x v="3"/>
    <x v="3"/>
    <x v="1"/>
    <x v="4"/>
    <n v="3450"/>
    <n v="42500"/>
    <n v="48"/>
    <n v="0.35699999999999998"/>
    <s v="Approved"/>
    <x v="1"/>
    <n v="1"/>
    <n v="0"/>
    <n v="42500"/>
    <n v="7.3300000000000004E-2"/>
    <n v="4"/>
    <n v="1"/>
    <n v="1"/>
  </r>
  <r>
    <s v="LA-702129"/>
    <d v="2024-11-20T00:00:00"/>
    <x v="0"/>
    <s v="Q4"/>
    <x v="10"/>
    <x v="2"/>
    <x v="0"/>
    <x v="2"/>
    <x v="0"/>
    <x v="0"/>
    <n v="5250"/>
    <n v="98000"/>
    <n v="24"/>
    <n v="0.94499999999999995"/>
    <s v="Withdrawn"/>
    <x v="1"/>
    <n v="0"/>
    <n v="0"/>
    <n v="0"/>
    <m/>
    <n v="11"/>
    <n v="0"/>
    <n v="1"/>
  </r>
  <r>
    <s v="LA-702130"/>
    <d v="2024-11-20T00:00:00"/>
    <x v="0"/>
    <s v="Q4"/>
    <x v="10"/>
    <x v="2"/>
    <x v="1"/>
    <x v="1"/>
    <x v="1"/>
    <x v="1"/>
    <n v="3000"/>
    <n v="34000"/>
    <n v="24"/>
    <n v="0.68799999999999994"/>
    <s v="Rejected"/>
    <x v="3"/>
    <n v="0"/>
    <n v="1"/>
    <n v="0"/>
    <m/>
    <n v="5"/>
    <n v="1"/>
    <n v="1"/>
  </r>
  <r>
    <s v="LA-702131"/>
    <d v="2024-11-21T00:00:00"/>
    <x v="0"/>
    <s v="Q4"/>
    <x v="10"/>
    <x v="1"/>
    <x v="1"/>
    <x v="4"/>
    <x v="1"/>
    <x v="3"/>
    <n v="5800"/>
    <n v="7000"/>
    <n v="24"/>
    <n v="0.254"/>
    <s v="Approved"/>
    <x v="1"/>
    <n v="1"/>
    <n v="0"/>
    <n v="7000"/>
    <n v="0.11"/>
    <n v="1"/>
    <n v="1"/>
    <n v="1"/>
  </r>
  <r>
    <s v="LA-702132"/>
    <d v="2024-11-21T00:00:00"/>
    <x v="0"/>
    <s v="Q4"/>
    <x v="10"/>
    <x v="0"/>
    <x v="3"/>
    <x v="2"/>
    <x v="1"/>
    <x v="0"/>
    <n v="4250"/>
    <n v="24000"/>
    <n v="60"/>
    <n v="0.186"/>
    <s v="Approved"/>
    <x v="1"/>
    <n v="1"/>
    <n v="0"/>
    <n v="24000"/>
    <n v="9.1200000000000003E-2"/>
    <n v="6"/>
    <n v="0"/>
    <n v="1"/>
  </r>
  <r>
    <s v="LA-702133"/>
    <d v="2024-11-21T00:00:00"/>
    <x v="0"/>
    <s v="Q4"/>
    <x v="10"/>
    <x v="1"/>
    <x v="3"/>
    <x v="3"/>
    <x v="0"/>
    <x v="0"/>
    <n v="6250"/>
    <n v="11000"/>
    <n v="12"/>
    <n v="0.32700000000000001"/>
    <s v="Rejected"/>
    <x v="0"/>
    <n v="0"/>
    <n v="1"/>
    <n v="0"/>
    <m/>
    <n v="4"/>
    <n v="0"/>
    <n v="1"/>
  </r>
  <r>
    <s v="LA-702134"/>
    <d v="2024-11-21T00:00:00"/>
    <x v="0"/>
    <s v="Q4"/>
    <x v="10"/>
    <x v="1"/>
    <x v="3"/>
    <x v="2"/>
    <x v="0"/>
    <x v="4"/>
    <n v="5050"/>
    <n v="21000"/>
    <n v="60"/>
    <n v="0.187"/>
    <s v="Approved"/>
    <x v="1"/>
    <n v="1"/>
    <n v="0"/>
    <n v="17000"/>
    <n v="0.1132"/>
    <n v="5"/>
    <n v="0"/>
    <n v="1"/>
  </r>
  <r>
    <s v="LA-702135"/>
    <d v="2024-11-21T00:00:00"/>
    <x v="0"/>
    <s v="Q4"/>
    <x v="10"/>
    <x v="0"/>
    <x v="3"/>
    <x v="1"/>
    <x v="1"/>
    <x v="4"/>
    <n v="6000"/>
    <n v="35500"/>
    <n v="36"/>
    <n v="0.34699999999999998"/>
    <s v="Approved"/>
    <x v="1"/>
    <n v="1"/>
    <n v="0"/>
    <n v="35500"/>
    <n v="6.83E-2"/>
    <n v="4"/>
    <n v="1"/>
    <n v="1"/>
  </r>
  <r>
    <s v="LA-702136"/>
    <d v="2024-11-22T00:00:00"/>
    <x v="0"/>
    <s v="Q4"/>
    <x v="10"/>
    <x v="1"/>
    <x v="3"/>
    <x v="3"/>
    <x v="1"/>
    <x v="2"/>
    <n v="8800"/>
    <n v="7500"/>
    <n v="36"/>
    <n v="0.24"/>
    <s v="Rejected"/>
    <x v="0"/>
    <n v="0"/>
    <n v="1"/>
    <n v="0"/>
    <m/>
    <n v="6"/>
    <n v="0"/>
    <n v="1"/>
  </r>
  <r>
    <s v="LA-702137"/>
    <d v="2024-11-22T00:00:00"/>
    <x v="0"/>
    <s v="Q4"/>
    <x v="10"/>
    <x v="0"/>
    <x v="3"/>
    <x v="2"/>
    <x v="1"/>
    <x v="1"/>
    <n v="4700"/>
    <n v="27000"/>
    <n v="60"/>
    <n v="0.20200000000000001"/>
    <s v="Approved"/>
    <x v="1"/>
    <n v="1"/>
    <n v="0"/>
    <n v="21500"/>
    <n v="8.14E-2"/>
    <n v="4"/>
    <n v="1"/>
    <n v="1"/>
  </r>
  <r>
    <s v="LA-702138"/>
    <d v="2024-11-22T00:00:00"/>
    <x v="0"/>
    <s v="Q4"/>
    <x v="10"/>
    <x v="1"/>
    <x v="0"/>
    <x v="2"/>
    <x v="0"/>
    <x v="4"/>
    <n v="4100"/>
    <n v="7500"/>
    <n v="60"/>
    <n v="0.17899999999999999"/>
    <s v="Rejected"/>
    <x v="5"/>
    <n v="0"/>
    <n v="1"/>
    <n v="0"/>
    <m/>
    <n v="3"/>
    <n v="1"/>
    <n v="1"/>
  </r>
  <r>
    <s v="LA-702139"/>
    <d v="2024-11-22T00:00:00"/>
    <x v="0"/>
    <s v="Q4"/>
    <x v="10"/>
    <x v="3"/>
    <x v="3"/>
    <x v="4"/>
    <x v="1"/>
    <x v="1"/>
    <n v="5600"/>
    <n v="194500"/>
    <n v="240"/>
    <n v="0.39300000000000002"/>
    <s v="Approved"/>
    <x v="1"/>
    <n v="1"/>
    <n v="0"/>
    <n v="175000"/>
    <n v="5.9700000000000003E-2"/>
    <n v="13"/>
    <n v="1"/>
    <n v="1"/>
  </r>
  <r>
    <s v="LA-702140"/>
    <d v="2024-11-22T00:00:00"/>
    <x v="0"/>
    <s v="Q4"/>
    <x v="10"/>
    <x v="0"/>
    <x v="3"/>
    <x v="0"/>
    <x v="1"/>
    <x v="1"/>
    <n v="2500"/>
    <n v="27500"/>
    <n v="36"/>
    <n v="0.56100000000000005"/>
    <s v="Rejected"/>
    <x v="3"/>
    <n v="0"/>
    <n v="1"/>
    <n v="0"/>
    <m/>
    <n v="9"/>
    <n v="0"/>
    <n v="1"/>
  </r>
  <r>
    <s v="LA-702141"/>
    <d v="2024-11-22T00:00:00"/>
    <x v="0"/>
    <s v="Q4"/>
    <x v="10"/>
    <x v="2"/>
    <x v="1"/>
    <x v="3"/>
    <x v="0"/>
    <x v="0"/>
    <n v="5050"/>
    <n v="53000"/>
    <n v="12"/>
    <n v="1.0229999999999999"/>
    <s v="Rejected"/>
    <x v="3"/>
    <n v="0"/>
    <n v="1"/>
    <n v="0"/>
    <m/>
    <n v="6"/>
    <n v="1"/>
    <n v="1"/>
  </r>
  <r>
    <s v="LA-702142"/>
    <d v="2024-11-23T00:00:00"/>
    <x v="0"/>
    <s v="Q4"/>
    <x v="10"/>
    <x v="1"/>
    <x v="0"/>
    <x v="1"/>
    <x v="0"/>
    <x v="1"/>
    <n v="8300"/>
    <n v="12000"/>
    <n v="60"/>
    <n v="0.28100000000000003"/>
    <s v="Approved"/>
    <x v="1"/>
    <n v="1"/>
    <n v="0"/>
    <n v="11000"/>
    <n v="0.12740000000000001"/>
    <n v="2"/>
    <n v="1"/>
    <n v="1"/>
  </r>
  <r>
    <s v="LA-702143"/>
    <d v="2024-11-23T00:00:00"/>
    <x v="0"/>
    <s v="Q4"/>
    <x v="10"/>
    <x v="1"/>
    <x v="3"/>
    <x v="3"/>
    <x v="0"/>
    <x v="1"/>
    <n v="7250"/>
    <n v="14000"/>
    <n v="36"/>
    <n v="0.16900000000000001"/>
    <s v="Approved"/>
    <x v="1"/>
    <n v="1"/>
    <n v="0"/>
    <n v="11000"/>
    <n v="0.12859999999999999"/>
    <n v="4"/>
    <n v="0"/>
    <n v="1"/>
  </r>
  <r>
    <s v="LA-702144"/>
    <d v="2024-11-23T00:00:00"/>
    <x v="0"/>
    <s v="Q4"/>
    <x v="10"/>
    <x v="1"/>
    <x v="0"/>
    <x v="2"/>
    <x v="1"/>
    <x v="1"/>
    <n v="2750"/>
    <n v="9500"/>
    <n v="36"/>
    <n v="0.20499999999999999"/>
    <s v="Rejected"/>
    <x v="5"/>
    <n v="0"/>
    <n v="1"/>
    <n v="0"/>
    <m/>
    <n v="5"/>
    <n v="0"/>
    <n v="1"/>
  </r>
  <r>
    <s v="LA-702145"/>
    <d v="2024-11-24T00:00:00"/>
    <x v="0"/>
    <s v="Q4"/>
    <x v="10"/>
    <x v="0"/>
    <x v="1"/>
    <x v="3"/>
    <x v="2"/>
    <x v="0"/>
    <n v="5600"/>
    <n v="44000"/>
    <n v="36"/>
    <n v="0.35399999999999998"/>
    <s v="Rejected"/>
    <x v="0"/>
    <n v="0"/>
    <n v="1"/>
    <n v="0"/>
    <m/>
    <n v="3"/>
    <n v="1"/>
    <n v="1"/>
  </r>
  <r>
    <s v="LA-702146"/>
    <d v="2024-11-25T00:00:00"/>
    <x v="0"/>
    <s v="Q4"/>
    <x v="10"/>
    <x v="2"/>
    <x v="3"/>
    <x v="3"/>
    <x v="2"/>
    <x v="4"/>
    <n v="6700"/>
    <n v="73500"/>
    <n v="36"/>
    <n v="0.45100000000000001"/>
    <s v="Rejected"/>
    <x v="3"/>
    <n v="0"/>
    <n v="1"/>
    <n v="0"/>
    <m/>
    <n v="20"/>
    <n v="0"/>
    <n v="1"/>
  </r>
  <r>
    <s v="LA-702147"/>
    <d v="2024-11-25T00:00:00"/>
    <x v="0"/>
    <s v="Q4"/>
    <x v="10"/>
    <x v="3"/>
    <x v="3"/>
    <x v="3"/>
    <x v="1"/>
    <x v="2"/>
    <n v="11100"/>
    <n v="480000"/>
    <n v="240"/>
    <n v="0.39"/>
    <s v="Rejected"/>
    <x v="5"/>
    <n v="0"/>
    <n v="1"/>
    <n v="0"/>
    <m/>
    <n v="19"/>
    <n v="0"/>
    <n v="1"/>
  </r>
  <r>
    <s v="LA-702148"/>
    <d v="2024-11-25T00:00:00"/>
    <x v="0"/>
    <s v="Q4"/>
    <x v="10"/>
    <x v="1"/>
    <x v="3"/>
    <x v="0"/>
    <x v="1"/>
    <x v="0"/>
    <n v="5750"/>
    <n v="13000"/>
    <n v="24"/>
    <n v="0.35499999999999998"/>
    <s v="Approved"/>
    <x v="1"/>
    <n v="1"/>
    <n v="0"/>
    <n v="13000"/>
    <n v="0.14560000000000001"/>
    <n v="4"/>
    <n v="0"/>
    <n v="1"/>
  </r>
  <r>
    <s v="LA-702149"/>
    <d v="2024-11-25T00:00:00"/>
    <x v="0"/>
    <s v="Q4"/>
    <x v="10"/>
    <x v="0"/>
    <x v="2"/>
    <x v="2"/>
    <x v="0"/>
    <x v="1"/>
    <n v="9850"/>
    <n v="30000"/>
    <n v="36"/>
    <n v="0.308"/>
    <s v="Approved"/>
    <x v="1"/>
    <n v="1"/>
    <n v="0"/>
    <n v="30000"/>
    <n v="8.3400000000000002E-2"/>
    <n v="5"/>
    <n v="0"/>
    <n v="1"/>
  </r>
  <r>
    <s v="LA-702150"/>
    <d v="2024-11-25T00:00:00"/>
    <x v="0"/>
    <s v="Q4"/>
    <x v="10"/>
    <x v="2"/>
    <x v="3"/>
    <x v="4"/>
    <x v="2"/>
    <x v="1"/>
    <n v="6550"/>
    <n v="119500"/>
    <n v="12"/>
    <n v="1.6919999999999999"/>
    <s v="Rejected"/>
    <x v="3"/>
    <n v="0"/>
    <n v="1"/>
    <n v="0"/>
    <m/>
    <n v="11"/>
    <n v="0"/>
    <n v="1"/>
  </r>
  <r>
    <s v="LA-702151"/>
    <d v="2024-11-25T00:00:00"/>
    <x v="0"/>
    <s v="Q4"/>
    <x v="10"/>
    <x v="0"/>
    <x v="1"/>
    <x v="4"/>
    <x v="0"/>
    <x v="0"/>
    <n v="5700"/>
    <n v="30500"/>
    <n v="60"/>
    <n v="0.35199999999999998"/>
    <s v="Rejected"/>
    <x v="0"/>
    <n v="0"/>
    <n v="1"/>
    <n v="0"/>
    <m/>
    <n v="2"/>
    <n v="1"/>
    <n v="1"/>
  </r>
  <r>
    <s v="LA-702152"/>
    <d v="2024-11-25T00:00:00"/>
    <x v="0"/>
    <s v="Q4"/>
    <x v="10"/>
    <x v="1"/>
    <x v="3"/>
    <x v="1"/>
    <x v="2"/>
    <x v="2"/>
    <n v="8250"/>
    <n v="17000"/>
    <n v="24"/>
    <n v="0.151"/>
    <s v="Rejected"/>
    <x v="0"/>
    <n v="0"/>
    <n v="1"/>
    <n v="0"/>
    <m/>
    <n v="4"/>
    <n v="0"/>
    <n v="1"/>
  </r>
  <r>
    <s v="LA-702153"/>
    <d v="2024-11-25T00:00:00"/>
    <x v="0"/>
    <s v="Q4"/>
    <x v="10"/>
    <x v="0"/>
    <x v="3"/>
    <x v="2"/>
    <x v="1"/>
    <x v="1"/>
    <n v="6300"/>
    <n v="21500"/>
    <n v="48"/>
    <n v="0.25900000000000001"/>
    <s v="Approved"/>
    <x v="1"/>
    <n v="1"/>
    <n v="0"/>
    <n v="17000"/>
    <n v="8.0600000000000005E-2"/>
    <n v="7"/>
    <n v="0"/>
    <n v="1"/>
  </r>
  <r>
    <s v="LA-702154"/>
    <d v="2024-11-25T00:00:00"/>
    <x v="0"/>
    <s v="Q4"/>
    <x v="10"/>
    <x v="1"/>
    <x v="3"/>
    <x v="2"/>
    <x v="0"/>
    <x v="3"/>
    <n v="3450"/>
    <n v="24000"/>
    <n v="60"/>
    <n v="0.36799999999999999"/>
    <s v="Approved"/>
    <x v="1"/>
    <n v="1"/>
    <n v="0"/>
    <n v="19000"/>
    <n v="0.108"/>
    <n v="4"/>
    <n v="0"/>
    <n v="1"/>
  </r>
  <r>
    <s v="LA-702155"/>
    <d v="2024-11-25T00:00:00"/>
    <x v="0"/>
    <s v="Q4"/>
    <x v="10"/>
    <x v="3"/>
    <x v="3"/>
    <x v="0"/>
    <x v="2"/>
    <x v="1"/>
    <n v="6200"/>
    <n v="263500"/>
    <n v="180"/>
    <n v="0.42899999999999999"/>
    <s v="Rejected"/>
    <x v="4"/>
    <n v="0"/>
    <n v="1"/>
    <n v="0"/>
    <m/>
    <n v="43"/>
    <n v="0"/>
    <n v="1"/>
  </r>
  <r>
    <s v="LA-702156"/>
    <d v="2024-11-25T00:00:00"/>
    <x v="0"/>
    <s v="Q4"/>
    <x v="10"/>
    <x v="0"/>
    <x v="3"/>
    <x v="2"/>
    <x v="1"/>
    <x v="1"/>
    <n v="3200"/>
    <n v="33000"/>
    <n v="60"/>
    <n v="0.443"/>
    <s v="Approved"/>
    <x v="1"/>
    <n v="1"/>
    <n v="0"/>
    <n v="26500"/>
    <n v="8.3000000000000004E-2"/>
    <n v="6"/>
    <n v="0"/>
    <n v="1"/>
  </r>
  <r>
    <s v="LA-702157"/>
    <d v="2024-11-25T00:00:00"/>
    <x v="0"/>
    <s v="Q4"/>
    <x v="10"/>
    <x v="1"/>
    <x v="3"/>
    <x v="2"/>
    <x v="0"/>
    <x v="3"/>
    <n v="3300"/>
    <n v="8000"/>
    <n v="36"/>
    <n v="0.184"/>
    <s v="Approved"/>
    <x v="1"/>
    <n v="1"/>
    <n v="0"/>
    <n v="8000"/>
    <n v="0.1096"/>
    <n v="4"/>
    <n v="0"/>
    <n v="1"/>
  </r>
  <r>
    <s v="LA-702158"/>
    <d v="2024-11-25T00:00:00"/>
    <x v="0"/>
    <s v="Q4"/>
    <x v="10"/>
    <x v="1"/>
    <x v="3"/>
    <x v="3"/>
    <x v="2"/>
    <x v="4"/>
    <n v="7900"/>
    <n v="5500"/>
    <n v="36"/>
    <n v="0.121"/>
    <s v="Rejected"/>
    <x v="0"/>
    <n v="0"/>
    <n v="1"/>
    <n v="0"/>
    <m/>
    <n v="2"/>
    <n v="1"/>
    <n v="1"/>
  </r>
  <r>
    <s v="LA-702159"/>
    <d v="2024-11-26T00:00:00"/>
    <x v="0"/>
    <s v="Q4"/>
    <x v="10"/>
    <x v="3"/>
    <x v="3"/>
    <x v="0"/>
    <x v="0"/>
    <x v="1"/>
    <n v="6950"/>
    <n v="271500"/>
    <n v="180"/>
    <n v="0.55200000000000005"/>
    <s v="Approved"/>
    <x v="1"/>
    <n v="1"/>
    <n v="0"/>
    <n v="244500"/>
    <n v="5.96E-2"/>
    <n v="38"/>
    <n v="0"/>
    <n v="1"/>
  </r>
  <r>
    <s v="LA-702160"/>
    <d v="2024-11-26T00:00:00"/>
    <x v="0"/>
    <s v="Q4"/>
    <x v="10"/>
    <x v="0"/>
    <x v="3"/>
    <x v="1"/>
    <x v="0"/>
    <x v="1"/>
    <n v="6600"/>
    <n v="36500"/>
    <n v="60"/>
    <n v="0.27600000000000002"/>
    <s v="Approved"/>
    <x v="1"/>
    <n v="1"/>
    <n v="0"/>
    <n v="36500"/>
    <n v="8.3199999999999996E-2"/>
    <n v="4"/>
    <n v="1"/>
    <n v="1"/>
  </r>
  <r>
    <s v="LA-702161"/>
    <d v="2024-11-26T00:00:00"/>
    <x v="0"/>
    <s v="Q4"/>
    <x v="10"/>
    <x v="3"/>
    <x v="3"/>
    <x v="3"/>
    <x v="0"/>
    <x v="1"/>
    <n v="6300"/>
    <n v="545500"/>
    <n v="240"/>
    <n v="0.72799999999999998"/>
    <s v="Rejected"/>
    <x v="3"/>
    <n v="0"/>
    <n v="1"/>
    <n v="0"/>
    <m/>
    <n v="14"/>
    <n v="1"/>
    <n v="1"/>
  </r>
  <r>
    <s v="LA-702162"/>
    <d v="2024-11-26T00:00:00"/>
    <x v="0"/>
    <s v="Q4"/>
    <x v="10"/>
    <x v="0"/>
    <x v="2"/>
    <x v="0"/>
    <x v="0"/>
    <x v="3"/>
    <n v="1850"/>
    <n v="17500"/>
    <n v="60"/>
    <n v="0.38600000000000001"/>
    <s v="Approved"/>
    <x v="1"/>
    <n v="1"/>
    <n v="0"/>
    <n v="16000"/>
    <n v="7.3999999999999996E-2"/>
    <n v="1"/>
    <n v="1"/>
    <n v="1"/>
  </r>
  <r>
    <s v="LA-702163"/>
    <d v="2024-11-26T00:00:00"/>
    <x v="0"/>
    <s v="Q4"/>
    <x v="10"/>
    <x v="0"/>
    <x v="0"/>
    <x v="2"/>
    <x v="0"/>
    <x v="0"/>
    <n v="6650"/>
    <n v="34500"/>
    <n v="48"/>
    <n v="0.192"/>
    <s v="Approved"/>
    <x v="1"/>
    <n v="1"/>
    <n v="0"/>
    <n v="31000"/>
    <n v="9.8100000000000007E-2"/>
    <n v="8"/>
    <n v="0"/>
    <n v="1"/>
  </r>
  <r>
    <s v="LA-702164"/>
    <d v="2024-11-26T00:00:00"/>
    <x v="0"/>
    <s v="Q4"/>
    <x v="10"/>
    <x v="1"/>
    <x v="2"/>
    <x v="2"/>
    <x v="0"/>
    <x v="3"/>
    <n v="4250"/>
    <n v="8000"/>
    <n v="24"/>
    <n v="0.20100000000000001"/>
    <s v="Approved"/>
    <x v="1"/>
    <n v="1"/>
    <n v="0"/>
    <n v="8000"/>
    <n v="0.10349999999999999"/>
    <n v="2"/>
    <n v="1"/>
    <n v="1"/>
  </r>
  <r>
    <s v="LA-702165"/>
    <d v="2024-11-26T00:00:00"/>
    <x v="0"/>
    <s v="Q4"/>
    <x v="10"/>
    <x v="0"/>
    <x v="3"/>
    <x v="3"/>
    <x v="1"/>
    <x v="3"/>
    <n v="5000"/>
    <n v="29500"/>
    <n v="48"/>
    <n v="0.25600000000000001"/>
    <s v="Rejected"/>
    <x v="4"/>
    <n v="0"/>
    <n v="1"/>
    <n v="0"/>
    <m/>
    <n v="12"/>
    <n v="0"/>
    <n v="1"/>
  </r>
  <r>
    <s v="LA-702166"/>
    <d v="2024-11-27T00:00:00"/>
    <x v="0"/>
    <s v="Q4"/>
    <x v="10"/>
    <x v="2"/>
    <x v="2"/>
    <x v="1"/>
    <x v="2"/>
    <x v="2"/>
    <n v="7850"/>
    <n v="61000"/>
    <n v="24"/>
    <n v="0.57599999999999996"/>
    <s v="Rejected"/>
    <x v="0"/>
    <n v="0"/>
    <n v="1"/>
    <n v="0"/>
    <m/>
    <n v="5"/>
    <n v="1"/>
    <n v="1"/>
  </r>
  <r>
    <s v="LA-702167"/>
    <d v="2024-11-27T00:00:00"/>
    <x v="0"/>
    <s v="Q4"/>
    <x v="10"/>
    <x v="1"/>
    <x v="1"/>
    <x v="2"/>
    <x v="0"/>
    <x v="1"/>
    <n v="5500"/>
    <n v="9500"/>
    <n v="12"/>
    <n v="0.26500000000000001"/>
    <s v="Rejected"/>
    <x v="5"/>
    <n v="0"/>
    <n v="1"/>
    <n v="0"/>
    <m/>
    <n v="1"/>
    <n v="1"/>
    <n v="1"/>
  </r>
  <r>
    <s v="LA-702168"/>
    <d v="2024-11-27T00:00:00"/>
    <x v="0"/>
    <s v="Q4"/>
    <x v="10"/>
    <x v="0"/>
    <x v="3"/>
    <x v="2"/>
    <x v="0"/>
    <x v="0"/>
    <n v="8100"/>
    <n v="41500"/>
    <n v="48"/>
    <n v="0.36499999999999999"/>
    <s v="Withdrawn"/>
    <x v="1"/>
    <n v="0"/>
    <n v="0"/>
    <n v="0"/>
    <m/>
    <n v="7"/>
    <n v="0"/>
    <n v="1"/>
  </r>
  <r>
    <s v="LA-702169"/>
    <d v="2024-11-27T00:00:00"/>
    <x v="0"/>
    <s v="Q4"/>
    <x v="10"/>
    <x v="0"/>
    <x v="1"/>
    <x v="0"/>
    <x v="2"/>
    <x v="0"/>
    <n v="14350"/>
    <n v="38000"/>
    <n v="60"/>
    <n v="0.28199999999999997"/>
    <s v="Rejected"/>
    <x v="0"/>
    <n v="0"/>
    <n v="1"/>
    <n v="0"/>
    <m/>
    <n v="4"/>
    <n v="1"/>
    <n v="1"/>
  </r>
  <r>
    <s v="LA-702170"/>
    <d v="2024-11-27T00:00:00"/>
    <x v="0"/>
    <s v="Q4"/>
    <x v="10"/>
    <x v="2"/>
    <x v="3"/>
    <x v="3"/>
    <x v="0"/>
    <x v="4"/>
    <n v="6350"/>
    <n v="53000"/>
    <n v="12"/>
    <n v="0.94199999999999995"/>
    <s v="Approved"/>
    <x v="1"/>
    <n v="1"/>
    <n v="0"/>
    <n v="47500"/>
    <n v="0.10340000000000001"/>
    <n v="11"/>
    <n v="0"/>
    <n v="1"/>
  </r>
  <r>
    <s v="LA-702171"/>
    <d v="2024-11-27T00:00:00"/>
    <x v="0"/>
    <s v="Q4"/>
    <x v="10"/>
    <x v="1"/>
    <x v="3"/>
    <x v="3"/>
    <x v="0"/>
    <x v="4"/>
    <n v="3350"/>
    <n v="8500"/>
    <n v="24"/>
    <n v="0.34300000000000003"/>
    <s v="Approved"/>
    <x v="1"/>
    <n v="1"/>
    <n v="0"/>
    <n v="8500"/>
    <n v="0.11210000000000001"/>
    <n v="4"/>
    <n v="0"/>
    <n v="1"/>
  </r>
  <r>
    <s v="LA-702172"/>
    <d v="2024-11-27T00:00:00"/>
    <x v="0"/>
    <s v="Q4"/>
    <x v="10"/>
    <x v="1"/>
    <x v="2"/>
    <x v="3"/>
    <x v="0"/>
    <x v="0"/>
    <n v="3000"/>
    <n v="8000"/>
    <n v="12"/>
    <n v="0.38600000000000001"/>
    <s v="Approved"/>
    <x v="1"/>
    <n v="1"/>
    <n v="0"/>
    <n v="7000"/>
    <n v="0.13789999999999999"/>
    <n v="2"/>
    <n v="1"/>
    <n v="1"/>
  </r>
  <r>
    <s v="LA-702173"/>
    <d v="2024-11-27T00:00:00"/>
    <x v="0"/>
    <s v="Q4"/>
    <x v="10"/>
    <x v="0"/>
    <x v="2"/>
    <x v="3"/>
    <x v="0"/>
    <x v="4"/>
    <n v="10100"/>
    <n v="12000"/>
    <n v="60"/>
    <n v="0.20100000000000001"/>
    <s v="Approved"/>
    <x v="1"/>
    <n v="1"/>
    <n v="0"/>
    <n v="12000"/>
    <n v="7.0800000000000002E-2"/>
    <n v="4"/>
    <n v="1"/>
    <n v="1"/>
  </r>
  <r>
    <s v="LA-702174"/>
    <d v="2024-11-27T00:00:00"/>
    <x v="0"/>
    <s v="Q4"/>
    <x v="10"/>
    <x v="3"/>
    <x v="3"/>
    <x v="2"/>
    <x v="1"/>
    <x v="1"/>
    <n v="4750"/>
    <n v="190000"/>
    <n v="240"/>
    <n v="0.44700000000000001"/>
    <s v="Approved"/>
    <x v="1"/>
    <n v="1"/>
    <n v="0"/>
    <n v="190000"/>
    <n v="5.5500000000000001E-2"/>
    <n v="20"/>
    <n v="0"/>
    <n v="1"/>
  </r>
  <r>
    <s v="LA-702175"/>
    <d v="2024-11-28T00:00:00"/>
    <x v="0"/>
    <s v="Q4"/>
    <x v="10"/>
    <x v="0"/>
    <x v="2"/>
    <x v="0"/>
    <x v="0"/>
    <x v="0"/>
    <n v="6750"/>
    <n v="51000"/>
    <n v="48"/>
    <n v="0.25800000000000001"/>
    <s v="Approved"/>
    <x v="1"/>
    <n v="1"/>
    <n v="0"/>
    <n v="41000"/>
    <n v="9.6799999999999997E-2"/>
    <n v="2"/>
    <n v="1"/>
    <n v="1"/>
  </r>
  <r>
    <s v="LA-702176"/>
    <d v="2024-11-28T00:00:00"/>
    <x v="0"/>
    <s v="Q4"/>
    <x v="10"/>
    <x v="0"/>
    <x v="3"/>
    <x v="2"/>
    <x v="0"/>
    <x v="0"/>
    <n v="6700"/>
    <n v="34500"/>
    <n v="36"/>
    <n v="0.35"/>
    <s v="Approved"/>
    <x v="1"/>
    <n v="1"/>
    <n v="0"/>
    <n v="31000"/>
    <n v="9.5399999999999999E-2"/>
    <n v="5"/>
    <n v="0"/>
    <n v="1"/>
  </r>
  <r>
    <s v="LA-702177"/>
    <d v="2024-11-28T00:00:00"/>
    <x v="0"/>
    <s v="Q4"/>
    <x v="10"/>
    <x v="0"/>
    <x v="3"/>
    <x v="2"/>
    <x v="0"/>
    <x v="4"/>
    <n v="5350"/>
    <n v="47000"/>
    <n v="36"/>
    <n v="0.38300000000000001"/>
    <s v="Approved"/>
    <x v="1"/>
    <n v="1"/>
    <n v="0"/>
    <n v="47000"/>
    <n v="7.0300000000000001E-2"/>
    <n v="3"/>
    <n v="1"/>
    <n v="1"/>
  </r>
  <r>
    <s v="LA-702178"/>
    <d v="2024-11-28T00:00:00"/>
    <x v="0"/>
    <s v="Q4"/>
    <x v="10"/>
    <x v="1"/>
    <x v="2"/>
    <x v="4"/>
    <x v="1"/>
    <x v="0"/>
    <n v="6800"/>
    <n v="15000"/>
    <n v="36"/>
    <n v="0.28199999999999997"/>
    <s v="Rejected"/>
    <x v="0"/>
    <n v="0"/>
    <n v="1"/>
    <n v="0"/>
    <m/>
    <n v="2"/>
    <n v="1"/>
    <n v="1"/>
  </r>
  <r>
    <s v="LA-702179"/>
    <d v="2024-11-28T00:00:00"/>
    <x v="0"/>
    <s v="Q4"/>
    <x v="10"/>
    <x v="2"/>
    <x v="0"/>
    <x v="2"/>
    <x v="2"/>
    <x v="1"/>
    <n v="3450"/>
    <n v="192000"/>
    <n v="24"/>
    <n v="2.7770000000000001"/>
    <s v="Withdrawn"/>
    <x v="1"/>
    <n v="0"/>
    <n v="0"/>
    <n v="0"/>
    <m/>
    <n v="8"/>
    <n v="1"/>
    <n v="1"/>
  </r>
  <r>
    <s v="LA-702180"/>
    <d v="2024-11-28T00:00:00"/>
    <x v="0"/>
    <s v="Q4"/>
    <x v="10"/>
    <x v="3"/>
    <x v="0"/>
    <x v="2"/>
    <x v="0"/>
    <x v="1"/>
    <n v="5850"/>
    <n v="342500"/>
    <n v="180"/>
    <n v="0.63400000000000001"/>
    <s v="Rejected"/>
    <x v="3"/>
    <n v="0"/>
    <n v="1"/>
    <n v="0"/>
    <m/>
    <n v="25"/>
    <n v="0"/>
    <n v="1"/>
  </r>
  <r>
    <s v="LA-702181"/>
    <d v="2024-11-28T00:00:00"/>
    <x v="0"/>
    <s v="Q4"/>
    <x v="10"/>
    <x v="0"/>
    <x v="1"/>
    <x v="2"/>
    <x v="1"/>
    <x v="1"/>
    <n v="4800"/>
    <n v="39000"/>
    <n v="48"/>
    <n v="0.41599999999999998"/>
    <s v="Approved"/>
    <x v="1"/>
    <n v="1"/>
    <n v="0"/>
    <n v="39000"/>
    <n v="8.5400000000000004E-2"/>
    <n v="3"/>
    <n v="1"/>
    <n v="1"/>
  </r>
  <r>
    <s v="LA-702182"/>
    <d v="2024-11-28T00:00:00"/>
    <x v="0"/>
    <s v="Q4"/>
    <x v="10"/>
    <x v="0"/>
    <x v="1"/>
    <x v="2"/>
    <x v="1"/>
    <x v="4"/>
    <n v="8600"/>
    <n v="41000"/>
    <n v="48"/>
    <n v="0.29699999999999999"/>
    <s v="Approved"/>
    <x v="1"/>
    <n v="1"/>
    <n v="0"/>
    <n v="33000"/>
    <n v="7.2300000000000003E-2"/>
    <n v="2"/>
    <n v="1"/>
    <n v="1"/>
  </r>
  <r>
    <s v="LA-702183"/>
    <d v="2024-11-28T00:00:00"/>
    <x v="0"/>
    <s v="Q4"/>
    <x v="10"/>
    <x v="0"/>
    <x v="1"/>
    <x v="2"/>
    <x v="1"/>
    <x v="2"/>
    <n v="9750"/>
    <n v="24500"/>
    <n v="60"/>
    <n v="0.191"/>
    <s v="Rejected"/>
    <x v="0"/>
    <n v="0"/>
    <n v="1"/>
    <n v="0"/>
    <m/>
    <n v="2"/>
    <n v="1"/>
    <n v="1"/>
  </r>
  <r>
    <s v="LA-702184"/>
    <d v="2024-11-29T00:00:00"/>
    <x v="0"/>
    <s v="Q4"/>
    <x v="10"/>
    <x v="0"/>
    <x v="1"/>
    <x v="2"/>
    <x v="0"/>
    <x v="0"/>
    <n v="4150"/>
    <n v="24500"/>
    <n v="60"/>
    <n v="0.26600000000000001"/>
    <s v="Rejected"/>
    <x v="4"/>
    <n v="0"/>
    <n v="1"/>
    <n v="0"/>
    <m/>
    <n v="7"/>
    <n v="0"/>
    <n v="1"/>
  </r>
  <r>
    <s v="LA-702185"/>
    <d v="2024-11-29T00:00:00"/>
    <x v="0"/>
    <s v="Q4"/>
    <x v="10"/>
    <x v="1"/>
    <x v="3"/>
    <x v="0"/>
    <x v="0"/>
    <x v="1"/>
    <n v="4900"/>
    <n v="9000"/>
    <n v="60"/>
    <n v="0.219"/>
    <s v="Approved"/>
    <x v="1"/>
    <n v="1"/>
    <n v="0"/>
    <n v="7000"/>
    <n v="0.1188"/>
    <n v="7"/>
    <n v="0"/>
    <n v="1"/>
  </r>
  <r>
    <s v="LA-702186"/>
    <d v="2024-11-29T00:00:00"/>
    <x v="0"/>
    <s v="Q4"/>
    <x v="10"/>
    <x v="1"/>
    <x v="0"/>
    <x v="2"/>
    <x v="0"/>
    <x v="1"/>
    <n v="5050"/>
    <n v="5500"/>
    <n v="24"/>
    <n v="0.26400000000000001"/>
    <s v="Rejected"/>
    <x v="5"/>
    <n v="0"/>
    <n v="1"/>
    <n v="0"/>
    <m/>
    <n v="4"/>
    <n v="0"/>
    <n v="1"/>
  </r>
  <r>
    <s v="LA-702187"/>
    <d v="2024-11-29T00:00:00"/>
    <x v="0"/>
    <s v="Q4"/>
    <x v="10"/>
    <x v="3"/>
    <x v="1"/>
    <x v="1"/>
    <x v="2"/>
    <x v="4"/>
    <n v="8100"/>
    <n v="198500"/>
    <n v="240"/>
    <n v="0.37"/>
    <s v="Rejected"/>
    <x v="4"/>
    <n v="0"/>
    <n v="1"/>
    <n v="0"/>
    <m/>
    <n v="10"/>
    <n v="1"/>
    <n v="1"/>
  </r>
  <r>
    <s v="LA-702188"/>
    <d v="2024-11-29T00:00:00"/>
    <x v="0"/>
    <s v="Q4"/>
    <x v="10"/>
    <x v="1"/>
    <x v="0"/>
    <x v="1"/>
    <x v="0"/>
    <x v="4"/>
    <n v="3050"/>
    <n v="15000"/>
    <n v="12"/>
    <n v="0.56200000000000006"/>
    <s v="Rejected"/>
    <x v="4"/>
    <n v="0"/>
    <n v="1"/>
    <n v="0"/>
    <m/>
    <n v="10"/>
    <n v="0"/>
    <n v="1"/>
  </r>
  <r>
    <s v="LA-702189"/>
    <d v="2024-11-29T00:00:00"/>
    <x v="0"/>
    <s v="Q4"/>
    <x v="10"/>
    <x v="3"/>
    <x v="2"/>
    <x v="4"/>
    <x v="0"/>
    <x v="3"/>
    <n v="3850"/>
    <n v="163000"/>
    <n v="180"/>
    <n v="0.40200000000000002"/>
    <s v="Approved"/>
    <x v="1"/>
    <n v="1"/>
    <n v="0"/>
    <n v="163000"/>
    <n v="4.3900000000000002E-2"/>
    <n v="12"/>
    <n v="1"/>
    <n v="1"/>
  </r>
  <r>
    <s v="LA-702190"/>
    <d v="2024-11-29T00:00:00"/>
    <x v="0"/>
    <s v="Q4"/>
    <x v="10"/>
    <x v="1"/>
    <x v="2"/>
    <x v="0"/>
    <x v="0"/>
    <x v="4"/>
    <n v="6200"/>
    <n v="14000"/>
    <n v="12"/>
    <n v="0.44400000000000001"/>
    <s v="Approved"/>
    <x v="1"/>
    <n v="1"/>
    <n v="0"/>
    <n v="14000"/>
    <n v="0.1203"/>
    <n v="5"/>
    <n v="0"/>
    <n v="1"/>
  </r>
  <r>
    <s v="LA-702191"/>
    <d v="2024-11-29T00:00:00"/>
    <x v="0"/>
    <s v="Q4"/>
    <x v="10"/>
    <x v="0"/>
    <x v="1"/>
    <x v="0"/>
    <x v="0"/>
    <x v="3"/>
    <n v="3900"/>
    <n v="16500"/>
    <n v="36"/>
    <n v="0.183"/>
    <s v="Approved"/>
    <x v="1"/>
    <n v="1"/>
    <n v="0"/>
    <n v="16500"/>
    <n v="6.5600000000000006E-2"/>
    <n v="2"/>
    <n v="1"/>
    <n v="1"/>
  </r>
  <r>
    <s v="LA-702192"/>
    <d v="2024-11-29T00:00:00"/>
    <x v="0"/>
    <s v="Q4"/>
    <x v="10"/>
    <x v="3"/>
    <x v="2"/>
    <x v="1"/>
    <x v="1"/>
    <x v="4"/>
    <n v="6250"/>
    <n v="100500"/>
    <n v="180"/>
    <n v="0.19900000000000001"/>
    <s v="Rejected"/>
    <x v="2"/>
    <n v="0"/>
    <n v="1"/>
    <n v="0"/>
    <m/>
    <n v="9"/>
    <n v="1"/>
    <n v="1"/>
  </r>
  <r>
    <s v="LA-702193"/>
    <d v="2024-11-29T00:00:00"/>
    <x v="0"/>
    <s v="Q4"/>
    <x v="10"/>
    <x v="3"/>
    <x v="1"/>
    <x v="2"/>
    <x v="0"/>
    <x v="4"/>
    <n v="5550"/>
    <n v="243500"/>
    <n v="300"/>
    <n v="0.35699999999999998"/>
    <s v="Approved"/>
    <x v="1"/>
    <n v="1"/>
    <n v="0"/>
    <n v="219000"/>
    <n v="0.05"/>
    <n v="6"/>
    <n v="1"/>
    <n v="1"/>
  </r>
  <r>
    <s v="LA-702194"/>
    <d v="2024-11-29T00:00:00"/>
    <x v="0"/>
    <s v="Q4"/>
    <x v="10"/>
    <x v="1"/>
    <x v="3"/>
    <x v="3"/>
    <x v="2"/>
    <x v="1"/>
    <n v="5400"/>
    <n v="17000"/>
    <n v="24"/>
    <n v="0.246"/>
    <s v="Rejected"/>
    <x v="5"/>
    <n v="0"/>
    <n v="1"/>
    <n v="0"/>
    <m/>
    <n v="5"/>
    <n v="0"/>
    <n v="1"/>
  </r>
  <r>
    <s v="LA-702195"/>
    <d v="2024-11-30T00:00:00"/>
    <x v="0"/>
    <s v="Q4"/>
    <x v="10"/>
    <x v="2"/>
    <x v="2"/>
    <x v="2"/>
    <x v="2"/>
    <x v="3"/>
    <n v="6950"/>
    <n v="115500"/>
    <n v="60"/>
    <n v="0.57999999999999996"/>
    <s v="Approved"/>
    <x v="1"/>
    <n v="1"/>
    <n v="0"/>
    <n v="92500"/>
    <n v="9.3299999999999994E-2"/>
    <n v="5"/>
    <n v="1"/>
    <n v="1"/>
  </r>
  <r>
    <s v="LA-702196"/>
    <d v="2024-11-30T00:00:00"/>
    <x v="0"/>
    <s v="Q4"/>
    <x v="10"/>
    <x v="0"/>
    <x v="0"/>
    <x v="3"/>
    <x v="0"/>
    <x v="2"/>
    <n v="9400"/>
    <n v="72500"/>
    <n v="48"/>
    <n v="0.36299999999999999"/>
    <s v="Rejected"/>
    <x v="0"/>
    <n v="0"/>
    <n v="1"/>
    <n v="0"/>
    <m/>
    <n v="5"/>
    <n v="0"/>
    <n v="1"/>
  </r>
  <r>
    <s v="LA-702197"/>
    <d v="2024-11-30T00:00:00"/>
    <x v="0"/>
    <s v="Q4"/>
    <x v="10"/>
    <x v="1"/>
    <x v="3"/>
    <x v="2"/>
    <x v="1"/>
    <x v="4"/>
    <n v="3750"/>
    <n v="7500"/>
    <n v="24"/>
    <n v="0.20899999999999999"/>
    <s v="Approved"/>
    <x v="1"/>
    <n v="1"/>
    <n v="0"/>
    <n v="7500"/>
    <n v="0.1172"/>
    <n v="8"/>
    <n v="0"/>
    <n v="1"/>
  </r>
  <r>
    <s v="LA-702198"/>
    <d v="2024-11-30T00:00:00"/>
    <x v="0"/>
    <s v="Q4"/>
    <x v="10"/>
    <x v="2"/>
    <x v="1"/>
    <x v="3"/>
    <x v="0"/>
    <x v="0"/>
    <n v="3600"/>
    <n v="102000"/>
    <n v="36"/>
    <n v="1.0309999999999999"/>
    <s v="Rejected"/>
    <x v="0"/>
    <n v="0"/>
    <n v="1"/>
    <n v="0"/>
    <m/>
    <n v="8"/>
    <n v="1"/>
    <n v="1"/>
  </r>
  <r>
    <s v="LA-702199"/>
    <d v="2024-12-01T00:00:00"/>
    <x v="0"/>
    <s v="Q4"/>
    <x v="11"/>
    <x v="2"/>
    <x v="1"/>
    <x v="4"/>
    <x v="0"/>
    <x v="0"/>
    <n v="5600"/>
    <n v="140000"/>
    <n v="60"/>
    <n v="0.66300000000000003"/>
    <s v="Approved"/>
    <x v="1"/>
    <n v="1"/>
    <n v="0"/>
    <n v="140000"/>
    <n v="0.1187"/>
    <n v="4"/>
    <n v="1"/>
    <n v="1"/>
  </r>
  <r>
    <s v="LA-702200"/>
    <d v="2024-12-01T00:00:00"/>
    <x v="0"/>
    <s v="Q4"/>
    <x v="11"/>
    <x v="1"/>
    <x v="1"/>
    <x v="2"/>
    <x v="0"/>
    <x v="0"/>
    <n v="11050"/>
    <n v="4000"/>
    <n v="24"/>
    <n v="0.152"/>
    <s v="Approved"/>
    <x v="1"/>
    <n v="1"/>
    <n v="0"/>
    <n v="4000"/>
    <n v="0.13600000000000001"/>
    <n v="1"/>
    <n v="1"/>
    <n v="1"/>
  </r>
  <r>
    <s v="LA-702201"/>
    <d v="2024-12-02T00:00:00"/>
    <x v="0"/>
    <s v="Q4"/>
    <x v="11"/>
    <x v="0"/>
    <x v="1"/>
    <x v="3"/>
    <x v="1"/>
    <x v="1"/>
    <n v="3750"/>
    <n v="27000"/>
    <n v="48"/>
    <n v="0.29299999999999998"/>
    <s v="Approved"/>
    <x v="1"/>
    <n v="1"/>
    <n v="0"/>
    <n v="24500"/>
    <n v="7.9600000000000004E-2"/>
    <n v="2"/>
    <n v="1"/>
    <n v="1"/>
  </r>
  <r>
    <s v="LA-702202"/>
    <d v="2024-12-02T00:00:00"/>
    <x v="0"/>
    <s v="Q4"/>
    <x v="11"/>
    <x v="1"/>
    <x v="2"/>
    <x v="3"/>
    <x v="2"/>
    <x v="0"/>
    <n v="5150"/>
    <n v="13000"/>
    <n v="12"/>
    <n v="0.45300000000000001"/>
    <s v="Rejected"/>
    <x v="0"/>
    <n v="0"/>
    <n v="1"/>
    <n v="0"/>
    <m/>
    <n v="2"/>
    <n v="1"/>
    <n v="1"/>
  </r>
  <r>
    <s v="LA-702203"/>
    <d v="2024-12-02T00:00:00"/>
    <x v="0"/>
    <s v="Q4"/>
    <x v="11"/>
    <x v="2"/>
    <x v="3"/>
    <x v="3"/>
    <x v="1"/>
    <x v="3"/>
    <n v="5050"/>
    <n v="121500"/>
    <n v="24"/>
    <n v="1.34"/>
    <s v="Approved"/>
    <x v="1"/>
    <n v="1"/>
    <n v="0"/>
    <n v="97000"/>
    <n v="9.7100000000000006E-2"/>
    <n v="9"/>
    <n v="1"/>
    <n v="1"/>
  </r>
  <r>
    <s v="LA-702204"/>
    <d v="2024-12-02T00:00:00"/>
    <x v="0"/>
    <s v="Q4"/>
    <x v="11"/>
    <x v="2"/>
    <x v="3"/>
    <x v="1"/>
    <x v="0"/>
    <x v="3"/>
    <n v="5100"/>
    <n v="94500"/>
    <n v="24"/>
    <n v="0.93600000000000005"/>
    <s v="Approved"/>
    <x v="1"/>
    <n v="1"/>
    <n v="0"/>
    <n v="94500"/>
    <n v="9.35E-2"/>
    <n v="10"/>
    <n v="1"/>
    <n v="1"/>
  </r>
  <r>
    <s v="LA-702205"/>
    <d v="2024-12-02T00:00:00"/>
    <x v="0"/>
    <s v="Q4"/>
    <x v="11"/>
    <x v="0"/>
    <x v="0"/>
    <x v="1"/>
    <x v="2"/>
    <x v="4"/>
    <n v="8900"/>
    <n v="21500"/>
    <n v="60"/>
    <n v="0.157"/>
    <s v="Approved"/>
    <x v="1"/>
    <n v="1"/>
    <n v="0"/>
    <n v="21500"/>
    <n v="7.2099999999999997E-2"/>
    <n v="3"/>
    <n v="1"/>
    <n v="1"/>
  </r>
  <r>
    <s v="LA-702206"/>
    <d v="2024-12-02T00:00:00"/>
    <x v="0"/>
    <s v="Q4"/>
    <x v="11"/>
    <x v="3"/>
    <x v="1"/>
    <x v="0"/>
    <x v="1"/>
    <x v="3"/>
    <n v="4150"/>
    <n v="505000"/>
    <n v="300"/>
    <n v="0.95399999999999996"/>
    <s v="Rejected"/>
    <x v="3"/>
    <n v="0"/>
    <n v="1"/>
    <n v="0"/>
    <m/>
    <n v="7"/>
    <n v="1"/>
    <n v="1"/>
  </r>
  <r>
    <s v="LA-702207"/>
    <d v="2024-12-02T00:00:00"/>
    <x v="0"/>
    <s v="Q4"/>
    <x v="11"/>
    <x v="1"/>
    <x v="3"/>
    <x v="2"/>
    <x v="1"/>
    <x v="1"/>
    <n v="3750"/>
    <n v="25500"/>
    <n v="12"/>
    <n v="0.74"/>
    <s v="Approved"/>
    <x v="1"/>
    <n v="1"/>
    <n v="0"/>
    <n v="25500"/>
    <n v="0.12709999999999999"/>
    <n v="6"/>
    <n v="0"/>
    <n v="1"/>
  </r>
  <r>
    <s v="LA-702208"/>
    <d v="2024-12-02T00:00:00"/>
    <x v="0"/>
    <s v="Q4"/>
    <x v="11"/>
    <x v="0"/>
    <x v="2"/>
    <x v="3"/>
    <x v="1"/>
    <x v="0"/>
    <n v="4100"/>
    <n v="12500"/>
    <n v="48"/>
    <n v="0.19"/>
    <s v="Rejected"/>
    <x v="2"/>
    <n v="0"/>
    <n v="1"/>
    <n v="0"/>
    <m/>
    <n v="3"/>
    <n v="1"/>
    <n v="1"/>
  </r>
  <r>
    <s v="LA-702209"/>
    <d v="2024-12-03T00:00:00"/>
    <x v="0"/>
    <s v="Q4"/>
    <x v="11"/>
    <x v="1"/>
    <x v="1"/>
    <x v="3"/>
    <x v="0"/>
    <x v="0"/>
    <n v="4200"/>
    <n v="9000"/>
    <n v="48"/>
    <n v="0.14899999999999999"/>
    <s v="Approved"/>
    <x v="1"/>
    <n v="1"/>
    <n v="0"/>
    <n v="7000"/>
    <n v="0.1424"/>
    <n v="2"/>
    <n v="1"/>
    <n v="1"/>
  </r>
  <r>
    <s v="LA-702210"/>
    <d v="2024-12-03T00:00:00"/>
    <x v="0"/>
    <s v="Q4"/>
    <x v="11"/>
    <x v="1"/>
    <x v="2"/>
    <x v="3"/>
    <x v="0"/>
    <x v="0"/>
    <n v="10200"/>
    <n v="24000"/>
    <n v="12"/>
    <n v="0.33300000000000002"/>
    <s v="Rejected"/>
    <x v="5"/>
    <n v="0"/>
    <n v="1"/>
    <n v="0"/>
    <m/>
    <n v="2"/>
    <n v="1"/>
    <n v="1"/>
  </r>
  <r>
    <s v="LA-702211"/>
    <d v="2024-12-03T00:00:00"/>
    <x v="0"/>
    <s v="Q4"/>
    <x v="11"/>
    <x v="1"/>
    <x v="0"/>
    <x v="4"/>
    <x v="2"/>
    <x v="3"/>
    <n v="2850"/>
    <n v="5500"/>
    <n v="48"/>
    <n v="0.112"/>
    <s v="Rejected"/>
    <x v="4"/>
    <n v="0"/>
    <n v="1"/>
    <n v="0"/>
    <m/>
    <n v="7"/>
    <n v="0"/>
    <n v="1"/>
  </r>
  <r>
    <s v="LA-702212"/>
    <d v="2024-12-03T00:00:00"/>
    <x v="0"/>
    <s v="Q4"/>
    <x v="11"/>
    <x v="1"/>
    <x v="0"/>
    <x v="0"/>
    <x v="2"/>
    <x v="0"/>
    <n v="4000"/>
    <n v="12500"/>
    <n v="12"/>
    <n v="0.443"/>
    <s v="Rejected"/>
    <x v="4"/>
    <n v="0"/>
    <n v="1"/>
    <n v="0"/>
    <m/>
    <n v="5"/>
    <n v="0"/>
    <n v="1"/>
  </r>
  <r>
    <s v="LA-702213"/>
    <d v="2024-12-03T00:00:00"/>
    <x v="0"/>
    <s v="Q4"/>
    <x v="11"/>
    <x v="1"/>
    <x v="2"/>
    <x v="4"/>
    <x v="1"/>
    <x v="4"/>
    <n v="8150"/>
    <n v="10000"/>
    <n v="36"/>
    <n v="0.11"/>
    <s v="Approved"/>
    <x v="1"/>
    <n v="1"/>
    <n v="0"/>
    <n v="10000"/>
    <n v="0.1086"/>
    <n v="3"/>
    <n v="1"/>
    <n v="1"/>
  </r>
  <r>
    <s v="LA-702214"/>
    <d v="2024-12-03T00:00:00"/>
    <x v="0"/>
    <s v="Q4"/>
    <x v="11"/>
    <x v="0"/>
    <x v="3"/>
    <x v="3"/>
    <x v="0"/>
    <x v="3"/>
    <n v="4500"/>
    <n v="29000"/>
    <n v="60"/>
    <n v="0.214"/>
    <s v="Rejected"/>
    <x v="5"/>
    <n v="0"/>
    <n v="1"/>
    <n v="0"/>
    <m/>
    <n v="4"/>
    <n v="1"/>
    <n v="1"/>
  </r>
  <r>
    <s v="LA-702215"/>
    <d v="2024-12-03T00:00:00"/>
    <x v="0"/>
    <s v="Q4"/>
    <x v="11"/>
    <x v="1"/>
    <x v="3"/>
    <x v="4"/>
    <x v="1"/>
    <x v="1"/>
    <n v="5950"/>
    <n v="6500"/>
    <n v="48"/>
    <n v="0.27300000000000002"/>
    <s v="Approved"/>
    <x v="1"/>
    <n v="1"/>
    <n v="0"/>
    <n v="6500"/>
    <n v="0.12709999999999999"/>
    <n v="4"/>
    <n v="0"/>
    <n v="1"/>
  </r>
  <r>
    <s v="LA-702216"/>
    <d v="2024-12-04T00:00:00"/>
    <x v="0"/>
    <s v="Q4"/>
    <x v="11"/>
    <x v="1"/>
    <x v="3"/>
    <x v="2"/>
    <x v="2"/>
    <x v="3"/>
    <n v="5450"/>
    <n v="17500"/>
    <n v="12"/>
    <n v="0.40300000000000002"/>
    <s v="Approved"/>
    <x v="1"/>
    <n v="1"/>
    <n v="0"/>
    <n v="17500"/>
    <n v="0.1065"/>
    <n v="3"/>
    <n v="1"/>
    <n v="1"/>
  </r>
  <r>
    <s v="LA-702217"/>
    <d v="2024-12-04T00:00:00"/>
    <x v="0"/>
    <s v="Q4"/>
    <x v="11"/>
    <x v="0"/>
    <x v="3"/>
    <x v="1"/>
    <x v="1"/>
    <x v="1"/>
    <n v="3000"/>
    <n v="24000"/>
    <n v="60"/>
    <n v="0.26500000000000001"/>
    <s v="Approved"/>
    <x v="1"/>
    <n v="1"/>
    <n v="0"/>
    <n v="19000"/>
    <n v="8.6800000000000002E-2"/>
    <n v="8"/>
    <n v="0"/>
    <n v="1"/>
  </r>
  <r>
    <s v="LA-702218"/>
    <d v="2024-12-04T00:00:00"/>
    <x v="0"/>
    <s v="Q4"/>
    <x v="11"/>
    <x v="1"/>
    <x v="3"/>
    <x v="1"/>
    <x v="0"/>
    <x v="3"/>
    <n v="3700"/>
    <n v="21500"/>
    <n v="36"/>
    <n v="0.33100000000000002"/>
    <s v="Approved"/>
    <x v="1"/>
    <n v="1"/>
    <n v="0"/>
    <n v="21500"/>
    <n v="0.1057"/>
    <n v="5"/>
    <n v="0"/>
    <n v="1"/>
  </r>
  <r>
    <s v="LA-702219"/>
    <d v="2024-12-04T00:00:00"/>
    <x v="0"/>
    <s v="Q4"/>
    <x v="11"/>
    <x v="0"/>
    <x v="3"/>
    <x v="3"/>
    <x v="0"/>
    <x v="0"/>
    <n v="2550"/>
    <n v="18500"/>
    <n v="60"/>
    <n v="0.28699999999999998"/>
    <s v="Approved"/>
    <x v="1"/>
    <n v="1"/>
    <n v="0"/>
    <n v="16500"/>
    <n v="0.1019"/>
    <n v="5"/>
    <n v="0"/>
    <n v="1"/>
  </r>
  <r>
    <s v="LA-702220"/>
    <d v="2024-12-04T00:00:00"/>
    <x v="0"/>
    <s v="Q4"/>
    <x v="11"/>
    <x v="1"/>
    <x v="3"/>
    <x v="3"/>
    <x v="0"/>
    <x v="2"/>
    <n v="7750"/>
    <n v="28000"/>
    <n v="60"/>
    <n v="0.23"/>
    <s v="Approved"/>
    <x v="1"/>
    <n v="1"/>
    <n v="0"/>
    <n v="28000"/>
    <n v="0.1633"/>
    <n v="4"/>
    <n v="0"/>
    <n v="1"/>
  </r>
  <r>
    <s v="LA-702221"/>
    <d v="2024-12-04T00:00:00"/>
    <x v="0"/>
    <s v="Q4"/>
    <x v="11"/>
    <x v="0"/>
    <x v="3"/>
    <x v="2"/>
    <x v="0"/>
    <x v="1"/>
    <n v="8100"/>
    <n v="45000"/>
    <n v="60"/>
    <n v="0.26700000000000002"/>
    <s v="Approved"/>
    <x v="1"/>
    <n v="1"/>
    <n v="0"/>
    <n v="40500"/>
    <n v="7.9200000000000007E-2"/>
    <n v="6"/>
    <n v="0"/>
    <n v="1"/>
  </r>
  <r>
    <s v="LA-702222"/>
    <d v="2024-12-04T00:00:00"/>
    <x v="0"/>
    <s v="Q4"/>
    <x v="11"/>
    <x v="3"/>
    <x v="2"/>
    <x v="1"/>
    <x v="1"/>
    <x v="4"/>
    <n v="7050"/>
    <n v="244500"/>
    <n v="180"/>
    <n v="0.48599999999999999"/>
    <s v="Approved"/>
    <x v="1"/>
    <n v="1"/>
    <n v="0"/>
    <n v="220000"/>
    <n v="4.9099999999999998E-2"/>
    <n v="15"/>
    <n v="1"/>
    <n v="1"/>
  </r>
  <r>
    <s v="LA-702223"/>
    <d v="2024-12-04T00:00:00"/>
    <x v="0"/>
    <s v="Q4"/>
    <x v="11"/>
    <x v="3"/>
    <x v="3"/>
    <x v="3"/>
    <x v="0"/>
    <x v="1"/>
    <n v="4250"/>
    <n v="247000"/>
    <n v="300"/>
    <n v="0.437"/>
    <s v="Rejected"/>
    <x v="4"/>
    <n v="0"/>
    <n v="1"/>
    <n v="0"/>
    <m/>
    <n v="29"/>
    <n v="0"/>
    <n v="1"/>
  </r>
  <r>
    <s v="LA-702224"/>
    <d v="2024-12-05T00:00:00"/>
    <x v="0"/>
    <s v="Q4"/>
    <x v="11"/>
    <x v="1"/>
    <x v="1"/>
    <x v="3"/>
    <x v="1"/>
    <x v="4"/>
    <n v="6750"/>
    <n v="11000"/>
    <n v="36"/>
    <n v="0.19400000000000001"/>
    <s v="Approved"/>
    <x v="1"/>
    <n v="1"/>
    <n v="0"/>
    <n v="10000"/>
    <n v="0.1188"/>
    <n v="1"/>
    <n v="1"/>
    <n v="1"/>
  </r>
  <r>
    <s v="LA-702225"/>
    <d v="2024-12-05T00:00:00"/>
    <x v="0"/>
    <s v="Q4"/>
    <x v="11"/>
    <x v="1"/>
    <x v="3"/>
    <x v="4"/>
    <x v="1"/>
    <x v="1"/>
    <n v="4050"/>
    <n v="5500"/>
    <n v="24"/>
    <n v="0.16800000000000001"/>
    <s v="Approved"/>
    <x v="1"/>
    <n v="1"/>
    <n v="0"/>
    <n v="5000"/>
    <n v="0.1227"/>
    <n v="4"/>
    <n v="0"/>
    <n v="1"/>
  </r>
  <r>
    <s v="LA-702226"/>
    <d v="2024-12-05T00:00:00"/>
    <x v="0"/>
    <s v="Q4"/>
    <x v="11"/>
    <x v="0"/>
    <x v="2"/>
    <x v="3"/>
    <x v="0"/>
    <x v="0"/>
    <n v="3650"/>
    <n v="39500"/>
    <n v="48"/>
    <n v="0.49299999999999999"/>
    <s v="Rejected"/>
    <x v="0"/>
    <n v="0"/>
    <n v="1"/>
    <n v="0"/>
    <m/>
    <n v="4"/>
    <n v="1"/>
    <n v="1"/>
  </r>
  <r>
    <s v="LA-702227"/>
    <d v="2024-12-05T00:00:00"/>
    <x v="0"/>
    <s v="Q4"/>
    <x v="11"/>
    <x v="2"/>
    <x v="3"/>
    <x v="4"/>
    <x v="0"/>
    <x v="3"/>
    <n v="3600"/>
    <n v="61000"/>
    <n v="60"/>
    <n v="0.60599999999999998"/>
    <s v="Approved"/>
    <x v="1"/>
    <n v="1"/>
    <n v="0"/>
    <n v="61000"/>
    <n v="9.1600000000000001E-2"/>
    <n v="14"/>
    <n v="0"/>
    <n v="1"/>
  </r>
  <r>
    <s v="LA-702228"/>
    <d v="2024-12-05T00:00:00"/>
    <x v="0"/>
    <s v="Q4"/>
    <x v="11"/>
    <x v="2"/>
    <x v="3"/>
    <x v="4"/>
    <x v="1"/>
    <x v="1"/>
    <n v="6800"/>
    <n v="161500"/>
    <n v="12"/>
    <n v="2.3239999999999998"/>
    <s v="Rejected"/>
    <x v="3"/>
    <n v="0"/>
    <n v="1"/>
    <n v="0"/>
    <m/>
    <n v="17"/>
    <n v="0"/>
    <n v="1"/>
  </r>
  <r>
    <s v="LA-702229"/>
    <d v="2024-12-05T00:00:00"/>
    <x v="0"/>
    <s v="Q4"/>
    <x v="11"/>
    <x v="1"/>
    <x v="2"/>
    <x v="0"/>
    <x v="1"/>
    <x v="1"/>
    <n v="5350"/>
    <n v="13500"/>
    <n v="60"/>
    <n v="0.26600000000000001"/>
    <s v="Rejected"/>
    <x v="4"/>
    <n v="0"/>
    <n v="1"/>
    <n v="0"/>
    <m/>
    <n v="5"/>
    <n v="0"/>
    <n v="1"/>
  </r>
  <r>
    <s v="LA-702230"/>
    <d v="2024-12-05T00:00:00"/>
    <x v="0"/>
    <s v="Q4"/>
    <x v="11"/>
    <x v="0"/>
    <x v="1"/>
    <x v="2"/>
    <x v="1"/>
    <x v="4"/>
    <n v="7650"/>
    <n v="28000"/>
    <n v="60"/>
    <n v="0.18"/>
    <s v="Approved"/>
    <x v="1"/>
    <n v="1"/>
    <n v="0"/>
    <n v="22500"/>
    <n v="7.1999999999999995E-2"/>
    <n v="2"/>
    <n v="1"/>
    <n v="1"/>
  </r>
  <r>
    <s v="LA-702231"/>
    <d v="2024-12-05T00:00:00"/>
    <x v="0"/>
    <s v="Q4"/>
    <x v="11"/>
    <x v="3"/>
    <x v="3"/>
    <x v="3"/>
    <x v="1"/>
    <x v="1"/>
    <n v="4100"/>
    <n v="251000"/>
    <n v="180"/>
    <n v="0.65700000000000003"/>
    <s v="Approved"/>
    <x v="1"/>
    <n v="1"/>
    <n v="0"/>
    <n v="201000"/>
    <n v="5.9700000000000003E-2"/>
    <n v="29"/>
    <n v="0"/>
    <n v="1"/>
  </r>
  <r>
    <s v="LA-702232"/>
    <d v="2024-12-06T00:00:00"/>
    <x v="0"/>
    <s v="Q4"/>
    <x v="11"/>
    <x v="3"/>
    <x v="3"/>
    <x v="0"/>
    <x v="0"/>
    <x v="4"/>
    <n v="3300"/>
    <n v="219500"/>
    <n v="240"/>
    <n v="0.60499999999999998"/>
    <s v="Rejected"/>
    <x v="3"/>
    <n v="0"/>
    <n v="1"/>
    <n v="0"/>
    <m/>
    <n v="16"/>
    <n v="0"/>
    <n v="1"/>
  </r>
  <r>
    <s v="LA-702233"/>
    <d v="2024-12-06T00:00:00"/>
    <x v="0"/>
    <s v="Q4"/>
    <x v="11"/>
    <x v="1"/>
    <x v="2"/>
    <x v="2"/>
    <x v="1"/>
    <x v="0"/>
    <n v="1800"/>
    <n v="13000"/>
    <n v="60"/>
    <n v="0.23100000000000001"/>
    <s v="Withdrawn"/>
    <x v="1"/>
    <n v="0"/>
    <n v="0"/>
    <n v="0"/>
    <m/>
    <n v="2"/>
    <n v="1"/>
    <n v="1"/>
  </r>
  <r>
    <s v="LA-702234"/>
    <d v="2024-12-06T00:00:00"/>
    <x v="0"/>
    <s v="Q4"/>
    <x v="11"/>
    <x v="1"/>
    <x v="1"/>
    <x v="2"/>
    <x v="0"/>
    <x v="3"/>
    <n v="3550"/>
    <n v="15000"/>
    <n v="60"/>
    <n v="0.26200000000000001"/>
    <s v="Approved"/>
    <x v="1"/>
    <n v="1"/>
    <n v="0"/>
    <n v="15000"/>
    <n v="0.10639999999999999"/>
    <n v="2"/>
    <n v="1"/>
    <n v="1"/>
  </r>
  <r>
    <s v="LA-702235"/>
    <d v="2024-12-06T00:00:00"/>
    <x v="0"/>
    <s v="Q4"/>
    <x v="11"/>
    <x v="3"/>
    <x v="2"/>
    <x v="4"/>
    <x v="1"/>
    <x v="0"/>
    <n v="8100"/>
    <n v="341500"/>
    <n v="240"/>
    <n v="0.42699999999999999"/>
    <s v="Rejected"/>
    <x v="0"/>
    <n v="0"/>
    <n v="1"/>
    <n v="0"/>
    <m/>
    <n v="8"/>
    <n v="1"/>
    <n v="1"/>
  </r>
  <r>
    <s v="LA-702236"/>
    <d v="2024-12-06T00:00:00"/>
    <x v="0"/>
    <s v="Q4"/>
    <x v="11"/>
    <x v="1"/>
    <x v="2"/>
    <x v="2"/>
    <x v="0"/>
    <x v="2"/>
    <n v="3600"/>
    <n v="25500"/>
    <n v="24"/>
    <n v="0.51700000000000002"/>
    <s v="Rejected"/>
    <x v="0"/>
    <n v="0"/>
    <n v="1"/>
    <n v="0"/>
    <m/>
    <n v="2"/>
    <n v="1"/>
    <n v="1"/>
  </r>
  <r>
    <s v="LA-702237"/>
    <d v="2024-12-06T00:00:00"/>
    <x v="0"/>
    <s v="Q4"/>
    <x v="11"/>
    <x v="0"/>
    <x v="2"/>
    <x v="0"/>
    <x v="1"/>
    <x v="1"/>
    <n v="6000"/>
    <n v="18500"/>
    <n v="36"/>
    <n v="0.14599999999999999"/>
    <s v="Rejected"/>
    <x v="5"/>
    <n v="0"/>
    <n v="1"/>
    <n v="0"/>
    <m/>
    <n v="4"/>
    <n v="1"/>
    <n v="1"/>
  </r>
  <r>
    <s v="LA-702238"/>
    <d v="2024-12-06T00:00:00"/>
    <x v="0"/>
    <s v="Q4"/>
    <x v="11"/>
    <x v="0"/>
    <x v="3"/>
    <x v="1"/>
    <x v="1"/>
    <x v="0"/>
    <n v="2800"/>
    <n v="31000"/>
    <n v="48"/>
    <n v="0.437"/>
    <s v="Rejected"/>
    <x v="0"/>
    <n v="0"/>
    <n v="1"/>
    <n v="0"/>
    <m/>
    <n v="4"/>
    <n v="1"/>
    <n v="1"/>
  </r>
  <r>
    <s v="LA-702239"/>
    <d v="2024-12-07T00:00:00"/>
    <x v="0"/>
    <s v="Q4"/>
    <x v="11"/>
    <x v="1"/>
    <x v="1"/>
    <x v="1"/>
    <x v="0"/>
    <x v="1"/>
    <n v="5450"/>
    <n v="8500"/>
    <n v="12"/>
    <n v="0.34799999999999998"/>
    <s v="Rejected"/>
    <x v="4"/>
    <n v="0"/>
    <n v="1"/>
    <n v="0"/>
    <m/>
    <n v="6"/>
    <n v="0"/>
    <n v="1"/>
  </r>
  <r>
    <s v="LA-702240"/>
    <d v="2024-12-07T00:00:00"/>
    <x v="0"/>
    <s v="Q4"/>
    <x v="11"/>
    <x v="1"/>
    <x v="3"/>
    <x v="4"/>
    <x v="0"/>
    <x v="4"/>
    <n v="3850"/>
    <n v="6000"/>
    <n v="24"/>
    <n v="0.313"/>
    <s v="Approved"/>
    <x v="1"/>
    <n v="1"/>
    <n v="0"/>
    <n v="6000"/>
    <n v="0.1176"/>
    <n v="3"/>
    <n v="1"/>
    <n v="1"/>
  </r>
  <r>
    <s v="LA-702241"/>
    <d v="2024-12-07T00:00:00"/>
    <x v="0"/>
    <s v="Q4"/>
    <x v="11"/>
    <x v="2"/>
    <x v="2"/>
    <x v="2"/>
    <x v="2"/>
    <x v="1"/>
    <n v="3300"/>
    <n v="96500"/>
    <n v="36"/>
    <n v="1.103"/>
    <s v="Rejected"/>
    <x v="3"/>
    <n v="0"/>
    <n v="1"/>
    <n v="0"/>
    <m/>
    <n v="6"/>
    <n v="1"/>
    <n v="1"/>
  </r>
  <r>
    <s v="LA-702242"/>
    <d v="2024-12-07T00:00:00"/>
    <x v="0"/>
    <s v="Q4"/>
    <x v="11"/>
    <x v="1"/>
    <x v="1"/>
    <x v="2"/>
    <x v="0"/>
    <x v="4"/>
    <n v="7350"/>
    <n v="8000"/>
    <n v="60"/>
    <n v="9.6000000000000002E-2"/>
    <s v="Approved"/>
    <x v="1"/>
    <n v="1"/>
    <n v="0"/>
    <n v="8000"/>
    <n v="0.1176"/>
    <n v="1"/>
    <n v="1"/>
    <n v="1"/>
  </r>
  <r>
    <s v="LA-702243"/>
    <d v="2024-12-07T00:00:00"/>
    <x v="0"/>
    <s v="Q4"/>
    <x v="11"/>
    <x v="2"/>
    <x v="2"/>
    <x v="2"/>
    <x v="0"/>
    <x v="4"/>
    <n v="2500"/>
    <n v="72500"/>
    <n v="24"/>
    <n v="1.524"/>
    <s v="Withdrawn"/>
    <x v="1"/>
    <n v="0"/>
    <n v="0"/>
    <n v="0"/>
    <m/>
    <n v="6"/>
    <n v="1"/>
    <n v="1"/>
  </r>
  <r>
    <s v="LA-702244"/>
    <d v="2024-12-08T00:00:00"/>
    <x v="0"/>
    <s v="Q4"/>
    <x v="11"/>
    <x v="0"/>
    <x v="3"/>
    <x v="3"/>
    <x v="1"/>
    <x v="1"/>
    <n v="6500"/>
    <n v="17500"/>
    <n v="60"/>
    <n v="0.23100000000000001"/>
    <s v="Approved"/>
    <x v="1"/>
    <n v="1"/>
    <n v="0"/>
    <n v="17500"/>
    <n v="8.6900000000000005E-2"/>
    <n v="7"/>
    <n v="0"/>
    <n v="1"/>
  </r>
  <r>
    <s v="LA-702245"/>
    <d v="2024-12-08T00:00:00"/>
    <x v="0"/>
    <s v="Q4"/>
    <x v="11"/>
    <x v="3"/>
    <x v="1"/>
    <x v="4"/>
    <x v="2"/>
    <x v="0"/>
    <n v="4050"/>
    <n v="239000"/>
    <n v="180"/>
    <n v="0.69299999999999995"/>
    <s v="Approved"/>
    <x v="1"/>
    <n v="1"/>
    <n v="0"/>
    <n v="215000"/>
    <n v="7.5800000000000006E-2"/>
    <n v="6"/>
    <n v="1"/>
    <n v="1"/>
  </r>
  <r>
    <s v="LA-702246"/>
    <d v="2024-12-08T00:00:00"/>
    <x v="0"/>
    <s v="Q4"/>
    <x v="11"/>
    <x v="3"/>
    <x v="3"/>
    <x v="2"/>
    <x v="2"/>
    <x v="1"/>
    <n v="7800"/>
    <n v="161000"/>
    <n v="180"/>
    <n v="0.38600000000000001"/>
    <s v="Approved"/>
    <x v="1"/>
    <n v="1"/>
    <n v="0"/>
    <n v="145000"/>
    <n v="5.9299999999999999E-2"/>
    <n v="23"/>
    <n v="0"/>
    <n v="1"/>
  </r>
  <r>
    <s v="LA-702247"/>
    <d v="2024-12-08T00:00:00"/>
    <x v="0"/>
    <s v="Q4"/>
    <x v="11"/>
    <x v="1"/>
    <x v="3"/>
    <x v="1"/>
    <x v="1"/>
    <x v="4"/>
    <n v="3300"/>
    <n v="8500"/>
    <n v="60"/>
    <n v="0.186"/>
    <s v="Rejected"/>
    <x v="5"/>
    <n v="0"/>
    <n v="1"/>
    <n v="0"/>
    <m/>
    <n v="6"/>
    <n v="0"/>
    <n v="1"/>
  </r>
  <r>
    <s v="LA-702248"/>
    <d v="2024-12-09T00:00:00"/>
    <x v="0"/>
    <s v="Q4"/>
    <x v="11"/>
    <x v="1"/>
    <x v="1"/>
    <x v="2"/>
    <x v="0"/>
    <x v="0"/>
    <n v="2150"/>
    <n v="18500"/>
    <n v="24"/>
    <n v="0.61699999999999999"/>
    <s v="Rejected"/>
    <x v="0"/>
    <n v="0"/>
    <n v="1"/>
    <n v="0"/>
    <m/>
    <n v="1"/>
    <n v="1"/>
    <n v="1"/>
  </r>
  <r>
    <s v="LA-702249"/>
    <d v="2024-12-09T00:00:00"/>
    <x v="0"/>
    <s v="Q4"/>
    <x v="11"/>
    <x v="1"/>
    <x v="1"/>
    <x v="1"/>
    <x v="1"/>
    <x v="1"/>
    <n v="4350"/>
    <n v="5500"/>
    <n v="24"/>
    <n v="0.16700000000000001"/>
    <s v="Rejected"/>
    <x v="5"/>
    <n v="0"/>
    <n v="1"/>
    <n v="0"/>
    <m/>
    <n v="2"/>
    <n v="1"/>
    <n v="1"/>
  </r>
  <r>
    <s v="LA-702250"/>
    <d v="2024-12-09T00:00:00"/>
    <x v="0"/>
    <s v="Q4"/>
    <x v="11"/>
    <x v="2"/>
    <x v="3"/>
    <x v="1"/>
    <x v="0"/>
    <x v="3"/>
    <n v="5900"/>
    <n v="52500"/>
    <n v="36"/>
    <n v="0.35499999999999998"/>
    <s v="Approved"/>
    <x v="1"/>
    <n v="1"/>
    <n v="0"/>
    <n v="52500"/>
    <n v="9.1399999999999995E-2"/>
    <n v="9"/>
    <n v="1"/>
    <n v="1"/>
  </r>
  <r>
    <s v="LA-702251"/>
    <d v="2024-12-09T00:00:00"/>
    <x v="0"/>
    <s v="Q4"/>
    <x v="11"/>
    <x v="3"/>
    <x v="3"/>
    <x v="2"/>
    <x v="1"/>
    <x v="0"/>
    <n v="3750"/>
    <n v="263000"/>
    <n v="240"/>
    <n v="0.55400000000000005"/>
    <s v="Approved"/>
    <x v="1"/>
    <n v="1"/>
    <n v="0"/>
    <n v="263000"/>
    <n v="7.1599999999999997E-2"/>
    <n v="14"/>
    <n v="1"/>
    <n v="1"/>
  </r>
  <r>
    <s v="LA-702252"/>
    <d v="2024-12-09T00:00:00"/>
    <x v="0"/>
    <s v="Q4"/>
    <x v="11"/>
    <x v="3"/>
    <x v="2"/>
    <x v="2"/>
    <x v="0"/>
    <x v="0"/>
    <n v="6500"/>
    <n v="493000"/>
    <n v="300"/>
    <n v="0.53600000000000003"/>
    <s v="Approved"/>
    <x v="1"/>
    <n v="1"/>
    <n v="0"/>
    <n v="493000"/>
    <n v="7.0800000000000002E-2"/>
    <n v="10"/>
    <n v="1"/>
    <n v="1"/>
  </r>
  <r>
    <s v="LA-702253"/>
    <d v="2024-12-09T00:00:00"/>
    <x v="0"/>
    <s v="Q4"/>
    <x v="11"/>
    <x v="1"/>
    <x v="1"/>
    <x v="2"/>
    <x v="0"/>
    <x v="0"/>
    <n v="3600"/>
    <n v="8500"/>
    <n v="24"/>
    <n v="0.19"/>
    <s v="Rejected"/>
    <x v="0"/>
    <n v="0"/>
    <n v="1"/>
    <n v="0"/>
    <m/>
    <n v="2"/>
    <n v="1"/>
    <n v="1"/>
  </r>
  <r>
    <s v="LA-702254"/>
    <d v="2024-12-09T00:00:00"/>
    <x v="0"/>
    <s v="Q4"/>
    <x v="11"/>
    <x v="2"/>
    <x v="3"/>
    <x v="2"/>
    <x v="1"/>
    <x v="0"/>
    <n v="2450"/>
    <n v="69000"/>
    <n v="36"/>
    <n v="1.095"/>
    <s v="Rejected"/>
    <x v="0"/>
    <n v="0"/>
    <n v="1"/>
    <n v="0"/>
    <m/>
    <n v="24"/>
    <n v="0"/>
    <n v="1"/>
  </r>
  <r>
    <s v="LA-702255"/>
    <d v="2024-12-09T00:00:00"/>
    <x v="0"/>
    <s v="Q4"/>
    <x v="11"/>
    <x v="1"/>
    <x v="0"/>
    <x v="3"/>
    <x v="0"/>
    <x v="4"/>
    <n v="8100"/>
    <n v="10500"/>
    <n v="12"/>
    <n v="0.27200000000000002"/>
    <s v="Approved"/>
    <x v="1"/>
    <n v="1"/>
    <n v="0"/>
    <n v="10500"/>
    <n v="0.1182"/>
    <n v="3"/>
    <n v="1"/>
    <n v="1"/>
  </r>
  <r>
    <s v="LA-702256"/>
    <d v="2024-12-09T00:00:00"/>
    <x v="0"/>
    <s v="Q4"/>
    <x v="11"/>
    <x v="2"/>
    <x v="3"/>
    <x v="1"/>
    <x v="1"/>
    <x v="1"/>
    <n v="4650"/>
    <n v="116500"/>
    <n v="12"/>
    <n v="2.33"/>
    <s v="Rejected"/>
    <x v="3"/>
    <n v="0"/>
    <n v="1"/>
    <n v="0"/>
    <m/>
    <n v="12"/>
    <n v="0"/>
    <n v="1"/>
  </r>
  <r>
    <s v="LA-702257"/>
    <d v="2024-12-09T00:00:00"/>
    <x v="0"/>
    <s v="Q4"/>
    <x v="11"/>
    <x v="1"/>
    <x v="3"/>
    <x v="2"/>
    <x v="0"/>
    <x v="1"/>
    <n v="2950"/>
    <n v="10500"/>
    <n v="60"/>
    <n v="0.22800000000000001"/>
    <s v="Rejected"/>
    <x v="2"/>
    <n v="0"/>
    <n v="1"/>
    <n v="0"/>
    <m/>
    <n v="5"/>
    <n v="0"/>
    <n v="1"/>
  </r>
  <r>
    <s v="LA-702258"/>
    <d v="2024-12-10T00:00:00"/>
    <x v="0"/>
    <s v="Q4"/>
    <x v="11"/>
    <x v="1"/>
    <x v="3"/>
    <x v="1"/>
    <x v="2"/>
    <x v="0"/>
    <n v="5100"/>
    <n v="5500"/>
    <n v="12"/>
    <n v="0.28599999999999998"/>
    <s v="Approved"/>
    <x v="1"/>
    <n v="1"/>
    <n v="0"/>
    <n v="5500"/>
    <n v="0.14699999999999999"/>
    <n v="5"/>
    <n v="0"/>
    <n v="1"/>
  </r>
  <r>
    <s v="LA-702259"/>
    <d v="2024-12-10T00:00:00"/>
    <x v="0"/>
    <s v="Q4"/>
    <x v="11"/>
    <x v="1"/>
    <x v="2"/>
    <x v="0"/>
    <x v="0"/>
    <x v="0"/>
    <n v="4700"/>
    <n v="18500"/>
    <n v="12"/>
    <n v="0.57899999999999996"/>
    <s v="Approved"/>
    <x v="1"/>
    <n v="1"/>
    <n v="0"/>
    <n v="16500"/>
    <n v="0.13619999999999999"/>
    <n v="3"/>
    <n v="1"/>
    <n v="1"/>
  </r>
  <r>
    <s v="LA-702260"/>
    <d v="2024-12-10T00:00:00"/>
    <x v="0"/>
    <s v="Q4"/>
    <x v="11"/>
    <x v="1"/>
    <x v="0"/>
    <x v="2"/>
    <x v="1"/>
    <x v="0"/>
    <n v="5200"/>
    <n v="12500"/>
    <n v="36"/>
    <n v="0.182"/>
    <s v="Approved"/>
    <x v="1"/>
    <n v="1"/>
    <n v="0"/>
    <n v="11000"/>
    <n v="0.14169999999999999"/>
    <n v="2"/>
    <n v="1"/>
    <n v="1"/>
  </r>
  <r>
    <s v="LA-702261"/>
    <d v="2024-12-10T00:00:00"/>
    <x v="0"/>
    <s v="Q4"/>
    <x v="11"/>
    <x v="2"/>
    <x v="1"/>
    <x v="2"/>
    <x v="1"/>
    <x v="1"/>
    <n v="6600"/>
    <n v="94000"/>
    <n v="24"/>
    <n v="0.88500000000000001"/>
    <s v="Approved"/>
    <x v="1"/>
    <n v="1"/>
    <n v="0"/>
    <n v="94000"/>
    <n v="0.1062"/>
    <n v="3"/>
    <n v="1"/>
    <n v="1"/>
  </r>
  <r>
    <s v="LA-702262"/>
    <d v="2024-12-10T00:00:00"/>
    <x v="0"/>
    <s v="Q4"/>
    <x v="11"/>
    <x v="2"/>
    <x v="3"/>
    <x v="3"/>
    <x v="0"/>
    <x v="4"/>
    <n v="4150"/>
    <n v="89500"/>
    <n v="24"/>
    <n v="1.1479999999999999"/>
    <s v="Rejected"/>
    <x v="3"/>
    <n v="0"/>
    <n v="1"/>
    <n v="0"/>
    <m/>
    <n v="14"/>
    <n v="0"/>
    <n v="1"/>
  </r>
  <r>
    <s v="LA-702263"/>
    <d v="2024-12-10T00:00:00"/>
    <x v="0"/>
    <s v="Q4"/>
    <x v="11"/>
    <x v="3"/>
    <x v="3"/>
    <x v="2"/>
    <x v="0"/>
    <x v="1"/>
    <n v="5550"/>
    <n v="348500"/>
    <n v="180"/>
    <n v="0.70099999999999996"/>
    <s v="Approved"/>
    <x v="1"/>
    <n v="1"/>
    <n v="0"/>
    <n v="313500"/>
    <n v="5.96E-2"/>
    <n v="16"/>
    <n v="0"/>
    <n v="1"/>
  </r>
  <r>
    <s v="LA-702264"/>
    <d v="2024-12-11T00:00:00"/>
    <x v="0"/>
    <s v="Q4"/>
    <x v="11"/>
    <x v="0"/>
    <x v="0"/>
    <x v="0"/>
    <x v="1"/>
    <x v="0"/>
    <n v="5250"/>
    <n v="36000"/>
    <n v="48"/>
    <n v="0.317"/>
    <s v="Approved"/>
    <x v="1"/>
    <n v="1"/>
    <n v="0"/>
    <n v="32500"/>
    <n v="9.8900000000000002E-2"/>
    <n v="9"/>
    <n v="0"/>
    <n v="1"/>
  </r>
  <r>
    <s v="LA-702265"/>
    <d v="2024-12-11T00:00:00"/>
    <x v="0"/>
    <s v="Q4"/>
    <x v="11"/>
    <x v="0"/>
    <x v="3"/>
    <x v="2"/>
    <x v="2"/>
    <x v="0"/>
    <n v="5150"/>
    <n v="46000"/>
    <n v="48"/>
    <n v="0.39200000000000002"/>
    <s v="Rejected"/>
    <x v="0"/>
    <n v="0"/>
    <n v="1"/>
    <n v="0"/>
    <m/>
    <n v="5"/>
    <n v="0"/>
    <n v="1"/>
  </r>
  <r>
    <s v="LA-702266"/>
    <d v="2024-12-11T00:00:00"/>
    <x v="0"/>
    <s v="Q4"/>
    <x v="11"/>
    <x v="3"/>
    <x v="2"/>
    <x v="1"/>
    <x v="0"/>
    <x v="1"/>
    <n v="3000"/>
    <n v="537000"/>
    <n v="180"/>
    <n v="1.4890000000000001"/>
    <s v="Rejected"/>
    <x v="4"/>
    <n v="0"/>
    <n v="1"/>
    <n v="0"/>
    <m/>
    <n v="10"/>
    <n v="1"/>
    <n v="1"/>
  </r>
  <r>
    <s v="LA-702267"/>
    <d v="2024-12-11T00:00:00"/>
    <x v="0"/>
    <s v="Q4"/>
    <x v="11"/>
    <x v="0"/>
    <x v="1"/>
    <x v="2"/>
    <x v="1"/>
    <x v="0"/>
    <n v="2450"/>
    <n v="33000"/>
    <n v="48"/>
    <n v="0.46200000000000002"/>
    <s v="Rejected"/>
    <x v="0"/>
    <n v="0"/>
    <n v="1"/>
    <n v="0"/>
    <m/>
    <n v="2"/>
    <n v="1"/>
    <n v="1"/>
  </r>
  <r>
    <s v="LA-702268"/>
    <d v="2024-12-11T00:00:00"/>
    <x v="0"/>
    <s v="Q4"/>
    <x v="11"/>
    <x v="0"/>
    <x v="3"/>
    <x v="3"/>
    <x v="0"/>
    <x v="0"/>
    <n v="7400"/>
    <n v="23000"/>
    <n v="36"/>
    <n v="0.219"/>
    <s v="Rejected"/>
    <x v="0"/>
    <n v="0"/>
    <n v="1"/>
    <n v="0"/>
    <m/>
    <n v="3"/>
    <n v="1"/>
    <n v="1"/>
  </r>
  <r>
    <s v="LA-702269"/>
    <d v="2024-12-11T00:00:00"/>
    <x v="0"/>
    <s v="Q4"/>
    <x v="11"/>
    <x v="2"/>
    <x v="1"/>
    <x v="3"/>
    <x v="1"/>
    <x v="4"/>
    <n v="4850"/>
    <n v="53000"/>
    <n v="60"/>
    <n v="0.38600000000000001"/>
    <s v="Approved"/>
    <x v="1"/>
    <n v="1"/>
    <n v="0"/>
    <n v="53000"/>
    <n v="9.8000000000000004E-2"/>
    <n v="5"/>
    <n v="1"/>
    <n v="1"/>
  </r>
  <r>
    <s v="LA-702270"/>
    <d v="2024-12-11T00:00:00"/>
    <x v="0"/>
    <s v="Q4"/>
    <x v="11"/>
    <x v="3"/>
    <x v="1"/>
    <x v="0"/>
    <x v="0"/>
    <x v="0"/>
    <n v="4350"/>
    <n v="341000"/>
    <n v="300"/>
    <n v="0.50600000000000001"/>
    <s v="Rejected"/>
    <x v="3"/>
    <n v="0"/>
    <n v="1"/>
    <n v="0"/>
    <m/>
    <n v="4"/>
    <n v="1"/>
    <n v="1"/>
  </r>
  <r>
    <s v="LA-702271"/>
    <d v="2024-12-11T00:00:00"/>
    <x v="0"/>
    <s v="Q4"/>
    <x v="11"/>
    <x v="1"/>
    <x v="2"/>
    <x v="2"/>
    <x v="1"/>
    <x v="3"/>
    <n v="4250"/>
    <n v="9000"/>
    <n v="12"/>
    <n v="0.379"/>
    <s v="Rejected"/>
    <x v="4"/>
    <n v="0"/>
    <n v="1"/>
    <n v="0"/>
    <m/>
    <n v="7"/>
    <n v="0"/>
    <n v="1"/>
  </r>
  <r>
    <s v="LA-702272"/>
    <d v="2024-12-12T00:00:00"/>
    <x v="0"/>
    <s v="Q4"/>
    <x v="11"/>
    <x v="1"/>
    <x v="1"/>
    <x v="2"/>
    <x v="1"/>
    <x v="0"/>
    <n v="3900"/>
    <n v="14500"/>
    <n v="12"/>
    <n v="0.40799999999999997"/>
    <s v="Approved"/>
    <x v="1"/>
    <n v="1"/>
    <n v="0"/>
    <n v="14500"/>
    <n v="0.13780000000000001"/>
    <n v="3"/>
    <n v="1"/>
    <n v="1"/>
  </r>
  <r>
    <s v="LA-702273"/>
    <d v="2024-12-12T00:00:00"/>
    <x v="0"/>
    <s v="Q4"/>
    <x v="11"/>
    <x v="3"/>
    <x v="1"/>
    <x v="2"/>
    <x v="0"/>
    <x v="1"/>
    <n v="5600"/>
    <n v="103500"/>
    <n v="240"/>
    <n v="0.2"/>
    <s v="Approved"/>
    <x v="1"/>
    <n v="1"/>
    <n v="0"/>
    <n v="103500"/>
    <n v="5.7000000000000002E-2"/>
    <n v="4"/>
    <n v="1"/>
    <n v="1"/>
  </r>
  <r>
    <s v="LA-702274"/>
    <d v="2024-12-12T00:00:00"/>
    <x v="0"/>
    <s v="Q4"/>
    <x v="11"/>
    <x v="1"/>
    <x v="0"/>
    <x v="3"/>
    <x v="0"/>
    <x v="4"/>
    <n v="5400"/>
    <n v="13000"/>
    <n v="60"/>
    <n v="0.27600000000000002"/>
    <s v="Rejected"/>
    <x v="4"/>
    <n v="0"/>
    <n v="1"/>
    <n v="0"/>
    <m/>
    <n v="9"/>
    <n v="0"/>
    <n v="1"/>
  </r>
  <r>
    <s v="LA-702275"/>
    <d v="2024-12-12T00:00:00"/>
    <x v="0"/>
    <s v="Q4"/>
    <x v="11"/>
    <x v="2"/>
    <x v="1"/>
    <x v="2"/>
    <x v="1"/>
    <x v="0"/>
    <n v="4750"/>
    <n v="88500"/>
    <n v="60"/>
    <n v="0.60199999999999998"/>
    <s v="Rejected"/>
    <x v="3"/>
    <n v="0"/>
    <n v="1"/>
    <n v="0"/>
    <m/>
    <n v="3"/>
    <n v="1"/>
    <n v="1"/>
  </r>
  <r>
    <s v="LA-702276"/>
    <d v="2024-12-12T00:00:00"/>
    <x v="0"/>
    <s v="Q4"/>
    <x v="11"/>
    <x v="2"/>
    <x v="2"/>
    <x v="2"/>
    <x v="0"/>
    <x v="1"/>
    <n v="7250"/>
    <n v="51500"/>
    <n v="36"/>
    <n v="0.36299999999999999"/>
    <s v="Approved"/>
    <x v="1"/>
    <n v="1"/>
    <n v="0"/>
    <n v="46500"/>
    <n v="0.1013"/>
    <n v="6"/>
    <n v="1"/>
    <n v="1"/>
  </r>
  <r>
    <s v="LA-702277"/>
    <d v="2024-12-12T00:00:00"/>
    <x v="0"/>
    <s v="Q4"/>
    <x v="11"/>
    <x v="1"/>
    <x v="2"/>
    <x v="2"/>
    <x v="0"/>
    <x v="1"/>
    <n v="4350"/>
    <n v="14000"/>
    <n v="36"/>
    <n v="0.20399999999999999"/>
    <s v="Rejected"/>
    <x v="0"/>
    <n v="0"/>
    <n v="1"/>
    <n v="0"/>
    <m/>
    <n v="2"/>
    <n v="1"/>
    <n v="1"/>
  </r>
  <r>
    <s v="LA-702278"/>
    <d v="2024-12-12T00:00:00"/>
    <x v="0"/>
    <s v="Q4"/>
    <x v="11"/>
    <x v="1"/>
    <x v="1"/>
    <x v="1"/>
    <x v="0"/>
    <x v="1"/>
    <n v="2700"/>
    <n v="24500"/>
    <n v="48"/>
    <n v="0.45900000000000002"/>
    <s v="Approved"/>
    <x v="1"/>
    <n v="1"/>
    <n v="0"/>
    <n v="24500"/>
    <n v="0.126"/>
    <n v="3"/>
    <n v="1"/>
    <n v="1"/>
  </r>
  <r>
    <s v="LA-702279"/>
    <d v="2024-12-13T00:00:00"/>
    <x v="0"/>
    <s v="Q4"/>
    <x v="11"/>
    <x v="1"/>
    <x v="1"/>
    <x v="1"/>
    <x v="2"/>
    <x v="3"/>
    <n v="5450"/>
    <n v="10000"/>
    <n v="36"/>
    <n v="0.18"/>
    <s v="Approved"/>
    <x v="1"/>
    <n v="1"/>
    <n v="0"/>
    <n v="10000"/>
    <n v="0.11169999999999999"/>
    <n v="1"/>
    <n v="1"/>
    <n v="1"/>
  </r>
  <r>
    <s v="LA-702280"/>
    <d v="2024-12-13T00:00:00"/>
    <x v="0"/>
    <s v="Q4"/>
    <x v="11"/>
    <x v="0"/>
    <x v="2"/>
    <x v="3"/>
    <x v="0"/>
    <x v="4"/>
    <n v="10500"/>
    <n v="25000"/>
    <n v="36"/>
    <n v="0.14499999999999999"/>
    <s v="Approved"/>
    <x v="1"/>
    <n v="1"/>
    <n v="0"/>
    <n v="25000"/>
    <n v="7.7399999999999997E-2"/>
    <n v="3"/>
    <n v="1"/>
    <n v="1"/>
  </r>
  <r>
    <s v="LA-702281"/>
    <d v="2024-12-13T00:00:00"/>
    <x v="0"/>
    <s v="Q4"/>
    <x v="11"/>
    <x v="2"/>
    <x v="2"/>
    <x v="1"/>
    <x v="0"/>
    <x v="0"/>
    <n v="6600"/>
    <n v="85500"/>
    <n v="24"/>
    <n v="0.76300000000000001"/>
    <s v="Rejected"/>
    <x v="0"/>
    <n v="0"/>
    <n v="1"/>
    <n v="0"/>
    <m/>
    <n v="8"/>
    <n v="1"/>
    <n v="1"/>
  </r>
  <r>
    <s v="LA-702282"/>
    <d v="2024-12-13T00:00:00"/>
    <x v="0"/>
    <s v="Q4"/>
    <x v="11"/>
    <x v="1"/>
    <x v="0"/>
    <x v="1"/>
    <x v="0"/>
    <x v="1"/>
    <n v="4750"/>
    <n v="7500"/>
    <n v="60"/>
    <n v="0.17599999999999999"/>
    <s v="Approved"/>
    <x v="1"/>
    <n v="1"/>
    <n v="0"/>
    <n v="6000"/>
    <n v="0.1249"/>
    <n v="4"/>
    <n v="0"/>
    <n v="1"/>
  </r>
  <r>
    <s v="LA-702283"/>
    <d v="2024-12-13T00:00:00"/>
    <x v="0"/>
    <s v="Q4"/>
    <x v="11"/>
    <x v="0"/>
    <x v="1"/>
    <x v="1"/>
    <x v="2"/>
    <x v="4"/>
    <n v="4400"/>
    <n v="58000"/>
    <n v="36"/>
    <n v="0.58299999999999996"/>
    <s v="Rejected"/>
    <x v="3"/>
    <n v="0"/>
    <n v="1"/>
    <n v="0"/>
    <m/>
    <n v="3"/>
    <n v="1"/>
    <n v="1"/>
  </r>
  <r>
    <s v="LA-702284"/>
    <d v="2024-12-13T00:00:00"/>
    <x v="0"/>
    <s v="Q4"/>
    <x v="11"/>
    <x v="2"/>
    <x v="3"/>
    <x v="2"/>
    <x v="0"/>
    <x v="2"/>
    <n v="7700"/>
    <n v="118000"/>
    <n v="36"/>
    <n v="0.58199999999999996"/>
    <s v="Rejected"/>
    <x v="3"/>
    <n v="0"/>
    <n v="1"/>
    <n v="0"/>
    <m/>
    <n v="28"/>
    <n v="0"/>
    <n v="1"/>
  </r>
  <r>
    <s v="LA-702285"/>
    <d v="2024-12-13T00:00:00"/>
    <x v="0"/>
    <s v="Q4"/>
    <x v="11"/>
    <x v="2"/>
    <x v="3"/>
    <x v="4"/>
    <x v="2"/>
    <x v="4"/>
    <n v="6250"/>
    <n v="63500"/>
    <n v="12"/>
    <n v="1.05"/>
    <s v="Rejected"/>
    <x v="3"/>
    <n v="0"/>
    <n v="1"/>
    <n v="0"/>
    <m/>
    <n v="12"/>
    <n v="0"/>
    <n v="1"/>
  </r>
  <r>
    <s v="LA-702286"/>
    <d v="2024-12-14T00:00:00"/>
    <x v="0"/>
    <s v="Q4"/>
    <x v="11"/>
    <x v="1"/>
    <x v="2"/>
    <x v="0"/>
    <x v="1"/>
    <x v="4"/>
    <n v="4700"/>
    <n v="7500"/>
    <n v="60"/>
    <n v="0.129"/>
    <s v="Approved"/>
    <x v="1"/>
    <n v="1"/>
    <n v="0"/>
    <n v="7000"/>
    <n v="0.11600000000000001"/>
    <n v="2"/>
    <n v="1"/>
    <n v="1"/>
  </r>
  <r>
    <s v="LA-702287"/>
    <d v="2024-12-14T00:00:00"/>
    <x v="0"/>
    <s v="Q4"/>
    <x v="11"/>
    <x v="1"/>
    <x v="2"/>
    <x v="1"/>
    <x v="1"/>
    <x v="0"/>
    <n v="4800"/>
    <n v="11000"/>
    <n v="12"/>
    <n v="0.41499999999999998"/>
    <s v="Approved"/>
    <x v="1"/>
    <n v="1"/>
    <n v="0"/>
    <n v="11000"/>
    <n v="0.1358"/>
    <n v="2"/>
    <n v="1"/>
    <n v="1"/>
  </r>
  <r>
    <s v="LA-702288"/>
    <d v="2024-12-14T00:00:00"/>
    <x v="0"/>
    <s v="Q4"/>
    <x v="11"/>
    <x v="1"/>
    <x v="2"/>
    <x v="4"/>
    <x v="0"/>
    <x v="4"/>
    <n v="6150"/>
    <n v="6000"/>
    <n v="24"/>
    <n v="0.27300000000000002"/>
    <s v="Approved"/>
    <x v="1"/>
    <n v="1"/>
    <n v="0"/>
    <n v="6000"/>
    <n v="0.11360000000000001"/>
    <n v="2"/>
    <n v="1"/>
    <n v="1"/>
  </r>
  <r>
    <s v="LA-702289"/>
    <d v="2024-12-14T00:00:00"/>
    <x v="0"/>
    <s v="Q4"/>
    <x v="11"/>
    <x v="1"/>
    <x v="0"/>
    <x v="1"/>
    <x v="1"/>
    <x v="2"/>
    <n v="7250"/>
    <n v="14000"/>
    <n v="60"/>
    <n v="0.185"/>
    <s v="Rejected"/>
    <x v="0"/>
    <n v="0"/>
    <n v="1"/>
    <n v="0"/>
    <m/>
    <n v="2"/>
    <n v="1"/>
    <n v="1"/>
  </r>
  <r>
    <s v="LA-702290"/>
    <d v="2024-12-15T00:00:00"/>
    <x v="0"/>
    <s v="Q4"/>
    <x v="11"/>
    <x v="0"/>
    <x v="1"/>
    <x v="2"/>
    <x v="0"/>
    <x v="0"/>
    <n v="7600"/>
    <n v="26000"/>
    <n v="60"/>
    <n v="0.13300000000000001"/>
    <s v="Withdrawn"/>
    <x v="1"/>
    <n v="0"/>
    <n v="0"/>
    <n v="0"/>
    <m/>
    <n v="4"/>
    <n v="1"/>
    <n v="1"/>
  </r>
  <r>
    <s v="LA-702291"/>
    <d v="2024-12-15T00:00:00"/>
    <x v="0"/>
    <s v="Q4"/>
    <x v="11"/>
    <x v="2"/>
    <x v="3"/>
    <x v="2"/>
    <x v="1"/>
    <x v="2"/>
    <n v="4050"/>
    <n v="81500"/>
    <n v="60"/>
    <n v="0.51"/>
    <s v="Approved"/>
    <x v="1"/>
    <n v="1"/>
    <n v="0"/>
    <n v="65000"/>
    <n v="0.14399999999999999"/>
    <n v="17"/>
    <n v="0"/>
    <n v="1"/>
  </r>
  <r>
    <s v="LA-702292"/>
    <d v="2024-12-15T00:00:00"/>
    <x v="0"/>
    <s v="Q4"/>
    <x v="11"/>
    <x v="1"/>
    <x v="2"/>
    <x v="0"/>
    <x v="1"/>
    <x v="1"/>
    <n v="4600"/>
    <n v="11000"/>
    <n v="36"/>
    <n v="0.26400000000000001"/>
    <s v="Rejected"/>
    <x v="2"/>
    <n v="0"/>
    <n v="1"/>
    <n v="0"/>
    <m/>
    <n v="3"/>
    <n v="1"/>
    <n v="1"/>
  </r>
  <r>
    <s v="LA-702293"/>
    <d v="2024-12-15T00:00:00"/>
    <x v="0"/>
    <s v="Q4"/>
    <x v="11"/>
    <x v="0"/>
    <x v="1"/>
    <x v="4"/>
    <x v="1"/>
    <x v="0"/>
    <n v="8550"/>
    <n v="21500"/>
    <n v="60"/>
    <n v="0.17599999999999999"/>
    <s v="Rejected"/>
    <x v="0"/>
    <n v="0"/>
    <n v="1"/>
    <n v="0"/>
    <m/>
    <n v="3"/>
    <n v="1"/>
    <n v="1"/>
  </r>
  <r>
    <s v="LA-702294"/>
    <d v="2024-12-16T00:00:00"/>
    <x v="0"/>
    <s v="Q4"/>
    <x v="11"/>
    <x v="1"/>
    <x v="3"/>
    <x v="3"/>
    <x v="1"/>
    <x v="4"/>
    <n v="6850"/>
    <n v="5000"/>
    <n v="48"/>
    <n v="0.15"/>
    <s v="Approved"/>
    <x v="1"/>
    <n v="1"/>
    <n v="0"/>
    <n v="5000"/>
    <n v="0.1153"/>
    <n v="6"/>
    <n v="0"/>
    <n v="1"/>
  </r>
  <r>
    <s v="LA-702295"/>
    <d v="2024-12-16T00:00:00"/>
    <x v="0"/>
    <s v="Q4"/>
    <x v="11"/>
    <x v="1"/>
    <x v="2"/>
    <x v="1"/>
    <x v="2"/>
    <x v="1"/>
    <n v="4350"/>
    <n v="11500"/>
    <n v="24"/>
    <n v="0.28999999999999998"/>
    <s v="Rejected"/>
    <x v="4"/>
    <n v="0"/>
    <n v="1"/>
    <n v="0"/>
    <m/>
    <n v="6"/>
    <n v="0"/>
    <n v="1"/>
  </r>
  <r>
    <s v="LA-702296"/>
    <d v="2024-12-16T00:00:00"/>
    <x v="0"/>
    <s v="Q4"/>
    <x v="11"/>
    <x v="1"/>
    <x v="3"/>
    <x v="3"/>
    <x v="2"/>
    <x v="4"/>
    <n v="5100"/>
    <n v="9500"/>
    <n v="48"/>
    <n v="0.27600000000000002"/>
    <s v="Approved"/>
    <x v="1"/>
    <n v="1"/>
    <n v="0"/>
    <n v="9500"/>
    <n v="0.11700000000000001"/>
    <n v="6"/>
    <n v="0"/>
    <n v="1"/>
  </r>
  <r>
    <s v="LA-702297"/>
    <d v="2024-12-16T00:00:00"/>
    <x v="0"/>
    <s v="Q4"/>
    <x v="11"/>
    <x v="2"/>
    <x v="3"/>
    <x v="2"/>
    <x v="1"/>
    <x v="4"/>
    <n v="10750"/>
    <n v="131500"/>
    <n v="60"/>
    <n v="0.48"/>
    <s v="Approved"/>
    <x v="1"/>
    <n v="1"/>
    <n v="0"/>
    <n v="118500"/>
    <n v="9.4600000000000004E-2"/>
    <n v="8"/>
    <n v="1"/>
    <n v="1"/>
  </r>
  <r>
    <s v="LA-702298"/>
    <d v="2024-12-16T00:00:00"/>
    <x v="0"/>
    <s v="Q4"/>
    <x v="11"/>
    <x v="1"/>
    <x v="0"/>
    <x v="2"/>
    <x v="2"/>
    <x v="0"/>
    <n v="4050"/>
    <n v="16500"/>
    <n v="24"/>
    <n v="0.44"/>
    <s v="Approved"/>
    <x v="1"/>
    <n v="1"/>
    <n v="0"/>
    <n v="13000"/>
    <n v="0.1358"/>
    <n v="3"/>
    <n v="1"/>
    <n v="1"/>
  </r>
  <r>
    <s v="LA-702299"/>
    <d v="2024-12-16T00:00:00"/>
    <x v="0"/>
    <s v="Q4"/>
    <x v="11"/>
    <x v="1"/>
    <x v="2"/>
    <x v="1"/>
    <x v="0"/>
    <x v="2"/>
    <n v="2450"/>
    <n v="15000"/>
    <n v="24"/>
    <n v="0.47199999999999998"/>
    <s v="Rejected"/>
    <x v="0"/>
    <n v="0"/>
    <n v="1"/>
    <n v="0"/>
    <m/>
    <n v="3"/>
    <n v="1"/>
    <n v="1"/>
  </r>
  <r>
    <s v="LA-702300"/>
    <d v="2024-12-16T00:00:00"/>
    <x v="0"/>
    <s v="Q4"/>
    <x v="11"/>
    <x v="1"/>
    <x v="3"/>
    <x v="3"/>
    <x v="1"/>
    <x v="1"/>
    <n v="2750"/>
    <n v="10000"/>
    <n v="24"/>
    <n v="0.40799999999999997"/>
    <s v="Approved"/>
    <x v="1"/>
    <n v="1"/>
    <n v="0"/>
    <n v="9000"/>
    <n v="0.1273"/>
    <n v="6"/>
    <n v="0"/>
    <n v="1"/>
  </r>
  <r>
    <s v="LA-702301"/>
    <d v="2024-12-16T00:00:00"/>
    <x v="0"/>
    <s v="Q4"/>
    <x v="11"/>
    <x v="0"/>
    <x v="3"/>
    <x v="4"/>
    <x v="2"/>
    <x v="4"/>
    <n v="3500"/>
    <n v="41500"/>
    <n v="60"/>
    <n v="0.34100000000000003"/>
    <s v="Approved"/>
    <x v="1"/>
    <n v="1"/>
    <n v="0"/>
    <n v="41500"/>
    <n v="7.5499999999999998E-2"/>
    <n v="8"/>
    <n v="0"/>
    <n v="1"/>
  </r>
  <r>
    <s v="LA-702302"/>
    <d v="2024-12-16T00:00:00"/>
    <x v="0"/>
    <s v="Q4"/>
    <x v="11"/>
    <x v="1"/>
    <x v="1"/>
    <x v="2"/>
    <x v="0"/>
    <x v="0"/>
    <n v="5100"/>
    <n v="12500"/>
    <n v="24"/>
    <n v="0.20499999999999999"/>
    <s v="Approved"/>
    <x v="1"/>
    <n v="1"/>
    <n v="0"/>
    <n v="11000"/>
    <n v="0.14069999999999999"/>
    <n v="2"/>
    <n v="1"/>
    <n v="1"/>
  </r>
  <r>
    <s v="LA-702303"/>
    <d v="2024-12-17T00:00:00"/>
    <x v="0"/>
    <s v="Q4"/>
    <x v="11"/>
    <x v="0"/>
    <x v="0"/>
    <x v="2"/>
    <x v="1"/>
    <x v="3"/>
    <n v="6800"/>
    <n v="22500"/>
    <n v="48"/>
    <n v="0.13"/>
    <s v="Approved"/>
    <x v="1"/>
    <n v="1"/>
    <n v="0"/>
    <n v="20000"/>
    <n v="6.4699999999999994E-2"/>
    <n v="5"/>
    <n v="0"/>
    <n v="1"/>
  </r>
  <r>
    <s v="LA-702304"/>
    <d v="2024-12-17T00:00:00"/>
    <x v="0"/>
    <s v="Q4"/>
    <x v="11"/>
    <x v="3"/>
    <x v="3"/>
    <x v="2"/>
    <x v="2"/>
    <x v="4"/>
    <n v="12450"/>
    <n v="524500"/>
    <n v="180"/>
    <n v="0.39100000000000001"/>
    <s v="Approved"/>
    <x v="1"/>
    <n v="1"/>
    <n v="0"/>
    <n v="419500"/>
    <n v="5.28E-2"/>
    <n v="14"/>
    <n v="1"/>
    <n v="1"/>
  </r>
  <r>
    <s v="LA-702305"/>
    <d v="2024-12-17T00:00:00"/>
    <x v="0"/>
    <s v="Q4"/>
    <x v="11"/>
    <x v="1"/>
    <x v="3"/>
    <x v="0"/>
    <x v="1"/>
    <x v="0"/>
    <n v="6350"/>
    <n v="6000"/>
    <n v="36"/>
    <n v="0.27900000000000003"/>
    <s v="Approved"/>
    <x v="1"/>
    <n v="1"/>
    <n v="0"/>
    <n v="5000"/>
    <n v="0.1351"/>
    <n v="5"/>
    <n v="0"/>
    <n v="1"/>
  </r>
  <r>
    <s v="LA-702306"/>
    <d v="2024-12-17T00:00:00"/>
    <x v="0"/>
    <s v="Q4"/>
    <x v="11"/>
    <x v="0"/>
    <x v="2"/>
    <x v="3"/>
    <x v="1"/>
    <x v="4"/>
    <n v="4000"/>
    <n v="24000"/>
    <n v="36"/>
    <n v="0.378"/>
    <s v="Approved"/>
    <x v="1"/>
    <n v="1"/>
    <n v="0"/>
    <n v="24000"/>
    <n v="7.5200000000000003E-2"/>
    <n v="2"/>
    <n v="1"/>
    <n v="1"/>
  </r>
  <r>
    <s v="LA-702307"/>
    <d v="2024-12-18T00:00:00"/>
    <x v="0"/>
    <s v="Q4"/>
    <x v="11"/>
    <x v="3"/>
    <x v="3"/>
    <x v="2"/>
    <x v="0"/>
    <x v="3"/>
    <n v="4650"/>
    <n v="279500"/>
    <n v="180"/>
    <n v="0.70199999999999996"/>
    <s v="Approved"/>
    <x v="1"/>
    <n v="1"/>
    <n v="0"/>
    <n v="279500"/>
    <n v="3.7100000000000001E-2"/>
    <n v="22"/>
    <n v="0"/>
    <n v="1"/>
  </r>
  <r>
    <s v="LA-702308"/>
    <d v="2024-12-18T00:00:00"/>
    <x v="0"/>
    <s v="Q4"/>
    <x v="11"/>
    <x v="1"/>
    <x v="3"/>
    <x v="4"/>
    <x v="2"/>
    <x v="3"/>
    <n v="3650"/>
    <n v="11000"/>
    <n v="60"/>
    <n v="0.26700000000000002"/>
    <s v="Approved"/>
    <x v="1"/>
    <n v="1"/>
    <n v="0"/>
    <n v="10000"/>
    <n v="0.10970000000000001"/>
    <n v="4"/>
    <n v="0"/>
    <n v="1"/>
  </r>
  <r>
    <s v="LA-702309"/>
    <d v="2024-12-18T00:00:00"/>
    <x v="0"/>
    <s v="Q4"/>
    <x v="11"/>
    <x v="1"/>
    <x v="1"/>
    <x v="0"/>
    <x v="0"/>
    <x v="0"/>
    <n v="7850"/>
    <n v="29000"/>
    <n v="36"/>
    <n v="0.186"/>
    <s v="Approved"/>
    <x v="1"/>
    <n v="1"/>
    <n v="0"/>
    <n v="26000"/>
    <n v="0.1424"/>
    <n v="2"/>
    <n v="1"/>
    <n v="1"/>
  </r>
  <r>
    <s v="LA-702310"/>
    <d v="2024-12-18T00:00:00"/>
    <x v="0"/>
    <s v="Q4"/>
    <x v="11"/>
    <x v="1"/>
    <x v="1"/>
    <x v="2"/>
    <x v="1"/>
    <x v="1"/>
    <n v="6200"/>
    <n v="4500"/>
    <n v="24"/>
    <n v="0.16800000000000001"/>
    <s v="Approved"/>
    <x v="1"/>
    <n v="1"/>
    <n v="0"/>
    <n v="4500"/>
    <n v="0.1241"/>
    <n v="1"/>
    <n v="1"/>
    <n v="1"/>
  </r>
  <r>
    <s v="LA-702311"/>
    <d v="2024-12-18T00:00:00"/>
    <x v="0"/>
    <s v="Q4"/>
    <x v="11"/>
    <x v="3"/>
    <x v="0"/>
    <x v="0"/>
    <x v="2"/>
    <x v="1"/>
    <n v="6300"/>
    <n v="297000"/>
    <n v="300"/>
    <n v="0.52"/>
    <s v="Rejected"/>
    <x v="4"/>
    <n v="0"/>
    <n v="1"/>
    <n v="0"/>
    <m/>
    <n v="23"/>
    <n v="0"/>
    <n v="1"/>
  </r>
  <r>
    <s v="LA-702312"/>
    <d v="2024-12-18T00:00:00"/>
    <x v="0"/>
    <s v="Q4"/>
    <x v="11"/>
    <x v="1"/>
    <x v="2"/>
    <x v="1"/>
    <x v="1"/>
    <x v="1"/>
    <n v="4350"/>
    <n v="24500"/>
    <n v="60"/>
    <n v="0.251"/>
    <s v="Approved"/>
    <x v="1"/>
    <n v="1"/>
    <n v="0"/>
    <n v="22000"/>
    <n v="0.1216"/>
    <n v="3"/>
    <n v="1"/>
    <n v="1"/>
  </r>
  <r>
    <s v="LA-702313"/>
    <d v="2024-12-18T00:00:00"/>
    <x v="0"/>
    <s v="Q4"/>
    <x v="11"/>
    <x v="0"/>
    <x v="2"/>
    <x v="3"/>
    <x v="0"/>
    <x v="0"/>
    <n v="6000"/>
    <n v="24000"/>
    <n v="36"/>
    <n v="0.25900000000000001"/>
    <s v="Rejected"/>
    <x v="4"/>
    <n v="0"/>
    <n v="1"/>
    <n v="0"/>
    <m/>
    <n v="9"/>
    <n v="0"/>
    <n v="1"/>
  </r>
  <r>
    <s v="LA-702314"/>
    <d v="2024-12-18T00:00:00"/>
    <x v="0"/>
    <s v="Q4"/>
    <x v="11"/>
    <x v="0"/>
    <x v="1"/>
    <x v="4"/>
    <x v="0"/>
    <x v="1"/>
    <n v="3250"/>
    <n v="28000"/>
    <n v="36"/>
    <n v="0.46500000000000002"/>
    <s v="Approved"/>
    <x v="1"/>
    <n v="1"/>
    <n v="0"/>
    <n v="28000"/>
    <n v="8.2500000000000004E-2"/>
    <n v="4"/>
    <n v="1"/>
    <n v="1"/>
  </r>
  <r>
    <s v="LA-702315"/>
    <d v="2024-12-19T00:00:00"/>
    <x v="0"/>
    <s v="Q4"/>
    <x v="11"/>
    <x v="0"/>
    <x v="1"/>
    <x v="1"/>
    <x v="2"/>
    <x v="0"/>
    <n v="4650"/>
    <n v="35000"/>
    <n v="60"/>
    <n v="0.22500000000000001"/>
    <s v="Approved"/>
    <x v="1"/>
    <n v="1"/>
    <n v="0"/>
    <n v="35000"/>
    <n v="0.1019"/>
    <n v="3"/>
    <n v="1"/>
    <n v="1"/>
  </r>
  <r>
    <s v="LA-702316"/>
    <d v="2024-12-19T00:00:00"/>
    <x v="0"/>
    <s v="Q4"/>
    <x v="11"/>
    <x v="1"/>
    <x v="2"/>
    <x v="3"/>
    <x v="1"/>
    <x v="3"/>
    <n v="3500"/>
    <n v="14000"/>
    <n v="36"/>
    <n v="0.23499999999999999"/>
    <s v="Approved"/>
    <x v="1"/>
    <n v="1"/>
    <n v="0"/>
    <n v="14000"/>
    <n v="0.1004"/>
    <n v="3"/>
    <n v="1"/>
    <n v="1"/>
  </r>
  <r>
    <s v="LA-702317"/>
    <d v="2024-12-19T00:00:00"/>
    <x v="0"/>
    <s v="Q4"/>
    <x v="11"/>
    <x v="1"/>
    <x v="1"/>
    <x v="2"/>
    <x v="0"/>
    <x v="0"/>
    <n v="2750"/>
    <n v="9000"/>
    <n v="36"/>
    <n v="0.22700000000000001"/>
    <s v="Approved"/>
    <x v="1"/>
    <n v="1"/>
    <n v="0"/>
    <n v="9000"/>
    <n v="0.1348"/>
    <n v="2"/>
    <n v="1"/>
    <n v="1"/>
  </r>
  <r>
    <s v="LA-702318"/>
    <d v="2024-12-20T00:00:00"/>
    <x v="0"/>
    <s v="Q4"/>
    <x v="11"/>
    <x v="1"/>
    <x v="3"/>
    <x v="3"/>
    <x v="2"/>
    <x v="2"/>
    <n v="3350"/>
    <n v="9500"/>
    <n v="60"/>
    <n v="0.26400000000000001"/>
    <s v="Approved"/>
    <x v="1"/>
    <n v="1"/>
    <n v="0"/>
    <n v="8500"/>
    <n v="0.156"/>
    <n v="5"/>
    <n v="0"/>
    <n v="1"/>
  </r>
  <r>
    <s v="LA-702319"/>
    <d v="2024-12-20T00:00:00"/>
    <x v="0"/>
    <s v="Q4"/>
    <x v="11"/>
    <x v="1"/>
    <x v="3"/>
    <x v="2"/>
    <x v="1"/>
    <x v="0"/>
    <n v="4250"/>
    <n v="9500"/>
    <n v="24"/>
    <n v="0.20699999999999999"/>
    <s v="Rejected"/>
    <x v="0"/>
    <n v="0"/>
    <n v="1"/>
    <n v="0"/>
    <m/>
    <n v="5"/>
    <n v="0"/>
    <n v="1"/>
  </r>
  <r>
    <s v="LA-702320"/>
    <d v="2024-12-20T00:00:00"/>
    <x v="0"/>
    <s v="Q4"/>
    <x v="11"/>
    <x v="0"/>
    <x v="2"/>
    <x v="2"/>
    <x v="1"/>
    <x v="1"/>
    <n v="3250"/>
    <n v="19000"/>
    <n v="60"/>
    <n v="0.253"/>
    <s v="Approved"/>
    <x v="1"/>
    <n v="1"/>
    <n v="0"/>
    <n v="19000"/>
    <n v="7.9699999999999993E-2"/>
    <n v="4"/>
    <n v="1"/>
    <n v="1"/>
  </r>
  <r>
    <s v="LA-702321"/>
    <d v="2024-12-20T00:00:00"/>
    <x v="0"/>
    <s v="Q4"/>
    <x v="11"/>
    <x v="0"/>
    <x v="3"/>
    <x v="2"/>
    <x v="0"/>
    <x v="0"/>
    <n v="5250"/>
    <n v="37000"/>
    <n v="48"/>
    <n v="0.28799999999999998"/>
    <s v="Rejected"/>
    <x v="2"/>
    <n v="0"/>
    <n v="1"/>
    <n v="0"/>
    <m/>
    <n v="4"/>
    <n v="1"/>
    <n v="1"/>
  </r>
  <r>
    <s v="LA-702322"/>
    <d v="2024-12-20T00:00:00"/>
    <x v="0"/>
    <s v="Q4"/>
    <x v="11"/>
    <x v="2"/>
    <x v="3"/>
    <x v="2"/>
    <x v="0"/>
    <x v="1"/>
    <n v="3050"/>
    <n v="93000"/>
    <n v="60"/>
    <n v="0.84399999999999997"/>
    <s v="Rejected"/>
    <x v="3"/>
    <n v="0"/>
    <n v="1"/>
    <n v="0"/>
    <m/>
    <n v="17"/>
    <n v="0"/>
    <n v="1"/>
  </r>
  <r>
    <s v="LA-702323"/>
    <d v="2024-12-21T00:00:00"/>
    <x v="0"/>
    <s v="Q4"/>
    <x v="11"/>
    <x v="3"/>
    <x v="0"/>
    <x v="1"/>
    <x v="0"/>
    <x v="1"/>
    <n v="9750"/>
    <n v="507000"/>
    <n v="240"/>
    <n v="0.52600000000000002"/>
    <s v="Rejected"/>
    <x v="3"/>
    <n v="0"/>
    <n v="1"/>
    <n v="0"/>
    <m/>
    <n v="13"/>
    <n v="1"/>
    <n v="1"/>
  </r>
  <r>
    <s v="LA-702324"/>
    <d v="2024-12-21T00:00:00"/>
    <x v="0"/>
    <s v="Q4"/>
    <x v="11"/>
    <x v="1"/>
    <x v="3"/>
    <x v="3"/>
    <x v="0"/>
    <x v="0"/>
    <n v="2900"/>
    <n v="12500"/>
    <n v="24"/>
    <n v="0.29399999999999998"/>
    <s v="Approved"/>
    <x v="1"/>
    <n v="1"/>
    <n v="0"/>
    <n v="10000"/>
    <n v="0.14099999999999999"/>
    <n v="3"/>
    <n v="1"/>
    <n v="1"/>
  </r>
  <r>
    <s v="LA-702325"/>
    <d v="2024-12-21T00:00:00"/>
    <x v="0"/>
    <s v="Q4"/>
    <x v="11"/>
    <x v="0"/>
    <x v="1"/>
    <x v="3"/>
    <x v="0"/>
    <x v="3"/>
    <n v="7750"/>
    <n v="17500"/>
    <n v="48"/>
    <n v="0.191"/>
    <s v="Approved"/>
    <x v="1"/>
    <n v="1"/>
    <n v="0"/>
    <n v="16000"/>
    <n v="6.6799999999999998E-2"/>
    <n v="2"/>
    <n v="1"/>
    <n v="1"/>
  </r>
  <r>
    <s v="LA-702326"/>
    <d v="2024-12-21T00:00:00"/>
    <x v="0"/>
    <s v="Q4"/>
    <x v="11"/>
    <x v="2"/>
    <x v="3"/>
    <x v="1"/>
    <x v="0"/>
    <x v="4"/>
    <n v="2900"/>
    <n v="145500"/>
    <n v="12"/>
    <n v="4.5750000000000002"/>
    <s v="Rejected"/>
    <x v="3"/>
    <n v="0"/>
    <n v="1"/>
    <n v="0"/>
    <m/>
    <n v="28"/>
    <n v="0"/>
    <n v="1"/>
  </r>
  <r>
    <s v="LA-702327"/>
    <d v="2024-12-21T00:00:00"/>
    <x v="0"/>
    <s v="Q4"/>
    <x v="11"/>
    <x v="3"/>
    <x v="3"/>
    <x v="3"/>
    <x v="2"/>
    <x v="1"/>
    <n v="10250"/>
    <n v="328000"/>
    <n v="180"/>
    <n v="0.36"/>
    <s v="Approved"/>
    <x v="1"/>
    <n v="1"/>
    <n v="0"/>
    <n v="262500"/>
    <n v="5.8999999999999997E-2"/>
    <n v="23"/>
    <n v="0"/>
    <n v="1"/>
  </r>
  <r>
    <s v="LA-702328"/>
    <d v="2024-12-21T00:00:00"/>
    <x v="0"/>
    <s v="Q4"/>
    <x v="11"/>
    <x v="1"/>
    <x v="1"/>
    <x v="2"/>
    <x v="0"/>
    <x v="0"/>
    <n v="3200"/>
    <n v="15000"/>
    <n v="60"/>
    <n v="0.26500000000000001"/>
    <s v="Rejected"/>
    <x v="0"/>
    <n v="0"/>
    <n v="1"/>
    <n v="0"/>
    <m/>
    <n v="2"/>
    <n v="1"/>
    <n v="1"/>
  </r>
  <r>
    <s v="LA-702329"/>
    <d v="2024-12-23T00:00:00"/>
    <x v="0"/>
    <s v="Q4"/>
    <x v="11"/>
    <x v="3"/>
    <x v="3"/>
    <x v="3"/>
    <x v="0"/>
    <x v="1"/>
    <n v="3450"/>
    <n v="234500"/>
    <n v="300"/>
    <n v="0.55700000000000005"/>
    <s v="Approved"/>
    <x v="1"/>
    <n v="1"/>
    <n v="0"/>
    <n v="187500"/>
    <n v="5.5399999999999998E-2"/>
    <n v="16"/>
    <n v="0"/>
    <n v="1"/>
  </r>
  <r>
    <s v="LA-702330"/>
    <d v="2024-12-23T00:00:00"/>
    <x v="0"/>
    <s v="Q4"/>
    <x v="11"/>
    <x v="1"/>
    <x v="1"/>
    <x v="2"/>
    <x v="2"/>
    <x v="1"/>
    <n v="7750"/>
    <n v="4000"/>
    <n v="12"/>
    <n v="0.26400000000000001"/>
    <s v="Withdrawn"/>
    <x v="1"/>
    <n v="0"/>
    <n v="0"/>
    <n v="0"/>
    <m/>
    <n v="2"/>
    <n v="1"/>
    <n v="1"/>
  </r>
  <r>
    <s v="LA-702331"/>
    <d v="2024-12-24T00:00:00"/>
    <x v="0"/>
    <s v="Q4"/>
    <x v="11"/>
    <x v="2"/>
    <x v="3"/>
    <x v="1"/>
    <x v="1"/>
    <x v="1"/>
    <n v="5350"/>
    <n v="61500"/>
    <n v="12"/>
    <n v="1.1930000000000001"/>
    <s v="Approved"/>
    <x v="1"/>
    <n v="1"/>
    <n v="0"/>
    <n v="49000"/>
    <n v="0.10390000000000001"/>
    <n v="16"/>
    <n v="0"/>
    <n v="1"/>
  </r>
  <r>
    <s v="LA-702332"/>
    <d v="2024-12-24T00:00:00"/>
    <x v="0"/>
    <s v="Q4"/>
    <x v="11"/>
    <x v="1"/>
    <x v="2"/>
    <x v="2"/>
    <x v="0"/>
    <x v="3"/>
    <n v="4300"/>
    <n v="19500"/>
    <n v="24"/>
    <n v="0.28899999999999998"/>
    <s v="Approved"/>
    <x v="1"/>
    <n v="1"/>
    <n v="0"/>
    <n v="19500"/>
    <n v="0.10979999999999999"/>
    <n v="2"/>
    <n v="1"/>
    <n v="1"/>
  </r>
  <r>
    <s v="LA-702333"/>
    <d v="2024-12-24T00:00:00"/>
    <x v="0"/>
    <s v="Q4"/>
    <x v="11"/>
    <x v="0"/>
    <x v="1"/>
    <x v="3"/>
    <x v="0"/>
    <x v="1"/>
    <n v="7250"/>
    <n v="14500"/>
    <n v="60"/>
    <n v="0.19700000000000001"/>
    <s v="Approved"/>
    <x v="1"/>
    <n v="1"/>
    <n v="0"/>
    <n v="14500"/>
    <n v="8.1100000000000005E-2"/>
    <n v="3"/>
    <n v="1"/>
    <n v="1"/>
  </r>
  <r>
    <s v="LA-702334"/>
    <d v="2024-12-24T00:00:00"/>
    <x v="0"/>
    <s v="Q4"/>
    <x v="11"/>
    <x v="0"/>
    <x v="2"/>
    <x v="2"/>
    <x v="0"/>
    <x v="0"/>
    <n v="4100"/>
    <n v="50000"/>
    <n v="60"/>
    <n v="0.372"/>
    <s v="Rejected"/>
    <x v="0"/>
    <n v="0"/>
    <n v="1"/>
    <n v="0"/>
    <m/>
    <n v="3"/>
    <n v="1"/>
    <n v="1"/>
  </r>
  <r>
    <s v="LA-702335"/>
    <d v="2024-12-24T00:00:00"/>
    <x v="0"/>
    <s v="Q4"/>
    <x v="11"/>
    <x v="2"/>
    <x v="3"/>
    <x v="3"/>
    <x v="2"/>
    <x v="0"/>
    <n v="6100"/>
    <n v="184000"/>
    <n v="12"/>
    <n v="2.827"/>
    <s v="Rejected"/>
    <x v="0"/>
    <n v="0"/>
    <n v="1"/>
    <n v="0"/>
    <m/>
    <n v="21"/>
    <n v="0"/>
    <n v="1"/>
  </r>
  <r>
    <s v="LA-702336"/>
    <d v="2024-12-24T00:00:00"/>
    <x v="0"/>
    <s v="Q4"/>
    <x v="11"/>
    <x v="1"/>
    <x v="2"/>
    <x v="1"/>
    <x v="2"/>
    <x v="0"/>
    <n v="7150"/>
    <n v="12500"/>
    <n v="60"/>
    <n v="0.253"/>
    <s v="Approved"/>
    <x v="1"/>
    <n v="1"/>
    <n v="0"/>
    <n v="11000"/>
    <n v="0.1429"/>
    <n v="1"/>
    <n v="1"/>
    <n v="1"/>
  </r>
  <r>
    <s v="LA-702337"/>
    <d v="2024-12-24T00:00:00"/>
    <x v="0"/>
    <s v="Q4"/>
    <x v="11"/>
    <x v="0"/>
    <x v="3"/>
    <x v="3"/>
    <x v="1"/>
    <x v="2"/>
    <n v="2700"/>
    <n v="27000"/>
    <n v="60"/>
    <n v="0.43"/>
    <s v="Rejected"/>
    <x v="0"/>
    <n v="0"/>
    <n v="1"/>
    <n v="0"/>
    <m/>
    <n v="8"/>
    <n v="0"/>
    <n v="1"/>
  </r>
  <r>
    <s v="LA-702338"/>
    <d v="2024-12-24T00:00:00"/>
    <x v="0"/>
    <s v="Q4"/>
    <x v="11"/>
    <x v="0"/>
    <x v="0"/>
    <x v="0"/>
    <x v="0"/>
    <x v="4"/>
    <n v="2300"/>
    <n v="22000"/>
    <n v="36"/>
    <n v="0.438"/>
    <s v="Approved"/>
    <x v="1"/>
    <n v="1"/>
    <n v="0"/>
    <n v="17500"/>
    <n v="6.6100000000000006E-2"/>
    <n v="4"/>
    <n v="1"/>
    <n v="1"/>
  </r>
  <r>
    <s v="LA-702339"/>
    <d v="2024-12-25T00:00:00"/>
    <x v="0"/>
    <s v="Q4"/>
    <x v="11"/>
    <x v="0"/>
    <x v="3"/>
    <x v="3"/>
    <x v="0"/>
    <x v="3"/>
    <n v="4200"/>
    <n v="33500"/>
    <n v="48"/>
    <n v="0.34499999999999997"/>
    <s v="Approved"/>
    <x v="1"/>
    <n v="1"/>
    <n v="0"/>
    <n v="33500"/>
    <n v="6.4799999999999996E-2"/>
    <n v="4"/>
    <n v="1"/>
    <n v="1"/>
  </r>
  <r>
    <s v="LA-702340"/>
    <d v="2024-12-25T00:00:00"/>
    <x v="0"/>
    <s v="Q4"/>
    <x v="11"/>
    <x v="1"/>
    <x v="3"/>
    <x v="0"/>
    <x v="1"/>
    <x v="1"/>
    <n v="3050"/>
    <n v="13000"/>
    <n v="48"/>
    <n v="0.22600000000000001"/>
    <s v="Approved"/>
    <x v="1"/>
    <n v="1"/>
    <n v="0"/>
    <n v="11500"/>
    <n v="0.12559999999999999"/>
    <n v="3"/>
    <n v="1"/>
    <n v="1"/>
  </r>
  <r>
    <s v="LA-702341"/>
    <d v="2024-12-25T00:00:00"/>
    <x v="0"/>
    <s v="Q4"/>
    <x v="11"/>
    <x v="1"/>
    <x v="2"/>
    <x v="1"/>
    <x v="2"/>
    <x v="1"/>
    <n v="11800"/>
    <n v="12000"/>
    <n v="12"/>
    <n v="0.19600000000000001"/>
    <s v="Approved"/>
    <x v="1"/>
    <n v="1"/>
    <n v="0"/>
    <n v="9500"/>
    <n v="0.13100000000000001"/>
    <n v="2"/>
    <n v="1"/>
    <n v="1"/>
  </r>
  <r>
    <s v="LA-702342"/>
    <d v="2024-12-25T00:00:00"/>
    <x v="0"/>
    <s v="Q4"/>
    <x v="11"/>
    <x v="3"/>
    <x v="0"/>
    <x v="1"/>
    <x v="2"/>
    <x v="3"/>
    <n v="4000"/>
    <n v="242500"/>
    <n v="300"/>
    <n v="0.55900000000000005"/>
    <s v="Rejected"/>
    <x v="3"/>
    <n v="0"/>
    <n v="1"/>
    <n v="0"/>
    <m/>
    <n v="20"/>
    <n v="0"/>
    <n v="1"/>
  </r>
  <r>
    <s v="LA-702343"/>
    <d v="2024-12-26T00:00:00"/>
    <x v="0"/>
    <s v="Q4"/>
    <x v="11"/>
    <x v="2"/>
    <x v="1"/>
    <x v="4"/>
    <x v="2"/>
    <x v="1"/>
    <n v="7100"/>
    <n v="90500"/>
    <n v="60"/>
    <n v="0.35"/>
    <s v="Rejected"/>
    <x v="0"/>
    <n v="0"/>
    <n v="1"/>
    <n v="0"/>
    <m/>
    <n v="9"/>
    <n v="1"/>
    <n v="1"/>
  </r>
  <r>
    <s v="LA-702344"/>
    <d v="2024-12-26T00:00:00"/>
    <x v="0"/>
    <s v="Q4"/>
    <x v="11"/>
    <x v="2"/>
    <x v="2"/>
    <x v="3"/>
    <x v="0"/>
    <x v="2"/>
    <n v="7200"/>
    <n v="89000"/>
    <n v="60"/>
    <n v="0.44600000000000001"/>
    <s v="Rejected"/>
    <x v="5"/>
    <n v="0"/>
    <n v="1"/>
    <n v="0"/>
    <m/>
    <n v="9"/>
    <n v="1"/>
    <n v="1"/>
  </r>
  <r>
    <s v="LA-702345"/>
    <d v="2024-12-26T00:00:00"/>
    <x v="0"/>
    <s v="Q4"/>
    <x v="11"/>
    <x v="0"/>
    <x v="3"/>
    <x v="1"/>
    <x v="0"/>
    <x v="2"/>
    <n v="6000"/>
    <n v="35000"/>
    <n v="60"/>
    <n v="0.312"/>
    <s v="Rejected"/>
    <x v="0"/>
    <n v="0"/>
    <n v="1"/>
    <n v="0"/>
    <m/>
    <n v="5"/>
    <n v="0"/>
    <n v="1"/>
  </r>
  <r>
    <s v="LA-702346"/>
    <d v="2024-12-26T00:00:00"/>
    <x v="0"/>
    <s v="Q4"/>
    <x v="11"/>
    <x v="3"/>
    <x v="3"/>
    <x v="0"/>
    <x v="0"/>
    <x v="3"/>
    <n v="3400"/>
    <n v="196000"/>
    <n v="240"/>
    <n v="0.46800000000000003"/>
    <s v="Approved"/>
    <x v="1"/>
    <n v="1"/>
    <n v="0"/>
    <n v="196000"/>
    <n v="4.4999999999999998E-2"/>
    <n v="37"/>
    <n v="0"/>
    <n v="1"/>
  </r>
  <r>
    <s v="LA-702347"/>
    <d v="2024-12-26T00:00:00"/>
    <x v="0"/>
    <s v="Q4"/>
    <x v="11"/>
    <x v="3"/>
    <x v="3"/>
    <x v="1"/>
    <x v="2"/>
    <x v="4"/>
    <n v="8150"/>
    <n v="486000"/>
    <n v="240"/>
    <n v="0.621"/>
    <s v="Approved"/>
    <x v="1"/>
    <n v="1"/>
    <n v="0"/>
    <n v="389000"/>
    <n v="5.2600000000000001E-2"/>
    <n v="22"/>
    <n v="0"/>
    <n v="1"/>
  </r>
  <r>
    <s v="LA-702348"/>
    <d v="2024-12-26T00:00:00"/>
    <x v="0"/>
    <s v="Q4"/>
    <x v="11"/>
    <x v="0"/>
    <x v="0"/>
    <x v="2"/>
    <x v="0"/>
    <x v="0"/>
    <n v="5050"/>
    <n v="15000"/>
    <n v="36"/>
    <n v="0.28599999999999998"/>
    <s v="Rejected"/>
    <x v="0"/>
    <n v="0"/>
    <n v="1"/>
    <n v="0"/>
    <m/>
    <n v="6"/>
    <n v="0"/>
    <n v="1"/>
  </r>
  <r>
    <s v="LA-702349"/>
    <d v="2024-12-26T00:00:00"/>
    <x v="0"/>
    <s v="Q4"/>
    <x v="11"/>
    <x v="1"/>
    <x v="2"/>
    <x v="4"/>
    <x v="1"/>
    <x v="2"/>
    <n v="6500"/>
    <n v="10500"/>
    <n v="12"/>
    <n v="0.27"/>
    <s v="Rejected"/>
    <x v="0"/>
    <n v="0"/>
    <n v="1"/>
    <n v="0"/>
    <m/>
    <n v="3"/>
    <n v="1"/>
    <n v="1"/>
  </r>
  <r>
    <s v="LA-702350"/>
    <d v="2024-12-26T00:00:00"/>
    <x v="0"/>
    <s v="Q4"/>
    <x v="11"/>
    <x v="0"/>
    <x v="2"/>
    <x v="2"/>
    <x v="0"/>
    <x v="1"/>
    <n v="3000"/>
    <n v="19500"/>
    <n v="48"/>
    <n v="0.38800000000000001"/>
    <s v="Approved"/>
    <x v="1"/>
    <n v="1"/>
    <n v="0"/>
    <n v="19500"/>
    <n v="8.2400000000000001E-2"/>
    <n v="3"/>
    <n v="1"/>
    <n v="1"/>
  </r>
  <r>
    <s v="LA-702351"/>
    <d v="2024-12-26T00:00:00"/>
    <x v="0"/>
    <s v="Q4"/>
    <x v="11"/>
    <x v="1"/>
    <x v="3"/>
    <x v="3"/>
    <x v="0"/>
    <x v="4"/>
    <n v="6150"/>
    <n v="5500"/>
    <n v="24"/>
    <n v="0.20599999999999999"/>
    <s v="Approved"/>
    <x v="1"/>
    <n v="1"/>
    <n v="0"/>
    <n v="5500"/>
    <n v="0.1134"/>
    <n v="3"/>
    <n v="1"/>
    <n v="1"/>
  </r>
  <r>
    <s v="LA-702352"/>
    <d v="2024-12-26T00:00:00"/>
    <x v="0"/>
    <s v="Q4"/>
    <x v="11"/>
    <x v="1"/>
    <x v="1"/>
    <x v="4"/>
    <x v="0"/>
    <x v="3"/>
    <n v="5700"/>
    <n v="17000"/>
    <n v="48"/>
    <n v="0.27800000000000002"/>
    <s v="Rejected"/>
    <x v="2"/>
    <n v="0"/>
    <n v="1"/>
    <n v="0"/>
    <m/>
    <n v="1"/>
    <n v="1"/>
    <n v="1"/>
  </r>
  <r>
    <s v="LA-702353"/>
    <d v="2024-12-27T00:00:00"/>
    <x v="0"/>
    <s v="Q4"/>
    <x v="11"/>
    <x v="1"/>
    <x v="0"/>
    <x v="1"/>
    <x v="0"/>
    <x v="4"/>
    <n v="11500"/>
    <n v="11000"/>
    <n v="36"/>
    <n v="0.20200000000000001"/>
    <s v="Rejected"/>
    <x v="0"/>
    <n v="0"/>
    <n v="1"/>
    <n v="0"/>
    <m/>
    <n v="3"/>
    <n v="1"/>
    <n v="1"/>
  </r>
  <r>
    <s v="LA-702354"/>
    <d v="2024-12-27T00:00:00"/>
    <x v="0"/>
    <s v="Q4"/>
    <x v="11"/>
    <x v="1"/>
    <x v="2"/>
    <x v="1"/>
    <x v="0"/>
    <x v="3"/>
    <n v="8300"/>
    <n v="14500"/>
    <n v="48"/>
    <n v="0.28399999999999997"/>
    <s v="Approved"/>
    <x v="1"/>
    <n v="1"/>
    <n v="0"/>
    <n v="11500"/>
    <n v="0.1095"/>
    <n v="2"/>
    <n v="1"/>
    <n v="1"/>
  </r>
  <r>
    <s v="LA-702355"/>
    <d v="2024-12-27T00:00:00"/>
    <x v="0"/>
    <s v="Q4"/>
    <x v="11"/>
    <x v="1"/>
    <x v="3"/>
    <x v="4"/>
    <x v="0"/>
    <x v="1"/>
    <n v="2250"/>
    <n v="7000"/>
    <n v="36"/>
    <n v="0.34200000000000003"/>
    <s v="Approved"/>
    <x v="1"/>
    <n v="1"/>
    <n v="0"/>
    <n v="6500"/>
    <n v="0.125"/>
    <n v="5"/>
    <n v="0"/>
    <n v="1"/>
  </r>
  <r>
    <s v="LA-702356"/>
    <d v="2024-12-27T00:00:00"/>
    <x v="0"/>
    <s v="Q4"/>
    <x v="11"/>
    <x v="1"/>
    <x v="2"/>
    <x v="1"/>
    <x v="1"/>
    <x v="4"/>
    <n v="4850"/>
    <n v="26500"/>
    <n v="36"/>
    <n v="0.35099999999999998"/>
    <s v="Approved"/>
    <x v="1"/>
    <n v="1"/>
    <n v="0"/>
    <n v="26500"/>
    <n v="0.11840000000000001"/>
    <n v="3"/>
    <n v="1"/>
    <n v="1"/>
  </r>
  <r>
    <s v="LA-702357"/>
    <d v="2024-12-27T00:00:00"/>
    <x v="0"/>
    <s v="Q4"/>
    <x v="11"/>
    <x v="2"/>
    <x v="0"/>
    <x v="1"/>
    <x v="1"/>
    <x v="0"/>
    <n v="5350"/>
    <n v="152000"/>
    <n v="24"/>
    <n v="1.3680000000000001"/>
    <s v="Rejected"/>
    <x v="0"/>
    <n v="0"/>
    <n v="1"/>
    <n v="0"/>
    <m/>
    <n v="13"/>
    <n v="0"/>
    <n v="1"/>
  </r>
  <r>
    <s v="LA-702358"/>
    <d v="2024-12-27T00:00:00"/>
    <x v="0"/>
    <s v="Q4"/>
    <x v="11"/>
    <x v="1"/>
    <x v="1"/>
    <x v="2"/>
    <x v="2"/>
    <x v="0"/>
    <n v="4650"/>
    <n v="11500"/>
    <n v="12"/>
    <n v="0.3"/>
    <s v="Rejected"/>
    <x v="0"/>
    <n v="0"/>
    <n v="1"/>
    <n v="0"/>
    <m/>
    <n v="1"/>
    <n v="1"/>
    <n v="1"/>
  </r>
  <r>
    <s v="LA-702359"/>
    <d v="2024-12-27T00:00:00"/>
    <x v="0"/>
    <s v="Q4"/>
    <x v="11"/>
    <x v="2"/>
    <x v="0"/>
    <x v="2"/>
    <x v="0"/>
    <x v="3"/>
    <n v="10100"/>
    <n v="190500"/>
    <n v="36"/>
    <n v="0.83799999999999997"/>
    <s v="Approved"/>
    <x v="1"/>
    <n v="1"/>
    <n v="0"/>
    <n v="190500"/>
    <n v="8.48E-2"/>
    <n v="12"/>
    <n v="0"/>
    <n v="1"/>
  </r>
  <r>
    <s v="LA-702360"/>
    <d v="2024-12-27T00:00:00"/>
    <x v="0"/>
    <s v="Q4"/>
    <x v="11"/>
    <x v="0"/>
    <x v="3"/>
    <x v="4"/>
    <x v="2"/>
    <x v="4"/>
    <n v="4600"/>
    <n v="34000"/>
    <n v="48"/>
    <n v="0.29499999999999998"/>
    <s v="Approved"/>
    <x v="1"/>
    <n v="1"/>
    <n v="0"/>
    <n v="30500"/>
    <n v="7.0499999999999993E-2"/>
    <n v="6"/>
    <n v="0"/>
    <n v="1"/>
  </r>
  <r>
    <s v="LA-702361"/>
    <d v="2024-12-28T00:00:00"/>
    <x v="0"/>
    <s v="Q4"/>
    <x v="11"/>
    <x v="1"/>
    <x v="0"/>
    <x v="2"/>
    <x v="0"/>
    <x v="1"/>
    <n v="3550"/>
    <n v="30500"/>
    <n v="36"/>
    <n v="0.52800000000000002"/>
    <s v="Approved"/>
    <x v="1"/>
    <n v="1"/>
    <n v="0"/>
    <n v="30500"/>
    <n v="0.12529999999999999"/>
    <n v="4"/>
    <n v="0"/>
    <n v="1"/>
  </r>
  <r>
    <s v="LA-702362"/>
    <d v="2024-12-28T00:00:00"/>
    <x v="0"/>
    <s v="Q4"/>
    <x v="11"/>
    <x v="3"/>
    <x v="3"/>
    <x v="3"/>
    <x v="0"/>
    <x v="1"/>
    <n v="7500"/>
    <n v="180500"/>
    <n v="180"/>
    <n v="0.28399999999999997"/>
    <s v="Approved"/>
    <x v="1"/>
    <n v="1"/>
    <n v="0"/>
    <n v="162500"/>
    <n v="6.2199999999999998E-2"/>
    <n v="21"/>
    <n v="0"/>
    <n v="1"/>
  </r>
  <r>
    <s v="LA-702363"/>
    <d v="2024-12-28T00:00:00"/>
    <x v="0"/>
    <s v="Q4"/>
    <x v="11"/>
    <x v="1"/>
    <x v="2"/>
    <x v="4"/>
    <x v="1"/>
    <x v="4"/>
    <n v="5250"/>
    <n v="16000"/>
    <n v="12"/>
    <n v="0.42699999999999999"/>
    <s v="Approved"/>
    <x v="1"/>
    <n v="1"/>
    <n v="0"/>
    <n v="14500"/>
    <n v="0.11840000000000001"/>
    <n v="2"/>
    <n v="1"/>
    <n v="1"/>
  </r>
  <r>
    <s v="LA-702364"/>
    <d v="2024-12-28T00:00:00"/>
    <x v="0"/>
    <s v="Q4"/>
    <x v="11"/>
    <x v="1"/>
    <x v="1"/>
    <x v="3"/>
    <x v="0"/>
    <x v="1"/>
    <n v="3350"/>
    <n v="10000"/>
    <n v="36"/>
    <n v="0.30299999999999999"/>
    <s v="Rejected"/>
    <x v="4"/>
    <n v="0"/>
    <n v="1"/>
    <n v="0"/>
    <m/>
    <n v="5"/>
    <n v="0"/>
    <n v="1"/>
  </r>
  <r>
    <s v="LA-702365"/>
    <d v="2024-12-28T00:00:00"/>
    <x v="0"/>
    <s v="Q4"/>
    <x v="11"/>
    <x v="1"/>
    <x v="2"/>
    <x v="3"/>
    <x v="0"/>
    <x v="2"/>
    <n v="6150"/>
    <n v="4500"/>
    <n v="12"/>
    <n v="0.15"/>
    <s v="Rejected"/>
    <x v="5"/>
    <n v="0"/>
    <n v="1"/>
    <n v="0"/>
    <m/>
    <n v="3"/>
    <n v="1"/>
    <n v="1"/>
  </r>
  <r>
    <s v="LA-702366"/>
    <d v="2024-12-29T00:00:00"/>
    <x v="0"/>
    <s v="Q4"/>
    <x v="11"/>
    <x v="1"/>
    <x v="0"/>
    <x v="3"/>
    <x v="1"/>
    <x v="2"/>
    <n v="5550"/>
    <n v="51000"/>
    <n v="36"/>
    <n v="0.49"/>
    <s v="Rejected"/>
    <x v="4"/>
    <n v="0"/>
    <n v="1"/>
    <n v="0"/>
    <m/>
    <n v="11"/>
    <n v="0"/>
    <n v="1"/>
  </r>
  <r>
    <s v="LA-702367"/>
    <d v="2024-12-29T00:00:00"/>
    <x v="0"/>
    <s v="Q4"/>
    <x v="11"/>
    <x v="1"/>
    <x v="2"/>
    <x v="3"/>
    <x v="0"/>
    <x v="0"/>
    <n v="4900"/>
    <n v="15500"/>
    <n v="24"/>
    <n v="0.38500000000000001"/>
    <s v="Approved"/>
    <x v="1"/>
    <n v="1"/>
    <n v="0"/>
    <n v="15500"/>
    <n v="0.1404"/>
    <n v="1"/>
    <n v="1"/>
    <n v="1"/>
  </r>
  <r>
    <s v="LA-702368"/>
    <d v="2024-12-29T00:00:00"/>
    <x v="0"/>
    <s v="Q4"/>
    <x v="11"/>
    <x v="0"/>
    <x v="1"/>
    <x v="3"/>
    <x v="0"/>
    <x v="0"/>
    <n v="5450"/>
    <n v="16500"/>
    <n v="36"/>
    <n v="0.29599999999999999"/>
    <s v="Rejected"/>
    <x v="0"/>
    <n v="0"/>
    <n v="1"/>
    <n v="0"/>
    <m/>
    <n v="2"/>
    <n v="1"/>
    <n v="1"/>
  </r>
  <r>
    <s v="LA-702369"/>
    <d v="2024-12-29T00:00:00"/>
    <x v="0"/>
    <s v="Q4"/>
    <x v="11"/>
    <x v="3"/>
    <x v="3"/>
    <x v="2"/>
    <x v="2"/>
    <x v="1"/>
    <n v="9150"/>
    <n v="431000"/>
    <n v="180"/>
    <n v="0.56899999999999995"/>
    <s v="Rejected"/>
    <x v="3"/>
    <n v="0"/>
    <n v="1"/>
    <n v="0"/>
    <m/>
    <n v="13"/>
    <n v="1"/>
    <n v="1"/>
  </r>
  <r>
    <s v="LA-702370"/>
    <d v="2024-12-29T00:00:00"/>
    <x v="0"/>
    <s v="Q4"/>
    <x v="11"/>
    <x v="0"/>
    <x v="2"/>
    <x v="2"/>
    <x v="2"/>
    <x v="1"/>
    <n v="12800"/>
    <n v="15000"/>
    <n v="48"/>
    <n v="0.115"/>
    <s v="Approved"/>
    <x v="1"/>
    <n v="1"/>
    <n v="0"/>
    <n v="13500"/>
    <n v="8.0100000000000005E-2"/>
    <n v="3"/>
    <n v="1"/>
    <n v="1"/>
  </r>
  <r>
    <s v="LA-702371"/>
    <d v="2024-12-30T00:00:00"/>
    <x v="0"/>
    <s v="Q4"/>
    <x v="11"/>
    <x v="0"/>
    <x v="1"/>
    <x v="2"/>
    <x v="1"/>
    <x v="2"/>
    <n v="5050"/>
    <n v="42500"/>
    <n v="48"/>
    <n v="0.308"/>
    <s v="Rejected"/>
    <x v="0"/>
    <n v="0"/>
    <n v="1"/>
    <n v="0"/>
    <m/>
    <n v="2"/>
    <n v="1"/>
    <n v="1"/>
  </r>
  <r>
    <s v="LA-702372"/>
    <d v="2024-12-30T00:00:00"/>
    <x v="0"/>
    <s v="Q4"/>
    <x v="11"/>
    <x v="1"/>
    <x v="3"/>
    <x v="2"/>
    <x v="1"/>
    <x v="1"/>
    <n v="7150"/>
    <n v="8500"/>
    <n v="48"/>
    <n v="0.112"/>
    <s v="Rejected"/>
    <x v="4"/>
    <n v="0"/>
    <n v="1"/>
    <n v="0"/>
    <m/>
    <n v="9"/>
    <n v="0"/>
    <n v="1"/>
  </r>
  <r>
    <s v="LA-702373"/>
    <d v="2024-12-30T00:00:00"/>
    <x v="0"/>
    <s v="Q4"/>
    <x v="11"/>
    <x v="1"/>
    <x v="0"/>
    <x v="2"/>
    <x v="2"/>
    <x v="3"/>
    <n v="5500"/>
    <n v="12500"/>
    <n v="48"/>
    <n v="0.125"/>
    <s v="Approved"/>
    <x v="1"/>
    <n v="1"/>
    <n v="0"/>
    <n v="12500"/>
    <n v="0.11020000000000001"/>
    <n v="4"/>
    <n v="0"/>
    <n v="1"/>
  </r>
  <r>
    <s v="LA-702374"/>
    <d v="2024-12-30T00:00:00"/>
    <x v="0"/>
    <s v="Q4"/>
    <x v="11"/>
    <x v="2"/>
    <x v="2"/>
    <x v="3"/>
    <x v="0"/>
    <x v="1"/>
    <n v="5950"/>
    <n v="34000"/>
    <n v="12"/>
    <n v="0.63800000000000001"/>
    <s v="Approved"/>
    <x v="1"/>
    <n v="1"/>
    <n v="0"/>
    <n v="34000"/>
    <n v="0.10580000000000001"/>
    <n v="8"/>
    <n v="1"/>
    <n v="1"/>
  </r>
  <r>
    <s v="LA-702375"/>
    <d v="2024-12-30T00:00:00"/>
    <x v="0"/>
    <s v="Q4"/>
    <x v="11"/>
    <x v="2"/>
    <x v="1"/>
    <x v="3"/>
    <x v="0"/>
    <x v="4"/>
    <n v="4500"/>
    <n v="50000"/>
    <n v="12"/>
    <n v="1.03"/>
    <s v="Approved"/>
    <x v="1"/>
    <n v="1"/>
    <n v="0"/>
    <n v="45000"/>
    <n v="9.9400000000000002E-2"/>
    <n v="5"/>
    <n v="1"/>
    <n v="1"/>
  </r>
  <r>
    <s v="LA-702376"/>
    <d v="2024-12-30T00:00:00"/>
    <x v="0"/>
    <s v="Q4"/>
    <x v="11"/>
    <x v="3"/>
    <x v="3"/>
    <x v="2"/>
    <x v="1"/>
    <x v="2"/>
    <n v="4650"/>
    <n v="232500"/>
    <n v="180"/>
    <n v="0.46400000000000002"/>
    <s v="Rejected"/>
    <x v="3"/>
    <n v="0"/>
    <n v="1"/>
    <n v="0"/>
    <m/>
    <n v="19"/>
    <n v="0"/>
    <n v="1"/>
  </r>
  <r>
    <s v="LA-702377"/>
    <d v="2024-12-30T00:00:00"/>
    <x v="0"/>
    <s v="Q4"/>
    <x v="11"/>
    <x v="2"/>
    <x v="0"/>
    <x v="2"/>
    <x v="0"/>
    <x v="3"/>
    <n v="4450"/>
    <n v="98000"/>
    <n v="36"/>
    <n v="0.93400000000000005"/>
    <s v="Approved"/>
    <x v="1"/>
    <n v="1"/>
    <n v="0"/>
    <n v="98000"/>
    <n v="9.1600000000000001E-2"/>
    <n v="6"/>
    <n v="1"/>
    <n v="1"/>
  </r>
  <r>
    <s v="LA-702378"/>
    <d v="2024-12-30T00:00:00"/>
    <x v="0"/>
    <s v="Q4"/>
    <x v="11"/>
    <x v="1"/>
    <x v="2"/>
    <x v="2"/>
    <x v="2"/>
    <x v="2"/>
    <n v="8850"/>
    <n v="18500"/>
    <n v="36"/>
    <n v="0.26400000000000001"/>
    <s v="Rejected"/>
    <x v="0"/>
    <n v="0"/>
    <n v="1"/>
    <n v="0"/>
    <m/>
    <n v="2"/>
    <n v="1"/>
    <n v="1"/>
  </r>
  <r>
    <s v="LA-702379"/>
    <d v="2024-12-30T00:00:00"/>
    <x v="0"/>
    <s v="Q4"/>
    <x v="11"/>
    <x v="1"/>
    <x v="3"/>
    <x v="2"/>
    <x v="2"/>
    <x v="0"/>
    <n v="6850"/>
    <n v="14500"/>
    <n v="24"/>
    <n v="0.312"/>
    <s v="Rejected"/>
    <x v="0"/>
    <n v="0"/>
    <n v="1"/>
    <n v="0"/>
    <m/>
    <n v="4"/>
    <n v="0"/>
    <n v="1"/>
  </r>
  <r>
    <s v="LA-702380"/>
    <d v="2024-12-30T00:00:00"/>
    <x v="0"/>
    <s v="Q4"/>
    <x v="11"/>
    <x v="2"/>
    <x v="1"/>
    <x v="1"/>
    <x v="0"/>
    <x v="0"/>
    <n v="4650"/>
    <n v="199500"/>
    <n v="12"/>
    <n v="3.8410000000000002"/>
    <s v="Rejected"/>
    <x v="0"/>
    <n v="0"/>
    <n v="1"/>
    <n v="0"/>
    <m/>
    <n v="6"/>
    <n v="1"/>
    <n v="1"/>
  </r>
  <r>
    <s v="LA-702381"/>
    <d v="2024-12-30T00:00:00"/>
    <x v="0"/>
    <s v="Q4"/>
    <x v="11"/>
    <x v="2"/>
    <x v="1"/>
    <x v="1"/>
    <x v="1"/>
    <x v="0"/>
    <n v="4650"/>
    <n v="160500"/>
    <n v="36"/>
    <n v="1.2969999999999999"/>
    <s v="Rejected"/>
    <x v="3"/>
    <n v="0"/>
    <n v="1"/>
    <n v="0"/>
    <m/>
    <n v="5"/>
    <n v="1"/>
    <n v="1"/>
  </r>
  <r>
    <s v="LA-702382"/>
    <d v="2024-12-30T00:00:00"/>
    <x v="0"/>
    <s v="Q4"/>
    <x v="11"/>
    <x v="2"/>
    <x v="3"/>
    <x v="2"/>
    <x v="1"/>
    <x v="2"/>
    <n v="7350"/>
    <n v="84500"/>
    <n v="24"/>
    <n v="0.65900000000000003"/>
    <s v="Rejected"/>
    <x v="0"/>
    <n v="0"/>
    <n v="1"/>
    <n v="0"/>
    <m/>
    <n v="16"/>
    <n v="0"/>
    <n v="1"/>
  </r>
  <r>
    <s v="LA-702383"/>
    <d v="2024-12-31T00:00:00"/>
    <x v="0"/>
    <s v="Q4"/>
    <x v="11"/>
    <x v="3"/>
    <x v="0"/>
    <x v="2"/>
    <x v="0"/>
    <x v="0"/>
    <n v="6150"/>
    <n v="372000"/>
    <n v="300"/>
    <n v="0.42299999999999999"/>
    <s v="Rejected"/>
    <x v="0"/>
    <n v="0"/>
    <n v="1"/>
    <n v="0"/>
    <m/>
    <n v="21"/>
    <n v="0"/>
    <n v="1"/>
  </r>
  <r>
    <s v="LA-702384"/>
    <d v="2024-12-31T00:00:00"/>
    <x v="0"/>
    <s v="Q4"/>
    <x v="11"/>
    <x v="3"/>
    <x v="3"/>
    <x v="4"/>
    <x v="0"/>
    <x v="2"/>
    <n v="9650"/>
    <n v="266000"/>
    <n v="240"/>
    <n v="0.41599999999999998"/>
    <s v="Rejected"/>
    <x v="0"/>
    <n v="0"/>
    <n v="1"/>
    <n v="0"/>
    <m/>
    <n v="20"/>
    <n v="0"/>
    <n v="1"/>
  </r>
  <r>
    <s v="LA-702385"/>
    <d v="2024-12-31T00:00:00"/>
    <x v="0"/>
    <s v="Q4"/>
    <x v="11"/>
    <x v="1"/>
    <x v="0"/>
    <x v="4"/>
    <x v="0"/>
    <x v="0"/>
    <n v="4350"/>
    <n v="31000"/>
    <n v="36"/>
    <n v="0.40400000000000003"/>
    <s v="Rejected"/>
    <x v="5"/>
    <n v="0"/>
    <n v="1"/>
    <n v="0"/>
    <m/>
    <n v="4"/>
    <n v="0"/>
    <n v="1"/>
  </r>
  <r>
    <s v="LA-702386"/>
    <d v="2024-12-31T00:00:00"/>
    <x v="0"/>
    <s v="Q4"/>
    <x v="11"/>
    <x v="1"/>
    <x v="3"/>
    <x v="2"/>
    <x v="1"/>
    <x v="1"/>
    <n v="5900"/>
    <n v="9000"/>
    <n v="60"/>
    <n v="0.27300000000000002"/>
    <s v="Approved"/>
    <x v="1"/>
    <n v="1"/>
    <n v="0"/>
    <n v="9000"/>
    <n v="0.12239999999999999"/>
    <n v="5"/>
    <n v="0"/>
    <n v="1"/>
  </r>
  <r>
    <s v="LA-702387"/>
    <d v="2024-12-31T00:00:00"/>
    <x v="0"/>
    <s v="Q4"/>
    <x v="11"/>
    <x v="2"/>
    <x v="3"/>
    <x v="3"/>
    <x v="0"/>
    <x v="4"/>
    <n v="9100"/>
    <n v="80500"/>
    <n v="36"/>
    <n v="0.47399999999999998"/>
    <s v="Approved"/>
    <x v="1"/>
    <n v="1"/>
    <n v="0"/>
    <n v="64500"/>
    <n v="9.4700000000000006E-2"/>
    <n v="17"/>
    <n v="0"/>
    <n v="1"/>
  </r>
  <r>
    <s v="LA-702388"/>
    <d v="2024-12-31T00:00:00"/>
    <x v="0"/>
    <s v="Q4"/>
    <x v="11"/>
    <x v="1"/>
    <x v="2"/>
    <x v="0"/>
    <x v="1"/>
    <x v="4"/>
    <n v="8500"/>
    <n v="20000"/>
    <n v="24"/>
    <n v="0.34699999999999998"/>
    <s v="Rejected"/>
    <x v="2"/>
    <n v="0"/>
    <n v="1"/>
    <n v="0"/>
    <m/>
    <n v="4"/>
    <n v="0"/>
    <n v="1"/>
  </r>
  <r>
    <s v="LA-702389"/>
    <d v="2024-12-31T00:00:00"/>
    <x v="0"/>
    <s v="Q4"/>
    <x v="11"/>
    <x v="1"/>
    <x v="3"/>
    <x v="1"/>
    <x v="1"/>
    <x v="2"/>
    <n v="4600"/>
    <n v="10500"/>
    <n v="60"/>
    <n v="0.151"/>
    <s v="Approved"/>
    <x v="1"/>
    <n v="1"/>
    <n v="0"/>
    <n v="10500"/>
    <n v="0.16059999999999999"/>
    <n v="6"/>
    <n v="0"/>
    <n v="1"/>
  </r>
  <r>
    <s v="LA-702390"/>
    <d v="2025-01-01T00:00:00"/>
    <x v="1"/>
    <s v="Q1"/>
    <x v="0"/>
    <x v="0"/>
    <x v="1"/>
    <x v="3"/>
    <x v="2"/>
    <x v="4"/>
    <n v="4800"/>
    <n v="35000"/>
    <n v="60"/>
    <n v="0.30199999999999999"/>
    <s v="Approved"/>
    <x v="1"/>
    <n v="1"/>
    <n v="0"/>
    <n v="31500"/>
    <n v="7.6399999999999996E-2"/>
    <n v="1"/>
    <n v="1"/>
    <n v="1"/>
  </r>
  <r>
    <s v="LA-702391"/>
    <d v="2025-01-01T00:00:00"/>
    <x v="1"/>
    <s v="Q1"/>
    <x v="0"/>
    <x v="1"/>
    <x v="2"/>
    <x v="2"/>
    <x v="2"/>
    <x v="3"/>
    <n v="3500"/>
    <n v="17000"/>
    <n v="12"/>
    <n v="0.54900000000000004"/>
    <s v="Approved"/>
    <x v="1"/>
    <n v="1"/>
    <n v="0"/>
    <n v="17000"/>
    <n v="0.10970000000000001"/>
    <n v="1"/>
    <n v="1"/>
    <n v="1"/>
  </r>
  <r>
    <s v="LA-702392"/>
    <d v="2025-01-01T00:00:00"/>
    <x v="1"/>
    <s v="Q1"/>
    <x v="0"/>
    <x v="3"/>
    <x v="2"/>
    <x v="1"/>
    <x v="1"/>
    <x v="2"/>
    <n v="3500"/>
    <n v="154000"/>
    <n v="180"/>
    <n v="0.47599999999999998"/>
    <s v="Rejected"/>
    <x v="0"/>
    <n v="0"/>
    <n v="1"/>
    <n v="0"/>
    <m/>
    <n v="5"/>
    <n v="1"/>
    <n v="1"/>
  </r>
  <r>
    <s v="LA-702393"/>
    <d v="2025-01-01T00:00:00"/>
    <x v="1"/>
    <s v="Q1"/>
    <x v="0"/>
    <x v="2"/>
    <x v="2"/>
    <x v="2"/>
    <x v="0"/>
    <x v="3"/>
    <n v="7350"/>
    <n v="119500"/>
    <n v="24"/>
    <n v="0.86699999999999999"/>
    <s v="Rejected"/>
    <x v="4"/>
    <n v="0"/>
    <n v="1"/>
    <n v="0"/>
    <m/>
    <n v="6"/>
    <n v="1"/>
    <n v="1"/>
  </r>
  <r>
    <s v="LA-702394"/>
    <d v="2025-01-01T00:00:00"/>
    <x v="1"/>
    <s v="Q1"/>
    <x v="0"/>
    <x v="2"/>
    <x v="1"/>
    <x v="2"/>
    <x v="1"/>
    <x v="0"/>
    <n v="4150"/>
    <n v="46500"/>
    <n v="12"/>
    <n v="1.0960000000000001"/>
    <s v="Withdrawn"/>
    <x v="1"/>
    <n v="0"/>
    <n v="0"/>
    <n v="0"/>
    <m/>
    <n v="4"/>
    <n v="1"/>
    <n v="1"/>
  </r>
  <r>
    <s v="LA-702395"/>
    <d v="2025-01-01T00:00:00"/>
    <x v="1"/>
    <s v="Q1"/>
    <x v="0"/>
    <x v="2"/>
    <x v="3"/>
    <x v="2"/>
    <x v="0"/>
    <x v="1"/>
    <n v="2300"/>
    <n v="83000"/>
    <n v="36"/>
    <n v="1.2549999999999999"/>
    <s v="Rejected"/>
    <x v="3"/>
    <n v="0"/>
    <n v="1"/>
    <n v="0"/>
    <m/>
    <n v="6"/>
    <n v="1"/>
    <n v="1"/>
  </r>
  <r>
    <s v="LA-702396"/>
    <d v="2025-01-01T00:00:00"/>
    <x v="1"/>
    <s v="Q1"/>
    <x v="0"/>
    <x v="3"/>
    <x v="1"/>
    <x v="2"/>
    <x v="0"/>
    <x v="1"/>
    <n v="11900"/>
    <n v="334500"/>
    <n v="180"/>
    <n v="0.34499999999999997"/>
    <s v="Approved"/>
    <x v="1"/>
    <n v="1"/>
    <n v="0"/>
    <n v="334500"/>
    <n v="5.7000000000000002E-2"/>
    <n v="4"/>
    <n v="1"/>
    <n v="1"/>
  </r>
  <r>
    <s v="LA-702397"/>
    <d v="2025-01-01T00:00:00"/>
    <x v="1"/>
    <s v="Q1"/>
    <x v="0"/>
    <x v="2"/>
    <x v="1"/>
    <x v="3"/>
    <x v="1"/>
    <x v="1"/>
    <n v="5500"/>
    <n v="80000"/>
    <n v="60"/>
    <n v="0.497"/>
    <s v="Approved"/>
    <x v="1"/>
    <n v="1"/>
    <n v="0"/>
    <n v="64000"/>
    <n v="0.10680000000000001"/>
    <n v="4"/>
    <n v="1"/>
    <n v="1"/>
  </r>
  <r>
    <s v="LA-702398"/>
    <d v="2025-01-01T00:00:00"/>
    <x v="1"/>
    <s v="Q1"/>
    <x v="0"/>
    <x v="0"/>
    <x v="1"/>
    <x v="3"/>
    <x v="0"/>
    <x v="2"/>
    <n v="3150"/>
    <n v="48000"/>
    <n v="48"/>
    <n v="0.504"/>
    <s v="Rejected"/>
    <x v="0"/>
    <n v="0"/>
    <n v="1"/>
    <n v="0"/>
    <m/>
    <n v="2"/>
    <n v="1"/>
    <n v="1"/>
  </r>
  <r>
    <s v="LA-702399"/>
    <d v="2025-01-01T00:00:00"/>
    <x v="1"/>
    <s v="Q1"/>
    <x v="0"/>
    <x v="3"/>
    <x v="0"/>
    <x v="2"/>
    <x v="0"/>
    <x v="1"/>
    <n v="5450"/>
    <n v="219000"/>
    <n v="180"/>
    <n v="0.48899999999999999"/>
    <s v="Approved"/>
    <x v="1"/>
    <n v="1"/>
    <n v="0"/>
    <n v="175000"/>
    <n v="5.5100000000000003E-2"/>
    <n v="12"/>
    <n v="1"/>
    <n v="1"/>
  </r>
  <r>
    <s v="LA-702400"/>
    <d v="2025-01-01T00:00:00"/>
    <x v="1"/>
    <s v="Q1"/>
    <x v="0"/>
    <x v="1"/>
    <x v="0"/>
    <x v="2"/>
    <x v="0"/>
    <x v="4"/>
    <n v="8600"/>
    <n v="8500"/>
    <n v="12"/>
    <n v="0.28799999999999998"/>
    <s v="Rejected"/>
    <x v="4"/>
    <n v="0"/>
    <n v="1"/>
    <n v="0"/>
    <m/>
    <n v="8"/>
    <n v="0"/>
    <n v="1"/>
  </r>
  <r>
    <s v="LA-702401"/>
    <d v="2025-01-01T00:00:00"/>
    <x v="1"/>
    <s v="Q1"/>
    <x v="0"/>
    <x v="2"/>
    <x v="3"/>
    <x v="2"/>
    <x v="0"/>
    <x v="0"/>
    <n v="4450"/>
    <n v="110500"/>
    <n v="60"/>
    <n v="0.67"/>
    <s v="Approved"/>
    <x v="1"/>
    <n v="1"/>
    <n v="0"/>
    <n v="88500"/>
    <n v="0.12379999999999999"/>
    <n v="14"/>
    <n v="0"/>
    <n v="1"/>
  </r>
  <r>
    <s v="LA-702402"/>
    <d v="2025-01-01T00:00:00"/>
    <x v="1"/>
    <s v="Q1"/>
    <x v="0"/>
    <x v="1"/>
    <x v="2"/>
    <x v="3"/>
    <x v="1"/>
    <x v="4"/>
    <n v="6000"/>
    <n v="9500"/>
    <n v="12"/>
    <n v="0.33700000000000002"/>
    <s v="Approved"/>
    <x v="1"/>
    <n v="1"/>
    <n v="0"/>
    <n v="9500"/>
    <n v="0.11840000000000001"/>
    <n v="2"/>
    <n v="1"/>
    <n v="1"/>
  </r>
  <r>
    <s v="LA-702403"/>
    <d v="2025-01-02T00:00:00"/>
    <x v="1"/>
    <s v="Q1"/>
    <x v="0"/>
    <x v="3"/>
    <x v="3"/>
    <x v="3"/>
    <x v="0"/>
    <x v="4"/>
    <n v="5500"/>
    <n v="130000"/>
    <n v="300"/>
    <n v="0.374"/>
    <s v="Approved"/>
    <x v="1"/>
    <n v="1"/>
    <n v="0"/>
    <n v="130000"/>
    <n v="4.4999999999999998E-2"/>
    <n v="20"/>
    <n v="0"/>
    <n v="1"/>
  </r>
  <r>
    <s v="LA-702404"/>
    <d v="2025-01-02T00:00:00"/>
    <x v="1"/>
    <s v="Q1"/>
    <x v="0"/>
    <x v="0"/>
    <x v="3"/>
    <x v="2"/>
    <x v="0"/>
    <x v="2"/>
    <n v="5700"/>
    <n v="43500"/>
    <n v="60"/>
    <n v="0.29099999999999998"/>
    <s v="Rejected"/>
    <x v="5"/>
    <n v="0"/>
    <n v="1"/>
    <n v="0"/>
    <m/>
    <n v="6"/>
    <n v="0"/>
    <n v="1"/>
  </r>
  <r>
    <s v="LA-702405"/>
    <d v="2025-01-02T00:00:00"/>
    <x v="1"/>
    <s v="Q1"/>
    <x v="0"/>
    <x v="1"/>
    <x v="1"/>
    <x v="0"/>
    <x v="2"/>
    <x v="3"/>
    <n v="9800"/>
    <n v="8000"/>
    <n v="12"/>
    <n v="0.14599999999999999"/>
    <s v="Approved"/>
    <x v="1"/>
    <n v="1"/>
    <n v="0"/>
    <n v="7000"/>
    <n v="0.10489999999999999"/>
    <n v="1"/>
    <n v="1"/>
    <n v="1"/>
  </r>
  <r>
    <s v="LA-702406"/>
    <d v="2025-01-02T00:00:00"/>
    <x v="1"/>
    <s v="Q1"/>
    <x v="0"/>
    <x v="0"/>
    <x v="2"/>
    <x v="1"/>
    <x v="1"/>
    <x v="1"/>
    <n v="4300"/>
    <n v="41500"/>
    <n v="60"/>
    <n v="0.248"/>
    <s v="Approved"/>
    <x v="1"/>
    <n v="1"/>
    <n v="0"/>
    <n v="33000"/>
    <n v="8.3900000000000002E-2"/>
    <n v="2"/>
    <n v="1"/>
    <n v="1"/>
  </r>
  <r>
    <s v="LA-702407"/>
    <d v="2025-01-02T00:00:00"/>
    <x v="1"/>
    <s v="Q1"/>
    <x v="0"/>
    <x v="1"/>
    <x v="3"/>
    <x v="3"/>
    <x v="0"/>
    <x v="2"/>
    <n v="5500"/>
    <n v="9000"/>
    <n v="60"/>
    <n v="0.13700000000000001"/>
    <s v="Rejected"/>
    <x v="0"/>
    <n v="0"/>
    <n v="1"/>
    <n v="0"/>
    <m/>
    <n v="3"/>
    <n v="1"/>
    <n v="1"/>
  </r>
  <r>
    <s v="LA-702408"/>
    <d v="2025-01-02T00:00:00"/>
    <x v="1"/>
    <s v="Q1"/>
    <x v="0"/>
    <x v="2"/>
    <x v="3"/>
    <x v="1"/>
    <x v="0"/>
    <x v="1"/>
    <n v="3500"/>
    <n v="124000"/>
    <n v="24"/>
    <n v="1.7969999999999999"/>
    <s v="Rejected"/>
    <x v="3"/>
    <n v="0"/>
    <n v="1"/>
    <n v="0"/>
    <m/>
    <n v="11"/>
    <n v="0"/>
    <n v="1"/>
  </r>
  <r>
    <s v="LA-702409"/>
    <d v="2025-01-02T00:00:00"/>
    <x v="1"/>
    <s v="Q1"/>
    <x v="0"/>
    <x v="1"/>
    <x v="2"/>
    <x v="1"/>
    <x v="0"/>
    <x v="4"/>
    <n v="5800"/>
    <n v="10500"/>
    <n v="60"/>
    <n v="0.18099999999999999"/>
    <s v="Approved"/>
    <x v="1"/>
    <n v="1"/>
    <n v="0"/>
    <n v="10500"/>
    <n v="0.11210000000000001"/>
    <n v="2"/>
    <n v="1"/>
    <n v="1"/>
  </r>
  <r>
    <s v="LA-702410"/>
    <d v="2025-01-02T00:00:00"/>
    <x v="1"/>
    <s v="Q1"/>
    <x v="0"/>
    <x v="0"/>
    <x v="2"/>
    <x v="3"/>
    <x v="0"/>
    <x v="0"/>
    <n v="3100"/>
    <n v="28500"/>
    <n v="36"/>
    <n v="0.42499999999999999"/>
    <s v="Approved"/>
    <x v="1"/>
    <n v="1"/>
    <n v="0"/>
    <n v="23000"/>
    <n v="9.6299999999999997E-2"/>
    <n v="3"/>
    <n v="1"/>
    <n v="1"/>
  </r>
  <r>
    <s v="LA-702411"/>
    <d v="2025-01-02T00:00:00"/>
    <x v="1"/>
    <s v="Q1"/>
    <x v="0"/>
    <x v="0"/>
    <x v="2"/>
    <x v="1"/>
    <x v="1"/>
    <x v="4"/>
    <n v="10050"/>
    <n v="47000"/>
    <n v="60"/>
    <n v="0.23200000000000001"/>
    <s v="Approved"/>
    <x v="1"/>
    <n v="1"/>
    <n v="0"/>
    <n v="42500"/>
    <n v="7.7899999999999997E-2"/>
    <n v="4"/>
    <n v="1"/>
    <n v="1"/>
  </r>
  <r>
    <s v="LA-702412"/>
    <d v="2025-01-02T00:00:00"/>
    <x v="1"/>
    <s v="Q1"/>
    <x v="0"/>
    <x v="1"/>
    <x v="2"/>
    <x v="2"/>
    <x v="1"/>
    <x v="1"/>
    <n v="6550"/>
    <n v="9500"/>
    <n v="12"/>
    <n v="0.2"/>
    <s v="Rejected"/>
    <x v="2"/>
    <n v="0"/>
    <n v="1"/>
    <n v="0"/>
    <m/>
    <n v="2"/>
    <n v="1"/>
    <n v="1"/>
  </r>
  <r>
    <s v="LA-702413"/>
    <d v="2025-01-02T00:00:00"/>
    <x v="1"/>
    <s v="Q1"/>
    <x v="0"/>
    <x v="1"/>
    <x v="3"/>
    <x v="2"/>
    <x v="0"/>
    <x v="3"/>
    <n v="3800"/>
    <n v="23000"/>
    <n v="60"/>
    <n v="0.32600000000000001"/>
    <s v="Approved"/>
    <x v="1"/>
    <n v="1"/>
    <n v="0"/>
    <n v="23000"/>
    <n v="0.1137"/>
    <n v="6"/>
    <n v="0"/>
    <n v="1"/>
  </r>
  <r>
    <s v="LA-702414"/>
    <d v="2025-01-02T00:00:00"/>
    <x v="1"/>
    <s v="Q1"/>
    <x v="0"/>
    <x v="1"/>
    <x v="1"/>
    <x v="0"/>
    <x v="2"/>
    <x v="1"/>
    <n v="6800"/>
    <n v="14000"/>
    <n v="60"/>
    <n v="0.224"/>
    <s v="Withdrawn"/>
    <x v="1"/>
    <n v="0"/>
    <n v="0"/>
    <n v="0"/>
    <m/>
    <n v="1"/>
    <n v="1"/>
    <n v="1"/>
  </r>
  <r>
    <s v="LA-702415"/>
    <d v="2025-01-02T00:00:00"/>
    <x v="1"/>
    <s v="Q1"/>
    <x v="0"/>
    <x v="2"/>
    <x v="3"/>
    <x v="2"/>
    <x v="1"/>
    <x v="0"/>
    <n v="3550"/>
    <n v="52000"/>
    <n v="36"/>
    <n v="0.67"/>
    <s v="Rejected"/>
    <x v="0"/>
    <n v="0"/>
    <n v="1"/>
    <n v="0"/>
    <m/>
    <n v="11"/>
    <n v="0"/>
    <n v="1"/>
  </r>
  <r>
    <s v="LA-702416"/>
    <d v="2025-01-02T00:00:00"/>
    <x v="1"/>
    <s v="Q1"/>
    <x v="0"/>
    <x v="2"/>
    <x v="3"/>
    <x v="1"/>
    <x v="1"/>
    <x v="0"/>
    <n v="7700"/>
    <n v="81500"/>
    <n v="12"/>
    <n v="1.075"/>
    <s v="Approved"/>
    <x v="1"/>
    <n v="1"/>
    <n v="0"/>
    <n v="65000"/>
    <n v="0.12429999999999999"/>
    <n v="15"/>
    <n v="0"/>
    <n v="1"/>
  </r>
  <r>
    <s v="LA-702417"/>
    <d v="2025-01-03T00:00:00"/>
    <x v="1"/>
    <s v="Q1"/>
    <x v="0"/>
    <x v="1"/>
    <x v="1"/>
    <x v="2"/>
    <x v="1"/>
    <x v="1"/>
    <n v="6700"/>
    <n v="11500"/>
    <n v="48"/>
    <n v="0.186"/>
    <s v="Approved"/>
    <x v="1"/>
    <n v="1"/>
    <n v="0"/>
    <n v="11500"/>
    <n v="0.1215"/>
    <n v="2"/>
    <n v="1"/>
    <n v="1"/>
  </r>
  <r>
    <s v="LA-702418"/>
    <d v="2025-01-03T00:00:00"/>
    <x v="1"/>
    <s v="Q1"/>
    <x v="0"/>
    <x v="0"/>
    <x v="3"/>
    <x v="4"/>
    <x v="0"/>
    <x v="1"/>
    <n v="10250"/>
    <n v="22000"/>
    <n v="36"/>
    <n v="0.23499999999999999"/>
    <s v="Approved"/>
    <x v="1"/>
    <n v="1"/>
    <n v="0"/>
    <n v="20000"/>
    <n v="8.3400000000000002E-2"/>
    <n v="6"/>
    <n v="0"/>
    <n v="1"/>
  </r>
  <r>
    <s v="LA-702419"/>
    <d v="2025-01-03T00:00:00"/>
    <x v="1"/>
    <s v="Q1"/>
    <x v="0"/>
    <x v="3"/>
    <x v="3"/>
    <x v="3"/>
    <x v="1"/>
    <x v="4"/>
    <n v="3550"/>
    <n v="322500"/>
    <n v="300"/>
    <n v="0.65100000000000002"/>
    <s v="Approved"/>
    <x v="1"/>
    <n v="1"/>
    <n v="0"/>
    <n v="322500"/>
    <n v="5.1200000000000002E-2"/>
    <n v="14"/>
    <n v="1"/>
    <n v="1"/>
  </r>
  <r>
    <s v="LA-702420"/>
    <d v="2025-01-03T00:00:00"/>
    <x v="1"/>
    <s v="Q1"/>
    <x v="0"/>
    <x v="1"/>
    <x v="1"/>
    <x v="3"/>
    <x v="1"/>
    <x v="2"/>
    <n v="7050"/>
    <n v="10500"/>
    <n v="36"/>
    <n v="0.25800000000000001"/>
    <s v="Rejected"/>
    <x v="5"/>
    <n v="0"/>
    <n v="1"/>
    <n v="0"/>
    <m/>
    <n v="1"/>
    <n v="1"/>
    <n v="1"/>
  </r>
  <r>
    <s v="LA-702421"/>
    <d v="2025-01-03T00:00:00"/>
    <x v="1"/>
    <s v="Q1"/>
    <x v="0"/>
    <x v="3"/>
    <x v="3"/>
    <x v="1"/>
    <x v="0"/>
    <x v="4"/>
    <n v="7900"/>
    <n v="339500"/>
    <n v="240"/>
    <n v="0.35399999999999998"/>
    <s v="Approved"/>
    <x v="1"/>
    <n v="1"/>
    <n v="0"/>
    <n v="271500"/>
    <n v="4.5999999999999999E-2"/>
    <n v="11"/>
    <n v="1"/>
    <n v="1"/>
  </r>
  <r>
    <s v="LA-702422"/>
    <d v="2025-01-03T00:00:00"/>
    <x v="1"/>
    <s v="Q1"/>
    <x v="0"/>
    <x v="1"/>
    <x v="1"/>
    <x v="3"/>
    <x v="1"/>
    <x v="2"/>
    <n v="10200"/>
    <n v="11000"/>
    <n v="24"/>
    <n v="0.14099999999999999"/>
    <s v="Approved"/>
    <x v="1"/>
    <n v="1"/>
    <n v="0"/>
    <n v="11000"/>
    <n v="0.15909999999999999"/>
    <n v="1"/>
    <n v="1"/>
    <n v="1"/>
  </r>
  <r>
    <s v="LA-702423"/>
    <d v="2025-01-03T00:00:00"/>
    <x v="1"/>
    <s v="Q1"/>
    <x v="0"/>
    <x v="1"/>
    <x v="2"/>
    <x v="2"/>
    <x v="2"/>
    <x v="4"/>
    <n v="8050"/>
    <n v="12500"/>
    <n v="24"/>
    <n v="0.17199999999999999"/>
    <s v="Rejected"/>
    <x v="2"/>
    <n v="0"/>
    <n v="1"/>
    <n v="0"/>
    <m/>
    <n v="3"/>
    <n v="1"/>
    <n v="1"/>
  </r>
  <r>
    <s v="LA-702424"/>
    <d v="2025-01-03T00:00:00"/>
    <x v="1"/>
    <s v="Q1"/>
    <x v="0"/>
    <x v="0"/>
    <x v="1"/>
    <x v="1"/>
    <x v="1"/>
    <x v="3"/>
    <n v="5250"/>
    <n v="53000"/>
    <n v="36"/>
    <n v="0.52"/>
    <s v="Rejected"/>
    <x v="3"/>
    <n v="0"/>
    <n v="1"/>
    <n v="0"/>
    <m/>
    <n v="1"/>
    <n v="1"/>
    <n v="1"/>
  </r>
  <r>
    <s v="LA-702425"/>
    <d v="2025-01-03T00:00:00"/>
    <x v="1"/>
    <s v="Q1"/>
    <x v="0"/>
    <x v="2"/>
    <x v="2"/>
    <x v="2"/>
    <x v="0"/>
    <x v="1"/>
    <n v="7050"/>
    <n v="92500"/>
    <n v="60"/>
    <n v="0.46400000000000002"/>
    <s v="Rejected"/>
    <x v="3"/>
    <n v="0"/>
    <n v="1"/>
    <n v="0"/>
    <m/>
    <n v="7"/>
    <n v="1"/>
    <n v="1"/>
  </r>
  <r>
    <s v="LA-702426"/>
    <d v="2025-01-03T00:00:00"/>
    <x v="1"/>
    <s v="Q1"/>
    <x v="0"/>
    <x v="0"/>
    <x v="3"/>
    <x v="4"/>
    <x v="0"/>
    <x v="1"/>
    <n v="6100"/>
    <n v="19000"/>
    <n v="36"/>
    <n v="0.28499999999999998"/>
    <s v="Rejected"/>
    <x v="0"/>
    <n v="0"/>
    <n v="1"/>
    <n v="0"/>
    <m/>
    <n v="4"/>
    <n v="1"/>
    <n v="1"/>
  </r>
  <r>
    <s v="LA-702427"/>
    <d v="2025-01-03T00:00:00"/>
    <x v="1"/>
    <s v="Q1"/>
    <x v="0"/>
    <x v="0"/>
    <x v="3"/>
    <x v="0"/>
    <x v="0"/>
    <x v="4"/>
    <n v="6200"/>
    <n v="28500"/>
    <n v="60"/>
    <n v="0.30599999999999999"/>
    <s v="Approved"/>
    <x v="1"/>
    <n v="1"/>
    <n v="0"/>
    <n v="25500"/>
    <n v="7.1300000000000002E-2"/>
    <n v="4"/>
    <n v="1"/>
    <n v="1"/>
  </r>
  <r>
    <s v="LA-702428"/>
    <d v="2025-01-03T00:00:00"/>
    <x v="1"/>
    <s v="Q1"/>
    <x v="0"/>
    <x v="3"/>
    <x v="0"/>
    <x v="2"/>
    <x v="0"/>
    <x v="1"/>
    <n v="5000"/>
    <n v="430000"/>
    <n v="180"/>
    <n v="0.77900000000000003"/>
    <s v="Approved"/>
    <x v="1"/>
    <n v="1"/>
    <n v="0"/>
    <n v="344000"/>
    <n v="6.1600000000000002E-2"/>
    <n v="8"/>
    <n v="1"/>
    <n v="1"/>
  </r>
  <r>
    <s v="LA-702429"/>
    <d v="2025-01-03T00:00:00"/>
    <x v="1"/>
    <s v="Q1"/>
    <x v="0"/>
    <x v="0"/>
    <x v="1"/>
    <x v="4"/>
    <x v="2"/>
    <x v="3"/>
    <n v="6550"/>
    <n v="27500"/>
    <n v="60"/>
    <n v="0.22700000000000001"/>
    <s v="Approved"/>
    <x v="1"/>
    <n v="1"/>
    <n v="0"/>
    <n v="27500"/>
    <n v="6.4100000000000004E-2"/>
    <n v="1"/>
    <n v="1"/>
    <n v="1"/>
  </r>
  <r>
    <s v="LA-702430"/>
    <d v="2025-01-03T00:00:00"/>
    <x v="1"/>
    <s v="Q1"/>
    <x v="0"/>
    <x v="2"/>
    <x v="1"/>
    <x v="4"/>
    <x v="1"/>
    <x v="4"/>
    <n v="10200"/>
    <n v="55000"/>
    <n v="36"/>
    <n v="0.254"/>
    <s v="Approved"/>
    <x v="1"/>
    <n v="1"/>
    <n v="0"/>
    <n v="55000"/>
    <n v="0.1007"/>
    <n v="6"/>
    <n v="1"/>
    <n v="1"/>
  </r>
  <r>
    <s v="LA-702431"/>
    <d v="2025-01-04T00:00:00"/>
    <x v="1"/>
    <s v="Q1"/>
    <x v="0"/>
    <x v="2"/>
    <x v="1"/>
    <x v="2"/>
    <x v="1"/>
    <x v="4"/>
    <n v="5100"/>
    <n v="64000"/>
    <n v="12"/>
    <n v="1.3340000000000001"/>
    <s v="Rejected"/>
    <x v="3"/>
    <n v="0"/>
    <n v="1"/>
    <n v="0"/>
    <m/>
    <n v="5"/>
    <n v="1"/>
    <n v="1"/>
  </r>
  <r>
    <s v="LA-702432"/>
    <d v="2025-01-04T00:00:00"/>
    <x v="1"/>
    <s v="Q1"/>
    <x v="0"/>
    <x v="1"/>
    <x v="2"/>
    <x v="1"/>
    <x v="2"/>
    <x v="1"/>
    <n v="4600"/>
    <n v="12500"/>
    <n v="24"/>
    <n v="0.253"/>
    <s v="Approved"/>
    <x v="1"/>
    <n v="1"/>
    <n v="0"/>
    <n v="11000"/>
    <n v="0.1278"/>
    <n v="2"/>
    <n v="1"/>
    <n v="1"/>
  </r>
  <r>
    <s v="LA-702433"/>
    <d v="2025-01-04T00:00:00"/>
    <x v="1"/>
    <s v="Q1"/>
    <x v="0"/>
    <x v="0"/>
    <x v="2"/>
    <x v="3"/>
    <x v="0"/>
    <x v="0"/>
    <n v="8000"/>
    <n v="17000"/>
    <n v="36"/>
    <n v="0.183"/>
    <s v="Rejected"/>
    <x v="0"/>
    <n v="0"/>
    <n v="1"/>
    <n v="0"/>
    <m/>
    <n v="3"/>
    <n v="1"/>
    <n v="1"/>
  </r>
  <r>
    <s v="LA-702434"/>
    <d v="2025-01-04T00:00:00"/>
    <x v="1"/>
    <s v="Q1"/>
    <x v="0"/>
    <x v="0"/>
    <x v="2"/>
    <x v="3"/>
    <x v="0"/>
    <x v="1"/>
    <n v="8400"/>
    <n v="31000"/>
    <n v="48"/>
    <n v="0.219"/>
    <s v="Approved"/>
    <x v="1"/>
    <n v="1"/>
    <n v="0"/>
    <n v="25000"/>
    <n v="7.6399999999999996E-2"/>
    <n v="2"/>
    <n v="1"/>
    <n v="1"/>
  </r>
  <r>
    <s v="LA-702435"/>
    <d v="2025-01-05T00:00:00"/>
    <x v="1"/>
    <s v="Q1"/>
    <x v="0"/>
    <x v="3"/>
    <x v="2"/>
    <x v="3"/>
    <x v="1"/>
    <x v="0"/>
    <n v="4950"/>
    <n v="225500"/>
    <n v="180"/>
    <n v="0.59"/>
    <s v="Rejected"/>
    <x v="0"/>
    <n v="0"/>
    <n v="1"/>
    <n v="0"/>
    <m/>
    <n v="9"/>
    <n v="1"/>
    <n v="1"/>
  </r>
  <r>
    <s v="LA-702436"/>
    <d v="2025-01-05T00:00:00"/>
    <x v="1"/>
    <s v="Q1"/>
    <x v="0"/>
    <x v="1"/>
    <x v="0"/>
    <x v="1"/>
    <x v="1"/>
    <x v="4"/>
    <n v="5200"/>
    <n v="6500"/>
    <n v="24"/>
    <n v="0.23699999999999999"/>
    <s v="Approved"/>
    <x v="1"/>
    <n v="1"/>
    <n v="0"/>
    <n v="6500"/>
    <n v="0.111"/>
    <n v="3"/>
    <n v="1"/>
    <n v="1"/>
  </r>
  <r>
    <s v="LA-702437"/>
    <d v="2025-01-05T00:00:00"/>
    <x v="1"/>
    <s v="Q1"/>
    <x v="0"/>
    <x v="1"/>
    <x v="1"/>
    <x v="1"/>
    <x v="0"/>
    <x v="1"/>
    <n v="6550"/>
    <n v="11500"/>
    <n v="24"/>
    <n v="0.185"/>
    <s v="Rejected"/>
    <x v="0"/>
    <n v="0"/>
    <n v="1"/>
    <n v="0"/>
    <m/>
    <n v="1"/>
    <n v="1"/>
    <n v="1"/>
  </r>
  <r>
    <s v="LA-702438"/>
    <d v="2025-01-05T00:00:00"/>
    <x v="1"/>
    <s v="Q1"/>
    <x v="0"/>
    <x v="2"/>
    <x v="1"/>
    <x v="0"/>
    <x v="2"/>
    <x v="3"/>
    <n v="12250"/>
    <n v="145500"/>
    <n v="24"/>
    <n v="0.73499999999999999"/>
    <s v="Rejected"/>
    <x v="3"/>
    <n v="0"/>
    <n v="1"/>
    <n v="0"/>
    <m/>
    <n v="5"/>
    <n v="1"/>
    <n v="1"/>
  </r>
  <r>
    <s v="LA-702439"/>
    <d v="2025-01-05T00:00:00"/>
    <x v="1"/>
    <s v="Q1"/>
    <x v="0"/>
    <x v="1"/>
    <x v="2"/>
    <x v="1"/>
    <x v="1"/>
    <x v="1"/>
    <n v="2500"/>
    <n v="30500"/>
    <n v="48"/>
    <n v="0.39100000000000001"/>
    <s v="Approved"/>
    <x v="1"/>
    <n v="1"/>
    <n v="0"/>
    <n v="30500"/>
    <n v="0.1207"/>
    <n v="2"/>
    <n v="1"/>
    <n v="1"/>
  </r>
  <r>
    <s v="LA-702440"/>
    <d v="2025-01-05T00:00:00"/>
    <x v="1"/>
    <s v="Q1"/>
    <x v="0"/>
    <x v="2"/>
    <x v="3"/>
    <x v="3"/>
    <x v="2"/>
    <x v="0"/>
    <n v="4650"/>
    <n v="51500"/>
    <n v="60"/>
    <n v="0.441"/>
    <s v="Rejected"/>
    <x v="0"/>
    <n v="0"/>
    <n v="1"/>
    <n v="0"/>
    <m/>
    <n v="13"/>
    <n v="0"/>
    <n v="1"/>
  </r>
  <r>
    <s v="LA-702441"/>
    <d v="2025-01-05T00:00:00"/>
    <x v="1"/>
    <s v="Q1"/>
    <x v="0"/>
    <x v="2"/>
    <x v="3"/>
    <x v="4"/>
    <x v="1"/>
    <x v="3"/>
    <n v="6500"/>
    <n v="92500"/>
    <n v="60"/>
    <n v="0.51100000000000001"/>
    <s v="Approved"/>
    <x v="1"/>
    <n v="1"/>
    <n v="0"/>
    <n v="74000"/>
    <n v="9.1600000000000001E-2"/>
    <n v="21"/>
    <n v="0"/>
    <n v="1"/>
  </r>
  <r>
    <s v="LA-702442"/>
    <d v="2025-01-06T00:00:00"/>
    <x v="1"/>
    <s v="Q1"/>
    <x v="0"/>
    <x v="3"/>
    <x v="2"/>
    <x v="2"/>
    <x v="2"/>
    <x v="3"/>
    <n v="5700"/>
    <n v="198500"/>
    <n v="180"/>
    <n v="0.435"/>
    <s v="Rejected"/>
    <x v="4"/>
    <n v="0"/>
    <n v="1"/>
    <n v="0"/>
    <m/>
    <n v="11"/>
    <n v="1"/>
    <n v="1"/>
  </r>
  <r>
    <s v="LA-702443"/>
    <d v="2025-01-06T00:00:00"/>
    <x v="1"/>
    <s v="Q1"/>
    <x v="0"/>
    <x v="3"/>
    <x v="3"/>
    <x v="2"/>
    <x v="0"/>
    <x v="0"/>
    <n v="8750"/>
    <n v="196000"/>
    <n v="240"/>
    <n v="0.247"/>
    <s v="Rejected"/>
    <x v="0"/>
    <n v="0"/>
    <n v="1"/>
    <n v="0"/>
    <m/>
    <n v="14"/>
    <n v="1"/>
    <n v="1"/>
  </r>
  <r>
    <s v="LA-702444"/>
    <d v="2025-01-06T00:00:00"/>
    <x v="1"/>
    <s v="Q1"/>
    <x v="0"/>
    <x v="1"/>
    <x v="3"/>
    <x v="3"/>
    <x v="0"/>
    <x v="4"/>
    <n v="3650"/>
    <n v="12000"/>
    <n v="36"/>
    <n v="0.30599999999999999"/>
    <s v="Approved"/>
    <x v="1"/>
    <n v="1"/>
    <n v="0"/>
    <n v="12000"/>
    <n v="0.11849999999999999"/>
    <n v="3"/>
    <n v="1"/>
    <n v="1"/>
  </r>
  <r>
    <s v="LA-702445"/>
    <d v="2025-01-06T00:00:00"/>
    <x v="1"/>
    <s v="Q1"/>
    <x v="0"/>
    <x v="1"/>
    <x v="3"/>
    <x v="4"/>
    <x v="2"/>
    <x v="1"/>
    <n v="9550"/>
    <n v="7500"/>
    <n v="60"/>
    <n v="9.7000000000000003E-2"/>
    <s v="Approved"/>
    <x v="1"/>
    <n v="1"/>
    <n v="0"/>
    <n v="7000"/>
    <n v="0.12759999999999999"/>
    <n v="5"/>
    <n v="0"/>
    <n v="1"/>
  </r>
  <r>
    <s v="LA-702446"/>
    <d v="2025-01-06T00:00:00"/>
    <x v="1"/>
    <s v="Q1"/>
    <x v="0"/>
    <x v="3"/>
    <x v="0"/>
    <x v="2"/>
    <x v="1"/>
    <x v="4"/>
    <n v="5250"/>
    <n v="282000"/>
    <n v="300"/>
    <n v="0.47"/>
    <s v="Approved"/>
    <x v="1"/>
    <n v="1"/>
    <n v="0"/>
    <n v="282000"/>
    <n v="4.8599999999999997E-2"/>
    <n v="6"/>
    <n v="1"/>
    <n v="1"/>
  </r>
  <r>
    <s v="LA-702447"/>
    <d v="2025-01-06T00:00:00"/>
    <x v="1"/>
    <s v="Q1"/>
    <x v="0"/>
    <x v="1"/>
    <x v="2"/>
    <x v="3"/>
    <x v="2"/>
    <x v="4"/>
    <n v="6500"/>
    <n v="12500"/>
    <n v="60"/>
    <n v="0.251"/>
    <s v="Withdrawn"/>
    <x v="1"/>
    <n v="0"/>
    <n v="0"/>
    <n v="0"/>
    <m/>
    <n v="7"/>
    <n v="0"/>
    <n v="1"/>
  </r>
  <r>
    <s v="LA-702448"/>
    <d v="2025-01-06T00:00:00"/>
    <x v="1"/>
    <s v="Q1"/>
    <x v="0"/>
    <x v="1"/>
    <x v="0"/>
    <x v="1"/>
    <x v="2"/>
    <x v="4"/>
    <n v="3650"/>
    <n v="14000"/>
    <n v="48"/>
    <n v="0.33100000000000002"/>
    <s v="Approved"/>
    <x v="1"/>
    <n v="1"/>
    <n v="0"/>
    <n v="14000"/>
    <n v="0.11459999999999999"/>
    <n v="3"/>
    <n v="1"/>
    <n v="1"/>
  </r>
  <r>
    <s v="LA-702449"/>
    <d v="2025-01-07T00:00:00"/>
    <x v="1"/>
    <s v="Q1"/>
    <x v="0"/>
    <x v="3"/>
    <x v="3"/>
    <x v="2"/>
    <x v="2"/>
    <x v="4"/>
    <n v="2500"/>
    <n v="130000"/>
    <n v="180"/>
    <n v="0.58099999999999996"/>
    <s v="Rejected"/>
    <x v="3"/>
    <n v="0"/>
    <n v="1"/>
    <n v="0"/>
    <m/>
    <n v="15"/>
    <n v="1"/>
    <n v="1"/>
  </r>
  <r>
    <s v="LA-702450"/>
    <d v="2025-01-07T00:00:00"/>
    <x v="1"/>
    <s v="Q1"/>
    <x v="0"/>
    <x v="0"/>
    <x v="3"/>
    <x v="2"/>
    <x v="2"/>
    <x v="1"/>
    <n v="5900"/>
    <n v="33000"/>
    <n v="48"/>
    <n v="0.246"/>
    <s v="Approved"/>
    <x v="1"/>
    <n v="1"/>
    <n v="0"/>
    <n v="26500"/>
    <n v="8.6199999999999999E-2"/>
    <n v="6"/>
    <n v="0"/>
    <n v="1"/>
  </r>
  <r>
    <s v="LA-702451"/>
    <d v="2025-01-07T00:00:00"/>
    <x v="1"/>
    <s v="Q1"/>
    <x v="0"/>
    <x v="1"/>
    <x v="0"/>
    <x v="2"/>
    <x v="0"/>
    <x v="1"/>
    <n v="3300"/>
    <n v="14500"/>
    <n v="36"/>
    <n v="0.36799999999999999"/>
    <s v="Approved"/>
    <x v="1"/>
    <n v="1"/>
    <n v="0"/>
    <n v="14500"/>
    <n v="0.1212"/>
    <n v="1"/>
    <n v="1"/>
    <n v="1"/>
  </r>
  <r>
    <s v="LA-702452"/>
    <d v="2025-01-07T00:00:00"/>
    <x v="1"/>
    <s v="Q1"/>
    <x v="0"/>
    <x v="2"/>
    <x v="1"/>
    <x v="1"/>
    <x v="1"/>
    <x v="1"/>
    <n v="9050"/>
    <n v="104500"/>
    <n v="24"/>
    <n v="0.71799999999999997"/>
    <s v="Approved"/>
    <x v="1"/>
    <n v="1"/>
    <n v="0"/>
    <n v="104500"/>
    <n v="0.1113"/>
    <n v="4"/>
    <n v="1"/>
    <n v="1"/>
  </r>
  <r>
    <s v="LA-702453"/>
    <d v="2025-01-07T00:00:00"/>
    <x v="1"/>
    <s v="Q1"/>
    <x v="0"/>
    <x v="0"/>
    <x v="0"/>
    <x v="2"/>
    <x v="0"/>
    <x v="1"/>
    <n v="4900"/>
    <n v="41500"/>
    <n v="60"/>
    <n v="0.38400000000000001"/>
    <s v="Approved"/>
    <x v="1"/>
    <n v="1"/>
    <n v="0"/>
    <n v="41500"/>
    <n v="0.08"/>
    <n v="4"/>
    <n v="1"/>
    <n v="1"/>
  </r>
  <r>
    <s v="LA-702454"/>
    <d v="2025-01-07T00:00:00"/>
    <x v="1"/>
    <s v="Q1"/>
    <x v="0"/>
    <x v="0"/>
    <x v="2"/>
    <x v="1"/>
    <x v="0"/>
    <x v="1"/>
    <n v="5450"/>
    <n v="33500"/>
    <n v="60"/>
    <n v="0.19800000000000001"/>
    <s v="Approved"/>
    <x v="1"/>
    <n v="1"/>
    <n v="0"/>
    <n v="33500"/>
    <n v="8.2600000000000007E-2"/>
    <n v="4"/>
    <n v="1"/>
    <n v="1"/>
  </r>
  <r>
    <s v="LA-702455"/>
    <d v="2025-01-07T00:00:00"/>
    <x v="1"/>
    <s v="Q1"/>
    <x v="0"/>
    <x v="1"/>
    <x v="3"/>
    <x v="3"/>
    <x v="0"/>
    <x v="0"/>
    <n v="4950"/>
    <n v="18500"/>
    <n v="60"/>
    <n v="0.161"/>
    <s v="Rejected"/>
    <x v="0"/>
    <n v="0"/>
    <n v="1"/>
    <n v="0"/>
    <m/>
    <n v="5"/>
    <n v="0"/>
    <n v="1"/>
  </r>
  <r>
    <s v="LA-702456"/>
    <d v="2025-01-07T00:00:00"/>
    <x v="1"/>
    <s v="Q1"/>
    <x v="0"/>
    <x v="0"/>
    <x v="1"/>
    <x v="1"/>
    <x v="0"/>
    <x v="1"/>
    <n v="4300"/>
    <n v="35000"/>
    <n v="48"/>
    <n v="0.373"/>
    <s v="Approved"/>
    <x v="1"/>
    <n v="1"/>
    <n v="0"/>
    <n v="28000"/>
    <n v="8.3900000000000002E-2"/>
    <n v="2"/>
    <n v="1"/>
    <n v="1"/>
  </r>
  <r>
    <s v="LA-702457"/>
    <d v="2025-01-07T00:00:00"/>
    <x v="1"/>
    <s v="Q1"/>
    <x v="0"/>
    <x v="3"/>
    <x v="1"/>
    <x v="3"/>
    <x v="2"/>
    <x v="1"/>
    <n v="7300"/>
    <n v="170000"/>
    <n v="240"/>
    <n v="0.35699999999999998"/>
    <s v="Rejected"/>
    <x v="4"/>
    <n v="0"/>
    <n v="1"/>
    <n v="0"/>
    <m/>
    <n v="10"/>
    <n v="1"/>
    <n v="1"/>
  </r>
  <r>
    <s v="LA-702458"/>
    <d v="2025-01-07T00:00:00"/>
    <x v="1"/>
    <s v="Q1"/>
    <x v="0"/>
    <x v="0"/>
    <x v="0"/>
    <x v="4"/>
    <x v="1"/>
    <x v="1"/>
    <n v="2850"/>
    <n v="30500"/>
    <n v="36"/>
    <n v="0.51100000000000001"/>
    <s v="Rejected"/>
    <x v="4"/>
    <n v="0"/>
    <n v="1"/>
    <n v="0"/>
    <m/>
    <n v="10"/>
    <n v="0"/>
    <n v="1"/>
  </r>
  <r>
    <s v="LA-702459"/>
    <d v="2025-01-07T00:00:00"/>
    <x v="1"/>
    <s v="Q1"/>
    <x v="0"/>
    <x v="0"/>
    <x v="1"/>
    <x v="0"/>
    <x v="2"/>
    <x v="0"/>
    <n v="4100"/>
    <n v="34000"/>
    <n v="60"/>
    <n v="0.34899999999999998"/>
    <s v="Approved"/>
    <x v="1"/>
    <n v="1"/>
    <n v="0"/>
    <n v="27000"/>
    <n v="8.9899999999999994E-2"/>
    <n v="1"/>
    <n v="1"/>
    <n v="1"/>
  </r>
  <r>
    <s v="LA-702460"/>
    <d v="2025-01-07T00:00:00"/>
    <x v="1"/>
    <s v="Q1"/>
    <x v="0"/>
    <x v="1"/>
    <x v="3"/>
    <x v="0"/>
    <x v="1"/>
    <x v="1"/>
    <n v="3100"/>
    <n v="12000"/>
    <n v="24"/>
    <n v="0.252"/>
    <s v="Approved"/>
    <x v="1"/>
    <n v="1"/>
    <n v="0"/>
    <n v="9500"/>
    <n v="0.12620000000000001"/>
    <n v="3"/>
    <n v="1"/>
    <n v="1"/>
  </r>
  <r>
    <s v="LA-702461"/>
    <d v="2025-01-08T00:00:00"/>
    <x v="1"/>
    <s v="Q1"/>
    <x v="0"/>
    <x v="2"/>
    <x v="2"/>
    <x v="4"/>
    <x v="0"/>
    <x v="1"/>
    <n v="6650"/>
    <n v="82000"/>
    <n v="24"/>
    <n v="0.69099999999999995"/>
    <s v="Rejected"/>
    <x v="3"/>
    <n v="0"/>
    <n v="1"/>
    <n v="0"/>
    <m/>
    <n v="9"/>
    <n v="1"/>
    <n v="1"/>
  </r>
  <r>
    <s v="LA-702462"/>
    <d v="2025-01-08T00:00:00"/>
    <x v="1"/>
    <s v="Q1"/>
    <x v="0"/>
    <x v="0"/>
    <x v="2"/>
    <x v="3"/>
    <x v="0"/>
    <x v="2"/>
    <n v="4400"/>
    <n v="23000"/>
    <n v="60"/>
    <n v="0.26500000000000001"/>
    <s v="Rejected"/>
    <x v="0"/>
    <n v="0"/>
    <n v="1"/>
    <n v="0"/>
    <m/>
    <n v="2"/>
    <n v="1"/>
    <n v="1"/>
  </r>
  <r>
    <s v="LA-702463"/>
    <d v="2025-01-08T00:00:00"/>
    <x v="1"/>
    <s v="Q1"/>
    <x v="0"/>
    <x v="0"/>
    <x v="2"/>
    <x v="1"/>
    <x v="0"/>
    <x v="4"/>
    <n v="6200"/>
    <n v="19000"/>
    <n v="60"/>
    <n v="0.185"/>
    <s v="Approved"/>
    <x v="1"/>
    <n v="1"/>
    <n v="0"/>
    <n v="19000"/>
    <n v="6.7900000000000002E-2"/>
    <n v="3"/>
    <n v="1"/>
    <n v="1"/>
  </r>
  <r>
    <s v="LA-702464"/>
    <d v="2025-01-08T00:00:00"/>
    <x v="1"/>
    <s v="Q1"/>
    <x v="0"/>
    <x v="1"/>
    <x v="1"/>
    <x v="3"/>
    <x v="0"/>
    <x v="1"/>
    <n v="7050"/>
    <n v="14500"/>
    <n v="12"/>
    <n v="0.246"/>
    <s v="Rejected"/>
    <x v="4"/>
    <n v="0"/>
    <n v="1"/>
    <n v="0"/>
    <m/>
    <n v="5"/>
    <n v="0"/>
    <n v="1"/>
  </r>
  <r>
    <s v="LA-702465"/>
    <d v="2025-01-08T00:00:00"/>
    <x v="1"/>
    <s v="Q1"/>
    <x v="0"/>
    <x v="0"/>
    <x v="1"/>
    <x v="2"/>
    <x v="1"/>
    <x v="0"/>
    <n v="3950"/>
    <n v="15500"/>
    <n v="60"/>
    <n v="0.30299999999999999"/>
    <s v="Approved"/>
    <x v="1"/>
    <n v="1"/>
    <n v="0"/>
    <n v="15500"/>
    <n v="9.5100000000000004E-2"/>
    <n v="1"/>
    <n v="1"/>
    <n v="1"/>
  </r>
  <r>
    <s v="LA-702466"/>
    <d v="2025-01-09T00:00:00"/>
    <x v="1"/>
    <s v="Q1"/>
    <x v="0"/>
    <x v="3"/>
    <x v="1"/>
    <x v="3"/>
    <x v="0"/>
    <x v="4"/>
    <n v="4250"/>
    <n v="351000"/>
    <n v="240"/>
    <n v="0.78900000000000003"/>
    <s v="Approved"/>
    <x v="1"/>
    <n v="1"/>
    <n v="0"/>
    <n v="351000"/>
    <n v="5.11E-2"/>
    <n v="6"/>
    <n v="1"/>
    <n v="1"/>
  </r>
  <r>
    <s v="LA-702467"/>
    <d v="2025-01-09T00:00:00"/>
    <x v="1"/>
    <s v="Q1"/>
    <x v="0"/>
    <x v="3"/>
    <x v="2"/>
    <x v="3"/>
    <x v="0"/>
    <x v="0"/>
    <n v="8850"/>
    <n v="188500"/>
    <n v="300"/>
    <n v="0.36899999999999999"/>
    <s v="Approved"/>
    <x v="1"/>
    <n v="1"/>
    <n v="0"/>
    <n v="188500"/>
    <n v="7.3899999999999993E-2"/>
    <n v="11"/>
    <n v="1"/>
    <n v="1"/>
  </r>
  <r>
    <s v="LA-702468"/>
    <d v="2025-01-09T00:00:00"/>
    <x v="1"/>
    <s v="Q1"/>
    <x v="0"/>
    <x v="1"/>
    <x v="1"/>
    <x v="2"/>
    <x v="1"/>
    <x v="0"/>
    <n v="6300"/>
    <n v="19000"/>
    <n v="36"/>
    <n v="0.33100000000000002"/>
    <s v="Approved"/>
    <x v="1"/>
    <n v="1"/>
    <n v="0"/>
    <n v="19000"/>
    <n v="0.13719999999999999"/>
    <n v="2"/>
    <n v="1"/>
    <n v="1"/>
  </r>
  <r>
    <s v="LA-702469"/>
    <d v="2025-01-09T00:00:00"/>
    <x v="1"/>
    <s v="Q1"/>
    <x v="0"/>
    <x v="1"/>
    <x v="2"/>
    <x v="1"/>
    <x v="1"/>
    <x v="0"/>
    <n v="3100"/>
    <n v="15000"/>
    <n v="60"/>
    <n v="0.20300000000000001"/>
    <s v="Approved"/>
    <x v="1"/>
    <n v="1"/>
    <n v="0"/>
    <n v="12000"/>
    <n v="0.14099999999999999"/>
    <n v="2"/>
    <n v="1"/>
    <n v="1"/>
  </r>
  <r>
    <s v="LA-702470"/>
    <d v="2025-01-09T00:00:00"/>
    <x v="1"/>
    <s v="Q1"/>
    <x v="0"/>
    <x v="3"/>
    <x v="1"/>
    <x v="2"/>
    <x v="0"/>
    <x v="1"/>
    <n v="6250"/>
    <n v="232500"/>
    <n v="240"/>
    <n v="0.47299999999999998"/>
    <s v="Approved"/>
    <x v="1"/>
    <n v="1"/>
    <n v="0"/>
    <n v="232500"/>
    <n v="5.9400000000000001E-2"/>
    <n v="8"/>
    <n v="1"/>
    <n v="1"/>
  </r>
  <r>
    <s v="LA-702471"/>
    <d v="2025-01-09T00:00:00"/>
    <x v="1"/>
    <s v="Q1"/>
    <x v="0"/>
    <x v="3"/>
    <x v="1"/>
    <x v="3"/>
    <x v="0"/>
    <x v="2"/>
    <n v="6900"/>
    <n v="144000"/>
    <n v="300"/>
    <n v="0.252"/>
    <s v="Approved"/>
    <x v="1"/>
    <n v="1"/>
    <n v="0"/>
    <n v="129500"/>
    <n v="9.2299999999999993E-2"/>
    <n v="3"/>
    <n v="1"/>
    <n v="1"/>
  </r>
  <r>
    <s v="LA-702472"/>
    <d v="2025-01-09T00:00:00"/>
    <x v="1"/>
    <s v="Q1"/>
    <x v="0"/>
    <x v="1"/>
    <x v="3"/>
    <x v="3"/>
    <x v="1"/>
    <x v="4"/>
    <n v="2800"/>
    <n v="14500"/>
    <n v="60"/>
    <n v="0.33700000000000002"/>
    <s v="Approved"/>
    <x v="1"/>
    <n v="1"/>
    <n v="0"/>
    <n v="14500"/>
    <n v="0.1108"/>
    <n v="4"/>
    <n v="0"/>
    <n v="1"/>
  </r>
  <r>
    <s v="LA-702473"/>
    <d v="2025-01-09T00:00:00"/>
    <x v="1"/>
    <s v="Q1"/>
    <x v="0"/>
    <x v="3"/>
    <x v="3"/>
    <x v="0"/>
    <x v="0"/>
    <x v="1"/>
    <n v="3700"/>
    <n v="129000"/>
    <n v="240"/>
    <n v="0.41"/>
    <s v="Approved"/>
    <x v="1"/>
    <n v="1"/>
    <n v="0"/>
    <n v="103000"/>
    <n v="6.0299999999999999E-2"/>
    <n v="12"/>
    <n v="1"/>
    <n v="1"/>
  </r>
  <r>
    <s v="LA-702474"/>
    <d v="2025-01-09T00:00:00"/>
    <x v="1"/>
    <s v="Q1"/>
    <x v="0"/>
    <x v="1"/>
    <x v="2"/>
    <x v="3"/>
    <x v="1"/>
    <x v="3"/>
    <n v="6550"/>
    <n v="7500"/>
    <n v="12"/>
    <n v="0.23899999999999999"/>
    <s v="Approved"/>
    <x v="1"/>
    <n v="1"/>
    <n v="0"/>
    <n v="7500"/>
    <n v="0.11020000000000001"/>
    <n v="2"/>
    <n v="1"/>
    <n v="1"/>
  </r>
  <r>
    <s v="LA-702475"/>
    <d v="2025-01-10T00:00:00"/>
    <x v="1"/>
    <s v="Q1"/>
    <x v="0"/>
    <x v="3"/>
    <x v="2"/>
    <x v="3"/>
    <x v="0"/>
    <x v="0"/>
    <n v="2450"/>
    <n v="186500"/>
    <n v="180"/>
    <n v="0.82799999999999996"/>
    <s v="Rejected"/>
    <x v="4"/>
    <n v="0"/>
    <n v="1"/>
    <n v="0"/>
    <m/>
    <n v="11"/>
    <n v="1"/>
    <n v="1"/>
  </r>
  <r>
    <s v="LA-702476"/>
    <d v="2025-01-10T00:00:00"/>
    <x v="1"/>
    <s v="Q1"/>
    <x v="0"/>
    <x v="0"/>
    <x v="2"/>
    <x v="1"/>
    <x v="2"/>
    <x v="1"/>
    <n v="3900"/>
    <n v="21500"/>
    <n v="48"/>
    <n v="0.255"/>
    <s v="Approved"/>
    <x v="1"/>
    <n v="1"/>
    <n v="0"/>
    <n v="21500"/>
    <n v="8.48E-2"/>
    <n v="2"/>
    <n v="1"/>
    <n v="1"/>
  </r>
  <r>
    <s v="LA-702477"/>
    <d v="2025-01-10T00:00:00"/>
    <x v="1"/>
    <s v="Q1"/>
    <x v="0"/>
    <x v="1"/>
    <x v="3"/>
    <x v="1"/>
    <x v="1"/>
    <x v="1"/>
    <n v="4550"/>
    <n v="16000"/>
    <n v="60"/>
    <n v="0.128"/>
    <s v="Approved"/>
    <x v="1"/>
    <n v="1"/>
    <n v="0"/>
    <n v="13000"/>
    <n v="0.1222"/>
    <n v="5"/>
    <n v="0"/>
    <n v="1"/>
  </r>
  <r>
    <s v="LA-702478"/>
    <d v="2025-01-10T00:00:00"/>
    <x v="1"/>
    <s v="Q1"/>
    <x v="0"/>
    <x v="1"/>
    <x v="1"/>
    <x v="2"/>
    <x v="0"/>
    <x v="1"/>
    <n v="4600"/>
    <n v="5000"/>
    <n v="12"/>
    <n v="0.27800000000000002"/>
    <s v="Approved"/>
    <x v="1"/>
    <n v="1"/>
    <n v="0"/>
    <n v="4500"/>
    <n v="0.12189999999999999"/>
    <n v="1"/>
    <n v="1"/>
    <n v="1"/>
  </r>
  <r>
    <s v="LA-702479"/>
    <d v="2025-01-10T00:00:00"/>
    <x v="1"/>
    <s v="Q1"/>
    <x v="0"/>
    <x v="2"/>
    <x v="2"/>
    <x v="2"/>
    <x v="1"/>
    <x v="1"/>
    <n v="2800"/>
    <n v="69000"/>
    <n v="12"/>
    <n v="2.3159999999999998"/>
    <s v="Rejected"/>
    <x v="4"/>
    <n v="0"/>
    <n v="1"/>
    <n v="0"/>
    <m/>
    <n v="10"/>
    <n v="1"/>
    <n v="1"/>
  </r>
  <r>
    <s v="LA-702480"/>
    <d v="2025-01-10T00:00:00"/>
    <x v="1"/>
    <s v="Q1"/>
    <x v="0"/>
    <x v="3"/>
    <x v="2"/>
    <x v="3"/>
    <x v="0"/>
    <x v="4"/>
    <n v="6350"/>
    <n v="158000"/>
    <n v="240"/>
    <n v="0.34300000000000003"/>
    <s v="Approved"/>
    <x v="1"/>
    <n v="1"/>
    <n v="0"/>
    <n v="158000"/>
    <n v="5.0299999999999997E-2"/>
    <n v="8"/>
    <n v="1"/>
    <n v="1"/>
  </r>
  <r>
    <s v="LA-702481"/>
    <d v="2025-01-10T00:00:00"/>
    <x v="1"/>
    <s v="Q1"/>
    <x v="0"/>
    <x v="2"/>
    <x v="3"/>
    <x v="3"/>
    <x v="1"/>
    <x v="2"/>
    <n v="8900"/>
    <n v="49000"/>
    <n v="12"/>
    <n v="0.55300000000000005"/>
    <s v="Approved"/>
    <x v="1"/>
    <n v="1"/>
    <n v="0"/>
    <n v="49000"/>
    <n v="0.1477"/>
    <n v="17"/>
    <n v="0"/>
    <n v="1"/>
  </r>
  <r>
    <s v="LA-702482"/>
    <d v="2025-01-10T00:00:00"/>
    <x v="1"/>
    <s v="Q1"/>
    <x v="0"/>
    <x v="1"/>
    <x v="1"/>
    <x v="2"/>
    <x v="1"/>
    <x v="4"/>
    <n v="4150"/>
    <n v="18000"/>
    <n v="48"/>
    <n v="0.191"/>
    <s v="Approved"/>
    <x v="1"/>
    <n v="1"/>
    <n v="0"/>
    <n v="18000"/>
    <n v="0.1152"/>
    <n v="1"/>
    <n v="1"/>
    <n v="1"/>
  </r>
  <r>
    <s v="LA-702483"/>
    <d v="2025-01-11T00:00:00"/>
    <x v="1"/>
    <s v="Q1"/>
    <x v="0"/>
    <x v="1"/>
    <x v="1"/>
    <x v="1"/>
    <x v="1"/>
    <x v="4"/>
    <n v="5550"/>
    <n v="22500"/>
    <n v="60"/>
    <n v="0.23499999999999999"/>
    <s v="Approved"/>
    <x v="1"/>
    <n v="1"/>
    <n v="0"/>
    <n v="22500"/>
    <n v="0.1118"/>
    <n v="2"/>
    <n v="1"/>
    <n v="1"/>
  </r>
  <r>
    <s v="LA-702484"/>
    <d v="2025-01-11T00:00:00"/>
    <x v="1"/>
    <s v="Q1"/>
    <x v="0"/>
    <x v="1"/>
    <x v="3"/>
    <x v="1"/>
    <x v="0"/>
    <x v="4"/>
    <n v="5950"/>
    <n v="14000"/>
    <n v="24"/>
    <n v="0.19700000000000001"/>
    <s v="Approved"/>
    <x v="1"/>
    <n v="1"/>
    <n v="0"/>
    <n v="14000"/>
    <n v="0.1181"/>
    <n v="3"/>
    <n v="1"/>
    <n v="1"/>
  </r>
  <r>
    <s v="LA-702485"/>
    <d v="2025-01-11T00:00:00"/>
    <x v="1"/>
    <s v="Q1"/>
    <x v="0"/>
    <x v="2"/>
    <x v="3"/>
    <x v="2"/>
    <x v="2"/>
    <x v="4"/>
    <n v="8500"/>
    <n v="149500"/>
    <n v="36"/>
    <n v="0.626"/>
    <s v="Approved"/>
    <x v="1"/>
    <n v="1"/>
    <n v="0"/>
    <n v="149500"/>
    <n v="0.10009999999999999"/>
    <n v="14"/>
    <n v="0"/>
    <n v="1"/>
  </r>
  <r>
    <s v="LA-702486"/>
    <d v="2025-01-11T00:00:00"/>
    <x v="1"/>
    <s v="Q1"/>
    <x v="0"/>
    <x v="0"/>
    <x v="1"/>
    <x v="1"/>
    <x v="1"/>
    <x v="0"/>
    <n v="6400"/>
    <n v="36000"/>
    <n v="60"/>
    <n v="0.249"/>
    <s v="Rejected"/>
    <x v="0"/>
    <n v="0"/>
    <n v="1"/>
    <n v="0"/>
    <m/>
    <n v="1"/>
    <n v="1"/>
    <n v="1"/>
  </r>
  <r>
    <s v="LA-702487"/>
    <d v="2025-01-11T00:00:00"/>
    <x v="1"/>
    <s v="Q1"/>
    <x v="0"/>
    <x v="0"/>
    <x v="2"/>
    <x v="2"/>
    <x v="1"/>
    <x v="4"/>
    <n v="5550"/>
    <n v="22500"/>
    <n v="60"/>
    <n v="0.14699999999999999"/>
    <s v="Rejected"/>
    <x v="5"/>
    <n v="0"/>
    <n v="1"/>
    <n v="0"/>
    <m/>
    <n v="2"/>
    <n v="1"/>
    <n v="1"/>
  </r>
  <r>
    <s v="LA-702488"/>
    <d v="2025-01-11T00:00:00"/>
    <x v="1"/>
    <s v="Q1"/>
    <x v="0"/>
    <x v="0"/>
    <x v="0"/>
    <x v="1"/>
    <x v="0"/>
    <x v="1"/>
    <n v="4550"/>
    <n v="38000"/>
    <n v="48"/>
    <n v="0.36099999999999999"/>
    <s v="Rejected"/>
    <x v="4"/>
    <n v="0"/>
    <n v="1"/>
    <n v="0"/>
    <m/>
    <n v="11"/>
    <n v="0"/>
    <n v="1"/>
  </r>
  <r>
    <s v="LA-702489"/>
    <d v="2025-01-11T00:00:00"/>
    <x v="1"/>
    <s v="Q1"/>
    <x v="0"/>
    <x v="3"/>
    <x v="1"/>
    <x v="0"/>
    <x v="1"/>
    <x v="4"/>
    <n v="6550"/>
    <n v="335500"/>
    <n v="240"/>
    <n v="0.53700000000000003"/>
    <s v="Approved"/>
    <x v="1"/>
    <n v="1"/>
    <n v="0"/>
    <n v="268500"/>
    <n v="5.2499999999999998E-2"/>
    <n v="10"/>
    <n v="1"/>
    <n v="1"/>
  </r>
  <r>
    <s v="LA-702490"/>
    <d v="2025-01-11T00:00:00"/>
    <x v="1"/>
    <s v="Q1"/>
    <x v="0"/>
    <x v="1"/>
    <x v="1"/>
    <x v="3"/>
    <x v="2"/>
    <x v="1"/>
    <n v="6550"/>
    <n v="8000"/>
    <n v="60"/>
    <n v="0.24299999999999999"/>
    <s v="Approved"/>
    <x v="1"/>
    <n v="1"/>
    <n v="0"/>
    <n v="7000"/>
    <n v="0.125"/>
    <n v="1"/>
    <n v="1"/>
    <n v="1"/>
  </r>
  <r>
    <s v="LA-702491"/>
    <d v="2025-01-11T00:00:00"/>
    <x v="1"/>
    <s v="Q1"/>
    <x v="0"/>
    <x v="1"/>
    <x v="1"/>
    <x v="0"/>
    <x v="1"/>
    <x v="1"/>
    <n v="6800"/>
    <n v="11500"/>
    <n v="60"/>
    <n v="0.19900000000000001"/>
    <s v="Approved"/>
    <x v="1"/>
    <n v="1"/>
    <n v="0"/>
    <n v="11500"/>
    <n v="0.1196"/>
    <n v="3"/>
    <n v="1"/>
    <n v="1"/>
  </r>
  <r>
    <s v="LA-702492"/>
    <d v="2025-01-11T00:00:00"/>
    <x v="1"/>
    <s v="Q1"/>
    <x v="0"/>
    <x v="3"/>
    <x v="3"/>
    <x v="2"/>
    <x v="0"/>
    <x v="4"/>
    <n v="2900"/>
    <n v="237500"/>
    <n v="240"/>
    <n v="0.71399999999999997"/>
    <s v="Rejected"/>
    <x v="3"/>
    <n v="0"/>
    <n v="1"/>
    <n v="0"/>
    <m/>
    <n v="15"/>
    <n v="1"/>
    <n v="1"/>
  </r>
  <r>
    <s v="LA-702493"/>
    <d v="2025-01-12T00:00:00"/>
    <x v="1"/>
    <s v="Q1"/>
    <x v="0"/>
    <x v="0"/>
    <x v="2"/>
    <x v="4"/>
    <x v="1"/>
    <x v="0"/>
    <n v="7400"/>
    <n v="58500"/>
    <n v="36"/>
    <n v="0.46"/>
    <s v="Approved"/>
    <x v="1"/>
    <n v="1"/>
    <n v="0"/>
    <n v="47000"/>
    <n v="0.1019"/>
    <n v="2"/>
    <n v="1"/>
    <n v="1"/>
  </r>
  <r>
    <s v="LA-702494"/>
    <d v="2025-01-12T00:00:00"/>
    <x v="1"/>
    <s v="Q1"/>
    <x v="0"/>
    <x v="0"/>
    <x v="2"/>
    <x v="4"/>
    <x v="1"/>
    <x v="2"/>
    <n v="6350"/>
    <n v="14500"/>
    <n v="60"/>
    <n v="0.187"/>
    <s v="Approved"/>
    <x v="1"/>
    <n v="1"/>
    <n v="0"/>
    <n v="14500"/>
    <n v="0.1212"/>
    <n v="2"/>
    <n v="1"/>
    <n v="1"/>
  </r>
  <r>
    <s v="LA-702495"/>
    <d v="2025-01-12T00:00:00"/>
    <x v="1"/>
    <s v="Q1"/>
    <x v="0"/>
    <x v="1"/>
    <x v="0"/>
    <x v="2"/>
    <x v="0"/>
    <x v="1"/>
    <n v="6550"/>
    <n v="9000"/>
    <n v="48"/>
    <n v="0.187"/>
    <s v="Approved"/>
    <x v="1"/>
    <n v="1"/>
    <n v="0"/>
    <n v="8000"/>
    <n v="0.1203"/>
    <n v="4"/>
    <n v="0"/>
    <n v="1"/>
  </r>
  <r>
    <s v="LA-702496"/>
    <d v="2025-01-12T00:00:00"/>
    <x v="1"/>
    <s v="Q1"/>
    <x v="0"/>
    <x v="1"/>
    <x v="2"/>
    <x v="2"/>
    <x v="1"/>
    <x v="4"/>
    <n v="3500"/>
    <n v="18500"/>
    <n v="48"/>
    <n v="0.26600000000000001"/>
    <s v="Approved"/>
    <x v="1"/>
    <n v="1"/>
    <n v="0"/>
    <n v="18500"/>
    <n v="0.1179"/>
    <n v="2"/>
    <n v="1"/>
    <n v="1"/>
  </r>
  <r>
    <s v="LA-702497"/>
    <d v="2025-01-12T00:00:00"/>
    <x v="1"/>
    <s v="Q1"/>
    <x v="0"/>
    <x v="1"/>
    <x v="1"/>
    <x v="2"/>
    <x v="2"/>
    <x v="1"/>
    <n v="7900"/>
    <n v="9500"/>
    <n v="36"/>
    <n v="0.109"/>
    <s v="Rejected"/>
    <x v="0"/>
    <n v="0"/>
    <n v="1"/>
    <n v="0"/>
    <m/>
    <n v="1"/>
    <n v="1"/>
    <n v="1"/>
  </r>
  <r>
    <s v="LA-702498"/>
    <d v="2025-01-12T00:00:00"/>
    <x v="1"/>
    <s v="Q1"/>
    <x v="0"/>
    <x v="3"/>
    <x v="1"/>
    <x v="2"/>
    <x v="2"/>
    <x v="1"/>
    <n v="5300"/>
    <n v="142500"/>
    <n v="240"/>
    <n v="0.29599999999999999"/>
    <s v="Approved"/>
    <x v="1"/>
    <n v="1"/>
    <n v="0"/>
    <n v="142500"/>
    <n v="5.91E-2"/>
    <n v="5"/>
    <n v="1"/>
    <n v="1"/>
  </r>
  <r>
    <s v="LA-702499"/>
    <d v="2025-01-12T00:00:00"/>
    <x v="1"/>
    <s v="Q1"/>
    <x v="0"/>
    <x v="3"/>
    <x v="3"/>
    <x v="2"/>
    <x v="2"/>
    <x v="0"/>
    <n v="5950"/>
    <n v="242500"/>
    <n v="240"/>
    <n v="0.32800000000000001"/>
    <s v="Approved"/>
    <x v="1"/>
    <n v="1"/>
    <n v="0"/>
    <n v="242500"/>
    <n v="7.5999999999999998E-2"/>
    <n v="21"/>
    <n v="0"/>
    <n v="1"/>
  </r>
  <r>
    <s v="LA-702500"/>
    <d v="2025-01-12T00:00:00"/>
    <x v="1"/>
    <s v="Q1"/>
    <x v="0"/>
    <x v="1"/>
    <x v="2"/>
    <x v="1"/>
    <x v="1"/>
    <x v="1"/>
    <n v="3150"/>
    <n v="8500"/>
    <n v="24"/>
    <n v="0.19600000000000001"/>
    <s v="Approved"/>
    <x v="1"/>
    <n v="1"/>
    <n v="0"/>
    <n v="8500"/>
    <n v="0.12709999999999999"/>
    <n v="4"/>
    <n v="0"/>
    <n v="1"/>
  </r>
  <r>
    <s v="LA-702501"/>
    <d v="2025-01-12T00:00:00"/>
    <x v="1"/>
    <s v="Q1"/>
    <x v="0"/>
    <x v="1"/>
    <x v="2"/>
    <x v="0"/>
    <x v="0"/>
    <x v="0"/>
    <n v="3600"/>
    <n v="24000"/>
    <n v="36"/>
    <n v="0.44700000000000001"/>
    <s v="Rejected"/>
    <x v="0"/>
    <n v="0"/>
    <n v="1"/>
    <n v="0"/>
    <m/>
    <n v="2"/>
    <n v="1"/>
    <n v="1"/>
  </r>
  <r>
    <s v="LA-702502"/>
    <d v="2025-01-13T00:00:00"/>
    <x v="1"/>
    <s v="Q1"/>
    <x v="0"/>
    <x v="3"/>
    <x v="3"/>
    <x v="1"/>
    <x v="0"/>
    <x v="0"/>
    <n v="4050"/>
    <n v="484500"/>
    <n v="240"/>
    <n v="0.97799999999999998"/>
    <s v="Approved"/>
    <x v="1"/>
    <n v="1"/>
    <n v="0"/>
    <n v="436000"/>
    <n v="7.5300000000000006E-2"/>
    <n v="15"/>
    <n v="1"/>
    <n v="1"/>
  </r>
  <r>
    <s v="LA-702503"/>
    <d v="2025-01-13T00:00:00"/>
    <x v="1"/>
    <s v="Q1"/>
    <x v="0"/>
    <x v="1"/>
    <x v="2"/>
    <x v="2"/>
    <x v="0"/>
    <x v="4"/>
    <n v="4600"/>
    <n v="10000"/>
    <n v="60"/>
    <n v="0.252"/>
    <s v="Approved"/>
    <x v="1"/>
    <n v="1"/>
    <n v="0"/>
    <n v="10000"/>
    <n v="0.112"/>
    <n v="2"/>
    <n v="1"/>
    <n v="1"/>
  </r>
  <r>
    <s v="LA-702504"/>
    <d v="2025-01-13T00:00:00"/>
    <x v="1"/>
    <s v="Q1"/>
    <x v="0"/>
    <x v="0"/>
    <x v="0"/>
    <x v="1"/>
    <x v="0"/>
    <x v="1"/>
    <n v="3250"/>
    <n v="24500"/>
    <n v="60"/>
    <n v="0.32200000000000001"/>
    <s v="Rejected"/>
    <x v="2"/>
    <n v="0"/>
    <n v="1"/>
    <n v="0"/>
    <m/>
    <n v="5"/>
    <n v="0"/>
    <n v="1"/>
  </r>
  <r>
    <s v="LA-702505"/>
    <d v="2025-01-13T00:00:00"/>
    <x v="1"/>
    <s v="Q1"/>
    <x v="0"/>
    <x v="3"/>
    <x v="3"/>
    <x v="2"/>
    <x v="0"/>
    <x v="1"/>
    <n v="4400"/>
    <n v="395000"/>
    <n v="300"/>
    <n v="0.57699999999999996"/>
    <s v="Approved"/>
    <x v="1"/>
    <n v="1"/>
    <n v="0"/>
    <n v="355500"/>
    <n v="5.8500000000000003E-2"/>
    <n v="12"/>
    <n v="1"/>
    <n v="1"/>
  </r>
  <r>
    <s v="LA-702506"/>
    <d v="2025-01-14T00:00:00"/>
    <x v="1"/>
    <s v="Q1"/>
    <x v="0"/>
    <x v="2"/>
    <x v="2"/>
    <x v="2"/>
    <x v="2"/>
    <x v="2"/>
    <n v="4050"/>
    <n v="89500"/>
    <n v="12"/>
    <n v="2.0790000000000002"/>
    <s v="Rejected"/>
    <x v="0"/>
    <n v="0"/>
    <n v="1"/>
    <n v="0"/>
    <m/>
    <n v="8"/>
    <n v="1"/>
    <n v="1"/>
  </r>
  <r>
    <s v="LA-702507"/>
    <d v="2025-01-14T00:00:00"/>
    <x v="1"/>
    <s v="Q1"/>
    <x v="0"/>
    <x v="0"/>
    <x v="3"/>
    <x v="4"/>
    <x v="1"/>
    <x v="4"/>
    <n v="4600"/>
    <n v="31000"/>
    <n v="48"/>
    <n v="0.36499999999999999"/>
    <s v="Approved"/>
    <x v="1"/>
    <n v="1"/>
    <n v="0"/>
    <n v="28000"/>
    <n v="7.0599999999999996E-2"/>
    <n v="4"/>
    <n v="1"/>
    <n v="1"/>
  </r>
  <r>
    <s v="LA-702508"/>
    <d v="2025-01-14T00:00:00"/>
    <x v="1"/>
    <s v="Q1"/>
    <x v="0"/>
    <x v="2"/>
    <x v="2"/>
    <x v="3"/>
    <x v="1"/>
    <x v="0"/>
    <n v="6950"/>
    <n v="120000"/>
    <n v="60"/>
    <n v="0.59399999999999997"/>
    <s v="Rejected"/>
    <x v="0"/>
    <n v="0"/>
    <n v="1"/>
    <n v="0"/>
    <m/>
    <n v="7"/>
    <n v="1"/>
    <n v="1"/>
  </r>
  <r>
    <s v="LA-702509"/>
    <d v="2025-01-14T00:00:00"/>
    <x v="1"/>
    <s v="Q1"/>
    <x v="0"/>
    <x v="0"/>
    <x v="3"/>
    <x v="3"/>
    <x v="1"/>
    <x v="1"/>
    <n v="6900"/>
    <n v="38000"/>
    <n v="48"/>
    <n v="0.26200000000000001"/>
    <s v="Approved"/>
    <x v="1"/>
    <n v="1"/>
    <n v="0"/>
    <n v="38000"/>
    <n v="8.1000000000000003E-2"/>
    <n v="6"/>
    <n v="0"/>
    <n v="1"/>
  </r>
  <r>
    <s v="LA-702510"/>
    <d v="2025-01-14T00:00:00"/>
    <x v="1"/>
    <s v="Q1"/>
    <x v="0"/>
    <x v="0"/>
    <x v="1"/>
    <x v="4"/>
    <x v="2"/>
    <x v="4"/>
    <n v="5150"/>
    <n v="18500"/>
    <n v="60"/>
    <n v="0.311"/>
    <s v="Approved"/>
    <x v="1"/>
    <n v="1"/>
    <n v="0"/>
    <n v="18500"/>
    <n v="7.9299999999999995E-2"/>
    <n v="2"/>
    <n v="1"/>
    <n v="1"/>
  </r>
  <r>
    <s v="LA-702511"/>
    <d v="2025-01-14T00:00:00"/>
    <x v="1"/>
    <s v="Q1"/>
    <x v="0"/>
    <x v="0"/>
    <x v="3"/>
    <x v="2"/>
    <x v="0"/>
    <x v="3"/>
    <n v="3350"/>
    <n v="23000"/>
    <n v="60"/>
    <n v="0.27300000000000002"/>
    <s v="Approved"/>
    <x v="1"/>
    <n v="1"/>
    <n v="0"/>
    <n v="23000"/>
    <n v="6.8500000000000005E-2"/>
    <n v="6"/>
    <n v="0"/>
    <n v="1"/>
  </r>
  <r>
    <s v="LA-702512"/>
    <d v="2025-01-14T00:00:00"/>
    <x v="1"/>
    <s v="Q1"/>
    <x v="0"/>
    <x v="2"/>
    <x v="2"/>
    <x v="4"/>
    <x v="0"/>
    <x v="0"/>
    <n v="1700"/>
    <n v="88500"/>
    <n v="12"/>
    <n v="4.6440000000000001"/>
    <s v="Rejected"/>
    <x v="0"/>
    <n v="0"/>
    <n v="1"/>
    <n v="0"/>
    <m/>
    <n v="6"/>
    <n v="1"/>
    <n v="1"/>
  </r>
  <r>
    <s v="LA-702513"/>
    <d v="2025-01-14T00:00:00"/>
    <x v="1"/>
    <s v="Q1"/>
    <x v="0"/>
    <x v="1"/>
    <x v="3"/>
    <x v="2"/>
    <x v="0"/>
    <x v="4"/>
    <n v="5150"/>
    <n v="10500"/>
    <n v="24"/>
    <n v="0.223"/>
    <s v="Approved"/>
    <x v="1"/>
    <n v="1"/>
    <n v="0"/>
    <n v="10500"/>
    <n v="0.1195"/>
    <n v="3"/>
    <n v="1"/>
    <n v="1"/>
  </r>
  <r>
    <s v="LA-702514"/>
    <d v="2025-01-15T00:00:00"/>
    <x v="1"/>
    <s v="Q1"/>
    <x v="0"/>
    <x v="1"/>
    <x v="2"/>
    <x v="3"/>
    <x v="1"/>
    <x v="4"/>
    <n v="3250"/>
    <n v="16000"/>
    <n v="24"/>
    <n v="0.32900000000000001"/>
    <s v="Approved"/>
    <x v="1"/>
    <n v="1"/>
    <n v="0"/>
    <n v="16000"/>
    <n v="0.1149"/>
    <n v="2"/>
    <n v="1"/>
    <n v="1"/>
  </r>
  <r>
    <s v="LA-702515"/>
    <d v="2025-01-15T00:00:00"/>
    <x v="1"/>
    <s v="Q1"/>
    <x v="0"/>
    <x v="0"/>
    <x v="3"/>
    <x v="3"/>
    <x v="0"/>
    <x v="1"/>
    <n v="6850"/>
    <n v="29000"/>
    <n v="48"/>
    <n v="0.34499999999999997"/>
    <s v="Approved"/>
    <x v="1"/>
    <n v="1"/>
    <n v="0"/>
    <n v="26000"/>
    <n v="7.9200000000000007E-2"/>
    <n v="4"/>
    <n v="1"/>
    <n v="1"/>
  </r>
  <r>
    <s v="LA-702516"/>
    <d v="2025-01-15T00:00:00"/>
    <x v="1"/>
    <s v="Q1"/>
    <x v="0"/>
    <x v="3"/>
    <x v="3"/>
    <x v="2"/>
    <x v="0"/>
    <x v="2"/>
    <n v="4250"/>
    <n v="120500"/>
    <n v="240"/>
    <n v="0.315"/>
    <s v="Rejected"/>
    <x v="0"/>
    <n v="0"/>
    <n v="1"/>
    <n v="0"/>
    <m/>
    <n v="23"/>
    <n v="0"/>
    <n v="1"/>
  </r>
  <r>
    <s v="LA-702517"/>
    <d v="2025-01-15T00:00:00"/>
    <x v="1"/>
    <s v="Q1"/>
    <x v="0"/>
    <x v="1"/>
    <x v="2"/>
    <x v="2"/>
    <x v="0"/>
    <x v="1"/>
    <n v="2450"/>
    <n v="11000"/>
    <n v="36"/>
    <n v="0.33"/>
    <s v="Approved"/>
    <x v="1"/>
    <n v="1"/>
    <n v="0"/>
    <n v="11000"/>
    <n v="0.12590000000000001"/>
    <n v="2"/>
    <n v="1"/>
    <n v="1"/>
  </r>
  <r>
    <s v="LA-702518"/>
    <d v="2025-01-15T00:00:00"/>
    <x v="1"/>
    <s v="Q1"/>
    <x v="0"/>
    <x v="1"/>
    <x v="1"/>
    <x v="0"/>
    <x v="0"/>
    <x v="4"/>
    <n v="5450"/>
    <n v="8500"/>
    <n v="60"/>
    <n v="0.26300000000000001"/>
    <s v="Approved"/>
    <x v="1"/>
    <n v="1"/>
    <n v="0"/>
    <n v="8500"/>
    <n v="0.11409999999999999"/>
    <n v="2"/>
    <n v="1"/>
    <n v="1"/>
  </r>
  <r>
    <s v="LA-702519"/>
    <d v="2025-01-15T00:00:00"/>
    <x v="1"/>
    <s v="Q1"/>
    <x v="0"/>
    <x v="1"/>
    <x v="1"/>
    <x v="2"/>
    <x v="1"/>
    <x v="1"/>
    <n v="9450"/>
    <n v="37500"/>
    <n v="24"/>
    <n v="0.312"/>
    <s v="Rejected"/>
    <x v="2"/>
    <n v="0"/>
    <n v="1"/>
    <n v="0"/>
    <m/>
    <n v="2"/>
    <n v="1"/>
    <n v="1"/>
  </r>
  <r>
    <s v="LA-702520"/>
    <d v="2025-01-15T00:00:00"/>
    <x v="1"/>
    <s v="Q1"/>
    <x v="0"/>
    <x v="1"/>
    <x v="3"/>
    <x v="2"/>
    <x v="0"/>
    <x v="2"/>
    <n v="10150"/>
    <n v="12000"/>
    <n v="60"/>
    <n v="0.252"/>
    <s v="Rejected"/>
    <x v="0"/>
    <n v="0"/>
    <n v="1"/>
    <n v="0"/>
    <m/>
    <n v="5"/>
    <n v="0"/>
    <n v="1"/>
  </r>
  <r>
    <s v="LA-702521"/>
    <d v="2025-01-15T00:00:00"/>
    <x v="1"/>
    <s v="Q1"/>
    <x v="0"/>
    <x v="1"/>
    <x v="3"/>
    <x v="3"/>
    <x v="2"/>
    <x v="1"/>
    <n v="7050"/>
    <n v="25500"/>
    <n v="60"/>
    <n v="0.18099999999999999"/>
    <s v="Approved"/>
    <x v="1"/>
    <n v="1"/>
    <n v="0"/>
    <n v="20500"/>
    <n v="0.12590000000000001"/>
    <n v="4"/>
    <n v="0"/>
    <n v="1"/>
  </r>
  <r>
    <s v="LA-702522"/>
    <d v="2025-01-15T00:00:00"/>
    <x v="1"/>
    <s v="Q1"/>
    <x v="0"/>
    <x v="3"/>
    <x v="3"/>
    <x v="2"/>
    <x v="0"/>
    <x v="1"/>
    <n v="3550"/>
    <n v="776500"/>
    <n v="180"/>
    <n v="1.8129999999999999"/>
    <s v="Rejected"/>
    <x v="3"/>
    <n v="0"/>
    <n v="1"/>
    <n v="0"/>
    <m/>
    <n v="12"/>
    <n v="1"/>
    <n v="1"/>
  </r>
  <r>
    <s v="LA-702523"/>
    <d v="2025-01-15T00:00:00"/>
    <x v="1"/>
    <s v="Q1"/>
    <x v="0"/>
    <x v="2"/>
    <x v="0"/>
    <x v="0"/>
    <x v="0"/>
    <x v="1"/>
    <n v="5450"/>
    <n v="136500"/>
    <n v="60"/>
    <n v="0.70499999999999996"/>
    <s v="Withdrawn"/>
    <x v="1"/>
    <n v="0"/>
    <n v="0"/>
    <n v="0"/>
    <m/>
    <n v="14"/>
    <n v="0"/>
    <n v="1"/>
  </r>
  <r>
    <s v="LA-702524"/>
    <d v="2025-01-15T00:00:00"/>
    <x v="1"/>
    <s v="Q1"/>
    <x v="0"/>
    <x v="1"/>
    <x v="0"/>
    <x v="3"/>
    <x v="0"/>
    <x v="0"/>
    <n v="2500"/>
    <n v="8500"/>
    <n v="24"/>
    <n v="0.247"/>
    <s v="Approved"/>
    <x v="1"/>
    <n v="1"/>
    <n v="0"/>
    <n v="7000"/>
    <n v="0.13739999999999999"/>
    <n v="3"/>
    <n v="1"/>
    <n v="1"/>
  </r>
  <r>
    <s v="LA-702525"/>
    <d v="2025-01-16T00:00:00"/>
    <x v="1"/>
    <s v="Q1"/>
    <x v="0"/>
    <x v="1"/>
    <x v="1"/>
    <x v="1"/>
    <x v="2"/>
    <x v="4"/>
    <n v="6100"/>
    <n v="7500"/>
    <n v="60"/>
    <n v="0.20799999999999999"/>
    <s v="Rejected"/>
    <x v="0"/>
    <n v="0"/>
    <n v="1"/>
    <n v="0"/>
    <m/>
    <n v="2"/>
    <n v="1"/>
    <n v="1"/>
  </r>
  <r>
    <s v="LA-702526"/>
    <d v="2025-01-16T00:00:00"/>
    <x v="1"/>
    <s v="Q1"/>
    <x v="0"/>
    <x v="0"/>
    <x v="1"/>
    <x v="2"/>
    <x v="0"/>
    <x v="1"/>
    <n v="7350"/>
    <n v="38000"/>
    <n v="48"/>
    <n v="0.222"/>
    <s v="Approved"/>
    <x v="1"/>
    <n v="1"/>
    <n v="0"/>
    <n v="38000"/>
    <n v="8.9599999999999999E-2"/>
    <n v="1"/>
    <n v="1"/>
    <n v="1"/>
  </r>
  <r>
    <s v="LA-702527"/>
    <d v="2025-01-16T00:00:00"/>
    <x v="1"/>
    <s v="Q1"/>
    <x v="0"/>
    <x v="3"/>
    <x v="1"/>
    <x v="3"/>
    <x v="1"/>
    <x v="4"/>
    <n v="10650"/>
    <n v="243500"/>
    <n v="300"/>
    <n v="0.32500000000000001"/>
    <s v="Rejected"/>
    <x v="4"/>
    <n v="0"/>
    <n v="1"/>
    <n v="0"/>
    <m/>
    <n v="16"/>
    <n v="0"/>
    <n v="1"/>
  </r>
  <r>
    <s v="LA-702528"/>
    <d v="2025-01-16T00:00:00"/>
    <x v="1"/>
    <s v="Q1"/>
    <x v="0"/>
    <x v="0"/>
    <x v="3"/>
    <x v="3"/>
    <x v="1"/>
    <x v="1"/>
    <n v="4200"/>
    <n v="43500"/>
    <n v="48"/>
    <n v="0.45800000000000002"/>
    <s v="Withdrawn"/>
    <x v="1"/>
    <n v="0"/>
    <n v="0"/>
    <n v="0"/>
    <m/>
    <n v="3"/>
    <n v="1"/>
    <n v="1"/>
  </r>
  <r>
    <s v="LA-702529"/>
    <d v="2025-01-16T00:00:00"/>
    <x v="1"/>
    <s v="Q1"/>
    <x v="0"/>
    <x v="2"/>
    <x v="2"/>
    <x v="2"/>
    <x v="0"/>
    <x v="3"/>
    <n v="2600"/>
    <n v="151000"/>
    <n v="60"/>
    <n v="1.323"/>
    <s v="Approved"/>
    <x v="1"/>
    <n v="1"/>
    <n v="0"/>
    <n v="136000"/>
    <n v="9.1899999999999996E-2"/>
    <n v="4"/>
    <n v="1"/>
    <n v="1"/>
  </r>
  <r>
    <s v="LA-702530"/>
    <d v="2025-01-16T00:00:00"/>
    <x v="1"/>
    <s v="Q1"/>
    <x v="0"/>
    <x v="1"/>
    <x v="2"/>
    <x v="0"/>
    <x v="0"/>
    <x v="0"/>
    <n v="5350"/>
    <n v="7000"/>
    <n v="12"/>
    <n v="0.34499999999999997"/>
    <s v="Rejected"/>
    <x v="0"/>
    <n v="0"/>
    <n v="1"/>
    <n v="0"/>
    <m/>
    <n v="2"/>
    <n v="1"/>
    <n v="1"/>
  </r>
  <r>
    <s v="LA-702531"/>
    <d v="2025-01-16T00:00:00"/>
    <x v="1"/>
    <s v="Q1"/>
    <x v="0"/>
    <x v="3"/>
    <x v="2"/>
    <x v="3"/>
    <x v="1"/>
    <x v="1"/>
    <n v="8500"/>
    <n v="170000"/>
    <n v="240"/>
    <n v="0.33900000000000002"/>
    <s v="Rejected"/>
    <x v="2"/>
    <n v="0"/>
    <n v="1"/>
    <n v="0"/>
    <m/>
    <n v="5"/>
    <n v="1"/>
    <n v="1"/>
  </r>
  <r>
    <s v="LA-702532"/>
    <d v="2025-01-16T00:00:00"/>
    <x v="1"/>
    <s v="Q1"/>
    <x v="0"/>
    <x v="3"/>
    <x v="3"/>
    <x v="1"/>
    <x v="2"/>
    <x v="1"/>
    <n v="6050"/>
    <n v="297500"/>
    <n v="180"/>
    <n v="0.61199999999999999"/>
    <s v="Withdrawn"/>
    <x v="1"/>
    <n v="0"/>
    <n v="0"/>
    <n v="0"/>
    <m/>
    <n v="20"/>
    <n v="0"/>
    <n v="1"/>
  </r>
  <r>
    <s v="LA-702533"/>
    <d v="2025-01-16T00:00:00"/>
    <x v="1"/>
    <s v="Q1"/>
    <x v="0"/>
    <x v="2"/>
    <x v="1"/>
    <x v="1"/>
    <x v="0"/>
    <x v="0"/>
    <n v="4600"/>
    <n v="37500"/>
    <n v="60"/>
    <n v="0.29599999999999999"/>
    <s v="Rejected"/>
    <x v="4"/>
    <n v="0"/>
    <n v="1"/>
    <n v="0"/>
    <m/>
    <n v="7"/>
    <n v="1"/>
    <n v="1"/>
  </r>
  <r>
    <s v="LA-702534"/>
    <d v="2025-01-16T00:00:00"/>
    <x v="1"/>
    <s v="Q1"/>
    <x v="0"/>
    <x v="3"/>
    <x v="1"/>
    <x v="3"/>
    <x v="1"/>
    <x v="4"/>
    <n v="3150"/>
    <n v="312500"/>
    <n v="240"/>
    <n v="0.83399999999999996"/>
    <s v="Approved"/>
    <x v="1"/>
    <n v="1"/>
    <n v="0"/>
    <n v="281000"/>
    <n v="4.8500000000000001E-2"/>
    <n v="7"/>
    <n v="1"/>
    <n v="1"/>
  </r>
  <r>
    <s v="LA-702535"/>
    <d v="2025-01-17T00:00:00"/>
    <x v="1"/>
    <s v="Q1"/>
    <x v="0"/>
    <x v="2"/>
    <x v="0"/>
    <x v="2"/>
    <x v="0"/>
    <x v="1"/>
    <n v="9650"/>
    <n v="41000"/>
    <n v="60"/>
    <n v="0.17"/>
    <s v="Approved"/>
    <x v="1"/>
    <n v="1"/>
    <n v="0"/>
    <n v="41000"/>
    <n v="0.10680000000000001"/>
    <n v="7"/>
    <n v="1"/>
    <n v="1"/>
  </r>
  <r>
    <s v="LA-702536"/>
    <d v="2025-01-17T00:00:00"/>
    <x v="1"/>
    <s v="Q1"/>
    <x v="0"/>
    <x v="0"/>
    <x v="2"/>
    <x v="2"/>
    <x v="0"/>
    <x v="2"/>
    <n v="5200"/>
    <n v="19000"/>
    <n v="36"/>
    <n v="0.19800000000000001"/>
    <s v="Rejected"/>
    <x v="4"/>
    <n v="0"/>
    <n v="1"/>
    <n v="0"/>
    <m/>
    <n v="6"/>
    <n v="0"/>
    <n v="1"/>
  </r>
  <r>
    <s v="LA-702537"/>
    <d v="2025-01-17T00:00:00"/>
    <x v="1"/>
    <s v="Q1"/>
    <x v="0"/>
    <x v="1"/>
    <x v="3"/>
    <x v="3"/>
    <x v="1"/>
    <x v="1"/>
    <n v="5700"/>
    <n v="10000"/>
    <n v="36"/>
    <n v="0.14499999999999999"/>
    <s v="Approved"/>
    <x v="1"/>
    <n v="1"/>
    <n v="0"/>
    <n v="9000"/>
    <n v="0.12330000000000001"/>
    <n v="6"/>
    <n v="0"/>
    <n v="1"/>
  </r>
  <r>
    <s v="LA-702538"/>
    <d v="2025-01-17T00:00:00"/>
    <x v="1"/>
    <s v="Q1"/>
    <x v="0"/>
    <x v="1"/>
    <x v="3"/>
    <x v="2"/>
    <x v="0"/>
    <x v="1"/>
    <n v="5850"/>
    <n v="10500"/>
    <n v="48"/>
    <n v="0.16900000000000001"/>
    <s v="Rejected"/>
    <x v="4"/>
    <n v="0"/>
    <n v="1"/>
    <n v="0"/>
    <m/>
    <n v="11"/>
    <n v="0"/>
    <n v="1"/>
  </r>
  <r>
    <s v="LA-702539"/>
    <d v="2025-01-17T00:00:00"/>
    <x v="1"/>
    <s v="Q1"/>
    <x v="0"/>
    <x v="1"/>
    <x v="3"/>
    <x v="2"/>
    <x v="0"/>
    <x v="4"/>
    <n v="4800"/>
    <n v="9500"/>
    <n v="36"/>
    <n v="0.20699999999999999"/>
    <s v="Approved"/>
    <x v="1"/>
    <n v="1"/>
    <n v="0"/>
    <n v="8500"/>
    <n v="0.11210000000000001"/>
    <n v="5"/>
    <n v="0"/>
    <n v="1"/>
  </r>
  <r>
    <s v="LA-702540"/>
    <d v="2025-01-17T00:00:00"/>
    <x v="1"/>
    <s v="Q1"/>
    <x v="0"/>
    <x v="1"/>
    <x v="1"/>
    <x v="3"/>
    <x v="0"/>
    <x v="0"/>
    <n v="8500"/>
    <n v="39500"/>
    <n v="12"/>
    <n v="0.61399999999999999"/>
    <s v="Approved"/>
    <x v="1"/>
    <n v="1"/>
    <n v="0"/>
    <n v="31500"/>
    <n v="0.14199999999999999"/>
    <n v="1"/>
    <n v="1"/>
    <n v="1"/>
  </r>
  <r>
    <s v="LA-702541"/>
    <d v="2025-01-17T00:00:00"/>
    <x v="1"/>
    <s v="Q1"/>
    <x v="0"/>
    <x v="0"/>
    <x v="1"/>
    <x v="3"/>
    <x v="0"/>
    <x v="4"/>
    <n v="1950"/>
    <n v="15500"/>
    <n v="60"/>
    <n v="0.33"/>
    <s v="Approved"/>
    <x v="1"/>
    <n v="1"/>
    <n v="0"/>
    <n v="15500"/>
    <n v="7.4800000000000005E-2"/>
    <n v="2"/>
    <n v="1"/>
    <n v="1"/>
  </r>
  <r>
    <s v="LA-702542"/>
    <d v="2025-01-17T00:00:00"/>
    <x v="1"/>
    <s v="Q1"/>
    <x v="0"/>
    <x v="0"/>
    <x v="1"/>
    <x v="1"/>
    <x v="0"/>
    <x v="1"/>
    <n v="4100"/>
    <n v="37000"/>
    <n v="60"/>
    <n v="0.26100000000000001"/>
    <s v="Approved"/>
    <x v="1"/>
    <n v="1"/>
    <n v="0"/>
    <n v="29500"/>
    <n v="8.0699999999999994E-2"/>
    <n v="1"/>
    <n v="1"/>
    <n v="1"/>
  </r>
  <r>
    <s v="LA-702543"/>
    <d v="2025-01-17T00:00:00"/>
    <x v="1"/>
    <s v="Q1"/>
    <x v="0"/>
    <x v="3"/>
    <x v="1"/>
    <x v="3"/>
    <x v="1"/>
    <x v="4"/>
    <n v="5350"/>
    <n v="449000"/>
    <n v="180"/>
    <n v="0.90500000000000003"/>
    <s v="Withdrawn"/>
    <x v="1"/>
    <n v="0"/>
    <n v="0"/>
    <n v="0"/>
    <m/>
    <n v="5"/>
    <n v="1"/>
    <n v="1"/>
  </r>
  <r>
    <s v="LA-702544"/>
    <d v="2025-01-17T00:00:00"/>
    <x v="1"/>
    <s v="Q1"/>
    <x v="0"/>
    <x v="0"/>
    <x v="1"/>
    <x v="2"/>
    <x v="1"/>
    <x v="1"/>
    <n v="4400"/>
    <n v="37000"/>
    <n v="60"/>
    <n v="0.34599999999999997"/>
    <s v="Approved"/>
    <x v="1"/>
    <n v="1"/>
    <n v="0"/>
    <n v="33500"/>
    <n v="7.9600000000000004E-2"/>
    <n v="2"/>
    <n v="1"/>
    <n v="1"/>
  </r>
  <r>
    <s v="LA-702545"/>
    <d v="2025-01-17T00:00:00"/>
    <x v="1"/>
    <s v="Q1"/>
    <x v="0"/>
    <x v="2"/>
    <x v="2"/>
    <x v="1"/>
    <x v="1"/>
    <x v="4"/>
    <n v="8650"/>
    <n v="190500"/>
    <n v="36"/>
    <n v="0.94799999999999995"/>
    <s v="Approved"/>
    <x v="1"/>
    <n v="1"/>
    <n v="0"/>
    <n v="190500"/>
    <n v="9.8199999999999996E-2"/>
    <n v="6"/>
    <n v="1"/>
    <n v="1"/>
  </r>
  <r>
    <s v="LA-702546"/>
    <d v="2025-01-18T00:00:00"/>
    <x v="1"/>
    <s v="Q1"/>
    <x v="0"/>
    <x v="1"/>
    <x v="2"/>
    <x v="0"/>
    <x v="2"/>
    <x v="4"/>
    <n v="7350"/>
    <n v="12000"/>
    <n v="36"/>
    <n v="0.16600000000000001"/>
    <s v="Approved"/>
    <x v="1"/>
    <n v="1"/>
    <n v="0"/>
    <n v="12000"/>
    <n v="0.114"/>
    <n v="2"/>
    <n v="1"/>
    <n v="1"/>
  </r>
  <r>
    <s v="LA-702547"/>
    <d v="2025-01-18T00:00:00"/>
    <x v="1"/>
    <s v="Q1"/>
    <x v="0"/>
    <x v="1"/>
    <x v="1"/>
    <x v="3"/>
    <x v="0"/>
    <x v="0"/>
    <n v="2900"/>
    <n v="8500"/>
    <n v="60"/>
    <n v="0.215"/>
    <s v="Approved"/>
    <x v="1"/>
    <n v="1"/>
    <n v="0"/>
    <n v="7000"/>
    <n v="0.13789999999999999"/>
    <n v="2"/>
    <n v="1"/>
    <n v="1"/>
  </r>
  <r>
    <s v="LA-702548"/>
    <d v="2025-01-18T00:00:00"/>
    <x v="1"/>
    <s v="Q1"/>
    <x v="0"/>
    <x v="2"/>
    <x v="1"/>
    <x v="4"/>
    <x v="1"/>
    <x v="2"/>
    <n v="6600"/>
    <n v="111000"/>
    <n v="60"/>
    <n v="0.53200000000000003"/>
    <s v="Withdrawn"/>
    <x v="1"/>
    <n v="0"/>
    <n v="0"/>
    <n v="0"/>
    <m/>
    <n v="5"/>
    <n v="1"/>
    <n v="1"/>
  </r>
  <r>
    <s v="LA-702549"/>
    <d v="2025-01-19T00:00:00"/>
    <x v="1"/>
    <s v="Q1"/>
    <x v="0"/>
    <x v="0"/>
    <x v="1"/>
    <x v="3"/>
    <x v="1"/>
    <x v="4"/>
    <n v="6150"/>
    <n v="41000"/>
    <n v="60"/>
    <n v="0.36"/>
    <s v="Approved"/>
    <x v="1"/>
    <n v="1"/>
    <n v="0"/>
    <n v="41000"/>
    <n v="7.3099999999999998E-2"/>
    <n v="2"/>
    <n v="1"/>
    <n v="1"/>
  </r>
  <r>
    <s v="LA-702550"/>
    <d v="2025-01-19T00:00:00"/>
    <x v="1"/>
    <s v="Q1"/>
    <x v="0"/>
    <x v="1"/>
    <x v="1"/>
    <x v="2"/>
    <x v="1"/>
    <x v="4"/>
    <n v="3700"/>
    <n v="14500"/>
    <n v="60"/>
    <n v="0.315"/>
    <s v="Rejected"/>
    <x v="4"/>
    <n v="0"/>
    <n v="1"/>
    <n v="0"/>
    <m/>
    <n v="6"/>
    <n v="0"/>
    <n v="1"/>
  </r>
  <r>
    <s v="LA-702551"/>
    <d v="2025-01-19T00:00:00"/>
    <x v="1"/>
    <s v="Q1"/>
    <x v="0"/>
    <x v="0"/>
    <x v="1"/>
    <x v="0"/>
    <x v="0"/>
    <x v="4"/>
    <n v="6200"/>
    <n v="25000"/>
    <n v="36"/>
    <n v="0.28199999999999997"/>
    <s v="Approved"/>
    <x v="1"/>
    <n v="1"/>
    <n v="0"/>
    <n v="25000"/>
    <n v="7.0900000000000005E-2"/>
    <n v="2"/>
    <n v="1"/>
    <n v="1"/>
  </r>
  <r>
    <s v="LA-702552"/>
    <d v="2025-01-19T00:00:00"/>
    <x v="1"/>
    <s v="Q1"/>
    <x v="0"/>
    <x v="2"/>
    <x v="1"/>
    <x v="2"/>
    <x v="0"/>
    <x v="1"/>
    <n v="7300"/>
    <n v="116000"/>
    <n v="24"/>
    <n v="0.86199999999999999"/>
    <s v="Approved"/>
    <x v="1"/>
    <n v="1"/>
    <n v="0"/>
    <n v="116000"/>
    <n v="0.1118"/>
    <n v="2"/>
    <n v="1"/>
    <n v="1"/>
  </r>
  <r>
    <s v="LA-702553"/>
    <d v="2025-01-20T00:00:00"/>
    <x v="1"/>
    <s v="Q1"/>
    <x v="0"/>
    <x v="1"/>
    <x v="3"/>
    <x v="2"/>
    <x v="2"/>
    <x v="1"/>
    <n v="7100"/>
    <n v="6500"/>
    <n v="24"/>
    <n v="0.249"/>
    <s v="Approved"/>
    <x v="1"/>
    <n v="1"/>
    <n v="0"/>
    <n v="6000"/>
    <n v="0.1249"/>
    <n v="3"/>
    <n v="1"/>
    <n v="1"/>
  </r>
  <r>
    <s v="LA-702554"/>
    <d v="2025-01-20T00:00:00"/>
    <x v="1"/>
    <s v="Q1"/>
    <x v="0"/>
    <x v="0"/>
    <x v="0"/>
    <x v="4"/>
    <x v="0"/>
    <x v="4"/>
    <n v="4200"/>
    <n v="42500"/>
    <n v="48"/>
    <n v="0.46600000000000003"/>
    <s v="Rejected"/>
    <x v="4"/>
    <n v="0"/>
    <n v="1"/>
    <n v="0"/>
    <m/>
    <n v="8"/>
    <n v="0"/>
    <n v="1"/>
  </r>
  <r>
    <s v="LA-702555"/>
    <d v="2025-01-20T00:00:00"/>
    <x v="1"/>
    <s v="Q1"/>
    <x v="0"/>
    <x v="2"/>
    <x v="1"/>
    <x v="3"/>
    <x v="1"/>
    <x v="3"/>
    <n v="2200"/>
    <n v="109000"/>
    <n v="24"/>
    <n v="2.4780000000000002"/>
    <s v="Rejected"/>
    <x v="4"/>
    <n v="0"/>
    <n v="1"/>
    <n v="0"/>
    <m/>
    <n v="6"/>
    <n v="1"/>
    <n v="1"/>
  </r>
  <r>
    <s v="LA-702556"/>
    <d v="2025-01-20T00:00:00"/>
    <x v="1"/>
    <s v="Q1"/>
    <x v="0"/>
    <x v="0"/>
    <x v="0"/>
    <x v="3"/>
    <x v="1"/>
    <x v="4"/>
    <n v="4950"/>
    <n v="32500"/>
    <n v="60"/>
    <n v="0.33900000000000002"/>
    <s v="Approved"/>
    <x v="1"/>
    <n v="1"/>
    <n v="0"/>
    <n v="32500"/>
    <n v="6.7400000000000002E-2"/>
    <n v="3"/>
    <n v="1"/>
    <n v="1"/>
  </r>
  <r>
    <s v="LA-702557"/>
    <d v="2025-01-20T00:00:00"/>
    <x v="1"/>
    <s v="Q1"/>
    <x v="0"/>
    <x v="2"/>
    <x v="2"/>
    <x v="3"/>
    <x v="0"/>
    <x v="1"/>
    <n v="6550"/>
    <n v="105000"/>
    <n v="12"/>
    <n v="1.5940000000000001"/>
    <s v="Rejected"/>
    <x v="3"/>
    <n v="0"/>
    <n v="1"/>
    <n v="0"/>
    <m/>
    <n v="4"/>
    <n v="1"/>
    <n v="1"/>
  </r>
  <r>
    <s v="LA-702558"/>
    <d v="2025-01-20T00:00:00"/>
    <x v="1"/>
    <s v="Q1"/>
    <x v="0"/>
    <x v="1"/>
    <x v="3"/>
    <x v="2"/>
    <x v="1"/>
    <x v="4"/>
    <n v="3950"/>
    <n v="19500"/>
    <n v="60"/>
    <n v="0.214"/>
    <s v="Approved"/>
    <x v="1"/>
    <n v="1"/>
    <n v="0"/>
    <n v="19500"/>
    <n v="0.1177"/>
    <n v="3"/>
    <n v="1"/>
    <n v="1"/>
  </r>
  <r>
    <s v="LA-702559"/>
    <d v="2025-01-20T00:00:00"/>
    <x v="1"/>
    <s v="Q1"/>
    <x v="0"/>
    <x v="2"/>
    <x v="1"/>
    <x v="2"/>
    <x v="1"/>
    <x v="4"/>
    <n v="5000"/>
    <n v="90000"/>
    <n v="36"/>
    <n v="0.71599999999999997"/>
    <s v="Approved"/>
    <x v="1"/>
    <n v="1"/>
    <n v="0"/>
    <n v="72000"/>
    <n v="9.0300000000000005E-2"/>
    <n v="3"/>
    <n v="1"/>
    <n v="1"/>
  </r>
  <r>
    <s v="LA-702560"/>
    <d v="2025-01-20T00:00:00"/>
    <x v="1"/>
    <s v="Q1"/>
    <x v="0"/>
    <x v="0"/>
    <x v="1"/>
    <x v="1"/>
    <x v="1"/>
    <x v="3"/>
    <n v="8300"/>
    <n v="22000"/>
    <n v="36"/>
    <n v="0.20899999999999999"/>
    <s v="Approved"/>
    <x v="1"/>
    <n v="1"/>
    <n v="0"/>
    <n v="22000"/>
    <n v="6.6799999999999998E-2"/>
    <n v="1"/>
    <n v="1"/>
    <n v="1"/>
  </r>
  <r>
    <s v="LA-702561"/>
    <d v="2025-01-21T00:00:00"/>
    <x v="1"/>
    <s v="Q1"/>
    <x v="0"/>
    <x v="1"/>
    <x v="2"/>
    <x v="1"/>
    <x v="2"/>
    <x v="4"/>
    <n v="2800"/>
    <n v="6000"/>
    <n v="24"/>
    <n v="0.29199999999999998"/>
    <s v="Rejected"/>
    <x v="0"/>
    <n v="0"/>
    <n v="1"/>
    <n v="0"/>
    <m/>
    <n v="1"/>
    <n v="1"/>
    <n v="1"/>
  </r>
  <r>
    <s v="LA-702562"/>
    <d v="2025-01-21T00:00:00"/>
    <x v="1"/>
    <s v="Q1"/>
    <x v="0"/>
    <x v="1"/>
    <x v="1"/>
    <x v="3"/>
    <x v="0"/>
    <x v="1"/>
    <n v="4950"/>
    <n v="13500"/>
    <n v="12"/>
    <n v="0.33600000000000002"/>
    <s v="Approved"/>
    <x v="1"/>
    <n v="1"/>
    <n v="0"/>
    <n v="13500"/>
    <n v="0.12130000000000001"/>
    <n v="2"/>
    <n v="1"/>
    <n v="1"/>
  </r>
  <r>
    <s v="LA-702563"/>
    <d v="2025-01-21T00:00:00"/>
    <x v="1"/>
    <s v="Q1"/>
    <x v="0"/>
    <x v="3"/>
    <x v="3"/>
    <x v="1"/>
    <x v="1"/>
    <x v="3"/>
    <n v="4900"/>
    <n v="411500"/>
    <n v="240"/>
    <n v="0.64400000000000002"/>
    <s v="Approved"/>
    <x v="1"/>
    <n v="1"/>
    <n v="0"/>
    <n v="370500"/>
    <n v="4.7300000000000002E-2"/>
    <n v="11"/>
    <n v="1"/>
    <n v="1"/>
  </r>
  <r>
    <s v="LA-702564"/>
    <d v="2025-01-21T00:00:00"/>
    <x v="1"/>
    <s v="Q1"/>
    <x v="0"/>
    <x v="0"/>
    <x v="2"/>
    <x v="1"/>
    <x v="2"/>
    <x v="0"/>
    <n v="6250"/>
    <n v="22000"/>
    <n v="48"/>
    <n v="0.13900000000000001"/>
    <s v="Approved"/>
    <x v="1"/>
    <n v="1"/>
    <n v="0"/>
    <n v="17500"/>
    <n v="9.9900000000000003E-2"/>
    <n v="3"/>
    <n v="1"/>
    <n v="1"/>
  </r>
  <r>
    <s v="LA-702565"/>
    <d v="2025-01-21T00:00:00"/>
    <x v="1"/>
    <s v="Q1"/>
    <x v="0"/>
    <x v="1"/>
    <x v="1"/>
    <x v="2"/>
    <x v="0"/>
    <x v="1"/>
    <n v="8450"/>
    <n v="16000"/>
    <n v="36"/>
    <n v="0.222"/>
    <s v="Approved"/>
    <x v="1"/>
    <n v="1"/>
    <n v="0"/>
    <n v="14500"/>
    <n v="0.1236"/>
    <n v="2"/>
    <n v="1"/>
    <n v="1"/>
  </r>
  <r>
    <s v="LA-702566"/>
    <d v="2025-01-22T00:00:00"/>
    <x v="1"/>
    <s v="Q1"/>
    <x v="0"/>
    <x v="1"/>
    <x v="3"/>
    <x v="2"/>
    <x v="2"/>
    <x v="4"/>
    <n v="4900"/>
    <n v="11000"/>
    <n v="36"/>
    <n v="0.23300000000000001"/>
    <s v="Approved"/>
    <x v="1"/>
    <n v="1"/>
    <n v="0"/>
    <n v="11000"/>
    <n v="0.11550000000000001"/>
    <n v="3"/>
    <n v="1"/>
    <n v="1"/>
  </r>
  <r>
    <s v="LA-702567"/>
    <d v="2025-01-22T00:00:00"/>
    <x v="1"/>
    <s v="Q1"/>
    <x v="0"/>
    <x v="1"/>
    <x v="1"/>
    <x v="3"/>
    <x v="2"/>
    <x v="4"/>
    <n v="4000"/>
    <n v="16500"/>
    <n v="36"/>
    <n v="0.27700000000000002"/>
    <s v="Approved"/>
    <x v="1"/>
    <n v="1"/>
    <n v="0"/>
    <n v="16500"/>
    <n v="0.1167"/>
    <n v="1"/>
    <n v="1"/>
    <n v="1"/>
  </r>
  <r>
    <s v="LA-702568"/>
    <d v="2025-01-22T00:00:00"/>
    <x v="1"/>
    <s v="Q1"/>
    <x v="0"/>
    <x v="3"/>
    <x v="1"/>
    <x v="3"/>
    <x v="2"/>
    <x v="1"/>
    <n v="7300"/>
    <n v="367500"/>
    <n v="240"/>
    <n v="0.505"/>
    <s v="Approved"/>
    <x v="1"/>
    <n v="1"/>
    <n v="0"/>
    <n v="367500"/>
    <n v="5.7200000000000001E-2"/>
    <n v="8"/>
    <n v="1"/>
    <n v="1"/>
  </r>
  <r>
    <s v="LA-702569"/>
    <d v="2025-01-22T00:00:00"/>
    <x v="1"/>
    <s v="Q1"/>
    <x v="0"/>
    <x v="0"/>
    <x v="1"/>
    <x v="4"/>
    <x v="0"/>
    <x v="1"/>
    <n v="3950"/>
    <n v="25500"/>
    <n v="36"/>
    <n v="0.30099999999999999"/>
    <s v="Approved"/>
    <x v="1"/>
    <n v="1"/>
    <n v="0"/>
    <n v="23000"/>
    <n v="8.5199999999999998E-2"/>
    <n v="2"/>
    <n v="1"/>
    <n v="1"/>
  </r>
  <r>
    <s v="LA-702570"/>
    <d v="2025-01-22T00:00:00"/>
    <x v="1"/>
    <s v="Q1"/>
    <x v="0"/>
    <x v="0"/>
    <x v="0"/>
    <x v="1"/>
    <x v="0"/>
    <x v="1"/>
    <n v="6100"/>
    <n v="24500"/>
    <n v="36"/>
    <n v="0.17599999999999999"/>
    <s v="Approved"/>
    <x v="1"/>
    <n v="1"/>
    <n v="0"/>
    <n v="22000"/>
    <n v="8.0600000000000005E-2"/>
    <n v="3"/>
    <n v="1"/>
    <n v="1"/>
  </r>
  <r>
    <s v="LA-702571"/>
    <d v="2025-01-22T00:00:00"/>
    <x v="1"/>
    <s v="Q1"/>
    <x v="0"/>
    <x v="1"/>
    <x v="1"/>
    <x v="3"/>
    <x v="2"/>
    <x v="0"/>
    <n v="4900"/>
    <n v="8000"/>
    <n v="48"/>
    <n v="0.17100000000000001"/>
    <s v="Approved"/>
    <x v="1"/>
    <n v="1"/>
    <n v="0"/>
    <n v="8000"/>
    <n v="0.14280000000000001"/>
    <n v="1"/>
    <n v="1"/>
    <n v="1"/>
  </r>
  <r>
    <s v="LA-702572"/>
    <d v="2025-01-22T00:00:00"/>
    <x v="1"/>
    <s v="Q1"/>
    <x v="0"/>
    <x v="1"/>
    <x v="3"/>
    <x v="1"/>
    <x v="1"/>
    <x v="0"/>
    <n v="4750"/>
    <n v="11000"/>
    <n v="36"/>
    <n v="0.19900000000000001"/>
    <s v="Approved"/>
    <x v="1"/>
    <n v="1"/>
    <n v="0"/>
    <n v="11000"/>
    <n v="0.14280000000000001"/>
    <n v="3"/>
    <n v="1"/>
    <n v="1"/>
  </r>
  <r>
    <s v="LA-702573"/>
    <d v="2025-01-22T00:00:00"/>
    <x v="1"/>
    <s v="Q1"/>
    <x v="0"/>
    <x v="3"/>
    <x v="1"/>
    <x v="4"/>
    <x v="2"/>
    <x v="1"/>
    <n v="5700"/>
    <n v="189000"/>
    <n v="240"/>
    <n v="0.32600000000000001"/>
    <s v="Approved"/>
    <x v="1"/>
    <n v="1"/>
    <n v="0"/>
    <n v="189000"/>
    <n v="5.4100000000000002E-2"/>
    <n v="4"/>
    <n v="1"/>
    <n v="1"/>
  </r>
  <r>
    <s v="LA-702574"/>
    <d v="2025-01-22T00:00:00"/>
    <x v="1"/>
    <s v="Q1"/>
    <x v="0"/>
    <x v="1"/>
    <x v="2"/>
    <x v="1"/>
    <x v="0"/>
    <x v="4"/>
    <n v="6350"/>
    <n v="21500"/>
    <n v="60"/>
    <n v="0.254"/>
    <s v="Approved"/>
    <x v="1"/>
    <n v="1"/>
    <n v="0"/>
    <n v="19500"/>
    <n v="0.1174"/>
    <n v="1"/>
    <n v="1"/>
    <n v="1"/>
  </r>
  <r>
    <s v="LA-702575"/>
    <d v="2025-01-22T00:00:00"/>
    <x v="1"/>
    <s v="Q1"/>
    <x v="0"/>
    <x v="1"/>
    <x v="0"/>
    <x v="3"/>
    <x v="0"/>
    <x v="3"/>
    <n v="7900"/>
    <n v="9500"/>
    <n v="12"/>
    <n v="0.30499999999999999"/>
    <s v="Approved"/>
    <x v="1"/>
    <n v="1"/>
    <n v="0"/>
    <n v="9500"/>
    <n v="0.1046"/>
    <n v="2"/>
    <n v="1"/>
    <n v="1"/>
  </r>
  <r>
    <s v="LA-702576"/>
    <d v="2025-01-23T00:00:00"/>
    <x v="1"/>
    <s v="Q1"/>
    <x v="0"/>
    <x v="1"/>
    <x v="1"/>
    <x v="3"/>
    <x v="0"/>
    <x v="4"/>
    <n v="3050"/>
    <n v="16000"/>
    <n v="60"/>
    <n v="0.27600000000000002"/>
    <s v="Rejected"/>
    <x v="4"/>
    <n v="0"/>
    <n v="1"/>
    <n v="0"/>
    <m/>
    <n v="5"/>
    <n v="0"/>
    <n v="1"/>
  </r>
  <r>
    <s v="LA-702577"/>
    <d v="2025-01-23T00:00:00"/>
    <x v="1"/>
    <s v="Q1"/>
    <x v="0"/>
    <x v="1"/>
    <x v="1"/>
    <x v="2"/>
    <x v="2"/>
    <x v="0"/>
    <n v="7600"/>
    <n v="18500"/>
    <n v="12"/>
    <n v="0.34699999999999998"/>
    <s v="Rejected"/>
    <x v="0"/>
    <n v="0"/>
    <n v="1"/>
    <n v="0"/>
    <m/>
    <n v="1"/>
    <n v="1"/>
    <n v="1"/>
  </r>
  <r>
    <s v="LA-702578"/>
    <d v="2025-01-23T00:00:00"/>
    <x v="1"/>
    <s v="Q1"/>
    <x v="0"/>
    <x v="1"/>
    <x v="3"/>
    <x v="4"/>
    <x v="0"/>
    <x v="1"/>
    <n v="2200"/>
    <n v="17500"/>
    <n v="48"/>
    <n v="0.27900000000000003"/>
    <s v="Approved"/>
    <x v="1"/>
    <n v="1"/>
    <n v="0"/>
    <n v="17500"/>
    <n v="0.123"/>
    <n v="3"/>
    <n v="1"/>
    <n v="1"/>
  </r>
  <r>
    <s v="LA-702579"/>
    <d v="2025-01-23T00:00:00"/>
    <x v="1"/>
    <s v="Q1"/>
    <x v="0"/>
    <x v="0"/>
    <x v="0"/>
    <x v="2"/>
    <x v="1"/>
    <x v="2"/>
    <n v="12350"/>
    <n v="11500"/>
    <n v="48"/>
    <n v="9.5000000000000001E-2"/>
    <s v="Rejected"/>
    <x v="4"/>
    <n v="0"/>
    <n v="1"/>
    <n v="0"/>
    <m/>
    <n v="8"/>
    <n v="0"/>
    <n v="1"/>
  </r>
  <r>
    <s v="LA-702580"/>
    <d v="2025-01-23T00:00:00"/>
    <x v="1"/>
    <s v="Q1"/>
    <x v="0"/>
    <x v="1"/>
    <x v="2"/>
    <x v="4"/>
    <x v="0"/>
    <x v="3"/>
    <n v="3700"/>
    <n v="8000"/>
    <n v="48"/>
    <n v="0.28699999999999998"/>
    <s v="Approved"/>
    <x v="1"/>
    <n v="1"/>
    <n v="0"/>
    <n v="7000"/>
    <n v="0.1134"/>
    <n v="2"/>
    <n v="1"/>
    <n v="1"/>
  </r>
  <r>
    <s v="LA-702581"/>
    <d v="2025-01-23T00:00:00"/>
    <x v="1"/>
    <s v="Q1"/>
    <x v="0"/>
    <x v="0"/>
    <x v="2"/>
    <x v="1"/>
    <x v="2"/>
    <x v="0"/>
    <n v="5300"/>
    <n v="54000"/>
    <n v="48"/>
    <n v="0.29799999999999999"/>
    <s v="Approved"/>
    <x v="1"/>
    <n v="1"/>
    <n v="0"/>
    <n v="54000"/>
    <n v="9.7100000000000006E-2"/>
    <n v="3"/>
    <n v="1"/>
    <n v="1"/>
  </r>
  <r>
    <s v="LA-702582"/>
    <d v="2025-01-23T00:00:00"/>
    <x v="1"/>
    <s v="Q1"/>
    <x v="0"/>
    <x v="1"/>
    <x v="1"/>
    <x v="2"/>
    <x v="1"/>
    <x v="3"/>
    <n v="11050"/>
    <n v="29000"/>
    <n v="12"/>
    <n v="0.47499999999999998"/>
    <s v="Approved"/>
    <x v="1"/>
    <n v="1"/>
    <n v="0"/>
    <n v="29000"/>
    <n v="0.10929999999999999"/>
    <n v="1"/>
    <n v="1"/>
    <n v="1"/>
  </r>
  <r>
    <s v="LA-702583"/>
    <d v="2025-01-23T00:00:00"/>
    <x v="1"/>
    <s v="Q1"/>
    <x v="0"/>
    <x v="0"/>
    <x v="2"/>
    <x v="2"/>
    <x v="1"/>
    <x v="1"/>
    <n v="3550"/>
    <n v="30500"/>
    <n v="60"/>
    <n v="0.39300000000000002"/>
    <s v="Approved"/>
    <x v="1"/>
    <n v="1"/>
    <n v="0"/>
    <n v="30500"/>
    <n v="7.8899999999999998E-2"/>
    <n v="3"/>
    <n v="1"/>
    <n v="1"/>
  </r>
  <r>
    <s v="LA-702584"/>
    <d v="2025-01-23T00:00:00"/>
    <x v="1"/>
    <s v="Q1"/>
    <x v="0"/>
    <x v="0"/>
    <x v="2"/>
    <x v="2"/>
    <x v="1"/>
    <x v="1"/>
    <n v="8500"/>
    <n v="56000"/>
    <n v="36"/>
    <n v="0.36599999999999999"/>
    <s v="Rejected"/>
    <x v="0"/>
    <n v="0"/>
    <n v="1"/>
    <n v="0"/>
    <m/>
    <n v="2"/>
    <n v="1"/>
    <n v="1"/>
  </r>
  <r>
    <s v="LA-702585"/>
    <d v="2025-01-23T00:00:00"/>
    <x v="1"/>
    <s v="Q1"/>
    <x v="0"/>
    <x v="1"/>
    <x v="3"/>
    <x v="1"/>
    <x v="1"/>
    <x v="0"/>
    <n v="8250"/>
    <n v="13500"/>
    <n v="12"/>
    <n v="0.38700000000000001"/>
    <s v="Rejected"/>
    <x v="5"/>
    <n v="0"/>
    <n v="1"/>
    <n v="0"/>
    <m/>
    <n v="4"/>
    <n v="0"/>
    <n v="1"/>
  </r>
  <r>
    <s v="LA-702586"/>
    <d v="2025-01-23T00:00:00"/>
    <x v="1"/>
    <s v="Q1"/>
    <x v="0"/>
    <x v="1"/>
    <x v="2"/>
    <x v="3"/>
    <x v="0"/>
    <x v="1"/>
    <n v="2400"/>
    <n v="5500"/>
    <n v="12"/>
    <n v="0.33300000000000002"/>
    <s v="Rejected"/>
    <x v="0"/>
    <n v="0"/>
    <n v="1"/>
    <n v="0"/>
    <m/>
    <n v="2"/>
    <n v="1"/>
    <n v="1"/>
  </r>
  <r>
    <s v="LA-702587"/>
    <d v="2025-01-23T00:00:00"/>
    <x v="1"/>
    <s v="Q1"/>
    <x v="0"/>
    <x v="3"/>
    <x v="0"/>
    <x v="3"/>
    <x v="2"/>
    <x v="0"/>
    <n v="8350"/>
    <n v="203000"/>
    <n v="240"/>
    <n v="0.34200000000000003"/>
    <s v="Rejected"/>
    <x v="5"/>
    <n v="0"/>
    <n v="1"/>
    <n v="0"/>
    <m/>
    <n v="11"/>
    <n v="1"/>
    <n v="1"/>
  </r>
  <r>
    <s v="LA-702588"/>
    <d v="2025-01-23T00:00:00"/>
    <x v="1"/>
    <s v="Q1"/>
    <x v="0"/>
    <x v="1"/>
    <x v="2"/>
    <x v="1"/>
    <x v="1"/>
    <x v="2"/>
    <n v="13000"/>
    <n v="14500"/>
    <n v="36"/>
    <n v="0.24199999999999999"/>
    <s v="Rejected"/>
    <x v="0"/>
    <n v="0"/>
    <n v="1"/>
    <n v="0"/>
    <m/>
    <n v="1"/>
    <n v="1"/>
    <n v="1"/>
  </r>
  <r>
    <s v="LA-702589"/>
    <d v="2025-01-23T00:00:00"/>
    <x v="1"/>
    <s v="Q1"/>
    <x v="0"/>
    <x v="2"/>
    <x v="3"/>
    <x v="2"/>
    <x v="1"/>
    <x v="0"/>
    <n v="1500"/>
    <n v="131000"/>
    <n v="36"/>
    <n v="2.968"/>
    <s v="Rejected"/>
    <x v="3"/>
    <n v="0"/>
    <n v="1"/>
    <n v="0"/>
    <m/>
    <n v="19"/>
    <n v="0"/>
    <n v="1"/>
  </r>
  <r>
    <s v="LA-702590"/>
    <d v="2025-01-24T00:00:00"/>
    <x v="1"/>
    <s v="Q1"/>
    <x v="0"/>
    <x v="1"/>
    <x v="1"/>
    <x v="1"/>
    <x v="2"/>
    <x v="4"/>
    <n v="6900"/>
    <n v="16500"/>
    <n v="48"/>
    <n v="0.121"/>
    <s v="Approved"/>
    <x v="1"/>
    <n v="1"/>
    <n v="0"/>
    <n v="15000"/>
    <n v="0.1085"/>
    <n v="2"/>
    <n v="1"/>
    <n v="1"/>
  </r>
  <r>
    <s v="LA-702591"/>
    <d v="2025-01-24T00:00:00"/>
    <x v="1"/>
    <s v="Q1"/>
    <x v="0"/>
    <x v="0"/>
    <x v="1"/>
    <x v="3"/>
    <x v="0"/>
    <x v="1"/>
    <n v="6950"/>
    <n v="23500"/>
    <n v="36"/>
    <n v="0.20100000000000001"/>
    <s v="Approved"/>
    <x v="1"/>
    <n v="1"/>
    <n v="0"/>
    <n v="21000"/>
    <n v="7.4499999999999997E-2"/>
    <n v="2"/>
    <n v="1"/>
    <n v="1"/>
  </r>
  <r>
    <s v="LA-702592"/>
    <d v="2025-01-24T00:00:00"/>
    <x v="1"/>
    <s v="Q1"/>
    <x v="0"/>
    <x v="1"/>
    <x v="2"/>
    <x v="3"/>
    <x v="1"/>
    <x v="1"/>
    <n v="2700"/>
    <n v="13000"/>
    <n v="60"/>
    <n v="0.16300000000000001"/>
    <s v="Rejected"/>
    <x v="0"/>
    <n v="0"/>
    <n v="1"/>
    <n v="0"/>
    <m/>
    <n v="2"/>
    <n v="1"/>
    <n v="1"/>
  </r>
  <r>
    <s v="LA-702593"/>
    <d v="2025-01-24T00:00:00"/>
    <x v="1"/>
    <s v="Q1"/>
    <x v="0"/>
    <x v="0"/>
    <x v="1"/>
    <x v="2"/>
    <x v="0"/>
    <x v="4"/>
    <n v="13150"/>
    <n v="24500"/>
    <n v="48"/>
    <n v="0.123"/>
    <s v="Approved"/>
    <x v="1"/>
    <n v="1"/>
    <n v="0"/>
    <n v="24500"/>
    <n v="6.93E-2"/>
    <n v="2"/>
    <n v="1"/>
    <n v="1"/>
  </r>
  <r>
    <s v="LA-702594"/>
    <d v="2025-01-24T00:00:00"/>
    <x v="1"/>
    <s v="Q1"/>
    <x v="0"/>
    <x v="1"/>
    <x v="2"/>
    <x v="2"/>
    <x v="0"/>
    <x v="0"/>
    <n v="5400"/>
    <n v="38000"/>
    <n v="24"/>
    <n v="0.45600000000000002"/>
    <s v="Rejected"/>
    <x v="0"/>
    <n v="0"/>
    <n v="1"/>
    <n v="0"/>
    <m/>
    <n v="1"/>
    <n v="1"/>
    <n v="1"/>
  </r>
  <r>
    <s v="LA-702595"/>
    <d v="2025-01-24T00:00:00"/>
    <x v="1"/>
    <s v="Q1"/>
    <x v="0"/>
    <x v="1"/>
    <x v="2"/>
    <x v="3"/>
    <x v="0"/>
    <x v="1"/>
    <n v="2700"/>
    <n v="13500"/>
    <n v="48"/>
    <n v="0.35899999999999999"/>
    <s v="Approved"/>
    <x v="1"/>
    <n v="1"/>
    <n v="0"/>
    <n v="11000"/>
    <n v="0.1239"/>
    <n v="2"/>
    <n v="1"/>
    <n v="1"/>
  </r>
  <r>
    <s v="LA-702596"/>
    <d v="2025-01-24T00:00:00"/>
    <x v="1"/>
    <s v="Q1"/>
    <x v="0"/>
    <x v="2"/>
    <x v="1"/>
    <x v="3"/>
    <x v="0"/>
    <x v="4"/>
    <n v="6600"/>
    <n v="28500"/>
    <n v="36"/>
    <n v="0.374"/>
    <s v="Approved"/>
    <x v="1"/>
    <n v="1"/>
    <n v="0"/>
    <n v="28500"/>
    <n v="9.7799999999999998E-2"/>
    <n v="5"/>
    <n v="1"/>
    <n v="1"/>
  </r>
  <r>
    <s v="LA-702597"/>
    <d v="2025-01-24T00:00:00"/>
    <x v="1"/>
    <s v="Q1"/>
    <x v="0"/>
    <x v="0"/>
    <x v="3"/>
    <x v="2"/>
    <x v="0"/>
    <x v="1"/>
    <n v="4950"/>
    <n v="23000"/>
    <n v="48"/>
    <n v="0.26200000000000001"/>
    <s v="Approved"/>
    <x v="1"/>
    <n v="1"/>
    <n v="0"/>
    <n v="23000"/>
    <n v="8.6099999999999996E-2"/>
    <n v="3"/>
    <n v="1"/>
    <n v="1"/>
  </r>
  <r>
    <s v="LA-702598"/>
    <d v="2025-01-25T00:00:00"/>
    <x v="1"/>
    <s v="Q1"/>
    <x v="0"/>
    <x v="1"/>
    <x v="2"/>
    <x v="4"/>
    <x v="2"/>
    <x v="4"/>
    <n v="9050"/>
    <n v="4000"/>
    <n v="48"/>
    <n v="0.19600000000000001"/>
    <s v="Approved"/>
    <x v="1"/>
    <n v="1"/>
    <n v="0"/>
    <n v="4000"/>
    <n v="0.1137"/>
    <n v="3"/>
    <n v="1"/>
    <n v="1"/>
  </r>
  <r>
    <s v="LA-702599"/>
    <d v="2025-01-25T00:00:00"/>
    <x v="1"/>
    <s v="Q1"/>
    <x v="0"/>
    <x v="1"/>
    <x v="1"/>
    <x v="1"/>
    <x v="2"/>
    <x v="3"/>
    <n v="5850"/>
    <n v="11500"/>
    <n v="12"/>
    <n v="0.314"/>
    <s v="Approved"/>
    <x v="1"/>
    <n v="1"/>
    <n v="0"/>
    <n v="11500"/>
    <n v="0.1067"/>
    <n v="2"/>
    <n v="1"/>
    <n v="1"/>
  </r>
  <r>
    <s v="LA-702600"/>
    <d v="2025-01-25T00:00:00"/>
    <x v="1"/>
    <s v="Q1"/>
    <x v="0"/>
    <x v="0"/>
    <x v="3"/>
    <x v="3"/>
    <x v="1"/>
    <x v="1"/>
    <n v="4300"/>
    <n v="20500"/>
    <n v="60"/>
    <n v="0.15"/>
    <s v="Approved"/>
    <x v="1"/>
    <n v="1"/>
    <n v="0"/>
    <n v="18500"/>
    <n v="8.2199999999999995E-2"/>
    <n v="4"/>
    <n v="1"/>
    <n v="1"/>
  </r>
  <r>
    <s v="LA-702601"/>
    <d v="2025-01-25T00:00:00"/>
    <x v="1"/>
    <s v="Q1"/>
    <x v="0"/>
    <x v="0"/>
    <x v="2"/>
    <x v="2"/>
    <x v="0"/>
    <x v="3"/>
    <n v="10700"/>
    <n v="9000"/>
    <n v="48"/>
    <n v="0.249"/>
    <s v="Approved"/>
    <x v="1"/>
    <n v="1"/>
    <n v="0"/>
    <n v="9000"/>
    <n v="6.4600000000000005E-2"/>
    <n v="3"/>
    <n v="1"/>
    <n v="1"/>
  </r>
  <r>
    <s v="LA-702602"/>
    <d v="2025-01-25T00:00:00"/>
    <x v="1"/>
    <s v="Q1"/>
    <x v="0"/>
    <x v="0"/>
    <x v="0"/>
    <x v="2"/>
    <x v="1"/>
    <x v="4"/>
    <n v="12650"/>
    <n v="33000"/>
    <n v="60"/>
    <n v="0.15"/>
    <s v="Approved"/>
    <x v="1"/>
    <n v="1"/>
    <n v="0"/>
    <n v="26500"/>
    <n v="7.22E-2"/>
    <n v="5"/>
    <n v="0"/>
    <n v="1"/>
  </r>
  <r>
    <s v="LA-702603"/>
    <d v="2025-01-26T00:00:00"/>
    <x v="1"/>
    <s v="Q1"/>
    <x v="0"/>
    <x v="1"/>
    <x v="1"/>
    <x v="2"/>
    <x v="0"/>
    <x v="1"/>
    <n v="10750"/>
    <n v="14500"/>
    <n v="12"/>
    <n v="0.33"/>
    <s v="Approved"/>
    <x v="1"/>
    <n v="1"/>
    <n v="0"/>
    <n v="13000"/>
    <n v="0.12640000000000001"/>
    <n v="1"/>
    <n v="1"/>
    <n v="1"/>
  </r>
  <r>
    <s v="LA-702604"/>
    <d v="2025-01-26T00:00:00"/>
    <x v="1"/>
    <s v="Q1"/>
    <x v="0"/>
    <x v="1"/>
    <x v="3"/>
    <x v="1"/>
    <x v="0"/>
    <x v="0"/>
    <n v="5250"/>
    <n v="18500"/>
    <n v="60"/>
    <n v="0.14699999999999999"/>
    <s v="Rejected"/>
    <x v="0"/>
    <n v="0"/>
    <n v="1"/>
    <n v="0"/>
    <m/>
    <n v="4"/>
    <n v="0"/>
    <n v="1"/>
  </r>
  <r>
    <s v="LA-702605"/>
    <d v="2025-01-26T00:00:00"/>
    <x v="1"/>
    <s v="Q1"/>
    <x v="0"/>
    <x v="1"/>
    <x v="1"/>
    <x v="2"/>
    <x v="0"/>
    <x v="0"/>
    <n v="6650"/>
    <n v="11000"/>
    <n v="60"/>
    <n v="0.24"/>
    <s v="Approved"/>
    <x v="1"/>
    <n v="1"/>
    <n v="0"/>
    <n v="10000"/>
    <n v="0.14050000000000001"/>
    <n v="1"/>
    <n v="1"/>
    <n v="1"/>
  </r>
  <r>
    <s v="LA-702606"/>
    <d v="2025-01-26T00:00:00"/>
    <x v="1"/>
    <s v="Q1"/>
    <x v="0"/>
    <x v="1"/>
    <x v="2"/>
    <x v="3"/>
    <x v="0"/>
    <x v="4"/>
    <n v="10300"/>
    <n v="12500"/>
    <n v="36"/>
    <n v="0.21299999999999999"/>
    <s v="Approved"/>
    <x v="1"/>
    <n v="1"/>
    <n v="0"/>
    <n v="12500"/>
    <n v="0.1186"/>
    <n v="2"/>
    <n v="1"/>
    <n v="1"/>
  </r>
  <r>
    <s v="LA-702607"/>
    <d v="2025-01-26T00:00:00"/>
    <x v="1"/>
    <s v="Q1"/>
    <x v="0"/>
    <x v="1"/>
    <x v="1"/>
    <x v="4"/>
    <x v="0"/>
    <x v="1"/>
    <n v="2600"/>
    <n v="17000"/>
    <n v="60"/>
    <n v="0.224"/>
    <s v="Rejected"/>
    <x v="0"/>
    <n v="0"/>
    <n v="1"/>
    <n v="0"/>
    <m/>
    <n v="2"/>
    <n v="1"/>
    <n v="1"/>
  </r>
  <r>
    <s v="LA-702608"/>
    <d v="2025-01-26T00:00:00"/>
    <x v="1"/>
    <s v="Q1"/>
    <x v="0"/>
    <x v="0"/>
    <x v="0"/>
    <x v="3"/>
    <x v="0"/>
    <x v="3"/>
    <n v="8450"/>
    <n v="35500"/>
    <n v="60"/>
    <n v="0.21199999999999999"/>
    <s v="Approved"/>
    <x v="1"/>
    <n v="1"/>
    <n v="0"/>
    <n v="35500"/>
    <n v="6.6000000000000003E-2"/>
    <n v="4"/>
    <n v="1"/>
    <n v="1"/>
  </r>
  <r>
    <s v="LA-702609"/>
    <d v="2025-01-26T00:00:00"/>
    <x v="1"/>
    <s v="Q1"/>
    <x v="0"/>
    <x v="0"/>
    <x v="1"/>
    <x v="2"/>
    <x v="1"/>
    <x v="1"/>
    <n v="6300"/>
    <n v="43500"/>
    <n v="48"/>
    <n v="0.312"/>
    <s v="Approved"/>
    <x v="1"/>
    <n v="1"/>
    <n v="0"/>
    <n v="39000"/>
    <n v="8.6300000000000002E-2"/>
    <n v="1"/>
    <n v="1"/>
    <n v="1"/>
  </r>
  <r>
    <s v="LA-702610"/>
    <d v="2025-01-26T00:00:00"/>
    <x v="1"/>
    <s v="Q1"/>
    <x v="0"/>
    <x v="0"/>
    <x v="3"/>
    <x v="4"/>
    <x v="1"/>
    <x v="4"/>
    <n v="3850"/>
    <n v="35500"/>
    <n v="36"/>
    <n v="0.42299999999999999"/>
    <s v="Approved"/>
    <x v="1"/>
    <n v="1"/>
    <n v="0"/>
    <n v="35500"/>
    <n v="7.5300000000000006E-2"/>
    <n v="4"/>
    <n v="1"/>
    <n v="1"/>
  </r>
  <r>
    <s v="LA-702611"/>
    <d v="2025-01-27T00:00:00"/>
    <x v="1"/>
    <s v="Q1"/>
    <x v="0"/>
    <x v="0"/>
    <x v="3"/>
    <x v="3"/>
    <x v="1"/>
    <x v="1"/>
    <n v="7350"/>
    <n v="18000"/>
    <n v="60"/>
    <n v="0.17100000000000001"/>
    <s v="Approved"/>
    <x v="1"/>
    <n v="1"/>
    <n v="0"/>
    <n v="14500"/>
    <n v="7.9000000000000001E-2"/>
    <n v="6"/>
    <n v="0"/>
    <n v="1"/>
  </r>
  <r>
    <s v="LA-702612"/>
    <d v="2025-01-27T00:00:00"/>
    <x v="1"/>
    <s v="Q1"/>
    <x v="0"/>
    <x v="1"/>
    <x v="0"/>
    <x v="3"/>
    <x v="2"/>
    <x v="3"/>
    <n v="9300"/>
    <n v="12000"/>
    <n v="36"/>
    <n v="0.12"/>
    <s v="Rejected"/>
    <x v="4"/>
    <n v="0"/>
    <n v="1"/>
    <n v="0"/>
    <m/>
    <n v="7"/>
    <n v="0"/>
    <n v="1"/>
  </r>
  <r>
    <s v="LA-702613"/>
    <d v="2025-01-27T00:00:00"/>
    <x v="1"/>
    <s v="Q1"/>
    <x v="0"/>
    <x v="1"/>
    <x v="2"/>
    <x v="4"/>
    <x v="1"/>
    <x v="0"/>
    <n v="7300"/>
    <n v="6500"/>
    <n v="60"/>
    <n v="0.253"/>
    <s v="Approved"/>
    <x v="1"/>
    <n v="1"/>
    <n v="0"/>
    <n v="6500"/>
    <n v="0.1416"/>
    <n v="2"/>
    <n v="1"/>
    <n v="1"/>
  </r>
  <r>
    <s v="LA-702614"/>
    <d v="2025-01-27T00:00:00"/>
    <x v="1"/>
    <s v="Q1"/>
    <x v="0"/>
    <x v="1"/>
    <x v="2"/>
    <x v="3"/>
    <x v="0"/>
    <x v="0"/>
    <n v="16600"/>
    <n v="10000"/>
    <n v="12"/>
    <n v="0.14899999999999999"/>
    <s v="Rejected"/>
    <x v="4"/>
    <n v="0"/>
    <n v="1"/>
    <n v="0"/>
    <m/>
    <n v="6"/>
    <n v="0"/>
    <n v="1"/>
  </r>
  <r>
    <s v="LA-702615"/>
    <d v="2025-01-27T00:00:00"/>
    <x v="1"/>
    <s v="Q1"/>
    <x v="0"/>
    <x v="3"/>
    <x v="1"/>
    <x v="3"/>
    <x v="0"/>
    <x v="4"/>
    <n v="4050"/>
    <n v="273500"/>
    <n v="180"/>
    <n v="0.69199999999999995"/>
    <s v="Rejected"/>
    <x v="3"/>
    <n v="0"/>
    <n v="1"/>
    <n v="0"/>
    <m/>
    <n v="3"/>
    <n v="1"/>
    <n v="1"/>
  </r>
  <r>
    <s v="LA-702616"/>
    <d v="2025-01-27T00:00:00"/>
    <x v="1"/>
    <s v="Q1"/>
    <x v="0"/>
    <x v="1"/>
    <x v="3"/>
    <x v="1"/>
    <x v="0"/>
    <x v="0"/>
    <n v="6100"/>
    <n v="18500"/>
    <n v="36"/>
    <n v="0.245"/>
    <s v="Approved"/>
    <x v="1"/>
    <n v="1"/>
    <n v="0"/>
    <n v="18500"/>
    <n v="0.13830000000000001"/>
    <n v="6"/>
    <n v="0"/>
    <n v="1"/>
  </r>
  <r>
    <s v="LA-702617"/>
    <d v="2025-01-27T00:00:00"/>
    <x v="1"/>
    <s v="Q1"/>
    <x v="0"/>
    <x v="0"/>
    <x v="1"/>
    <x v="1"/>
    <x v="0"/>
    <x v="0"/>
    <n v="6050"/>
    <n v="32000"/>
    <n v="48"/>
    <n v="0.374"/>
    <s v="Approved"/>
    <x v="1"/>
    <n v="1"/>
    <n v="0"/>
    <n v="32000"/>
    <n v="9.9599999999999994E-2"/>
    <n v="1"/>
    <n v="1"/>
    <n v="1"/>
  </r>
  <r>
    <s v="LA-702618"/>
    <d v="2025-01-27T00:00:00"/>
    <x v="1"/>
    <s v="Q1"/>
    <x v="0"/>
    <x v="1"/>
    <x v="1"/>
    <x v="3"/>
    <x v="0"/>
    <x v="3"/>
    <n v="7300"/>
    <n v="21000"/>
    <n v="36"/>
    <n v="0.222"/>
    <s v="Approved"/>
    <x v="1"/>
    <n v="1"/>
    <n v="0"/>
    <n v="21000"/>
    <n v="0.10970000000000001"/>
    <n v="1"/>
    <n v="1"/>
    <n v="1"/>
  </r>
  <r>
    <s v="LA-702619"/>
    <d v="2025-01-27T00:00:00"/>
    <x v="1"/>
    <s v="Q1"/>
    <x v="0"/>
    <x v="1"/>
    <x v="2"/>
    <x v="3"/>
    <x v="0"/>
    <x v="4"/>
    <n v="4400"/>
    <n v="22000"/>
    <n v="24"/>
    <n v="0.39200000000000002"/>
    <s v="Approved"/>
    <x v="1"/>
    <n v="1"/>
    <n v="0"/>
    <n v="22000"/>
    <n v="0.1104"/>
    <n v="2"/>
    <n v="1"/>
    <n v="1"/>
  </r>
  <r>
    <s v="LA-702620"/>
    <d v="2025-01-27T00:00:00"/>
    <x v="1"/>
    <s v="Q1"/>
    <x v="0"/>
    <x v="2"/>
    <x v="3"/>
    <x v="3"/>
    <x v="0"/>
    <x v="4"/>
    <n v="8150"/>
    <n v="92000"/>
    <n v="36"/>
    <n v="0.51100000000000001"/>
    <s v="Approved"/>
    <x v="1"/>
    <n v="1"/>
    <n v="0"/>
    <n v="92000"/>
    <n v="0.1023"/>
    <n v="18"/>
    <n v="0"/>
    <n v="1"/>
  </r>
  <r>
    <s v="LA-702621"/>
    <d v="2025-01-28T00:00:00"/>
    <x v="1"/>
    <s v="Q1"/>
    <x v="0"/>
    <x v="3"/>
    <x v="0"/>
    <x v="3"/>
    <x v="0"/>
    <x v="3"/>
    <n v="4700"/>
    <n v="168000"/>
    <n v="300"/>
    <n v="0.41099999999999998"/>
    <s v="Approved"/>
    <x v="1"/>
    <n v="1"/>
    <n v="0"/>
    <n v="134500"/>
    <n v="4.9299999999999997E-2"/>
    <n v="11"/>
    <n v="1"/>
    <n v="1"/>
  </r>
  <r>
    <s v="LA-702622"/>
    <d v="2025-01-28T00:00:00"/>
    <x v="1"/>
    <s v="Q1"/>
    <x v="0"/>
    <x v="0"/>
    <x v="1"/>
    <x v="1"/>
    <x v="0"/>
    <x v="4"/>
    <n v="4000"/>
    <n v="31000"/>
    <n v="60"/>
    <n v="0.39100000000000001"/>
    <s v="Rejected"/>
    <x v="4"/>
    <n v="0"/>
    <n v="1"/>
    <n v="0"/>
    <m/>
    <n v="6"/>
    <n v="0"/>
    <n v="1"/>
  </r>
  <r>
    <s v="LA-702623"/>
    <d v="2025-01-28T00:00:00"/>
    <x v="1"/>
    <s v="Q1"/>
    <x v="0"/>
    <x v="1"/>
    <x v="1"/>
    <x v="2"/>
    <x v="0"/>
    <x v="1"/>
    <n v="5400"/>
    <n v="20500"/>
    <n v="48"/>
    <n v="0.20599999999999999"/>
    <s v="Approved"/>
    <x v="1"/>
    <n v="1"/>
    <n v="0"/>
    <n v="20500"/>
    <n v="0.12239999999999999"/>
    <n v="1"/>
    <n v="1"/>
    <n v="1"/>
  </r>
  <r>
    <s v="LA-702624"/>
    <d v="2025-01-28T00:00:00"/>
    <x v="1"/>
    <s v="Q1"/>
    <x v="0"/>
    <x v="1"/>
    <x v="1"/>
    <x v="3"/>
    <x v="0"/>
    <x v="4"/>
    <n v="8100"/>
    <n v="18000"/>
    <n v="24"/>
    <n v="0.25900000000000001"/>
    <s v="Approved"/>
    <x v="1"/>
    <n v="1"/>
    <n v="0"/>
    <n v="18000"/>
    <n v="0.11269999999999999"/>
    <n v="1"/>
    <n v="1"/>
    <n v="1"/>
  </r>
  <r>
    <s v="LA-702625"/>
    <d v="2025-01-28T00:00:00"/>
    <x v="1"/>
    <s v="Q1"/>
    <x v="0"/>
    <x v="1"/>
    <x v="1"/>
    <x v="3"/>
    <x v="0"/>
    <x v="2"/>
    <n v="9050"/>
    <n v="7000"/>
    <n v="48"/>
    <n v="0.14399999999999999"/>
    <s v="Rejected"/>
    <x v="0"/>
    <n v="0"/>
    <n v="1"/>
    <n v="0"/>
    <m/>
    <n v="1"/>
    <n v="1"/>
    <n v="1"/>
  </r>
  <r>
    <s v="LA-702626"/>
    <d v="2025-01-28T00:00:00"/>
    <x v="1"/>
    <s v="Q1"/>
    <x v="0"/>
    <x v="2"/>
    <x v="1"/>
    <x v="3"/>
    <x v="0"/>
    <x v="1"/>
    <n v="4650"/>
    <n v="47500"/>
    <n v="12"/>
    <n v="1.0860000000000001"/>
    <s v="Approved"/>
    <x v="1"/>
    <n v="1"/>
    <n v="0"/>
    <n v="38000"/>
    <n v="0.10349999999999999"/>
    <n v="3"/>
    <n v="1"/>
    <n v="1"/>
  </r>
  <r>
    <s v="LA-702627"/>
    <d v="2025-01-28T00:00:00"/>
    <x v="1"/>
    <s v="Q1"/>
    <x v="0"/>
    <x v="1"/>
    <x v="1"/>
    <x v="2"/>
    <x v="1"/>
    <x v="0"/>
    <n v="3100"/>
    <n v="7500"/>
    <n v="36"/>
    <n v="0.14399999999999999"/>
    <s v="Rejected"/>
    <x v="4"/>
    <n v="0"/>
    <n v="1"/>
    <n v="0"/>
    <m/>
    <n v="5"/>
    <n v="0"/>
    <n v="1"/>
  </r>
  <r>
    <s v="LA-702628"/>
    <d v="2025-01-28T00:00:00"/>
    <x v="1"/>
    <s v="Q1"/>
    <x v="0"/>
    <x v="3"/>
    <x v="2"/>
    <x v="3"/>
    <x v="1"/>
    <x v="1"/>
    <n v="7100"/>
    <n v="446500"/>
    <n v="180"/>
    <n v="0.60199999999999998"/>
    <s v="Approved"/>
    <x v="1"/>
    <n v="1"/>
    <n v="0"/>
    <n v="357000"/>
    <n v="5.5500000000000001E-2"/>
    <n v="7"/>
    <n v="1"/>
    <n v="1"/>
  </r>
  <r>
    <s v="LA-702629"/>
    <d v="2025-01-28T00:00:00"/>
    <x v="1"/>
    <s v="Q1"/>
    <x v="0"/>
    <x v="1"/>
    <x v="2"/>
    <x v="2"/>
    <x v="2"/>
    <x v="1"/>
    <n v="5850"/>
    <n v="4500"/>
    <n v="24"/>
    <n v="9.5000000000000001E-2"/>
    <s v="Approved"/>
    <x v="1"/>
    <n v="1"/>
    <n v="0"/>
    <n v="4000"/>
    <n v="0.1263"/>
    <n v="2"/>
    <n v="1"/>
    <n v="1"/>
  </r>
  <r>
    <s v="LA-702630"/>
    <d v="2025-01-29T00:00:00"/>
    <x v="1"/>
    <s v="Q1"/>
    <x v="0"/>
    <x v="0"/>
    <x v="3"/>
    <x v="3"/>
    <x v="1"/>
    <x v="4"/>
    <n v="5000"/>
    <n v="42000"/>
    <n v="36"/>
    <n v="0.497"/>
    <s v="Approved"/>
    <x v="1"/>
    <n v="1"/>
    <n v="0"/>
    <n v="33500"/>
    <n v="6.9400000000000003E-2"/>
    <n v="3"/>
    <n v="1"/>
    <n v="1"/>
  </r>
  <r>
    <s v="LA-702631"/>
    <d v="2025-01-29T00:00:00"/>
    <x v="1"/>
    <s v="Q1"/>
    <x v="0"/>
    <x v="3"/>
    <x v="2"/>
    <x v="4"/>
    <x v="1"/>
    <x v="0"/>
    <n v="5350"/>
    <n v="415500"/>
    <n v="180"/>
    <n v="0.72699999999999998"/>
    <s v="Approved"/>
    <x v="1"/>
    <n v="1"/>
    <n v="0"/>
    <n v="415500"/>
    <n v="6.9800000000000001E-2"/>
    <n v="6"/>
    <n v="1"/>
    <n v="1"/>
  </r>
  <r>
    <s v="LA-702632"/>
    <d v="2025-01-29T00:00:00"/>
    <x v="1"/>
    <s v="Q1"/>
    <x v="0"/>
    <x v="0"/>
    <x v="2"/>
    <x v="2"/>
    <x v="1"/>
    <x v="1"/>
    <n v="5850"/>
    <n v="12000"/>
    <n v="48"/>
    <n v="0.14899999999999999"/>
    <s v="Rejected"/>
    <x v="4"/>
    <n v="0"/>
    <n v="1"/>
    <n v="0"/>
    <m/>
    <n v="6"/>
    <n v="0"/>
    <n v="1"/>
  </r>
  <r>
    <s v="LA-702633"/>
    <d v="2025-01-29T00:00:00"/>
    <x v="1"/>
    <s v="Q1"/>
    <x v="0"/>
    <x v="1"/>
    <x v="2"/>
    <x v="1"/>
    <x v="0"/>
    <x v="0"/>
    <n v="8650"/>
    <n v="8500"/>
    <n v="60"/>
    <n v="0.19600000000000001"/>
    <s v="Approved"/>
    <x v="1"/>
    <n v="1"/>
    <n v="0"/>
    <n v="7500"/>
    <n v="0.1421"/>
    <n v="1"/>
    <n v="1"/>
    <n v="1"/>
  </r>
  <r>
    <s v="LA-702634"/>
    <d v="2025-01-29T00:00:00"/>
    <x v="1"/>
    <s v="Q1"/>
    <x v="0"/>
    <x v="0"/>
    <x v="1"/>
    <x v="4"/>
    <x v="0"/>
    <x v="1"/>
    <n v="8350"/>
    <n v="33500"/>
    <n v="60"/>
    <n v="0.156"/>
    <s v="Approved"/>
    <x v="1"/>
    <n v="1"/>
    <n v="0"/>
    <n v="27000"/>
    <n v="8.0199999999999994E-2"/>
    <n v="1"/>
    <n v="1"/>
    <n v="1"/>
  </r>
  <r>
    <s v="LA-702635"/>
    <d v="2025-01-29T00:00:00"/>
    <x v="1"/>
    <s v="Q1"/>
    <x v="0"/>
    <x v="0"/>
    <x v="3"/>
    <x v="2"/>
    <x v="0"/>
    <x v="1"/>
    <n v="3850"/>
    <n v="50500"/>
    <n v="60"/>
    <n v="0.501"/>
    <s v="Approved"/>
    <x v="1"/>
    <n v="1"/>
    <n v="0"/>
    <n v="50500"/>
    <n v="7.6600000000000001E-2"/>
    <n v="7"/>
    <n v="0"/>
    <n v="1"/>
  </r>
  <r>
    <s v="LA-702636"/>
    <d v="2025-01-29T00:00:00"/>
    <x v="1"/>
    <s v="Q1"/>
    <x v="0"/>
    <x v="1"/>
    <x v="2"/>
    <x v="3"/>
    <x v="1"/>
    <x v="3"/>
    <n v="2850"/>
    <n v="7000"/>
    <n v="12"/>
    <n v="0.36399999999999999"/>
    <s v="Approved"/>
    <x v="1"/>
    <n v="1"/>
    <n v="0"/>
    <n v="5500"/>
    <n v="0.10639999999999999"/>
    <n v="3"/>
    <n v="1"/>
    <n v="1"/>
  </r>
  <r>
    <s v="LA-702637"/>
    <d v="2025-01-29T00:00:00"/>
    <x v="1"/>
    <s v="Q1"/>
    <x v="0"/>
    <x v="0"/>
    <x v="1"/>
    <x v="2"/>
    <x v="0"/>
    <x v="2"/>
    <n v="6700"/>
    <n v="45000"/>
    <n v="48"/>
    <n v="0.26900000000000002"/>
    <s v="Rejected"/>
    <x v="0"/>
    <n v="0"/>
    <n v="1"/>
    <n v="0"/>
    <m/>
    <n v="2"/>
    <n v="1"/>
    <n v="1"/>
  </r>
  <r>
    <s v="LA-702638"/>
    <d v="2025-01-29T00:00:00"/>
    <x v="1"/>
    <s v="Q1"/>
    <x v="0"/>
    <x v="2"/>
    <x v="3"/>
    <x v="1"/>
    <x v="1"/>
    <x v="1"/>
    <n v="6650"/>
    <n v="41000"/>
    <n v="60"/>
    <n v="0.32700000000000001"/>
    <s v="Approved"/>
    <x v="1"/>
    <n v="1"/>
    <n v="0"/>
    <n v="33000"/>
    <n v="0.105"/>
    <n v="19"/>
    <n v="0"/>
    <n v="1"/>
  </r>
  <r>
    <s v="LA-702639"/>
    <d v="2025-01-29T00:00:00"/>
    <x v="1"/>
    <s v="Q1"/>
    <x v="0"/>
    <x v="0"/>
    <x v="1"/>
    <x v="1"/>
    <x v="2"/>
    <x v="1"/>
    <n v="7600"/>
    <n v="27000"/>
    <n v="36"/>
    <n v="0.28199999999999997"/>
    <s v="Approved"/>
    <x v="1"/>
    <n v="1"/>
    <n v="0"/>
    <n v="27000"/>
    <n v="8.1500000000000003E-2"/>
    <n v="2"/>
    <n v="1"/>
    <n v="1"/>
  </r>
  <r>
    <s v="LA-702640"/>
    <d v="2025-01-29T00:00:00"/>
    <x v="1"/>
    <s v="Q1"/>
    <x v="0"/>
    <x v="1"/>
    <x v="1"/>
    <x v="2"/>
    <x v="1"/>
    <x v="1"/>
    <n v="6350"/>
    <n v="19000"/>
    <n v="60"/>
    <n v="0.156"/>
    <s v="Approved"/>
    <x v="1"/>
    <n v="1"/>
    <n v="0"/>
    <n v="19000"/>
    <n v="0.12280000000000001"/>
    <n v="2"/>
    <n v="1"/>
    <n v="1"/>
  </r>
  <r>
    <s v="LA-702641"/>
    <d v="2025-01-29T00:00:00"/>
    <x v="1"/>
    <s v="Q1"/>
    <x v="0"/>
    <x v="0"/>
    <x v="3"/>
    <x v="2"/>
    <x v="1"/>
    <x v="0"/>
    <n v="5500"/>
    <n v="22500"/>
    <n v="36"/>
    <n v="0.34200000000000003"/>
    <s v="Rejected"/>
    <x v="0"/>
    <n v="0"/>
    <n v="1"/>
    <n v="0"/>
    <m/>
    <n v="6"/>
    <n v="0"/>
    <n v="1"/>
  </r>
  <r>
    <s v="LA-702642"/>
    <d v="2025-01-29T00:00:00"/>
    <x v="1"/>
    <s v="Q1"/>
    <x v="0"/>
    <x v="1"/>
    <x v="1"/>
    <x v="4"/>
    <x v="2"/>
    <x v="1"/>
    <n v="4550"/>
    <n v="12000"/>
    <n v="12"/>
    <n v="0.42099999999999999"/>
    <s v="Approved"/>
    <x v="1"/>
    <n v="1"/>
    <n v="0"/>
    <n v="12000"/>
    <n v="0.1203"/>
    <n v="2"/>
    <n v="1"/>
    <n v="1"/>
  </r>
  <r>
    <s v="LA-702643"/>
    <d v="2025-01-29T00:00:00"/>
    <x v="1"/>
    <s v="Q1"/>
    <x v="0"/>
    <x v="0"/>
    <x v="1"/>
    <x v="4"/>
    <x v="2"/>
    <x v="1"/>
    <n v="8750"/>
    <n v="29000"/>
    <n v="36"/>
    <n v="0.22600000000000001"/>
    <s v="Approved"/>
    <x v="1"/>
    <n v="1"/>
    <n v="0"/>
    <n v="29000"/>
    <n v="8.1699999999999995E-2"/>
    <n v="2"/>
    <n v="1"/>
    <n v="1"/>
  </r>
  <r>
    <s v="LA-702644"/>
    <d v="2025-01-30T00:00:00"/>
    <x v="1"/>
    <s v="Q1"/>
    <x v="0"/>
    <x v="2"/>
    <x v="1"/>
    <x v="1"/>
    <x v="0"/>
    <x v="4"/>
    <n v="3500"/>
    <n v="101000"/>
    <n v="60"/>
    <n v="0.84"/>
    <s v="Approved"/>
    <x v="1"/>
    <n v="1"/>
    <n v="0"/>
    <n v="81000"/>
    <n v="9.9400000000000002E-2"/>
    <n v="2"/>
    <n v="1"/>
    <n v="1"/>
  </r>
  <r>
    <s v="LA-702645"/>
    <d v="2025-01-30T00:00:00"/>
    <x v="1"/>
    <s v="Q1"/>
    <x v="0"/>
    <x v="0"/>
    <x v="0"/>
    <x v="0"/>
    <x v="1"/>
    <x v="2"/>
    <n v="4550"/>
    <n v="18500"/>
    <n v="48"/>
    <n v="0.24099999999999999"/>
    <s v="Rejected"/>
    <x v="4"/>
    <n v="0"/>
    <n v="1"/>
    <n v="0"/>
    <m/>
    <n v="8"/>
    <n v="0"/>
    <n v="1"/>
  </r>
  <r>
    <s v="LA-702646"/>
    <d v="2025-01-30T00:00:00"/>
    <x v="1"/>
    <s v="Q1"/>
    <x v="0"/>
    <x v="1"/>
    <x v="3"/>
    <x v="2"/>
    <x v="0"/>
    <x v="1"/>
    <n v="4450"/>
    <n v="12000"/>
    <n v="60"/>
    <n v="0.122"/>
    <s v="Approved"/>
    <x v="1"/>
    <n v="1"/>
    <n v="0"/>
    <n v="12000"/>
    <n v="0.12609999999999999"/>
    <n v="2"/>
    <n v="1"/>
    <n v="1"/>
  </r>
  <r>
    <s v="LA-702647"/>
    <d v="2025-01-30T00:00:00"/>
    <x v="1"/>
    <s v="Q1"/>
    <x v="0"/>
    <x v="1"/>
    <x v="1"/>
    <x v="2"/>
    <x v="1"/>
    <x v="2"/>
    <n v="5350"/>
    <n v="24500"/>
    <n v="24"/>
    <n v="0.379"/>
    <s v="Approved"/>
    <x v="1"/>
    <n v="1"/>
    <n v="0"/>
    <n v="24500"/>
    <n v="0.1603"/>
    <n v="1"/>
    <n v="1"/>
    <n v="1"/>
  </r>
  <r>
    <s v="LA-702648"/>
    <d v="2025-01-30T00:00:00"/>
    <x v="1"/>
    <s v="Q1"/>
    <x v="0"/>
    <x v="2"/>
    <x v="3"/>
    <x v="2"/>
    <x v="0"/>
    <x v="1"/>
    <n v="6800"/>
    <n v="95500"/>
    <n v="24"/>
    <n v="0.79400000000000004"/>
    <s v="Approved"/>
    <x v="1"/>
    <n v="1"/>
    <n v="0"/>
    <n v="95500"/>
    <n v="0.1118"/>
    <n v="20"/>
    <n v="0"/>
    <n v="1"/>
  </r>
  <r>
    <s v="LA-702649"/>
    <d v="2025-01-30T00:00:00"/>
    <x v="1"/>
    <s v="Q1"/>
    <x v="0"/>
    <x v="2"/>
    <x v="1"/>
    <x v="2"/>
    <x v="2"/>
    <x v="3"/>
    <n v="3700"/>
    <n v="107500"/>
    <n v="36"/>
    <n v="1.1759999999999999"/>
    <s v="Rejected"/>
    <x v="3"/>
    <n v="0"/>
    <n v="1"/>
    <n v="0"/>
    <m/>
    <n v="5"/>
    <n v="1"/>
    <n v="1"/>
  </r>
  <r>
    <s v="LA-702650"/>
    <d v="2025-01-30T00:00:00"/>
    <x v="1"/>
    <s v="Q1"/>
    <x v="0"/>
    <x v="2"/>
    <x v="2"/>
    <x v="3"/>
    <x v="1"/>
    <x v="0"/>
    <n v="2800"/>
    <n v="42000"/>
    <n v="36"/>
    <n v="0.68200000000000005"/>
    <s v="Approved"/>
    <x v="1"/>
    <n v="1"/>
    <n v="0"/>
    <n v="42000"/>
    <n v="0.1182"/>
    <n v="5"/>
    <n v="1"/>
    <n v="1"/>
  </r>
  <r>
    <s v="LA-702651"/>
    <d v="2025-01-30T00:00:00"/>
    <x v="1"/>
    <s v="Q1"/>
    <x v="0"/>
    <x v="1"/>
    <x v="1"/>
    <x v="0"/>
    <x v="2"/>
    <x v="4"/>
    <n v="3900"/>
    <n v="21000"/>
    <n v="36"/>
    <n v="0.34599999999999997"/>
    <s v="Rejected"/>
    <x v="5"/>
    <n v="0"/>
    <n v="1"/>
    <n v="0"/>
    <m/>
    <n v="1"/>
    <n v="1"/>
    <n v="1"/>
  </r>
  <r>
    <s v="LA-702652"/>
    <d v="2025-01-30T00:00:00"/>
    <x v="1"/>
    <s v="Q1"/>
    <x v="0"/>
    <x v="0"/>
    <x v="1"/>
    <x v="4"/>
    <x v="1"/>
    <x v="0"/>
    <n v="5500"/>
    <n v="17000"/>
    <n v="60"/>
    <n v="0.29799999999999999"/>
    <s v="Rejected"/>
    <x v="0"/>
    <n v="0"/>
    <n v="1"/>
    <n v="0"/>
    <m/>
    <n v="1"/>
    <n v="1"/>
    <n v="1"/>
  </r>
  <r>
    <s v="LA-702653"/>
    <d v="2025-01-31T00:00:00"/>
    <x v="1"/>
    <s v="Q1"/>
    <x v="0"/>
    <x v="2"/>
    <x v="3"/>
    <x v="2"/>
    <x v="0"/>
    <x v="4"/>
    <n v="9400"/>
    <n v="157500"/>
    <n v="60"/>
    <n v="0.434"/>
    <s v="Approved"/>
    <x v="1"/>
    <n v="1"/>
    <n v="0"/>
    <n v="126000"/>
    <n v="0.1055"/>
    <n v="19"/>
    <n v="0"/>
    <n v="1"/>
  </r>
  <r>
    <s v="LA-702654"/>
    <d v="2025-01-31T00:00:00"/>
    <x v="1"/>
    <s v="Q1"/>
    <x v="0"/>
    <x v="3"/>
    <x v="2"/>
    <x v="3"/>
    <x v="0"/>
    <x v="4"/>
    <n v="4200"/>
    <n v="402000"/>
    <n v="300"/>
    <n v="0.68799999999999994"/>
    <s v="Approved"/>
    <x v="1"/>
    <n v="1"/>
    <n v="0"/>
    <n v="402000"/>
    <n v="4.9500000000000002E-2"/>
    <n v="5"/>
    <n v="1"/>
    <n v="1"/>
  </r>
  <r>
    <s v="LA-702655"/>
    <d v="2025-01-31T00:00:00"/>
    <x v="1"/>
    <s v="Q1"/>
    <x v="0"/>
    <x v="0"/>
    <x v="1"/>
    <x v="3"/>
    <x v="2"/>
    <x v="4"/>
    <n v="7550"/>
    <n v="24000"/>
    <n v="60"/>
    <n v="0.21099999999999999"/>
    <s v="Approved"/>
    <x v="1"/>
    <n v="1"/>
    <n v="0"/>
    <n v="24000"/>
    <n v="6.7199999999999996E-2"/>
    <n v="2"/>
    <n v="1"/>
    <n v="1"/>
  </r>
  <r>
    <s v="LA-702656"/>
    <d v="2025-01-31T00:00:00"/>
    <x v="1"/>
    <s v="Q1"/>
    <x v="0"/>
    <x v="0"/>
    <x v="0"/>
    <x v="3"/>
    <x v="0"/>
    <x v="0"/>
    <n v="5300"/>
    <n v="33000"/>
    <n v="36"/>
    <n v="0.29599999999999999"/>
    <s v="Withdrawn"/>
    <x v="1"/>
    <n v="0"/>
    <n v="0"/>
    <n v="0"/>
    <m/>
    <n v="7"/>
    <n v="0"/>
    <n v="1"/>
  </r>
  <r>
    <s v="LA-702657"/>
    <d v="2025-01-31T00:00:00"/>
    <x v="1"/>
    <s v="Q1"/>
    <x v="0"/>
    <x v="3"/>
    <x v="1"/>
    <x v="3"/>
    <x v="2"/>
    <x v="3"/>
    <n v="4450"/>
    <n v="255500"/>
    <n v="180"/>
    <n v="0.68799999999999994"/>
    <s v="Approved"/>
    <x v="1"/>
    <n v="1"/>
    <n v="0"/>
    <n v="255500"/>
    <n v="4.6899999999999997E-2"/>
    <n v="5"/>
    <n v="1"/>
    <n v="1"/>
  </r>
  <r>
    <s v="LA-702658"/>
    <d v="2025-01-31T00:00:00"/>
    <x v="1"/>
    <s v="Q1"/>
    <x v="0"/>
    <x v="0"/>
    <x v="3"/>
    <x v="2"/>
    <x v="1"/>
    <x v="0"/>
    <n v="7050"/>
    <n v="33000"/>
    <n v="48"/>
    <n v="0.246"/>
    <s v="Rejected"/>
    <x v="0"/>
    <n v="0"/>
    <n v="1"/>
    <n v="0"/>
    <m/>
    <n v="10"/>
    <n v="0"/>
    <n v="1"/>
  </r>
  <r>
    <s v="LA-702659"/>
    <d v="2025-01-31T00:00:00"/>
    <x v="1"/>
    <s v="Q1"/>
    <x v="0"/>
    <x v="1"/>
    <x v="0"/>
    <x v="2"/>
    <x v="2"/>
    <x v="0"/>
    <n v="3950"/>
    <n v="11500"/>
    <n v="36"/>
    <n v="0.214"/>
    <s v="Rejected"/>
    <x v="0"/>
    <n v="0"/>
    <n v="1"/>
    <n v="0"/>
    <m/>
    <n v="4"/>
    <n v="0"/>
    <n v="1"/>
  </r>
  <r>
    <s v="LA-702660"/>
    <d v="2025-01-31T00:00:00"/>
    <x v="1"/>
    <s v="Q1"/>
    <x v="0"/>
    <x v="0"/>
    <x v="2"/>
    <x v="1"/>
    <x v="0"/>
    <x v="2"/>
    <n v="4550"/>
    <n v="38500"/>
    <n v="60"/>
    <n v="0.34300000000000003"/>
    <s v="Rejected"/>
    <x v="0"/>
    <n v="0"/>
    <n v="1"/>
    <n v="0"/>
    <m/>
    <n v="2"/>
    <n v="1"/>
    <n v="1"/>
  </r>
  <r>
    <s v="LA-702661"/>
    <d v="2025-01-31T00:00:00"/>
    <x v="1"/>
    <s v="Q1"/>
    <x v="0"/>
    <x v="1"/>
    <x v="1"/>
    <x v="2"/>
    <x v="1"/>
    <x v="1"/>
    <n v="9700"/>
    <n v="7000"/>
    <n v="12"/>
    <n v="0.30199999999999999"/>
    <s v="Approved"/>
    <x v="1"/>
    <n v="1"/>
    <n v="0"/>
    <n v="6500"/>
    <n v="0.13070000000000001"/>
    <n v="1"/>
    <n v="1"/>
    <n v="1"/>
  </r>
  <r>
    <s v="LA-702662"/>
    <d v="2025-02-01T00:00:00"/>
    <x v="1"/>
    <s v="Q1"/>
    <x v="1"/>
    <x v="0"/>
    <x v="2"/>
    <x v="2"/>
    <x v="2"/>
    <x v="2"/>
    <n v="7250"/>
    <n v="42000"/>
    <n v="36"/>
    <n v="0.374"/>
    <s v="Rejected"/>
    <x v="0"/>
    <n v="0"/>
    <n v="1"/>
    <n v="0"/>
    <m/>
    <n v="2"/>
    <n v="1"/>
    <n v="1"/>
  </r>
  <r>
    <s v="LA-702663"/>
    <d v="2025-02-01T00:00:00"/>
    <x v="1"/>
    <s v="Q1"/>
    <x v="1"/>
    <x v="1"/>
    <x v="2"/>
    <x v="2"/>
    <x v="0"/>
    <x v="4"/>
    <n v="2350"/>
    <n v="7500"/>
    <n v="24"/>
    <n v="0.27600000000000002"/>
    <s v="Approved"/>
    <x v="1"/>
    <n v="1"/>
    <n v="0"/>
    <n v="7500"/>
    <n v="0.1183"/>
    <n v="2"/>
    <n v="1"/>
    <n v="1"/>
  </r>
  <r>
    <s v="LA-702664"/>
    <d v="2025-02-01T00:00:00"/>
    <x v="1"/>
    <s v="Q1"/>
    <x v="1"/>
    <x v="2"/>
    <x v="2"/>
    <x v="1"/>
    <x v="2"/>
    <x v="4"/>
    <n v="4300"/>
    <n v="78000"/>
    <n v="60"/>
    <n v="0.48399999999999999"/>
    <s v="Approved"/>
    <x v="1"/>
    <n v="1"/>
    <n v="0"/>
    <n v="62500"/>
    <n v="9.4100000000000003E-2"/>
    <n v="10"/>
    <n v="1"/>
    <n v="1"/>
  </r>
  <r>
    <s v="LA-702665"/>
    <d v="2025-02-01T00:00:00"/>
    <x v="1"/>
    <s v="Q1"/>
    <x v="1"/>
    <x v="1"/>
    <x v="3"/>
    <x v="0"/>
    <x v="0"/>
    <x v="4"/>
    <n v="7850"/>
    <n v="10000"/>
    <n v="36"/>
    <n v="0.19"/>
    <s v="Approved"/>
    <x v="1"/>
    <n v="1"/>
    <n v="0"/>
    <n v="10000"/>
    <n v="0.114"/>
    <n v="3"/>
    <n v="1"/>
    <n v="1"/>
  </r>
  <r>
    <s v="LA-702666"/>
    <d v="2025-02-01T00:00:00"/>
    <x v="1"/>
    <s v="Q1"/>
    <x v="1"/>
    <x v="0"/>
    <x v="1"/>
    <x v="4"/>
    <x v="0"/>
    <x v="3"/>
    <n v="6950"/>
    <n v="14000"/>
    <n v="48"/>
    <n v="0.25600000000000001"/>
    <s v="Approved"/>
    <x v="1"/>
    <n v="1"/>
    <n v="0"/>
    <n v="12500"/>
    <n v="6.2600000000000003E-2"/>
    <n v="2"/>
    <n v="1"/>
    <n v="1"/>
  </r>
  <r>
    <s v="LA-702667"/>
    <d v="2025-02-01T00:00:00"/>
    <x v="1"/>
    <s v="Q1"/>
    <x v="1"/>
    <x v="2"/>
    <x v="2"/>
    <x v="1"/>
    <x v="0"/>
    <x v="4"/>
    <n v="5150"/>
    <n v="90500"/>
    <n v="24"/>
    <n v="0.96599999999999997"/>
    <s v="Approved"/>
    <x v="1"/>
    <n v="1"/>
    <n v="0"/>
    <n v="72500"/>
    <n v="9.4100000000000003E-2"/>
    <n v="10"/>
    <n v="1"/>
    <n v="1"/>
  </r>
  <r>
    <s v="LA-702668"/>
    <d v="2025-02-01T00:00:00"/>
    <x v="1"/>
    <s v="Q1"/>
    <x v="1"/>
    <x v="3"/>
    <x v="1"/>
    <x v="2"/>
    <x v="0"/>
    <x v="1"/>
    <n v="7650"/>
    <n v="170000"/>
    <n v="300"/>
    <n v="0.24399999999999999"/>
    <s v="Rejected"/>
    <x v="0"/>
    <n v="0"/>
    <n v="1"/>
    <n v="0"/>
    <m/>
    <n v="6"/>
    <n v="1"/>
    <n v="1"/>
  </r>
  <r>
    <s v="LA-702669"/>
    <d v="2025-02-01T00:00:00"/>
    <x v="1"/>
    <s v="Q1"/>
    <x v="1"/>
    <x v="0"/>
    <x v="1"/>
    <x v="1"/>
    <x v="0"/>
    <x v="0"/>
    <n v="6000"/>
    <n v="26500"/>
    <n v="60"/>
    <n v="0.23200000000000001"/>
    <s v="Rejected"/>
    <x v="0"/>
    <n v="0"/>
    <n v="1"/>
    <n v="0"/>
    <m/>
    <n v="2"/>
    <n v="1"/>
    <n v="1"/>
  </r>
  <r>
    <s v="LA-702670"/>
    <d v="2025-02-02T00:00:00"/>
    <x v="1"/>
    <s v="Q1"/>
    <x v="1"/>
    <x v="1"/>
    <x v="2"/>
    <x v="2"/>
    <x v="0"/>
    <x v="1"/>
    <n v="6250"/>
    <n v="22500"/>
    <n v="60"/>
    <n v="0.187"/>
    <s v="Approved"/>
    <x v="1"/>
    <n v="1"/>
    <n v="0"/>
    <n v="22500"/>
    <n v="0.1242"/>
    <n v="1"/>
    <n v="1"/>
    <n v="1"/>
  </r>
  <r>
    <s v="LA-702671"/>
    <d v="2025-02-02T00:00:00"/>
    <x v="1"/>
    <s v="Q1"/>
    <x v="1"/>
    <x v="0"/>
    <x v="1"/>
    <x v="0"/>
    <x v="0"/>
    <x v="4"/>
    <n v="4250"/>
    <n v="18500"/>
    <n v="36"/>
    <n v="0.38300000000000001"/>
    <s v="Approved"/>
    <x v="1"/>
    <n v="1"/>
    <n v="0"/>
    <n v="18500"/>
    <n v="7.6499999999999999E-2"/>
    <n v="3"/>
    <n v="1"/>
    <n v="1"/>
  </r>
  <r>
    <s v="LA-702672"/>
    <d v="2025-02-02T00:00:00"/>
    <x v="1"/>
    <s v="Q1"/>
    <x v="1"/>
    <x v="1"/>
    <x v="2"/>
    <x v="0"/>
    <x v="0"/>
    <x v="3"/>
    <n v="4000"/>
    <n v="10500"/>
    <n v="24"/>
    <n v="0.215"/>
    <s v="Approved"/>
    <x v="1"/>
    <n v="1"/>
    <n v="0"/>
    <n v="8500"/>
    <n v="0.10730000000000001"/>
    <n v="2"/>
    <n v="1"/>
    <n v="1"/>
  </r>
  <r>
    <s v="LA-702673"/>
    <d v="2025-02-02T00:00:00"/>
    <x v="1"/>
    <s v="Q1"/>
    <x v="1"/>
    <x v="1"/>
    <x v="2"/>
    <x v="1"/>
    <x v="2"/>
    <x v="1"/>
    <n v="3100"/>
    <n v="14000"/>
    <n v="36"/>
    <n v="0.32700000000000001"/>
    <s v="Approved"/>
    <x v="1"/>
    <n v="1"/>
    <n v="0"/>
    <n v="14000"/>
    <n v="0.12720000000000001"/>
    <n v="2"/>
    <n v="1"/>
    <n v="1"/>
  </r>
  <r>
    <s v="LA-702674"/>
    <d v="2025-02-03T00:00:00"/>
    <x v="1"/>
    <s v="Q1"/>
    <x v="1"/>
    <x v="3"/>
    <x v="3"/>
    <x v="2"/>
    <x v="0"/>
    <x v="2"/>
    <n v="5000"/>
    <n v="177500"/>
    <n v="180"/>
    <n v="0.38500000000000001"/>
    <s v="Rejected"/>
    <x v="0"/>
    <n v="0"/>
    <n v="1"/>
    <n v="0"/>
    <m/>
    <n v="24"/>
    <n v="0"/>
    <n v="1"/>
  </r>
  <r>
    <s v="LA-702675"/>
    <d v="2025-02-03T00:00:00"/>
    <x v="1"/>
    <s v="Q1"/>
    <x v="1"/>
    <x v="1"/>
    <x v="1"/>
    <x v="2"/>
    <x v="2"/>
    <x v="0"/>
    <n v="4850"/>
    <n v="15000"/>
    <n v="36"/>
    <n v="0.248"/>
    <s v="Approved"/>
    <x v="1"/>
    <n v="1"/>
    <n v="0"/>
    <n v="15000"/>
    <n v="0.13800000000000001"/>
    <n v="1"/>
    <n v="1"/>
    <n v="1"/>
  </r>
  <r>
    <s v="LA-702676"/>
    <d v="2025-02-03T00:00:00"/>
    <x v="1"/>
    <s v="Q1"/>
    <x v="1"/>
    <x v="3"/>
    <x v="3"/>
    <x v="2"/>
    <x v="0"/>
    <x v="0"/>
    <n v="7000"/>
    <n v="215500"/>
    <n v="180"/>
    <n v="0.47699999999999998"/>
    <s v="Rejected"/>
    <x v="0"/>
    <n v="0"/>
    <n v="1"/>
    <n v="0"/>
    <m/>
    <n v="20"/>
    <n v="0"/>
    <n v="1"/>
  </r>
  <r>
    <s v="LA-702677"/>
    <d v="2025-02-03T00:00:00"/>
    <x v="1"/>
    <s v="Q1"/>
    <x v="1"/>
    <x v="1"/>
    <x v="2"/>
    <x v="0"/>
    <x v="1"/>
    <x v="4"/>
    <n v="8400"/>
    <n v="16000"/>
    <n v="24"/>
    <n v="0.317"/>
    <s v="Approved"/>
    <x v="1"/>
    <n v="1"/>
    <n v="0"/>
    <n v="13000"/>
    <n v="0.1105"/>
    <n v="1"/>
    <n v="1"/>
    <n v="1"/>
  </r>
  <r>
    <s v="LA-702678"/>
    <d v="2025-02-03T00:00:00"/>
    <x v="1"/>
    <s v="Q1"/>
    <x v="1"/>
    <x v="1"/>
    <x v="3"/>
    <x v="1"/>
    <x v="1"/>
    <x v="4"/>
    <n v="4200"/>
    <n v="6500"/>
    <n v="12"/>
    <n v="0.33600000000000002"/>
    <s v="Rejected"/>
    <x v="4"/>
    <n v="0"/>
    <n v="1"/>
    <n v="0"/>
    <m/>
    <n v="8"/>
    <n v="0"/>
    <n v="1"/>
  </r>
  <r>
    <s v="LA-702679"/>
    <d v="2025-02-03T00:00:00"/>
    <x v="1"/>
    <s v="Q1"/>
    <x v="1"/>
    <x v="1"/>
    <x v="1"/>
    <x v="3"/>
    <x v="1"/>
    <x v="0"/>
    <n v="5650"/>
    <n v="9000"/>
    <n v="24"/>
    <n v="0.214"/>
    <s v="Rejected"/>
    <x v="5"/>
    <n v="0"/>
    <n v="1"/>
    <n v="0"/>
    <m/>
    <n v="2"/>
    <n v="1"/>
    <n v="1"/>
  </r>
  <r>
    <s v="LA-702680"/>
    <d v="2025-02-03T00:00:00"/>
    <x v="1"/>
    <s v="Q1"/>
    <x v="1"/>
    <x v="0"/>
    <x v="1"/>
    <x v="2"/>
    <x v="1"/>
    <x v="1"/>
    <n v="6200"/>
    <n v="33000"/>
    <n v="36"/>
    <n v="0.36499999999999999"/>
    <s v="Approved"/>
    <x v="1"/>
    <n v="1"/>
    <n v="0"/>
    <n v="33000"/>
    <n v="8.4699999999999998E-2"/>
    <n v="2"/>
    <n v="1"/>
    <n v="1"/>
  </r>
  <r>
    <s v="LA-702681"/>
    <d v="2025-02-03T00:00:00"/>
    <x v="1"/>
    <s v="Q1"/>
    <x v="1"/>
    <x v="2"/>
    <x v="0"/>
    <x v="3"/>
    <x v="2"/>
    <x v="4"/>
    <n v="9850"/>
    <n v="130500"/>
    <n v="60"/>
    <n v="0.49299999999999999"/>
    <s v="Rejected"/>
    <x v="4"/>
    <n v="0"/>
    <n v="1"/>
    <n v="0"/>
    <m/>
    <n v="18"/>
    <n v="0"/>
    <n v="1"/>
  </r>
  <r>
    <s v="LA-702682"/>
    <d v="2025-02-04T00:00:00"/>
    <x v="1"/>
    <s v="Q1"/>
    <x v="1"/>
    <x v="1"/>
    <x v="3"/>
    <x v="2"/>
    <x v="0"/>
    <x v="2"/>
    <n v="13250"/>
    <n v="16000"/>
    <n v="48"/>
    <n v="0.27700000000000002"/>
    <s v="Rejected"/>
    <x v="0"/>
    <n v="0"/>
    <n v="1"/>
    <n v="0"/>
    <m/>
    <n v="5"/>
    <n v="0"/>
    <n v="1"/>
  </r>
  <r>
    <s v="LA-702683"/>
    <d v="2025-02-04T00:00:00"/>
    <x v="1"/>
    <s v="Q1"/>
    <x v="1"/>
    <x v="1"/>
    <x v="3"/>
    <x v="0"/>
    <x v="1"/>
    <x v="0"/>
    <n v="5950"/>
    <n v="12500"/>
    <n v="24"/>
    <n v="0.253"/>
    <s v="Rejected"/>
    <x v="0"/>
    <n v="0"/>
    <n v="1"/>
    <n v="0"/>
    <m/>
    <n v="4"/>
    <n v="0"/>
    <n v="1"/>
  </r>
  <r>
    <s v="LA-702684"/>
    <d v="2025-02-04T00:00:00"/>
    <x v="1"/>
    <s v="Q1"/>
    <x v="1"/>
    <x v="0"/>
    <x v="3"/>
    <x v="1"/>
    <x v="2"/>
    <x v="0"/>
    <n v="10650"/>
    <n v="49000"/>
    <n v="60"/>
    <n v="0.29499999999999998"/>
    <s v="Approved"/>
    <x v="1"/>
    <n v="1"/>
    <n v="0"/>
    <n v="49000"/>
    <n v="9.6100000000000005E-2"/>
    <n v="9"/>
    <n v="0"/>
    <n v="1"/>
  </r>
  <r>
    <s v="LA-702685"/>
    <d v="2025-02-04T00:00:00"/>
    <x v="1"/>
    <s v="Q1"/>
    <x v="1"/>
    <x v="3"/>
    <x v="2"/>
    <x v="2"/>
    <x v="2"/>
    <x v="3"/>
    <n v="5550"/>
    <n v="263500"/>
    <n v="240"/>
    <n v="0.47399999999999998"/>
    <s v="Approved"/>
    <x v="1"/>
    <n v="1"/>
    <n v="0"/>
    <n v="211000"/>
    <n v="4.2500000000000003E-2"/>
    <n v="7"/>
    <n v="1"/>
    <n v="1"/>
  </r>
  <r>
    <s v="LA-702686"/>
    <d v="2025-02-04T00:00:00"/>
    <x v="1"/>
    <s v="Q1"/>
    <x v="1"/>
    <x v="0"/>
    <x v="1"/>
    <x v="4"/>
    <x v="0"/>
    <x v="1"/>
    <n v="3900"/>
    <n v="39000"/>
    <n v="36"/>
    <n v="0.443"/>
    <s v="Rejected"/>
    <x v="4"/>
    <n v="0"/>
    <n v="1"/>
    <n v="0"/>
    <m/>
    <n v="6"/>
    <n v="0"/>
    <n v="1"/>
  </r>
  <r>
    <s v="LA-702687"/>
    <d v="2025-02-04T00:00:00"/>
    <x v="1"/>
    <s v="Q1"/>
    <x v="1"/>
    <x v="3"/>
    <x v="2"/>
    <x v="3"/>
    <x v="0"/>
    <x v="4"/>
    <n v="13900"/>
    <n v="130500"/>
    <n v="300"/>
    <n v="0.23100000000000001"/>
    <s v="Rejected"/>
    <x v="2"/>
    <n v="0"/>
    <n v="1"/>
    <n v="0"/>
    <m/>
    <n v="9"/>
    <n v="1"/>
    <n v="1"/>
  </r>
  <r>
    <s v="LA-702688"/>
    <d v="2025-02-04T00:00:00"/>
    <x v="1"/>
    <s v="Q1"/>
    <x v="1"/>
    <x v="1"/>
    <x v="1"/>
    <x v="1"/>
    <x v="1"/>
    <x v="1"/>
    <n v="7550"/>
    <n v="15000"/>
    <n v="24"/>
    <n v="0.158"/>
    <s v="Approved"/>
    <x v="1"/>
    <n v="1"/>
    <n v="0"/>
    <n v="15000"/>
    <n v="0.128"/>
    <n v="1"/>
    <n v="1"/>
    <n v="1"/>
  </r>
  <r>
    <s v="LA-702689"/>
    <d v="2025-02-05T00:00:00"/>
    <x v="1"/>
    <s v="Q1"/>
    <x v="1"/>
    <x v="1"/>
    <x v="1"/>
    <x v="2"/>
    <x v="1"/>
    <x v="3"/>
    <n v="4200"/>
    <n v="12500"/>
    <n v="36"/>
    <n v="0.34300000000000003"/>
    <s v="Approved"/>
    <x v="1"/>
    <n v="1"/>
    <n v="0"/>
    <n v="12500"/>
    <n v="0.104"/>
    <n v="2"/>
    <n v="1"/>
    <n v="1"/>
  </r>
  <r>
    <s v="LA-702690"/>
    <d v="2025-02-05T00:00:00"/>
    <x v="1"/>
    <s v="Q1"/>
    <x v="1"/>
    <x v="2"/>
    <x v="0"/>
    <x v="3"/>
    <x v="2"/>
    <x v="4"/>
    <n v="6300"/>
    <n v="113000"/>
    <n v="36"/>
    <n v="0.82"/>
    <s v="Approved"/>
    <x v="1"/>
    <n v="1"/>
    <n v="0"/>
    <n v="113000"/>
    <n v="9.8599999999999993E-2"/>
    <n v="9"/>
    <n v="1"/>
    <n v="1"/>
  </r>
  <r>
    <s v="LA-702691"/>
    <d v="2025-02-05T00:00:00"/>
    <x v="1"/>
    <s v="Q1"/>
    <x v="1"/>
    <x v="2"/>
    <x v="0"/>
    <x v="3"/>
    <x v="0"/>
    <x v="4"/>
    <n v="6450"/>
    <n v="87000"/>
    <n v="24"/>
    <n v="0.71399999999999997"/>
    <s v="Approved"/>
    <x v="1"/>
    <n v="1"/>
    <n v="0"/>
    <n v="69500"/>
    <n v="9.7299999999999998E-2"/>
    <n v="7"/>
    <n v="1"/>
    <n v="1"/>
  </r>
  <r>
    <s v="LA-702692"/>
    <d v="2025-02-05T00:00:00"/>
    <x v="1"/>
    <s v="Q1"/>
    <x v="1"/>
    <x v="0"/>
    <x v="3"/>
    <x v="2"/>
    <x v="0"/>
    <x v="1"/>
    <n v="4000"/>
    <n v="20500"/>
    <n v="36"/>
    <n v="0.27300000000000002"/>
    <s v="Approved"/>
    <x v="1"/>
    <n v="1"/>
    <n v="0"/>
    <n v="20500"/>
    <n v="8.2699999999999996E-2"/>
    <n v="8"/>
    <n v="0"/>
    <n v="1"/>
  </r>
  <r>
    <s v="LA-702693"/>
    <d v="2025-02-05T00:00:00"/>
    <x v="1"/>
    <s v="Q1"/>
    <x v="1"/>
    <x v="0"/>
    <x v="0"/>
    <x v="2"/>
    <x v="0"/>
    <x v="1"/>
    <n v="8750"/>
    <n v="26500"/>
    <n v="48"/>
    <n v="0.312"/>
    <s v="Rejected"/>
    <x v="4"/>
    <n v="0"/>
    <n v="1"/>
    <n v="0"/>
    <m/>
    <n v="9"/>
    <n v="0"/>
    <n v="1"/>
  </r>
  <r>
    <s v="LA-702694"/>
    <d v="2025-02-05T00:00:00"/>
    <x v="1"/>
    <s v="Q1"/>
    <x v="1"/>
    <x v="3"/>
    <x v="2"/>
    <x v="2"/>
    <x v="1"/>
    <x v="4"/>
    <n v="6400"/>
    <n v="388500"/>
    <n v="240"/>
    <n v="0.51400000000000001"/>
    <s v="Approved"/>
    <x v="1"/>
    <n v="1"/>
    <n v="0"/>
    <n v="311000"/>
    <n v="5.0599999999999999E-2"/>
    <n v="10"/>
    <n v="1"/>
    <n v="1"/>
  </r>
  <r>
    <s v="LA-702695"/>
    <d v="2025-02-05T00:00:00"/>
    <x v="1"/>
    <s v="Q1"/>
    <x v="1"/>
    <x v="1"/>
    <x v="0"/>
    <x v="2"/>
    <x v="1"/>
    <x v="1"/>
    <n v="1700"/>
    <n v="5000"/>
    <n v="36"/>
    <n v="0.16300000000000001"/>
    <s v="Approved"/>
    <x v="1"/>
    <n v="1"/>
    <n v="0"/>
    <n v="5000"/>
    <n v="0.12670000000000001"/>
    <n v="2"/>
    <n v="1"/>
    <n v="1"/>
  </r>
  <r>
    <s v="LA-702696"/>
    <d v="2025-02-05T00:00:00"/>
    <x v="1"/>
    <s v="Q1"/>
    <x v="1"/>
    <x v="1"/>
    <x v="2"/>
    <x v="2"/>
    <x v="1"/>
    <x v="0"/>
    <n v="6350"/>
    <n v="15000"/>
    <n v="60"/>
    <n v="0.215"/>
    <s v="Rejected"/>
    <x v="0"/>
    <n v="0"/>
    <n v="1"/>
    <n v="0"/>
    <m/>
    <n v="1"/>
    <n v="1"/>
    <n v="1"/>
  </r>
  <r>
    <s v="LA-702697"/>
    <d v="2025-02-06T00:00:00"/>
    <x v="1"/>
    <s v="Q1"/>
    <x v="1"/>
    <x v="0"/>
    <x v="3"/>
    <x v="3"/>
    <x v="2"/>
    <x v="3"/>
    <n v="7650"/>
    <n v="22500"/>
    <n v="36"/>
    <n v="0.29099999999999998"/>
    <s v="Approved"/>
    <x v="1"/>
    <n v="1"/>
    <n v="0"/>
    <n v="22500"/>
    <n v="7.1300000000000002E-2"/>
    <n v="5"/>
    <n v="0"/>
    <n v="1"/>
  </r>
  <r>
    <s v="LA-702698"/>
    <d v="2025-02-06T00:00:00"/>
    <x v="1"/>
    <s v="Q1"/>
    <x v="1"/>
    <x v="0"/>
    <x v="2"/>
    <x v="4"/>
    <x v="0"/>
    <x v="1"/>
    <n v="9700"/>
    <n v="23000"/>
    <n v="48"/>
    <n v="0.27900000000000003"/>
    <s v="Rejected"/>
    <x v="4"/>
    <n v="0"/>
    <n v="1"/>
    <n v="0"/>
    <m/>
    <n v="6"/>
    <n v="0"/>
    <n v="1"/>
  </r>
  <r>
    <s v="LA-702699"/>
    <d v="2025-02-06T00:00:00"/>
    <x v="1"/>
    <s v="Q1"/>
    <x v="1"/>
    <x v="0"/>
    <x v="3"/>
    <x v="3"/>
    <x v="1"/>
    <x v="2"/>
    <n v="4850"/>
    <n v="12000"/>
    <n v="36"/>
    <n v="0.26"/>
    <s v="Rejected"/>
    <x v="0"/>
    <n v="0"/>
    <n v="1"/>
    <n v="0"/>
    <m/>
    <n v="9"/>
    <n v="0"/>
    <n v="1"/>
  </r>
  <r>
    <s v="LA-702700"/>
    <d v="2025-02-06T00:00:00"/>
    <x v="1"/>
    <s v="Q1"/>
    <x v="1"/>
    <x v="1"/>
    <x v="2"/>
    <x v="2"/>
    <x v="0"/>
    <x v="4"/>
    <n v="4950"/>
    <n v="8000"/>
    <n v="24"/>
    <n v="0.19700000000000001"/>
    <s v="Withdrawn"/>
    <x v="1"/>
    <n v="0"/>
    <n v="0"/>
    <n v="0"/>
    <m/>
    <n v="3"/>
    <n v="1"/>
    <n v="1"/>
  </r>
  <r>
    <s v="LA-702701"/>
    <d v="2025-02-06T00:00:00"/>
    <x v="1"/>
    <s v="Q1"/>
    <x v="1"/>
    <x v="1"/>
    <x v="2"/>
    <x v="3"/>
    <x v="2"/>
    <x v="1"/>
    <n v="5850"/>
    <n v="11500"/>
    <n v="12"/>
    <n v="0.36499999999999999"/>
    <s v="Rejected"/>
    <x v="2"/>
    <n v="0"/>
    <n v="1"/>
    <n v="0"/>
    <m/>
    <n v="2"/>
    <n v="1"/>
    <n v="1"/>
  </r>
  <r>
    <s v="LA-702702"/>
    <d v="2025-02-06T00:00:00"/>
    <x v="1"/>
    <s v="Q1"/>
    <x v="1"/>
    <x v="1"/>
    <x v="1"/>
    <x v="1"/>
    <x v="1"/>
    <x v="0"/>
    <n v="4150"/>
    <n v="11500"/>
    <n v="12"/>
    <n v="0.315"/>
    <s v="Approved"/>
    <x v="1"/>
    <n v="1"/>
    <n v="0"/>
    <n v="11500"/>
    <n v="0.14449999999999999"/>
    <n v="1"/>
    <n v="1"/>
    <n v="1"/>
  </r>
  <r>
    <s v="LA-702703"/>
    <d v="2025-02-06T00:00:00"/>
    <x v="1"/>
    <s v="Q1"/>
    <x v="1"/>
    <x v="0"/>
    <x v="2"/>
    <x v="2"/>
    <x v="0"/>
    <x v="1"/>
    <n v="3250"/>
    <n v="31500"/>
    <n v="36"/>
    <n v="0.48899999999999999"/>
    <s v="Rejected"/>
    <x v="3"/>
    <n v="0"/>
    <n v="1"/>
    <n v="0"/>
    <m/>
    <n v="4"/>
    <n v="1"/>
    <n v="1"/>
  </r>
  <r>
    <s v="LA-702704"/>
    <d v="2025-02-06T00:00:00"/>
    <x v="1"/>
    <s v="Q1"/>
    <x v="1"/>
    <x v="2"/>
    <x v="1"/>
    <x v="2"/>
    <x v="0"/>
    <x v="0"/>
    <n v="6150"/>
    <n v="92000"/>
    <n v="60"/>
    <n v="0.378"/>
    <s v="Rejected"/>
    <x v="0"/>
    <n v="0"/>
    <n v="1"/>
    <n v="0"/>
    <m/>
    <n v="3"/>
    <n v="1"/>
    <n v="1"/>
  </r>
  <r>
    <s v="LA-702705"/>
    <d v="2025-02-06T00:00:00"/>
    <x v="1"/>
    <s v="Q1"/>
    <x v="1"/>
    <x v="3"/>
    <x v="2"/>
    <x v="4"/>
    <x v="0"/>
    <x v="0"/>
    <n v="6650"/>
    <n v="252000"/>
    <n v="300"/>
    <n v="0.33100000000000002"/>
    <s v="Rejected"/>
    <x v="2"/>
    <n v="0"/>
    <n v="1"/>
    <n v="0"/>
    <m/>
    <n v="6"/>
    <n v="1"/>
    <n v="1"/>
  </r>
  <r>
    <s v="LA-702706"/>
    <d v="2025-02-06T00:00:00"/>
    <x v="1"/>
    <s v="Q1"/>
    <x v="1"/>
    <x v="0"/>
    <x v="1"/>
    <x v="3"/>
    <x v="0"/>
    <x v="1"/>
    <n v="4200"/>
    <n v="47500"/>
    <n v="60"/>
    <n v="0.42899999999999999"/>
    <s v="Approved"/>
    <x v="1"/>
    <n v="1"/>
    <n v="0"/>
    <n v="47500"/>
    <n v="8.9499999999999996E-2"/>
    <n v="3"/>
    <n v="1"/>
    <n v="1"/>
  </r>
  <r>
    <s v="LA-702707"/>
    <d v="2025-02-07T00:00:00"/>
    <x v="1"/>
    <s v="Q1"/>
    <x v="1"/>
    <x v="1"/>
    <x v="2"/>
    <x v="1"/>
    <x v="1"/>
    <x v="1"/>
    <n v="5200"/>
    <n v="8500"/>
    <n v="24"/>
    <n v="0.19800000000000001"/>
    <s v="Approved"/>
    <x v="1"/>
    <n v="1"/>
    <n v="0"/>
    <n v="8500"/>
    <n v="0.12280000000000001"/>
    <n v="2"/>
    <n v="1"/>
    <n v="1"/>
  </r>
  <r>
    <s v="LA-702708"/>
    <d v="2025-02-07T00:00:00"/>
    <x v="1"/>
    <s v="Q1"/>
    <x v="1"/>
    <x v="0"/>
    <x v="2"/>
    <x v="2"/>
    <x v="1"/>
    <x v="0"/>
    <n v="5550"/>
    <n v="23000"/>
    <n v="48"/>
    <n v="0.20699999999999999"/>
    <s v="Approved"/>
    <x v="1"/>
    <n v="1"/>
    <n v="0"/>
    <n v="18500"/>
    <n v="9.2899999999999996E-2"/>
    <n v="2"/>
    <n v="1"/>
    <n v="1"/>
  </r>
  <r>
    <s v="LA-702709"/>
    <d v="2025-02-07T00:00:00"/>
    <x v="1"/>
    <s v="Q1"/>
    <x v="1"/>
    <x v="1"/>
    <x v="1"/>
    <x v="1"/>
    <x v="1"/>
    <x v="1"/>
    <n v="6200"/>
    <n v="11500"/>
    <n v="48"/>
    <n v="0.17399999999999999"/>
    <s v="Approved"/>
    <x v="1"/>
    <n v="1"/>
    <n v="0"/>
    <n v="10500"/>
    <n v="0.13009999999999999"/>
    <n v="1"/>
    <n v="1"/>
    <n v="1"/>
  </r>
  <r>
    <s v="LA-702710"/>
    <d v="2025-02-07T00:00:00"/>
    <x v="1"/>
    <s v="Q1"/>
    <x v="1"/>
    <x v="2"/>
    <x v="1"/>
    <x v="4"/>
    <x v="0"/>
    <x v="0"/>
    <n v="8850"/>
    <n v="61500"/>
    <n v="36"/>
    <n v="0.33200000000000002"/>
    <s v="Approved"/>
    <x v="1"/>
    <n v="1"/>
    <n v="0"/>
    <n v="61500"/>
    <n v="0.12670000000000001"/>
    <n v="4"/>
    <n v="1"/>
    <n v="1"/>
  </r>
  <r>
    <s v="LA-702711"/>
    <d v="2025-02-07T00:00:00"/>
    <x v="1"/>
    <s v="Q1"/>
    <x v="1"/>
    <x v="0"/>
    <x v="1"/>
    <x v="1"/>
    <x v="0"/>
    <x v="4"/>
    <n v="7350"/>
    <n v="51500"/>
    <n v="60"/>
    <n v="0.30199999999999999"/>
    <s v="Approved"/>
    <x v="1"/>
    <n v="1"/>
    <n v="0"/>
    <n v="51500"/>
    <n v="7.4499999999999997E-2"/>
    <n v="2"/>
    <n v="1"/>
    <n v="1"/>
  </r>
  <r>
    <s v="LA-702712"/>
    <d v="2025-02-07T00:00:00"/>
    <x v="1"/>
    <s v="Q1"/>
    <x v="1"/>
    <x v="3"/>
    <x v="2"/>
    <x v="3"/>
    <x v="2"/>
    <x v="2"/>
    <n v="21000"/>
    <n v="303500"/>
    <n v="240"/>
    <n v="0.19600000000000001"/>
    <s v="Rejected"/>
    <x v="0"/>
    <n v="0"/>
    <n v="1"/>
    <n v="0"/>
    <m/>
    <n v="9"/>
    <n v="1"/>
    <n v="1"/>
  </r>
  <r>
    <s v="LA-702713"/>
    <d v="2025-02-07T00:00:00"/>
    <x v="1"/>
    <s v="Q1"/>
    <x v="1"/>
    <x v="0"/>
    <x v="2"/>
    <x v="1"/>
    <x v="1"/>
    <x v="1"/>
    <n v="3800"/>
    <n v="23500"/>
    <n v="60"/>
    <n v="0.19700000000000001"/>
    <s v="Approved"/>
    <x v="1"/>
    <n v="1"/>
    <n v="0"/>
    <n v="21000"/>
    <n v="8.2000000000000003E-2"/>
    <n v="3"/>
    <n v="1"/>
    <n v="1"/>
  </r>
  <r>
    <s v="LA-702714"/>
    <d v="2025-02-07T00:00:00"/>
    <x v="1"/>
    <s v="Q1"/>
    <x v="1"/>
    <x v="1"/>
    <x v="1"/>
    <x v="2"/>
    <x v="1"/>
    <x v="3"/>
    <n v="7550"/>
    <n v="9000"/>
    <n v="24"/>
    <n v="0.23300000000000001"/>
    <s v="Rejected"/>
    <x v="4"/>
    <n v="0"/>
    <n v="1"/>
    <n v="0"/>
    <m/>
    <n v="5"/>
    <n v="0"/>
    <n v="1"/>
  </r>
  <r>
    <s v="LA-702715"/>
    <d v="2025-02-07T00:00:00"/>
    <x v="1"/>
    <s v="Q1"/>
    <x v="1"/>
    <x v="1"/>
    <x v="2"/>
    <x v="1"/>
    <x v="0"/>
    <x v="4"/>
    <n v="13550"/>
    <n v="12000"/>
    <n v="12"/>
    <n v="0.26700000000000002"/>
    <s v="Rejected"/>
    <x v="4"/>
    <n v="0"/>
    <n v="1"/>
    <n v="0"/>
    <m/>
    <n v="5"/>
    <n v="0"/>
    <n v="1"/>
  </r>
  <r>
    <s v="LA-702716"/>
    <d v="2025-02-07T00:00:00"/>
    <x v="1"/>
    <s v="Q1"/>
    <x v="1"/>
    <x v="1"/>
    <x v="2"/>
    <x v="4"/>
    <x v="1"/>
    <x v="2"/>
    <n v="4550"/>
    <n v="6000"/>
    <n v="24"/>
    <n v="0.23200000000000001"/>
    <s v="Approved"/>
    <x v="1"/>
    <n v="1"/>
    <n v="0"/>
    <n v="5500"/>
    <n v="0.1542"/>
    <n v="2"/>
    <n v="1"/>
    <n v="1"/>
  </r>
  <r>
    <s v="LA-702717"/>
    <d v="2025-02-07T00:00:00"/>
    <x v="1"/>
    <s v="Q1"/>
    <x v="1"/>
    <x v="0"/>
    <x v="2"/>
    <x v="3"/>
    <x v="0"/>
    <x v="0"/>
    <n v="3950"/>
    <n v="10500"/>
    <n v="60"/>
    <n v="0.107"/>
    <s v="Approved"/>
    <x v="1"/>
    <n v="1"/>
    <n v="0"/>
    <n v="10500"/>
    <n v="0.1021"/>
    <n v="2"/>
    <n v="1"/>
    <n v="1"/>
  </r>
  <r>
    <s v="LA-702718"/>
    <d v="2025-02-07T00:00:00"/>
    <x v="1"/>
    <s v="Q1"/>
    <x v="1"/>
    <x v="1"/>
    <x v="3"/>
    <x v="1"/>
    <x v="0"/>
    <x v="2"/>
    <n v="3700"/>
    <n v="17000"/>
    <n v="48"/>
    <n v="0.252"/>
    <s v="Rejected"/>
    <x v="0"/>
    <n v="0"/>
    <n v="1"/>
    <n v="0"/>
    <m/>
    <n v="3"/>
    <n v="1"/>
    <n v="1"/>
  </r>
  <r>
    <s v="LA-702719"/>
    <d v="2025-02-08T00:00:00"/>
    <x v="1"/>
    <s v="Q1"/>
    <x v="1"/>
    <x v="0"/>
    <x v="2"/>
    <x v="1"/>
    <x v="0"/>
    <x v="1"/>
    <n v="6050"/>
    <n v="48500"/>
    <n v="60"/>
    <n v="0.21299999999999999"/>
    <s v="Approved"/>
    <x v="1"/>
    <n v="1"/>
    <n v="0"/>
    <n v="39000"/>
    <n v="8.4599999999999995E-2"/>
    <n v="2"/>
    <n v="1"/>
    <n v="1"/>
  </r>
  <r>
    <s v="LA-702720"/>
    <d v="2025-02-08T00:00:00"/>
    <x v="1"/>
    <s v="Q1"/>
    <x v="1"/>
    <x v="1"/>
    <x v="2"/>
    <x v="2"/>
    <x v="0"/>
    <x v="0"/>
    <n v="8750"/>
    <n v="11000"/>
    <n v="60"/>
    <n v="0.23"/>
    <s v="Approved"/>
    <x v="1"/>
    <n v="1"/>
    <n v="0"/>
    <n v="11000"/>
    <n v="0.1447"/>
    <n v="2"/>
    <n v="1"/>
    <n v="1"/>
  </r>
  <r>
    <s v="LA-702721"/>
    <d v="2025-02-08T00:00:00"/>
    <x v="1"/>
    <s v="Q1"/>
    <x v="1"/>
    <x v="1"/>
    <x v="2"/>
    <x v="3"/>
    <x v="2"/>
    <x v="0"/>
    <n v="6800"/>
    <n v="10500"/>
    <n v="12"/>
    <n v="0.22500000000000001"/>
    <s v="Approved"/>
    <x v="1"/>
    <n v="1"/>
    <n v="0"/>
    <n v="9500"/>
    <n v="0.13769999999999999"/>
    <n v="2"/>
    <n v="1"/>
    <n v="1"/>
  </r>
  <r>
    <s v="LA-702722"/>
    <d v="2025-02-08T00:00:00"/>
    <x v="1"/>
    <s v="Q1"/>
    <x v="1"/>
    <x v="2"/>
    <x v="0"/>
    <x v="3"/>
    <x v="0"/>
    <x v="1"/>
    <n v="11900"/>
    <n v="213500"/>
    <n v="12"/>
    <n v="1.6879999999999999"/>
    <s v="Rejected"/>
    <x v="3"/>
    <n v="0"/>
    <n v="1"/>
    <n v="0"/>
    <m/>
    <n v="14"/>
    <n v="0"/>
    <n v="1"/>
  </r>
  <r>
    <s v="LA-702723"/>
    <d v="2025-02-08T00:00:00"/>
    <x v="1"/>
    <s v="Q1"/>
    <x v="1"/>
    <x v="3"/>
    <x v="0"/>
    <x v="3"/>
    <x v="2"/>
    <x v="1"/>
    <n v="3550"/>
    <n v="204000"/>
    <n v="300"/>
    <n v="0.501"/>
    <s v="Approved"/>
    <x v="1"/>
    <n v="1"/>
    <n v="0"/>
    <n v="163000"/>
    <n v="6.2600000000000003E-2"/>
    <n v="17"/>
    <n v="0"/>
    <n v="1"/>
  </r>
  <r>
    <s v="LA-702724"/>
    <d v="2025-02-09T00:00:00"/>
    <x v="1"/>
    <s v="Q1"/>
    <x v="1"/>
    <x v="3"/>
    <x v="2"/>
    <x v="3"/>
    <x v="1"/>
    <x v="2"/>
    <n v="4950"/>
    <n v="434000"/>
    <n v="240"/>
    <n v="0.71699999999999997"/>
    <s v="Approved"/>
    <x v="1"/>
    <n v="1"/>
    <n v="0"/>
    <n v="434000"/>
    <n v="9.3299999999999994E-2"/>
    <n v="9"/>
    <n v="1"/>
    <n v="1"/>
  </r>
  <r>
    <s v="LA-702725"/>
    <d v="2025-02-09T00:00:00"/>
    <x v="1"/>
    <s v="Q1"/>
    <x v="1"/>
    <x v="0"/>
    <x v="0"/>
    <x v="2"/>
    <x v="0"/>
    <x v="3"/>
    <n v="5500"/>
    <n v="16000"/>
    <n v="48"/>
    <n v="0.17799999999999999"/>
    <s v="Rejected"/>
    <x v="4"/>
    <n v="0"/>
    <n v="1"/>
    <n v="0"/>
    <m/>
    <n v="7"/>
    <n v="0"/>
    <n v="1"/>
  </r>
  <r>
    <s v="LA-702726"/>
    <d v="2025-02-09T00:00:00"/>
    <x v="1"/>
    <s v="Q1"/>
    <x v="1"/>
    <x v="2"/>
    <x v="2"/>
    <x v="2"/>
    <x v="0"/>
    <x v="1"/>
    <n v="6650"/>
    <n v="85000"/>
    <n v="12"/>
    <n v="1.34"/>
    <s v="Rejected"/>
    <x v="3"/>
    <n v="0"/>
    <n v="1"/>
    <n v="0"/>
    <m/>
    <n v="4"/>
    <n v="1"/>
    <n v="1"/>
  </r>
  <r>
    <s v="LA-702727"/>
    <d v="2025-02-09T00:00:00"/>
    <x v="1"/>
    <s v="Q1"/>
    <x v="1"/>
    <x v="0"/>
    <x v="1"/>
    <x v="1"/>
    <x v="0"/>
    <x v="3"/>
    <n v="5900"/>
    <n v="36500"/>
    <n v="60"/>
    <n v="0.189"/>
    <s v="Approved"/>
    <x v="1"/>
    <n v="1"/>
    <n v="0"/>
    <n v="29000"/>
    <n v="6.08E-2"/>
    <n v="2"/>
    <n v="1"/>
    <n v="1"/>
  </r>
  <r>
    <s v="LA-702728"/>
    <d v="2025-02-09T00:00:00"/>
    <x v="1"/>
    <s v="Q1"/>
    <x v="1"/>
    <x v="2"/>
    <x v="1"/>
    <x v="0"/>
    <x v="1"/>
    <x v="1"/>
    <n v="5600"/>
    <n v="54000"/>
    <n v="12"/>
    <n v="0.93300000000000005"/>
    <s v="Rejected"/>
    <x v="3"/>
    <n v="0"/>
    <n v="1"/>
    <n v="0"/>
    <m/>
    <n v="3"/>
    <n v="1"/>
    <n v="1"/>
  </r>
  <r>
    <s v="LA-702729"/>
    <d v="2025-02-10T00:00:00"/>
    <x v="1"/>
    <s v="Q1"/>
    <x v="1"/>
    <x v="2"/>
    <x v="1"/>
    <x v="3"/>
    <x v="1"/>
    <x v="1"/>
    <n v="14000"/>
    <n v="93000"/>
    <n v="24"/>
    <n v="0.54800000000000004"/>
    <s v="Approved"/>
    <x v="1"/>
    <n v="1"/>
    <n v="0"/>
    <n v="93000"/>
    <n v="0.1105"/>
    <n v="6"/>
    <n v="1"/>
    <n v="1"/>
  </r>
  <r>
    <s v="LA-702730"/>
    <d v="2025-02-10T00:00:00"/>
    <x v="1"/>
    <s v="Q1"/>
    <x v="1"/>
    <x v="1"/>
    <x v="3"/>
    <x v="1"/>
    <x v="0"/>
    <x v="1"/>
    <n v="5950"/>
    <n v="15500"/>
    <n v="36"/>
    <n v="0.184"/>
    <s v="Approved"/>
    <x v="1"/>
    <n v="1"/>
    <n v="0"/>
    <n v="14000"/>
    <n v="0.1221"/>
    <n v="6"/>
    <n v="0"/>
    <n v="1"/>
  </r>
  <r>
    <s v="LA-702731"/>
    <d v="2025-02-10T00:00:00"/>
    <x v="1"/>
    <s v="Q1"/>
    <x v="1"/>
    <x v="3"/>
    <x v="2"/>
    <x v="2"/>
    <x v="0"/>
    <x v="1"/>
    <n v="5800"/>
    <n v="188500"/>
    <n v="240"/>
    <n v="0.27100000000000002"/>
    <s v="Approved"/>
    <x v="1"/>
    <n v="1"/>
    <n v="0"/>
    <n v="188500"/>
    <n v="5.8999999999999997E-2"/>
    <n v="6"/>
    <n v="1"/>
    <n v="1"/>
  </r>
  <r>
    <s v="LA-702732"/>
    <d v="2025-02-10T00:00:00"/>
    <x v="1"/>
    <s v="Q1"/>
    <x v="1"/>
    <x v="0"/>
    <x v="1"/>
    <x v="3"/>
    <x v="1"/>
    <x v="1"/>
    <n v="4400"/>
    <n v="20500"/>
    <n v="48"/>
    <n v="0.191"/>
    <s v="Rejected"/>
    <x v="4"/>
    <n v="0"/>
    <n v="1"/>
    <n v="0"/>
    <m/>
    <n v="5"/>
    <n v="0"/>
    <n v="1"/>
  </r>
  <r>
    <s v="LA-702733"/>
    <d v="2025-02-10T00:00:00"/>
    <x v="1"/>
    <s v="Q1"/>
    <x v="1"/>
    <x v="2"/>
    <x v="2"/>
    <x v="3"/>
    <x v="1"/>
    <x v="1"/>
    <n v="7850"/>
    <n v="104500"/>
    <n v="24"/>
    <n v="0.86099999999999999"/>
    <s v="Rejected"/>
    <x v="3"/>
    <n v="0"/>
    <n v="1"/>
    <n v="0"/>
    <m/>
    <n v="11"/>
    <n v="0"/>
    <n v="1"/>
  </r>
  <r>
    <s v="LA-702734"/>
    <d v="2025-02-10T00:00:00"/>
    <x v="1"/>
    <s v="Q1"/>
    <x v="1"/>
    <x v="1"/>
    <x v="0"/>
    <x v="2"/>
    <x v="1"/>
    <x v="1"/>
    <n v="3100"/>
    <n v="11000"/>
    <n v="12"/>
    <n v="0.41"/>
    <s v="Approved"/>
    <x v="1"/>
    <n v="1"/>
    <n v="0"/>
    <n v="11000"/>
    <n v="0.127"/>
    <n v="4"/>
    <n v="0"/>
    <n v="1"/>
  </r>
  <r>
    <s v="LA-702735"/>
    <d v="2025-02-10T00:00:00"/>
    <x v="1"/>
    <s v="Q1"/>
    <x v="1"/>
    <x v="1"/>
    <x v="3"/>
    <x v="3"/>
    <x v="2"/>
    <x v="0"/>
    <n v="5150"/>
    <n v="7500"/>
    <n v="60"/>
    <n v="0.12"/>
    <s v="Rejected"/>
    <x v="0"/>
    <n v="0"/>
    <n v="1"/>
    <n v="0"/>
    <m/>
    <n v="4"/>
    <n v="0"/>
    <n v="1"/>
  </r>
  <r>
    <s v="LA-702736"/>
    <d v="2025-02-10T00:00:00"/>
    <x v="1"/>
    <s v="Q1"/>
    <x v="1"/>
    <x v="1"/>
    <x v="2"/>
    <x v="2"/>
    <x v="0"/>
    <x v="4"/>
    <n v="4350"/>
    <n v="16500"/>
    <n v="36"/>
    <n v="0.27800000000000002"/>
    <s v="Approved"/>
    <x v="1"/>
    <n v="1"/>
    <n v="0"/>
    <n v="16500"/>
    <n v="0.11210000000000001"/>
    <n v="2"/>
    <n v="1"/>
    <n v="1"/>
  </r>
  <r>
    <s v="LA-702737"/>
    <d v="2025-02-11T00:00:00"/>
    <x v="1"/>
    <s v="Q1"/>
    <x v="1"/>
    <x v="1"/>
    <x v="0"/>
    <x v="2"/>
    <x v="2"/>
    <x v="1"/>
    <n v="7550"/>
    <n v="11500"/>
    <n v="60"/>
    <n v="0.27200000000000002"/>
    <s v="Approved"/>
    <x v="1"/>
    <n v="1"/>
    <n v="0"/>
    <n v="11500"/>
    <n v="0.12470000000000001"/>
    <n v="3"/>
    <n v="1"/>
    <n v="1"/>
  </r>
  <r>
    <s v="LA-702738"/>
    <d v="2025-02-11T00:00:00"/>
    <x v="1"/>
    <s v="Q1"/>
    <x v="1"/>
    <x v="0"/>
    <x v="1"/>
    <x v="0"/>
    <x v="2"/>
    <x v="2"/>
    <n v="5050"/>
    <n v="27000"/>
    <n v="36"/>
    <n v="0.29199999999999998"/>
    <s v="Rejected"/>
    <x v="0"/>
    <n v="0"/>
    <n v="1"/>
    <n v="0"/>
    <m/>
    <n v="1"/>
    <n v="1"/>
    <n v="1"/>
  </r>
  <r>
    <s v="LA-702739"/>
    <d v="2025-02-11T00:00:00"/>
    <x v="1"/>
    <s v="Q1"/>
    <x v="1"/>
    <x v="2"/>
    <x v="3"/>
    <x v="3"/>
    <x v="1"/>
    <x v="1"/>
    <n v="6800"/>
    <n v="91000"/>
    <n v="36"/>
    <n v="0.67600000000000005"/>
    <s v="Approved"/>
    <x v="1"/>
    <n v="1"/>
    <n v="0"/>
    <n v="82000"/>
    <n v="0.1075"/>
    <n v="7"/>
    <n v="1"/>
    <n v="1"/>
  </r>
  <r>
    <s v="LA-702740"/>
    <d v="2025-02-12T00:00:00"/>
    <x v="1"/>
    <s v="Q1"/>
    <x v="1"/>
    <x v="2"/>
    <x v="3"/>
    <x v="1"/>
    <x v="1"/>
    <x v="0"/>
    <n v="5450"/>
    <n v="171000"/>
    <n v="12"/>
    <n v="2.9780000000000002"/>
    <s v="Rejected"/>
    <x v="0"/>
    <n v="0"/>
    <n v="1"/>
    <n v="0"/>
    <m/>
    <n v="10"/>
    <n v="1"/>
    <n v="1"/>
  </r>
  <r>
    <s v="LA-702741"/>
    <d v="2025-02-12T00:00:00"/>
    <x v="1"/>
    <s v="Q1"/>
    <x v="1"/>
    <x v="2"/>
    <x v="1"/>
    <x v="2"/>
    <x v="0"/>
    <x v="0"/>
    <n v="8050"/>
    <n v="118000"/>
    <n v="36"/>
    <n v="0.68300000000000005"/>
    <s v="Rejected"/>
    <x v="3"/>
    <n v="0"/>
    <n v="1"/>
    <n v="0"/>
    <m/>
    <n v="5"/>
    <n v="1"/>
    <n v="1"/>
  </r>
  <r>
    <s v="LA-702742"/>
    <d v="2025-02-12T00:00:00"/>
    <x v="1"/>
    <s v="Q1"/>
    <x v="1"/>
    <x v="1"/>
    <x v="3"/>
    <x v="4"/>
    <x v="0"/>
    <x v="0"/>
    <n v="4400"/>
    <n v="6000"/>
    <n v="36"/>
    <n v="0.25900000000000001"/>
    <s v="Approved"/>
    <x v="1"/>
    <n v="1"/>
    <n v="0"/>
    <n v="5500"/>
    <n v="0.1376"/>
    <n v="6"/>
    <n v="0"/>
    <n v="1"/>
  </r>
  <r>
    <s v="LA-702743"/>
    <d v="2025-02-12T00:00:00"/>
    <x v="1"/>
    <s v="Q1"/>
    <x v="1"/>
    <x v="1"/>
    <x v="1"/>
    <x v="0"/>
    <x v="1"/>
    <x v="1"/>
    <n v="3800"/>
    <n v="29000"/>
    <n v="48"/>
    <n v="0.38800000000000001"/>
    <s v="Approved"/>
    <x v="1"/>
    <n v="1"/>
    <n v="0"/>
    <n v="29000"/>
    <n v="0.1283"/>
    <n v="1"/>
    <n v="1"/>
    <n v="1"/>
  </r>
  <r>
    <s v="LA-702744"/>
    <d v="2025-02-12T00:00:00"/>
    <x v="1"/>
    <s v="Q1"/>
    <x v="1"/>
    <x v="1"/>
    <x v="3"/>
    <x v="1"/>
    <x v="0"/>
    <x v="2"/>
    <n v="9650"/>
    <n v="18000"/>
    <n v="12"/>
    <n v="0.27100000000000002"/>
    <s v="Rejected"/>
    <x v="0"/>
    <n v="0"/>
    <n v="1"/>
    <n v="0"/>
    <m/>
    <n v="4"/>
    <n v="0"/>
    <n v="1"/>
  </r>
  <r>
    <s v="LA-702745"/>
    <d v="2025-02-12T00:00:00"/>
    <x v="1"/>
    <s v="Q1"/>
    <x v="1"/>
    <x v="3"/>
    <x v="1"/>
    <x v="4"/>
    <x v="0"/>
    <x v="3"/>
    <n v="2800"/>
    <n v="354500"/>
    <n v="180"/>
    <n v="1.2410000000000001"/>
    <s v="Approved"/>
    <x v="1"/>
    <n v="1"/>
    <n v="0"/>
    <n v="354500"/>
    <n v="4.5400000000000003E-2"/>
    <n v="6"/>
    <n v="1"/>
    <n v="1"/>
  </r>
  <r>
    <s v="LA-702746"/>
    <d v="2025-02-12T00:00:00"/>
    <x v="1"/>
    <s v="Q1"/>
    <x v="1"/>
    <x v="0"/>
    <x v="0"/>
    <x v="3"/>
    <x v="1"/>
    <x v="4"/>
    <n v="12600"/>
    <n v="19000"/>
    <n v="36"/>
    <n v="0.27300000000000002"/>
    <s v="Approved"/>
    <x v="1"/>
    <n v="1"/>
    <n v="0"/>
    <n v="17000"/>
    <n v="7.5899999999999995E-2"/>
    <n v="7"/>
    <n v="0"/>
    <n v="1"/>
  </r>
  <r>
    <s v="LA-702747"/>
    <d v="2025-02-12T00:00:00"/>
    <x v="1"/>
    <s v="Q1"/>
    <x v="1"/>
    <x v="2"/>
    <x v="1"/>
    <x v="1"/>
    <x v="0"/>
    <x v="1"/>
    <n v="4850"/>
    <n v="67000"/>
    <n v="24"/>
    <n v="0.85399999999999998"/>
    <s v="Withdrawn"/>
    <x v="1"/>
    <n v="0"/>
    <n v="0"/>
    <n v="0"/>
    <m/>
    <n v="4"/>
    <n v="1"/>
    <n v="1"/>
  </r>
  <r>
    <s v="LA-702748"/>
    <d v="2025-02-12T00:00:00"/>
    <x v="1"/>
    <s v="Q1"/>
    <x v="1"/>
    <x v="2"/>
    <x v="2"/>
    <x v="2"/>
    <x v="0"/>
    <x v="0"/>
    <n v="4500"/>
    <n v="144000"/>
    <n v="12"/>
    <n v="3.028"/>
    <s v="Rejected"/>
    <x v="0"/>
    <n v="0"/>
    <n v="1"/>
    <n v="0"/>
    <m/>
    <n v="4"/>
    <n v="1"/>
    <n v="1"/>
  </r>
  <r>
    <s v="LA-702749"/>
    <d v="2025-02-12T00:00:00"/>
    <x v="1"/>
    <s v="Q1"/>
    <x v="1"/>
    <x v="3"/>
    <x v="2"/>
    <x v="1"/>
    <x v="2"/>
    <x v="0"/>
    <n v="6000"/>
    <n v="237000"/>
    <n v="240"/>
    <n v="0.41499999999999998"/>
    <s v="Rejected"/>
    <x v="0"/>
    <n v="0"/>
    <n v="1"/>
    <n v="0"/>
    <m/>
    <n v="10"/>
    <n v="1"/>
    <n v="1"/>
  </r>
  <r>
    <s v="LA-702750"/>
    <d v="2025-02-12T00:00:00"/>
    <x v="1"/>
    <s v="Q1"/>
    <x v="1"/>
    <x v="1"/>
    <x v="2"/>
    <x v="0"/>
    <x v="2"/>
    <x v="1"/>
    <n v="8400"/>
    <n v="10500"/>
    <n v="60"/>
    <n v="0.20100000000000001"/>
    <s v="Approved"/>
    <x v="1"/>
    <n v="1"/>
    <n v="0"/>
    <n v="8500"/>
    <n v="0.12909999999999999"/>
    <n v="3"/>
    <n v="1"/>
    <n v="1"/>
  </r>
  <r>
    <s v="LA-702751"/>
    <d v="2025-02-12T00:00:00"/>
    <x v="1"/>
    <s v="Q1"/>
    <x v="1"/>
    <x v="0"/>
    <x v="3"/>
    <x v="2"/>
    <x v="2"/>
    <x v="1"/>
    <n v="5850"/>
    <n v="38500"/>
    <n v="36"/>
    <n v="0.36299999999999999"/>
    <s v="Rejected"/>
    <x v="5"/>
    <n v="0"/>
    <n v="1"/>
    <n v="0"/>
    <m/>
    <n v="9"/>
    <n v="0"/>
    <n v="1"/>
  </r>
  <r>
    <s v="LA-702752"/>
    <d v="2025-02-12T00:00:00"/>
    <x v="1"/>
    <s v="Q1"/>
    <x v="1"/>
    <x v="0"/>
    <x v="1"/>
    <x v="3"/>
    <x v="0"/>
    <x v="1"/>
    <n v="8850"/>
    <n v="25000"/>
    <n v="36"/>
    <n v="0.16300000000000001"/>
    <s v="Approved"/>
    <x v="1"/>
    <n v="1"/>
    <n v="0"/>
    <n v="25000"/>
    <n v="7.9299999999999995E-2"/>
    <n v="2"/>
    <n v="1"/>
    <n v="1"/>
  </r>
  <r>
    <s v="LA-702753"/>
    <d v="2025-02-13T00:00:00"/>
    <x v="1"/>
    <s v="Q1"/>
    <x v="1"/>
    <x v="0"/>
    <x v="0"/>
    <x v="3"/>
    <x v="2"/>
    <x v="0"/>
    <n v="7500"/>
    <n v="32000"/>
    <n v="48"/>
    <n v="0.31900000000000001"/>
    <s v="Rejected"/>
    <x v="0"/>
    <n v="0"/>
    <n v="1"/>
    <n v="0"/>
    <m/>
    <n v="5"/>
    <n v="0"/>
    <n v="1"/>
  </r>
  <r>
    <s v="LA-702754"/>
    <d v="2025-02-13T00:00:00"/>
    <x v="1"/>
    <s v="Q1"/>
    <x v="1"/>
    <x v="0"/>
    <x v="1"/>
    <x v="1"/>
    <x v="1"/>
    <x v="3"/>
    <n v="3700"/>
    <n v="32000"/>
    <n v="48"/>
    <n v="0.40300000000000002"/>
    <s v="Approved"/>
    <x v="1"/>
    <n v="1"/>
    <n v="0"/>
    <n v="29000"/>
    <n v="6.7400000000000002E-2"/>
    <n v="4"/>
    <n v="1"/>
    <n v="1"/>
  </r>
  <r>
    <s v="LA-702755"/>
    <d v="2025-02-13T00:00:00"/>
    <x v="1"/>
    <s v="Q1"/>
    <x v="1"/>
    <x v="3"/>
    <x v="0"/>
    <x v="4"/>
    <x v="0"/>
    <x v="1"/>
    <n v="4250"/>
    <n v="125500"/>
    <n v="240"/>
    <n v="0.39400000000000002"/>
    <s v="Rejected"/>
    <x v="4"/>
    <n v="0"/>
    <n v="1"/>
    <n v="0"/>
    <m/>
    <n v="15"/>
    <n v="1"/>
    <n v="1"/>
  </r>
  <r>
    <s v="LA-702756"/>
    <d v="2025-02-13T00:00:00"/>
    <x v="1"/>
    <s v="Q1"/>
    <x v="1"/>
    <x v="0"/>
    <x v="1"/>
    <x v="2"/>
    <x v="0"/>
    <x v="4"/>
    <n v="5700"/>
    <n v="21500"/>
    <n v="36"/>
    <n v="0.215"/>
    <s v="Approved"/>
    <x v="1"/>
    <n v="1"/>
    <n v="0"/>
    <n v="21500"/>
    <n v="7.6300000000000007E-2"/>
    <n v="1"/>
    <n v="1"/>
    <n v="1"/>
  </r>
  <r>
    <s v="LA-702757"/>
    <d v="2025-02-13T00:00:00"/>
    <x v="1"/>
    <s v="Q1"/>
    <x v="1"/>
    <x v="1"/>
    <x v="2"/>
    <x v="0"/>
    <x v="2"/>
    <x v="2"/>
    <n v="5450"/>
    <n v="14500"/>
    <n v="36"/>
    <n v="0.19400000000000001"/>
    <s v="Rejected"/>
    <x v="0"/>
    <n v="0"/>
    <n v="1"/>
    <n v="0"/>
    <m/>
    <n v="1"/>
    <n v="1"/>
    <n v="1"/>
  </r>
  <r>
    <s v="LA-702758"/>
    <d v="2025-02-13T00:00:00"/>
    <x v="1"/>
    <s v="Q1"/>
    <x v="1"/>
    <x v="1"/>
    <x v="0"/>
    <x v="2"/>
    <x v="0"/>
    <x v="1"/>
    <n v="6350"/>
    <n v="20000"/>
    <n v="48"/>
    <n v="0.19600000000000001"/>
    <s v="Approved"/>
    <x v="1"/>
    <n v="1"/>
    <n v="0"/>
    <n v="20000"/>
    <n v="0.1179"/>
    <n v="3"/>
    <n v="1"/>
    <n v="1"/>
  </r>
  <r>
    <s v="LA-702759"/>
    <d v="2025-02-13T00:00:00"/>
    <x v="1"/>
    <s v="Q1"/>
    <x v="1"/>
    <x v="0"/>
    <x v="3"/>
    <x v="4"/>
    <x v="1"/>
    <x v="4"/>
    <n v="7300"/>
    <n v="10000"/>
    <n v="60"/>
    <n v="0.187"/>
    <s v="Approved"/>
    <x v="1"/>
    <n v="1"/>
    <n v="0"/>
    <n v="10000"/>
    <n v="7.6100000000000001E-2"/>
    <n v="4"/>
    <n v="1"/>
    <n v="1"/>
  </r>
  <r>
    <s v="LA-702760"/>
    <d v="2025-02-13T00:00:00"/>
    <x v="1"/>
    <s v="Q1"/>
    <x v="1"/>
    <x v="0"/>
    <x v="1"/>
    <x v="4"/>
    <x v="1"/>
    <x v="0"/>
    <n v="4600"/>
    <n v="27000"/>
    <n v="60"/>
    <n v="0.27700000000000002"/>
    <s v="Approved"/>
    <x v="1"/>
    <n v="1"/>
    <n v="0"/>
    <n v="27000"/>
    <n v="9.7100000000000006E-2"/>
    <n v="2"/>
    <n v="1"/>
    <n v="1"/>
  </r>
  <r>
    <s v="LA-702761"/>
    <d v="2025-02-13T00:00:00"/>
    <x v="1"/>
    <s v="Q1"/>
    <x v="1"/>
    <x v="1"/>
    <x v="1"/>
    <x v="1"/>
    <x v="1"/>
    <x v="4"/>
    <n v="5050"/>
    <n v="10500"/>
    <n v="60"/>
    <n v="0.252"/>
    <s v="Approved"/>
    <x v="1"/>
    <n v="1"/>
    <n v="0"/>
    <n v="10500"/>
    <n v="0.1167"/>
    <n v="1"/>
    <n v="1"/>
    <n v="1"/>
  </r>
  <r>
    <s v="LA-702762"/>
    <d v="2025-02-13T00:00:00"/>
    <x v="1"/>
    <s v="Q1"/>
    <x v="1"/>
    <x v="0"/>
    <x v="2"/>
    <x v="4"/>
    <x v="1"/>
    <x v="0"/>
    <n v="3150"/>
    <n v="24000"/>
    <n v="48"/>
    <n v="0.375"/>
    <s v="Rejected"/>
    <x v="0"/>
    <n v="0"/>
    <n v="1"/>
    <n v="0"/>
    <m/>
    <n v="2"/>
    <n v="1"/>
    <n v="1"/>
  </r>
  <r>
    <s v="LA-702763"/>
    <d v="2025-02-14T00:00:00"/>
    <x v="1"/>
    <s v="Q1"/>
    <x v="1"/>
    <x v="1"/>
    <x v="2"/>
    <x v="1"/>
    <x v="1"/>
    <x v="3"/>
    <n v="7300"/>
    <n v="13500"/>
    <n v="24"/>
    <n v="0.32300000000000001"/>
    <s v="Approved"/>
    <x v="1"/>
    <n v="1"/>
    <n v="0"/>
    <n v="12000"/>
    <n v="0.1072"/>
    <n v="3"/>
    <n v="1"/>
    <n v="1"/>
  </r>
  <r>
    <s v="LA-702764"/>
    <d v="2025-02-14T00:00:00"/>
    <x v="1"/>
    <s v="Q1"/>
    <x v="1"/>
    <x v="1"/>
    <x v="2"/>
    <x v="2"/>
    <x v="0"/>
    <x v="2"/>
    <n v="5250"/>
    <n v="11500"/>
    <n v="60"/>
    <n v="0.185"/>
    <s v="Rejected"/>
    <x v="4"/>
    <n v="0"/>
    <n v="1"/>
    <n v="0"/>
    <m/>
    <n v="6"/>
    <n v="0"/>
    <n v="1"/>
  </r>
  <r>
    <s v="LA-702765"/>
    <d v="2025-02-14T00:00:00"/>
    <x v="1"/>
    <s v="Q1"/>
    <x v="1"/>
    <x v="1"/>
    <x v="1"/>
    <x v="0"/>
    <x v="1"/>
    <x v="4"/>
    <n v="7450"/>
    <n v="18500"/>
    <n v="12"/>
    <n v="0.39600000000000002"/>
    <s v="Rejected"/>
    <x v="5"/>
    <n v="0"/>
    <n v="1"/>
    <n v="0"/>
    <m/>
    <n v="1"/>
    <n v="1"/>
    <n v="1"/>
  </r>
  <r>
    <s v="LA-702766"/>
    <d v="2025-02-14T00:00:00"/>
    <x v="1"/>
    <s v="Q1"/>
    <x v="1"/>
    <x v="1"/>
    <x v="2"/>
    <x v="2"/>
    <x v="0"/>
    <x v="1"/>
    <n v="6250"/>
    <n v="13500"/>
    <n v="24"/>
    <n v="0.187"/>
    <s v="Approved"/>
    <x v="1"/>
    <n v="1"/>
    <n v="0"/>
    <n v="11000"/>
    <n v="0.1201"/>
    <n v="2"/>
    <n v="1"/>
    <n v="1"/>
  </r>
  <r>
    <s v="LA-702767"/>
    <d v="2025-02-14T00:00:00"/>
    <x v="1"/>
    <s v="Q1"/>
    <x v="1"/>
    <x v="0"/>
    <x v="1"/>
    <x v="0"/>
    <x v="2"/>
    <x v="4"/>
    <n v="4100"/>
    <n v="36000"/>
    <n v="48"/>
    <n v="0.26100000000000001"/>
    <s v="Rejected"/>
    <x v="5"/>
    <n v="0"/>
    <n v="1"/>
    <n v="0"/>
    <m/>
    <n v="3"/>
    <n v="1"/>
    <n v="1"/>
  </r>
  <r>
    <s v="LA-702768"/>
    <d v="2025-02-14T00:00:00"/>
    <x v="1"/>
    <s v="Q1"/>
    <x v="1"/>
    <x v="1"/>
    <x v="3"/>
    <x v="3"/>
    <x v="2"/>
    <x v="0"/>
    <n v="8750"/>
    <n v="26000"/>
    <n v="36"/>
    <n v="0.248"/>
    <s v="Withdrawn"/>
    <x v="1"/>
    <n v="0"/>
    <n v="0"/>
    <n v="0"/>
    <m/>
    <n v="3"/>
    <n v="1"/>
    <n v="1"/>
  </r>
  <r>
    <s v="LA-702769"/>
    <d v="2025-02-14T00:00:00"/>
    <x v="1"/>
    <s v="Q1"/>
    <x v="1"/>
    <x v="2"/>
    <x v="2"/>
    <x v="2"/>
    <x v="2"/>
    <x v="0"/>
    <n v="3950"/>
    <n v="89500"/>
    <n v="12"/>
    <n v="2.1440000000000001"/>
    <s v="Rejected"/>
    <x v="0"/>
    <n v="0"/>
    <n v="1"/>
    <n v="0"/>
    <m/>
    <n v="4"/>
    <n v="1"/>
    <n v="1"/>
  </r>
  <r>
    <s v="LA-702770"/>
    <d v="2025-02-14T00:00:00"/>
    <x v="1"/>
    <s v="Q1"/>
    <x v="1"/>
    <x v="0"/>
    <x v="1"/>
    <x v="2"/>
    <x v="0"/>
    <x v="0"/>
    <n v="11150"/>
    <n v="27500"/>
    <n v="36"/>
    <n v="0.23799999999999999"/>
    <s v="Approved"/>
    <x v="1"/>
    <n v="1"/>
    <n v="0"/>
    <n v="27500"/>
    <n v="9.8400000000000001E-2"/>
    <n v="1"/>
    <n v="1"/>
    <n v="1"/>
  </r>
  <r>
    <s v="LA-702771"/>
    <d v="2025-02-14T00:00:00"/>
    <x v="1"/>
    <s v="Q1"/>
    <x v="1"/>
    <x v="1"/>
    <x v="2"/>
    <x v="3"/>
    <x v="2"/>
    <x v="1"/>
    <n v="3800"/>
    <n v="7000"/>
    <n v="12"/>
    <n v="0.39100000000000001"/>
    <s v="Approved"/>
    <x v="1"/>
    <n v="1"/>
    <n v="0"/>
    <n v="6500"/>
    <n v="0.1255"/>
    <n v="1"/>
    <n v="1"/>
    <n v="1"/>
  </r>
  <r>
    <s v="LA-702772"/>
    <d v="2025-02-14T00:00:00"/>
    <x v="1"/>
    <s v="Q1"/>
    <x v="1"/>
    <x v="0"/>
    <x v="1"/>
    <x v="3"/>
    <x v="1"/>
    <x v="2"/>
    <n v="4600"/>
    <n v="35500"/>
    <n v="36"/>
    <n v="0.35199999999999998"/>
    <s v="Rejected"/>
    <x v="0"/>
    <n v="0"/>
    <n v="1"/>
    <n v="0"/>
    <m/>
    <n v="2"/>
    <n v="1"/>
    <n v="1"/>
  </r>
  <r>
    <s v="LA-702773"/>
    <d v="2025-02-14T00:00:00"/>
    <x v="1"/>
    <s v="Q1"/>
    <x v="1"/>
    <x v="0"/>
    <x v="3"/>
    <x v="3"/>
    <x v="0"/>
    <x v="3"/>
    <n v="4150"/>
    <n v="25500"/>
    <n v="36"/>
    <n v="0.35499999999999998"/>
    <s v="Rejected"/>
    <x v="4"/>
    <n v="0"/>
    <n v="1"/>
    <n v="0"/>
    <m/>
    <n v="8"/>
    <n v="0"/>
    <n v="1"/>
  </r>
  <r>
    <s v="LA-702774"/>
    <d v="2025-02-14T00:00:00"/>
    <x v="1"/>
    <s v="Q1"/>
    <x v="1"/>
    <x v="1"/>
    <x v="2"/>
    <x v="0"/>
    <x v="2"/>
    <x v="4"/>
    <n v="14750"/>
    <n v="12500"/>
    <n v="24"/>
    <n v="0.182"/>
    <s v="Approved"/>
    <x v="1"/>
    <n v="1"/>
    <n v="0"/>
    <n v="12500"/>
    <n v="0.1174"/>
    <n v="1"/>
    <n v="1"/>
    <n v="1"/>
  </r>
  <r>
    <s v="LA-702775"/>
    <d v="2025-02-15T00:00:00"/>
    <x v="1"/>
    <s v="Q1"/>
    <x v="1"/>
    <x v="0"/>
    <x v="1"/>
    <x v="3"/>
    <x v="1"/>
    <x v="0"/>
    <n v="6450"/>
    <n v="14000"/>
    <n v="36"/>
    <n v="0.19800000000000001"/>
    <s v="Rejected"/>
    <x v="2"/>
    <n v="0"/>
    <n v="1"/>
    <n v="0"/>
    <m/>
    <n v="2"/>
    <n v="1"/>
    <n v="1"/>
  </r>
  <r>
    <s v="LA-702776"/>
    <d v="2025-02-15T00:00:00"/>
    <x v="1"/>
    <s v="Q1"/>
    <x v="1"/>
    <x v="2"/>
    <x v="2"/>
    <x v="1"/>
    <x v="0"/>
    <x v="1"/>
    <n v="6350"/>
    <n v="208500"/>
    <n v="60"/>
    <n v="0.75"/>
    <s v="Approved"/>
    <x v="1"/>
    <n v="1"/>
    <n v="0"/>
    <n v="208500"/>
    <n v="0.1091"/>
    <n v="3"/>
    <n v="1"/>
    <n v="1"/>
  </r>
  <r>
    <s v="LA-702777"/>
    <d v="2025-02-15T00:00:00"/>
    <x v="1"/>
    <s v="Q1"/>
    <x v="1"/>
    <x v="2"/>
    <x v="3"/>
    <x v="3"/>
    <x v="0"/>
    <x v="0"/>
    <n v="5000"/>
    <n v="81000"/>
    <n v="24"/>
    <n v="0.98799999999999999"/>
    <s v="Rejected"/>
    <x v="3"/>
    <n v="0"/>
    <n v="1"/>
    <n v="0"/>
    <m/>
    <n v="19"/>
    <n v="0"/>
    <n v="1"/>
  </r>
  <r>
    <s v="LA-702778"/>
    <d v="2025-02-15T00:00:00"/>
    <x v="1"/>
    <s v="Q1"/>
    <x v="1"/>
    <x v="0"/>
    <x v="2"/>
    <x v="1"/>
    <x v="0"/>
    <x v="4"/>
    <n v="6250"/>
    <n v="69000"/>
    <n v="48"/>
    <n v="0.43"/>
    <s v="Approved"/>
    <x v="1"/>
    <n v="1"/>
    <n v="0"/>
    <n v="55000"/>
    <n v="7.3599999999999999E-2"/>
    <n v="1"/>
    <n v="1"/>
    <n v="1"/>
  </r>
  <r>
    <s v="LA-702779"/>
    <d v="2025-02-15T00:00:00"/>
    <x v="1"/>
    <s v="Q1"/>
    <x v="1"/>
    <x v="1"/>
    <x v="2"/>
    <x v="1"/>
    <x v="0"/>
    <x v="0"/>
    <n v="3950"/>
    <n v="4500"/>
    <n v="36"/>
    <n v="0.218"/>
    <s v="Rejected"/>
    <x v="0"/>
    <n v="0"/>
    <n v="1"/>
    <n v="0"/>
    <m/>
    <n v="3"/>
    <n v="1"/>
    <n v="1"/>
  </r>
  <r>
    <s v="LA-702780"/>
    <d v="2025-02-15T00:00:00"/>
    <x v="1"/>
    <s v="Q1"/>
    <x v="1"/>
    <x v="1"/>
    <x v="3"/>
    <x v="3"/>
    <x v="2"/>
    <x v="1"/>
    <n v="5700"/>
    <n v="6500"/>
    <n v="60"/>
    <n v="0.13100000000000001"/>
    <s v="Rejected"/>
    <x v="4"/>
    <n v="0"/>
    <n v="1"/>
    <n v="0"/>
    <m/>
    <n v="11"/>
    <n v="0"/>
    <n v="1"/>
  </r>
  <r>
    <s v="LA-702781"/>
    <d v="2025-02-15T00:00:00"/>
    <x v="1"/>
    <s v="Q1"/>
    <x v="1"/>
    <x v="1"/>
    <x v="3"/>
    <x v="2"/>
    <x v="1"/>
    <x v="1"/>
    <n v="5850"/>
    <n v="15500"/>
    <n v="24"/>
    <n v="0.33600000000000002"/>
    <s v="Withdrawn"/>
    <x v="1"/>
    <n v="0"/>
    <n v="0"/>
    <n v="0"/>
    <m/>
    <n v="3"/>
    <n v="1"/>
    <n v="1"/>
  </r>
  <r>
    <s v="LA-702782"/>
    <d v="2025-02-16T00:00:00"/>
    <x v="1"/>
    <s v="Q1"/>
    <x v="1"/>
    <x v="2"/>
    <x v="2"/>
    <x v="2"/>
    <x v="1"/>
    <x v="1"/>
    <n v="7500"/>
    <n v="112000"/>
    <n v="24"/>
    <n v="0.80200000000000005"/>
    <s v="Rejected"/>
    <x v="3"/>
    <n v="0"/>
    <n v="1"/>
    <n v="0"/>
    <m/>
    <n v="3"/>
    <n v="1"/>
    <n v="1"/>
  </r>
  <r>
    <s v="LA-702783"/>
    <d v="2025-02-16T00:00:00"/>
    <x v="1"/>
    <s v="Q1"/>
    <x v="1"/>
    <x v="3"/>
    <x v="1"/>
    <x v="1"/>
    <x v="0"/>
    <x v="1"/>
    <n v="4300"/>
    <n v="511000"/>
    <n v="300"/>
    <n v="0.83199999999999996"/>
    <s v="Rejected"/>
    <x v="3"/>
    <n v="0"/>
    <n v="1"/>
    <n v="0"/>
    <m/>
    <n v="5"/>
    <n v="1"/>
    <n v="1"/>
  </r>
  <r>
    <s v="LA-702784"/>
    <d v="2025-02-16T00:00:00"/>
    <x v="1"/>
    <s v="Q1"/>
    <x v="1"/>
    <x v="2"/>
    <x v="1"/>
    <x v="2"/>
    <x v="0"/>
    <x v="0"/>
    <n v="3850"/>
    <n v="105500"/>
    <n v="60"/>
    <n v="0.66100000000000003"/>
    <s v="Approved"/>
    <x v="1"/>
    <n v="1"/>
    <n v="0"/>
    <n v="84500"/>
    <n v="0.12379999999999999"/>
    <n v="4"/>
    <n v="1"/>
    <n v="1"/>
  </r>
  <r>
    <s v="LA-702785"/>
    <d v="2025-02-16T00:00:00"/>
    <x v="1"/>
    <s v="Q1"/>
    <x v="1"/>
    <x v="1"/>
    <x v="3"/>
    <x v="3"/>
    <x v="2"/>
    <x v="1"/>
    <n v="12650"/>
    <n v="12000"/>
    <n v="12"/>
    <n v="0.254"/>
    <s v="Approved"/>
    <x v="1"/>
    <n v="1"/>
    <n v="0"/>
    <n v="12000"/>
    <n v="0.1234"/>
    <n v="4"/>
    <n v="0"/>
    <n v="1"/>
  </r>
  <r>
    <s v="LA-702786"/>
    <d v="2025-02-16T00:00:00"/>
    <x v="1"/>
    <s v="Q1"/>
    <x v="1"/>
    <x v="1"/>
    <x v="2"/>
    <x v="2"/>
    <x v="1"/>
    <x v="4"/>
    <n v="2750"/>
    <n v="5500"/>
    <n v="12"/>
    <n v="0.27"/>
    <s v="Approved"/>
    <x v="1"/>
    <n v="1"/>
    <n v="0"/>
    <n v="5500"/>
    <n v="0.11550000000000001"/>
    <n v="2"/>
    <n v="1"/>
    <n v="1"/>
  </r>
  <r>
    <s v="LA-702787"/>
    <d v="2025-02-17T00:00:00"/>
    <x v="1"/>
    <s v="Q1"/>
    <x v="1"/>
    <x v="1"/>
    <x v="3"/>
    <x v="1"/>
    <x v="0"/>
    <x v="1"/>
    <n v="10450"/>
    <n v="13000"/>
    <n v="48"/>
    <n v="0.127"/>
    <s v="Approved"/>
    <x v="1"/>
    <n v="1"/>
    <n v="0"/>
    <n v="13000"/>
    <n v="0.1263"/>
    <n v="3"/>
    <n v="1"/>
    <n v="1"/>
  </r>
  <r>
    <s v="LA-702788"/>
    <d v="2025-02-17T00:00:00"/>
    <x v="1"/>
    <s v="Q1"/>
    <x v="1"/>
    <x v="1"/>
    <x v="2"/>
    <x v="4"/>
    <x v="1"/>
    <x v="3"/>
    <n v="5200"/>
    <n v="8000"/>
    <n v="60"/>
    <n v="0.214"/>
    <s v="Approved"/>
    <x v="1"/>
    <n v="1"/>
    <n v="0"/>
    <n v="6500"/>
    <n v="0.1057"/>
    <n v="1"/>
    <n v="1"/>
    <n v="1"/>
  </r>
  <r>
    <s v="LA-702789"/>
    <d v="2025-02-17T00:00:00"/>
    <x v="1"/>
    <s v="Q1"/>
    <x v="1"/>
    <x v="2"/>
    <x v="2"/>
    <x v="4"/>
    <x v="0"/>
    <x v="1"/>
    <n v="3400"/>
    <n v="78000"/>
    <n v="36"/>
    <n v="0.92100000000000004"/>
    <s v="Rejected"/>
    <x v="4"/>
    <n v="0"/>
    <n v="1"/>
    <n v="0"/>
    <m/>
    <n v="7"/>
    <n v="1"/>
    <n v="1"/>
  </r>
  <r>
    <s v="LA-702790"/>
    <d v="2025-02-17T00:00:00"/>
    <x v="1"/>
    <s v="Q1"/>
    <x v="1"/>
    <x v="1"/>
    <x v="3"/>
    <x v="1"/>
    <x v="0"/>
    <x v="4"/>
    <n v="4400"/>
    <n v="9500"/>
    <n v="24"/>
    <n v="0.27600000000000002"/>
    <s v="Rejected"/>
    <x v="2"/>
    <n v="0"/>
    <n v="1"/>
    <n v="0"/>
    <m/>
    <n v="4"/>
    <n v="0"/>
    <n v="1"/>
  </r>
  <r>
    <s v="LA-702791"/>
    <d v="2025-02-17T00:00:00"/>
    <x v="1"/>
    <s v="Q1"/>
    <x v="1"/>
    <x v="3"/>
    <x v="2"/>
    <x v="3"/>
    <x v="2"/>
    <x v="4"/>
    <n v="3200"/>
    <n v="323500"/>
    <n v="300"/>
    <n v="0.69799999999999995"/>
    <s v="Approved"/>
    <x v="1"/>
    <n v="1"/>
    <n v="0"/>
    <n v="259000"/>
    <n v="5.1900000000000002E-2"/>
    <n v="7"/>
    <n v="1"/>
    <n v="1"/>
  </r>
  <r>
    <s v="LA-702792"/>
    <d v="2025-02-17T00:00:00"/>
    <x v="1"/>
    <s v="Q1"/>
    <x v="1"/>
    <x v="2"/>
    <x v="3"/>
    <x v="0"/>
    <x v="0"/>
    <x v="0"/>
    <n v="4300"/>
    <n v="101500"/>
    <n v="60"/>
    <n v="0.70499999999999996"/>
    <s v="Approved"/>
    <x v="1"/>
    <n v="1"/>
    <n v="0"/>
    <n v="81000"/>
    <n v="0.12520000000000001"/>
    <n v="9"/>
    <n v="1"/>
    <n v="1"/>
  </r>
  <r>
    <s v="LA-702793"/>
    <d v="2025-02-17T00:00:00"/>
    <x v="1"/>
    <s v="Q1"/>
    <x v="1"/>
    <x v="0"/>
    <x v="1"/>
    <x v="3"/>
    <x v="0"/>
    <x v="4"/>
    <n v="5000"/>
    <n v="16000"/>
    <n v="60"/>
    <n v="0.27400000000000002"/>
    <s v="Rejected"/>
    <x v="0"/>
    <n v="0"/>
    <n v="1"/>
    <n v="0"/>
    <m/>
    <n v="2"/>
    <n v="1"/>
    <n v="1"/>
  </r>
  <r>
    <s v="LA-702794"/>
    <d v="2025-02-17T00:00:00"/>
    <x v="1"/>
    <s v="Q1"/>
    <x v="1"/>
    <x v="1"/>
    <x v="2"/>
    <x v="1"/>
    <x v="1"/>
    <x v="3"/>
    <n v="7400"/>
    <n v="11500"/>
    <n v="60"/>
    <n v="0.23"/>
    <s v="Approved"/>
    <x v="1"/>
    <n v="1"/>
    <n v="0"/>
    <n v="10500"/>
    <n v="0.1089"/>
    <n v="2"/>
    <n v="1"/>
    <n v="1"/>
  </r>
  <r>
    <s v="LA-702795"/>
    <d v="2025-02-17T00:00:00"/>
    <x v="1"/>
    <s v="Q1"/>
    <x v="1"/>
    <x v="0"/>
    <x v="3"/>
    <x v="3"/>
    <x v="1"/>
    <x v="4"/>
    <n v="5800"/>
    <n v="28000"/>
    <n v="60"/>
    <n v="0.20200000000000001"/>
    <s v="Rejected"/>
    <x v="2"/>
    <n v="0"/>
    <n v="1"/>
    <n v="0"/>
    <m/>
    <n v="5"/>
    <n v="0"/>
    <n v="1"/>
  </r>
  <r>
    <s v="LA-702796"/>
    <d v="2025-02-17T00:00:00"/>
    <x v="1"/>
    <s v="Q1"/>
    <x v="1"/>
    <x v="2"/>
    <x v="1"/>
    <x v="1"/>
    <x v="1"/>
    <x v="4"/>
    <n v="3300"/>
    <n v="120500"/>
    <n v="60"/>
    <n v="1.02"/>
    <s v="Rejected"/>
    <x v="3"/>
    <n v="0"/>
    <n v="1"/>
    <n v="0"/>
    <m/>
    <n v="7"/>
    <n v="1"/>
    <n v="1"/>
  </r>
  <r>
    <s v="LA-702797"/>
    <d v="2025-02-17T00:00:00"/>
    <x v="1"/>
    <s v="Q1"/>
    <x v="1"/>
    <x v="0"/>
    <x v="2"/>
    <x v="1"/>
    <x v="2"/>
    <x v="4"/>
    <n v="6350"/>
    <n v="23500"/>
    <n v="36"/>
    <n v="0.219"/>
    <s v="Approved"/>
    <x v="1"/>
    <n v="1"/>
    <n v="0"/>
    <n v="23500"/>
    <n v="7.6399999999999996E-2"/>
    <n v="1"/>
    <n v="1"/>
    <n v="1"/>
  </r>
  <r>
    <s v="LA-702798"/>
    <d v="2025-02-18T00:00:00"/>
    <x v="1"/>
    <s v="Q1"/>
    <x v="1"/>
    <x v="2"/>
    <x v="1"/>
    <x v="2"/>
    <x v="2"/>
    <x v="1"/>
    <n v="4200"/>
    <n v="91500"/>
    <n v="12"/>
    <n v="1.9770000000000001"/>
    <s v="Rejected"/>
    <x v="3"/>
    <n v="0"/>
    <n v="1"/>
    <n v="0"/>
    <m/>
    <n v="5"/>
    <n v="1"/>
    <n v="1"/>
  </r>
  <r>
    <s v="LA-702799"/>
    <d v="2025-02-18T00:00:00"/>
    <x v="1"/>
    <s v="Q1"/>
    <x v="1"/>
    <x v="2"/>
    <x v="2"/>
    <x v="3"/>
    <x v="1"/>
    <x v="0"/>
    <n v="7950"/>
    <n v="107500"/>
    <n v="60"/>
    <n v="0.33800000000000002"/>
    <s v="Approved"/>
    <x v="1"/>
    <n v="1"/>
    <n v="0"/>
    <n v="97000"/>
    <n v="0.121"/>
    <n v="5"/>
    <n v="1"/>
    <n v="1"/>
  </r>
  <r>
    <s v="LA-702800"/>
    <d v="2025-02-18T00:00:00"/>
    <x v="1"/>
    <s v="Q1"/>
    <x v="1"/>
    <x v="1"/>
    <x v="1"/>
    <x v="3"/>
    <x v="0"/>
    <x v="4"/>
    <n v="4200"/>
    <n v="6000"/>
    <n v="36"/>
    <n v="0.28100000000000003"/>
    <s v="Approved"/>
    <x v="1"/>
    <n v="1"/>
    <n v="0"/>
    <n v="6000"/>
    <n v="0.1143"/>
    <n v="1"/>
    <n v="1"/>
    <n v="1"/>
  </r>
  <r>
    <s v="LA-702801"/>
    <d v="2025-02-18T00:00:00"/>
    <x v="1"/>
    <s v="Q1"/>
    <x v="1"/>
    <x v="0"/>
    <x v="0"/>
    <x v="1"/>
    <x v="2"/>
    <x v="2"/>
    <n v="6900"/>
    <n v="36500"/>
    <n v="60"/>
    <n v="0.29899999999999999"/>
    <s v="Approved"/>
    <x v="1"/>
    <n v="1"/>
    <n v="0"/>
    <n v="29000"/>
    <n v="0.11360000000000001"/>
    <n v="3"/>
    <n v="1"/>
    <n v="1"/>
  </r>
  <r>
    <s v="LA-702802"/>
    <d v="2025-02-18T00:00:00"/>
    <x v="1"/>
    <s v="Q1"/>
    <x v="1"/>
    <x v="3"/>
    <x v="1"/>
    <x v="3"/>
    <x v="1"/>
    <x v="4"/>
    <n v="6250"/>
    <n v="341500"/>
    <n v="300"/>
    <n v="0.41"/>
    <s v="Approved"/>
    <x v="1"/>
    <n v="1"/>
    <n v="0"/>
    <n v="341500"/>
    <n v="4.6600000000000003E-2"/>
    <n v="5"/>
    <n v="1"/>
    <n v="1"/>
  </r>
  <r>
    <s v="LA-702803"/>
    <d v="2025-02-18T00:00:00"/>
    <x v="1"/>
    <s v="Q1"/>
    <x v="1"/>
    <x v="1"/>
    <x v="2"/>
    <x v="4"/>
    <x v="1"/>
    <x v="1"/>
    <n v="10750"/>
    <n v="11000"/>
    <n v="60"/>
    <n v="0.23200000000000001"/>
    <s v="Rejected"/>
    <x v="5"/>
    <n v="0"/>
    <n v="1"/>
    <n v="0"/>
    <m/>
    <n v="1"/>
    <n v="1"/>
    <n v="1"/>
  </r>
  <r>
    <s v="LA-702804"/>
    <d v="2025-02-18T00:00:00"/>
    <x v="1"/>
    <s v="Q1"/>
    <x v="1"/>
    <x v="1"/>
    <x v="2"/>
    <x v="3"/>
    <x v="1"/>
    <x v="3"/>
    <n v="9400"/>
    <n v="7500"/>
    <n v="24"/>
    <n v="0.161"/>
    <s v="Approved"/>
    <x v="1"/>
    <n v="1"/>
    <n v="0"/>
    <n v="7500"/>
    <n v="0.10630000000000001"/>
    <n v="3"/>
    <n v="1"/>
    <n v="1"/>
  </r>
  <r>
    <s v="LA-702805"/>
    <d v="2025-02-18T00:00:00"/>
    <x v="1"/>
    <s v="Q1"/>
    <x v="1"/>
    <x v="3"/>
    <x v="3"/>
    <x v="1"/>
    <x v="1"/>
    <x v="1"/>
    <n v="5550"/>
    <n v="316000"/>
    <n v="240"/>
    <n v="0.48799999999999999"/>
    <s v="Withdrawn"/>
    <x v="1"/>
    <n v="0"/>
    <n v="0"/>
    <n v="0"/>
    <m/>
    <n v="11"/>
    <n v="1"/>
    <n v="1"/>
  </r>
  <r>
    <s v="LA-702806"/>
    <d v="2025-02-18T00:00:00"/>
    <x v="1"/>
    <s v="Q1"/>
    <x v="1"/>
    <x v="1"/>
    <x v="2"/>
    <x v="1"/>
    <x v="0"/>
    <x v="1"/>
    <n v="5150"/>
    <n v="18000"/>
    <n v="24"/>
    <n v="0.35699999999999998"/>
    <s v="Approved"/>
    <x v="1"/>
    <n v="1"/>
    <n v="0"/>
    <n v="14500"/>
    <n v="0.12709999999999999"/>
    <n v="2"/>
    <n v="1"/>
    <n v="1"/>
  </r>
  <r>
    <s v="LA-702807"/>
    <d v="2025-02-18T00:00:00"/>
    <x v="1"/>
    <s v="Q1"/>
    <x v="1"/>
    <x v="0"/>
    <x v="2"/>
    <x v="1"/>
    <x v="0"/>
    <x v="4"/>
    <n v="5700"/>
    <n v="24000"/>
    <n v="48"/>
    <n v="0.183"/>
    <s v="Approved"/>
    <x v="1"/>
    <n v="1"/>
    <n v="0"/>
    <n v="19000"/>
    <n v="6.8500000000000005E-2"/>
    <n v="5"/>
    <n v="0"/>
    <n v="1"/>
  </r>
  <r>
    <s v="LA-702808"/>
    <d v="2025-02-19T00:00:00"/>
    <x v="1"/>
    <s v="Q1"/>
    <x v="1"/>
    <x v="1"/>
    <x v="1"/>
    <x v="1"/>
    <x v="2"/>
    <x v="1"/>
    <n v="7300"/>
    <n v="20500"/>
    <n v="24"/>
    <n v="0.34799999999999998"/>
    <s v="Approved"/>
    <x v="1"/>
    <n v="1"/>
    <n v="0"/>
    <n v="20500"/>
    <n v="0.12139999999999999"/>
    <n v="1"/>
    <n v="1"/>
    <n v="1"/>
  </r>
  <r>
    <s v="LA-702809"/>
    <d v="2025-02-19T00:00:00"/>
    <x v="1"/>
    <s v="Q1"/>
    <x v="1"/>
    <x v="2"/>
    <x v="3"/>
    <x v="1"/>
    <x v="1"/>
    <x v="1"/>
    <n v="5600"/>
    <n v="194500"/>
    <n v="36"/>
    <n v="1.274"/>
    <s v="Rejected"/>
    <x v="3"/>
    <n v="0"/>
    <n v="1"/>
    <n v="0"/>
    <m/>
    <n v="10"/>
    <n v="1"/>
    <n v="1"/>
  </r>
  <r>
    <s v="LA-702810"/>
    <d v="2025-02-19T00:00:00"/>
    <x v="1"/>
    <s v="Q1"/>
    <x v="1"/>
    <x v="2"/>
    <x v="2"/>
    <x v="0"/>
    <x v="1"/>
    <x v="1"/>
    <n v="4800"/>
    <n v="134000"/>
    <n v="60"/>
    <n v="0.83499999999999996"/>
    <s v="Rejected"/>
    <x v="3"/>
    <n v="0"/>
    <n v="1"/>
    <n v="0"/>
    <m/>
    <n v="5"/>
    <n v="1"/>
    <n v="1"/>
  </r>
  <r>
    <s v="LA-702811"/>
    <d v="2025-02-19T00:00:00"/>
    <x v="1"/>
    <s v="Q1"/>
    <x v="1"/>
    <x v="1"/>
    <x v="1"/>
    <x v="1"/>
    <x v="0"/>
    <x v="0"/>
    <n v="3350"/>
    <n v="7500"/>
    <n v="12"/>
    <n v="0.27800000000000002"/>
    <s v="Rejected"/>
    <x v="0"/>
    <n v="0"/>
    <n v="1"/>
    <n v="0"/>
    <m/>
    <n v="1"/>
    <n v="1"/>
    <n v="1"/>
  </r>
  <r>
    <s v="LA-702812"/>
    <d v="2025-02-19T00:00:00"/>
    <x v="1"/>
    <s v="Q1"/>
    <x v="1"/>
    <x v="1"/>
    <x v="3"/>
    <x v="1"/>
    <x v="0"/>
    <x v="0"/>
    <n v="6050"/>
    <n v="13500"/>
    <n v="24"/>
    <n v="0.32700000000000001"/>
    <s v="Approved"/>
    <x v="1"/>
    <n v="1"/>
    <n v="0"/>
    <n v="11000"/>
    <n v="0.1419"/>
    <n v="4"/>
    <n v="0"/>
    <n v="1"/>
  </r>
  <r>
    <s v="LA-702813"/>
    <d v="2025-02-19T00:00:00"/>
    <x v="1"/>
    <s v="Q1"/>
    <x v="1"/>
    <x v="2"/>
    <x v="0"/>
    <x v="3"/>
    <x v="2"/>
    <x v="4"/>
    <n v="6850"/>
    <n v="95500"/>
    <n v="36"/>
    <n v="0.61699999999999999"/>
    <s v="Approved"/>
    <x v="1"/>
    <n v="1"/>
    <n v="0"/>
    <n v="95500"/>
    <n v="0.10059999999999999"/>
    <n v="8"/>
    <n v="1"/>
    <n v="1"/>
  </r>
  <r>
    <s v="LA-702814"/>
    <d v="2025-02-19T00:00:00"/>
    <x v="1"/>
    <s v="Q1"/>
    <x v="1"/>
    <x v="0"/>
    <x v="2"/>
    <x v="1"/>
    <x v="0"/>
    <x v="4"/>
    <n v="6200"/>
    <n v="49000"/>
    <n v="60"/>
    <n v="0.21099999999999999"/>
    <s v="Rejected"/>
    <x v="0"/>
    <n v="0"/>
    <n v="1"/>
    <n v="0"/>
    <m/>
    <n v="2"/>
    <n v="1"/>
    <n v="1"/>
  </r>
  <r>
    <s v="LA-702815"/>
    <d v="2025-02-20T00:00:00"/>
    <x v="1"/>
    <s v="Q1"/>
    <x v="1"/>
    <x v="1"/>
    <x v="2"/>
    <x v="3"/>
    <x v="1"/>
    <x v="4"/>
    <n v="10700"/>
    <n v="13500"/>
    <n v="24"/>
    <n v="0.30599999999999999"/>
    <s v="Approved"/>
    <x v="1"/>
    <n v="1"/>
    <n v="0"/>
    <n v="13500"/>
    <n v="0.1125"/>
    <n v="2"/>
    <n v="1"/>
    <n v="1"/>
  </r>
  <r>
    <s v="LA-702816"/>
    <d v="2025-02-20T00:00:00"/>
    <x v="1"/>
    <s v="Q1"/>
    <x v="1"/>
    <x v="1"/>
    <x v="3"/>
    <x v="3"/>
    <x v="1"/>
    <x v="4"/>
    <n v="4100"/>
    <n v="8500"/>
    <n v="24"/>
    <n v="0.17399999999999999"/>
    <s v="Approved"/>
    <x v="1"/>
    <n v="1"/>
    <n v="0"/>
    <n v="7500"/>
    <n v="0.1183"/>
    <n v="4"/>
    <n v="0"/>
    <n v="1"/>
  </r>
  <r>
    <s v="LA-702817"/>
    <d v="2025-02-20T00:00:00"/>
    <x v="1"/>
    <s v="Q1"/>
    <x v="1"/>
    <x v="0"/>
    <x v="1"/>
    <x v="0"/>
    <x v="0"/>
    <x v="0"/>
    <n v="3600"/>
    <n v="39500"/>
    <n v="48"/>
    <n v="0.33100000000000002"/>
    <s v="Approved"/>
    <x v="1"/>
    <n v="1"/>
    <n v="0"/>
    <n v="39500"/>
    <n v="0.1002"/>
    <n v="2"/>
    <n v="1"/>
    <n v="1"/>
  </r>
  <r>
    <s v="LA-702818"/>
    <d v="2025-02-20T00:00:00"/>
    <x v="1"/>
    <s v="Q1"/>
    <x v="1"/>
    <x v="2"/>
    <x v="1"/>
    <x v="3"/>
    <x v="1"/>
    <x v="1"/>
    <n v="4350"/>
    <n v="114000"/>
    <n v="12"/>
    <n v="2.5379999999999998"/>
    <s v="Rejected"/>
    <x v="3"/>
    <n v="0"/>
    <n v="1"/>
    <n v="0"/>
    <m/>
    <n v="4"/>
    <n v="1"/>
    <n v="1"/>
  </r>
  <r>
    <s v="LA-702819"/>
    <d v="2025-02-20T00:00:00"/>
    <x v="1"/>
    <s v="Q1"/>
    <x v="1"/>
    <x v="3"/>
    <x v="2"/>
    <x v="4"/>
    <x v="0"/>
    <x v="1"/>
    <n v="5000"/>
    <n v="135000"/>
    <n v="240"/>
    <n v="0.35799999999999998"/>
    <s v="Approved"/>
    <x v="1"/>
    <n v="1"/>
    <n v="0"/>
    <n v="135000"/>
    <n v="6.0900000000000003E-2"/>
    <n v="6"/>
    <n v="1"/>
    <n v="1"/>
  </r>
  <r>
    <s v="LA-702820"/>
    <d v="2025-02-21T00:00:00"/>
    <x v="1"/>
    <s v="Q1"/>
    <x v="1"/>
    <x v="2"/>
    <x v="1"/>
    <x v="2"/>
    <x v="0"/>
    <x v="4"/>
    <n v="5750"/>
    <n v="103000"/>
    <n v="36"/>
    <n v="0.77800000000000002"/>
    <s v="Rejected"/>
    <x v="3"/>
    <n v="0"/>
    <n v="1"/>
    <n v="0"/>
    <m/>
    <n v="6"/>
    <n v="1"/>
    <n v="1"/>
  </r>
  <r>
    <s v="LA-702821"/>
    <d v="2025-02-21T00:00:00"/>
    <x v="1"/>
    <s v="Q1"/>
    <x v="1"/>
    <x v="1"/>
    <x v="3"/>
    <x v="3"/>
    <x v="1"/>
    <x v="4"/>
    <n v="4500"/>
    <n v="16000"/>
    <n v="12"/>
    <n v="0.36799999999999999"/>
    <s v="Approved"/>
    <x v="1"/>
    <n v="1"/>
    <n v="0"/>
    <n v="16000"/>
    <n v="0.1152"/>
    <n v="5"/>
    <n v="0"/>
    <n v="1"/>
  </r>
  <r>
    <s v="LA-702822"/>
    <d v="2025-02-21T00:00:00"/>
    <x v="1"/>
    <s v="Q1"/>
    <x v="1"/>
    <x v="2"/>
    <x v="3"/>
    <x v="3"/>
    <x v="2"/>
    <x v="0"/>
    <n v="6000"/>
    <n v="191000"/>
    <n v="60"/>
    <n v="0.86"/>
    <s v="Rejected"/>
    <x v="0"/>
    <n v="0"/>
    <n v="1"/>
    <n v="0"/>
    <m/>
    <n v="7"/>
    <n v="1"/>
    <n v="1"/>
  </r>
  <r>
    <s v="LA-702823"/>
    <d v="2025-02-21T00:00:00"/>
    <x v="1"/>
    <s v="Q1"/>
    <x v="1"/>
    <x v="3"/>
    <x v="0"/>
    <x v="2"/>
    <x v="0"/>
    <x v="1"/>
    <n v="8650"/>
    <n v="285500"/>
    <n v="180"/>
    <n v="0.39500000000000002"/>
    <s v="Rejected"/>
    <x v="4"/>
    <n v="0"/>
    <n v="1"/>
    <n v="0"/>
    <m/>
    <n v="23"/>
    <n v="0"/>
    <n v="1"/>
  </r>
  <r>
    <s v="LA-702824"/>
    <d v="2025-02-21T00:00:00"/>
    <x v="1"/>
    <s v="Q1"/>
    <x v="1"/>
    <x v="2"/>
    <x v="3"/>
    <x v="2"/>
    <x v="2"/>
    <x v="2"/>
    <n v="8950"/>
    <n v="78000"/>
    <n v="12"/>
    <n v="0.91200000000000003"/>
    <s v="Rejected"/>
    <x v="3"/>
    <n v="0"/>
    <n v="1"/>
    <n v="0"/>
    <m/>
    <n v="11"/>
    <n v="0"/>
    <n v="1"/>
  </r>
  <r>
    <s v="LA-702825"/>
    <d v="2025-02-22T00:00:00"/>
    <x v="1"/>
    <s v="Q1"/>
    <x v="1"/>
    <x v="1"/>
    <x v="2"/>
    <x v="1"/>
    <x v="0"/>
    <x v="0"/>
    <n v="4400"/>
    <n v="17000"/>
    <n v="12"/>
    <n v="0.53200000000000003"/>
    <s v="Approved"/>
    <x v="1"/>
    <n v="1"/>
    <n v="0"/>
    <n v="17000"/>
    <n v="0.1416"/>
    <n v="2"/>
    <n v="1"/>
    <n v="1"/>
  </r>
  <r>
    <s v="LA-702826"/>
    <d v="2025-02-22T00:00:00"/>
    <x v="1"/>
    <s v="Q1"/>
    <x v="1"/>
    <x v="1"/>
    <x v="2"/>
    <x v="1"/>
    <x v="1"/>
    <x v="3"/>
    <n v="2950"/>
    <n v="10500"/>
    <n v="60"/>
    <n v="0.307"/>
    <s v="Rejected"/>
    <x v="0"/>
    <n v="0"/>
    <n v="1"/>
    <n v="0"/>
    <m/>
    <n v="1"/>
    <n v="1"/>
    <n v="1"/>
  </r>
  <r>
    <s v="LA-702827"/>
    <d v="2025-02-22T00:00:00"/>
    <x v="1"/>
    <s v="Q1"/>
    <x v="1"/>
    <x v="1"/>
    <x v="3"/>
    <x v="2"/>
    <x v="2"/>
    <x v="0"/>
    <n v="5550"/>
    <n v="22000"/>
    <n v="12"/>
    <n v="0.55000000000000004"/>
    <s v="Approved"/>
    <x v="1"/>
    <n v="1"/>
    <n v="0"/>
    <n v="17500"/>
    <n v="0.1419"/>
    <n v="4"/>
    <n v="0"/>
    <n v="1"/>
  </r>
  <r>
    <s v="LA-702828"/>
    <d v="2025-02-22T00:00:00"/>
    <x v="1"/>
    <s v="Q1"/>
    <x v="1"/>
    <x v="0"/>
    <x v="1"/>
    <x v="2"/>
    <x v="0"/>
    <x v="3"/>
    <n v="6350"/>
    <n v="32500"/>
    <n v="48"/>
    <n v="0.27400000000000002"/>
    <s v="Approved"/>
    <x v="1"/>
    <n v="1"/>
    <n v="0"/>
    <n v="29000"/>
    <n v="6.6299999999999998E-2"/>
    <n v="3"/>
    <n v="1"/>
    <n v="1"/>
  </r>
  <r>
    <s v="LA-702829"/>
    <d v="2025-02-22T00:00:00"/>
    <x v="1"/>
    <s v="Q1"/>
    <x v="1"/>
    <x v="1"/>
    <x v="1"/>
    <x v="3"/>
    <x v="1"/>
    <x v="0"/>
    <n v="5900"/>
    <n v="13000"/>
    <n v="60"/>
    <n v="0.29499999999999998"/>
    <s v="Approved"/>
    <x v="1"/>
    <n v="1"/>
    <n v="0"/>
    <n v="13000"/>
    <n v="0.13950000000000001"/>
    <n v="1"/>
    <n v="1"/>
    <n v="1"/>
  </r>
  <r>
    <s v="LA-702830"/>
    <d v="2025-02-22T00:00:00"/>
    <x v="1"/>
    <s v="Q1"/>
    <x v="1"/>
    <x v="0"/>
    <x v="1"/>
    <x v="3"/>
    <x v="1"/>
    <x v="4"/>
    <n v="12700"/>
    <n v="45000"/>
    <n v="36"/>
    <n v="0.33600000000000002"/>
    <s v="Approved"/>
    <x v="1"/>
    <n v="1"/>
    <n v="0"/>
    <n v="45000"/>
    <n v="6.9500000000000006E-2"/>
    <n v="2"/>
    <n v="1"/>
    <n v="1"/>
  </r>
  <r>
    <s v="LA-702831"/>
    <d v="2025-02-23T00:00:00"/>
    <x v="1"/>
    <s v="Q1"/>
    <x v="1"/>
    <x v="1"/>
    <x v="3"/>
    <x v="1"/>
    <x v="1"/>
    <x v="1"/>
    <n v="10750"/>
    <n v="13500"/>
    <n v="12"/>
    <n v="0.29299999999999998"/>
    <s v="Approved"/>
    <x v="1"/>
    <n v="1"/>
    <n v="0"/>
    <n v="11000"/>
    <n v="0.1273"/>
    <n v="2"/>
    <n v="1"/>
    <n v="1"/>
  </r>
  <r>
    <s v="LA-702832"/>
    <d v="2025-02-23T00:00:00"/>
    <x v="1"/>
    <s v="Q1"/>
    <x v="1"/>
    <x v="0"/>
    <x v="1"/>
    <x v="2"/>
    <x v="0"/>
    <x v="4"/>
    <n v="3450"/>
    <n v="28500"/>
    <n v="60"/>
    <n v="0.33400000000000002"/>
    <s v="Approved"/>
    <x v="1"/>
    <n v="1"/>
    <n v="0"/>
    <n v="28500"/>
    <n v="6.9500000000000006E-2"/>
    <n v="1"/>
    <n v="1"/>
    <n v="1"/>
  </r>
  <r>
    <s v="LA-702833"/>
    <d v="2025-02-23T00:00:00"/>
    <x v="1"/>
    <s v="Q1"/>
    <x v="1"/>
    <x v="0"/>
    <x v="0"/>
    <x v="1"/>
    <x v="0"/>
    <x v="1"/>
    <n v="2800"/>
    <n v="19500"/>
    <n v="36"/>
    <n v="0.30199999999999999"/>
    <s v="Approved"/>
    <x v="1"/>
    <n v="1"/>
    <n v="0"/>
    <n v="15500"/>
    <n v="8.5500000000000007E-2"/>
    <n v="6"/>
    <n v="0"/>
    <n v="1"/>
  </r>
  <r>
    <s v="LA-702834"/>
    <d v="2025-02-24T00:00:00"/>
    <x v="1"/>
    <s v="Q1"/>
    <x v="1"/>
    <x v="1"/>
    <x v="1"/>
    <x v="2"/>
    <x v="0"/>
    <x v="1"/>
    <n v="3000"/>
    <n v="4500"/>
    <n v="24"/>
    <n v="0.16400000000000001"/>
    <s v="Withdrawn"/>
    <x v="1"/>
    <n v="0"/>
    <n v="0"/>
    <n v="0"/>
    <m/>
    <n v="5"/>
    <n v="0"/>
    <n v="1"/>
  </r>
  <r>
    <s v="LA-702835"/>
    <d v="2025-02-24T00:00:00"/>
    <x v="1"/>
    <s v="Q1"/>
    <x v="1"/>
    <x v="2"/>
    <x v="1"/>
    <x v="0"/>
    <x v="0"/>
    <x v="4"/>
    <n v="4850"/>
    <n v="171500"/>
    <n v="36"/>
    <n v="1.256"/>
    <s v="Rejected"/>
    <x v="3"/>
    <n v="0"/>
    <n v="1"/>
    <n v="0"/>
    <m/>
    <n v="2"/>
    <n v="1"/>
    <n v="1"/>
  </r>
  <r>
    <s v="LA-702836"/>
    <d v="2025-02-24T00:00:00"/>
    <x v="1"/>
    <s v="Q1"/>
    <x v="1"/>
    <x v="2"/>
    <x v="0"/>
    <x v="1"/>
    <x v="0"/>
    <x v="4"/>
    <n v="4450"/>
    <n v="80500"/>
    <n v="36"/>
    <n v="0.67400000000000004"/>
    <s v="Approved"/>
    <x v="1"/>
    <n v="1"/>
    <n v="0"/>
    <n v="80500"/>
    <n v="9.8299999999999998E-2"/>
    <n v="9"/>
    <n v="1"/>
    <n v="1"/>
  </r>
  <r>
    <s v="LA-702837"/>
    <d v="2025-02-24T00:00:00"/>
    <x v="1"/>
    <s v="Q1"/>
    <x v="1"/>
    <x v="1"/>
    <x v="2"/>
    <x v="0"/>
    <x v="1"/>
    <x v="1"/>
    <n v="8850"/>
    <n v="7000"/>
    <n v="12"/>
    <n v="0.27300000000000002"/>
    <s v="Approved"/>
    <x v="1"/>
    <n v="1"/>
    <n v="0"/>
    <n v="5500"/>
    <n v="0.1236"/>
    <n v="2"/>
    <n v="1"/>
    <n v="1"/>
  </r>
  <r>
    <s v="LA-702838"/>
    <d v="2025-02-24T00:00:00"/>
    <x v="1"/>
    <s v="Q1"/>
    <x v="1"/>
    <x v="1"/>
    <x v="2"/>
    <x v="3"/>
    <x v="0"/>
    <x v="3"/>
    <n v="4500"/>
    <n v="13500"/>
    <n v="36"/>
    <n v="0.27900000000000003"/>
    <s v="Approved"/>
    <x v="1"/>
    <n v="1"/>
    <n v="0"/>
    <n v="13500"/>
    <n v="0.10630000000000001"/>
    <n v="1"/>
    <n v="1"/>
    <n v="1"/>
  </r>
  <r>
    <s v="LA-702839"/>
    <d v="2025-02-24T00:00:00"/>
    <x v="1"/>
    <s v="Q1"/>
    <x v="1"/>
    <x v="2"/>
    <x v="3"/>
    <x v="1"/>
    <x v="0"/>
    <x v="0"/>
    <n v="3450"/>
    <n v="74500"/>
    <n v="60"/>
    <n v="0.61099999999999999"/>
    <s v="Rejected"/>
    <x v="0"/>
    <n v="0"/>
    <n v="1"/>
    <n v="0"/>
    <m/>
    <n v="12"/>
    <n v="0"/>
    <n v="1"/>
  </r>
  <r>
    <s v="LA-702840"/>
    <d v="2025-02-24T00:00:00"/>
    <x v="1"/>
    <s v="Q1"/>
    <x v="1"/>
    <x v="2"/>
    <x v="1"/>
    <x v="3"/>
    <x v="2"/>
    <x v="1"/>
    <n v="8450"/>
    <n v="156500"/>
    <n v="36"/>
    <n v="0.72299999999999998"/>
    <s v="Rejected"/>
    <x v="3"/>
    <n v="0"/>
    <n v="1"/>
    <n v="0"/>
    <m/>
    <n v="6"/>
    <n v="1"/>
    <n v="1"/>
  </r>
  <r>
    <s v="LA-702841"/>
    <d v="2025-02-24T00:00:00"/>
    <x v="1"/>
    <s v="Q1"/>
    <x v="1"/>
    <x v="3"/>
    <x v="1"/>
    <x v="0"/>
    <x v="0"/>
    <x v="1"/>
    <n v="6200"/>
    <n v="353500"/>
    <n v="300"/>
    <n v="0.47399999999999998"/>
    <s v="Rejected"/>
    <x v="4"/>
    <n v="0"/>
    <n v="1"/>
    <n v="0"/>
    <m/>
    <n v="13"/>
    <n v="1"/>
    <n v="1"/>
  </r>
  <r>
    <s v="LA-702842"/>
    <d v="2025-02-24T00:00:00"/>
    <x v="1"/>
    <s v="Q1"/>
    <x v="1"/>
    <x v="0"/>
    <x v="3"/>
    <x v="1"/>
    <x v="1"/>
    <x v="1"/>
    <n v="5050"/>
    <n v="22000"/>
    <n v="36"/>
    <n v="0.24399999999999999"/>
    <s v="Rejected"/>
    <x v="0"/>
    <n v="0"/>
    <n v="1"/>
    <n v="0"/>
    <m/>
    <n v="7"/>
    <n v="0"/>
    <n v="1"/>
  </r>
  <r>
    <s v="LA-702843"/>
    <d v="2025-02-24T00:00:00"/>
    <x v="1"/>
    <s v="Q1"/>
    <x v="1"/>
    <x v="2"/>
    <x v="2"/>
    <x v="1"/>
    <x v="1"/>
    <x v="0"/>
    <n v="3250"/>
    <n v="247500"/>
    <n v="12"/>
    <n v="6.7590000000000003"/>
    <s v="Withdrawn"/>
    <x v="1"/>
    <n v="0"/>
    <n v="0"/>
    <n v="0"/>
    <m/>
    <n v="8"/>
    <n v="1"/>
    <n v="1"/>
  </r>
  <r>
    <s v="LA-702844"/>
    <d v="2025-02-24T00:00:00"/>
    <x v="1"/>
    <s v="Q1"/>
    <x v="1"/>
    <x v="1"/>
    <x v="1"/>
    <x v="3"/>
    <x v="1"/>
    <x v="4"/>
    <n v="7750"/>
    <n v="15500"/>
    <n v="36"/>
    <n v="0.19900000000000001"/>
    <s v="Approved"/>
    <x v="1"/>
    <n v="1"/>
    <n v="0"/>
    <n v="15500"/>
    <n v="0.1181"/>
    <n v="1"/>
    <n v="1"/>
    <n v="1"/>
  </r>
  <r>
    <s v="LA-702845"/>
    <d v="2025-02-24T00:00:00"/>
    <x v="1"/>
    <s v="Q1"/>
    <x v="1"/>
    <x v="3"/>
    <x v="1"/>
    <x v="1"/>
    <x v="2"/>
    <x v="4"/>
    <n v="6050"/>
    <n v="158000"/>
    <n v="180"/>
    <n v="0.39500000000000002"/>
    <s v="Rejected"/>
    <x v="2"/>
    <n v="0"/>
    <n v="1"/>
    <n v="0"/>
    <m/>
    <n v="6"/>
    <n v="1"/>
    <n v="1"/>
  </r>
  <r>
    <s v="LA-702846"/>
    <d v="2025-02-24T00:00:00"/>
    <x v="1"/>
    <s v="Q1"/>
    <x v="1"/>
    <x v="2"/>
    <x v="1"/>
    <x v="3"/>
    <x v="2"/>
    <x v="0"/>
    <n v="7350"/>
    <n v="82000"/>
    <n v="60"/>
    <n v="0.38500000000000001"/>
    <s v="Approved"/>
    <x v="1"/>
    <n v="1"/>
    <n v="0"/>
    <n v="74000"/>
    <n v="0.12740000000000001"/>
    <n v="5"/>
    <n v="1"/>
    <n v="1"/>
  </r>
  <r>
    <s v="LA-702847"/>
    <d v="2025-02-25T00:00:00"/>
    <x v="1"/>
    <s v="Q1"/>
    <x v="1"/>
    <x v="2"/>
    <x v="1"/>
    <x v="1"/>
    <x v="0"/>
    <x v="4"/>
    <n v="6550"/>
    <n v="75500"/>
    <n v="12"/>
    <n v="1.242"/>
    <s v="Rejected"/>
    <x v="4"/>
    <n v="0"/>
    <n v="1"/>
    <n v="0"/>
    <m/>
    <n v="9"/>
    <n v="1"/>
    <n v="1"/>
  </r>
  <r>
    <s v="LA-702848"/>
    <d v="2025-02-25T00:00:00"/>
    <x v="1"/>
    <s v="Q1"/>
    <x v="1"/>
    <x v="1"/>
    <x v="0"/>
    <x v="1"/>
    <x v="0"/>
    <x v="4"/>
    <n v="3950"/>
    <n v="13500"/>
    <n v="36"/>
    <n v="0.2"/>
    <s v="Approved"/>
    <x v="1"/>
    <n v="1"/>
    <n v="0"/>
    <n v="13500"/>
    <n v="0.1174"/>
    <n v="3"/>
    <n v="1"/>
    <n v="1"/>
  </r>
  <r>
    <s v="LA-702849"/>
    <d v="2025-02-25T00:00:00"/>
    <x v="1"/>
    <s v="Q1"/>
    <x v="1"/>
    <x v="2"/>
    <x v="1"/>
    <x v="3"/>
    <x v="1"/>
    <x v="3"/>
    <n v="3900"/>
    <n v="109500"/>
    <n v="36"/>
    <n v="1.0589999999999999"/>
    <s v="Approved"/>
    <x v="1"/>
    <n v="1"/>
    <n v="0"/>
    <n v="109500"/>
    <n v="8.8700000000000001E-2"/>
    <n v="4"/>
    <n v="1"/>
    <n v="1"/>
  </r>
  <r>
    <s v="LA-702850"/>
    <d v="2025-02-25T00:00:00"/>
    <x v="1"/>
    <s v="Q1"/>
    <x v="1"/>
    <x v="1"/>
    <x v="1"/>
    <x v="4"/>
    <x v="0"/>
    <x v="2"/>
    <n v="3750"/>
    <n v="11500"/>
    <n v="60"/>
    <n v="0.16200000000000001"/>
    <s v="Rejected"/>
    <x v="0"/>
    <n v="0"/>
    <n v="1"/>
    <n v="0"/>
    <m/>
    <n v="1"/>
    <n v="1"/>
    <n v="1"/>
  </r>
  <r>
    <s v="LA-702851"/>
    <d v="2025-02-25T00:00:00"/>
    <x v="1"/>
    <s v="Q1"/>
    <x v="1"/>
    <x v="2"/>
    <x v="3"/>
    <x v="2"/>
    <x v="0"/>
    <x v="0"/>
    <n v="9050"/>
    <n v="101000"/>
    <n v="36"/>
    <n v="0.45100000000000001"/>
    <s v="Rejected"/>
    <x v="4"/>
    <n v="0"/>
    <n v="1"/>
    <n v="0"/>
    <m/>
    <n v="19"/>
    <n v="0"/>
    <n v="1"/>
  </r>
  <r>
    <s v="LA-702852"/>
    <d v="2025-02-25T00:00:00"/>
    <x v="1"/>
    <s v="Q1"/>
    <x v="1"/>
    <x v="1"/>
    <x v="0"/>
    <x v="3"/>
    <x v="2"/>
    <x v="4"/>
    <n v="3700"/>
    <n v="11500"/>
    <n v="48"/>
    <n v="0.32300000000000001"/>
    <s v="Approved"/>
    <x v="1"/>
    <n v="1"/>
    <n v="0"/>
    <n v="9000"/>
    <n v="0.1163"/>
    <n v="2"/>
    <n v="1"/>
    <n v="1"/>
  </r>
  <r>
    <s v="LA-702853"/>
    <d v="2025-02-25T00:00:00"/>
    <x v="1"/>
    <s v="Q1"/>
    <x v="1"/>
    <x v="0"/>
    <x v="2"/>
    <x v="2"/>
    <x v="0"/>
    <x v="1"/>
    <n v="7200"/>
    <n v="64500"/>
    <n v="60"/>
    <n v="0.29199999999999998"/>
    <s v="Approved"/>
    <x v="1"/>
    <n v="1"/>
    <n v="0"/>
    <n v="64500"/>
    <n v="7.6300000000000007E-2"/>
    <n v="3"/>
    <n v="1"/>
    <n v="1"/>
  </r>
  <r>
    <s v="LA-702854"/>
    <d v="2025-02-25T00:00:00"/>
    <x v="1"/>
    <s v="Q1"/>
    <x v="1"/>
    <x v="0"/>
    <x v="3"/>
    <x v="1"/>
    <x v="1"/>
    <x v="2"/>
    <n v="5500"/>
    <n v="80500"/>
    <n v="36"/>
    <n v="0.66100000000000003"/>
    <s v="Rejected"/>
    <x v="0"/>
    <n v="0"/>
    <n v="1"/>
    <n v="0"/>
    <m/>
    <n v="10"/>
    <n v="0"/>
    <n v="1"/>
  </r>
  <r>
    <s v="LA-702855"/>
    <d v="2025-02-26T00:00:00"/>
    <x v="1"/>
    <s v="Q1"/>
    <x v="1"/>
    <x v="2"/>
    <x v="2"/>
    <x v="1"/>
    <x v="1"/>
    <x v="1"/>
    <n v="5700"/>
    <n v="44000"/>
    <n v="24"/>
    <n v="0.52200000000000002"/>
    <s v="Rejected"/>
    <x v="3"/>
    <n v="0"/>
    <n v="1"/>
    <n v="0"/>
    <m/>
    <n v="4"/>
    <n v="1"/>
    <n v="1"/>
  </r>
  <r>
    <s v="LA-702856"/>
    <d v="2025-02-26T00:00:00"/>
    <x v="1"/>
    <s v="Q1"/>
    <x v="1"/>
    <x v="1"/>
    <x v="1"/>
    <x v="4"/>
    <x v="0"/>
    <x v="4"/>
    <n v="13250"/>
    <n v="20500"/>
    <n v="12"/>
    <n v="0.312"/>
    <s v="Rejected"/>
    <x v="4"/>
    <n v="0"/>
    <n v="1"/>
    <n v="0"/>
    <m/>
    <n v="6"/>
    <n v="0"/>
    <n v="1"/>
  </r>
  <r>
    <s v="LA-702857"/>
    <d v="2025-02-26T00:00:00"/>
    <x v="1"/>
    <s v="Q1"/>
    <x v="1"/>
    <x v="2"/>
    <x v="2"/>
    <x v="3"/>
    <x v="1"/>
    <x v="0"/>
    <n v="3050"/>
    <n v="93500"/>
    <n v="24"/>
    <n v="1.5"/>
    <s v="Rejected"/>
    <x v="3"/>
    <n v="0"/>
    <n v="1"/>
    <n v="0"/>
    <m/>
    <n v="5"/>
    <n v="1"/>
    <n v="1"/>
  </r>
  <r>
    <s v="LA-702858"/>
    <d v="2025-02-26T00:00:00"/>
    <x v="1"/>
    <s v="Q1"/>
    <x v="1"/>
    <x v="1"/>
    <x v="1"/>
    <x v="3"/>
    <x v="0"/>
    <x v="2"/>
    <n v="7200"/>
    <n v="21000"/>
    <n v="24"/>
    <n v="0.30599999999999999"/>
    <s v="Withdrawn"/>
    <x v="1"/>
    <n v="0"/>
    <n v="0"/>
    <n v="0"/>
    <m/>
    <n v="2"/>
    <n v="1"/>
    <n v="1"/>
  </r>
  <r>
    <s v="LA-702859"/>
    <d v="2025-02-26T00:00:00"/>
    <x v="1"/>
    <s v="Q1"/>
    <x v="1"/>
    <x v="1"/>
    <x v="1"/>
    <x v="1"/>
    <x v="0"/>
    <x v="1"/>
    <n v="3900"/>
    <n v="12000"/>
    <n v="12"/>
    <n v="0.52100000000000002"/>
    <s v="Rejected"/>
    <x v="3"/>
    <n v="0"/>
    <n v="1"/>
    <n v="0"/>
    <m/>
    <n v="1"/>
    <n v="1"/>
    <n v="1"/>
  </r>
  <r>
    <s v="LA-702860"/>
    <d v="2025-02-27T00:00:00"/>
    <x v="1"/>
    <s v="Q1"/>
    <x v="1"/>
    <x v="3"/>
    <x v="3"/>
    <x v="3"/>
    <x v="0"/>
    <x v="1"/>
    <n v="7500"/>
    <n v="357000"/>
    <n v="240"/>
    <n v="0.39700000000000002"/>
    <s v="Approved"/>
    <x v="1"/>
    <n v="1"/>
    <n v="0"/>
    <n v="357000"/>
    <n v="5.6899999999999999E-2"/>
    <n v="17"/>
    <n v="0"/>
    <n v="1"/>
  </r>
  <r>
    <s v="LA-702861"/>
    <d v="2025-02-27T00:00:00"/>
    <x v="1"/>
    <s v="Q1"/>
    <x v="1"/>
    <x v="1"/>
    <x v="3"/>
    <x v="3"/>
    <x v="0"/>
    <x v="0"/>
    <n v="7300"/>
    <n v="11000"/>
    <n v="36"/>
    <n v="0.157"/>
    <s v="Approved"/>
    <x v="1"/>
    <n v="1"/>
    <n v="0"/>
    <n v="11000"/>
    <n v="0.13880000000000001"/>
    <n v="7"/>
    <n v="0"/>
    <n v="1"/>
  </r>
  <r>
    <s v="LA-702862"/>
    <d v="2025-02-27T00:00:00"/>
    <x v="1"/>
    <s v="Q1"/>
    <x v="1"/>
    <x v="0"/>
    <x v="2"/>
    <x v="2"/>
    <x v="2"/>
    <x v="1"/>
    <n v="6200"/>
    <n v="33500"/>
    <n v="60"/>
    <n v="0.28999999999999998"/>
    <s v="Approved"/>
    <x v="1"/>
    <n v="1"/>
    <n v="0"/>
    <n v="27000"/>
    <n v="8.7499999999999994E-2"/>
    <n v="2"/>
    <n v="1"/>
    <n v="1"/>
  </r>
  <r>
    <s v="LA-702863"/>
    <d v="2025-02-27T00:00:00"/>
    <x v="1"/>
    <s v="Q1"/>
    <x v="1"/>
    <x v="1"/>
    <x v="1"/>
    <x v="1"/>
    <x v="0"/>
    <x v="4"/>
    <n v="4700"/>
    <n v="10500"/>
    <n v="12"/>
    <n v="0.26700000000000002"/>
    <s v="Approved"/>
    <x v="1"/>
    <n v="1"/>
    <n v="0"/>
    <n v="10500"/>
    <n v="0.1148"/>
    <n v="3"/>
    <n v="1"/>
    <n v="1"/>
  </r>
  <r>
    <s v="LA-702864"/>
    <d v="2025-02-27T00:00:00"/>
    <x v="1"/>
    <s v="Q1"/>
    <x v="1"/>
    <x v="1"/>
    <x v="1"/>
    <x v="3"/>
    <x v="0"/>
    <x v="4"/>
    <n v="5100"/>
    <n v="7000"/>
    <n v="12"/>
    <n v="0.28100000000000003"/>
    <s v="Approved"/>
    <x v="1"/>
    <n v="1"/>
    <n v="0"/>
    <n v="6500"/>
    <n v="0.11119999999999999"/>
    <n v="2"/>
    <n v="1"/>
    <n v="1"/>
  </r>
  <r>
    <s v="LA-702865"/>
    <d v="2025-02-27T00:00:00"/>
    <x v="1"/>
    <s v="Q1"/>
    <x v="1"/>
    <x v="1"/>
    <x v="2"/>
    <x v="3"/>
    <x v="2"/>
    <x v="4"/>
    <n v="8750"/>
    <n v="7500"/>
    <n v="12"/>
    <n v="0.27500000000000002"/>
    <s v="Approved"/>
    <x v="1"/>
    <n v="1"/>
    <n v="0"/>
    <n v="7500"/>
    <n v="0.1202"/>
    <n v="1"/>
    <n v="1"/>
    <n v="1"/>
  </r>
  <r>
    <s v="LA-702866"/>
    <d v="2025-02-28T00:00:00"/>
    <x v="1"/>
    <s v="Q1"/>
    <x v="1"/>
    <x v="1"/>
    <x v="2"/>
    <x v="2"/>
    <x v="2"/>
    <x v="4"/>
    <n v="9150"/>
    <n v="5000"/>
    <n v="12"/>
    <n v="0.21099999999999999"/>
    <s v="Approved"/>
    <x v="1"/>
    <n v="1"/>
    <n v="0"/>
    <n v="4500"/>
    <n v="0.1158"/>
    <n v="3"/>
    <n v="1"/>
    <n v="1"/>
  </r>
  <r>
    <s v="LA-702867"/>
    <d v="2025-02-28T00:00:00"/>
    <x v="1"/>
    <s v="Q1"/>
    <x v="1"/>
    <x v="1"/>
    <x v="2"/>
    <x v="0"/>
    <x v="2"/>
    <x v="0"/>
    <n v="7700"/>
    <n v="7500"/>
    <n v="24"/>
    <n v="0.14199999999999999"/>
    <s v="Approved"/>
    <x v="1"/>
    <n v="1"/>
    <n v="0"/>
    <n v="6000"/>
    <n v="0.1424"/>
    <n v="3"/>
    <n v="1"/>
    <n v="1"/>
  </r>
  <r>
    <s v="LA-702868"/>
    <d v="2025-02-28T00:00:00"/>
    <x v="1"/>
    <s v="Q1"/>
    <x v="1"/>
    <x v="1"/>
    <x v="2"/>
    <x v="3"/>
    <x v="0"/>
    <x v="4"/>
    <n v="5050"/>
    <n v="15500"/>
    <n v="36"/>
    <n v="0.246"/>
    <s v="Approved"/>
    <x v="1"/>
    <n v="1"/>
    <n v="0"/>
    <n v="14000"/>
    <n v="0.1171"/>
    <n v="1"/>
    <n v="1"/>
    <n v="1"/>
  </r>
  <r>
    <s v="LA-702869"/>
    <d v="2025-02-28T00:00:00"/>
    <x v="1"/>
    <s v="Q1"/>
    <x v="1"/>
    <x v="0"/>
    <x v="3"/>
    <x v="2"/>
    <x v="0"/>
    <x v="1"/>
    <n v="7950"/>
    <n v="22000"/>
    <n v="48"/>
    <n v="0.28399999999999997"/>
    <s v="Approved"/>
    <x v="1"/>
    <n v="1"/>
    <n v="0"/>
    <n v="22000"/>
    <n v="8.2400000000000001E-2"/>
    <n v="4"/>
    <n v="1"/>
    <n v="1"/>
  </r>
  <r>
    <s v="LA-702870"/>
    <d v="2025-02-28T00:00:00"/>
    <x v="1"/>
    <s v="Q1"/>
    <x v="1"/>
    <x v="3"/>
    <x v="1"/>
    <x v="1"/>
    <x v="0"/>
    <x v="0"/>
    <n v="11150"/>
    <n v="435000"/>
    <n v="240"/>
    <n v="0.40699999999999997"/>
    <s v="Approved"/>
    <x v="1"/>
    <n v="1"/>
    <n v="0"/>
    <n v="435000"/>
    <n v="7.0999999999999994E-2"/>
    <n v="8"/>
    <n v="1"/>
    <n v="1"/>
  </r>
  <r>
    <s v="LA-702871"/>
    <d v="2025-02-28T00:00:00"/>
    <x v="1"/>
    <s v="Q1"/>
    <x v="1"/>
    <x v="0"/>
    <x v="2"/>
    <x v="2"/>
    <x v="1"/>
    <x v="4"/>
    <n v="4500"/>
    <n v="5500"/>
    <n v="48"/>
    <n v="0.218"/>
    <s v="Approved"/>
    <x v="1"/>
    <n v="1"/>
    <n v="0"/>
    <n v="5500"/>
    <n v="7.0800000000000002E-2"/>
    <n v="3"/>
    <n v="1"/>
    <n v="1"/>
  </r>
  <r>
    <s v="LA-702872"/>
    <d v="2025-02-28T00:00:00"/>
    <x v="1"/>
    <s v="Q1"/>
    <x v="1"/>
    <x v="3"/>
    <x v="3"/>
    <x v="2"/>
    <x v="0"/>
    <x v="0"/>
    <n v="5350"/>
    <n v="198500"/>
    <n v="300"/>
    <n v="0.34799999999999998"/>
    <s v="Approved"/>
    <x v="1"/>
    <n v="1"/>
    <n v="0"/>
    <n v="198500"/>
    <n v="7.2400000000000006E-2"/>
    <n v="14"/>
    <n v="1"/>
    <n v="1"/>
  </r>
  <r>
    <s v="LA-702873"/>
    <d v="2025-03-01T00:00:00"/>
    <x v="1"/>
    <s v="Q1"/>
    <x v="2"/>
    <x v="3"/>
    <x v="3"/>
    <x v="2"/>
    <x v="0"/>
    <x v="4"/>
    <n v="4500"/>
    <n v="437500"/>
    <n v="300"/>
    <n v="0.62"/>
    <s v="Approved"/>
    <x v="1"/>
    <n v="1"/>
    <n v="0"/>
    <n v="437500"/>
    <n v="5.0599999999999999E-2"/>
    <n v="22"/>
    <n v="0"/>
    <n v="1"/>
  </r>
  <r>
    <s v="LA-702874"/>
    <d v="2025-03-01T00:00:00"/>
    <x v="1"/>
    <s v="Q1"/>
    <x v="2"/>
    <x v="0"/>
    <x v="2"/>
    <x v="4"/>
    <x v="1"/>
    <x v="1"/>
    <n v="9650"/>
    <n v="29000"/>
    <n v="36"/>
    <n v="0.33100000000000002"/>
    <s v="Approved"/>
    <x v="1"/>
    <n v="1"/>
    <n v="0"/>
    <n v="29000"/>
    <n v="7.7600000000000002E-2"/>
    <n v="3"/>
    <n v="1"/>
    <n v="1"/>
  </r>
  <r>
    <s v="LA-702875"/>
    <d v="2025-03-01T00:00:00"/>
    <x v="1"/>
    <s v="Q1"/>
    <x v="2"/>
    <x v="2"/>
    <x v="3"/>
    <x v="0"/>
    <x v="1"/>
    <x v="0"/>
    <n v="8900"/>
    <n v="103000"/>
    <n v="60"/>
    <n v="0.39500000000000002"/>
    <s v="Withdrawn"/>
    <x v="1"/>
    <n v="0"/>
    <n v="0"/>
    <n v="0"/>
    <m/>
    <n v="12"/>
    <n v="0"/>
    <n v="1"/>
  </r>
  <r>
    <s v="LA-702876"/>
    <d v="2025-03-01T00:00:00"/>
    <x v="1"/>
    <s v="Q1"/>
    <x v="2"/>
    <x v="0"/>
    <x v="0"/>
    <x v="2"/>
    <x v="0"/>
    <x v="1"/>
    <n v="3650"/>
    <n v="27000"/>
    <n v="36"/>
    <n v="0.33100000000000002"/>
    <s v="Approved"/>
    <x v="1"/>
    <n v="1"/>
    <n v="0"/>
    <n v="27000"/>
    <n v="8.6699999999999999E-2"/>
    <n v="7"/>
    <n v="0"/>
    <n v="1"/>
  </r>
  <r>
    <s v="LA-702877"/>
    <d v="2025-03-01T00:00:00"/>
    <x v="1"/>
    <s v="Q1"/>
    <x v="2"/>
    <x v="0"/>
    <x v="2"/>
    <x v="3"/>
    <x v="0"/>
    <x v="1"/>
    <n v="7150"/>
    <n v="20000"/>
    <n v="36"/>
    <n v="0.2"/>
    <s v="Approved"/>
    <x v="1"/>
    <n v="1"/>
    <n v="0"/>
    <n v="20000"/>
    <n v="8.3599999999999994E-2"/>
    <n v="2"/>
    <n v="1"/>
    <n v="1"/>
  </r>
  <r>
    <s v="LA-702878"/>
    <d v="2025-03-01T00:00:00"/>
    <x v="1"/>
    <s v="Q1"/>
    <x v="2"/>
    <x v="1"/>
    <x v="3"/>
    <x v="4"/>
    <x v="2"/>
    <x v="3"/>
    <n v="7400"/>
    <n v="12500"/>
    <n v="60"/>
    <n v="9.9000000000000005E-2"/>
    <s v="Approved"/>
    <x v="1"/>
    <n v="1"/>
    <n v="0"/>
    <n v="10000"/>
    <n v="0.10390000000000001"/>
    <n v="7"/>
    <n v="0"/>
    <n v="1"/>
  </r>
  <r>
    <s v="LA-702879"/>
    <d v="2025-03-01T00:00:00"/>
    <x v="1"/>
    <s v="Q1"/>
    <x v="2"/>
    <x v="1"/>
    <x v="0"/>
    <x v="2"/>
    <x v="0"/>
    <x v="0"/>
    <n v="4550"/>
    <n v="17000"/>
    <n v="48"/>
    <n v="0.18099999999999999"/>
    <s v="Rejected"/>
    <x v="4"/>
    <n v="0"/>
    <n v="1"/>
    <n v="0"/>
    <m/>
    <n v="7"/>
    <n v="0"/>
    <n v="1"/>
  </r>
  <r>
    <s v="LA-702880"/>
    <d v="2025-03-02T00:00:00"/>
    <x v="1"/>
    <s v="Q1"/>
    <x v="2"/>
    <x v="0"/>
    <x v="0"/>
    <x v="1"/>
    <x v="0"/>
    <x v="0"/>
    <n v="5250"/>
    <n v="31500"/>
    <n v="36"/>
    <n v="0.28699999999999998"/>
    <s v="Approved"/>
    <x v="1"/>
    <n v="1"/>
    <n v="0"/>
    <n v="28500"/>
    <n v="0.10249999999999999"/>
    <n v="3"/>
    <n v="1"/>
    <n v="1"/>
  </r>
  <r>
    <s v="LA-702881"/>
    <d v="2025-03-02T00:00:00"/>
    <x v="1"/>
    <s v="Q1"/>
    <x v="2"/>
    <x v="1"/>
    <x v="2"/>
    <x v="4"/>
    <x v="0"/>
    <x v="2"/>
    <n v="3550"/>
    <n v="17500"/>
    <n v="12"/>
    <n v="0.66600000000000004"/>
    <s v="Rejected"/>
    <x v="0"/>
    <n v="0"/>
    <n v="1"/>
    <n v="0"/>
    <m/>
    <n v="2"/>
    <n v="1"/>
    <n v="1"/>
  </r>
  <r>
    <s v="LA-702882"/>
    <d v="2025-03-02T00:00:00"/>
    <x v="1"/>
    <s v="Q1"/>
    <x v="2"/>
    <x v="1"/>
    <x v="3"/>
    <x v="2"/>
    <x v="0"/>
    <x v="4"/>
    <n v="2750"/>
    <n v="4000"/>
    <n v="48"/>
    <n v="0.17"/>
    <s v="Approved"/>
    <x v="1"/>
    <n v="1"/>
    <n v="0"/>
    <n v="4000"/>
    <n v="0.1119"/>
    <n v="4"/>
    <n v="0"/>
    <n v="1"/>
  </r>
  <r>
    <s v="LA-702883"/>
    <d v="2025-03-02T00:00:00"/>
    <x v="1"/>
    <s v="Q1"/>
    <x v="2"/>
    <x v="2"/>
    <x v="0"/>
    <x v="1"/>
    <x v="1"/>
    <x v="4"/>
    <n v="9950"/>
    <n v="124500"/>
    <n v="60"/>
    <n v="0.504"/>
    <s v="Rejected"/>
    <x v="4"/>
    <n v="0"/>
    <n v="1"/>
    <n v="0"/>
    <m/>
    <n v="16"/>
    <n v="0"/>
    <n v="1"/>
  </r>
  <r>
    <s v="LA-702884"/>
    <d v="2025-03-02T00:00:00"/>
    <x v="1"/>
    <s v="Q1"/>
    <x v="2"/>
    <x v="2"/>
    <x v="1"/>
    <x v="3"/>
    <x v="0"/>
    <x v="4"/>
    <n v="4700"/>
    <n v="123500"/>
    <n v="24"/>
    <n v="1.3069999999999999"/>
    <s v="Rejected"/>
    <x v="3"/>
    <n v="0"/>
    <n v="1"/>
    <n v="0"/>
    <m/>
    <n v="3"/>
    <n v="1"/>
    <n v="1"/>
  </r>
  <r>
    <s v="LA-702885"/>
    <d v="2025-03-02T00:00:00"/>
    <x v="1"/>
    <s v="Q1"/>
    <x v="2"/>
    <x v="3"/>
    <x v="1"/>
    <x v="2"/>
    <x v="1"/>
    <x v="0"/>
    <n v="4800"/>
    <n v="222000"/>
    <n v="300"/>
    <n v="0.4"/>
    <s v="Approved"/>
    <x v="1"/>
    <n v="1"/>
    <n v="0"/>
    <n v="200000"/>
    <n v="7.5700000000000003E-2"/>
    <n v="4"/>
    <n v="1"/>
    <n v="1"/>
  </r>
  <r>
    <s v="LA-702886"/>
    <d v="2025-03-02T00:00:00"/>
    <x v="1"/>
    <s v="Q1"/>
    <x v="2"/>
    <x v="2"/>
    <x v="3"/>
    <x v="2"/>
    <x v="2"/>
    <x v="2"/>
    <n v="4700"/>
    <n v="57500"/>
    <n v="60"/>
    <n v="0.42599999999999999"/>
    <s v="Approved"/>
    <x v="1"/>
    <n v="1"/>
    <n v="0"/>
    <n v="57500"/>
    <n v="0.13689999999999999"/>
    <n v="11"/>
    <n v="0"/>
    <n v="1"/>
  </r>
  <r>
    <s v="LA-702887"/>
    <d v="2025-03-02T00:00:00"/>
    <x v="1"/>
    <s v="Q1"/>
    <x v="2"/>
    <x v="1"/>
    <x v="1"/>
    <x v="3"/>
    <x v="1"/>
    <x v="1"/>
    <n v="3650"/>
    <n v="10500"/>
    <n v="60"/>
    <n v="0.26700000000000002"/>
    <s v="Rejected"/>
    <x v="0"/>
    <n v="0"/>
    <n v="1"/>
    <n v="0"/>
    <m/>
    <n v="2"/>
    <n v="1"/>
    <n v="1"/>
  </r>
  <r>
    <s v="LA-702888"/>
    <d v="2025-03-02T00:00:00"/>
    <x v="1"/>
    <s v="Q1"/>
    <x v="2"/>
    <x v="2"/>
    <x v="1"/>
    <x v="3"/>
    <x v="1"/>
    <x v="4"/>
    <n v="4150"/>
    <n v="101500"/>
    <n v="24"/>
    <n v="1.347"/>
    <s v="Rejected"/>
    <x v="3"/>
    <n v="0"/>
    <n v="1"/>
    <n v="0"/>
    <m/>
    <n v="5"/>
    <n v="1"/>
    <n v="1"/>
  </r>
  <r>
    <s v="LA-702889"/>
    <d v="2025-03-02T00:00:00"/>
    <x v="1"/>
    <s v="Q1"/>
    <x v="2"/>
    <x v="1"/>
    <x v="1"/>
    <x v="3"/>
    <x v="1"/>
    <x v="4"/>
    <n v="3950"/>
    <n v="6000"/>
    <n v="24"/>
    <n v="0.161"/>
    <s v="Approved"/>
    <x v="1"/>
    <n v="1"/>
    <n v="0"/>
    <n v="5500"/>
    <n v="0.1118"/>
    <n v="2"/>
    <n v="1"/>
    <n v="1"/>
  </r>
  <r>
    <s v="LA-702890"/>
    <d v="2025-03-02T00:00:00"/>
    <x v="1"/>
    <s v="Q1"/>
    <x v="2"/>
    <x v="1"/>
    <x v="0"/>
    <x v="2"/>
    <x v="0"/>
    <x v="1"/>
    <n v="7350"/>
    <n v="7000"/>
    <n v="60"/>
    <n v="0.17199999999999999"/>
    <s v="Approved"/>
    <x v="1"/>
    <n v="1"/>
    <n v="0"/>
    <n v="6500"/>
    <n v="0.122"/>
    <n v="5"/>
    <n v="0"/>
    <n v="1"/>
  </r>
  <r>
    <s v="LA-702891"/>
    <d v="2025-03-03T00:00:00"/>
    <x v="1"/>
    <s v="Q1"/>
    <x v="2"/>
    <x v="0"/>
    <x v="0"/>
    <x v="3"/>
    <x v="2"/>
    <x v="2"/>
    <n v="3350"/>
    <n v="43500"/>
    <n v="48"/>
    <n v="0.52300000000000002"/>
    <s v="Rejected"/>
    <x v="3"/>
    <n v="0"/>
    <n v="1"/>
    <n v="0"/>
    <m/>
    <n v="7"/>
    <n v="0"/>
    <n v="1"/>
  </r>
  <r>
    <s v="LA-702892"/>
    <d v="2025-03-03T00:00:00"/>
    <x v="1"/>
    <s v="Q1"/>
    <x v="2"/>
    <x v="1"/>
    <x v="1"/>
    <x v="2"/>
    <x v="0"/>
    <x v="2"/>
    <n v="7650"/>
    <n v="4500"/>
    <n v="12"/>
    <n v="0.13"/>
    <s v="Rejected"/>
    <x v="2"/>
    <n v="0"/>
    <n v="1"/>
    <n v="0"/>
    <m/>
    <n v="2"/>
    <n v="1"/>
    <n v="1"/>
  </r>
  <r>
    <s v="LA-702893"/>
    <d v="2025-03-03T00:00:00"/>
    <x v="1"/>
    <s v="Q1"/>
    <x v="2"/>
    <x v="0"/>
    <x v="3"/>
    <x v="3"/>
    <x v="0"/>
    <x v="1"/>
    <n v="5000"/>
    <n v="21500"/>
    <n v="36"/>
    <n v="0.185"/>
    <s v="Approved"/>
    <x v="1"/>
    <n v="1"/>
    <n v="0"/>
    <n v="19500"/>
    <n v="7.8899999999999998E-2"/>
    <n v="3"/>
    <n v="1"/>
    <n v="1"/>
  </r>
  <r>
    <s v="LA-702894"/>
    <d v="2025-03-03T00:00:00"/>
    <x v="1"/>
    <s v="Q1"/>
    <x v="2"/>
    <x v="2"/>
    <x v="2"/>
    <x v="2"/>
    <x v="0"/>
    <x v="1"/>
    <n v="6900"/>
    <n v="108000"/>
    <n v="24"/>
    <n v="0.83699999999999997"/>
    <s v="Approved"/>
    <x v="1"/>
    <n v="1"/>
    <n v="0"/>
    <n v="108000"/>
    <n v="0.10539999999999999"/>
    <n v="5"/>
    <n v="1"/>
    <n v="1"/>
  </r>
  <r>
    <s v="LA-702895"/>
    <d v="2025-03-03T00:00:00"/>
    <x v="1"/>
    <s v="Q1"/>
    <x v="2"/>
    <x v="1"/>
    <x v="3"/>
    <x v="1"/>
    <x v="0"/>
    <x v="0"/>
    <n v="4750"/>
    <n v="10000"/>
    <n v="24"/>
    <n v="0.191"/>
    <s v="Approved"/>
    <x v="1"/>
    <n v="1"/>
    <n v="0"/>
    <n v="8000"/>
    <n v="0.14480000000000001"/>
    <n v="5"/>
    <n v="0"/>
    <n v="1"/>
  </r>
  <r>
    <s v="LA-702896"/>
    <d v="2025-03-03T00:00:00"/>
    <x v="1"/>
    <s v="Q1"/>
    <x v="2"/>
    <x v="1"/>
    <x v="1"/>
    <x v="3"/>
    <x v="1"/>
    <x v="4"/>
    <n v="8150"/>
    <n v="11500"/>
    <n v="12"/>
    <n v="0.20100000000000001"/>
    <s v="Approved"/>
    <x v="1"/>
    <n v="1"/>
    <n v="0"/>
    <n v="11500"/>
    <n v="0.1173"/>
    <n v="1"/>
    <n v="1"/>
    <n v="1"/>
  </r>
  <r>
    <s v="LA-702897"/>
    <d v="2025-03-03T00:00:00"/>
    <x v="1"/>
    <s v="Q1"/>
    <x v="2"/>
    <x v="1"/>
    <x v="1"/>
    <x v="3"/>
    <x v="1"/>
    <x v="1"/>
    <n v="2900"/>
    <n v="15000"/>
    <n v="36"/>
    <n v="0.22700000000000001"/>
    <s v="Approved"/>
    <x v="1"/>
    <n v="1"/>
    <n v="0"/>
    <n v="15000"/>
    <n v="0.1227"/>
    <n v="2"/>
    <n v="1"/>
    <n v="1"/>
  </r>
  <r>
    <s v="LA-702898"/>
    <d v="2025-03-03T00:00:00"/>
    <x v="1"/>
    <s v="Q1"/>
    <x v="2"/>
    <x v="0"/>
    <x v="3"/>
    <x v="3"/>
    <x v="0"/>
    <x v="1"/>
    <n v="6450"/>
    <n v="54500"/>
    <n v="60"/>
    <n v="0.4"/>
    <s v="Approved"/>
    <x v="1"/>
    <n v="1"/>
    <n v="0"/>
    <n v="54500"/>
    <n v="7.8799999999999995E-2"/>
    <n v="5"/>
    <n v="0"/>
    <n v="1"/>
  </r>
  <r>
    <s v="LA-702899"/>
    <d v="2025-03-04T00:00:00"/>
    <x v="1"/>
    <s v="Q1"/>
    <x v="2"/>
    <x v="1"/>
    <x v="3"/>
    <x v="2"/>
    <x v="2"/>
    <x v="1"/>
    <n v="7800"/>
    <n v="16000"/>
    <n v="36"/>
    <n v="0.28499999999999998"/>
    <s v="Approved"/>
    <x v="1"/>
    <n v="1"/>
    <n v="0"/>
    <n v="13000"/>
    <n v="0.12970000000000001"/>
    <n v="4"/>
    <n v="0"/>
    <n v="1"/>
  </r>
  <r>
    <s v="LA-702900"/>
    <d v="2025-03-04T00:00:00"/>
    <x v="1"/>
    <s v="Q1"/>
    <x v="2"/>
    <x v="0"/>
    <x v="2"/>
    <x v="1"/>
    <x v="2"/>
    <x v="4"/>
    <n v="4450"/>
    <n v="19500"/>
    <n v="60"/>
    <n v="0.28799999999999998"/>
    <s v="Rejected"/>
    <x v="0"/>
    <n v="0"/>
    <n v="1"/>
    <n v="0"/>
    <m/>
    <n v="2"/>
    <n v="1"/>
    <n v="1"/>
  </r>
  <r>
    <s v="LA-702901"/>
    <d v="2025-03-04T00:00:00"/>
    <x v="1"/>
    <s v="Q1"/>
    <x v="2"/>
    <x v="1"/>
    <x v="0"/>
    <x v="2"/>
    <x v="1"/>
    <x v="1"/>
    <n v="4550"/>
    <n v="9500"/>
    <n v="36"/>
    <n v="0.121"/>
    <s v="Approved"/>
    <x v="1"/>
    <n v="1"/>
    <n v="0"/>
    <n v="7500"/>
    <n v="0.121"/>
    <n v="6"/>
    <n v="0"/>
    <n v="1"/>
  </r>
  <r>
    <s v="LA-702902"/>
    <d v="2025-03-04T00:00:00"/>
    <x v="1"/>
    <s v="Q1"/>
    <x v="2"/>
    <x v="1"/>
    <x v="2"/>
    <x v="2"/>
    <x v="2"/>
    <x v="1"/>
    <n v="4450"/>
    <n v="8000"/>
    <n v="24"/>
    <n v="0.28699999999999998"/>
    <s v="Rejected"/>
    <x v="4"/>
    <n v="0"/>
    <n v="1"/>
    <n v="0"/>
    <m/>
    <n v="5"/>
    <n v="0"/>
    <n v="1"/>
  </r>
  <r>
    <s v="LA-702903"/>
    <d v="2025-03-04T00:00:00"/>
    <x v="1"/>
    <s v="Q1"/>
    <x v="2"/>
    <x v="2"/>
    <x v="3"/>
    <x v="3"/>
    <x v="2"/>
    <x v="0"/>
    <n v="6900"/>
    <n v="77000"/>
    <n v="60"/>
    <n v="0.38"/>
    <s v="Approved"/>
    <x v="1"/>
    <n v="1"/>
    <n v="0"/>
    <n v="77000"/>
    <n v="0.1197"/>
    <n v="15"/>
    <n v="0"/>
    <n v="1"/>
  </r>
  <r>
    <s v="LA-702904"/>
    <d v="2025-03-04T00:00:00"/>
    <x v="1"/>
    <s v="Q1"/>
    <x v="2"/>
    <x v="3"/>
    <x v="2"/>
    <x v="2"/>
    <x v="1"/>
    <x v="0"/>
    <n v="2550"/>
    <n v="258500"/>
    <n v="300"/>
    <n v="0.73299999999999998"/>
    <s v="Rejected"/>
    <x v="3"/>
    <n v="0"/>
    <n v="1"/>
    <n v="0"/>
    <m/>
    <n v="10"/>
    <n v="1"/>
    <n v="1"/>
  </r>
  <r>
    <s v="LA-702905"/>
    <d v="2025-03-04T00:00:00"/>
    <x v="1"/>
    <s v="Q1"/>
    <x v="2"/>
    <x v="3"/>
    <x v="3"/>
    <x v="4"/>
    <x v="0"/>
    <x v="0"/>
    <n v="11750"/>
    <n v="231500"/>
    <n v="240"/>
    <n v="0.182"/>
    <s v="Approved"/>
    <x v="1"/>
    <n v="1"/>
    <n v="0"/>
    <n v="231500"/>
    <n v="6.9099999999999995E-2"/>
    <n v="16"/>
    <n v="0"/>
    <n v="1"/>
  </r>
  <r>
    <s v="LA-702906"/>
    <d v="2025-03-04T00:00:00"/>
    <x v="1"/>
    <s v="Q1"/>
    <x v="2"/>
    <x v="1"/>
    <x v="3"/>
    <x v="2"/>
    <x v="1"/>
    <x v="3"/>
    <n v="6750"/>
    <n v="11000"/>
    <n v="36"/>
    <n v="0.26300000000000001"/>
    <s v="Approved"/>
    <x v="1"/>
    <n v="1"/>
    <n v="0"/>
    <n v="11000"/>
    <n v="0.10730000000000001"/>
    <n v="3"/>
    <n v="1"/>
    <n v="1"/>
  </r>
  <r>
    <s v="LA-702907"/>
    <d v="2025-03-05T00:00:00"/>
    <x v="1"/>
    <s v="Q1"/>
    <x v="2"/>
    <x v="2"/>
    <x v="2"/>
    <x v="2"/>
    <x v="2"/>
    <x v="4"/>
    <n v="3250"/>
    <n v="109500"/>
    <n v="24"/>
    <n v="1.641"/>
    <s v="Rejected"/>
    <x v="4"/>
    <n v="0"/>
    <n v="1"/>
    <n v="0"/>
    <m/>
    <n v="7"/>
    <n v="1"/>
    <n v="1"/>
  </r>
  <r>
    <s v="LA-702908"/>
    <d v="2025-03-05T00:00:00"/>
    <x v="1"/>
    <s v="Q1"/>
    <x v="2"/>
    <x v="2"/>
    <x v="3"/>
    <x v="1"/>
    <x v="0"/>
    <x v="3"/>
    <n v="4150"/>
    <n v="132000"/>
    <n v="36"/>
    <n v="1.1950000000000001"/>
    <s v="Rejected"/>
    <x v="3"/>
    <n v="0"/>
    <n v="1"/>
    <n v="0"/>
    <m/>
    <n v="7"/>
    <n v="1"/>
    <n v="1"/>
  </r>
  <r>
    <s v="LA-702909"/>
    <d v="2025-03-05T00:00:00"/>
    <x v="1"/>
    <s v="Q1"/>
    <x v="2"/>
    <x v="1"/>
    <x v="1"/>
    <x v="1"/>
    <x v="2"/>
    <x v="3"/>
    <n v="4700"/>
    <n v="7500"/>
    <n v="12"/>
    <n v="0.33100000000000002"/>
    <s v="Approved"/>
    <x v="1"/>
    <n v="1"/>
    <n v="0"/>
    <n v="7500"/>
    <n v="0.107"/>
    <n v="2"/>
    <n v="1"/>
    <n v="1"/>
  </r>
  <r>
    <s v="LA-702910"/>
    <d v="2025-03-05T00:00:00"/>
    <x v="1"/>
    <s v="Q1"/>
    <x v="2"/>
    <x v="1"/>
    <x v="0"/>
    <x v="1"/>
    <x v="0"/>
    <x v="2"/>
    <n v="5400"/>
    <n v="17000"/>
    <n v="24"/>
    <n v="0.224"/>
    <s v="Withdrawn"/>
    <x v="1"/>
    <n v="0"/>
    <n v="0"/>
    <n v="0"/>
    <m/>
    <n v="3"/>
    <n v="1"/>
    <n v="1"/>
  </r>
  <r>
    <s v="LA-702911"/>
    <d v="2025-03-05T00:00:00"/>
    <x v="1"/>
    <s v="Q1"/>
    <x v="2"/>
    <x v="0"/>
    <x v="0"/>
    <x v="2"/>
    <x v="2"/>
    <x v="4"/>
    <n v="4250"/>
    <n v="24500"/>
    <n v="48"/>
    <n v="0.37"/>
    <s v="Approved"/>
    <x v="1"/>
    <n v="1"/>
    <n v="0"/>
    <n v="22000"/>
    <n v="6.9699999999999998E-2"/>
    <n v="6"/>
    <n v="0"/>
    <n v="1"/>
  </r>
  <r>
    <s v="LA-702912"/>
    <d v="2025-03-05T00:00:00"/>
    <x v="1"/>
    <s v="Q1"/>
    <x v="2"/>
    <x v="0"/>
    <x v="1"/>
    <x v="3"/>
    <x v="2"/>
    <x v="1"/>
    <n v="3100"/>
    <n v="25000"/>
    <n v="60"/>
    <n v="0.26"/>
    <s v="Approved"/>
    <x v="1"/>
    <n v="1"/>
    <n v="0"/>
    <n v="25000"/>
    <n v="8.4599999999999995E-2"/>
    <n v="2"/>
    <n v="1"/>
    <n v="1"/>
  </r>
  <r>
    <s v="LA-702913"/>
    <d v="2025-03-06T00:00:00"/>
    <x v="1"/>
    <s v="Q1"/>
    <x v="2"/>
    <x v="0"/>
    <x v="0"/>
    <x v="4"/>
    <x v="0"/>
    <x v="1"/>
    <n v="4050"/>
    <n v="34000"/>
    <n v="60"/>
    <n v="0.34699999999999998"/>
    <s v="Withdrawn"/>
    <x v="1"/>
    <n v="0"/>
    <n v="0"/>
    <n v="0"/>
    <m/>
    <n v="1"/>
    <n v="1"/>
    <n v="1"/>
  </r>
  <r>
    <s v="LA-702914"/>
    <d v="2025-03-06T00:00:00"/>
    <x v="1"/>
    <s v="Q1"/>
    <x v="2"/>
    <x v="1"/>
    <x v="2"/>
    <x v="1"/>
    <x v="2"/>
    <x v="0"/>
    <n v="3850"/>
    <n v="10500"/>
    <n v="60"/>
    <n v="0.13200000000000001"/>
    <s v="Rejected"/>
    <x v="0"/>
    <n v="0"/>
    <n v="1"/>
    <n v="0"/>
    <m/>
    <n v="2"/>
    <n v="1"/>
    <n v="1"/>
  </r>
  <r>
    <s v="LA-702915"/>
    <d v="2025-03-06T00:00:00"/>
    <x v="1"/>
    <s v="Q1"/>
    <x v="2"/>
    <x v="3"/>
    <x v="1"/>
    <x v="3"/>
    <x v="1"/>
    <x v="1"/>
    <n v="2700"/>
    <n v="420000"/>
    <n v="180"/>
    <n v="1.2889999999999999"/>
    <s v="Rejected"/>
    <x v="3"/>
    <n v="0"/>
    <n v="1"/>
    <n v="0"/>
    <m/>
    <n v="4"/>
    <n v="1"/>
    <n v="1"/>
  </r>
  <r>
    <s v="LA-702916"/>
    <d v="2025-03-06T00:00:00"/>
    <x v="1"/>
    <s v="Q1"/>
    <x v="2"/>
    <x v="2"/>
    <x v="3"/>
    <x v="3"/>
    <x v="1"/>
    <x v="1"/>
    <n v="8250"/>
    <n v="64500"/>
    <n v="12"/>
    <n v="0.90200000000000002"/>
    <s v="Rejected"/>
    <x v="3"/>
    <n v="0"/>
    <n v="1"/>
    <n v="0"/>
    <m/>
    <n v="13"/>
    <n v="0"/>
    <n v="1"/>
  </r>
  <r>
    <s v="LA-702917"/>
    <d v="2025-03-06T00:00:00"/>
    <x v="1"/>
    <s v="Q1"/>
    <x v="2"/>
    <x v="2"/>
    <x v="3"/>
    <x v="2"/>
    <x v="1"/>
    <x v="0"/>
    <n v="5000"/>
    <n v="82000"/>
    <n v="60"/>
    <n v="0.50900000000000001"/>
    <s v="Approved"/>
    <x v="1"/>
    <n v="1"/>
    <n v="0"/>
    <n v="82000"/>
    <n v="0.122"/>
    <n v="10"/>
    <n v="1"/>
    <n v="1"/>
  </r>
  <r>
    <s v="LA-702918"/>
    <d v="2025-03-06T00:00:00"/>
    <x v="1"/>
    <s v="Q1"/>
    <x v="2"/>
    <x v="0"/>
    <x v="1"/>
    <x v="1"/>
    <x v="0"/>
    <x v="4"/>
    <n v="10400"/>
    <n v="33500"/>
    <n v="48"/>
    <n v="0.27200000000000002"/>
    <s v="Approved"/>
    <x v="1"/>
    <n v="1"/>
    <n v="0"/>
    <n v="30000"/>
    <n v="7.2700000000000001E-2"/>
    <n v="1"/>
    <n v="1"/>
    <n v="1"/>
  </r>
  <r>
    <s v="LA-702919"/>
    <d v="2025-03-06T00:00:00"/>
    <x v="1"/>
    <s v="Q1"/>
    <x v="2"/>
    <x v="1"/>
    <x v="1"/>
    <x v="2"/>
    <x v="1"/>
    <x v="0"/>
    <n v="9850"/>
    <n v="9500"/>
    <n v="60"/>
    <n v="0.18"/>
    <s v="Approved"/>
    <x v="1"/>
    <n v="1"/>
    <n v="0"/>
    <n v="7500"/>
    <n v="0.14549999999999999"/>
    <n v="1"/>
    <n v="1"/>
    <n v="1"/>
  </r>
  <r>
    <s v="LA-702920"/>
    <d v="2025-03-06T00:00:00"/>
    <x v="1"/>
    <s v="Q1"/>
    <x v="2"/>
    <x v="1"/>
    <x v="0"/>
    <x v="1"/>
    <x v="2"/>
    <x v="3"/>
    <n v="5300"/>
    <n v="9000"/>
    <n v="48"/>
    <n v="0.253"/>
    <s v="Approved"/>
    <x v="1"/>
    <n v="1"/>
    <n v="0"/>
    <n v="7000"/>
    <n v="0.1132"/>
    <n v="3"/>
    <n v="1"/>
    <n v="1"/>
  </r>
  <r>
    <s v="LA-702921"/>
    <d v="2025-03-06T00:00:00"/>
    <x v="1"/>
    <s v="Q1"/>
    <x v="2"/>
    <x v="1"/>
    <x v="0"/>
    <x v="4"/>
    <x v="0"/>
    <x v="3"/>
    <n v="9050"/>
    <n v="21000"/>
    <n v="24"/>
    <n v="0.29099999999999998"/>
    <s v="Approved"/>
    <x v="1"/>
    <n v="1"/>
    <n v="0"/>
    <n v="19000"/>
    <n v="0.1087"/>
    <n v="2"/>
    <n v="1"/>
    <n v="1"/>
  </r>
  <r>
    <s v="LA-702922"/>
    <d v="2025-03-07T00:00:00"/>
    <x v="1"/>
    <s v="Q1"/>
    <x v="2"/>
    <x v="0"/>
    <x v="1"/>
    <x v="1"/>
    <x v="2"/>
    <x v="1"/>
    <n v="2900"/>
    <n v="117500"/>
    <n v="48"/>
    <n v="1.1859999999999999"/>
    <s v="Rejected"/>
    <x v="3"/>
    <n v="0"/>
    <n v="1"/>
    <n v="0"/>
    <m/>
    <n v="3"/>
    <n v="1"/>
    <n v="1"/>
  </r>
  <r>
    <s v="LA-702923"/>
    <d v="2025-03-07T00:00:00"/>
    <x v="1"/>
    <s v="Q1"/>
    <x v="2"/>
    <x v="0"/>
    <x v="2"/>
    <x v="3"/>
    <x v="1"/>
    <x v="3"/>
    <n v="5450"/>
    <n v="43500"/>
    <n v="36"/>
    <n v="0.41399999999999998"/>
    <s v="Rejected"/>
    <x v="0"/>
    <n v="0"/>
    <n v="1"/>
    <n v="0"/>
    <m/>
    <n v="3"/>
    <n v="1"/>
    <n v="1"/>
  </r>
  <r>
    <s v="LA-702924"/>
    <d v="2025-03-07T00:00:00"/>
    <x v="1"/>
    <s v="Q1"/>
    <x v="2"/>
    <x v="1"/>
    <x v="3"/>
    <x v="0"/>
    <x v="1"/>
    <x v="1"/>
    <n v="7650"/>
    <n v="13500"/>
    <n v="12"/>
    <n v="0.307"/>
    <s v="Rejected"/>
    <x v="5"/>
    <n v="0"/>
    <n v="1"/>
    <n v="0"/>
    <m/>
    <n v="3"/>
    <n v="1"/>
    <n v="1"/>
  </r>
  <r>
    <s v="LA-702925"/>
    <d v="2025-03-07T00:00:00"/>
    <x v="1"/>
    <s v="Q1"/>
    <x v="2"/>
    <x v="0"/>
    <x v="3"/>
    <x v="3"/>
    <x v="0"/>
    <x v="1"/>
    <n v="6600"/>
    <n v="48500"/>
    <n v="48"/>
    <n v="0.374"/>
    <s v="Rejected"/>
    <x v="2"/>
    <n v="0"/>
    <n v="1"/>
    <n v="0"/>
    <m/>
    <n v="3"/>
    <n v="1"/>
    <n v="1"/>
  </r>
  <r>
    <s v="LA-702926"/>
    <d v="2025-03-07T00:00:00"/>
    <x v="1"/>
    <s v="Q1"/>
    <x v="2"/>
    <x v="0"/>
    <x v="2"/>
    <x v="0"/>
    <x v="0"/>
    <x v="3"/>
    <n v="12000"/>
    <n v="39000"/>
    <n v="60"/>
    <n v="0.20699999999999999"/>
    <s v="Approved"/>
    <x v="1"/>
    <n v="1"/>
    <n v="0"/>
    <n v="35000"/>
    <n v="6.8400000000000002E-2"/>
    <n v="2"/>
    <n v="1"/>
    <n v="1"/>
  </r>
  <r>
    <s v="LA-702927"/>
    <d v="2025-03-07T00:00:00"/>
    <x v="1"/>
    <s v="Q1"/>
    <x v="2"/>
    <x v="1"/>
    <x v="2"/>
    <x v="3"/>
    <x v="2"/>
    <x v="4"/>
    <n v="6200"/>
    <n v="8500"/>
    <n v="60"/>
    <n v="0.22700000000000001"/>
    <s v="Approved"/>
    <x v="1"/>
    <n v="1"/>
    <n v="0"/>
    <n v="7000"/>
    <n v="0.1137"/>
    <n v="2"/>
    <n v="1"/>
    <n v="1"/>
  </r>
  <r>
    <s v="LA-702928"/>
    <d v="2025-03-07T00:00:00"/>
    <x v="1"/>
    <s v="Q1"/>
    <x v="2"/>
    <x v="2"/>
    <x v="1"/>
    <x v="3"/>
    <x v="1"/>
    <x v="1"/>
    <n v="5600"/>
    <n v="76000"/>
    <n v="12"/>
    <n v="1.351"/>
    <s v="Rejected"/>
    <x v="3"/>
    <n v="0"/>
    <n v="1"/>
    <n v="0"/>
    <m/>
    <n v="5"/>
    <n v="1"/>
    <n v="1"/>
  </r>
  <r>
    <s v="LA-702929"/>
    <d v="2025-03-07T00:00:00"/>
    <x v="1"/>
    <s v="Q1"/>
    <x v="2"/>
    <x v="2"/>
    <x v="3"/>
    <x v="1"/>
    <x v="2"/>
    <x v="2"/>
    <n v="7750"/>
    <n v="74500"/>
    <n v="12"/>
    <n v="1.0029999999999999"/>
    <s v="Rejected"/>
    <x v="3"/>
    <n v="0"/>
    <n v="1"/>
    <n v="0"/>
    <m/>
    <n v="15"/>
    <n v="0"/>
    <n v="1"/>
  </r>
  <r>
    <s v="LA-702930"/>
    <d v="2025-03-08T00:00:00"/>
    <x v="1"/>
    <s v="Q1"/>
    <x v="2"/>
    <x v="1"/>
    <x v="0"/>
    <x v="1"/>
    <x v="0"/>
    <x v="4"/>
    <n v="2250"/>
    <n v="11000"/>
    <n v="24"/>
    <n v="0.29399999999999998"/>
    <s v="Approved"/>
    <x v="1"/>
    <n v="1"/>
    <n v="0"/>
    <n v="11000"/>
    <n v="0.11509999999999999"/>
    <n v="2"/>
    <n v="1"/>
    <n v="1"/>
  </r>
  <r>
    <s v="LA-702931"/>
    <d v="2025-03-08T00:00:00"/>
    <x v="1"/>
    <s v="Q1"/>
    <x v="2"/>
    <x v="2"/>
    <x v="0"/>
    <x v="1"/>
    <x v="0"/>
    <x v="4"/>
    <n v="7500"/>
    <n v="83000"/>
    <n v="24"/>
    <n v="0.69899999999999995"/>
    <s v="Rejected"/>
    <x v="4"/>
    <n v="0"/>
    <n v="1"/>
    <n v="0"/>
    <m/>
    <n v="12"/>
    <n v="0"/>
    <n v="1"/>
  </r>
  <r>
    <s v="LA-702932"/>
    <d v="2025-03-08T00:00:00"/>
    <x v="1"/>
    <s v="Q1"/>
    <x v="2"/>
    <x v="2"/>
    <x v="2"/>
    <x v="1"/>
    <x v="1"/>
    <x v="1"/>
    <n v="4300"/>
    <n v="267000"/>
    <n v="60"/>
    <n v="1.4950000000000001"/>
    <s v="Withdrawn"/>
    <x v="1"/>
    <n v="0"/>
    <n v="0"/>
    <n v="0"/>
    <m/>
    <n v="5"/>
    <n v="1"/>
    <n v="1"/>
  </r>
  <r>
    <s v="LA-702933"/>
    <d v="2025-03-08T00:00:00"/>
    <x v="1"/>
    <s v="Q1"/>
    <x v="2"/>
    <x v="0"/>
    <x v="1"/>
    <x v="2"/>
    <x v="0"/>
    <x v="1"/>
    <n v="4550"/>
    <n v="39000"/>
    <n v="36"/>
    <n v="0.48299999999999998"/>
    <s v="Approved"/>
    <x v="1"/>
    <n v="1"/>
    <n v="0"/>
    <n v="39000"/>
    <n v="8.8099999999999998E-2"/>
    <n v="1"/>
    <n v="1"/>
    <n v="1"/>
  </r>
  <r>
    <s v="LA-702934"/>
    <d v="2025-03-09T00:00:00"/>
    <x v="1"/>
    <s v="Q1"/>
    <x v="2"/>
    <x v="2"/>
    <x v="0"/>
    <x v="3"/>
    <x v="0"/>
    <x v="0"/>
    <n v="5750"/>
    <n v="98000"/>
    <n v="60"/>
    <n v="0.56699999999999995"/>
    <s v="Rejected"/>
    <x v="0"/>
    <n v="0"/>
    <n v="1"/>
    <n v="0"/>
    <m/>
    <n v="8"/>
    <n v="1"/>
    <n v="1"/>
  </r>
  <r>
    <s v="LA-702935"/>
    <d v="2025-03-09T00:00:00"/>
    <x v="1"/>
    <s v="Q1"/>
    <x v="2"/>
    <x v="1"/>
    <x v="3"/>
    <x v="3"/>
    <x v="1"/>
    <x v="3"/>
    <n v="1650"/>
    <n v="10000"/>
    <n v="36"/>
    <n v="0.4"/>
    <s v="Approved"/>
    <x v="1"/>
    <n v="1"/>
    <n v="0"/>
    <n v="8000"/>
    <n v="0.1075"/>
    <n v="5"/>
    <n v="0"/>
    <n v="1"/>
  </r>
  <r>
    <s v="LA-702936"/>
    <d v="2025-03-09T00:00:00"/>
    <x v="1"/>
    <s v="Q1"/>
    <x v="2"/>
    <x v="0"/>
    <x v="3"/>
    <x v="2"/>
    <x v="2"/>
    <x v="4"/>
    <n v="7250"/>
    <n v="27000"/>
    <n v="48"/>
    <n v="0.184"/>
    <s v="Approved"/>
    <x v="1"/>
    <n v="1"/>
    <n v="0"/>
    <n v="24500"/>
    <n v="6.7900000000000002E-2"/>
    <n v="7"/>
    <n v="0"/>
    <n v="1"/>
  </r>
  <r>
    <s v="LA-702937"/>
    <d v="2025-03-09T00:00:00"/>
    <x v="1"/>
    <s v="Q1"/>
    <x v="2"/>
    <x v="1"/>
    <x v="1"/>
    <x v="3"/>
    <x v="0"/>
    <x v="4"/>
    <n v="4500"/>
    <n v="17000"/>
    <n v="24"/>
    <n v="0.33600000000000002"/>
    <s v="Approved"/>
    <x v="1"/>
    <n v="1"/>
    <n v="0"/>
    <n v="17000"/>
    <n v="0.10970000000000001"/>
    <n v="2"/>
    <n v="1"/>
    <n v="1"/>
  </r>
  <r>
    <s v="LA-702938"/>
    <d v="2025-03-09T00:00:00"/>
    <x v="1"/>
    <s v="Q1"/>
    <x v="2"/>
    <x v="2"/>
    <x v="2"/>
    <x v="2"/>
    <x v="1"/>
    <x v="3"/>
    <n v="4100"/>
    <n v="106000"/>
    <n v="60"/>
    <n v="0.76"/>
    <s v="Approved"/>
    <x v="1"/>
    <n v="1"/>
    <n v="0"/>
    <n v="85000"/>
    <n v="9.6299999999999997E-2"/>
    <n v="6"/>
    <n v="1"/>
    <n v="1"/>
  </r>
  <r>
    <s v="LA-702939"/>
    <d v="2025-03-09T00:00:00"/>
    <x v="1"/>
    <s v="Q1"/>
    <x v="2"/>
    <x v="3"/>
    <x v="0"/>
    <x v="2"/>
    <x v="0"/>
    <x v="4"/>
    <n v="3950"/>
    <n v="152000"/>
    <n v="240"/>
    <n v="0.441"/>
    <s v="Rejected"/>
    <x v="2"/>
    <n v="0"/>
    <n v="1"/>
    <n v="0"/>
    <m/>
    <n v="8"/>
    <n v="1"/>
    <n v="1"/>
  </r>
  <r>
    <s v="LA-702940"/>
    <d v="2025-03-09T00:00:00"/>
    <x v="1"/>
    <s v="Q1"/>
    <x v="2"/>
    <x v="2"/>
    <x v="1"/>
    <x v="1"/>
    <x v="1"/>
    <x v="4"/>
    <n v="5300"/>
    <n v="66500"/>
    <n v="12"/>
    <n v="1.319"/>
    <s v="Rejected"/>
    <x v="3"/>
    <n v="0"/>
    <n v="1"/>
    <n v="0"/>
    <m/>
    <n v="5"/>
    <n v="1"/>
    <n v="1"/>
  </r>
  <r>
    <s v="LA-702941"/>
    <d v="2025-03-09T00:00:00"/>
    <x v="1"/>
    <s v="Q1"/>
    <x v="2"/>
    <x v="3"/>
    <x v="1"/>
    <x v="2"/>
    <x v="2"/>
    <x v="0"/>
    <n v="5350"/>
    <n v="632500"/>
    <n v="240"/>
    <n v="0.95799999999999996"/>
    <s v="Rejected"/>
    <x v="0"/>
    <n v="0"/>
    <n v="1"/>
    <n v="0"/>
    <m/>
    <n v="9"/>
    <n v="1"/>
    <n v="1"/>
  </r>
  <r>
    <s v="LA-702942"/>
    <d v="2025-03-10T00:00:00"/>
    <x v="1"/>
    <s v="Q1"/>
    <x v="2"/>
    <x v="1"/>
    <x v="1"/>
    <x v="3"/>
    <x v="1"/>
    <x v="1"/>
    <n v="5800"/>
    <n v="8500"/>
    <n v="24"/>
    <n v="0.30299999999999999"/>
    <s v="Rejected"/>
    <x v="0"/>
    <n v="0"/>
    <n v="1"/>
    <n v="0"/>
    <m/>
    <n v="2"/>
    <n v="1"/>
    <n v="1"/>
  </r>
  <r>
    <s v="LA-702943"/>
    <d v="2025-03-10T00:00:00"/>
    <x v="1"/>
    <s v="Q1"/>
    <x v="2"/>
    <x v="0"/>
    <x v="2"/>
    <x v="3"/>
    <x v="1"/>
    <x v="0"/>
    <n v="4150"/>
    <n v="41000"/>
    <n v="48"/>
    <n v="0.315"/>
    <s v="Rejected"/>
    <x v="0"/>
    <n v="0"/>
    <n v="1"/>
    <n v="0"/>
    <m/>
    <n v="1"/>
    <n v="1"/>
    <n v="1"/>
  </r>
  <r>
    <s v="LA-702944"/>
    <d v="2025-03-10T00:00:00"/>
    <x v="1"/>
    <s v="Q1"/>
    <x v="2"/>
    <x v="0"/>
    <x v="2"/>
    <x v="1"/>
    <x v="0"/>
    <x v="1"/>
    <n v="2900"/>
    <n v="10500"/>
    <n v="48"/>
    <n v="0.26300000000000001"/>
    <s v="Approved"/>
    <x v="1"/>
    <n v="1"/>
    <n v="0"/>
    <n v="10500"/>
    <n v="7.8100000000000003E-2"/>
    <n v="3"/>
    <n v="1"/>
    <n v="1"/>
  </r>
  <r>
    <s v="LA-702945"/>
    <d v="2025-03-10T00:00:00"/>
    <x v="1"/>
    <s v="Q1"/>
    <x v="2"/>
    <x v="1"/>
    <x v="1"/>
    <x v="1"/>
    <x v="2"/>
    <x v="4"/>
    <n v="8600"/>
    <n v="21000"/>
    <n v="36"/>
    <n v="0.25700000000000001"/>
    <s v="Approved"/>
    <x v="1"/>
    <n v="1"/>
    <n v="0"/>
    <n v="21000"/>
    <n v="0.1147"/>
    <n v="2"/>
    <n v="1"/>
    <n v="1"/>
  </r>
  <r>
    <s v="LA-702946"/>
    <d v="2025-03-10T00:00:00"/>
    <x v="1"/>
    <s v="Q1"/>
    <x v="2"/>
    <x v="1"/>
    <x v="3"/>
    <x v="3"/>
    <x v="0"/>
    <x v="0"/>
    <n v="4850"/>
    <n v="13500"/>
    <n v="12"/>
    <n v="0.40600000000000003"/>
    <s v="Approved"/>
    <x v="1"/>
    <n v="1"/>
    <n v="0"/>
    <n v="12000"/>
    <n v="0.13669999999999999"/>
    <n v="7"/>
    <n v="0"/>
    <n v="1"/>
  </r>
  <r>
    <s v="LA-702947"/>
    <d v="2025-03-10T00:00:00"/>
    <x v="1"/>
    <s v="Q1"/>
    <x v="2"/>
    <x v="3"/>
    <x v="3"/>
    <x v="2"/>
    <x v="2"/>
    <x v="1"/>
    <n v="5200"/>
    <n v="198500"/>
    <n v="180"/>
    <n v="0.498"/>
    <s v="Rejected"/>
    <x v="3"/>
    <n v="0"/>
    <n v="1"/>
    <n v="0"/>
    <m/>
    <n v="21"/>
    <n v="0"/>
    <n v="1"/>
  </r>
  <r>
    <s v="LA-702948"/>
    <d v="2025-03-10T00:00:00"/>
    <x v="1"/>
    <s v="Q1"/>
    <x v="2"/>
    <x v="3"/>
    <x v="0"/>
    <x v="1"/>
    <x v="0"/>
    <x v="0"/>
    <n v="7650"/>
    <n v="277000"/>
    <n v="240"/>
    <n v="0.37"/>
    <s v="Rejected"/>
    <x v="5"/>
    <n v="0"/>
    <n v="1"/>
    <n v="0"/>
    <m/>
    <n v="10"/>
    <n v="1"/>
    <n v="1"/>
  </r>
  <r>
    <s v="LA-702949"/>
    <d v="2025-03-10T00:00:00"/>
    <x v="1"/>
    <s v="Q1"/>
    <x v="2"/>
    <x v="3"/>
    <x v="1"/>
    <x v="2"/>
    <x v="1"/>
    <x v="1"/>
    <n v="2850"/>
    <n v="283500"/>
    <n v="300"/>
    <n v="0.77200000000000002"/>
    <s v="Approved"/>
    <x v="1"/>
    <n v="1"/>
    <n v="0"/>
    <n v="283500"/>
    <n v="5.9200000000000003E-2"/>
    <n v="5"/>
    <n v="1"/>
    <n v="1"/>
  </r>
  <r>
    <s v="LA-702950"/>
    <d v="2025-03-10T00:00:00"/>
    <x v="1"/>
    <s v="Q1"/>
    <x v="2"/>
    <x v="0"/>
    <x v="3"/>
    <x v="3"/>
    <x v="2"/>
    <x v="1"/>
    <n v="8100"/>
    <n v="73000"/>
    <n v="36"/>
    <n v="0.42"/>
    <s v="Approved"/>
    <x v="1"/>
    <n v="1"/>
    <n v="0"/>
    <n v="73000"/>
    <n v="8.3199999999999996E-2"/>
    <n v="6"/>
    <n v="0"/>
    <n v="1"/>
  </r>
  <r>
    <s v="LA-702951"/>
    <d v="2025-03-10T00:00:00"/>
    <x v="1"/>
    <s v="Q1"/>
    <x v="2"/>
    <x v="0"/>
    <x v="1"/>
    <x v="2"/>
    <x v="0"/>
    <x v="3"/>
    <n v="6900"/>
    <n v="20000"/>
    <n v="60"/>
    <n v="0.155"/>
    <s v="Approved"/>
    <x v="1"/>
    <n v="1"/>
    <n v="0"/>
    <n v="20000"/>
    <n v="6.5500000000000003E-2"/>
    <n v="3"/>
    <n v="1"/>
    <n v="1"/>
  </r>
  <r>
    <s v="LA-702952"/>
    <d v="2025-03-11T00:00:00"/>
    <x v="1"/>
    <s v="Q1"/>
    <x v="2"/>
    <x v="1"/>
    <x v="2"/>
    <x v="0"/>
    <x v="1"/>
    <x v="0"/>
    <n v="3750"/>
    <n v="13000"/>
    <n v="24"/>
    <n v="0.38800000000000001"/>
    <s v="Approved"/>
    <x v="1"/>
    <n v="1"/>
    <n v="0"/>
    <n v="10500"/>
    <n v="0.13739999999999999"/>
    <n v="3"/>
    <n v="1"/>
    <n v="1"/>
  </r>
  <r>
    <s v="LA-702953"/>
    <d v="2025-03-11T00:00:00"/>
    <x v="1"/>
    <s v="Q1"/>
    <x v="2"/>
    <x v="0"/>
    <x v="1"/>
    <x v="0"/>
    <x v="2"/>
    <x v="4"/>
    <n v="10450"/>
    <n v="32500"/>
    <n v="60"/>
    <n v="0.20499999999999999"/>
    <s v="Approved"/>
    <x v="1"/>
    <n v="1"/>
    <n v="0"/>
    <n v="32500"/>
    <n v="7.5399999999999995E-2"/>
    <n v="3"/>
    <n v="1"/>
    <n v="1"/>
  </r>
  <r>
    <s v="LA-702954"/>
    <d v="2025-03-11T00:00:00"/>
    <x v="1"/>
    <s v="Q1"/>
    <x v="2"/>
    <x v="0"/>
    <x v="2"/>
    <x v="2"/>
    <x v="0"/>
    <x v="3"/>
    <n v="3500"/>
    <n v="39500"/>
    <n v="36"/>
    <n v="0.54900000000000004"/>
    <s v="Rejected"/>
    <x v="3"/>
    <n v="0"/>
    <n v="1"/>
    <n v="0"/>
    <m/>
    <n v="4"/>
    <n v="1"/>
    <n v="1"/>
  </r>
  <r>
    <s v="LA-702955"/>
    <d v="2025-03-11T00:00:00"/>
    <x v="1"/>
    <s v="Q1"/>
    <x v="2"/>
    <x v="0"/>
    <x v="3"/>
    <x v="0"/>
    <x v="0"/>
    <x v="3"/>
    <n v="2850"/>
    <n v="37000"/>
    <n v="48"/>
    <n v="0.41199999999999998"/>
    <s v="Approved"/>
    <x v="1"/>
    <n v="1"/>
    <n v="0"/>
    <n v="37000"/>
    <n v="6.9199999999999998E-2"/>
    <n v="5"/>
    <n v="0"/>
    <n v="1"/>
  </r>
  <r>
    <s v="LA-702956"/>
    <d v="2025-03-11T00:00:00"/>
    <x v="1"/>
    <s v="Q1"/>
    <x v="2"/>
    <x v="1"/>
    <x v="3"/>
    <x v="1"/>
    <x v="0"/>
    <x v="4"/>
    <n v="6250"/>
    <n v="12000"/>
    <n v="60"/>
    <n v="0.151"/>
    <s v="Approved"/>
    <x v="1"/>
    <n v="1"/>
    <n v="0"/>
    <n v="9500"/>
    <n v="0.1142"/>
    <n v="6"/>
    <n v="0"/>
    <n v="1"/>
  </r>
  <r>
    <s v="LA-702957"/>
    <d v="2025-03-11T00:00:00"/>
    <x v="1"/>
    <s v="Q1"/>
    <x v="2"/>
    <x v="3"/>
    <x v="1"/>
    <x v="4"/>
    <x v="1"/>
    <x v="1"/>
    <n v="4950"/>
    <n v="424000"/>
    <n v="240"/>
    <n v="0.61499999999999999"/>
    <s v="Approved"/>
    <x v="1"/>
    <n v="1"/>
    <n v="0"/>
    <n v="424000"/>
    <n v="6.2700000000000006E-2"/>
    <n v="7"/>
    <n v="1"/>
    <n v="1"/>
  </r>
  <r>
    <s v="LA-702958"/>
    <d v="2025-03-11T00:00:00"/>
    <x v="1"/>
    <s v="Q1"/>
    <x v="2"/>
    <x v="0"/>
    <x v="1"/>
    <x v="4"/>
    <x v="1"/>
    <x v="1"/>
    <n v="6300"/>
    <n v="14000"/>
    <n v="48"/>
    <n v="0.28100000000000003"/>
    <s v="Rejected"/>
    <x v="2"/>
    <n v="0"/>
    <n v="1"/>
    <n v="0"/>
    <m/>
    <n v="2"/>
    <n v="1"/>
    <n v="1"/>
  </r>
  <r>
    <s v="LA-702959"/>
    <d v="2025-03-11T00:00:00"/>
    <x v="1"/>
    <s v="Q1"/>
    <x v="2"/>
    <x v="0"/>
    <x v="3"/>
    <x v="2"/>
    <x v="0"/>
    <x v="0"/>
    <n v="5200"/>
    <n v="44000"/>
    <n v="36"/>
    <n v="0.36899999999999999"/>
    <s v="Rejected"/>
    <x v="4"/>
    <n v="0"/>
    <n v="1"/>
    <n v="0"/>
    <m/>
    <n v="10"/>
    <n v="0"/>
    <n v="1"/>
  </r>
  <r>
    <s v="LA-702960"/>
    <d v="2025-03-11T00:00:00"/>
    <x v="1"/>
    <s v="Q1"/>
    <x v="2"/>
    <x v="1"/>
    <x v="3"/>
    <x v="4"/>
    <x v="1"/>
    <x v="0"/>
    <n v="2350"/>
    <n v="16000"/>
    <n v="36"/>
    <n v="0.38600000000000001"/>
    <s v="Rejected"/>
    <x v="0"/>
    <n v="0"/>
    <n v="1"/>
    <n v="0"/>
    <m/>
    <n v="7"/>
    <n v="0"/>
    <n v="1"/>
  </r>
  <r>
    <s v="LA-702961"/>
    <d v="2025-03-11T00:00:00"/>
    <x v="1"/>
    <s v="Q1"/>
    <x v="2"/>
    <x v="1"/>
    <x v="1"/>
    <x v="3"/>
    <x v="2"/>
    <x v="1"/>
    <n v="4200"/>
    <n v="30500"/>
    <n v="48"/>
    <n v="0.252"/>
    <s v="Rejected"/>
    <x v="5"/>
    <n v="0"/>
    <n v="1"/>
    <n v="0"/>
    <m/>
    <n v="2"/>
    <n v="1"/>
    <n v="1"/>
  </r>
  <r>
    <s v="LA-702962"/>
    <d v="2025-03-11T00:00:00"/>
    <x v="1"/>
    <s v="Q1"/>
    <x v="2"/>
    <x v="1"/>
    <x v="2"/>
    <x v="1"/>
    <x v="1"/>
    <x v="1"/>
    <n v="2650"/>
    <n v="26000"/>
    <n v="12"/>
    <n v="0.95899999999999996"/>
    <s v="Approved"/>
    <x v="1"/>
    <n v="1"/>
    <n v="0"/>
    <n v="26000"/>
    <n v="0.1242"/>
    <n v="2"/>
    <n v="1"/>
    <n v="1"/>
  </r>
  <r>
    <s v="LA-702963"/>
    <d v="2025-03-11T00:00:00"/>
    <x v="1"/>
    <s v="Q1"/>
    <x v="2"/>
    <x v="1"/>
    <x v="1"/>
    <x v="1"/>
    <x v="0"/>
    <x v="1"/>
    <n v="4600"/>
    <n v="7000"/>
    <n v="24"/>
    <n v="0.23799999999999999"/>
    <s v="Approved"/>
    <x v="1"/>
    <n v="1"/>
    <n v="0"/>
    <n v="5500"/>
    <n v="0.12920000000000001"/>
    <n v="3"/>
    <n v="1"/>
    <n v="1"/>
  </r>
  <r>
    <s v="LA-702964"/>
    <d v="2025-03-12T00:00:00"/>
    <x v="1"/>
    <s v="Q1"/>
    <x v="2"/>
    <x v="3"/>
    <x v="2"/>
    <x v="3"/>
    <x v="1"/>
    <x v="1"/>
    <n v="4800"/>
    <n v="577500"/>
    <n v="240"/>
    <n v="0.876"/>
    <s v="Rejected"/>
    <x v="3"/>
    <n v="0"/>
    <n v="1"/>
    <n v="0"/>
    <m/>
    <n v="4"/>
    <n v="1"/>
    <n v="1"/>
  </r>
  <r>
    <s v="LA-702965"/>
    <d v="2025-03-12T00:00:00"/>
    <x v="1"/>
    <s v="Q1"/>
    <x v="2"/>
    <x v="0"/>
    <x v="0"/>
    <x v="2"/>
    <x v="0"/>
    <x v="0"/>
    <n v="4250"/>
    <n v="49000"/>
    <n v="60"/>
    <n v="0.36899999999999999"/>
    <s v="Rejected"/>
    <x v="0"/>
    <n v="0"/>
    <n v="1"/>
    <n v="0"/>
    <m/>
    <n v="4"/>
    <n v="1"/>
    <n v="1"/>
  </r>
  <r>
    <s v="LA-702966"/>
    <d v="2025-03-12T00:00:00"/>
    <x v="1"/>
    <s v="Q1"/>
    <x v="2"/>
    <x v="3"/>
    <x v="3"/>
    <x v="0"/>
    <x v="0"/>
    <x v="0"/>
    <n v="3050"/>
    <n v="506000"/>
    <n v="300"/>
    <n v="1.1879999999999999"/>
    <s v="Rejected"/>
    <x v="0"/>
    <n v="0"/>
    <n v="1"/>
    <n v="0"/>
    <m/>
    <n v="17"/>
    <n v="0"/>
    <n v="1"/>
  </r>
  <r>
    <s v="LA-702967"/>
    <d v="2025-03-12T00:00:00"/>
    <x v="1"/>
    <s v="Q1"/>
    <x v="2"/>
    <x v="1"/>
    <x v="0"/>
    <x v="3"/>
    <x v="2"/>
    <x v="4"/>
    <n v="17600"/>
    <n v="8000"/>
    <n v="12"/>
    <n v="0.247"/>
    <s v="Approved"/>
    <x v="1"/>
    <n v="1"/>
    <n v="0"/>
    <n v="8000"/>
    <n v="0.1172"/>
    <n v="8"/>
    <n v="0"/>
    <n v="1"/>
  </r>
  <r>
    <s v="LA-702968"/>
    <d v="2025-03-12T00:00:00"/>
    <x v="1"/>
    <s v="Q1"/>
    <x v="2"/>
    <x v="0"/>
    <x v="1"/>
    <x v="3"/>
    <x v="2"/>
    <x v="0"/>
    <n v="3600"/>
    <n v="34500"/>
    <n v="48"/>
    <n v="0.307"/>
    <s v="Approved"/>
    <x v="1"/>
    <n v="1"/>
    <n v="0"/>
    <n v="34500"/>
    <n v="0.1032"/>
    <n v="2"/>
    <n v="1"/>
    <n v="1"/>
  </r>
  <r>
    <s v="LA-702969"/>
    <d v="2025-03-13T00:00:00"/>
    <x v="1"/>
    <s v="Q1"/>
    <x v="2"/>
    <x v="3"/>
    <x v="2"/>
    <x v="4"/>
    <x v="0"/>
    <x v="4"/>
    <n v="8600"/>
    <n v="374000"/>
    <n v="300"/>
    <n v="0.40100000000000002"/>
    <s v="Rejected"/>
    <x v="2"/>
    <n v="0"/>
    <n v="1"/>
    <n v="0"/>
    <m/>
    <n v="10"/>
    <n v="1"/>
    <n v="1"/>
  </r>
  <r>
    <s v="LA-702970"/>
    <d v="2025-03-13T00:00:00"/>
    <x v="1"/>
    <s v="Q1"/>
    <x v="2"/>
    <x v="0"/>
    <x v="0"/>
    <x v="2"/>
    <x v="1"/>
    <x v="0"/>
    <n v="4750"/>
    <n v="31000"/>
    <n v="48"/>
    <n v="0.30399999999999999"/>
    <s v="Rejected"/>
    <x v="0"/>
    <n v="0"/>
    <n v="1"/>
    <n v="0"/>
    <m/>
    <n v="3"/>
    <n v="1"/>
    <n v="1"/>
  </r>
  <r>
    <s v="LA-702971"/>
    <d v="2025-03-13T00:00:00"/>
    <x v="1"/>
    <s v="Q1"/>
    <x v="2"/>
    <x v="0"/>
    <x v="3"/>
    <x v="2"/>
    <x v="0"/>
    <x v="2"/>
    <n v="4050"/>
    <n v="49000"/>
    <n v="48"/>
    <n v="0.34499999999999997"/>
    <s v="Rejected"/>
    <x v="0"/>
    <n v="0"/>
    <n v="1"/>
    <n v="0"/>
    <m/>
    <n v="3"/>
    <n v="1"/>
    <n v="1"/>
  </r>
  <r>
    <s v="LA-702972"/>
    <d v="2025-03-13T00:00:00"/>
    <x v="1"/>
    <s v="Q1"/>
    <x v="2"/>
    <x v="0"/>
    <x v="1"/>
    <x v="2"/>
    <x v="0"/>
    <x v="2"/>
    <n v="8550"/>
    <n v="34000"/>
    <n v="60"/>
    <n v="0.13200000000000001"/>
    <s v="Rejected"/>
    <x v="0"/>
    <n v="0"/>
    <n v="1"/>
    <n v="0"/>
    <m/>
    <n v="3"/>
    <n v="1"/>
    <n v="1"/>
  </r>
  <r>
    <s v="LA-702973"/>
    <d v="2025-03-14T00:00:00"/>
    <x v="1"/>
    <s v="Q1"/>
    <x v="2"/>
    <x v="1"/>
    <x v="1"/>
    <x v="0"/>
    <x v="1"/>
    <x v="1"/>
    <n v="5500"/>
    <n v="9500"/>
    <n v="24"/>
    <n v="0.251"/>
    <s v="Approved"/>
    <x v="1"/>
    <n v="1"/>
    <n v="0"/>
    <n v="9500"/>
    <n v="0.1217"/>
    <n v="1"/>
    <n v="1"/>
    <n v="1"/>
  </r>
  <r>
    <s v="LA-702974"/>
    <d v="2025-03-14T00:00:00"/>
    <x v="1"/>
    <s v="Q1"/>
    <x v="2"/>
    <x v="2"/>
    <x v="3"/>
    <x v="1"/>
    <x v="0"/>
    <x v="3"/>
    <n v="7500"/>
    <n v="67500"/>
    <n v="36"/>
    <n v="0.42599999999999999"/>
    <s v="Approved"/>
    <x v="1"/>
    <n v="1"/>
    <n v="0"/>
    <n v="61000"/>
    <n v="9.2899999999999996E-2"/>
    <n v="7"/>
    <n v="1"/>
    <n v="1"/>
  </r>
  <r>
    <s v="LA-702975"/>
    <d v="2025-03-14T00:00:00"/>
    <x v="1"/>
    <s v="Q1"/>
    <x v="2"/>
    <x v="3"/>
    <x v="0"/>
    <x v="2"/>
    <x v="0"/>
    <x v="0"/>
    <n v="6200"/>
    <n v="466000"/>
    <n v="300"/>
    <n v="0.61899999999999999"/>
    <s v="Approved"/>
    <x v="1"/>
    <n v="1"/>
    <n v="0"/>
    <n v="466000"/>
    <n v="7.6700000000000004E-2"/>
    <n v="16"/>
    <n v="0"/>
    <n v="1"/>
  </r>
  <r>
    <s v="LA-702976"/>
    <d v="2025-03-14T00:00:00"/>
    <x v="1"/>
    <s v="Q1"/>
    <x v="2"/>
    <x v="0"/>
    <x v="0"/>
    <x v="0"/>
    <x v="2"/>
    <x v="1"/>
    <n v="4950"/>
    <n v="40000"/>
    <n v="60"/>
    <n v="0.28299999999999997"/>
    <s v="Rejected"/>
    <x v="4"/>
    <n v="0"/>
    <n v="1"/>
    <n v="0"/>
    <m/>
    <n v="9"/>
    <n v="0"/>
    <n v="1"/>
  </r>
  <r>
    <s v="LA-702977"/>
    <d v="2025-03-14T00:00:00"/>
    <x v="1"/>
    <s v="Q1"/>
    <x v="2"/>
    <x v="0"/>
    <x v="2"/>
    <x v="3"/>
    <x v="0"/>
    <x v="1"/>
    <n v="8450"/>
    <n v="27000"/>
    <n v="60"/>
    <n v="0.308"/>
    <s v="Rejected"/>
    <x v="5"/>
    <n v="0"/>
    <n v="1"/>
    <n v="0"/>
    <m/>
    <n v="2"/>
    <n v="1"/>
    <n v="1"/>
  </r>
  <r>
    <s v="LA-702978"/>
    <d v="2025-03-14T00:00:00"/>
    <x v="1"/>
    <s v="Q1"/>
    <x v="2"/>
    <x v="0"/>
    <x v="0"/>
    <x v="1"/>
    <x v="1"/>
    <x v="3"/>
    <n v="5550"/>
    <n v="40000"/>
    <n v="60"/>
    <n v="0.25700000000000001"/>
    <s v="Approved"/>
    <x v="1"/>
    <n v="1"/>
    <n v="0"/>
    <n v="36000"/>
    <n v="6.7100000000000007E-2"/>
    <n v="3"/>
    <n v="1"/>
    <n v="1"/>
  </r>
  <r>
    <s v="LA-702979"/>
    <d v="2025-03-14T00:00:00"/>
    <x v="1"/>
    <s v="Q1"/>
    <x v="2"/>
    <x v="0"/>
    <x v="3"/>
    <x v="1"/>
    <x v="2"/>
    <x v="4"/>
    <n v="7650"/>
    <n v="35000"/>
    <n v="36"/>
    <n v="0.34799999999999998"/>
    <s v="Approved"/>
    <x v="1"/>
    <n v="1"/>
    <n v="0"/>
    <n v="35000"/>
    <n v="7.8799999999999995E-2"/>
    <n v="4"/>
    <n v="1"/>
    <n v="1"/>
  </r>
  <r>
    <s v="LA-702980"/>
    <d v="2025-03-14T00:00:00"/>
    <x v="1"/>
    <s v="Q1"/>
    <x v="2"/>
    <x v="1"/>
    <x v="1"/>
    <x v="3"/>
    <x v="0"/>
    <x v="1"/>
    <n v="3150"/>
    <n v="11000"/>
    <n v="12"/>
    <n v="0.40899999999999997"/>
    <s v="Rejected"/>
    <x v="5"/>
    <n v="0"/>
    <n v="1"/>
    <n v="0"/>
    <m/>
    <n v="1"/>
    <n v="1"/>
    <n v="1"/>
  </r>
  <r>
    <s v="LA-702981"/>
    <d v="2025-03-14T00:00:00"/>
    <x v="1"/>
    <s v="Q1"/>
    <x v="2"/>
    <x v="0"/>
    <x v="3"/>
    <x v="3"/>
    <x v="1"/>
    <x v="1"/>
    <n v="7900"/>
    <n v="46500"/>
    <n v="36"/>
    <n v="0.35799999999999998"/>
    <s v="Rejected"/>
    <x v="5"/>
    <n v="0"/>
    <n v="1"/>
    <n v="0"/>
    <m/>
    <n v="2"/>
    <n v="1"/>
    <n v="1"/>
  </r>
  <r>
    <s v="LA-702982"/>
    <d v="2025-03-14T00:00:00"/>
    <x v="1"/>
    <s v="Q1"/>
    <x v="2"/>
    <x v="0"/>
    <x v="1"/>
    <x v="2"/>
    <x v="1"/>
    <x v="4"/>
    <n v="6350"/>
    <n v="23000"/>
    <n v="60"/>
    <n v="0.20100000000000001"/>
    <s v="Approved"/>
    <x v="1"/>
    <n v="1"/>
    <n v="0"/>
    <n v="20500"/>
    <n v="7.1300000000000002E-2"/>
    <n v="3"/>
    <n v="1"/>
    <n v="1"/>
  </r>
  <r>
    <s v="LA-702983"/>
    <d v="2025-03-14T00:00:00"/>
    <x v="1"/>
    <s v="Q1"/>
    <x v="2"/>
    <x v="1"/>
    <x v="1"/>
    <x v="3"/>
    <x v="2"/>
    <x v="1"/>
    <n v="5950"/>
    <n v="16500"/>
    <n v="24"/>
    <n v="0.32"/>
    <s v="Rejected"/>
    <x v="0"/>
    <n v="0"/>
    <n v="1"/>
    <n v="0"/>
    <m/>
    <n v="3"/>
    <n v="1"/>
    <n v="1"/>
  </r>
  <r>
    <s v="LA-702984"/>
    <d v="2025-03-14T00:00:00"/>
    <x v="1"/>
    <s v="Q1"/>
    <x v="2"/>
    <x v="0"/>
    <x v="3"/>
    <x v="2"/>
    <x v="0"/>
    <x v="4"/>
    <n v="4300"/>
    <n v="28000"/>
    <n v="60"/>
    <n v="0.25900000000000001"/>
    <s v="Approved"/>
    <x v="1"/>
    <n v="1"/>
    <n v="0"/>
    <n v="28000"/>
    <n v="7.1499999999999994E-2"/>
    <n v="7"/>
    <n v="0"/>
    <n v="1"/>
  </r>
  <r>
    <s v="LA-702985"/>
    <d v="2025-03-14T00:00:00"/>
    <x v="1"/>
    <s v="Q1"/>
    <x v="2"/>
    <x v="1"/>
    <x v="0"/>
    <x v="2"/>
    <x v="1"/>
    <x v="4"/>
    <n v="9500"/>
    <n v="20500"/>
    <n v="36"/>
    <n v="0.31"/>
    <s v="Approved"/>
    <x v="1"/>
    <n v="1"/>
    <n v="0"/>
    <n v="18500"/>
    <n v="0.11260000000000001"/>
    <n v="5"/>
    <n v="0"/>
    <n v="1"/>
  </r>
  <r>
    <s v="LA-702986"/>
    <d v="2025-03-14T00:00:00"/>
    <x v="1"/>
    <s v="Q1"/>
    <x v="2"/>
    <x v="3"/>
    <x v="3"/>
    <x v="4"/>
    <x v="1"/>
    <x v="2"/>
    <n v="4550"/>
    <n v="249000"/>
    <n v="240"/>
    <n v="0.44600000000000001"/>
    <s v="Rejected"/>
    <x v="0"/>
    <n v="0"/>
    <n v="1"/>
    <n v="0"/>
    <m/>
    <n v="18"/>
    <n v="0"/>
    <n v="1"/>
  </r>
  <r>
    <s v="LA-702987"/>
    <d v="2025-03-15T00:00:00"/>
    <x v="1"/>
    <s v="Q1"/>
    <x v="2"/>
    <x v="3"/>
    <x v="0"/>
    <x v="3"/>
    <x v="0"/>
    <x v="0"/>
    <n v="12950"/>
    <n v="211000"/>
    <n v="240"/>
    <n v="0.20899999999999999"/>
    <s v="Rejected"/>
    <x v="0"/>
    <n v="0"/>
    <n v="1"/>
    <n v="0"/>
    <m/>
    <n v="21"/>
    <n v="0"/>
    <n v="1"/>
  </r>
  <r>
    <s v="LA-702988"/>
    <d v="2025-03-15T00:00:00"/>
    <x v="1"/>
    <s v="Q1"/>
    <x v="2"/>
    <x v="1"/>
    <x v="0"/>
    <x v="1"/>
    <x v="1"/>
    <x v="0"/>
    <n v="7750"/>
    <n v="10000"/>
    <n v="24"/>
    <n v="0.30299999999999999"/>
    <s v="Rejected"/>
    <x v="0"/>
    <n v="0"/>
    <n v="1"/>
    <n v="0"/>
    <m/>
    <n v="6"/>
    <n v="0"/>
    <n v="1"/>
  </r>
  <r>
    <s v="LA-702989"/>
    <d v="2025-03-15T00:00:00"/>
    <x v="1"/>
    <s v="Q1"/>
    <x v="2"/>
    <x v="1"/>
    <x v="2"/>
    <x v="2"/>
    <x v="1"/>
    <x v="4"/>
    <n v="4100"/>
    <n v="22000"/>
    <n v="24"/>
    <n v="0.40400000000000003"/>
    <s v="Rejected"/>
    <x v="5"/>
    <n v="0"/>
    <n v="1"/>
    <n v="0"/>
    <m/>
    <n v="1"/>
    <n v="1"/>
    <n v="1"/>
  </r>
  <r>
    <s v="LA-702990"/>
    <d v="2025-03-15T00:00:00"/>
    <x v="1"/>
    <s v="Q1"/>
    <x v="2"/>
    <x v="0"/>
    <x v="0"/>
    <x v="1"/>
    <x v="2"/>
    <x v="1"/>
    <n v="5200"/>
    <n v="39000"/>
    <n v="60"/>
    <n v="0.309"/>
    <s v="Approved"/>
    <x v="1"/>
    <n v="1"/>
    <n v="0"/>
    <n v="39000"/>
    <n v="8.2799999999999999E-2"/>
    <n v="3"/>
    <n v="1"/>
    <n v="1"/>
  </r>
  <r>
    <s v="LA-702991"/>
    <d v="2025-03-15T00:00:00"/>
    <x v="1"/>
    <s v="Q1"/>
    <x v="2"/>
    <x v="2"/>
    <x v="1"/>
    <x v="2"/>
    <x v="2"/>
    <x v="3"/>
    <n v="4450"/>
    <n v="193500"/>
    <n v="60"/>
    <n v="0.97799999999999998"/>
    <s v="Rejected"/>
    <x v="3"/>
    <n v="0"/>
    <n v="1"/>
    <n v="0"/>
    <m/>
    <n v="4"/>
    <n v="1"/>
    <n v="1"/>
  </r>
  <r>
    <s v="LA-702992"/>
    <d v="2025-03-15T00:00:00"/>
    <x v="1"/>
    <s v="Q1"/>
    <x v="2"/>
    <x v="1"/>
    <x v="3"/>
    <x v="3"/>
    <x v="0"/>
    <x v="0"/>
    <n v="7250"/>
    <n v="7500"/>
    <n v="36"/>
    <n v="0.193"/>
    <s v="Approved"/>
    <x v="1"/>
    <n v="1"/>
    <n v="0"/>
    <n v="7500"/>
    <n v="0.14169999999999999"/>
    <n v="4"/>
    <n v="0"/>
    <n v="1"/>
  </r>
  <r>
    <s v="LA-702993"/>
    <d v="2025-03-15T00:00:00"/>
    <x v="1"/>
    <s v="Q1"/>
    <x v="2"/>
    <x v="2"/>
    <x v="1"/>
    <x v="3"/>
    <x v="1"/>
    <x v="4"/>
    <n v="5100"/>
    <n v="81000"/>
    <n v="60"/>
    <n v="0.53200000000000003"/>
    <s v="Approved"/>
    <x v="1"/>
    <n v="1"/>
    <n v="0"/>
    <n v="73000"/>
    <n v="9.5299999999999996E-2"/>
    <n v="5"/>
    <n v="1"/>
    <n v="1"/>
  </r>
  <r>
    <s v="LA-702994"/>
    <d v="2025-03-15T00:00:00"/>
    <x v="1"/>
    <s v="Q1"/>
    <x v="2"/>
    <x v="0"/>
    <x v="3"/>
    <x v="4"/>
    <x v="0"/>
    <x v="1"/>
    <n v="3150"/>
    <n v="26000"/>
    <n v="36"/>
    <n v="0.372"/>
    <s v="Approved"/>
    <x v="1"/>
    <n v="1"/>
    <n v="0"/>
    <n v="23500"/>
    <n v="8.14E-2"/>
    <n v="5"/>
    <n v="0"/>
    <n v="1"/>
  </r>
  <r>
    <s v="LA-702995"/>
    <d v="2025-03-16T00:00:00"/>
    <x v="1"/>
    <s v="Q1"/>
    <x v="2"/>
    <x v="1"/>
    <x v="2"/>
    <x v="2"/>
    <x v="0"/>
    <x v="4"/>
    <n v="6800"/>
    <n v="24000"/>
    <n v="24"/>
    <n v="0.316"/>
    <s v="Approved"/>
    <x v="1"/>
    <n v="1"/>
    <n v="0"/>
    <n v="19000"/>
    <n v="0.1179"/>
    <n v="4"/>
    <n v="0"/>
    <n v="1"/>
  </r>
  <r>
    <s v="LA-702996"/>
    <d v="2025-03-16T00:00:00"/>
    <x v="1"/>
    <s v="Q1"/>
    <x v="2"/>
    <x v="1"/>
    <x v="1"/>
    <x v="3"/>
    <x v="2"/>
    <x v="1"/>
    <n v="4700"/>
    <n v="14500"/>
    <n v="36"/>
    <n v="0.16700000000000001"/>
    <s v="Rejected"/>
    <x v="5"/>
    <n v="0"/>
    <n v="1"/>
    <n v="0"/>
    <m/>
    <n v="1"/>
    <n v="1"/>
    <n v="1"/>
  </r>
  <r>
    <s v="LA-702997"/>
    <d v="2025-03-16T00:00:00"/>
    <x v="1"/>
    <s v="Q1"/>
    <x v="2"/>
    <x v="1"/>
    <x v="2"/>
    <x v="2"/>
    <x v="0"/>
    <x v="1"/>
    <n v="5000"/>
    <n v="18500"/>
    <n v="12"/>
    <n v="0.44500000000000001"/>
    <s v="Rejected"/>
    <x v="2"/>
    <n v="0"/>
    <n v="1"/>
    <n v="0"/>
    <m/>
    <n v="1"/>
    <n v="1"/>
    <n v="1"/>
  </r>
  <r>
    <s v="LA-702998"/>
    <d v="2025-03-16T00:00:00"/>
    <x v="1"/>
    <s v="Q1"/>
    <x v="2"/>
    <x v="1"/>
    <x v="3"/>
    <x v="1"/>
    <x v="2"/>
    <x v="2"/>
    <n v="4600"/>
    <n v="10500"/>
    <n v="24"/>
    <n v="0.33900000000000002"/>
    <s v="Rejected"/>
    <x v="2"/>
    <n v="0"/>
    <n v="1"/>
    <n v="0"/>
    <m/>
    <n v="3"/>
    <n v="1"/>
    <n v="1"/>
  </r>
  <r>
    <s v="LA-702999"/>
    <d v="2025-03-16T00:00:00"/>
    <x v="1"/>
    <s v="Q1"/>
    <x v="2"/>
    <x v="0"/>
    <x v="1"/>
    <x v="1"/>
    <x v="1"/>
    <x v="4"/>
    <n v="5950"/>
    <n v="50000"/>
    <n v="36"/>
    <n v="0.35799999999999998"/>
    <s v="Approved"/>
    <x v="1"/>
    <n v="1"/>
    <n v="0"/>
    <n v="50000"/>
    <n v="6.7100000000000007E-2"/>
    <n v="2"/>
    <n v="1"/>
    <n v="1"/>
  </r>
  <r>
    <s v="LA-703000"/>
    <d v="2025-03-17T00:00:00"/>
    <x v="1"/>
    <s v="Q1"/>
    <x v="2"/>
    <x v="1"/>
    <x v="1"/>
    <x v="3"/>
    <x v="0"/>
    <x v="3"/>
    <n v="7500"/>
    <n v="12500"/>
    <n v="36"/>
    <n v="0.216"/>
    <s v="Approved"/>
    <x v="1"/>
    <n v="1"/>
    <n v="0"/>
    <n v="12500"/>
    <n v="0.1084"/>
    <n v="1"/>
    <n v="1"/>
    <n v="1"/>
  </r>
  <r>
    <s v="LA-703001"/>
    <d v="2025-03-17T00:00:00"/>
    <x v="1"/>
    <s v="Q1"/>
    <x v="2"/>
    <x v="2"/>
    <x v="1"/>
    <x v="2"/>
    <x v="0"/>
    <x v="0"/>
    <n v="4700"/>
    <n v="82000"/>
    <n v="12"/>
    <n v="1.718"/>
    <s v="Rejected"/>
    <x v="0"/>
    <n v="0"/>
    <n v="1"/>
    <n v="0"/>
    <m/>
    <n v="3"/>
    <n v="1"/>
    <n v="1"/>
  </r>
  <r>
    <s v="LA-703002"/>
    <d v="2025-03-17T00:00:00"/>
    <x v="1"/>
    <s v="Q1"/>
    <x v="2"/>
    <x v="1"/>
    <x v="0"/>
    <x v="3"/>
    <x v="1"/>
    <x v="1"/>
    <n v="3050"/>
    <n v="12000"/>
    <n v="48"/>
    <n v="0.33700000000000002"/>
    <s v="Approved"/>
    <x v="1"/>
    <n v="1"/>
    <n v="0"/>
    <n v="9500"/>
    <n v="0.1241"/>
    <n v="3"/>
    <n v="1"/>
    <n v="1"/>
  </r>
  <r>
    <s v="LA-703003"/>
    <d v="2025-03-17T00:00:00"/>
    <x v="1"/>
    <s v="Q1"/>
    <x v="2"/>
    <x v="1"/>
    <x v="1"/>
    <x v="3"/>
    <x v="0"/>
    <x v="1"/>
    <n v="2850"/>
    <n v="6500"/>
    <n v="36"/>
    <n v="0.20599999999999999"/>
    <s v="Rejected"/>
    <x v="4"/>
    <n v="0"/>
    <n v="1"/>
    <n v="0"/>
    <m/>
    <n v="6"/>
    <n v="0"/>
    <n v="1"/>
  </r>
  <r>
    <s v="LA-703004"/>
    <d v="2025-03-17T00:00:00"/>
    <x v="1"/>
    <s v="Q1"/>
    <x v="2"/>
    <x v="1"/>
    <x v="3"/>
    <x v="4"/>
    <x v="1"/>
    <x v="0"/>
    <n v="5100"/>
    <n v="9000"/>
    <n v="12"/>
    <n v="0.28399999999999997"/>
    <s v="Approved"/>
    <x v="1"/>
    <n v="1"/>
    <n v="0"/>
    <n v="8000"/>
    <n v="0.1333"/>
    <n v="4"/>
    <n v="0"/>
    <n v="1"/>
  </r>
  <r>
    <s v="LA-703005"/>
    <d v="2025-03-17T00:00:00"/>
    <x v="1"/>
    <s v="Q1"/>
    <x v="2"/>
    <x v="0"/>
    <x v="2"/>
    <x v="2"/>
    <x v="1"/>
    <x v="2"/>
    <n v="4450"/>
    <n v="16500"/>
    <n v="48"/>
    <n v="0.14799999999999999"/>
    <s v="Rejected"/>
    <x v="0"/>
    <n v="0"/>
    <n v="1"/>
    <n v="0"/>
    <m/>
    <n v="2"/>
    <n v="1"/>
    <n v="1"/>
  </r>
  <r>
    <s v="LA-703006"/>
    <d v="2025-03-17T00:00:00"/>
    <x v="1"/>
    <s v="Q1"/>
    <x v="2"/>
    <x v="0"/>
    <x v="0"/>
    <x v="3"/>
    <x v="0"/>
    <x v="0"/>
    <n v="5850"/>
    <n v="42000"/>
    <n v="36"/>
    <n v="0.39500000000000002"/>
    <s v="Approved"/>
    <x v="1"/>
    <n v="1"/>
    <n v="0"/>
    <n v="42000"/>
    <n v="9.9400000000000002E-2"/>
    <n v="4"/>
    <n v="1"/>
    <n v="1"/>
  </r>
  <r>
    <s v="LA-703007"/>
    <d v="2025-03-17T00:00:00"/>
    <x v="1"/>
    <s v="Q1"/>
    <x v="2"/>
    <x v="0"/>
    <x v="1"/>
    <x v="4"/>
    <x v="1"/>
    <x v="0"/>
    <n v="3000"/>
    <n v="48500"/>
    <n v="36"/>
    <n v="0.65800000000000003"/>
    <s v="Rejected"/>
    <x v="0"/>
    <n v="0"/>
    <n v="1"/>
    <n v="0"/>
    <m/>
    <n v="1"/>
    <n v="1"/>
    <n v="1"/>
  </r>
  <r>
    <s v="LA-703008"/>
    <d v="2025-03-17T00:00:00"/>
    <x v="1"/>
    <s v="Q1"/>
    <x v="2"/>
    <x v="1"/>
    <x v="1"/>
    <x v="4"/>
    <x v="1"/>
    <x v="1"/>
    <n v="4500"/>
    <n v="5000"/>
    <n v="12"/>
    <n v="0.152"/>
    <s v="Approved"/>
    <x v="1"/>
    <n v="1"/>
    <n v="0"/>
    <n v="5000"/>
    <n v="0.1234"/>
    <n v="1"/>
    <n v="1"/>
    <n v="1"/>
  </r>
  <r>
    <s v="LA-703009"/>
    <d v="2025-03-17T00:00:00"/>
    <x v="1"/>
    <s v="Q1"/>
    <x v="2"/>
    <x v="0"/>
    <x v="3"/>
    <x v="2"/>
    <x v="2"/>
    <x v="1"/>
    <n v="6450"/>
    <n v="29000"/>
    <n v="60"/>
    <n v="0.17899999999999999"/>
    <s v="Approved"/>
    <x v="1"/>
    <n v="1"/>
    <n v="0"/>
    <n v="29000"/>
    <n v="8.7900000000000006E-2"/>
    <n v="4"/>
    <n v="1"/>
    <n v="1"/>
  </r>
  <r>
    <s v="LA-703010"/>
    <d v="2025-03-17T00:00:00"/>
    <x v="1"/>
    <s v="Q1"/>
    <x v="2"/>
    <x v="2"/>
    <x v="1"/>
    <x v="2"/>
    <x v="2"/>
    <x v="3"/>
    <n v="3600"/>
    <n v="58000"/>
    <n v="60"/>
    <n v="0.45900000000000002"/>
    <s v="Rejected"/>
    <x v="3"/>
    <n v="0"/>
    <n v="1"/>
    <n v="0"/>
    <m/>
    <n v="3"/>
    <n v="1"/>
    <n v="1"/>
  </r>
  <r>
    <s v="LA-703011"/>
    <d v="2025-03-18T00:00:00"/>
    <x v="1"/>
    <s v="Q1"/>
    <x v="2"/>
    <x v="1"/>
    <x v="0"/>
    <x v="1"/>
    <x v="0"/>
    <x v="4"/>
    <n v="3400"/>
    <n v="12500"/>
    <n v="48"/>
    <n v="0.16800000000000001"/>
    <s v="Approved"/>
    <x v="1"/>
    <n v="1"/>
    <n v="0"/>
    <n v="12500"/>
    <n v="0.1163"/>
    <n v="4"/>
    <n v="0"/>
    <n v="1"/>
  </r>
  <r>
    <s v="LA-703012"/>
    <d v="2025-03-18T00:00:00"/>
    <x v="1"/>
    <s v="Q1"/>
    <x v="2"/>
    <x v="3"/>
    <x v="3"/>
    <x v="2"/>
    <x v="0"/>
    <x v="1"/>
    <n v="5750"/>
    <n v="398000"/>
    <n v="180"/>
    <n v="0.73399999999999999"/>
    <s v="Rejected"/>
    <x v="3"/>
    <n v="0"/>
    <n v="1"/>
    <n v="0"/>
    <m/>
    <n v="18"/>
    <n v="0"/>
    <n v="1"/>
  </r>
  <r>
    <s v="LA-703013"/>
    <d v="2025-03-18T00:00:00"/>
    <x v="1"/>
    <s v="Q1"/>
    <x v="2"/>
    <x v="3"/>
    <x v="3"/>
    <x v="2"/>
    <x v="1"/>
    <x v="4"/>
    <n v="4050"/>
    <n v="621500"/>
    <n v="300"/>
    <n v="1.0980000000000001"/>
    <s v="Rejected"/>
    <x v="3"/>
    <n v="0"/>
    <n v="1"/>
    <n v="0"/>
    <m/>
    <n v="16"/>
    <n v="0"/>
    <n v="1"/>
  </r>
  <r>
    <s v="LA-703014"/>
    <d v="2025-03-18T00:00:00"/>
    <x v="1"/>
    <s v="Q1"/>
    <x v="2"/>
    <x v="0"/>
    <x v="3"/>
    <x v="3"/>
    <x v="0"/>
    <x v="0"/>
    <n v="3200"/>
    <n v="24500"/>
    <n v="48"/>
    <n v="0.247"/>
    <s v="Approved"/>
    <x v="1"/>
    <n v="1"/>
    <n v="0"/>
    <n v="24500"/>
    <n v="9.2100000000000001E-2"/>
    <n v="9"/>
    <n v="0"/>
    <n v="1"/>
  </r>
  <r>
    <s v="LA-703015"/>
    <d v="2025-03-18T00:00:00"/>
    <x v="1"/>
    <s v="Q1"/>
    <x v="2"/>
    <x v="1"/>
    <x v="1"/>
    <x v="3"/>
    <x v="1"/>
    <x v="3"/>
    <n v="3600"/>
    <n v="7500"/>
    <n v="24"/>
    <n v="0.185"/>
    <s v="Approved"/>
    <x v="1"/>
    <n v="1"/>
    <n v="0"/>
    <n v="6000"/>
    <n v="0.1106"/>
    <n v="2"/>
    <n v="1"/>
    <n v="1"/>
  </r>
  <r>
    <s v="LA-703016"/>
    <d v="2025-03-18T00:00:00"/>
    <x v="1"/>
    <s v="Q1"/>
    <x v="2"/>
    <x v="3"/>
    <x v="2"/>
    <x v="1"/>
    <x v="1"/>
    <x v="1"/>
    <n v="7250"/>
    <n v="460500"/>
    <n v="240"/>
    <n v="0.54800000000000004"/>
    <s v="Approved"/>
    <x v="1"/>
    <n v="1"/>
    <n v="0"/>
    <n v="460500"/>
    <n v="5.5300000000000002E-2"/>
    <n v="6"/>
    <n v="1"/>
    <n v="1"/>
  </r>
  <r>
    <s v="LA-703017"/>
    <d v="2025-03-18T00:00:00"/>
    <x v="1"/>
    <s v="Q1"/>
    <x v="2"/>
    <x v="1"/>
    <x v="2"/>
    <x v="0"/>
    <x v="1"/>
    <x v="4"/>
    <n v="6350"/>
    <n v="9500"/>
    <n v="24"/>
    <n v="0.13600000000000001"/>
    <s v="Approved"/>
    <x v="1"/>
    <n v="1"/>
    <n v="0"/>
    <n v="8500"/>
    <n v="0.11899999999999999"/>
    <n v="2"/>
    <n v="1"/>
    <n v="1"/>
  </r>
  <r>
    <s v="LA-703018"/>
    <d v="2025-03-18T00:00:00"/>
    <x v="1"/>
    <s v="Q1"/>
    <x v="2"/>
    <x v="1"/>
    <x v="0"/>
    <x v="2"/>
    <x v="1"/>
    <x v="0"/>
    <n v="10200"/>
    <n v="12500"/>
    <n v="12"/>
    <n v="0.313"/>
    <s v="Approved"/>
    <x v="1"/>
    <n v="1"/>
    <n v="0"/>
    <n v="12500"/>
    <n v="0.1368"/>
    <n v="6"/>
    <n v="0"/>
    <n v="1"/>
  </r>
  <r>
    <s v="LA-703019"/>
    <d v="2025-03-18T00:00:00"/>
    <x v="1"/>
    <s v="Q1"/>
    <x v="2"/>
    <x v="3"/>
    <x v="2"/>
    <x v="3"/>
    <x v="0"/>
    <x v="2"/>
    <n v="6250"/>
    <n v="209500"/>
    <n v="180"/>
    <n v="0.33100000000000002"/>
    <s v="Rejected"/>
    <x v="0"/>
    <n v="0"/>
    <n v="1"/>
    <n v="0"/>
    <m/>
    <n v="7"/>
    <n v="1"/>
    <n v="1"/>
  </r>
  <r>
    <s v="LA-703020"/>
    <d v="2025-03-18T00:00:00"/>
    <x v="1"/>
    <s v="Q1"/>
    <x v="2"/>
    <x v="3"/>
    <x v="1"/>
    <x v="4"/>
    <x v="2"/>
    <x v="1"/>
    <n v="9700"/>
    <n v="228500"/>
    <n v="300"/>
    <n v="0.22500000000000001"/>
    <s v="Approved"/>
    <x v="1"/>
    <n v="1"/>
    <n v="0"/>
    <n v="228500"/>
    <n v="5.5300000000000002E-2"/>
    <n v="8"/>
    <n v="1"/>
    <n v="1"/>
  </r>
  <r>
    <s v="LA-703021"/>
    <d v="2025-03-18T00:00:00"/>
    <x v="1"/>
    <s v="Q1"/>
    <x v="2"/>
    <x v="1"/>
    <x v="1"/>
    <x v="3"/>
    <x v="1"/>
    <x v="4"/>
    <n v="8950"/>
    <n v="9000"/>
    <n v="60"/>
    <n v="0.20499999999999999"/>
    <s v="Approved"/>
    <x v="1"/>
    <n v="1"/>
    <n v="0"/>
    <n v="9000"/>
    <n v="0.114"/>
    <n v="2"/>
    <n v="1"/>
    <n v="1"/>
  </r>
  <r>
    <s v="LA-703022"/>
    <d v="2025-03-18T00:00:00"/>
    <x v="1"/>
    <s v="Q1"/>
    <x v="2"/>
    <x v="1"/>
    <x v="1"/>
    <x v="1"/>
    <x v="1"/>
    <x v="1"/>
    <n v="4950"/>
    <n v="15000"/>
    <n v="60"/>
    <n v="0.254"/>
    <s v="Approved"/>
    <x v="1"/>
    <n v="1"/>
    <n v="0"/>
    <n v="13500"/>
    <n v="0.126"/>
    <n v="3"/>
    <n v="1"/>
    <n v="1"/>
  </r>
  <r>
    <s v="LA-703023"/>
    <d v="2025-03-18T00:00:00"/>
    <x v="1"/>
    <s v="Q1"/>
    <x v="2"/>
    <x v="3"/>
    <x v="2"/>
    <x v="2"/>
    <x v="1"/>
    <x v="1"/>
    <n v="6200"/>
    <n v="322000"/>
    <n v="300"/>
    <n v="0.49"/>
    <s v="Approved"/>
    <x v="1"/>
    <n v="1"/>
    <n v="0"/>
    <n v="257500"/>
    <n v="5.9900000000000002E-2"/>
    <n v="7"/>
    <n v="1"/>
    <n v="1"/>
  </r>
  <r>
    <s v="LA-703024"/>
    <d v="2025-03-19T00:00:00"/>
    <x v="1"/>
    <s v="Q1"/>
    <x v="2"/>
    <x v="0"/>
    <x v="1"/>
    <x v="1"/>
    <x v="1"/>
    <x v="4"/>
    <n v="4750"/>
    <n v="41000"/>
    <n v="48"/>
    <n v="0.29299999999999998"/>
    <s v="Approved"/>
    <x v="1"/>
    <n v="1"/>
    <n v="0"/>
    <n v="41000"/>
    <n v="7.6300000000000007E-2"/>
    <n v="2"/>
    <n v="1"/>
    <n v="1"/>
  </r>
  <r>
    <s v="LA-703025"/>
    <d v="2025-03-19T00:00:00"/>
    <x v="1"/>
    <s v="Q1"/>
    <x v="2"/>
    <x v="1"/>
    <x v="0"/>
    <x v="1"/>
    <x v="0"/>
    <x v="2"/>
    <n v="4050"/>
    <n v="19000"/>
    <n v="48"/>
    <n v="0.35699999999999998"/>
    <s v="Rejected"/>
    <x v="0"/>
    <n v="0"/>
    <n v="1"/>
    <n v="0"/>
    <m/>
    <n v="7"/>
    <n v="0"/>
    <n v="1"/>
  </r>
  <r>
    <s v="LA-703026"/>
    <d v="2025-03-19T00:00:00"/>
    <x v="1"/>
    <s v="Q1"/>
    <x v="2"/>
    <x v="0"/>
    <x v="2"/>
    <x v="4"/>
    <x v="0"/>
    <x v="1"/>
    <n v="3300"/>
    <n v="23000"/>
    <n v="48"/>
    <n v="0.29199999999999998"/>
    <s v="Rejected"/>
    <x v="2"/>
    <n v="0"/>
    <n v="1"/>
    <n v="0"/>
    <m/>
    <n v="2"/>
    <n v="1"/>
    <n v="1"/>
  </r>
  <r>
    <s v="LA-703027"/>
    <d v="2025-03-19T00:00:00"/>
    <x v="1"/>
    <s v="Q1"/>
    <x v="2"/>
    <x v="3"/>
    <x v="1"/>
    <x v="2"/>
    <x v="2"/>
    <x v="0"/>
    <n v="12500"/>
    <n v="271000"/>
    <n v="300"/>
    <n v="0.32"/>
    <s v="Rejected"/>
    <x v="0"/>
    <n v="0"/>
    <n v="1"/>
    <n v="0"/>
    <m/>
    <n v="9"/>
    <n v="1"/>
    <n v="1"/>
  </r>
  <r>
    <s v="LA-703028"/>
    <d v="2025-03-19T00:00:00"/>
    <x v="1"/>
    <s v="Q1"/>
    <x v="2"/>
    <x v="3"/>
    <x v="3"/>
    <x v="4"/>
    <x v="1"/>
    <x v="4"/>
    <n v="11250"/>
    <n v="317000"/>
    <n v="180"/>
    <n v="0.317"/>
    <s v="Approved"/>
    <x v="1"/>
    <n v="1"/>
    <n v="0"/>
    <n v="317000"/>
    <n v="4.41E-2"/>
    <n v="28"/>
    <n v="0"/>
    <n v="1"/>
  </r>
  <r>
    <s v="LA-703029"/>
    <d v="2025-03-19T00:00:00"/>
    <x v="1"/>
    <s v="Q1"/>
    <x v="2"/>
    <x v="0"/>
    <x v="2"/>
    <x v="2"/>
    <x v="0"/>
    <x v="4"/>
    <n v="14800"/>
    <n v="31000"/>
    <n v="36"/>
    <n v="0.156"/>
    <s v="Approved"/>
    <x v="1"/>
    <n v="1"/>
    <n v="0"/>
    <n v="31000"/>
    <n v="7.2400000000000006E-2"/>
    <n v="2"/>
    <n v="1"/>
    <n v="1"/>
  </r>
  <r>
    <s v="LA-703030"/>
    <d v="2025-03-19T00:00:00"/>
    <x v="1"/>
    <s v="Q1"/>
    <x v="2"/>
    <x v="2"/>
    <x v="1"/>
    <x v="2"/>
    <x v="0"/>
    <x v="1"/>
    <n v="5350"/>
    <n v="111500"/>
    <n v="36"/>
    <n v="0.78"/>
    <s v="Rejected"/>
    <x v="4"/>
    <n v="0"/>
    <n v="1"/>
    <n v="0"/>
    <m/>
    <n v="9"/>
    <n v="1"/>
    <n v="1"/>
  </r>
  <r>
    <s v="LA-703031"/>
    <d v="2025-03-19T00:00:00"/>
    <x v="1"/>
    <s v="Q1"/>
    <x v="2"/>
    <x v="1"/>
    <x v="3"/>
    <x v="4"/>
    <x v="2"/>
    <x v="2"/>
    <n v="8600"/>
    <n v="15500"/>
    <n v="12"/>
    <n v="0.35199999999999998"/>
    <s v="Approved"/>
    <x v="1"/>
    <n v="1"/>
    <n v="0"/>
    <n v="12500"/>
    <n v="0.1575"/>
    <n v="4"/>
    <n v="0"/>
    <n v="1"/>
  </r>
  <r>
    <s v="LA-703032"/>
    <d v="2025-03-19T00:00:00"/>
    <x v="1"/>
    <s v="Q1"/>
    <x v="2"/>
    <x v="1"/>
    <x v="2"/>
    <x v="3"/>
    <x v="1"/>
    <x v="3"/>
    <n v="1950"/>
    <n v="17000"/>
    <n v="12"/>
    <n v="0.86699999999999999"/>
    <s v="Rejected"/>
    <x v="3"/>
    <n v="0"/>
    <n v="1"/>
    <n v="0"/>
    <m/>
    <n v="1"/>
    <n v="1"/>
    <n v="1"/>
  </r>
  <r>
    <s v="LA-703033"/>
    <d v="2025-03-19T00:00:00"/>
    <x v="1"/>
    <s v="Q1"/>
    <x v="2"/>
    <x v="1"/>
    <x v="3"/>
    <x v="2"/>
    <x v="1"/>
    <x v="0"/>
    <n v="3700"/>
    <n v="13500"/>
    <n v="48"/>
    <n v="0.14699999999999999"/>
    <s v="Approved"/>
    <x v="1"/>
    <n v="1"/>
    <n v="0"/>
    <n v="12000"/>
    <n v="0.13769999999999999"/>
    <n v="10"/>
    <n v="0"/>
    <n v="1"/>
  </r>
  <r>
    <s v="LA-703034"/>
    <d v="2025-03-19T00:00:00"/>
    <x v="1"/>
    <s v="Q1"/>
    <x v="2"/>
    <x v="2"/>
    <x v="0"/>
    <x v="2"/>
    <x v="0"/>
    <x v="1"/>
    <n v="6250"/>
    <n v="202500"/>
    <n v="24"/>
    <n v="1.631"/>
    <s v="Rejected"/>
    <x v="3"/>
    <n v="0"/>
    <n v="1"/>
    <n v="0"/>
    <m/>
    <n v="12"/>
    <n v="0"/>
    <n v="1"/>
  </r>
  <r>
    <s v="LA-703035"/>
    <d v="2025-03-19T00:00:00"/>
    <x v="1"/>
    <s v="Q1"/>
    <x v="2"/>
    <x v="1"/>
    <x v="1"/>
    <x v="2"/>
    <x v="0"/>
    <x v="0"/>
    <n v="5700"/>
    <n v="9500"/>
    <n v="36"/>
    <n v="0.11"/>
    <s v="Approved"/>
    <x v="1"/>
    <n v="1"/>
    <n v="0"/>
    <n v="8500"/>
    <n v="0.1346"/>
    <n v="1"/>
    <n v="1"/>
    <n v="1"/>
  </r>
  <r>
    <s v="LA-703036"/>
    <d v="2025-03-20T00:00:00"/>
    <x v="1"/>
    <s v="Q1"/>
    <x v="2"/>
    <x v="2"/>
    <x v="2"/>
    <x v="3"/>
    <x v="1"/>
    <x v="0"/>
    <n v="3450"/>
    <n v="75500"/>
    <n v="12"/>
    <n v="1.986"/>
    <s v="Rejected"/>
    <x v="0"/>
    <n v="0"/>
    <n v="1"/>
    <n v="0"/>
    <m/>
    <n v="5"/>
    <n v="1"/>
    <n v="1"/>
  </r>
  <r>
    <s v="LA-703037"/>
    <d v="2025-03-20T00:00:00"/>
    <x v="1"/>
    <s v="Q1"/>
    <x v="2"/>
    <x v="1"/>
    <x v="1"/>
    <x v="2"/>
    <x v="0"/>
    <x v="1"/>
    <n v="3650"/>
    <n v="12500"/>
    <n v="24"/>
    <n v="0.25900000000000001"/>
    <s v="Rejected"/>
    <x v="0"/>
    <n v="0"/>
    <n v="1"/>
    <n v="0"/>
    <m/>
    <n v="1"/>
    <n v="1"/>
    <n v="1"/>
  </r>
  <r>
    <s v="LA-703038"/>
    <d v="2025-03-20T00:00:00"/>
    <x v="1"/>
    <s v="Q1"/>
    <x v="2"/>
    <x v="2"/>
    <x v="3"/>
    <x v="4"/>
    <x v="2"/>
    <x v="1"/>
    <n v="7950"/>
    <n v="91500"/>
    <n v="12"/>
    <n v="1.1579999999999999"/>
    <s v="Rejected"/>
    <x v="3"/>
    <n v="0"/>
    <n v="1"/>
    <n v="0"/>
    <m/>
    <n v="12"/>
    <n v="0"/>
    <n v="1"/>
  </r>
  <r>
    <s v="LA-703039"/>
    <d v="2025-03-20T00:00:00"/>
    <x v="1"/>
    <s v="Q1"/>
    <x v="2"/>
    <x v="1"/>
    <x v="3"/>
    <x v="3"/>
    <x v="1"/>
    <x v="2"/>
    <n v="7250"/>
    <n v="8500"/>
    <n v="36"/>
    <n v="0.26100000000000001"/>
    <s v="Rejected"/>
    <x v="0"/>
    <n v="0"/>
    <n v="1"/>
    <n v="0"/>
    <m/>
    <n v="4"/>
    <n v="0"/>
    <n v="1"/>
  </r>
  <r>
    <s v="LA-703040"/>
    <d v="2025-03-20T00:00:00"/>
    <x v="1"/>
    <s v="Q1"/>
    <x v="2"/>
    <x v="1"/>
    <x v="2"/>
    <x v="2"/>
    <x v="1"/>
    <x v="4"/>
    <n v="5250"/>
    <n v="16000"/>
    <n v="12"/>
    <n v="0.38400000000000001"/>
    <s v="Rejected"/>
    <x v="5"/>
    <n v="0"/>
    <n v="1"/>
    <n v="0"/>
    <m/>
    <n v="2"/>
    <n v="1"/>
    <n v="1"/>
  </r>
  <r>
    <s v="LA-703041"/>
    <d v="2025-03-20T00:00:00"/>
    <x v="1"/>
    <s v="Q1"/>
    <x v="2"/>
    <x v="1"/>
    <x v="2"/>
    <x v="3"/>
    <x v="0"/>
    <x v="1"/>
    <n v="11650"/>
    <n v="7500"/>
    <n v="24"/>
    <n v="0.109"/>
    <s v="Rejected"/>
    <x v="4"/>
    <n v="0"/>
    <n v="1"/>
    <n v="0"/>
    <m/>
    <n v="5"/>
    <n v="0"/>
    <n v="1"/>
  </r>
  <r>
    <s v="LA-703042"/>
    <d v="2025-03-20T00:00:00"/>
    <x v="1"/>
    <s v="Q1"/>
    <x v="2"/>
    <x v="0"/>
    <x v="2"/>
    <x v="4"/>
    <x v="2"/>
    <x v="0"/>
    <n v="5350"/>
    <n v="12000"/>
    <n v="36"/>
    <n v="0.13700000000000001"/>
    <s v="Rejected"/>
    <x v="0"/>
    <n v="0"/>
    <n v="1"/>
    <n v="0"/>
    <m/>
    <n v="2"/>
    <n v="1"/>
    <n v="1"/>
  </r>
  <r>
    <s v="LA-703043"/>
    <d v="2025-03-20T00:00:00"/>
    <x v="1"/>
    <s v="Q1"/>
    <x v="2"/>
    <x v="1"/>
    <x v="3"/>
    <x v="1"/>
    <x v="2"/>
    <x v="4"/>
    <n v="4550"/>
    <n v="7000"/>
    <n v="36"/>
    <n v="0.214"/>
    <s v="Approved"/>
    <x v="1"/>
    <n v="1"/>
    <n v="0"/>
    <n v="5500"/>
    <n v="0.1162"/>
    <n v="5"/>
    <n v="0"/>
    <n v="1"/>
  </r>
  <r>
    <s v="LA-703044"/>
    <d v="2025-03-20T00:00:00"/>
    <x v="1"/>
    <s v="Q1"/>
    <x v="2"/>
    <x v="1"/>
    <x v="0"/>
    <x v="2"/>
    <x v="0"/>
    <x v="4"/>
    <n v="3950"/>
    <n v="9500"/>
    <n v="24"/>
    <n v="0.309"/>
    <s v="Approved"/>
    <x v="1"/>
    <n v="1"/>
    <n v="0"/>
    <n v="7500"/>
    <n v="0.1106"/>
    <n v="4"/>
    <n v="0"/>
    <n v="1"/>
  </r>
  <r>
    <s v="LA-703045"/>
    <d v="2025-03-20T00:00:00"/>
    <x v="1"/>
    <s v="Q1"/>
    <x v="2"/>
    <x v="3"/>
    <x v="2"/>
    <x v="1"/>
    <x v="1"/>
    <x v="1"/>
    <n v="6200"/>
    <n v="72000"/>
    <n v="180"/>
    <n v="0.21299999999999999"/>
    <s v="Approved"/>
    <x v="1"/>
    <n v="1"/>
    <n v="0"/>
    <n v="57500"/>
    <n v="6.1699999999999998E-2"/>
    <n v="6"/>
    <n v="1"/>
    <n v="1"/>
  </r>
  <r>
    <s v="LA-703046"/>
    <d v="2025-03-20T00:00:00"/>
    <x v="1"/>
    <s v="Q1"/>
    <x v="2"/>
    <x v="0"/>
    <x v="2"/>
    <x v="4"/>
    <x v="0"/>
    <x v="3"/>
    <n v="5900"/>
    <n v="46500"/>
    <n v="60"/>
    <n v="0.23499999999999999"/>
    <s v="Approved"/>
    <x v="1"/>
    <n v="1"/>
    <n v="0"/>
    <n v="46500"/>
    <n v="6.0299999999999999E-2"/>
    <n v="3"/>
    <n v="1"/>
    <n v="1"/>
  </r>
  <r>
    <s v="LA-703047"/>
    <d v="2025-03-20T00:00:00"/>
    <x v="1"/>
    <s v="Q1"/>
    <x v="2"/>
    <x v="2"/>
    <x v="1"/>
    <x v="2"/>
    <x v="1"/>
    <x v="1"/>
    <n v="4950"/>
    <n v="194500"/>
    <n v="24"/>
    <n v="1.9870000000000001"/>
    <s v="Rejected"/>
    <x v="3"/>
    <n v="0"/>
    <n v="1"/>
    <n v="0"/>
    <m/>
    <n v="5"/>
    <n v="1"/>
    <n v="1"/>
  </r>
  <r>
    <s v="LA-703048"/>
    <d v="2025-03-20T00:00:00"/>
    <x v="1"/>
    <s v="Q1"/>
    <x v="2"/>
    <x v="1"/>
    <x v="3"/>
    <x v="2"/>
    <x v="0"/>
    <x v="0"/>
    <n v="8000"/>
    <n v="9500"/>
    <n v="48"/>
    <n v="0.13400000000000001"/>
    <s v="Rejected"/>
    <x v="0"/>
    <n v="0"/>
    <n v="1"/>
    <n v="0"/>
    <m/>
    <n v="4"/>
    <n v="0"/>
    <n v="1"/>
  </r>
  <r>
    <s v="LA-703049"/>
    <d v="2025-03-21T00:00:00"/>
    <x v="1"/>
    <s v="Q1"/>
    <x v="2"/>
    <x v="0"/>
    <x v="0"/>
    <x v="3"/>
    <x v="0"/>
    <x v="4"/>
    <n v="4650"/>
    <n v="42000"/>
    <n v="60"/>
    <n v="0.35299999999999998"/>
    <s v="Approved"/>
    <x v="1"/>
    <n v="1"/>
    <n v="0"/>
    <n v="38000"/>
    <n v="7.6100000000000001E-2"/>
    <n v="4"/>
    <n v="1"/>
    <n v="1"/>
  </r>
  <r>
    <s v="LA-703050"/>
    <d v="2025-03-21T00:00:00"/>
    <x v="1"/>
    <s v="Q1"/>
    <x v="2"/>
    <x v="1"/>
    <x v="2"/>
    <x v="4"/>
    <x v="0"/>
    <x v="1"/>
    <n v="6650"/>
    <n v="5500"/>
    <n v="60"/>
    <n v="0.189"/>
    <s v="Approved"/>
    <x v="1"/>
    <n v="1"/>
    <n v="0"/>
    <n v="5500"/>
    <n v="0.13020000000000001"/>
    <n v="1"/>
    <n v="1"/>
    <n v="1"/>
  </r>
  <r>
    <s v="LA-703051"/>
    <d v="2025-03-21T00:00:00"/>
    <x v="1"/>
    <s v="Q1"/>
    <x v="2"/>
    <x v="0"/>
    <x v="3"/>
    <x v="2"/>
    <x v="1"/>
    <x v="4"/>
    <n v="6700"/>
    <n v="11000"/>
    <n v="48"/>
    <n v="0.28499999999999998"/>
    <s v="Approved"/>
    <x v="1"/>
    <n v="1"/>
    <n v="0"/>
    <n v="11000"/>
    <n v="7.22E-2"/>
    <n v="3"/>
    <n v="1"/>
    <n v="1"/>
  </r>
  <r>
    <s v="LA-703052"/>
    <d v="2025-03-21T00:00:00"/>
    <x v="1"/>
    <s v="Q1"/>
    <x v="2"/>
    <x v="0"/>
    <x v="2"/>
    <x v="1"/>
    <x v="0"/>
    <x v="1"/>
    <n v="2800"/>
    <n v="24500"/>
    <n v="60"/>
    <n v="0.30399999999999999"/>
    <s v="Approved"/>
    <x v="1"/>
    <n v="1"/>
    <n v="0"/>
    <n v="19500"/>
    <n v="8.3000000000000004E-2"/>
    <n v="2"/>
    <n v="1"/>
    <n v="1"/>
  </r>
  <r>
    <s v="LA-703053"/>
    <d v="2025-03-21T00:00:00"/>
    <x v="1"/>
    <s v="Q1"/>
    <x v="2"/>
    <x v="0"/>
    <x v="1"/>
    <x v="3"/>
    <x v="1"/>
    <x v="2"/>
    <n v="2600"/>
    <n v="56500"/>
    <n v="36"/>
    <n v="0.73099999999999998"/>
    <s v="Withdrawn"/>
    <x v="1"/>
    <n v="0"/>
    <n v="0"/>
    <n v="0"/>
    <m/>
    <n v="3"/>
    <n v="1"/>
    <n v="1"/>
  </r>
  <r>
    <s v="LA-703054"/>
    <d v="2025-03-21T00:00:00"/>
    <x v="1"/>
    <s v="Q1"/>
    <x v="2"/>
    <x v="1"/>
    <x v="2"/>
    <x v="2"/>
    <x v="1"/>
    <x v="4"/>
    <n v="6750"/>
    <n v="12000"/>
    <n v="36"/>
    <n v="0.254"/>
    <s v="Approved"/>
    <x v="1"/>
    <n v="1"/>
    <n v="0"/>
    <n v="12000"/>
    <n v="0.1179"/>
    <n v="2"/>
    <n v="1"/>
    <n v="1"/>
  </r>
  <r>
    <s v="LA-703055"/>
    <d v="2025-03-21T00:00:00"/>
    <x v="1"/>
    <s v="Q1"/>
    <x v="2"/>
    <x v="1"/>
    <x v="3"/>
    <x v="2"/>
    <x v="0"/>
    <x v="0"/>
    <n v="6200"/>
    <n v="6500"/>
    <n v="60"/>
    <n v="0.246"/>
    <s v="Rejected"/>
    <x v="0"/>
    <n v="0"/>
    <n v="1"/>
    <n v="0"/>
    <m/>
    <n v="3"/>
    <n v="1"/>
    <n v="1"/>
  </r>
  <r>
    <s v="LA-703056"/>
    <d v="2025-03-21T00:00:00"/>
    <x v="1"/>
    <s v="Q1"/>
    <x v="2"/>
    <x v="1"/>
    <x v="2"/>
    <x v="1"/>
    <x v="1"/>
    <x v="0"/>
    <n v="5400"/>
    <n v="27500"/>
    <n v="24"/>
    <n v="0.28999999999999998"/>
    <s v="Withdrawn"/>
    <x v="1"/>
    <n v="0"/>
    <n v="0"/>
    <n v="0"/>
    <m/>
    <n v="2"/>
    <n v="1"/>
    <n v="1"/>
  </r>
  <r>
    <s v="LA-703057"/>
    <d v="2025-03-21T00:00:00"/>
    <x v="1"/>
    <s v="Q1"/>
    <x v="2"/>
    <x v="2"/>
    <x v="1"/>
    <x v="2"/>
    <x v="1"/>
    <x v="1"/>
    <n v="8250"/>
    <n v="114500"/>
    <n v="24"/>
    <n v="0.86799999999999999"/>
    <s v="Approved"/>
    <x v="1"/>
    <n v="1"/>
    <n v="0"/>
    <n v="114500"/>
    <n v="0.115"/>
    <n v="4"/>
    <n v="1"/>
    <n v="1"/>
  </r>
  <r>
    <s v="LA-703058"/>
    <d v="2025-03-21T00:00:00"/>
    <x v="1"/>
    <s v="Q1"/>
    <x v="2"/>
    <x v="1"/>
    <x v="2"/>
    <x v="0"/>
    <x v="0"/>
    <x v="1"/>
    <n v="3550"/>
    <n v="18500"/>
    <n v="48"/>
    <n v="0.223"/>
    <s v="Approved"/>
    <x v="1"/>
    <n v="1"/>
    <n v="0"/>
    <n v="18500"/>
    <n v="0.12690000000000001"/>
    <n v="1"/>
    <n v="1"/>
    <n v="1"/>
  </r>
  <r>
    <s v="LA-703059"/>
    <d v="2025-03-21T00:00:00"/>
    <x v="1"/>
    <s v="Q1"/>
    <x v="2"/>
    <x v="0"/>
    <x v="2"/>
    <x v="3"/>
    <x v="2"/>
    <x v="1"/>
    <n v="19000"/>
    <n v="32500"/>
    <n v="60"/>
    <n v="9.6000000000000002E-2"/>
    <s v="Approved"/>
    <x v="1"/>
    <n v="1"/>
    <n v="0"/>
    <n v="26000"/>
    <n v="7.9299999999999995E-2"/>
    <n v="2"/>
    <n v="1"/>
    <n v="1"/>
  </r>
  <r>
    <s v="LA-703060"/>
    <d v="2025-03-22T00:00:00"/>
    <x v="1"/>
    <s v="Q1"/>
    <x v="2"/>
    <x v="0"/>
    <x v="1"/>
    <x v="3"/>
    <x v="1"/>
    <x v="0"/>
    <n v="5100"/>
    <n v="32000"/>
    <n v="36"/>
    <n v="0.438"/>
    <s v="Rejected"/>
    <x v="0"/>
    <n v="0"/>
    <n v="1"/>
    <n v="0"/>
    <m/>
    <n v="3"/>
    <n v="1"/>
    <n v="1"/>
  </r>
  <r>
    <s v="LA-703061"/>
    <d v="2025-03-22T00:00:00"/>
    <x v="1"/>
    <s v="Q1"/>
    <x v="2"/>
    <x v="2"/>
    <x v="2"/>
    <x v="3"/>
    <x v="0"/>
    <x v="0"/>
    <n v="5400"/>
    <n v="98500"/>
    <n v="36"/>
    <n v="0.71799999999999997"/>
    <s v="Rejected"/>
    <x v="0"/>
    <n v="0"/>
    <n v="1"/>
    <n v="0"/>
    <m/>
    <n v="7"/>
    <n v="1"/>
    <n v="1"/>
  </r>
  <r>
    <s v="LA-703062"/>
    <d v="2025-03-22T00:00:00"/>
    <x v="1"/>
    <s v="Q1"/>
    <x v="2"/>
    <x v="3"/>
    <x v="0"/>
    <x v="3"/>
    <x v="1"/>
    <x v="0"/>
    <n v="2250"/>
    <n v="106500"/>
    <n v="240"/>
    <n v="0.437"/>
    <s v="Rejected"/>
    <x v="0"/>
    <n v="0"/>
    <n v="1"/>
    <n v="0"/>
    <m/>
    <n v="26"/>
    <n v="0"/>
    <n v="1"/>
  </r>
  <r>
    <s v="LA-703063"/>
    <d v="2025-03-22T00:00:00"/>
    <x v="1"/>
    <s v="Q1"/>
    <x v="2"/>
    <x v="2"/>
    <x v="2"/>
    <x v="1"/>
    <x v="0"/>
    <x v="1"/>
    <n v="3100"/>
    <n v="89500"/>
    <n v="60"/>
    <n v="0.69299999999999995"/>
    <s v="Rejected"/>
    <x v="3"/>
    <n v="0"/>
    <n v="1"/>
    <n v="0"/>
    <m/>
    <n v="7"/>
    <n v="1"/>
    <n v="1"/>
  </r>
  <r>
    <s v="LA-703064"/>
    <d v="2025-03-23T00:00:00"/>
    <x v="1"/>
    <s v="Q1"/>
    <x v="2"/>
    <x v="0"/>
    <x v="2"/>
    <x v="2"/>
    <x v="2"/>
    <x v="4"/>
    <n v="5300"/>
    <n v="24000"/>
    <n v="36"/>
    <n v="0.33200000000000002"/>
    <s v="Approved"/>
    <x v="1"/>
    <n v="1"/>
    <n v="0"/>
    <n v="24000"/>
    <n v="7.0499999999999993E-2"/>
    <n v="1"/>
    <n v="1"/>
    <n v="1"/>
  </r>
  <r>
    <s v="LA-703065"/>
    <d v="2025-03-23T00:00:00"/>
    <x v="1"/>
    <s v="Q1"/>
    <x v="2"/>
    <x v="0"/>
    <x v="0"/>
    <x v="4"/>
    <x v="0"/>
    <x v="0"/>
    <n v="2850"/>
    <n v="45500"/>
    <n v="60"/>
    <n v="0.54"/>
    <s v="Rejected"/>
    <x v="0"/>
    <n v="0"/>
    <n v="1"/>
    <n v="0"/>
    <m/>
    <n v="4"/>
    <n v="1"/>
    <n v="1"/>
  </r>
  <r>
    <s v="LA-703066"/>
    <d v="2025-03-23T00:00:00"/>
    <x v="1"/>
    <s v="Q1"/>
    <x v="2"/>
    <x v="3"/>
    <x v="2"/>
    <x v="0"/>
    <x v="0"/>
    <x v="2"/>
    <n v="8500"/>
    <n v="645500"/>
    <n v="180"/>
    <n v="0.68500000000000005"/>
    <s v="Rejected"/>
    <x v="0"/>
    <n v="0"/>
    <n v="1"/>
    <n v="0"/>
    <m/>
    <n v="8"/>
    <n v="1"/>
    <n v="1"/>
  </r>
  <r>
    <s v="LA-703067"/>
    <d v="2025-03-23T00:00:00"/>
    <x v="1"/>
    <s v="Q1"/>
    <x v="2"/>
    <x v="0"/>
    <x v="1"/>
    <x v="2"/>
    <x v="2"/>
    <x v="2"/>
    <n v="9100"/>
    <n v="15500"/>
    <n v="48"/>
    <n v="0.22800000000000001"/>
    <s v="Approved"/>
    <x v="1"/>
    <n v="1"/>
    <n v="0"/>
    <n v="14000"/>
    <n v="0.11890000000000001"/>
    <n v="3"/>
    <n v="1"/>
    <n v="1"/>
  </r>
  <r>
    <s v="LA-703068"/>
    <d v="2025-03-23T00:00:00"/>
    <x v="1"/>
    <s v="Q1"/>
    <x v="2"/>
    <x v="1"/>
    <x v="0"/>
    <x v="4"/>
    <x v="1"/>
    <x v="4"/>
    <n v="11750"/>
    <n v="16500"/>
    <n v="60"/>
    <n v="0.26800000000000002"/>
    <s v="Rejected"/>
    <x v="4"/>
    <n v="0"/>
    <n v="1"/>
    <n v="0"/>
    <m/>
    <n v="8"/>
    <n v="0"/>
    <n v="1"/>
  </r>
  <r>
    <s v="LA-703069"/>
    <d v="2025-03-23T00:00:00"/>
    <x v="1"/>
    <s v="Q1"/>
    <x v="2"/>
    <x v="0"/>
    <x v="0"/>
    <x v="4"/>
    <x v="0"/>
    <x v="0"/>
    <n v="3150"/>
    <n v="28000"/>
    <n v="36"/>
    <n v="0.36399999999999999"/>
    <s v="Rejected"/>
    <x v="4"/>
    <n v="0"/>
    <n v="1"/>
    <n v="0"/>
    <m/>
    <n v="8"/>
    <n v="0"/>
    <n v="1"/>
  </r>
  <r>
    <s v="LA-703070"/>
    <d v="2025-03-23T00:00:00"/>
    <x v="1"/>
    <s v="Q1"/>
    <x v="2"/>
    <x v="3"/>
    <x v="3"/>
    <x v="0"/>
    <x v="0"/>
    <x v="4"/>
    <n v="3650"/>
    <n v="1145000"/>
    <n v="240"/>
    <n v="2.1920000000000002"/>
    <s v="Rejected"/>
    <x v="3"/>
    <n v="0"/>
    <n v="1"/>
    <n v="0"/>
    <m/>
    <n v="20"/>
    <n v="0"/>
    <n v="1"/>
  </r>
  <r>
    <s v="LA-703071"/>
    <d v="2025-03-23T00:00:00"/>
    <x v="1"/>
    <s v="Q1"/>
    <x v="2"/>
    <x v="2"/>
    <x v="1"/>
    <x v="2"/>
    <x v="0"/>
    <x v="1"/>
    <n v="3800"/>
    <n v="53500"/>
    <n v="60"/>
    <n v="0.49199999999999999"/>
    <s v="Approved"/>
    <x v="1"/>
    <n v="1"/>
    <n v="0"/>
    <n v="53500"/>
    <n v="0.109"/>
    <n v="6"/>
    <n v="1"/>
    <n v="1"/>
  </r>
  <r>
    <s v="LA-703072"/>
    <d v="2025-03-23T00:00:00"/>
    <x v="1"/>
    <s v="Q1"/>
    <x v="2"/>
    <x v="1"/>
    <x v="3"/>
    <x v="4"/>
    <x v="2"/>
    <x v="0"/>
    <n v="3100"/>
    <n v="12000"/>
    <n v="12"/>
    <n v="0.53900000000000003"/>
    <s v="Rejected"/>
    <x v="0"/>
    <n v="0"/>
    <n v="1"/>
    <n v="0"/>
    <m/>
    <n v="4"/>
    <n v="0"/>
    <n v="1"/>
  </r>
  <r>
    <s v="LA-703073"/>
    <d v="2025-03-23T00:00:00"/>
    <x v="1"/>
    <s v="Q1"/>
    <x v="2"/>
    <x v="3"/>
    <x v="1"/>
    <x v="3"/>
    <x v="1"/>
    <x v="0"/>
    <n v="4250"/>
    <n v="230000"/>
    <n v="180"/>
    <n v="0.61199999999999999"/>
    <s v="Approved"/>
    <x v="1"/>
    <n v="1"/>
    <n v="0"/>
    <n v="230000"/>
    <n v="7.4999999999999997E-2"/>
    <n v="8"/>
    <n v="1"/>
    <n v="1"/>
  </r>
  <r>
    <s v="LA-703074"/>
    <d v="2025-03-23T00:00:00"/>
    <x v="1"/>
    <s v="Q1"/>
    <x v="2"/>
    <x v="2"/>
    <x v="3"/>
    <x v="0"/>
    <x v="1"/>
    <x v="1"/>
    <n v="3850"/>
    <n v="68000"/>
    <n v="24"/>
    <n v="0.87"/>
    <s v="Rejected"/>
    <x v="3"/>
    <n v="0"/>
    <n v="1"/>
    <n v="0"/>
    <m/>
    <n v="11"/>
    <n v="0"/>
    <n v="1"/>
  </r>
  <r>
    <s v="LA-703075"/>
    <d v="2025-03-23T00:00:00"/>
    <x v="1"/>
    <s v="Q1"/>
    <x v="2"/>
    <x v="3"/>
    <x v="2"/>
    <x v="1"/>
    <x v="0"/>
    <x v="1"/>
    <n v="7250"/>
    <n v="224500"/>
    <n v="180"/>
    <n v="0.36599999999999999"/>
    <s v="Approved"/>
    <x v="1"/>
    <n v="1"/>
    <n v="0"/>
    <n v="224500"/>
    <n v="6.1199999999999997E-2"/>
    <n v="6"/>
    <n v="1"/>
    <n v="1"/>
  </r>
  <r>
    <s v="LA-703076"/>
    <d v="2025-03-24T00:00:00"/>
    <x v="1"/>
    <s v="Q1"/>
    <x v="2"/>
    <x v="0"/>
    <x v="1"/>
    <x v="2"/>
    <x v="0"/>
    <x v="1"/>
    <n v="2950"/>
    <n v="34500"/>
    <n v="36"/>
    <n v="0.42099999999999999"/>
    <s v="Approved"/>
    <x v="1"/>
    <n v="1"/>
    <n v="0"/>
    <n v="34500"/>
    <n v="7.9399999999999998E-2"/>
    <n v="1"/>
    <n v="1"/>
    <n v="1"/>
  </r>
  <r>
    <s v="LA-703077"/>
    <d v="2025-03-24T00:00:00"/>
    <x v="1"/>
    <s v="Q1"/>
    <x v="2"/>
    <x v="3"/>
    <x v="0"/>
    <x v="2"/>
    <x v="0"/>
    <x v="0"/>
    <n v="5500"/>
    <n v="743000"/>
    <n v="240"/>
    <n v="1.097"/>
    <s v="Rejected"/>
    <x v="3"/>
    <n v="0"/>
    <n v="1"/>
    <n v="0"/>
    <m/>
    <n v="17"/>
    <n v="0"/>
    <n v="1"/>
  </r>
  <r>
    <s v="LA-703078"/>
    <d v="2025-03-24T00:00:00"/>
    <x v="1"/>
    <s v="Q1"/>
    <x v="2"/>
    <x v="2"/>
    <x v="2"/>
    <x v="2"/>
    <x v="1"/>
    <x v="1"/>
    <n v="4600"/>
    <n v="100500"/>
    <n v="12"/>
    <n v="2.09"/>
    <s v="Rejected"/>
    <x v="3"/>
    <n v="0"/>
    <n v="1"/>
    <n v="0"/>
    <m/>
    <n v="8"/>
    <n v="1"/>
    <n v="1"/>
  </r>
  <r>
    <s v="LA-703079"/>
    <d v="2025-03-24T00:00:00"/>
    <x v="1"/>
    <s v="Q1"/>
    <x v="2"/>
    <x v="1"/>
    <x v="2"/>
    <x v="3"/>
    <x v="0"/>
    <x v="0"/>
    <n v="8950"/>
    <n v="10500"/>
    <n v="24"/>
    <n v="0.252"/>
    <s v="Rejected"/>
    <x v="0"/>
    <n v="0"/>
    <n v="1"/>
    <n v="0"/>
    <m/>
    <n v="1"/>
    <n v="1"/>
    <n v="1"/>
  </r>
  <r>
    <s v="LA-703080"/>
    <d v="2025-03-24T00:00:00"/>
    <x v="1"/>
    <s v="Q1"/>
    <x v="2"/>
    <x v="1"/>
    <x v="1"/>
    <x v="3"/>
    <x v="0"/>
    <x v="3"/>
    <n v="5550"/>
    <n v="19000"/>
    <n v="24"/>
    <n v="0.379"/>
    <s v="Approved"/>
    <x v="1"/>
    <n v="1"/>
    <n v="0"/>
    <n v="19000"/>
    <n v="0.11269999999999999"/>
    <n v="3"/>
    <n v="1"/>
    <n v="1"/>
  </r>
  <r>
    <s v="LA-703081"/>
    <d v="2025-03-24T00:00:00"/>
    <x v="1"/>
    <s v="Q1"/>
    <x v="2"/>
    <x v="0"/>
    <x v="3"/>
    <x v="2"/>
    <x v="2"/>
    <x v="1"/>
    <n v="5450"/>
    <n v="46500"/>
    <n v="60"/>
    <n v="0.34100000000000003"/>
    <s v="Rejected"/>
    <x v="5"/>
    <n v="0"/>
    <n v="1"/>
    <n v="0"/>
    <m/>
    <n v="12"/>
    <n v="0"/>
    <n v="1"/>
  </r>
  <r>
    <s v="LA-703082"/>
    <d v="2025-03-24T00:00:00"/>
    <x v="1"/>
    <s v="Q1"/>
    <x v="2"/>
    <x v="2"/>
    <x v="2"/>
    <x v="3"/>
    <x v="0"/>
    <x v="4"/>
    <n v="5550"/>
    <n v="58500"/>
    <n v="60"/>
    <n v="0.34399999999999997"/>
    <s v="Rejected"/>
    <x v="5"/>
    <n v="0"/>
    <n v="1"/>
    <n v="0"/>
    <m/>
    <n v="4"/>
    <n v="1"/>
    <n v="1"/>
  </r>
  <r>
    <s v="LA-703083"/>
    <d v="2025-03-24T00:00:00"/>
    <x v="1"/>
    <s v="Q1"/>
    <x v="2"/>
    <x v="0"/>
    <x v="1"/>
    <x v="2"/>
    <x v="0"/>
    <x v="4"/>
    <n v="10700"/>
    <n v="26000"/>
    <n v="60"/>
    <n v="0.224"/>
    <s v="Approved"/>
    <x v="1"/>
    <n v="1"/>
    <n v="0"/>
    <n v="26000"/>
    <n v="7.2800000000000004E-2"/>
    <n v="4"/>
    <n v="1"/>
    <n v="1"/>
  </r>
  <r>
    <s v="LA-703084"/>
    <d v="2025-03-24T00:00:00"/>
    <x v="1"/>
    <s v="Q1"/>
    <x v="2"/>
    <x v="2"/>
    <x v="2"/>
    <x v="1"/>
    <x v="2"/>
    <x v="3"/>
    <n v="6700"/>
    <n v="83000"/>
    <n v="60"/>
    <n v="0.41299999999999998"/>
    <s v="Approved"/>
    <x v="1"/>
    <n v="1"/>
    <n v="0"/>
    <n v="83000"/>
    <n v="9.1200000000000003E-2"/>
    <n v="6"/>
    <n v="1"/>
    <n v="1"/>
  </r>
  <r>
    <s v="LA-703085"/>
    <d v="2025-03-24T00:00:00"/>
    <x v="1"/>
    <s v="Q1"/>
    <x v="2"/>
    <x v="1"/>
    <x v="0"/>
    <x v="0"/>
    <x v="2"/>
    <x v="0"/>
    <n v="11000"/>
    <n v="7000"/>
    <n v="24"/>
    <n v="0.24299999999999999"/>
    <s v="Rejected"/>
    <x v="5"/>
    <n v="0"/>
    <n v="1"/>
    <n v="0"/>
    <m/>
    <n v="6"/>
    <n v="0"/>
    <n v="1"/>
  </r>
  <r>
    <s v="LA-703086"/>
    <d v="2025-03-25T00:00:00"/>
    <x v="1"/>
    <s v="Q1"/>
    <x v="2"/>
    <x v="0"/>
    <x v="0"/>
    <x v="1"/>
    <x v="0"/>
    <x v="1"/>
    <n v="7200"/>
    <n v="21000"/>
    <n v="60"/>
    <n v="0.16"/>
    <s v="Approved"/>
    <x v="1"/>
    <n v="1"/>
    <n v="0"/>
    <n v="21000"/>
    <n v="8.0699999999999994E-2"/>
    <n v="4"/>
    <n v="1"/>
    <n v="1"/>
  </r>
  <r>
    <s v="LA-703087"/>
    <d v="2025-03-25T00:00:00"/>
    <x v="1"/>
    <s v="Q1"/>
    <x v="2"/>
    <x v="1"/>
    <x v="0"/>
    <x v="1"/>
    <x v="1"/>
    <x v="0"/>
    <n v="6700"/>
    <n v="12000"/>
    <n v="48"/>
    <n v="0.14399999999999999"/>
    <s v="Approved"/>
    <x v="1"/>
    <n v="1"/>
    <n v="0"/>
    <n v="9500"/>
    <n v="0.1399"/>
    <n v="3"/>
    <n v="1"/>
    <n v="1"/>
  </r>
  <r>
    <s v="LA-703088"/>
    <d v="2025-03-25T00:00:00"/>
    <x v="1"/>
    <s v="Q1"/>
    <x v="2"/>
    <x v="1"/>
    <x v="2"/>
    <x v="2"/>
    <x v="1"/>
    <x v="0"/>
    <n v="4350"/>
    <n v="11500"/>
    <n v="12"/>
    <n v="0.32900000000000001"/>
    <s v="Approved"/>
    <x v="1"/>
    <n v="1"/>
    <n v="0"/>
    <n v="11500"/>
    <n v="0.1381"/>
    <n v="1"/>
    <n v="1"/>
    <n v="1"/>
  </r>
  <r>
    <s v="LA-703089"/>
    <d v="2025-03-25T00:00:00"/>
    <x v="1"/>
    <s v="Q1"/>
    <x v="2"/>
    <x v="3"/>
    <x v="0"/>
    <x v="3"/>
    <x v="0"/>
    <x v="4"/>
    <n v="3200"/>
    <n v="334500"/>
    <n v="180"/>
    <n v="0.95299999999999996"/>
    <s v="Rejected"/>
    <x v="3"/>
    <n v="0"/>
    <n v="1"/>
    <n v="0"/>
    <m/>
    <n v="27"/>
    <n v="0"/>
    <n v="1"/>
  </r>
  <r>
    <s v="LA-703090"/>
    <d v="2025-03-25T00:00:00"/>
    <x v="1"/>
    <s v="Q1"/>
    <x v="2"/>
    <x v="1"/>
    <x v="0"/>
    <x v="1"/>
    <x v="1"/>
    <x v="4"/>
    <n v="4750"/>
    <n v="12500"/>
    <n v="48"/>
    <n v="0.19"/>
    <s v="Approved"/>
    <x v="1"/>
    <n v="1"/>
    <n v="0"/>
    <n v="10000"/>
    <n v="0.11990000000000001"/>
    <n v="3"/>
    <n v="1"/>
    <n v="1"/>
  </r>
  <r>
    <s v="LA-703091"/>
    <d v="2025-03-25T00:00:00"/>
    <x v="1"/>
    <s v="Q1"/>
    <x v="2"/>
    <x v="2"/>
    <x v="0"/>
    <x v="3"/>
    <x v="0"/>
    <x v="0"/>
    <n v="3400"/>
    <n v="53000"/>
    <n v="24"/>
    <n v="0.8"/>
    <s v="Rejected"/>
    <x v="3"/>
    <n v="0"/>
    <n v="1"/>
    <n v="0"/>
    <m/>
    <n v="10"/>
    <n v="1"/>
    <n v="1"/>
  </r>
  <r>
    <s v="LA-703092"/>
    <d v="2025-03-25T00:00:00"/>
    <x v="1"/>
    <s v="Q1"/>
    <x v="2"/>
    <x v="1"/>
    <x v="0"/>
    <x v="2"/>
    <x v="2"/>
    <x v="4"/>
    <n v="14000"/>
    <n v="8000"/>
    <n v="48"/>
    <n v="0.20599999999999999"/>
    <s v="Withdrawn"/>
    <x v="1"/>
    <n v="0"/>
    <n v="0"/>
    <n v="0"/>
    <m/>
    <n v="8"/>
    <n v="0"/>
    <n v="1"/>
  </r>
  <r>
    <s v="LA-703093"/>
    <d v="2025-03-25T00:00:00"/>
    <x v="1"/>
    <s v="Q1"/>
    <x v="2"/>
    <x v="1"/>
    <x v="1"/>
    <x v="2"/>
    <x v="0"/>
    <x v="4"/>
    <n v="8100"/>
    <n v="12000"/>
    <n v="24"/>
    <n v="0.27500000000000002"/>
    <s v="Rejected"/>
    <x v="4"/>
    <n v="0"/>
    <n v="1"/>
    <n v="0"/>
    <m/>
    <n v="6"/>
    <n v="0"/>
    <n v="1"/>
  </r>
  <r>
    <s v="LA-703094"/>
    <d v="2025-03-25T00:00:00"/>
    <x v="1"/>
    <s v="Q1"/>
    <x v="2"/>
    <x v="1"/>
    <x v="3"/>
    <x v="2"/>
    <x v="0"/>
    <x v="1"/>
    <n v="5650"/>
    <n v="10500"/>
    <n v="24"/>
    <n v="0.33200000000000002"/>
    <s v="Approved"/>
    <x v="1"/>
    <n v="1"/>
    <n v="0"/>
    <n v="10500"/>
    <n v="0.1244"/>
    <n v="8"/>
    <n v="0"/>
    <n v="1"/>
  </r>
  <r>
    <s v="LA-703095"/>
    <d v="2025-03-25T00:00:00"/>
    <x v="1"/>
    <s v="Q1"/>
    <x v="2"/>
    <x v="2"/>
    <x v="1"/>
    <x v="3"/>
    <x v="2"/>
    <x v="1"/>
    <n v="6550"/>
    <n v="63000"/>
    <n v="60"/>
    <n v="0.28599999999999998"/>
    <s v="Rejected"/>
    <x v="5"/>
    <n v="0"/>
    <n v="1"/>
    <n v="0"/>
    <m/>
    <n v="4"/>
    <n v="1"/>
    <n v="1"/>
  </r>
  <r>
    <s v="LA-703096"/>
    <d v="2025-03-25T00:00:00"/>
    <x v="1"/>
    <s v="Q1"/>
    <x v="2"/>
    <x v="2"/>
    <x v="0"/>
    <x v="2"/>
    <x v="1"/>
    <x v="1"/>
    <n v="3900"/>
    <n v="80000"/>
    <n v="60"/>
    <n v="0.55400000000000005"/>
    <s v="Rejected"/>
    <x v="3"/>
    <n v="0"/>
    <n v="1"/>
    <n v="0"/>
    <m/>
    <n v="10"/>
    <n v="1"/>
    <n v="1"/>
  </r>
  <r>
    <s v="LA-703097"/>
    <d v="2025-03-26T00:00:00"/>
    <x v="1"/>
    <s v="Q1"/>
    <x v="2"/>
    <x v="2"/>
    <x v="0"/>
    <x v="3"/>
    <x v="2"/>
    <x v="4"/>
    <n v="5200"/>
    <n v="68500"/>
    <n v="36"/>
    <n v="0.622"/>
    <s v="Rejected"/>
    <x v="4"/>
    <n v="0"/>
    <n v="1"/>
    <n v="0"/>
    <m/>
    <n v="12"/>
    <n v="0"/>
    <n v="1"/>
  </r>
  <r>
    <s v="LA-703098"/>
    <d v="2025-03-26T00:00:00"/>
    <x v="1"/>
    <s v="Q1"/>
    <x v="2"/>
    <x v="1"/>
    <x v="0"/>
    <x v="2"/>
    <x v="1"/>
    <x v="0"/>
    <n v="2800"/>
    <n v="6000"/>
    <n v="60"/>
    <n v="0.115"/>
    <s v="Rejected"/>
    <x v="4"/>
    <n v="0"/>
    <n v="1"/>
    <n v="0"/>
    <m/>
    <n v="8"/>
    <n v="0"/>
    <n v="1"/>
  </r>
  <r>
    <s v="LA-703099"/>
    <d v="2025-03-26T00:00:00"/>
    <x v="1"/>
    <s v="Q1"/>
    <x v="2"/>
    <x v="0"/>
    <x v="2"/>
    <x v="1"/>
    <x v="1"/>
    <x v="4"/>
    <n v="2550"/>
    <n v="27000"/>
    <n v="36"/>
    <n v="0.45600000000000002"/>
    <s v="Approved"/>
    <x v="1"/>
    <n v="1"/>
    <n v="0"/>
    <n v="24500"/>
    <n v="7.1499999999999994E-2"/>
    <n v="5"/>
    <n v="0"/>
    <n v="1"/>
  </r>
  <r>
    <s v="LA-703100"/>
    <d v="2025-03-26T00:00:00"/>
    <x v="1"/>
    <s v="Q1"/>
    <x v="2"/>
    <x v="0"/>
    <x v="0"/>
    <x v="1"/>
    <x v="1"/>
    <x v="1"/>
    <n v="4900"/>
    <n v="37500"/>
    <n v="60"/>
    <n v="0.21299999999999999"/>
    <s v="Approved"/>
    <x v="1"/>
    <n v="1"/>
    <n v="0"/>
    <n v="37500"/>
    <n v="7.9699999999999993E-2"/>
    <n v="7"/>
    <n v="0"/>
    <n v="1"/>
  </r>
  <r>
    <s v="LA-703101"/>
    <d v="2025-03-26T00:00:00"/>
    <x v="1"/>
    <s v="Q1"/>
    <x v="2"/>
    <x v="1"/>
    <x v="3"/>
    <x v="4"/>
    <x v="0"/>
    <x v="3"/>
    <n v="9500"/>
    <n v="8000"/>
    <n v="48"/>
    <n v="0.13900000000000001"/>
    <s v="Approved"/>
    <x v="1"/>
    <n v="1"/>
    <n v="0"/>
    <n v="8000"/>
    <n v="0.10290000000000001"/>
    <n v="7"/>
    <n v="0"/>
    <n v="1"/>
  </r>
  <r>
    <s v="LA-703102"/>
    <d v="2025-03-26T00:00:00"/>
    <x v="1"/>
    <s v="Q1"/>
    <x v="2"/>
    <x v="0"/>
    <x v="2"/>
    <x v="2"/>
    <x v="2"/>
    <x v="4"/>
    <n v="6750"/>
    <n v="19500"/>
    <n v="48"/>
    <n v="0.192"/>
    <s v="Approved"/>
    <x v="1"/>
    <n v="1"/>
    <n v="0"/>
    <n v="19500"/>
    <n v="7.2099999999999997E-2"/>
    <n v="2"/>
    <n v="1"/>
    <n v="1"/>
  </r>
  <r>
    <s v="LA-703103"/>
    <d v="2025-03-27T00:00:00"/>
    <x v="1"/>
    <s v="Q1"/>
    <x v="2"/>
    <x v="2"/>
    <x v="0"/>
    <x v="3"/>
    <x v="0"/>
    <x v="3"/>
    <n v="9700"/>
    <n v="59000"/>
    <n v="24"/>
    <n v="0.44800000000000001"/>
    <s v="Approved"/>
    <x v="1"/>
    <n v="1"/>
    <n v="0"/>
    <n v="53000"/>
    <n v="9.0700000000000003E-2"/>
    <n v="9"/>
    <n v="1"/>
    <n v="1"/>
  </r>
  <r>
    <s v="LA-703104"/>
    <d v="2025-03-27T00:00:00"/>
    <x v="1"/>
    <s v="Q1"/>
    <x v="2"/>
    <x v="1"/>
    <x v="1"/>
    <x v="2"/>
    <x v="0"/>
    <x v="3"/>
    <n v="5550"/>
    <n v="28000"/>
    <n v="24"/>
    <n v="0.46700000000000003"/>
    <s v="Approved"/>
    <x v="1"/>
    <n v="1"/>
    <n v="0"/>
    <n v="28000"/>
    <n v="0.108"/>
    <n v="2"/>
    <n v="1"/>
    <n v="1"/>
  </r>
  <r>
    <s v="LA-703105"/>
    <d v="2025-03-27T00:00:00"/>
    <x v="1"/>
    <s v="Q1"/>
    <x v="2"/>
    <x v="3"/>
    <x v="1"/>
    <x v="2"/>
    <x v="2"/>
    <x v="4"/>
    <n v="4950"/>
    <n v="283000"/>
    <n v="180"/>
    <n v="0.57399999999999995"/>
    <s v="Rejected"/>
    <x v="3"/>
    <n v="0"/>
    <n v="1"/>
    <n v="0"/>
    <m/>
    <n v="6"/>
    <n v="1"/>
    <n v="1"/>
  </r>
  <r>
    <s v="LA-703106"/>
    <d v="2025-03-27T00:00:00"/>
    <x v="1"/>
    <s v="Q1"/>
    <x v="2"/>
    <x v="2"/>
    <x v="2"/>
    <x v="2"/>
    <x v="0"/>
    <x v="4"/>
    <n v="6300"/>
    <n v="220500"/>
    <n v="60"/>
    <n v="0.91700000000000004"/>
    <s v="Rejected"/>
    <x v="3"/>
    <n v="0"/>
    <n v="1"/>
    <n v="0"/>
    <m/>
    <n v="6"/>
    <n v="1"/>
    <n v="1"/>
  </r>
  <r>
    <s v="LA-703107"/>
    <d v="2025-03-27T00:00:00"/>
    <x v="1"/>
    <s v="Q1"/>
    <x v="2"/>
    <x v="3"/>
    <x v="3"/>
    <x v="3"/>
    <x v="0"/>
    <x v="1"/>
    <n v="6550"/>
    <n v="140500"/>
    <n v="180"/>
    <n v="0.27"/>
    <s v="Approved"/>
    <x v="1"/>
    <n v="1"/>
    <n v="0"/>
    <n v="140500"/>
    <n v="5.6099999999999997E-2"/>
    <n v="22"/>
    <n v="0"/>
    <n v="1"/>
  </r>
  <r>
    <s v="LA-703108"/>
    <d v="2025-03-28T00:00:00"/>
    <x v="1"/>
    <s v="Q1"/>
    <x v="2"/>
    <x v="3"/>
    <x v="2"/>
    <x v="2"/>
    <x v="0"/>
    <x v="2"/>
    <n v="3700"/>
    <n v="387000"/>
    <n v="240"/>
    <n v="0.76"/>
    <s v="Rejected"/>
    <x v="0"/>
    <n v="0"/>
    <n v="1"/>
    <n v="0"/>
    <m/>
    <n v="5"/>
    <n v="1"/>
    <n v="1"/>
  </r>
  <r>
    <s v="LA-703109"/>
    <d v="2025-03-28T00:00:00"/>
    <x v="1"/>
    <s v="Q1"/>
    <x v="2"/>
    <x v="3"/>
    <x v="3"/>
    <x v="3"/>
    <x v="0"/>
    <x v="4"/>
    <n v="5900"/>
    <n v="254000"/>
    <n v="180"/>
    <n v="0.55300000000000005"/>
    <s v="Rejected"/>
    <x v="3"/>
    <n v="0"/>
    <n v="1"/>
    <n v="0"/>
    <m/>
    <n v="18"/>
    <n v="0"/>
    <n v="1"/>
  </r>
  <r>
    <s v="LA-703110"/>
    <d v="2025-03-28T00:00:00"/>
    <x v="1"/>
    <s v="Q1"/>
    <x v="2"/>
    <x v="1"/>
    <x v="2"/>
    <x v="3"/>
    <x v="0"/>
    <x v="0"/>
    <n v="3250"/>
    <n v="10000"/>
    <n v="48"/>
    <n v="0.29499999999999998"/>
    <s v="Rejected"/>
    <x v="0"/>
    <n v="0"/>
    <n v="1"/>
    <n v="0"/>
    <m/>
    <n v="1"/>
    <n v="1"/>
    <n v="1"/>
  </r>
  <r>
    <s v="LA-703111"/>
    <d v="2025-03-28T00:00:00"/>
    <x v="1"/>
    <s v="Q1"/>
    <x v="2"/>
    <x v="1"/>
    <x v="2"/>
    <x v="3"/>
    <x v="1"/>
    <x v="1"/>
    <n v="6500"/>
    <n v="9500"/>
    <n v="12"/>
    <n v="0.22500000000000001"/>
    <s v="Approved"/>
    <x v="1"/>
    <n v="1"/>
    <n v="0"/>
    <n v="9500"/>
    <n v="0.1225"/>
    <n v="2"/>
    <n v="1"/>
    <n v="1"/>
  </r>
  <r>
    <s v="LA-703112"/>
    <d v="2025-03-28T00:00:00"/>
    <x v="1"/>
    <s v="Q1"/>
    <x v="2"/>
    <x v="3"/>
    <x v="3"/>
    <x v="4"/>
    <x v="2"/>
    <x v="4"/>
    <n v="4600"/>
    <n v="387500"/>
    <n v="300"/>
    <n v="0.57699999999999996"/>
    <s v="Approved"/>
    <x v="1"/>
    <n v="1"/>
    <n v="0"/>
    <n v="387500"/>
    <n v="4.6100000000000002E-2"/>
    <n v="13"/>
    <n v="1"/>
    <n v="1"/>
  </r>
  <r>
    <s v="LA-703113"/>
    <d v="2025-03-28T00:00:00"/>
    <x v="1"/>
    <s v="Q1"/>
    <x v="2"/>
    <x v="3"/>
    <x v="1"/>
    <x v="1"/>
    <x v="0"/>
    <x v="0"/>
    <n v="5550"/>
    <n v="202000"/>
    <n v="240"/>
    <n v="0.29199999999999998"/>
    <s v="Rejected"/>
    <x v="5"/>
    <n v="0"/>
    <n v="1"/>
    <n v="0"/>
    <m/>
    <n v="7"/>
    <n v="1"/>
    <n v="1"/>
  </r>
  <r>
    <s v="LA-703114"/>
    <d v="2025-03-28T00:00:00"/>
    <x v="1"/>
    <s v="Q1"/>
    <x v="2"/>
    <x v="3"/>
    <x v="1"/>
    <x v="2"/>
    <x v="0"/>
    <x v="2"/>
    <n v="4000"/>
    <n v="150000"/>
    <n v="240"/>
    <n v="0.433"/>
    <s v="Rejected"/>
    <x v="0"/>
    <n v="0"/>
    <n v="1"/>
    <n v="0"/>
    <m/>
    <n v="3"/>
    <n v="1"/>
    <n v="1"/>
  </r>
  <r>
    <s v="LA-703115"/>
    <d v="2025-03-28T00:00:00"/>
    <x v="1"/>
    <s v="Q1"/>
    <x v="2"/>
    <x v="1"/>
    <x v="2"/>
    <x v="1"/>
    <x v="2"/>
    <x v="3"/>
    <n v="4400"/>
    <n v="8000"/>
    <n v="24"/>
    <n v="0.155"/>
    <s v="Approved"/>
    <x v="1"/>
    <n v="1"/>
    <n v="0"/>
    <n v="8000"/>
    <n v="0.1106"/>
    <n v="2"/>
    <n v="1"/>
    <n v="1"/>
  </r>
  <r>
    <s v="LA-703116"/>
    <d v="2025-03-28T00:00:00"/>
    <x v="1"/>
    <s v="Q1"/>
    <x v="2"/>
    <x v="1"/>
    <x v="1"/>
    <x v="4"/>
    <x v="0"/>
    <x v="4"/>
    <n v="7450"/>
    <n v="16500"/>
    <n v="12"/>
    <n v="0.40200000000000002"/>
    <s v="Approved"/>
    <x v="1"/>
    <n v="1"/>
    <n v="0"/>
    <n v="15000"/>
    <n v="0.1177"/>
    <n v="4"/>
    <n v="0"/>
    <n v="1"/>
  </r>
  <r>
    <s v="LA-703117"/>
    <d v="2025-03-28T00:00:00"/>
    <x v="1"/>
    <s v="Q1"/>
    <x v="2"/>
    <x v="0"/>
    <x v="1"/>
    <x v="1"/>
    <x v="0"/>
    <x v="4"/>
    <n v="6400"/>
    <n v="33500"/>
    <n v="48"/>
    <n v="0.25700000000000001"/>
    <s v="Approved"/>
    <x v="1"/>
    <n v="1"/>
    <n v="0"/>
    <n v="33500"/>
    <n v="7.4099999999999999E-2"/>
    <n v="3"/>
    <n v="1"/>
    <n v="1"/>
  </r>
  <r>
    <s v="LA-703118"/>
    <d v="2025-03-29T00:00:00"/>
    <x v="1"/>
    <s v="Q1"/>
    <x v="2"/>
    <x v="3"/>
    <x v="1"/>
    <x v="0"/>
    <x v="0"/>
    <x v="0"/>
    <n v="4050"/>
    <n v="243000"/>
    <n v="240"/>
    <n v="0.55400000000000005"/>
    <s v="Rejected"/>
    <x v="0"/>
    <n v="0"/>
    <n v="1"/>
    <n v="0"/>
    <m/>
    <n v="5"/>
    <n v="1"/>
    <n v="1"/>
  </r>
  <r>
    <s v="LA-703119"/>
    <d v="2025-03-29T00:00:00"/>
    <x v="1"/>
    <s v="Q1"/>
    <x v="2"/>
    <x v="3"/>
    <x v="2"/>
    <x v="2"/>
    <x v="0"/>
    <x v="4"/>
    <n v="4150"/>
    <n v="137500"/>
    <n v="300"/>
    <n v="0.308"/>
    <s v="Approved"/>
    <x v="1"/>
    <n v="1"/>
    <n v="0"/>
    <n v="137500"/>
    <n v="4.9799999999999997E-2"/>
    <n v="6"/>
    <n v="1"/>
    <n v="1"/>
  </r>
  <r>
    <s v="LA-703120"/>
    <d v="2025-03-29T00:00:00"/>
    <x v="1"/>
    <s v="Q1"/>
    <x v="2"/>
    <x v="3"/>
    <x v="2"/>
    <x v="3"/>
    <x v="0"/>
    <x v="3"/>
    <n v="4400"/>
    <n v="305500"/>
    <n v="300"/>
    <n v="0.47799999999999998"/>
    <s v="Approved"/>
    <x v="1"/>
    <n v="1"/>
    <n v="0"/>
    <n v="244500"/>
    <n v="3.9899999999999998E-2"/>
    <n v="4"/>
    <n v="1"/>
    <n v="1"/>
  </r>
  <r>
    <s v="LA-703121"/>
    <d v="2025-03-29T00:00:00"/>
    <x v="1"/>
    <s v="Q1"/>
    <x v="2"/>
    <x v="0"/>
    <x v="0"/>
    <x v="2"/>
    <x v="0"/>
    <x v="2"/>
    <n v="4400"/>
    <n v="19500"/>
    <n v="60"/>
    <n v="0.27400000000000002"/>
    <s v="Approved"/>
    <x v="1"/>
    <n v="1"/>
    <n v="0"/>
    <n v="19500"/>
    <n v="0.11890000000000001"/>
    <n v="4"/>
    <n v="1"/>
    <n v="1"/>
  </r>
  <r>
    <s v="LA-703122"/>
    <d v="2025-03-29T00:00:00"/>
    <x v="1"/>
    <s v="Q1"/>
    <x v="2"/>
    <x v="1"/>
    <x v="1"/>
    <x v="1"/>
    <x v="0"/>
    <x v="1"/>
    <n v="7000"/>
    <n v="9500"/>
    <n v="36"/>
    <n v="0.187"/>
    <s v="Approved"/>
    <x v="1"/>
    <n v="1"/>
    <n v="0"/>
    <n v="9500"/>
    <n v="0.1234"/>
    <n v="1"/>
    <n v="1"/>
    <n v="1"/>
  </r>
  <r>
    <s v="LA-703123"/>
    <d v="2025-03-30T00:00:00"/>
    <x v="1"/>
    <s v="Q1"/>
    <x v="2"/>
    <x v="1"/>
    <x v="3"/>
    <x v="1"/>
    <x v="0"/>
    <x v="0"/>
    <n v="4050"/>
    <n v="8500"/>
    <n v="48"/>
    <n v="0.11799999999999999"/>
    <s v="Approved"/>
    <x v="1"/>
    <n v="1"/>
    <n v="0"/>
    <n v="8500"/>
    <n v="0.1399"/>
    <n v="3"/>
    <n v="1"/>
    <n v="1"/>
  </r>
  <r>
    <s v="LA-703124"/>
    <d v="2025-03-30T00:00:00"/>
    <x v="1"/>
    <s v="Q1"/>
    <x v="2"/>
    <x v="3"/>
    <x v="1"/>
    <x v="3"/>
    <x v="0"/>
    <x v="2"/>
    <n v="4500"/>
    <n v="396500"/>
    <n v="180"/>
    <n v="0.82599999999999996"/>
    <s v="Rejected"/>
    <x v="0"/>
    <n v="0"/>
    <n v="1"/>
    <n v="0"/>
    <m/>
    <n v="6"/>
    <n v="1"/>
    <n v="1"/>
  </r>
  <r>
    <s v="LA-703125"/>
    <d v="2025-03-30T00:00:00"/>
    <x v="1"/>
    <s v="Q1"/>
    <x v="2"/>
    <x v="0"/>
    <x v="3"/>
    <x v="3"/>
    <x v="1"/>
    <x v="0"/>
    <n v="4950"/>
    <n v="29500"/>
    <n v="36"/>
    <n v="0.314"/>
    <s v="Approved"/>
    <x v="1"/>
    <n v="1"/>
    <n v="0"/>
    <n v="29500"/>
    <n v="0.1018"/>
    <n v="7"/>
    <n v="0"/>
    <n v="1"/>
  </r>
  <r>
    <s v="LA-703126"/>
    <d v="2025-03-30T00:00:00"/>
    <x v="1"/>
    <s v="Q1"/>
    <x v="2"/>
    <x v="1"/>
    <x v="1"/>
    <x v="3"/>
    <x v="0"/>
    <x v="1"/>
    <n v="6000"/>
    <n v="7500"/>
    <n v="36"/>
    <n v="0.17599999999999999"/>
    <s v="Approved"/>
    <x v="1"/>
    <n v="1"/>
    <n v="0"/>
    <n v="7500"/>
    <n v="0.1283"/>
    <n v="1"/>
    <n v="1"/>
    <n v="1"/>
  </r>
  <r>
    <s v="LA-703127"/>
    <d v="2025-03-31T00:00:00"/>
    <x v="1"/>
    <s v="Q1"/>
    <x v="2"/>
    <x v="3"/>
    <x v="3"/>
    <x v="2"/>
    <x v="1"/>
    <x v="0"/>
    <n v="5800"/>
    <n v="88000"/>
    <n v="240"/>
    <n v="0.25700000000000001"/>
    <s v="Rejected"/>
    <x v="0"/>
    <n v="0"/>
    <n v="1"/>
    <n v="0"/>
    <m/>
    <n v="13"/>
    <n v="1"/>
    <n v="1"/>
  </r>
  <r>
    <s v="LA-703128"/>
    <d v="2025-03-31T00:00:00"/>
    <x v="1"/>
    <s v="Q1"/>
    <x v="2"/>
    <x v="2"/>
    <x v="3"/>
    <x v="2"/>
    <x v="0"/>
    <x v="1"/>
    <n v="4050"/>
    <n v="150500"/>
    <n v="24"/>
    <n v="1.7969999999999999"/>
    <s v="Rejected"/>
    <x v="3"/>
    <n v="0"/>
    <n v="1"/>
    <n v="0"/>
    <m/>
    <n v="15"/>
    <n v="0"/>
    <n v="1"/>
  </r>
  <r>
    <s v="LA-703129"/>
    <d v="2025-03-31T00:00:00"/>
    <x v="1"/>
    <s v="Q1"/>
    <x v="2"/>
    <x v="1"/>
    <x v="2"/>
    <x v="3"/>
    <x v="1"/>
    <x v="1"/>
    <n v="7800"/>
    <n v="13500"/>
    <n v="36"/>
    <n v="0.122"/>
    <s v="Rejected"/>
    <x v="2"/>
    <n v="0"/>
    <n v="1"/>
    <n v="0"/>
    <m/>
    <n v="2"/>
    <n v="1"/>
    <n v="1"/>
  </r>
  <r>
    <s v="LA-703130"/>
    <d v="2025-03-31T00:00:00"/>
    <x v="1"/>
    <s v="Q1"/>
    <x v="2"/>
    <x v="0"/>
    <x v="2"/>
    <x v="1"/>
    <x v="1"/>
    <x v="2"/>
    <n v="7850"/>
    <n v="57500"/>
    <n v="48"/>
    <n v="0.3"/>
    <s v="Rejected"/>
    <x v="0"/>
    <n v="0"/>
    <n v="1"/>
    <n v="0"/>
    <m/>
    <n v="2"/>
    <n v="1"/>
    <n v="1"/>
  </r>
  <r>
    <s v="LA-703131"/>
    <d v="2025-03-31T00:00:00"/>
    <x v="1"/>
    <s v="Q1"/>
    <x v="2"/>
    <x v="2"/>
    <x v="3"/>
    <x v="0"/>
    <x v="1"/>
    <x v="0"/>
    <n v="4750"/>
    <n v="82500"/>
    <n v="24"/>
    <n v="1.022"/>
    <s v="Rejected"/>
    <x v="0"/>
    <n v="0"/>
    <n v="1"/>
    <n v="0"/>
    <m/>
    <n v="9"/>
    <n v="1"/>
    <n v="1"/>
  </r>
  <r>
    <s v="LA-703132"/>
    <d v="2025-03-31T00:00:00"/>
    <x v="1"/>
    <s v="Q1"/>
    <x v="2"/>
    <x v="0"/>
    <x v="1"/>
    <x v="4"/>
    <x v="0"/>
    <x v="1"/>
    <n v="5250"/>
    <n v="13500"/>
    <n v="48"/>
    <n v="0.17799999999999999"/>
    <s v="Approved"/>
    <x v="1"/>
    <n v="1"/>
    <n v="0"/>
    <n v="11000"/>
    <n v="8.0500000000000002E-2"/>
    <n v="2"/>
    <n v="1"/>
    <n v="1"/>
  </r>
  <r>
    <s v="LA-703133"/>
    <d v="2025-03-31T00:00:00"/>
    <x v="1"/>
    <s v="Q1"/>
    <x v="2"/>
    <x v="1"/>
    <x v="1"/>
    <x v="4"/>
    <x v="0"/>
    <x v="0"/>
    <n v="4650"/>
    <n v="16000"/>
    <n v="48"/>
    <n v="0.318"/>
    <s v="Rejected"/>
    <x v="0"/>
    <n v="0"/>
    <n v="1"/>
    <n v="0"/>
    <m/>
    <n v="1"/>
    <n v="1"/>
    <n v="1"/>
  </r>
  <r>
    <s v="LA-703134"/>
    <d v="2025-03-31T00:00:00"/>
    <x v="1"/>
    <s v="Q1"/>
    <x v="2"/>
    <x v="3"/>
    <x v="2"/>
    <x v="2"/>
    <x v="0"/>
    <x v="3"/>
    <n v="5450"/>
    <n v="190000"/>
    <n v="300"/>
    <n v="0.25600000000000001"/>
    <s v="Approved"/>
    <x v="1"/>
    <n v="1"/>
    <n v="0"/>
    <n v="171000"/>
    <n v="4.0800000000000003E-2"/>
    <n v="10"/>
    <n v="1"/>
    <n v="1"/>
  </r>
  <r>
    <s v="LA-703135"/>
    <d v="2025-03-31T00:00:00"/>
    <x v="1"/>
    <s v="Q1"/>
    <x v="2"/>
    <x v="3"/>
    <x v="2"/>
    <x v="2"/>
    <x v="0"/>
    <x v="1"/>
    <n v="10250"/>
    <n v="176000"/>
    <n v="240"/>
    <n v="0.25600000000000001"/>
    <s v="Approved"/>
    <x v="1"/>
    <n v="1"/>
    <n v="0"/>
    <n v="176000"/>
    <n v="6.2199999999999998E-2"/>
    <n v="6"/>
    <n v="1"/>
    <n v="1"/>
  </r>
  <r>
    <s v="LA-703136"/>
    <d v="2025-04-01T00:00:00"/>
    <x v="1"/>
    <s v="Q2"/>
    <x v="3"/>
    <x v="1"/>
    <x v="0"/>
    <x v="3"/>
    <x v="1"/>
    <x v="1"/>
    <n v="8000"/>
    <n v="10500"/>
    <n v="48"/>
    <n v="0.251"/>
    <s v="Approved"/>
    <x v="1"/>
    <n v="1"/>
    <n v="0"/>
    <n v="10500"/>
    <n v="0.122"/>
    <n v="3"/>
    <n v="1"/>
    <n v="1"/>
  </r>
  <r>
    <s v="LA-703137"/>
    <d v="2025-04-01T00:00:00"/>
    <x v="1"/>
    <s v="Q2"/>
    <x v="3"/>
    <x v="1"/>
    <x v="0"/>
    <x v="0"/>
    <x v="2"/>
    <x v="1"/>
    <n v="5300"/>
    <n v="5000"/>
    <n v="36"/>
    <n v="0.248"/>
    <s v="Rejected"/>
    <x v="5"/>
    <n v="0"/>
    <n v="1"/>
    <n v="0"/>
    <m/>
    <n v="4"/>
    <n v="0"/>
    <n v="1"/>
  </r>
  <r>
    <s v="LA-703138"/>
    <d v="2025-04-01T00:00:00"/>
    <x v="1"/>
    <s v="Q2"/>
    <x v="3"/>
    <x v="1"/>
    <x v="2"/>
    <x v="2"/>
    <x v="0"/>
    <x v="4"/>
    <n v="5350"/>
    <n v="5000"/>
    <n v="36"/>
    <n v="0.112"/>
    <s v="Withdrawn"/>
    <x v="1"/>
    <n v="0"/>
    <n v="0"/>
    <n v="0"/>
    <m/>
    <n v="1"/>
    <n v="1"/>
    <n v="1"/>
  </r>
  <r>
    <s v="LA-703139"/>
    <d v="2025-04-01T00:00:00"/>
    <x v="1"/>
    <s v="Q2"/>
    <x v="3"/>
    <x v="0"/>
    <x v="1"/>
    <x v="2"/>
    <x v="0"/>
    <x v="3"/>
    <n v="5300"/>
    <n v="16000"/>
    <n v="60"/>
    <n v="0.11700000000000001"/>
    <s v="Approved"/>
    <x v="1"/>
    <n v="1"/>
    <n v="0"/>
    <n v="16000"/>
    <n v="6.3100000000000003E-2"/>
    <n v="3"/>
    <n v="1"/>
    <n v="1"/>
  </r>
  <r>
    <s v="LA-703140"/>
    <d v="2025-04-01T00:00:00"/>
    <x v="1"/>
    <s v="Q2"/>
    <x v="3"/>
    <x v="0"/>
    <x v="0"/>
    <x v="1"/>
    <x v="0"/>
    <x v="1"/>
    <n v="10600"/>
    <n v="37500"/>
    <n v="36"/>
    <n v="0.29899999999999999"/>
    <s v="Withdrawn"/>
    <x v="1"/>
    <n v="0"/>
    <n v="0"/>
    <n v="0"/>
    <m/>
    <n v="2"/>
    <n v="1"/>
    <n v="1"/>
  </r>
  <r>
    <s v="LA-703141"/>
    <d v="2025-04-01T00:00:00"/>
    <x v="1"/>
    <s v="Q2"/>
    <x v="3"/>
    <x v="0"/>
    <x v="1"/>
    <x v="3"/>
    <x v="2"/>
    <x v="4"/>
    <n v="8150"/>
    <n v="49000"/>
    <n v="60"/>
    <n v="0.247"/>
    <s v="Approved"/>
    <x v="1"/>
    <n v="1"/>
    <n v="0"/>
    <n v="49000"/>
    <n v="7.7700000000000005E-2"/>
    <n v="2"/>
    <n v="1"/>
    <n v="1"/>
  </r>
  <r>
    <s v="LA-703142"/>
    <d v="2025-04-01T00:00:00"/>
    <x v="1"/>
    <s v="Q2"/>
    <x v="3"/>
    <x v="3"/>
    <x v="2"/>
    <x v="1"/>
    <x v="0"/>
    <x v="4"/>
    <n v="3250"/>
    <n v="280000"/>
    <n v="300"/>
    <n v="0.73699999999999999"/>
    <s v="Approved"/>
    <x v="1"/>
    <n v="1"/>
    <n v="0"/>
    <n v="252000"/>
    <n v="5.1499999999999997E-2"/>
    <n v="9"/>
    <n v="1"/>
    <n v="1"/>
  </r>
  <r>
    <s v="LA-703143"/>
    <d v="2025-04-01T00:00:00"/>
    <x v="1"/>
    <s v="Q2"/>
    <x v="3"/>
    <x v="2"/>
    <x v="2"/>
    <x v="2"/>
    <x v="1"/>
    <x v="4"/>
    <n v="4550"/>
    <n v="141500"/>
    <n v="36"/>
    <n v="1.081"/>
    <s v="Rejected"/>
    <x v="3"/>
    <n v="0"/>
    <n v="1"/>
    <n v="0"/>
    <m/>
    <n v="6"/>
    <n v="1"/>
    <n v="1"/>
  </r>
  <r>
    <s v="LA-703144"/>
    <d v="2025-04-01T00:00:00"/>
    <x v="1"/>
    <s v="Q2"/>
    <x v="3"/>
    <x v="3"/>
    <x v="1"/>
    <x v="2"/>
    <x v="0"/>
    <x v="4"/>
    <n v="10250"/>
    <n v="229000"/>
    <n v="300"/>
    <n v="0.34300000000000003"/>
    <s v="Approved"/>
    <x v="1"/>
    <n v="1"/>
    <n v="0"/>
    <n v="229000"/>
    <n v="4.7600000000000003E-2"/>
    <n v="7"/>
    <n v="1"/>
    <n v="1"/>
  </r>
  <r>
    <s v="LA-703145"/>
    <d v="2025-04-01T00:00:00"/>
    <x v="1"/>
    <s v="Q2"/>
    <x v="3"/>
    <x v="3"/>
    <x v="2"/>
    <x v="2"/>
    <x v="2"/>
    <x v="0"/>
    <n v="2900"/>
    <n v="247000"/>
    <n v="240"/>
    <n v="0.71799999999999997"/>
    <s v="Withdrawn"/>
    <x v="1"/>
    <n v="0"/>
    <n v="0"/>
    <n v="0"/>
    <m/>
    <n v="7"/>
    <n v="1"/>
    <n v="1"/>
  </r>
  <r>
    <s v="LA-703146"/>
    <d v="2025-04-02T00:00:00"/>
    <x v="1"/>
    <s v="Q2"/>
    <x v="3"/>
    <x v="1"/>
    <x v="3"/>
    <x v="3"/>
    <x v="2"/>
    <x v="1"/>
    <n v="7850"/>
    <n v="17500"/>
    <n v="48"/>
    <n v="0.17199999999999999"/>
    <s v="Approved"/>
    <x v="1"/>
    <n v="1"/>
    <n v="0"/>
    <n v="17500"/>
    <n v="0.12820000000000001"/>
    <n v="5"/>
    <n v="0"/>
    <n v="1"/>
  </r>
  <r>
    <s v="LA-703147"/>
    <d v="2025-04-02T00:00:00"/>
    <x v="1"/>
    <s v="Q2"/>
    <x v="3"/>
    <x v="1"/>
    <x v="0"/>
    <x v="3"/>
    <x v="1"/>
    <x v="0"/>
    <n v="6150"/>
    <n v="22000"/>
    <n v="36"/>
    <n v="0.33500000000000002"/>
    <s v="Approved"/>
    <x v="1"/>
    <n v="1"/>
    <n v="0"/>
    <n v="22000"/>
    <n v="0.13869999999999999"/>
    <n v="4"/>
    <n v="0"/>
    <n v="1"/>
  </r>
  <r>
    <s v="LA-703148"/>
    <d v="2025-04-02T00:00:00"/>
    <x v="1"/>
    <s v="Q2"/>
    <x v="3"/>
    <x v="1"/>
    <x v="2"/>
    <x v="4"/>
    <x v="2"/>
    <x v="0"/>
    <n v="6650"/>
    <n v="9500"/>
    <n v="60"/>
    <n v="0.11899999999999999"/>
    <s v="Rejected"/>
    <x v="5"/>
    <n v="0"/>
    <n v="1"/>
    <n v="0"/>
    <m/>
    <n v="1"/>
    <n v="1"/>
    <n v="1"/>
  </r>
  <r>
    <s v="LA-703149"/>
    <d v="2025-04-02T00:00:00"/>
    <x v="1"/>
    <s v="Q2"/>
    <x v="3"/>
    <x v="1"/>
    <x v="1"/>
    <x v="3"/>
    <x v="1"/>
    <x v="0"/>
    <n v="3450"/>
    <n v="11500"/>
    <n v="12"/>
    <n v="0.38"/>
    <s v="Rejected"/>
    <x v="0"/>
    <n v="0"/>
    <n v="1"/>
    <n v="0"/>
    <m/>
    <n v="2"/>
    <n v="1"/>
    <n v="1"/>
  </r>
  <r>
    <s v="LA-703150"/>
    <d v="2025-04-02T00:00:00"/>
    <x v="1"/>
    <s v="Q2"/>
    <x v="3"/>
    <x v="2"/>
    <x v="3"/>
    <x v="3"/>
    <x v="0"/>
    <x v="0"/>
    <n v="7950"/>
    <n v="133000"/>
    <n v="12"/>
    <n v="1.5720000000000001"/>
    <s v="Rejected"/>
    <x v="0"/>
    <n v="0"/>
    <n v="1"/>
    <n v="0"/>
    <m/>
    <n v="17"/>
    <n v="0"/>
    <n v="1"/>
  </r>
  <r>
    <s v="LA-703151"/>
    <d v="2025-04-02T00:00:00"/>
    <x v="1"/>
    <s v="Q2"/>
    <x v="3"/>
    <x v="3"/>
    <x v="1"/>
    <x v="4"/>
    <x v="0"/>
    <x v="4"/>
    <n v="8550"/>
    <n v="242000"/>
    <n v="240"/>
    <n v="0.249"/>
    <s v="Approved"/>
    <x v="1"/>
    <n v="1"/>
    <n v="0"/>
    <n v="193500"/>
    <n v="4.6300000000000001E-2"/>
    <n v="3"/>
    <n v="1"/>
    <n v="1"/>
  </r>
  <r>
    <s v="LA-703152"/>
    <d v="2025-04-02T00:00:00"/>
    <x v="1"/>
    <s v="Q2"/>
    <x v="3"/>
    <x v="1"/>
    <x v="2"/>
    <x v="3"/>
    <x v="0"/>
    <x v="4"/>
    <n v="6950"/>
    <n v="9000"/>
    <n v="48"/>
    <n v="0.14699999999999999"/>
    <s v="Rejected"/>
    <x v="0"/>
    <n v="0"/>
    <n v="1"/>
    <n v="0"/>
    <m/>
    <n v="2"/>
    <n v="1"/>
    <n v="1"/>
  </r>
  <r>
    <s v="LA-703153"/>
    <d v="2025-04-02T00:00:00"/>
    <x v="1"/>
    <s v="Q2"/>
    <x v="3"/>
    <x v="3"/>
    <x v="2"/>
    <x v="2"/>
    <x v="1"/>
    <x v="1"/>
    <n v="3150"/>
    <n v="287500"/>
    <n v="180"/>
    <n v="0.90100000000000002"/>
    <s v="Approved"/>
    <x v="1"/>
    <n v="1"/>
    <n v="0"/>
    <n v="287500"/>
    <n v="5.7000000000000002E-2"/>
    <n v="4"/>
    <n v="1"/>
    <n v="1"/>
  </r>
  <r>
    <s v="LA-703154"/>
    <d v="2025-04-02T00:00:00"/>
    <x v="1"/>
    <s v="Q2"/>
    <x v="3"/>
    <x v="1"/>
    <x v="2"/>
    <x v="3"/>
    <x v="0"/>
    <x v="4"/>
    <n v="3500"/>
    <n v="8000"/>
    <n v="24"/>
    <n v="0.32"/>
    <s v="Approved"/>
    <x v="1"/>
    <n v="1"/>
    <n v="0"/>
    <n v="8000"/>
    <n v="0.1128"/>
    <n v="3"/>
    <n v="1"/>
    <n v="1"/>
  </r>
  <r>
    <s v="LA-703155"/>
    <d v="2025-04-03T00:00:00"/>
    <x v="1"/>
    <s v="Q2"/>
    <x v="3"/>
    <x v="1"/>
    <x v="3"/>
    <x v="1"/>
    <x v="0"/>
    <x v="0"/>
    <n v="10400"/>
    <n v="6000"/>
    <n v="36"/>
    <n v="8.6999999999999994E-2"/>
    <s v="Approved"/>
    <x v="1"/>
    <n v="1"/>
    <n v="0"/>
    <n v="6000"/>
    <n v="0.14019999999999999"/>
    <n v="5"/>
    <n v="0"/>
    <n v="1"/>
  </r>
  <r>
    <s v="LA-703156"/>
    <d v="2025-04-03T00:00:00"/>
    <x v="1"/>
    <s v="Q2"/>
    <x v="3"/>
    <x v="1"/>
    <x v="2"/>
    <x v="3"/>
    <x v="0"/>
    <x v="3"/>
    <n v="6000"/>
    <n v="10500"/>
    <n v="48"/>
    <n v="0.13600000000000001"/>
    <s v="Approved"/>
    <x v="1"/>
    <n v="1"/>
    <n v="0"/>
    <n v="10500"/>
    <n v="0.114"/>
    <n v="1"/>
    <n v="1"/>
    <n v="1"/>
  </r>
  <r>
    <s v="LA-703157"/>
    <d v="2025-04-03T00:00:00"/>
    <x v="1"/>
    <s v="Q2"/>
    <x v="3"/>
    <x v="0"/>
    <x v="1"/>
    <x v="3"/>
    <x v="0"/>
    <x v="4"/>
    <n v="3850"/>
    <n v="22500"/>
    <n v="36"/>
    <n v="0.24099999999999999"/>
    <s v="Approved"/>
    <x v="1"/>
    <n v="1"/>
    <n v="0"/>
    <n v="22500"/>
    <n v="7.3200000000000001E-2"/>
    <n v="3"/>
    <n v="1"/>
    <n v="1"/>
  </r>
  <r>
    <s v="LA-703158"/>
    <d v="2025-04-03T00:00:00"/>
    <x v="1"/>
    <s v="Q2"/>
    <x v="3"/>
    <x v="1"/>
    <x v="1"/>
    <x v="1"/>
    <x v="0"/>
    <x v="0"/>
    <n v="6900"/>
    <n v="13000"/>
    <n v="48"/>
    <n v="0.14399999999999999"/>
    <s v="Rejected"/>
    <x v="2"/>
    <n v="0"/>
    <n v="1"/>
    <n v="0"/>
    <m/>
    <n v="3"/>
    <n v="1"/>
    <n v="1"/>
  </r>
  <r>
    <s v="LA-703159"/>
    <d v="2025-04-03T00:00:00"/>
    <x v="1"/>
    <s v="Q2"/>
    <x v="3"/>
    <x v="2"/>
    <x v="1"/>
    <x v="1"/>
    <x v="0"/>
    <x v="1"/>
    <n v="5600"/>
    <n v="84000"/>
    <n v="24"/>
    <n v="0.84799999999999998"/>
    <s v="Rejected"/>
    <x v="3"/>
    <n v="0"/>
    <n v="1"/>
    <n v="0"/>
    <m/>
    <n v="4"/>
    <n v="1"/>
    <n v="1"/>
  </r>
  <r>
    <s v="LA-703160"/>
    <d v="2025-04-03T00:00:00"/>
    <x v="1"/>
    <s v="Q2"/>
    <x v="3"/>
    <x v="1"/>
    <x v="1"/>
    <x v="1"/>
    <x v="0"/>
    <x v="1"/>
    <n v="6350"/>
    <n v="8500"/>
    <n v="36"/>
    <n v="0.17299999999999999"/>
    <s v="Approved"/>
    <x v="1"/>
    <n v="1"/>
    <n v="0"/>
    <n v="7000"/>
    <n v="0.13039999999999999"/>
    <n v="1"/>
    <n v="1"/>
    <n v="1"/>
  </r>
  <r>
    <s v="LA-703161"/>
    <d v="2025-04-03T00:00:00"/>
    <x v="1"/>
    <s v="Q2"/>
    <x v="3"/>
    <x v="1"/>
    <x v="3"/>
    <x v="3"/>
    <x v="0"/>
    <x v="4"/>
    <n v="2150"/>
    <n v="15000"/>
    <n v="24"/>
    <n v="0.38400000000000001"/>
    <s v="Approved"/>
    <x v="1"/>
    <n v="1"/>
    <n v="0"/>
    <n v="15000"/>
    <n v="0.1125"/>
    <n v="6"/>
    <n v="0"/>
    <n v="1"/>
  </r>
  <r>
    <s v="LA-703162"/>
    <d v="2025-04-04T00:00:00"/>
    <x v="1"/>
    <s v="Q2"/>
    <x v="3"/>
    <x v="0"/>
    <x v="0"/>
    <x v="4"/>
    <x v="0"/>
    <x v="1"/>
    <n v="4950"/>
    <n v="34000"/>
    <n v="36"/>
    <n v="0.34699999999999998"/>
    <s v="Approved"/>
    <x v="1"/>
    <n v="1"/>
    <n v="0"/>
    <n v="34000"/>
    <n v="8.7099999999999997E-2"/>
    <n v="5"/>
    <n v="0"/>
    <n v="1"/>
  </r>
  <r>
    <s v="LA-703163"/>
    <d v="2025-04-04T00:00:00"/>
    <x v="1"/>
    <s v="Q2"/>
    <x v="3"/>
    <x v="1"/>
    <x v="1"/>
    <x v="3"/>
    <x v="1"/>
    <x v="0"/>
    <n v="5700"/>
    <n v="8000"/>
    <n v="36"/>
    <n v="0.27700000000000002"/>
    <s v="Rejected"/>
    <x v="0"/>
    <n v="0"/>
    <n v="1"/>
    <n v="0"/>
    <m/>
    <n v="2"/>
    <n v="1"/>
    <n v="1"/>
  </r>
  <r>
    <s v="LA-703164"/>
    <d v="2025-04-04T00:00:00"/>
    <x v="1"/>
    <s v="Q2"/>
    <x v="3"/>
    <x v="1"/>
    <x v="1"/>
    <x v="3"/>
    <x v="1"/>
    <x v="0"/>
    <n v="2800"/>
    <n v="13500"/>
    <n v="12"/>
    <n v="0.58699999999999997"/>
    <s v="Withdrawn"/>
    <x v="1"/>
    <n v="0"/>
    <n v="0"/>
    <n v="0"/>
    <m/>
    <n v="1"/>
    <n v="1"/>
    <n v="1"/>
  </r>
  <r>
    <s v="LA-703165"/>
    <d v="2025-04-04T00:00:00"/>
    <x v="1"/>
    <s v="Q2"/>
    <x v="3"/>
    <x v="0"/>
    <x v="1"/>
    <x v="2"/>
    <x v="0"/>
    <x v="1"/>
    <n v="8700"/>
    <n v="21000"/>
    <n v="48"/>
    <n v="0.29099999999999998"/>
    <s v="Approved"/>
    <x v="1"/>
    <n v="1"/>
    <n v="0"/>
    <n v="17000"/>
    <n v="7.4899999999999994E-2"/>
    <n v="2"/>
    <n v="1"/>
    <n v="1"/>
  </r>
  <r>
    <s v="LA-703166"/>
    <d v="2025-04-04T00:00:00"/>
    <x v="1"/>
    <s v="Q2"/>
    <x v="3"/>
    <x v="1"/>
    <x v="2"/>
    <x v="4"/>
    <x v="1"/>
    <x v="2"/>
    <n v="4650"/>
    <n v="15000"/>
    <n v="36"/>
    <n v="0.20799999999999999"/>
    <s v="Rejected"/>
    <x v="0"/>
    <n v="0"/>
    <n v="1"/>
    <n v="0"/>
    <m/>
    <n v="3"/>
    <n v="1"/>
    <n v="1"/>
  </r>
  <r>
    <s v="LA-703167"/>
    <d v="2025-04-04T00:00:00"/>
    <x v="1"/>
    <s v="Q2"/>
    <x v="3"/>
    <x v="0"/>
    <x v="2"/>
    <x v="2"/>
    <x v="1"/>
    <x v="1"/>
    <n v="5700"/>
    <n v="27500"/>
    <n v="36"/>
    <n v="0.26900000000000002"/>
    <s v="Approved"/>
    <x v="1"/>
    <n v="1"/>
    <n v="0"/>
    <n v="22000"/>
    <n v="8.09E-2"/>
    <n v="2"/>
    <n v="1"/>
    <n v="1"/>
  </r>
  <r>
    <s v="LA-703168"/>
    <d v="2025-04-04T00:00:00"/>
    <x v="1"/>
    <s v="Q2"/>
    <x v="3"/>
    <x v="1"/>
    <x v="2"/>
    <x v="0"/>
    <x v="2"/>
    <x v="4"/>
    <n v="6500"/>
    <n v="14500"/>
    <n v="48"/>
    <n v="0.11899999999999999"/>
    <s v="Approved"/>
    <x v="1"/>
    <n v="1"/>
    <n v="0"/>
    <n v="14500"/>
    <n v="0.11360000000000001"/>
    <n v="1"/>
    <n v="1"/>
    <n v="1"/>
  </r>
  <r>
    <s v="LA-703169"/>
    <d v="2025-04-05T00:00:00"/>
    <x v="1"/>
    <s v="Q2"/>
    <x v="3"/>
    <x v="0"/>
    <x v="1"/>
    <x v="1"/>
    <x v="1"/>
    <x v="1"/>
    <n v="3350"/>
    <n v="32000"/>
    <n v="36"/>
    <n v="0.433"/>
    <s v="Rejected"/>
    <x v="2"/>
    <n v="0"/>
    <n v="1"/>
    <n v="0"/>
    <m/>
    <n v="1"/>
    <n v="1"/>
    <n v="1"/>
  </r>
  <r>
    <s v="LA-703170"/>
    <d v="2025-04-05T00:00:00"/>
    <x v="1"/>
    <s v="Q2"/>
    <x v="3"/>
    <x v="2"/>
    <x v="1"/>
    <x v="3"/>
    <x v="1"/>
    <x v="1"/>
    <n v="4450"/>
    <n v="88000"/>
    <n v="60"/>
    <n v="0.60399999999999998"/>
    <s v="Approved"/>
    <x v="1"/>
    <n v="1"/>
    <n v="0"/>
    <n v="88000"/>
    <n v="0.10630000000000001"/>
    <n v="3"/>
    <n v="1"/>
    <n v="1"/>
  </r>
  <r>
    <s v="LA-703171"/>
    <d v="2025-04-05T00:00:00"/>
    <x v="1"/>
    <s v="Q2"/>
    <x v="3"/>
    <x v="1"/>
    <x v="2"/>
    <x v="0"/>
    <x v="0"/>
    <x v="0"/>
    <n v="4300"/>
    <n v="6000"/>
    <n v="24"/>
    <n v="0.25700000000000001"/>
    <s v="Approved"/>
    <x v="1"/>
    <n v="1"/>
    <n v="0"/>
    <n v="6000"/>
    <n v="0.13739999999999999"/>
    <n v="1"/>
    <n v="1"/>
    <n v="1"/>
  </r>
  <r>
    <s v="LA-703172"/>
    <d v="2025-04-05T00:00:00"/>
    <x v="1"/>
    <s v="Q2"/>
    <x v="3"/>
    <x v="1"/>
    <x v="2"/>
    <x v="3"/>
    <x v="0"/>
    <x v="4"/>
    <n v="3650"/>
    <n v="5500"/>
    <n v="12"/>
    <n v="0.35899999999999999"/>
    <s v="Rejected"/>
    <x v="4"/>
    <n v="0"/>
    <n v="1"/>
    <n v="0"/>
    <m/>
    <n v="6"/>
    <n v="0"/>
    <n v="1"/>
  </r>
  <r>
    <s v="LA-703173"/>
    <d v="2025-04-05T00:00:00"/>
    <x v="1"/>
    <s v="Q2"/>
    <x v="3"/>
    <x v="1"/>
    <x v="3"/>
    <x v="0"/>
    <x v="2"/>
    <x v="1"/>
    <n v="3950"/>
    <n v="14000"/>
    <n v="48"/>
    <n v="0.30099999999999999"/>
    <s v="Approved"/>
    <x v="1"/>
    <n v="1"/>
    <n v="0"/>
    <n v="14000"/>
    <n v="0.1249"/>
    <n v="3"/>
    <n v="1"/>
    <n v="1"/>
  </r>
  <r>
    <s v="LA-703174"/>
    <d v="2025-04-06T00:00:00"/>
    <x v="1"/>
    <s v="Q2"/>
    <x v="3"/>
    <x v="1"/>
    <x v="3"/>
    <x v="0"/>
    <x v="1"/>
    <x v="3"/>
    <n v="8950"/>
    <n v="11500"/>
    <n v="24"/>
    <n v="0.28199999999999997"/>
    <s v="Approved"/>
    <x v="1"/>
    <n v="1"/>
    <n v="0"/>
    <n v="11500"/>
    <n v="0.1056"/>
    <n v="3"/>
    <n v="1"/>
    <n v="1"/>
  </r>
  <r>
    <s v="LA-703175"/>
    <d v="2025-04-06T00:00:00"/>
    <x v="1"/>
    <s v="Q2"/>
    <x v="3"/>
    <x v="1"/>
    <x v="1"/>
    <x v="1"/>
    <x v="0"/>
    <x v="1"/>
    <n v="1500"/>
    <n v="4500"/>
    <n v="60"/>
    <n v="0.27500000000000002"/>
    <s v="Approved"/>
    <x v="1"/>
    <n v="1"/>
    <n v="0"/>
    <n v="4500"/>
    <n v="0.121"/>
    <n v="1"/>
    <n v="1"/>
    <n v="1"/>
  </r>
  <r>
    <s v="LA-703176"/>
    <d v="2025-04-06T00:00:00"/>
    <x v="1"/>
    <s v="Q2"/>
    <x v="3"/>
    <x v="3"/>
    <x v="1"/>
    <x v="2"/>
    <x v="0"/>
    <x v="0"/>
    <n v="7300"/>
    <n v="270000"/>
    <n v="180"/>
    <n v="0.52"/>
    <s v="Approved"/>
    <x v="1"/>
    <n v="1"/>
    <n v="0"/>
    <n v="270000"/>
    <n v="6.6100000000000006E-2"/>
    <n v="8"/>
    <n v="1"/>
    <n v="1"/>
  </r>
  <r>
    <s v="LA-703177"/>
    <d v="2025-04-06T00:00:00"/>
    <x v="1"/>
    <s v="Q2"/>
    <x v="3"/>
    <x v="1"/>
    <x v="2"/>
    <x v="4"/>
    <x v="1"/>
    <x v="2"/>
    <n v="9200"/>
    <n v="12000"/>
    <n v="36"/>
    <n v="0.11600000000000001"/>
    <s v="Approved"/>
    <x v="1"/>
    <n v="1"/>
    <n v="0"/>
    <n v="12000"/>
    <n v="0.16120000000000001"/>
    <n v="2"/>
    <n v="1"/>
    <n v="1"/>
  </r>
  <r>
    <s v="LA-703178"/>
    <d v="2025-04-06T00:00:00"/>
    <x v="1"/>
    <s v="Q2"/>
    <x v="3"/>
    <x v="0"/>
    <x v="1"/>
    <x v="1"/>
    <x v="1"/>
    <x v="0"/>
    <n v="7450"/>
    <n v="66000"/>
    <n v="48"/>
    <n v="0.41799999999999998"/>
    <s v="Rejected"/>
    <x v="0"/>
    <n v="0"/>
    <n v="1"/>
    <n v="0"/>
    <m/>
    <n v="1"/>
    <n v="1"/>
    <n v="1"/>
  </r>
  <r>
    <s v="LA-703179"/>
    <d v="2025-04-06T00:00:00"/>
    <x v="1"/>
    <s v="Q2"/>
    <x v="3"/>
    <x v="0"/>
    <x v="2"/>
    <x v="2"/>
    <x v="0"/>
    <x v="0"/>
    <n v="6050"/>
    <n v="17000"/>
    <n v="60"/>
    <n v="0.128"/>
    <s v="Approved"/>
    <x v="1"/>
    <n v="1"/>
    <n v="0"/>
    <n v="17000"/>
    <n v="9.2999999999999999E-2"/>
    <n v="1"/>
    <n v="1"/>
    <n v="1"/>
  </r>
  <r>
    <s v="LA-703180"/>
    <d v="2025-04-06T00:00:00"/>
    <x v="1"/>
    <s v="Q2"/>
    <x v="3"/>
    <x v="0"/>
    <x v="2"/>
    <x v="3"/>
    <x v="0"/>
    <x v="3"/>
    <n v="3150"/>
    <n v="26000"/>
    <n v="60"/>
    <n v="0.39500000000000002"/>
    <s v="Rejected"/>
    <x v="5"/>
    <n v="0"/>
    <n v="1"/>
    <n v="0"/>
    <m/>
    <n v="3"/>
    <n v="1"/>
    <n v="1"/>
  </r>
  <r>
    <s v="LA-703181"/>
    <d v="2025-04-06T00:00:00"/>
    <x v="1"/>
    <s v="Q2"/>
    <x v="3"/>
    <x v="2"/>
    <x v="2"/>
    <x v="2"/>
    <x v="1"/>
    <x v="4"/>
    <n v="6900"/>
    <n v="119500"/>
    <n v="24"/>
    <n v="1.0249999999999999"/>
    <s v="Rejected"/>
    <x v="3"/>
    <n v="0"/>
    <n v="1"/>
    <n v="0"/>
    <m/>
    <n v="5"/>
    <n v="1"/>
    <n v="1"/>
  </r>
  <r>
    <s v="LA-703182"/>
    <d v="2025-04-07T00:00:00"/>
    <x v="1"/>
    <s v="Q2"/>
    <x v="3"/>
    <x v="2"/>
    <x v="3"/>
    <x v="1"/>
    <x v="0"/>
    <x v="2"/>
    <n v="3800"/>
    <n v="77000"/>
    <n v="36"/>
    <n v="0.71499999999999997"/>
    <s v="Approved"/>
    <x v="1"/>
    <n v="1"/>
    <n v="0"/>
    <n v="77000"/>
    <n v="0.14419999999999999"/>
    <n v="15"/>
    <n v="0"/>
    <n v="1"/>
  </r>
  <r>
    <s v="LA-703183"/>
    <d v="2025-04-07T00:00:00"/>
    <x v="1"/>
    <s v="Q2"/>
    <x v="3"/>
    <x v="2"/>
    <x v="3"/>
    <x v="3"/>
    <x v="2"/>
    <x v="0"/>
    <n v="5650"/>
    <n v="52500"/>
    <n v="24"/>
    <n v="0.63100000000000001"/>
    <s v="Withdrawn"/>
    <x v="1"/>
    <n v="0"/>
    <n v="0"/>
    <n v="0"/>
    <m/>
    <n v="9"/>
    <n v="1"/>
    <n v="1"/>
  </r>
  <r>
    <s v="LA-703184"/>
    <d v="2025-04-07T00:00:00"/>
    <x v="1"/>
    <s v="Q2"/>
    <x v="3"/>
    <x v="1"/>
    <x v="3"/>
    <x v="2"/>
    <x v="0"/>
    <x v="4"/>
    <n v="3200"/>
    <n v="6500"/>
    <n v="36"/>
    <n v="0.28499999999999998"/>
    <s v="Approved"/>
    <x v="1"/>
    <n v="1"/>
    <n v="0"/>
    <n v="6500"/>
    <n v="0.1157"/>
    <n v="6"/>
    <n v="0"/>
    <n v="1"/>
  </r>
  <r>
    <s v="LA-703185"/>
    <d v="2025-04-07T00:00:00"/>
    <x v="1"/>
    <s v="Q2"/>
    <x v="3"/>
    <x v="2"/>
    <x v="1"/>
    <x v="2"/>
    <x v="1"/>
    <x v="1"/>
    <n v="10400"/>
    <n v="72500"/>
    <n v="24"/>
    <n v="0.46100000000000002"/>
    <s v="Approved"/>
    <x v="1"/>
    <n v="1"/>
    <n v="0"/>
    <n v="65000"/>
    <n v="0.10630000000000001"/>
    <n v="4"/>
    <n v="1"/>
    <n v="1"/>
  </r>
  <r>
    <s v="LA-703186"/>
    <d v="2025-04-07T00:00:00"/>
    <x v="1"/>
    <s v="Q2"/>
    <x v="3"/>
    <x v="1"/>
    <x v="1"/>
    <x v="0"/>
    <x v="2"/>
    <x v="3"/>
    <n v="6550"/>
    <n v="18000"/>
    <n v="48"/>
    <n v="0.247"/>
    <s v="Approved"/>
    <x v="1"/>
    <n v="1"/>
    <n v="0"/>
    <n v="18000"/>
    <n v="0.10920000000000001"/>
    <n v="3"/>
    <n v="1"/>
    <n v="1"/>
  </r>
  <r>
    <s v="LA-703187"/>
    <d v="2025-04-07T00:00:00"/>
    <x v="1"/>
    <s v="Q2"/>
    <x v="3"/>
    <x v="2"/>
    <x v="3"/>
    <x v="2"/>
    <x v="0"/>
    <x v="0"/>
    <n v="3850"/>
    <n v="117000"/>
    <n v="24"/>
    <n v="1.637"/>
    <s v="Rejected"/>
    <x v="3"/>
    <n v="0"/>
    <n v="1"/>
    <n v="0"/>
    <m/>
    <n v="5"/>
    <n v="1"/>
    <n v="1"/>
  </r>
  <r>
    <s v="LA-703188"/>
    <d v="2025-04-07T00:00:00"/>
    <x v="1"/>
    <s v="Q2"/>
    <x v="3"/>
    <x v="1"/>
    <x v="1"/>
    <x v="3"/>
    <x v="0"/>
    <x v="4"/>
    <n v="4750"/>
    <n v="10000"/>
    <n v="60"/>
    <n v="0.121"/>
    <s v="Approved"/>
    <x v="1"/>
    <n v="1"/>
    <n v="0"/>
    <n v="10000"/>
    <n v="0.1211"/>
    <n v="2"/>
    <n v="1"/>
    <n v="1"/>
  </r>
  <r>
    <s v="LA-703189"/>
    <d v="2025-04-07T00:00:00"/>
    <x v="1"/>
    <s v="Q2"/>
    <x v="3"/>
    <x v="3"/>
    <x v="0"/>
    <x v="3"/>
    <x v="2"/>
    <x v="3"/>
    <n v="6150"/>
    <n v="332500"/>
    <n v="240"/>
    <n v="0.441"/>
    <s v="Approved"/>
    <x v="1"/>
    <n v="1"/>
    <n v="0"/>
    <n v="332500"/>
    <n v="4.24E-2"/>
    <n v="16"/>
    <n v="0"/>
    <n v="1"/>
  </r>
  <r>
    <s v="LA-703190"/>
    <d v="2025-04-07T00:00:00"/>
    <x v="1"/>
    <s v="Q2"/>
    <x v="3"/>
    <x v="0"/>
    <x v="0"/>
    <x v="3"/>
    <x v="2"/>
    <x v="1"/>
    <n v="7500"/>
    <n v="22500"/>
    <n v="60"/>
    <n v="0.28199999999999997"/>
    <s v="Approved"/>
    <x v="1"/>
    <n v="1"/>
    <n v="0"/>
    <n v="22500"/>
    <n v="8.1100000000000005E-2"/>
    <n v="3"/>
    <n v="1"/>
    <n v="1"/>
  </r>
  <r>
    <s v="LA-703191"/>
    <d v="2025-04-07T00:00:00"/>
    <x v="1"/>
    <s v="Q2"/>
    <x v="3"/>
    <x v="1"/>
    <x v="1"/>
    <x v="2"/>
    <x v="0"/>
    <x v="4"/>
    <n v="3450"/>
    <n v="4500"/>
    <n v="24"/>
    <n v="0.17899999999999999"/>
    <s v="Approved"/>
    <x v="1"/>
    <n v="1"/>
    <n v="0"/>
    <n v="4000"/>
    <n v="0.1179"/>
    <n v="2"/>
    <n v="1"/>
    <n v="1"/>
  </r>
  <r>
    <s v="LA-703192"/>
    <d v="2025-04-07T00:00:00"/>
    <x v="1"/>
    <s v="Q2"/>
    <x v="3"/>
    <x v="0"/>
    <x v="2"/>
    <x v="3"/>
    <x v="0"/>
    <x v="1"/>
    <n v="2750"/>
    <n v="28000"/>
    <n v="48"/>
    <n v="0.30199999999999999"/>
    <s v="Approved"/>
    <x v="1"/>
    <n v="1"/>
    <n v="0"/>
    <n v="25000"/>
    <n v="8.0500000000000002E-2"/>
    <n v="2"/>
    <n v="1"/>
    <n v="1"/>
  </r>
  <r>
    <s v="LA-703193"/>
    <d v="2025-04-08T00:00:00"/>
    <x v="1"/>
    <s v="Q2"/>
    <x v="3"/>
    <x v="1"/>
    <x v="1"/>
    <x v="2"/>
    <x v="0"/>
    <x v="2"/>
    <n v="10950"/>
    <n v="8000"/>
    <n v="12"/>
    <n v="0.189"/>
    <s v="Approved"/>
    <x v="1"/>
    <n v="1"/>
    <n v="0"/>
    <n v="6500"/>
    <n v="0.16520000000000001"/>
    <n v="1"/>
    <n v="1"/>
    <n v="1"/>
  </r>
  <r>
    <s v="LA-703194"/>
    <d v="2025-04-08T00:00:00"/>
    <x v="1"/>
    <s v="Q2"/>
    <x v="3"/>
    <x v="1"/>
    <x v="2"/>
    <x v="1"/>
    <x v="1"/>
    <x v="1"/>
    <n v="4650"/>
    <n v="6500"/>
    <n v="24"/>
    <n v="0.11799999999999999"/>
    <s v="Approved"/>
    <x v="1"/>
    <n v="1"/>
    <n v="0"/>
    <n v="6000"/>
    <n v="0.12180000000000001"/>
    <n v="2"/>
    <n v="1"/>
    <n v="1"/>
  </r>
  <r>
    <s v="LA-703195"/>
    <d v="2025-04-08T00:00:00"/>
    <x v="1"/>
    <s v="Q2"/>
    <x v="3"/>
    <x v="1"/>
    <x v="2"/>
    <x v="1"/>
    <x v="1"/>
    <x v="1"/>
    <n v="4300"/>
    <n v="16500"/>
    <n v="36"/>
    <n v="0.221"/>
    <s v="Approved"/>
    <x v="1"/>
    <n v="1"/>
    <n v="0"/>
    <n v="16500"/>
    <n v="0.1201"/>
    <n v="1"/>
    <n v="1"/>
    <n v="1"/>
  </r>
  <r>
    <s v="LA-703196"/>
    <d v="2025-04-08T00:00:00"/>
    <x v="1"/>
    <s v="Q2"/>
    <x v="3"/>
    <x v="2"/>
    <x v="1"/>
    <x v="1"/>
    <x v="2"/>
    <x v="4"/>
    <n v="10550"/>
    <n v="79000"/>
    <n v="24"/>
    <n v="0.433"/>
    <s v="Approved"/>
    <x v="1"/>
    <n v="1"/>
    <n v="0"/>
    <n v="79000"/>
    <n v="9.7600000000000006E-2"/>
    <n v="8"/>
    <n v="1"/>
    <n v="1"/>
  </r>
  <r>
    <s v="LA-703197"/>
    <d v="2025-04-08T00:00:00"/>
    <x v="1"/>
    <s v="Q2"/>
    <x v="3"/>
    <x v="3"/>
    <x v="2"/>
    <x v="2"/>
    <x v="1"/>
    <x v="4"/>
    <n v="7400"/>
    <n v="287000"/>
    <n v="300"/>
    <n v="0.315"/>
    <s v="Approved"/>
    <x v="1"/>
    <n v="1"/>
    <n v="0"/>
    <n v="287000"/>
    <n v="5.0599999999999999E-2"/>
    <n v="6"/>
    <n v="1"/>
    <n v="1"/>
  </r>
  <r>
    <s v="LA-703198"/>
    <d v="2025-04-08T00:00:00"/>
    <x v="1"/>
    <s v="Q2"/>
    <x v="3"/>
    <x v="1"/>
    <x v="0"/>
    <x v="3"/>
    <x v="1"/>
    <x v="4"/>
    <n v="3400"/>
    <n v="14000"/>
    <n v="36"/>
    <n v="0.2"/>
    <s v="Approved"/>
    <x v="1"/>
    <n v="1"/>
    <n v="0"/>
    <n v="14000"/>
    <n v="0.1164"/>
    <n v="3"/>
    <n v="1"/>
    <n v="1"/>
  </r>
  <r>
    <s v="LA-703199"/>
    <d v="2025-04-08T00:00:00"/>
    <x v="1"/>
    <s v="Q2"/>
    <x v="3"/>
    <x v="0"/>
    <x v="3"/>
    <x v="2"/>
    <x v="1"/>
    <x v="1"/>
    <n v="7400"/>
    <n v="28000"/>
    <n v="60"/>
    <n v="0.217"/>
    <s v="Approved"/>
    <x v="1"/>
    <n v="1"/>
    <n v="0"/>
    <n v="25000"/>
    <n v="8.1500000000000003E-2"/>
    <n v="10"/>
    <n v="0"/>
    <n v="1"/>
  </r>
  <r>
    <s v="LA-703200"/>
    <d v="2025-04-08T00:00:00"/>
    <x v="1"/>
    <s v="Q2"/>
    <x v="3"/>
    <x v="1"/>
    <x v="3"/>
    <x v="1"/>
    <x v="0"/>
    <x v="1"/>
    <n v="4450"/>
    <n v="17500"/>
    <n v="36"/>
    <n v="0.36099999999999999"/>
    <s v="Approved"/>
    <x v="1"/>
    <n v="1"/>
    <n v="0"/>
    <n v="17500"/>
    <n v="0.1288"/>
    <n v="4"/>
    <n v="0"/>
    <n v="1"/>
  </r>
  <r>
    <s v="LA-703201"/>
    <d v="2025-04-08T00:00:00"/>
    <x v="1"/>
    <s v="Q2"/>
    <x v="3"/>
    <x v="2"/>
    <x v="2"/>
    <x v="2"/>
    <x v="0"/>
    <x v="1"/>
    <n v="4250"/>
    <n v="47500"/>
    <n v="24"/>
    <n v="0.60599999999999998"/>
    <s v="Rejected"/>
    <x v="3"/>
    <n v="0"/>
    <n v="1"/>
    <n v="0"/>
    <m/>
    <n v="7"/>
    <n v="1"/>
    <n v="1"/>
  </r>
  <r>
    <s v="LA-703202"/>
    <d v="2025-04-08T00:00:00"/>
    <x v="1"/>
    <s v="Q2"/>
    <x v="3"/>
    <x v="1"/>
    <x v="3"/>
    <x v="2"/>
    <x v="0"/>
    <x v="1"/>
    <n v="4950"/>
    <n v="8000"/>
    <n v="24"/>
    <n v="0.30099999999999999"/>
    <s v="Approved"/>
    <x v="1"/>
    <n v="1"/>
    <n v="0"/>
    <n v="8000"/>
    <n v="0.1268"/>
    <n v="3"/>
    <n v="1"/>
    <n v="1"/>
  </r>
  <r>
    <s v="LA-703203"/>
    <d v="2025-04-08T00:00:00"/>
    <x v="1"/>
    <s v="Q2"/>
    <x v="3"/>
    <x v="3"/>
    <x v="1"/>
    <x v="3"/>
    <x v="0"/>
    <x v="1"/>
    <n v="10950"/>
    <n v="153000"/>
    <n v="240"/>
    <n v="0.17599999999999999"/>
    <s v="Approved"/>
    <x v="1"/>
    <n v="1"/>
    <n v="0"/>
    <n v="122500"/>
    <n v="6.3899999999999998E-2"/>
    <n v="10"/>
    <n v="1"/>
    <n v="1"/>
  </r>
  <r>
    <s v="LA-703204"/>
    <d v="2025-04-08T00:00:00"/>
    <x v="1"/>
    <s v="Q2"/>
    <x v="3"/>
    <x v="0"/>
    <x v="1"/>
    <x v="1"/>
    <x v="0"/>
    <x v="1"/>
    <n v="10200"/>
    <n v="17500"/>
    <n v="36"/>
    <n v="0.14299999999999999"/>
    <s v="Rejected"/>
    <x v="4"/>
    <n v="0"/>
    <n v="1"/>
    <n v="0"/>
    <m/>
    <n v="5"/>
    <n v="0"/>
    <n v="1"/>
  </r>
  <r>
    <s v="LA-703205"/>
    <d v="2025-04-09T00:00:00"/>
    <x v="1"/>
    <s v="Q2"/>
    <x v="3"/>
    <x v="1"/>
    <x v="1"/>
    <x v="2"/>
    <x v="1"/>
    <x v="2"/>
    <n v="2900"/>
    <n v="10500"/>
    <n v="36"/>
    <n v="0.33900000000000002"/>
    <s v="Rejected"/>
    <x v="5"/>
    <n v="0"/>
    <n v="1"/>
    <n v="0"/>
    <m/>
    <n v="1"/>
    <n v="1"/>
    <n v="1"/>
  </r>
  <r>
    <s v="LA-703206"/>
    <d v="2025-04-09T00:00:00"/>
    <x v="1"/>
    <s v="Q2"/>
    <x v="3"/>
    <x v="1"/>
    <x v="2"/>
    <x v="4"/>
    <x v="2"/>
    <x v="4"/>
    <n v="3150"/>
    <n v="12000"/>
    <n v="36"/>
    <n v="0.314"/>
    <s v="Approved"/>
    <x v="1"/>
    <n v="1"/>
    <n v="0"/>
    <n v="9500"/>
    <n v="0.1094"/>
    <n v="1"/>
    <n v="1"/>
    <n v="1"/>
  </r>
  <r>
    <s v="LA-703207"/>
    <d v="2025-04-09T00:00:00"/>
    <x v="1"/>
    <s v="Q2"/>
    <x v="3"/>
    <x v="1"/>
    <x v="3"/>
    <x v="2"/>
    <x v="0"/>
    <x v="4"/>
    <n v="3200"/>
    <n v="15500"/>
    <n v="48"/>
    <n v="0.29099999999999998"/>
    <s v="Rejected"/>
    <x v="5"/>
    <n v="0"/>
    <n v="1"/>
    <n v="0"/>
    <m/>
    <n v="3"/>
    <n v="1"/>
    <n v="1"/>
  </r>
  <r>
    <s v="LA-703208"/>
    <d v="2025-04-09T00:00:00"/>
    <x v="1"/>
    <s v="Q2"/>
    <x v="3"/>
    <x v="2"/>
    <x v="2"/>
    <x v="0"/>
    <x v="0"/>
    <x v="4"/>
    <n v="3100"/>
    <n v="100500"/>
    <n v="12"/>
    <n v="2.9350000000000001"/>
    <s v="Rejected"/>
    <x v="3"/>
    <n v="0"/>
    <n v="1"/>
    <n v="0"/>
    <m/>
    <n v="4"/>
    <n v="1"/>
    <n v="1"/>
  </r>
  <r>
    <s v="LA-703209"/>
    <d v="2025-04-09T00:00:00"/>
    <x v="1"/>
    <s v="Q2"/>
    <x v="3"/>
    <x v="1"/>
    <x v="2"/>
    <x v="0"/>
    <x v="0"/>
    <x v="4"/>
    <n v="6900"/>
    <n v="12500"/>
    <n v="24"/>
    <n v="0.158"/>
    <s v="Approved"/>
    <x v="1"/>
    <n v="1"/>
    <n v="0"/>
    <n v="12500"/>
    <n v="0.1188"/>
    <n v="2"/>
    <n v="1"/>
    <n v="1"/>
  </r>
  <r>
    <s v="LA-703210"/>
    <d v="2025-04-09T00:00:00"/>
    <x v="1"/>
    <s v="Q2"/>
    <x v="3"/>
    <x v="2"/>
    <x v="0"/>
    <x v="0"/>
    <x v="1"/>
    <x v="4"/>
    <n v="4300"/>
    <n v="81500"/>
    <n v="12"/>
    <n v="1.915"/>
    <s v="Rejected"/>
    <x v="4"/>
    <n v="0"/>
    <n v="1"/>
    <n v="0"/>
    <m/>
    <n v="15"/>
    <n v="0"/>
    <n v="1"/>
  </r>
  <r>
    <s v="LA-703211"/>
    <d v="2025-04-09T00:00:00"/>
    <x v="1"/>
    <s v="Q2"/>
    <x v="3"/>
    <x v="1"/>
    <x v="3"/>
    <x v="4"/>
    <x v="2"/>
    <x v="1"/>
    <n v="5850"/>
    <n v="5000"/>
    <n v="36"/>
    <n v="0.13700000000000001"/>
    <s v="Approved"/>
    <x v="1"/>
    <n v="1"/>
    <n v="0"/>
    <n v="5000"/>
    <n v="0.13059999999999999"/>
    <n v="4"/>
    <n v="0"/>
    <n v="1"/>
  </r>
  <r>
    <s v="LA-703212"/>
    <d v="2025-04-09T00:00:00"/>
    <x v="1"/>
    <s v="Q2"/>
    <x v="3"/>
    <x v="2"/>
    <x v="2"/>
    <x v="1"/>
    <x v="2"/>
    <x v="1"/>
    <n v="5500"/>
    <n v="39000"/>
    <n v="60"/>
    <n v="0.24399999999999999"/>
    <s v="Approved"/>
    <x v="1"/>
    <n v="1"/>
    <n v="0"/>
    <n v="39000"/>
    <n v="0.1075"/>
    <n v="8"/>
    <n v="1"/>
    <n v="1"/>
  </r>
  <r>
    <s v="LA-703213"/>
    <d v="2025-04-09T00:00:00"/>
    <x v="1"/>
    <s v="Q2"/>
    <x v="3"/>
    <x v="3"/>
    <x v="3"/>
    <x v="2"/>
    <x v="2"/>
    <x v="1"/>
    <n v="7800"/>
    <n v="341000"/>
    <n v="180"/>
    <n v="0.50800000000000001"/>
    <s v="Approved"/>
    <x v="1"/>
    <n v="1"/>
    <n v="0"/>
    <n v="341000"/>
    <n v="6.2399999999999997E-2"/>
    <n v="18"/>
    <n v="0"/>
    <n v="1"/>
  </r>
  <r>
    <s v="LA-703214"/>
    <d v="2025-04-09T00:00:00"/>
    <x v="1"/>
    <s v="Q2"/>
    <x v="3"/>
    <x v="0"/>
    <x v="3"/>
    <x v="3"/>
    <x v="0"/>
    <x v="2"/>
    <n v="7950"/>
    <n v="39500"/>
    <n v="60"/>
    <n v="0.255"/>
    <s v="Approved"/>
    <x v="1"/>
    <n v="1"/>
    <n v="0"/>
    <n v="39500"/>
    <n v="0.12139999999999999"/>
    <n v="5"/>
    <n v="0"/>
    <n v="1"/>
  </r>
  <r>
    <s v="LA-703215"/>
    <d v="2025-04-09T00:00:00"/>
    <x v="1"/>
    <s v="Q2"/>
    <x v="3"/>
    <x v="1"/>
    <x v="2"/>
    <x v="3"/>
    <x v="2"/>
    <x v="1"/>
    <n v="4850"/>
    <n v="12000"/>
    <n v="24"/>
    <n v="0.23899999999999999"/>
    <s v="Rejected"/>
    <x v="4"/>
    <n v="0"/>
    <n v="1"/>
    <n v="0"/>
    <m/>
    <n v="5"/>
    <n v="0"/>
    <n v="1"/>
  </r>
  <r>
    <s v="LA-703216"/>
    <d v="2025-04-09T00:00:00"/>
    <x v="1"/>
    <s v="Q2"/>
    <x v="3"/>
    <x v="0"/>
    <x v="3"/>
    <x v="4"/>
    <x v="0"/>
    <x v="4"/>
    <n v="3750"/>
    <n v="26500"/>
    <n v="48"/>
    <n v="0.41399999999999998"/>
    <s v="Approved"/>
    <x v="1"/>
    <n v="1"/>
    <n v="0"/>
    <n v="26500"/>
    <n v="7.0499999999999993E-2"/>
    <n v="3"/>
    <n v="1"/>
    <n v="1"/>
  </r>
  <r>
    <s v="LA-703217"/>
    <d v="2025-04-10T00:00:00"/>
    <x v="1"/>
    <s v="Q2"/>
    <x v="3"/>
    <x v="1"/>
    <x v="1"/>
    <x v="3"/>
    <x v="1"/>
    <x v="2"/>
    <n v="4400"/>
    <n v="17000"/>
    <n v="48"/>
    <n v="0.23799999999999999"/>
    <s v="Rejected"/>
    <x v="0"/>
    <n v="0"/>
    <n v="1"/>
    <n v="0"/>
    <m/>
    <n v="1"/>
    <n v="1"/>
    <n v="1"/>
  </r>
  <r>
    <s v="LA-703218"/>
    <d v="2025-04-10T00:00:00"/>
    <x v="1"/>
    <s v="Q2"/>
    <x v="3"/>
    <x v="3"/>
    <x v="2"/>
    <x v="2"/>
    <x v="0"/>
    <x v="2"/>
    <n v="5100"/>
    <n v="198500"/>
    <n v="240"/>
    <n v="0.48799999999999999"/>
    <s v="Rejected"/>
    <x v="0"/>
    <n v="0"/>
    <n v="1"/>
    <n v="0"/>
    <m/>
    <n v="7"/>
    <n v="1"/>
    <n v="1"/>
  </r>
  <r>
    <s v="LA-703219"/>
    <d v="2025-04-10T00:00:00"/>
    <x v="1"/>
    <s v="Q2"/>
    <x v="3"/>
    <x v="3"/>
    <x v="2"/>
    <x v="2"/>
    <x v="0"/>
    <x v="1"/>
    <n v="4550"/>
    <n v="241500"/>
    <n v="300"/>
    <n v="0.55100000000000005"/>
    <s v="Approved"/>
    <x v="1"/>
    <n v="1"/>
    <n v="0"/>
    <n v="193000"/>
    <n v="5.2999999999999999E-2"/>
    <n v="4"/>
    <n v="1"/>
    <n v="1"/>
  </r>
  <r>
    <s v="LA-703220"/>
    <d v="2025-04-10T00:00:00"/>
    <x v="1"/>
    <s v="Q2"/>
    <x v="3"/>
    <x v="2"/>
    <x v="0"/>
    <x v="2"/>
    <x v="1"/>
    <x v="3"/>
    <n v="6650"/>
    <n v="153000"/>
    <n v="36"/>
    <n v="0.89500000000000002"/>
    <s v="Rejected"/>
    <x v="3"/>
    <n v="0"/>
    <n v="1"/>
    <n v="0"/>
    <m/>
    <n v="10"/>
    <n v="1"/>
    <n v="1"/>
  </r>
  <r>
    <s v="LA-703221"/>
    <d v="2025-04-10T00:00:00"/>
    <x v="1"/>
    <s v="Q2"/>
    <x v="3"/>
    <x v="3"/>
    <x v="2"/>
    <x v="2"/>
    <x v="2"/>
    <x v="4"/>
    <n v="4750"/>
    <n v="436500"/>
    <n v="240"/>
    <n v="0.75600000000000001"/>
    <s v="Approved"/>
    <x v="1"/>
    <n v="1"/>
    <n v="0"/>
    <n v="436500"/>
    <n v="5.0900000000000001E-2"/>
    <n v="7"/>
    <n v="1"/>
    <n v="1"/>
  </r>
  <r>
    <s v="LA-703222"/>
    <d v="2025-04-10T00:00:00"/>
    <x v="1"/>
    <s v="Q2"/>
    <x v="3"/>
    <x v="0"/>
    <x v="2"/>
    <x v="1"/>
    <x v="1"/>
    <x v="1"/>
    <n v="5550"/>
    <n v="17000"/>
    <n v="36"/>
    <n v="0.32400000000000001"/>
    <s v="Approved"/>
    <x v="1"/>
    <n v="1"/>
    <n v="0"/>
    <n v="13500"/>
    <n v="8.2500000000000004E-2"/>
    <n v="2"/>
    <n v="1"/>
    <n v="1"/>
  </r>
  <r>
    <s v="LA-703223"/>
    <d v="2025-04-10T00:00:00"/>
    <x v="1"/>
    <s v="Q2"/>
    <x v="3"/>
    <x v="0"/>
    <x v="3"/>
    <x v="3"/>
    <x v="2"/>
    <x v="2"/>
    <n v="7750"/>
    <n v="37500"/>
    <n v="36"/>
    <n v="0.23899999999999999"/>
    <s v="Rejected"/>
    <x v="0"/>
    <n v="0"/>
    <n v="1"/>
    <n v="0"/>
    <m/>
    <n v="6"/>
    <n v="0"/>
    <n v="1"/>
  </r>
  <r>
    <s v="LA-703224"/>
    <d v="2025-04-10T00:00:00"/>
    <x v="1"/>
    <s v="Q2"/>
    <x v="3"/>
    <x v="0"/>
    <x v="2"/>
    <x v="1"/>
    <x v="1"/>
    <x v="4"/>
    <n v="4100"/>
    <n v="39500"/>
    <n v="60"/>
    <n v="0.42"/>
    <s v="Approved"/>
    <x v="1"/>
    <n v="1"/>
    <n v="0"/>
    <n v="35500"/>
    <n v="7.2999999999999995E-2"/>
    <n v="3"/>
    <n v="1"/>
    <n v="1"/>
  </r>
  <r>
    <s v="LA-703225"/>
    <d v="2025-04-10T00:00:00"/>
    <x v="1"/>
    <s v="Q2"/>
    <x v="3"/>
    <x v="0"/>
    <x v="2"/>
    <x v="3"/>
    <x v="0"/>
    <x v="4"/>
    <n v="7800"/>
    <n v="29000"/>
    <n v="36"/>
    <n v="0.221"/>
    <s v="Withdrawn"/>
    <x v="1"/>
    <n v="0"/>
    <n v="0"/>
    <n v="0"/>
    <m/>
    <n v="6"/>
    <n v="0"/>
    <n v="1"/>
  </r>
  <r>
    <s v="LA-703226"/>
    <d v="2025-04-11T00:00:00"/>
    <x v="1"/>
    <s v="Q2"/>
    <x v="3"/>
    <x v="0"/>
    <x v="1"/>
    <x v="2"/>
    <x v="2"/>
    <x v="1"/>
    <n v="2450"/>
    <n v="32000"/>
    <n v="60"/>
    <n v="0.42599999999999999"/>
    <s v="Rejected"/>
    <x v="2"/>
    <n v="0"/>
    <n v="1"/>
    <n v="0"/>
    <m/>
    <n v="1"/>
    <n v="1"/>
    <n v="1"/>
  </r>
  <r>
    <s v="LA-703227"/>
    <d v="2025-04-11T00:00:00"/>
    <x v="1"/>
    <s v="Q2"/>
    <x v="3"/>
    <x v="3"/>
    <x v="3"/>
    <x v="2"/>
    <x v="0"/>
    <x v="0"/>
    <n v="5900"/>
    <n v="374500"/>
    <n v="180"/>
    <n v="0.626"/>
    <s v="Rejected"/>
    <x v="0"/>
    <n v="0"/>
    <n v="1"/>
    <n v="0"/>
    <m/>
    <n v="18"/>
    <n v="0"/>
    <n v="1"/>
  </r>
  <r>
    <s v="LA-703228"/>
    <d v="2025-04-11T00:00:00"/>
    <x v="1"/>
    <s v="Q2"/>
    <x v="3"/>
    <x v="0"/>
    <x v="2"/>
    <x v="2"/>
    <x v="1"/>
    <x v="0"/>
    <n v="3600"/>
    <n v="107000"/>
    <n v="60"/>
    <n v="0.748"/>
    <s v="Rejected"/>
    <x v="0"/>
    <n v="0"/>
    <n v="1"/>
    <n v="0"/>
    <m/>
    <n v="2"/>
    <n v="1"/>
    <n v="1"/>
  </r>
  <r>
    <s v="LA-703229"/>
    <d v="2025-04-11T00:00:00"/>
    <x v="1"/>
    <s v="Q2"/>
    <x v="3"/>
    <x v="2"/>
    <x v="3"/>
    <x v="4"/>
    <x v="1"/>
    <x v="3"/>
    <n v="7550"/>
    <n v="78500"/>
    <n v="60"/>
    <n v="0.32600000000000001"/>
    <s v="Approved"/>
    <x v="1"/>
    <n v="1"/>
    <n v="0"/>
    <n v="78500"/>
    <n v="9.5899999999999999E-2"/>
    <n v="11"/>
    <n v="0"/>
    <n v="1"/>
  </r>
  <r>
    <s v="LA-703230"/>
    <d v="2025-04-11T00:00:00"/>
    <x v="1"/>
    <s v="Q2"/>
    <x v="3"/>
    <x v="1"/>
    <x v="1"/>
    <x v="2"/>
    <x v="0"/>
    <x v="0"/>
    <n v="6600"/>
    <n v="7000"/>
    <n v="36"/>
    <n v="0.115"/>
    <s v="Approved"/>
    <x v="1"/>
    <n v="1"/>
    <n v="0"/>
    <n v="7000"/>
    <n v="0.1391"/>
    <n v="2"/>
    <n v="1"/>
    <n v="1"/>
  </r>
  <r>
    <s v="LA-703231"/>
    <d v="2025-04-11T00:00:00"/>
    <x v="1"/>
    <s v="Q2"/>
    <x v="3"/>
    <x v="2"/>
    <x v="2"/>
    <x v="2"/>
    <x v="1"/>
    <x v="1"/>
    <n v="12450"/>
    <n v="116500"/>
    <n v="36"/>
    <n v="0.45100000000000001"/>
    <s v="Approved"/>
    <x v="1"/>
    <n v="1"/>
    <n v="0"/>
    <n v="116500"/>
    <n v="0.11020000000000001"/>
    <n v="4"/>
    <n v="1"/>
    <n v="1"/>
  </r>
  <r>
    <s v="LA-703232"/>
    <d v="2025-04-11T00:00:00"/>
    <x v="1"/>
    <s v="Q2"/>
    <x v="3"/>
    <x v="0"/>
    <x v="2"/>
    <x v="3"/>
    <x v="1"/>
    <x v="1"/>
    <n v="4800"/>
    <n v="40000"/>
    <n v="48"/>
    <n v="0.26"/>
    <s v="Rejected"/>
    <x v="4"/>
    <n v="0"/>
    <n v="1"/>
    <n v="0"/>
    <m/>
    <n v="6"/>
    <n v="0"/>
    <n v="1"/>
  </r>
  <r>
    <s v="LA-703233"/>
    <d v="2025-04-11T00:00:00"/>
    <x v="1"/>
    <s v="Q2"/>
    <x v="3"/>
    <x v="1"/>
    <x v="2"/>
    <x v="3"/>
    <x v="1"/>
    <x v="0"/>
    <n v="4850"/>
    <n v="8000"/>
    <n v="24"/>
    <n v="0.182"/>
    <s v="Rejected"/>
    <x v="0"/>
    <n v="0"/>
    <n v="1"/>
    <n v="0"/>
    <m/>
    <n v="3"/>
    <n v="1"/>
    <n v="1"/>
  </r>
  <r>
    <s v="LA-703234"/>
    <d v="2025-04-11T00:00:00"/>
    <x v="1"/>
    <s v="Q2"/>
    <x v="3"/>
    <x v="1"/>
    <x v="3"/>
    <x v="2"/>
    <x v="0"/>
    <x v="2"/>
    <n v="7750"/>
    <n v="25500"/>
    <n v="60"/>
    <n v="0.13300000000000001"/>
    <s v="Withdrawn"/>
    <x v="1"/>
    <n v="0"/>
    <n v="0"/>
    <n v="0"/>
    <m/>
    <n v="4"/>
    <n v="0"/>
    <n v="1"/>
  </r>
  <r>
    <s v="LA-703235"/>
    <d v="2025-04-11T00:00:00"/>
    <x v="1"/>
    <s v="Q2"/>
    <x v="3"/>
    <x v="2"/>
    <x v="1"/>
    <x v="0"/>
    <x v="0"/>
    <x v="2"/>
    <n v="6200"/>
    <n v="60500"/>
    <n v="24"/>
    <n v="0.56899999999999995"/>
    <s v="Rejected"/>
    <x v="3"/>
    <n v="0"/>
    <n v="1"/>
    <n v="0"/>
    <m/>
    <n v="4"/>
    <n v="1"/>
    <n v="1"/>
  </r>
  <r>
    <s v="LA-703236"/>
    <d v="2025-04-11T00:00:00"/>
    <x v="1"/>
    <s v="Q2"/>
    <x v="3"/>
    <x v="1"/>
    <x v="2"/>
    <x v="3"/>
    <x v="0"/>
    <x v="3"/>
    <n v="7150"/>
    <n v="14500"/>
    <n v="60"/>
    <n v="0.27800000000000002"/>
    <s v="Approved"/>
    <x v="1"/>
    <n v="1"/>
    <n v="0"/>
    <n v="11500"/>
    <n v="0.10979999999999999"/>
    <n v="2"/>
    <n v="1"/>
    <n v="1"/>
  </r>
  <r>
    <s v="LA-703237"/>
    <d v="2025-04-11T00:00:00"/>
    <x v="1"/>
    <s v="Q2"/>
    <x v="3"/>
    <x v="2"/>
    <x v="3"/>
    <x v="1"/>
    <x v="0"/>
    <x v="1"/>
    <n v="10900"/>
    <n v="100500"/>
    <n v="24"/>
    <n v="0.61499999999999999"/>
    <s v="Withdrawn"/>
    <x v="1"/>
    <n v="0"/>
    <n v="0"/>
    <n v="0"/>
    <m/>
    <n v="17"/>
    <n v="0"/>
    <n v="1"/>
  </r>
  <r>
    <s v="LA-703238"/>
    <d v="2025-04-11T00:00:00"/>
    <x v="1"/>
    <s v="Q2"/>
    <x v="3"/>
    <x v="2"/>
    <x v="2"/>
    <x v="1"/>
    <x v="0"/>
    <x v="0"/>
    <n v="2850"/>
    <n v="118000"/>
    <n v="24"/>
    <n v="2.077"/>
    <s v="Rejected"/>
    <x v="0"/>
    <n v="0"/>
    <n v="1"/>
    <n v="0"/>
    <m/>
    <n v="3"/>
    <n v="1"/>
    <n v="1"/>
  </r>
  <r>
    <s v="LA-703239"/>
    <d v="2025-04-11T00:00:00"/>
    <x v="1"/>
    <s v="Q2"/>
    <x v="3"/>
    <x v="2"/>
    <x v="3"/>
    <x v="2"/>
    <x v="1"/>
    <x v="4"/>
    <n v="5950"/>
    <n v="128500"/>
    <n v="36"/>
    <n v="0.85299999999999998"/>
    <s v="Approved"/>
    <x v="1"/>
    <n v="1"/>
    <n v="0"/>
    <n v="128500"/>
    <n v="9.7900000000000001E-2"/>
    <n v="14"/>
    <n v="0"/>
    <n v="1"/>
  </r>
  <r>
    <s v="LA-703240"/>
    <d v="2025-04-11T00:00:00"/>
    <x v="1"/>
    <s v="Q2"/>
    <x v="3"/>
    <x v="3"/>
    <x v="1"/>
    <x v="3"/>
    <x v="1"/>
    <x v="0"/>
    <n v="5400"/>
    <n v="145000"/>
    <n v="180"/>
    <n v="0.42499999999999999"/>
    <s v="Approved"/>
    <x v="1"/>
    <n v="1"/>
    <n v="0"/>
    <n v="145000"/>
    <n v="7.1800000000000003E-2"/>
    <n v="6"/>
    <n v="1"/>
    <n v="1"/>
  </r>
  <r>
    <s v="LA-703241"/>
    <d v="2025-04-12T00:00:00"/>
    <x v="1"/>
    <s v="Q2"/>
    <x v="3"/>
    <x v="1"/>
    <x v="2"/>
    <x v="2"/>
    <x v="0"/>
    <x v="4"/>
    <n v="3500"/>
    <n v="10000"/>
    <n v="24"/>
    <n v="0.33900000000000002"/>
    <s v="Approved"/>
    <x v="1"/>
    <n v="1"/>
    <n v="0"/>
    <n v="10000"/>
    <n v="0.1124"/>
    <n v="2"/>
    <n v="1"/>
    <n v="1"/>
  </r>
  <r>
    <s v="LA-703242"/>
    <d v="2025-04-12T00:00:00"/>
    <x v="1"/>
    <s v="Q2"/>
    <x v="3"/>
    <x v="1"/>
    <x v="2"/>
    <x v="1"/>
    <x v="0"/>
    <x v="0"/>
    <n v="3650"/>
    <n v="12500"/>
    <n v="60"/>
    <n v="0.30299999999999999"/>
    <s v="Rejected"/>
    <x v="0"/>
    <n v="0"/>
    <n v="1"/>
    <n v="0"/>
    <m/>
    <n v="1"/>
    <n v="1"/>
    <n v="1"/>
  </r>
  <r>
    <s v="LA-703243"/>
    <d v="2025-04-12T00:00:00"/>
    <x v="1"/>
    <s v="Q2"/>
    <x v="3"/>
    <x v="1"/>
    <x v="2"/>
    <x v="3"/>
    <x v="0"/>
    <x v="1"/>
    <n v="3350"/>
    <n v="6500"/>
    <n v="48"/>
    <n v="0.20100000000000001"/>
    <s v="Approved"/>
    <x v="1"/>
    <n v="1"/>
    <n v="0"/>
    <n v="6000"/>
    <n v="0.1235"/>
    <n v="2"/>
    <n v="1"/>
    <n v="1"/>
  </r>
  <r>
    <s v="LA-703244"/>
    <d v="2025-04-12T00:00:00"/>
    <x v="1"/>
    <s v="Q2"/>
    <x v="3"/>
    <x v="2"/>
    <x v="1"/>
    <x v="3"/>
    <x v="1"/>
    <x v="3"/>
    <n v="6750"/>
    <n v="89500"/>
    <n v="36"/>
    <n v="0.60599999999999998"/>
    <s v="Approved"/>
    <x v="1"/>
    <n v="1"/>
    <n v="0"/>
    <n v="89500"/>
    <n v="9.5100000000000004E-2"/>
    <n v="3"/>
    <n v="1"/>
    <n v="1"/>
  </r>
  <r>
    <s v="LA-703245"/>
    <d v="2025-04-12T00:00:00"/>
    <x v="1"/>
    <s v="Q2"/>
    <x v="3"/>
    <x v="1"/>
    <x v="1"/>
    <x v="2"/>
    <x v="1"/>
    <x v="0"/>
    <n v="10250"/>
    <n v="16000"/>
    <n v="36"/>
    <n v="0.22700000000000001"/>
    <s v="Rejected"/>
    <x v="0"/>
    <n v="0"/>
    <n v="1"/>
    <n v="0"/>
    <m/>
    <n v="2"/>
    <n v="1"/>
    <n v="1"/>
  </r>
  <r>
    <s v="LA-703246"/>
    <d v="2025-04-12T00:00:00"/>
    <x v="1"/>
    <s v="Q2"/>
    <x v="3"/>
    <x v="3"/>
    <x v="2"/>
    <x v="2"/>
    <x v="0"/>
    <x v="0"/>
    <n v="3750"/>
    <n v="508000"/>
    <n v="300"/>
    <n v="0.98899999999999999"/>
    <s v="Rejected"/>
    <x v="0"/>
    <n v="0"/>
    <n v="1"/>
    <n v="0"/>
    <m/>
    <n v="6"/>
    <n v="1"/>
    <n v="1"/>
  </r>
  <r>
    <s v="LA-703247"/>
    <d v="2025-04-12T00:00:00"/>
    <x v="1"/>
    <s v="Q2"/>
    <x v="3"/>
    <x v="3"/>
    <x v="3"/>
    <x v="2"/>
    <x v="1"/>
    <x v="1"/>
    <n v="3600"/>
    <n v="151500"/>
    <n v="180"/>
    <n v="0.49199999999999999"/>
    <s v="Approved"/>
    <x v="1"/>
    <n v="1"/>
    <n v="0"/>
    <n v="121000"/>
    <n v="5.8400000000000001E-2"/>
    <n v="10"/>
    <n v="1"/>
    <n v="1"/>
  </r>
  <r>
    <s v="LA-703248"/>
    <d v="2025-04-12T00:00:00"/>
    <x v="1"/>
    <s v="Q2"/>
    <x v="3"/>
    <x v="2"/>
    <x v="1"/>
    <x v="2"/>
    <x v="0"/>
    <x v="4"/>
    <n v="5500"/>
    <n v="219000"/>
    <n v="60"/>
    <n v="1.0680000000000001"/>
    <s v="Rejected"/>
    <x v="3"/>
    <n v="0"/>
    <n v="1"/>
    <n v="0"/>
    <m/>
    <n v="5"/>
    <n v="1"/>
    <n v="1"/>
  </r>
  <r>
    <s v="LA-703249"/>
    <d v="2025-04-12T00:00:00"/>
    <x v="1"/>
    <s v="Q2"/>
    <x v="3"/>
    <x v="1"/>
    <x v="3"/>
    <x v="4"/>
    <x v="0"/>
    <x v="1"/>
    <n v="3400"/>
    <n v="16500"/>
    <n v="60"/>
    <n v="0.2"/>
    <s v="Rejected"/>
    <x v="2"/>
    <n v="0"/>
    <n v="1"/>
    <n v="0"/>
    <m/>
    <n v="2"/>
    <n v="1"/>
    <n v="1"/>
  </r>
  <r>
    <s v="LA-703250"/>
    <d v="2025-04-13T00:00:00"/>
    <x v="1"/>
    <s v="Q2"/>
    <x v="3"/>
    <x v="0"/>
    <x v="3"/>
    <x v="2"/>
    <x v="1"/>
    <x v="1"/>
    <n v="8350"/>
    <n v="22500"/>
    <n v="48"/>
    <n v="0.14199999999999999"/>
    <s v="Approved"/>
    <x v="1"/>
    <n v="1"/>
    <n v="0"/>
    <n v="22500"/>
    <n v="8.1699999999999995E-2"/>
    <n v="3"/>
    <n v="1"/>
    <n v="1"/>
  </r>
  <r>
    <s v="LA-703251"/>
    <d v="2025-04-13T00:00:00"/>
    <x v="1"/>
    <s v="Q2"/>
    <x v="3"/>
    <x v="0"/>
    <x v="3"/>
    <x v="2"/>
    <x v="1"/>
    <x v="1"/>
    <n v="3900"/>
    <n v="50000"/>
    <n v="36"/>
    <n v="0.55500000000000005"/>
    <s v="Approved"/>
    <x v="1"/>
    <n v="1"/>
    <n v="0"/>
    <n v="50000"/>
    <n v="7.8E-2"/>
    <n v="7"/>
    <n v="0"/>
    <n v="1"/>
  </r>
  <r>
    <s v="LA-703252"/>
    <d v="2025-04-13T00:00:00"/>
    <x v="1"/>
    <s v="Q2"/>
    <x v="3"/>
    <x v="0"/>
    <x v="1"/>
    <x v="3"/>
    <x v="0"/>
    <x v="4"/>
    <n v="4900"/>
    <n v="12000"/>
    <n v="60"/>
    <n v="0.13600000000000001"/>
    <s v="Approved"/>
    <x v="1"/>
    <n v="1"/>
    <n v="0"/>
    <n v="12000"/>
    <n v="7.9100000000000004E-2"/>
    <n v="2"/>
    <n v="1"/>
    <n v="1"/>
  </r>
  <r>
    <s v="LA-703253"/>
    <d v="2025-04-13T00:00:00"/>
    <x v="1"/>
    <s v="Q2"/>
    <x v="3"/>
    <x v="0"/>
    <x v="0"/>
    <x v="2"/>
    <x v="1"/>
    <x v="1"/>
    <n v="9300"/>
    <n v="30000"/>
    <n v="48"/>
    <n v="0.23"/>
    <s v="Rejected"/>
    <x v="4"/>
    <n v="0"/>
    <n v="1"/>
    <n v="0"/>
    <m/>
    <n v="10"/>
    <n v="0"/>
    <n v="1"/>
  </r>
  <r>
    <s v="LA-703254"/>
    <d v="2025-04-14T00:00:00"/>
    <x v="1"/>
    <s v="Q2"/>
    <x v="3"/>
    <x v="1"/>
    <x v="2"/>
    <x v="3"/>
    <x v="1"/>
    <x v="0"/>
    <n v="2850"/>
    <n v="8500"/>
    <n v="36"/>
    <n v="0.26100000000000001"/>
    <s v="Rejected"/>
    <x v="0"/>
    <n v="0"/>
    <n v="1"/>
    <n v="0"/>
    <m/>
    <n v="1"/>
    <n v="1"/>
    <n v="1"/>
  </r>
  <r>
    <s v="LA-703255"/>
    <d v="2025-04-14T00:00:00"/>
    <x v="1"/>
    <s v="Q2"/>
    <x v="3"/>
    <x v="0"/>
    <x v="0"/>
    <x v="2"/>
    <x v="0"/>
    <x v="3"/>
    <n v="7100"/>
    <n v="65500"/>
    <n v="60"/>
    <n v="0.32700000000000001"/>
    <s v="Approved"/>
    <x v="1"/>
    <n v="1"/>
    <n v="0"/>
    <n v="65500"/>
    <n v="6.4600000000000005E-2"/>
    <n v="2"/>
    <n v="1"/>
    <n v="1"/>
  </r>
  <r>
    <s v="LA-703256"/>
    <d v="2025-04-14T00:00:00"/>
    <x v="1"/>
    <s v="Q2"/>
    <x v="3"/>
    <x v="0"/>
    <x v="3"/>
    <x v="2"/>
    <x v="1"/>
    <x v="2"/>
    <n v="5100"/>
    <n v="25000"/>
    <n v="60"/>
    <n v="0.33100000000000002"/>
    <s v="Rejected"/>
    <x v="0"/>
    <n v="0"/>
    <n v="1"/>
    <n v="0"/>
    <m/>
    <n v="5"/>
    <n v="0"/>
    <n v="1"/>
  </r>
  <r>
    <s v="LA-703257"/>
    <d v="2025-04-14T00:00:00"/>
    <x v="1"/>
    <s v="Q2"/>
    <x v="3"/>
    <x v="0"/>
    <x v="0"/>
    <x v="3"/>
    <x v="2"/>
    <x v="3"/>
    <n v="11550"/>
    <n v="29000"/>
    <n v="36"/>
    <n v="0.16200000000000001"/>
    <s v="Approved"/>
    <x v="1"/>
    <n v="1"/>
    <n v="0"/>
    <n v="29000"/>
    <n v="6.59E-2"/>
    <n v="5"/>
    <n v="0"/>
    <n v="1"/>
  </r>
  <r>
    <s v="LA-703258"/>
    <d v="2025-04-14T00:00:00"/>
    <x v="1"/>
    <s v="Q2"/>
    <x v="3"/>
    <x v="1"/>
    <x v="0"/>
    <x v="2"/>
    <x v="1"/>
    <x v="3"/>
    <n v="7300"/>
    <n v="6500"/>
    <n v="24"/>
    <n v="0.16900000000000001"/>
    <s v="Rejected"/>
    <x v="2"/>
    <n v="0"/>
    <n v="1"/>
    <n v="0"/>
    <m/>
    <n v="4"/>
    <n v="0"/>
    <n v="1"/>
  </r>
  <r>
    <s v="LA-703259"/>
    <d v="2025-04-14T00:00:00"/>
    <x v="1"/>
    <s v="Q2"/>
    <x v="3"/>
    <x v="1"/>
    <x v="0"/>
    <x v="3"/>
    <x v="2"/>
    <x v="1"/>
    <n v="5500"/>
    <n v="8500"/>
    <n v="48"/>
    <n v="9.7000000000000003E-2"/>
    <s v="Rejected"/>
    <x v="0"/>
    <n v="0"/>
    <n v="1"/>
    <n v="0"/>
    <m/>
    <n v="3"/>
    <n v="1"/>
    <n v="1"/>
  </r>
  <r>
    <s v="LA-703260"/>
    <d v="2025-04-14T00:00:00"/>
    <x v="1"/>
    <s v="Q2"/>
    <x v="3"/>
    <x v="0"/>
    <x v="2"/>
    <x v="1"/>
    <x v="0"/>
    <x v="1"/>
    <n v="6850"/>
    <n v="29000"/>
    <n v="36"/>
    <n v="0.31900000000000001"/>
    <s v="Approved"/>
    <x v="1"/>
    <n v="1"/>
    <n v="0"/>
    <n v="29000"/>
    <n v="8.3000000000000004E-2"/>
    <n v="2"/>
    <n v="1"/>
    <n v="1"/>
  </r>
  <r>
    <s v="LA-703261"/>
    <d v="2025-04-15T00:00:00"/>
    <x v="1"/>
    <s v="Q2"/>
    <x v="3"/>
    <x v="0"/>
    <x v="3"/>
    <x v="3"/>
    <x v="1"/>
    <x v="2"/>
    <n v="5000"/>
    <n v="62500"/>
    <n v="36"/>
    <n v="0.58399999999999996"/>
    <s v="Rejected"/>
    <x v="3"/>
    <n v="0"/>
    <n v="1"/>
    <n v="0"/>
    <m/>
    <n v="8"/>
    <n v="0"/>
    <n v="1"/>
  </r>
  <r>
    <s v="LA-703262"/>
    <d v="2025-04-15T00:00:00"/>
    <x v="1"/>
    <s v="Q2"/>
    <x v="3"/>
    <x v="0"/>
    <x v="1"/>
    <x v="2"/>
    <x v="0"/>
    <x v="4"/>
    <n v="4600"/>
    <n v="16000"/>
    <n v="48"/>
    <n v="0.17399999999999999"/>
    <s v="Approved"/>
    <x v="1"/>
    <n v="1"/>
    <n v="0"/>
    <n v="13000"/>
    <n v="6.9699999999999998E-2"/>
    <n v="2"/>
    <n v="1"/>
    <n v="1"/>
  </r>
  <r>
    <s v="LA-703263"/>
    <d v="2025-04-15T00:00:00"/>
    <x v="1"/>
    <s v="Q2"/>
    <x v="3"/>
    <x v="3"/>
    <x v="1"/>
    <x v="1"/>
    <x v="0"/>
    <x v="1"/>
    <n v="10850"/>
    <n v="371500"/>
    <n v="300"/>
    <n v="0.38600000000000001"/>
    <s v="Rejected"/>
    <x v="2"/>
    <n v="0"/>
    <n v="1"/>
    <n v="0"/>
    <m/>
    <n v="8"/>
    <n v="1"/>
    <n v="1"/>
  </r>
  <r>
    <s v="LA-703264"/>
    <d v="2025-04-15T00:00:00"/>
    <x v="1"/>
    <s v="Q2"/>
    <x v="3"/>
    <x v="2"/>
    <x v="2"/>
    <x v="2"/>
    <x v="0"/>
    <x v="0"/>
    <n v="3950"/>
    <n v="40500"/>
    <n v="24"/>
    <n v="0.57499999999999996"/>
    <s v="Rejected"/>
    <x v="0"/>
    <n v="0"/>
    <n v="1"/>
    <n v="0"/>
    <m/>
    <n v="6"/>
    <n v="1"/>
    <n v="1"/>
  </r>
  <r>
    <s v="LA-703265"/>
    <d v="2025-04-15T00:00:00"/>
    <x v="1"/>
    <s v="Q2"/>
    <x v="3"/>
    <x v="1"/>
    <x v="2"/>
    <x v="1"/>
    <x v="1"/>
    <x v="4"/>
    <n v="4100"/>
    <n v="15500"/>
    <n v="48"/>
    <n v="0.30099999999999999"/>
    <s v="Approved"/>
    <x v="1"/>
    <n v="1"/>
    <n v="0"/>
    <n v="15500"/>
    <n v="0.11890000000000001"/>
    <n v="2"/>
    <n v="1"/>
    <n v="1"/>
  </r>
  <r>
    <s v="LA-703266"/>
    <d v="2025-04-15T00:00:00"/>
    <x v="1"/>
    <s v="Q2"/>
    <x v="3"/>
    <x v="1"/>
    <x v="3"/>
    <x v="1"/>
    <x v="2"/>
    <x v="4"/>
    <n v="7650"/>
    <n v="23500"/>
    <n v="24"/>
    <n v="0.30199999999999999"/>
    <s v="Approved"/>
    <x v="1"/>
    <n v="1"/>
    <n v="0"/>
    <n v="21000"/>
    <n v="0.1137"/>
    <n v="6"/>
    <n v="0"/>
    <n v="1"/>
  </r>
  <r>
    <s v="LA-703267"/>
    <d v="2025-04-15T00:00:00"/>
    <x v="1"/>
    <s v="Q2"/>
    <x v="3"/>
    <x v="0"/>
    <x v="2"/>
    <x v="3"/>
    <x v="2"/>
    <x v="1"/>
    <n v="7000"/>
    <n v="16000"/>
    <n v="60"/>
    <n v="0.28799999999999998"/>
    <s v="Approved"/>
    <x v="1"/>
    <n v="1"/>
    <n v="0"/>
    <n v="16000"/>
    <n v="8.0799999999999997E-2"/>
    <n v="3"/>
    <n v="1"/>
    <n v="1"/>
  </r>
  <r>
    <s v="LA-703268"/>
    <d v="2025-04-15T00:00:00"/>
    <x v="1"/>
    <s v="Q2"/>
    <x v="3"/>
    <x v="2"/>
    <x v="0"/>
    <x v="1"/>
    <x v="1"/>
    <x v="0"/>
    <n v="3550"/>
    <n v="62000"/>
    <n v="24"/>
    <n v="0.92400000000000004"/>
    <s v="Rejected"/>
    <x v="4"/>
    <n v="0"/>
    <n v="1"/>
    <n v="0"/>
    <m/>
    <n v="13"/>
    <n v="0"/>
    <n v="1"/>
  </r>
  <r>
    <s v="LA-703269"/>
    <d v="2025-04-15T00:00:00"/>
    <x v="1"/>
    <s v="Q2"/>
    <x v="3"/>
    <x v="2"/>
    <x v="2"/>
    <x v="1"/>
    <x v="1"/>
    <x v="2"/>
    <n v="4550"/>
    <n v="58500"/>
    <n v="60"/>
    <n v="0.50600000000000001"/>
    <s v="Rejected"/>
    <x v="3"/>
    <n v="0"/>
    <n v="1"/>
    <n v="0"/>
    <m/>
    <n v="8"/>
    <n v="1"/>
    <n v="1"/>
  </r>
  <r>
    <s v="LA-703270"/>
    <d v="2025-04-15T00:00:00"/>
    <x v="1"/>
    <s v="Q2"/>
    <x v="3"/>
    <x v="0"/>
    <x v="3"/>
    <x v="3"/>
    <x v="1"/>
    <x v="1"/>
    <n v="11650"/>
    <n v="35500"/>
    <n v="60"/>
    <n v="0.18099999999999999"/>
    <s v="Approved"/>
    <x v="1"/>
    <n v="1"/>
    <n v="0"/>
    <n v="35500"/>
    <n v="8.6199999999999999E-2"/>
    <n v="9"/>
    <n v="0"/>
    <n v="1"/>
  </r>
  <r>
    <s v="LA-703271"/>
    <d v="2025-04-15T00:00:00"/>
    <x v="1"/>
    <s v="Q2"/>
    <x v="3"/>
    <x v="0"/>
    <x v="1"/>
    <x v="3"/>
    <x v="2"/>
    <x v="1"/>
    <n v="7450"/>
    <n v="29000"/>
    <n v="48"/>
    <n v="0.19"/>
    <s v="Rejected"/>
    <x v="5"/>
    <n v="0"/>
    <n v="1"/>
    <n v="0"/>
    <m/>
    <n v="2"/>
    <n v="1"/>
    <n v="1"/>
  </r>
  <r>
    <s v="LA-703272"/>
    <d v="2025-04-16T00:00:00"/>
    <x v="1"/>
    <s v="Q2"/>
    <x v="3"/>
    <x v="0"/>
    <x v="2"/>
    <x v="1"/>
    <x v="2"/>
    <x v="1"/>
    <n v="4950"/>
    <n v="29500"/>
    <n v="36"/>
    <n v="0.39200000000000002"/>
    <s v="Approved"/>
    <x v="1"/>
    <n v="1"/>
    <n v="0"/>
    <n v="23500"/>
    <n v="8.2000000000000003E-2"/>
    <n v="3"/>
    <n v="1"/>
    <n v="1"/>
  </r>
  <r>
    <s v="LA-703273"/>
    <d v="2025-04-16T00:00:00"/>
    <x v="1"/>
    <s v="Q2"/>
    <x v="3"/>
    <x v="2"/>
    <x v="1"/>
    <x v="2"/>
    <x v="1"/>
    <x v="0"/>
    <n v="3100"/>
    <n v="41000"/>
    <n v="24"/>
    <n v="0.83199999999999996"/>
    <s v="Rejected"/>
    <x v="0"/>
    <n v="0"/>
    <n v="1"/>
    <n v="0"/>
    <m/>
    <n v="3"/>
    <n v="1"/>
    <n v="1"/>
  </r>
  <r>
    <s v="LA-703274"/>
    <d v="2025-04-16T00:00:00"/>
    <x v="1"/>
    <s v="Q2"/>
    <x v="3"/>
    <x v="2"/>
    <x v="1"/>
    <x v="2"/>
    <x v="2"/>
    <x v="1"/>
    <n v="5400"/>
    <n v="43500"/>
    <n v="12"/>
    <n v="0.78300000000000003"/>
    <s v="Rejected"/>
    <x v="4"/>
    <n v="0"/>
    <n v="1"/>
    <n v="0"/>
    <m/>
    <n v="7"/>
    <n v="1"/>
    <n v="1"/>
  </r>
  <r>
    <s v="LA-703275"/>
    <d v="2025-04-17T00:00:00"/>
    <x v="1"/>
    <s v="Q2"/>
    <x v="3"/>
    <x v="0"/>
    <x v="1"/>
    <x v="1"/>
    <x v="0"/>
    <x v="4"/>
    <n v="5850"/>
    <n v="23500"/>
    <n v="36"/>
    <n v="0.249"/>
    <s v="Rejected"/>
    <x v="5"/>
    <n v="0"/>
    <n v="1"/>
    <n v="0"/>
    <m/>
    <n v="2"/>
    <n v="1"/>
    <n v="1"/>
  </r>
  <r>
    <s v="LA-703276"/>
    <d v="2025-04-17T00:00:00"/>
    <x v="1"/>
    <s v="Q2"/>
    <x v="3"/>
    <x v="1"/>
    <x v="1"/>
    <x v="2"/>
    <x v="0"/>
    <x v="4"/>
    <n v="12050"/>
    <n v="39000"/>
    <n v="12"/>
    <n v="0.47399999999999998"/>
    <s v="Rejected"/>
    <x v="3"/>
    <n v="0"/>
    <n v="1"/>
    <n v="0"/>
    <m/>
    <n v="1"/>
    <n v="1"/>
    <n v="1"/>
  </r>
  <r>
    <s v="LA-703277"/>
    <d v="2025-04-17T00:00:00"/>
    <x v="1"/>
    <s v="Q2"/>
    <x v="3"/>
    <x v="1"/>
    <x v="3"/>
    <x v="1"/>
    <x v="2"/>
    <x v="3"/>
    <n v="3300"/>
    <n v="10500"/>
    <n v="12"/>
    <n v="0.39600000000000002"/>
    <s v="Approved"/>
    <x v="1"/>
    <n v="1"/>
    <n v="0"/>
    <n v="9500"/>
    <n v="0.1087"/>
    <n v="4"/>
    <n v="0"/>
    <n v="1"/>
  </r>
  <r>
    <s v="LA-703278"/>
    <d v="2025-04-17T00:00:00"/>
    <x v="1"/>
    <s v="Q2"/>
    <x v="3"/>
    <x v="0"/>
    <x v="1"/>
    <x v="4"/>
    <x v="0"/>
    <x v="4"/>
    <n v="9100"/>
    <n v="37000"/>
    <n v="36"/>
    <n v="0.33400000000000002"/>
    <s v="Approved"/>
    <x v="1"/>
    <n v="1"/>
    <n v="0"/>
    <n v="37000"/>
    <n v="7.6300000000000007E-2"/>
    <n v="2"/>
    <n v="1"/>
    <n v="1"/>
  </r>
  <r>
    <s v="LA-703279"/>
    <d v="2025-04-17T00:00:00"/>
    <x v="1"/>
    <s v="Q2"/>
    <x v="3"/>
    <x v="1"/>
    <x v="1"/>
    <x v="3"/>
    <x v="0"/>
    <x v="0"/>
    <n v="4950"/>
    <n v="15000"/>
    <n v="12"/>
    <n v="0.41399999999999998"/>
    <s v="Approved"/>
    <x v="1"/>
    <n v="1"/>
    <n v="0"/>
    <n v="13500"/>
    <n v="0.1439"/>
    <n v="1"/>
    <n v="1"/>
    <n v="1"/>
  </r>
  <r>
    <s v="LA-703280"/>
    <d v="2025-04-17T00:00:00"/>
    <x v="1"/>
    <s v="Q2"/>
    <x v="3"/>
    <x v="0"/>
    <x v="1"/>
    <x v="3"/>
    <x v="1"/>
    <x v="1"/>
    <n v="4500"/>
    <n v="40500"/>
    <n v="48"/>
    <n v="0.33100000000000002"/>
    <s v="Approved"/>
    <x v="1"/>
    <n v="1"/>
    <n v="0"/>
    <n v="32500"/>
    <n v="8.2199999999999995E-2"/>
    <n v="2"/>
    <n v="1"/>
    <n v="1"/>
  </r>
  <r>
    <s v="LA-703281"/>
    <d v="2025-04-17T00:00:00"/>
    <x v="1"/>
    <s v="Q2"/>
    <x v="3"/>
    <x v="2"/>
    <x v="3"/>
    <x v="1"/>
    <x v="2"/>
    <x v="0"/>
    <n v="8100"/>
    <n v="82000"/>
    <n v="24"/>
    <n v="0.57999999999999996"/>
    <s v="Approved"/>
    <x v="1"/>
    <n v="1"/>
    <n v="0"/>
    <n v="82000"/>
    <n v="0.1229"/>
    <n v="7"/>
    <n v="1"/>
    <n v="1"/>
  </r>
  <r>
    <s v="LA-703282"/>
    <d v="2025-04-18T00:00:00"/>
    <x v="1"/>
    <s v="Q2"/>
    <x v="3"/>
    <x v="0"/>
    <x v="3"/>
    <x v="2"/>
    <x v="1"/>
    <x v="3"/>
    <n v="3500"/>
    <n v="32000"/>
    <n v="48"/>
    <n v="0.44"/>
    <s v="Approved"/>
    <x v="1"/>
    <n v="1"/>
    <n v="0"/>
    <n v="29000"/>
    <n v="6.4799999999999996E-2"/>
    <n v="4"/>
    <n v="1"/>
    <n v="1"/>
  </r>
  <r>
    <s v="LA-703283"/>
    <d v="2025-04-18T00:00:00"/>
    <x v="1"/>
    <s v="Q2"/>
    <x v="3"/>
    <x v="3"/>
    <x v="1"/>
    <x v="3"/>
    <x v="0"/>
    <x v="0"/>
    <n v="6550"/>
    <n v="398000"/>
    <n v="240"/>
    <n v="0.45200000000000001"/>
    <s v="Rejected"/>
    <x v="0"/>
    <n v="0"/>
    <n v="1"/>
    <n v="0"/>
    <m/>
    <n v="7"/>
    <n v="1"/>
    <n v="1"/>
  </r>
  <r>
    <s v="LA-703284"/>
    <d v="2025-04-18T00:00:00"/>
    <x v="1"/>
    <s v="Q2"/>
    <x v="3"/>
    <x v="1"/>
    <x v="3"/>
    <x v="2"/>
    <x v="0"/>
    <x v="3"/>
    <n v="3900"/>
    <n v="22000"/>
    <n v="36"/>
    <n v="0.42299999999999999"/>
    <s v="Approved"/>
    <x v="1"/>
    <n v="1"/>
    <n v="0"/>
    <n v="17500"/>
    <n v="0.1118"/>
    <n v="2"/>
    <n v="1"/>
    <n v="1"/>
  </r>
  <r>
    <s v="LA-703285"/>
    <d v="2025-04-18T00:00:00"/>
    <x v="1"/>
    <s v="Q2"/>
    <x v="3"/>
    <x v="1"/>
    <x v="1"/>
    <x v="2"/>
    <x v="1"/>
    <x v="3"/>
    <n v="4200"/>
    <n v="28500"/>
    <n v="48"/>
    <n v="0.24099999999999999"/>
    <s v="Approved"/>
    <x v="1"/>
    <n v="1"/>
    <n v="0"/>
    <n v="28500"/>
    <n v="0.1087"/>
    <n v="2"/>
    <n v="1"/>
    <n v="1"/>
  </r>
  <r>
    <s v="LA-703286"/>
    <d v="2025-04-18T00:00:00"/>
    <x v="1"/>
    <s v="Q2"/>
    <x v="3"/>
    <x v="2"/>
    <x v="3"/>
    <x v="3"/>
    <x v="1"/>
    <x v="4"/>
    <n v="3150"/>
    <n v="117500"/>
    <n v="12"/>
    <n v="3.4279999999999999"/>
    <s v="Withdrawn"/>
    <x v="1"/>
    <n v="0"/>
    <n v="0"/>
    <n v="0"/>
    <m/>
    <n v="12"/>
    <n v="0"/>
    <n v="1"/>
  </r>
  <r>
    <s v="LA-703287"/>
    <d v="2025-04-19T00:00:00"/>
    <x v="1"/>
    <s v="Q2"/>
    <x v="3"/>
    <x v="1"/>
    <x v="1"/>
    <x v="3"/>
    <x v="2"/>
    <x v="0"/>
    <n v="4550"/>
    <n v="10500"/>
    <n v="36"/>
    <n v="0.24099999999999999"/>
    <s v="Approved"/>
    <x v="1"/>
    <n v="1"/>
    <n v="0"/>
    <n v="8500"/>
    <n v="0.1348"/>
    <n v="1"/>
    <n v="1"/>
    <n v="1"/>
  </r>
  <r>
    <s v="LA-703288"/>
    <d v="2025-04-19T00:00:00"/>
    <x v="1"/>
    <s v="Q2"/>
    <x v="3"/>
    <x v="1"/>
    <x v="1"/>
    <x v="0"/>
    <x v="1"/>
    <x v="1"/>
    <n v="3850"/>
    <n v="11000"/>
    <n v="24"/>
    <n v="0.22900000000000001"/>
    <s v="Approved"/>
    <x v="1"/>
    <n v="1"/>
    <n v="0"/>
    <n v="9000"/>
    <n v="0.1235"/>
    <n v="1"/>
    <n v="1"/>
    <n v="1"/>
  </r>
  <r>
    <s v="LA-703289"/>
    <d v="2025-04-19T00:00:00"/>
    <x v="1"/>
    <s v="Q2"/>
    <x v="3"/>
    <x v="3"/>
    <x v="1"/>
    <x v="2"/>
    <x v="1"/>
    <x v="0"/>
    <n v="5950"/>
    <n v="192000"/>
    <n v="240"/>
    <n v="0.38900000000000001"/>
    <s v="Approved"/>
    <x v="1"/>
    <n v="1"/>
    <n v="0"/>
    <n v="192000"/>
    <n v="7.9899999999999999E-2"/>
    <n v="7"/>
    <n v="1"/>
    <n v="1"/>
  </r>
  <r>
    <s v="LA-703290"/>
    <d v="2025-04-20T00:00:00"/>
    <x v="1"/>
    <s v="Q2"/>
    <x v="3"/>
    <x v="2"/>
    <x v="1"/>
    <x v="3"/>
    <x v="2"/>
    <x v="4"/>
    <n v="4700"/>
    <n v="75000"/>
    <n v="24"/>
    <n v="0.94399999999999995"/>
    <s v="Rejected"/>
    <x v="3"/>
    <n v="0"/>
    <n v="1"/>
    <n v="0"/>
    <m/>
    <n v="2"/>
    <n v="1"/>
    <n v="1"/>
  </r>
  <r>
    <s v="LA-703291"/>
    <d v="2025-04-20T00:00:00"/>
    <x v="1"/>
    <s v="Q2"/>
    <x v="3"/>
    <x v="1"/>
    <x v="3"/>
    <x v="4"/>
    <x v="0"/>
    <x v="0"/>
    <n v="5500"/>
    <n v="7000"/>
    <n v="24"/>
    <n v="0.23899999999999999"/>
    <s v="Approved"/>
    <x v="1"/>
    <n v="1"/>
    <n v="0"/>
    <n v="7000"/>
    <n v="0.14230000000000001"/>
    <n v="3"/>
    <n v="1"/>
    <n v="1"/>
  </r>
  <r>
    <s v="LA-703292"/>
    <d v="2025-04-21T00:00:00"/>
    <x v="1"/>
    <s v="Q2"/>
    <x v="3"/>
    <x v="0"/>
    <x v="0"/>
    <x v="1"/>
    <x v="0"/>
    <x v="1"/>
    <n v="6050"/>
    <n v="61000"/>
    <n v="48"/>
    <n v="0.37"/>
    <s v="Approved"/>
    <x v="1"/>
    <n v="1"/>
    <n v="0"/>
    <n v="61000"/>
    <n v="8.4500000000000006E-2"/>
    <n v="6"/>
    <n v="0"/>
    <n v="1"/>
  </r>
  <r>
    <s v="LA-703293"/>
    <d v="2025-04-21T00:00:00"/>
    <x v="1"/>
    <s v="Q2"/>
    <x v="3"/>
    <x v="1"/>
    <x v="1"/>
    <x v="3"/>
    <x v="0"/>
    <x v="1"/>
    <n v="8100"/>
    <n v="5000"/>
    <n v="36"/>
    <n v="0.17499999999999999"/>
    <s v="Approved"/>
    <x v="1"/>
    <n v="1"/>
    <n v="0"/>
    <n v="4500"/>
    <n v="0.1211"/>
    <n v="1"/>
    <n v="1"/>
    <n v="1"/>
  </r>
  <r>
    <s v="LA-703294"/>
    <d v="2025-04-21T00:00:00"/>
    <x v="1"/>
    <s v="Q2"/>
    <x v="3"/>
    <x v="1"/>
    <x v="0"/>
    <x v="2"/>
    <x v="1"/>
    <x v="2"/>
    <n v="6550"/>
    <n v="4000"/>
    <n v="12"/>
    <n v="0.14399999999999999"/>
    <s v="Withdrawn"/>
    <x v="1"/>
    <n v="0"/>
    <n v="0"/>
    <n v="0"/>
    <m/>
    <n v="3"/>
    <n v="1"/>
    <n v="1"/>
  </r>
  <r>
    <s v="LA-703295"/>
    <d v="2025-04-21T00:00:00"/>
    <x v="1"/>
    <s v="Q2"/>
    <x v="3"/>
    <x v="1"/>
    <x v="3"/>
    <x v="2"/>
    <x v="0"/>
    <x v="3"/>
    <n v="7650"/>
    <n v="6500"/>
    <n v="24"/>
    <n v="0.128"/>
    <s v="Approved"/>
    <x v="1"/>
    <n v="1"/>
    <n v="0"/>
    <n v="5000"/>
    <n v="0.10390000000000001"/>
    <n v="2"/>
    <n v="1"/>
    <n v="1"/>
  </r>
  <r>
    <s v="LA-703296"/>
    <d v="2025-04-21T00:00:00"/>
    <x v="1"/>
    <s v="Q2"/>
    <x v="3"/>
    <x v="0"/>
    <x v="2"/>
    <x v="3"/>
    <x v="0"/>
    <x v="4"/>
    <n v="4350"/>
    <n v="21500"/>
    <n v="36"/>
    <n v="0.246"/>
    <s v="Approved"/>
    <x v="1"/>
    <n v="1"/>
    <n v="0"/>
    <n v="21500"/>
    <n v="7.5399999999999995E-2"/>
    <n v="2"/>
    <n v="1"/>
    <n v="1"/>
  </r>
  <r>
    <s v="LA-703297"/>
    <d v="2025-04-21T00:00:00"/>
    <x v="1"/>
    <s v="Q2"/>
    <x v="3"/>
    <x v="0"/>
    <x v="0"/>
    <x v="0"/>
    <x v="0"/>
    <x v="1"/>
    <n v="5150"/>
    <n v="52000"/>
    <n v="36"/>
    <n v="0.48899999999999999"/>
    <s v="Rejected"/>
    <x v="3"/>
    <n v="0"/>
    <n v="1"/>
    <n v="0"/>
    <m/>
    <n v="6"/>
    <n v="0"/>
    <n v="1"/>
  </r>
  <r>
    <s v="LA-703298"/>
    <d v="2025-04-21T00:00:00"/>
    <x v="1"/>
    <s v="Q2"/>
    <x v="3"/>
    <x v="2"/>
    <x v="3"/>
    <x v="1"/>
    <x v="1"/>
    <x v="1"/>
    <n v="2350"/>
    <n v="49000"/>
    <n v="60"/>
    <n v="0.55700000000000005"/>
    <s v="Approved"/>
    <x v="1"/>
    <n v="1"/>
    <n v="0"/>
    <n v="44000"/>
    <n v="0.1123"/>
    <n v="16"/>
    <n v="0"/>
    <n v="1"/>
  </r>
  <r>
    <s v="LA-703299"/>
    <d v="2025-04-21T00:00:00"/>
    <x v="1"/>
    <s v="Q2"/>
    <x v="3"/>
    <x v="0"/>
    <x v="3"/>
    <x v="2"/>
    <x v="1"/>
    <x v="0"/>
    <n v="5900"/>
    <n v="23500"/>
    <n v="36"/>
    <n v="0.20799999999999999"/>
    <s v="Rejected"/>
    <x v="0"/>
    <n v="0"/>
    <n v="1"/>
    <n v="0"/>
    <m/>
    <n v="5"/>
    <n v="0"/>
    <n v="1"/>
  </r>
  <r>
    <s v="LA-703300"/>
    <d v="2025-04-22T00:00:00"/>
    <x v="1"/>
    <s v="Q2"/>
    <x v="3"/>
    <x v="0"/>
    <x v="0"/>
    <x v="0"/>
    <x v="2"/>
    <x v="4"/>
    <n v="3500"/>
    <n v="109000"/>
    <n v="48"/>
    <n v="0.88400000000000001"/>
    <s v="Approved"/>
    <x v="1"/>
    <n v="1"/>
    <n v="0"/>
    <n v="109000"/>
    <n v="6.9699999999999998E-2"/>
    <n v="3"/>
    <n v="1"/>
    <n v="1"/>
  </r>
  <r>
    <s v="LA-703301"/>
    <d v="2025-04-22T00:00:00"/>
    <x v="1"/>
    <s v="Q2"/>
    <x v="3"/>
    <x v="0"/>
    <x v="2"/>
    <x v="3"/>
    <x v="1"/>
    <x v="4"/>
    <n v="4650"/>
    <n v="32000"/>
    <n v="48"/>
    <n v="0.32800000000000001"/>
    <s v="Approved"/>
    <x v="1"/>
    <n v="1"/>
    <n v="0"/>
    <n v="32000"/>
    <n v="6.6000000000000003E-2"/>
    <n v="4"/>
    <n v="1"/>
    <n v="1"/>
  </r>
  <r>
    <s v="LA-703302"/>
    <d v="2025-04-22T00:00:00"/>
    <x v="1"/>
    <s v="Q2"/>
    <x v="3"/>
    <x v="3"/>
    <x v="3"/>
    <x v="2"/>
    <x v="1"/>
    <x v="3"/>
    <n v="5550"/>
    <n v="400000"/>
    <n v="300"/>
    <n v="0.51400000000000001"/>
    <s v="Approved"/>
    <x v="1"/>
    <n v="1"/>
    <n v="0"/>
    <n v="360000"/>
    <n v="4.1200000000000001E-2"/>
    <n v="20"/>
    <n v="0"/>
    <n v="1"/>
  </r>
  <r>
    <s v="LA-703303"/>
    <d v="2025-04-22T00:00:00"/>
    <x v="1"/>
    <s v="Q2"/>
    <x v="3"/>
    <x v="1"/>
    <x v="2"/>
    <x v="3"/>
    <x v="0"/>
    <x v="0"/>
    <n v="6000"/>
    <n v="24000"/>
    <n v="60"/>
    <n v="0.19800000000000001"/>
    <s v="Approved"/>
    <x v="1"/>
    <n v="1"/>
    <n v="0"/>
    <n v="19000"/>
    <n v="0.13789999999999999"/>
    <n v="2"/>
    <n v="1"/>
    <n v="1"/>
  </r>
  <r>
    <s v="LA-703304"/>
    <d v="2025-04-23T00:00:00"/>
    <x v="1"/>
    <s v="Q2"/>
    <x v="3"/>
    <x v="1"/>
    <x v="1"/>
    <x v="1"/>
    <x v="0"/>
    <x v="1"/>
    <n v="8000"/>
    <n v="12500"/>
    <n v="60"/>
    <n v="0.104"/>
    <s v="Rejected"/>
    <x v="4"/>
    <n v="0"/>
    <n v="1"/>
    <n v="0"/>
    <m/>
    <n v="5"/>
    <n v="0"/>
    <n v="1"/>
  </r>
  <r>
    <s v="LA-703305"/>
    <d v="2025-04-23T00:00:00"/>
    <x v="1"/>
    <s v="Q2"/>
    <x v="3"/>
    <x v="1"/>
    <x v="1"/>
    <x v="4"/>
    <x v="2"/>
    <x v="0"/>
    <n v="6900"/>
    <n v="19000"/>
    <n v="60"/>
    <n v="0.307"/>
    <s v="Approved"/>
    <x v="1"/>
    <n v="1"/>
    <n v="0"/>
    <n v="19000"/>
    <n v="0.1439"/>
    <n v="2"/>
    <n v="1"/>
    <n v="1"/>
  </r>
  <r>
    <s v="LA-703306"/>
    <d v="2025-04-23T00:00:00"/>
    <x v="1"/>
    <s v="Q2"/>
    <x v="3"/>
    <x v="1"/>
    <x v="2"/>
    <x v="4"/>
    <x v="0"/>
    <x v="4"/>
    <n v="3800"/>
    <n v="12500"/>
    <n v="48"/>
    <n v="0.26300000000000001"/>
    <s v="Approved"/>
    <x v="1"/>
    <n v="1"/>
    <n v="0"/>
    <n v="11000"/>
    <n v="0.1172"/>
    <n v="3"/>
    <n v="1"/>
    <n v="1"/>
  </r>
  <r>
    <s v="LA-703307"/>
    <d v="2025-04-23T00:00:00"/>
    <x v="1"/>
    <s v="Q2"/>
    <x v="3"/>
    <x v="3"/>
    <x v="3"/>
    <x v="3"/>
    <x v="0"/>
    <x v="4"/>
    <n v="11300"/>
    <n v="185000"/>
    <n v="240"/>
    <n v="0.28699999999999998"/>
    <s v="Approved"/>
    <x v="1"/>
    <n v="1"/>
    <n v="0"/>
    <n v="185000"/>
    <n v="4.5600000000000002E-2"/>
    <n v="23"/>
    <n v="0"/>
    <n v="1"/>
  </r>
  <r>
    <s v="LA-703308"/>
    <d v="2025-04-23T00:00:00"/>
    <x v="1"/>
    <s v="Q2"/>
    <x v="3"/>
    <x v="1"/>
    <x v="1"/>
    <x v="3"/>
    <x v="0"/>
    <x v="1"/>
    <n v="4600"/>
    <n v="15500"/>
    <n v="48"/>
    <n v="0.22"/>
    <s v="Approved"/>
    <x v="1"/>
    <n v="1"/>
    <n v="0"/>
    <n v="14000"/>
    <n v="0.12189999999999999"/>
    <n v="1"/>
    <n v="1"/>
    <n v="1"/>
  </r>
  <r>
    <s v="LA-703309"/>
    <d v="2025-04-23T00:00:00"/>
    <x v="1"/>
    <s v="Q2"/>
    <x v="3"/>
    <x v="1"/>
    <x v="1"/>
    <x v="2"/>
    <x v="1"/>
    <x v="4"/>
    <n v="2300"/>
    <n v="6000"/>
    <n v="48"/>
    <n v="0.29599999999999999"/>
    <s v="Approved"/>
    <x v="1"/>
    <n v="1"/>
    <n v="0"/>
    <n v="6000"/>
    <n v="0.1164"/>
    <n v="1"/>
    <n v="1"/>
    <n v="1"/>
  </r>
  <r>
    <s v="LA-703310"/>
    <d v="2025-04-23T00:00:00"/>
    <x v="1"/>
    <s v="Q2"/>
    <x v="3"/>
    <x v="0"/>
    <x v="0"/>
    <x v="1"/>
    <x v="1"/>
    <x v="3"/>
    <n v="3400"/>
    <n v="28000"/>
    <n v="36"/>
    <n v="0.33900000000000002"/>
    <s v="Approved"/>
    <x v="1"/>
    <n v="1"/>
    <n v="0"/>
    <n v="25000"/>
    <n v="6.3E-2"/>
    <n v="4"/>
    <n v="1"/>
    <n v="1"/>
  </r>
  <r>
    <s v="LA-703311"/>
    <d v="2025-04-23T00:00:00"/>
    <x v="1"/>
    <s v="Q2"/>
    <x v="3"/>
    <x v="0"/>
    <x v="3"/>
    <x v="3"/>
    <x v="0"/>
    <x v="4"/>
    <n v="3850"/>
    <n v="53000"/>
    <n v="36"/>
    <n v="0.57299999999999995"/>
    <s v="Approved"/>
    <x v="1"/>
    <n v="1"/>
    <n v="0"/>
    <n v="53000"/>
    <n v="7.2999999999999995E-2"/>
    <n v="7"/>
    <n v="0"/>
    <n v="1"/>
  </r>
  <r>
    <s v="LA-703312"/>
    <d v="2025-04-24T00:00:00"/>
    <x v="1"/>
    <s v="Q2"/>
    <x v="3"/>
    <x v="1"/>
    <x v="0"/>
    <x v="1"/>
    <x v="1"/>
    <x v="4"/>
    <n v="6150"/>
    <n v="13000"/>
    <n v="48"/>
    <n v="0.3"/>
    <s v="Rejected"/>
    <x v="4"/>
    <n v="0"/>
    <n v="1"/>
    <n v="0"/>
    <m/>
    <n v="8"/>
    <n v="0"/>
    <n v="1"/>
  </r>
  <r>
    <s v="LA-703313"/>
    <d v="2025-04-24T00:00:00"/>
    <x v="1"/>
    <s v="Q2"/>
    <x v="3"/>
    <x v="0"/>
    <x v="0"/>
    <x v="2"/>
    <x v="2"/>
    <x v="0"/>
    <n v="6800"/>
    <n v="32000"/>
    <n v="36"/>
    <n v="0.34300000000000003"/>
    <s v="Approved"/>
    <x v="1"/>
    <n v="1"/>
    <n v="0"/>
    <n v="32000"/>
    <n v="9.2499999999999999E-2"/>
    <n v="3"/>
    <n v="1"/>
    <n v="1"/>
  </r>
  <r>
    <s v="LA-703314"/>
    <d v="2025-04-24T00:00:00"/>
    <x v="1"/>
    <s v="Q2"/>
    <x v="3"/>
    <x v="0"/>
    <x v="3"/>
    <x v="4"/>
    <x v="2"/>
    <x v="1"/>
    <n v="7500"/>
    <n v="12000"/>
    <n v="36"/>
    <n v="0.158"/>
    <s v="Rejected"/>
    <x v="0"/>
    <n v="0"/>
    <n v="1"/>
    <n v="0"/>
    <m/>
    <n v="4"/>
    <n v="1"/>
    <n v="1"/>
  </r>
  <r>
    <s v="LA-703315"/>
    <d v="2025-04-24T00:00:00"/>
    <x v="1"/>
    <s v="Q2"/>
    <x v="3"/>
    <x v="1"/>
    <x v="3"/>
    <x v="3"/>
    <x v="2"/>
    <x v="3"/>
    <n v="11300"/>
    <n v="17000"/>
    <n v="36"/>
    <n v="0.27"/>
    <s v="Approved"/>
    <x v="1"/>
    <n v="1"/>
    <n v="0"/>
    <n v="17000"/>
    <n v="0.10539999999999999"/>
    <n v="5"/>
    <n v="0"/>
    <n v="1"/>
  </r>
  <r>
    <s v="LA-703316"/>
    <d v="2025-04-24T00:00:00"/>
    <x v="1"/>
    <s v="Q2"/>
    <x v="3"/>
    <x v="1"/>
    <x v="3"/>
    <x v="1"/>
    <x v="0"/>
    <x v="1"/>
    <n v="7350"/>
    <n v="16000"/>
    <n v="36"/>
    <n v="0.20699999999999999"/>
    <s v="Approved"/>
    <x v="1"/>
    <n v="1"/>
    <n v="0"/>
    <n v="13000"/>
    <n v="0.13200000000000001"/>
    <n v="4"/>
    <n v="0"/>
    <n v="1"/>
  </r>
  <r>
    <s v="LA-703317"/>
    <d v="2025-04-24T00:00:00"/>
    <x v="1"/>
    <s v="Q2"/>
    <x v="3"/>
    <x v="1"/>
    <x v="3"/>
    <x v="2"/>
    <x v="0"/>
    <x v="4"/>
    <n v="5900"/>
    <n v="7500"/>
    <n v="48"/>
    <n v="8.5000000000000006E-2"/>
    <s v="Approved"/>
    <x v="1"/>
    <n v="1"/>
    <n v="0"/>
    <n v="7500"/>
    <n v="0.1183"/>
    <n v="7"/>
    <n v="0"/>
    <n v="1"/>
  </r>
  <r>
    <s v="LA-703318"/>
    <d v="2025-04-25T00:00:00"/>
    <x v="1"/>
    <s v="Q2"/>
    <x v="3"/>
    <x v="1"/>
    <x v="3"/>
    <x v="2"/>
    <x v="1"/>
    <x v="4"/>
    <n v="7100"/>
    <n v="20000"/>
    <n v="12"/>
    <n v="0.48299999999999998"/>
    <s v="Approved"/>
    <x v="1"/>
    <n v="1"/>
    <n v="0"/>
    <n v="20000"/>
    <n v="0.1172"/>
    <n v="3"/>
    <n v="1"/>
    <n v="1"/>
  </r>
  <r>
    <s v="LA-703319"/>
    <d v="2025-04-25T00:00:00"/>
    <x v="1"/>
    <s v="Q2"/>
    <x v="3"/>
    <x v="2"/>
    <x v="3"/>
    <x v="4"/>
    <x v="1"/>
    <x v="1"/>
    <n v="7050"/>
    <n v="120000"/>
    <n v="60"/>
    <n v="0.60799999999999998"/>
    <s v="Approved"/>
    <x v="1"/>
    <n v="1"/>
    <n v="0"/>
    <n v="120000"/>
    <n v="0.10680000000000001"/>
    <n v="9"/>
    <n v="1"/>
    <n v="1"/>
  </r>
  <r>
    <s v="LA-703320"/>
    <d v="2025-04-25T00:00:00"/>
    <x v="1"/>
    <s v="Q2"/>
    <x v="3"/>
    <x v="0"/>
    <x v="2"/>
    <x v="3"/>
    <x v="1"/>
    <x v="2"/>
    <n v="4200"/>
    <n v="55000"/>
    <n v="48"/>
    <n v="0.39900000000000002"/>
    <s v="Rejected"/>
    <x v="0"/>
    <n v="0"/>
    <n v="1"/>
    <n v="0"/>
    <m/>
    <n v="2"/>
    <n v="1"/>
    <n v="1"/>
  </r>
  <r>
    <s v="LA-703321"/>
    <d v="2025-04-25T00:00:00"/>
    <x v="1"/>
    <s v="Q2"/>
    <x v="3"/>
    <x v="1"/>
    <x v="1"/>
    <x v="3"/>
    <x v="1"/>
    <x v="4"/>
    <n v="6650"/>
    <n v="25000"/>
    <n v="36"/>
    <n v="0.20599999999999999"/>
    <s v="Approved"/>
    <x v="1"/>
    <n v="1"/>
    <n v="0"/>
    <n v="25000"/>
    <n v="0.1099"/>
    <n v="1"/>
    <n v="1"/>
    <n v="1"/>
  </r>
  <r>
    <s v="LA-703322"/>
    <d v="2025-04-25T00:00:00"/>
    <x v="1"/>
    <s v="Q2"/>
    <x v="3"/>
    <x v="0"/>
    <x v="0"/>
    <x v="2"/>
    <x v="0"/>
    <x v="1"/>
    <n v="7750"/>
    <n v="36500"/>
    <n v="60"/>
    <n v="0.16500000000000001"/>
    <s v="Approved"/>
    <x v="1"/>
    <n v="1"/>
    <n v="0"/>
    <n v="36500"/>
    <n v="8.3000000000000004E-2"/>
    <n v="8"/>
    <n v="0"/>
    <n v="1"/>
  </r>
  <r>
    <s v="LA-703323"/>
    <d v="2025-04-25T00:00:00"/>
    <x v="1"/>
    <s v="Q2"/>
    <x v="3"/>
    <x v="1"/>
    <x v="2"/>
    <x v="4"/>
    <x v="2"/>
    <x v="3"/>
    <n v="5300"/>
    <n v="5000"/>
    <n v="12"/>
    <n v="0.30499999999999999"/>
    <s v="Approved"/>
    <x v="1"/>
    <n v="1"/>
    <n v="0"/>
    <n v="4500"/>
    <n v="0.1074"/>
    <n v="2"/>
    <n v="1"/>
    <n v="1"/>
  </r>
  <r>
    <s v="LA-703324"/>
    <d v="2025-04-25T00:00:00"/>
    <x v="1"/>
    <s v="Q2"/>
    <x v="3"/>
    <x v="0"/>
    <x v="1"/>
    <x v="1"/>
    <x v="1"/>
    <x v="1"/>
    <n v="6950"/>
    <n v="12000"/>
    <n v="48"/>
    <n v="0.12"/>
    <s v="Approved"/>
    <x v="1"/>
    <n v="1"/>
    <n v="0"/>
    <n v="11000"/>
    <n v="8.5099999999999995E-2"/>
    <n v="2"/>
    <n v="1"/>
    <n v="1"/>
  </r>
  <r>
    <s v="LA-703325"/>
    <d v="2025-04-25T00:00:00"/>
    <x v="1"/>
    <s v="Q2"/>
    <x v="3"/>
    <x v="1"/>
    <x v="3"/>
    <x v="3"/>
    <x v="0"/>
    <x v="2"/>
    <n v="4600"/>
    <n v="12000"/>
    <n v="24"/>
    <n v="0.28699999999999998"/>
    <s v="Rejected"/>
    <x v="5"/>
    <n v="0"/>
    <n v="1"/>
    <n v="0"/>
    <m/>
    <n v="4"/>
    <n v="0"/>
    <n v="1"/>
  </r>
  <r>
    <s v="LA-703326"/>
    <d v="2025-04-25T00:00:00"/>
    <x v="1"/>
    <s v="Q2"/>
    <x v="3"/>
    <x v="0"/>
    <x v="3"/>
    <x v="4"/>
    <x v="1"/>
    <x v="1"/>
    <n v="6750"/>
    <n v="49500"/>
    <n v="60"/>
    <n v="0.24"/>
    <s v="Approved"/>
    <x v="1"/>
    <n v="1"/>
    <n v="0"/>
    <n v="39500"/>
    <n v="8.2299999999999998E-2"/>
    <n v="4"/>
    <n v="1"/>
    <n v="1"/>
  </r>
  <r>
    <s v="LA-703327"/>
    <d v="2025-04-26T00:00:00"/>
    <x v="1"/>
    <s v="Q2"/>
    <x v="3"/>
    <x v="0"/>
    <x v="1"/>
    <x v="0"/>
    <x v="0"/>
    <x v="4"/>
    <n v="4400"/>
    <n v="51000"/>
    <n v="60"/>
    <n v="0.47199999999999998"/>
    <s v="Approved"/>
    <x v="1"/>
    <n v="1"/>
    <n v="0"/>
    <n v="46000"/>
    <n v="7.2599999999999998E-2"/>
    <n v="1"/>
    <n v="1"/>
    <n v="1"/>
  </r>
  <r>
    <s v="LA-703328"/>
    <d v="2025-04-26T00:00:00"/>
    <x v="1"/>
    <s v="Q2"/>
    <x v="3"/>
    <x v="1"/>
    <x v="1"/>
    <x v="2"/>
    <x v="1"/>
    <x v="4"/>
    <n v="2200"/>
    <n v="14500"/>
    <n v="24"/>
    <n v="0.54200000000000004"/>
    <s v="Rejected"/>
    <x v="3"/>
    <n v="0"/>
    <n v="1"/>
    <n v="0"/>
    <m/>
    <n v="1"/>
    <n v="1"/>
    <n v="1"/>
  </r>
  <r>
    <s v="LA-703329"/>
    <d v="2025-04-26T00:00:00"/>
    <x v="1"/>
    <s v="Q2"/>
    <x v="3"/>
    <x v="1"/>
    <x v="0"/>
    <x v="1"/>
    <x v="1"/>
    <x v="2"/>
    <n v="13800"/>
    <n v="6000"/>
    <n v="12"/>
    <n v="0.151"/>
    <s v="Rejected"/>
    <x v="0"/>
    <n v="0"/>
    <n v="1"/>
    <n v="0"/>
    <m/>
    <n v="4"/>
    <n v="0"/>
    <n v="1"/>
  </r>
  <r>
    <s v="LA-703330"/>
    <d v="2025-04-26T00:00:00"/>
    <x v="1"/>
    <s v="Q2"/>
    <x v="3"/>
    <x v="2"/>
    <x v="3"/>
    <x v="4"/>
    <x v="0"/>
    <x v="1"/>
    <n v="7050"/>
    <n v="62500"/>
    <n v="24"/>
    <n v="0.61199999999999999"/>
    <s v="Approved"/>
    <x v="1"/>
    <n v="1"/>
    <n v="0"/>
    <n v="56000"/>
    <n v="0.1125"/>
    <n v="14"/>
    <n v="0"/>
    <n v="1"/>
  </r>
  <r>
    <s v="LA-703331"/>
    <d v="2025-04-26T00:00:00"/>
    <x v="1"/>
    <s v="Q2"/>
    <x v="3"/>
    <x v="1"/>
    <x v="0"/>
    <x v="4"/>
    <x v="2"/>
    <x v="1"/>
    <n v="4250"/>
    <n v="13500"/>
    <n v="12"/>
    <n v="0.376"/>
    <s v="Rejected"/>
    <x v="4"/>
    <n v="0"/>
    <n v="1"/>
    <n v="0"/>
    <m/>
    <n v="9"/>
    <n v="0"/>
    <n v="1"/>
  </r>
  <r>
    <s v="LA-703332"/>
    <d v="2025-04-26T00:00:00"/>
    <x v="1"/>
    <s v="Q2"/>
    <x v="3"/>
    <x v="1"/>
    <x v="3"/>
    <x v="2"/>
    <x v="2"/>
    <x v="0"/>
    <n v="5550"/>
    <n v="12000"/>
    <n v="36"/>
    <n v="0.16700000000000001"/>
    <s v="Rejected"/>
    <x v="0"/>
    <n v="0"/>
    <n v="1"/>
    <n v="0"/>
    <m/>
    <n v="3"/>
    <n v="1"/>
    <n v="1"/>
  </r>
  <r>
    <s v="LA-703333"/>
    <d v="2025-04-27T00:00:00"/>
    <x v="1"/>
    <s v="Q2"/>
    <x v="3"/>
    <x v="2"/>
    <x v="2"/>
    <x v="4"/>
    <x v="0"/>
    <x v="4"/>
    <n v="3300"/>
    <n v="79000"/>
    <n v="36"/>
    <n v="0.87"/>
    <s v="Rejected"/>
    <x v="4"/>
    <n v="0"/>
    <n v="1"/>
    <n v="0"/>
    <m/>
    <n v="8"/>
    <n v="1"/>
    <n v="1"/>
  </r>
  <r>
    <s v="LA-703334"/>
    <d v="2025-04-27T00:00:00"/>
    <x v="1"/>
    <s v="Q2"/>
    <x v="3"/>
    <x v="1"/>
    <x v="1"/>
    <x v="4"/>
    <x v="0"/>
    <x v="0"/>
    <n v="3900"/>
    <n v="9000"/>
    <n v="48"/>
    <n v="0.11799999999999999"/>
    <s v="Approved"/>
    <x v="1"/>
    <n v="1"/>
    <n v="0"/>
    <n v="9000"/>
    <n v="0.1444"/>
    <n v="1"/>
    <n v="1"/>
    <n v="1"/>
  </r>
  <r>
    <s v="LA-703335"/>
    <d v="2025-04-27T00:00:00"/>
    <x v="1"/>
    <s v="Q2"/>
    <x v="3"/>
    <x v="1"/>
    <x v="2"/>
    <x v="2"/>
    <x v="2"/>
    <x v="1"/>
    <n v="9800"/>
    <n v="4500"/>
    <n v="48"/>
    <n v="0.253"/>
    <s v="Approved"/>
    <x v="1"/>
    <n v="1"/>
    <n v="0"/>
    <n v="4500"/>
    <n v="0.12759999999999999"/>
    <n v="3"/>
    <n v="1"/>
    <n v="1"/>
  </r>
  <r>
    <s v="LA-703336"/>
    <d v="2025-04-28T00:00:00"/>
    <x v="1"/>
    <s v="Q2"/>
    <x v="3"/>
    <x v="3"/>
    <x v="0"/>
    <x v="2"/>
    <x v="0"/>
    <x v="0"/>
    <n v="5650"/>
    <n v="403500"/>
    <n v="180"/>
    <n v="0.78300000000000003"/>
    <s v="Rejected"/>
    <x v="0"/>
    <n v="0"/>
    <n v="1"/>
    <n v="0"/>
    <m/>
    <n v="5"/>
    <n v="1"/>
    <n v="1"/>
  </r>
  <r>
    <s v="LA-703337"/>
    <d v="2025-04-28T00:00:00"/>
    <x v="1"/>
    <s v="Q2"/>
    <x v="3"/>
    <x v="2"/>
    <x v="1"/>
    <x v="3"/>
    <x v="1"/>
    <x v="4"/>
    <n v="5250"/>
    <n v="159500"/>
    <n v="24"/>
    <n v="1.6459999999999999"/>
    <s v="Rejected"/>
    <x v="3"/>
    <n v="0"/>
    <n v="1"/>
    <n v="0"/>
    <m/>
    <n v="4"/>
    <n v="1"/>
    <n v="1"/>
  </r>
  <r>
    <s v="LA-703338"/>
    <d v="2025-04-28T00:00:00"/>
    <x v="1"/>
    <s v="Q2"/>
    <x v="3"/>
    <x v="2"/>
    <x v="3"/>
    <x v="1"/>
    <x v="1"/>
    <x v="1"/>
    <n v="9250"/>
    <n v="67500"/>
    <n v="60"/>
    <n v="0.251"/>
    <s v="Approved"/>
    <x v="1"/>
    <n v="1"/>
    <n v="0"/>
    <n v="54000"/>
    <n v="0.10440000000000001"/>
    <n v="19"/>
    <n v="0"/>
    <n v="1"/>
  </r>
  <r>
    <s v="LA-703339"/>
    <d v="2025-04-28T00:00:00"/>
    <x v="1"/>
    <s v="Q2"/>
    <x v="3"/>
    <x v="1"/>
    <x v="3"/>
    <x v="2"/>
    <x v="0"/>
    <x v="0"/>
    <n v="6900"/>
    <n v="11500"/>
    <n v="48"/>
    <n v="0.14099999999999999"/>
    <s v="Approved"/>
    <x v="1"/>
    <n v="1"/>
    <n v="0"/>
    <n v="11500"/>
    <n v="0.1439"/>
    <n v="4"/>
    <n v="0"/>
    <n v="1"/>
  </r>
  <r>
    <s v="LA-703340"/>
    <d v="2025-04-28T00:00:00"/>
    <x v="1"/>
    <s v="Q2"/>
    <x v="3"/>
    <x v="1"/>
    <x v="1"/>
    <x v="1"/>
    <x v="2"/>
    <x v="2"/>
    <n v="6750"/>
    <n v="5500"/>
    <n v="48"/>
    <n v="0.152"/>
    <s v="Rejected"/>
    <x v="0"/>
    <n v="0"/>
    <n v="1"/>
    <n v="0"/>
    <m/>
    <n v="1"/>
    <n v="1"/>
    <n v="1"/>
  </r>
  <r>
    <s v="LA-703341"/>
    <d v="2025-04-28T00:00:00"/>
    <x v="1"/>
    <s v="Q2"/>
    <x v="3"/>
    <x v="0"/>
    <x v="3"/>
    <x v="2"/>
    <x v="0"/>
    <x v="4"/>
    <n v="2000"/>
    <n v="21000"/>
    <n v="60"/>
    <n v="0.28100000000000003"/>
    <s v="Approved"/>
    <x v="1"/>
    <n v="1"/>
    <n v="0"/>
    <n v="21000"/>
    <n v="7.2099999999999997E-2"/>
    <n v="6"/>
    <n v="0"/>
    <n v="1"/>
  </r>
  <r>
    <s v="LA-703342"/>
    <d v="2025-04-28T00:00:00"/>
    <x v="1"/>
    <s v="Q2"/>
    <x v="3"/>
    <x v="0"/>
    <x v="3"/>
    <x v="3"/>
    <x v="1"/>
    <x v="0"/>
    <n v="4450"/>
    <n v="38000"/>
    <n v="60"/>
    <n v="0.35899999999999999"/>
    <s v="Rejected"/>
    <x v="0"/>
    <n v="0"/>
    <n v="1"/>
    <n v="0"/>
    <m/>
    <n v="7"/>
    <n v="0"/>
    <n v="1"/>
  </r>
  <r>
    <s v="LA-703343"/>
    <d v="2025-04-28T00:00:00"/>
    <x v="1"/>
    <s v="Q2"/>
    <x v="3"/>
    <x v="0"/>
    <x v="0"/>
    <x v="3"/>
    <x v="2"/>
    <x v="4"/>
    <n v="4300"/>
    <n v="25000"/>
    <n v="48"/>
    <n v="0.3"/>
    <s v="Approved"/>
    <x v="1"/>
    <n v="1"/>
    <n v="0"/>
    <n v="22500"/>
    <n v="6.7100000000000007E-2"/>
    <n v="4"/>
    <n v="1"/>
    <n v="1"/>
  </r>
  <r>
    <s v="LA-703344"/>
    <d v="2025-04-28T00:00:00"/>
    <x v="1"/>
    <s v="Q2"/>
    <x v="3"/>
    <x v="1"/>
    <x v="2"/>
    <x v="0"/>
    <x v="0"/>
    <x v="0"/>
    <n v="3000"/>
    <n v="13000"/>
    <n v="36"/>
    <n v="0.32400000000000001"/>
    <s v="Approved"/>
    <x v="1"/>
    <n v="1"/>
    <n v="0"/>
    <n v="13000"/>
    <n v="0.1401"/>
    <n v="1"/>
    <n v="1"/>
    <n v="1"/>
  </r>
  <r>
    <s v="LA-703345"/>
    <d v="2025-04-29T00:00:00"/>
    <x v="1"/>
    <s v="Q2"/>
    <x v="3"/>
    <x v="1"/>
    <x v="2"/>
    <x v="2"/>
    <x v="1"/>
    <x v="0"/>
    <n v="6600"/>
    <n v="36000"/>
    <n v="60"/>
    <n v="0.312"/>
    <s v="Rejected"/>
    <x v="0"/>
    <n v="0"/>
    <n v="1"/>
    <n v="0"/>
    <m/>
    <n v="1"/>
    <n v="1"/>
    <n v="1"/>
  </r>
  <r>
    <s v="LA-703346"/>
    <d v="2025-04-29T00:00:00"/>
    <x v="1"/>
    <s v="Q2"/>
    <x v="3"/>
    <x v="3"/>
    <x v="3"/>
    <x v="1"/>
    <x v="0"/>
    <x v="4"/>
    <n v="8050"/>
    <n v="236000"/>
    <n v="240"/>
    <n v="0.35"/>
    <s v="Approved"/>
    <x v="1"/>
    <n v="1"/>
    <n v="0"/>
    <n v="189000"/>
    <n v="4.9299999999999997E-2"/>
    <n v="22"/>
    <n v="0"/>
    <n v="1"/>
  </r>
  <r>
    <s v="LA-703347"/>
    <d v="2025-04-29T00:00:00"/>
    <x v="1"/>
    <s v="Q2"/>
    <x v="3"/>
    <x v="1"/>
    <x v="1"/>
    <x v="3"/>
    <x v="0"/>
    <x v="4"/>
    <n v="8700"/>
    <n v="10500"/>
    <n v="24"/>
    <n v="0.158"/>
    <s v="Approved"/>
    <x v="1"/>
    <n v="1"/>
    <n v="0"/>
    <n v="8500"/>
    <n v="0.1169"/>
    <n v="3"/>
    <n v="1"/>
    <n v="1"/>
  </r>
  <r>
    <s v="LA-703348"/>
    <d v="2025-04-29T00:00:00"/>
    <x v="1"/>
    <s v="Q2"/>
    <x v="3"/>
    <x v="2"/>
    <x v="3"/>
    <x v="3"/>
    <x v="0"/>
    <x v="0"/>
    <n v="2550"/>
    <n v="48500"/>
    <n v="36"/>
    <n v="0.80200000000000005"/>
    <s v="Approved"/>
    <x v="1"/>
    <n v="1"/>
    <n v="0"/>
    <n v="48500"/>
    <n v="0.1166"/>
    <n v="11"/>
    <n v="0"/>
    <n v="1"/>
  </r>
  <r>
    <s v="LA-703349"/>
    <d v="2025-04-29T00:00:00"/>
    <x v="1"/>
    <s v="Q2"/>
    <x v="3"/>
    <x v="0"/>
    <x v="0"/>
    <x v="1"/>
    <x v="0"/>
    <x v="1"/>
    <n v="5250"/>
    <n v="32500"/>
    <n v="48"/>
    <n v="0.3"/>
    <s v="Approved"/>
    <x v="1"/>
    <n v="1"/>
    <n v="0"/>
    <n v="29000"/>
    <n v="8.5300000000000001E-2"/>
    <n v="8"/>
    <n v="0"/>
    <n v="1"/>
  </r>
  <r>
    <s v="LA-703350"/>
    <d v="2025-04-29T00:00:00"/>
    <x v="1"/>
    <s v="Q2"/>
    <x v="3"/>
    <x v="1"/>
    <x v="2"/>
    <x v="2"/>
    <x v="0"/>
    <x v="3"/>
    <n v="2750"/>
    <n v="19500"/>
    <n v="12"/>
    <n v="0.71699999999999997"/>
    <s v="Rejected"/>
    <x v="3"/>
    <n v="0"/>
    <n v="1"/>
    <n v="0"/>
    <m/>
    <n v="5"/>
    <n v="0"/>
    <n v="1"/>
  </r>
  <r>
    <s v="LA-703351"/>
    <d v="2025-04-29T00:00:00"/>
    <x v="1"/>
    <s v="Q2"/>
    <x v="3"/>
    <x v="1"/>
    <x v="1"/>
    <x v="2"/>
    <x v="2"/>
    <x v="1"/>
    <n v="3750"/>
    <n v="5000"/>
    <n v="36"/>
    <n v="0.219"/>
    <s v="Approved"/>
    <x v="1"/>
    <n v="1"/>
    <n v="0"/>
    <n v="4000"/>
    <n v="0.1225"/>
    <n v="3"/>
    <n v="1"/>
    <n v="1"/>
  </r>
  <r>
    <s v="LA-703352"/>
    <d v="2025-04-29T00:00:00"/>
    <x v="1"/>
    <s v="Q2"/>
    <x v="3"/>
    <x v="0"/>
    <x v="3"/>
    <x v="2"/>
    <x v="2"/>
    <x v="3"/>
    <n v="4650"/>
    <n v="28500"/>
    <n v="60"/>
    <n v="0.22800000000000001"/>
    <s v="Approved"/>
    <x v="1"/>
    <n v="1"/>
    <n v="0"/>
    <n v="28500"/>
    <n v="6.5600000000000006E-2"/>
    <n v="4"/>
    <n v="1"/>
    <n v="1"/>
  </r>
  <r>
    <s v="LA-703353"/>
    <d v="2025-04-30T00:00:00"/>
    <x v="1"/>
    <s v="Q2"/>
    <x v="3"/>
    <x v="0"/>
    <x v="0"/>
    <x v="1"/>
    <x v="2"/>
    <x v="0"/>
    <n v="4100"/>
    <n v="41500"/>
    <n v="48"/>
    <n v="0.36799999999999999"/>
    <s v="Rejected"/>
    <x v="0"/>
    <n v="0"/>
    <n v="1"/>
    <n v="0"/>
    <m/>
    <n v="4"/>
    <n v="1"/>
    <n v="1"/>
  </r>
  <r>
    <s v="LA-703354"/>
    <d v="2025-04-30T00:00:00"/>
    <x v="1"/>
    <s v="Q2"/>
    <x v="3"/>
    <x v="0"/>
    <x v="2"/>
    <x v="1"/>
    <x v="0"/>
    <x v="3"/>
    <n v="3550"/>
    <n v="32000"/>
    <n v="60"/>
    <n v="0.371"/>
    <s v="Approved"/>
    <x v="1"/>
    <n v="1"/>
    <n v="0"/>
    <n v="32000"/>
    <n v="6.4699999999999994E-2"/>
    <n v="4"/>
    <n v="1"/>
    <n v="1"/>
  </r>
  <r>
    <s v="LA-703355"/>
    <d v="2025-04-30T00:00:00"/>
    <x v="1"/>
    <s v="Q2"/>
    <x v="3"/>
    <x v="0"/>
    <x v="0"/>
    <x v="3"/>
    <x v="0"/>
    <x v="1"/>
    <n v="5350"/>
    <n v="24000"/>
    <n v="60"/>
    <n v="0.193"/>
    <s v="Approved"/>
    <x v="1"/>
    <n v="1"/>
    <n v="0"/>
    <n v="24000"/>
    <n v="8.2900000000000001E-2"/>
    <n v="7"/>
    <n v="0"/>
    <n v="1"/>
  </r>
  <r>
    <s v="LA-703356"/>
    <d v="2025-04-30T00:00:00"/>
    <x v="1"/>
    <s v="Q2"/>
    <x v="3"/>
    <x v="2"/>
    <x v="3"/>
    <x v="3"/>
    <x v="1"/>
    <x v="1"/>
    <n v="3050"/>
    <n v="116000"/>
    <n v="60"/>
    <n v="0.93899999999999995"/>
    <s v="Rejected"/>
    <x v="3"/>
    <n v="0"/>
    <n v="1"/>
    <n v="0"/>
    <m/>
    <n v="15"/>
    <n v="0"/>
    <n v="1"/>
  </r>
  <r>
    <s v="LA-703357"/>
    <d v="2025-04-30T00:00:00"/>
    <x v="1"/>
    <s v="Q2"/>
    <x v="3"/>
    <x v="2"/>
    <x v="1"/>
    <x v="2"/>
    <x v="0"/>
    <x v="1"/>
    <n v="5750"/>
    <n v="103000"/>
    <n v="12"/>
    <n v="1.802"/>
    <s v="Rejected"/>
    <x v="3"/>
    <n v="0"/>
    <n v="1"/>
    <n v="0"/>
    <m/>
    <n v="2"/>
    <n v="1"/>
    <n v="1"/>
  </r>
  <r>
    <s v="LA-703358"/>
    <d v="2025-04-30T00:00:00"/>
    <x v="1"/>
    <s v="Q2"/>
    <x v="3"/>
    <x v="0"/>
    <x v="3"/>
    <x v="4"/>
    <x v="1"/>
    <x v="4"/>
    <n v="2350"/>
    <n v="21500"/>
    <n v="48"/>
    <n v="0.28499999999999998"/>
    <s v="Approved"/>
    <x v="1"/>
    <n v="1"/>
    <n v="0"/>
    <n v="21500"/>
    <n v="7.46E-2"/>
    <n v="4"/>
    <n v="1"/>
    <n v="1"/>
  </r>
  <r>
    <s v="LA-703359"/>
    <d v="2025-04-30T00:00:00"/>
    <x v="1"/>
    <s v="Q2"/>
    <x v="3"/>
    <x v="0"/>
    <x v="2"/>
    <x v="1"/>
    <x v="1"/>
    <x v="3"/>
    <n v="5900"/>
    <n v="7500"/>
    <n v="60"/>
    <n v="0.254"/>
    <s v="Approved"/>
    <x v="1"/>
    <n v="1"/>
    <n v="0"/>
    <n v="7500"/>
    <n v="7.0400000000000004E-2"/>
    <n v="3"/>
    <n v="1"/>
    <n v="1"/>
  </r>
  <r>
    <s v="LA-703360"/>
    <d v="2025-05-01T00:00:00"/>
    <x v="1"/>
    <s v="Q2"/>
    <x v="4"/>
    <x v="2"/>
    <x v="3"/>
    <x v="1"/>
    <x v="1"/>
    <x v="2"/>
    <n v="4000"/>
    <n v="65000"/>
    <n v="12"/>
    <n v="1.58"/>
    <s v="Rejected"/>
    <x v="0"/>
    <n v="0"/>
    <n v="1"/>
    <n v="0"/>
    <m/>
    <n v="8"/>
    <n v="1"/>
    <n v="1"/>
  </r>
  <r>
    <s v="LA-703361"/>
    <d v="2025-05-01T00:00:00"/>
    <x v="1"/>
    <s v="Q2"/>
    <x v="4"/>
    <x v="1"/>
    <x v="3"/>
    <x v="1"/>
    <x v="0"/>
    <x v="1"/>
    <n v="2200"/>
    <n v="19000"/>
    <n v="24"/>
    <n v="0.48299999999999998"/>
    <s v="Approved"/>
    <x v="1"/>
    <n v="1"/>
    <n v="0"/>
    <n v="15000"/>
    <n v="0.1249"/>
    <n v="3"/>
    <n v="1"/>
    <n v="1"/>
  </r>
  <r>
    <s v="LA-703362"/>
    <d v="2025-05-01T00:00:00"/>
    <x v="1"/>
    <s v="Q2"/>
    <x v="4"/>
    <x v="1"/>
    <x v="1"/>
    <x v="2"/>
    <x v="1"/>
    <x v="1"/>
    <n v="3700"/>
    <n v="7000"/>
    <n v="48"/>
    <n v="0.252"/>
    <s v="Withdrawn"/>
    <x v="1"/>
    <n v="0"/>
    <n v="0"/>
    <n v="0"/>
    <m/>
    <n v="1"/>
    <n v="1"/>
    <n v="1"/>
  </r>
  <r>
    <s v="LA-703363"/>
    <d v="2025-05-01T00:00:00"/>
    <x v="1"/>
    <s v="Q2"/>
    <x v="4"/>
    <x v="1"/>
    <x v="0"/>
    <x v="1"/>
    <x v="1"/>
    <x v="1"/>
    <n v="4050"/>
    <n v="15000"/>
    <n v="12"/>
    <n v="0.47599999999999998"/>
    <s v="Rejected"/>
    <x v="3"/>
    <n v="0"/>
    <n v="1"/>
    <n v="0"/>
    <m/>
    <n v="2"/>
    <n v="1"/>
    <n v="1"/>
  </r>
  <r>
    <s v="LA-703364"/>
    <d v="2025-05-01T00:00:00"/>
    <x v="1"/>
    <s v="Q2"/>
    <x v="4"/>
    <x v="2"/>
    <x v="1"/>
    <x v="2"/>
    <x v="0"/>
    <x v="1"/>
    <n v="6050"/>
    <n v="42500"/>
    <n v="36"/>
    <n v="0.47399999999999998"/>
    <s v="Approved"/>
    <x v="1"/>
    <n v="1"/>
    <n v="0"/>
    <n v="42500"/>
    <n v="0.1116"/>
    <n v="4"/>
    <n v="1"/>
    <n v="1"/>
  </r>
  <r>
    <s v="LA-703365"/>
    <d v="2025-05-01T00:00:00"/>
    <x v="1"/>
    <s v="Q2"/>
    <x v="4"/>
    <x v="1"/>
    <x v="3"/>
    <x v="1"/>
    <x v="2"/>
    <x v="4"/>
    <n v="9300"/>
    <n v="13000"/>
    <n v="60"/>
    <n v="0.26600000000000001"/>
    <s v="Approved"/>
    <x v="1"/>
    <n v="1"/>
    <n v="0"/>
    <n v="11500"/>
    <n v="0.1178"/>
    <n v="6"/>
    <n v="0"/>
    <n v="1"/>
  </r>
  <r>
    <s v="LA-703366"/>
    <d v="2025-05-01T00:00:00"/>
    <x v="1"/>
    <s v="Q2"/>
    <x v="4"/>
    <x v="1"/>
    <x v="1"/>
    <x v="2"/>
    <x v="1"/>
    <x v="1"/>
    <n v="2900"/>
    <n v="15500"/>
    <n v="60"/>
    <n v="0.25"/>
    <s v="Approved"/>
    <x v="1"/>
    <n v="1"/>
    <n v="0"/>
    <n v="12500"/>
    <n v="0.1268"/>
    <n v="2"/>
    <n v="1"/>
    <n v="1"/>
  </r>
  <r>
    <s v="LA-703367"/>
    <d v="2025-05-02T00:00:00"/>
    <x v="1"/>
    <s v="Q2"/>
    <x v="4"/>
    <x v="0"/>
    <x v="2"/>
    <x v="1"/>
    <x v="0"/>
    <x v="1"/>
    <n v="10100"/>
    <n v="16500"/>
    <n v="60"/>
    <n v="0.2"/>
    <s v="Approved"/>
    <x v="1"/>
    <n v="1"/>
    <n v="0"/>
    <n v="16500"/>
    <n v="8.5500000000000007E-2"/>
    <n v="3"/>
    <n v="1"/>
    <n v="1"/>
  </r>
  <r>
    <s v="LA-703368"/>
    <d v="2025-05-02T00:00:00"/>
    <x v="1"/>
    <s v="Q2"/>
    <x v="4"/>
    <x v="0"/>
    <x v="2"/>
    <x v="2"/>
    <x v="1"/>
    <x v="0"/>
    <n v="5350"/>
    <n v="15000"/>
    <n v="36"/>
    <n v="0.32900000000000001"/>
    <s v="Rejected"/>
    <x v="0"/>
    <n v="0"/>
    <n v="1"/>
    <n v="0"/>
    <m/>
    <n v="2"/>
    <n v="1"/>
    <n v="1"/>
  </r>
  <r>
    <s v="LA-703369"/>
    <d v="2025-05-02T00:00:00"/>
    <x v="1"/>
    <s v="Q2"/>
    <x v="4"/>
    <x v="0"/>
    <x v="2"/>
    <x v="3"/>
    <x v="2"/>
    <x v="4"/>
    <n v="5850"/>
    <n v="21500"/>
    <n v="36"/>
    <n v="0.31900000000000001"/>
    <s v="Approved"/>
    <x v="1"/>
    <n v="1"/>
    <n v="0"/>
    <n v="21500"/>
    <n v="7.22E-2"/>
    <n v="2"/>
    <n v="1"/>
    <n v="1"/>
  </r>
  <r>
    <s v="LA-703370"/>
    <d v="2025-05-02T00:00:00"/>
    <x v="1"/>
    <s v="Q2"/>
    <x v="4"/>
    <x v="3"/>
    <x v="1"/>
    <x v="1"/>
    <x v="1"/>
    <x v="3"/>
    <n v="7800"/>
    <n v="367500"/>
    <n v="240"/>
    <n v="0.53500000000000003"/>
    <s v="Rejected"/>
    <x v="3"/>
    <n v="0"/>
    <n v="1"/>
    <n v="0"/>
    <m/>
    <n v="8"/>
    <n v="1"/>
    <n v="1"/>
  </r>
  <r>
    <s v="LA-703371"/>
    <d v="2025-05-02T00:00:00"/>
    <x v="1"/>
    <s v="Q2"/>
    <x v="4"/>
    <x v="1"/>
    <x v="3"/>
    <x v="2"/>
    <x v="1"/>
    <x v="4"/>
    <n v="2650"/>
    <n v="10500"/>
    <n v="24"/>
    <n v="0.39400000000000002"/>
    <s v="Rejected"/>
    <x v="5"/>
    <n v="0"/>
    <n v="1"/>
    <n v="0"/>
    <m/>
    <n v="4"/>
    <n v="0"/>
    <n v="1"/>
  </r>
  <r>
    <s v="LA-703372"/>
    <d v="2025-05-02T00:00:00"/>
    <x v="1"/>
    <s v="Q2"/>
    <x v="4"/>
    <x v="3"/>
    <x v="1"/>
    <x v="2"/>
    <x v="0"/>
    <x v="4"/>
    <n v="4800"/>
    <n v="380500"/>
    <n v="300"/>
    <n v="0.52500000000000002"/>
    <s v="Approved"/>
    <x v="1"/>
    <n v="1"/>
    <n v="0"/>
    <n v="380500"/>
    <n v="4.7300000000000002E-2"/>
    <n v="4"/>
    <n v="1"/>
    <n v="1"/>
  </r>
  <r>
    <s v="LA-703373"/>
    <d v="2025-05-02T00:00:00"/>
    <x v="1"/>
    <s v="Q2"/>
    <x v="4"/>
    <x v="1"/>
    <x v="2"/>
    <x v="2"/>
    <x v="2"/>
    <x v="1"/>
    <n v="6400"/>
    <n v="7500"/>
    <n v="48"/>
    <n v="0.14399999999999999"/>
    <s v="Approved"/>
    <x v="1"/>
    <n v="1"/>
    <n v="0"/>
    <n v="7500"/>
    <n v="0.12770000000000001"/>
    <n v="1"/>
    <n v="1"/>
    <n v="1"/>
  </r>
  <r>
    <s v="LA-703374"/>
    <d v="2025-05-02T00:00:00"/>
    <x v="1"/>
    <s v="Q2"/>
    <x v="4"/>
    <x v="3"/>
    <x v="3"/>
    <x v="3"/>
    <x v="0"/>
    <x v="0"/>
    <n v="3000"/>
    <n v="446000"/>
    <n v="300"/>
    <n v="1.054"/>
    <s v="Rejected"/>
    <x v="3"/>
    <n v="0"/>
    <n v="1"/>
    <n v="0"/>
    <m/>
    <n v="17"/>
    <n v="0"/>
    <n v="1"/>
  </r>
  <r>
    <s v="LA-703375"/>
    <d v="2025-05-02T00:00:00"/>
    <x v="1"/>
    <s v="Q2"/>
    <x v="4"/>
    <x v="0"/>
    <x v="1"/>
    <x v="2"/>
    <x v="2"/>
    <x v="4"/>
    <n v="9800"/>
    <n v="27500"/>
    <n v="60"/>
    <n v="0.16200000000000001"/>
    <s v="Approved"/>
    <x v="1"/>
    <n v="1"/>
    <n v="0"/>
    <n v="27500"/>
    <n v="7.5899999999999995E-2"/>
    <n v="3"/>
    <n v="1"/>
    <n v="1"/>
  </r>
  <r>
    <s v="LA-703376"/>
    <d v="2025-05-02T00:00:00"/>
    <x v="1"/>
    <s v="Q2"/>
    <x v="4"/>
    <x v="3"/>
    <x v="3"/>
    <x v="2"/>
    <x v="1"/>
    <x v="0"/>
    <n v="3800"/>
    <n v="210500"/>
    <n v="180"/>
    <n v="0.52400000000000002"/>
    <s v="Approved"/>
    <x v="1"/>
    <n v="1"/>
    <n v="0"/>
    <n v="210500"/>
    <n v="7.0000000000000007E-2"/>
    <n v="23"/>
    <n v="0"/>
    <n v="1"/>
  </r>
  <r>
    <s v="LA-703377"/>
    <d v="2025-05-02T00:00:00"/>
    <x v="1"/>
    <s v="Q2"/>
    <x v="4"/>
    <x v="0"/>
    <x v="0"/>
    <x v="3"/>
    <x v="1"/>
    <x v="3"/>
    <n v="10300"/>
    <n v="24000"/>
    <n v="60"/>
    <n v="0.221"/>
    <s v="Approved"/>
    <x v="1"/>
    <n v="1"/>
    <n v="0"/>
    <n v="24000"/>
    <n v="6.9599999999999995E-2"/>
    <n v="2"/>
    <n v="1"/>
    <n v="1"/>
  </r>
  <r>
    <s v="LA-703378"/>
    <d v="2025-05-03T00:00:00"/>
    <x v="1"/>
    <s v="Q2"/>
    <x v="4"/>
    <x v="1"/>
    <x v="1"/>
    <x v="4"/>
    <x v="0"/>
    <x v="3"/>
    <n v="4500"/>
    <n v="9500"/>
    <n v="24"/>
    <n v="0.27900000000000003"/>
    <s v="Approved"/>
    <x v="1"/>
    <n v="1"/>
    <n v="0"/>
    <n v="9500"/>
    <n v="0.1085"/>
    <n v="2"/>
    <n v="1"/>
    <n v="1"/>
  </r>
  <r>
    <s v="LA-703379"/>
    <d v="2025-05-03T00:00:00"/>
    <x v="1"/>
    <s v="Q2"/>
    <x v="4"/>
    <x v="1"/>
    <x v="3"/>
    <x v="2"/>
    <x v="1"/>
    <x v="4"/>
    <n v="7050"/>
    <n v="7500"/>
    <n v="60"/>
    <n v="0.23899999999999999"/>
    <s v="Approved"/>
    <x v="1"/>
    <n v="1"/>
    <n v="0"/>
    <n v="6000"/>
    <n v="0.1171"/>
    <n v="3"/>
    <n v="1"/>
    <n v="1"/>
  </r>
  <r>
    <s v="LA-703380"/>
    <d v="2025-05-03T00:00:00"/>
    <x v="1"/>
    <s v="Q2"/>
    <x v="4"/>
    <x v="1"/>
    <x v="1"/>
    <x v="3"/>
    <x v="0"/>
    <x v="1"/>
    <n v="3350"/>
    <n v="10000"/>
    <n v="60"/>
    <n v="0.29899999999999999"/>
    <s v="Approved"/>
    <x v="1"/>
    <n v="1"/>
    <n v="0"/>
    <n v="10000"/>
    <n v="0.1245"/>
    <n v="2"/>
    <n v="1"/>
    <n v="1"/>
  </r>
  <r>
    <s v="LA-703381"/>
    <d v="2025-05-03T00:00:00"/>
    <x v="1"/>
    <s v="Q2"/>
    <x v="4"/>
    <x v="2"/>
    <x v="2"/>
    <x v="2"/>
    <x v="1"/>
    <x v="1"/>
    <n v="4000"/>
    <n v="118500"/>
    <n v="12"/>
    <n v="2.718"/>
    <s v="Rejected"/>
    <x v="3"/>
    <n v="0"/>
    <n v="1"/>
    <n v="0"/>
    <m/>
    <n v="2"/>
    <n v="1"/>
    <n v="1"/>
  </r>
  <r>
    <s v="LA-703382"/>
    <d v="2025-05-03T00:00:00"/>
    <x v="1"/>
    <s v="Q2"/>
    <x v="4"/>
    <x v="3"/>
    <x v="2"/>
    <x v="2"/>
    <x v="1"/>
    <x v="3"/>
    <n v="6950"/>
    <n v="374000"/>
    <n v="240"/>
    <n v="0.42599999999999999"/>
    <s v="Approved"/>
    <x v="1"/>
    <n v="1"/>
    <n v="0"/>
    <n v="374000"/>
    <n v="4.5900000000000003E-2"/>
    <n v="9"/>
    <n v="1"/>
    <n v="1"/>
  </r>
  <r>
    <s v="LA-703383"/>
    <d v="2025-05-04T00:00:00"/>
    <x v="1"/>
    <s v="Q2"/>
    <x v="4"/>
    <x v="0"/>
    <x v="3"/>
    <x v="0"/>
    <x v="1"/>
    <x v="3"/>
    <n v="5800"/>
    <n v="39000"/>
    <n v="36"/>
    <n v="0.33100000000000002"/>
    <s v="Approved"/>
    <x v="1"/>
    <n v="1"/>
    <n v="0"/>
    <n v="35000"/>
    <n v="6.6900000000000001E-2"/>
    <n v="4"/>
    <n v="1"/>
    <n v="1"/>
  </r>
  <r>
    <s v="LA-703384"/>
    <d v="2025-05-04T00:00:00"/>
    <x v="1"/>
    <s v="Q2"/>
    <x v="4"/>
    <x v="2"/>
    <x v="3"/>
    <x v="3"/>
    <x v="2"/>
    <x v="3"/>
    <n v="9200"/>
    <n v="89000"/>
    <n v="36"/>
    <n v="0.435"/>
    <s v="Rejected"/>
    <x v="4"/>
    <n v="0"/>
    <n v="1"/>
    <n v="0"/>
    <m/>
    <n v="15"/>
    <n v="0"/>
    <n v="1"/>
  </r>
  <r>
    <s v="LA-703385"/>
    <d v="2025-05-04T00:00:00"/>
    <x v="1"/>
    <s v="Q2"/>
    <x v="4"/>
    <x v="2"/>
    <x v="0"/>
    <x v="0"/>
    <x v="0"/>
    <x v="4"/>
    <n v="7950"/>
    <n v="83500"/>
    <n v="36"/>
    <n v="0.40300000000000002"/>
    <s v="Approved"/>
    <x v="1"/>
    <n v="1"/>
    <n v="0"/>
    <n v="75000"/>
    <n v="9.9199999999999997E-2"/>
    <n v="11"/>
    <n v="0"/>
    <n v="1"/>
  </r>
  <r>
    <s v="LA-703386"/>
    <d v="2025-05-04T00:00:00"/>
    <x v="1"/>
    <s v="Q2"/>
    <x v="4"/>
    <x v="1"/>
    <x v="1"/>
    <x v="4"/>
    <x v="0"/>
    <x v="1"/>
    <n v="5300"/>
    <n v="10000"/>
    <n v="24"/>
    <n v="0.28299999999999997"/>
    <s v="Approved"/>
    <x v="1"/>
    <n v="1"/>
    <n v="0"/>
    <n v="10000"/>
    <n v="0.1206"/>
    <n v="1"/>
    <n v="1"/>
    <n v="1"/>
  </r>
  <r>
    <s v="LA-703387"/>
    <d v="2025-05-04T00:00:00"/>
    <x v="1"/>
    <s v="Q2"/>
    <x v="4"/>
    <x v="1"/>
    <x v="1"/>
    <x v="3"/>
    <x v="0"/>
    <x v="3"/>
    <n v="3750"/>
    <n v="11000"/>
    <n v="36"/>
    <n v="0.255"/>
    <s v="Approved"/>
    <x v="1"/>
    <n v="1"/>
    <n v="0"/>
    <n v="11000"/>
    <n v="0.1075"/>
    <n v="3"/>
    <n v="1"/>
    <n v="1"/>
  </r>
  <r>
    <s v="LA-703388"/>
    <d v="2025-05-05T00:00:00"/>
    <x v="1"/>
    <s v="Q2"/>
    <x v="4"/>
    <x v="0"/>
    <x v="1"/>
    <x v="2"/>
    <x v="1"/>
    <x v="1"/>
    <n v="5600"/>
    <n v="29500"/>
    <n v="60"/>
    <n v="0.26100000000000001"/>
    <s v="Approved"/>
    <x v="1"/>
    <n v="1"/>
    <n v="0"/>
    <n v="23500"/>
    <n v="8.6199999999999999E-2"/>
    <n v="1"/>
    <n v="1"/>
    <n v="1"/>
  </r>
  <r>
    <s v="LA-703389"/>
    <d v="2025-05-05T00:00:00"/>
    <x v="1"/>
    <s v="Q2"/>
    <x v="4"/>
    <x v="2"/>
    <x v="1"/>
    <x v="2"/>
    <x v="0"/>
    <x v="3"/>
    <n v="4550"/>
    <n v="81000"/>
    <n v="36"/>
    <n v="0.65200000000000002"/>
    <s v="Rejected"/>
    <x v="4"/>
    <n v="0"/>
    <n v="1"/>
    <n v="0"/>
    <m/>
    <n v="8"/>
    <n v="1"/>
    <n v="1"/>
  </r>
  <r>
    <s v="LA-703390"/>
    <d v="2025-05-05T00:00:00"/>
    <x v="1"/>
    <s v="Q2"/>
    <x v="4"/>
    <x v="1"/>
    <x v="2"/>
    <x v="4"/>
    <x v="0"/>
    <x v="1"/>
    <n v="5500"/>
    <n v="10000"/>
    <n v="24"/>
    <n v="0.248"/>
    <s v="Rejected"/>
    <x v="0"/>
    <n v="0"/>
    <n v="1"/>
    <n v="0"/>
    <m/>
    <n v="2"/>
    <n v="1"/>
    <n v="1"/>
  </r>
  <r>
    <s v="LA-703391"/>
    <d v="2025-05-05T00:00:00"/>
    <x v="1"/>
    <s v="Q2"/>
    <x v="4"/>
    <x v="1"/>
    <x v="3"/>
    <x v="1"/>
    <x v="0"/>
    <x v="0"/>
    <n v="5450"/>
    <n v="10000"/>
    <n v="36"/>
    <n v="0.29799999999999999"/>
    <s v="Approved"/>
    <x v="1"/>
    <n v="1"/>
    <n v="0"/>
    <n v="10000"/>
    <n v="0.14269999999999999"/>
    <n v="4"/>
    <n v="0"/>
    <n v="1"/>
  </r>
  <r>
    <s v="LA-703392"/>
    <d v="2025-05-05T00:00:00"/>
    <x v="1"/>
    <s v="Q2"/>
    <x v="4"/>
    <x v="2"/>
    <x v="3"/>
    <x v="3"/>
    <x v="1"/>
    <x v="0"/>
    <n v="4500"/>
    <n v="60500"/>
    <n v="12"/>
    <n v="1.333"/>
    <s v="Rejected"/>
    <x v="0"/>
    <n v="0"/>
    <n v="1"/>
    <n v="0"/>
    <m/>
    <n v="17"/>
    <n v="0"/>
    <n v="1"/>
  </r>
  <r>
    <s v="LA-703393"/>
    <d v="2025-05-05T00:00:00"/>
    <x v="1"/>
    <s v="Q2"/>
    <x v="4"/>
    <x v="2"/>
    <x v="2"/>
    <x v="1"/>
    <x v="2"/>
    <x v="1"/>
    <n v="5750"/>
    <n v="42500"/>
    <n v="36"/>
    <n v="0.34"/>
    <s v="Rejected"/>
    <x v="0"/>
    <n v="0"/>
    <n v="1"/>
    <n v="0"/>
    <m/>
    <n v="5"/>
    <n v="1"/>
    <n v="1"/>
  </r>
  <r>
    <s v="LA-703394"/>
    <d v="2025-05-05T00:00:00"/>
    <x v="1"/>
    <s v="Q2"/>
    <x v="4"/>
    <x v="1"/>
    <x v="0"/>
    <x v="1"/>
    <x v="2"/>
    <x v="0"/>
    <n v="7850"/>
    <n v="8500"/>
    <n v="60"/>
    <n v="0.14199999999999999"/>
    <s v="Approved"/>
    <x v="1"/>
    <n v="1"/>
    <n v="0"/>
    <n v="8500"/>
    <n v="0.14380000000000001"/>
    <n v="4"/>
    <n v="0"/>
    <n v="1"/>
  </r>
  <r>
    <s v="LA-703395"/>
    <d v="2025-05-06T00:00:00"/>
    <x v="1"/>
    <s v="Q2"/>
    <x v="4"/>
    <x v="1"/>
    <x v="3"/>
    <x v="3"/>
    <x v="0"/>
    <x v="2"/>
    <n v="2900"/>
    <n v="4000"/>
    <n v="12"/>
    <n v="0.34300000000000003"/>
    <s v="Rejected"/>
    <x v="0"/>
    <n v="0"/>
    <n v="1"/>
    <n v="0"/>
    <m/>
    <n v="5"/>
    <n v="0"/>
    <n v="1"/>
  </r>
  <r>
    <s v="LA-703396"/>
    <d v="2025-05-06T00:00:00"/>
    <x v="1"/>
    <s v="Q2"/>
    <x v="4"/>
    <x v="0"/>
    <x v="3"/>
    <x v="2"/>
    <x v="2"/>
    <x v="1"/>
    <n v="4250"/>
    <n v="36000"/>
    <n v="60"/>
    <n v="0.223"/>
    <s v="Rejected"/>
    <x v="5"/>
    <n v="0"/>
    <n v="1"/>
    <n v="0"/>
    <m/>
    <n v="6"/>
    <n v="0"/>
    <n v="1"/>
  </r>
  <r>
    <s v="LA-703397"/>
    <d v="2025-05-06T00:00:00"/>
    <x v="1"/>
    <s v="Q2"/>
    <x v="4"/>
    <x v="3"/>
    <x v="3"/>
    <x v="1"/>
    <x v="0"/>
    <x v="3"/>
    <n v="3100"/>
    <n v="194000"/>
    <n v="240"/>
    <n v="0.623"/>
    <s v="Rejected"/>
    <x v="4"/>
    <n v="0"/>
    <n v="1"/>
    <n v="0"/>
    <m/>
    <n v="17"/>
    <n v="0"/>
    <n v="1"/>
  </r>
  <r>
    <s v="LA-703398"/>
    <d v="2025-05-06T00:00:00"/>
    <x v="1"/>
    <s v="Q2"/>
    <x v="4"/>
    <x v="1"/>
    <x v="1"/>
    <x v="0"/>
    <x v="0"/>
    <x v="1"/>
    <n v="4250"/>
    <n v="8500"/>
    <n v="24"/>
    <n v="0.224"/>
    <s v="Rejected"/>
    <x v="4"/>
    <n v="0"/>
    <n v="1"/>
    <n v="0"/>
    <m/>
    <n v="5"/>
    <n v="0"/>
    <n v="1"/>
  </r>
  <r>
    <s v="LA-703399"/>
    <d v="2025-05-06T00:00:00"/>
    <x v="1"/>
    <s v="Q2"/>
    <x v="4"/>
    <x v="3"/>
    <x v="2"/>
    <x v="3"/>
    <x v="1"/>
    <x v="4"/>
    <n v="6700"/>
    <n v="223500"/>
    <n v="240"/>
    <n v="0.32300000000000001"/>
    <s v="Approved"/>
    <x v="1"/>
    <n v="1"/>
    <n v="0"/>
    <n v="223500"/>
    <n v="5.3900000000000003E-2"/>
    <n v="6"/>
    <n v="1"/>
    <n v="1"/>
  </r>
  <r>
    <s v="LA-703400"/>
    <d v="2025-05-06T00:00:00"/>
    <x v="1"/>
    <s v="Q2"/>
    <x v="4"/>
    <x v="2"/>
    <x v="1"/>
    <x v="3"/>
    <x v="0"/>
    <x v="1"/>
    <n v="4600"/>
    <n v="110500"/>
    <n v="24"/>
    <n v="1.25"/>
    <s v="Withdrawn"/>
    <x v="1"/>
    <n v="0"/>
    <n v="0"/>
    <n v="0"/>
    <m/>
    <n v="6"/>
    <n v="1"/>
    <n v="1"/>
  </r>
  <r>
    <s v="LA-703401"/>
    <d v="2025-05-06T00:00:00"/>
    <x v="1"/>
    <s v="Q2"/>
    <x v="4"/>
    <x v="1"/>
    <x v="0"/>
    <x v="1"/>
    <x v="0"/>
    <x v="0"/>
    <n v="6550"/>
    <n v="8000"/>
    <n v="48"/>
    <n v="0.10299999999999999"/>
    <s v="Rejected"/>
    <x v="0"/>
    <n v="0"/>
    <n v="1"/>
    <n v="0"/>
    <m/>
    <n v="2"/>
    <n v="1"/>
    <n v="1"/>
  </r>
  <r>
    <s v="LA-703402"/>
    <d v="2025-05-07T00:00:00"/>
    <x v="1"/>
    <s v="Q2"/>
    <x v="4"/>
    <x v="2"/>
    <x v="0"/>
    <x v="2"/>
    <x v="1"/>
    <x v="1"/>
    <n v="7450"/>
    <n v="59500"/>
    <n v="12"/>
    <n v="0.86899999999999999"/>
    <s v="Rejected"/>
    <x v="4"/>
    <n v="0"/>
    <n v="1"/>
    <n v="0"/>
    <m/>
    <n v="14"/>
    <n v="0"/>
    <n v="1"/>
  </r>
  <r>
    <s v="LA-703403"/>
    <d v="2025-05-07T00:00:00"/>
    <x v="1"/>
    <s v="Q2"/>
    <x v="4"/>
    <x v="1"/>
    <x v="1"/>
    <x v="2"/>
    <x v="0"/>
    <x v="2"/>
    <n v="8700"/>
    <n v="9500"/>
    <n v="48"/>
    <n v="0.25900000000000001"/>
    <s v="Approved"/>
    <x v="1"/>
    <n v="1"/>
    <n v="0"/>
    <n v="9500"/>
    <n v="0.1593"/>
    <n v="2"/>
    <n v="1"/>
    <n v="1"/>
  </r>
  <r>
    <s v="LA-703404"/>
    <d v="2025-05-07T00:00:00"/>
    <x v="1"/>
    <s v="Q2"/>
    <x v="4"/>
    <x v="0"/>
    <x v="1"/>
    <x v="2"/>
    <x v="1"/>
    <x v="2"/>
    <n v="5450"/>
    <n v="22000"/>
    <n v="48"/>
    <n v="0.33100000000000002"/>
    <s v="Rejected"/>
    <x v="0"/>
    <n v="0"/>
    <n v="1"/>
    <n v="0"/>
    <m/>
    <n v="1"/>
    <n v="1"/>
    <n v="1"/>
  </r>
  <r>
    <s v="LA-703405"/>
    <d v="2025-05-07T00:00:00"/>
    <x v="1"/>
    <s v="Q2"/>
    <x v="4"/>
    <x v="1"/>
    <x v="3"/>
    <x v="2"/>
    <x v="1"/>
    <x v="0"/>
    <n v="4600"/>
    <n v="34000"/>
    <n v="36"/>
    <n v="0.48599999999999999"/>
    <s v="Rejected"/>
    <x v="3"/>
    <n v="0"/>
    <n v="1"/>
    <n v="0"/>
    <m/>
    <n v="4"/>
    <n v="0"/>
    <n v="1"/>
  </r>
  <r>
    <s v="LA-703406"/>
    <d v="2025-05-07T00:00:00"/>
    <x v="1"/>
    <s v="Q2"/>
    <x v="4"/>
    <x v="0"/>
    <x v="2"/>
    <x v="3"/>
    <x v="0"/>
    <x v="4"/>
    <n v="5950"/>
    <n v="26500"/>
    <n v="48"/>
    <n v="0.20300000000000001"/>
    <s v="Approved"/>
    <x v="1"/>
    <n v="1"/>
    <n v="0"/>
    <n v="26500"/>
    <n v="6.7900000000000002E-2"/>
    <n v="2"/>
    <n v="1"/>
    <n v="1"/>
  </r>
  <r>
    <s v="LA-703407"/>
    <d v="2025-05-07T00:00:00"/>
    <x v="1"/>
    <s v="Q2"/>
    <x v="4"/>
    <x v="1"/>
    <x v="3"/>
    <x v="1"/>
    <x v="0"/>
    <x v="4"/>
    <n v="5550"/>
    <n v="18000"/>
    <n v="24"/>
    <n v="0.36199999999999999"/>
    <s v="Rejected"/>
    <x v="2"/>
    <n v="0"/>
    <n v="1"/>
    <n v="0"/>
    <m/>
    <n v="7"/>
    <n v="0"/>
    <n v="1"/>
  </r>
  <r>
    <s v="LA-703408"/>
    <d v="2025-05-07T00:00:00"/>
    <x v="1"/>
    <s v="Q2"/>
    <x v="4"/>
    <x v="3"/>
    <x v="3"/>
    <x v="1"/>
    <x v="0"/>
    <x v="3"/>
    <n v="5050"/>
    <n v="284000"/>
    <n v="180"/>
    <n v="0.51400000000000001"/>
    <s v="Approved"/>
    <x v="1"/>
    <n v="1"/>
    <n v="0"/>
    <n v="284000"/>
    <n v="0.04"/>
    <n v="24"/>
    <n v="0"/>
    <n v="1"/>
  </r>
  <r>
    <s v="LA-703409"/>
    <d v="2025-05-07T00:00:00"/>
    <x v="1"/>
    <s v="Q2"/>
    <x v="4"/>
    <x v="1"/>
    <x v="3"/>
    <x v="3"/>
    <x v="2"/>
    <x v="1"/>
    <n v="8650"/>
    <n v="8000"/>
    <n v="12"/>
    <n v="0.22800000000000001"/>
    <s v="Approved"/>
    <x v="1"/>
    <n v="1"/>
    <n v="0"/>
    <n v="8000"/>
    <n v="0.12889999999999999"/>
    <n v="6"/>
    <n v="0"/>
    <n v="1"/>
  </r>
  <r>
    <s v="LA-703410"/>
    <d v="2025-05-07T00:00:00"/>
    <x v="1"/>
    <s v="Q2"/>
    <x v="4"/>
    <x v="1"/>
    <x v="3"/>
    <x v="2"/>
    <x v="0"/>
    <x v="0"/>
    <n v="3550"/>
    <n v="9500"/>
    <n v="24"/>
    <n v="0.27300000000000002"/>
    <s v="Approved"/>
    <x v="1"/>
    <n v="1"/>
    <n v="0"/>
    <n v="7500"/>
    <n v="0.13519999999999999"/>
    <n v="3"/>
    <n v="1"/>
    <n v="1"/>
  </r>
  <r>
    <s v="LA-703411"/>
    <d v="2025-05-07T00:00:00"/>
    <x v="1"/>
    <s v="Q2"/>
    <x v="4"/>
    <x v="3"/>
    <x v="1"/>
    <x v="3"/>
    <x v="1"/>
    <x v="1"/>
    <n v="3400"/>
    <n v="206000"/>
    <n v="180"/>
    <n v="0.58799999999999997"/>
    <s v="Rejected"/>
    <x v="4"/>
    <n v="0"/>
    <n v="1"/>
    <n v="0"/>
    <m/>
    <n v="14"/>
    <n v="1"/>
    <n v="1"/>
  </r>
  <r>
    <s v="LA-703412"/>
    <d v="2025-05-07T00:00:00"/>
    <x v="1"/>
    <s v="Q2"/>
    <x v="4"/>
    <x v="1"/>
    <x v="0"/>
    <x v="3"/>
    <x v="0"/>
    <x v="4"/>
    <n v="4250"/>
    <n v="11000"/>
    <n v="24"/>
    <n v="0.23699999999999999"/>
    <s v="Approved"/>
    <x v="1"/>
    <n v="1"/>
    <n v="0"/>
    <n v="11000"/>
    <n v="0.11700000000000001"/>
    <n v="4"/>
    <n v="0"/>
    <n v="1"/>
  </r>
  <r>
    <s v="LA-703413"/>
    <d v="2025-05-07T00:00:00"/>
    <x v="1"/>
    <s v="Q2"/>
    <x v="4"/>
    <x v="3"/>
    <x v="1"/>
    <x v="2"/>
    <x v="1"/>
    <x v="0"/>
    <n v="5050"/>
    <n v="245500"/>
    <n v="300"/>
    <n v="0.51700000000000002"/>
    <s v="Rejected"/>
    <x v="0"/>
    <n v="0"/>
    <n v="1"/>
    <n v="0"/>
    <m/>
    <n v="5"/>
    <n v="1"/>
    <n v="1"/>
  </r>
  <r>
    <s v="LA-703414"/>
    <d v="2025-05-07T00:00:00"/>
    <x v="1"/>
    <s v="Q2"/>
    <x v="4"/>
    <x v="3"/>
    <x v="3"/>
    <x v="1"/>
    <x v="2"/>
    <x v="0"/>
    <n v="4900"/>
    <n v="315500"/>
    <n v="180"/>
    <n v="0.57999999999999996"/>
    <s v="Approved"/>
    <x v="1"/>
    <n v="1"/>
    <n v="0"/>
    <n v="315500"/>
    <n v="7.0599999999999996E-2"/>
    <n v="24"/>
    <n v="0"/>
    <n v="1"/>
  </r>
  <r>
    <s v="LA-703415"/>
    <d v="2025-05-07T00:00:00"/>
    <x v="1"/>
    <s v="Q2"/>
    <x v="4"/>
    <x v="1"/>
    <x v="2"/>
    <x v="4"/>
    <x v="0"/>
    <x v="3"/>
    <n v="6200"/>
    <n v="21000"/>
    <n v="48"/>
    <n v="0.216"/>
    <s v="Approved"/>
    <x v="1"/>
    <n v="1"/>
    <n v="0"/>
    <n v="21000"/>
    <n v="0.1079"/>
    <n v="2"/>
    <n v="1"/>
    <n v="1"/>
  </r>
  <r>
    <s v="LA-703416"/>
    <d v="2025-05-07T00:00:00"/>
    <x v="1"/>
    <s v="Q2"/>
    <x v="4"/>
    <x v="0"/>
    <x v="3"/>
    <x v="3"/>
    <x v="0"/>
    <x v="4"/>
    <n v="3700"/>
    <n v="21000"/>
    <n v="36"/>
    <n v="0.32700000000000001"/>
    <s v="Approved"/>
    <x v="1"/>
    <n v="1"/>
    <n v="0"/>
    <n v="19000"/>
    <n v="6.7199999999999996E-2"/>
    <n v="5"/>
    <n v="0"/>
    <n v="1"/>
  </r>
  <r>
    <s v="LA-703417"/>
    <d v="2025-05-08T00:00:00"/>
    <x v="1"/>
    <s v="Q2"/>
    <x v="4"/>
    <x v="0"/>
    <x v="1"/>
    <x v="1"/>
    <x v="0"/>
    <x v="3"/>
    <n v="3450"/>
    <n v="41500"/>
    <n v="48"/>
    <n v="0.432"/>
    <s v="Approved"/>
    <x v="1"/>
    <n v="1"/>
    <n v="0"/>
    <n v="37500"/>
    <n v="6.5299999999999997E-2"/>
    <n v="1"/>
    <n v="1"/>
    <n v="1"/>
  </r>
  <r>
    <s v="LA-703418"/>
    <d v="2025-05-08T00:00:00"/>
    <x v="1"/>
    <s v="Q2"/>
    <x v="4"/>
    <x v="1"/>
    <x v="3"/>
    <x v="0"/>
    <x v="1"/>
    <x v="1"/>
    <n v="3100"/>
    <n v="23000"/>
    <n v="24"/>
    <n v="0.52400000000000002"/>
    <s v="Approved"/>
    <x v="1"/>
    <n v="1"/>
    <n v="0"/>
    <n v="23000"/>
    <n v="0.1205"/>
    <n v="4"/>
    <n v="0"/>
    <n v="1"/>
  </r>
  <r>
    <s v="LA-703419"/>
    <d v="2025-05-08T00:00:00"/>
    <x v="1"/>
    <s v="Q2"/>
    <x v="4"/>
    <x v="2"/>
    <x v="2"/>
    <x v="3"/>
    <x v="1"/>
    <x v="1"/>
    <n v="4750"/>
    <n v="142000"/>
    <n v="60"/>
    <n v="0.86799999999999999"/>
    <s v="Rejected"/>
    <x v="4"/>
    <n v="0"/>
    <n v="1"/>
    <n v="0"/>
    <m/>
    <n v="25"/>
    <n v="0"/>
    <n v="1"/>
  </r>
  <r>
    <s v="LA-703420"/>
    <d v="2025-05-08T00:00:00"/>
    <x v="1"/>
    <s v="Q2"/>
    <x v="4"/>
    <x v="0"/>
    <x v="2"/>
    <x v="1"/>
    <x v="0"/>
    <x v="0"/>
    <n v="3800"/>
    <n v="26000"/>
    <n v="48"/>
    <n v="0.28499999999999998"/>
    <s v="Approved"/>
    <x v="1"/>
    <n v="1"/>
    <n v="0"/>
    <n v="23500"/>
    <n v="9.4500000000000001E-2"/>
    <n v="3"/>
    <n v="1"/>
    <n v="1"/>
  </r>
  <r>
    <s v="LA-703421"/>
    <d v="2025-05-08T00:00:00"/>
    <x v="1"/>
    <s v="Q2"/>
    <x v="4"/>
    <x v="1"/>
    <x v="1"/>
    <x v="1"/>
    <x v="1"/>
    <x v="1"/>
    <n v="6250"/>
    <n v="10000"/>
    <n v="36"/>
    <n v="0.23"/>
    <s v="Rejected"/>
    <x v="5"/>
    <n v="0"/>
    <n v="1"/>
    <n v="0"/>
    <m/>
    <n v="1"/>
    <n v="1"/>
    <n v="1"/>
  </r>
  <r>
    <s v="LA-703422"/>
    <d v="2025-05-08T00:00:00"/>
    <x v="1"/>
    <s v="Q2"/>
    <x v="4"/>
    <x v="1"/>
    <x v="3"/>
    <x v="1"/>
    <x v="0"/>
    <x v="0"/>
    <n v="8500"/>
    <n v="14000"/>
    <n v="48"/>
    <n v="0.13"/>
    <s v="Approved"/>
    <x v="1"/>
    <n v="1"/>
    <n v="0"/>
    <n v="12500"/>
    <n v="0.1434"/>
    <n v="5"/>
    <n v="0"/>
    <n v="1"/>
  </r>
  <r>
    <s v="LA-703423"/>
    <d v="2025-05-09T00:00:00"/>
    <x v="1"/>
    <s v="Q2"/>
    <x v="4"/>
    <x v="1"/>
    <x v="1"/>
    <x v="2"/>
    <x v="2"/>
    <x v="0"/>
    <n v="8750"/>
    <n v="9500"/>
    <n v="24"/>
    <n v="0.14099999999999999"/>
    <s v="Approved"/>
    <x v="1"/>
    <n v="1"/>
    <n v="0"/>
    <n v="9500"/>
    <n v="0.13930000000000001"/>
    <n v="1"/>
    <n v="1"/>
    <n v="1"/>
  </r>
  <r>
    <s v="LA-703424"/>
    <d v="2025-05-09T00:00:00"/>
    <x v="1"/>
    <s v="Q2"/>
    <x v="4"/>
    <x v="1"/>
    <x v="2"/>
    <x v="3"/>
    <x v="0"/>
    <x v="0"/>
    <n v="4550"/>
    <n v="18500"/>
    <n v="60"/>
    <n v="0.25600000000000001"/>
    <s v="Rejected"/>
    <x v="4"/>
    <n v="0"/>
    <n v="1"/>
    <n v="0"/>
    <m/>
    <n v="6"/>
    <n v="0"/>
    <n v="1"/>
  </r>
  <r>
    <s v="LA-703425"/>
    <d v="2025-05-09T00:00:00"/>
    <x v="1"/>
    <s v="Q2"/>
    <x v="4"/>
    <x v="1"/>
    <x v="2"/>
    <x v="2"/>
    <x v="1"/>
    <x v="1"/>
    <n v="18650"/>
    <n v="11500"/>
    <n v="48"/>
    <n v="0.191"/>
    <s v="Approved"/>
    <x v="1"/>
    <n v="1"/>
    <n v="0"/>
    <n v="11500"/>
    <n v="0.1234"/>
    <n v="3"/>
    <n v="1"/>
    <n v="1"/>
  </r>
  <r>
    <s v="LA-703426"/>
    <d v="2025-05-09T00:00:00"/>
    <x v="1"/>
    <s v="Q2"/>
    <x v="4"/>
    <x v="2"/>
    <x v="1"/>
    <x v="1"/>
    <x v="0"/>
    <x v="4"/>
    <n v="2850"/>
    <n v="138500"/>
    <n v="36"/>
    <n v="1.698"/>
    <s v="Rejected"/>
    <x v="3"/>
    <n v="0"/>
    <n v="1"/>
    <n v="0"/>
    <m/>
    <n v="6"/>
    <n v="1"/>
    <n v="1"/>
  </r>
  <r>
    <s v="LA-703427"/>
    <d v="2025-05-10T00:00:00"/>
    <x v="1"/>
    <s v="Q2"/>
    <x v="4"/>
    <x v="1"/>
    <x v="1"/>
    <x v="0"/>
    <x v="2"/>
    <x v="0"/>
    <n v="5050"/>
    <n v="12500"/>
    <n v="60"/>
    <n v="0.223"/>
    <s v="Withdrawn"/>
    <x v="1"/>
    <n v="0"/>
    <n v="0"/>
    <n v="0"/>
    <m/>
    <n v="2"/>
    <n v="1"/>
    <n v="1"/>
  </r>
  <r>
    <s v="LA-703428"/>
    <d v="2025-05-10T00:00:00"/>
    <x v="1"/>
    <s v="Q2"/>
    <x v="4"/>
    <x v="0"/>
    <x v="3"/>
    <x v="1"/>
    <x v="1"/>
    <x v="2"/>
    <n v="5250"/>
    <n v="27500"/>
    <n v="48"/>
    <n v="0.22700000000000001"/>
    <s v="Rejected"/>
    <x v="5"/>
    <n v="0"/>
    <n v="1"/>
    <n v="0"/>
    <m/>
    <n v="6"/>
    <n v="0"/>
    <n v="1"/>
  </r>
  <r>
    <s v="LA-703429"/>
    <d v="2025-05-10T00:00:00"/>
    <x v="1"/>
    <s v="Q2"/>
    <x v="4"/>
    <x v="3"/>
    <x v="3"/>
    <x v="3"/>
    <x v="0"/>
    <x v="2"/>
    <n v="13050"/>
    <n v="400500"/>
    <n v="300"/>
    <n v="0.35799999999999998"/>
    <s v="Rejected"/>
    <x v="0"/>
    <n v="0"/>
    <n v="1"/>
    <n v="0"/>
    <m/>
    <n v="17"/>
    <n v="0"/>
    <n v="1"/>
  </r>
  <r>
    <s v="LA-703430"/>
    <d v="2025-05-10T00:00:00"/>
    <x v="1"/>
    <s v="Q2"/>
    <x v="4"/>
    <x v="1"/>
    <x v="3"/>
    <x v="2"/>
    <x v="0"/>
    <x v="0"/>
    <n v="10200"/>
    <n v="10000"/>
    <n v="36"/>
    <n v="0.10100000000000001"/>
    <s v="Approved"/>
    <x v="1"/>
    <n v="1"/>
    <n v="0"/>
    <n v="9000"/>
    <n v="0.1371"/>
    <n v="5"/>
    <n v="0"/>
    <n v="1"/>
  </r>
  <r>
    <s v="LA-703431"/>
    <d v="2025-05-10T00:00:00"/>
    <x v="1"/>
    <s v="Q2"/>
    <x v="4"/>
    <x v="2"/>
    <x v="1"/>
    <x v="4"/>
    <x v="2"/>
    <x v="3"/>
    <n v="9950"/>
    <n v="73000"/>
    <n v="60"/>
    <n v="0.20799999999999999"/>
    <s v="Approved"/>
    <x v="1"/>
    <n v="1"/>
    <n v="0"/>
    <n v="65500"/>
    <n v="9.3299999999999994E-2"/>
    <n v="3"/>
    <n v="1"/>
    <n v="1"/>
  </r>
  <r>
    <s v="LA-703432"/>
    <d v="2025-05-10T00:00:00"/>
    <x v="1"/>
    <s v="Q2"/>
    <x v="4"/>
    <x v="2"/>
    <x v="0"/>
    <x v="3"/>
    <x v="0"/>
    <x v="0"/>
    <n v="3500"/>
    <n v="36500"/>
    <n v="36"/>
    <n v="0.55500000000000005"/>
    <s v="Withdrawn"/>
    <x v="1"/>
    <n v="0"/>
    <n v="0"/>
    <n v="0"/>
    <m/>
    <n v="12"/>
    <n v="0"/>
    <n v="1"/>
  </r>
  <r>
    <s v="LA-703433"/>
    <d v="2025-05-11T00:00:00"/>
    <x v="1"/>
    <s v="Q2"/>
    <x v="4"/>
    <x v="1"/>
    <x v="1"/>
    <x v="3"/>
    <x v="2"/>
    <x v="1"/>
    <n v="2750"/>
    <n v="10500"/>
    <n v="60"/>
    <n v="0.27300000000000002"/>
    <s v="Approved"/>
    <x v="1"/>
    <n v="1"/>
    <n v="0"/>
    <n v="8500"/>
    <n v="0.1235"/>
    <n v="1"/>
    <n v="1"/>
    <n v="1"/>
  </r>
  <r>
    <s v="LA-703434"/>
    <d v="2025-05-11T00:00:00"/>
    <x v="1"/>
    <s v="Q2"/>
    <x v="4"/>
    <x v="1"/>
    <x v="1"/>
    <x v="3"/>
    <x v="0"/>
    <x v="0"/>
    <n v="3900"/>
    <n v="8000"/>
    <n v="48"/>
    <n v="0.20499999999999999"/>
    <s v="Approved"/>
    <x v="1"/>
    <n v="1"/>
    <n v="0"/>
    <n v="8000"/>
    <n v="0.14219999999999999"/>
    <n v="2"/>
    <n v="1"/>
    <n v="1"/>
  </r>
  <r>
    <s v="LA-703435"/>
    <d v="2025-05-12T00:00:00"/>
    <x v="1"/>
    <s v="Q2"/>
    <x v="4"/>
    <x v="1"/>
    <x v="3"/>
    <x v="2"/>
    <x v="0"/>
    <x v="0"/>
    <n v="7300"/>
    <n v="12500"/>
    <n v="12"/>
    <n v="0.25600000000000001"/>
    <s v="Rejected"/>
    <x v="0"/>
    <n v="0"/>
    <n v="1"/>
    <n v="0"/>
    <m/>
    <n v="3"/>
    <n v="1"/>
    <n v="1"/>
  </r>
  <r>
    <s v="LA-703436"/>
    <d v="2025-05-12T00:00:00"/>
    <x v="1"/>
    <s v="Q2"/>
    <x v="4"/>
    <x v="2"/>
    <x v="1"/>
    <x v="2"/>
    <x v="1"/>
    <x v="1"/>
    <n v="3400"/>
    <n v="80500"/>
    <n v="12"/>
    <n v="2.1970000000000001"/>
    <s v="Rejected"/>
    <x v="4"/>
    <n v="0"/>
    <n v="1"/>
    <n v="0"/>
    <m/>
    <n v="8"/>
    <n v="1"/>
    <n v="1"/>
  </r>
  <r>
    <s v="LA-703437"/>
    <d v="2025-05-12T00:00:00"/>
    <x v="1"/>
    <s v="Q2"/>
    <x v="4"/>
    <x v="1"/>
    <x v="1"/>
    <x v="3"/>
    <x v="2"/>
    <x v="1"/>
    <n v="8550"/>
    <n v="12500"/>
    <n v="48"/>
    <n v="0.27"/>
    <s v="Approved"/>
    <x v="1"/>
    <n v="1"/>
    <n v="0"/>
    <n v="11000"/>
    <n v="0.12590000000000001"/>
    <n v="2"/>
    <n v="1"/>
    <n v="1"/>
  </r>
  <r>
    <s v="LA-703438"/>
    <d v="2025-05-12T00:00:00"/>
    <x v="1"/>
    <s v="Q2"/>
    <x v="4"/>
    <x v="1"/>
    <x v="1"/>
    <x v="2"/>
    <x v="0"/>
    <x v="1"/>
    <n v="3050"/>
    <n v="21000"/>
    <n v="36"/>
    <n v="0.40600000000000003"/>
    <s v="Approved"/>
    <x v="1"/>
    <n v="1"/>
    <n v="0"/>
    <n v="19000"/>
    <n v="0.1246"/>
    <n v="1"/>
    <n v="1"/>
    <n v="1"/>
  </r>
  <r>
    <s v="LA-703439"/>
    <d v="2025-05-12T00:00:00"/>
    <x v="1"/>
    <s v="Q2"/>
    <x v="4"/>
    <x v="0"/>
    <x v="2"/>
    <x v="2"/>
    <x v="1"/>
    <x v="0"/>
    <n v="8000"/>
    <n v="30000"/>
    <n v="36"/>
    <n v="0.253"/>
    <s v="Approved"/>
    <x v="1"/>
    <n v="1"/>
    <n v="0"/>
    <n v="27000"/>
    <n v="9.2499999999999999E-2"/>
    <n v="3"/>
    <n v="1"/>
    <n v="1"/>
  </r>
  <r>
    <s v="LA-703440"/>
    <d v="2025-05-12T00:00:00"/>
    <x v="1"/>
    <s v="Q2"/>
    <x v="4"/>
    <x v="0"/>
    <x v="0"/>
    <x v="1"/>
    <x v="0"/>
    <x v="1"/>
    <n v="6500"/>
    <n v="29000"/>
    <n v="48"/>
    <n v="0.187"/>
    <s v="Rejected"/>
    <x v="4"/>
    <n v="0"/>
    <n v="1"/>
    <n v="0"/>
    <m/>
    <n v="10"/>
    <n v="0"/>
    <n v="1"/>
  </r>
  <r>
    <s v="LA-703441"/>
    <d v="2025-05-12T00:00:00"/>
    <x v="1"/>
    <s v="Q2"/>
    <x v="4"/>
    <x v="1"/>
    <x v="1"/>
    <x v="2"/>
    <x v="1"/>
    <x v="1"/>
    <n v="17200"/>
    <n v="17500"/>
    <n v="24"/>
    <n v="0.19900000000000001"/>
    <s v="Approved"/>
    <x v="1"/>
    <n v="1"/>
    <n v="0"/>
    <n v="17500"/>
    <n v="0.122"/>
    <n v="2"/>
    <n v="1"/>
    <n v="1"/>
  </r>
  <r>
    <s v="LA-703442"/>
    <d v="2025-05-12T00:00:00"/>
    <x v="1"/>
    <s v="Q2"/>
    <x v="4"/>
    <x v="1"/>
    <x v="2"/>
    <x v="4"/>
    <x v="1"/>
    <x v="1"/>
    <n v="9000"/>
    <n v="17500"/>
    <n v="24"/>
    <n v="0.314"/>
    <s v="Approved"/>
    <x v="1"/>
    <n v="1"/>
    <n v="0"/>
    <n v="17500"/>
    <n v="0.1229"/>
    <n v="2"/>
    <n v="1"/>
    <n v="1"/>
  </r>
  <r>
    <s v="LA-703443"/>
    <d v="2025-05-13T00:00:00"/>
    <x v="1"/>
    <s v="Q2"/>
    <x v="4"/>
    <x v="1"/>
    <x v="3"/>
    <x v="0"/>
    <x v="2"/>
    <x v="3"/>
    <n v="1950"/>
    <n v="18500"/>
    <n v="12"/>
    <n v="0.97799999999999998"/>
    <s v="Approved"/>
    <x v="1"/>
    <n v="1"/>
    <n v="0"/>
    <n v="18500"/>
    <n v="0.10920000000000001"/>
    <n v="3"/>
    <n v="1"/>
    <n v="1"/>
  </r>
  <r>
    <s v="LA-703444"/>
    <d v="2025-05-13T00:00:00"/>
    <x v="1"/>
    <s v="Q2"/>
    <x v="4"/>
    <x v="1"/>
    <x v="0"/>
    <x v="1"/>
    <x v="2"/>
    <x v="0"/>
    <n v="3350"/>
    <n v="25500"/>
    <n v="36"/>
    <n v="0.40300000000000002"/>
    <s v="Rejected"/>
    <x v="5"/>
    <n v="0"/>
    <n v="1"/>
    <n v="0"/>
    <m/>
    <n v="1"/>
    <n v="1"/>
    <n v="1"/>
  </r>
  <r>
    <s v="LA-703445"/>
    <d v="2025-05-13T00:00:00"/>
    <x v="1"/>
    <s v="Q2"/>
    <x v="4"/>
    <x v="1"/>
    <x v="2"/>
    <x v="2"/>
    <x v="0"/>
    <x v="2"/>
    <n v="5050"/>
    <n v="13000"/>
    <n v="48"/>
    <n v="0.28599999999999998"/>
    <s v="Rejected"/>
    <x v="4"/>
    <n v="0"/>
    <n v="1"/>
    <n v="0"/>
    <m/>
    <n v="6"/>
    <n v="0"/>
    <n v="1"/>
  </r>
  <r>
    <s v="LA-703446"/>
    <d v="2025-05-13T00:00:00"/>
    <x v="1"/>
    <s v="Q2"/>
    <x v="4"/>
    <x v="2"/>
    <x v="3"/>
    <x v="1"/>
    <x v="1"/>
    <x v="0"/>
    <n v="4700"/>
    <n v="171500"/>
    <n v="12"/>
    <n v="3.3679999999999999"/>
    <s v="Rejected"/>
    <x v="0"/>
    <n v="0"/>
    <n v="1"/>
    <n v="0"/>
    <m/>
    <n v="13"/>
    <n v="0"/>
    <n v="1"/>
  </r>
  <r>
    <s v="LA-703447"/>
    <d v="2025-05-13T00:00:00"/>
    <x v="1"/>
    <s v="Q2"/>
    <x v="4"/>
    <x v="3"/>
    <x v="2"/>
    <x v="2"/>
    <x v="1"/>
    <x v="1"/>
    <n v="4250"/>
    <n v="162000"/>
    <n v="300"/>
    <n v="0.39100000000000001"/>
    <s v="Approved"/>
    <x v="1"/>
    <n v="1"/>
    <n v="0"/>
    <n v="162000"/>
    <n v="5.6899999999999999E-2"/>
    <n v="5"/>
    <n v="1"/>
    <n v="1"/>
  </r>
  <r>
    <s v="LA-703448"/>
    <d v="2025-05-13T00:00:00"/>
    <x v="1"/>
    <s v="Q2"/>
    <x v="4"/>
    <x v="2"/>
    <x v="3"/>
    <x v="1"/>
    <x v="2"/>
    <x v="0"/>
    <n v="5150"/>
    <n v="91000"/>
    <n v="36"/>
    <n v="0.72899999999999998"/>
    <s v="Withdrawn"/>
    <x v="1"/>
    <n v="0"/>
    <n v="0"/>
    <n v="0"/>
    <m/>
    <n v="13"/>
    <n v="0"/>
    <n v="1"/>
  </r>
  <r>
    <s v="LA-703449"/>
    <d v="2025-05-13T00:00:00"/>
    <x v="1"/>
    <s v="Q2"/>
    <x v="4"/>
    <x v="2"/>
    <x v="3"/>
    <x v="2"/>
    <x v="1"/>
    <x v="1"/>
    <n v="6200"/>
    <n v="183500"/>
    <n v="12"/>
    <n v="2.673"/>
    <s v="Rejected"/>
    <x v="3"/>
    <n v="0"/>
    <n v="1"/>
    <n v="0"/>
    <m/>
    <n v="12"/>
    <n v="0"/>
    <n v="1"/>
  </r>
  <r>
    <s v="LA-703450"/>
    <d v="2025-05-13T00:00:00"/>
    <x v="1"/>
    <s v="Q2"/>
    <x v="4"/>
    <x v="1"/>
    <x v="1"/>
    <x v="1"/>
    <x v="0"/>
    <x v="4"/>
    <n v="9900"/>
    <n v="13500"/>
    <n v="48"/>
    <n v="9.4E-2"/>
    <s v="Approved"/>
    <x v="1"/>
    <n v="1"/>
    <n v="0"/>
    <n v="13500"/>
    <n v="0.1137"/>
    <n v="1"/>
    <n v="1"/>
    <n v="1"/>
  </r>
  <r>
    <s v="LA-703451"/>
    <d v="2025-05-13T00:00:00"/>
    <x v="1"/>
    <s v="Q2"/>
    <x v="4"/>
    <x v="0"/>
    <x v="3"/>
    <x v="3"/>
    <x v="0"/>
    <x v="4"/>
    <n v="2700"/>
    <n v="69000"/>
    <n v="60"/>
    <n v="0.57799999999999996"/>
    <s v="Approved"/>
    <x v="1"/>
    <n v="1"/>
    <n v="0"/>
    <n v="62000"/>
    <n v="7.6300000000000007E-2"/>
    <n v="9"/>
    <n v="0"/>
    <n v="1"/>
  </r>
  <r>
    <s v="LA-703452"/>
    <d v="2025-05-13T00:00:00"/>
    <x v="1"/>
    <s v="Q2"/>
    <x v="4"/>
    <x v="2"/>
    <x v="3"/>
    <x v="0"/>
    <x v="1"/>
    <x v="1"/>
    <n v="5800"/>
    <n v="121500"/>
    <n v="24"/>
    <n v="1.0269999999999999"/>
    <s v="Approved"/>
    <x v="1"/>
    <n v="1"/>
    <n v="0"/>
    <n v="121500"/>
    <n v="0.10730000000000001"/>
    <n v="18"/>
    <n v="0"/>
    <n v="1"/>
  </r>
  <r>
    <s v="LA-703453"/>
    <d v="2025-05-14T00:00:00"/>
    <x v="1"/>
    <s v="Q2"/>
    <x v="4"/>
    <x v="3"/>
    <x v="1"/>
    <x v="2"/>
    <x v="0"/>
    <x v="4"/>
    <n v="11550"/>
    <n v="557000"/>
    <n v="240"/>
    <n v="0.38700000000000001"/>
    <s v="Approved"/>
    <x v="1"/>
    <n v="1"/>
    <n v="0"/>
    <n v="557000"/>
    <n v="5.3699999999999998E-2"/>
    <n v="8"/>
    <n v="1"/>
    <n v="1"/>
  </r>
  <r>
    <s v="LA-703454"/>
    <d v="2025-05-14T00:00:00"/>
    <x v="1"/>
    <s v="Q2"/>
    <x v="4"/>
    <x v="0"/>
    <x v="3"/>
    <x v="2"/>
    <x v="0"/>
    <x v="3"/>
    <n v="3000"/>
    <n v="29000"/>
    <n v="48"/>
    <n v="0.47499999999999998"/>
    <s v="Approved"/>
    <x v="1"/>
    <n v="1"/>
    <n v="0"/>
    <n v="29000"/>
    <n v="6.8400000000000002E-2"/>
    <n v="8"/>
    <n v="0"/>
    <n v="1"/>
  </r>
  <r>
    <s v="LA-703455"/>
    <d v="2025-05-14T00:00:00"/>
    <x v="1"/>
    <s v="Q2"/>
    <x v="4"/>
    <x v="0"/>
    <x v="0"/>
    <x v="3"/>
    <x v="0"/>
    <x v="3"/>
    <n v="5900"/>
    <n v="19000"/>
    <n v="48"/>
    <n v="0.25800000000000001"/>
    <s v="Approved"/>
    <x v="1"/>
    <n v="1"/>
    <n v="0"/>
    <n v="17000"/>
    <n v="6.93E-2"/>
    <n v="3"/>
    <n v="1"/>
    <n v="1"/>
  </r>
  <r>
    <s v="LA-703456"/>
    <d v="2025-05-14T00:00:00"/>
    <x v="1"/>
    <s v="Q2"/>
    <x v="4"/>
    <x v="0"/>
    <x v="2"/>
    <x v="3"/>
    <x v="1"/>
    <x v="3"/>
    <n v="4850"/>
    <n v="22000"/>
    <n v="60"/>
    <n v="0.193"/>
    <s v="Approved"/>
    <x v="1"/>
    <n v="1"/>
    <n v="0"/>
    <n v="20000"/>
    <n v="6.6500000000000004E-2"/>
    <n v="4"/>
    <n v="1"/>
    <n v="1"/>
  </r>
  <r>
    <s v="LA-703457"/>
    <d v="2025-05-14T00:00:00"/>
    <x v="1"/>
    <s v="Q2"/>
    <x v="4"/>
    <x v="0"/>
    <x v="3"/>
    <x v="2"/>
    <x v="1"/>
    <x v="1"/>
    <n v="8400"/>
    <n v="62500"/>
    <n v="48"/>
    <n v="0.245"/>
    <s v="Approved"/>
    <x v="1"/>
    <n v="1"/>
    <n v="0"/>
    <n v="56000"/>
    <n v="8.3000000000000004E-2"/>
    <n v="3"/>
    <n v="1"/>
    <n v="1"/>
  </r>
  <r>
    <s v="LA-703458"/>
    <d v="2025-05-14T00:00:00"/>
    <x v="1"/>
    <s v="Q2"/>
    <x v="4"/>
    <x v="1"/>
    <x v="1"/>
    <x v="2"/>
    <x v="2"/>
    <x v="1"/>
    <n v="3150"/>
    <n v="16000"/>
    <n v="12"/>
    <n v="0.69299999999999995"/>
    <s v="Rejected"/>
    <x v="3"/>
    <n v="0"/>
    <n v="1"/>
    <n v="0"/>
    <m/>
    <n v="2"/>
    <n v="1"/>
    <n v="1"/>
  </r>
  <r>
    <s v="LA-703459"/>
    <d v="2025-05-14T00:00:00"/>
    <x v="1"/>
    <s v="Q2"/>
    <x v="4"/>
    <x v="1"/>
    <x v="2"/>
    <x v="0"/>
    <x v="0"/>
    <x v="0"/>
    <n v="5250"/>
    <n v="7500"/>
    <n v="36"/>
    <n v="0.26800000000000002"/>
    <s v="Approved"/>
    <x v="1"/>
    <n v="1"/>
    <n v="0"/>
    <n v="7000"/>
    <n v="0.1424"/>
    <n v="2"/>
    <n v="1"/>
    <n v="1"/>
  </r>
  <r>
    <s v="LA-703460"/>
    <d v="2025-05-14T00:00:00"/>
    <x v="1"/>
    <s v="Q2"/>
    <x v="4"/>
    <x v="0"/>
    <x v="2"/>
    <x v="2"/>
    <x v="1"/>
    <x v="2"/>
    <n v="3300"/>
    <n v="29500"/>
    <n v="60"/>
    <n v="0.38900000000000001"/>
    <s v="Approved"/>
    <x v="1"/>
    <n v="1"/>
    <n v="0"/>
    <n v="29500"/>
    <n v="0.1159"/>
    <n v="2"/>
    <n v="1"/>
    <n v="1"/>
  </r>
  <r>
    <s v="LA-703461"/>
    <d v="2025-05-14T00:00:00"/>
    <x v="1"/>
    <s v="Q2"/>
    <x v="4"/>
    <x v="1"/>
    <x v="1"/>
    <x v="4"/>
    <x v="0"/>
    <x v="1"/>
    <n v="4900"/>
    <n v="16500"/>
    <n v="24"/>
    <n v="0.30499999999999999"/>
    <s v="Approved"/>
    <x v="1"/>
    <n v="1"/>
    <n v="0"/>
    <n v="16500"/>
    <n v="0.1211"/>
    <n v="1"/>
    <n v="1"/>
    <n v="1"/>
  </r>
  <r>
    <s v="LA-703462"/>
    <d v="2025-05-14T00:00:00"/>
    <x v="1"/>
    <s v="Q2"/>
    <x v="4"/>
    <x v="2"/>
    <x v="3"/>
    <x v="2"/>
    <x v="2"/>
    <x v="0"/>
    <n v="15250"/>
    <n v="39500"/>
    <n v="12"/>
    <n v="0.35499999999999998"/>
    <s v="Approved"/>
    <x v="1"/>
    <n v="1"/>
    <n v="0"/>
    <n v="39500"/>
    <n v="0.12039999999999999"/>
    <n v="10"/>
    <n v="1"/>
    <n v="1"/>
  </r>
  <r>
    <s v="LA-703463"/>
    <d v="2025-05-15T00:00:00"/>
    <x v="1"/>
    <s v="Q2"/>
    <x v="4"/>
    <x v="3"/>
    <x v="1"/>
    <x v="3"/>
    <x v="0"/>
    <x v="1"/>
    <n v="5700"/>
    <n v="182500"/>
    <n v="300"/>
    <n v="0.36499999999999999"/>
    <s v="Approved"/>
    <x v="1"/>
    <n v="1"/>
    <n v="0"/>
    <n v="146000"/>
    <n v="5.8599999999999999E-2"/>
    <n v="4"/>
    <n v="1"/>
    <n v="1"/>
  </r>
  <r>
    <s v="LA-703464"/>
    <d v="2025-05-15T00:00:00"/>
    <x v="1"/>
    <s v="Q2"/>
    <x v="4"/>
    <x v="0"/>
    <x v="3"/>
    <x v="3"/>
    <x v="1"/>
    <x v="1"/>
    <n v="3850"/>
    <n v="17500"/>
    <n v="60"/>
    <n v="0.151"/>
    <s v="Rejected"/>
    <x v="0"/>
    <n v="0"/>
    <n v="1"/>
    <n v="0"/>
    <m/>
    <n v="7"/>
    <n v="0"/>
    <n v="1"/>
  </r>
  <r>
    <s v="LA-703465"/>
    <d v="2025-05-15T00:00:00"/>
    <x v="1"/>
    <s v="Q2"/>
    <x v="4"/>
    <x v="0"/>
    <x v="3"/>
    <x v="2"/>
    <x v="2"/>
    <x v="1"/>
    <n v="5850"/>
    <n v="17000"/>
    <n v="48"/>
    <n v="0.127"/>
    <s v="Rejected"/>
    <x v="2"/>
    <n v="0"/>
    <n v="1"/>
    <n v="0"/>
    <m/>
    <n v="4"/>
    <n v="1"/>
    <n v="1"/>
  </r>
  <r>
    <s v="LA-703466"/>
    <d v="2025-05-15T00:00:00"/>
    <x v="1"/>
    <s v="Q2"/>
    <x v="4"/>
    <x v="1"/>
    <x v="3"/>
    <x v="3"/>
    <x v="2"/>
    <x v="1"/>
    <n v="3250"/>
    <n v="22000"/>
    <n v="60"/>
    <n v="0.28599999999999998"/>
    <s v="Rejected"/>
    <x v="5"/>
    <n v="0"/>
    <n v="1"/>
    <n v="0"/>
    <m/>
    <n v="4"/>
    <n v="0"/>
    <n v="1"/>
  </r>
  <r>
    <s v="LA-703467"/>
    <d v="2025-05-15T00:00:00"/>
    <x v="1"/>
    <s v="Q2"/>
    <x v="4"/>
    <x v="3"/>
    <x v="1"/>
    <x v="1"/>
    <x v="1"/>
    <x v="1"/>
    <n v="4650"/>
    <n v="404000"/>
    <n v="240"/>
    <n v="0.64500000000000002"/>
    <s v="Approved"/>
    <x v="1"/>
    <n v="1"/>
    <n v="0"/>
    <n v="404000"/>
    <n v="6.1499999999999999E-2"/>
    <n v="3"/>
    <n v="1"/>
    <n v="1"/>
  </r>
  <r>
    <s v="LA-703468"/>
    <d v="2025-05-15T00:00:00"/>
    <x v="1"/>
    <s v="Q2"/>
    <x v="4"/>
    <x v="1"/>
    <x v="3"/>
    <x v="0"/>
    <x v="2"/>
    <x v="3"/>
    <n v="3950"/>
    <n v="11000"/>
    <n v="36"/>
    <n v="0.17599999999999999"/>
    <s v="Approved"/>
    <x v="1"/>
    <n v="1"/>
    <n v="0"/>
    <n v="11000"/>
    <n v="0.1037"/>
    <n v="5"/>
    <n v="0"/>
    <n v="1"/>
  </r>
  <r>
    <s v="LA-703469"/>
    <d v="2025-05-15T00:00:00"/>
    <x v="1"/>
    <s v="Q2"/>
    <x v="4"/>
    <x v="1"/>
    <x v="2"/>
    <x v="2"/>
    <x v="1"/>
    <x v="4"/>
    <n v="4350"/>
    <n v="11000"/>
    <n v="60"/>
    <n v="0.252"/>
    <s v="Approved"/>
    <x v="1"/>
    <n v="1"/>
    <n v="0"/>
    <n v="11000"/>
    <n v="0.11849999999999999"/>
    <n v="2"/>
    <n v="1"/>
    <n v="1"/>
  </r>
  <r>
    <s v="LA-703470"/>
    <d v="2025-05-15T00:00:00"/>
    <x v="1"/>
    <s v="Q2"/>
    <x v="4"/>
    <x v="0"/>
    <x v="1"/>
    <x v="3"/>
    <x v="0"/>
    <x v="4"/>
    <n v="7550"/>
    <n v="22000"/>
    <n v="60"/>
    <n v="0.14099999999999999"/>
    <s v="Approved"/>
    <x v="1"/>
    <n v="1"/>
    <n v="0"/>
    <n v="22000"/>
    <n v="7.3899999999999993E-2"/>
    <n v="1"/>
    <n v="1"/>
    <n v="1"/>
  </r>
  <r>
    <s v="LA-703471"/>
    <d v="2025-05-15T00:00:00"/>
    <x v="1"/>
    <s v="Q2"/>
    <x v="4"/>
    <x v="3"/>
    <x v="3"/>
    <x v="0"/>
    <x v="0"/>
    <x v="1"/>
    <n v="3400"/>
    <n v="236500"/>
    <n v="240"/>
    <n v="0.59699999999999998"/>
    <s v="Approved"/>
    <x v="1"/>
    <n v="1"/>
    <n v="0"/>
    <n v="236500"/>
    <n v="5.7500000000000002E-2"/>
    <n v="9"/>
    <n v="1"/>
    <n v="1"/>
  </r>
  <r>
    <s v="LA-703472"/>
    <d v="2025-05-15T00:00:00"/>
    <x v="1"/>
    <s v="Q2"/>
    <x v="4"/>
    <x v="1"/>
    <x v="3"/>
    <x v="2"/>
    <x v="1"/>
    <x v="4"/>
    <n v="4750"/>
    <n v="8000"/>
    <n v="48"/>
    <n v="0.28899999999999998"/>
    <s v="Approved"/>
    <x v="1"/>
    <n v="1"/>
    <n v="0"/>
    <n v="7000"/>
    <n v="0.1187"/>
    <n v="3"/>
    <n v="1"/>
    <n v="1"/>
  </r>
  <r>
    <s v="LA-703473"/>
    <d v="2025-05-15T00:00:00"/>
    <x v="1"/>
    <s v="Q2"/>
    <x v="4"/>
    <x v="2"/>
    <x v="2"/>
    <x v="1"/>
    <x v="1"/>
    <x v="1"/>
    <n v="5400"/>
    <n v="94000"/>
    <n v="60"/>
    <n v="0.53"/>
    <s v="Approved"/>
    <x v="1"/>
    <n v="1"/>
    <n v="0"/>
    <n v="75000"/>
    <n v="0.1028"/>
    <n v="4"/>
    <n v="1"/>
    <n v="1"/>
  </r>
  <r>
    <s v="LA-703474"/>
    <d v="2025-05-16T00:00:00"/>
    <x v="1"/>
    <s v="Q2"/>
    <x v="4"/>
    <x v="0"/>
    <x v="1"/>
    <x v="2"/>
    <x v="1"/>
    <x v="3"/>
    <n v="4750"/>
    <n v="31000"/>
    <n v="60"/>
    <n v="0.191"/>
    <s v="Approved"/>
    <x v="1"/>
    <n v="1"/>
    <n v="0"/>
    <n v="25000"/>
    <n v="6.8199999999999997E-2"/>
    <n v="2"/>
    <n v="1"/>
    <n v="1"/>
  </r>
  <r>
    <s v="LA-703475"/>
    <d v="2025-05-16T00:00:00"/>
    <x v="1"/>
    <s v="Q2"/>
    <x v="4"/>
    <x v="1"/>
    <x v="3"/>
    <x v="1"/>
    <x v="1"/>
    <x v="3"/>
    <n v="6600"/>
    <n v="15000"/>
    <n v="48"/>
    <n v="0.29099999999999998"/>
    <s v="Rejected"/>
    <x v="5"/>
    <n v="0"/>
    <n v="1"/>
    <n v="0"/>
    <m/>
    <n v="1"/>
    <n v="1"/>
    <n v="1"/>
  </r>
  <r>
    <s v="LA-703476"/>
    <d v="2025-05-16T00:00:00"/>
    <x v="1"/>
    <s v="Q2"/>
    <x v="4"/>
    <x v="1"/>
    <x v="1"/>
    <x v="1"/>
    <x v="0"/>
    <x v="0"/>
    <n v="6300"/>
    <n v="7500"/>
    <n v="24"/>
    <n v="0.17599999999999999"/>
    <s v="Rejected"/>
    <x v="0"/>
    <n v="0"/>
    <n v="1"/>
    <n v="0"/>
    <m/>
    <n v="1"/>
    <n v="1"/>
    <n v="1"/>
  </r>
  <r>
    <s v="LA-703477"/>
    <d v="2025-05-16T00:00:00"/>
    <x v="1"/>
    <s v="Q2"/>
    <x v="4"/>
    <x v="1"/>
    <x v="2"/>
    <x v="1"/>
    <x v="0"/>
    <x v="4"/>
    <n v="3650"/>
    <n v="10500"/>
    <n v="24"/>
    <n v="0.21199999999999999"/>
    <s v="Approved"/>
    <x v="1"/>
    <n v="1"/>
    <n v="0"/>
    <n v="9500"/>
    <n v="0.11600000000000001"/>
    <n v="1"/>
    <n v="1"/>
    <n v="1"/>
  </r>
  <r>
    <s v="LA-703478"/>
    <d v="2025-05-16T00:00:00"/>
    <x v="1"/>
    <s v="Q2"/>
    <x v="4"/>
    <x v="2"/>
    <x v="0"/>
    <x v="1"/>
    <x v="0"/>
    <x v="4"/>
    <n v="2800"/>
    <n v="33000"/>
    <n v="60"/>
    <n v="0.42499999999999999"/>
    <s v="Rejected"/>
    <x v="5"/>
    <n v="0"/>
    <n v="1"/>
    <n v="0"/>
    <m/>
    <n v="10"/>
    <n v="1"/>
    <n v="1"/>
  </r>
  <r>
    <s v="LA-703479"/>
    <d v="2025-05-16T00:00:00"/>
    <x v="1"/>
    <s v="Q2"/>
    <x v="4"/>
    <x v="1"/>
    <x v="1"/>
    <x v="1"/>
    <x v="2"/>
    <x v="0"/>
    <n v="2500"/>
    <n v="16500"/>
    <n v="36"/>
    <n v="0.37"/>
    <s v="Approved"/>
    <x v="1"/>
    <n v="1"/>
    <n v="0"/>
    <n v="13000"/>
    <n v="0.14000000000000001"/>
    <n v="2"/>
    <n v="1"/>
    <n v="1"/>
  </r>
  <r>
    <s v="LA-703480"/>
    <d v="2025-05-16T00:00:00"/>
    <x v="1"/>
    <s v="Q2"/>
    <x v="4"/>
    <x v="1"/>
    <x v="3"/>
    <x v="0"/>
    <x v="1"/>
    <x v="3"/>
    <n v="2950"/>
    <n v="11500"/>
    <n v="48"/>
    <n v="0.246"/>
    <s v="Approved"/>
    <x v="1"/>
    <n v="1"/>
    <n v="0"/>
    <n v="11500"/>
    <n v="0.1085"/>
    <n v="3"/>
    <n v="1"/>
    <n v="1"/>
  </r>
  <r>
    <s v="LA-703481"/>
    <d v="2025-05-16T00:00:00"/>
    <x v="1"/>
    <s v="Q2"/>
    <x v="4"/>
    <x v="2"/>
    <x v="1"/>
    <x v="0"/>
    <x v="2"/>
    <x v="4"/>
    <n v="4550"/>
    <n v="74000"/>
    <n v="12"/>
    <n v="1.504"/>
    <s v="Rejected"/>
    <x v="3"/>
    <n v="0"/>
    <n v="1"/>
    <n v="0"/>
    <m/>
    <n v="11"/>
    <n v="0"/>
    <n v="1"/>
  </r>
  <r>
    <s v="LA-703482"/>
    <d v="2025-05-17T00:00:00"/>
    <x v="1"/>
    <s v="Q2"/>
    <x v="4"/>
    <x v="2"/>
    <x v="3"/>
    <x v="3"/>
    <x v="1"/>
    <x v="0"/>
    <n v="5350"/>
    <n v="73500"/>
    <n v="60"/>
    <n v="0.436"/>
    <s v="Rejected"/>
    <x v="0"/>
    <n v="0"/>
    <n v="1"/>
    <n v="0"/>
    <m/>
    <n v="9"/>
    <n v="1"/>
    <n v="1"/>
  </r>
  <r>
    <s v="LA-703483"/>
    <d v="2025-05-17T00:00:00"/>
    <x v="1"/>
    <s v="Q2"/>
    <x v="4"/>
    <x v="2"/>
    <x v="1"/>
    <x v="2"/>
    <x v="1"/>
    <x v="0"/>
    <n v="3400"/>
    <n v="31000"/>
    <n v="36"/>
    <n v="0.497"/>
    <s v="Rejected"/>
    <x v="0"/>
    <n v="0"/>
    <n v="1"/>
    <n v="0"/>
    <m/>
    <n v="7"/>
    <n v="1"/>
    <n v="1"/>
  </r>
  <r>
    <s v="LA-703484"/>
    <d v="2025-05-17T00:00:00"/>
    <x v="1"/>
    <s v="Q2"/>
    <x v="4"/>
    <x v="1"/>
    <x v="2"/>
    <x v="4"/>
    <x v="1"/>
    <x v="1"/>
    <n v="7350"/>
    <n v="9000"/>
    <n v="12"/>
    <n v="0.217"/>
    <s v="Rejected"/>
    <x v="5"/>
    <n v="0"/>
    <n v="1"/>
    <n v="0"/>
    <m/>
    <n v="1"/>
    <n v="1"/>
    <n v="1"/>
  </r>
  <r>
    <s v="LA-703485"/>
    <d v="2025-05-17T00:00:00"/>
    <x v="1"/>
    <s v="Q2"/>
    <x v="4"/>
    <x v="2"/>
    <x v="1"/>
    <x v="3"/>
    <x v="2"/>
    <x v="2"/>
    <n v="9150"/>
    <n v="66500"/>
    <n v="60"/>
    <n v="0.33"/>
    <s v="Rejected"/>
    <x v="0"/>
    <n v="0"/>
    <n v="1"/>
    <n v="0"/>
    <m/>
    <n v="4"/>
    <n v="1"/>
    <n v="1"/>
  </r>
  <r>
    <s v="LA-703486"/>
    <d v="2025-05-18T00:00:00"/>
    <x v="1"/>
    <s v="Q2"/>
    <x v="4"/>
    <x v="0"/>
    <x v="1"/>
    <x v="4"/>
    <x v="2"/>
    <x v="4"/>
    <n v="4050"/>
    <n v="23500"/>
    <n v="36"/>
    <n v="0.33200000000000002"/>
    <s v="Approved"/>
    <x v="1"/>
    <n v="1"/>
    <n v="0"/>
    <n v="23500"/>
    <n v="6.93E-2"/>
    <n v="1"/>
    <n v="1"/>
    <n v="1"/>
  </r>
  <r>
    <s v="LA-703487"/>
    <d v="2025-05-19T00:00:00"/>
    <x v="1"/>
    <s v="Q2"/>
    <x v="4"/>
    <x v="1"/>
    <x v="1"/>
    <x v="3"/>
    <x v="0"/>
    <x v="1"/>
    <n v="7750"/>
    <n v="21500"/>
    <n v="12"/>
    <n v="0.47699999999999998"/>
    <s v="Rejected"/>
    <x v="3"/>
    <n v="0"/>
    <n v="1"/>
    <n v="0"/>
    <m/>
    <n v="2"/>
    <n v="1"/>
    <n v="1"/>
  </r>
  <r>
    <s v="LA-703488"/>
    <d v="2025-05-19T00:00:00"/>
    <x v="1"/>
    <s v="Q2"/>
    <x v="4"/>
    <x v="1"/>
    <x v="2"/>
    <x v="2"/>
    <x v="0"/>
    <x v="4"/>
    <n v="3200"/>
    <n v="7500"/>
    <n v="60"/>
    <n v="0.13800000000000001"/>
    <s v="Approved"/>
    <x v="1"/>
    <n v="1"/>
    <n v="0"/>
    <n v="7500"/>
    <n v="0.1132"/>
    <n v="1"/>
    <n v="1"/>
    <n v="1"/>
  </r>
  <r>
    <s v="LA-703489"/>
    <d v="2025-05-19T00:00:00"/>
    <x v="1"/>
    <s v="Q2"/>
    <x v="4"/>
    <x v="0"/>
    <x v="3"/>
    <x v="3"/>
    <x v="2"/>
    <x v="4"/>
    <n v="2800"/>
    <n v="28500"/>
    <n v="60"/>
    <n v="0.33200000000000002"/>
    <s v="Approved"/>
    <x v="1"/>
    <n v="1"/>
    <n v="0"/>
    <n v="28500"/>
    <n v="7.3400000000000007E-2"/>
    <n v="6"/>
    <n v="0"/>
    <n v="1"/>
  </r>
  <r>
    <s v="LA-703490"/>
    <d v="2025-05-19T00:00:00"/>
    <x v="1"/>
    <s v="Q2"/>
    <x v="4"/>
    <x v="3"/>
    <x v="2"/>
    <x v="1"/>
    <x v="1"/>
    <x v="0"/>
    <n v="3150"/>
    <n v="186000"/>
    <n v="240"/>
    <n v="0.59499999999999997"/>
    <s v="Rejected"/>
    <x v="0"/>
    <n v="0"/>
    <n v="1"/>
    <n v="0"/>
    <m/>
    <n v="12"/>
    <n v="1"/>
    <n v="1"/>
  </r>
  <r>
    <s v="LA-703491"/>
    <d v="2025-05-19T00:00:00"/>
    <x v="1"/>
    <s v="Q2"/>
    <x v="4"/>
    <x v="1"/>
    <x v="1"/>
    <x v="2"/>
    <x v="0"/>
    <x v="0"/>
    <n v="4300"/>
    <n v="8000"/>
    <n v="24"/>
    <n v="0.159"/>
    <s v="Rejected"/>
    <x v="0"/>
    <n v="0"/>
    <n v="1"/>
    <n v="0"/>
    <m/>
    <n v="2"/>
    <n v="1"/>
    <n v="1"/>
  </r>
  <r>
    <s v="LA-703492"/>
    <d v="2025-05-19T00:00:00"/>
    <x v="1"/>
    <s v="Q2"/>
    <x v="4"/>
    <x v="3"/>
    <x v="2"/>
    <x v="0"/>
    <x v="0"/>
    <x v="1"/>
    <n v="5100"/>
    <n v="739000"/>
    <n v="180"/>
    <n v="1.35"/>
    <s v="Rejected"/>
    <x v="3"/>
    <n v="0"/>
    <n v="1"/>
    <n v="0"/>
    <m/>
    <n v="7"/>
    <n v="1"/>
    <n v="1"/>
  </r>
  <r>
    <s v="LA-703493"/>
    <d v="2025-05-19T00:00:00"/>
    <x v="1"/>
    <s v="Q2"/>
    <x v="4"/>
    <x v="0"/>
    <x v="0"/>
    <x v="2"/>
    <x v="0"/>
    <x v="1"/>
    <n v="4200"/>
    <n v="35500"/>
    <n v="36"/>
    <n v="0.45500000000000002"/>
    <s v="Approved"/>
    <x v="1"/>
    <n v="1"/>
    <n v="0"/>
    <n v="35500"/>
    <n v="7.6999999999999999E-2"/>
    <n v="6"/>
    <n v="0"/>
    <n v="1"/>
  </r>
  <r>
    <s v="LA-703494"/>
    <d v="2025-05-19T00:00:00"/>
    <x v="1"/>
    <s v="Q2"/>
    <x v="4"/>
    <x v="0"/>
    <x v="2"/>
    <x v="4"/>
    <x v="0"/>
    <x v="1"/>
    <n v="3800"/>
    <n v="25000"/>
    <n v="60"/>
    <n v="0.308"/>
    <s v="Approved"/>
    <x v="1"/>
    <n v="1"/>
    <n v="0"/>
    <n v="22500"/>
    <n v="8.5199999999999998E-2"/>
    <n v="2"/>
    <n v="1"/>
    <n v="1"/>
  </r>
  <r>
    <s v="LA-703495"/>
    <d v="2025-05-19T00:00:00"/>
    <x v="1"/>
    <s v="Q2"/>
    <x v="4"/>
    <x v="0"/>
    <x v="1"/>
    <x v="3"/>
    <x v="0"/>
    <x v="4"/>
    <n v="2950"/>
    <n v="34000"/>
    <n v="36"/>
    <n v="0.52"/>
    <s v="Approved"/>
    <x v="1"/>
    <n v="1"/>
    <n v="0"/>
    <n v="30500"/>
    <n v="7.3300000000000004E-2"/>
    <n v="1"/>
    <n v="1"/>
    <n v="1"/>
  </r>
  <r>
    <s v="LA-703496"/>
    <d v="2025-05-19T00:00:00"/>
    <x v="1"/>
    <s v="Q2"/>
    <x v="4"/>
    <x v="1"/>
    <x v="3"/>
    <x v="1"/>
    <x v="0"/>
    <x v="4"/>
    <n v="4950"/>
    <n v="6500"/>
    <n v="24"/>
    <n v="0.254"/>
    <s v="Rejected"/>
    <x v="4"/>
    <n v="0"/>
    <n v="1"/>
    <n v="0"/>
    <m/>
    <n v="8"/>
    <n v="0"/>
    <n v="1"/>
  </r>
  <r>
    <s v="LA-703497"/>
    <d v="2025-05-19T00:00:00"/>
    <x v="1"/>
    <s v="Q2"/>
    <x v="4"/>
    <x v="1"/>
    <x v="1"/>
    <x v="1"/>
    <x v="2"/>
    <x v="1"/>
    <n v="6350"/>
    <n v="10000"/>
    <n v="12"/>
    <n v="0.25700000000000001"/>
    <s v="Approved"/>
    <x v="1"/>
    <n v="1"/>
    <n v="0"/>
    <n v="8000"/>
    <n v="0.12239999999999999"/>
    <n v="1"/>
    <n v="1"/>
    <n v="1"/>
  </r>
  <r>
    <s v="LA-703498"/>
    <d v="2025-05-20T00:00:00"/>
    <x v="1"/>
    <s v="Q2"/>
    <x v="4"/>
    <x v="1"/>
    <x v="3"/>
    <x v="2"/>
    <x v="2"/>
    <x v="1"/>
    <n v="3700"/>
    <n v="10500"/>
    <n v="24"/>
    <n v="0.20599999999999999"/>
    <s v="Approved"/>
    <x v="1"/>
    <n v="1"/>
    <n v="0"/>
    <n v="10500"/>
    <n v="0.1255"/>
    <n v="5"/>
    <n v="0"/>
    <n v="1"/>
  </r>
  <r>
    <s v="LA-703499"/>
    <d v="2025-05-20T00:00:00"/>
    <x v="1"/>
    <s v="Q2"/>
    <x v="4"/>
    <x v="0"/>
    <x v="3"/>
    <x v="2"/>
    <x v="2"/>
    <x v="2"/>
    <n v="7550"/>
    <n v="24500"/>
    <n v="48"/>
    <n v="0.20799999999999999"/>
    <s v="Rejected"/>
    <x v="0"/>
    <n v="0"/>
    <n v="1"/>
    <n v="0"/>
    <m/>
    <n v="5"/>
    <n v="0"/>
    <n v="1"/>
  </r>
  <r>
    <s v="LA-703500"/>
    <d v="2025-05-20T00:00:00"/>
    <x v="1"/>
    <s v="Q2"/>
    <x v="4"/>
    <x v="1"/>
    <x v="3"/>
    <x v="4"/>
    <x v="0"/>
    <x v="1"/>
    <n v="4150"/>
    <n v="15000"/>
    <n v="12"/>
    <n v="0.56999999999999995"/>
    <s v="Withdrawn"/>
    <x v="1"/>
    <n v="0"/>
    <n v="0"/>
    <n v="0"/>
    <m/>
    <n v="3"/>
    <n v="1"/>
    <n v="1"/>
  </r>
  <r>
    <s v="LA-703501"/>
    <d v="2025-05-20T00:00:00"/>
    <x v="1"/>
    <s v="Q2"/>
    <x v="4"/>
    <x v="3"/>
    <x v="0"/>
    <x v="1"/>
    <x v="1"/>
    <x v="1"/>
    <n v="4900"/>
    <n v="274500"/>
    <n v="240"/>
    <n v="0.54300000000000004"/>
    <s v="Rejected"/>
    <x v="4"/>
    <n v="0"/>
    <n v="1"/>
    <n v="0"/>
    <m/>
    <n v="11"/>
    <n v="1"/>
    <n v="1"/>
  </r>
  <r>
    <s v="LA-703502"/>
    <d v="2025-05-20T00:00:00"/>
    <x v="1"/>
    <s v="Q2"/>
    <x v="4"/>
    <x v="1"/>
    <x v="2"/>
    <x v="2"/>
    <x v="0"/>
    <x v="4"/>
    <n v="6550"/>
    <n v="8500"/>
    <n v="48"/>
    <n v="0.27100000000000002"/>
    <s v="Approved"/>
    <x v="1"/>
    <n v="1"/>
    <n v="0"/>
    <n v="8500"/>
    <n v="0.1179"/>
    <n v="3"/>
    <n v="1"/>
    <n v="1"/>
  </r>
  <r>
    <s v="LA-703503"/>
    <d v="2025-05-20T00:00:00"/>
    <x v="1"/>
    <s v="Q2"/>
    <x v="4"/>
    <x v="3"/>
    <x v="2"/>
    <x v="1"/>
    <x v="2"/>
    <x v="4"/>
    <n v="2800"/>
    <n v="200500"/>
    <n v="300"/>
    <n v="0.58299999999999996"/>
    <s v="Approved"/>
    <x v="1"/>
    <n v="1"/>
    <n v="0"/>
    <n v="180500"/>
    <n v="5.2600000000000001E-2"/>
    <n v="6"/>
    <n v="1"/>
    <n v="1"/>
  </r>
  <r>
    <s v="LA-703504"/>
    <d v="2025-05-20T00:00:00"/>
    <x v="1"/>
    <s v="Q2"/>
    <x v="4"/>
    <x v="2"/>
    <x v="3"/>
    <x v="0"/>
    <x v="1"/>
    <x v="1"/>
    <n v="6850"/>
    <n v="103000"/>
    <n v="24"/>
    <n v="0.83699999999999997"/>
    <s v="Approved"/>
    <x v="1"/>
    <n v="1"/>
    <n v="0"/>
    <n v="103000"/>
    <n v="0.1041"/>
    <n v="11"/>
    <n v="0"/>
    <n v="1"/>
  </r>
  <r>
    <s v="LA-703505"/>
    <d v="2025-05-20T00:00:00"/>
    <x v="1"/>
    <s v="Q2"/>
    <x v="4"/>
    <x v="0"/>
    <x v="1"/>
    <x v="2"/>
    <x v="2"/>
    <x v="0"/>
    <n v="7650"/>
    <n v="16000"/>
    <n v="60"/>
    <n v="0.19900000000000001"/>
    <s v="Approved"/>
    <x v="1"/>
    <n v="1"/>
    <n v="0"/>
    <n v="16000"/>
    <n v="9.9400000000000002E-2"/>
    <n v="1"/>
    <n v="1"/>
    <n v="1"/>
  </r>
  <r>
    <s v="LA-703506"/>
    <d v="2025-05-20T00:00:00"/>
    <x v="1"/>
    <s v="Q2"/>
    <x v="4"/>
    <x v="1"/>
    <x v="2"/>
    <x v="3"/>
    <x v="0"/>
    <x v="0"/>
    <n v="5300"/>
    <n v="13500"/>
    <n v="24"/>
    <n v="0.218"/>
    <s v="Rejected"/>
    <x v="0"/>
    <n v="0"/>
    <n v="1"/>
    <n v="0"/>
    <m/>
    <n v="2"/>
    <n v="1"/>
    <n v="1"/>
  </r>
  <r>
    <s v="LA-703507"/>
    <d v="2025-05-20T00:00:00"/>
    <x v="1"/>
    <s v="Q2"/>
    <x v="4"/>
    <x v="1"/>
    <x v="1"/>
    <x v="2"/>
    <x v="2"/>
    <x v="0"/>
    <n v="9000"/>
    <n v="36500"/>
    <n v="36"/>
    <n v="0.38200000000000001"/>
    <s v="Approved"/>
    <x v="1"/>
    <n v="1"/>
    <n v="0"/>
    <n v="36500"/>
    <n v="0.14000000000000001"/>
    <n v="2"/>
    <n v="1"/>
    <n v="1"/>
  </r>
  <r>
    <s v="LA-703508"/>
    <d v="2025-05-20T00:00:00"/>
    <x v="1"/>
    <s v="Q2"/>
    <x v="4"/>
    <x v="0"/>
    <x v="3"/>
    <x v="2"/>
    <x v="1"/>
    <x v="1"/>
    <n v="3300"/>
    <n v="17000"/>
    <n v="60"/>
    <n v="0.2"/>
    <s v="Approved"/>
    <x v="1"/>
    <n v="1"/>
    <n v="0"/>
    <n v="17000"/>
    <n v="8.6699999999999999E-2"/>
    <n v="5"/>
    <n v="0"/>
    <n v="1"/>
  </r>
  <r>
    <s v="LA-703509"/>
    <d v="2025-05-20T00:00:00"/>
    <x v="1"/>
    <s v="Q2"/>
    <x v="4"/>
    <x v="0"/>
    <x v="0"/>
    <x v="3"/>
    <x v="2"/>
    <x v="0"/>
    <n v="4500"/>
    <n v="52500"/>
    <n v="60"/>
    <n v="0.28599999999999998"/>
    <s v="Rejected"/>
    <x v="4"/>
    <n v="0"/>
    <n v="1"/>
    <n v="0"/>
    <m/>
    <n v="9"/>
    <n v="0"/>
    <n v="1"/>
  </r>
  <r>
    <s v="LA-703510"/>
    <d v="2025-05-20T00:00:00"/>
    <x v="1"/>
    <s v="Q2"/>
    <x v="4"/>
    <x v="0"/>
    <x v="0"/>
    <x v="3"/>
    <x v="0"/>
    <x v="2"/>
    <n v="4150"/>
    <n v="41500"/>
    <n v="36"/>
    <n v="0.41699999999999998"/>
    <s v="Rejected"/>
    <x v="0"/>
    <n v="0"/>
    <n v="1"/>
    <n v="0"/>
    <m/>
    <n v="4"/>
    <n v="1"/>
    <n v="1"/>
  </r>
  <r>
    <s v="LA-703511"/>
    <d v="2025-05-20T00:00:00"/>
    <x v="1"/>
    <s v="Q2"/>
    <x v="4"/>
    <x v="1"/>
    <x v="0"/>
    <x v="1"/>
    <x v="1"/>
    <x v="0"/>
    <n v="4250"/>
    <n v="24000"/>
    <n v="24"/>
    <n v="0.438"/>
    <s v="Rejected"/>
    <x v="5"/>
    <n v="0"/>
    <n v="1"/>
    <n v="0"/>
    <m/>
    <n v="3"/>
    <n v="1"/>
    <n v="1"/>
  </r>
  <r>
    <s v="LA-703512"/>
    <d v="2025-05-20T00:00:00"/>
    <x v="1"/>
    <s v="Q2"/>
    <x v="4"/>
    <x v="1"/>
    <x v="3"/>
    <x v="1"/>
    <x v="1"/>
    <x v="4"/>
    <n v="3700"/>
    <n v="21000"/>
    <n v="36"/>
    <n v="0.41"/>
    <s v="Approved"/>
    <x v="1"/>
    <n v="1"/>
    <n v="0"/>
    <n v="21000"/>
    <n v="0.1143"/>
    <n v="7"/>
    <n v="0"/>
    <n v="1"/>
  </r>
  <r>
    <s v="LA-703513"/>
    <d v="2025-05-20T00:00:00"/>
    <x v="1"/>
    <s v="Q2"/>
    <x v="4"/>
    <x v="0"/>
    <x v="1"/>
    <x v="3"/>
    <x v="0"/>
    <x v="0"/>
    <n v="9050"/>
    <n v="12500"/>
    <n v="36"/>
    <n v="0.29199999999999998"/>
    <s v="Rejected"/>
    <x v="0"/>
    <n v="0"/>
    <n v="1"/>
    <n v="0"/>
    <m/>
    <n v="2"/>
    <n v="1"/>
    <n v="1"/>
  </r>
  <r>
    <s v="LA-703514"/>
    <d v="2025-05-21T00:00:00"/>
    <x v="1"/>
    <s v="Q2"/>
    <x v="4"/>
    <x v="3"/>
    <x v="2"/>
    <x v="2"/>
    <x v="0"/>
    <x v="3"/>
    <n v="6350"/>
    <n v="485000"/>
    <n v="240"/>
    <n v="0.73399999999999999"/>
    <s v="Rejected"/>
    <x v="3"/>
    <n v="0"/>
    <n v="1"/>
    <n v="0"/>
    <m/>
    <n v="4"/>
    <n v="1"/>
    <n v="1"/>
  </r>
  <r>
    <s v="LA-703515"/>
    <d v="2025-05-21T00:00:00"/>
    <x v="1"/>
    <s v="Q2"/>
    <x v="4"/>
    <x v="1"/>
    <x v="1"/>
    <x v="3"/>
    <x v="1"/>
    <x v="1"/>
    <n v="9000"/>
    <n v="15000"/>
    <n v="12"/>
    <n v="0.33600000000000002"/>
    <s v="Approved"/>
    <x v="1"/>
    <n v="1"/>
    <n v="0"/>
    <n v="12000"/>
    <n v="0.12709999999999999"/>
    <n v="1"/>
    <n v="1"/>
    <n v="1"/>
  </r>
  <r>
    <s v="LA-703516"/>
    <d v="2025-05-21T00:00:00"/>
    <x v="1"/>
    <s v="Q2"/>
    <x v="4"/>
    <x v="2"/>
    <x v="3"/>
    <x v="0"/>
    <x v="1"/>
    <x v="1"/>
    <n v="4900"/>
    <n v="66000"/>
    <n v="60"/>
    <n v="0.47599999999999998"/>
    <s v="Rejected"/>
    <x v="3"/>
    <n v="0"/>
    <n v="1"/>
    <n v="0"/>
    <m/>
    <n v="23"/>
    <n v="0"/>
    <n v="1"/>
  </r>
  <r>
    <s v="LA-703517"/>
    <d v="2025-05-21T00:00:00"/>
    <x v="1"/>
    <s v="Q2"/>
    <x v="4"/>
    <x v="3"/>
    <x v="1"/>
    <x v="2"/>
    <x v="0"/>
    <x v="4"/>
    <n v="4450"/>
    <n v="140500"/>
    <n v="240"/>
    <n v="0.32500000000000001"/>
    <s v="Approved"/>
    <x v="1"/>
    <n v="1"/>
    <n v="0"/>
    <n v="112500"/>
    <n v="0.05"/>
    <n v="6"/>
    <n v="1"/>
    <n v="1"/>
  </r>
  <r>
    <s v="LA-703518"/>
    <d v="2025-05-21T00:00:00"/>
    <x v="1"/>
    <s v="Q2"/>
    <x v="4"/>
    <x v="3"/>
    <x v="0"/>
    <x v="0"/>
    <x v="0"/>
    <x v="0"/>
    <n v="5500"/>
    <n v="359000"/>
    <n v="180"/>
    <n v="0.66400000000000003"/>
    <s v="Rejected"/>
    <x v="0"/>
    <n v="0"/>
    <n v="1"/>
    <n v="0"/>
    <m/>
    <n v="16"/>
    <n v="0"/>
    <n v="1"/>
  </r>
  <r>
    <s v="LA-703519"/>
    <d v="2025-05-21T00:00:00"/>
    <x v="1"/>
    <s v="Q2"/>
    <x v="4"/>
    <x v="2"/>
    <x v="2"/>
    <x v="2"/>
    <x v="2"/>
    <x v="1"/>
    <n v="9250"/>
    <n v="61000"/>
    <n v="24"/>
    <n v="0.50900000000000001"/>
    <s v="Rejected"/>
    <x v="3"/>
    <n v="0"/>
    <n v="1"/>
    <n v="0"/>
    <m/>
    <n v="7"/>
    <n v="1"/>
    <n v="1"/>
  </r>
  <r>
    <s v="LA-703520"/>
    <d v="2025-05-21T00:00:00"/>
    <x v="1"/>
    <s v="Q2"/>
    <x v="4"/>
    <x v="1"/>
    <x v="1"/>
    <x v="0"/>
    <x v="0"/>
    <x v="1"/>
    <n v="4700"/>
    <n v="6000"/>
    <n v="36"/>
    <n v="0.214"/>
    <s v="Rejected"/>
    <x v="5"/>
    <n v="0"/>
    <n v="1"/>
    <n v="0"/>
    <m/>
    <n v="1"/>
    <n v="1"/>
    <n v="1"/>
  </r>
  <r>
    <s v="LA-703521"/>
    <d v="2025-05-21T00:00:00"/>
    <x v="1"/>
    <s v="Q2"/>
    <x v="4"/>
    <x v="2"/>
    <x v="1"/>
    <x v="2"/>
    <x v="1"/>
    <x v="4"/>
    <n v="5550"/>
    <n v="84500"/>
    <n v="24"/>
    <n v="0.85199999999999998"/>
    <s v="Approved"/>
    <x v="1"/>
    <n v="1"/>
    <n v="0"/>
    <n v="76000"/>
    <n v="0.10059999999999999"/>
    <n v="4"/>
    <n v="1"/>
    <n v="1"/>
  </r>
  <r>
    <s v="LA-703522"/>
    <d v="2025-05-21T00:00:00"/>
    <x v="1"/>
    <s v="Q2"/>
    <x v="4"/>
    <x v="1"/>
    <x v="1"/>
    <x v="2"/>
    <x v="1"/>
    <x v="4"/>
    <n v="6250"/>
    <n v="10500"/>
    <n v="36"/>
    <n v="0.19400000000000001"/>
    <s v="Approved"/>
    <x v="1"/>
    <n v="1"/>
    <n v="0"/>
    <n v="10500"/>
    <n v="0.11899999999999999"/>
    <n v="2"/>
    <n v="1"/>
    <n v="1"/>
  </r>
  <r>
    <s v="LA-703523"/>
    <d v="2025-05-21T00:00:00"/>
    <x v="1"/>
    <s v="Q2"/>
    <x v="4"/>
    <x v="3"/>
    <x v="0"/>
    <x v="2"/>
    <x v="0"/>
    <x v="1"/>
    <n v="3450"/>
    <n v="206000"/>
    <n v="240"/>
    <n v="0.63800000000000001"/>
    <s v="Rejected"/>
    <x v="3"/>
    <n v="0"/>
    <n v="1"/>
    <n v="0"/>
    <m/>
    <n v="18"/>
    <n v="0"/>
    <n v="1"/>
  </r>
  <r>
    <s v="LA-703524"/>
    <d v="2025-05-21T00:00:00"/>
    <x v="1"/>
    <s v="Q2"/>
    <x v="4"/>
    <x v="1"/>
    <x v="3"/>
    <x v="4"/>
    <x v="0"/>
    <x v="1"/>
    <n v="5100"/>
    <n v="24500"/>
    <n v="60"/>
    <n v="0.309"/>
    <s v="Approved"/>
    <x v="1"/>
    <n v="1"/>
    <n v="0"/>
    <n v="19500"/>
    <n v="0.1216"/>
    <n v="4"/>
    <n v="0"/>
    <n v="1"/>
  </r>
  <r>
    <s v="LA-703525"/>
    <d v="2025-05-21T00:00:00"/>
    <x v="1"/>
    <s v="Q2"/>
    <x v="4"/>
    <x v="2"/>
    <x v="1"/>
    <x v="3"/>
    <x v="1"/>
    <x v="1"/>
    <n v="1750"/>
    <n v="124500"/>
    <n v="36"/>
    <n v="2.5379999999999998"/>
    <s v="Rejected"/>
    <x v="3"/>
    <n v="0"/>
    <n v="1"/>
    <n v="0"/>
    <m/>
    <n v="4"/>
    <n v="1"/>
    <n v="1"/>
  </r>
  <r>
    <s v="LA-703526"/>
    <d v="2025-05-22T00:00:00"/>
    <x v="1"/>
    <s v="Q2"/>
    <x v="4"/>
    <x v="2"/>
    <x v="1"/>
    <x v="3"/>
    <x v="0"/>
    <x v="1"/>
    <n v="4200"/>
    <n v="116500"/>
    <n v="24"/>
    <n v="1.5189999999999999"/>
    <s v="Rejected"/>
    <x v="3"/>
    <n v="0"/>
    <n v="1"/>
    <n v="0"/>
    <m/>
    <n v="4"/>
    <n v="1"/>
    <n v="1"/>
  </r>
  <r>
    <s v="LA-703527"/>
    <d v="2025-05-22T00:00:00"/>
    <x v="1"/>
    <s v="Q2"/>
    <x v="4"/>
    <x v="1"/>
    <x v="3"/>
    <x v="3"/>
    <x v="2"/>
    <x v="3"/>
    <n v="10300"/>
    <n v="7000"/>
    <n v="48"/>
    <n v="0.255"/>
    <s v="Approved"/>
    <x v="1"/>
    <n v="1"/>
    <n v="0"/>
    <n v="5500"/>
    <n v="0.1072"/>
    <n v="5"/>
    <n v="0"/>
    <n v="1"/>
  </r>
  <r>
    <s v="LA-703528"/>
    <d v="2025-05-22T00:00:00"/>
    <x v="1"/>
    <s v="Q2"/>
    <x v="4"/>
    <x v="1"/>
    <x v="0"/>
    <x v="1"/>
    <x v="1"/>
    <x v="1"/>
    <n v="5500"/>
    <n v="11500"/>
    <n v="60"/>
    <n v="0.26700000000000002"/>
    <s v="Approved"/>
    <x v="1"/>
    <n v="1"/>
    <n v="0"/>
    <n v="9000"/>
    <n v="0.1227"/>
    <n v="3"/>
    <n v="1"/>
    <n v="1"/>
  </r>
  <r>
    <s v="LA-703529"/>
    <d v="2025-05-22T00:00:00"/>
    <x v="1"/>
    <s v="Q2"/>
    <x v="4"/>
    <x v="0"/>
    <x v="0"/>
    <x v="2"/>
    <x v="0"/>
    <x v="2"/>
    <n v="5250"/>
    <n v="17000"/>
    <n v="60"/>
    <n v="0.20899999999999999"/>
    <s v="Approved"/>
    <x v="1"/>
    <n v="1"/>
    <n v="0"/>
    <n v="13500"/>
    <n v="0.11269999999999999"/>
    <n v="4"/>
    <n v="1"/>
    <n v="1"/>
  </r>
  <r>
    <s v="LA-703530"/>
    <d v="2025-05-22T00:00:00"/>
    <x v="1"/>
    <s v="Q2"/>
    <x v="4"/>
    <x v="0"/>
    <x v="1"/>
    <x v="1"/>
    <x v="1"/>
    <x v="4"/>
    <n v="3650"/>
    <n v="45500"/>
    <n v="36"/>
    <n v="0.56000000000000005"/>
    <s v="Approved"/>
    <x v="1"/>
    <n v="1"/>
    <n v="0"/>
    <n v="45500"/>
    <n v="7.1800000000000003E-2"/>
    <n v="2"/>
    <n v="1"/>
    <n v="1"/>
  </r>
  <r>
    <s v="LA-703531"/>
    <d v="2025-05-22T00:00:00"/>
    <x v="1"/>
    <s v="Q2"/>
    <x v="4"/>
    <x v="3"/>
    <x v="2"/>
    <x v="3"/>
    <x v="1"/>
    <x v="4"/>
    <n v="5050"/>
    <n v="123500"/>
    <n v="240"/>
    <n v="0.251"/>
    <s v="Approved"/>
    <x v="1"/>
    <n v="1"/>
    <n v="0"/>
    <n v="123500"/>
    <n v="5.4300000000000001E-2"/>
    <n v="11"/>
    <n v="1"/>
    <n v="1"/>
  </r>
  <r>
    <s v="LA-703532"/>
    <d v="2025-05-22T00:00:00"/>
    <x v="1"/>
    <s v="Q2"/>
    <x v="4"/>
    <x v="0"/>
    <x v="1"/>
    <x v="3"/>
    <x v="0"/>
    <x v="2"/>
    <n v="8200"/>
    <n v="17000"/>
    <n v="60"/>
    <n v="0.245"/>
    <s v="Approved"/>
    <x v="1"/>
    <n v="1"/>
    <n v="0"/>
    <n v="17000"/>
    <n v="0.1192"/>
    <n v="2"/>
    <n v="1"/>
    <n v="1"/>
  </r>
  <r>
    <s v="LA-703533"/>
    <d v="2025-05-22T00:00:00"/>
    <x v="1"/>
    <s v="Q2"/>
    <x v="4"/>
    <x v="0"/>
    <x v="1"/>
    <x v="2"/>
    <x v="0"/>
    <x v="0"/>
    <n v="4750"/>
    <n v="16000"/>
    <n v="36"/>
    <n v="0.245"/>
    <s v="Approved"/>
    <x v="1"/>
    <n v="1"/>
    <n v="0"/>
    <n v="16000"/>
    <n v="9.0999999999999998E-2"/>
    <n v="2"/>
    <n v="1"/>
    <n v="1"/>
  </r>
  <r>
    <s v="LA-703534"/>
    <d v="2025-05-22T00:00:00"/>
    <x v="1"/>
    <s v="Q2"/>
    <x v="4"/>
    <x v="3"/>
    <x v="3"/>
    <x v="2"/>
    <x v="2"/>
    <x v="3"/>
    <n v="6800"/>
    <n v="453000"/>
    <n v="180"/>
    <n v="0.69499999999999995"/>
    <s v="Rejected"/>
    <x v="3"/>
    <n v="0"/>
    <n v="1"/>
    <n v="0"/>
    <m/>
    <n v="17"/>
    <n v="0"/>
    <n v="1"/>
  </r>
  <r>
    <s v="LA-703535"/>
    <d v="2025-05-22T00:00:00"/>
    <x v="1"/>
    <s v="Q2"/>
    <x v="4"/>
    <x v="0"/>
    <x v="2"/>
    <x v="2"/>
    <x v="1"/>
    <x v="1"/>
    <n v="4100"/>
    <n v="31500"/>
    <n v="48"/>
    <n v="0.40300000000000002"/>
    <s v="Approved"/>
    <x v="1"/>
    <n v="1"/>
    <n v="0"/>
    <n v="28500"/>
    <n v="8.4599999999999995E-2"/>
    <n v="1"/>
    <n v="1"/>
    <n v="1"/>
  </r>
  <r>
    <s v="LA-703536"/>
    <d v="2025-05-22T00:00:00"/>
    <x v="1"/>
    <s v="Q2"/>
    <x v="4"/>
    <x v="3"/>
    <x v="3"/>
    <x v="3"/>
    <x v="0"/>
    <x v="3"/>
    <n v="3850"/>
    <n v="175000"/>
    <n v="300"/>
    <n v="0.40799999999999997"/>
    <s v="Rejected"/>
    <x v="2"/>
    <n v="0"/>
    <n v="1"/>
    <n v="0"/>
    <m/>
    <n v="16"/>
    <n v="0"/>
    <n v="1"/>
  </r>
  <r>
    <s v="LA-703537"/>
    <d v="2025-05-23T00:00:00"/>
    <x v="1"/>
    <s v="Q2"/>
    <x v="4"/>
    <x v="2"/>
    <x v="1"/>
    <x v="3"/>
    <x v="1"/>
    <x v="1"/>
    <n v="4900"/>
    <n v="51000"/>
    <n v="12"/>
    <n v="1.0209999999999999"/>
    <s v="Rejected"/>
    <x v="3"/>
    <n v="0"/>
    <n v="1"/>
    <n v="0"/>
    <m/>
    <n v="4"/>
    <n v="1"/>
    <n v="1"/>
  </r>
  <r>
    <s v="LA-703538"/>
    <d v="2025-05-23T00:00:00"/>
    <x v="1"/>
    <s v="Q2"/>
    <x v="4"/>
    <x v="2"/>
    <x v="2"/>
    <x v="2"/>
    <x v="2"/>
    <x v="3"/>
    <n v="3850"/>
    <n v="120500"/>
    <n v="12"/>
    <n v="2.847"/>
    <s v="Rejected"/>
    <x v="4"/>
    <n v="0"/>
    <n v="1"/>
    <n v="0"/>
    <m/>
    <n v="14"/>
    <n v="0"/>
    <n v="1"/>
  </r>
  <r>
    <s v="LA-703539"/>
    <d v="2025-05-23T00:00:00"/>
    <x v="1"/>
    <s v="Q2"/>
    <x v="4"/>
    <x v="1"/>
    <x v="2"/>
    <x v="2"/>
    <x v="2"/>
    <x v="4"/>
    <n v="8200"/>
    <n v="21000"/>
    <n v="24"/>
    <n v="0.251"/>
    <s v="Approved"/>
    <x v="1"/>
    <n v="1"/>
    <n v="0"/>
    <n v="19000"/>
    <n v="0.1101"/>
    <n v="2"/>
    <n v="1"/>
    <n v="1"/>
  </r>
  <r>
    <s v="LA-703540"/>
    <d v="2025-05-23T00:00:00"/>
    <x v="1"/>
    <s v="Q2"/>
    <x v="4"/>
    <x v="1"/>
    <x v="2"/>
    <x v="3"/>
    <x v="0"/>
    <x v="2"/>
    <n v="3450"/>
    <n v="7500"/>
    <n v="60"/>
    <n v="0.19600000000000001"/>
    <s v="Rejected"/>
    <x v="0"/>
    <n v="0"/>
    <n v="1"/>
    <n v="0"/>
    <m/>
    <n v="1"/>
    <n v="1"/>
    <n v="1"/>
  </r>
  <r>
    <s v="LA-703541"/>
    <d v="2025-05-23T00:00:00"/>
    <x v="1"/>
    <s v="Q2"/>
    <x v="4"/>
    <x v="1"/>
    <x v="0"/>
    <x v="2"/>
    <x v="0"/>
    <x v="3"/>
    <n v="3450"/>
    <n v="13500"/>
    <n v="48"/>
    <n v="0.315"/>
    <s v="Approved"/>
    <x v="1"/>
    <n v="1"/>
    <n v="0"/>
    <n v="13500"/>
    <n v="0.1082"/>
    <n v="4"/>
    <n v="0"/>
    <n v="1"/>
  </r>
  <r>
    <s v="LA-703542"/>
    <d v="2025-05-23T00:00:00"/>
    <x v="1"/>
    <s v="Q2"/>
    <x v="4"/>
    <x v="2"/>
    <x v="1"/>
    <x v="4"/>
    <x v="1"/>
    <x v="1"/>
    <n v="7550"/>
    <n v="116500"/>
    <n v="24"/>
    <n v="0.86399999999999999"/>
    <s v="Rejected"/>
    <x v="3"/>
    <n v="0"/>
    <n v="1"/>
    <n v="0"/>
    <m/>
    <n v="5"/>
    <n v="1"/>
    <n v="1"/>
  </r>
  <r>
    <s v="LA-703543"/>
    <d v="2025-05-23T00:00:00"/>
    <x v="1"/>
    <s v="Q2"/>
    <x v="4"/>
    <x v="1"/>
    <x v="1"/>
    <x v="0"/>
    <x v="2"/>
    <x v="0"/>
    <n v="5500"/>
    <n v="7000"/>
    <n v="48"/>
    <n v="0.159"/>
    <s v="Rejected"/>
    <x v="0"/>
    <n v="0"/>
    <n v="1"/>
    <n v="0"/>
    <m/>
    <n v="1"/>
    <n v="1"/>
    <n v="1"/>
  </r>
  <r>
    <s v="LA-703544"/>
    <d v="2025-05-23T00:00:00"/>
    <x v="1"/>
    <s v="Q2"/>
    <x v="4"/>
    <x v="1"/>
    <x v="2"/>
    <x v="3"/>
    <x v="1"/>
    <x v="2"/>
    <n v="3750"/>
    <n v="15000"/>
    <n v="60"/>
    <n v="0.156"/>
    <s v="Rejected"/>
    <x v="0"/>
    <n v="0"/>
    <n v="1"/>
    <n v="0"/>
    <m/>
    <n v="2"/>
    <n v="1"/>
    <n v="1"/>
  </r>
  <r>
    <s v="LA-703545"/>
    <d v="2025-05-23T00:00:00"/>
    <x v="1"/>
    <s v="Q2"/>
    <x v="4"/>
    <x v="1"/>
    <x v="3"/>
    <x v="1"/>
    <x v="0"/>
    <x v="1"/>
    <n v="3300"/>
    <n v="11000"/>
    <n v="24"/>
    <n v="0.34399999999999997"/>
    <s v="Approved"/>
    <x v="1"/>
    <n v="1"/>
    <n v="0"/>
    <n v="11000"/>
    <n v="0.1221"/>
    <n v="3"/>
    <n v="1"/>
    <n v="1"/>
  </r>
  <r>
    <s v="LA-703546"/>
    <d v="2025-05-23T00:00:00"/>
    <x v="1"/>
    <s v="Q2"/>
    <x v="4"/>
    <x v="3"/>
    <x v="0"/>
    <x v="1"/>
    <x v="1"/>
    <x v="1"/>
    <n v="4500"/>
    <n v="426000"/>
    <n v="240"/>
    <n v="0.74"/>
    <s v="Approved"/>
    <x v="1"/>
    <n v="1"/>
    <n v="0"/>
    <n v="383500"/>
    <n v="6.3600000000000004E-2"/>
    <n v="10"/>
    <n v="1"/>
    <n v="1"/>
  </r>
  <r>
    <s v="LA-703547"/>
    <d v="2025-05-23T00:00:00"/>
    <x v="1"/>
    <s v="Q2"/>
    <x v="4"/>
    <x v="3"/>
    <x v="0"/>
    <x v="0"/>
    <x v="0"/>
    <x v="2"/>
    <n v="8300"/>
    <n v="236500"/>
    <n v="240"/>
    <n v="0.42799999999999999"/>
    <s v="Rejected"/>
    <x v="0"/>
    <n v="0"/>
    <n v="1"/>
    <n v="0"/>
    <m/>
    <n v="23"/>
    <n v="0"/>
    <n v="1"/>
  </r>
  <r>
    <s v="LA-703548"/>
    <d v="2025-05-24T00:00:00"/>
    <x v="1"/>
    <s v="Q2"/>
    <x v="4"/>
    <x v="0"/>
    <x v="3"/>
    <x v="2"/>
    <x v="0"/>
    <x v="4"/>
    <n v="8150"/>
    <n v="20500"/>
    <n v="48"/>
    <n v="0.28499999999999998"/>
    <s v="Rejected"/>
    <x v="5"/>
    <n v="0"/>
    <n v="1"/>
    <n v="0"/>
    <m/>
    <n v="8"/>
    <n v="0"/>
    <n v="1"/>
  </r>
  <r>
    <s v="LA-703549"/>
    <d v="2025-05-24T00:00:00"/>
    <x v="1"/>
    <s v="Q2"/>
    <x v="4"/>
    <x v="2"/>
    <x v="1"/>
    <x v="2"/>
    <x v="0"/>
    <x v="1"/>
    <n v="8700"/>
    <n v="67000"/>
    <n v="24"/>
    <n v="0.432"/>
    <s v="Rejected"/>
    <x v="2"/>
    <n v="0"/>
    <n v="1"/>
    <n v="0"/>
    <m/>
    <n v="4"/>
    <n v="1"/>
    <n v="1"/>
  </r>
  <r>
    <s v="LA-703550"/>
    <d v="2025-05-24T00:00:00"/>
    <x v="1"/>
    <s v="Q2"/>
    <x v="4"/>
    <x v="1"/>
    <x v="2"/>
    <x v="2"/>
    <x v="2"/>
    <x v="3"/>
    <n v="7100"/>
    <n v="13500"/>
    <n v="24"/>
    <n v="0.27"/>
    <s v="Approved"/>
    <x v="1"/>
    <n v="1"/>
    <n v="0"/>
    <n v="13500"/>
    <n v="0.10630000000000001"/>
    <n v="3"/>
    <n v="1"/>
    <n v="1"/>
  </r>
  <r>
    <s v="LA-703551"/>
    <d v="2025-05-25T00:00:00"/>
    <x v="1"/>
    <s v="Q2"/>
    <x v="4"/>
    <x v="1"/>
    <x v="3"/>
    <x v="2"/>
    <x v="1"/>
    <x v="0"/>
    <n v="5950"/>
    <n v="24500"/>
    <n v="12"/>
    <n v="0.58299999999999996"/>
    <s v="Rejected"/>
    <x v="0"/>
    <n v="0"/>
    <n v="1"/>
    <n v="0"/>
    <m/>
    <n v="4"/>
    <n v="0"/>
    <n v="1"/>
  </r>
  <r>
    <s v="LA-703552"/>
    <d v="2025-05-25T00:00:00"/>
    <x v="1"/>
    <s v="Q2"/>
    <x v="4"/>
    <x v="3"/>
    <x v="2"/>
    <x v="1"/>
    <x v="1"/>
    <x v="0"/>
    <n v="4550"/>
    <n v="496000"/>
    <n v="240"/>
    <n v="0.77400000000000002"/>
    <s v="Rejected"/>
    <x v="0"/>
    <n v="0"/>
    <n v="1"/>
    <n v="0"/>
    <m/>
    <n v="9"/>
    <n v="1"/>
    <n v="1"/>
  </r>
  <r>
    <s v="LA-703553"/>
    <d v="2025-05-25T00:00:00"/>
    <x v="1"/>
    <s v="Q2"/>
    <x v="4"/>
    <x v="1"/>
    <x v="0"/>
    <x v="0"/>
    <x v="1"/>
    <x v="1"/>
    <n v="6350"/>
    <n v="10000"/>
    <n v="36"/>
    <n v="0.16600000000000001"/>
    <s v="Rejected"/>
    <x v="4"/>
    <n v="0"/>
    <n v="1"/>
    <n v="0"/>
    <m/>
    <n v="7"/>
    <n v="0"/>
    <n v="1"/>
  </r>
  <r>
    <s v="LA-703554"/>
    <d v="2025-05-25T00:00:00"/>
    <x v="1"/>
    <s v="Q2"/>
    <x v="4"/>
    <x v="0"/>
    <x v="1"/>
    <x v="3"/>
    <x v="0"/>
    <x v="1"/>
    <n v="5200"/>
    <n v="35000"/>
    <n v="48"/>
    <n v="0.249"/>
    <s v="Approved"/>
    <x v="1"/>
    <n v="1"/>
    <n v="0"/>
    <n v="35000"/>
    <n v="7.46E-2"/>
    <n v="3"/>
    <n v="1"/>
    <n v="1"/>
  </r>
  <r>
    <s v="LA-703555"/>
    <d v="2025-05-26T00:00:00"/>
    <x v="1"/>
    <s v="Q2"/>
    <x v="4"/>
    <x v="1"/>
    <x v="3"/>
    <x v="2"/>
    <x v="2"/>
    <x v="1"/>
    <n v="2300"/>
    <n v="37000"/>
    <n v="36"/>
    <n v="0.60599999999999998"/>
    <s v="Rejected"/>
    <x v="3"/>
    <n v="0"/>
    <n v="1"/>
    <n v="0"/>
    <m/>
    <n v="3"/>
    <n v="1"/>
    <n v="1"/>
  </r>
  <r>
    <s v="LA-703556"/>
    <d v="2025-05-26T00:00:00"/>
    <x v="1"/>
    <s v="Q2"/>
    <x v="4"/>
    <x v="0"/>
    <x v="1"/>
    <x v="2"/>
    <x v="0"/>
    <x v="0"/>
    <n v="3350"/>
    <n v="46000"/>
    <n v="36"/>
    <n v="0.65400000000000003"/>
    <s v="Rejected"/>
    <x v="0"/>
    <n v="0"/>
    <n v="1"/>
    <n v="0"/>
    <m/>
    <n v="2"/>
    <n v="1"/>
    <n v="1"/>
  </r>
  <r>
    <s v="LA-703557"/>
    <d v="2025-05-26T00:00:00"/>
    <x v="1"/>
    <s v="Q2"/>
    <x v="4"/>
    <x v="3"/>
    <x v="2"/>
    <x v="2"/>
    <x v="1"/>
    <x v="3"/>
    <n v="7400"/>
    <n v="471500"/>
    <n v="240"/>
    <n v="0.64900000000000002"/>
    <s v="Approved"/>
    <x v="1"/>
    <n v="1"/>
    <n v="0"/>
    <n v="377000"/>
    <n v="4.4999999999999998E-2"/>
    <n v="6"/>
    <n v="1"/>
    <n v="1"/>
  </r>
  <r>
    <s v="LA-703558"/>
    <d v="2025-05-26T00:00:00"/>
    <x v="1"/>
    <s v="Q2"/>
    <x v="4"/>
    <x v="1"/>
    <x v="3"/>
    <x v="3"/>
    <x v="0"/>
    <x v="2"/>
    <n v="7100"/>
    <n v="43500"/>
    <n v="48"/>
    <n v="0.217"/>
    <s v="Approved"/>
    <x v="1"/>
    <n v="1"/>
    <n v="0"/>
    <n v="35000"/>
    <n v="0.1578"/>
    <n v="8"/>
    <n v="0"/>
    <n v="1"/>
  </r>
  <r>
    <s v="LA-703559"/>
    <d v="2025-05-26T00:00:00"/>
    <x v="1"/>
    <s v="Q2"/>
    <x v="4"/>
    <x v="1"/>
    <x v="2"/>
    <x v="2"/>
    <x v="2"/>
    <x v="0"/>
    <n v="6550"/>
    <n v="27500"/>
    <n v="60"/>
    <n v="0.33500000000000002"/>
    <s v="Approved"/>
    <x v="1"/>
    <n v="1"/>
    <n v="0"/>
    <n v="25000"/>
    <n v="0.14319999999999999"/>
    <n v="1"/>
    <n v="1"/>
    <n v="1"/>
  </r>
  <r>
    <s v="LA-703560"/>
    <d v="2025-05-26T00:00:00"/>
    <x v="1"/>
    <s v="Q2"/>
    <x v="4"/>
    <x v="0"/>
    <x v="1"/>
    <x v="1"/>
    <x v="0"/>
    <x v="3"/>
    <n v="6650"/>
    <n v="25500"/>
    <n v="48"/>
    <n v="0.21299999999999999"/>
    <s v="Approved"/>
    <x v="1"/>
    <n v="1"/>
    <n v="0"/>
    <n v="25500"/>
    <n v="6.6699999999999995E-2"/>
    <n v="2"/>
    <n v="1"/>
    <n v="1"/>
  </r>
  <r>
    <s v="LA-703561"/>
    <d v="2025-05-26T00:00:00"/>
    <x v="1"/>
    <s v="Q2"/>
    <x v="4"/>
    <x v="1"/>
    <x v="2"/>
    <x v="3"/>
    <x v="1"/>
    <x v="0"/>
    <n v="6200"/>
    <n v="11500"/>
    <n v="48"/>
    <n v="0.19800000000000001"/>
    <s v="Rejected"/>
    <x v="0"/>
    <n v="0"/>
    <n v="1"/>
    <n v="0"/>
    <m/>
    <n v="3"/>
    <n v="1"/>
    <n v="1"/>
  </r>
  <r>
    <s v="LA-703562"/>
    <d v="2025-05-26T00:00:00"/>
    <x v="1"/>
    <s v="Q2"/>
    <x v="4"/>
    <x v="1"/>
    <x v="0"/>
    <x v="4"/>
    <x v="2"/>
    <x v="4"/>
    <n v="9550"/>
    <n v="10000"/>
    <n v="24"/>
    <n v="0.20399999999999999"/>
    <s v="Approved"/>
    <x v="1"/>
    <n v="1"/>
    <n v="0"/>
    <n v="10000"/>
    <n v="0.11509999999999999"/>
    <n v="2"/>
    <n v="1"/>
    <n v="1"/>
  </r>
  <r>
    <s v="LA-703563"/>
    <d v="2025-05-26T00:00:00"/>
    <x v="1"/>
    <s v="Q2"/>
    <x v="4"/>
    <x v="1"/>
    <x v="3"/>
    <x v="2"/>
    <x v="0"/>
    <x v="2"/>
    <n v="6800"/>
    <n v="16000"/>
    <n v="24"/>
    <n v="0.22"/>
    <s v="Rejected"/>
    <x v="0"/>
    <n v="0"/>
    <n v="1"/>
    <n v="0"/>
    <m/>
    <n v="7"/>
    <n v="0"/>
    <n v="1"/>
  </r>
  <r>
    <s v="LA-703564"/>
    <d v="2025-05-26T00:00:00"/>
    <x v="1"/>
    <s v="Q2"/>
    <x v="4"/>
    <x v="2"/>
    <x v="0"/>
    <x v="2"/>
    <x v="0"/>
    <x v="1"/>
    <n v="5750"/>
    <n v="99500"/>
    <n v="36"/>
    <n v="0.77400000000000002"/>
    <s v="Rejected"/>
    <x v="3"/>
    <n v="0"/>
    <n v="1"/>
    <n v="0"/>
    <m/>
    <n v="6"/>
    <n v="1"/>
    <n v="1"/>
  </r>
  <r>
    <s v="LA-703565"/>
    <d v="2025-05-27T00:00:00"/>
    <x v="1"/>
    <s v="Q2"/>
    <x v="4"/>
    <x v="0"/>
    <x v="1"/>
    <x v="0"/>
    <x v="0"/>
    <x v="0"/>
    <n v="2700"/>
    <n v="20000"/>
    <n v="60"/>
    <n v="0.20200000000000001"/>
    <s v="Rejected"/>
    <x v="0"/>
    <n v="0"/>
    <n v="1"/>
    <n v="0"/>
    <m/>
    <n v="1"/>
    <n v="1"/>
    <n v="1"/>
  </r>
  <r>
    <s v="LA-703566"/>
    <d v="2025-05-27T00:00:00"/>
    <x v="1"/>
    <s v="Q2"/>
    <x v="4"/>
    <x v="1"/>
    <x v="1"/>
    <x v="3"/>
    <x v="0"/>
    <x v="1"/>
    <n v="7300"/>
    <n v="12500"/>
    <n v="12"/>
    <n v="0.27800000000000002"/>
    <s v="Approved"/>
    <x v="1"/>
    <n v="1"/>
    <n v="0"/>
    <n v="12500"/>
    <n v="0.12670000000000001"/>
    <n v="2"/>
    <n v="1"/>
    <n v="1"/>
  </r>
  <r>
    <s v="LA-703567"/>
    <d v="2025-05-27T00:00:00"/>
    <x v="1"/>
    <s v="Q2"/>
    <x v="4"/>
    <x v="1"/>
    <x v="0"/>
    <x v="2"/>
    <x v="0"/>
    <x v="1"/>
    <n v="3900"/>
    <n v="11500"/>
    <n v="60"/>
    <n v="0.23"/>
    <s v="Rejected"/>
    <x v="4"/>
    <n v="0"/>
    <n v="1"/>
    <n v="0"/>
    <m/>
    <n v="9"/>
    <n v="0"/>
    <n v="1"/>
  </r>
  <r>
    <s v="LA-703568"/>
    <d v="2025-05-27T00:00:00"/>
    <x v="1"/>
    <s v="Q2"/>
    <x v="4"/>
    <x v="0"/>
    <x v="3"/>
    <x v="2"/>
    <x v="1"/>
    <x v="1"/>
    <n v="6950"/>
    <n v="14000"/>
    <n v="60"/>
    <n v="0.152"/>
    <s v="Approved"/>
    <x v="1"/>
    <n v="1"/>
    <n v="0"/>
    <n v="14000"/>
    <n v="8.1100000000000005E-2"/>
    <n v="9"/>
    <n v="0"/>
    <n v="1"/>
  </r>
  <r>
    <s v="LA-703569"/>
    <d v="2025-05-27T00:00:00"/>
    <x v="1"/>
    <s v="Q2"/>
    <x v="4"/>
    <x v="1"/>
    <x v="0"/>
    <x v="2"/>
    <x v="0"/>
    <x v="2"/>
    <n v="4950"/>
    <n v="15500"/>
    <n v="36"/>
    <n v="0.223"/>
    <s v="Rejected"/>
    <x v="0"/>
    <n v="0"/>
    <n v="1"/>
    <n v="0"/>
    <m/>
    <n v="4"/>
    <n v="0"/>
    <n v="1"/>
  </r>
  <r>
    <s v="LA-703570"/>
    <d v="2025-05-27T00:00:00"/>
    <x v="1"/>
    <s v="Q2"/>
    <x v="4"/>
    <x v="2"/>
    <x v="3"/>
    <x v="1"/>
    <x v="0"/>
    <x v="1"/>
    <n v="6050"/>
    <n v="158000"/>
    <n v="60"/>
    <n v="0.61499999999999999"/>
    <s v="Approved"/>
    <x v="1"/>
    <n v="1"/>
    <n v="0"/>
    <n v="158000"/>
    <n v="0.10780000000000001"/>
    <n v="14"/>
    <n v="0"/>
    <n v="1"/>
  </r>
  <r>
    <s v="LA-703571"/>
    <d v="2025-05-27T00:00:00"/>
    <x v="1"/>
    <s v="Q2"/>
    <x v="4"/>
    <x v="1"/>
    <x v="2"/>
    <x v="3"/>
    <x v="1"/>
    <x v="4"/>
    <n v="3150"/>
    <n v="7500"/>
    <n v="12"/>
    <n v="0.38900000000000001"/>
    <s v="Rejected"/>
    <x v="4"/>
    <n v="0"/>
    <n v="1"/>
    <n v="0"/>
    <m/>
    <n v="5"/>
    <n v="0"/>
    <n v="1"/>
  </r>
  <r>
    <s v="LA-703572"/>
    <d v="2025-05-27T00:00:00"/>
    <x v="1"/>
    <s v="Q2"/>
    <x v="4"/>
    <x v="0"/>
    <x v="0"/>
    <x v="3"/>
    <x v="1"/>
    <x v="0"/>
    <n v="3150"/>
    <n v="26000"/>
    <n v="48"/>
    <n v="0.27200000000000002"/>
    <s v="Approved"/>
    <x v="1"/>
    <n v="1"/>
    <n v="0"/>
    <n v="23500"/>
    <n v="9.64E-2"/>
    <n v="2"/>
    <n v="1"/>
    <n v="1"/>
  </r>
  <r>
    <s v="LA-703573"/>
    <d v="2025-05-27T00:00:00"/>
    <x v="1"/>
    <s v="Q2"/>
    <x v="4"/>
    <x v="0"/>
    <x v="2"/>
    <x v="1"/>
    <x v="1"/>
    <x v="4"/>
    <n v="6500"/>
    <n v="12000"/>
    <n v="48"/>
    <n v="0.14599999999999999"/>
    <s v="Rejected"/>
    <x v="5"/>
    <n v="0"/>
    <n v="1"/>
    <n v="0"/>
    <m/>
    <n v="2"/>
    <n v="1"/>
    <n v="1"/>
  </r>
  <r>
    <s v="LA-703574"/>
    <d v="2025-05-27T00:00:00"/>
    <x v="1"/>
    <s v="Q2"/>
    <x v="4"/>
    <x v="2"/>
    <x v="1"/>
    <x v="2"/>
    <x v="0"/>
    <x v="0"/>
    <n v="6750"/>
    <n v="81500"/>
    <n v="36"/>
    <n v="0.55800000000000005"/>
    <s v="Rejected"/>
    <x v="0"/>
    <n v="0"/>
    <n v="1"/>
    <n v="0"/>
    <m/>
    <n v="6"/>
    <n v="1"/>
    <n v="1"/>
  </r>
  <r>
    <s v="LA-703575"/>
    <d v="2025-05-27T00:00:00"/>
    <x v="1"/>
    <s v="Q2"/>
    <x v="4"/>
    <x v="1"/>
    <x v="1"/>
    <x v="0"/>
    <x v="1"/>
    <x v="1"/>
    <n v="5750"/>
    <n v="19500"/>
    <n v="24"/>
    <n v="0.38800000000000001"/>
    <s v="Approved"/>
    <x v="1"/>
    <n v="1"/>
    <n v="0"/>
    <n v="17500"/>
    <n v="0.1333"/>
    <n v="1"/>
    <n v="1"/>
    <n v="1"/>
  </r>
  <r>
    <s v="LA-703576"/>
    <d v="2025-05-27T00:00:00"/>
    <x v="1"/>
    <s v="Q2"/>
    <x v="4"/>
    <x v="1"/>
    <x v="1"/>
    <x v="2"/>
    <x v="0"/>
    <x v="1"/>
    <n v="10500"/>
    <n v="10500"/>
    <n v="48"/>
    <n v="0.27400000000000002"/>
    <s v="Rejected"/>
    <x v="5"/>
    <n v="0"/>
    <n v="1"/>
    <n v="0"/>
    <m/>
    <n v="2"/>
    <n v="1"/>
    <n v="1"/>
  </r>
  <r>
    <s v="LA-703577"/>
    <d v="2025-05-28T00:00:00"/>
    <x v="1"/>
    <s v="Q2"/>
    <x v="4"/>
    <x v="1"/>
    <x v="2"/>
    <x v="4"/>
    <x v="2"/>
    <x v="1"/>
    <n v="8000"/>
    <n v="22000"/>
    <n v="48"/>
    <n v="0.188"/>
    <s v="Approved"/>
    <x v="1"/>
    <n v="1"/>
    <n v="0"/>
    <n v="17500"/>
    <n v="0.1293"/>
    <n v="3"/>
    <n v="1"/>
    <n v="1"/>
  </r>
  <r>
    <s v="LA-703578"/>
    <d v="2025-05-28T00:00:00"/>
    <x v="1"/>
    <s v="Q2"/>
    <x v="4"/>
    <x v="1"/>
    <x v="1"/>
    <x v="3"/>
    <x v="2"/>
    <x v="0"/>
    <n v="4350"/>
    <n v="13000"/>
    <n v="36"/>
    <n v="0.32100000000000001"/>
    <s v="Approved"/>
    <x v="1"/>
    <n v="1"/>
    <n v="0"/>
    <n v="13000"/>
    <n v="0.1454"/>
    <n v="2"/>
    <n v="1"/>
    <n v="1"/>
  </r>
  <r>
    <s v="LA-703579"/>
    <d v="2025-05-28T00:00:00"/>
    <x v="1"/>
    <s v="Q2"/>
    <x v="4"/>
    <x v="1"/>
    <x v="2"/>
    <x v="2"/>
    <x v="2"/>
    <x v="1"/>
    <n v="3100"/>
    <n v="25500"/>
    <n v="60"/>
    <n v="0.33200000000000002"/>
    <s v="Approved"/>
    <x v="1"/>
    <n v="1"/>
    <n v="0"/>
    <n v="23000"/>
    <n v="0.13270000000000001"/>
    <n v="2"/>
    <n v="1"/>
    <n v="1"/>
  </r>
  <r>
    <s v="LA-703580"/>
    <d v="2025-05-28T00:00:00"/>
    <x v="1"/>
    <s v="Q2"/>
    <x v="4"/>
    <x v="0"/>
    <x v="1"/>
    <x v="0"/>
    <x v="2"/>
    <x v="4"/>
    <n v="9200"/>
    <n v="68500"/>
    <n v="60"/>
    <n v="0.21"/>
    <s v="Approved"/>
    <x v="1"/>
    <n v="1"/>
    <n v="0"/>
    <n v="61500"/>
    <n v="7.2900000000000006E-2"/>
    <n v="3"/>
    <n v="1"/>
    <n v="1"/>
  </r>
  <r>
    <s v="LA-703581"/>
    <d v="2025-05-28T00:00:00"/>
    <x v="1"/>
    <s v="Q2"/>
    <x v="4"/>
    <x v="3"/>
    <x v="1"/>
    <x v="2"/>
    <x v="0"/>
    <x v="4"/>
    <n v="7500"/>
    <n v="175500"/>
    <n v="300"/>
    <n v="0.33"/>
    <s v="Approved"/>
    <x v="1"/>
    <n v="1"/>
    <n v="0"/>
    <n v="140500"/>
    <n v="5.1299999999999998E-2"/>
    <n v="7"/>
    <n v="1"/>
    <n v="1"/>
  </r>
  <r>
    <s v="LA-703582"/>
    <d v="2025-05-28T00:00:00"/>
    <x v="1"/>
    <s v="Q2"/>
    <x v="4"/>
    <x v="1"/>
    <x v="1"/>
    <x v="3"/>
    <x v="1"/>
    <x v="0"/>
    <n v="6800"/>
    <n v="6500"/>
    <n v="36"/>
    <n v="0.188"/>
    <s v="Rejected"/>
    <x v="0"/>
    <n v="0"/>
    <n v="1"/>
    <n v="0"/>
    <m/>
    <n v="1"/>
    <n v="1"/>
    <n v="1"/>
  </r>
  <r>
    <s v="LA-703583"/>
    <d v="2025-05-28T00:00:00"/>
    <x v="1"/>
    <s v="Q2"/>
    <x v="4"/>
    <x v="1"/>
    <x v="0"/>
    <x v="3"/>
    <x v="0"/>
    <x v="1"/>
    <n v="3950"/>
    <n v="24000"/>
    <n v="12"/>
    <n v="0.65100000000000002"/>
    <s v="Approved"/>
    <x v="1"/>
    <n v="1"/>
    <n v="0"/>
    <n v="21500"/>
    <n v="0.12540000000000001"/>
    <n v="3"/>
    <n v="1"/>
    <n v="1"/>
  </r>
  <r>
    <s v="LA-703584"/>
    <d v="2025-05-28T00:00:00"/>
    <x v="1"/>
    <s v="Q2"/>
    <x v="4"/>
    <x v="1"/>
    <x v="3"/>
    <x v="2"/>
    <x v="1"/>
    <x v="3"/>
    <n v="3300"/>
    <n v="8000"/>
    <n v="36"/>
    <n v="0.28599999999999998"/>
    <s v="Rejected"/>
    <x v="2"/>
    <n v="0"/>
    <n v="1"/>
    <n v="0"/>
    <m/>
    <n v="3"/>
    <n v="1"/>
    <n v="1"/>
  </r>
  <r>
    <s v="LA-703585"/>
    <d v="2025-05-28T00:00:00"/>
    <x v="1"/>
    <s v="Q2"/>
    <x v="4"/>
    <x v="3"/>
    <x v="2"/>
    <x v="4"/>
    <x v="1"/>
    <x v="4"/>
    <n v="5450"/>
    <n v="314500"/>
    <n v="240"/>
    <n v="0.47099999999999997"/>
    <s v="Approved"/>
    <x v="1"/>
    <n v="1"/>
    <n v="0"/>
    <n v="314500"/>
    <n v="5.1900000000000002E-2"/>
    <n v="7"/>
    <n v="1"/>
    <n v="1"/>
  </r>
  <r>
    <s v="LA-703586"/>
    <d v="2025-05-29T00:00:00"/>
    <x v="1"/>
    <s v="Q2"/>
    <x v="4"/>
    <x v="2"/>
    <x v="1"/>
    <x v="3"/>
    <x v="0"/>
    <x v="4"/>
    <n v="8150"/>
    <n v="118000"/>
    <n v="36"/>
    <n v="0.60499999999999998"/>
    <s v="Approved"/>
    <x v="1"/>
    <n v="1"/>
    <n v="0"/>
    <n v="118000"/>
    <n v="0.10249999999999999"/>
    <n v="2"/>
    <n v="1"/>
    <n v="1"/>
  </r>
  <r>
    <s v="LA-703587"/>
    <d v="2025-05-29T00:00:00"/>
    <x v="1"/>
    <s v="Q2"/>
    <x v="4"/>
    <x v="1"/>
    <x v="1"/>
    <x v="1"/>
    <x v="0"/>
    <x v="4"/>
    <n v="3550"/>
    <n v="17500"/>
    <n v="60"/>
    <n v="0.24"/>
    <s v="Approved"/>
    <x v="1"/>
    <n v="1"/>
    <n v="0"/>
    <n v="14000"/>
    <n v="0.1163"/>
    <n v="1"/>
    <n v="1"/>
    <n v="1"/>
  </r>
  <r>
    <s v="LA-703588"/>
    <d v="2025-05-29T00:00:00"/>
    <x v="1"/>
    <s v="Q2"/>
    <x v="4"/>
    <x v="0"/>
    <x v="1"/>
    <x v="1"/>
    <x v="1"/>
    <x v="0"/>
    <n v="4150"/>
    <n v="30500"/>
    <n v="60"/>
    <n v="0.28000000000000003"/>
    <s v="Rejected"/>
    <x v="0"/>
    <n v="0"/>
    <n v="1"/>
    <n v="0"/>
    <m/>
    <n v="1"/>
    <n v="1"/>
    <n v="1"/>
  </r>
  <r>
    <s v="LA-703589"/>
    <d v="2025-05-29T00:00:00"/>
    <x v="1"/>
    <s v="Q2"/>
    <x v="4"/>
    <x v="0"/>
    <x v="1"/>
    <x v="3"/>
    <x v="0"/>
    <x v="4"/>
    <n v="3750"/>
    <n v="22500"/>
    <n v="36"/>
    <n v="0.432"/>
    <s v="Approved"/>
    <x v="1"/>
    <n v="1"/>
    <n v="0"/>
    <n v="18000"/>
    <n v="7.1999999999999995E-2"/>
    <n v="2"/>
    <n v="1"/>
    <n v="1"/>
  </r>
  <r>
    <s v="LA-703590"/>
    <d v="2025-05-29T00:00:00"/>
    <x v="1"/>
    <s v="Q2"/>
    <x v="4"/>
    <x v="1"/>
    <x v="0"/>
    <x v="4"/>
    <x v="0"/>
    <x v="4"/>
    <n v="6650"/>
    <n v="29000"/>
    <n v="36"/>
    <n v="0.33100000000000002"/>
    <s v="Approved"/>
    <x v="1"/>
    <n v="1"/>
    <n v="0"/>
    <n v="26000"/>
    <n v="0.1118"/>
    <n v="4"/>
    <n v="0"/>
    <n v="1"/>
  </r>
  <r>
    <s v="LA-703591"/>
    <d v="2025-05-29T00:00:00"/>
    <x v="1"/>
    <s v="Q2"/>
    <x v="4"/>
    <x v="1"/>
    <x v="1"/>
    <x v="1"/>
    <x v="0"/>
    <x v="0"/>
    <n v="6950"/>
    <n v="10000"/>
    <n v="12"/>
    <n v="0.36699999999999999"/>
    <s v="Approved"/>
    <x v="1"/>
    <n v="1"/>
    <n v="0"/>
    <n v="10000"/>
    <n v="0.13869999999999999"/>
    <n v="1"/>
    <n v="1"/>
    <n v="1"/>
  </r>
  <r>
    <s v="LA-703592"/>
    <d v="2025-05-29T00:00:00"/>
    <x v="1"/>
    <s v="Q2"/>
    <x v="4"/>
    <x v="3"/>
    <x v="1"/>
    <x v="1"/>
    <x v="0"/>
    <x v="4"/>
    <n v="2700"/>
    <n v="175000"/>
    <n v="240"/>
    <n v="0.59299999999999997"/>
    <s v="Approved"/>
    <x v="1"/>
    <n v="1"/>
    <n v="0"/>
    <n v="175000"/>
    <n v="5.1999999999999998E-2"/>
    <n v="4"/>
    <n v="1"/>
    <n v="1"/>
  </r>
  <r>
    <s v="LA-703593"/>
    <d v="2025-05-29T00:00:00"/>
    <x v="1"/>
    <s v="Q2"/>
    <x v="4"/>
    <x v="2"/>
    <x v="2"/>
    <x v="3"/>
    <x v="0"/>
    <x v="4"/>
    <n v="5500"/>
    <n v="146500"/>
    <n v="12"/>
    <n v="2.4929999999999999"/>
    <s v="Rejected"/>
    <x v="3"/>
    <n v="0"/>
    <n v="1"/>
    <n v="0"/>
    <m/>
    <n v="8"/>
    <n v="1"/>
    <n v="1"/>
  </r>
  <r>
    <s v="LA-703594"/>
    <d v="2025-05-29T00:00:00"/>
    <x v="1"/>
    <s v="Q2"/>
    <x v="4"/>
    <x v="2"/>
    <x v="2"/>
    <x v="2"/>
    <x v="1"/>
    <x v="1"/>
    <n v="4900"/>
    <n v="131500"/>
    <n v="12"/>
    <n v="2.5760000000000001"/>
    <s v="Rejected"/>
    <x v="3"/>
    <n v="0"/>
    <n v="1"/>
    <n v="0"/>
    <m/>
    <n v="5"/>
    <n v="1"/>
    <n v="1"/>
  </r>
  <r>
    <s v="LA-703595"/>
    <d v="2025-05-29T00:00:00"/>
    <x v="1"/>
    <s v="Q2"/>
    <x v="4"/>
    <x v="0"/>
    <x v="3"/>
    <x v="1"/>
    <x v="0"/>
    <x v="0"/>
    <n v="4150"/>
    <n v="15000"/>
    <n v="48"/>
    <n v="0.29499999999999998"/>
    <s v="Rejected"/>
    <x v="0"/>
    <n v="0"/>
    <n v="1"/>
    <n v="0"/>
    <m/>
    <n v="6"/>
    <n v="0"/>
    <n v="1"/>
  </r>
  <r>
    <s v="LA-703596"/>
    <d v="2025-05-29T00:00:00"/>
    <x v="1"/>
    <s v="Q2"/>
    <x v="4"/>
    <x v="0"/>
    <x v="1"/>
    <x v="3"/>
    <x v="2"/>
    <x v="4"/>
    <n v="8400"/>
    <n v="14000"/>
    <n v="48"/>
    <n v="0.27"/>
    <s v="Approved"/>
    <x v="1"/>
    <n v="1"/>
    <n v="0"/>
    <n v="14000"/>
    <n v="6.8400000000000002E-2"/>
    <n v="2"/>
    <n v="1"/>
    <n v="1"/>
  </r>
  <r>
    <s v="LA-703597"/>
    <d v="2025-05-29T00:00:00"/>
    <x v="1"/>
    <s v="Q2"/>
    <x v="4"/>
    <x v="1"/>
    <x v="3"/>
    <x v="0"/>
    <x v="0"/>
    <x v="1"/>
    <n v="6100"/>
    <n v="10500"/>
    <n v="36"/>
    <n v="0.25700000000000001"/>
    <s v="Approved"/>
    <x v="1"/>
    <n v="1"/>
    <n v="0"/>
    <n v="9500"/>
    <n v="0.12759999999999999"/>
    <n v="9"/>
    <n v="0"/>
    <n v="1"/>
  </r>
  <r>
    <s v="LA-703598"/>
    <d v="2025-05-29T00:00:00"/>
    <x v="1"/>
    <s v="Q2"/>
    <x v="4"/>
    <x v="1"/>
    <x v="2"/>
    <x v="0"/>
    <x v="0"/>
    <x v="3"/>
    <n v="11800"/>
    <n v="6500"/>
    <n v="24"/>
    <n v="0.124"/>
    <s v="Approved"/>
    <x v="1"/>
    <n v="1"/>
    <n v="0"/>
    <n v="6500"/>
    <n v="0.11020000000000001"/>
    <n v="2"/>
    <n v="1"/>
    <n v="1"/>
  </r>
  <r>
    <s v="LA-703599"/>
    <d v="2025-05-29T00:00:00"/>
    <x v="1"/>
    <s v="Q2"/>
    <x v="4"/>
    <x v="0"/>
    <x v="1"/>
    <x v="3"/>
    <x v="1"/>
    <x v="1"/>
    <n v="4100"/>
    <n v="24500"/>
    <n v="36"/>
    <n v="0.41099999999999998"/>
    <s v="Approved"/>
    <x v="1"/>
    <n v="1"/>
    <n v="0"/>
    <n v="22000"/>
    <n v="8.2500000000000004E-2"/>
    <n v="1"/>
    <n v="1"/>
    <n v="1"/>
  </r>
  <r>
    <s v="LA-703600"/>
    <d v="2025-05-29T00:00:00"/>
    <x v="1"/>
    <s v="Q2"/>
    <x v="4"/>
    <x v="0"/>
    <x v="3"/>
    <x v="4"/>
    <x v="1"/>
    <x v="0"/>
    <n v="6100"/>
    <n v="26500"/>
    <n v="48"/>
    <n v="0.253"/>
    <s v="Approved"/>
    <x v="1"/>
    <n v="1"/>
    <n v="0"/>
    <n v="26500"/>
    <n v="9.9400000000000002E-2"/>
    <n v="6"/>
    <n v="0"/>
    <n v="1"/>
  </r>
  <r>
    <s v="LA-703601"/>
    <d v="2025-05-30T00:00:00"/>
    <x v="1"/>
    <s v="Q2"/>
    <x v="4"/>
    <x v="1"/>
    <x v="3"/>
    <x v="2"/>
    <x v="0"/>
    <x v="3"/>
    <n v="8700"/>
    <n v="13500"/>
    <n v="12"/>
    <n v="0.32500000000000001"/>
    <s v="Rejected"/>
    <x v="0"/>
    <n v="0"/>
    <n v="1"/>
    <n v="0"/>
    <m/>
    <n v="3"/>
    <n v="1"/>
    <n v="1"/>
  </r>
  <r>
    <s v="LA-703602"/>
    <d v="2025-05-30T00:00:00"/>
    <x v="1"/>
    <s v="Q2"/>
    <x v="4"/>
    <x v="0"/>
    <x v="3"/>
    <x v="4"/>
    <x v="2"/>
    <x v="1"/>
    <n v="3850"/>
    <n v="46000"/>
    <n v="60"/>
    <n v="0.32400000000000001"/>
    <s v="Approved"/>
    <x v="1"/>
    <n v="1"/>
    <n v="0"/>
    <n v="46000"/>
    <n v="8.1299999999999997E-2"/>
    <n v="6"/>
    <n v="0"/>
    <n v="1"/>
  </r>
  <r>
    <s v="LA-703603"/>
    <d v="2025-05-30T00:00:00"/>
    <x v="1"/>
    <s v="Q2"/>
    <x v="4"/>
    <x v="1"/>
    <x v="2"/>
    <x v="1"/>
    <x v="0"/>
    <x v="2"/>
    <n v="6650"/>
    <n v="8000"/>
    <n v="60"/>
    <n v="0.23899999999999999"/>
    <s v="Approved"/>
    <x v="1"/>
    <n v="1"/>
    <n v="0"/>
    <n v="7000"/>
    <n v="0.15920000000000001"/>
    <n v="1"/>
    <n v="1"/>
    <n v="1"/>
  </r>
  <r>
    <s v="LA-703604"/>
    <d v="2025-05-30T00:00:00"/>
    <x v="1"/>
    <s v="Q2"/>
    <x v="4"/>
    <x v="1"/>
    <x v="1"/>
    <x v="1"/>
    <x v="0"/>
    <x v="0"/>
    <n v="7150"/>
    <n v="19500"/>
    <n v="60"/>
    <n v="0.25900000000000001"/>
    <s v="Approved"/>
    <x v="1"/>
    <n v="1"/>
    <n v="0"/>
    <n v="19500"/>
    <n v="0.14030000000000001"/>
    <n v="2"/>
    <n v="1"/>
    <n v="1"/>
  </r>
  <r>
    <s v="LA-703605"/>
    <d v="2025-05-30T00:00:00"/>
    <x v="1"/>
    <s v="Q2"/>
    <x v="4"/>
    <x v="1"/>
    <x v="3"/>
    <x v="1"/>
    <x v="0"/>
    <x v="2"/>
    <n v="10150"/>
    <n v="18000"/>
    <n v="12"/>
    <n v="0.246"/>
    <s v="Rejected"/>
    <x v="0"/>
    <n v="0"/>
    <n v="1"/>
    <n v="0"/>
    <m/>
    <n v="5"/>
    <n v="0"/>
    <n v="1"/>
  </r>
  <r>
    <s v="LA-703606"/>
    <d v="2025-05-30T00:00:00"/>
    <x v="1"/>
    <s v="Q2"/>
    <x v="4"/>
    <x v="1"/>
    <x v="3"/>
    <x v="2"/>
    <x v="0"/>
    <x v="4"/>
    <n v="5400"/>
    <n v="18500"/>
    <n v="24"/>
    <n v="0.35799999999999998"/>
    <s v="Approved"/>
    <x v="1"/>
    <n v="1"/>
    <n v="0"/>
    <n v="18500"/>
    <n v="0.11899999999999999"/>
    <n v="3"/>
    <n v="1"/>
    <n v="1"/>
  </r>
  <r>
    <s v="LA-703607"/>
    <d v="2025-05-30T00:00:00"/>
    <x v="1"/>
    <s v="Q2"/>
    <x v="4"/>
    <x v="1"/>
    <x v="0"/>
    <x v="1"/>
    <x v="0"/>
    <x v="3"/>
    <n v="3300"/>
    <n v="15000"/>
    <n v="24"/>
    <n v="0.371"/>
    <s v="Rejected"/>
    <x v="4"/>
    <n v="0"/>
    <n v="1"/>
    <n v="0"/>
    <m/>
    <n v="6"/>
    <n v="0"/>
    <n v="1"/>
  </r>
  <r>
    <s v="LA-703608"/>
    <d v="2025-05-30T00:00:00"/>
    <x v="1"/>
    <s v="Q2"/>
    <x v="4"/>
    <x v="1"/>
    <x v="1"/>
    <x v="0"/>
    <x v="0"/>
    <x v="1"/>
    <n v="8300"/>
    <n v="12500"/>
    <n v="60"/>
    <n v="0.249"/>
    <s v="Approved"/>
    <x v="1"/>
    <n v="1"/>
    <n v="0"/>
    <n v="12500"/>
    <n v="0.12609999999999999"/>
    <n v="1"/>
    <n v="1"/>
    <n v="1"/>
  </r>
  <r>
    <s v="LA-703609"/>
    <d v="2025-05-30T00:00:00"/>
    <x v="1"/>
    <s v="Q2"/>
    <x v="4"/>
    <x v="1"/>
    <x v="3"/>
    <x v="1"/>
    <x v="1"/>
    <x v="1"/>
    <n v="4000"/>
    <n v="9500"/>
    <n v="24"/>
    <n v="0.17499999999999999"/>
    <s v="Rejected"/>
    <x v="5"/>
    <n v="0"/>
    <n v="1"/>
    <n v="0"/>
    <m/>
    <n v="3"/>
    <n v="1"/>
    <n v="1"/>
  </r>
  <r>
    <s v="LA-703610"/>
    <d v="2025-05-30T00:00:00"/>
    <x v="1"/>
    <s v="Q2"/>
    <x v="4"/>
    <x v="0"/>
    <x v="2"/>
    <x v="2"/>
    <x v="1"/>
    <x v="0"/>
    <n v="6950"/>
    <n v="17000"/>
    <n v="60"/>
    <n v="0.159"/>
    <s v="Approved"/>
    <x v="1"/>
    <n v="1"/>
    <n v="0"/>
    <n v="15500"/>
    <n v="9.4E-2"/>
    <n v="1"/>
    <n v="1"/>
    <n v="1"/>
  </r>
  <r>
    <s v="LA-703611"/>
    <d v="2025-05-31T00:00:00"/>
    <x v="1"/>
    <s v="Q2"/>
    <x v="4"/>
    <x v="3"/>
    <x v="3"/>
    <x v="1"/>
    <x v="0"/>
    <x v="2"/>
    <n v="6950"/>
    <n v="195500"/>
    <n v="300"/>
    <n v="0.28000000000000003"/>
    <s v="Rejected"/>
    <x v="0"/>
    <n v="0"/>
    <n v="1"/>
    <n v="0"/>
    <m/>
    <n v="13"/>
    <n v="1"/>
    <n v="1"/>
  </r>
  <r>
    <s v="LA-703612"/>
    <d v="2025-05-31T00:00:00"/>
    <x v="1"/>
    <s v="Q2"/>
    <x v="4"/>
    <x v="1"/>
    <x v="0"/>
    <x v="2"/>
    <x v="2"/>
    <x v="0"/>
    <n v="5150"/>
    <n v="18500"/>
    <n v="24"/>
    <n v="0.251"/>
    <s v="Rejected"/>
    <x v="0"/>
    <n v="0"/>
    <n v="1"/>
    <n v="0"/>
    <m/>
    <n v="2"/>
    <n v="1"/>
    <n v="1"/>
  </r>
  <r>
    <s v="LA-703613"/>
    <d v="2025-05-31T00:00:00"/>
    <x v="1"/>
    <s v="Q2"/>
    <x v="4"/>
    <x v="1"/>
    <x v="0"/>
    <x v="2"/>
    <x v="1"/>
    <x v="4"/>
    <n v="8600"/>
    <n v="10000"/>
    <n v="60"/>
    <n v="0.14399999999999999"/>
    <s v="Approved"/>
    <x v="1"/>
    <n v="1"/>
    <n v="0"/>
    <n v="10000"/>
    <n v="0.1158"/>
    <n v="3"/>
    <n v="1"/>
    <n v="1"/>
  </r>
  <r>
    <s v="LA-703614"/>
    <d v="2025-06-02T00:00:00"/>
    <x v="1"/>
    <s v="Q2"/>
    <x v="5"/>
    <x v="1"/>
    <x v="1"/>
    <x v="2"/>
    <x v="0"/>
    <x v="4"/>
    <n v="2950"/>
    <n v="21000"/>
    <n v="12"/>
    <n v="0.71799999999999997"/>
    <s v="Rejected"/>
    <x v="3"/>
    <n v="0"/>
    <n v="1"/>
    <n v="0"/>
    <m/>
    <n v="2"/>
    <n v="1"/>
    <n v="1"/>
  </r>
  <r>
    <s v="LA-703615"/>
    <d v="2025-06-02T00:00:00"/>
    <x v="1"/>
    <s v="Q2"/>
    <x v="5"/>
    <x v="1"/>
    <x v="3"/>
    <x v="3"/>
    <x v="1"/>
    <x v="0"/>
    <n v="4600"/>
    <n v="22500"/>
    <n v="48"/>
    <n v="0.312"/>
    <s v="Rejected"/>
    <x v="0"/>
    <n v="0"/>
    <n v="1"/>
    <n v="0"/>
    <m/>
    <n v="5"/>
    <n v="0"/>
    <n v="1"/>
  </r>
  <r>
    <s v="LA-703616"/>
    <d v="2025-06-02T00:00:00"/>
    <x v="1"/>
    <s v="Q2"/>
    <x v="5"/>
    <x v="2"/>
    <x v="3"/>
    <x v="2"/>
    <x v="2"/>
    <x v="3"/>
    <n v="7250"/>
    <n v="171000"/>
    <n v="12"/>
    <n v="2.1579999999999999"/>
    <s v="Rejected"/>
    <x v="3"/>
    <n v="0"/>
    <n v="1"/>
    <n v="0"/>
    <m/>
    <n v="9"/>
    <n v="1"/>
    <n v="1"/>
  </r>
  <r>
    <s v="LA-703617"/>
    <d v="2025-06-02T00:00:00"/>
    <x v="1"/>
    <s v="Q2"/>
    <x v="5"/>
    <x v="0"/>
    <x v="3"/>
    <x v="1"/>
    <x v="1"/>
    <x v="0"/>
    <n v="5300"/>
    <n v="40000"/>
    <n v="60"/>
    <n v="0.318"/>
    <s v="Rejected"/>
    <x v="0"/>
    <n v="0"/>
    <n v="1"/>
    <n v="0"/>
    <m/>
    <n v="6"/>
    <n v="0"/>
    <n v="1"/>
  </r>
  <r>
    <s v="LA-703618"/>
    <d v="2025-06-02T00:00:00"/>
    <x v="1"/>
    <s v="Q2"/>
    <x v="5"/>
    <x v="1"/>
    <x v="3"/>
    <x v="3"/>
    <x v="0"/>
    <x v="1"/>
    <n v="4050"/>
    <n v="10000"/>
    <n v="12"/>
    <n v="0.33500000000000002"/>
    <s v="Approved"/>
    <x v="1"/>
    <n v="1"/>
    <n v="0"/>
    <n v="10000"/>
    <n v="0.12920000000000001"/>
    <n v="4"/>
    <n v="0"/>
    <n v="1"/>
  </r>
  <r>
    <s v="LA-703619"/>
    <d v="2025-06-02T00:00:00"/>
    <x v="1"/>
    <s v="Q2"/>
    <x v="5"/>
    <x v="2"/>
    <x v="2"/>
    <x v="1"/>
    <x v="2"/>
    <x v="4"/>
    <n v="3200"/>
    <n v="44000"/>
    <n v="24"/>
    <n v="0.83099999999999996"/>
    <s v="Approved"/>
    <x v="1"/>
    <n v="1"/>
    <n v="0"/>
    <n v="44000"/>
    <n v="9.6799999999999997E-2"/>
    <n v="3"/>
    <n v="1"/>
    <n v="1"/>
  </r>
  <r>
    <s v="LA-703620"/>
    <d v="2025-06-03T00:00:00"/>
    <x v="1"/>
    <s v="Q2"/>
    <x v="5"/>
    <x v="0"/>
    <x v="0"/>
    <x v="2"/>
    <x v="0"/>
    <x v="3"/>
    <n v="5500"/>
    <n v="13500"/>
    <n v="48"/>
    <n v="0.151"/>
    <s v="Approved"/>
    <x v="1"/>
    <n v="1"/>
    <n v="0"/>
    <n v="11000"/>
    <n v="6.5699999999999995E-2"/>
    <n v="3"/>
    <n v="1"/>
    <n v="1"/>
  </r>
  <r>
    <s v="LA-703621"/>
    <d v="2025-06-03T00:00:00"/>
    <x v="1"/>
    <s v="Q2"/>
    <x v="5"/>
    <x v="1"/>
    <x v="1"/>
    <x v="3"/>
    <x v="0"/>
    <x v="1"/>
    <n v="3900"/>
    <n v="10000"/>
    <n v="24"/>
    <n v="0.32100000000000001"/>
    <s v="Approved"/>
    <x v="1"/>
    <n v="1"/>
    <n v="0"/>
    <n v="10000"/>
    <n v="0.1293"/>
    <n v="1"/>
    <n v="1"/>
    <n v="1"/>
  </r>
  <r>
    <s v="LA-703622"/>
    <d v="2025-06-03T00:00:00"/>
    <x v="1"/>
    <s v="Q2"/>
    <x v="5"/>
    <x v="1"/>
    <x v="2"/>
    <x v="3"/>
    <x v="2"/>
    <x v="3"/>
    <n v="5300"/>
    <n v="7000"/>
    <n v="36"/>
    <n v="0.214"/>
    <s v="Approved"/>
    <x v="1"/>
    <n v="1"/>
    <n v="0"/>
    <n v="6500"/>
    <n v="0.1094"/>
    <n v="2"/>
    <n v="1"/>
    <n v="1"/>
  </r>
  <r>
    <s v="LA-703623"/>
    <d v="2025-06-03T00:00:00"/>
    <x v="1"/>
    <s v="Q2"/>
    <x v="5"/>
    <x v="0"/>
    <x v="3"/>
    <x v="2"/>
    <x v="1"/>
    <x v="4"/>
    <n v="3600"/>
    <n v="21000"/>
    <n v="48"/>
    <n v="0.26100000000000001"/>
    <s v="Approved"/>
    <x v="1"/>
    <n v="1"/>
    <n v="0"/>
    <n v="21000"/>
    <n v="7.1400000000000005E-2"/>
    <n v="7"/>
    <n v="0"/>
    <n v="1"/>
  </r>
  <r>
    <s v="LA-703624"/>
    <d v="2025-06-03T00:00:00"/>
    <x v="1"/>
    <s v="Q2"/>
    <x v="5"/>
    <x v="0"/>
    <x v="1"/>
    <x v="4"/>
    <x v="2"/>
    <x v="0"/>
    <n v="4000"/>
    <n v="36000"/>
    <n v="36"/>
    <n v="0.44500000000000001"/>
    <s v="Rejected"/>
    <x v="0"/>
    <n v="0"/>
    <n v="1"/>
    <n v="0"/>
    <m/>
    <n v="1"/>
    <n v="1"/>
    <n v="1"/>
  </r>
  <r>
    <s v="LA-703625"/>
    <d v="2025-06-03T00:00:00"/>
    <x v="1"/>
    <s v="Q2"/>
    <x v="5"/>
    <x v="3"/>
    <x v="3"/>
    <x v="2"/>
    <x v="0"/>
    <x v="1"/>
    <n v="6200"/>
    <n v="285000"/>
    <n v="180"/>
    <n v="0.50700000000000001"/>
    <s v="Approved"/>
    <x v="1"/>
    <n v="1"/>
    <n v="0"/>
    <n v="285000"/>
    <n v="5.8200000000000002E-2"/>
    <n v="23"/>
    <n v="0"/>
    <n v="1"/>
  </r>
  <r>
    <s v="LA-703626"/>
    <d v="2025-06-04T00:00:00"/>
    <x v="1"/>
    <s v="Q2"/>
    <x v="5"/>
    <x v="2"/>
    <x v="3"/>
    <x v="1"/>
    <x v="2"/>
    <x v="3"/>
    <n v="3950"/>
    <n v="42000"/>
    <n v="36"/>
    <n v="0.55500000000000005"/>
    <s v="Rejected"/>
    <x v="3"/>
    <n v="0"/>
    <n v="1"/>
    <n v="0"/>
    <m/>
    <n v="15"/>
    <n v="0"/>
    <n v="1"/>
  </r>
  <r>
    <s v="LA-703627"/>
    <d v="2025-06-04T00:00:00"/>
    <x v="1"/>
    <s v="Q2"/>
    <x v="5"/>
    <x v="1"/>
    <x v="3"/>
    <x v="3"/>
    <x v="2"/>
    <x v="4"/>
    <n v="18350"/>
    <n v="16000"/>
    <n v="24"/>
    <n v="0.2"/>
    <s v="Approved"/>
    <x v="1"/>
    <n v="1"/>
    <n v="0"/>
    <n v="16000"/>
    <n v="0.1113"/>
    <n v="4"/>
    <n v="0"/>
    <n v="1"/>
  </r>
  <r>
    <s v="LA-703628"/>
    <d v="2025-06-04T00:00:00"/>
    <x v="1"/>
    <s v="Q2"/>
    <x v="5"/>
    <x v="3"/>
    <x v="3"/>
    <x v="2"/>
    <x v="1"/>
    <x v="0"/>
    <n v="6300"/>
    <n v="235000"/>
    <n v="240"/>
    <n v="0.42399999999999999"/>
    <s v="Approved"/>
    <x v="1"/>
    <n v="1"/>
    <n v="0"/>
    <n v="235000"/>
    <n v="7.7100000000000002E-2"/>
    <n v="13"/>
    <n v="1"/>
    <n v="1"/>
  </r>
  <r>
    <s v="LA-703629"/>
    <d v="2025-06-04T00:00:00"/>
    <x v="1"/>
    <s v="Q2"/>
    <x v="5"/>
    <x v="0"/>
    <x v="2"/>
    <x v="1"/>
    <x v="1"/>
    <x v="0"/>
    <n v="3600"/>
    <n v="29000"/>
    <n v="36"/>
    <n v="0.34300000000000003"/>
    <s v="Approved"/>
    <x v="1"/>
    <n v="1"/>
    <n v="0"/>
    <n v="26000"/>
    <n v="0.10199999999999999"/>
    <n v="2"/>
    <n v="1"/>
    <n v="1"/>
  </r>
  <r>
    <s v="LA-703630"/>
    <d v="2025-06-04T00:00:00"/>
    <x v="1"/>
    <s v="Q2"/>
    <x v="5"/>
    <x v="3"/>
    <x v="3"/>
    <x v="2"/>
    <x v="1"/>
    <x v="3"/>
    <n v="4200"/>
    <n v="197500"/>
    <n v="300"/>
    <n v="0.47399999999999998"/>
    <s v="Rejected"/>
    <x v="3"/>
    <n v="0"/>
    <n v="1"/>
    <n v="0"/>
    <m/>
    <n v="22"/>
    <n v="0"/>
    <n v="1"/>
  </r>
  <r>
    <s v="LA-703631"/>
    <d v="2025-06-04T00:00:00"/>
    <x v="1"/>
    <s v="Q2"/>
    <x v="5"/>
    <x v="1"/>
    <x v="1"/>
    <x v="3"/>
    <x v="0"/>
    <x v="4"/>
    <n v="4800"/>
    <n v="8000"/>
    <n v="24"/>
    <n v="0.30299999999999999"/>
    <s v="Rejected"/>
    <x v="4"/>
    <n v="0"/>
    <n v="1"/>
    <n v="0"/>
    <m/>
    <n v="7"/>
    <n v="0"/>
    <n v="1"/>
  </r>
  <r>
    <s v="LA-703632"/>
    <d v="2025-06-04T00:00:00"/>
    <x v="1"/>
    <s v="Q2"/>
    <x v="5"/>
    <x v="0"/>
    <x v="3"/>
    <x v="3"/>
    <x v="2"/>
    <x v="4"/>
    <n v="3350"/>
    <n v="46500"/>
    <n v="48"/>
    <n v="0.40500000000000003"/>
    <s v="Approved"/>
    <x v="1"/>
    <n v="1"/>
    <n v="0"/>
    <n v="37000"/>
    <n v="6.8599999999999994E-2"/>
    <n v="4"/>
    <n v="1"/>
    <n v="1"/>
  </r>
  <r>
    <s v="LA-703633"/>
    <d v="2025-06-04T00:00:00"/>
    <x v="1"/>
    <s v="Q2"/>
    <x v="5"/>
    <x v="2"/>
    <x v="1"/>
    <x v="2"/>
    <x v="0"/>
    <x v="3"/>
    <n v="3250"/>
    <n v="109500"/>
    <n v="60"/>
    <n v="0.81499999999999995"/>
    <s v="Approved"/>
    <x v="1"/>
    <n v="1"/>
    <n v="0"/>
    <n v="98500"/>
    <n v="9.0800000000000006E-2"/>
    <n v="4"/>
    <n v="1"/>
    <n v="1"/>
  </r>
  <r>
    <s v="LA-703634"/>
    <d v="2025-06-04T00:00:00"/>
    <x v="1"/>
    <s v="Q2"/>
    <x v="5"/>
    <x v="1"/>
    <x v="2"/>
    <x v="1"/>
    <x v="0"/>
    <x v="0"/>
    <n v="10500"/>
    <n v="12000"/>
    <n v="36"/>
    <n v="0.11700000000000001"/>
    <s v="Rejected"/>
    <x v="5"/>
    <n v="0"/>
    <n v="1"/>
    <n v="0"/>
    <m/>
    <n v="2"/>
    <n v="1"/>
    <n v="1"/>
  </r>
  <r>
    <s v="LA-703635"/>
    <d v="2025-06-04T00:00:00"/>
    <x v="1"/>
    <s v="Q2"/>
    <x v="5"/>
    <x v="1"/>
    <x v="3"/>
    <x v="3"/>
    <x v="1"/>
    <x v="4"/>
    <n v="4150"/>
    <n v="13000"/>
    <n v="12"/>
    <n v="0.44600000000000001"/>
    <s v="Approved"/>
    <x v="1"/>
    <n v="1"/>
    <n v="0"/>
    <n v="13000"/>
    <n v="0.1113"/>
    <n v="2"/>
    <n v="1"/>
    <n v="1"/>
  </r>
  <r>
    <s v="LA-703636"/>
    <d v="2025-06-05T00:00:00"/>
    <x v="1"/>
    <s v="Q2"/>
    <x v="5"/>
    <x v="1"/>
    <x v="1"/>
    <x v="2"/>
    <x v="1"/>
    <x v="4"/>
    <n v="9650"/>
    <n v="14000"/>
    <n v="48"/>
    <n v="0.27900000000000003"/>
    <s v="Approved"/>
    <x v="1"/>
    <n v="1"/>
    <n v="0"/>
    <n v="14000"/>
    <n v="0.11650000000000001"/>
    <n v="1"/>
    <n v="1"/>
    <n v="1"/>
  </r>
  <r>
    <s v="LA-703637"/>
    <d v="2025-06-05T00:00:00"/>
    <x v="1"/>
    <s v="Q2"/>
    <x v="5"/>
    <x v="3"/>
    <x v="2"/>
    <x v="2"/>
    <x v="2"/>
    <x v="4"/>
    <n v="8250"/>
    <n v="327000"/>
    <n v="180"/>
    <n v="0.53900000000000003"/>
    <s v="Approved"/>
    <x v="1"/>
    <n v="1"/>
    <n v="0"/>
    <n v="327000"/>
    <n v="5.2200000000000003E-2"/>
    <n v="6"/>
    <n v="1"/>
    <n v="1"/>
  </r>
  <r>
    <s v="LA-703638"/>
    <d v="2025-06-05T00:00:00"/>
    <x v="1"/>
    <s v="Q2"/>
    <x v="5"/>
    <x v="0"/>
    <x v="1"/>
    <x v="2"/>
    <x v="0"/>
    <x v="3"/>
    <n v="4300"/>
    <n v="32500"/>
    <n v="48"/>
    <n v="0.23699999999999999"/>
    <s v="Approved"/>
    <x v="1"/>
    <n v="1"/>
    <n v="0"/>
    <n v="26000"/>
    <n v="6.6000000000000003E-2"/>
    <n v="2"/>
    <n v="1"/>
    <n v="1"/>
  </r>
  <r>
    <s v="LA-703639"/>
    <d v="2025-06-05T00:00:00"/>
    <x v="1"/>
    <s v="Q2"/>
    <x v="5"/>
    <x v="1"/>
    <x v="1"/>
    <x v="1"/>
    <x v="1"/>
    <x v="3"/>
    <n v="6400"/>
    <n v="8500"/>
    <n v="24"/>
    <n v="0.252"/>
    <s v="Approved"/>
    <x v="1"/>
    <n v="1"/>
    <n v="0"/>
    <n v="7500"/>
    <n v="0.11020000000000001"/>
    <n v="2"/>
    <n v="1"/>
    <n v="1"/>
  </r>
  <r>
    <s v="LA-703640"/>
    <d v="2025-06-05T00:00:00"/>
    <x v="1"/>
    <s v="Q2"/>
    <x v="5"/>
    <x v="1"/>
    <x v="1"/>
    <x v="2"/>
    <x v="0"/>
    <x v="3"/>
    <n v="4900"/>
    <n v="7000"/>
    <n v="36"/>
    <n v="0.13500000000000001"/>
    <s v="Approved"/>
    <x v="1"/>
    <n v="1"/>
    <n v="0"/>
    <n v="7000"/>
    <n v="0.1094"/>
    <n v="1"/>
    <n v="1"/>
    <n v="1"/>
  </r>
  <r>
    <s v="LA-703641"/>
    <d v="2025-06-05T00:00:00"/>
    <x v="1"/>
    <s v="Q2"/>
    <x v="5"/>
    <x v="0"/>
    <x v="3"/>
    <x v="4"/>
    <x v="0"/>
    <x v="1"/>
    <n v="3800"/>
    <n v="21500"/>
    <n v="36"/>
    <n v="0.26500000000000001"/>
    <s v="Approved"/>
    <x v="1"/>
    <n v="1"/>
    <n v="0"/>
    <n v="19500"/>
    <n v="7.8700000000000006E-2"/>
    <n v="6"/>
    <n v="0"/>
    <n v="1"/>
  </r>
  <r>
    <s v="LA-703642"/>
    <d v="2025-06-05T00:00:00"/>
    <x v="1"/>
    <s v="Q2"/>
    <x v="5"/>
    <x v="0"/>
    <x v="2"/>
    <x v="2"/>
    <x v="0"/>
    <x v="0"/>
    <n v="6000"/>
    <n v="33500"/>
    <n v="60"/>
    <n v="0.23100000000000001"/>
    <s v="Rejected"/>
    <x v="0"/>
    <n v="0"/>
    <n v="1"/>
    <n v="0"/>
    <m/>
    <n v="1"/>
    <n v="1"/>
    <n v="1"/>
  </r>
  <r>
    <s v="LA-703643"/>
    <d v="2025-06-05T00:00:00"/>
    <x v="1"/>
    <s v="Q2"/>
    <x v="5"/>
    <x v="1"/>
    <x v="1"/>
    <x v="2"/>
    <x v="2"/>
    <x v="4"/>
    <n v="17500"/>
    <n v="23000"/>
    <n v="12"/>
    <n v="0.17"/>
    <s v="Approved"/>
    <x v="1"/>
    <n v="1"/>
    <n v="0"/>
    <n v="20500"/>
    <n v="0.1123"/>
    <n v="1"/>
    <n v="1"/>
    <n v="1"/>
  </r>
  <r>
    <s v="LA-703644"/>
    <d v="2025-06-06T00:00:00"/>
    <x v="1"/>
    <s v="Q2"/>
    <x v="5"/>
    <x v="1"/>
    <x v="3"/>
    <x v="3"/>
    <x v="0"/>
    <x v="1"/>
    <n v="4050"/>
    <n v="15500"/>
    <n v="36"/>
    <n v="0.25900000000000001"/>
    <s v="Approved"/>
    <x v="1"/>
    <n v="1"/>
    <n v="0"/>
    <n v="15500"/>
    <n v="0.1241"/>
    <n v="4"/>
    <n v="0"/>
    <n v="1"/>
  </r>
  <r>
    <s v="LA-703645"/>
    <d v="2025-06-06T00:00:00"/>
    <x v="1"/>
    <s v="Q2"/>
    <x v="5"/>
    <x v="1"/>
    <x v="3"/>
    <x v="0"/>
    <x v="2"/>
    <x v="0"/>
    <n v="10100"/>
    <n v="19000"/>
    <n v="36"/>
    <n v="0.2"/>
    <s v="Approved"/>
    <x v="1"/>
    <n v="1"/>
    <n v="0"/>
    <n v="17000"/>
    <n v="0.1363"/>
    <n v="5"/>
    <n v="0"/>
    <n v="1"/>
  </r>
  <r>
    <s v="LA-703646"/>
    <d v="2025-06-06T00:00:00"/>
    <x v="1"/>
    <s v="Q2"/>
    <x v="5"/>
    <x v="1"/>
    <x v="3"/>
    <x v="2"/>
    <x v="1"/>
    <x v="1"/>
    <n v="5650"/>
    <n v="14500"/>
    <n v="12"/>
    <n v="0.39200000000000002"/>
    <s v="Approved"/>
    <x v="1"/>
    <n v="1"/>
    <n v="0"/>
    <n v="14500"/>
    <n v="0.1245"/>
    <n v="3"/>
    <n v="1"/>
    <n v="1"/>
  </r>
  <r>
    <s v="LA-703647"/>
    <d v="2025-06-06T00:00:00"/>
    <x v="1"/>
    <s v="Q2"/>
    <x v="5"/>
    <x v="1"/>
    <x v="2"/>
    <x v="3"/>
    <x v="0"/>
    <x v="0"/>
    <n v="4250"/>
    <n v="7000"/>
    <n v="24"/>
    <n v="0.17100000000000001"/>
    <s v="Rejected"/>
    <x v="5"/>
    <n v="0"/>
    <n v="1"/>
    <n v="0"/>
    <m/>
    <n v="3"/>
    <n v="1"/>
    <n v="1"/>
  </r>
  <r>
    <s v="LA-703648"/>
    <d v="2025-06-06T00:00:00"/>
    <x v="1"/>
    <s v="Q2"/>
    <x v="5"/>
    <x v="2"/>
    <x v="1"/>
    <x v="0"/>
    <x v="1"/>
    <x v="0"/>
    <n v="2950"/>
    <n v="157500"/>
    <n v="60"/>
    <n v="1.35"/>
    <s v="Rejected"/>
    <x v="0"/>
    <n v="0"/>
    <n v="1"/>
    <n v="0"/>
    <m/>
    <n v="5"/>
    <n v="1"/>
    <n v="1"/>
  </r>
  <r>
    <s v="LA-703649"/>
    <d v="2025-06-06T00:00:00"/>
    <x v="1"/>
    <s v="Q2"/>
    <x v="5"/>
    <x v="0"/>
    <x v="2"/>
    <x v="2"/>
    <x v="0"/>
    <x v="0"/>
    <n v="6950"/>
    <n v="24500"/>
    <n v="60"/>
    <n v="0.26"/>
    <s v="Approved"/>
    <x v="1"/>
    <n v="1"/>
    <n v="0"/>
    <n v="24500"/>
    <n v="9.5100000000000004E-2"/>
    <n v="1"/>
    <n v="1"/>
    <n v="1"/>
  </r>
  <r>
    <s v="LA-703650"/>
    <d v="2025-06-06T00:00:00"/>
    <x v="1"/>
    <s v="Q2"/>
    <x v="5"/>
    <x v="1"/>
    <x v="2"/>
    <x v="2"/>
    <x v="1"/>
    <x v="4"/>
    <n v="4250"/>
    <n v="17500"/>
    <n v="12"/>
    <n v="0.442"/>
    <s v="Approved"/>
    <x v="1"/>
    <n v="1"/>
    <n v="0"/>
    <n v="17500"/>
    <n v="0.1167"/>
    <n v="2"/>
    <n v="1"/>
    <n v="1"/>
  </r>
  <r>
    <s v="LA-703651"/>
    <d v="2025-06-06T00:00:00"/>
    <x v="1"/>
    <s v="Q2"/>
    <x v="5"/>
    <x v="2"/>
    <x v="3"/>
    <x v="2"/>
    <x v="0"/>
    <x v="1"/>
    <n v="5800"/>
    <n v="55000"/>
    <n v="24"/>
    <n v="0.56000000000000005"/>
    <s v="Approved"/>
    <x v="1"/>
    <n v="1"/>
    <n v="0"/>
    <n v="55000"/>
    <n v="0.1017"/>
    <n v="14"/>
    <n v="0"/>
    <n v="1"/>
  </r>
  <r>
    <s v="LA-703652"/>
    <d v="2025-06-06T00:00:00"/>
    <x v="1"/>
    <s v="Q2"/>
    <x v="5"/>
    <x v="1"/>
    <x v="0"/>
    <x v="3"/>
    <x v="2"/>
    <x v="1"/>
    <n v="12250"/>
    <n v="10000"/>
    <n v="12"/>
    <n v="0.251"/>
    <s v="Rejected"/>
    <x v="2"/>
    <n v="0"/>
    <n v="1"/>
    <n v="0"/>
    <m/>
    <n v="4"/>
    <n v="0"/>
    <n v="1"/>
  </r>
  <r>
    <s v="LA-703653"/>
    <d v="2025-06-06T00:00:00"/>
    <x v="1"/>
    <s v="Q2"/>
    <x v="5"/>
    <x v="3"/>
    <x v="3"/>
    <x v="2"/>
    <x v="2"/>
    <x v="3"/>
    <n v="3900"/>
    <n v="189500"/>
    <n v="240"/>
    <n v="0.56599999999999995"/>
    <s v="Approved"/>
    <x v="1"/>
    <n v="1"/>
    <n v="0"/>
    <n v="189500"/>
    <n v="4.5199999999999997E-2"/>
    <n v="21"/>
    <n v="0"/>
    <n v="1"/>
  </r>
  <r>
    <s v="LA-703654"/>
    <d v="2025-06-07T00:00:00"/>
    <x v="1"/>
    <s v="Q2"/>
    <x v="5"/>
    <x v="1"/>
    <x v="3"/>
    <x v="3"/>
    <x v="0"/>
    <x v="1"/>
    <n v="6250"/>
    <n v="10500"/>
    <n v="12"/>
    <n v="0.219"/>
    <s v="Approved"/>
    <x v="1"/>
    <n v="1"/>
    <n v="0"/>
    <n v="10500"/>
    <n v="0.1229"/>
    <n v="4"/>
    <n v="0"/>
    <n v="1"/>
  </r>
  <r>
    <s v="LA-703655"/>
    <d v="2025-06-07T00:00:00"/>
    <x v="1"/>
    <s v="Q2"/>
    <x v="5"/>
    <x v="3"/>
    <x v="1"/>
    <x v="3"/>
    <x v="2"/>
    <x v="1"/>
    <n v="17000"/>
    <n v="240000"/>
    <n v="180"/>
    <n v="0.34599999999999997"/>
    <s v="Approved"/>
    <x v="1"/>
    <n v="1"/>
    <n v="0"/>
    <n v="216000"/>
    <n v="6.13E-2"/>
    <n v="6"/>
    <n v="1"/>
    <n v="1"/>
  </r>
  <r>
    <s v="LA-703656"/>
    <d v="2025-06-07T00:00:00"/>
    <x v="1"/>
    <s v="Q2"/>
    <x v="5"/>
    <x v="0"/>
    <x v="1"/>
    <x v="0"/>
    <x v="2"/>
    <x v="4"/>
    <n v="8600"/>
    <n v="14000"/>
    <n v="60"/>
    <n v="0.249"/>
    <s v="Approved"/>
    <x v="1"/>
    <n v="1"/>
    <n v="0"/>
    <n v="12500"/>
    <n v="7.2900000000000006E-2"/>
    <n v="2"/>
    <n v="1"/>
    <n v="1"/>
  </r>
  <r>
    <s v="LA-703657"/>
    <d v="2025-06-07T00:00:00"/>
    <x v="1"/>
    <s v="Q2"/>
    <x v="5"/>
    <x v="1"/>
    <x v="3"/>
    <x v="2"/>
    <x v="0"/>
    <x v="1"/>
    <n v="3250"/>
    <n v="17500"/>
    <n v="60"/>
    <n v="0.23699999999999999"/>
    <s v="Approved"/>
    <x v="1"/>
    <n v="1"/>
    <n v="0"/>
    <n v="16000"/>
    <n v="0.12540000000000001"/>
    <n v="5"/>
    <n v="0"/>
    <n v="1"/>
  </r>
  <r>
    <s v="LA-703658"/>
    <d v="2025-06-07T00:00:00"/>
    <x v="1"/>
    <s v="Q2"/>
    <x v="5"/>
    <x v="3"/>
    <x v="0"/>
    <x v="3"/>
    <x v="0"/>
    <x v="0"/>
    <n v="6150"/>
    <n v="335000"/>
    <n v="300"/>
    <n v="0.56100000000000005"/>
    <s v="Withdrawn"/>
    <x v="1"/>
    <n v="0"/>
    <n v="0"/>
    <n v="0"/>
    <m/>
    <n v="13"/>
    <n v="1"/>
    <n v="1"/>
  </r>
  <r>
    <s v="LA-703659"/>
    <d v="2025-06-08T00:00:00"/>
    <x v="1"/>
    <s v="Q2"/>
    <x v="5"/>
    <x v="1"/>
    <x v="2"/>
    <x v="1"/>
    <x v="0"/>
    <x v="1"/>
    <n v="3200"/>
    <n v="11500"/>
    <n v="24"/>
    <n v="0.24"/>
    <s v="Approved"/>
    <x v="1"/>
    <n v="1"/>
    <n v="0"/>
    <n v="10500"/>
    <n v="0.13059999999999999"/>
    <n v="2"/>
    <n v="1"/>
    <n v="1"/>
  </r>
  <r>
    <s v="LA-703660"/>
    <d v="2025-06-08T00:00:00"/>
    <x v="1"/>
    <s v="Q2"/>
    <x v="5"/>
    <x v="1"/>
    <x v="1"/>
    <x v="1"/>
    <x v="0"/>
    <x v="1"/>
    <n v="7750"/>
    <n v="7000"/>
    <n v="12"/>
    <n v="0.31"/>
    <s v="Approved"/>
    <x v="1"/>
    <n v="1"/>
    <n v="0"/>
    <n v="6500"/>
    <n v="0.1221"/>
    <n v="1"/>
    <n v="1"/>
    <n v="1"/>
  </r>
  <r>
    <s v="LA-703661"/>
    <d v="2025-06-08T00:00:00"/>
    <x v="1"/>
    <s v="Q2"/>
    <x v="5"/>
    <x v="0"/>
    <x v="0"/>
    <x v="3"/>
    <x v="1"/>
    <x v="0"/>
    <n v="2750"/>
    <n v="35000"/>
    <n v="36"/>
    <n v="0.58499999999999996"/>
    <s v="Approved"/>
    <x v="1"/>
    <n v="1"/>
    <n v="0"/>
    <n v="35000"/>
    <n v="9.8100000000000007E-2"/>
    <n v="4"/>
    <n v="1"/>
    <n v="1"/>
  </r>
  <r>
    <s v="LA-703662"/>
    <d v="2025-06-09T00:00:00"/>
    <x v="1"/>
    <s v="Q2"/>
    <x v="5"/>
    <x v="1"/>
    <x v="1"/>
    <x v="3"/>
    <x v="0"/>
    <x v="1"/>
    <n v="7750"/>
    <n v="12000"/>
    <n v="48"/>
    <n v="0.248"/>
    <s v="Approved"/>
    <x v="1"/>
    <n v="1"/>
    <n v="0"/>
    <n v="9500"/>
    <n v="0.12"/>
    <n v="1"/>
    <n v="1"/>
    <n v="1"/>
  </r>
  <r>
    <s v="LA-703663"/>
    <d v="2025-06-09T00:00:00"/>
    <x v="1"/>
    <s v="Q2"/>
    <x v="5"/>
    <x v="2"/>
    <x v="3"/>
    <x v="3"/>
    <x v="0"/>
    <x v="4"/>
    <n v="9150"/>
    <n v="102000"/>
    <n v="24"/>
    <n v="0.623"/>
    <s v="Approved"/>
    <x v="1"/>
    <n v="1"/>
    <n v="0"/>
    <n v="92000"/>
    <n v="9.6000000000000002E-2"/>
    <n v="14"/>
    <n v="0"/>
    <n v="1"/>
  </r>
  <r>
    <s v="LA-703664"/>
    <d v="2025-06-09T00:00:00"/>
    <x v="1"/>
    <s v="Q2"/>
    <x v="5"/>
    <x v="2"/>
    <x v="0"/>
    <x v="3"/>
    <x v="0"/>
    <x v="3"/>
    <n v="2350"/>
    <n v="60000"/>
    <n v="12"/>
    <n v="2.3980000000000001"/>
    <s v="Rejected"/>
    <x v="3"/>
    <n v="0"/>
    <n v="1"/>
    <n v="0"/>
    <m/>
    <n v="15"/>
    <n v="0"/>
    <n v="1"/>
  </r>
  <r>
    <s v="LA-703665"/>
    <d v="2025-06-09T00:00:00"/>
    <x v="1"/>
    <s v="Q2"/>
    <x v="5"/>
    <x v="1"/>
    <x v="3"/>
    <x v="3"/>
    <x v="2"/>
    <x v="4"/>
    <n v="7050"/>
    <n v="17500"/>
    <n v="36"/>
    <n v="0.19500000000000001"/>
    <s v="Approved"/>
    <x v="1"/>
    <n v="1"/>
    <n v="0"/>
    <n v="17500"/>
    <n v="0.11269999999999999"/>
    <n v="6"/>
    <n v="0"/>
    <n v="1"/>
  </r>
  <r>
    <s v="LA-703666"/>
    <d v="2025-06-09T00:00:00"/>
    <x v="1"/>
    <s v="Q2"/>
    <x v="5"/>
    <x v="3"/>
    <x v="0"/>
    <x v="1"/>
    <x v="0"/>
    <x v="0"/>
    <n v="3550"/>
    <n v="511500"/>
    <n v="240"/>
    <n v="1.0960000000000001"/>
    <s v="Withdrawn"/>
    <x v="1"/>
    <n v="0"/>
    <n v="0"/>
    <n v="0"/>
    <m/>
    <n v="10"/>
    <n v="1"/>
    <n v="1"/>
  </r>
  <r>
    <s v="LA-703667"/>
    <d v="2025-06-09T00:00:00"/>
    <x v="1"/>
    <s v="Q2"/>
    <x v="5"/>
    <x v="0"/>
    <x v="1"/>
    <x v="2"/>
    <x v="2"/>
    <x v="0"/>
    <n v="21600"/>
    <n v="32500"/>
    <n v="60"/>
    <n v="0.26"/>
    <s v="Approved"/>
    <x v="1"/>
    <n v="1"/>
    <n v="0"/>
    <n v="29000"/>
    <n v="0.1013"/>
    <n v="1"/>
    <n v="1"/>
    <n v="1"/>
  </r>
  <r>
    <s v="LA-703668"/>
    <d v="2025-06-09T00:00:00"/>
    <x v="1"/>
    <s v="Q2"/>
    <x v="5"/>
    <x v="3"/>
    <x v="1"/>
    <x v="3"/>
    <x v="1"/>
    <x v="0"/>
    <n v="14450"/>
    <n v="137000"/>
    <n v="180"/>
    <n v="0.23599999999999999"/>
    <s v="Rejected"/>
    <x v="0"/>
    <n v="0"/>
    <n v="1"/>
    <n v="0"/>
    <m/>
    <n v="4"/>
    <n v="1"/>
    <n v="1"/>
  </r>
  <r>
    <s v="LA-703669"/>
    <d v="2025-06-09T00:00:00"/>
    <x v="1"/>
    <s v="Q2"/>
    <x v="5"/>
    <x v="1"/>
    <x v="2"/>
    <x v="1"/>
    <x v="0"/>
    <x v="1"/>
    <n v="5300"/>
    <n v="30000"/>
    <n v="48"/>
    <n v="0.23599999999999999"/>
    <s v="Approved"/>
    <x v="1"/>
    <n v="1"/>
    <n v="0"/>
    <n v="30000"/>
    <n v="0.12139999999999999"/>
    <n v="3"/>
    <n v="1"/>
    <n v="1"/>
  </r>
  <r>
    <s v="LA-703670"/>
    <d v="2025-06-09T00:00:00"/>
    <x v="1"/>
    <s v="Q2"/>
    <x v="5"/>
    <x v="2"/>
    <x v="3"/>
    <x v="1"/>
    <x v="0"/>
    <x v="0"/>
    <n v="3600"/>
    <n v="73000"/>
    <n v="60"/>
    <n v="0.53500000000000003"/>
    <s v="Approved"/>
    <x v="1"/>
    <n v="1"/>
    <n v="0"/>
    <n v="73000"/>
    <n v="0.1234"/>
    <n v="17"/>
    <n v="0"/>
    <n v="1"/>
  </r>
  <r>
    <s v="LA-703671"/>
    <d v="2025-06-10T00:00:00"/>
    <x v="1"/>
    <s v="Q2"/>
    <x v="5"/>
    <x v="3"/>
    <x v="1"/>
    <x v="3"/>
    <x v="2"/>
    <x v="1"/>
    <n v="2750"/>
    <n v="342000"/>
    <n v="180"/>
    <n v="1.0289999999999999"/>
    <s v="Rejected"/>
    <x v="3"/>
    <n v="0"/>
    <n v="1"/>
    <n v="0"/>
    <m/>
    <n v="9"/>
    <n v="1"/>
    <n v="1"/>
  </r>
  <r>
    <s v="LA-703672"/>
    <d v="2025-06-10T00:00:00"/>
    <x v="1"/>
    <s v="Q2"/>
    <x v="5"/>
    <x v="1"/>
    <x v="1"/>
    <x v="2"/>
    <x v="1"/>
    <x v="4"/>
    <n v="6700"/>
    <n v="8000"/>
    <n v="60"/>
    <n v="9.9000000000000005E-2"/>
    <s v="Approved"/>
    <x v="1"/>
    <n v="1"/>
    <n v="0"/>
    <n v="8000"/>
    <n v="0.1038"/>
    <n v="1"/>
    <n v="1"/>
    <n v="1"/>
  </r>
  <r>
    <s v="LA-703673"/>
    <d v="2025-06-10T00:00:00"/>
    <x v="1"/>
    <s v="Q2"/>
    <x v="5"/>
    <x v="2"/>
    <x v="2"/>
    <x v="2"/>
    <x v="0"/>
    <x v="0"/>
    <n v="4900"/>
    <n v="136000"/>
    <n v="36"/>
    <n v="1.0649999999999999"/>
    <s v="Rejected"/>
    <x v="3"/>
    <n v="0"/>
    <n v="1"/>
    <n v="0"/>
    <m/>
    <n v="6"/>
    <n v="1"/>
    <n v="1"/>
  </r>
  <r>
    <s v="LA-703674"/>
    <d v="2025-06-10T00:00:00"/>
    <x v="1"/>
    <s v="Q2"/>
    <x v="5"/>
    <x v="0"/>
    <x v="0"/>
    <x v="1"/>
    <x v="0"/>
    <x v="1"/>
    <n v="6550"/>
    <n v="27500"/>
    <n v="60"/>
    <n v="0.27900000000000003"/>
    <s v="Approved"/>
    <x v="1"/>
    <n v="1"/>
    <n v="0"/>
    <n v="27500"/>
    <n v="8.43E-2"/>
    <n v="7"/>
    <n v="0"/>
    <n v="1"/>
  </r>
  <r>
    <s v="LA-703675"/>
    <d v="2025-06-11T00:00:00"/>
    <x v="1"/>
    <s v="Q2"/>
    <x v="5"/>
    <x v="0"/>
    <x v="1"/>
    <x v="3"/>
    <x v="1"/>
    <x v="0"/>
    <n v="4750"/>
    <n v="68500"/>
    <n v="48"/>
    <n v="0.40799999999999997"/>
    <s v="Approved"/>
    <x v="1"/>
    <n v="1"/>
    <n v="0"/>
    <n v="68500"/>
    <n v="9.6100000000000005E-2"/>
    <n v="2"/>
    <n v="1"/>
    <n v="1"/>
  </r>
  <r>
    <s v="LA-703676"/>
    <d v="2025-06-11T00:00:00"/>
    <x v="1"/>
    <s v="Q2"/>
    <x v="5"/>
    <x v="1"/>
    <x v="2"/>
    <x v="2"/>
    <x v="1"/>
    <x v="1"/>
    <n v="4800"/>
    <n v="11000"/>
    <n v="36"/>
    <n v="0.19"/>
    <s v="Approved"/>
    <x v="1"/>
    <n v="1"/>
    <n v="0"/>
    <n v="11000"/>
    <n v="0.122"/>
    <n v="1"/>
    <n v="1"/>
    <n v="1"/>
  </r>
  <r>
    <s v="LA-703677"/>
    <d v="2025-06-11T00:00:00"/>
    <x v="1"/>
    <s v="Q2"/>
    <x v="5"/>
    <x v="1"/>
    <x v="3"/>
    <x v="2"/>
    <x v="2"/>
    <x v="1"/>
    <n v="10200"/>
    <n v="20000"/>
    <n v="12"/>
    <n v="0.30499999999999999"/>
    <s v="Approved"/>
    <x v="1"/>
    <n v="1"/>
    <n v="0"/>
    <n v="18000"/>
    <n v="0.13089999999999999"/>
    <n v="7"/>
    <n v="0"/>
    <n v="1"/>
  </r>
  <r>
    <s v="LA-703678"/>
    <d v="2025-06-11T00:00:00"/>
    <x v="1"/>
    <s v="Q2"/>
    <x v="5"/>
    <x v="1"/>
    <x v="0"/>
    <x v="2"/>
    <x v="0"/>
    <x v="0"/>
    <n v="6150"/>
    <n v="9500"/>
    <n v="36"/>
    <n v="0.114"/>
    <s v="Rejected"/>
    <x v="0"/>
    <n v="0"/>
    <n v="1"/>
    <n v="0"/>
    <m/>
    <n v="3"/>
    <n v="1"/>
    <n v="1"/>
  </r>
  <r>
    <s v="LA-703679"/>
    <d v="2025-06-11T00:00:00"/>
    <x v="1"/>
    <s v="Q2"/>
    <x v="5"/>
    <x v="0"/>
    <x v="3"/>
    <x v="1"/>
    <x v="2"/>
    <x v="0"/>
    <n v="5000"/>
    <n v="13500"/>
    <n v="36"/>
    <n v="0.33100000000000002"/>
    <s v="Approved"/>
    <x v="1"/>
    <n v="1"/>
    <n v="0"/>
    <n v="13500"/>
    <n v="9.9400000000000002E-2"/>
    <n v="10"/>
    <n v="0"/>
    <n v="1"/>
  </r>
  <r>
    <s v="LA-703680"/>
    <d v="2025-06-11T00:00:00"/>
    <x v="1"/>
    <s v="Q2"/>
    <x v="5"/>
    <x v="2"/>
    <x v="0"/>
    <x v="1"/>
    <x v="0"/>
    <x v="0"/>
    <n v="4200"/>
    <n v="99500"/>
    <n v="60"/>
    <n v="0.71199999999999997"/>
    <s v="Approved"/>
    <x v="1"/>
    <n v="1"/>
    <n v="0"/>
    <n v="99500"/>
    <n v="0.12379999999999999"/>
    <n v="19"/>
    <n v="0"/>
    <n v="1"/>
  </r>
  <r>
    <s v="LA-703681"/>
    <d v="2025-06-11T00:00:00"/>
    <x v="1"/>
    <s v="Q2"/>
    <x v="5"/>
    <x v="0"/>
    <x v="3"/>
    <x v="2"/>
    <x v="0"/>
    <x v="4"/>
    <n v="4050"/>
    <n v="33000"/>
    <n v="36"/>
    <n v="0.378"/>
    <s v="Approved"/>
    <x v="1"/>
    <n v="1"/>
    <n v="0"/>
    <n v="29500"/>
    <n v="7.3099999999999998E-2"/>
    <n v="6"/>
    <n v="0"/>
    <n v="1"/>
  </r>
  <r>
    <s v="LA-703682"/>
    <d v="2025-06-11T00:00:00"/>
    <x v="1"/>
    <s v="Q2"/>
    <x v="5"/>
    <x v="1"/>
    <x v="2"/>
    <x v="3"/>
    <x v="2"/>
    <x v="0"/>
    <n v="14000"/>
    <n v="17500"/>
    <n v="36"/>
    <n v="0.14499999999999999"/>
    <s v="Rejected"/>
    <x v="0"/>
    <n v="0"/>
    <n v="1"/>
    <n v="0"/>
    <m/>
    <n v="3"/>
    <n v="1"/>
    <n v="1"/>
  </r>
  <r>
    <s v="LA-703683"/>
    <d v="2025-06-11T00:00:00"/>
    <x v="1"/>
    <s v="Q2"/>
    <x v="5"/>
    <x v="2"/>
    <x v="1"/>
    <x v="4"/>
    <x v="0"/>
    <x v="1"/>
    <n v="3950"/>
    <n v="62000"/>
    <n v="12"/>
    <n v="1.587"/>
    <s v="Rejected"/>
    <x v="3"/>
    <n v="0"/>
    <n v="1"/>
    <n v="0"/>
    <m/>
    <n v="5"/>
    <n v="1"/>
    <n v="1"/>
  </r>
  <r>
    <s v="LA-703684"/>
    <d v="2025-06-11T00:00:00"/>
    <x v="1"/>
    <s v="Q2"/>
    <x v="5"/>
    <x v="1"/>
    <x v="1"/>
    <x v="4"/>
    <x v="0"/>
    <x v="3"/>
    <n v="4500"/>
    <n v="14000"/>
    <n v="48"/>
    <n v="0.26800000000000002"/>
    <s v="Rejected"/>
    <x v="5"/>
    <n v="0"/>
    <n v="1"/>
    <n v="0"/>
    <m/>
    <n v="1"/>
    <n v="1"/>
    <n v="1"/>
  </r>
  <r>
    <s v="LA-703685"/>
    <d v="2025-06-11T00:00:00"/>
    <x v="1"/>
    <s v="Q2"/>
    <x v="5"/>
    <x v="0"/>
    <x v="3"/>
    <x v="3"/>
    <x v="1"/>
    <x v="0"/>
    <n v="4850"/>
    <n v="23500"/>
    <n v="36"/>
    <n v="0.29399999999999998"/>
    <s v="Rejected"/>
    <x v="0"/>
    <n v="0"/>
    <n v="1"/>
    <n v="0"/>
    <m/>
    <n v="4"/>
    <n v="1"/>
    <n v="1"/>
  </r>
  <r>
    <s v="LA-703686"/>
    <d v="2025-06-11T00:00:00"/>
    <x v="1"/>
    <s v="Q2"/>
    <x v="5"/>
    <x v="1"/>
    <x v="0"/>
    <x v="2"/>
    <x v="1"/>
    <x v="1"/>
    <n v="6100"/>
    <n v="12500"/>
    <n v="48"/>
    <n v="0.12"/>
    <s v="Rejected"/>
    <x v="4"/>
    <n v="0"/>
    <n v="1"/>
    <n v="0"/>
    <m/>
    <n v="6"/>
    <n v="0"/>
    <n v="1"/>
  </r>
  <r>
    <s v="LA-703687"/>
    <d v="2025-06-11T00:00:00"/>
    <x v="1"/>
    <s v="Q2"/>
    <x v="5"/>
    <x v="2"/>
    <x v="1"/>
    <x v="1"/>
    <x v="0"/>
    <x v="1"/>
    <n v="4050"/>
    <n v="35000"/>
    <n v="24"/>
    <n v="0.59499999999999997"/>
    <s v="Approved"/>
    <x v="1"/>
    <n v="1"/>
    <n v="0"/>
    <n v="35000"/>
    <n v="0.1091"/>
    <n v="5"/>
    <n v="1"/>
    <n v="1"/>
  </r>
  <r>
    <s v="LA-703688"/>
    <d v="2025-06-12T00:00:00"/>
    <x v="1"/>
    <s v="Q2"/>
    <x v="5"/>
    <x v="1"/>
    <x v="1"/>
    <x v="3"/>
    <x v="1"/>
    <x v="4"/>
    <n v="5400"/>
    <n v="29000"/>
    <n v="12"/>
    <n v="0.56100000000000005"/>
    <s v="Withdrawn"/>
    <x v="1"/>
    <n v="0"/>
    <n v="0"/>
    <n v="0"/>
    <m/>
    <n v="2"/>
    <n v="1"/>
    <n v="1"/>
  </r>
  <r>
    <s v="LA-703689"/>
    <d v="2025-06-12T00:00:00"/>
    <x v="1"/>
    <s v="Q2"/>
    <x v="5"/>
    <x v="3"/>
    <x v="1"/>
    <x v="1"/>
    <x v="1"/>
    <x v="1"/>
    <n v="6500"/>
    <n v="158500"/>
    <n v="180"/>
    <n v="0.42099999999999999"/>
    <s v="Approved"/>
    <x v="1"/>
    <n v="1"/>
    <n v="0"/>
    <n v="158500"/>
    <n v="5.8099999999999999E-2"/>
    <n v="10"/>
    <n v="1"/>
    <n v="1"/>
  </r>
  <r>
    <s v="LA-703690"/>
    <d v="2025-06-12T00:00:00"/>
    <x v="1"/>
    <s v="Q2"/>
    <x v="5"/>
    <x v="1"/>
    <x v="3"/>
    <x v="3"/>
    <x v="2"/>
    <x v="4"/>
    <n v="6350"/>
    <n v="10000"/>
    <n v="36"/>
    <n v="0.21099999999999999"/>
    <s v="Approved"/>
    <x v="1"/>
    <n v="1"/>
    <n v="0"/>
    <n v="8000"/>
    <n v="0.1154"/>
    <n v="8"/>
    <n v="0"/>
    <n v="1"/>
  </r>
  <r>
    <s v="LA-703691"/>
    <d v="2025-06-12T00:00:00"/>
    <x v="1"/>
    <s v="Q2"/>
    <x v="5"/>
    <x v="1"/>
    <x v="0"/>
    <x v="0"/>
    <x v="0"/>
    <x v="1"/>
    <n v="6800"/>
    <n v="14000"/>
    <n v="60"/>
    <n v="0.123"/>
    <s v="Approved"/>
    <x v="1"/>
    <n v="1"/>
    <n v="0"/>
    <n v="12500"/>
    <n v="0.12139999999999999"/>
    <n v="3"/>
    <n v="1"/>
    <n v="1"/>
  </r>
  <r>
    <s v="LA-703692"/>
    <d v="2025-06-13T00:00:00"/>
    <x v="1"/>
    <s v="Q2"/>
    <x v="5"/>
    <x v="2"/>
    <x v="0"/>
    <x v="2"/>
    <x v="2"/>
    <x v="0"/>
    <n v="7850"/>
    <n v="49500"/>
    <n v="24"/>
    <n v="0.40699999999999997"/>
    <s v="Approved"/>
    <x v="1"/>
    <n v="1"/>
    <n v="0"/>
    <n v="49500"/>
    <n v="0.11990000000000001"/>
    <n v="13"/>
    <n v="0"/>
    <n v="1"/>
  </r>
  <r>
    <s v="LA-703693"/>
    <d v="2025-06-14T00:00:00"/>
    <x v="1"/>
    <s v="Q2"/>
    <x v="5"/>
    <x v="1"/>
    <x v="1"/>
    <x v="0"/>
    <x v="0"/>
    <x v="4"/>
    <n v="4750"/>
    <n v="7500"/>
    <n v="12"/>
    <n v="0.24099999999999999"/>
    <s v="Approved"/>
    <x v="1"/>
    <n v="1"/>
    <n v="0"/>
    <n v="6000"/>
    <n v="0.1133"/>
    <n v="2"/>
    <n v="1"/>
    <n v="1"/>
  </r>
  <r>
    <s v="LA-703694"/>
    <d v="2025-06-14T00:00:00"/>
    <x v="1"/>
    <s v="Q2"/>
    <x v="5"/>
    <x v="0"/>
    <x v="2"/>
    <x v="2"/>
    <x v="0"/>
    <x v="2"/>
    <n v="3450"/>
    <n v="25500"/>
    <n v="60"/>
    <n v="0.30099999999999999"/>
    <s v="Rejected"/>
    <x v="5"/>
    <n v="0"/>
    <n v="1"/>
    <n v="0"/>
    <m/>
    <n v="3"/>
    <n v="1"/>
    <n v="1"/>
  </r>
  <r>
    <s v="LA-703695"/>
    <d v="2025-06-14T00:00:00"/>
    <x v="1"/>
    <s v="Q2"/>
    <x v="5"/>
    <x v="2"/>
    <x v="2"/>
    <x v="3"/>
    <x v="0"/>
    <x v="0"/>
    <n v="7100"/>
    <n v="90000"/>
    <n v="36"/>
    <n v="0.55300000000000005"/>
    <s v="Approved"/>
    <x v="1"/>
    <n v="1"/>
    <n v="0"/>
    <n v="81000"/>
    <n v="0.12529999999999999"/>
    <n v="6"/>
    <n v="1"/>
    <n v="1"/>
  </r>
  <r>
    <s v="LA-703696"/>
    <d v="2025-06-14T00:00:00"/>
    <x v="1"/>
    <s v="Q2"/>
    <x v="5"/>
    <x v="3"/>
    <x v="2"/>
    <x v="3"/>
    <x v="2"/>
    <x v="0"/>
    <n v="6350"/>
    <n v="205500"/>
    <n v="180"/>
    <n v="0.38"/>
    <s v="Approved"/>
    <x v="1"/>
    <n v="1"/>
    <n v="0"/>
    <n v="205500"/>
    <n v="6.93E-2"/>
    <n v="9"/>
    <n v="1"/>
    <n v="1"/>
  </r>
  <r>
    <s v="LA-703697"/>
    <d v="2025-06-14T00:00:00"/>
    <x v="1"/>
    <s v="Q2"/>
    <x v="5"/>
    <x v="1"/>
    <x v="2"/>
    <x v="3"/>
    <x v="0"/>
    <x v="2"/>
    <n v="7550"/>
    <n v="25500"/>
    <n v="60"/>
    <n v="0.14000000000000001"/>
    <s v="Rejected"/>
    <x v="5"/>
    <n v="0"/>
    <n v="1"/>
    <n v="0"/>
    <m/>
    <n v="2"/>
    <n v="1"/>
    <n v="1"/>
  </r>
  <r>
    <s v="LA-703698"/>
    <d v="2025-06-14T00:00:00"/>
    <x v="1"/>
    <s v="Q2"/>
    <x v="5"/>
    <x v="1"/>
    <x v="3"/>
    <x v="2"/>
    <x v="0"/>
    <x v="0"/>
    <n v="9200"/>
    <n v="16000"/>
    <n v="60"/>
    <n v="0.28000000000000003"/>
    <s v="Approved"/>
    <x v="1"/>
    <n v="1"/>
    <n v="0"/>
    <n v="16000"/>
    <n v="0.13450000000000001"/>
    <n v="3"/>
    <n v="1"/>
    <n v="1"/>
  </r>
  <r>
    <s v="LA-703699"/>
    <d v="2025-06-14T00:00:00"/>
    <x v="1"/>
    <s v="Q2"/>
    <x v="5"/>
    <x v="0"/>
    <x v="3"/>
    <x v="3"/>
    <x v="2"/>
    <x v="4"/>
    <n v="4350"/>
    <n v="15500"/>
    <n v="36"/>
    <n v="0.32500000000000001"/>
    <s v="Approved"/>
    <x v="1"/>
    <n v="1"/>
    <n v="0"/>
    <n v="14000"/>
    <n v="7.1800000000000003E-2"/>
    <n v="5"/>
    <n v="0"/>
    <n v="1"/>
  </r>
  <r>
    <s v="LA-703700"/>
    <d v="2025-06-14T00:00:00"/>
    <x v="1"/>
    <s v="Q2"/>
    <x v="5"/>
    <x v="0"/>
    <x v="3"/>
    <x v="3"/>
    <x v="0"/>
    <x v="1"/>
    <n v="1500"/>
    <n v="40000"/>
    <n v="60"/>
    <n v="0.73899999999999999"/>
    <s v="Approved"/>
    <x v="1"/>
    <n v="1"/>
    <n v="0"/>
    <n v="40000"/>
    <n v="8.2500000000000004E-2"/>
    <n v="4"/>
    <n v="1"/>
    <n v="1"/>
  </r>
  <r>
    <s v="LA-703701"/>
    <d v="2025-06-14T00:00:00"/>
    <x v="1"/>
    <s v="Q2"/>
    <x v="5"/>
    <x v="0"/>
    <x v="3"/>
    <x v="3"/>
    <x v="1"/>
    <x v="1"/>
    <n v="10850"/>
    <n v="54500"/>
    <n v="60"/>
    <n v="0.27600000000000002"/>
    <s v="Rejected"/>
    <x v="0"/>
    <n v="0"/>
    <n v="1"/>
    <n v="0"/>
    <m/>
    <n v="3"/>
    <n v="1"/>
    <n v="1"/>
  </r>
  <r>
    <s v="LA-703702"/>
    <d v="2025-06-14T00:00:00"/>
    <x v="1"/>
    <s v="Q2"/>
    <x v="5"/>
    <x v="3"/>
    <x v="1"/>
    <x v="3"/>
    <x v="1"/>
    <x v="3"/>
    <n v="5600"/>
    <n v="224000"/>
    <n v="240"/>
    <n v="0.498"/>
    <s v="Approved"/>
    <x v="1"/>
    <n v="1"/>
    <n v="0"/>
    <n v="201500"/>
    <n v="3.9600000000000003E-2"/>
    <n v="6"/>
    <n v="1"/>
    <n v="1"/>
  </r>
  <r>
    <s v="LA-703703"/>
    <d v="2025-06-15T00:00:00"/>
    <x v="1"/>
    <s v="Q2"/>
    <x v="5"/>
    <x v="1"/>
    <x v="3"/>
    <x v="1"/>
    <x v="0"/>
    <x v="4"/>
    <n v="6600"/>
    <n v="16500"/>
    <n v="48"/>
    <n v="0.154"/>
    <s v="Approved"/>
    <x v="1"/>
    <n v="1"/>
    <n v="0"/>
    <n v="16500"/>
    <n v="0.1147"/>
    <n v="3"/>
    <n v="1"/>
    <n v="1"/>
  </r>
  <r>
    <s v="LA-703704"/>
    <d v="2025-06-15T00:00:00"/>
    <x v="1"/>
    <s v="Q2"/>
    <x v="5"/>
    <x v="1"/>
    <x v="2"/>
    <x v="2"/>
    <x v="2"/>
    <x v="2"/>
    <n v="4800"/>
    <n v="6000"/>
    <n v="60"/>
    <n v="0.152"/>
    <s v="Approved"/>
    <x v="1"/>
    <n v="1"/>
    <n v="0"/>
    <n v="6000"/>
    <n v="0.16209999999999999"/>
    <n v="1"/>
    <n v="1"/>
    <n v="1"/>
  </r>
  <r>
    <s v="LA-703705"/>
    <d v="2025-06-15T00:00:00"/>
    <x v="1"/>
    <s v="Q2"/>
    <x v="5"/>
    <x v="1"/>
    <x v="1"/>
    <x v="1"/>
    <x v="0"/>
    <x v="1"/>
    <n v="9650"/>
    <n v="10500"/>
    <n v="60"/>
    <n v="0.127"/>
    <s v="Approved"/>
    <x v="1"/>
    <n v="1"/>
    <n v="0"/>
    <n v="10500"/>
    <n v="0.12790000000000001"/>
    <n v="1"/>
    <n v="1"/>
    <n v="1"/>
  </r>
  <r>
    <s v="LA-703706"/>
    <d v="2025-06-15T00:00:00"/>
    <x v="1"/>
    <s v="Q2"/>
    <x v="5"/>
    <x v="2"/>
    <x v="3"/>
    <x v="4"/>
    <x v="1"/>
    <x v="0"/>
    <n v="2400"/>
    <n v="128000"/>
    <n v="24"/>
    <n v="2.548"/>
    <s v="Rejected"/>
    <x v="3"/>
    <n v="0"/>
    <n v="1"/>
    <n v="0"/>
    <m/>
    <n v="15"/>
    <n v="0"/>
    <n v="1"/>
  </r>
  <r>
    <s v="LA-703707"/>
    <d v="2025-06-16T00:00:00"/>
    <x v="1"/>
    <s v="Q2"/>
    <x v="5"/>
    <x v="1"/>
    <x v="2"/>
    <x v="2"/>
    <x v="2"/>
    <x v="0"/>
    <n v="9400"/>
    <n v="18000"/>
    <n v="12"/>
    <n v="0.245"/>
    <s v="Withdrawn"/>
    <x v="1"/>
    <n v="0"/>
    <n v="0"/>
    <n v="0"/>
    <m/>
    <n v="1"/>
    <n v="1"/>
    <n v="1"/>
  </r>
  <r>
    <s v="LA-703708"/>
    <d v="2025-06-16T00:00:00"/>
    <x v="1"/>
    <s v="Q2"/>
    <x v="5"/>
    <x v="1"/>
    <x v="3"/>
    <x v="3"/>
    <x v="0"/>
    <x v="0"/>
    <n v="4950"/>
    <n v="9500"/>
    <n v="36"/>
    <n v="0.24"/>
    <s v="Approved"/>
    <x v="1"/>
    <n v="1"/>
    <n v="0"/>
    <n v="9500"/>
    <n v="0.13619999999999999"/>
    <n v="2"/>
    <n v="1"/>
    <n v="1"/>
  </r>
  <r>
    <s v="LA-703709"/>
    <d v="2025-06-16T00:00:00"/>
    <x v="1"/>
    <s v="Q2"/>
    <x v="5"/>
    <x v="3"/>
    <x v="0"/>
    <x v="1"/>
    <x v="0"/>
    <x v="3"/>
    <n v="3900"/>
    <n v="249000"/>
    <n v="180"/>
    <n v="0.67900000000000005"/>
    <s v="Rejected"/>
    <x v="3"/>
    <n v="0"/>
    <n v="1"/>
    <n v="0"/>
    <m/>
    <n v="12"/>
    <n v="1"/>
    <n v="1"/>
  </r>
  <r>
    <s v="LA-703710"/>
    <d v="2025-06-16T00:00:00"/>
    <x v="1"/>
    <s v="Q2"/>
    <x v="5"/>
    <x v="0"/>
    <x v="2"/>
    <x v="4"/>
    <x v="0"/>
    <x v="4"/>
    <n v="4850"/>
    <n v="44000"/>
    <n v="36"/>
    <n v="0.48799999999999999"/>
    <s v="Approved"/>
    <x v="1"/>
    <n v="1"/>
    <n v="0"/>
    <n v="44000"/>
    <n v="7.9899999999999999E-2"/>
    <n v="3"/>
    <n v="1"/>
    <n v="1"/>
  </r>
  <r>
    <s v="LA-703711"/>
    <d v="2025-06-16T00:00:00"/>
    <x v="1"/>
    <s v="Q2"/>
    <x v="5"/>
    <x v="2"/>
    <x v="0"/>
    <x v="2"/>
    <x v="0"/>
    <x v="2"/>
    <n v="7550"/>
    <n v="83000"/>
    <n v="36"/>
    <n v="0.49199999999999999"/>
    <s v="Rejected"/>
    <x v="3"/>
    <n v="0"/>
    <n v="1"/>
    <n v="0"/>
    <m/>
    <n v="7"/>
    <n v="1"/>
    <n v="1"/>
  </r>
  <r>
    <s v="LA-703712"/>
    <d v="2025-06-17T00:00:00"/>
    <x v="1"/>
    <s v="Q2"/>
    <x v="5"/>
    <x v="0"/>
    <x v="3"/>
    <x v="0"/>
    <x v="0"/>
    <x v="1"/>
    <n v="2800"/>
    <n v="54000"/>
    <n v="48"/>
    <n v="0.64300000000000002"/>
    <s v="Approved"/>
    <x v="1"/>
    <n v="1"/>
    <n v="0"/>
    <n v="48500"/>
    <n v="8.2000000000000003E-2"/>
    <n v="7"/>
    <n v="0"/>
    <n v="1"/>
  </r>
  <r>
    <s v="LA-703713"/>
    <d v="2025-06-17T00:00:00"/>
    <x v="1"/>
    <s v="Q2"/>
    <x v="5"/>
    <x v="0"/>
    <x v="2"/>
    <x v="1"/>
    <x v="0"/>
    <x v="3"/>
    <n v="7300"/>
    <n v="29500"/>
    <n v="36"/>
    <n v="0.32600000000000001"/>
    <s v="Approved"/>
    <x v="1"/>
    <n v="1"/>
    <n v="0"/>
    <n v="29500"/>
    <n v="6.3899999999999998E-2"/>
    <n v="2"/>
    <n v="1"/>
    <n v="1"/>
  </r>
  <r>
    <s v="LA-703714"/>
    <d v="2025-06-17T00:00:00"/>
    <x v="1"/>
    <s v="Q2"/>
    <x v="5"/>
    <x v="2"/>
    <x v="3"/>
    <x v="1"/>
    <x v="0"/>
    <x v="1"/>
    <n v="4700"/>
    <n v="65000"/>
    <n v="60"/>
    <n v="0.52"/>
    <s v="Rejected"/>
    <x v="3"/>
    <n v="0"/>
    <n v="1"/>
    <n v="0"/>
    <m/>
    <n v="15"/>
    <n v="0"/>
    <n v="1"/>
  </r>
  <r>
    <s v="LA-703715"/>
    <d v="2025-06-17T00:00:00"/>
    <x v="1"/>
    <s v="Q2"/>
    <x v="5"/>
    <x v="0"/>
    <x v="2"/>
    <x v="2"/>
    <x v="2"/>
    <x v="1"/>
    <n v="2250"/>
    <n v="26000"/>
    <n v="60"/>
    <n v="0.373"/>
    <s v="Approved"/>
    <x v="1"/>
    <n v="1"/>
    <n v="0"/>
    <n v="21000"/>
    <n v="8.4599999999999995E-2"/>
    <n v="1"/>
    <n v="1"/>
    <n v="1"/>
  </r>
  <r>
    <s v="LA-703716"/>
    <d v="2025-06-17T00:00:00"/>
    <x v="1"/>
    <s v="Q2"/>
    <x v="5"/>
    <x v="1"/>
    <x v="3"/>
    <x v="3"/>
    <x v="1"/>
    <x v="1"/>
    <n v="9900"/>
    <n v="17000"/>
    <n v="48"/>
    <n v="0.28799999999999998"/>
    <s v="Rejected"/>
    <x v="0"/>
    <n v="0"/>
    <n v="1"/>
    <n v="0"/>
    <m/>
    <n v="2"/>
    <n v="1"/>
    <n v="1"/>
  </r>
  <r>
    <s v="LA-703717"/>
    <d v="2025-06-17T00:00:00"/>
    <x v="1"/>
    <s v="Q2"/>
    <x v="5"/>
    <x v="1"/>
    <x v="1"/>
    <x v="2"/>
    <x v="2"/>
    <x v="4"/>
    <n v="17900"/>
    <n v="17500"/>
    <n v="24"/>
    <n v="0.106"/>
    <s v="Rejected"/>
    <x v="4"/>
    <n v="0"/>
    <n v="1"/>
    <n v="0"/>
    <m/>
    <n v="5"/>
    <n v="0"/>
    <n v="1"/>
  </r>
  <r>
    <s v="LA-703718"/>
    <d v="2025-06-17T00:00:00"/>
    <x v="1"/>
    <s v="Q2"/>
    <x v="5"/>
    <x v="0"/>
    <x v="0"/>
    <x v="3"/>
    <x v="0"/>
    <x v="4"/>
    <n v="5000"/>
    <n v="36000"/>
    <n v="48"/>
    <n v="0.34300000000000003"/>
    <s v="Rejected"/>
    <x v="4"/>
    <n v="0"/>
    <n v="1"/>
    <n v="0"/>
    <m/>
    <n v="8"/>
    <n v="0"/>
    <n v="1"/>
  </r>
  <r>
    <s v="LA-703719"/>
    <d v="2025-06-17T00:00:00"/>
    <x v="1"/>
    <s v="Q2"/>
    <x v="5"/>
    <x v="0"/>
    <x v="1"/>
    <x v="2"/>
    <x v="1"/>
    <x v="3"/>
    <n v="3200"/>
    <n v="35500"/>
    <n v="60"/>
    <n v="0.374"/>
    <s v="Approved"/>
    <x v="1"/>
    <n v="1"/>
    <n v="0"/>
    <n v="35500"/>
    <n v="7.2800000000000004E-2"/>
    <n v="2"/>
    <n v="1"/>
    <n v="1"/>
  </r>
  <r>
    <s v="LA-703720"/>
    <d v="2025-06-17T00:00:00"/>
    <x v="1"/>
    <s v="Q2"/>
    <x v="5"/>
    <x v="1"/>
    <x v="0"/>
    <x v="1"/>
    <x v="1"/>
    <x v="1"/>
    <n v="7350"/>
    <n v="6500"/>
    <n v="60"/>
    <n v="0.13500000000000001"/>
    <s v="Approved"/>
    <x v="1"/>
    <n v="1"/>
    <n v="0"/>
    <n v="6500"/>
    <n v="0.12620000000000001"/>
    <n v="5"/>
    <n v="0"/>
    <n v="1"/>
  </r>
  <r>
    <s v="LA-703721"/>
    <d v="2025-06-17T00:00:00"/>
    <x v="1"/>
    <s v="Q2"/>
    <x v="5"/>
    <x v="2"/>
    <x v="1"/>
    <x v="3"/>
    <x v="0"/>
    <x v="1"/>
    <n v="5200"/>
    <n v="50500"/>
    <n v="60"/>
    <n v="0.36599999999999999"/>
    <s v="Rejected"/>
    <x v="5"/>
    <n v="0"/>
    <n v="1"/>
    <n v="0"/>
    <m/>
    <n v="5"/>
    <n v="1"/>
    <n v="1"/>
  </r>
  <r>
    <s v="LA-703722"/>
    <d v="2025-06-17T00:00:00"/>
    <x v="1"/>
    <s v="Q2"/>
    <x v="5"/>
    <x v="0"/>
    <x v="3"/>
    <x v="1"/>
    <x v="0"/>
    <x v="4"/>
    <n v="4250"/>
    <n v="18000"/>
    <n v="60"/>
    <n v="0.22"/>
    <s v="Approved"/>
    <x v="1"/>
    <n v="1"/>
    <n v="0"/>
    <n v="16000"/>
    <n v="7.6100000000000001E-2"/>
    <n v="7"/>
    <n v="0"/>
    <n v="1"/>
  </r>
  <r>
    <s v="LA-703723"/>
    <d v="2025-06-18T00:00:00"/>
    <x v="1"/>
    <s v="Q2"/>
    <x v="5"/>
    <x v="3"/>
    <x v="1"/>
    <x v="1"/>
    <x v="0"/>
    <x v="2"/>
    <n v="2950"/>
    <n v="529500"/>
    <n v="180"/>
    <n v="1.58"/>
    <s v="Withdrawn"/>
    <x v="1"/>
    <n v="0"/>
    <n v="0"/>
    <n v="0"/>
    <m/>
    <n v="4"/>
    <n v="1"/>
    <n v="1"/>
  </r>
  <r>
    <s v="LA-703724"/>
    <d v="2025-06-18T00:00:00"/>
    <x v="1"/>
    <s v="Q2"/>
    <x v="5"/>
    <x v="2"/>
    <x v="1"/>
    <x v="4"/>
    <x v="2"/>
    <x v="1"/>
    <n v="8100"/>
    <n v="109000"/>
    <n v="12"/>
    <n v="1.254"/>
    <s v="Approved"/>
    <x v="1"/>
    <n v="1"/>
    <n v="0"/>
    <n v="109000"/>
    <n v="0.1103"/>
    <n v="9"/>
    <n v="1"/>
    <n v="1"/>
  </r>
  <r>
    <s v="LA-703725"/>
    <d v="2025-06-18T00:00:00"/>
    <x v="1"/>
    <s v="Q2"/>
    <x v="5"/>
    <x v="0"/>
    <x v="3"/>
    <x v="2"/>
    <x v="0"/>
    <x v="2"/>
    <n v="9150"/>
    <n v="42500"/>
    <n v="60"/>
    <n v="0.34"/>
    <s v="Rejected"/>
    <x v="0"/>
    <n v="0"/>
    <n v="1"/>
    <n v="0"/>
    <m/>
    <n v="8"/>
    <n v="0"/>
    <n v="1"/>
  </r>
  <r>
    <s v="LA-703726"/>
    <d v="2025-06-18T00:00:00"/>
    <x v="1"/>
    <s v="Q2"/>
    <x v="5"/>
    <x v="2"/>
    <x v="2"/>
    <x v="2"/>
    <x v="0"/>
    <x v="4"/>
    <n v="2350"/>
    <n v="161000"/>
    <n v="12"/>
    <n v="6.2380000000000004"/>
    <s v="Rejected"/>
    <x v="3"/>
    <n v="0"/>
    <n v="1"/>
    <n v="0"/>
    <m/>
    <n v="14"/>
    <n v="0"/>
    <n v="1"/>
  </r>
  <r>
    <s v="LA-703727"/>
    <d v="2025-06-18T00:00:00"/>
    <x v="1"/>
    <s v="Q2"/>
    <x v="5"/>
    <x v="0"/>
    <x v="3"/>
    <x v="3"/>
    <x v="0"/>
    <x v="1"/>
    <n v="8350"/>
    <n v="28000"/>
    <n v="36"/>
    <n v="0.28199999999999997"/>
    <s v="Approved"/>
    <x v="1"/>
    <n v="1"/>
    <n v="0"/>
    <n v="22500"/>
    <n v="8.4000000000000005E-2"/>
    <n v="3"/>
    <n v="1"/>
    <n v="1"/>
  </r>
  <r>
    <s v="LA-703728"/>
    <d v="2025-06-18T00:00:00"/>
    <x v="1"/>
    <s v="Q2"/>
    <x v="5"/>
    <x v="0"/>
    <x v="1"/>
    <x v="3"/>
    <x v="0"/>
    <x v="1"/>
    <n v="3650"/>
    <n v="39500"/>
    <n v="36"/>
    <n v="0.45300000000000001"/>
    <s v="Approved"/>
    <x v="1"/>
    <n v="1"/>
    <n v="0"/>
    <n v="31500"/>
    <n v="8.0500000000000002E-2"/>
    <n v="2"/>
    <n v="1"/>
    <n v="1"/>
  </r>
  <r>
    <s v="LA-703729"/>
    <d v="2025-06-19T00:00:00"/>
    <x v="1"/>
    <s v="Q2"/>
    <x v="5"/>
    <x v="0"/>
    <x v="2"/>
    <x v="2"/>
    <x v="0"/>
    <x v="2"/>
    <n v="4000"/>
    <n v="26500"/>
    <n v="36"/>
    <n v="0.442"/>
    <s v="Approved"/>
    <x v="1"/>
    <n v="1"/>
    <n v="0"/>
    <n v="26500"/>
    <n v="0.11020000000000001"/>
    <n v="2"/>
    <n v="1"/>
    <n v="1"/>
  </r>
  <r>
    <s v="LA-703730"/>
    <d v="2025-06-19T00:00:00"/>
    <x v="1"/>
    <s v="Q2"/>
    <x v="5"/>
    <x v="1"/>
    <x v="2"/>
    <x v="4"/>
    <x v="0"/>
    <x v="3"/>
    <n v="4350"/>
    <n v="7500"/>
    <n v="48"/>
    <n v="0.23200000000000001"/>
    <s v="Rejected"/>
    <x v="0"/>
    <n v="0"/>
    <n v="1"/>
    <n v="0"/>
    <m/>
    <n v="2"/>
    <n v="1"/>
    <n v="1"/>
  </r>
  <r>
    <s v="LA-703731"/>
    <d v="2025-06-19T00:00:00"/>
    <x v="1"/>
    <s v="Q2"/>
    <x v="5"/>
    <x v="0"/>
    <x v="1"/>
    <x v="3"/>
    <x v="2"/>
    <x v="2"/>
    <n v="9550"/>
    <n v="43500"/>
    <n v="36"/>
    <n v="0.39"/>
    <s v="Rejected"/>
    <x v="0"/>
    <n v="0"/>
    <n v="1"/>
    <n v="0"/>
    <m/>
    <n v="1"/>
    <n v="1"/>
    <n v="1"/>
  </r>
  <r>
    <s v="LA-703732"/>
    <d v="2025-06-19T00:00:00"/>
    <x v="1"/>
    <s v="Q2"/>
    <x v="5"/>
    <x v="1"/>
    <x v="1"/>
    <x v="4"/>
    <x v="1"/>
    <x v="0"/>
    <n v="3750"/>
    <n v="13000"/>
    <n v="48"/>
    <n v="0.23400000000000001"/>
    <s v="Approved"/>
    <x v="1"/>
    <n v="1"/>
    <n v="0"/>
    <n v="13000"/>
    <n v="0.13739999999999999"/>
    <n v="1"/>
    <n v="1"/>
    <n v="1"/>
  </r>
  <r>
    <s v="LA-703733"/>
    <d v="2025-06-19T00:00:00"/>
    <x v="1"/>
    <s v="Q2"/>
    <x v="5"/>
    <x v="3"/>
    <x v="3"/>
    <x v="1"/>
    <x v="1"/>
    <x v="0"/>
    <n v="5600"/>
    <n v="530500"/>
    <n v="180"/>
    <n v="0.871"/>
    <s v="Rejected"/>
    <x v="3"/>
    <n v="0"/>
    <n v="1"/>
    <n v="0"/>
    <m/>
    <n v="12"/>
    <n v="1"/>
    <n v="1"/>
  </r>
  <r>
    <s v="LA-703734"/>
    <d v="2025-06-19T00:00:00"/>
    <x v="1"/>
    <s v="Q2"/>
    <x v="5"/>
    <x v="1"/>
    <x v="3"/>
    <x v="2"/>
    <x v="0"/>
    <x v="0"/>
    <n v="4950"/>
    <n v="10500"/>
    <n v="60"/>
    <n v="0.27400000000000002"/>
    <s v="Rejected"/>
    <x v="0"/>
    <n v="0"/>
    <n v="1"/>
    <n v="0"/>
    <m/>
    <n v="3"/>
    <n v="1"/>
    <n v="1"/>
  </r>
  <r>
    <s v="LA-703735"/>
    <d v="2025-06-19T00:00:00"/>
    <x v="1"/>
    <s v="Q2"/>
    <x v="5"/>
    <x v="0"/>
    <x v="1"/>
    <x v="2"/>
    <x v="2"/>
    <x v="2"/>
    <n v="8500"/>
    <n v="21500"/>
    <n v="36"/>
    <n v="0.25900000000000001"/>
    <s v="Rejected"/>
    <x v="0"/>
    <n v="0"/>
    <n v="1"/>
    <n v="0"/>
    <m/>
    <n v="3"/>
    <n v="1"/>
    <n v="1"/>
  </r>
  <r>
    <s v="LA-703736"/>
    <d v="2025-06-19T00:00:00"/>
    <x v="1"/>
    <s v="Q2"/>
    <x v="5"/>
    <x v="3"/>
    <x v="3"/>
    <x v="2"/>
    <x v="0"/>
    <x v="1"/>
    <n v="5400"/>
    <n v="370000"/>
    <n v="300"/>
    <n v="0.51"/>
    <s v="Rejected"/>
    <x v="4"/>
    <n v="0"/>
    <n v="1"/>
    <n v="0"/>
    <m/>
    <n v="15"/>
    <n v="1"/>
    <n v="1"/>
  </r>
  <r>
    <s v="LA-703737"/>
    <d v="2025-06-19T00:00:00"/>
    <x v="1"/>
    <s v="Q2"/>
    <x v="5"/>
    <x v="0"/>
    <x v="3"/>
    <x v="1"/>
    <x v="0"/>
    <x v="1"/>
    <n v="2950"/>
    <n v="46500"/>
    <n v="48"/>
    <n v="0.45"/>
    <s v="Approved"/>
    <x v="1"/>
    <n v="1"/>
    <n v="0"/>
    <n v="37000"/>
    <n v="8.3900000000000002E-2"/>
    <n v="2"/>
    <n v="1"/>
    <n v="1"/>
  </r>
  <r>
    <s v="LA-703738"/>
    <d v="2025-06-19T00:00:00"/>
    <x v="1"/>
    <s v="Q2"/>
    <x v="5"/>
    <x v="2"/>
    <x v="2"/>
    <x v="1"/>
    <x v="1"/>
    <x v="1"/>
    <n v="5600"/>
    <n v="93500"/>
    <n v="24"/>
    <n v="0.89100000000000001"/>
    <s v="Rejected"/>
    <x v="3"/>
    <n v="0"/>
    <n v="1"/>
    <n v="0"/>
    <m/>
    <n v="7"/>
    <n v="1"/>
    <n v="1"/>
  </r>
  <r>
    <s v="LA-703739"/>
    <d v="2025-06-19T00:00:00"/>
    <x v="1"/>
    <s v="Q2"/>
    <x v="5"/>
    <x v="1"/>
    <x v="3"/>
    <x v="3"/>
    <x v="1"/>
    <x v="2"/>
    <n v="6400"/>
    <n v="14000"/>
    <n v="24"/>
    <n v="0.26200000000000001"/>
    <s v="Rejected"/>
    <x v="0"/>
    <n v="0"/>
    <n v="1"/>
    <n v="0"/>
    <m/>
    <n v="4"/>
    <n v="0"/>
    <n v="1"/>
  </r>
  <r>
    <s v="LA-703740"/>
    <d v="2025-06-19T00:00:00"/>
    <x v="1"/>
    <s v="Q2"/>
    <x v="5"/>
    <x v="2"/>
    <x v="1"/>
    <x v="3"/>
    <x v="2"/>
    <x v="1"/>
    <n v="8800"/>
    <n v="43000"/>
    <n v="12"/>
    <n v="0.52300000000000002"/>
    <s v="Withdrawn"/>
    <x v="1"/>
    <n v="0"/>
    <n v="0"/>
    <n v="0"/>
    <m/>
    <n v="5"/>
    <n v="1"/>
    <n v="1"/>
  </r>
  <r>
    <s v="LA-703741"/>
    <d v="2025-06-20T00:00:00"/>
    <x v="1"/>
    <s v="Q2"/>
    <x v="5"/>
    <x v="1"/>
    <x v="1"/>
    <x v="2"/>
    <x v="0"/>
    <x v="4"/>
    <n v="6700"/>
    <n v="13500"/>
    <n v="12"/>
    <n v="0.35599999999999998"/>
    <s v="Approved"/>
    <x v="1"/>
    <n v="1"/>
    <n v="0"/>
    <n v="13500"/>
    <n v="0.11360000000000001"/>
    <n v="1"/>
    <n v="1"/>
    <n v="1"/>
  </r>
  <r>
    <s v="LA-703742"/>
    <d v="2025-06-20T00:00:00"/>
    <x v="1"/>
    <s v="Q2"/>
    <x v="5"/>
    <x v="2"/>
    <x v="2"/>
    <x v="2"/>
    <x v="1"/>
    <x v="4"/>
    <n v="6650"/>
    <n v="28000"/>
    <n v="36"/>
    <n v="0.20399999999999999"/>
    <s v="Approved"/>
    <x v="1"/>
    <n v="1"/>
    <n v="0"/>
    <n v="28000"/>
    <n v="9.9000000000000005E-2"/>
    <n v="6"/>
    <n v="1"/>
    <n v="1"/>
  </r>
  <r>
    <s v="LA-703743"/>
    <d v="2025-06-20T00:00:00"/>
    <x v="1"/>
    <s v="Q2"/>
    <x v="5"/>
    <x v="2"/>
    <x v="3"/>
    <x v="3"/>
    <x v="1"/>
    <x v="4"/>
    <n v="4850"/>
    <n v="66000"/>
    <n v="60"/>
    <n v="0.48799999999999999"/>
    <s v="Approved"/>
    <x v="1"/>
    <n v="1"/>
    <n v="0"/>
    <n v="53000"/>
    <n v="9.9299999999999999E-2"/>
    <n v="14"/>
    <n v="0"/>
    <n v="1"/>
  </r>
  <r>
    <s v="LA-703744"/>
    <d v="2025-06-20T00:00:00"/>
    <x v="1"/>
    <s v="Q2"/>
    <x v="5"/>
    <x v="0"/>
    <x v="1"/>
    <x v="2"/>
    <x v="0"/>
    <x v="0"/>
    <n v="3700"/>
    <n v="25000"/>
    <n v="48"/>
    <n v="0.27300000000000002"/>
    <s v="Rejected"/>
    <x v="0"/>
    <n v="0"/>
    <n v="1"/>
    <n v="0"/>
    <m/>
    <n v="2"/>
    <n v="1"/>
    <n v="1"/>
  </r>
  <r>
    <s v="LA-703745"/>
    <d v="2025-06-20T00:00:00"/>
    <x v="1"/>
    <s v="Q2"/>
    <x v="5"/>
    <x v="2"/>
    <x v="3"/>
    <x v="1"/>
    <x v="0"/>
    <x v="1"/>
    <n v="4950"/>
    <n v="72000"/>
    <n v="12"/>
    <n v="1.34"/>
    <s v="Rejected"/>
    <x v="3"/>
    <n v="0"/>
    <n v="1"/>
    <n v="0"/>
    <m/>
    <n v="10"/>
    <n v="1"/>
    <n v="1"/>
  </r>
  <r>
    <s v="LA-703746"/>
    <d v="2025-06-20T00:00:00"/>
    <x v="1"/>
    <s v="Q2"/>
    <x v="5"/>
    <x v="1"/>
    <x v="1"/>
    <x v="0"/>
    <x v="1"/>
    <x v="2"/>
    <n v="2250"/>
    <n v="11000"/>
    <n v="36"/>
    <n v="0.36799999999999999"/>
    <s v="Rejected"/>
    <x v="0"/>
    <n v="0"/>
    <n v="1"/>
    <n v="0"/>
    <m/>
    <n v="1"/>
    <n v="1"/>
    <n v="1"/>
  </r>
  <r>
    <s v="LA-703747"/>
    <d v="2025-06-20T00:00:00"/>
    <x v="1"/>
    <s v="Q2"/>
    <x v="5"/>
    <x v="2"/>
    <x v="2"/>
    <x v="2"/>
    <x v="0"/>
    <x v="0"/>
    <n v="4450"/>
    <n v="84500"/>
    <n v="36"/>
    <n v="0.68500000000000005"/>
    <s v="Rejected"/>
    <x v="0"/>
    <n v="0"/>
    <n v="1"/>
    <n v="0"/>
    <m/>
    <n v="5"/>
    <n v="1"/>
    <n v="1"/>
  </r>
  <r>
    <s v="LA-703748"/>
    <d v="2025-06-20T00:00:00"/>
    <x v="1"/>
    <s v="Q2"/>
    <x v="5"/>
    <x v="2"/>
    <x v="2"/>
    <x v="3"/>
    <x v="0"/>
    <x v="0"/>
    <n v="4850"/>
    <n v="106500"/>
    <n v="24"/>
    <n v="1.08"/>
    <s v="Withdrawn"/>
    <x v="1"/>
    <n v="0"/>
    <n v="0"/>
    <n v="0"/>
    <m/>
    <n v="11"/>
    <n v="0"/>
    <n v="1"/>
  </r>
  <r>
    <s v="LA-703749"/>
    <d v="2025-06-20T00:00:00"/>
    <x v="1"/>
    <s v="Q2"/>
    <x v="5"/>
    <x v="1"/>
    <x v="2"/>
    <x v="1"/>
    <x v="2"/>
    <x v="4"/>
    <n v="3550"/>
    <n v="13000"/>
    <n v="36"/>
    <n v="0.23899999999999999"/>
    <s v="Approved"/>
    <x v="1"/>
    <n v="1"/>
    <n v="0"/>
    <n v="13000"/>
    <n v="0.1095"/>
    <n v="2"/>
    <n v="1"/>
    <n v="1"/>
  </r>
  <r>
    <s v="LA-703750"/>
    <d v="2025-06-20T00:00:00"/>
    <x v="1"/>
    <s v="Q2"/>
    <x v="5"/>
    <x v="1"/>
    <x v="2"/>
    <x v="4"/>
    <x v="1"/>
    <x v="3"/>
    <n v="1600"/>
    <n v="14000"/>
    <n v="48"/>
    <n v="0.45600000000000002"/>
    <s v="Approved"/>
    <x v="1"/>
    <n v="1"/>
    <n v="0"/>
    <n v="14000"/>
    <n v="0.1045"/>
    <n v="1"/>
    <n v="1"/>
    <n v="1"/>
  </r>
  <r>
    <s v="LA-703751"/>
    <d v="2025-06-21T00:00:00"/>
    <x v="1"/>
    <s v="Q2"/>
    <x v="5"/>
    <x v="2"/>
    <x v="3"/>
    <x v="2"/>
    <x v="2"/>
    <x v="4"/>
    <n v="5800"/>
    <n v="42500"/>
    <n v="24"/>
    <n v="0.55900000000000005"/>
    <s v="Approved"/>
    <x v="1"/>
    <n v="1"/>
    <n v="0"/>
    <n v="42500"/>
    <n v="9.4899999999999998E-2"/>
    <n v="17"/>
    <n v="0"/>
    <n v="1"/>
  </r>
  <r>
    <s v="LA-703752"/>
    <d v="2025-06-21T00:00:00"/>
    <x v="1"/>
    <s v="Q2"/>
    <x v="5"/>
    <x v="2"/>
    <x v="0"/>
    <x v="2"/>
    <x v="0"/>
    <x v="4"/>
    <n v="3950"/>
    <n v="158500"/>
    <n v="36"/>
    <n v="1.5049999999999999"/>
    <s v="Rejected"/>
    <x v="3"/>
    <n v="0"/>
    <n v="1"/>
    <n v="0"/>
    <m/>
    <n v="12"/>
    <n v="0"/>
    <n v="1"/>
  </r>
  <r>
    <s v="LA-703753"/>
    <d v="2025-06-21T00:00:00"/>
    <x v="1"/>
    <s v="Q2"/>
    <x v="5"/>
    <x v="0"/>
    <x v="2"/>
    <x v="2"/>
    <x v="2"/>
    <x v="1"/>
    <n v="6800"/>
    <n v="30000"/>
    <n v="60"/>
    <n v="0.32900000000000001"/>
    <s v="Approved"/>
    <x v="1"/>
    <n v="1"/>
    <n v="0"/>
    <n v="30000"/>
    <n v="8.3599999999999994E-2"/>
    <n v="4"/>
    <n v="1"/>
    <n v="1"/>
  </r>
  <r>
    <s v="LA-703754"/>
    <d v="2025-06-22T00:00:00"/>
    <x v="1"/>
    <s v="Q2"/>
    <x v="5"/>
    <x v="0"/>
    <x v="1"/>
    <x v="4"/>
    <x v="0"/>
    <x v="4"/>
    <n v="8200"/>
    <n v="57500"/>
    <n v="48"/>
    <n v="0.39200000000000002"/>
    <s v="Approved"/>
    <x v="1"/>
    <n v="1"/>
    <n v="0"/>
    <n v="46000"/>
    <n v="6.5600000000000006E-2"/>
    <n v="2"/>
    <n v="1"/>
    <n v="1"/>
  </r>
  <r>
    <s v="LA-703755"/>
    <d v="2025-06-23T00:00:00"/>
    <x v="1"/>
    <s v="Q2"/>
    <x v="5"/>
    <x v="3"/>
    <x v="1"/>
    <x v="2"/>
    <x v="1"/>
    <x v="1"/>
    <n v="9400"/>
    <n v="196000"/>
    <n v="240"/>
    <n v="0.20100000000000001"/>
    <s v="Rejected"/>
    <x v="2"/>
    <n v="0"/>
    <n v="1"/>
    <n v="0"/>
    <m/>
    <n v="5"/>
    <n v="1"/>
    <n v="1"/>
  </r>
  <r>
    <s v="LA-703756"/>
    <d v="2025-06-23T00:00:00"/>
    <x v="1"/>
    <s v="Q2"/>
    <x v="5"/>
    <x v="0"/>
    <x v="1"/>
    <x v="2"/>
    <x v="1"/>
    <x v="4"/>
    <n v="7100"/>
    <n v="17500"/>
    <n v="60"/>
    <n v="0.24399999999999999"/>
    <s v="Approved"/>
    <x v="1"/>
    <n v="1"/>
    <n v="0"/>
    <n v="17500"/>
    <n v="7.3800000000000004E-2"/>
    <n v="3"/>
    <n v="1"/>
    <n v="1"/>
  </r>
  <r>
    <s v="LA-703757"/>
    <d v="2025-06-23T00:00:00"/>
    <x v="1"/>
    <s v="Q2"/>
    <x v="5"/>
    <x v="0"/>
    <x v="1"/>
    <x v="3"/>
    <x v="1"/>
    <x v="1"/>
    <n v="3600"/>
    <n v="17500"/>
    <n v="60"/>
    <n v="0.30199999999999999"/>
    <s v="Rejected"/>
    <x v="5"/>
    <n v="0"/>
    <n v="1"/>
    <n v="0"/>
    <m/>
    <n v="2"/>
    <n v="1"/>
    <n v="1"/>
  </r>
  <r>
    <s v="LA-703758"/>
    <d v="2025-06-23T00:00:00"/>
    <x v="1"/>
    <s v="Q2"/>
    <x v="5"/>
    <x v="2"/>
    <x v="1"/>
    <x v="3"/>
    <x v="0"/>
    <x v="1"/>
    <n v="12600"/>
    <n v="98000"/>
    <n v="24"/>
    <n v="0.51600000000000001"/>
    <s v="Approved"/>
    <x v="1"/>
    <n v="1"/>
    <n v="0"/>
    <n v="78500"/>
    <n v="0.1103"/>
    <n v="13"/>
    <n v="0"/>
    <n v="1"/>
  </r>
  <r>
    <s v="LA-703759"/>
    <d v="2025-06-23T00:00:00"/>
    <x v="1"/>
    <s v="Q2"/>
    <x v="5"/>
    <x v="0"/>
    <x v="0"/>
    <x v="1"/>
    <x v="1"/>
    <x v="3"/>
    <n v="3000"/>
    <n v="39500"/>
    <n v="60"/>
    <n v="0.45900000000000002"/>
    <s v="Approved"/>
    <x v="1"/>
    <n v="1"/>
    <n v="0"/>
    <n v="31500"/>
    <n v="6.93E-2"/>
    <n v="6"/>
    <n v="0"/>
    <n v="1"/>
  </r>
  <r>
    <s v="LA-703760"/>
    <d v="2025-06-23T00:00:00"/>
    <x v="1"/>
    <s v="Q2"/>
    <x v="5"/>
    <x v="1"/>
    <x v="2"/>
    <x v="4"/>
    <x v="2"/>
    <x v="3"/>
    <n v="4650"/>
    <n v="8000"/>
    <n v="36"/>
    <n v="0.28799999999999998"/>
    <s v="Approved"/>
    <x v="1"/>
    <n v="1"/>
    <n v="0"/>
    <n v="6500"/>
    <n v="0.1076"/>
    <n v="1"/>
    <n v="1"/>
    <n v="1"/>
  </r>
  <r>
    <s v="LA-703761"/>
    <d v="2025-06-23T00:00:00"/>
    <x v="1"/>
    <s v="Q2"/>
    <x v="5"/>
    <x v="2"/>
    <x v="0"/>
    <x v="2"/>
    <x v="0"/>
    <x v="0"/>
    <n v="4700"/>
    <n v="98500"/>
    <n v="12"/>
    <n v="1.901"/>
    <s v="Rejected"/>
    <x v="0"/>
    <n v="0"/>
    <n v="1"/>
    <n v="0"/>
    <m/>
    <n v="10"/>
    <n v="1"/>
    <n v="1"/>
  </r>
  <r>
    <s v="LA-703762"/>
    <d v="2025-06-23T00:00:00"/>
    <x v="1"/>
    <s v="Q2"/>
    <x v="5"/>
    <x v="2"/>
    <x v="2"/>
    <x v="3"/>
    <x v="0"/>
    <x v="4"/>
    <n v="6700"/>
    <n v="142000"/>
    <n v="60"/>
    <n v="0.69099999999999995"/>
    <s v="Rejected"/>
    <x v="3"/>
    <n v="0"/>
    <n v="1"/>
    <n v="0"/>
    <m/>
    <n v="8"/>
    <n v="1"/>
    <n v="1"/>
  </r>
  <r>
    <s v="LA-703763"/>
    <d v="2025-06-23T00:00:00"/>
    <x v="1"/>
    <s v="Q2"/>
    <x v="5"/>
    <x v="1"/>
    <x v="3"/>
    <x v="3"/>
    <x v="1"/>
    <x v="0"/>
    <n v="6450"/>
    <n v="19500"/>
    <n v="24"/>
    <n v="0.317"/>
    <s v="Approved"/>
    <x v="1"/>
    <n v="1"/>
    <n v="0"/>
    <n v="19500"/>
    <n v="0.1434"/>
    <n v="4"/>
    <n v="0"/>
    <n v="1"/>
  </r>
  <r>
    <s v="LA-703764"/>
    <d v="2025-06-23T00:00:00"/>
    <x v="1"/>
    <s v="Q2"/>
    <x v="5"/>
    <x v="0"/>
    <x v="2"/>
    <x v="3"/>
    <x v="0"/>
    <x v="3"/>
    <n v="9800"/>
    <n v="26500"/>
    <n v="60"/>
    <n v="0.3"/>
    <s v="Approved"/>
    <x v="1"/>
    <n v="1"/>
    <n v="0"/>
    <n v="21000"/>
    <n v="6.2799999999999995E-2"/>
    <n v="3"/>
    <n v="1"/>
    <n v="1"/>
  </r>
  <r>
    <s v="LA-703765"/>
    <d v="2025-06-24T00:00:00"/>
    <x v="1"/>
    <s v="Q2"/>
    <x v="5"/>
    <x v="1"/>
    <x v="3"/>
    <x v="1"/>
    <x v="0"/>
    <x v="1"/>
    <n v="6500"/>
    <n v="19500"/>
    <n v="24"/>
    <n v="0.219"/>
    <s v="Approved"/>
    <x v="1"/>
    <n v="1"/>
    <n v="0"/>
    <n v="17500"/>
    <n v="0.13009999999999999"/>
    <n v="3"/>
    <n v="1"/>
    <n v="1"/>
  </r>
  <r>
    <s v="LA-703766"/>
    <d v="2025-06-24T00:00:00"/>
    <x v="1"/>
    <s v="Q2"/>
    <x v="5"/>
    <x v="1"/>
    <x v="2"/>
    <x v="1"/>
    <x v="1"/>
    <x v="4"/>
    <n v="7450"/>
    <n v="12500"/>
    <n v="24"/>
    <n v="0.187"/>
    <s v="Approved"/>
    <x v="1"/>
    <n v="1"/>
    <n v="0"/>
    <n v="11000"/>
    <n v="0.1183"/>
    <n v="1"/>
    <n v="1"/>
    <n v="1"/>
  </r>
  <r>
    <s v="LA-703767"/>
    <d v="2025-06-24T00:00:00"/>
    <x v="1"/>
    <s v="Q2"/>
    <x v="5"/>
    <x v="0"/>
    <x v="1"/>
    <x v="0"/>
    <x v="1"/>
    <x v="0"/>
    <n v="8950"/>
    <n v="57500"/>
    <n v="48"/>
    <n v="0.246"/>
    <s v="Approved"/>
    <x v="1"/>
    <n v="1"/>
    <n v="0"/>
    <n v="57500"/>
    <n v="9.7900000000000001E-2"/>
    <n v="4"/>
    <n v="1"/>
    <n v="1"/>
  </r>
  <r>
    <s v="LA-703768"/>
    <d v="2025-06-24T00:00:00"/>
    <x v="1"/>
    <s v="Q2"/>
    <x v="5"/>
    <x v="0"/>
    <x v="0"/>
    <x v="1"/>
    <x v="2"/>
    <x v="2"/>
    <n v="9100"/>
    <n v="49500"/>
    <n v="48"/>
    <n v="0.34100000000000003"/>
    <s v="Rejected"/>
    <x v="4"/>
    <n v="0"/>
    <n v="1"/>
    <n v="0"/>
    <m/>
    <n v="6"/>
    <n v="0"/>
    <n v="1"/>
  </r>
  <r>
    <s v="LA-703769"/>
    <d v="2025-06-24T00:00:00"/>
    <x v="1"/>
    <s v="Q2"/>
    <x v="5"/>
    <x v="2"/>
    <x v="2"/>
    <x v="3"/>
    <x v="2"/>
    <x v="1"/>
    <n v="7550"/>
    <n v="89000"/>
    <n v="36"/>
    <n v="0.47799999999999998"/>
    <s v="Approved"/>
    <x v="1"/>
    <n v="1"/>
    <n v="0"/>
    <n v="89000"/>
    <n v="0.10730000000000001"/>
    <n v="7"/>
    <n v="1"/>
    <n v="1"/>
  </r>
  <r>
    <s v="LA-703770"/>
    <d v="2025-06-24T00:00:00"/>
    <x v="1"/>
    <s v="Q2"/>
    <x v="5"/>
    <x v="3"/>
    <x v="1"/>
    <x v="3"/>
    <x v="2"/>
    <x v="1"/>
    <n v="7950"/>
    <n v="185500"/>
    <n v="240"/>
    <n v="0.23400000000000001"/>
    <s v="Approved"/>
    <x v="1"/>
    <n v="1"/>
    <n v="0"/>
    <n v="148500"/>
    <n v="5.7599999999999998E-2"/>
    <n v="7"/>
    <n v="1"/>
    <n v="1"/>
  </r>
  <r>
    <s v="LA-703771"/>
    <d v="2025-06-24T00:00:00"/>
    <x v="1"/>
    <s v="Q2"/>
    <x v="5"/>
    <x v="0"/>
    <x v="2"/>
    <x v="1"/>
    <x v="0"/>
    <x v="3"/>
    <n v="6600"/>
    <n v="19000"/>
    <n v="60"/>
    <n v="0.23599999999999999"/>
    <s v="Approved"/>
    <x v="1"/>
    <n v="1"/>
    <n v="0"/>
    <n v="19000"/>
    <n v="6.2100000000000002E-2"/>
    <n v="2"/>
    <n v="1"/>
    <n v="1"/>
  </r>
  <r>
    <s v="LA-703772"/>
    <d v="2025-06-24T00:00:00"/>
    <x v="1"/>
    <s v="Q2"/>
    <x v="5"/>
    <x v="0"/>
    <x v="1"/>
    <x v="2"/>
    <x v="2"/>
    <x v="1"/>
    <n v="4950"/>
    <n v="27000"/>
    <n v="60"/>
    <n v="0.19900000000000001"/>
    <s v="Approved"/>
    <x v="1"/>
    <n v="1"/>
    <n v="0"/>
    <n v="21500"/>
    <n v="8.0600000000000005E-2"/>
    <n v="2"/>
    <n v="1"/>
    <n v="1"/>
  </r>
  <r>
    <s v="LA-703773"/>
    <d v="2025-06-24T00:00:00"/>
    <x v="1"/>
    <s v="Q2"/>
    <x v="5"/>
    <x v="2"/>
    <x v="3"/>
    <x v="2"/>
    <x v="0"/>
    <x v="4"/>
    <n v="4350"/>
    <n v="52000"/>
    <n v="36"/>
    <n v="0.48"/>
    <s v="Approved"/>
    <x v="1"/>
    <n v="1"/>
    <n v="0"/>
    <n v="52000"/>
    <n v="9.69E-2"/>
    <n v="15"/>
    <n v="0"/>
    <n v="1"/>
  </r>
  <r>
    <s v="LA-703774"/>
    <d v="2025-06-24T00:00:00"/>
    <x v="1"/>
    <s v="Q2"/>
    <x v="5"/>
    <x v="0"/>
    <x v="3"/>
    <x v="2"/>
    <x v="0"/>
    <x v="4"/>
    <n v="8650"/>
    <n v="18500"/>
    <n v="48"/>
    <n v="0.217"/>
    <s v="Approved"/>
    <x v="1"/>
    <n v="1"/>
    <n v="0"/>
    <n v="18500"/>
    <n v="6.7100000000000007E-2"/>
    <n v="5"/>
    <n v="0"/>
    <n v="1"/>
  </r>
  <r>
    <s v="LA-703775"/>
    <d v="2025-06-24T00:00:00"/>
    <x v="1"/>
    <s v="Q2"/>
    <x v="5"/>
    <x v="2"/>
    <x v="1"/>
    <x v="1"/>
    <x v="0"/>
    <x v="2"/>
    <n v="8500"/>
    <n v="102500"/>
    <n v="36"/>
    <n v="0.55400000000000005"/>
    <s v="Rejected"/>
    <x v="0"/>
    <n v="0"/>
    <n v="1"/>
    <n v="0"/>
    <m/>
    <n v="7"/>
    <n v="1"/>
    <n v="1"/>
  </r>
  <r>
    <s v="LA-703776"/>
    <d v="2025-06-25T00:00:00"/>
    <x v="1"/>
    <s v="Q2"/>
    <x v="5"/>
    <x v="1"/>
    <x v="3"/>
    <x v="3"/>
    <x v="0"/>
    <x v="4"/>
    <n v="4300"/>
    <n v="35500"/>
    <n v="48"/>
    <n v="0.433"/>
    <s v="Rejected"/>
    <x v="4"/>
    <n v="0"/>
    <n v="1"/>
    <n v="0"/>
    <m/>
    <n v="7"/>
    <n v="0"/>
    <n v="1"/>
  </r>
  <r>
    <s v="LA-703777"/>
    <d v="2025-06-25T00:00:00"/>
    <x v="1"/>
    <s v="Q2"/>
    <x v="5"/>
    <x v="2"/>
    <x v="1"/>
    <x v="2"/>
    <x v="0"/>
    <x v="4"/>
    <n v="2300"/>
    <n v="160500"/>
    <n v="36"/>
    <n v="2.444"/>
    <s v="Rejected"/>
    <x v="3"/>
    <n v="0"/>
    <n v="1"/>
    <n v="0"/>
    <m/>
    <n v="3"/>
    <n v="1"/>
    <n v="1"/>
  </r>
  <r>
    <s v="LA-703778"/>
    <d v="2025-06-25T00:00:00"/>
    <x v="1"/>
    <s v="Q2"/>
    <x v="5"/>
    <x v="3"/>
    <x v="2"/>
    <x v="3"/>
    <x v="0"/>
    <x v="1"/>
    <n v="6150"/>
    <n v="281000"/>
    <n v="300"/>
    <n v="0.46500000000000002"/>
    <s v="Approved"/>
    <x v="1"/>
    <n v="1"/>
    <n v="0"/>
    <n v="281000"/>
    <n v="6.1199999999999997E-2"/>
    <n v="4"/>
    <n v="1"/>
    <n v="1"/>
  </r>
  <r>
    <s v="LA-703779"/>
    <d v="2025-06-25T00:00:00"/>
    <x v="1"/>
    <s v="Q2"/>
    <x v="5"/>
    <x v="3"/>
    <x v="2"/>
    <x v="3"/>
    <x v="0"/>
    <x v="1"/>
    <n v="4850"/>
    <n v="197500"/>
    <n v="300"/>
    <n v="0.40500000000000003"/>
    <s v="Approved"/>
    <x v="1"/>
    <n v="1"/>
    <n v="0"/>
    <n v="178000"/>
    <n v="5.7700000000000001E-2"/>
    <n v="9"/>
    <n v="1"/>
    <n v="1"/>
  </r>
  <r>
    <s v="LA-703780"/>
    <d v="2025-06-25T00:00:00"/>
    <x v="1"/>
    <s v="Q2"/>
    <x v="5"/>
    <x v="2"/>
    <x v="3"/>
    <x v="3"/>
    <x v="2"/>
    <x v="2"/>
    <n v="7850"/>
    <n v="76000"/>
    <n v="60"/>
    <n v="0.36699999999999999"/>
    <s v="Rejected"/>
    <x v="0"/>
    <n v="0"/>
    <n v="1"/>
    <n v="0"/>
    <m/>
    <n v="8"/>
    <n v="1"/>
    <n v="1"/>
  </r>
  <r>
    <s v="LA-703781"/>
    <d v="2025-06-26T00:00:00"/>
    <x v="1"/>
    <s v="Q2"/>
    <x v="5"/>
    <x v="0"/>
    <x v="2"/>
    <x v="4"/>
    <x v="0"/>
    <x v="1"/>
    <n v="5800"/>
    <n v="40500"/>
    <n v="48"/>
    <n v="0.30299999999999999"/>
    <s v="Approved"/>
    <x v="1"/>
    <n v="1"/>
    <n v="0"/>
    <n v="36500"/>
    <n v="7.6200000000000004E-2"/>
    <n v="2"/>
    <n v="1"/>
    <n v="1"/>
  </r>
  <r>
    <s v="LA-703782"/>
    <d v="2025-06-26T00:00:00"/>
    <x v="1"/>
    <s v="Q2"/>
    <x v="5"/>
    <x v="2"/>
    <x v="0"/>
    <x v="2"/>
    <x v="0"/>
    <x v="2"/>
    <n v="3150"/>
    <n v="112500"/>
    <n v="60"/>
    <n v="0.85399999999999998"/>
    <s v="Rejected"/>
    <x v="0"/>
    <n v="0"/>
    <n v="1"/>
    <n v="0"/>
    <m/>
    <n v="8"/>
    <n v="1"/>
    <n v="1"/>
  </r>
  <r>
    <s v="LA-703783"/>
    <d v="2025-06-26T00:00:00"/>
    <x v="1"/>
    <s v="Q2"/>
    <x v="5"/>
    <x v="2"/>
    <x v="3"/>
    <x v="2"/>
    <x v="2"/>
    <x v="4"/>
    <n v="4600"/>
    <n v="128500"/>
    <n v="36"/>
    <n v="0.99399999999999999"/>
    <s v="Rejected"/>
    <x v="3"/>
    <n v="0"/>
    <n v="1"/>
    <n v="0"/>
    <m/>
    <n v="9"/>
    <n v="1"/>
    <n v="1"/>
  </r>
  <r>
    <s v="LA-703784"/>
    <d v="2025-06-26T00:00:00"/>
    <x v="1"/>
    <s v="Q2"/>
    <x v="5"/>
    <x v="0"/>
    <x v="3"/>
    <x v="2"/>
    <x v="0"/>
    <x v="0"/>
    <n v="3200"/>
    <n v="40500"/>
    <n v="48"/>
    <n v="0.40699999999999997"/>
    <s v="Rejected"/>
    <x v="0"/>
    <n v="0"/>
    <n v="1"/>
    <n v="0"/>
    <m/>
    <n v="7"/>
    <n v="0"/>
    <n v="1"/>
  </r>
  <r>
    <s v="LA-703785"/>
    <d v="2025-06-26T00:00:00"/>
    <x v="1"/>
    <s v="Q2"/>
    <x v="5"/>
    <x v="0"/>
    <x v="3"/>
    <x v="3"/>
    <x v="2"/>
    <x v="1"/>
    <n v="7750"/>
    <n v="42000"/>
    <n v="48"/>
    <n v="0.27300000000000002"/>
    <s v="Rejected"/>
    <x v="2"/>
    <n v="0"/>
    <n v="1"/>
    <n v="0"/>
    <m/>
    <n v="6"/>
    <n v="0"/>
    <n v="1"/>
  </r>
  <r>
    <s v="LA-703786"/>
    <d v="2025-06-27T00:00:00"/>
    <x v="1"/>
    <s v="Q2"/>
    <x v="5"/>
    <x v="0"/>
    <x v="2"/>
    <x v="3"/>
    <x v="1"/>
    <x v="0"/>
    <n v="6350"/>
    <n v="22000"/>
    <n v="36"/>
    <n v="0.317"/>
    <s v="Approved"/>
    <x v="1"/>
    <n v="1"/>
    <n v="0"/>
    <n v="22000"/>
    <n v="9.4799999999999995E-2"/>
    <n v="1"/>
    <n v="1"/>
    <n v="1"/>
  </r>
  <r>
    <s v="LA-703787"/>
    <d v="2025-06-27T00:00:00"/>
    <x v="1"/>
    <s v="Q2"/>
    <x v="5"/>
    <x v="2"/>
    <x v="0"/>
    <x v="3"/>
    <x v="1"/>
    <x v="1"/>
    <n v="4600"/>
    <n v="74500"/>
    <n v="12"/>
    <n v="1.5"/>
    <s v="Rejected"/>
    <x v="3"/>
    <n v="0"/>
    <n v="1"/>
    <n v="0"/>
    <m/>
    <n v="6"/>
    <n v="1"/>
    <n v="1"/>
  </r>
  <r>
    <s v="LA-703788"/>
    <d v="2025-06-27T00:00:00"/>
    <x v="1"/>
    <s v="Q2"/>
    <x v="5"/>
    <x v="1"/>
    <x v="2"/>
    <x v="4"/>
    <x v="1"/>
    <x v="1"/>
    <n v="3200"/>
    <n v="10000"/>
    <n v="48"/>
    <n v="0.189"/>
    <s v="Approved"/>
    <x v="1"/>
    <n v="1"/>
    <n v="0"/>
    <n v="10000"/>
    <n v="0.12759999999999999"/>
    <n v="3"/>
    <n v="1"/>
    <n v="1"/>
  </r>
  <r>
    <s v="LA-703789"/>
    <d v="2025-06-30T00:00:00"/>
    <x v="1"/>
    <s v="Q2"/>
    <x v="5"/>
    <x v="0"/>
    <x v="1"/>
    <x v="1"/>
    <x v="1"/>
    <x v="0"/>
    <n v="4450"/>
    <n v="19000"/>
    <n v="36"/>
    <n v="0.21099999999999999"/>
    <s v="Approved"/>
    <x v="1"/>
    <n v="1"/>
    <n v="0"/>
    <n v="17000"/>
    <n v="9.8100000000000007E-2"/>
    <n v="2"/>
    <n v="1"/>
    <n v="1"/>
  </r>
  <r>
    <s v="LA-703790"/>
    <d v="2025-06-30T00:00:00"/>
    <x v="1"/>
    <s v="Q2"/>
    <x v="5"/>
    <x v="0"/>
    <x v="2"/>
    <x v="2"/>
    <x v="0"/>
    <x v="4"/>
    <n v="4950"/>
    <n v="15000"/>
    <n v="36"/>
    <n v="0.22700000000000001"/>
    <s v="Approved"/>
    <x v="1"/>
    <n v="1"/>
    <n v="0"/>
    <n v="15000"/>
    <n v="7.2300000000000003E-2"/>
    <n v="3"/>
    <n v="1"/>
    <n v="1"/>
  </r>
  <r>
    <s v="LA-703791"/>
    <d v="2025-06-30T00:00:00"/>
    <x v="1"/>
    <s v="Q2"/>
    <x v="5"/>
    <x v="2"/>
    <x v="2"/>
    <x v="4"/>
    <x v="0"/>
    <x v="4"/>
    <n v="3700"/>
    <n v="88000"/>
    <n v="60"/>
    <n v="0.66500000000000004"/>
    <s v="Approved"/>
    <x v="1"/>
    <n v="1"/>
    <n v="0"/>
    <n v="88000"/>
    <n v="0.10009999999999999"/>
    <n v="12"/>
    <n v="0"/>
    <n v="1"/>
  </r>
  <r>
    <s v="LA-703792"/>
    <d v="2025-06-30T00:00:00"/>
    <x v="1"/>
    <s v="Q2"/>
    <x v="5"/>
    <x v="1"/>
    <x v="3"/>
    <x v="3"/>
    <x v="2"/>
    <x v="2"/>
    <n v="7200"/>
    <n v="11000"/>
    <n v="36"/>
    <n v="0.182"/>
    <s v="Rejected"/>
    <x v="2"/>
    <n v="0"/>
    <n v="1"/>
    <n v="0"/>
    <m/>
    <n v="4"/>
    <n v="0"/>
    <n v="1"/>
  </r>
  <r>
    <s v="LA-703793"/>
    <d v="2025-06-30T00:00:00"/>
    <x v="1"/>
    <s v="Q2"/>
    <x v="5"/>
    <x v="0"/>
    <x v="0"/>
    <x v="1"/>
    <x v="0"/>
    <x v="4"/>
    <n v="15700"/>
    <n v="34500"/>
    <n v="36"/>
    <n v="0.17899999999999999"/>
    <s v="Approved"/>
    <x v="1"/>
    <n v="1"/>
    <n v="0"/>
    <n v="34500"/>
    <n v="7.1300000000000002E-2"/>
    <n v="4"/>
    <n v="1"/>
    <n v="1"/>
  </r>
  <r>
    <s v="LA-703794"/>
    <d v="2025-06-30T00:00:00"/>
    <x v="1"/>
    <s v="Q2"/>
    <x v="5"/>
    <x v="1"/>
    <x v="1"/>
    <x v="1"/>
    <x v="1"/>
    <x v="1"/>
    <n v="4650"/>
    <n v="8000"/>
    <n v="36"/>
    <n v="0.16800000000000001"/>
    <s v="Approved"/>
    <x v="1"/>
    <n v="1"/>
    <n v="0"/>
    <n v="6500"/>
    <n v="0.12809999999999999"/>
    <n v="1"/>
    <n v="1"/>
    <n v="1"/>
  </r>
  <r>
    <s v="LA-703795"/>
    <d v="2025-06-30T00:00:00"/>
    <x v="1"/>
    <s v="Q2"/>
    <x v="5"/>
    <x v="1"/>
    <x v="2"/>
    <x v="3"/>
    <x v="2"/>
    <x v="2"/>
    <n v="12550"/>
    <n v="7500"/>
    <n v="48"/>
    <n v="8.2000000000000003E-2"/>
    <s v="Rejected"/>
    <x v="4"/>
    <n v="0"/>
    <n v="1"/>
    <n v="0"/>
    <m/>
    <n v="7"/>
    <n v="0"/>
    <n v="1"/>
  </r>
  <r>
    <s v="LA-703796"/>
    <d v="2025-06-30T00:00:00"/>
    <x v="1"/>
    <s v="Q2"/>
    <x v="5"/>
    <x v="3"/>
    <x v="0"/>
    <x v="2"/>
    <x v="1"/>
    <x v="1"/>
    <n v="12250"/>
    <n v="405500"/>
    <n v="240"/>
    <n v="0.35299999999999998"/>
    <s v="Rejected"/>
    <x v="2"/>
    <n v="0"/>
    <n v="1"/>
    <n v="0"/>
    <m/>
    <n v="15"/>
    <n v="1"/>
    <n v="1"/>
  </r>
  <r>
    <s v="LA-703797"/>
    <d v="2025-06-30T00:00:00"/>
    <x v="1"/>
    <s v="Q2"/>
    <x v="5"/>
    <x v="3"/>
    <x v="2"/>
    <x v="4"/>
    <x v="1"/>
    <x v="0"/>
    <n v="4750"/>
    <n v="575500"/>
    <n v="180"/>
    <n v="1.0469999999999999"/>
    <s v="Rejected"/>
    <x v="0"/>
    <n v="0"/>
    <n v="1"/>
    <n v="0"/>
    <m/>
    <n v="7"/>
    <n v="1"/>
    <n v="1"/>
  </r>
  <r>
    <s v="LA-703798"/>
    <d v="2025-06-30T00:00:00"/>
    <x v="1"/>
    <s v="Q2"/>
    <x v="5"/>
    <x v="0"/>
    <x v="3"/>
    <x v="3"/>
    <x v="0"/>
    <x v="1"/>
    <n v="4950"/>
    <n v="21500"/>
    <n v="48"/>
    <n v="0.312"/>
    <s v="Approved"/>
    <x v="1"/>
    <n v="1"/>
    <n v="0"/>
    <n v="21500"/>
    <n v="7.8899999999999998E-2"/>
    <n v="9"/>
    <n v="0"/>
    <n v="1"/>
  </r>
  <r>
    <s v="LA-703799"/>
    <d v="2025-07-01T00:00:00"/>
    <x v="1"/>
    <s v="Q3"/>
    <x v="6"/>
    <x v="1"/>
    <x v="3"/>
    <x v="2"/>
    <x v="1"/>
    <x v="1"/>
    <n v="3500"/>
    <n v="12000"/>
    <n v="24"/>
    <n v="0.22500000000000001"/>
    <s v="Approved"/>
    <x v="1"/>
    <n v="1"/>
    <n v="0"/>
    <n v="11000"/>
    <n v="0.1237"/>
    <n v="6"/>
    <n v="0"/>
    <n v="1"/>
  </r>
  <r>
    <s v="LA-703800"/>
    <d v="2025-07-01T00:00:00"/>
    <x v="1"/>
    <s v="Q3"/>
    <x v="6"/>
    <x v="0"/>
    <x v="3"/>
    <x v="1"/>
    <x v="2"/>
    <x v="4"/>
    <n v="4550"/>
    <n v="37500"/>
    <n v="60"/>
    <n v="0.22600000000000001"/>
    <s v="Approved"/>
    <x v="1"/>
    <n v="1"/>
    <n v="0"/>
    <n v="34000"/>
    <n v="7.5499999999999998E-2"/>
    <n v="4"/>
    <n v="1"/>
    <n v="1"/>
  </r>
  <r>
    <s v="LA-703801"/>
    <d v="2025-07-01T00:00:00"/>
    <x v="1"/>
    <s v="Q3"/>
    <x v="6"/>
    <x v="1"/>
    <x v="2"/>
    <x v="3"/>
    <x v="1"/>
    <x v="0"/>
    <n v="7950"/>
    <n v="19000"/>
    <n v="12"/>
    <n v="0.33500000000000002"/>
    <s v="Rejected"/>
    <x v="0"/>
    <n v="0"/>
    <n v="1"/>
    <n v="0"/>
    <m/>
    <n v="2"/>
    <n v="1"/>
    <n v="1"/>
  </r>
  <r>
    <s v="LA-703802"/>
    <d v="2025-07-01T00:00:00"/>
    <x v="1"/>
    <s v="Q3"/>
    <x v="6"/>
    <x v="3"/>
    <x v="0"/>
    <x v="1"/>
    <x v="0"/>
    <x v="0"/>
    <n v="2200"/>
    <n v="153500"/>
    <n v="300"/>
    <n v="0.57699999999999996"/>
    <s v="Approved"/>
    <x v="1"/>
    <n v="1"/>
    <n v="0"/>
    <n v="153500"/>
    <n v="7.1800000000000003E-2"/>
    <n v="10"/>
    <n v="1"/>
    <n v="1"/>
  </r>
  <r>
    <s v="LA-703803"/>
    <d v="2025-07-01T00:00:00"/>
    <x v="1"/>
    <s v="Q3"/>
    <x v="6"/>
    <x v="2"/>
    <x v="2"/>
    <x v="2"/>
    <x v="1"/>
    <x v="1"/>
    <n v="6700"/>
    <n v="212000"/>
    <n v="24"/>
    <n v="1.6339999999999999"/>
    <s v="Rejected"/>
    <x v="3"/>
    <n v="0"/>
    <n v="1"/>
    <n v="0"/>
    <m/>
    <n v="8"/>
    <n v="1"/>
    <n v="1"/>
  </r>
  <r>
    <s v="LA-703804"/>
    <d v="2025-07-01T00:00:00"/>
    <x v="1"/>
    <s v="Q3"/>
    <x v="6"/>
    <x v="2"/>
    <x v="3"/>
    <x v="3"/>
    <x v="1"/>
    <x v="4"/>
    <n v="5150"/>
    <n v="132000"/>
    <n v="60"/>
    <n v="0.68400000000000005"/>
    <s v="Rejected"/>
    <x v="3"/>
    <n v="0"/>
    <n v="1"/>
    <n v="0"/>
    <m/>
    <n v="16"/>
    <n v="0"/>
    <n v="1"/>
  </r>
  <r>
    <s v="LA-703805"/>
    <d v="2025-07-02T00:00:00"/>
    <x v="1"/>
    <s v="Q3"/>
    <x v="6"/>
    <x v="1"/>
    <x v="2"/>
    <x v="3"/>
    <x v="0"/>
    <x v="4"/>
    <n v="5900"/>
    <n v="17500"/>
    <n v="36"/>
    <n v="0.29199999999999998"/>
    <s v="Approved"/>
    <x v="1"/>
    <n v="1"/>
    <n v="0"/>
    <n v="17500"/>
    <n v="0.1147"/>
    <n v="2"/>
    <n v="1"/>
    <n v="1"/>
  </r>
  <r>
    <s v="LA-703806"/>
    <d v="2025-07-02T00:00:00"/>
    <x v="1"/>
    <s v="Q3"/>
    <x v="6"/>
    <x v="1"/>
    <x v="1"/>
    <x v="1"/>
    <x v="1"/>
    <x v="4"/>
    <n v="5500"/>
    <n v="9000"/>
    <n v="36"/>
    <n v="0.19500000000000001"/>
    <s v="Approved"/>
    <x v="1"/>
    <n v="1"/>
    <n v="0"/>
    <n v="7000"/>
    <n v="0.11509999999999999"/>
    <n v="2"/>
    <n v="1"/>
    <n v="1"/>
  </r>
  <r>
    <s v="LA-703807"/>
    <d v="2025-07-02T00:00:00"/>
    <x v="1"/>
    <s v="Q3"/>
    <x v="6"/>
    <x v="0"/>
    <x v="2"/>
    <x v="4"/>
    <x v="0"/>
    <x v="4"/>
    <n v="11350"/>
    <n v="18500"/>
    <n v="48"/>
    <n v="0.25900000000000001"/>
    <s v="Approved"/>
    <x v="1"/>
    <n v="1"/>
    <n v="0"/>
    <n v="18500"/>
    <n v="7.2300000000000003E-2"/>
    <n v="2"/>
    <n v="1"/>
    <n v="1"/>
  </r>
  <r>
    <s v="LA-703808"/>
    <d v="2025-07-02T00:00:00"/>
    <x v="1"/>
    <s v="Q3"/>
    <x v="6"/>
    <x v="2"/>
    <x v="0"/>
    <x v="2"/>
    <x v="0"/>
    <x v="3"/>
    <n v="5700"/>
    <n v="87500"/>
    <n v="12"/>
    <n v="1.4930000000000001"/>
    <s v="Withdrawn"/>
    <x v="1"/>
    <n v="0"/>
    <n v="0"/>
    <n v="0"/>
    <m/>
    <n v="6"/>
    <n v="1"/>
    <n v="1"/>
  </r>
  <r>
    <s v="LA-703809"/>
    <d v="2025-07-02T00:00:00"/>
    <x v="1"/>
    <s v="Q3"/>
    <x v="6"/>
    <x v="0"/>
    <x v="3"/>
    <x v="2"/>
    <x v="2"/>
    <x v="0"/>
    <n v="9550"/>
    <n v="22000"/>
    <n v="48"/>
    <n v="0.21199999999999999"/>
    <s v="Rejected"/>
    <x v="2"/>
    <n v="0"/>
    <n v="1"/>
    <n v="0"/>
    <m/>
    <n v="6"/>
    <n v="0"/>
    <n v="1"/>
  </r>
  <r>
    <s v="LA-703810"/>
    <d v="2025-07-02T00:00:00"/>
    <x v="1"/>
    <s v="Q3"/>
    <x v="6"/>
    <x v="0"/>
    <x v="1"/>
    <x v="0"/>
    <x v="2"/>
    <x v="1"/>
    <n v="7400"/>
    <n v="45000"/>
    <n v="48"/>
    <n v="0.34200000000000003"/>
    <s v="Approved"/>
    <x v="1"/>
    <n v="1"/>
    <n v="0"/>
    <n v="40500"/>
    <n v="8.3599999999999994E-2"/>
    <n v="3"/>
    <n v="1"/>
    <n v="1"/>
  </r>
  <r>
    <s v="LA-703811"/>
    <d v="2025-07-02T00:00:00"/>
    <x v="1"/>
    <s v="Q3"/>
    <x v="6"/>
    <x v="2"/>
    <x v="1"/>
    <x v="2"/>
    <x v="0"/>
    <x v="0"/>
    <n v="5350"/>
    <n v="63500"/>
    <n v="60"/>
    <n v="0.45900000000000002"/>
    <s v="Rejected"/>
    <x v="4"/>
    <n v="0"/>
    <n v="1"/>
    <n v="0"/>
    <m/>
    <n v="8"/>
    <n v="1"/>
    <n v="1"/>
  </r>
  <r>
    <s v="LA-703812"/>
    <d v="2025-07-02T00:00:00"/>
    <x v="1"/>
    <s v="Q3"/>
    <x v="6"/>
    <x v="1"/>
    <x v="3"/>
    <x v="3"/>
    <x v="0"/>
    <x v="3"/>
    <n v="6400"/>
    <n v="18000"/>
    <n v="48"/>
    <n v="0.156"/>
    <s v="Approved"/>
    <x v="1"/>
    <n v="1"/>
    <n v="0"/>
    <n v="18000"/>
    <n v="0.1075"/>
    <n v="2"/>
    <n v="1"/>
    <n v="1"/>
  </r>
  <r>
    <s v="LA-703813"/>
    <d v="2025-07-03T00:00:00"/>
    <x v="1"/>
    <s v="Q3"/>
    <x v="6"/>
    <x v="2"/>
    <x v="2"/>
    <x v="2"/>
    <x v="2"/>
    <x v="1"/>
    <n v="10100"/>
    <n v="50000"/>
    <n v="36"/>
    <n v="0.35199999999999998"/>
    <s v="Approved"/>
    <x v="1"/>
    <n v="1"/>
    <n v="0"/>
    <n v="45000"/>
    <n v="0.107"/>
    <n v="8"/>
    <n v="1"/>
    <n v="1"/>
  </r>
  <r>
    <s v="LA-703814"/>
    <d v="2025-07-03T00:00:00"/>
    <x v="1"/>
    <s v="Q3"/>
    <x v="6"/>
    <x v="2"/>
    <x v="1"/>
    <x v="4"/>
    <x v="0"/>
    <x v="1"/>
    <n v="8600"/>
    <n v="37500"/>
    <n v="12"/>
    <n v="0.53600000000000003"/>
    <s v="Approved"/>
    <x v="1"/>
    <n v="1"/>
    <n v="0"/>
    <n v="37500"/>
    <n v="0.1072"/>
    <n v="4"/>
    <n v="1"/>
    <n v="1"/>
  </r>
  <r>
    <s v="LA-703815"/>
    <d v="2025-07-03T00:00:00"/>
    <x v="1"/>
    <s v="Q3"/>
    <x v="6"/>
    <x v="2"/>
    <x v="2"/>
    <x v="3"/>
    <x v="1"/>
    <x v="0"/>
    <n v="3250"/>
    <n v="99000"/>
    <n v="60"/>
    <n v="0.71099999999999997"/>
    <s v="Approved"/>
    <x v="1"/>
    <n v="1"/>
    <n v="0"/>
    <n v="79000"/>
    <n v="0.125"/>
    <n v="4"/>
    <n v="1"/>
    <n v="1"/>
  </r>
  <r>
    <s v="LA-703816"/>
    <d v="2025-07-03T00:00:00"/>
    <x v="1"/>
    <s v="Q3"/>
    <x v="6"/>
    <x v="0"/>
    <x v="0"/>
    <x v="2"/>
    <x v="1"/>
    <x v="1"/>
    <n v="6000"/>
    <n v="36500"/>
    <n v="60"/>
    <n v="0.27500000000000002"/>
    <s v="Rejected"/>
    <x v="5"/>
    <n v="0"/>
    <n v="1"/>
    <n v="0"/>
    <m/>
    <n v="3"/>
    <n v="1"/>
    <n v="1"/>
  </r>
  <r>
    <s v="LA-703817"/>
    <d v="2025-07-03T00:00:00"/>
    <x v="1"/>
    <s v="Q3"/>
    <x v="6"/>
    <x v="3"/>
    <x v="1"/>
    <x v="3"/>
    <x v="0"/>
    <x v="3"/>
    <n v="6300"/>
    <n v="118000"/>
    <n v="180"/>
    <n v="0.30299999999999999"/>
    <s v="Rejected"/>
    <x v="4"/>
    <n v="0"/>
    <n v="1"/>
    <n v="0"/>
    <m/>
    <n v="12"/>
    <n v="1"/>
    <n v="1"/>
  </r>
  <r>
    <s v="LA-703818"/>
    <d v="2025-07-03T00:00:00"/>
    <x v="1"/>
    <s v="Q3"/>
    <x v="6"/>
    <x v="0"/>
    <x v="2"/>
    <x v="2"/>
    <x v="2"/>
    <x v="1"/>
    <n v="7550"/>
    <n v="46500"/>
    <n v="60"/>
    <n v="0.21299999999999999"/>
    <s v="Rejected"/>
    <x v="5"/>
    <n v="0"/>
    <n v="1"/>
    <n v="0"/>
    <m/>
    <n v="7"/>
    <n v="0"/>
    <n v="1"/>
  </r>
  <r>
    <s v="LA-703819"/>
    <d v="2025-07-03T00:00:00"/>
    <x v="1"/>
    <s v="Q3"/>
    <x v="6"/>
    <x v="1"/>
    <x v="2"/>
    <x v="1"/>
    <x v="0"/>
    <x v="2"/>
    <n v="4200"/>
    <n v="15000"/>
    <n v="36"/>
    <n v="0.26800000000000002"/>
    <s v="Rejected"/>
    <x v="0"/>
    <n v="0"/>
    <n v="1"/>
    <n v="0"/>
    <m/>
    <n v="1"/>
    <n v="1"/>
    <n v="1"/>
  </r>
  <r>
    <s v="LA-703820"/>
    <d v="2025-07-03T00:00:00"/>
    <x v="1"/>
    <s v="Q3"/>
    <x v="6"/>
    <x v="3"/>
    <x v="3"/>
    <x v="0"/>
    <x v="0"/>
    <x v="2"/>
    <n v="5150"/>
    <n v="324000"/>
    <n v="240"/>
    <n v="0.52200000000000002"/>
    <s v="Rejected"/>
    <x v="0"/>
    <n v="0"/>
    <n v="1"/>
    <n v="0"/>
    <m/>
    <n v="17"/>
    <n v="0"/>
    <n v="1"/>
  </r>
  <r>
    <s v="LA-703821"/>
    <d v="2025-07-04T00:00:00"/>
    <x v="1"/>
    <s v="Q3"/>
    <x v="6"/>
    <x v="0"/>
    <x v="1"/>
    <x v="1"/>
    <x v="1"/>
    <x v="0"/>
    <n v="5100"/>
    <n v="31500"/>
    <n v="60"/>
    <n v="0.33500000000000002"/>
    <s v="Rejected"/>
    <x v="0"/>
    <n v="0"/>
    <n v="1"/>
    <n v="0"/>
    <m/>
    <n v="3"/>
    <n v="1"/>
    <n v="1"/>
  </r>
  <r>
    <s v="LA-703822"/>
    <d v="2025-07-04T00:00:00"/>
    <x v="1"/>
    <s v="Q3"/>
    <x v="6"/>
    <x v="1"/>
    <x v="3"/>
    <x v="2"/>
    <x v="1"/>
    <x v="2"/>
    <n v="10550"/>
    <n v="11500"/>
    <n v="48"/>
    <n v="0.27100000000000002"/>
    <s v="Rejected"/>
    <x v="5"/>
    <n v="0"/>
    <n v="1"/>
    <n v="0"/>
    <m/>
    <n v="3"/>
    <n v="1"/>
    <n v="1"/>
  </r>
  <r>
    <s v="LA-703823"/>
    <d v="2025-07-04T00:00:00"/>
    <x v="1"/>
    <s v="Q3"/>
    <x v="6"/>
    <x v="2"/>
    <x v="1"/>
    <x v="3"/>
    <x v="0"/>
    <x v="1"/>
    <n v="3500"/>
    <n v="72500"/>
    <n v="12"/>
    <n v="1.9630000000000001"/>
    <s v="Rejected"/>
    <x v="3"/>
    <n v="0"/>
    <n v="1"/>
    <n v="0"/>
    <m/>
    <n v="7"/>
    <n v="1"/>
    <n v="1"/>
  </r>
  <r>
    <s v="LA-703824"/>
    <d v="2025-07-04T00:00:00"/>
    <x v="1"/>
    <s v="Q3"/>
    <x v="6"/>
    <x v="2"/>
    <x v="1"/>
    <x v="2"/>
    <x v="1"/>
    <x v="4"/>
    <n v="7650"/>
    <n v="46500"/>
    <n v="24"/>
    <n v="0.46700000000000003"/>
    <s v="Rejected"/>
    <x v="3"/>
    <n v="0"/>
    <n v="1"/>
    <n v="0"/>
    <m/>
    <n v="3"/>
    <n v="1"/>
    <n v="1"/>
  </r>
  <r>
    <s v="LA-703825"/>
    <d v="2025-07-04T00:00:00"/>
    <x v="1"/>
    <s v="Q3"/>
    <x v="6"/>
    <x v="0"/>
    <x v="0"/>
    <x v="1"/>
    <x v="0"/>
    <x v="0"/>
    <n v="4950"/>
    <n v="16500"/>
    <n v="48"/>
    <n v="0.22"/>
    <s v="Rejected"/>
    <x v="2"/>
    <n v="0"/>
    <n v="1"/>
    <n v="0"/>
    <m/>
    <n v="4"/>
    <n v="1"/>
    <n v="1"/>
  </r>
  <r>
    <s v="LA-703826"/>
    <d v="2025-07-05T00:00:00"/>
    <x v="1"/>
    <s v="Q3"/>
    <x v="6"/>
    <x v="0"/>
    <x v="1"/>
    <x v="2"/>
    <x v="0"/>
    <x v="3"/>
    <n v="9950"/>
    <n v="32000"/>
    <n v="60"/>
    <n v="0.22700000000000001"/>
    <s v="Approved"/>
    <x v="1"/>
    <n v="1"/>
    <n v="0"/>
    <n v="25500"/>
    <n v="6.8400000000000002E-2"/>
    <n v="2"/>
    <n v="1"/>
    <n v="1"/>
  </r>
  <r>
    <s v="LA-703827"/>
    <d v="2025-07-05T00:00:00"/>
    <x v="1"/>
    <s v="Q3"/>
    <x v="6"/>
    <x v="1"/>
    <x v="2"/>
    <x v="3"/>
    <x v="1"/>
    <x v="3"/>
    <n v="4100"/>
    <n v="6000"/>
    <n v="36"/>
    <n v="0.121"/>
    <s v="Approved"/>
    <x v="1"/>
    <n v="1"/>
    <n v="0"/>
    <n v="6000"/>
    <n v="0.1099"/>
    <n v="1"/>
    <n v="1"/>
    <n v="1"/>
  </r>
  <r>
    <s v="LA-703828"/>
    <d v="2025-07-05T00:00:00"/>
    <x v="1"/>
    <s v="Q3"/>
    <x v="6"/>
    <x v="0"/>
    <x v="2"/>
    <x v="2"/>
    <x v="2"/>
    <x v="2"/>
    <n v="2300"/>
    <n v="11000"/>
    <n v="48"/>
    <n v="0.193"/>
    <s v="Rejected"/>
    <x v="2"/>
    <n v="0"/>
    <n v="1"/>
    <n v="0"/>
    <m/>
    <n v="3"/>
    <n v="1"/>
    <n v="1"/>
  </r>
  <r>
    <s v="LA-703829"/>
    <d v="2025-07-05T00:00:00"/>
    <x v="1"/>
    <s v="Q3"/>
    <x v="6"/>
    <x v="1"/>
    <x v="1"/>
    <x v="1"/>
    <x v="2"/>
    <x v="1"/>
    <n v="14650"/>
    <n v="13500"/>
    <n v="48"/>
    <n v="0.158"/>
    <s v="Approved"/>
    <x v="1"/>
    <n v="1"/>
    <n v="0"/>
    <n v="13500"/>
    <n v="0.12740000000000001"/>
    <n v="2"/>
    <n v="1"/>
    <n v="1"/>
  </r>
  <r>
    <s v="LA-703830"/>
    <d v="2025-07-05T00:00:00"/>
    <x v="1"/>
    <s v="Q3"/>
    <x v="6"/>
    <x v="1"/>
    <x v="1"/>
    <x v="2"/>
    <x v="1"/>
    <x v="0"/>
    <n v="5850"/>
    <n v="8000"/>
    <n v="60"/>
    <n v="0.27300000000000002"/>
    <s v="Approved"/>
    <x v="1"/>
    <n v="1"/>
    <n v="0"/>
    <n v="8000"/>
    <n v="0.1416"/>
    <n v="1"/>
    <n v="1"/>
    <n v="1"/>
  </r>
  <r>
    <s v="LA-703831"/>
    <d v="2025-07-06T00:00:00"/>
    <x v="1"/>
    <s v="Q3"/>
    <x v="6"/>
    <x v="1"/>
    <x v="3"/>
    <x v="0"/>
    <x v="0"/>
    <x v="3"/>
    <n v="2950"/>
    <n v="14000"/>
    <n v="12"/>
    <n v="0.64"/>
    <s v="Withdrawn"/>
    <x v="1"/>
    <n v="0"/>
    <n v="0"/>
    <n v="0"/>
    <m/>
    <n v="4"/>
    <n v="0"/>
    <n v="1"/>
  </r>
  <r>
    <s v="LA-703832"/>
    <d v="2025-07-06T00:00:00"/>
    <x v="1"/>
    <s v="Q3"/>
    <x v="6"/>
    <x v="2"/>
    <x v="1"/>
    <x v="2"/>
    <x v="0"/>
    <x v="0"/>
    <n v="6400"/>
    <n v="79500"/>
    <n v="12"/>
    <n v="1.306"/>
    <s v="Rejected"/>
    <x v="0"/>
    <n v="0"/>
    <n v="1"/>
    <n v="0"/>
    <m/>
    <n v="3"/>
    <n v="1"/>
    <n v="1"/>
  </r>
  <r>
    <s v="LA-703833"/>
    <d v="2025-07-07T00:00:00"/>
    <x v="1"/>
    <s v="Q3"/>
    <x v="6"/>
    <x v="1"/>
    <x v="0"/>
    <x v="2"/>
    <x v="1"/>
    <x v="1"/>
    <n v="3550"/>
    <n v="8500"/>
    <n v="24"/>
    <n v="0.28100000000000003"/>
    <s v="Rejected"/>
    <x v="5"/>
    <n v="0"/>
    <n v="1"/>
    <n v="0"/>
    <m/>
    <n v="3"/>
    <n v="1"/>
    <n v="1"/>
  </r>
  <r>
    <s v="LA-703834"/>
    <d v="2025-07-07T00:00:00"/>
    <x v="1"/>
    <s v="Q3"/>
    <x v="6"/>
    <x v="1"/>
    <x v="2"/>
    <x v="2"/>
    <x v="2"/>
    <x v="3"/>
    <n v="4800"/>
    <n v="13000"/>
    <n v="12"/>
    <n v="0.30599999999999999"/>
    <s v="Approved"/>
    <x v="1"/>
    <n v="1"/>
    <n v="0"/>
    <n v="11500"/>
    <n v="0.10979999999999999"/>
    <n v="2"/>
    <n v="1"/>
    <n v="1"/>
  </r>
  <r>
    <s v="LA-703835"/>
    <d v="2025-07-07T00:00:00"/>
    <x v="1"/>
    <s v="Q3"/>
    <x v="6"/>
    <x v="0"/>
    <x v="1"/>
    <x v="3"/>
    <x v="1"/>
    <x v="1"/>
    <n v="5300"/>
    <n v="13000"/>
    <n v="48"/>
    <n v="0.224"/>
    <s v="Approved"/>
    <x v="1"/>
    <n v="1"/>
    <n v="0"/>
    <n v="10500"/>
    <n v="7.9899999999999999E-2"/>
    <n v="2"/>
    <n v="1"/>
    <n v="1"/>
  </r>
  <r>
    <s v="LA-703836"/>
    <d v="2025-07-07T00:00:00"/>
    <x v="1"/>
    <s v="Q3"/>
    <x v="6"/>
    <x v="1"/>
    <x v="3"/>
    <x v="4"/>
    <x v="2"/>
    <x v="3"/>
    <n v="5500"/>
    <n v="11500"/>
    <n v="12"/>
    <n v="0.38400000000000001"/>
    <s v="Approved"/>
    <x v="1"/>
    <n v="1"/>
    <n v="0"/>
    <n v="11500"/>
    <n v="0.1119"/>
    <n v="4"/>
    <n v="0"/>
    <n v="1"/>
  </r>
  <r>
    <s v="LA-703837"/>
    <d v="2025-07-07T00:00:00"/>
    <x v="1"/>
    <s v="Q3"/>
    <x v="6"/>
    <x v="2"/>
    <x v="1"/>
    <x v="1"/>
    <x v="0"/>
    <x v="1"/>
    <n v="10900"/>
    <n v="61500"/>
    <n v="60"/>
    <n v="0.34699999999999998"/>
    <s v="Approved"/>
    <x v="1"/>
    <n v="1"/>
    <n v="0"/>
    <n v="55500"/>
    <n v="0.1048"/>
    <n v="3"/>
    <n v="1"/>
    <n v="1"/>
  </r>
  <r>
    <s v="LA-703838"/>
    <d v="2025-07-07T00:00:00"/>
    <x v="1"/>
    <s v="Q3"/>
    <x v="6"/>
    <x v="1"/>
    <x v="3"/>
    <x v="0"/>
    <x v="0"/>
    <x v="4"/>
    <n v="2800"/>
    <n v="18000"/>
    <n v="24"/>
    <n v="0.47699999999999998"/>
    <s v="Approved"/>
    <x v="1"/>
    <n v="1"/>
    <n v="0"/>
    <n v="18000"/>
    <n v="0.1104"/>
    <n v="5"/>
    <n v="0"/>
    <n v="1"/>
  </r>
  <r>
    <s v="LA-703839"/>
    <d v="2025-07-07T00:00:00"/>
    <x v="1"/>
    <s v="Q3"/>
    <x v="6"/>
    <x v="1"/>
    <x v="0"/>
    <x v="2"/>
    <x v="0"/>
    <x v="1"/>
    <n v="8200"/>
    <n v="9000"/>
    <n v="36"/>
    <n v="0.193"/>
    <s v="Approved"/>
    <x v="1"/>
    <n v="1"/>
    <n v="0"/>
    <n v="7000"/>
    <n v="0.12889999999999999"/>
    <n v="3"/>
    <n v="1"/>
    <n v="1"/>
  </r>
  <r>
    <s v="LA-703840"/>
    <d v="2025-07-07T00:00:00"/>
    <x v="1"/>
    <s v="Q3"/>
    <x v="6"/>
    <x v="2"/>
    <x v="0"/>
    <x v="3"/>
    <x v="0"/>
    <x v="2"/>
    <n v="5200"/>
    <n v="60000"/>
    <n v="36"/>
    <n v="0.61899999999999999"/>
    <s v="Rejected"/>
    <x v="4"/>
    <n v="0"/>
    <n v="1"/>
    <n v="0"/>
    <m/>
    <n v="9"/>
    <n v="1"/>
    <n v="1"/>
  </r>
  <r>
    <s v="LA-703841"/>
    <d v="2025-07-07T00:00:00"/>
    <x v="1"/>
    <s v="Q3"/>
    <x v="6"/>
    <x v="1"/>
    <x v="3"/>
    <x v="2"/>
    <x v="1"/>
    <x v="1"/>
    <n v="6500"/>
    <n v="9000"/>
    <n v="12"/>
    <n v="0.247"/>
    <s v="Rejected"/>
    <x v="4"/>
    <n v="0"/>
    <n v="1"/>
    <n v="0"/>
    <m/>
    <n v="6"/>
    <n v="0"/>
    <n v="1"/>
  </r>
  <r>
    <s v="LA-703842"/>
    <d v="2025-07-07T00:00:00"/>
    <x v="1"/>
    <s v="Q3"/>
    <x v="6"/>
    <x v="1"/>
    <x v="3"/>
    <x v="2"/>
    <x v="2"/>
    <x v="1"/>
    <n v="8600"/>
    <n v="12500"/>
    <n v="60"/>
    <n v="0.247"/>
    <s v="Rejected"/>
    <x v="0"/>
    <n v="0"/>
    <n v="1"/>
    <n v="0"/>
    <m/>
    <n v="3"/>
    <n v="1"/>
    <n v="1"/>
  </r>
  <r>
    <s v="LA-703843"/>
    <d v="2025-07-08T00:00:00"/>
    <x v="1"/>
    <s v="Q3"/>
    <x v="6"/>
    <x v="1"/>
    <x v="3"/>
    <x v="2"/>
    <x v="1"/>
    <x v="0"/>
    <n v="2200"/>
    <n v="10500"/>
    <n v="24"/>
    <n v="0.46400000000000002"/>
    <s v="Rejected"/>
    <x v="3"/>
    <n v="0"/>
    <n v="1"/>
    <n v="0"/>
    <m/>
    <n v="6"/>
    <n v="0"/>
    <n v="1"/>
  </r>
  <r>
    <s v="LA-703844"/>
    <d v="2025-07-08T00:00:00"/>
    <x v="1"/>
    <s v="Q3"/>
    <x v="6"/>
    <x v="2"/>
    <x v="2"/>
    <x v="1"/>
    <x v="0"/>
    <x v="2"/>
    <n v="3700"/>
    <n v="32000"/>
    <n v="36"/>
    <n v="0.34899999999999998"/>
    <s v="Withdrawn"/>
    <x v="1"/>
    <n v="0"/>
    <n v="0"/>
    <n v="0"/>
    <m/>
    <n v="6"/>
    <n v="1"/>
    <n v="1"/>
  </r>
  <r>
    <s v="LA-703845"/>
    <d v="2025-07-08T00:00:00"/>
    <x v="1"/>
    <s v="Q3"/>
    <x v="6"/>
    <x v="3"/>
    <x v="3"/>
    <x v="4"/>
    <x v="0"/>
    <x v="0"/>
    <n v="7150"/>
    <n v="828500"/>
    <n v="240"/>
    <n v="0.81599999999999995"/>
    <s v="Withdrawn"/>
    <x v="1"/>
    <n v="0"/>
    <n v="0"/>
    <n v="0"/>
    <m/>
    <n v="18"/>
    <n v="0"/>
    <n v="1"/>
  </r>
  <r>
    <s v="LA-703846"/>
    <d v="2025-07-08T00:00:00"/>
    <x v="1"/>
    <s v="Q3"/>
    <x v="6"/>
    <x v="0"/>
    <x v="3"/>
    <x v="3"/>
    <x v="1"/>
    <x v="1"/>
    <n v="3650"/>
    <n v="34000"/>
    <n v="60"/>
    <n v="0.32200000000000001"/>
    <s v="Approved"/>
    <x v="1"/>
    <n v="1"/>
    <n v="0"/>
    <n v="27000"/>
    <n v="8.3500000000000005E-2"/>
    <n v="11"/>
    <n v="0"/>
    <n v="1"/>
  </r>
  <r>
    <s v="LA-703847"/>
    <d v="2025-07-08T00:00:00"/>
    <x v="1"/>
    <s v="Q3"/>
    <x v="6"/>
    <x v="1"/>
    <x v="3"/>
    <x v="4"/>
    <x v="1"/>
    <x v="2"/>
    <n v="3750"/>
    <n v="16000"/>
    <n v="24"/>
    <n v="0.27600000000000002"/>
    <s v="Rejected"/>
    <x v="4"/>
    <n v="0"/>
    <n v="1"/>
    <n v="0"/>
    <m/>
    <n v="10"/>
    <n v="0"/>
    <n v="1"/>
  </r>
  <r>
    <s v="LA-703848"/>
    <d v="2025-07-08T00:00:00"/>
    <x v="1"/>
    <s v="Q3"/>
    <x v="6"/>
    <x v="1"/>
    <x v="3"/>
    <x v="2"/>
    <x v="0"/>
    <x v="0"/>
    <n v="4750"/>
    <n v="11000"/>
    <n v="60"/>
    <n v="0.189"/>
    <s v="Approved"/>
    <x v="1"/>
    <n v="1"/>
    <n v="0"/>
    <n v="9000"/>
    <n v="0.13730000000000001"/>
    <n v="3"/>
    <n v="1"/>
    <n v="1"/>
  </r>
  <r>
    <s v="LA-703849"/>
    <d v="2025-07-09T00:00:00"/>
    <x v="1"/>
    <s v="Q3"/>
    <x v="6"/>
    <x v="2"/>
    <x v="2"/>
    <x v="4"/>
    <x v="0"/>
    <x v="0"/>
    <n v="4250"/>
    <n v="70500"/>
    <n v="36"/>
    <n v="0.59599999999999997"/>
    <s v="Approved"/>
    <x v="1"/>
    <n v="1"/>
    <n v="0"/>
    <n v="70500"/>
    <n v="0.123"/>
    <n v="5"/>
    <n v="1"/>
    <n v="1"/>
  </r>
  <r>
    <s v="LA-703850"/>
    <d v="2025-07-09T00:00:00"/>
    <x v="1"/>
    <s v="Q3"/>
    <x v="6"/>
    <x v="1"/>
    <x v="1"/>
    <x v="1"/>
    <x v="0"/>
    <x v="1"/>
    <n v="2800"/>
    <n v="13000"/>
    <n v="36"/>
    <n v="0.217"/>
    <s v="Approved"/>
    <x v="1"/>
    <n v="1"/>
    <n v="0"/>
    <n v="13000"/>
    <n v="0.11990000000000001"/>
    <n v="1"/>
    <n v="1"/>
    <n v="1"/>
  </r>
  <r>
    <s v="LA-703851"/>
    <d v="2025-07-09T00:00:00"/>
    <x v="1"/>
    <s v="Q3"/>
    <x v="6"/>
    <x v="1"/>
    <x v="3"/>
    <x v="2"/>
    <x v="2"/>
    <x v="3"/>
    <n v="5300"/>
    <n v="14500"/>
    <n v="60"/>
    <n v="0.22600000000000001"/>
    <s v="Approved"/>
    <x v="1"/>
    <n v="1"/>
    <n v="0"/>
    <n v="11500"/>
    <n v="0.1087"/>
    <n v="5"/>
    <n v="0"/>
    <n v="1"/>
  </r>
  <r>
    <s v="LA-703852"/>
    <d v="2025-07-09T00:00:00"/>
    <x v="1"/>
    <s v="Q3"/>
    <x v="6"/>
    <x v="1"/>
    <x v="1"/>
    <x v="3"/>
    <x v="1"/>
    <x v="1"/>
    <n v="5750"/>
    <n v="12000"/>
    <n v="24"/>
    <n v="0.33400000000000002"/>
    <s v="Rejected"/>
    <x v="0"/>
    <n v="0"/>
    <n v="1"/>
    <n v="0"/>
    <m/>
    <n v="2"/>
    <n v="1"/>
    <n v="1"/>
  </r>
  <r>
    <s v="LA-703853"/>
    <d v="2025-07-09T00:00:00"/>
    <x v="1"/>
    <s v="Q3"/>
    <x v="6"/>
    <x v="1"/>
    <x v="3"/>
    <x v="2"/>
    <x v="0"/>
    <x v="1"/>
    <n v="3450"/>
    <n v="34000"/>
    <n v="60"/>
    <n v="0.39500000000000002"/>
    <s v="Approved"/>
    <x v="1"/>
    <n v="1"/>
    <n v="0"/>
    <n v="30500"/>
    <n v="0.1242"/>
    <n v="4"/>
    <n v="0"/>
    <n v="1"/>
  </r>
  <r>
    <s v="LA-703854"/>
    <d v="2025-07-09T00:00:00"/>
    <x v="1"/>
    <s v="Q3"/>
    <x v="6"/>
    <x v="1"/>
    <x v="3"/>
    <x v="3"/>
    <x v="0"/>
    <x v="4"/>
    <n v="2800"/>
    <n v="20500"/>
    <n v="36"/>
    <n v="0.40899999999999997"/>
    <s v="Approved"/>
    <x v="1"/>
    <n v="1"/>
    <n v="0"/>
    <n v="16500"/>
    <n v="0.1179"/>
    <n v="4"/>
    <n v="0"/>
    <n v="1"/>
  </r>
  <r>
    <s v="LA-703855"/>
    <d v="2025-07-09T00:00:00"/>
    <x v="1"/>
    <s v="Q3"/>
    <x v="6"/>
    <x v="1"/>
    <x v="0"/>
    <x v="2"/>
    <x v="2"/>
    <x v="1"/>
    <n v="4550"/>
    <n v="13500"/>
    <n v="48"/>
    <n v="0.29299999999999998"/>
    <s v="Rejected"/>
    <x v="5"/>
    <n v="0"/>
    <n v="1"/>
    <n v="0"/>
    <m/>
    <n v="2"/>
    <n v="1"/>
    <n v="1"/>
  </r>
  <r>
    <s v="LA-703856"/>
    <d v="2025-07-10T00:00:00"/>
    <x v="1"/>
    <s v="Q3"/>
    <x v="6"/>
    <x v="3"/>
    <x v="3"/>
    <x v="2"/>
    <x v="0"/>
    <x v="4"/>
    <n v="4600"/>
    <n v="333500"/>
    <n v="240"/>
    <n v="0.67600000000000005"/>
    <s v="Approved"/>
    <x v="1"/>
    <n v="1"/>
    <n v="0"/>
    <n v="267000"/>
    <n v="5.1400000000000001E-2"/>
    <n v="26"/>
    <n v="0"/>
    <n v="1"/>
  </r>
  <r>
    <s v="LA-703857"/>
    <d v="2025-07-10T00:00:00"/>
    <x v="1"/>
    <s v="Q3"/>
    <x v="6"/>
    <x v="1"/>
    <x v="2"/>
    <x v="4"/>
    <x v="0"/>
    <x v="4"/>
    <n v="3000"/>
    <n v="9000"/>
    <n v="36"/>
    <n v="0.33100000000000002"/>
    <s v="Approved"/>
    <x v="1"/>
    <n v="1"/>
    <n v="0"/>
    <n v="9000"/>
    <n v="0.1139"/>
    <n v="4"/>
    <n v="0"/>
    <n v="1"/>
  </r>
  <r>
    <s v="LA-703858"/>
    <d v="2025-07-10T00:00:00"/>
    <x v="1"/>
    <s v="Q3"/>
    <x v="6"/>
    <x v="3"/>
    <x v="0"/>
    <x v="1"/>
    <x v="0"/>
    <x v="2"/>
    <n v="8850"/>
    <n v="771500"/>
    <n v="240"/>
    <n v="0.77800000000000002"/>
    <s v="Rejected"/>
    <x v="0"/>
    <n v="0"/>
    <n v="1"/>
    <n v="0"/>
    <m/>
    <n v="8"/>
    <n v="1"/>
    <n v="1"/>
  </r>
  <r>
    <s v="LA-703859"/>
    <d v="2025-07-10T00:00:00"/>
    <x v="1"/>
    <s v="Q3"/>
    <x v="6"/>
    <x v="1"/>
    <x v="0"/>
    <x v="4"/>
    <x v="0"/>
    <x v="0"/>
    <n v="5300"/>
    <n v="25000"/>
    <n v="60"/>
    <n v="0.214"/>
    <s v="Approved"/>
    <x v="1"/>
    <n v="1"/>
    <n v="0"/>
    <n v="20000"/>
    <n v="0.14299999999999999"/>
    <n v="5"/>
    <n v="0"/>
    <n v="1"/>
  </r>
  <r>
    <s v="LA-703860"/>
    <d v="2025-07-10T00:00:00"/>
    <x v="1"/>
    <s v="Q3"/>
    <x v="6"/>
    <x v="3"/>
    <x v="1"/>
    <x v="4"/>
    <x v="2"/>
    <x v="0"/>
    <n v="5550"/>
    <n v="138500"/>
    <n v="180"/>
    <n v="0.35599999999999998"/>
    <s v="Approved"/>
    <x v="1"/>
    <n v="1"/>
    <n v="0"/>
    <n v="138500"/>
    <n v="7.7700000000000005E-2"/>
    <n v="5"/>
    <n v="1"/>
    <n v="1"/>
  </r>
  <r>
    <s v="LA-703861"/>
    <d v="2025-07-10T00:00:00"/>
    <x v="1"/>
    <s v="Q3"/>
    <x v="6"/>
    <x v="1"/>
    <x v="0"/>
    <x v="2"/>
    <x v="0"/>
    <x v="2"/>
    <n v="10750"/>
    <n v="6500"/>
    <n v="36"/>
    <n v="0.115"/>
    <s v="Rejected"/>
    <x v="4"/>
    <n v="0"/>
    <n v="1"/>
    <n v="0"/>
    <m/>
    <n v="8"/>
    <n v="0"/>
    <n v="1"/>
  </r>
  <r>
    <s v="LA-703862"/>
    <d v="2025-07-10T00:00:00"/>
    <x v="1"/>
    <s v="Q3"/>
    <x v="6"/>
    <x v="0"/>
    <x v="2"/>
    <x v="2"/>
    <x v="0"/>
    <x v="0"/>
    <n v="6600"/>
    <n v="24500"/>
    <n v="48"/>
    <n v="0.187"/>
    <s v="Approved"/>
    <x v="1"/>
    <n v="1"/>
    <n v="0"/>
    <n v="22000"/>
    <n v="9.3799999999999994E-2"/>
    <n v="1"/>
    <n v="1"/>
    <n v="1"/>
  </r>
  <r>
    <s v="LA-703863"/>
    <d v="2025-07-10T00:00:00"/>
    <x v="1"/>
    <s v="Q3"/>
    <x v="6"/>
    <x v="1"/>
    <x v="3"/>
    <x v="2"/>
    <x v="0"/>
    <x v="4"/>
    <n v="4050"/>
    <n v="13500"/>
    <n v="24"/>
    <n v="0.315"/>
    <s v="Approved"/>
    <x v="1"/>
    <n v="1"/>
    <n v="0"/>
    <n v="13500"/>
    <n v="0.1153"/>
    <n v="3"/>
    <n v="1"/>
    <n v="1"/>
  </r>
  <r>
    <s v="LA-703864"/>
    <d v="2025-07-10T00:00:00"/>
    <x v="1"/>
    <s v="Q3"/>
    <x v="6"/>
    <x v="1"/>
    <x v="3"/>
    <x v="3"/>
    <x v="0"/>
    <x v="1"/>
    <n v="8350"/>
    <n v="12500"/>
    <n v="24"/>
    <n v="0.28299999999999997"/>
    <s v="Approved"/>
    <x v="1"/>
    <n v="1"/>
    <n v="0"/>
    <n v="12500"/>
    <n v="0.11990000000000001"/>
    <n v="5"/>
    <n v="0"/>
    <n v="1"/>
  </r>
  <r>
    <s v="LA-703865"/>
    <d v="2025-07-10T00:00:00"/>
    <x v="1"/>
    <s v="Q3"/>
    <x v="6"/>
    <x v="2"/>
    <x v="3"/>
    <x v="1"/>
    <x v="1"/>
    <x v="1"/>
    <n v="4900"/>
    <n v="113000"/>
    <n v="60"/>
    <n v="0.56799999999999995"/>
    <s v="Rejected"/>
    <x v="3"/>
    <n v="0"/>
    <n v="1"/>
    <n v="0"/>
    <m/>
    <n v="6"/>
    <n v="1"/>
    <n v="1"/>
  </r>
  <r>
    <s v="LA-703866"/>
    <d v="2025-07-11T00:00:00"/>
    <x v="1"/>
    <s v="Q3"/>
    <x v="6"/>
    <x v="2"/>
    <x v="1"/>
    <x v="3"/>
    <x v="1"/>
    <x v="2"/>
    <n v="3750"/>
    <n v="96000"/>
    <n v="12"/>
    <n v="2.4380000000000002"/>
    <s v="Rejected"/>
    <x v="0"/>
    <n v="0"/>
    <n v="1"/>
    <n v="0"/>
    <m/>
    <n v="6"/>
    <n v="1"/>
    <n v="1"/>
  </r>
  <r>
    <s v="LA-703867"/>
    <d v="2025-07-11T00:00:00"/>
    <x v="1"/>
    <s v="Q3"/>
    <x v="6"/>
    <x v="0"/>
    <x v="2"/>
    <x v="1"/>
    <x v="1"/>
    <x v="4"/>
    <n v="7600"/>
    <n v="31000"/>
    <n v="36"/>
    <n v="0.32400000000000001"/>
    <s v="Approved"/>
    <x v="1"/>
    <n v="1"/>
    <n v="0"/>
    <n v="31000"/>
    <n v="6.8500000000000005E-2"/>
    <n v="3"/>
    <n v="1"/>
    <n v="1"/>
  </r>
  <r>
    <s v="LA-703868"/>
    <d v="2025-07-11T00:00:00"/>
    <x v="1"/>
    <s v="Q3"/>
    <x v="6"/>
    <x v="1"/>
    <x v="2"/>
    <x v="1"/>
    <x v="2"/>
    <x v="0"/>
    <n v="5850"/>
    <n v="12000"/>
    <n v="48"/>
    <n v="0.248"/>
    <s v="Approved"/>
    <x v="1"/>
    <n v="1"/>
    <n v="0"/>
    <n v="12000"/>
    <n v="0.1421"/>
    <n v="2"/>
    <n v="1"/>
    <n v="1"/>
  </r>
  <r>
    <s v="LA-703869"/>
    <d v="2025-07-11T00:00:00"/>
    <x v="1"/>
    <s v="Q3"/>
    <x v="6"/>
    <x v="3"/>
    <x v="2"/>
    <x v="2"/>
    <x v="0"/>
    <x v="1"/>
    <n v="5400"/>
    <n v="166500"/>
    <n v="180"/>
    <n v="0.41599999999999998"/>
    <s v="Rejected"/>
    <x v="4"/>
    <n v="0"/>
    <n v="1"/>
    <n v="0"/>
    <m/>
    <n v="10"/>
    <n v="1"/>
    <n v="1"/>
  </r>
  <r>
    <s v="LA-703870"/>
    <d v="2025-07-11T00:00:00"/>
    <x v="1"/>
    <s v="Q3"/>
    <x v="6"/>
    <x v="2"/>
    <x v="2"/>
    <x v="2"/>
    <x v="1"/>
    <x v="1"/>
    <n v="9900"/>
    <n v="111500"/>
    <n v="24"/>
    <n v="0.59499999999999997"/>
    <s v="Approved"/>
    <x v="1"/>
    <n v="1"/>
    <n v="0"/>
    <n v="111500"/>
    <n v="0.1028"/>
    <n v="5"/>
    <n v="1"/>
    <n v="1"/>
  </r>
  <r>
    <s v="LA-703871"/>
    <d v="2025-07-12T00:00:00"/>
    <x v="1"/>
    <s v="Q3"/>
    <x v="6"/>
    <x v="1"/>
    <x v="2"/>
    <x v="0"/>
    <x v="2"/>
    <x v="0"/>
    <n v="8150"/>
    <n v="14000"/>
    <n v="36"/>
    <n v="0.23"/>
    <s v="Rejected"/>
    <x v="0"/>
    <n v="0"/>
    <n v="1"/>
    <n v="0"/>
    <m/>
    <n v="3"/>
    <n v="1"/>
    <n v="1"/>
  </r>
  <r>
    <s v="LA-703872"/>
    <d v="2025-07-12T00:00:00"/>
    <x v="1"/>
    <s v="Q3"/>
    <x v="6"/>
    <x v="1"/>
    <x v="0"/>
    <x v="2"/>
    <x v="2"/>
    <x v="1"/>
    <n v="6500"/>
    <n v="10000"/>
    <n v="48"/>
    <n v="0.216"/>
    <s v="Withdrawn"/>
    <x v="1"/>
    <n v="0"/>
    <n v="0"/>
    <n v="0"/>
    <m/>
    <n v="8"/>
    <n v="0"/>
    <n v="1"/>
  </r>
  <r>
    <s v="LA-703873"/>
    <d v="2025-07-12T00:00:00"/>
    <x v="1"/>
    <s v="Q3"/>
    <x v="6"/>
    <x v="3"/>
    <x v="0"/>
    <x v="3"/>
    <x v="1"/>
    <x v="2"/>
    <n v="5150"/>
    <n v="137500"/>
    <n v="180"/>
    <n v="0.42099999999999999"/>
    <s v="Rejected"/>
    <x v="4"/>
    <n v="0"/>
    <n v="1"/>
    <n v="0"/>
    <m/>
    <n v="16"/>
    <n v="0"/>
    <n v="1"/>
  </r>
  <r>
    <s v="LA-703874"/>
    <d v="2025-07-12T00:00:00"/>
    <x v="1"/>
    <s v="Q3"/>
    <x v="6"/>
    <x v="1"/>
    <x v="2"/>
    <x v="3"/>
    <x v="1"/>
    <x v="0"/>
    <n v="3750"/>
    <n v="15500"/>
    <n v="60"/>
    <n v="0.33700000000000002"/>
    <s v="Approved"/>
    <x v="1"/>
    <n v="1"/>
    <n v="0"/>
    <n v="15500"/>
    <n v="0.14149999999999999"/>
    <n v="1"/>
    <n v="1"/>
    <n v="1"/>
  </r>
  <r>
    <s v="LA-703875"/>
    <d v="2025-07-12T00:00:00"/>
    <x v="1"/>
    <s v="Q3"/>
    <x v="6"/>
    <x v="3"/>
    <x v="3"/>
    <x v="3"/>
    <x v="0"/>
    <x v="0"/>
    <n v="5050"/>
    <n v="182000"/>
    <n v="180"/>
    <n v="0.49399999999999999"/>
    <s v="Rejected"/>
    <x v="3"/>
    <n v="0"/>
    <n v="1"/>
    <n v="0"/>
    <m/>
    <n v="13"/>
    <n v="1"/>
    <n v="1"/>
  </r>
  <r>
    <s v="LA-703876"/>
    <d v="2025-07-12T00:00:00"/>
    <x v="1"/>
    <s v="Q3"/>
    <x v="6"/>
    <x v="0"/>
    <x v="1"/>
    <x v="2"/>
    <x v="1"/>
    <x v="0"/>
    <n v="5550"/>
    <n v="25000"/>
    <n v="60"/>
    <n v="0.18"/>
    <s v="Approved"/>
    <x v="1"/>
    <n v="1"/>
    <n v="0"/>
    <n v="25000"/>
    <n v="9.2200000000000004E-2"/>
    <n v="1"/>
    <n v="1"/>
    <n v="1"/>
  </r>
  <r>
    <s v="LA-703877"/>
    <d v="2025-07-13T00:00:00"/>
    <x v="1"/>
    <s v="Q3"/>
    <x v="6"/>
    <x v="0"/>
    <x v="3"/>
    <x v="1"/>
    <x v="1"/>
    <x v="3"/>
    <n v="3300"/>
    <n v="15500"/>
    <n v="36"/>
    <n v="0.35499999999999998"/>
    <s v="Approved"/>
    <x v="1"/>
    <n v="1"/>
    <n v="0"/>
    <n v="15500"/>
    <n v="6.6100000000000006E-2"/>
    <n v="7"/>
    <n v="0"/>
    <n v="1"/>
  </r>
  <r>
    <s v="LA-703878"/>
    <d v="2025-07-13T00:00:00"/>
    <x v="1"/>
    <s v="Q3"/>
    <x v="6"/>
    <x v="2"/>
    <x v="3"/>
    <x v="2"/>
    <x v="1"/>
    <x v="1"/>
    <n v="6250"/>
    <n v="104500"/>
    <n v="60"/>
    <n v="0.6"/>
    <s v="Approved"/>
    <x v="1"/>
    <n v="1"/>
    <n v="0"/>
    <n v="104500"/>
    <n v="0.1055"/>
    <n v="9"/>
    <n v="1"/>
    <n v="1"/>
  </r>
  <r>
    <s v="LA-703879"/>
    <d v="2025-07-13T00:00:00"/>
    <x v="1"/>
    <s v="Q3"/>
    <x v="6"/>
    <x v="3"/>
    <x v="3"/>
    <x v="3"/>
    <x v="2"/>
    <x v="1"/>
    <n v="9200"/>
    <n v="269500"/>
    <n v="300"/>
    <n v="0.22900000000000001"/>
    <s v="Approved"/>
    <x v="1"/>
    <n v="1"/>
    <n v="0"/>
    <n v="242500"/>
    <n v="5.8599999999999999E-2"/>
    <n v="14"/>
    <n v="1"/>
    <n v="1"/>
  </r>
  <r>
    <s v="LA-703880"/>
    <d v="2025-07-13T00:00:00"/>
    <x v="1"/>
    <s v="Q3"/>
    <x v="6"/>
    <x v="0"/>
    <x v="1"/>
    <x v="1"/>
    <x v="2"/>
    <x v="4"/>
    <n v="6200"/>
    <n v="52000"/>
    <n v="36"/>
    <n v="0.38100000000000001"/>
    <s v="Approved"/>
    <x v="1"/>
    <n v="1"/>
    <n v="0"/>
    <n v="41500"/>
    <n v="7.1400000000000005E-2"/>
    <n v="1"/>
    <n v="1"/>
    <n v="1"/>
  </r>
  <r>
    <s v="LA-703881"/>
    <d v="2025-07-13T00:00:00"/>
    <x v="1"/>
    <s v="Q3"/>
    <x v="6"/>
    <x v="1"/>
    <x v="2"/>
    <x v="2"/>
    <x v="2"/>
    <x v="1"/>
    <n v="3750"/>
    <n v="23500"/>
    <n v="48"/>
    <n v="0.36599999999999999"/>
    <s v="Rejected"/>
    <x v="5"/>
    <n v="0"/>
    <n v="1"/>
    <n v="0"/>
    <m/>
    <n v="2"/>
    <n v="1"/>
    <n v="1"/>
  </r>
  <r>
    <s v="LA-703882"/>
    <d v="2025-07-13T00:00:00"/>
    <x v="1"/>
    <s v="Q3"/>
    <x v="6"/>
    <x v="1"/>
    <x v="0"/>
    <x v="3"/>
    <x v="1"/>
    <x v="4"/>
    <n v="5950"/>
    <n v="9000"/>
    <n v="48"/>
    <n v="0.248"/>
    <s v="Approved"/>
    <x v="1"/>
    <n v="1"/>
    <n v="0"/>
    <n v="8000"/>
    <n v="0.1159"/>
    <n v="3"/>
    <n v="1"/>
    <n v="1"/>
  </r>
  <r>
    <s v="LA-703883"/>
    <d v="2025-07-13T00:00:00"/>
    <x v="1"/>
    <s v="Q3"/>
    <x v="6"/>
    <x v="1"/>
    <x v="2"/>
    <x v="2"/>
    <x v="0"/>
    <x v="4"/>
    <n v="5750"/>
    <n v="12000"/>
    <n v="12"/>
    <n v="0.25900000000000001"/>
    <s v="Approved"/>
    <x v="1"/>
    <n v="1"/>
    <n v="0"/>
    <n v="12000"/>
    <n v="0.1153"/>
    <n v="3"/>
    <n v="1"/>
    <n v="1"/>
  </r>
  <r>
    <s v="LA-703884"/>
    <d v="2025-07-14T00:00:00"/>
    <x v="1"/>
    <s v="Q3"/>
    <x v="6"/>
    <x v="1"/>
    <x v="3"/>
    <x v="1"/>
    <x v="0"/>
    <x v="4"/>
    <n v="6400"/>
    <n v="5500"/>
    <n v="48"/>
    <n v="0.26200000000000001"/>
    <s v="Approved"/>
    <x v="1"/>
    <n v="1"/>
    <n v="0"/>
    <n v="5500"/>
    <n v="0.1153"/>
    <n v="4"/>
    <n v="0"/>
    <n v="1"/>
  </r>
  <r>
    <s v="LA-703885"/>
    <d v="2025-07-14T00:00:00"/>
    <x v="1"/>
    <s v="Q3"/>
    <x v="6"/>
    <x v="1"/>
    <x v="3"/>
    <x v="1"/>
    <x v="0"/>
    <x v="4"/>
    <n v="7500"/>
    <n v="20500"/>
    <n v="24"/>
    <n v="0.223"/>
    <s v="Approved"/>
    <x v="1"/>
    <n v="1"/>
    <n v="0"/>
    <n v="20500"/>
    <n v="0.11509999999999999"/>
    <n v="3"/>
    <n v="1"/>
    <n v="1"/>
  </r>
  <r>
    <s v="LA-703886"/>
    <d v="2025-07-14T00:00:00"/>
    <x v="1"/>
    <s v="Q3"/>
    <x v="6"/>
    <x v="1"/>
    <x v="0"/>
    <x v="3"/>
    <x v="0"/>
    <x v="2"/>
    <n v="4800"/>
    <n v="14500"/>
    <n v="48"/>
    <n v="0.28000000000000003"/>
    <s v="Rejected"/>
    <x v="0"/>
    <n v="0"/>
    <n v="1"/>
    <n v="0"/>
    <m/>
    <n v="4"/>
    <n v="0"/>
    <n v="1"/>
  </r>
  <r>
    <s v="LA-703887"/>
    <d v="2025-07-14T00:00:00"/>
    <x v="1"/>
    <s v="Q3"/>
    <x v="6"/>
    <x v="0"/>
    <x v="2"/>
    <x v="3"/>
    <x v="2"/>
    <x v="2"/>
    <n v="8150"/>
    <n v="36500"/>
    <n v="36"/>
    <n v="0.32300000000000001"/>
    <s v="Rejected"/>
    <x v="0"/>
    <n v="0"/>
    <n v="1"/>
    <n v="0"/>
    <m/>
    <n v="4"/>
    <n v="1"/>
    <n v="1"/>
  </r>
  <r>
    <s v="LA-703888"/>
    <d v="2025-07-14T00:00:00"/>
    <x v="1"/>
    <s v="Q3"/>
    <x v="6"/>
    <x v="1"/>
    <x v="3"/>
    <x v="3"/>
    <x v="2"/>
    <x v="0"/>
    <n v="9050"/>
    <n v="19500"/>
    <n v="60"/>
    <n v="0.24399999999999999"/>
    <s v="Rejected"/>
    <x v="5"/>
    <n v="0"/>
    <n v="1"/>
    <n v="0"/>
    <m/>
    <n v="6"/>
    <n v="0"/>
    <n v="1"/>
  </r>
  <r>
    <s v="LA-703889"/>
    <d v="2025-07-14T00:00:00"/>
    <x v="1"/>
    <s v="Q3"/>
    <x v="6"/>
    <x v="1"/>
    <x v="3"/>
    <x v="1"/>
    <x v="1"/>
    <x v="1"/>
    <n v="10300"/>
    <n v="7000"/>
    <n v="24"/>
    <n v="0.27"/>
    <s v="Rejected"/>
    <x v="0"/>
    <n v="0"/>
    <n v="1"/>
    <n v="0"/>
    <m/>
    <n v="4"/>
    <n v="0"/>
    <n v="1"/>
  </r>
  <r>
    <s v="LA-703890"/>
    <d v="2025-07-14T00:00:00"/>
    <x v="1"/>
    <s v="Q3"/>
    <x v="6"/>
    <x v="3"/>
    <x v="1"/>
    <x v="4"/>
    <x v="2"/>
    <x v="4"/>
    <n v="7050"/>
    <n v="386000"/>
    <n v="240"/>
    <n v="0.46899999999999997"/>
    <s v="Approved"/>
    <x v="1"/>
    <n v="1"/>
    <n v="0"/>
    <n v="386000"/>
    <n v="4.6199999999999998E-2"/>
    <n v="4"/>
    <n v="1"/>
    <n v="1"/>
  </r>
  <r>
    <s v="LA-703891"/>
    <d v="2025-07-15T00:00:00"/>
    <x v="1"/>
    <s v="Q3"/>
    <x v="6"/>
    <x v="1"/>
    <x v="3"/>
    <x v="1"/>
    <x v="1"/>
    <x v="1"/>
    <n v="4200"/>
    <n v="8000"/>
    <n v="60"/>
    <n v="0.22700000000000001"/>
    <s v="Rejected"/>
    <x v="0"/>
    <n v="0"/>
    <n v="1"/>
    <n v="0"/>
    <m/>
    <n v="6"/>
    <n v="0"/>
    <n v="1"/>
  </r>
  <r>
    <s v="LA-703892"/>
    <d v="2025-07-15T00:00:00"/>
    <x v="1"/>
    <s v="Q3"/>
    <x v="6"/>
    <x v="3"/>
    <x v="3"/>
    <x v="3"/>
    <x v="2"/>
    <x v="2"/>
    <n v="5600"/>
    <n v="259000"/>
    <n v="180"/>
    <n v="0.52"/>
    <s v="Rejected"/>
    <x v="0"/>
    <n v="0"/>
    <n v="1"/>
    <n v="0"/>
    <m/>
    <n v="17"/>
    <n v="0"/>
    <n v="1"/>
  </r>
  <r>
    <s v="LA-703893"/>
    <d v="2025-07-15T00:00:00"/>
    <x v="1"/>
    <s v="Q3"/>
    <x v="6"/>
    <x v="0"/>
    <x v="0"/>
    <x v="1"/>
    <x v="2"/>
    <x v="3"/>
    <n v="2700"/>
    <n v="25000"/>
    <n v="36"/>
    <n v="0.34"/>
    <s v="Withdrawn"/>
    <x v="1"/>
    <n v="0"/>
    <n v="0"/>
    <n v="0"/>
    <m/>
    <n v="3"/>
    <n v="1"/>
    <n v="1"/>
  </r>
  <r>
    <s v="LA-703894"/>
    <d v="2025-07-15T00:00:00"/>
    <x v="1"/>
    <s v="Q3"/>
    <x v="6"/>
    <x v="0"/>
    <x v="3"/>
    <x v="2"/>
    <x v="0"/>
    <x v="0"/>
    <n v="5350"/>
    <n v="30000"/>
    <n v="36"/>
    <n v="0.28599999999999998"/>
    <s v="Approved"/>
    <x v="1"/>
    <n v="1"/>
    <n v="0"/>
    <n v="30000"/>
    <n v="9.9500000000000005E-2"/>
    <n v="4"/>
    <n v="1"/>
    <n v="1"/>
  </r>
  <r>
    <s v="LA-703895"/>
    <d v="2025-07-15T00:00:00"/>
    <x v="1"/>
    <s v="Q3"/>
    <x v="6"/>
    <x v="2"/>
    <x v="1"/>
    <x v="3"/>
    <x v="1"/>
    <x v="4"/>
    <n v="3650"/>
    <n v="98000"/>
    <n v="36"/>
    <n v="0.95299999999999996"/>
    <s v="Approved"/>
    <x v="1"/>
    <n v="1"/>
    <n v="0"/>
    <n v="98000"/>
    <n v="9.6299999999999997E-2"/>
    <n v="4"/>
    <n v="1"/>
    <n v="1"/>
  </r>
  <r>
    <s v="LA-703896"/>
    <d v="2025-07-15T00:00:00"/>
    <x v="1"/>
    <s v="Q3"/>
    <x v="6"/>
    <x v="0"/>
    <x v="2"/>
    <x v="3"/>
    <x v="1"/>
    <x v="0"/>
    <n v="4050"/>
    <n v="24500"/>
    <n v="60"/>
    <n v="0.26700000000000002"/>
    <s v="Withdrawn"/>
    <x v="1"/>
    <n v="0"/>
    <n v="0"/>
    <n v="0"/>
    <m/>
    <n v="2"/>
    <n v="1"/>
    <n v="1"/>
  </r>
  <r>
    <s v="LA-703897"/>
    <d v="2025-07-15T00:00:00"/>
    <x v="1"/>
    <s v="Q3"/>
    <x v="6"/>
    <x v="0"/>
    <x v="1"/>
    <x v="3"/>
    <x v="0"/>
    <x v="1"/>
    <n v="8150"/>
    <n v="41500"/>
    <n v="60"/>
    <n v="0.316"/>
    <s v="Approved"/>
    <x v="1"/>
    <n v="1"/>
    <n v="0"/>
    <n v="33000"/>
    <n v="8.4099999999999994E-2"/>
    <n v="2"/>
    <n v="1"/>
    <n v="1"/>
  </r>
  <r>
    <s v="LA-703898"/>
    <d v="2025-07-15T00:00:00"/>
    <x v="1"/>
    <s v="Q3"/>
    <x v="6"/>
    <x v="3"/>
    <x v="1"/>
    <x v="4"/>
    <x v="1"/>
    <x v="0"/>
    <n v="5050"/>
    <n v="217000"/>
    <n v="180"/>
    <n v="0.443"/>
    <s v="Approved"/>
    <x v="1"/>
    <n v="1"/>
    <n v="0"/>
    <n v="173500"/>
    <n v="7.9799999999999996E-2"/>
    <n v="12"/>
    <n v="1"/>
    <n v="1"/>
  </r>
  <r>
    <s v="LA-703899"/>
    <d v="2025-07-16T00:00:00"/>
    <x v="1"/>
    <s v="Q3"/>
    <x v="6"/>
    <x v="1"/>
    <x v="3"/>
    <x v="3"/>
    <x v="0"/>
    <x v="1"/>
    <n v="7000"/>
    <n v="14000"/>
    <n v="24"/>
    <n v="0.27900000000000003"/>
    <s v="Rejected"/>
    <x v="2"/>
    <n v="0"/>
    <n v="1"/>
    <n v="0"/>
    <m/>
    <n v="3"/>
    <n v="1"/>
    <n v="1"/>
  </r>
  <r>
    <s v="LA-703900"/>
    <d v="2025-07-16T00:00:00"/>
    <x v="1"/>
    <s v="Q3"/>
    <x v="6"/>
    <x v="2"/>
    <x v="0"/>
    <x v="3"/>
    <x v="0"/>
    <x v="1"/>
    <n v="2300"/>
    <n v="82500"/>
    <n v="36"/>
    <n v="1.2949999999999999"/>
    <s v="Rejected"/>
    <x v="3"/>
    <n v="0"/>
    <n v="1"/>
    <n v="0"/>
    <m/>
    <n v="6"/>
    <n v="1"/>
    <n v="1"/>
  </r>
  <r>
    <s v="LA-703901"/>
    <d v="2025-07-16T00:00:00"/>
    <x v="1"/>
    <s v="Q3"/>
    <x v="6"/>
    <x v="2"/>
    <x v="2"/>
    <x v="2"/>
    <x v="0"/>
    <x v="3"/>
    <n v="6000"/>
    <n v="113500"/>
    <n v="60"/>
    <n v="0.63300000000000001"/>
    <s v="Approved"/>
    <x v="1"/>
    <n v="1"/>
    <n v="0"/>
    <n v="113500"/>
    <n v="9.3399999999999997E-2"/>
    <n v="6"/>
    <n v="1"/>
    <n v="1"/>
  </r>
  <r>
    <s v="LA-703902"/>
    <d v="2025-07-16T00:00:00"/>
    <x v="1"/>
    <s v="Q3"/>
    <x v="6"/>
    <x v="2"/>
    <x v="1"/>
    <x v="1"/>
    <x v="2"/>
    <x v="1"/>
    <n v="6350"/>
    <n v="74500"/>
    <n v="36"/>
    <n v="0.59399999999999997"/>
    <s v="Rejected"/>
    <x v="4"/>
    <n v="0"/>
    <n v="1"/>
    <n v="0"/>
    <m/>
    <n v="9"/>
    <n v="1"/>
    <n v="1"/>
  </r>
  <r>
    <s v="LA-703903"/>
    <d v="2025-07-16T00:00:00"/>
    <x v="1"/>
    <s v="Q3"/>
    <x v="6"/>
    <x v="1"/>
    <x v="3"/>
    <x v="3"/>
    <x v="0"/>
    <x v="2"/>
    <n v="3350"/>
    <n v="13000"/>
    <n v="60"/>
    <n v="0.33"/>
    <s v="Approved"/>
    <x v="1"/>
    <n v="1"/>
    <n v="0"/>
    <n v="13000"/>
    <n v="0.1598"/>
    <n v="3"/>
    <n v="1"/>
    <n v="1"/>
  </r>
  <r>
    <s v="LA-703904"/>
    <d v="2025-07-17T00:00:00"/>
    <x v="1"/>
    <s v="Q3"/>
    <x v="6"/>
    <x v="2"/>
    <x v="1"/>
    <x v="2"/>
    <x v="0"/>
    <x v="3"/>
    <n v="3000"/>
    <n v="65000"/>
    <n v="24"/>
    <n v="1.1910000000000001"/>
    <s v="Rejected"/>
    <x v="3"/>
    <n v="0"/>
    <n v="1"/>
    <n v="0"/>
    <m/>
    <n v="2"/>
    <n v="1"/>
    <n v="1"/>
  </r>
  <r>
    <s v="LA-703905"/>
    <d v="2025-07-17T00:00:00"/>
    <x v="1"/>
    <s v="Q3"/>
    <x v="6"/>
    <x v="2"/>
    <x v="1"/>
    <x v="2"/>
    <x v="0"/>
    <x v="4"/>
    <n v="2950"/>
    <n v="75000"/>
    <n v="60"/>
    <n v="0.68600000000000005"/>
    <s v="Rejected"/>
    <x v="3"/>
    <n v="0"/>
    <n v="1"/>
    <n v="0"/>
    <m/>
    <n v="4"/>
    <n v="1"/>
    <n v="1"/>
  </r>
  <r>
    <s v="LA-703906"/>
    <d v="2025-07-17T00:00:00"/>
    <x v="1"/>
    <s v="Q3"/>
    <x v="6"/>
    <x v="2"/>
    <x v="1"/>
    <x v="4"/>
    <x v="1"/>
    <x v="1"/>
    <n v="4900"/>
    <n v="50000"/>
    <n v="12"/>
    <n v="1.0429999999999999"/>
    <s v="Rejected"/>
    <x v="4"/>
    <n v="0"/>
    <n v="1"/>
    <n v="0"/>
    <m/>
    <n v="10"/>
    <n v="1"/>
    <n v="1"/>
  </r>
  <r>
    <s v="LA-703907"/>
    <d v="2025-07-17T00:00:00"/>
    <x v="1"/>
    <s v="Q3"/>
    <x v="6"/>
    <x v="2"/>
    <x v="1"/>
    <x v="0"/>
    <x v="2"/>
    <x v="3"/>
    <n v="11800"/>
    <n v="75000"/>
    <n v="24"/>
    <n v="0.48699999999999999"/>
    <s v="Approved"/>
    <x v="1"/>
    <n v="1"/>
    <n v="0"/>
    <n v="75000"/>
    <n v="8.9899999999999994E-2"/>
    <n v="3"/>
    <n v="1"/>
    <n v="1"/>
  </r>
  <r>
    <s v="LA-703908"/>
    <d v="2025-07-18T00:00:00"/>
    <x v="1"/>
    <s v="Q3"/>
    <x v="6"/>
    <x v="3"/>
    <x v="3"/>
    <x v="3"/>
    <x v="0"/>
    <x v="1"/>
    <n v="5000"/>
    <n v="192000"/>
    <n v="240"/>
    <n v="0.42"/>
    <s v="Approved"/>
    <x v="1"/>
    <n v="1"/>
    <n v="0"/>
    <n v="192000"/>
    <n v="6.0299999999999999E-2"/>
    <n v="28"/>
    <n v="0"/>
    <n v="1"/>
  </r>
  <r>
    <s v="LA-703909"/>
    <d v="2025-07-18T00:00:00"/>
    <x v="1"/>
    <s v="Q3"/>
    <x v="6"/>
    <x v="0"/>
    <x v="1"/>
    <x v="2"/>
    <x v="1"/>
    <x v="4"/>
    <n v="4400"/>
    <n v="83000"/>
    <n v="36"/>
    <n v="0.66900000000000004"/>
    <s v="Approved"/>
    <x v="1"/>
    <n v="1"/>
    <n v="0"/>
    <n v="66500"/>
    <n v="7.2999999999999995E-2"/>
    <n v="1"/>
    <n v="1"/>
    <n v="1"/>
  </r>
  <r>
    <s v="LA-703910"/>
    <d v="2025-07-18T00:00:00"/>
    <x v="1"/>
    <s v="Q3"/>
    <x v="6"/>
    <x v="2"/>
    <x v="3"/>
    <x v="1"/>
    <x v="1"/>
    <x v="1"/>
    <n v="5500"/>
    <n v="58000"/>
    <n v="12"/>
    <n v="0.996"/>
    <s v="Approved"/>
    <x v="1"/>
    <n v="1"/>
    <n v="0"/>
    <n v="58000"/>
    <n v="0.10920000000000001"/>
    <n v="16"/>
    <n v="0"/>
    <n v="1"/>
  </r>
  <r>
    <s v="LA-703911"/>
    <d v="2025-07-18T00:00:00"/>
    <x v="1"/>
    <s v="Q3"/>
    <x v="6"/>
    <x v="2"/>
    <x v="3"/>
    <x v="2"/>
    <x v="0"/>
    <x v="1"/>
    <n v="5300"/>
    <n v="63500"/>
    <n v="24"/>
    <n v="0.747"/>
    <s v="Rejected"/>
    <x v="3"/>
    <n v="0"/>
    <n v="1"/>
    <n v="0"/>
    <m/>
    <n v="9"/>
    <n v="1"/>
    <n v="1"/>
  </r>
  <r>
    <s v="LA-703912"/>
    <d v="2025-07-18T00:00:00"/>
    <x v="1"/>
    <s v="Q3"/>
    <x v="6"/>
    <x v="1"/>
    <x v="1"/>
    <x v="0"/>
    <x v="0"/>
    <x v="1"/>
    <n v="8800"/>
    <n v="23500"/>
    <n v="24"/>
    <n v="0.34499999999999997"/>
    <s v="Approved"/>
    <x v="1"/>
    <n v="1"/>
    <n v="0"/>
    <n v="21000"/>
    <n v="0.12709999999999999"/>
    <n v="2"/>
    <n v="1"/>
    <n v="1"/>
  </r>
  <r>
    <s v="LA-703913"/>
    <d v="2025-07-18T00:00:00"/>
    <x v="1"/>
    <s v="Q3"/>
    <x v="6"/>
    <x v="3"/>
    <x v="2"/>
    <x v="2"/>
    <x v="0"/>
    <x v="4"/>
    <n v="7500"/>
    <n v="115500"/>
    <n v="180"/>
    <n v="0.36599999999999999"/>
    <s v="Rejected"/>
    <x v="4"/>
    <n v="0"/>
    <n v="1"/>
    <n v="0"/>
    <m/>
    <n v="12"/>
    <n v="1"/>
    <n v="1"/>
  </r>
  <r>
    <s v="LA-703914"/>
    <d v="2025-07-18T00:00:00"/>
    <x v="1"/>
    <s v="Q3"/>
    <x v="6"/>
    <x v="1"/>
    <x v="1"/>
    <x v="3"/>
    <x v="1"/>
    <x v="1"/>
    <n v="3950"/>
    <n v="8000"/>
    <n v="12"/>
    <n v="0.33400000000000002"/>
    <s v="Rejected"/>
    <x v="0"/>
    <n v="0"/>
    <n v="1"/>
    <n v="0"/>
    <m/>
    <n v="2"/>
    <n v="1"/>
    <n v="1"/>
  </r>
  <r>
    <s v="LA-703915"/>
    <d v="2025-07-19T00:00:00"/>
    <x v="1"/>
    <s v="Q3"/>
    <x v="6"/>
    <x v="2"/>
    <x v="3"/>
    <x v="2"/>
    <x v="0"/>
    <x v="1"/>
    <n v="7500"/>
    <n v="73500"/>
    <n v="60"/>
    <n v="0.45300000000000001"/>
    <s v="Approved"/>
    <x v="1"/>
    <n v="1"/>
    <n v="0"/>
    <n v="73500"/>
    <n v="0.1074"/>
    <n v="13"/>
    <n v="0"/>
    <n v="1"/>
  </r>
  <r>
    <s v="LA-703916"/>
    <d v="2025-07-19T00:00:00"/>
    <x v="1"/>
    <s v="Q3"/>
    <x v="6"/>
    <x v="0"/>
    <x v="3"/>
    <x v="2"/>
    <x v="0"/>
    <x v="3"/>
    <n v="4650"/>
    <n v="27000"/>
    <n v="60"/>
    <n v="0.32400000000000001"/>
    <s v="Approved"/>
    <x v="1"/>
    <n v="1"/>
    <n v="0"/>
    <n v="27000"/>
    <n v="6.5600000000000006E-2"/>
    <n v="7"/>
    <n v="0"/>
    <n v="1"/>
  </r>
  <r>
    <s v="LA-703917"/>
    <d v="2025-07-19T00:00:00"/>
    <x v="1"/>
    <s v="Q3"/>
    <x v="6"/>
    <x v="2"/>
    <x v="3"/>
    <x v="1"/>
    <x v="2"/>
    <x v="4"/>
    <n v="12000"/>
    <n v="60000"/>
    <n v="36"/>
    <n v="0.26900000000000002"/>
    <s v="Approved"/>
    <x v="1"/>
    <n v="1"/>
    <n v="0"/>
    <n v="48000"/>
    <n v="9.8799999999999999E-2"/>
    <n v="6"/>
    <n v="1"/>
    <n v="1"/>
  </r>
  <r>
    <s v="LA-703918"/>
    <d v="2025-07-20T00:00:00"/>
    <x v="1"/>
    <s v="Q3"/>
    <x v="6"/>
    <x v="1"/>
    <x v="1"/>
    <x v="2"/>
    <x v="2"/>
    <x v="0"/>
    <n v="4650"/>
    <n v="5500"/>
    <n v="48"/>
    <n v="0.14499999999999999"/>
    <s v="Rejected"/>
    <x v="0"/>
    <n v="0"/>
    <n v="1"/>
    <n v="0"/>
    <m/>
    <n v="2"/>
    <n v="1"/>
    <n v="1"/>
  </r>
  <r>
    <s v="LA-703919"/>
    <d v="2025-07-20T00:00:00"/>
    <x v="1"/>
    <s v="Q3"/>
    <x v="6"/>
    <x v="1"/>
    <x v="3"/>
    <x v="3"/>
    <x v="1"/>
    <x v="3"/>
    <n v="14550"/>
    <n v="16500"/>
    <n v="24"/>
    <n v="0.253"/>
    <s v="Approved"/>
    <x v="1"/>
    <n v="1"/>
    <n v="0"/>
    <n v="16500"/>
    <n v="0.1076"/>
    <n v="5"/>
    <n v="0"/>
    <n v="1"/>
  </r>
  <r>
    <s v="LA-703920"/>
    <d v="2025-07-21T00:00:00"/>
    <x v="1"/>
    <s v="Q3"/>
    <x v="6"/>
    <x v="1"/>
    <x v="1"/>
    <x v="2"/>
    <x v="0"/>
    <x v="1"/>
    <n v="5650"/>
    <n v="13000"/>
    <n v="36"/>
    <n v="0.26700000000000002"/>
    <s v="Rejected"/>
    <x v="4"/>
    <n v="0"/>
    <n v="1"/>
    <n v="0"/>
    <m/>
    <n v="5"/>
    <n v="0"/>
    <n v="1"/>
  </r>
  <r>
    <s v="LA-703921"/>
    <d v="2025-07-21T00:00:00"/>
    <x v="1"/>
    <s v="Q3"/>
    <x v="6"/>
    <x v="1"/>
    <x v="2"/>
    <x v="0"/>
    <x v="0"/>
    <x v="0"/>
    <n v="6700"/>
    <n v="20500"/>
    <n v="48"/>
    <n v="0.23699999999999999"/>
    <s v="Rejected"/>
    <x v="5"/>
    <n v="0"/>
    <n v="1"/>
    <n v="0"/>
    <m/>
    <n v="3"/>
    <n v="1"/>
    <n v="1"/>
  </r>
  <r>
    <s v="LA-703922"/>
    <d v="2025-07-21T00:00:00"/>
    <x v="1"/>
    <s v="Q3"/>
    <x v="6"/>
    <x v="2"/>
    <x v="2"/>
    <x v="3"/>
    <x v="0"/>
    <x v="1"/>
    <n v="6700"/>
    <n v="65000"/>
    <n v="12"/>
    <n v="1.0069999999999999"/>
    <s v="Approved"/>
    <x v="1"/>
    <n v="1"/>
    <n v="0"/>
    <n v="65000"/>
    <n v="0.112"/>
    <n v="7"/>
    <n v="1"/>
    <n v="1"/>
  </r>
  <r>
    <s v="LA-703923"/>
    <d v="2025-07-21T00:00:00"/>
    <x v="1"/>
    <s v="Q3"/>
    <x v="6"/>
    <x v="0"/>
    <x v="2"/>
    <x v="3"/>
    <x v="2"/>
    <x v="0"/>
    <n v="3550"/>
    <n v="22500"/>
    <n v="48"/>
    <n v="0.379"/>
    <s v="Approved"/>
    <x v="1"/>
    <n v="1"/>
    <n v="0"/>
    <n v="22500"/>
    <n v="9.5600000000000004E-2"/>
    <n v="2"/>
    <n v="1"/>
    <n v="1"/>
  </r>
  <r>
    <s v="LA-703924"/>
    <d v="2025-07-21T00:00:00"/>
    <x v="1"/>
    <s v="Q3"/>
    <x v="6"/>
    <x v="1"/>
    <x v="2"/>
    <x v="3"/>
    <x v="0"/>
    <x v="0"/>
    <n v="5700"/>
    <n v="11500"/>
    <n v="60"/>
    <n v="0.26700000000000002"/>
    <s v="Rejected"/>
    <x v="0"/>
    <n v="0"/>
    <n v="1"/>
    <n v="0"/>
    <m/>
    <n v="1"/>
    <n v="1"/>
    <n v="1"/>
  </r>
  <r>
    <s v="LA-703925"/>
    <d v="2025-07-21T00:00:00"/>
    <x v="1"/>
    <s v="Q3"/>
    <x v="6"/>
    <x v="3"/>
    <x v="0"/>
    <x v="3"/>
    <x v="2"/>
    <x v="3"/>
    <n v="5300"/>
    <n v="142500"/>
    <n v="300"/>
    <n v="0.33400000000000002"/>
    <s v="Rejected"/>
    <x v="4"/>
    <n v="0"/>
    <n v="1"/>
    <n v="0"/>
    <m/>
    <n v="20"/>
    <n v="0"/>
    <n v="1"/>
  </r>
  <r>
    <s v="LA-703926"/>
    <d v="2025-07-21T00:00:00"/>
    <x v="1"/>
    <s v="Q3"/>
    <x v="6"/>
    <x v="0"/>
    <x v="2"/>
    <x v="1"/>
    <x v="1"/>
    <x v="3"/>
    <n v="1950"/>
    <n v="34500"/>
    <n v="48"/>
    <n v="0.57099999999999995"/>
    <s v="Rejected"/>
    <x v="4"/>
    <n v="0"/>
    <n v="1"/>
    <n v="0"/>
    <m/>
    <n v="6"/>
    <n v="0"/>
    <n v="1"/>
  </r>
  <r>
    <s v="LA-703927"/>
    <d v="2025-07-21T00:00:00"/>
    <x v="1"/>
    <s v="Q3"/>
    <x v="6"/>
    <x v="0"/>
    <x v="3"/>
    <x v="2"/>
    <x v="0"/>
    <x v="4"/>
    <n v="4850"/>
    <n v="20500"/>
    <n v="36"/>
    <n v="0.23100000000000001"/>
    <s v="Approved"/>
    <x v="1"/>
    <n v="1"/>
    <n v="0"/>
    <n v="18500"/>
    <n v="7.4300000000000005E-2"/>
    <n v="6"/>
    <n v="0"/>
    <n v="1"/>
  </r>
  <r>
    <s v="LA-703928"/>
    <d v="2025-07-21T00:00:00"/>
    <x v="1"/>
    <s v="Q3"/>
    <x v="6"/>
    <x v="0"/>
    <x v="0"/>
    <x v="2"/>
    <x v="2"/>
    <x v="4"/>
    <n v="6750"/>
    <n v="14500"/>
    <n v="36"/>
    <n v="0.255"/>
    <s v="Approved"/>
    <x v="1"/>
    <n v="1"/>
    <n v="0"/>
    <n v="14500"/>
    <n v="7.4099999999999999E-2"/>
    <n v="3"/>
    <n v="1"/>
    <n v="1"/>
  </r>
  <r>
    <s v="LA-703929"/>
    <d v="2025-07-22T00:00:00"/>
    <x v="1"/>
    <s v="Q3"/>
    <x v="6"/>
    <x v="3"/>
    <x v="3"/>
    <x v="4"/>
    <x v="0"/>
    <x v="3"/>
    <n v="4450"/>
    <n v="103500"/>
    <n v="180"/>
    <n v="0.30599999999999999"/>
    <s v="Approved"/>
    <x v="1"/>
    <n v="1"/>
    <n v="0"/>
    <n v="93000"/>
    <n v="4.19E-2"/>
    <n v="14"/>
    <n v="1"/>
    <n v="1"/>
  </r>
  <r>
    <s v="LA-703930"/>
    <d v="2025-07-22T00:00:00"/>
    <x v="1"/>
    <s v="Q3"/>
    <x v="6"/>
    <x v="0"/>
    <x v="1"/>
    <x v="2"/>
    <x v="0"/>
    <x v="1"/>
    <n v="6050"/>
    <n v="16000"/>
    <n v="36"/>
    <n v="0.218"/>
    <s v="Rejected"/>
    <x v="4"/>
    <n v="0"/>
    <n v="1"/>
    <n v="0"/>
    <m/>
    <n v="7"/>
    <n v="0"/>
    <n v="1"/>
  </r>
  <r>
    <s v="LA-703931"/>
    <d v="2025-07-22T00:00:00"/>
    <x v="1"/>
    <s v="Q3"/>
    <x v="6"/>
    <x v="3"/>
    <x v="1"/>
    <x v="2"/>
    <x v="0"/>
    <x v="4"/>
    <n v="8400"/>
    <n v="168000"/>
    <n v="300"/>
    <n v="0.307"/>
    <s v="Approved"/>
    <x v="1"/>
    <n v="1"/>
    <n v="0"/>
    <n v="168000"/>
    <n v="4.3799999999999999E-2"/>
    <n v="6"/>
    <n v="1"/>
    <n v="1"/>
  </r>
  <r>
    <s v="LA-703932"/>
    <d v="2025-07-22T00:00:00"/>
    <x v="1"/>
    <s v="Q3"/>
    <x v="6"/>
    <x v="2"/>
    <x v="2"/>
    <x v="2"/>
    <x v="1"/>
    <x v="4"/>
    <n v="14000"/>
    <n v="48000"/>
    <n v="12"/>
    <n v="0.39200000000000002"/>
    <s v="Approved"/>
    <x v="1"/>
    <n v="1"/>
    <n v="0"/>
    <n v="48000"/>
    <n v="0.10349999999999999"/>
    <n v="8"/>
    <n v="1"/>
    <n v="1"/>
  </r>
  <r>
    <s v="LA-703933"/>
    <d v="2025-07-22T00:00:00"/>
    <x v="1"/>
    <s v="Q3"/>
    <x v="6"/>
    <x v="1"/>
    <x v="2"/>
    <x v="1"/>
    <x v="0"/>
    <x v="2"/>
    <n v="3300"/>
    <n v="9000"/>
    <n v="60"/>
    <n v="0.26"/>
    <s v="Rejected"/>
    <x v="0"/>
    <n v="0"/>
    <n v="1"/>
    <n v="0"/>
    <m/>
    <n v="2"/>
    <n v="1"/>
    <n v="1"/>
  </r>
  <r>
    <s v="LA-703934"/>
    <d v="2025-07-22T00:00:00"/>
    <x v="1"/>
    <s v="Q3"/>
    <x v="6"/>
    <x v="1"/>
    <x v="3"/>
    <x v="2"/>
    <x v="1"/>
    <x v="0"/>
    <n v="8000"/>
    <n v="8000"/>
    <n v="48"/>
    <n v="0.113"/>
    <s v="Rejected"/>
    <x v="4"/>
    <n v="0"/>
    <n v="1"/>
    <n v="0"/>
    <m/>
    <n v="12"/>
    <n v="0"/>
    <n v="1"/>
  </r>
  <r>
    <s v="LA-703935"/>
    <d v="2025-07-22T00:00:00"/>
    <x v="1"/>
    <s v="Q3"/>
    <x v="6"/>
    <x v="0"/>
    <x v="3"/>
    <x v="3"/>
    <x v="0"/>
    <x v="2"/>
    <n v="3600"/>
    <n v="35000"/>
    <n v="60"/>
    <n v="0.41099999999999998"/>
    <s v="Rejected"/>
    <x v="0"/>
    <n v="0"/>
    <n v="1"/>
    <n v="0"/>
    <m/>
    <n v="7"/>
    <n v="0"/>
    <n v="1"/>
  </r>
  <r>
    <s v="LA-703936"/>
    <d v="2025-07-22T00:00:00"/>
    <x v="1"/>
    <s v="Q3"/>
    <x v="6"/>
    <x v="2"/>
    <x v="0"/>
    <x v="2"/>
    <x v="0"/>
    <x v="1"/>
    <n v="8250"/>
    <n v="65500"/>
    <n v="36"/>
    <n v="0.314"/>
    <s v="Rejected"/>
    <x v="4"/>
    <n v="0"/>
    <n v="1"/>
    <n v="0"/>
    <m/>
    <n v="11"/>
    <n v="0"/>
    <n v="1"/>
  </r>
  <r>
    <s v="LA-703937"/>
    <d v="2025-07-22T00:00:00"/>
    <x v="1"/>
    <s v="Q3"/>
    <x v="6"/>
    <x v="2"/>
    <x v="3"/>
    <x v="0"/>
    <x v="1"/>
    <x v="0"/>
    <n v="8850"/>
    <n v="208000"/>
    <n v="36"/>
    <n v="0.80800000000000005"/>
    <s v="Rejected"/>
    <x v="0"/>
    <n v="0"/>
    <n v="1"/>
    <n v="0"/>
    <m/>
    <n v="14"/>
    <n v="0"/>
    <n v="1"/>
  </r>
  <r>
    <s v="LA-703938"/>
    <d v="2025-07-22T00:00:00"/>
    <x v="1"/>
    <s v="Q3"/>
    <x v="6"/>
    <x v="1"/>
    <x v="1"/>
    <x v="1"/>
    <x v="2"/>
    <x v="1"/>
    <n v="2600"/>
    <n v="9000"/>
    <n v="60"/>
    <n v="0.26100000000000001"/>
    <s v="Approved"/>
    <x v="1"/>
    <n v="1"/>
    <n v="0"/>
    <n v="9000"/>
    <n v="0.12839999999999999"/>
    <n v="2"/>
    <n v="1"/>
    <n v="1"/>
  </r>
  <r>
    <s v="LA-703939"/>
    <d v="2025-07-23T00:00:00"/>
    <x v="1"/>
    <s v="Q3"/>
    <x v="6"/>
    <x v="1"/>
    <x v="0"/>
    <x v="2"/>
    <x v="0"/>
    <x v="2"/>
    <n v="13300"/>
    <n v="6500"/>
    <n v="36"/>
    <n v="7.9000000000000001E-2"/>
    <s v="Rejected"/>
    <x v="0"/>
    <n v="0"/>
    <n v="1"/>
    <n v="0"/>
    <m/>
    <n v="5"/>
    <n v="0"/>
    <n v="1"/>
  </r>
  <r>
    <s v="LA-703940"/>
    <d v="2025-07-23T00:00:00"/>
    <x v="1"/>
    <s v="Q3"/>
    <x v="6"/>
    <x v="1"/>
    <x v="2"/>
    <x v="3"/>
    <x v="2"/>
    <x v="1"/>
    <n v="3150"/>
    <n v="21500"/>
    <n v="60"/>
    <n v="0.38700000000000001"/>
    <s v="Approved"/>
    <x v="1"/>
    <n v="1"/>
    <n v="0"/>
    <n v="21500"/>
    <n v="0.12809999999999999"/>
    <n v="1"/>
    <n v="1"/>
    <n v="1"/>
  </r>
  <r>
    <s v="LA-703941"/>
    <d v="2025-07-23T00:00:00"/>
    <x v="1"/>
    <s v="Q3"/>
    <x v="6"/>
    <x v="2"/>
    <x v="3"/>
    <x v="3"/>
    <x v="1"/>
    <x v="2"/>
    <n v="5500"/>
    <n v="57000"/>
    <n v="24"/>
    <n v="0.65100000000000002"/>
    <s v="Rejected"/>
    <x v="0"/>
    <n v="0"/>
    <n v="1"/>
    <n v="0"/>
    <m/>
    <n v="27"/>
    <n v="0"/>
    <n v="1"/>
  </r>
  <r>
    <s v="LA-703942"/>
    <d v="2025-07-23T00:00:00"/>
    <x v="1"/>
    <s v="Q3"/>
    <x v="6"/>
    <x v="1"/>
    <x v="2"/>
    <x v="1"/>
    <x v="0"/>
    <x v="4"/>
    <n v="3550"/>
    <n v="8500"/>
    <n v="48"/>
    <n v="0.182"/>
    <s v="Approved"/>
    <x v="1"/>
    <n v="1"/>
    <n v="0"/>
    <n v="7000"/>
    <n v="0.11459999999999999"/>
    <n v="2"/>
    <n v="1"/>
    <n v="1"/>
  </r>
  <r>
    <s v="LA-703943"/>
    <d v="2025-07-23T00:00:00"/>
    <x v="1"/>
    <s v="Q3"/>
    <x v="6"/>
    <x v="0"/>
    <x v="1"/>
    <x v="1"/>
    <x v="2"/>
    <x v="0"/>
    <n v="11250"/>
    <n v="23500"/>
    <n v="36"/>
    <n v="0.22500000000000001"/>
    <s v="Approved"/>
    <x v="1"/>
    <n v="1"/>
    <n v="0"/>
    <n v="23500"/>
    <n v="9.2200000000000004E-2"/>
    <n v="2"/>
    <n v="1"/>
    <n v="1"/>
  </r>
  <r>
    <s v="LA-703944"/>
    <d v="2025-07-23T00:00:00"/>
    <x v="1"/>
    <s v="Q3"/>
    <x v="6"/>
    <x v="0"/>
    <x v="0"/>
    <x v="2"/>
    <x v="2"/>
    <x v="4"/>
    <n v="6800"/>
    <n v="21500"/>
    <n v="36"/>
    <n v="0.25700000000000001"/>
    <s v="Approved"/>
    <x v="1"/>
    <n v="1"/>
    <n v="0"/>
    <n v="21500"/>
    <n v="6.9800000000000001E-2"/>
    <n v="5"/>
    <n v="0"/>
    <n v="1"/>
  </r>
  <r>
    <s v="LA-703945"/>
    <d v="2025-07-23T00:00:00"/>
    <x v="1"/>
    <s v="Q3"/>
    <x v="6"/>
    <x v="1"/>
    <x v="3"/>
    <x v="2"/>
    <x v="0"/>
    <x v="1"/>
    <n v="5450"/>
    <n v="7000"/>
    <n v="12"/>
    <n v="0.20100000000000001"/>
    <s v="Approved"/>
    <x v="1"/>
    <n v="1"/>
    <n v="0"/>
    <n v="7000"/>
    <n v="0.1278"/>
    <n v="6"/>
    <n v="0"/>
    <n v="1"/>
  </r>
  <r>
    <s v="LA-703946"/>
    <d v="2025-07-23T00:00:00"/>
    <x v="1"/>
    <s v="Q3"/>
    <x v="6"/>
    <x v="0"/>
    <x v="3"/>
    <x v="3"/>
    <x v="2"/>
    <x v="1"/>
    <n v="4600"/>
    <n v="46500"/>
    <n v="36"/>
    <n v="0.42499999999999999"/>
    <s v="Approved"/>
    <x v="1"/>
    <n v="1"/>
    <n v="0"/>
    <n v="46500"/>
    <n v="7.6200000000000004E-2"/>
    <n v="8"/>
    <n v="0"/>
    <n v="1"/>
  </r>
  <r>
    <s v="LA-703947"/>
    <d v="2025-07-24T00:00:00"/>
    <x v="1"/>
    <s v="Q3"/>
    <x v="6"/>
    <x v="1"/>
    <x v="2"/>
    <x v="1"/>
    <x v="2"/>
    <x v="4"/>
    <n v="4400"/>
    <n v="5000"/>
    <n v="12"/>
    <n v="0.152"/>
    <s v="Approved"/>
    <x v="1"/>
    <n v="1"/>
    <n v="0"/>
    <n v="5000"/>
    <n v="0.11269999999999999"/>
    <n v="1"/>
    <n v="1"/>
    <n v="1"/>
  </r>
  <r>
    <s v="LA-703948"/>
    <d v="2025-07-24T00:00:00"/>
    <x v="1"/>
    <s v="Q3"/>
    <x v="6"/>
    <x v="1"/>
    <x v="1"/>
    <x v="2"/>
    <x v="0"/>
    <x v="1"/>
    <n v="8450"/>
    <n v="11500"/>
    <n v="48"/>
    <n v="0.183"/>
    <s v="Approved"/>
    <x v="1"/>
    <n v="1"/>
    <n v="0"/>
    <n v="10500"/>
    <n v="0.1268"/>
    <n v="1"/>
    <n v="1"/>
    <n v="1"/>
  </r>
  <r>
    <s v="LA-703949"/>
    <d v="2025-07-24T00:00:00"/>
    <x v="1"/>
    <s v="Q3"/>
    <x v="6"/>
    <x v="3"/>
    <x v="0"/>
    <x v="3"/>
    <x v="0"/>
    <x v="0"/>
    <n v="2700"/>
    <n v="130000"/>
    <n v="180"/>
    <n v="0.625"/>
    <s v="Approved"/>
    <x v="1"/>
    <n v="1"/>
    <n v="0"/>
    <n v="104000"/>
    <n v="7.2400000000000006E-2"/>
    <n v="12"/>
    <n v="1"/>
    <n v="1"/>
  </r>
  <r>
    <s v="LA-703950"/>
    <d v="2025-07-24T00:00:00"/>
    <x v="1"/>
    <s v="Q3"/>
    <x v="6"/>
    <x v="0"/>
    <x v="2"/>
    <x v="4"/>
    <x v="0"/>
    <x v="0"/>
    <n v="3950"/>
    <n v="35000"/>
    <n v="48"/>
    <n v="0.41799999999999998"/>
    <s v="Approved"/>
    <x v="1"/>
    <n v="1"/>
    <n v="0"/>
    <n v="31500"/>
    <n v="9.6199999999999994E-2"/>
    <n v="2"/>
    <n v="1"/>
    <n v="1"/>
  </r>
  <r>
    <s v="LA-703951"/>
    <d v="2025-07-24T00:00:00"/>
    <x v="1"/>
    <s v="Q3"/>
    <x v="6"/>
    <x v="1"/>
    <x v="3"/>
    <x v="0"/>
    <x v="1"/>
    <x v="1"/>
    <n v="5850"/>
    <n v="10500"/>
    <n v="24"/>
    <n v="0.19600000000000001"/>
    <s v="Approved"/>
    <x v="1"/>
    <n v="1"/>
    <n v="0"/>
    <n v="10500"/>
    <n v="0.1249"/>
    <n v="6"/>
    <n v="0"/>
    <n v="1"/>
  </r>
  <r>
    <s v="LA-703952"/>
    <d v="2025-07-24T00:00:00"/>
    <x v="1"/>
    <s v="Q3"/>
    <x v="6"/>
    <x v="0"/>
    <x v="1"/>
    <x v="4"/>
    <x v="0"/>
    <x v="4"/>
    <n v="5000"/>
    <n v="39500"/>
    <n v="60"/>
    <n v="0.221"/>
    <s v="Approved"/>
    <x v="1"/>
    <n v="1"/>
    <n v="0"/>
    <n v="35500"/>
    <n v="7.4700000000000003E-2"/>
    <n v="2"/>
    <n v="1"/>
    <n v="1"/>
  </r>
  <r>
    <s v="LA-703953"/>
    <d v="2025-07-24T00:00:00"/>
    <x v="1"/>
    <s v="Q3"/>
    <x v="6"/>
    <x v="0"/>
    <x v="2"/>
    <x v="2"/>
    <x v="2"/>
    <x v="0"/>
    <n v="6650"/>
    <n v="16500"/>
    <n v="48"/>
    <n v="0.27100000000000002"/>
    <s v="Approved"/>
    <x v="1"/>
    <n v="1"/>
    <n v="0"/>
    <n v="15000"/>
    <n v="9.98E-2"/>
    <n v="2"/>
    <n v="1"/>
    <n v="1"/>
  </r>
  <r>
    <s v="LA-703954"/>
    <d v="2025-07-24T00:00:00"/>
    <x v="1"/>
    <s v="Q3"/>
    <x v="6"/>
    <x v="2"/>
    <x v="0"/>
    <x v="1"/>
    <x v="1"/>
    <x v="1"/>
    <n v="5950"/>
    <n v="130000"/>
    <n v="24"/>
    <n v="1.2390000000000001"/>
    <s v="Rejected"/>
    <x v="3"/>
    <n v="0"/>
    <n v="1"/>
    <n v="0"/>
    <m/>
    <n v="5"/>
    <n v="1"/>
    <n v="1"/>
  </r>
  <r>
    <s v="LA-703955"/>
    <d v="2025-07-24T00:00:00"/>
    <x v="1"/>
    <s v="Q3"/>
    <x v="6"/>
    <x v="1"/>
    <x v="2"/>
    <x v="1"/>
    <x v="2"/>
    <x v="2"/>
    <n v="3950"/>
    <n v="23500"/>
    <n v="60"/>
    <n v="0.35"/>
    <s v="Approved"/>
    <x v="1"/>
    <n v="1"/>
    <n v="0"/>
    <n v="21000"/>
    <n v="0.16350000000000001"/>
    <n v="2"/>
    <n v="1"/>
    <n v="1"/>
  </r>
  <r>
    <s v="LA-703956"/>
    <d v="2025-07-24T00:00:00"/>
    <x v="1"/>
    <s v="Q3"/>
    <x v="6"/>
    <x v="3"/>
    <x v="2"/>
    <x v="3"/>
    <x v="0"/>
    <x v="2"/>
    <n v="5450"/>
    <n v="311500"/>
    <n v="180"/>
    <n v="0.66400000000000003"/>
    <s v="Withdrawn"/>
    <x v="1"/>
    <n v="0"/>
    <n v="0"/>
    <n v="0"/>
    <m/>
    <n v="4"/>
    <n v="1"/>
    <n v="1"/>
  </r>
  <r>
    <s v="LA-703957"/>
    <d v="2025-07-24T00:00:00"/>
    <x v="1"/>
    <s v="Q3"/>
    <x v="6"/>
    <x v="1"/>
    <x v="2"/>
    <x v="3"/>
    <x v="0"/>
    <x v="0"/>
    <n v="5700"/>
    <n v="7500"/>
    <n v="36"/>
    <n v="0.192"/>
    <s v="Rejected"/>
    <x v="0"/>
    <n v="0"/>
    <n v="1"/>
    <n v="0"/>
    <m/>
    <n v="3"/>
    <n v="1"/>
    <n v="1"/>
  </r>
  <r>
    <s v="LA-703958"/>
    <d v="2025-07-24T00:00:00"/>
    <x v="1"/>
    <s v="Q3"/>
    <x v="6"/>
    <x v="1"/>
    <x v="1"/>
    <x v="2"/>
    <x v="1"/>
    <x v="4"/>
    <n v="3300"/>
    <n v="5500"/>
    <n v="12"/>
    <n v="0.28699999999999998"/>
    <s v="Approved"/>
    <x v="1"/>
    <n v="1"/>
    <n v="0"/>
    <n v="5500"/>
    <n v="0.1152"/>
    <n v="1"/>
    <n v="1"/>
    <n v="1"/>
  </r>
  <r>
    <s v="LA-703959"/>
    <d v="2025-07-25T00:00:00"/>
    <x v="1"/>
    <s v="Q3"/>
    <x v="6"/>
    <x v="3"/>
    <x v="3"/>
    <x v="1"/>
    <x v="2"/>
    <x v="1"/>
    <n v="5650"/>
    <n v="394000"/>
    <n v="240"/>
    <n v="0.66600000000000004"/>
    <s v="Approved"/>
    <x v="1"/>
    <n v="1"/>
    <n v="0"/>
    <n v="394000"/>
    <n v="5.3400000000000003E-2"/>
    <n v="26"/>
    <n v="0"/>
    <n v="1"/>
  </r>
  <r>
    <s v="LA-703960"/>
    <d v="2025-07-25T00:00:00"/>
    <x v="1"/>
    <s v="Q3"/>
    <x v="6"/>
    <x v="1"/>
    <x v="2"/>
    <x v="3"/>
    <x v="0"/>
    <x v="3"/>
    <n v="4750"/>
    <n v="12000"/>
    <n v="12"/>
    <n v="0.30199999999999999"/>
    <s v="Rejected"/>
    <x v="0"/>
    <n v="0"/>
    <n v="1"/>
    <n v="0"/>
    <m/>
    <n v="2"/>
    <n v="1"/>
    <n v="1"/>
  </r>
  <r>
    <s v="LA-703961"/>
    <d v="2025-07-25T00:00:00"/>
    <x v="1"/>
    <s v="Q3"/>
    <x v="6"/>
    <x v="2"/>
    <x v="1"/>
    <x v="4"/>
    <x v="0"/>
    <x v="4"/>
    <n v="8350"/>
    <n v="156500"/>
    <n v="60"/>
    <n v="0.61099999999999999"/>
    <s v="Approved"/>
    <x v="1"/>
    <n v="1"/>
    <n v="0"/>
    <n v="125000"/>
    <n v="9.8699999999999996E-2"/>
    <n v="5"/>
    <n v="1"/>
    <n v="1"/>
  </r>
  <r>
    <s v="LA-703962"/>
    <d v="2025-07-25T00:00:00"/>
    <x v="1"/>
    <s v="Q3"/>
    <x v="6"/>
    <x v="1"/>
    <x v="3"/>
    <x v="2"/>
    <x v="2"/>
    <x v="2"/>
    <n v="11000"/>
    <n v="17500"/>
    <n v="36"/>
    <n v="0.28799999999999998"/>
    <s v="Rejected"/>
    <x v="0"/>
    <n v="0"/>
    <n v="1"/>
    <n v="0"/>
    <m/>
    <n v="5"/>
    <n v="0"/>
    <n v="1"/>
  </r>
  <r>
    <s v="LA-703963"/>
    <d v="2025-07-25T00:00:00"/>
    <x v="1"/>
    <s v="Q3"/>
    <x v="6"/>
    <x v="1"/>
    <x v="2"/>
    <x v="1"/>
    <x v="0"/>
    <x v="1"/>
    <n v="3800"/>
    <n v="9000"/>
    <n v="60"/>
    <n v="0.17299999999999999"/>
    <s v="Rejected"/>
    <x v="0"/>
    <n v="0"/>
    <n v="1"/>
    <n v="0"/>
    <m/>
    <n v="2"/>
    <n v="1"/>
    <n v="1"/>
  </r>
  <r>
    <s v="LA-703964"/>
    <d v="2025-07-25T00:00:00"/>
    <x v="1"/>
    <s v="Q3"/>
    <x v="6"/>
    <x v="3"/>
    <x v="3"/>
    <x v="1"/>
    <x v="1"/>
    <x v="1"/>
    <n v="4300"/>
    <n v="587500"/>
    <n v="240"/>
    <n v="1.04"/>
    <s v="Approved"/>
    <x v="1"/>
    <n v="1"/>
    <n v="0"/>
    <n v="587500"/>
    <n v="6.4000000000000001E-2"/>
    <n v="21"/>
    <n v="0"/>
    <n v="1"/>
  </r>
  <r>
    <s v="LA-703965"/>
    <d v="2025-07-25T00:00:00"/>
    <x v="1"/>
    <s v="Q3"/>
    <x v="6"/>
    <x v="1"/>
    <x v="1"/>
    <x v="3"/>
    <x v="0"/>
    <x v="2"/>
    <n v="3850"/>
    <n v="8500"/>
    <n v="24"/>
    <n v="0.247"/>
    <s v="Rejected"/>
    <x v="0"/>
    <n v="0"/>
    <n v="1"/>
    <n v="0"/>
    <m/>
    <n v="1"/>
    <n v="1"/>
    <n v="1"/>
  </r>
  <r>
    <s v="LA-703966"/>
    <d v="2025-07-25T00:00:00"/>
    <x v="1"/>
    <s v="Q3"/>
    <x v="6"/>
    <x v="3"/>
    <x v="1"/>
    <x v="2"/>
    <x v="1"/>
    <x v="2"/>
    <n v="3500"/>
    <n v="320000"/>
    <n v="240"/>
    <n v="0.67"/>
    <s v="Rejected"/>
    <x v="0"/>
    <n v="0"/>
    <n v="1"/>
    <n v="0"/>
    <m/>
    <n v="7"/>
    <n v="1"/>
    <n v="1"/>
  </r>
  <r>
    <s v="LA-703967"/>
    <d v="2025-07-25T00:00:00"/>
    <x v="1"/>
    <s v="Q3"/>
    <x v="6"/>
    <x v="0"/>
    <x v="2"/>
    <x v="2"/>
    <x v="2"/>
    <x v="4"/>
    <n v="5750"/>
    <n v="27500"/>
    <n v="36"/>
    <n v="0.224"/>
    <s v="Approved"/>
    <x v="1"/>
    <n v="1"/>
    <n v="0"/>
    <n v="27500"/>
    <n v="7.5399999999999995E-2"/>
    <n v="2"/>
    <n v="1"/>
    <n v="1"/>
  </r>
  <r>
    <s v="LA-703968"/>
    <d v="2025-07-25T00:00:00"/>
    <x v="1"/>
    <s v="Q3"/>
    <x v="6"/>
    <x v="0"/>
    <x v="1"/>
    <x v="2"/>
    <x v="2"/>
    <x v="1"/>
    <n v="5400"/>
    <n v="37500"/>
    <n v="36"/>
    <n v="0.438"/>
    <s v="Rejected"/>
    <x v="0"/>
    <n v="0"/>
    <n v="1"/>
    <n v="0"/>
    <m/>
    <n v="3"/>
    <n v="1"/>
    <n v="1"/>
  </r>
  <r>
    <s v="LA-703969"/>
    <d v="2025-07-26T00:00:00"/>
    <x v="1"/>
    <s v="Q3"/>
    <x v="6"/>
    <x v="2"/>
    <x v="1"/>
    <x v="3"/>
    <x v="2"/>
    <x v="2"/>
    <n v="5500"/>
    <n v="103500"/>
    <n v="36"/>
    <n v="0.80100000000000005"/>
    <s v="Rejected"/>
    <x v="0"/>
    <n v="0"/>
    <n v="1"/>
    <n v="0"/>
    <m/>
    <n v="3"/>
    <n v="1"/>
    <n v="1"/>
  </r>
  <r>
    <s v="LA-703970"/>
    <d v="2025-07-26T00:00:00"/>
    <x v="1"/>
    <s v="Q3"/>
    <x v="6"/>
    <x v="2"/>
    <x v="2"/>
    <x v="2"/>
    <x v="0"/>
    <x v="0"/>
    <n v="11850"/>
    <n v="47500"/>
    <n v="60"/>
    <n v="0.19700000000000001"/>
    <s v="Rejected"/>
    <x v="4"/>
    <n v="0"/>
    <n v="1"/>
    <n v="0"/>
    <m/>
    <n v="7"/>
    <n v="1"/>
    <n v="1"/>
  </r>
  <r>
    <s v="LA-703971"/>
    <d v="2025-07-26T00:00:00"/>
    <x v="1"/>
    <s v="Q3"/>
    <x v="6"/>
    <x v="2"/>
    <x v="1"/>
    <x v="2"/>
    <x v="0"/>
    <x v="1"/>
    <n v="6000"/>
    <n v="16500"/>
    <n v="60"/>
    <n v="0.30499999999999999"/>
    <s v="Approved"/>
    <x v="1"/>
    <n v="1"/>
    <n v="0"/>
    <n v="16500"/>
    <n v="0.1037"/>
    <n v="2"/>
    <n v="1"/>
    <n v="1"/>
  </r>
  <r>
    <s v="LA-703972"/>
    <d v="2025-07-27T00:00:00"/>
    <x v="1"/>
    <s v="Q3"/>
    <x v="6"/>
    <x v="1"/>
    <x v="1"/>
    <x v="2"/>
    <x v="0"/>
    <x v="0"/>
    <n v="3950"/>
    <n v="14000"/>
    <n v="24"/>
    <n v="0.26500000000000001"/>
    <s v="Rejected"/>
    <x v="0"/>
    <n v="0"/>
    <n v="1"/>
    <n v="0"/>
    <m/>
    <n v="1"/>
    <n v="1"/>
    <n v="1"/>
  </r>
  <r>
    <s v="LA-703973"/>
    <d v="2025-07-27T00:00:00"/>
    <x v="1"/>
    <s v="Q3"/>
    <x v="6"/>
    <x v="1"/>
    <x v="2"/>
    <x v="3"/>
    <x v="1"/>
    <x v="1"/>
    <n v="6600"/>
    <n v="7500"/>
    <n v="60"/>
    <n v="0.20599999999999999"/>
    <s v="Approved"/>
    <x v="1"/>
    <n v="1"/>
    <n v="0"/>
    <n v="6000"/>
    <n v="0.1235"/>
    <n v="2"/>
    <n v="1"/>
    <n v="1"/>
  </r>
  <r>
    <s v="LA-703974"/>
    <d v="2025-07-27T00:00:00"/>
    <x v="1"/>
    <s v="Q3"/>
    <x v="6"/>
    <x v="0"/>
    <x v="1"/>
    <x v="4"/>
    <x v="1"/>
    <x v="1"/>
    <n v="5050"/>
    <n v="27000"/>
    <n v="60"/>
    <n v="0.26500000000000001"/>
    <s v="Approved"/>
    <x v="1"/>
    <n v="1"/>
    <n v="0"/>
    <n v="21500"/>
    <n v="8.3400000000000002E-2"/>
    <n v="6"/>
    <n v="0"/>
    <n v="1"/>
  </r>
  <r>
    <s v="LA-703975"/>
    <d v="2025-07-27T00:00:00"/>
    <x v="1"/>
    <s v="Q3"/>
    <x v="6"/>
    <x v="0"/>
    <x v="1"/>
    <x v="2"/>
    <x v="1"/>
    <x v="1"/>
    <n v="9800"/>
    <n v="17500"/>
    <n v="48"/>
    <n v="0.121"/>
    <s v="Approved"/>
    <x v="1"/>
    <n v="1"/>
    <n v="0"/>
    <n v="16000"/>
    <n v="8.5300000000000001E-2"/>
    <n v="2"/>
    <n v="1"/>
    <n v="1"/>
  </r>
  <r>
    <s v="LA-703976"/>
    <d v="2025-07-27T00:00:00"/>
    <x v="1"/>
    <s v="Q3"/>
    <x v="6"/>
    <x v="0"/>
    <x v="2"/>
    <x v="2"/>
    <x v="2"/>
    <x v="1"/>
    <n v="4900"/>
    <n v="34000"/>
    <n v="48"/>
    <n v="0.40500000000000003"/>
    <s v="Approved"/>
    <x v="1"/>
    <n v="1"/>
    <n v="0"/>
    <n v="27000"/>
    <n v="9.0399999999999994E-2"/>
    <n v="1"/>
    <n v="1"/>
    <n v="1"/>
  </r>
  <r>
    <s v="LA-703977"/>
    <d v="2025-07-27T00:00:00"/>
    <x v="1"/>
    <s v="Q3"/>
    <x v="6"/>
    <x v="0"/>
    <x v="2"/>
    <x v="2"/>
    <x v="0"/>
    <x v="1"/>
    <n v="7050"/>
    <n v="21000"/>
    <n v="60"/>
    <n v="0.223"/>
    <s v="Rejected"/>
    <x v="5"/>
    <n v="0"/>
    <n v="1"/>
    <n v="0"/>
    <m/>
    <n v="2"/>
    <n v="1"/>
    <n v="1"/>
  </r>
  <r>
    <s v="LA-703978"/>
    <d v="2025-07-27T00:00:00"/>
    <x v="1"/>
    <s v="Q3"/>
    <x v="6"/>
    <x v="1"/>
    <x v="3"/>
    <x v="2"/>
    <x v="0"/>
    <x v="1"/>
    <n v="5500"/>
    <n v="14000"/>
    <n v="12"/>
    <n v="0.371"/>
    <s v="Approved"/>
    <x v="1"/>
    <n v="1"/>
    <n v="0"/>
    <n v="12500"/>
    <n v="0.12239999999999999"/>
    <n v="4"/>
    <n v="0"/>
    <n v="1"/>
  </r>
  <r>
    <s v="LA-703979"/>
    <d v="2025-07-28T00:00:00"/>
    <x v="1"/>
    <s v="Q3"/>
    <x v="6"/>
    <x v="1"/>
    <x v="0"/>
    <x v="1"/>
    <x v="2"/>
    <x v="2"/>
    <n v="5850"/>
    <n v="7000"/>
    <n v="60"/>
    <n v="0.128"/>
    <s v="Rejected"/>
    <x v="0"/>
    <n v="0"/>
    <n v="1"/>
    <n v="0"/>
    <m/>
    <n v="4"/>
    <n v="0"/>
    <n v="1"/>
  </r>
  <r>
    <s v="LA-703980"/>
    <d v="2025-07-28T00:00:00"/>
    <x v="1"/>
    <s v="Q3"/>
    <x v="6"/>
    <x v="0"/>
    <x v="2"/>
    <x v="2"/>
    <x v="1"/>
    <x v="4"/>
    <n v="5850"/>
    <n v="35500"/>
    <n v="36"/>
    <n v="0.34799999999999998"/>
    <s v="Rejected"/>
    <x v="0"/>
    <n v="0"/>
    <n v="1"/>
    <n v="0"/>
    <m/>
    <n v="6"/>
    <n v="0"/>
    <n v="1"/>
  </r>
  <r>
    <s v="LA-703981"/>
    <d v="2025-07-28T00:00:00"/>
    <x v="1"/>
    <s v="Q3"/>
    <x v="6"/>
    <x v="1"/>
    <x v="1"/>
    <x v="2"/>
    <x v="1"/>
    <x v="1"/>
    <n v="3750"/>
    <n v="12000"/>
    <n v="36"/>
    <n v="0.317"/>
    <s v="Approved"/>
    <x v="1"/>
    <n v="1"/>
    <n v="0"/>
    <n v="12000"/>
    <n v="0.125"/>
    <n v="1"/>
    <n v="1"/>
    <n v="1"/>
  </r>
  <r>
    <s v="LA-703982"/>
    <d v="2025-07-28T00:00:00"/>
    <x v="1"/>
    <s v="Q3"/>
    <x v="6"/>
    <x v="1"/>
    <x v="0"/>
    <x v="2"/>
    <x v="0"/>
    <x v="0"/>
    <n v="5300"/>
    <n v="9000"/>
    <n v="36"/>
    <n v="0.24199999999999999"/>
    <s v="Rejected"/>
    <x v="0"/>
    <n v="0"/>
    <n v="1"/>
    <n v="0"/>
    <m/>
    <n v="3"/>
    <n v="1"/>
    <n v="1"/>
  </r>
  <r>
    <s v="LA-703983"/>
    <d v="2025-07-28T00:00:00"/>
    <x v="1"/>
    <s v="Q3"/>
    <x v="6"/>
    <x v="3"/>
    <x v="2"/>
    <x v="1"/>
    <x v="0"/>
    <x v="1"/>
    <n v="3100"/>
    <n v="222500"/>
    <n v="240"/>
    <n v="0.70799999999999996"/>
    <s v="Rejected"/>
    <x v="3"/>
    <n v="0"/>
    <n v="1"/>
    <n v="0"/>
    <m/>
    <n v="13"/>
    <n v="1"/>
    <n v="1"/>
  </r>
  <r>
    <s v="LA-703984"/>
    <d v="2025-07-28T00:00:00"/>
    <x v="1"/>
    <s v="Q3"/>
    <x v="6"/>
    <x v="1"/>
    <x v="1"/>
    <x v="2"/>
    <x v="0"/>
    <x v="0"/>
    <n v="3000"/>
    <n v="9000"/>
    <n v="60"/>
    <n v="0.16500000000000001"/>
    <s v="Approved"/>
    <x v="1"/>
    <n v="1"/>
    <n v="0"/>
    <n v="9000"/>
    <n v="0.1376"/>
    <n v="2"/>
    <n v="1"/>
    <n v="1"/>
  </r>
  <r>
    <s v="LA-703985"/>
    <d v="2025-07-29T00:00:00"/>
    <x v="1"/>
    <s v="Q3"/>
    <x v="6"/>
    <x v="0"/>
    <x v="3"/>
    <x v="2"/>
    <x v="0"/>
    <x v="0"/>
    <n v="5150"/>
    <n v="43000"/>
    <n v="48"/>
    <n v="0.29799999999999999"/>
    <s v="Approved"/>
    <x v="1"/>
    <n v="1"/>
    <n v="0"/>
    <n v="43000"/>
    <n v="9.3899999999999997E-2"/>
    <n v="4"/>
    <n v="1"/>
    <n v="1"/>
  </r>
  <r>
    <s v="LA-703986"/>
    <d v="2025-07-29T00:00:00"/>
    <x v="1"/>
    <s v="Q3"/>
    <x v="6"/>
    <x v="2"/>
    <x v="3"/>
    <x v="3"/>
    <x v="0"/>
    <x v="1"/>
    <n v="3500"/>
    <n v="99500"/>
    <n v="12"/>
    <n v="2.6139999999999999"/>
    <s v="Rejected"/>
    <x v="3"/>
    <n v="0"/>
    <n v="1"/>
    <n v="0"/>
    <m/>
    <n v="18"/>
    <n v="0"/>
    <n v="1"/>
  </r>
  <r>
    <s v="LA-703987"/>
    <d v="2025-07-29T00:00:00"/>
    <x v="1"/>
    <s v="Q3"/>
    <x v="6"/>
    <x v="0"/>
    <x v="0"/>
    <x v="2"/>
    <x v="2"/>
    <x v="4"/>
    <n v="9250"/>
    <n v="50500"/>
    <n v="48"/>
    <n v="0.2"/>
    <s v="Approved"/>
    <x v="1"/>
    <n v="1"/>
    <n v="0"/>
    <n v="50500"/>
    <n v="6.6600000000000006E-2"/>
    <n v="5"/>
    <n v="0"/>
    <n v="1"/>
  </r>
  <r>
    <s v="LA-703988"/>
    <d v="2025-07-29T00:00:00"/>
    <x v="1"/>
    <s v="Q3"/>
    <x v="6"/>
    <x v="1"/>
    <x v="1"/>
    <x v="3"/>
    <x v="1"/>
    <x v="3"/>
    <n v="2750"/>
    <n v="5000"/>
    <n v="24"/>
    <n v="0.22500000000000001"/>
    <s v="Approved"/>
    <x v="1"/>
    <n v="1"/>
    <n v="0"/>
    <n v="5000"/>
    <n v="0.109"/>
    <n v="1"/>
    <n v="1"/>
    <n v="1"/>
  </r>
  <r>
    <s v="LA-703989"/>
    <d v="2025-07-29T00:00:00"/>
    <x v="1"/>
    <s v="Q3"/>
    <x v="6"/>
    <x v="2"/>
    <x v="2"/>
    <x v="2"/>
    <x v="1"/>
    <x v="1"/>
    <n v="5750"/>
    <n v="67000"/>
    <n v="36"/>
    <n v="0.48099999999999998"/>
    <s v="Rejected"/>
    <x v="3"/>
    <n v="0"/>
    <n v="1"/>
    <n v="0"/>
    <m/>
    <n v="9"/>
    <n v="1"/>
    <n v="1"/>
  </r>
  <r>
    <s v="LA-703990"/>
    <d v="2025-07-29T00:00:00"/>
    <x v="1"/>
    <s v="Q3"/>
    <x v="6"/>
    <x v="0"/>
    <x v="0"/>
    <x v="2"/>
    <x v="0"/>
    <x v="0"/>
    <n v="7200"/>
    <n v="49500"/>
    <n v="48"/>
    <n v="0.23499999999999999"/>
    <s v="Approved"/>
    <x v="1"/>
    <n v="1"/>
    <n v="0"/>
    <n v="44500"/>
    <n v="0.1017"/>
    <n v="2"/>
    <n v="1"/>
    <n v="1"/>
  </r>
  <r>
    <s v="LA-703991"/>
    <d v="2025-07-29T00:00:00"/>
    <x v="1"/>
    <s v="Q3"/>
    <x v="6"/>
    <x v="0"/>
    <x v="1"/>
    <x v="2"/>
    <x v="1"/>
    <x v="0"/>
    <n v="7100"/>
    <n v="19000"/>
    <n v="36"/>
    <n v="0.25600000000000001"/>
    <s v="Approved"/>
    <x v="1"/>
    <n v="1"/>
    <n v="0"/>
    <n v="19000"/>
    <n v="9.8599999999999993E-2"/>
    <n v="2"/>
    <n v="1"/>
    <n v="1"/>
  </r>
  <r>
    <s v="LA-703992"/>
    <d v="2025-07-29T00:00:00"/>
    <x v="1"/>
    <s v="Q3"/>
    <x v="6"/>
    <x v="2"/>
    <x v="3"/>
    <x v="2"/>
    <x v="1"/>
    <x v="1"/>
    <n v="3200"/>
    <n v="179000"/>
    <n v="12"/>
    <n v="5.056"/>
    <s v="Withdrawn"/>
    <x v="1"/>
    <n v="0"/>
    <n v="0"/>
    <n v="0"/>
    <m/>
    <n v="12"/>
    <n v="0"/>
    <n v="1"/>
  </r>
  <r>
    <s v="LA-703993"/>
    <d v="2025-07-29T00:00:00"/>
    <x v="1"/>
    <s v="Q3"/>
    <x v="6"/>
    <x v="3"/>
    <x v="2"/>
    <x v="2"/>
    <x v="0"/>
    <x v="1"/>
    <n v="9150"/>
    <n v="283000"/>
    <n v="300"/>
    <n v="0.376"/>
    <s v="Approved"/>
    <x v="1"/>
    <n v="1"/>
    <n v="0"/>
    <n v="283000"/>
    <n v="5.8799999999999998E-2"/>
    <n v="8"/>
    <n v="1"/>
    <n v="1"/>
  </r>
  <r>
    <s v="LA-703994"/>
    <d v="2025-07-30T00:00:00"/>
    <x v="1"/>
    <s v="Q3"/>
    <x v="6"/>
    <x v="0"/>
    <x v="2"/>
    <x v="1"/>
    <x v="0"/>
    <x v="0"/>
    <n v="7100"/>
    <n v="12500"/>
    <n v="60"/>
    <n v="0.24199999999999999"/>
    <s v="Rejected"/>
    <x v="0"/>
    <n v="0"/>
    <n v="1"/>
    <n v="0"/>
    <m/>
    <n v="2"/>
    <n v="1"/>
    <n v="1"/>
  </r>
  <r>
    <s v="LA-703995"/>
    <d v="2025-07-30T00:00:00"/>
    <x v="1"/>
    <s v="Q3"/>
    <x v="6"/>
    <x v="0"/>
    <x v="2"/>
    <x v="1"/>
    <x v="2"/>
    <x v="4"/>
    <n v="7850"/>
    <n v="28000"/>
    <n v="48"/>
    <n v="0.17299999999999999"/>
    <s v="Approved"/>
    <x v="1"/>
    <n v="1"/>
    <n v="0"/>
    <n v="25000"/>
    <n v="7.3800000000000004E-2"/>
    <n v="2"/>
    <n v="1"/>
    <n v="1"/>
  </r>
  <r>
    <s v="LA-703996"/>
    <d v="2025-07-30T00:00:00"/>
    <x v="1"/>
    <s v="Q3"/>
    <x v="6"/>
    <x v="0"/>
    <x v="1"/>
    <x v="4"/>
    <x v="1"/>
    <x v="3"/>
    <n v="3450"/>
    <n v="28500"/>
    <n v="48"/>
    <n v="0.26800000000000002"/>
    <s v="Approved"/>
    <x v="1"/>
    <n v="1"/>
    <n v="0"/>
    <n v="25500"/>
    <n v="6.3100000000000003E-2"/>
    <n v="2"/>
    <n v="1"/>
    <n v="1"/>
  </r>
  <r>
    <s v="LA-703997"/>
    <d v="2025-07-30T00:00:00"/>
    <x v="1"/>
    <s v="Q3"/>
    <x v="6"/>
    <x v="3"/>
    <x v="1"/>
    <x v="2"/>
    <x v="1"/>
    <x v="4"/>
    <n v="9350"/>
    <n v="272000"/>
    <n v="240"/>
    <n v="0.29599999999999999"/>
    <s v="Approved"/>
    <x v="1"/>
    <n v="1"/>
    <n v="0"/>
    <n v="217500"/>
    <n v="4.7500000000000001E-2"/>
    <n v="6"/>
    <n v="1"/>
    <n v="1"/>
  </r>
  <r>
    <s v="LA-703998"/>
    <d v="2025-07-30T00:00:00"/>
    <x v="1"/>
    <s v="Q3"/>
    <x v="6"/>
    <x v="3"/>
    <x v="1"/>
    <x v="2"/>
    <x v="0"/>
    <x v="4"/>
    <n v="6150"/>
    <n v="582500"/>
    <n v="240"/>
    <n v="0.83199999999999996"/>
    <s v="Approved"/>
    <x v="1"/>
    <n v="1"/>
    <n v="0"/>
    <n v="582500"/>
    <n v="0.05"/>
    <n v="7"/>
    <n v="1"/>
    <n v="1"/>
  </r>
  <r>
    <s v="LA-703999"/>
    <d v="2025-07-30T00:00:00"/>
    <x v="1"/>
    <s v="Q3"/>
    <x v="6"/>
    <x v="1"/>
    <x v="1"/>
    <x v="4"/>
    <x v="0"/>
    <x v="4"/>
    <n v="11400"/>
    <n v="13000"/>
    <n v="12"/>
    <n v="0.17399999999999999"/>
    <s v="Approved"/>
    <x v="1"/>
    <n v="1"/>
    <n v="0"/>
    <n v="11500"/>
    <n v="0.10879999999999999"/>
    <n v="2"/>
    <n v="1"/>
    <n v="1"/>
  </r>
  <r>
    <s v="LA-704000"/>
    <d v="2025-07-30T00:00:00"/>
    <x v="1"/>
    <s v="Q3"/>
    <x v="6"/>
    <x v="3"/>
    <x v="3"/>
    <x v="0"/>
    <x v="0"/>
    <x v="3"/>
    <n v="6000"/>
    <n v="237500"/>
    <n v="300"/>
    <n v="0.28000000000000003"/>
    <s v="Approved"/>
    <x v="1"/>
    <n v="1"/>
    <n v="0"/>
    <n v="190000"/>
    <n v="4.58E-2"/>
    <n v="20"/>
    <n v="0"/>
    <n v="1"/>
  </r>
  <r>
    <s v="LA-704001"/>
    <d v="2025-07-31T00:00:00"/>
    <x v="1"/>
    <s v="Q3"/>
    <x v="6"/>
    <x v="1"/>
    <x v="1"/>
    <x v="3"/>
    <x v="1"/>
    <x v="0"/>
    <n v="1950"/>
    <n v="21000"/>
    <n v="48"/>
    <n v="0.48799999999999999"/>
    <s v="Rejected"/>
    <x v="0"/>
    <n v="0"/>
    <n v="1"/>
    <n v="0"/>
    <m/>
    <n v="1"/>
    <n v="1"/>
    <n v="1"/>
  </r>
  <r>
    <s v="LA-704002"/>
    <d v="2025-07-31T00:00:00"/>
    <x v="1"/>
    <s v="Q3"/>
    <x v="6"/>
    <x v="2"/>
    <x v="3"/>
    <x v="1"/>
    <x v="1"/>
    <x v="2"/>
    <n v="3900"/>
    <n v="71500"/>
    <n v="36"/>
    <n v="0.76900000000000002"/>
    <s v="Rejected"/>
    <x v="0"/>
    <n v="0"/>
    <n v="1"/>
    <n v="0"/>
    <m/>
    <n v="12"/>
    <n v="0"/>
    <n v="1"/>
  </r>
  <r>
    <s v="LA-704003"/>
    <d v="2025-07-31T00:00:00"/>
    <x v="1"/>
    <s v="Q3"/>
    <x v="6"/>
    <x v="0"/>
    <x v="3"/>
    <x v="1"/>
    <x v="0"/>
    <x v="4"/>
    <n v="4100"/>
    <n v="23500"/>
    <n v="36"/>
    <n v="0.36299999999999999"/>
    <s v="Approved"/>
    <x v="1"/>
    <n v="1"/>
    <n v="0"/>
    <n v="23500"/>
    <n v="7.2099999999999997E-2"/>
    <n v="7"/>
    <n v="0"/>
    <n v="1"/>
  </r>
  <r>
    <s v="LA-704004"/>
    <d v="2025-07-31T00:00:00"/>
    <x v="1"/>
    <s v="Q3"/>
    <x v="6"/>
    <x v="1"/>
    <x v="3"/>
    <x v="4"/>
    <x v="1"/>
    <x v="0"/>
    <n v="15950"/>
    <n v="14000"/>
    <n v="12"/>
    <n v="0.253"/>
    <s v="Rejected"/>
    <x v="0"/>
    <n v="0"/>
    <n v="1"/>
    <n v="0"/>
    <m/>
    <n v="5"/>
    <n v="0"/>
    <n v="1"/>
  </r>
  <r>
    <s v="LA-704005"/>
    <d v="2025-07-31T00:00:00"/>
    <x v="1"/>
    <s v="Q3"/>
    <x v="6"/>
    <x v="3"/>
    <x v="0"/>
    <x v="4"/>
    <x v="0"/>
    <x v="1"/>
    <n v="5050"/>
    <n v="308000"/>
    <n v="240"/>
    <n v="0.626"/>
    <s v="Approved"/>
    <x v="1"/>
    <n v="1"/>
    <n v="0"/>
    <n v="277000"/>
    <n v="6.2199999999999998E-2"/>
    <n v="9"/>
    <n v="1"/>
    <n v="1"/>
  </r>
  <r>
    <s v="LA-704006"/>
    <d v="2025-07-31T00:00:00"/>
    <x v="1"/>
    <s v="Q3"/>
    <x v="6"/>
    <x v="0"/>
    <x v="3"/>
    <x v="0"/>
    <x v="0"/>
    <x v="1"/>
    <n v="6950"/>
    <n v="11000"/>
    <n v="36"/>
    <n v="0.20100000000000001"/>
    <s v="Rejected"/>
    <x v="2"/>
    <n v="0"/>
    <n v="1"/>
    <n v="0"/>
    <m/>
    <n v="6"/>
    <n v="0"/>
    <n v="1"/>
  </r>
  <r>
    <s v="LA-704007"/>
    <d v="2025-07-31T00:00:00"/>
    <x v="1"/>
    <s v="Q3"/>
    <x v="6"/>
    <x v="0"/>
    <x v="1"/>
    <x v="2"/>
    <x v="1"/>
    <x v="1"/>
    <n v="8750"/>
    <n v="43000"/>
    <n v="60"/>
    <n v="0.185"/>
    <s v="Approved"/>
    <x v="1"/>
    <n v="1"/>
    <n v="0"/>
    <n v="43000"/>
    <n v="7.9399999999999998E-2"/>
    <n v="2"/>
    <n v="1"/>
    <n v="1"/>
  </r>
  <r>
    <s v="LA-704008"/>
    <d v="2025-07-31T00:00:00"/>
    <x v="1"/>
    <s v="Q3"/>
    <x v="6"/>
    <x v="0"/>
    <x v="1"/>
    <x v="2"/>
    <x v="1"/>
    <x v="4"/>
    <n v="5050"/>
    <n v="23000"/>
    <n v="48"/>
    <n v="0.316"/>
    <s v="Approved"/>
    <x v="1"/>
    <n v="1"/>
    <n v="0"/>
    <n v="23000"/>
    <n v="7.1400000000000005E-2"/>
    <n v="2"/>
    <n v="1"/>
    <n v="1"/>
  </r>
  <r>
    <s v="LA-704009"/>
    <d v="2025-07-31T00:00:00"/>
    <x v="1"/>
    <s v="Q3"/>
    <x v="6"/>
    <x v="1"/>
    <x v="0"/>
    <x v="3"/>
    <x v="1"/>
    <x v="0"/>
    <n v="6500"/>
    <n v="10500"/>
    <n v="12"/>
    <n v="0.32"/>
    <s v="Approved"/>
    <x v="1"/>
    <n v="1"/>
    <n v="0"/>
    <n v="10500"/>
    <n v="0.1396"/>
    <n v="3"/>
    <n v="1"/>
    <n v="1"/>
  </r>
  <r>
    <s v="LA-704010"/>
    <d v="2025-08-01T00:00:00"/>
    <x v="1"/>
    <s v="Q3"/>
    <x v="7"/>
    <x v="3"/>
    <x v="3"/>
    <x v="2"/>
    <x v="0"/>
    <x v="1"/>
    <n v="8850"/>
    <n v="275500"/>
    <n v="180"/>
    <n v="0.34300000000000003"/>
    <s v="Rejected"/>
    <x v="5"/>
    <n v="0"/>
    <n v="1"/>
    <n v="0"/>
    <m/>
    <n v="18"/>
    <n v="0"/>
    <n v="1"/>
  </r>
  <r>
    <s v="LA-704011"/>
    <d v="2025-08-01T00:00:00"/>
    <x v="1"/>
    <s v="Q3"/>
    <x v="7"/>
    <x v="1"/>
    <x v="2"/>
    <x v="1"/>
    <x v="0"/>
    <x v="3"/>
    <n v="5050"/>
    <n v="10500"/>
    <n v="48"/>
    <n v="0.17599999999999999"/>
    <s v="Rejected"/>
    <x v="4"/>
    <n v="0"/>
    <n v="1"/>
    <n v="0"/>
    <m/>
    <n v="6"/>
    <n v="0"/>
    <n v="1"/>
  </r>
  <r>
    <s v="LA-704012"/>
    <d v="2025-08-01T00:00:00"/>
    <x v="1"/>
    <s v="Q3"/>
    <x v="7"/>
    <x v="1"/>
    <x v="1"/>
    <x v="2"/>
    <x v="0"/>
    <x v="1"/>
    <n v="3050"/>
    <n v="14500"/>
    <n v="36"/>
    <n v="0.35"/>
    <s v="Approved"/>
    <x v="1"/>
    <n v="1"/>
    <n v="0"/>
    <n v="13000"/>
    <n v="0.12540000000000001"/>
    <n v="1"/>
    <n v="1"/>
    <n v="1"/>
  </r>
  <r>
    <s v="LA-704013"/>
    <d v="2025-08-01T00:00:00"/>
    <x v="1"/>
    <s v="Q3"/>
    <x v="7"/>
    <x v="3"/>
    <x v="3"/>
    <x v="3"/>
    <x v="2"/>
    <x v="0"/>
    <n v="6250"/>
    <n v="263000"/>
    <n v="300"/>
    <n v="0.36"/>
    <s v="Approved"/>
    <x v="1"/>
    <n v="1"/>
    <n v="0"/>
    <n v="210500"/>
    <n v="7.4399999999999994E-2"/>
    <n v="20"/>
    <n v="0"/>
    <n v="1"/>
  </r>
  <r>
    <s v="LA-704014"/>
    <d v="2025-08-01T00:00:00"/>
    <x v="1"/>
    <s v="Q3"/>
    <x v="7"/>
    <x v="3"/>
    <x v="2"/>
    <x v="3"/>
    <x v="2"/>
    <x v="4"/>
    <n v="8650"/>
    <n v="1110500"/>
    <n v="180"/>
    <n v="1.1060000000000001"/>
    <s v="Rejected"/>
    <x v="3"/>
    <n v="0"/>
    <n v="1"/>
    <n v="0"/>
    <m/>
    <n v="9"/>
    <n v="1"/>
    <n v="1"/>
  </r>
  <r>
    <s v="LA-704015"/>
    <d v="2025-08-01T00:00:00"/>
    <x v="1"/>
    <s v="Q3"/>
    <x v="7"/>
    <x v="1"/>
    <x v="1"/>
    <x v="2"/>
    <x v="0"/>
    <x v="2"/>
    <n v="3700"/>
    <n v="9500"/>
    <n v="60"/>
    <n v="0.246"/>
    <s v="Rejected"/>
    <x v="0"/>
    <n v="0"/>
    <n v="1"/>
    <n v="0"/>
    <m/>
    <n v="2"/>
    <n v="1"/>
    <n v="1"/>
  </r>
  <r>
    <s v="LA-704016"/>
    <d v="2025-08-01T00:00:00"/>
    <x v="1"/>
    <s v="Q3"/>
    <x v="7"/>
    <x v="3"/>
    <x v="1"/>
    <x v="3"/>
    <x v="0"/>
    <x v="3"/>
    <n v="4850"/>
    <n v="255000"/>
    <n v="300"/>
    <n v="0.35499999999999998"/>
    <s v="Approved"/>
    <x v="1"/>
    <n v="1"/>
    <n v="0"/>
    <n v="204000"/>
    <n v="4.3700000000000003E-2"/>
    <n v="3"/>
    <n v="1"/>
    <n v="1"/>
  </r>
  <r>
    <s v="LA-704017"/>
    <d v="2025-08-01T00:00:00"/>
    <x v="1"/>
    <s v="Q3"/>
    <x v="7"/>
    <x v="0"/>
    <x v="1"/>
    <x v="1"/>
    <x v="0"/>
    <x v="1"/>
    <n v="5300"/>
    <n v="24000"/>
    <n v="60"/>
    <n v="0.188"/>
    <s v="Approved"/>
    <x v="1"/>
    <n v="1"/>
    <n v="0"/>
    <n v="24000"/>
    <n v="7.8299999999999995E-2"/>
    <n v="2"/>
    <n v="1"/>
    <n v="1"/>
  </r>
  <r>
    <s v="LA-704018"/>
    <d v="2025-08-01T00:00:00"/>
    <x v="1"/>
    <s v="Q3"/>
    <x v="7"/>
    <x v="1"/>
    <x v="1"/>
    <x v="3"/>
    <x v="0"/>
    <x v="0"/>
    <n v="5300"/>
    <n v="15500"/>
    <n v="60"/>
    <n v="0.19600000000000001"/>
    <s v="Approved"/>
    <x v="1"/>
    <n v="1"/>
    <n v="0"/>
    <n v="15500"/>
    <n v="0.1419"/>
    <n v="2"/>
    <n v="1"/>
    <n v="1"/>
  </r>
  <r>
    <s v="LA-704019"/>
    <d v="2025-08-01T00:00:00"/>
    <x v="1"/>
    <s v="Q3"/>
    <x v="7"/>
    <x v="1"/>
    <x v="3"/>
    <x v="3"/>
    <x v="0"/>
    <x v="0"/>
    <n v="4500"/>
    <n v="7500"/>
    <n v="48"/>
    <n v="0.22800000000000001"/>
    <s v="Rejected"/>
    <x v="0"/>
    <n v="0"/>
    <n v="1"/>
    <n v="0"/>
    <m/>
    <n v="5"/>
    <n v="0"/>
    <n v="1"/>
  </r>
  <r>
    <s v="LA-704020"/>
    <d v="2025-08-02T00:00:00"/>
    <x v="1"/>
    <s v="Q3"/>
    <x v="7"/>
    <x v="3"/>
    <x v="2"/>
    <x v="4"/>
    <x v="0"/>
    <x v="0"/>
    <n v="6150"/>
    <n v="400500"/>
    <n v="300"/>
    <n v="0.46100000000000002"/>
    <s v="Rejected"/>
    <x v="3"/>
    <n v="0"/>
    <n v="1"/>
    <n v="0"/>
    <m/>
    <n v="5"/>
    <n v="1"/>
    <n v="1"/>
  </r>
  <r>
    <s v="LA-704021"/>
    <d v="2025-08-02T00:00:00"/>
    <x v="1"/>
    <s v="Q3"/>
    <x v="7"/>
    <x v="0"/>
    <x v="2"/>
    <x v="0"/>
    <x v="2"/>
    <x v="2"/>
    <n v="5600"/>
    <n v="16500"/>
    <n v="60"/>
    <n v="0.28499999999999998"/>
    <s v="Rejected"/>
    <x v="0"/>
    <n v="0"/>
    <n v="1"/>
    <n v="0"/>
    <m/>
    <n v="3"/>
    <n v="1"/>
    <n v="1"/>
  </r>
  <r>
    <s v="LA-704022"/>
    <d v="2025-08-02T00:00:00"/>
    <x v="1"/>
    <s v="Q3"/>
    <x v="7"/>
    <x v="1"/>
    <x v="3"/>
    <x v="1"/>
    <x v="0"/>
    <x v="4"/>
    <n v="3800"/>
    <n v="6000"/>
    <n v="36"/>
    <n v="0.24299999999999999"/>
    <s v="Approved"/>
    <x v="1"/>
    <n v="1"/>
    <n v="0"/>
    <n v="5000"/>
    <n v="0.1232"/>
    <n v="5"/>
    <n v="0"/>
    <n v="1"/>
  </r>
  <r>
    <s v="LA-704023"/>
    <d v="2025-08-02T00:00:00"/>
    <x v="1"/>
    <s v="Q3"/>
    <x v="7"/>
    <x v="3"/>
    <x v="1"/>
    <x v="1"/>
    <x v="0"/>
    <x v="0"/>
    <n v="6300"/>
    <n v="236500"/>
    <n v="240"/>
    <n v="0.374"/>
    <s v="Approved"/>
    <x v="1"/>
    <n v="1"/>
    <n v="0"/>
    <n v="213000"/>
    <n v="7.2800000000000004E-2"/>
    <n v="3"/>
    <n v="1"/>
    <n v="1"/>
  </r>
  <r>
    <s v="LA-704024"/>
    <d v="2025-08-03T00:00:00"/>
    <x v="1"/>
    <s v="Q3"/>
    <x v="7"/>
    <x v="1"/>
    <x v="1"/>
    <x v="4"/>
    <x v="1"/>
    <x v="4"/>
    <n v="8250"/>
    <n v="13000"/>
    <n v="24"/>
    <n v="0.16700000000000001"/>
    <s v="Approved"/>
    <x v="1"/>
    <n v="1"/>
    <n v="0"/>
    <n v="13000"/>
    <n v="0.1183"/>
    <n v="1"/>
    <n v="1"/>
    <n v="1"/>
  </r>
  <r>
    <s v="LA-704025"/>
    <d v="2025-08-03T00:00:00"/>
    <x v="1"/>
    <s v="Q3"/>
    <x v="7"/>
    <x v="1"/>
    <x v="2"/>
    <x v="3"/>
    <x v="0"/>
    <x v="2"/>
    <n v="16200"/>
    <n v="12500"/>
    <n v="24"/>
    <n v="0.26100000000000001"/>
    <s v="Rejected"/>
    <x v="0"/>
    <n v="0"/>
    <n v="1"/>
    <n v="0"/>
    <m/>
    <n v="2"/>
    <n v="1"/>
    <n v="1"/>
  </r>
  <r>
    <s v="LA-704026"/>
    <d v="2025-08-03T00:00:00"/>
    <x v="1"/>
    <s v="Q3"/>
    <x v="7"/>
    <x v="2"/>
    <x v="2"/>
    <x v="3"/>
    <x v="2"/>
    <x v="1"/>
    <n v="4400"/>
    <n v="68000"/>
    <n v="24"/>
    <n v="0.83599999999999997"/>
    <s v="Rejected"/>
    <x v="3"/>
    <n v="0"/>
    <n v="1"/>
    <n v="0"/>
    <m/>
    <n v="5"/>
    <n v="1"/>
    <n v="1"/>
  </r>
  <r>
    <s v="LA-704027"/>
    <d v="2025-08-03T00:00:00"/>
    <x v="1"/>
    <s v="Q3"/>
    <x v="7"/>
    <x v="0"/>
    <x v="3"/>
    <x v="3"/>
    <x v="1"/>
    <x v="0"/>
    <n v="5200"/>
    <n v="57500"/>
    <n v="60"/>
    <n v="0.28899999999999998"/>
    <s v="Rejected"/>
    <x v="0"/>
    <n v="0"/>
    <n v="1"/>
    <n v="0"/>
    <m/>
    <n v="5"/>
    <n v="0"/>
    <n v="1"/>
  </r>
  <r>
    <s v="LA-704028"/>
    <d v="2025-08-03T00:00:00"/>
    <x v="1"/>
    <s v="Q3"/>
    <x v="7"/>
    <x v="1"/>
    <x v="2"/>
    <x v="3"/>
    <x v="0"/>
    <x v="0"/>
    <n v="2150"/>
    <n v="9500"/>
    <n v="48"/>
    <n v="0.19"/>
    <s v="Approved"/>
    <x v="1"/>
    <n v="1"/>
    <n v="0"/>
    <n v="7500"/>
    <n v="0.13880000000000001"/>
    <n v="3"/>
    <n v="1"/>
    <n v="1"/>
  </r>
  <r>
    <s v="LA-704029"/>
    <d v="2025-08-04T00:00:00"/>
    <x v="1"/>
    <s v="Q3"/>
    <x v="7"/>
    <x v="1"/>
    <x v="3"/>
    <x v="2"/>
    <x v="0"/>
    <x v="1"/>
    <n v="3150"/>
    <n v="14500"/>
    <n v="48"/>
    <n v="0.28799999999999998"/>
    <s v="Rejected"/>
    <x v="5"/>
    <n v="0"/>
    <n v="1"/>
    <n v="0"/>
    <m/>
    <n v="3"/>
    <n v="1"/>
    <n v="1"/>
  </r>
  <r>
    <s v="LA-704030"/>
    <d v="2025-08-04T00:00:00"/>
    <x v="1"/>
    <s v="Q3"/>
    <x v="7"/>
    <x v="1"/>
    <x v="1"/>
    <x v="4"/>
    <x v="2"/>
    <x v="4"/>
    <n v="2150"/>
    <n v="10000"/>
    <n v="48"/>
    <n v="0.192"/>
    <s v="Rejected"/>
    <x v="4"/>
    <n v="0"/>
    <n v="1"/>
    <n v="0"/>
    <m/>
    <n v="5"/>
    <n v="0"/>
    <n v="1"/>
  </r>
  <r>
    <s v="LA-704031"/>
    <d v="2025-08-04T00:00:00"/>
    <x v="1"/>
    <s v="Q3"/>
    <x v="7"/>
    <x v="1"/>
    <x v="3"/>
    <x v="3"/>
    <x v="0"/>
    <x v="0"/>
    <n v="3950"/>
    <n v="14000"/>
    <n v="12"/>
    <n v="0.44600000000000001"/>
    <s v="Rejected"/>
    <x v="0"/>
    <n v="0"/>
    <n v="1"/>
    <n v="0"/>
    <m/>
    <n v="5"/>
    <n v="0"/>
    <n v="1"/>
  </r>
  <r>
    <s v="LA-704032"/>
    <d v="2025-08-04T00:00:00"/>
    <x v="1"/>
    <s v="Q3"/>
    <x v="7"/>
    <x v="2"/>
    <x v="2"/>
    <x v="3"/>
    <x v="0"/>
    <x v="0"/>
    <n v="2350"/>
    <n v="85000"/>
    <n v="36"/>
    <n v="1.365"/>
    <s v="Rejected"/>
    <x v="0"/>
    <n v="0"/>
    <n v="1"/>
    <n v="0"/>
    <m/>
    <n v="7"/>
    <n v="1"/>
    <n v="1"/>
  </r>
  <r>
    <s v="LA-704033"/>
    <d v="2025-08-04T00:00:00"/>
    <x v="1"/>
    <s v="Q3"/>
    <x v="7"/>
    <x v="0"/>
    <x v="2"/>
    <x v="4"/>
    <x v="0"/>
    <x v="0"/>
    <n v="7400"/>
    <n v="20500"/>
    <n v="60"/>
    <n v="0.247"/>
    <s v="Approved"/>
    <x v="1"/>
    <n v="1"/>
    <n v="0"/>
    <n v="20500"/>
    <n v="9.4500000000000001E-2"/>
    <n v="2"/>
    <n v="1"/>
    <n v="1"/>
  </r>
  <r>
    <s v="LA-704034"/>
    <d v="2025-08-04T00:00:00"/>
    <x v="1"/>
    <s v="Q3"/>
    <x v="7"/>
    <x v="0"/>
    <x v="2"/>
    <x v="3"/>
    <x v="1"/>
    <x v="1"/>
    <n v="3550"/>
    <n v="28500"/>
    <n v="60"/>
    <n v="0.253"/>
    <s v="Rejected"/>
    <x v="5"/>
    <n v="0"/>
    <n v="1"/>
    <n v="0"/>
    <m/>
    <n v="2"/>
    <n v="1"/>
    <n v="1"/>
  </r>
  <r>
    <s v="LA-704035"/>
    <d v="2025-08-04T00:00:00"/>
    <x v="1"/>
    <s v="Q3"/>
    <x v="7"/>
    <x v="3"/>
    <x v="0"/>
    <x v="2"/>
    <x v="2"/>
    <x v="4"/>
    <n v="5150"/>
    <n v="218500"/>
    <n v="240"/>
    <n v="0.48299999999999998"/>
    <s v="Approved"/>
    <x v="1"/>
    <n v="1"/>
    <n v="0"/>
    <n v="218500"/>
    <n v="5.1299999999999998E-2"/>
    <n v="14"/>
    <n v="1"/>
    <n v="1"/>
  </r>
  <r>
    <s v="LA-704036"/>
    <d v="2025-08-04T00:00:00"/>
    <x v="1"/>
    <s v="Q3"/>
    <x v="7"/>
    <x v="1"/>
    <x v="1"/>
    <x v="4"/>
    <x v="0"/>
    <x v="4"/>
    <n v="8500"/>
    <n v="16000"/>
    <n v="12"/>
    <n v="0.22500000000000001"/>
    <s v="Approved"/>
    <x v="1"/>
    <n v="1"/>
    <n v="0"/>
    <n v="16000"/>
    <n v="0.1103"/>
    <n v="1"/>
    <n v="1"/>
    <n v="1"/>
  </r>
  <r>
    <s v="LA-704037"/>
    <d v="2025-08-04T00:00:00"/>
    <x v="1"/>
    <s v="Q3"/>
    <x v="7"/>
    <x v="1"/>
    <x v="1"/>
    <x v="3"/>
    <x v="1"/>
    <x v="2"/>
    <n v="5550"/>
    <n v="15000"/>
    <n v="60"/>
    <n v="0.23200000000000001"/>
    <s v="Rejected"/>
    <x v="0"/>
    <n v="0"/>
    <n v="1"/>
    <n v="0"/>
    <m/>
    <n v="1"/>
    <n v="1"/>
    <n v="1"/>
  </r>
  <r>
    <s v="LA-704038"/>
    <d v="2025-08-04T00:00:00"/>
    <x v="1"/>
    <s v="Q3"/>
    <x v="7"/>
    <x v="1"/>
    <x v="2"/>
    <x v="3"/>
    <x v="2"/>
    <x v="0"/>
    <n v="7100"/>
    <n v="10000"/>
    <n v="36"/>
    <n v="0.22"/>
    <s v="Rejected"/>
    <x v="0"/>
    <n v="0"/>
    <n v="1"/>
    <n v="0"/>
    <m/>
    <n v="2"/>
    <n v="1"/>
    <n v="1"/>
  </r>
  <r>
    <s v="LA-704039"/>
    <d v="2025-08-05T00:00:00"/>
    <x v="1"/>
    <s v="Q3"/>
    <x v="7"/>
    <x v="3"/>
    <x v="1"/>
    <x v="3"/>
    <x v="1"/>
    <x v="4"/>
    <n v="4250"/>
    <n v="247000"/>
    <n v="180"/>
    <n v="0.59299999999999997"/>
    <s v="Approved"/>
    <x v="1"/>
    <n v="1"/>
    <n v="0"/>
    <n v="247000"/>
    <n v="4.4999999999999998E-2"/>
    <n v="4"/>
    <n v="1"/>
    <n v="1"/>
  </r>
  <r>
    <s v="LA-704040"/>
    <d v="2025-08-05T00:00:00"/>
    <x v="1"/>
    <s v="Q3"/>
    <x v="7"/>
    <x v="0"/>
    <x v="1"/>
    <x v="1"/>
    <x v="0"/>
    <x v="4"/>
    <n v="9250"/>
    <n v="32500"/>
    <n v="60"/>
    <n v="0.23499999999999999"/>
    <s v="Approved"/>
    <x v="1"/>
    <n v="1"/>
    <n v="0"/>
    <n v="32500"/>
    <n v="7.6499999999999999E-2"/>
    <n v="1"/>
    <n v="1"/>
    <n v="1"/>
  </r>
  <r>
    <s v="LA-704041"/>
    <d v="2025-08-05T00:00:00"/>
    <x v="1"/>
    <s v="Q3"/>
    <x v="7"/>
    <x v="1"/>
    <x v="2"/>
    <x v="3"/>
    <x v="1"/>
    <x v="1"/>
    <n v="6500"/>
    <n v="13000"/>
    <n v="24"/>
    <n v="0.33300000000000002"/>
    <s v="Approved"/>
    <x v="1"/>
    <n v="1"/>
    <n v="0"/>
    <n v="13000"/>
    <n v="0.12740000000000001"/>
    <n v="2"/>
    <n v="1"/>
    <n v="1"/>
  </r>
  <r>
    <s v="LA-704042"/>
    <d v="2025-08-05T00:00:00"/>
    <x v="1"/>
    <s v="Q3"/>
    <x v="7"/>
    <x v="2"/>
    <x v="1"/>
    <x v="2"/>
    <x v="1"/>
    <x v="1"/>
    <n v="3550"/>
    <n v="112000"/>
    <n v="24"/>
    <n v="1.635"/>
    <s v="Withdrawn"/>
    <x v="1"/>
    <n v="0"/>
    <n v="0"/>
    <n v="0"/>
    <m/>
    <n v="3"/>
    <n v="1"/>
    <n v="1"/>
  </r>
  <r>
    <s v="LA-704043"/>
    <d v="2025-08-05T00:00:00"/>
    <x v="1"/>
    <s v="Q3"/>
    <x v="7"/>
    <x v="1"/>
    <x v="2"/>
    <x v="1"/>
    <x v="0"/>
    <x v="1"/>
    <n v="3350"/>
    <n v="8500"/>
    <n v="36"/>
    <n v="0.2"/>
    <s v="Rejected"/>
    <x v="5"/>
    <n v="0"/>
    <n v="1"/>
    <n v="0"/>
    <m/>
    <n v="1"/>
    <n v="1"/>
    <n v="1"/>
  </r>
  <r>
    <s v="LA-704044"/>
    <d v="2025-08-05T00:00:00"/>
    <x v="1"/>
    <s v="Q3"/>
    <x v="7"/>
    <x v="2"/>
    <x v="1"/>
    <x v="2"/>
    <x v="0"/>
    <x v="0"/>
    <n v="4750"/>
    <n v="181000"/>
    <n v="36"/>
    <n v="1.4750000000000001"/>
    <s v="Rejected"/>
    <x v="0"/>
    <n v="0"/>
    <n v="1"/>
    <n v="0"/>
    <m/>
    <n v="2"/>
    <n v="1"/>
    <n v="1"/>
  </r>
  <r>
    <s v="LA-704045"/>
    <d v="2025-08-05T00:00:00"/>
    <x v="1"/>
    <s v="Q3"/>
    <x v="7"/>
    <x v="2"/>
    <x v="1"/>
    <x v="3"/>
    <x v="2"/>
    <x v="0"/>
    <n v="3200"/>
    <n v="57000"/>
    <n v="24"/>
    <n v="1.0169999999999999"/>
    <s v="Rejected"/>
    <x v="3"/>
    <n v="0"/>
    <n v="1"/>
    <n v="0"/>
    <m/>
    <n v="3"/>
    <n v="1"/>
    <n v="1"/>
  </r>
  <r>
    <s v="LA-704046"/>
    <d v="2025-08-05T00:00:00"/>
    <x v="1"/>
    <s v="Q3"/>
    <x v="7"/>
    <x v="0"/>
    <x v="2"/>
    <x v="1"/>
    <x v="0"/>
    <x v="4"/>
    <n v="5200"/>
    <n v="48500"/>
    <n v="36"/>
    <n v="0.433"/>
    <s v="Approved"/>
    <x v="1"/>
    <n v="1"/>
    <n v="0"/>
    <n v="39000"/>
    <n v="7.0999999999999994E-2"/>
    <n v="1"/>
    <n v="1"/>
    <n v="1"/>
  </r>
  <r>
    <s v="LA-704047"/>
    <d v="2025-08-05T00:00:00"/>
    <x v="1"/>
    <s v="Q3"/>
    <x v="7"/>
    <x v="0"/>
    <x v="1"/>
    <x v="2"/>
    <x v="1"/>
    <x v="4"/>
    <n v="5850"/>
    <n v="34500"/>
    <n v="36"/>
    <n v="0.34899999999999998"/>
    <s v="Approved"/>
    <x v="1"/>
    <n v="1"/>
    <n v="0"/>
    <n v="34500"/>
    <n v="7.5399999999999995E-2"/>
    <n v="2"/>
    <n v="1"/>
    <n v="1"/>
  </r>
  <r>
    <s v="LA-704048"/>
    <d v="2025-08-05T00:00:00"/>
    <x v="1"/>
    <s v="Q3"/>
    <x v="7"/>
    <x v="1"/>
    <x v="2"/>
    <x v="1"/>
    <x v="1"/>
    <x v="1"/>
    <n v="3500"/>
    <n v="7000"/>
    <n v="36"/>
    <n v="0.223"/>
    <s v="Approved"/>
    <x v="1"/>
    <n v="1"/>
    <n v="0"/>
    <n v="6500"/>
    <n v="0.12189999999999999"/>
    <n v="2"/>
    <n v="1"/>
    <n v="1"/>
  </r>
  <r>
    <s v="LA-704049"/>
    <d v="2025-08-06T00:00:00"/>
    <x v="1"/>
    <s v="Q3"/>
    <x v="7"/>
    <x v="0"/>
    <x v="3"/>
    <x v="1"/>
    <x v="2"/>
    <x v="0"/>
    <n v="6700"/>
    <n v="15500"/>
    <n v="60"/>
    <n v="0.187"/>
    <s v="Approved"/>
    <x v="1"/>
    <n v="1"/>
    <n v="0"/>
    <n v="15500"/>
    <n v="9.8199999999999996E-2"/>
    <n v="6"/>
    <n v="0"/>
    <n v="1"/>
  </r>
  <r>
    <s v="LA-704050"/>
    <d v="2025-08-06T00:00:00"/>
    <x v="1"/>
    <s v="Q3"/>
    <x v="7"/>
    <x v="0"/>
    <x v="3"/>
    <x v="3"/>
    <x v="2"/>
    <x v="4"/>
    <n v="5150"/>
    <n v="24500"/>
    <n v="36"/>
    <n v="0.39"/>
    <s v="Approved"/>
    <x v="1"/>
    <n v="1"/>
    <n v="0"/>
    <n v="24500"/>
    <n v="7.0900000000000005E-2"/>
    <n v="4"/>
    <n v="1"/>
    <n v="1"/>
  </r>
  <r>
    <s v="LA-704051"/>
    <d v="2025-08-06T00:00:00"/>
    <x v="1"/>
    <s v="Q3"/>
    <x v="7"/>
    <x v="0"/>
    <x v="1"/>
    <x v="1"/>
    <x v="1"/>
    <x v="1"/>
    <n v="6050"/>
    <n v="30500"/>
    <n v="48"/>
    <n v="0.20399999999999999"/>
    <s v="Rejected"/>
    <x v="4"/>
    <n v="0"/>
    <n v="1"/>
    <n v="0"/>
    <m/>
    <n v="5"/>
    <n v="0"/>
    <n v="1"/>
  </r>
  <r>
    <s v="LA-704052"/>
    <d v="2025-08-06T00:00:00"/>
    <x v="1"/>
    <s v="Q3"/>
    <x v="7"/>
    <x v="0"/>
    <x v="3"/>
    <x v="1"/>
    <x v="1"/>
    <x v="3"/>
    <n v="4450"/>
    <n v="64500"/>
    <n v="60"/>
    <n v="0.38100000000000001"/>
    <s v="Approved"/>
    <x v="1"/>
    <n v="1"/>
    <n v="0"/>
    <n v="64500"/>
    <n v="6.5000000000000002E-2"/>
    <n v="5"/>
    <n v="0"/>
    <n v="1"/>
  </r>
  <r>
    <s v="LA-704053"/>
    <d v="2025-08-06T00:00:00"/>
    <x v="1"/>
    <s v="Q3"/>
    <x v="7"/>
    <x v="3"/>
    <x v="0"/>
    <x v="2"/>
    <x v="0"/>
    <x v="0"/>
    <n v="9400"/>
    <n v="305500"/>
    <n v="300"/>
    <n v="0.374"/>
    <s v="Approved"/>
    <x v="1"/>
    <n v="1"/>
    <n v="0"/>
    <n v="275000"/>
    <n v="6.9400000000000003E-2"/>
    <n v="18"/>
    <n v="0"/>
    <n v="1"/>
  </r>
  <r>
    <s v="LA-704054"/>
    <d v="2025-08-06T00:00:00"/>
    <x v="1"/>
    <s v="Q3"/>
    <x v="7"/>
    <x v="1"/>
    <x v="1"/>
    <x v="3"/>
    <x v="0"/>
    <x v="2"/>
    <n v="4250"/>
    <n v="12000"/>
    <n v="36"/>
    <n v="0.19900000000000001"/>
    <s v="Approved"/>
    <x v="1"/>
    <n v="1"/>
    <n v="0"/>
    <n v="11000"/>
    <n v="0.15959999999999999"/>
    <n v="1"/>
    <n v="1"/>
    <n v="1"/>
  </r>
  <r>
    <s v="LA-704055"/>
    <d v="2025-08-06T00:00:00"/>
    <x v="1"/>
    <s v="Q3"/>
    <x v="7"/>
    <x v="1"/>
    <x v="3"/>
    <x v="2"/>
    <x v="1"/>
    <x v="0"/>
    <n v="4750"/>
    <n v="11500"/>
    <n v="36"/>
    <n v="0.20100000000000001"/>
    <s v="Rejected"/>
    <x v="0"/>
    <n v="0"/>
    <n v="1"/>
    <n v="0"/>
    <m/>
    <n v="4"/>
    <n v="0"/>
    <n v="1"/>
  </r>
  <r>
    <s v="LA-704056"/>
    <d v="2025-08-06T00:00:00"/>
    <x v="1"/>
    <s v="Q3"/>
    <x v="7"/>
    <x v="1"/>
    <x v="1"/>
    <x v="2"/>
    <x v="0"/>
    <x v="1"/>
    <n v="5000"/>
    <n v="11500"/>
    <n v="12"/>
    <n v="0.41799999999999998"/>
    <s v="Rejected"/>
    <x v="5"/>
    <n v="0"/>
    <n v="1"/>
    <n v="0"/>
    <m/>
    <n v="1"/>
    <n v="1"/>
    <n v="1"/>
  </r>
  <r>
    <s v="LA-704057"/>
    <d v="2025-08-07T00:00:00"/>
    <x v="1"/>
    <s v="Q3"/>
    <x v="7"/>
    <x v="0"/>
    <x v="1"/>
    <x v="2"/>
    <x v="0"/>
    <x v="1"/>
    <n v="5050"/>
    <n v="26000"/>
    <n v="48"/>
    <n v="0.34399999999999997"/>
    <s v="Approved"/>
    <x v="1"/>
    <n v="1"/>
    <n v="0"/>
    <n v="23500"/>
    <n v="8.1799999999999998E-2"/>
    <n v="2"/>
    <n v="1"/>
    <n v="1"/>
  </r>
  <r>
    <s v="LA-704058"/>
    <d v="2025-08-07T00:00:00"/>
    <x v="1"/>
    <s v="Q3"/>
    <x v="7"/>
    <x v="2"/>
    <x v="1"/>
    <x v="2"/>
    <x v="2"/>
    <x v="2"/>
    <n v="3500"/>
    <n v="48500"/>
    <n v="60"/>
    <n v="0.36799999999999999"/>
    <s v="Approved"/>
    <x v="1"/>
    <n v="1"/>
    <n v="0"/>
    <n v="43500"/>
    <n v="0.1404"/>
    <n v="5"/>
    <n v="1"/>
    <n v="1"/>
  </r>
  <r>
    <s v="LA-704059"/>
    <d v="2025-08-07T00:00:00"/>
    <x v="1"/>
    <s v="Q3"/>
    <x v="7"/>
    <x v="0"/>
    <x v="1"/>
    <x v="3"/>
    <x v="1"/>
    <x v="1"/>
    <n v="4600"/>
    <n v="19000"/>
    <n v="48"/>
    <n v="0.17499999999999999"/>
    <s v="Approved"/>
    <x v="1"/>
    <n v="1"/>
    <n v="0"/>
    <n v="17000"/>
    <n v="7.51E-2"/>
    <n v="3"/>
    <n v="1"/>
    <n v="1"/>
  </r>
  <r>
    <s v="LA-704060"/>
    <d v="2025-08-07T00:00:00"/>
    <x v="1"/>
    <s v="Q3"/>
    <x v="7"/>
    <x v="1"/>
    <x v="2"/>
    <x v="1"/>
    <x v="0"/>
    <x v="4"/>
    <n v="5600"/>
    <n v="7000"/>
    <n v="48"/>
    <n v="9.6000000000000002E-2"/>
    <s v="Approved"/>
    <x v="1"/>
    <n v="1"/>
    <n v="0"/>
    <n v="7000"/>
    <n v="0.1103"/>
    <n v="1"/>
    <n v="1"/>
    <n v="1"/>
  </r>
  <r>
    <s v="LA-704061"/>
    <d v="2025-08-07T00:00:00"/>
    <x v="1"/>
    <s v="Q3"/>
    <x v="7"/>
    <x v="3"/>
    <x v="3"/>
    <x v="3"/>
    <x v="1"/>
    <x v="1"/>
    <n v="11750"/>
    <n v="219000"/>
    <n v="240"/>
    <n v="0.20300000000000001"/>
    <s v="Approved"/>
    <x v="1"/>
    <n v="1"/>
    <n v="0"/>
    <n v="219000"/>
    <n v="5.5599999999999997E-2"/>
    <n v="23"/>
    <n v="0"/>
    <n v="1"/>
  </r>
  <r>
    <s v="LA-704062"/>
    <d v="2025-08-07T00:00:00"/>
    <x v="1"/>
    <s v="Q3"/>
    <x v="7"/>
    <x v="1"/>
    <x v="1"/>
    <x v="3"/>
    <x v="0"/>
    <x v="1"/>
    <n v="6150"/>
    <n v="20000"/>
    <n v="36"/>
    <n v="0.34899999999999998"/>
    <s v="Approved"/>
    <x v="1"/>
    <n v="1"/>
    <n v="0"/>
    <n v="20000"/>
    <n v="0.1229"/>
    <n v="1"/>
    <n v="1"/>
    <n v="1"/>
  </r>
  <r>
    <s v="LA-704063"/>
    <d v="2025-08-07T00:00:00"/>
    <x v="1"/>
    <s v="Q3"/>
    <x v="7"/>
    <x v="1"/>
    <x v="3"/>
    <x v="2"/>
    <x v="0"/>
    <x v="2"/>
    <n v="6100"/>
    <n v="21000"/>
    <n v="12"/>
    <n v="0.54700000000000004"/>
    <s v="Approved"/>
    <x v="1"/>
    <n v="1"/>
    <n v="0"/>
    <n v="19000"/>
    <n v="0.1628"/>
    <n v="3"/>
    <n v="1"/>
    <n v="1"/>
  </r>
  <r>
    <s v="LA-704064"/>
    <d v="2025-08-07T00:00:00"/>
    <x v="1"/>
    <s v="Q3"/>
    <x v="7"/>
    <x v="3"/>
    <x v="2"/>
    <x v="2"/>
    <x v="0"/>
    <x v="2"/>
    <n v="5950"/>
    <n v="137500"/>
    <n v="180"/>
    <n v="0.33900000000000002"/>
    <s v="Rejected"/>
    <x v="0"/>
    <n v="0"/>
    <n v="1"/>
    <n v="0"/>
    <m/>
    <n v="5"/>
    <n v="1"/>
    <n v="1"/>
  </r>
  <r>
    <s v="LA-704065"/>
    <d v="2025-08-07T00:00:00"/>
    <x v="1"/>
    <s v="Q3"/>
    <x v="7"/>
    <x v="2"/>
    <x v="3"/>
    <x v="3"/>
    <x v="1"/>
    <x v="1"/>
    <n v="8350"/>
    <n v="152000"/>
    <n v="60"/>
    <n v="0.61099999999999999"/>
    <s v="Approved"/>
    <x v="1"/>
    <n v="1"/>
    <n v="0"/>
    <n v="152000"/>
    <n v="0.10979999999999999"/>
    <n v="19"/>
    <n v="0"/>
    <n v="1"/>
  </r>
  <r>
    <s v="LA-704066"/>
    <d v="2025-08-07T00:00:00"/>
    <x v="1"/>
    <s v="Q3"/>
    <x v="7"/>
    <x v="0"/>
    <x v="3"/>
    <x v="3"/>
    <x v="0"/>
    <x v="0"/>
    <n v="5050"/>
    <n v="35000"/>
    <n v="60"/>
    <n v="0.248"/>
    <s v="Approved"/>
    <x v="1"/>
    <n v="1"/>
    <n v="0"/>
    <n v="35000"/>
    <n v="9.6699999999999994E-2"/>
    <n v="5"/>
    <n v="0"/>
    <n v="1"/>
  </r>
  <r>
    <s v="LA-704067"/>
    <d v="2025-08-07T00:00:00"/>
    <x v="1"/>
    <s v="Q3"/>
    <x v="7"/>
    <x v="0"/>
    <x v="0"/>
    <x v="2"/>
    <x v="1"/>
    <x v="0"/>
    <n v="2600"/>
    <n v="17500"/>
    <n v="48"/>
    <n v="0.35699999999999998"/>
    <s v="Rejected"/>
    <x v="0"/>
    <n v="0"/>
    <n v="1"/>
    <n v="0"/>
    <m/>
    <n v="10"/>
    <n v="0"/>
    <n v="1"/>
  </r>
  <r>
    <s v="LA-704068"/>
    <d v="2025-08-07T00:00:00"/>
    <x v="1"/>
    <s v="Q3"/>
    <x v="7"/>
    <x v="2"/>
    <x v="2"/>
    <x v="2"/>
    <x v="2"/>
    <x v="1"/>
    <n v="3700"/>
    <n v="54500"/>
    <n v="36"/>
    <n v="0.58099999999999996"/>
    <s v="Approved"/>
    <x v="1"/>
    <n v="1"/>
    <n v="0"/>
    <n v="54500"/>
    <n v="0.1023"/>
    <n v="3"/>
    <n v="1"/>
    <n v="1"/>
  </r>
  <r>
    <s v="LA-704069"/>
    <d v="2025-08-07T00:00:00"/>
    <x v="1"/>
    <s v="Q3"/>
    <x v="7"/>
    <x v="1"/>
    <x v="1"/>
    <x v="4"/>
    <x v="1"/>
    <x v="1"/>
    <n v="4550"/>
    <n v="18000"/>
    <n v="24"/>
    <n v="0.27800000000000002"/>
    <s v="Rejected"/>
    <x v="5"/>
    <n v="0"/>
    <n v="1"/>
    <n v="0"/>
    <m/>
    <n v="2"/>
    <n v="1"/>
    <n v="1"/>
  </r>
  <r>
    <s v="LA-704070"/>
    <d v="2025-08-08T00:00:00"/>
    <x v="1"/>
    <s v="Q3"/>
    <x v="7"/>
    <x v="1"/>
    <x v="2"/>
    <x v="2"/>
    <x v="1"/>
    <x v="1"/>
    <n v="4850"/>
    <n v="7500"/>
    <n v="12"/>
    <n v="0.35199999999999998"/>
    <s v="Rejected"/>
    <x v="5"/>
    <n v="0"/>
    <n v="1"/>
    <n v="0"/>
    <m/>
    <n v="2"/>
    <n v="1"/>
    <n v="1"/>
  </r>
  <r>
    <s v="LA-704071"/>
    <d v="2025-08-08T00:00:00"/>
    <x v="1"/>
    <s v="Q3"/>
    <x v="7"/>
    <x v="1"/>
    <x v="1"/>
    <x v="3"/>
    <x v="1"/>
    <x v="4"/>
    <n v="4950"/>
    <n v="17000"/>
    <n v="12"/>
    <n v="0.49199999999999999"/>
    <s v="Approved"/>
    <x v="1"/>
    <n v="1"/>
    <n v="0"/>
    <n v="17000"/>
    <n v="0.1143"/>
    <n v="1"/>
    <n v="1"/>
    <n v="1"/>
  </r>
  <r>
    <s v="LA-704072"/>
    <d v="2025-08-08T00:00:00"/>
    <x v="1"/>
    <s v="Q3"/>
    <x v="7"/>
    <x v="2"/>
    <x v="2"/>
    <x v="1"/>
    <x v="1"/>
    <x v="4"/>
    <n v="3150"/>
    <n v="142500"/>
    <n v="24"/>
    <n v="2.2320000000000002"/>
    <s v="Rejected"/>
    <x v="3"/>
    <n v="0"/>
    <n v="1"/>
    <n v="0"/>
    <m/>
    <n v="4"/>
    <n v="1"/>
    <n v="1"/>
  </r>
  <r>
    <s v="LA-704073"/>
    <d v="2025-08-08T00:00:00"/>
    <x v="1"/>
    <s v="Q3"/>
    <x v="7"/>
    <x v="1"/>
    <x v="2"/>
    <x v="3"/>
    <x v="1"/>
    <x v="1"/>
    <n v="9050"/>
    <n v="7500"/>
    <n v="48"/>
    <n v="0.17"/>
    <s v="Rejected"/>
    <x v="0"/>
    <n v="0"/>
    <n v="1"/>
    <n v="0"/>
    <m/>
    <n v="3"/>
    <n v="1"/>
    <n v="1"/>
  </r>
  <r>
    <s v="LA-704074"/>
    <d v="2025-08-08T00:00:00"/>
    <x v="1"/>
    <s v="Q3"/>
    <x v="7"/>
    <x v="0"/>
    <x v="0"/>
    <x v="4"/>
    <x v="0"/>
    <x v="1"/>
    <n v="4550"/>
    <n v="31500"/>
    <n v="60"/>
    <n v="0.30199999999999999"/>
    <s v="Rejected"/>
    <x v="2"/>
    <n v="0"/>
    <n v="1"/>
    <n v="0"/>
    <m/>
    <n v="4"/>
    <n v="1"/>
    <n v="1"/>
  </r>
  <r>
    <s v="LA-704075"/>
    <d v="2025-08-08T00:00:00"/>
    <x v="1"/>
    <s v="Q3"/>
    <x v="7"/>
    <x v="1"/>
    <x v="1"/>
    <x v="1"/>
    <x v="0"/>
    <x v="1"/>
    <n v="6850"/>
    <n v="24000"/>
    <n v="12"/>
    <n v="0.40899999999999997"/>
    <s v="Approved"/>
    <x v="1"/>
    <n v="1"/>
    <n v="0"/>
    <n v="24000"/>
    <n v="0.12470000000000001"/>
    <n v="1"/>
    <n v="1"/>
    <n v="1"/>
  </r>
  <r>
    <s v="LA-704076"/>
    <d v="2025-08-08T00:00:00"/>
    <x v="1"/>
    <s v="Q3"/>
    <x v="7"/>
    <x v="0"/>
    <x v="2"/>
    <x v="2"/>
    <x v="0"/>
    <x v="1"/>
    <n v="3600"/>
    <n v="65000"/>
    <n v="48"/>
    <n v="0.55400000000000005"/>
    <s v="Rejected"/>
    <x v="3"/>
    <n v="0"/>
    <n v="1"/>
    <n v="0"/>
    <m/>
    <n v="2"/>
    <n v="1"/>
    <n v="1"/>
  </r>
  <r>
    <s v="LA-704077"/>
    <d v="2025-08-08T00:00:00"/>
    <x v="1"/>
    <s v="Q3"/>
    <x v="7"/>
    <x v="1"/>
    <x v="3"/>
    <x v="1"/>
    <x v="2"/>
    <x v="1"/>
    <n v="8400"/>
    <n v="8500"/>
    <n v="60"/>
    <n v="0.14799999999999999"/>
    <s v="Approved"/>
    <x v="1"/>
    <n v="1"/>
    <n v="0"/>
    <n v="8500"/>
    <n v="0.12330000000000001"/>
    <n v="5"/>
    <n v="0"/>
    <n v="1"/>
  </r>
  <r>
    <s v="LA-704078"/>
    <d v="2025-08-09T00:00:00"/>
    <x v="1"/>
    <s v="Q3"/>
    <x v="7"/>
    <x v="0"/>
    <x v="1"/>
    <x v="4"/>
    <x v="0"/>
    <x v="1"/>
    <n v="4550"/>
    <n v="32500"/>
    <n v="36"/>
    <n v="0.33200000000000002"/>
    <s v="Rejected"/>
    <x v="2"/>
    <n v="0"/>
    <n v="1"/>
    <n v="0"/>
    <m/>
    <n v="1"/>
    <n v="1"/>
    <n v="1"/>
  </r>
  <r>
    <s v="LA-704079"/>
    <d v="2025-08-09T00:00:00"/>
    <x v="1"/>
    <s v="Q3"/>
    <x v="7"/>
    <x v="0"/>
    <x v="2"/>
    <x v="2"/>
    <x v="0"/>
    <x v="0"/>
    <n v="6750"/>
    <n v="36000"/>
    <n v="36"/>
    <n v="0.32400000000000001"/>
    <s v="Rejected"/>
    <x v="0"/>
    <n v="0"/>
    <n v="1"/>
    <n v="0"/>
    <m/>
    <n v="1"/>
    <n v="1"/>
    <n v="1"/>
  </r>
  <r>
    <s v="LA-704080"/>
    <d v="2025-08-09T00:00:00"/>
    <x v="1"/>
    <s v="Q3"/>
    <x v="7"/>
    <x v="0"/>
    <x v="0"/>
    <x v="3"/>
    <x v="0"/>
    <x v="4"/>
    <n v="6350"/>
    <n v="31500"/>
    <n v="36"/>
    <n v="0.255"/>
    <s v="Approved"/>
    <x v="1"/>
    <n v="1"/>
    <n v="0"/>
    <n v="31500"/>
    <n v="6.6199999999999995E-2"/>
    <n v="2"/>
    <n v="1"/>
    <n v="1"/>
  </r>
  <r>
    <s v="LA-704081"/>
    <d v="2025-08-09T00:00:00"/>
    <x v="1"/>
    <s v="Q3"/>
    <x v="7"/>
    <x v="1"/>
    <x v="1"/>
    <x v="2"/>
    <x v="1"/>
    <x v="0"/>
    <n v="5400"/>
    <n v="9000"/>
    <n v="36"/>
    <n v="0.157"/>
    <s v="Approved"/>
    <x v="1"/>
    <n v="1"/>
    <n v="0"/>
    <n v="8000"/>
    <n v="0.14249999999999999"/>
    <n v="2"/>
    <n v="1"/>
    <n v="1"/>
  </r>
  <r>
    <s v="LA-704082"/>
    <d v="2025-08-10T00:00:00"/>
    <x v="1"/>
    <s v="Q3"/>
    <x v="7"/>
    <x v="1"/>
    <x v="0"/>
    <x v="3"/>
    <x v="1"/>
    <x v="1"/>
    <n v="7150"/>
    <n v="12000"/>
    <n v="48"/>
    <n v="0.13300000000000001"/>
    <s v="Rejected"/>
    <x v="4"/>
    <n v="0"/>
    <n v="1"/>
    <n v="0"/>
    <m/>
    <n v="6"/>
    <n v="0"/>
    <n v="1"/>
  </r>
  <r>
    <s v="LA-704083"/>
    <d v="2025-08-10T00:00:00"/>
    <x v="1"/>
    <s v="Q3"/>
    <x v="7"/>
    <x v="1"/>
    <x v="1"/>
    <x v="1"/>
    <x v="2"/>
    <x v="0"/>
    <n v="6800"/>
    <n v="14500"/>
    <n v="36"/>
    <n v="0.126"/>
    <s v="Approved"/>
    <x v="1"/>
    <n v="1"/>
    <n v="0"/>
    <n v="11500"/>
    <n v="0.14249999999999999"/>
    <n v="1"/>
    <n v="1"/>
    <n v="1"/>
  </r>
  <r>
    <s v="LA-704084"/>
    <d v="2025-08-10T00:00:00"/>
    <x v="1"/>
    <s v="Q3"/>
    <x v="7"/>
    <x v="3"/>
    <x v="2"/>
    <x v="2"/>
    <x v="0"/>
    <x v="1"/>
    <n v="12700"/>
    <n v="289500"/>
    <n v="300"/>
    <n v="0.34499999999999997"/>
    <s v="Rejected"/>
    <x v="2"/>
    <n v="0"/>
    <n v="1"/>
    <n v="0"/>
    <m/>
    <n v="8"/>
    <n v="1"/>
    <n v="1"/>
  </r>
  <r>
    <s v="LA-704085"/>
    <d v="2025-08-10T00:00:00"/>
    <x v="1"/>
    <s v="Q3"/>
    <x v="7"/>
    <x v="1"/>
    <x v="2"/>
    <x v="2"/>
    <x v="1"/>
    <x v="0"/>
    <n v="3050"/>
    <n v="10000"/>
    <n v="60"/>
    <n v="0.214"/>
    <s v="Approved"/>
    <x v="1"/>
    <n v="1"/>
    <n v="0"/>
    <n v="10000"/>
    <n v="0.1426"/>
    <n v="2"/>
    <n v="1"/>
    <n v="1"/>
  </r>
  <r>
    <s v="LA-704086"/>
    <d v="2025-08-11T00:00:00"/>
    <x v="1"/>
    <s v="Q3"/>
    <x v="7"/>
    <x v="2"/>
    <x v="3"/>
    <x v="3"/>
    <x v="2"/>
    <x v="1"/>
    <n v="6150"/>
    <n v="35500"/>
    <n v="12"/>
    <n v="0.63100000000000001"/>
    <s v="Approved"/>
    <x v="1"/>
    <n v="1"/>
    <n v="0"/>
    <n v="28500"/>
    <n v="0.105"/>
    <n v="12"/>
    <n v="0"/>
    <n v="1"/>
  </r>
  <r>
    <s v="LA-704087"/>
    <d v="2025-08-11T00:00:00"/>
    <x v="1"/>
    <s v="Q3"/>
    <x v="7"/>
    <x v="1"/>
    <x v="1"/>
    <x v="2"/>
    <x v="1"/>
    <x v="3"/>
    <n v="3150"/>
    <n v="16500"/>
    <n v="24"/>
    <n v="0.317"/>
    <s v="Approved"/>
    <x v="1"/>
    <n v="1"/>
    <n v="0"/>
    <n v="15000"/>
    <n v="0.109"/>
    <n v="2"/>
    <n v="1"/>
    <n v="1"/>
  </r>
  <r>
    <s v="LA-704088"/>
    <d v="2025-08-11T00:00:00"/>
    <x v="1"/>
    <s v="Q3"/>
    <x v="7"/>
    <x v="3"/>
    <x v="0"/>
    <x v="0"/>
    <x v="2"/>
    <x v="0"/>
    <n v="4850"/>
    <n v="186500"/>
    <n v="300"/>
    <n v="0.45100000000000001"/>
    <s v="Rejected"/>
    <x v="3"/>
    <n v="0"/>
    <n v="1"/>
    <n v="0"/>
    <m/>
    <n v="14"/>
    <n v="1"/>
    <n v="1"/>
  </r>
  <r>
    <s v="LA-704089"/>
    <d v="2025-08-11T00:00:00"/>
    <x v="1"/>
    <s v="Q3"/>
    <x v="7"/>
    <x v="0"/>
    <x v="2"/>
    <x v="1"/>
    <x v="0"/>
    <x v="0"/>
    <n v="3200"/>
    <n v="25500"/>
    <n v="48"/>
    <n v="0.32700000000000001"/>
    <s v="Rejected"/>
    <x v="0"/>
    <n v="0"/>
    <n v="1"/>
    <n v="0"/>
    <m/>
    <n v="2"/>
    <n v="1"/>
    <n v="1"/>
  </r>
  <r>
    <s v="LA-704090"/>
    <d v="2025-08-11T00:00:00"/>
    <x v="1"/>
    <s v="Q3"/>
    <x v="7"/>
    <x v="3"/>
    <x v="2"/>
    <x v="1"/>
    <x v="1"/>
    <x v="0"/>
    <n v="5750"/>
    <n v="515500"/>
    <n v="240"/>
    <n v="0.75700000000000001"/>
    <s v="Approved"/>
    <x v="1"/>
    <n v="1"/>
    <n v="0"/>
    <n v="412500"/>
    <n v="7.9699999999999993E-2"/>
    <n v="4"/>
    <n v="1"/>
    <n v="1"/>
  </r>
  <r>
    <s v="LA-704091"/>
    <d v="2025-08-11T00:00:00"/>
    <x v="1"/>
    <s v="Q3"/>
    <x v="7"/>
    <x v="2"/>
    <x v="3"/>
    <x v="2"/>
    <x v="0"/>
    <x v="1"/>
    <n v="10600"/>
    <n v="133500"/>
    <n v="60"/>
    <n v="0.46899999999999997"/>
    <s v="Approved"/>
    <x v="1"/>
    <n v="1"/>
    <n v="0"/>
    <n v="133500"/>
    <n v="0.1076"/>
    <n v="12"/>
    <n v="0"/>
    <n v="1"/>
  </r>
  <r>
    <s v="LA-704092"/>
    <d v="2025-08-11T00:00:00"/>
    <x v="1"/>
    <s v="Q3"/>
    <x v="7"/>
    <x v="1"/>
    <x v="3"/>
    <x v="2"/>
    <x v="1"/>
    <x v="1"/>
    <n v="4800"/>
    <n v="13500"/>
    <n v="48"/>
    <n v="0.23100000000000001"/>
    <s v="Approved"/>
    <x v="1"/>
    <n v="1"/>
    <n v="0"/>
    <n v="13500"/>
    <n v="0.12479999999999999"/>
    <n v="6"/>
    <n v="0"/>
    <n v="1"/>
  </r>
  <r>
    <s v="LA-704093"/>
    <d v="2025-08-11T00:00:00"/>
    <x v="1"/>
    <s v="Q3"/>
    <x v="7"/>
    <x v="0"/>
    <x v="1"/>
    <x v="3"/>
    <x v="0"/>
    <x v="1"/>
    <n v="2950"/>
    <n v="24000"/>
    <n v="48"/>
    <n v="0.37"/>
    <s v="Approved"/>
    <x v="1"/>
    <n v="1"/>
    <n v="0"/>
    <n v="24000"/>
    <n v="7.8600000000000003E-2"/>
    <n v="2"/>
    <n v="1"/>
    <n v="1"/>
  </r>
  <r>
    <s v="LA-704094"/>
    <d v="2025-08-11T00:00:00"/>
    <x v="1"/>
    <s v="Q3"/>
    <x v="7"/>
    <x v="1"/>
    <x v="1"/>
    <x v="0"/>
    <x v="1"/>
    <x v="4"/>
    <n v="3950"/>
    <n v="10500"/>
    <n v="36"/>
    <n v="0.16300000000000001"/>
    <s v="Approved"/>
    <x v="1"/>
    <n v="1"/>
    <n v="0"/>
    <n v="10500"/>
    <n v="0.113"/>
    <n v="2"/>
    <n v="1"/>
    <n v="1"/>
  </r>
  <r>
    <s v="LA-704095"/>
    <d v="2025-08-11T00:00:00"/>
    <x v="1"/>
    <s v="Q3"/>
    <x v="7"/>
    <x v="0"/>
    <x v="3"/>
    <x v="0"/>
    <x v="1"/>
    <x v="1"/>
    <n v="3650"/>
    <n v="56500"/>
    <n v="48"/>
    <n v="0.59"/>
    <s v="Approved"/>
    <x v="1"/>
    <n v="1"/>
    <n v="0"/>
    <n v="56500"/>
    <n v="8.2000000000000003E-2"/>
    <n v="6"/>
    <n v="0"/>
    <n v="1"/>
  </r>
  <r>
    <s v="LA-704096"/>
    <d v="2025-08-12T00:00:00"/>
    <x v="1"/>
    <s v="Q3"/>
    <x v="7"/>
    <x v="1"/>
    <x v="3"/>
    <x v="2"/>
    <x v="2"/>
    <x v="2"/>
    <n v="5400"/>
    <n v="6000"/>
    <n v="24"/>
    <n v="0.13200000000000001"/>
    <s v="Rejected"/>
    <x v="5"/>
    <n v="0"/>
    <n v="1"/>
    <n v="0"/>
    <m/>
    <n v="3"/>
    <n v="1"/>
    <n v="1"/>
  </r>
  <r>
    <s v="LA-704097"/>
    <d v="2025-08-12T00:00:00"/>
    <x v="1"/>
    <s v="Q3"/>
    <x v="7"/>
    <x v="0"/>
    <x v="1"/>
    <x v="2"/>
    <x v="0"/>
    <x v="2"/>
    <n v="5050"/>
    <n v="24500"/>
    <n v="48"/>
    <n v="0.23699999999999999"/>
    <s v="Rejected"/>
    <x v="0"/>
    <n v="0"/>
    <n v="1"/>
    <n v="0"/>
    <m/>
    <n v="2"/>
    <n v="1"/>
    <n v="1"/>
  </r>
  <r>
    <s v="LA-704098"/>
    <d v="2025-08-12T00:00:00"/>
    <x v="1"/>
    <s v="Q3"/>
    <x v="7"/>
    <x v="0"/>
    <x v="2"/>
    <x v="1"/>
    <x v="1"/>
    <x v="1"/>
    <n v="5750"/>
    <n v="39500"/>
    <n v="60"/>
    <n v="0.28199999999999997"/>
    <s v="Approved"/>
    <x v="1"/>
    <n v="1"/>
    <n v="0"/>
    <n v="39500"/>
    <n v="8.4699999999999998E-2"/>
    <n v="2"/>
    <n v="1"/>
    <n v="1"/>
  </r>
  <r>
    <s v="LA-704099"/>
    <d v="2025-08-12T00:00:00"/>
    <x v="1"/>
    <s v="Q3"/>
    <x v="7"/>
    <x v="2"/>
    <x v="2"/>
    <x v="3"/>
    <x v="0"/>
    <x v="4"/>
    <n v="4900"/>
    <n v="92500"/>
    <n v="36"/>
    <n v="0.78800000000000003"/>
    <s v="Approved"/>
    <x v="1"/>
    <n v="1"/>
    <n v="0"/>
    <n v="74000"/>
    <n v="9.7199999999999995E-2"/>
    <n v="4"/>
    <n v="1"/>
    <n v="1"/>
  </r>
  <r>
    <s v="LA-704100"/>
    <d v="2025-08-12T00:00:00"/>
    <x v="1"/>
    <s v="Q3"/>
    <x v="7"/>
    <x v="3"/>
    <x v="1"/>
    <x v="2"/>
    <x v="0"/>
    <x v="1"/>
    <n v="4050"/>
    <n v="176500"/>
    <n v="300"/>
    <n v="0.33200000000000002"/>
    <s v="Approved"/>
    <x v="1"/>
    <n v="1"/>
    <n v="0"/>
    <n v="176500"/>
    <n v="5.4699999999999999E-2"/>
    <n v="5"/>
    <n v="1"/>
    <n v="1"/>
  </r>
  <r>
    <s v="LA-704101"/>
    <d v="2025-08-12T00:00:00"/>
    <x v="1"/>
    <s v="Q3"/>
    <x v="7"/>
    <x v="0"/>
    <x v="1"/>
    <x v="1"/>
    <x v="1"/>
    <x v="0"/>
    <n v="4950"/>
    <n v="20000"/>
    <n v="48"/>
    <n v="0.315"/>
    <s v="Approved"/>
    <x v="1"/>
    <n v="1"/>
    <n v="0"/>
    <n v="20000"/>
    <n v="9.4200000000000006E-2"/>
    <n v="2"/>
    <n v="1"/>
    <n v="1"/>
  </r>
  <r>
    <s v="LA-704102"/>
    <d v="2025-08-12T00:00:00"/>
    <x v="1"/>
    <s v="Q3"/>
    <x v="7"/>
    <x v="1"/>
    <x v="2"/>
    <x v="2"/>
    <x v="1"/>
    <x v="0"/>
    <n v="6800"/>
    <n v="20000"/>
    <n v="48"/>
    <n v="0.15"/>
    <s v="Approved"/>
    <x v="1"/>
    <n v="1"/>
    <n v="0"/>
    <n v="18000"/>
    <n v="0.13700000000000001"/>
    <n v="3"/>
    <n v="1"/>
    <n v="1"/>
  </r>
  <r>
    <s v="LA-704103"/>
    <d v="2025-08-13T00:00:00"/>
    <x v="1"/>
    <s v="Q3"/>
    <x v="7"/>
    <x v="2"/>
    <x v="1"/>
    <x v="3"/>
    <x v="1"/>
    <x v="0"/>
    <n v="4300"/>
    <n v="46500"/>
    <n v="24"/>
    <n v="0.71499999999999997"/>
    <s v="Rejected"/>
    <x v="0"/>
    <n v="0"/>
    <n v="1"/>
    <n v="0"/>
    <m/>
    <n v="4"/>
    <n v="1"/>
    <n v="1"/>
  </r>
  <r>
    <s v="LA-704104"/>
    <d v="2025-08-13T00:00:00"/>
    <x v="1"/>
    <s v="Q3"/>
    <x v="7"/>
    <x v="2"/>
    <x v="3"/>
    <x v="4"/>
    <x v="1"/>
    <x v="1"/>
    <n v="3400"/>
    <n v="60000"/>
    <n v="36"/>
    <n v="0.70699999999999996"/>
    <s v="Approved"/>
    <x v="1"/>
    <n v="1"/>
    <n v="0"/>
    <n v="48000"/>
    <n v="0.10829999999999999"/>
    <n v="13"/>
    <n v="0"/>
    <n v="1"/>
  </r>
  <r>
    <s v="LA-704105"/>
    <d v="2025-08-13T00:00:00"/>
    <x v="1"/>
    <s v="Q3"/>
    <x v="7"/>
    <x v="0"/>
    <x v="2"/>
    <x v="3"/>
    <x v="0"/>
    <x v="4"/>
    <n v="5700"/>
    <n v="45500"/>
    <n v="60"/>
    <n v="0.28899999999999998"/>
    <s v="Approved"/>
    <x v="1"/>
    <n v="1"/>
    <n v="0"/>
    <n v="45500"/>
    <n v="7.2800000000000004E-2"/>
    <n v="2"/>
    <n v="1"/>
    <n v="1"/>
  </r>
  <r>
    <s v="LA-704106"/>
    <d v="2025-08-13T00:00:00"/>
    <x v="1"/>
    <s v="Q3"/>
    <x v="7"/>
    <x v="2"/>
    <x v="0"/>
    <x v="2"/>
    <x v="2"/>
    <x v="0"/>
    <n v="5200"/>
    <n v="133000"/>
    <n v="60"/>
    <n v="0.59799999999999998"/>
    <s v="Rejected"/>
    <x v="4"/>
    <n v="0"/>
    <n v="1"/>
    <n v="0"/>
    <m/>
    <n v="15"/>
    <n v="0"/>
    <n v="1"/>
  </r>
  <r>
    <s v="LA-704107"/>
    <d v="2025-08-13T00:00:00"/>
    <x v="1"/>
    <s v="Q3"/>
    <x v="7"/>
    <x v="2"/>
    <x v="1"/>
    <x v="2"/>
    <x v="1"/>
    <x v="3"/>
    <n v="6000"/>
    <n v="95000"/>
    <n v="24"/>
    <n v="0.92800000000000005"/>
    <s v="Rejected"/>
    <x v="4"/>
    <n v="0"/>
    <n v="1"/>
    <n v="0"/>
    <m/>
    <n v="8"/>
    <n v="1"/>
    <n v="1"/>
  </r>
  <r>
    <s v="LA-704108"/>
    <d v="2025-08-13T00:00:00"/>
    <x v="1"/>
    <s v="Q3"/>
    <x v="7"/>
    <x v="0"/>
    <x v="1"/>
    <x v="4"/>
    <x v="2"/>
    <x v="1"/>
    <n v="4050"/>
    <n v="62000"/>
    <n v="60"/>
    <n v="0.48199999999999998"/>
    <s v="Approved"/>
    <x v="1"/>
    <n v="1"/>
    <n v="0"/>
    <n v="62000"/>
    <n v="8.8599999999999998E-2"/>
    <n v="3"/>
    <n v="1"/>
    <n v="1"/>
  </r>
  <r>
    <s v="LA-704109"/>
    <d v="2025-08-13T00:00:00"/>
    <x v="1"/>
    <s v="Q3"/>
    <x v="7"/>
    <x v="0"/>
    <x v="3"/>
    <x v="3"/>
    <x v="0"/>
    <x v="2"/>
    <n v="5750"/>
    <n v="21500"/>
    <n v="36"/>
    <n v="0.34"/>
    <s v="Rejected"/>
    <x v="0"/>
    <n v="0"/>
    <n v="1"/>
    <n v="0"/>
    <m/>
    <n v="5"/>
    <n v="0"/>
    <n v="1"/>
  </r>
  <r>
    <s v="LA-704110"/>
    <d v="2025-08-14T00:00:00"/>
    <x v="1"/>
    <s v="Q3"/>
    <x v="7"/>
    <x v="0"/>
    <x v="3"/>
    <x v="1"/>
    <x v="2"/>
    <x v="0"/>
    <n v="8450"/>
    <n v="24500"/>
    <n v="60"/>
    <n v="0.19500000000000001"/>
    <s v="Rejected"/>
    <x v="0"/>
    <n v="0"/>
    <n v="1"/>
    <n v="0"/>
    <m/>
    <n v="4"/>
    <n v="1"/>
    <n v="1"/>
  </r>
  <r>
    <s v="LA-704111"/>
    <d v="2025-08-14T00:00:00"/>
    <x v="1"/>
    <s v="Q3"/>
    <x v="7"/>
    <x v="1"/>
    <x v="1"/>
    <x v="3"/>
    <x v="1"/>
    <x v="3"/>
    <n v="5800"/>
    <n v="17500"/>
    <n v="24"/>
    <n v="0.378"/>
    <s v="Approved"/>
    <x v="1"/>
    <n v="1"/>
    <n v="0"/>
    <n v="16000"/>
    <n v="0.1082"/>
    <n v="2"/>
    <n v="1"/>
    <n v="1"/>
  </r>
  <r>
    <s v="LA-704112"/>
    <d v="2025-08-14T00:00:00"/>
    <x v="1"/>
    <s v="Q3"/>
    <x v="7"/>
    <x v="2"/>
    <x v="0"/>
    <x v="2"/>
    <x v="2"/>
    <x v="0"/>
    <n v="5000"/>
    <n v="122500"/>
    <n v="60"/>
    <n v="0.57699999999999996"/>
    <s v="Rejected"/>
    <x v="0"/>
    <n v="0"/>
    <n v="1"/>
    <n v="0"/>
    <m/>
    <n v="10"/>
    <n v="1"/>
    <n v="1"/>
  </r>
  <r>
    <s v="LA-704113"/>
    <d v="2025-08-14T00:00:00"/>
    <x v="1"/>
    <s v="Q3"/>
    <x v="7"/>
    <x v="1"/>
    <x v="0"/>
    <x v="0"/>
    <x v="0"/>
    <x v="1"/>
    <n v="7250"/>
    <n v="31000"/>
    <n v="24"/>
    <n v="0.35599999999999998"/>
    <s v="Withdrawn"/>
    <x v="1"/>
    <n v="0"/>
    <n v="0"/>
    <n v="0"/>
    <m/>
    <n v="5"/>
    <n v="0"/>
    <n v="1"/>
  </r>
  <r>
    <s v="LA-704114"/>
    <d v="2025-08-14T00:00:00"/>
    <x v="1"/>
    <s v="Q3"/>
    <x v="7"/>
    <x v="3"/>
    <x v="1"/>
    <x v="3"/>
    <x v="1"/>
    <x v="0"/>
    <n v="5950"/>
    <n v="186000"/>
    <n v="240"/>
    <n v="0.36099999999999999"/>
    <s v="Rejected"/>
    <x v="5"/>
    <n v="0"/>
    <n v="1"/>
    <n v="0"/>
    <m/>
    <n v="5"/>
    <n v="1"/>
    <n v="1"/>
  </r>
  <r>
    <s v="LA-704115"/>
    <d v="2025-08-14T00:00:00"/>
    <x v="1"/>
    <s v="Q3"/>
    <x v="7"/>
    <x v="2"/>
    <x v="2"/>
    <x v="3"/>
    <x v="2"/>
    <x v="2"/>
    <n v="5300"/>
    <n v="82500"/>
    <n v="12"/>
    <n v="1.615"/>
    <s v="Rejected"/>
    <x v="0"/>
    <n v="0"/>
    <n v="1"/>
    <n v="0"/>
    <m/>
    <n v="6"/>
    <n v="1"/>
    <n v="1"/>
  </r>
  <r>
    <s v="LA-704116"/>
    <d v="2025-08-15T00:00:00"/>
    <x v="1"/>
    <s v="Q3"/>
    <x v="7"/>
    <x v="1"/>
    <x v="1"/>
    <x v="3"/>
    <x v="1"/>
    <x v="1"/>
    <n v="4650"/>
    <n v="14500"/>
    <n v="60"/>
    <n v="0.23499999999999999"/>
    <s v="Approved"/>
    <x v="1"/>
    <n v="1"/>
    <n v="0"/>
    <n v="11500"/>
    <n v="0.1229"/>
    <n v="2"/>
    <n v="1"/>
    <n v="1"/>
  </r>
  <r>
    <s v="LA-704117"/>
    <d v="2025-08-15T00:00:00"/>
    <x v="1"/>
    <s v="Q3"/>
    <x v="7"/>
    <x v="1"/>
    <x v="1"/>
    <x v="1"/>
    <x v="0"/>
    <x v="1"/>
    <n v="2300"/>
    <n v="8500"/>
    <n v="60"/>
    <n v="0.17599999999999999"/>
    <s v="Rejected"/>
    <x v="0"/>
    <n v="0"/>
    <n v="1"/>
    <n v="0"/>
    <m/>
    <n v="3"/>
    <n v="1"/>
    <n v="1"/>
  </r>
  <r>
    <s v="LA-704118"/>
    <d v="2025-08-15T00:00:00"/>
    <x v="1"/>
    <s v="Q3"/>
    <x v="7"/>
    <x v="0"/>
    <x v="3"/>
    <x v="3"/>
    <x v="0"/>
    <x v="1"/>
    <n v="2250"/>
    <n v="27500"/>
    <n v="48"/>
    <n v="0.39300000000000002"/>
    <s v="Approved"/>
    <x v="1"/>
    <n v="1"/>
    <n v="0"/>
    <n v="22000"/>
    <n v="8.1600000000000006E-2"/>
    <n v="4"/>
    <n v="1"/>
    <n v="1"/>
  </r>
  <r>
    <s v="LA-704119"/>
    <d v="2025-08-15T00:00:00"/>
    <x v="1"/>
    <s v="Q3"/>
    <x v="7"/>
    <x v="1"/>
    <x v="0"/>
    <x v="2"/>
    <x v="2"/>
    <x v="4"/>
    <n v="4150"/>
    <n v="16500"/>
    <n v="24"/>
    <n v="0.32600000000000001"/>
    <s v="Approved"/>
    <x v="1"/>
    <n v="1"/>
    <n v="0"/>
    <n v="16500"/>
    <n v="0.1147"/>
    <n v="3"/>
    <n v="1"/>
    <n v="1"/>
  </r>
  <r>
    <s v="LA-704120"/>
    <d v="2025-08-15T00:00:00"/>
    <x v="1"/>
    <s v="Q3"/>
    <x v="7"/>
    <x v="1"/>
    <x v="2"/>
    <x v="3"/>
    <x v="1"/>
    <x v="1"/>
    <n v="4550"/>
    <n v="13000"/>
    <n v="60"/>
    <n v="0.19"/>
    <s v="Approved"/>
    <x v="1"/>
    <n v="1"/>
    <n v="0"/>
    <n v="10500"/>
    <n v="0.1229"/>
    <n v="3"/>
    <n v="1"/>
    <n v="1"/>
  </r>
  <r>
    <s v="LA-704121"/>
    <d v="2025-08-16T00:00:00"/>
    <x v="1"/>
    <s v="Q3"/>
    <x v="7"/>
    <x v="0"/>
    <x v="0"/>
    <x v="1"/>
    <x v="0"/>
    <x v="0"/>
    <n v="5200"/>
    <n v="18500"/>
    <n v="36"/>
    <n v="0.307"/>
    <s v="Rejected"/>
    <x v="0"/>
    <n v="0"/>
    <n v="1"/>
    <n v="0"/>
    <m/>
    <n v="3"/>
    <n v="1"/>
    <n v="1"/>
  </r>
  <r>
    <s v="LA-704122"/>
    <d v="2025-08-16T00:00:00"/>
    <x v="1"/>
    <s v="Q3"/>
    <x v="7"/>
    <x v="3"/>
    <x v="3"/>
    <x v="1"/>
    <x v="1"/>
    <x v="4"/>
    <n v="7450"/>
    <n v="182000"/>
    <n v="300"/>
    <n v="0.219"/>
    <s v="Approved"/>
    <x v="1"/>
    <n v="1"/>
    <n v="0"/>
    <n v="145500"/>
    <n v="5.5399999999999998E-2"/>
    <n v="32"/>
    <n v="0"/>
    <n v="1"/>
  </r>
  <r>
    <s v="LA-704123"/>
    <d v="2025-08-16T00:00:00"/>
    <x v="1"/>
    <s v="Q3"/>
    <x v="7"/>
    <x v="1"/>
    <x v="3"/>
    <x v="3"/>
    <x v="0"/>
    <x v="0"/>
    <n v="2800"/>
    <n v="19000"/>
    <n v="12"/>
    <n v="0.74199999999999999"/>
    <s v="Rejected"/>
    <x v="3"/>
    <n v="0"/>
    <n v="1"/>
    <n v="0"/>
    <m/>
    <n v="6"/>
    <n v="0"/>
    <n v="1"/>
  </r>
  <r>
    <s v="LA-704124"/>
    <d v="2025-08-17T00:00:00"/>
    <x v="1"/>
    <s v="Q3"/>
    <x v="7"/>
    <x v="3"/>
    <x v="1"/>
    <x v="4"/>
    <x v="0"/>
    <x v="1"/>
    <n v="5900"/>
    <n v="324000"/>
    <n v="180"/>
    <n v="0.52200000000000002"/>
    <s v="Rejected"/>
    <x v="3"/>
    <n v="0"/>
    <n v="1"/>
    <n v="0"/>
    <m/>
    <n v="5"/>
    <n v="1"/>
    <n v="1"/>
  </r>
  <r>
    <s v="LA-704125"/>
    <d v="2025-08-17T00:00:00"/>
    <x v="1"/>
    <s v="Q3"/>
    <x v="7"/>
    <x v="1"/>
    <x v="3"/>
    <x v="2"/>
    <x v="0"/>
    <x v="0"/>
    <n v="7750"/>
    <n v="7000"/>
    <n v="48"/>
    <n v="9.7000000000000003E-2"/>
    <s v="Rejected"/>
    <x v="0"/>
    <n v="0"/>
    <n v="1"/>
    <n v="0"/>
    <m/>
    <n v="6"/>
    <n v="0"/>
    <n v="1"/>
  </r>
  <r>
    <s v="LA-704126"/>
    <d v="2025-08-18T00:00:00"/>
    <x v="1"/>
    <s v="Q3"/>
    <x v="7"/>
    <x v="2"/>
    <x v="3"/>
    <x v="2"/>
    <x v="0"/>
    <x v="4"/>
    <n v="11550"/>
    <n v="172000"/>
    <n v="24"/>
    <n v="0.745"/>
    <s v="Approved"/>
    <x v="1"/>
    <n v="1"/>
    <n v="0"/>
    <n v="172000"/>
    <n v="9.4100000000000003E-2"/>
    <n v="9"/>
    <n v="1"/>
    <n v="1"/>
  </r>
  <r>
    <s v="LA-704127"/>
    <d v="2025-08-18T00:00:00"/>
    <x v="1"/>
    <s v="Q3"/>
    <x v="7"/>
    <x v="3"/>
    <x v="1"/>
    <x v="2"/>
    <x v="0"/>
    <x v="0"/>
    <n v="9150"/>
    <n v="123500"/>
    <n v="240"/>
    <n v="0.309"/>
    <s v="Approved"/>
    <x v="1"/>
    <n v="1"/>
    <n v="0"/>
    <n v="111000"/>
    <n v="7.7399999999999997E-2"/>
    <n v="6"/>
    <n v="1"/>
    <n v="1"/>
  </r>
  <r>
    <s v="LA-704128"/>
    <d v="2025-08-18T00:00:00"/>
    <x v="1"/>
    <s v="Q3"/>
    <x v="7"/>
    <x v="1"/>
    <x v="2"/>
    <x v="3"/>
    <x v="1"/>
    <x v="0"/>
    <n v="6350"/>
    <n v="5000"/>
    <n v="36"/>
    <n v="0.24199999999999999"/>
    <s v="Approved"/>
    <x v="1"/>
    <n v="1"/>
    <n v="0"/>
    <n v="5000"/>
    <n v="0.14630000000000001"/>
    <n v="1"/>
    <n v="1"/>
    <n v="1"/>
  </r>
  <r>
    <s v="LA-704129"/>
    <d v="2025-08-18T00:00:00"/>
    <x v="1"/>
    <s v="Q3"/>
    <x v="7"/>
    <x v="1"/>
    <x v="1"/>
    <x v="1"/>
    <x v="0"/>
    <x v="2"/>
    <n v="6050"/>
    <n v="12000"/>
    <n v="60"/>
    <n v="0.18099999999999999"/>
    <s v="Rejected"/>
    <x v="0"/>
    <n v="0"/>
    <n v="1"/>
    <n v="0"/>
    <m/>
    <n v="1"/>
    <n v="1"/>
    <n v="1"/>
  </r>
  <r>
    <s v="LA-704130"/>
    <d v="2025-08-18T00:00:00"/>
    <x v="1"/>
    <s v="Q3"/>
    <x v="7"/>
    <x v="1"/>
    <x v="3"/>
    <x v="1"/>
    <x v="1"/>
    <x v="1"/>
    <n v="7350"/>
    <n v="4500"/>
    <n v="60"/>
    <n v="0.19600000000000001"/>
    <s v="Approved"/>
    <x v="1"/>
    <n v="1"/>
    <n v="0"/>
    <n v="4500"/>
    <n v="0.1241"/>
    <n v="5"/>
    <n v="0"/>
    <n v="1"/>
  </r>
  <r>
    <s v="LA-704131"/>
    <d v="2025-08-18T00:00:00"/>
    <x v="1"/>
    <s v="Q3"/>
    <x v="7"/>
    <x v="1"/>
    <x v="3"/>
    <x v="3"/>
    <x v="1"/>
    <x v="0"/>
    <n v="3650"/>
    <n v="11500"/>
    <n v="60"/>
    <n v="0.28699999999999998"/>
    <s v="Rejected"/>
    <x v="0"/>
    <n v="0"/>
    <n v="1"/>
    <n v="0"/>
    <m/>
    <n v="4"/>
    <n v="0"/>
    <n v="1"/>
  </r>
  <r>
    <s v="LA-704132"/>
    <d v="2025-08-18T00:00:00"/>
    <x v="1"/>
    <s v="Q3"/>
    <x v="7"/>
    <x v="1"/>
    <x v="3"/>
    <x v="3"/>
    <x v="1"/>
    <x v="1"/>
    <n v="4650"/>
    <n v="14500"/>
    <n v="36"/>
    <n v="0.3"/>
    <s v="Rejected"/>
    <x v="5"/>
    <n v="0"/>
    <n v="1"/>
    <n v="0"/>
    <m/>
    <n v="4"/>
    <n v="0"/>
    <n v="1"/>
  </r>
  <r>
    <s v="LA-704133"/>
    <d v="2025-08-18T00:00:00"/>
    <x v="1"/>
    <s v="Q3"/>
    <x v="7"/>
    <x v="1"/>
    <x v="1"/>
    <x v="4"/>
    <x v="1"/>
    <x v="0"/>
    <n v="2900"/>
    <n v="10000"/>
    <n v="36"/>
    <n v="0.34599999999999997"/>
    <s v="Withdrawn"/>
    <x v="1"/>
    <n v="0"/>
    <n v="0"/>
    <n v="0"/>
    <m/>
    <n v="2"/>
    <n v="1"/>
    <n v="1"/>
  </r>
  <r>
    <s v="LA-704134"/>
    <d v="2025-08-18T00:00:00"/>
    <x v="1"/>
    <s v="Q3"/>
    <x v="7"/>
    <x v="1"/>
    <x v="1"/>
    <x v="2"/>
    <x v="2"/>
    <x v="1"/>
    <n v="3850"/>
    <n v="9500"/>
    <n v="24"/>
    <n v="0.28899999999999998"/>
    <s v="Approved"/>
    <x v="1"/>
    <n v="1"/>
    <n v="0"/>
    <n v="9500"/>
    <n v="0.1206"/>
    <n v="2"/>
    <n v="1"/>
    <n v="1"/>
  </r>
  <r>
    <s v="LA-704135"/>
    <d v="2025-08-18T00:00:00"/>
    <x v="1"/>
    <s v="Q3"/>
    <x v="7"/>
    <x v="2"/>
    <x v="1"/>
    <x v="3"/>
    <x v="2"/>
    <x v="4"/>
    <n v="8550"/>
    <n v="153000"/>
    <n v="36"/>
    <n v="0.63200000000000001"/>
    <s v="Approved"/>
    <x v="1"/>
    <n v="1"/>
    <n v="0"/>
    <n v="137500"/>
    <n v="9.8599999999999993E-2"/>
    <n v="2"/>
    <n v="1"/>
    <n v="1"/>
  </r>
  <r>
    <s v="LA-704136"/>
    <d v="2025-08-18T00:00:00"/>
    <x v="1"/>
    <s v="Q3"/>
    <x v="7"/>
    <x v="1"/>
    <x v="1"/>
    <x v="2"/>
    <x v="0"/>
    <x v="2"/>
    <n v="4850"/>
    <n v="16500"/>
    <n v="24"/>
    <n v="0.377"/>
    <s v="Rejected"/>
    <x v="4"/>
    <n v="0"/>
    <n v="1"/>
    <n v="0"/>
    <m/>
    <n v="5"/>
    <n v="0"/>
    <n v="1"/>
  </r>
  <r>
    <s v="LA-704137"/>
    <d v="2025-08-18T00:00:00"/>
    <x v="1"/>
    <s v="Q3"/>
    <x v="7"/>
    <x v="0"/>
    <x v="1"/>
    <x v="4"/>
    <x v="1"/>
    <x v="1"/>
    <n v="9250"/>
    <n v="28000"/>
    <n v="36"/>
    <n v="0.22900000000000001"/>
    <s v="Approved"/>
    <x v="1"/>
    <n v="1"/>
    <n v="0"/>
    <n v="28000"/>
    <n v="8.5599999999999996E-2"/>
    <n v="2"/>
    <n v="1"/>
    <n v="1"/>
  </r>
  <r>
    <s v="LA-704138"/>
    <d v="2025-08-19T00:00:00"/>
    <x v="1"/>
    <s v="Q3"/>
    <x v="7"/>
    <x v="0"/>
    <x v="2"/>
    <x v="1"/>
    <x v="1"/>
    <x v="0"/>
    <n v="10750"/>
    <n v="28000"/>
    <n v="60"/>
    <n v="0.23300000000000001"/>
    <s v="Rejected"/>
    <x v="0"/>
    <n v="0"/>
    <n v="1"/>
    <n v="0"/>
    <m/>
    <n v="1"/>
    <n v="1"/>
    <n v="1"/>
  </r>
  <r>
    <s v="LA-704139"/>
    <d v="2025-08-19T00:00:00"/>
    <x v="1"/>
    <s v="Q3"/>
    <x v="7"/>
    <x v="1"/>
    <x v="1"/>
    <x v="3"/>
    <x v="2"/>
    <x v="1"/>
    <n v="5500"/>
    <n v="4500"/>
    <n v="36"/>
    <n v="0.184"/>
    <s v="Approved"/>
    <x v="1"/>
    <n v="1"/>
    <n v="0"/>
    <n v="4500"/>
    <n v="0.1246"/>
    <n v="2"/>
    <n v="1"/>
    <n v="1"/>
  </r>
  <r>
    <s v="LA-704140"/>
    <d v="2025-08-19T00:00:00"/>
    <x v="1"/>
    <s v="Q3"/>
    <x v="7"/>
    <x v="1"/>
    <x v="0"/>
    <x v="0"/>
    <x v="2"/>
    <x v="1"/>
    <n v="5000"/>
    <n v="16500"/>
    <n v="60"/>
    <n v="0.123"/>
    <s v="Rejected"/>
    <x v="2"/>
    <n v="0"/>
    <n v="1"/>
    <n v="0"/>
    <m/>
    <n v="3"/>
    <n v="1"/>
    <n v="1"/>
  </r>
  <r>
    <s v="LA-704141"/>
    <d v="2025-08-19T00:00:00"/>
    <x v="1"/>
    <s v="Q3"/>
    <x v="7"/>
    <x v="3"/>
    <x v="3"/>
    <x v="4"/>
    <x v="1"/>
    <x v="0"/>
    <n v="6950"/>
    <n v="572000"/>
    <n v="240"/>
    <n v="0.71899999999999997"/>
    <s v="Rejected"/>
    <x v="3"/>
    <n v="0"/>
    <n v="1"/>
    <n v="0"/>
    <m/>
    <n v="15"/>
    <n v="1"/>
    <n v="1"/>
  </r>
  <r>
    <s v="LA-704142"/>
    <d v="2025-08-19T00:00:00"/>
    <x v="1"/>
    <s v="Q3"/>
    <x v="7"/>
    <x v="3"/>
    <x v="1"/>
    <x v="1"/>
    <x v="1"/>
    <x v="0"/>
    <n v="2250"/>
    <n v="179500"/>
    <n v="300"/>
    <n v="0.625"/>
    <s v="Approved"/>
    <x v="1"/>
    <n v="1"/>
    <n v="0"/>
    <n v="179500"/>
    <n v="7.3800000000000004E-2"/>
    <n v="6"/>
    <n v="1"/>
    <n v="1"/>
  </r>
  <r>
    <s v="LA-704143"/>
    <d v="2025-08-19T00:00:00"/>
    <x v="1"/>
    <s v="Q3"/>
    <x v="7"/>
    <x v="3"/>
    <x v="1"/>
    <x v="2"/>
    <x v="1"/>
    <x v="4"/>
    <n v="5500"/>
    <n v="254000"/>
    <n v="300"/>
    <n v="0.48599999999999999"/>
    <s v="Approved"/>
    <x v="1"/>
    <n v="1"/>
    <n v="0"/>
    <n v="254000"/>
    <n v="5.2600000000000001E-2"/>
    <n v="5"/>
    <n v="1"/>
    <n v="1"/>
  </r>
  <r>
    <s v="LA-704144"/>
    <d v="2025-08-20T00:00:00"/>
    <x v="1"/>
    <s v="Q3"/>
    <x v="7"/>
    <x v="2"/>
    <x v="2"/>
    <x v="2"/>
    <x v="0"/>
    <x v="3"/>
    <n v="8800"/>
    <n v="72000"/>
    <n v="12"/>
    <n v="0.79200000000000004"/>
    <s v="Approved"/>
    <x v="1"/>
    <n v="1"/>
    <n v="0"/>
    <n v="72000"/>
    <n v="9.4299999999999995E-2"/>
    <n v="4"/>
    <n v="1"/>
    <n v="1"/>
  </r>
  <r>
    <s v="LA-704145"/>
    <d v="2025-08-20T00:00:00"/>
    <x v="1"/>
    <s v="Q3"/>
    <x v="7"/>
    <x v="1"/>
    <x v="3"/>
    <x v="2"/>
    <x v="2"/>
    <x v="0"/>
    <n v="7800"/>
    <n v="9500"/>
    <n v="48"/>
    <n v="0.154"/>
    <s v="Approved"/>
    <x v="1"/>
    <n v="1"/>
    <n v="0"/>
    <n v="9500"/>
    <n v="0.14149999999999999"/>
    <n v="3"/>
    <n v="1"/>
    <n v="1"/>
  </r>
  <r>
    <s v="LA-704146"/>
    <d v="2025-08-20T00:00:00"/>
    <x v="1"/>
    <s v="Q3"/>
    <x v="7"/>
    <x v="1"/>
    <x v="3"/>
    <x v="4"/>
    <x v="2"/>
    <x v="1"/>
    <n v="10400"/>
    <n v="14500"/>
    <n v="60"/>
    <n v="0.13700000000000001"/>
    <s v="Approved"/>
    <x v="1"/>
    <n v="1"/>
    <n v="0"/>
    <n v="11500"/>
    <n v="0.1237"/>
    <n v="3"/>
    <n v="1"/>
    <n v="1"/>
  </r>
  <r>
    <s v="LA-704147"/>
    <d v="2025-08-20T00:00:00"/>
    <x v="1"/>
    <s v="Q3"/>
    <x v="7"/>
    <x v="0"/>
    <x v="2"/>
    <x v="2"/>
    <x v="0"/>
    <x v="0"/>
    <n v="3700"/>
    <n v="26000"/>
    <n v="36"/>
    <n v="0.39700000000000002"/>
    <s v="Approved"/>
    <x v="1"/>
    <n v="1"/>
    <n v="0"/>
    <n v="26000"/>
    <n v="9.5500000000000002E-2"/>
    <n v="2"/>
    <n v="1"/>
    <n v="1"/>
  </r>
  <r>
    <s v="LA-704148"/>
    <d v="2025-08-20T00:00:00"/>
    <x v="1"/>
    <s v="Q3"/>
    <x v="7"/>
    <x v="2"/>
    <x v="1"/>
    <x v="3"/>
    <x v="1"/>
    <x v="1"/>
    <n v="2050"/>
    <n v="108000"/>
    <n v="24"/>
    <n v="2.6669999999999998"/>
    <s v="Withdrawn"/>
    <x v="1"/>
    <n v="0"/>
    <n v="0"/>
    <n v="0"/>
    <m/>
    <n v="5"/>
    <n v="1"/>
    <n v="1"/>
  </r>
  <r>
    <s v="LA-704149"/>
    <d v="2025-08-20T00:00:00"/>
    <x v="1"/>
    <s v="Q3"/>
    <x v="7"/>
    <x v="0"/>
    <x v="2"/>
    <x v="2"/>
    <x v="0"/>
    <x v="3"/>
    <n v="4850"/>
    <n v="31500"/>
    <n v="36"/>
    <n v="0.33300000000000002"/>
    <s v="Approved"/>
    <x v="1"/>
    <n v="1"/>
    <n v="0"/>
    <n v="28500"/>
    <n v="6.5199999999999994E-2"/>
    <n v="3"/>
    <n v="1"/>
    <n v="1"/>
  </r>
  <r>
    <s v="LA-704150"/>
    <d v="2025-08-20T00:00:00"/>
    <x v="1"/>
    <s v="Q3"/>
    <x v="7"/>
    <x v="0"/>
    <x v="2"/>
    <x v="3"/>
    <x v="0"/>
    <x v="0"/>
    <n v="4450"/>
    <n v="82500"/>
    <n v="48"/>
    <n v="0.54800000000000004"/>
    <s v="Rejected"/>
    <x v="0"/>
    <n v="0"/>
    <n v="1"/>
    <n v="0"/>
    <m/>
    <n v="2"/>
    <n v="1"/>
    <n v="1"/>
  </r>
  <r>
    <s v="LA-704151"/>
    <d v="2025-08-21T00:00:00"/>
    <x v="1"/>
    <s v="Q3"/>
    <x v="7"/>
    <x v="1"/>
    <x v="3"/>
    <x v="2"/>
    <x v="0"/>
    <x v="0"/>
    <n v="8500"/>
    <n v="8500"/>
    <n v="48"/>
    <n v="0.216"/>
    <s v="Rejected"/>
    <x v="0"/>
    <n v="0"/>
    <n v="1"/>
    <n v="0"/>
    <m/>
    <n v="4"/>
    <n v="0"/>
    <n v="1"/>
  </r>
  <r>
    <s v="LA-704152"/>
    <d v="2025-08-21T00:00:00"/>
    <x v="1"/>
    <s v="Q3"/>
    <x v="7"/>
    <x v="1"/>
    <x v="1"/>
    <x v="3"/>
    <x v="0"/>
    <x v="1"/>
    <n v="7050"/>
    <n v="14500"/>
    <n v="60"/>
    <n v="0.155"/>
    <s v="Approved"/>
    <x v="1"/>
    <n v="1"/>
    <n v="0"/>
    <n v="14500"/>
    <n v="0.12559999999999999"/>
    <n v="1"/>
    <n v="1"/>
    <n v="1"/>
  </r>
  <r>
    <s v="LA-704153"/>
    <d v="2025-08-21T00:00:00"/>
    <x v="1"/>
    <s v="Q3"/>
    <x v="7"/>
    <x v="0"/>
    <x v="1"/>
    <x v="2"/>
    <x v="2"/>
    <x v="2"/>
    <n v="5200"/>
    <n v="21000"/>
    <n v="36"/>
    <n v="0.309"/>
    <s v="Rejected"/>
    <x v="0"/>
    <n v="0"/>
    <n v="1"/>
    <n v="0"/>
    <m/>
    <n v="2"/>
    <n v="1"/>
    <n v="1"/>
  </r>
  <r>
    <s v="LA-704154"/>
    <d v="2025-08-21T00:00:00"/>
    <x v="1"/>
    <s v="Q3"/>
    <x v="7"/>
    <x v="2"/>
    <x v="3"/>
    <x v="2"/>
    <x v="2"/>
    <x v="2"/>
    <n v="5000"/>
    <n v="79000"/>
    <n v="60"/>
    <n v="0.54300000000000004"/>
    <s v="Rejected"/>
    <x v="0"/>
    <n v="0"/>
    <n v="1"/>
    <n v="0"/>
    <m/>
    <n v="8"/>
    <n v="1"/>
    <n v="1"/>
  </r>
  <r>
    <s v="LA-704155"/>
    <d v="2025-08-21T00:00:00"/>
    <x v="1"/>
    <s v="Q3"/>
    <x v="7"/>
    <x v="2"/>
    <x v="1"/>
    <x v="1"/>
    <x v="0"/>
    <x v="1"/>
    <n v="3000"/>
    <n v="88500"/>
    <n v="12"/>
    <n v="2.798"/>
    <s v="Rejected"/>
    <x v="3"/>
    <n v="0"/>
    <n v="1"/>
    <n v="0"/>
    <m/>
    <n v="3"/>
    <n v="1"/>
    <n v="1"/>
  </r>
  <r>
    <s v="LA-704156"/>
    <d v="2025-08-21T00:00:00"/>
    <x v="1"/>
    <s v="Q3"/>
    <x v="7"/>
    <x v="1"/>
    <x v="1"/>
    <x v="1"/>
    <x v="0"/>
    <x v="1"/>
    <n v="6350"/>
    <n v="16500"/>
    <n v="48"/>
    <n v="0.123"/>
    <s v="Approved"/>
    <x v="1"/>
    <n v="1"/>
    <n v="0"/>
    <n v="16500"/>
    <n v="0.12889999999999999"/>
    <n v="3"/>
    <n v="1"/>
    <n v="1"/>
  </r>
  <r>
    <s v="LA-704157"/>
    <d v="2025-08-21T00:00:00"/>
    <x v="1"/>
    <s v="Q3"/>
    <x v="7"/>
    <x v="3"/>
    <x v="1"/>
    <x v="2"/>
    <x v="0"/>
    <x v="0"/>
    <n v="7300"/>
    <n v="243500"/>
    <n v="240"/>
    <n v="0.35299999999999998"/>
    <s v="Rejected"/>
    <x v="5"/>
    <n v="0"/>
    <n v="1"/>
    <n v="0"/>
    <m/>
    <n v="10"/>
    <n v="1"/>
    <n v="1"/>
  </r>
  <r>
    <s v="LA-704158"/>
    <d v="2025-08-22T00:00:00"/>
    <x v="1"/>
    <s v="Q3"/>
    <x v="7"/>
    <x v="1"/>
    <x v="2"/>
    <x v="3"/>
    <x v="0"/>
    <x v="1"/>
    <n v="5350"/>
    <n v="10500"/>
    <n v="24"/>
    <n v="0.15"/>
    <s v="Approved"/>
    <x v="1"/>
    <n v="1"/>
    <n v="0"/>
    <n v="8500"/>
    <n v="0.1244"/>
    <n v="3"/>
    <n v="1"/>
    <n v="1"/>
  </r>
  <r>
    <s v="LA-704159"/>
    <d v="2025-08-22T00:00:00"/>
    <x v="1"/>
    <s v="Q3"/>
    <x v="7"/>
    <x v="2"/>
    <x v="2"/>
    <x v="2"/>
    <x v="0"/>
    <x v="4"/>
    <n v="7100"/>
    <n v="121500"/>
    <n v="60"/>
    <n v="0.51300000000000001"/>
    <s v="Approved"/>
    <x v="1"/>
    <n v="1"/>
    <n v="0"/>
    <n v="97000"/>
    <n v="9.98E-2"/>
    <n v="6"/>
    <n v="1"/>
    <n v="1"/>
  </r>
  <r>
    <s v="LA-704160"/>
    <d v="2025-08-22T00:00:00"/>
    <x v="1"/>
    <s v="Q3"/>
    <x v="7"/>
    <x v="1"/>
    <x v="2"/>
    <x v="2"/>
    <x v="1"/>
    <x v="4"/>
    <n v="4500"/>
    <n v="15000"/>
    <n v="24"/>
    <n v="0.251"/>
    <s v="Approved"/>
    <x v="1"/>
    <n v="1"/>
    <n v="0"/>
    <n v="13500"/>
    <n v="0.1177"/>
    <n v="1"/>
    <n v="1"/>
    <n v="1"/>
  </r>
  <r>
    <s v="LA-704161"/>
    <d v="2025-08-22T00:00:00"/>
    <x v="1"/>
    <s v="Q3"/>
    <x v="7"/>
    <x v="3"/>
    <x v="1"/>
    <x v="0"/>
    <x v="1"/>
    <x v="4"/>
    <n v="3400"/>
    <n v="354500"/>
    <n v="180"/>
    <n v="0.98799999999999999"/>
    <s v="Approved"/>
    <x v="1"/>
    <n v="1"/>
    <n v="0"/>
    <n v="354500"/>
    <n v="4.2799999999999998E-2"/>
    <n v="5"/>
    <n v="1"/>
    <n v="1"/>
  </r>
  <r>
    <s v="LA-704162"/>
    <d v="2025-08-22T00:00:00"/>
    <x v="1"/>
    <s v="Q3"/>
    <x v="7"/>
    <x v="3"/>
    <x v="3"/>
    <x v="2"/>
    <x v="1"/>
    <x v="1"/>
    <n v="4500"/>
    <n v="117500"/>
    <n v="300"/>
    <n v="0.28699999999999998"/>
    <s v="Approved"/>
    <x v="1"/>
    <n v="1"/>
    <n v="0"/>
    <n v="94000"/>
    <n v="6.0100000000000001E-2"/>
    <n v="9"/>
    <n v="1"/>
    <n v="1"/>
  </r>
  <r>
    <s v="LA-704163"/>
    <d v="2025-08-22T00:00:00"/>
    <x v="1"/>
    <s v="Q3"/>
    <x v="7"/>
    <x v="3"/>
    <x v="0"/>
    <x v="3"/>
    <x v="1"/>
    <x v="1"/>
    <n v="5200"/>
    <n v="158500"/>
    <n v="180"/>
    <n v="0.46"/>
    <s v="Approved"/>
    <x v="1"/>
    <n v="1"/>
    <n v="0"/>
    <n v="142500"/>
    <n v="5.7000000000000002E-2"/>
    <n v="18"/>
    <n v="0"/>
    <n v="1"/>
  </r>
  <r>
    <s v="LA-704164"/>
    <d v="2025-08-22T00:00:00"/>
    <x v="1"/>
    <s v="Q3"/>
    <x v="7"/>
    <x v="1"/>
    <x v="2"/>
    <x v="2"/>
    <x v="2"/>
    <x v="3"/>
    <n v="10000"/>
    <n v="13000"/>
    <n v="48"/>
    <n v="0.252"/>
    <s v="Approved"/>
    <x v="1"/>
    <n v="1"/>
    <n v="0"/>
    <n v="11500"/>
    <n v="0.10780000000000001"/>
    <n v="2"/>
    <n v="1"/>
    <n v="1"/>
  </r>
  <r>
    <s v="LA-704165"/>
    <d v="2025-08-22T00:00:00"/>
    <x v="1"/>
    <s v="Q3"/>
    <x v="7"/>
    <x v="0"/>
    <x v="1"/>
    <x v="4"/>
    <x v="0"/>
    <x v="0"/>
    <n v="7950"/>
    <n v="44500"/>
    <n v="48"/>
    <n v="0.27400000000000002"/>
    <s v="Approved"/>
    <x v="1"/>
    <n v="1"/>
    <n v="0"/>
    <n v="40000"/>
    <n v="0.1002"/>
    <n v="1"/>
    <n v="1"/>
    <n v="1"/>
  </r>
  <r>
    <s v="LA-704166"/>
    <d v="2025-08-22T00:00:00"/>
    <x v="1"/>
    <s v="Q3"/>
    <x v="7"/>
    <x v="1"/>
    <x v="2"/>
    <x v="2"/>
    <x v="0"/>
    <x v="1"/>
    <n v="7050"/>
    <n v="27500"/>
    <n v="12"/>
    <n v="0.45500000000000002"/>
    <s v="Approved"/>
    <x v="1"/>
    <n v="1"/>
    <n v="0"/>
    <n v="25000"/>
    <n v="0.12529999999999999"/>
    <n v="2"/>
    <n v="1"/>
    <n v="1"/>
  </r>
  <r>
    <s v="LA-704167"/>
    <d v="2025-08-23T00:00:00"/>
    <x v="1"/>
    <s v="Q3"/>
    <x v="7"/>
    <x v="1"/>
    <x v="2"/>
    <x v="2"/>
    <x v="1"/>
    <x v="1"/>
    <n v="9450"/>
    <n v="9500"/>
    <n v="60"/>
    <n v="8.4000000000000005E-2"/>
    <s v="Rejected"/>
    <x v="5"/>
    <n v="0"/>
    <n v="1"/>
    <n v="0"/>
    <m/>
    <n v="3"/>
    <n v="1"/>
    <n v="1"/>
  </r>
  <r>
    <s v="LA-704168"/>
    <d v="2025-08-23T00:00:00"/>
    <x v="1"/>
    <s v="Q3"/>
    <x v="7"/>
    <x v="0"/>
    <x v="2"/>
    <x v="2"/>
    <x v="0"/>
    <x v="0"/>
    <n v="3750"/>
    <n v="58500"/>
    <n v="48"/>
    <n v="0.50800000000000001"/>
    <s v="Approved"/>
    <x v="1"/>
    <n v="1"/>
    <n v="0"/>
    <n v="52500"/>
    <n v="9.7600000000000006E-2"/>
    <n v="3"/>
    <n v="1"/>
    <n v="1"/>
  </r>
  <r>
    <s v="LA-704169"/>
    <d v="2025-08-23T00:00:00"/>
    <x v="1"/>
    <s v="Q3"/>
    <x v="7"/>
    <x v="0"/>
    <x v="3"/>
    <x v="4"/>
    <x v="2"/>
    <x v="3"/>
    <n v="10000"/>
    <n v="27000"/>
    <n v="48"/>
    <n v="0.151"/>
    <s v="Approved"/>
    <x v="1"/>
    <n v="1"/>
    <n v="0"/>
    <n v="21500"/>
    <n v="6.7900000000000002E-2"/>
    <n v="3"/>
    <n v="1"/>
    <n v="1"/>
  </r>
  <r>
    <s v="LA-704170"/>
    <d v="2025-08-23T00:00:00"/>
    <x v="1"/>
    <s v="Q3"/>
    <x v="7"/>
    <x v="2"/>
    <x v="3"/>
    <x v="3"/>
    <x v="0"/>
    <x v="1"/>
    <n v="5100"/>
    <n v="131000"/>
    <n v="24"/>
    <n v="1.3240000000000001"/>
    <s v="Rejected"/>
    <x v="3"/>
    <n v="0"/>
    <n v="1"/>
    <n v="0"/>
    <m/>
    <n v="14"/>
    <n v="0"/>
    <n v="1"/>
  </r>
  <r>
    <s v="LA-704171"/>
    <d v="2025-08-23T00:00:00"/>
    <x v="1"/>
    <s v="Q3"/>
    <x v="7"/>
    <x v="1"/>
    <x v="2"/>
    <x v="3"/>
    <x v="0"/>
    <x v="2"/>
    <n v="5050"/>
    <n v="14000"/>
    <n v="12"/>
    <n v="0.29799999999999999"/>
    <s v="Rejected"/>
    <x v="0"/>
    <n v="0"/>
    <n v="1"/>
    <n v="0"/>
    <m/>
    <n v="3"/>
    <n v="1"/>
    <n v="1"/>
  </r>
  <r>
    <s v="LA-704172"/>
    <d v="2025-08-23T00:00:00"/>
    <x v="1"/>
    <s v="Q3"/>
    <x v="7"/>
    <x v="2"/>
    <x v="1"/>
    <x v="1"/>
    <x v="0"/>
    <x v="2"/>
    <n v="3850"/>
    <n v="100000"/>
    <n v="60"/>
    <n v="0.77300000000000002"/>
    <s v="Rejected"/>
    <x v="4"/>
    <n v="0"/>
    <n v="1"/>
    <n v="0"/>
    <m/>
    <n v="10"/>
    <n v="1"/>
    <n v="1"/>
  </r>
  <r>
    <s v="LA-704173"/>
    <d v="2025-08-24T00:00:00"/>
    <x v="1"/>
    <s v="Q3"/>
    <x v="7"/>
    <x v="0"/>
    <x v="2"/>
    <x v="1"/>
    <x v="2"/>
    <x v="0"/>
    <n v="2550"/>
    <n v="27000"/>
    <n v="60"/>
    <n v="0.35399999999999998"/>
    <s v="Rejected"/>
    <x v="0"/>
    <n v="0"/>
    <n v="1"/>
    <n v="0"/>
    <m/>
    <n v="3"/>
    <n v="1"/>
    <n v="1"/>
  </r>
  <r>
    <s v="LA-704174"/>
    <d v="2025-08-24T00:00:00"/>
    <x v="1"/>
    <s v="Q3"/>
    <x v="7"/>
    <x v="0"/>
    <x v="3"/>
    <x v="2"/>
    <x v="2"/>
    <x v="1"/>
    <n v="4150"/>
    <n v="28500"/>
    <n v="60"/>
    <n v="0.29299999999999998"/>
    <s v="Approved"/>
    <x v="1"/>
    <n v="1"/>
    <n v="0"/>
    <n v="28500"/>
    <n v="8.3000000000000004E-2"/>
    <n v="8"/>
    <n v="0"/>
    <n v="1"/>
  </r>
  <r>
    <s v="LA-704175"/>
    <d v="2025-08-24T00:00:00"/>
    <x v="1"/>
    <s v="Q3"/>
    <x v="7"/>
    <x v="0"/>
    <x v="2"/>
    <x v="3"/>
    <x v="0"/>
    <x v="1"/>
    <n v="1850"/>
    <n v="18500"/>
    <n v="36"/>
    <n v="0.439"/>
    <s v="Rejected"/>
    <x v="0"/>
    <n v="0"/>
    <n v="1"/>
    <n v="0"/>
    <m/>
    <n v="2"/>
    <n v="1"/>
    <n v="1"/>
  </r>
  <r>
    <s v="LA-704176"/>
    <d v="2025-08-24T00:00:00"/>
    <x v="1"/>
    <s v="Q3"/>
    <x v="7"/>
    <x v="1"/>
    <x v="3"/>
    <x v="2"/>
    <x v="0"/>
    <x v="3"/>
    <n v="5300"/>
    <n v="11000"/>
    <n v="12"/>
    <n v="0.26900000000000002"/>
    <s v="Approved"/>
    <x v="1"/>
    <n v="1"/>
    <n v="0"/>
    <n v="9000"/>
    <n v="0.1099"/>
    <n v="5"/>
    <n v="0"/>
    <n v="1"/>
  </r>
  <r>
    <s v="LA-704177"/>
    <d v="2025-08-24T00:00:00"/>
    <x v="1"/>
    <s v="Q3"/>
    <x v="7"/>
    <x v="3"/>
    <x v="3"/>
    <x v="3"/>
    <x v="0"/>
    <x v="4"/>
    <n v="4650"/>
    <n v="203000"/>
    <n v="240"/>
    <n v="0.501"/>
    <s v="Approved"/>
    <x v="1"/>
    <n v="1"/>
    <n v="0"/>
    <n v="162500"/>
    <n v="5.1999999999999998E-2"/>
    <n v="13"/>
    <n v="1"/>
    <n v="1"/>
  </r>
  <r>
    <s v="LA-704178"/>
    <d v="2025-08-24T00:00:00"/>
    <x v="1"/>
    <s v="Q3"/>
    <x v="7"/>
    <x v="3"/>
    <x v="2"/>
    <x v="3"/>
    <x v="1"/>
    <x v="0"/>
    <n v="5400"/>
    <n v="145000"/>
    <n v="300"/>
    <n v="0.24"/>
    <s v="Approved"/>
    <x v="1"/>
    <n v="1"/>
    <n v="0"/>
    <n v="130500"/>
    <n v="7.3700000000000002E-2"/>
    <n v="12"/>
    <n v="1"/>
    <n v="1"/>
  </r>
  <r>
    <s v="LA-704179"/>
    <d v="2025-08-24T00:00:00"/>
    <x v="1"/>
    <s v="Q3"/>
    <x v="7"/>
    <x v="2"/>
    <x v="0"/>
    <x v="3"/>
    <x v="1"/>
    <x v="0"/>
    <n v="6550"/>
    <n v="164500"/>
    <n v="36"/>
    <n v="0.88100000000000001"/>
    <s v="Rejected"/>
    <x v="0"/>
    <n v="0"/>
    <n v="1"/>
    <n v="0"/>
    <m/>
    <n v="9"/>
    <n v="1"/>
    <n v="1"/>
  </r>
  <r>
    <s v="LA-704180"/>
    <d v="2025-08-25T00:00:00"/>
    <x v="1"/>
    <s v="Q3"/>
    <x v="7"/>
    <x v="1"/>
    <x v="1"/>
    <x v="2"/>
    <x v="0"/>
    <x v="1"/>
    <n v="6650"/>
    <n v="18500"/>
    <n v="60"/>
    <n v="0.2"/>
    <s v="Rejected"/>
    <x v="2"/>
    <n v="0"/>
    <n v="1"/>
    <n v="0"/>
    <m/>
    <n v="3"/>
    <n v="1"/>
    <n v="1"/>
  </r>
  <r>
    <s v="LA-704181"/>
    <d v="2025-08-25T00:00:00"/>
    <x v="1"/>
    <s v="Q3"/>
    <x v="7"/>
    <x v="3"/>
    <x v="1"/>
    <x v="1"/>
    <x v="0"/>
    <x v="1"/>
    <n v="13700"/>
    <n v="251500"/>
    <n v="240"/>
    <n v="0.28199999999999997"/>
    <s v="Approved"/>
    <x v="1"/>
    <n v="1"/>
    <n v="0"/>
    <n v="226500"/>
    <n v="6.1499999999999999E-2"/>
    <n v="8"/>
    <n v="1"/>
    <n v="1"/>
  </r>
  <r>
    <s v="LA-704182"/>
    <d v="2025-08-25T00:00:00"/>
    <x v="1"/>
    <s v="Q3"/>
    <x v="7"/>
    <x v="1"/>
    <x v="2"/>
    <x v="4"/>
    <x v="2"/>
    <x v="4"/>
    <n v="6800"/>
    <n v="9000"/>
    <n v="60"/>
    <n v="0.25800000000000001"/>
    <s v="Approved"/>
    <x v="1"/>
    <n v="1"/>
    <n v="0"/>
    <n v="9000"/>
    <n v="0.1123"/>
    <n v="2"/>
    <n v="1"/>
    <n v="1"/>
  </r>
  <r>
    <s v="LA-704183"/>
    <d v="2025-08-25T00:00:00"/>
    <x v="1"/>
    <s v="Q3"/>
    <x v="7"/>
    <x v="2"/>
    <x v="1"/>
    <x v="4"/>
    <x v="0"/>
    <x v="4"/>
    <n v="7100"/>
    <n v="50000"/>
    <n v="24"/>
    <n v="0.56799999999999995"/>
    <s v="Approved"/>
    <x v="1"/>
    <n v="1"/>
    <n v="0"/>
    <n v="50000"/>
    <n v="9.2499999999999999E-2"/>
    <n v="3"/>
    <n v="1"/>
    <n v="1"/>
  </r>
  <r>
    <s v="LA-704184"/>
    <d v="2025-08-25T00:00:00"/>
    <x v="1"/>
    <s v="Q3"/>
    <x v="7"/>
    <x v="3"/>
    <x v="1"/>
    <x v="1"/>
    <x v="0"/>
    <x v="2"/>
    <n v="4900"/>
    <n v="152500"/>
    <n v="240"/>
    <n v="0.29599999999999999"/>
    <s v="Approved"/>
    <x v="1"/>
    <n v="1"/>
    <n v="0"/>
    <n v="122000"/>
    <n v="9.3600000000000003E-2"/>
    <n v="4"/>
    <n v="1"/>
    <n v="1"/>
  </r>
  <r>
    <s v="LA-704185"/>
    <d v="2025-08-25T00:00:00"/>
    <x v="1"/>
    <s v="Q3"/>
    <x v="7"/>
    <x v="2"/>
    <x v="1"/>
    <x v="2"/>
    <x v="2"/>
    <x v="1"/>
    <n v="7350"/>
    <n v="67000"/>
    <n v="12"/>
    <n v="0.99399999999999999"/>
    <s v="Rejected"/>
    <x v="3"/>
    <n v="0"/>
    <n v="1"/>
    <n v="0"/>
    <m/>
    <n v="6"/>
    <n v="1"/>
    <n v="1"/>
  </r>
  <r>
    <s v="LA-704186"/>
    <d v="2025-08-25T00:00:00"/>
    <x v="1"/>
    <s v="Q3"/>
    <x v="7"/>
    <x v="0"/>
    <x v="0"/>
    <x v="1"/>
    <x v="1"/>
    <x v="3"/>
    <n v="5550"/>
    <n v="31000"/>
    <n v="36"/>
    <n v="0.30099999999999999"/>
    <s v="Approved"/>
    <x v="1"/>
    <n v="1"/>
    <n v="0"/>
    <n v="25000"/>
    <n v="6.2899999999999998E-2"/>
    <n v="7"/>
    <n v="0"/>
    <n v="1"/>
  </r>
  <r>
    <s v="LA-704187"/>
    <d v="2025-08-25T00:00:00"/>
    <x v="1"/>
    <s v="Q3"/>
    <x v="7"/>
    <x v="1"/>
    <x v="1"/>
    <x v="3"/>
    <x v="0"/>
    <x v="4"/>
    <n v="4050"/>
    <n v="26000"/>
    <n v="60"/>
    <n v="0.248"/>
    <s v="Approved"/>
    <x v="1"/>
    <n v="1"/>
    <n v="0"/>
    <n v="26000"/>
    <n v="0.11509999999999999"/>
    <n v="1"/>
    <n v="1"/>
    <n v="1"/>
  </r>
  <r>
    <s v="LA-704188"/>
    <d v="2025-08-25T00:00:00"/>
    <x v="1"/>
    <s v="Q3"/>
    <x v="7"/>
    <x v="1"/>
    <x v="1"/>
    <x v="0"/>
    <x v="1"/>
    <x v="4"/>
    <n v="5300"/>
    <n v="18500"/>
    <n v="60"/>
    <n v="0.30299999999999999"/>
    <s v="Approved"/>
    <x v="1"/>
    <n v="1"/>
    <n v="0"/>
    <n v="18500"/>
    <n v="0.1159"/>
    <n v="1"/>
    <n v="1"/>
    <n v="1"/>
  </r>
  <r>
    <s v="LA-704189"/>
    <d v="2025-08-26T00:00:00"/>
    <x v="1"/>
    <s v="Q3"/>
    <x v="7"/>
    <x v="0"/>
    <x v="0"/>
    <x v="0"/>
    <x v="2"/>
    <x v="4"/>
    <n v="4500"/>
    <n v="21500"/>
    <n v="36"/>
    <n v="0.23300000000000001"/>
    <s v="Approved"/>
    <x v="1"/>
    <n v="1"/>
    <n v="0"/>
    <n v="21500"/>
    <n v="7.8700000000000006E-2"/>
    <n v="4"/>
    <n v="1"/>
    <n v="1"/>
  </r>
  <r>
    <s v="LA-704190"/>
    <d v="2025-08-26T00:00:00"/>
    <x v="1"/>
    <s v="Q3"/>
    <x v="7"/>
    <x v="3"/>
    <x v="1"/>
    <x v="0"/>
    <x v="0"/>
    <x v="1"/>
    <n v="2600"/>
    <n v="456500"/>
    <n v="180"/>
    <n v="1.5429999999999999"/>
    <s v="Rejected"/>
    <x v="4"/>
    <n v="0"/>
    <n v="1"/>
    <n v="0"/>
    <m/>
    <n v="12"/>
    <n v="1"/>
    <n v="1"/>
  </r>
  <r>
    <s v="LA-704191"/>
    <d v="2025-08-26T00:00:00"/>
    <x v="1"/>
    <s v="Q3"/>
    <x v="7"/>
    <x v="2"/>
    <x v="1"/>
    <x v="2"/>
    <x v="1"/>
    <x v="2"/>
    <n v="8900"/>
    <n v="57000"/>
    <n v="36"/>
    <n v="0.41499999999999998"/>
    <s v="Rejected"/>
    <x v="5"/>
    <n v="0"/>
    <n v="1"/>
    <n v="0"/>
    <m/>
    <n v="4"/>
    <n v="1"/>
    <n v="1"/>
  </r>
  <r>
    <s v="LA-704192"/>
    <d v="2025-08-26T00:00:00"/>
    <x v="1"/>
    <s v="Q3"/>
    <x v="7"/>
    <x v="1"/>
    <x v="2"/>
    <x v="1"/>
    <x v="1"/>
    <x v="1"/>
    <n v="4850"/>
    <n v="17000"/>
    <n v="48"/>
    <n v="0.20899999999999999"/>
    <s v="Approved"/>
    <x v="1"/>
    <n v="1"/>
    <n v="0"/>
    <n v="15500"/>
    <n v="0.1237"/>
    <n v="1"/>
    <n v="1"/>
    <n v="1"/>
  </r>
  <r>
    <s v="LA-704193"/>
    <d v="2025-08-26T00:00:00"/>
    <x v="1"/>
    <s v="Q3"/>
    <x v="7"/>
    <x v="3"/>
    <x v="0"/>
    <x v="2"/>
    <x v="0"/>
    <x v="0"/>
    <n v="10600"/>
    <n v="148500"/>
    <n v="180"/>
    <n v="0.22"/>
    <s v="Rejected"/>
    <x v="0"/>
    <n v="0"/>
    <n v="1"/>
    <n v="0"/>
    <m/>
    <n v="19"/>
    <n v="0"/>
    <n v="1"/>
  </r>
  <r>
    <s v="LA-704194"/>
    <d v="2025-08-26T00:00:00"/>
    <x v="1"/>
    <s v="Q3"/>
    <x v="7"/>
    <x v="2"/>
    <x v="3"/>
    <x v="2"/>
    <x v="0"/>
    <x v="1"/>
    <n v="3150"/>
    <n v="203000"/>
    <n v="60"/>
    <n v="1.554"/>
    <s v="Rejected"/>
    <x v="3"/>
    <n v="0"/>
    <n v="1"/>
    <n v="0"/>
    <m/>
    <n v="14"/>
    <n v="0"/>
    <n v="1"/>
  </r>
  <r>
    <s v="LA-704195"/>
    <d v="2025-08-26T00:00:00"/>
    <x v="1"/>
    <s v="Q3"/>
    <x v="7"/>
    <x v="1"/>
    <x v="0"/>
    <x v="3"/>
    <x v="0"/>
    <x v="0"/>
    <n v="5400"/>
    <n v="21000"/>
    <n v="12"/>
    <n v="0.45300000000000001"/>
    <s v="Rejected"/>
    <x v="0"/>
    <n v="0"/>
    <n v="1"/>
    <n v="0"/>
    <m/>
    <n v="3"/>
    <n v="1"/>
    <n v="1"/>
  </r>
  <r>
    <s v="LA-704196"/>
    <d v="2025-08-26T00:00:00"/>
    <x v="1"/>
    <s v="Q3"/>
    <x v="7"/>
    <x v="1"/>
    <x v="2"/>
    <x v="4"/>
    <x v="0"/>
    <x v="1"/>
    <n v="2800"/>
    <n v="7500"/>
    <n v="48"/>
    <n v="0.24399999999999999"/>
    <s v="Approved"/>
    <x v="1"/>
    <n v="1"/>
    <n v="0"/>
    <n v="7000"/>
    <n v="0.1255"/>
    <n v="1"/>
    <n v="1"/>
    <n v="1"/>
  </r>
  <r>
    <s v="LA-704197"/>
    <d v="2025-08-27T00:00:00"/>
    <x v="1"/>
    <s v="Q3"/>
    <x v="7"/>
    <x v="0"/>
    <x v="3"/>
    <x v="0"/>
    <x v="1"/>
    <x v="1"/>
    <n v="4050"/>
    <n v="19000"/>
    <n v="60"/>
    <n v="0.19"/>
    <s v="Rejected"/>
    <x v="4"/>
    <n v="0"/>
    <n v="1"/>
    <n v="0"/>
    <m/>
    <n v="9"/>
    <n v="0"/>
    <n v="1"/>
  </r>
  <r>
    <s v="LA-704198"/>
    <d v="2025-08-27T00:00:00"/>
    <x v="1"/>
    <s v="Q3"/>
    <x v="7"/>
    <x v="1"/>
    <x v="1"/>
    <x v="2"/>
    <x v="1"/>
    <x v="2"/>
    <n v="6950"/>
    <n v="9500"/>
    <n v="24"/>
    <n v="0.25600000000000001"/>
    <s v="Withdrawn"/>
    <x v="1"/>
    <n v="0"/>
    <n v="0"/>
    <n v="0"/>
    <m/>
    <n v="5"/>
    <n v="0"/>
    <n v="1"/>
  </r>
  <r>
    <s v="LA-704199"/>
    <d v="2025-08-27T00:00:00"/>
    <x v="1"/>
    <s v="Q3"/>
    <x v="7"/>
    <x v="1"/>
    <x v="3"/>
    <x v="3"/>
    <x v="2"/>
    <x v="4"/>
    <n v="4200"/>
    <n v="10000"/>
    <n v="60"/>
    <n v="0.28100000000000003"/>
    <s v="Approved"/>
    <x v="1"/>
    <n v="1"/>
    <n v="0"/>
    <n v="9000"/>
    <n v="0.1118"/>
    <n v="3"/>
    <n v="1"/>
    <n v="1"/>
  </r>
  <r>
    <s v="LA-704200"/>
    <d v="2025-08-27T00:00:00"/>
    <x v="1"/>
    <s v="Q3"/>
    <x v="7"/>
    <x v="1"/>
    <x v="2"/>
    <x v="4"/>
    <x v="1"/>
    <x v="3"/>
    <n v="11650"/>
    <n v="7000"/>
    <n v="24"/>
    <n v="0.22800000000000001"/>
    <s v="Approved"/>
    <x v="1"/>
    <n v="1"/>
    <n v="0"/>
    <n v="6500"/>
    <n v="0.1087"/>
    <n v="2"/>
    <n v="1"/>
    <n v="1"/>
  </r>
  <r>
    <s v="LA-704201"/>
    <d v="2025-08-27T00:00:00"/>
    <x v="1"/>
    <s v="Q3"/>
    <x v="7"/>
    <x v="3"/>
    <x v="3"/>
    <x v="1"/>
    <x v="2"/>
    <x v="0"/>
    <n v="5850"/>
    <n v="268500"/>
    <n v="300"/>
    <n v="0.48399999999999999"/>
    <s v="Rejected"/>
    <x v="0"/>
    <n v="0"/>
    <n v="1"/>
    <n v="0"/>
    <m/>
    <n v="13"/>
    <n v="1"/>
    <n v="1"/>
  </r>
  <r>
    <s v="LA-704202"/>
    <d v="2025-08-27T00:00:00"/>
    <x v="1"/>
    <s v="Q3"/>
    <x v="7"/>
    <x v="0"/>
    <x v="1"/>
    <x v="0"/>
    <x v="0"/>
    <x v="2"/>
    <n v="4700"/>
    <n v="34500"/>
    <n v="36"/>
    <n v="0.42899999999999999"/>
    <s v="Rejected"/>
    <x v="0"/>
    <n v="0"/>
    <n v="1"/>
    <n v="0"/>
    <m/>
    <n v="2"/>
    <n v="1"/>
    <n v="1"/>
  </r>
  <r>
    <s v="LA-704203"/>
    <d v="2025-08-27T00:00:00"/>
    <x v="1"/>
    <s v="Q3"/>
    <x v="7"/>
    <x v="1"/>
    <x v="1"/>
    <x v="2"/>
    <x v="0"/>
    <x v="1"/>
    <n v="3200"/>
    <n v="21500"/>
    <n v="48"/>
    <n v="0.309"/>
    <s v="Approved"/>
    <x v="1"/>
    <n v="1"/>
    <n v="0"/>
    <n v="21500"/>
    <n v="0.13070000000000001"/>
    <n v="2"/>
    <n v="1"/>
    <n v="1"/>
  </r>
  <r>
    <s v="LA-704204"/>
    <d v="2025-08-27T00:00:00"/>
    <x v="1"/>
    <s v="Q3"/>
    <x v="7"/>
    <x v="0"/>
    <x v="2"/>
    <x v="3"/>
    <x v="1"/>
    <x v="3"/>
    <n v="4600"/>
    <n v="13500"/>
    <n v="48"/>
    <n v="0.14899999999999999"/>
    <s v="Approved"/>
    <x v="1"/>
    <n v="1"/>
    <n v="0"/>
    <n v="13500"/>
    <n v="6.5199999999999994E-2"/>
    <n v="2"/>
    <n v="1"/>
    <n v="1"/>
  </r>
  <r>
    <s v="LA-704205"/>
    <d v="2025-08-27T00:00:00"/>
    <x v="1"/>
    <s v="Q3"/>
    <x v="7"/>
    <x v="1"/>
    <x v="2"/>
    <x v="3"/>
    <x v="2"/>
    <x v="1"/>
    <n v="9600"/>
    <n v="19000"/>
    <n v="36"/>
    <n v="0.28799999999999998"/>
    <s v="Approved"/>
    <x v="1"/>
    <n v="1"/>
    <n v="0"/>
    <n v="17000"/>
    <n v="0.1249"/>
    <n v="1"/>
    <n v="1"/>
    <n v="1"/>
  </r>
  <r>
    <s v="LA-704206"/>
    <d v="2025-08-27T00:00:00"/>
    <x v="1"/>
    <s v="Q3"/>
    <x v="7"/>
    <x v="1"/>
    <x v="3"/>
    <x v="1"/>
    <x v="1"/>
    <x v="0"/>
    <n v="6900"/>
    <n v="16000"/>
    <n v="24"/>
    <n v="0.19700000000000001"/>
    <s v="Rejected"/>
    <x v="0"/>
    <n v="0"/>
    <n v="1"/>
    <n v="0"/>
    <m/>
    <n v="5"/>
    <n v="0"/>
    <n v="1"/>
  </r>
  <r>
    <s v="LA-704207"/>
    <d v="2025-08-27T00:00:00"/>
    <x v="1"/>
    <s v="Q3"/>
    <x v="7"/>
    <x v="0"/>
    <x v="2"/>
    <x v="3"/>
    <x v="0"/>
    <x v="1"/>
    <n v="9550"/>
    <n v="20500"/>
    <n v="48"/>
    <n v="0.216"/>
    <s v="Rejected"/>
    <x v="4"/>
    <n v="0"/>
    <n v="1"/>
    <n v="0"/>
    <m/>
    <n v="6"/>
    <n v="0"/>
    <n v="1"/>
  </r>
  <r>
    <s v="LA-704208"/>
    <d v="2025-08-27T00:00:00"/>
    <x v="1"/>
    <s v="Q3"/>
    <x v="7"/>
    <x v="1"/>
    <x v="2"/>
    <x v="2"/>
    <x v="0"/>
    <x v="3"/>
    <n v="5900"/>
    <n v="9500"/>
    <n v="60"/>
    <n v="0.125"/>
    <s v="Approved"/>
    <x v="1"/>
    <n v="1"/>
    <n v="0"/>
    <n v="9500"/>
    <n v="0.1031"/>
    <n v="1"/>
    <n v="1"/>
    <n v="1"/>
  </r>
  <r>
    <s v="LA-704209"/>
    <d v="2025-08-28T00:00:00"/>
    <x v="1"/>
    <s v="Q3"/>
    <x v="7"/>
    <x v="2"/>
    <x v="3"/>
    <x v="4"/>
    <x v="0"/>
    <x v="1"/>
    <n v="9150"/>
    <n v="111500"/>
    <n v="12"/>
    <n v="1.1579999999999999"/>
    <s v="Rejected"/>
    <x v="3"/>
    <n v="0"/>
    <n v="1"/>
    <n v="0"/>
    <m/>
    <n v="10"/>
    <n v="1"/>
    <n v="1"/>
  </r>
  <r>
    <s v="LA-704210"/>
    <d v="2025-08-28T00:00:00"/>
    <x v="1"/>
    <s v="Q3"/>
    <x v="7"/>
    <x v="2"/>
    <x v="1"/>
    <x v="3"/>
    <x v="2"/>
    <x v="1"/>
    <n v="10300"/>
    <n v="63500"/>
    <n v="12"/>
    <n v="0.76100000000000001"/>
    <s v="Rejected"/>
    <x v="4"/>
    <n v="0"/>
    <n v="1"/>
    <n v="0"/>
    <m/>
    <n v="9"/>
    <n v="1"/>
    <n v="1"/>
  </r>
  <r>
    <s v="LA-704211"/>
    <d v="2025-08-28T00:00:00"/>
    <x v="1"/>
    <s v="Q3"/>
    <x v="7"/>
    <x v="3"/>
    <x v="1"/>
    <x v="0"/>
    <x v="0"/>
    <x v="2"/>
    <n v="2500"/>
    <n v="227000"/>
    <n v="180"/>
    <n v="0.89300000000000002"/>
    <s v="Withdrawn"/>
    <x v="1"/>
    <n v="0"/>
    <n v="0"/>
    <n v="0"/>
    <m/>
    <n v="8"/>
    <n v="1"/>
    <n v="1"/>
  </r>
  <r>
    <s v="LA-704212"/>
    <d v="2025-08-28T00:00:00"/>
    <x v="1"/>
    <s v="Q3"/>
    <x v="7"/>
    <x v="3"/>
    <x v="2"/>
    <x v="2"/>
    <x v="0"/>
    <x v="4"/>
    <n v="2350"/>
    <n v="171000"/>
    <n v="180"/>
    <n v="0.63500000000000001"/>
    <s v="Approved"/>
    <x v="1"/>
    <n v="1"/>
    <n v="0"/>
    <n v="171000"/>
    <n v="5.2699999999999997E-2"/>
    <n v="11"/>
    <n v="1"/>
    <n v="1"/>
  </r>
  <r>
    <s v="LA-704213"/>
    <d v="2025-08-28T00:00:00"/>
    <x v="1"/>
    <s v="Q3"/>
    <x v="7"/>
    <x v="1"/>
    <x v="2"/>
    <x v="2"/>
    <x v="1"/>
    <x v="4"/>
    <n v="5100"/>
    <n v="7000"/>
    <n v="48"/>
    <n v="0.19500000000000001"/>
    <s v="Approved"/>
    <x v="1"/>
    <n v="1"/>
    <n v="0"/>
    <n v="7000"/>
    <n v="0.1169"/>
    <n v="2"/>
    <n v="1"/>
    <n v="1"/>
  </r>
  <r>
    <s v="LA-704214"/>
    <d v="2025-08-28T00:00:00"/>
    <x v="1"/>
    <s v="Q3"/>
    <x v="7"/>
    <x v="1"/>
    <x v="3"/>
    <x v="1"/>
    <x v="0"/>
    <x v="2"/>
    <n v="5800"/>
    <n v="6500"/>
    <n v="24"/>
    <n v="0.218"/>
    <s v="Approved"/>
    <x v="1"/>
    <n v="1"/>
    <n v="0"/>
    <n v="6000"/>
    <n v="0.1628"/>
    <n v="6"/>
    <n v="0"/>
    <n v="1"/>
  </r>
  <r>
    <s v="LA-704215"/>
    <d v="2025-08-28T00:00:00"/>
    <x v="1"/>
    <s v="Q3"/>
    <x v="7"/>
    <x v="1"/>
    <x v="1"/>
    <x v="1"/>
    <x v="1"/>
    <x v="0"/>
    <n v="3250"/>
    <n v="34500"/>
    <n v="24"/>
    <n v="0.64500000000000002"/>
    <s v="Rejected"/>
    <x v="3"/>
    <n v="0"/>
    <n v="1"/>
    <n v="0"/>
    <m/>
    <n v="1"/>
    <n v="1"/>
    <n v="1"/>
  </r>
  <r>
    <s v="LA-704216"/>
    <d v="2025-08-28T00:00:00"/>
    <x v="1"/>
    <s v="Q3"/>
    <x v="7"/>
    <x v="0"/>
    <x v="1"/>
    <x v="0"/>
    <x v="1"/>
    <x v="0"/>
    <n v="4150"/>
    <n v="28500"/>
    <n v="48"/>
    <n v="0.39100000000000001"/>
    <s v="Rejected"/>
    <x v="4"/>
    <n v="0"/>
    <n v="1"/>
    <n v="0"/>
    <m/>
    <n v="6"/>
    <n v="0"/>
    <n v="1"/>
  </r>
  <r>
    <s v="LA-704217"/>
    <d v="2025-08-28T00:00:00"/>
    <x v="1"/>
    <s v="Q3"/>
    <x v="7"/>
    <x v="1"/>
    <x v="2"/>
    <x v="2"/>
    <x v="1"/>
    <x v="3"/>
    <n v="3350"/>
    <n v="17500"/>
    <n v="12"/>
    <n v="0.56899999999999995"/>
    <s v="Rejected"/>
    <x v="4"/>
    <n v="0"/>
    <n v="1"/>
    <n v="0"/>
    <m/>
    <n v="5"/>
    <n v="0"/>
    <n v="1"/>
  </r>
  <r>
    <s v="LA-704218"/>
    <d v="2025-08-28T00:00:00"/>
    <x v="1"/>
    <s v="Q3"/>
    <x v="7"/>
    <x v="0"/>
    <x v="2"/>
    <x v="2"/>
    <x v="0"/>
    <x v="0"/>
    <n v="3650"/>
    <n v="30000"/>
    <n v="36"/>
    <n v="0.44800000000000001"/>
    <s v="Approved"/>
    <x v="1"/>
    <n v="1"/>
    <n v="0"/>
    <n v="24000"/>
    <n v="9.7100000000000006E-2"/>
    <n v="2"/>
    <n v="1"/>
    <n v="1"/>
  </r>
  <r>
    <s v="LA-704219"/>
    <d v="2025-08-28T00:00:00"/>
    <x v="1"/>
    <s v="Q3"/>
    <x v="7"/>
    <x v="1"/>
    <x v="1"/>
    <x v="0"/>
    <x v="0"/>
    <x v="0"/>
    <n v="8200"/>
    <n v="28000"/>
    <n v="12"/>
    <n v="0.40400000000000003"/>
    <s v="Approved"/>
    <x v="1"/>
    <n v="1"/>
    <n v="0"/>
    <n v="22500"/>
    <n v="0.1394"/>
    <n v="1"/>
    <n v="1"/>
    <n v="1"/>
  </r>
  <r>
    <s v="LA-704220"/>
    <d v="2025-08-28T00:00:00"/>
    <x v="1"/>
    <s v="Q3"/>
    <x v="7"/>
    <x v="0"/>
    <x v="3"/>
    <x v="3"/>
    <x v="1"/>
    <x v="0"/>
    <n v="5300"/>
    <n v="25000"/>
    <n v="36"/>
    <n v="0.38600000000000001"/>
    <s v="Withdrawn"/>
    <x v="1"/>
    <n v="0"/>
    <n v="0"/>
    <n v="0"/>
    <m/>
    <n v="5"/>
    <n v="0"/>
    <n v="1"/>
  </r>
  <r>
    <s v="LA-704221"/>
    <d v="2025-08-28T00:00:00"/>
    <x v="1"/>
    <s v="Q3"/>
    <x v="7"/>
    <x v="2"/>
    <x v="0"/>
    <x v="1"/>
    <x v="0"/>
    <x v="2"/>
    <n v="4100"/>
    <n v="62000"/>
    <n v="12"/>
    <n v="1.55"/>
    <s v="Withdrawn"/>
    <x v="1"/>
    <n v="0"/>
    <n v="0"/>
    <n v="0"/>
    <m/>
    <n v="11"/>
    <n v="0"/>
    <n v="1"/>
  </r>
  <r>
    <s v="LA-704222"/>
    <d v="2025-08-29T00:00:00"/>
    <x v="1"/>
    <s v="Q3"/>
    <x v="7"/>
    <x v="3"/>
    <x v="1"/>
    <x v="0"/>
    <x v="2"/>
    <x v="1"/>
    <n v="7600"/>
    <n v="330000"/>
    <n v="180"/>
    <n v="0.52800000000000002"/>
    <s v="Rejected"/>
    <x v="4"/>
    <n v="0"/>
    <n v="1"/>
    <n v="0"/>
    <m/>
    <n v="8"/>
    <n v="1"/>
    <n v="1"/>
  </r>
  <r>
    <s v="LA-704223"/>
    <d v="2025-08-29T00:00:00"/>
    <x v="1"/>
    <s v="Q3"/>
    <x v="7"/>
    <x v="0"/>
    <x v="2"/>
    <x v="3"/>
    <x v="1"/>
    <x v="0"/>
    <n v="8050"/>
    <n v="20500"/>
    <n v="48"/>
    <n v="0.26700000000000002"/>
    <s v="Withdrawn"/>
    <x v="1"/>
    <n v="0"/>
    <n v="0"/>
    <n v="0"/>
    <m/>
    <n v="3"/>
    <n v="1"/>
    <n v="1"/>
  </r>
  <r>
    <s v="LA-704224"/>
    <d v="2025-08-29T00:00:00"/>
    <x v="1"/>
    <s v="Q3"/>
    <x v="7"/>
    <x v="1"/>
    <x v="1"/>
    <x v="2"/>
    <x v="2"/>
    <x v="1"/>
    <n v="8750"/>
    <n v="18500"/>
    <n v="24"/>
    <n v="0.32500000000000001"/>
    <s v="Approved"/>
    <x v="1"/>
    <n v="1"/>
    <n v="0"/>
    <n v="15000"/>
    <n v="0.1234"/>
    <n v="1"/>
    <n v="1"/>
    <n v="1"/>
  </r>
  <r>
    <s v="LA-704225"/>
    <d v="2025-08-29T00:00:00"/>
    <x v="1"/>
    <s v="Q3"/>
    <x v="7"/>
    <x v="0"/>
    <x v="2"/>
    <x v="3"/>
    <x v="1"/>
    <x v="0"/>
    <n v="4950"/>
    <n v="20500"/>
    <n v="36"/>
    <n v="0.25900000000000001"/>
    <s v="Withdrawn"/>
    <x v="1"/>
    <n v="0"/>
    <n v="0"/>
    <n v="0"/>
    <m/>
    <n v="2"/>
    <n v="1"/>
    <n v="1"/>
  </r>
  <r>
    <s v="LA-704226"/>
    <d v="2025-08-29T00:00:00"/>
    <x v="1"/>
    <s v="Q3"/>
    <x v="7"/>
    <x v="0"/>
    <x v="1"/>
    <x v="0"/>
    <x v="1"/>
    <x v="0"/>
    <n v="7900"/>
    <n v="25000"/>
    <n v="60"/>
    <n v="0.17799999999999999"/>
    <s v="Rejected"/>
    <x v="0"/>
    <n v="0"/>
    <n v="1"/>
    <n v="0"/>
    <m/>
    <n v="1"/>
    <n v="1"/>
    <n v="1"/>
  </r>
  <r>
    <s v="LA-704227"/>
    <d v="2025-08-29T00:00:00"/>
    <x v="1"/>
    <s v="Q3"/>
    <x v="7"/>
    <x v="1"/>
    <x v="2"/>
    <x v="2"/>
    <x v="1"/>
    <x v="0"/>
    <n v="5900"/>
    <n v="16500"/>
    <n v="36"/>
    <n v="0.219"/>
    <s v="Approved"/>
    <x v="1"/>
    <n v="1"/>
    <n v="0"/>
    <n v="15000"/>
    <n v="0.14219999999999999"/>
    <n v="1"/>
    <n v="1"/>
    <n v="1"/>
  </r>
  <r>
    <s v="LA-704228"/>
    <d v="2025-08-29T00:00:00"/>
    <x v="1"/>
    <s v="Q3"/>
    <x v="7"/>
    <x v="0"/>
    <x v="3"/>
    <x v="3"/>
    <x v="2"/>
    <x v="3"/>
    <n v="11000"/>
    <n v="26500"/>
    <n v="60"/>
    <n v="0.16900000000000001"/>
    <s v="Approved"/>
    <x v="1"/>
    <n v="1"/>
    <n v="0"/>
    <n v="26500"/>
    <n v="6.1199999999999997E-2"/>
    <n v="5"/>
    <n v="0"/>
    <n v="1"/>
  </r>
  <r>
    <s v="LA-704229"/>
    <d v="2025-08-29T00:00:00"/>
    <x v="1"/>
    <s v="Q3"/>
    <x v="7"/>
    <x v="3"/>
    <x v="0"/>
    <x v="0"/>
    <x v="1"/>
    <x v="3"/>
    <n v="5000"/>
    <n v="244500"/>
    <n v="300"/>
    <n v="0.372"/>
    <s v="Approved"/>
    <x v="1"/>
    <n v="1"/>
    <n v="0"/>
    <n v="220000"/>
    <n v="4.4900000000000002E-2"/>
    <n v="8"/>
    <n v="1"/>
    <n v="1"/>
  </r>
  <r>
    <s v="LA-704230"/>
    <d v="2025-08-30T00:00:00"/>
    <x v="1"/>
    <s v="Q3"/>
    <x v="7"/>
    <x v="2"/>
    <x v="1"/>
    <x v="4"/>
    <x v="1"/>
    <x v="1"/>
    <n v="5800"/>
    <n v="63500"/>
    <n v="60"/>
    <n v="0.44900000000000001"/>
    <s v="Rejected"/>
    <x v="4"/>
    <n v="0"/>
    <n v="1"/>
    <n v="0"/>
    <m/>
    <n v="8"/>
    <n v="1"/>
    <n v="1"/>
  </r>
  <r>
    <s v="LA-704231"/>
    <d v="2025-08-30T00:00:00"/>
    <x v="1"/>
    <s v="Q3"/>
    <x v="7"/>
    <x v="0"/>
    <x v="0"/>
    <x v="1"/>
    <x v="0"/>
    <x v="0"/>
    <n v="6950"/>
    <n v="25000"/>
    <n v="60"/>
    <n v="0.27900000000000003"/>
    <s v="Withdrawn"/>
    <x v="1"/>
    <n v="0"/>
    <n v="0"/>
    <n v="0"/>
    <m/>
    <n v="2"/>
    <n v="1"/>
    <n v="1"/>
  </r>
  <r>
    <s v="LA-704232"/>
    <d v="2025-08-30T00:00:00"/>
    <x v="1"/>
    <s v="Q3"/>
    <x v="7"/>
    <x v="3"/>
    <x v="2"/>
    <x v="4"/>
    <x v="1"/>
    <x v="4"/>
    <n v="3750"/>
    <n v="272000"/>
    <n v="240"/>
    <n v="0.64900000000000002"/>
    <s v="Rejected"/>
    <x v="3"/>
    <n v="0"/>
    <n v="1"/>
    <n v="0"/>
    <m/>
    <n v="7"/>
    <n v="1"/>
    <n v="1"/>
  </r>
  <r>
    <s v="LA-704233"/>
    <d v="2025-08-30T00:00:00"/>
    <x v="1"/>
    <s v="Q3"/>
    <x v="7"/>
    <x v="2"/>
    <x v="0"/>
    <x v="0"/>
    <x v="0"/>
    <x v="4"/>
    <n v="11050"/>
    <n v="90500"/>
    <n v="12"/>
    <n v="0.94699999999999995"/>
    <s v="Approved"/>
    <x v="1"/>
    <n v="1"/>
    <n v="0"/>
    <n v="90500"/>
    <n v="9.7000000000000003E-2"/>
    <n v="9"/>
    <n v="1"/>
    <n v="1"/>
  </r>
  <r>
    <s v="LA-704234"/>
    <d v="2025-08-30T00:00:00"/>
    <x v="1"/>
    <s v="Q3"/>
    <x v="7"/>
    <x v="1"/>
    <x v="1"/>
    <x v="0"/>
    <x v="0"/>
    <x v="1"/>
    <n v="4150"/>
    <n v="10500"/>
    <n v="60"/>
    <n v="0.253"/>
    <s v="Rejected"/>
    <x v="4"/>
    <n v="0"/>
    <n v="1"/>
    <n v="0"/>
    <m/>
    <n v="5"/>
    <n v="0"/>
    <n v="1"/>
  </r>
  <r>
    <s v="LA-704235"/>
    <d v="2025-08-31T00:00:00"/>
    <x v="1"/>
    <s v="Q3"/>
    <x v="7"/>
    <x v="2"/>
    <x v="1"/>
    <x v="2"/>
    <x v="0"/>
    <x v="1"/>
    <n v="6450"/>
    <n v="87500"/>
    <n v="24"/>
    <n v="0.83699999999999997"/>
    <s v="Rejected"/>
    <x v="3"/>
    <n v="0"/>
    <n v="1"/>
    <n v="0"/>
    <m/>
    <n v="9"/>
    <n v="1"/>
    <n v="1"/>
  </r>
  <r>
    <s v="LA-704236"/>
    <d v="2025-08-31T00:00:00"/>
    <x v="1"/>
    <s v="Q3"/>
    <x v="7"/>
    <x v="1"/>
    <x v="3"/>
    <x v="2"/>
    <x v="1"/>
    <x v="0"/>
    <n v="6950"/>
    <n v="10500"/>
    <n v="36"/>
    <n v="0.24399999999999999"/>
    <s v="Rejected"/>
    <x v="0"/>
    <n v="0"/>
    <n v="1"/>
    <n v="0"/>
    <m/>
    <n v="2"/>
    <n v="1"/>
    <n v="1"/>
  </r>
  <r>
    <s v="LA-704237"/>
    <d v="2025-08-31T00:00:00"/>
    <x v="1"/>
    <s v="Q3"/>
    <x v="7"/>
    <x v="0"/>
    <x v="3"/>
    <x v="2"/>
    <x v="1"/>
    <x v="4"/>
    <n v="7600"/>
    <n v="41500"/>
    <n v="36"/>
    <n v="0.33600000000000002"/>
    <s v="Rejected"/>
    <x v="0"/>
    <n v="0"/>
    <n v="1"/>
    <n v="0"/>
    <m/>
    <n v="4"/>
    <n v="1"/>
    <n v="1"/>
  </r>
  <r>
    <s v="LA-704238"/>
    <d v="2025-08-31T00:00:00"/>
    <x v="1"/>
    <s v="Q3"/>
    <x v="7"/>
    <x v="3"/>
    <x v="1"/>
    <x v="3"/>
    <x v="2"/>
    <x v="1"/>
    <n v="4200"/>
    <n v="159500"/>
    <n v="240"/>
    <n v="0.40200000000000002"/>
    <s v="Approved"/>
    <x v="1"/>
    <n v="1"/>
    <n v="0"/>
    <n v="159500"/>
    <n v="6.4199999999999993E-2"/>
    <n v="5"/>
    <n v="1"/>
    <n v="1"/>
  </r>
  <r>
    <s v="LA-704239"/>
    <d v="2025-08-31T00:00:00"/>
    <x v="1"/>
    <s v="Q3"/>
    <x v="7"/>
    <x v="0"/>
    <x v="3"/>
    <x v="1"/>
    <x v="0"/>
    <x v="3"/>
    <n v="4000"/>
    <n v="39500"/>
    <n v="60"/>
    <n v="0.34100000000000003"/>
    <s v="Approved"/>
    <x v="1"/>
    <n v="1"/>
    <n v="0"/>
    <n v="35500"/>
    <n v="7.46E-2"/>
    <n v="16"/>
    <n v="0"/>
    <n v="1"/>
  </r>
  <r>
    <s v="LA-704240"/>
    <d v="2025-09-01T00:00:00"/>
    <x v="1"/>
    <s v="Q3"/>
    <x v="8"/>
    <x v="1"/>
    <x v="3"/>
    <x v="3"/>
    <x v="2"/>
    <x v="1"/>
    <n v="5750"/>
    <n v="14000"/>
    <n v="48"/>
    <n v="0.13800000000000001"/>
    <s v="Approved"/>
    <x v="1"/>
    <n v="1"/>
    <n v="0"/>
    <n v="14000"/>
    <n v="0.12609999999999999"/>
    <n v="3"/>
    <n v="1"/>
    <n v="1"/>
  </r>
  <r>
    <s v="LA-704241"/>
    <d v="2025-09-01T00:00:00"/>
    <x v="1"/>
    <s v="Q3"/>
    <x v="8"/>
    <x v="3"/>
    <x v="2"/>
    <x v="4"/>
    <x v="1"/>
    <x v="1"/>
    <n v="3500"/>
    <n v="208000"/>
    <n v="180"/>
    <n v="0.66100000000000003"/>
    <s v="Rejected"/>
    <x v="3"/>
    <n v="0"/>
    <n v="1"/>
    <n v="0"/>
    <m/>
    <n v="7"/>
    <n v="1"/>
    <n v="1"/>
  </r>
  <r>
    <s v="LA-704242"/>
    <d v="2025-09-01T00:00:00"/>
    <x v="1"/>
    <s v="Q3"/>
    <x v="8"/>
    <x v="1"/>
    <x v="3"/>
    <x v="1"/>
    <x v="0"/>
    <x v="2"/>
    <n v="5700"/>
    <n v="14500"/>
    <n v="60"/>
    <n v="0.14399999999999999"/>
    <s v="Approved"/>
    <x v="1"/>
    <n v="1"/>
    <n v="0"/>
    <n v="14500"/>
    <n v="0.1613"/>
    <n v="6"/>
    <n v="0"/>
    <n v="1"/>
  </r>
  <r>
    <s v="LA-704243"/>
    <d v="2025-09-01T00:00:00"/>
    <x v="1"/>
    <s v="Q3"/>
    <x v="8"/>
    <x v="3"/>
    <x v="1"/>
    <x v="3"/>
    <x v="0"/>
    <x v="1"/>
    <n v="6050"/>
    <n v="363000"/>
    <n v="300"/>
    <n v="0.496"/>
    <s v="Approved"/>
    <x v="1"/>
    <n v="1"/>
    <n v="0"/>
    <n v="363000"/>
    <n v="5.7200000000000001E-2"/>
    <n v="5"/>
    <n v="1"/>
    <n v="1"/>
  </r>
  <r>
    <s v="LA-704244"/>
    <d v="2025-09-01T00:00:00"/>
    <x v="1"/>
    <s v="Q3"/>
    <x v="8"/>
    <x v="3"/>
    <x v="1"/>
    <x v="1"/>
    <x v="1"/>
    <x v="2"/>
    <n v="7350"/>
    <n v="199000"/>
    <n v="240"/>
    <n v="0.373"/>
    <s v="Rejected"/>
    <x v="0"/>
    <n v="0"/>
    <n v="1"/>
    <n v="0"/>
    <m/>
    <n v="6"/>
    <n v="1"/>
    <n v="1"/>
  </r>
  <r>
    <s v="LA-704245"/>
    <d v="2025-09-01T00:00:00"/>
    <x v="1"/>
    <s v="Q3"/>
    <x v="8"/>
    <x v="0"/>
    <x v="3"/>
    <x v="3"/>
    <x v="0"/>
    <x v="1"/>
    <n v="6150"/>
    <n v="33000"/>
    <n v="36"/>
    <n v="0.39900000000000002"/>
    <s v="Approved"/>
    <x v="1"/>
    <n v="1"/>
    <n v="0"/>
    <n v="29500"/>
    <n v="7.4700000000000003E-2"/>
    <n v="4"/>
    <n v="1"/>
    <n v="1"/>
  </r>
  <r>
    <s v="LA-704246"/>
    <d v="2025-09-01T00:00:00"/>
    <x v="1"/>
    <s v="Q3"/>
    <x v="8"/>
    <x v="2"/>
    <x v="1"/>
    <x v="2"/>
    <x v="2"/>
    <x v="1"/>
    <n v="3300"/>
    <n v="65500"/>
    <n v="60"/>
    <n v="0.54500000000000004"/>
    <s v="Approved"/>
    <x v="1"/>
    <n v="1"/>
    <n v="0"/>
    <n v="65500"/>
    <n v="0.105"/>
    <n v="4"/>
    <n v="1"/>
    <n v="1"/>
  </r>
  <r>
    <s v="LA-704247"/>
    <d v="2025-09-01T00:00:00"/>
    <x v="1"/>
    <s v="Q3"/>
    <x v="8"/>
    <x v="0"/>
    <x v="3"/>
    <x v="1"/>
    <x v="0"/>
    <x v="0"/>
    <n v="7950"/>
    <n v="35000"/>
    <n v="60"/>
    <n v="0.14599999999999999"/>
    <s v="Approved"/>
    <x v="1"/>
    <n v="1"/>
    <n v="0"/>
    <n v="28000"/>
    <n v="9.8199999999999996E-2"/>
    <n v="6"/>
    <n v="0"/>
    <n v="1"/>
  </r>
  <r>
    <s v="LA-704248"/>
    <d v="2025-09-02T00:00:00"/>
    <x v="1"/>
    <s v="Q3"/>
    <x v="8"/>
    <x v="0"/>
    <x v="1"/>
    <x v="1"/>
    <x v="2"/>
    <x v="0"/>
    <n v="8300"/>
    <n v="45000"/>
    <n v="48"/>
    <n v="0.31900000000000001"/>
    <s v="Approved"/>
    <x v="1"/>
    <n v="1"/>
    <n v="0"/>
    <n v="40500"/>
    <n v="9.9199999999999997E-2"/>
    <n v="2"/>
    <n v="1"/>
    <n v="1"/>
  </r>
  <r>
    <s v="LA-704249"/>
    <d v="2025-09-02T00:00:00"/>
    <x v="1"/>
    <s v="Q3"/>
    <x v="8"/>
    <x v="3"/>
    <x v="2"/>
    <x v="3"/>
    <x v="1"/>
    <x v="0"/>
    <n v="3250"/>
    <n v="399500"/>
    <n v="180"/>
    <n v="1.0189999999999999"/>
    <s v="Rejected"/>
    <x v="0"/>
    <n v="0"/>
    <n v="1"/>
    <n v="0"/>
    <m/>
    <n v="7"/>
    <n v="1"/>
    <n v="1"/>
  </r>
  <r>
    <s v="LA-704250"/>
    <d v="2025-09-02T00:00:00"/>
    <x v="1"/>
    <s v="Q3"/>
    <x v="8"/>
    <x v="1"/>
    <x v="0"/>
    <x v="2"/>
    <x v="0"/>
    <x v="0"/>
    <n v="2850"/>
    <n v="17000"/>
    <n v="48"/>
    <n v="0.26300000000000001"/>
    <s v="Approved"/>
    <x v="1"/>
    <n v="1"/>
    <n v="0"/>
    <n v="17000"/>
    <n v="0.14030000000000001"/>
    <n v="3"/>
    <n v="1"/>
    <n v="1"/>
  </r>
  <r>
    <s v="LA-704251"/>
    <d v="2025-09-02T00:00:00"/>
    <x v="1"/>
    <s v="Q3"/>
    <x v="8"/>
    <x v="2"/>
    <x v="1"/>
    <x v="1"/>
    <x v="2"/>
    <x v="0"/>
    <n v="5400"/>
    <n v="62000"/>
    <n v="60"/>
    <n v="0.48499999999999999"/>
    <s v="Rejected"/>
    <x v="4"/>
    <n v="0"/>
    <n v="1"/>
    <n v="0"/>
    <m/>
    <n v="8"/>
    <n v="1"/>
    <n v="1"/>
  </r>
  <r>
    <s v="LA-704252"/>
    <d v="2025-09-02T00:00:00"/>
    <x v="1"/>
    <s v="Q3"/>
    <x v="8"/>
    <x v="1"/>
    <x v="2"/>
    <x v="1"/>
    <x v="0"/>
    <x v="0"/>
    <n v="2300"/>
    <n v="8000"/>
    <n v="12"/>
    <n v="0.55200000000000005"/>
    <s v="Rejected"/>
    <x v="4"/>
    <n v="0"/>
    <n v="1"/>
    <n v="0"/>
    <m/>
    <n v="5"/>
    <n v="0"/>
    <n v="1"/>
  </r>
  <r>
    <s v="LA-704253"/>
    <d v="2025-09-02T00:00:00"/>
    <x v="1"/>
    <s v="Q3"/>
    <x v="8"/>
    <x v="3"/>
    <x v="0"/>
    <x v="2"/>
    <x v="0"/>
    <x v="1"/>
    <n v="2250"/>
    <n v="439000"/>
    <n v="240"/>
    <n v="1.4470000000000001"/>
    <s v="Rejected"/>
    <x v="3"/>
    <n v="0"/>
    <n v="1"/>
    <n v="0"/>
    <m/>
    <n v="15"/>
    <n v="1"/>
    <n v="1"/>
  </r>
  <r>
    <s v="LA-704254"/>
    <d v="2025-09-02T00:00:00"/>
    <x v="1"/>
    <s v="Q3"/>
    <x v="8"/>
    <x v="2"/>
    <x v="1"/>
    <x v="2"/>
    <x v="1"/>
    <x v="1"/>
    <n v="7300"/>
    <n v="158500"/>
    <n v="12"/>
    <n v="1.9970000000000001"/>
    <s v="Rejected"/>
    <x v="3"/>
    <n v="0"/>
    <n v="1"/>
    <n v="0"/>
    <m/>
    <n v="5"/>
    <n v="1"/>
    <n v="1"/>
  </r>
  <r>
    <s v="LA-704255"/>
    <d v="2025-09-02T00:00:00"/>
    <x v="1"/>
    <s v="Q3"/>
    <x v="8"/>
    <x v="2"/>
    <x v="2"/>
    <x v="2"/>
    <x v="1"/>
    <x v="3"/>
    <n v="3200"/>
    <n v="40000"/>
    <n v="36"/>
    <n v="0.63200000000000001"/>
    <s v="Rejected"/>
    <x v="3"/>
    <n v="0"/>
    <n v="1"/>
    <n v="0"/>
    <m/>
    <n v="4"/>
    <n v="1"/>
    <n v="1"/>
  </r>
  <r>
    <s v="LA-704256"/>
    <d v="2025-09-02T00:00:00"/>
    <x v="1"/>
    <s v="Q3"/>
    <x v="8"/>
    <x v="1"/>
    <x v="1"/>
    <x v="3"/>
    <x v="0"/>
    <x v="0"/>
    <n v="12850"/>
    <n v="5500"/>
    <n v="60"/>
    <n v="0.222"/>
    <s v="Approved"/>
    <x v="1"/>
    <n v="1"/>
    <n v="0"/>
    <n v="5500"/>
    <n v="0.14430000000000001"/>
    <n v="1"/>
    <n v="1"/>
    <n v="1"/>
  </r>
  <r>
    <s v="LA-704257"/>
    <d v="2025-09-02T00:00:00"/>
    <x v="1"/>
    <s v="Q3"/>
    <x v="8"/>
    <x v="0"/>
    <x v="1"/>
    <x v="3"/>
    <x v="0"/>
    <x v="2"/>
    <n v="3700"/>
    <n v="37000"/>
    <n v="60"/>
    <n v="0.435"/>
    <s v="Rejected"/>
    <x v="0"/>
    <n v="0"/>
    <n v="1"/>
    <n v="0"/>
    <m/>
    <n v="2"/>
    <n v="1"/>
    <n v="1"/>
  </r>
  <r>
    <s v="LA-704258"/>
    <d v="2025-09-02T00:00:00"/>
    <x v="1"/>
    <s v="Q3"/>
    <x v="8"/>
    <x v="1"/>
    <x v="2"/>
    <x v="2"/>
    <x v="1"/>
    <x v="4"/>
    <n v="7650"/>
    <n v="12000"/>
    <n v="36"/>
    <n v="0.23100000000000001"/>
    <s v="Approved"/>
    <x v="1"/>
    <n v="1"/>
    <n v="0"/>
    <n v="12000"/>
    <n v="0.11550000000000001"/>
    <n v="2"/>
    <n v="1"/>
    <n v="1"/>
  </r>
  <r>
    <s v="LA-704259"/>
    <d v="2025-09-03T00:00:00"/>
    <x v="1"/>
    <s v="Q3"/>
    <x v="8"/>
    <x v="1"/>
    <x v="3"/>
    <x v="3"/>
    <x v="0"/>
    <x v="1"/>
    <n v="2600"/>
    <n v="13500"/>
    <n v="24"/>
    <n v="0.32200000000000001"/>
    <s v="Rejected"/>
    <x v="5"/>
    <n v="0"/>
    <n v="1"/>
    <n v="0"/>
    <m/>
    <n v="5"/>
    <n v="0"/>
    <n v="1"/>
  </r>
  <r>
    <s v="LA-704260"/>
    <d v="2025-09-03T00:00:00"/>
    <x v="1"/>
    <s v="Q3"/>
    <x v="8"/>
    <x v="0"/>
    <x v="1"/>
    <x v="3"/>
    <x v="0"/>
    <x v="3"/>
    <n v="5400"/>
    <n v="28500"/>
    <n v="36"/>
    <n v="0.33100000000000002"/>
    <s v="Approved"/>
    <x v="1"/>
    <n v="1"/>
    <n v="0"/>
    <n v="25500"/>
    <n v="6.25E-2"/>
    <n v="1"/>
    <n v="1"/>
    <n v="1"/>
  </r>
  <r>
    <s v="LA-704261"/>
    <d v="2025-09-03T00:00:00"/>
    <x v="1"/>
    <s v="Q3"/>
    <x v="8"/>
    <x v="2"/>
    <x v="3"/>
    <x v="3"/>
    <x v="0"/>
    <x v="1"/>
    <n v="4250"/>
    <n v="48000"/>
    <n v="36"/>
    <n v="0.43099999999999999"/>
    <s v="Approved"/>
    <x v="1"/>
    <n v="1"/>
    <n v="0"/>
    <n v="48000"/>
    <n v="0.1026"/>
    <n v="21"/>
    <n v="0"/>
    <n v="1"/>
  </r>
  <r>
    <s v="LA-704262"/>
    <d v="2025-09-03T00:00:00"/>
    <x v="1"/>
    <s v="Q3"/>
    <x v="8"/>
    <x v="1"/>
    <x v="1"/>
    <x v="2"/>
    <x v="1"/>
    <x v="4"/>
    <n v="1850"/>
    <n v="6500"/>
    <n v="24"/>
    <n v="0.247"/>
    <s v="Approved"/>
    <x v="1"/>
    <n v="1"/>
    <n v="0"/>
    <n v="6500"/>
    <n v="0.1157"/>
    <n v="2"/>
    <n v="1"/>
    <n v="1"/>
  </r>
  <r>
    <s v="LA-704263"/>
    <d v="2025-09-03T00:00:00"/>
    <x v="1"/>
    <s v="Q3"/>
    <x v="8"/>
    <x v="3"/>
    <x v="1"/>
    <x v="2"/>
    <x v="0"/>
    <x v="1"/>
    <n v="4500"/>
    <n v="138000"/>
    <n v="180"/>
    <n v="0.31900000000000001"/>
    <s v="Approved"/>
    <x v="1"/>
    <n v="1"/>
    <n v="0"/>
    <n v="110500"/>
    <n v="5.6300000000000003E-2"/>
    <n v="5"/>
    <n v="1"/>
    <n v="1"/>
  </r>
  <r>
    <s v="LA-704264"/>
    <d v="2025-09-04T00:00:00"/>
    <x v="1"/>
    <s v="Q3"/>
    <x v="8"/>
    <x v="3"/>
    <x v="3"/>
    <x v="0"/>
    <x v="2"/>
    <x v="3"/>
    <n v="3100"/>
    <n v="394500"/>
    <n v="180"/>
    <n v="1.109"/>
    <s v="Approved"/>
    <x v="1"/>
    <n v="1"/>
    <n v="0"/>
    <n v="394500"/>
    <n v="4.1300000000000003E-2"/>
    <n v="19"/>
    <n v="0"/>
    <n v="1"/>
  </r>
  <r>
    <s v="LA-704265"/>
    <d v="2025-09-04T00:00:00"/>
    <x v="1"/>
    <s v="Q3"/>
    <x v="8"/>
    <x v="3"/>
    <x v="3"/>
    <x v="0"/>
    <x v="0"/>
    <x v="1"/>
    <n v="3800"/>
    <n v="253000"/>
    <n v="300"/>
    <n v="0.628"/>
    <s v="Withdrawn"/>
    <x v="1"/>
    <n v="0"/>
    <n v="0"/>
    <n v="0"/>
    <m/>
    <n v="13"/>
    <n v="1"/>
    <n v="1"/>
  </r>
  <r>
    <s v="LA-704266"/>
    <d v="2025-09-04T00:00:00"/>
    <x v="1"/>
    <s v="Q3"/>
    <x v="8"/>
    <x v="2"/>
    <x v="2"/>
    <x v="4"/>
    <x v="2"/>
    <x v="4"/>
    <n v="5800"/>
    <n v="74500"/>
    <n v="12"/>
    <n v="1.339"/>
    <s v="Rejected"/>
    <x v="3"/>
    <n v="0"/>
    <n v="1"/>
    <n v="0"/>
    <m/>
    <n v="9"/>
    <n v="1"/>
    <n v="1"/>
  </r>
  <r>
    <s v="LA-704267"/>
    <d v="2025-09-04T00:00:00"/>
    <x v="1"/>
    <s v="Q3"/>
    <x v="8"/>
    <x v="1"/>
    <x v="1"/>
    <x v="1"/>
    <x v="0"/>
    <x v="0"/>
    <n v="4000"/>
    <n v="12500"/>
    <n v="48"/>
    <n v="0.20100000000000001"/>
    <s v="Rejected"/>
    <x v="4"/>
    <n v="0"/>
    <n v="1"/>
    <n v="0"/>
    <m/>
    <n v="5"/>
    <n v="0"/>
    <n v="1"/>
  </r>
  <r>
    <s v="LA-704268"/>
    <d v="2025-09-04T00:00:00"/>
    <x v="1"/>
    <s v="Q3"/>
    <x v="8"/>
    <x v="2"/>
    <x v="0"/>
    <x v="4"/>
    <x v="0"/>
    <x v="2"/>
    <n v="5600"/>
    <n v="56000"/>
    <n v="12"/>
    <n v="1.0269999999999999"/>
    <s v="Withdrawn"/>
    <x v="1"/>
    <n v="0"/>
    <n v="0"/>
    <n v="0"/>
    <m/>
    <n v="8"/>
    <n v="1"/>
    <n v="1"/>
  </r>
  <r>
    <s v="LA-704269"/>
    <d v="2025-09-04T00:00:00"/>
    <x v="1"/>
    <s v="Q3"/>
    <x v="8"/>
    <x v="3"/>
    <x v="0"/>
    <x v="2"/>
    <x v="0"/>
    <x v="4"/>
    <n v="5350"/>
    <n v="380500"/>
    <n v="240"/>
    <n v="0.52600000000000002"/>
    <s v="Approved"/>
    <x v="1"/>
    <n v="1"/>
    <n v="0"/>
    <n v="380500"/>
    <n v="4.9000000000000002E-2"/>
    <n v="11"/>
    <n v="1"/>
    <n v="1"/>
  </r>
  <r>
    <s v="LA-704270"/>
    <d v="2025-09-04T00:00:00"/>
    <x v="1"/>
    <s v="Q3"/>
    <x v="8"/>
    <x v="1"/>
    <x v="3"/>
    <x v="0"/>
    <x v="0"/>
    <x v="0"/>
    <n v="7500"/>
    <n v="7000"/>
    <n v="12"/>
    <n v="0.24299999999999999"/>
    <s v="Rejected"/>
    <x v="0"/>
    <n v="0"/>
    <n v="1"/>
    <n v="0"/>
    <m/>
    <n v="5"/>
    <n v="0"/>
    <n v="1"/>
  </r>
  <r>
    <s v="LA-704271"/>
    <d v="2025-09-04T00:00:00"/>
    <x v="1"/>
    <s v="Q3"/>
    <x v="8"/>
    <x v="2"/>
    <x v="3"/>
    <x v="0"/>
    <x v="2"/>
    <x v="3"/>
    <n v="7200"/>
    <n v="39000"/>
    <n v="24"/>
    <n v="0.48499999999999999"/>
    <s v="Approved"/>
    <x v="1"/>
    <n v="1"/>
    <n v="0"/>
    <n v="39000"/>
    <n v="8.4900000000000003E-2"/>
    <n v="15"/>
    <n v="0"/>
    <n v="1"/>
  </r>
  <r>
    <s v="LA-704272"/>
    <d v="2025-09-04T00:00:00"/>
    <x v="1"/>
    <s v="Q3"/>
    <x v="8"/>
    <x v="2"/>
    <x v="3"/>
    <x v="1"/>
    <x v="1"/>
    <x v="1"/>
    <n v="6200"/>
    <n v="79500"/>
    <n v="60"/>
    <n v="0.48199999999999998"/>
    <s v="Approved"/>
    <x v="1"/>
    <n v="1"/>
    <n v="0"/>
    <n v="71500"/>
    <n v="0.10780000000000001"/>
    <n v="9"/>
    <n v="1"/>
    <n v="1"/>
  </r>
  <r>
    <s v="LA-704273"/>
    <d v="2025-09-05T00:00:00"/>
    <x v="1"/>
    <s v="Q3"/>
    <x v="8"/>
    <x v="1"/>
    <x v="1"/>
    <x v="3"/>
    <x v="0"/>
    <x v="2"/>
    <n v="3700"/>
    <n v="21000"/>
    <n v="48"/>
    <n v="0.21"/>
    <s v="Rejected"/>
    <x v="0"/>
    <n v="0"/>
    <n v="1"/>
    <n v="0"/>
    <m/>
    <n v="2"/>
    <n v="1"/>
    <n v="1"/>
  </r>
  <r>
    <s v="LA-704274"/>
    <d v="2025-09-05T00:00:00"/>
    <x v="1"/>
    <s v="Q3"/>
    <x v="8"/>
    <x v="1"/>
    <x v="2"/>
    <x v="3"/>
    <x v="0"/>
    <x v="4"/>
    <n v="6750"/>
    <n v="9500"/>
    <n v="12"/>
    <n v="0.313"/>
    <s v="Approved"/>
    <x v="1"/>
    <n v="1"/>
    <n v="0"/>
    <n v="7500"/>
    <n v="0.11749999999999999"/>
    <n v="2"/>
    <n v="1"/>
    <n v="1"/>
  </r>
  <r>
    <s v="LA-704275"/>
    <d v="2025-09-05T00:00:00"/>
    <x v="1"/>
    <s v="Q3"/>
    <x v="8"/>
    <x v="3"/>
    <x v="0"/>
    <x v="4"/>
    <x v="0"/>
    <x v="0"/>
    <n v="4550"/>
    <n v="257000"/>
    <n v="240"/>
    <n v="0.61799999999999999"/>
    <s v="Rejected"/>
    <x v="0"/>
    <n v="0"/>
    <n v="1"/>
    <n v="0"/>
    <m/>
    <n v="12"/>
    <n v="1"/>
    <n v="1"/>
  </r>
  <r>
    <s v="LA-704276"/>
    <d v="2025-09-05T00:00:00"/>
    <x v="1"/>
    <s v="Q3"/>
    <x v="8"/>
    <x v="0"/>
    <x v="3"/>
    <x v="2"/>
    <x v="2"/>
    <x v="1"/>
    <n v="6150"/>
    <n v="37000"/>
    <n v="36"/>
    <n v="0.41799999999999998"/>
    <s v="Rejected"/>
    <x v="5"/>
    <n v="0"/>
    <n v="1"/>
    <n v="0"/>
    <m/>
    <n v="12"/>
    <n v="0"/>
    <n v="1"/>
  </r>
  <r>
    <s v="LA-704277"/>
    <d v="2025-09-05T00:00:00"/>
    <x v="1"/>
    <s v="Q3"/>
    <x v="8"/>
    <x v="1"/>
    <x v="1"/>
    <x v="2"/>
    <x v="0"/>
    <x v="3"/>
    <n v="9050"/>
    <n v="12000"/>
    <n v="36"/>
    <n v="0.24299999999999999"/>
    <s v="Approved"/>
    <x v="1"/>
    <n v="1"/>
    <n v="0"/>
    <n v="11000"/>
    <n v="0.11"/>
    <n v="1"/>
    <n v="1"/>
    <n v="1"/>
  </r>
  <r>
    <s v="LA-704278"/>
    <d v="2025-09-05T00:00:00"/>
    <x v="1"/>
    <s v="Q3"/>
    <x v="8"/>
    <x v="1"/>
    <x v="3"/>
    <x v="2"/>
    <x v="0"/>
    <x v="3"/>
    <n v="3500"/>
    <n v="10000"/>
    <n v="12"/>
    <n v="0.33300000000000002"/>
    <s v="Approved"/>
    <x v="1"/>
    <n v="1"/>
    <n v="0"/>
    <n v="10000"/>
    <n v="0.109"/>
    <n v="5"/>
    <n v="0"/>
    <n v="1"/>
  </r>
  <r>
    <s v="LA-704279"/>
    <d v="2025-09-06T00:00:00"/>
    <x v="1"/>
    <s v="Q3"/>
    <x v="8"/>
    <x v="1"/>
    <x v="2"/>
    <x v="0"/>
    <x v="0"/>
    <x v="1"/>
    <n v="15750"/>
    <n v="9500"/>
    <n v="60"/>
    <n v="0.183"/>
    <s v="Rejected"/>
    <x v="4"/>
    <n v="0"/>
    <n v="1"/>
    <n v="0"/>
    <m/>
    <n v="5"/>
    <n v="0"/>
    <n v="1"/>
  </r>
  <r>
    <s v="LA-704280"/>
    <d v="2025-09-06T00:00:00"/>
    <x v="1"/>
    <s v="Q3"/>
    <x v="8"/>
    <x v="0"/>
    <x v="3"/>
    <x v="0"/>
    <x v="0"/>
    <x v="3"/>
    <n v="8000"/>
    <n v="37000"/>
    <n v="60"/>
    <n v="0.18"/>
    <s v="Approved"/>
    <x v="1"/>
    <n v="1"/>
    <n v="0"/>
    <n v="29500"/>
    <n v="6.3100000000000003E-2"/>
    <n v="7"/>
    <n v="0"/>
    <n v="1"/>
  </r>
  <r>
    <s v="LA-704281"/>
    <d v="2025-09-06T00:00:00"/>
    <x v="1"/>
    <s v="Q3"/>
    <x v="8"/>
    <x v="1"/>
    <x v="0"/>
    <x v="3"/>
    <x v="1"/>
    <x v="0"/>
    <n v="9950"/>
    <n v="15000"/>
    <n v="24"/>
    <n v="0.13800000000000001"/>
    <s v="Rejected"/>
    <x v="0"/>
    <n v="0"/>
    <n v="1"/>
    <n v="0"/>
    <m/>
    <n v="3"/>
    <n v="1"/>
    <n v="1"/>
  </r>
  <r>
    <s v="LA-704282"/>
    <d v="2025-09-06T00:00:00"/>
    <x v="1"/>
    <s v="Q3"/>
    <x v="8"/>
    <x v="2"/>
    <x v="3"/>
    <x v="4"/>
    <x v="0"/>
    <x v="4"/>
    <n v="4600"/>
    <n v="166500"/>
    <n v="60"/>
    <n v="0.91100000000000003"/>
    <s v="Rejected"/>
    <x v="3"/>
    <n v="0"/>
    <n v="1"/>
    <n v="0"/>
    <m/>
    <n v="15"/>
    <n v="0"/>
    <n v="1"/>
  </r>
  <r>
    <s v="LA-704283"/>
    <d v="2025-09-06T00:00:00"/>
    <x v="1"/>
    <s v="Q3"/>
    <x v="8"/>
    <x v="2"/>
    <x v="1"/>
    <x v="1"/>
    <x v="0"/>
    <x v="0"/>
    <n v="5400"/>
    <n v="90000"/>
    <n v="12"/>
    <n v="1.712"/>
    <s v="Rejected"/>
    <x v="0"/>
    <n v="0"/>
    <n v="1"/>
    <n v="0"/>
    <m/>
    <n v="5"/>
    <n v="1"/>
    <n v="1"/>
  </r>
  <r>
    <s v="LA-704284"/>
    <d v="2025-09-07T00:00:00"/>
    <x v="1"/>
    <s v="Q3"/>
    <x v="8"/>
    <x v="1"/>
    <x v="1"/>
    <x v="1"/>
    <x v="2"/>
    <x v="2"/>
    <n v="6000"/>
    <n v="15500"/>
    <n v="24"/>
    <n v="0.33300000000000002"/>
    <s v="Rejected"/>
    <x v="2"/>
    <n v="0"/>
    <n v="1"/>
    <n v="0"/>
    <m/>
    <n v="1"/>
    <n v="1"/>
    <n v="1"/>
  </r>
  <r>
    <s v="LA-704285"/>
    <d v="2025-09-07T00:00:00"/>
    <x v="1"/>
    <s v="Q3"/>
    <x v="8"/>
    <x v="2"/>
    <x v="3"/>
    <x v="1"/>
    <x v="0"/>
    <x v="3"/>
    <n v="5350"/>
    <n v="42500"/>
    <n v="36"/>
    <n v="0.35399999999999998"/>
    <s v="Approved"/>
    <x v="1"/>
    <n v="1"/>
    <n v="0"/>
    <n v="42500"/>
    <n v="8.8599999999999998E-2"/>
    <n v="11"/>
    <n v="0"/>
    <n v="1"/>
  </r>
  <r>
    <s v="LA-704286"/>
    <d v="2025-09-07T00:00:00"/>
    <x v="1"/>
    <s v="Q3"/>
    <x v="8"/>
    <x v="1"/>
    <x v="1"/>
    <x v="1"/>
    <x v="0"/>
    <x v="0"/>
    <n v="3800"/>
    <n v="9500"/>
    <n v="60"/>
    <n v="0.20200000000000001"/>
    <s v="Approved"/>
    <x v="1"/>
    <n v="1"/>
    <n v="0"/>
    <n v="9500"/>
    <n v="0.1449"/>
    <n v="1"/>
    <n v="1"/>
    <n v="1"/>
  </r>
  <r>
    <s v="LA-704287"/>
    <d v="2025-09-07T00:00:00"/>
    <x v="1"/>
    <s v="Q3"/>
    <x v="8"/>
    <x v="1"/>
    <x v="1"/>
    <x v="0"/>
    <x v="0"/>
    <x v="4"/>
    <n v="4950"/>
    <n v="16500"/>
    <n v="60"/>
    <n v="0.28000000000000003"/>
    <s v="Approved"/>
    <x v="1"/>
    <n v="1"/>
    <n v="0"/>
    <n v="16500"/>
    <n v="0.11840000000000001"/>
    <n v="1"/>
    <n v="1"/>
    <n v="1"/>
  </r>
  <r>
    <s v="LA-704288"/>
    <d v="2025-09-07T00:00:00"/>
    <x v="1"/>
    <s v="Q3"/>
    <x v="8"/>
    <x v="1"/>
    <x v="2"/>
    <x v="1"/>
    <x v="0"/>
    <x v="0"/>
    <n v="6100"/>
    <n v="26500"/>
    <n v="12"/>
    <n v="0.53700000000000003"/>
    <s v="Rejected"/>
    <x v="3"/>
    <n v="0"/>
    <n v="1"/>
    <n v="0"/>
    <m/>
    <n v="1"/>
    <n v="1"/>
    <n v="1"/>
  </r>
  <r>
    <s v="LA-704289"/>
    <d v="2025-09-07T00:00:00"/>
    <x v="1"/>
    <s v="Q3"/>
    <x v="8"/>
    <x v="2"/>
    <x v="2"/>
    <x v="1"/>
    <x v="1"/>
    <x v="0"/>
    <n v="7750"/>
    <n v="173500"/>
    <n v="36"/>
    <n v="0.78100000000000003"/>
    <s v="Rejected"/>
    <x v="4"/>
    <n v="0"/>
    <n v="1"/>
    <n v="0"/>
    <m/>
    <n v="7"/>
    <n v="1"/>
    <n v="1"/>
  </r>
  <r>
    <s v="LA-704290"/>
    <d v="2025-09-07T00:00:00"/>
    <x v="1"/>
    <s v="Q3"/>
    <x v="8"/>
    <x v="3"/>
    <x v="1"/>
    <x v="2"/>
    <x v="1"/>
    <x v="4"/>
    <n v="6300"/>
    <n v="392500"/>
    <n v="300"/>
    <n v="0.56499999999999995"/>
    <s v="Rejected"/>
    <x v="4"/>
    <n v="0"/>
    <n v="1"/>
    <n v="0"/>
    <m/>
    <n v="11"/>
    <n v="1"/>
    <n v="1"/>
  </r>
  <r>
    <s v="LA-704291"/>
    <d v="2025-09-08T00:00:00"/>
    <x v="1"/>
    <s v="Q3"/>
    <x v="8"/>
    <x v="3"/>
    <x v="3"/>
    <x v="1"/>
    <x v="0"/>
    <x v="1"/>
    <n v="6700"/>
    <n v="292500"/>
    <n v="180"/>
    <n v="0.46700000000000003"/>
    <s v="Rejected"/>
    <x v="3"/>
    <n v="0"/>
    <n v="1"/>
    <n v="0"/>
    <m/>
    <n v="20"/>
    <n v="0"/>
    <n v="1"/>
  </r>
  <r>
    <s v="LA-704292"/>
    <d v="2025-09-08T00:00:00"/>
    <x v="1"/>
    <s v="Q3"/>
    <x v="8"/>
    <x v="2"/>
    <x v="3"/>
    <x v="3"/>
    <x v="1"/>
    <x v="3"/>
    <n v="6250"/>
    <n v="163000"/>
    <n v="60"/>
    <n v="0.74399999999999999"/>
    <s v="Approved"/>
    <x v="1"/>
    <n v="1"/>
    <n v="0"/>
    <n v="163000"/>
    <n v="9.2799999999999994E-2"/>
    <n v="10"/>
    <n v="1"/>
    <n v="1"/>
  </r>
  <r>
    <s v="LA-704293"/>
    <d v="2025-09-08T00:00:00"/>
    <x v="1"/>
    <s v="Q3"/>
    <x v="8"/>
    <x v="1"/>
    <x v="2"/>
    <x v="0"/>
    <x v="0"/>
    <x v="1"/>
    <n v="6900"/>
    <n v="10000"/>
    <n v="48"/>
    <n v="0.27500000000000002"/>
    <s v="Approved"/>
    <x v="1"/>
    <n v="1"/>
    <n v="0"/>
    <n v="10000"/>
    <n v="0.12809999999999999"/>
    <n v="1"/>
    <n v="1"/>
    <n v="1"/>
  </r>
  <r>
    <s v="LA-704294"/>
    <d v="2025-09-08T00:00:00"/>
    <x v="1"/>
    <s v="Q3"/>
    <x v="8"/>
    <x v="2"/>
    <x v="0"/>
    <x v="3"/>
    <x v="1"/>
    <x v="1"/>
    <n v="2500"/>
    <n v="61000"/>
    <n v="12"/>
    <n v="2.3180000000000001"/>
    <s v="Rejected"/>
    <x v="3"/>
    <n v="0"/>
    <n v="1"/>
    <n v="0"/>
    <m/>
    <n v="9"/>
    <n v="1"/>
    <n v="1"/>
  </r>
  <r>
    <s v="LA-704295"/>
    <d v="2025-09-08T00:00:00"/>
    <x v="1"/>
    <s v="Q3"/>
    <x v="8"/>
    <x v="1"/>
    <x v="2"/>
    <x v="0"/>
    <x v="2"/>
    <x v="4"/>
    <n v="3300"/>
    <n v="19000"/>
    <n v="48"/>
    <n v="0.20899999999999999"/>
    <s v="Rejected"/>
    <x v="5"/>
    <n v="0"/>
    <n v="1"/>
    <n v="0"/>
    <m/>
    <n v="2"/>
    <n v="1"/>
    <n v="1"/>
  </r>
  <r>
    <s v="LA-704296"/>
    <d v="2025-09-08T00:00:00"/>
    <x v="1"/>
    <s v="Q3"/>
    <x v="8"/>
    <x v="1"/>
    <x v="1"/>
    <x v="0"/>
    <x v="0"/>
    <x v="4"/>
    <n v="3800"/>
    <n v="12500"/>
    <n v="36"/>
    <n v="0.24199999999999999"/>
    <s v="Approved"/>
    <x v="1"/>
    <n v="1"/>
    <n v="0"/>
    <n v="10000"/>
    <n v="0.1177"/>
    <n v="1"/>
    <n v="1"/>
    <n v="1"/>
  </r>
  <r>
    <s v="LA-704297"/>
    <d v="2025-09-08T00:00:00"/>
    <x v="1"/>
    <s v="Q3"/>
    <x v="8"/>
    <x v="0"/>
    <x v="2"/>
    <x v="2"/>
    <x v="0"/>
    <x v="0"/>
    <n v="4900"/>
    <n v="39000"/>
    <n v="60"/>
    <n v="0.313"/>
    <s v="Approved"/>
    <x v="1"/>
    <n v="1"/>
    <n v="0"/>
    <n v="39000"/>
    <n v="9.9400000000000002E-2"/>
    <n v="3"/>
    <n v="1"/>
    <n v="1"/>
  </r>
  <r>
    <s v="LA-704298"/>
    <d v="2025-09-08T00:00:00"/>
    <x v="1"/>
    <s v="Q3"/>
    <x v="8"/>
    <x v="1"/>
    <x v="3"/>
    <x v="2"/>
    <x v="0"/>
    <x v="0"/>
    <n v="7150"/>
    <n v="6500"/>
    <n v="60"/>
    <n v="0.23799999999999999"/>
    <s v="Rejected"/>
    <x v="0"/>
    <n v="0"/>
    <n v="1"/>
    <n v="0"/>
    <m/>
    <n v="4"/>
    <n v="0"/>
    <n v="1"/>
  </r>
  <r>
    <s v="LA-704299"/>
    <d v="2025-09-08T00:00:00"/>
    <x v="1"/>
    <s v="Q3"/>
    <x v="8"/>
    <x v="2"/>
    <x v="1"/>
    <x v="1"/>
    <x v="0"/>
    <x v="0"/>
    <n v="6900"/>
    <n v="57000"/>
    <n v="36"/>
    <n v="0.33700000000000002"/>
    <s v="Approved"/>
    <x v="1"/>
    <n v="1"/>
    <n v="0"/>
    <n v="57000"/>
    <n v="0.1234"/>
    <n v="4"/>
    <n v="1"/>
    <n v="1"/>
  </r>
  <r>
    <s v="LA-704300"/>
    <d v="2025-09-08T00:00:00"/>
    <x v="1"/>
    <s v="Q3"/>
    <x v="8"/>
    <x v="1"/>
    <x v="0"/>
    <x v="1"/>
    <x v="1"/>
    <x v="1"/>
    <n v="7200"/>
    <n v="14500"/>
    <n v="24"/>
    <n v="0.24199999999999999"/>
    <s v="Approved"/>
    <x v="1"/>
    <n v="1"/>
    <n v="0"/>
    <n v="13000"/>
    <n v="0.12520000000000001"/>
    <n v="2"/>
    <n v="1"/>
    <n v="1"/>
  </r>
  <r>
    <s v="LA-704301"/>
    <d v="2025-09-08T00:00:00"/>
    <x v="1"/>
    <s v="Q3"/>
    <x v="8"/>
    <x v="3"/>
    <x v="0"/>
    <x v="1"/>
    <x v="0"/>
    <x v="4"/>
    <n v="5950"/>
    <n v="324500"/>
    <n v="300"/>
    <n v="0.48099999999999998"/>
    <s v="Approved"/>
    <x v="1"/>
    <n v="1"/>
    <n v="0"/>
    <n v="259500"/>
    <n v="5.28E-2"/>
    <n v="12"/>
    <n v="1"/>
    <n v="1"/>
  </r>
  <r>
    <s v="LA-704302"/>
    <d v="2025-09-09T00:00:00"/>
    <x v="1"/>
    <s v="Q3"/>
    <x v="8"/>
    <x v="0"/>
    <x v="3"/>
    <x v="3"/>
    <x v="1"/>
    <x v="1"/>
    <n v="6100"/>
    <n v="17500"/>
    <n v="60"/>
    <n v="0.20200000000000001"/>
    <s v="Approved"/>
    <x v="1"/>
    <n v="1"/>
    <n v="0"/>
    <n v="17500"/>
    <n v="8.3599999999999994E-2"/>
    <n v="5"/>
    <n v="0"/>
    <n v="1"/>
  </r>
  <r>
    <s v="LA-704303"/>
    <d v="2025-09-09T00:00:00"/>
    <x v="1"/>
    <s v="Q3"/>
    <x v="8"/>
    <x v="1"/>
    <x v="2"/>
    <x v="0"/>
    <x v="0"/>
    <x v="2"/>
    <n v="6550"/>
    <n v="14500"/>
    <n v="12"/>
    <n v="0.36"/>
    <s v="Rejected"/>
    <x v="0"/>
    <n v="0"/>
    <n v="1"/>
    <n v="0"/>
    <m/>
    <n v="1"/>
    <n v="1"/>
    <n v="1"/>
  </r>
  <r>
    <s v="LA-704304"/>
    <d v="2025-09-09T00:00:00"/>
    <x v="1"/>
    <s v="Q3"/>
    <x v="8"/>
    <x v="1"/>
    <x v="2"/>
    <x v="1"/>
    <x v="0"/>
    <x v="1"/>
    <n v="3650"/>
    <n v="20500"/>
    <n v="48"/>
    <n v="0.32300000000000001"/>
    <s v="Rejected"/>
    <x v="5"/>
    <n v="0"/>
    <n v="1"/>
    <n v="0"/>
    <m/>
    <n v="1"/>
    <n v="1"/>
    <n v="1"/>
  </r>
  <r>
    <s v="LA-704305"/>
    <d v="2025-09-09T00:00:00"/>
    <x v="1"/>
    <s v="Q3"/>
    <x v="8"/>
    <x v="0"/>
    <x v="2"/>
    <x v="0"/>
    <x v="0"/>
    <x v="3"/>
    <n v="3650"/>
    <n v="41500"/>
    <n v="60"/>
    <n v="0.311"/>
    <s v="Approved"/>
    <x v="1"/>
    <n v="1"/>
    <n v="0"/>
    <n v="37500"/>
    <n v="6.9000000000000006E-2"/>
    <n v="3"/>
    <n v="1"/>
    <n v="1"/>
  </r>
  <r>
    <s v="LA-704306"/>
    <d v="2025-09-09T00:00:00"/>
    <x v="1"/>
    <s v="Q3"/>
    <x v="8"/>
    <x v="1"/>
    <x v="0"/>
    <x v="0"/>
    <x v="1"/>
    <x v="0"/>
    <n v="12400"/>
    <n v="14000"/>
    <n v="24"/>
    <n v="0.27600000000000002"/>
    <s v="Approved"/>
    <x v="1"/>
    <n v="1"/>
    <n v="0"/>
    <n v="12500"/>
    <n v="0.13600000000000001"/>
    <n v="3"/>
    <n v="1"/>
    <n v="1"/>
  </r>
  <r>
    <s v="LA-704307"/>
    <d v="2025-09-09T00:00:00"/>
    <x v="1"/>
    <s v="Q3"/>
    <x v="8"/>
    <x v="1"/>
    <x v="0"/>
    <x v="3"/>
    <x v="2"/>
    <x v="0"/>
    <n v="7000"/>
    <n v="9500"/>
    <n v="60"/>
    <n v="0.246"/>
    <s v="Rejected"/>
    <x v="4"/>
    <n v="0"/>
    <n v="1"/>
    <n v="0"/>
    <m/>
    <n v="7"/>
    <n v="0"/>
    <n v="1"/>
  </r>
  <r>
    <s v="LA-704308"/>
    <d v="2025-09-09T00:00:00"/>
    <x v="1"/>
    <s v="Q3"/>
    <x v="8"/>
    <x v="1"/>
    <x v="1"/>
    <x v="2"/>
    <x v="0"/>
    <x v="3"/>
    <n v="3200"/>
    <n v="8500"/>
    <n v="12"/>
    <n v="0.42199999999999999"/>
    <s v="Approved"/>
    <x v="1"/>
    <n v="1"/>
    <n v="0"/>
    <n v="8500"/>
    <n v="0.1032"/>
    <n v="2"/>
    <n v="1"/>
    <n v="1"/>
  </r>
  <r>
    <s v="LA-704309"/>
    <d v="2025-09-09T00:00:00"/>
    <x v="1"/>
    <s v="Q3"/>
    <x v="8"/>
    <x v="2"/>
    <x v="1"/>
    <x v="4"/>
    <x v="0"/>
    <x v="4"/>
    <n v="5600"/>
    <n v="73000"/>
    <n v="36"/>
    <n v="0.499"/>
    <s v="Approved"/>
    <x v="1"/>
    <n v="1"/>
    <n v="0"/>
    <n v="58500"/>
    <n v="9.5299999999999996E-2"/>
    <n v="4"/>
    <n v="1"/>
    <n v="1"/>
  </r>
  <r>
    <s v="LA-704310"/>
    <d v="2025-09-09T00:00:00"/>
    <x v="1"/>
    <s v="Q3"/>
    <x v="8"/>
    <x v="2"/>
    <x v="2"/>
    <x v="2"/>
    <x v="2"/>
    <x v="4"/>
    <n v="4050"/>
    <n v="44500"/>
    <n v="24"/>
    <n v="0.71"/>
    <s v="Rejected"/>
    <x v="3"/>
    <n v="0"/>
    <n v="1"/>
    <n v="0"/>
    <m/>
    <n v="5"/>
    <n v="1"/>
    <n v="1"/>
  </r>
  <r>
    <s v="LA-704311"/>
    <d v="2025-09-09T00:00:00"/>
    <x v="1"/>
    <s v="Q3"/>
    <x v="8"/>
    <x v="2"/>
    <x v="1"/>
    <x v="3"/>
    <x v="0"/>
    <x v="3"/>
    <n v="7250"/>
    <n v="150500"/>
    <n v="36"/>
    <n v="0.72499999999999998"/>
    <s v="Rejected"/>
    <x v="3"/>
    <n v="0"/>
    <n v="1"/>
    <n v="0"/>
    <m/>
    <n v="5"/>
    <n v="1"/>
    <n v="1"/>
  </r>
  <r>
    <s v="LA-704312"/>
    <d v="2025-09-10T00:00:00"/>
    <x v="1"/>
    <s v="Q3"/>
    <x v="8"/>
    <x v="1"/>
    <x v="2"/>
    <x v="2"/>
    <x v="0"/>
    <x v="1"/>
    <n v="4450"/>
    <n v="9500"/>
    <n v="36"/>
    <n v="0.245"/>
    <s v="Approved"/>
    <x v="1"/>
    <n v="1"/>
    <n v="0"/>
    <n v="9500"/>
    <n v="0.1258"/>
    <n v="1"/>
    <n v="1"/>
    <n v="1"/>
  </r>
  <r>
    <s v="LA-704313"/>
    <d v="2025-09-10T00:00:00"/>
    <x v="1"/>
    <s v="Q3"/>
    <x v="8"/>
    <x v="3"/>
    <x v="2"/>
    <x v="2"/>
    <x v="0"/>
    <x v="3"/>
    <n v="10950"/>
    <n v="163000"/>
    <n v="180"/>
    <n v="0.32"/>
    <s v="Approved"/>
    <x v="1"/>
    <n v="1"/>
    <n v="0"/>
    <n v="163000"/>
    <n v="3.9800000000000002E-2"/>
    <n v="6"/>
    <n v="1"/>
    <n v="1"/>
  </r>
  <r>
    <s v="LA-704314"/>
    <d v="2025-09-10T00:00:00"/>
    <x v="1"/>
    <s v="Q3"/>
    <x v="8"/>
    <x v="3"/>
    <x v="3"/>
    <x v="2"/>
    <x v="0"/>
    <x v="4"/>
    <n v="4900"/>
    <n v="277500"/>
    <n v="180"/>
    <n v="0.64700000000000002"/>
    <s v="Approved"/>
    <x v="1"/>
    <n v="1"/>
    <n v="0"/>
    <n v="277500"/>
    <n v="0.05"/>
    <n v="23"/>
    <n v="0"/>
    <n v="1"/>
  </r>
  <r>
    <s v="LA-704315"/>
    <d v="2025-09-10T00:00:00"/>
    <x v="1"/>
    <s v="Q3"/>
    <x v="8"/>
    <x v="1"/>
    <x v="1"/>
    <x v="0"/>
    <x v="2"/>
    <x v="1"/>
    <n v="3700"/>
    <n v="11000"/>
    <n v="12"/>
    <n v="0.41299999999999998"/>
    <s v="Rejected"/>
    <x v="5"/>
    <n v="0"/>
    <n v="1"/>
    <n v="0"/>
    <m/>
    <n v="1"/>
    <n v="1"/>
    <n v="1"/>
  </r>
  <r>
    <s v="LA-704316"/>
    <d v="2025-09-10T00:00:00"/>
    <x v="1"/>
    <s v="Q3"/>
    <x v="8"/>
    <x v="2"/>
    <x v="2"/>
    <x v="2"/>
    <x v="0"/>
    <x v="4"/>
    <n v="9100"/>
    <n v="46500"/>
    <n v="24"/>
    <n v="0.33500000000000002"/>
    <s v="Approved"/>
    <x v="1"/>
    <n v="1"/>
    <n v="0"/>
    <n v="42000"/>
    <n v="9.9400000000000002E-2"/>
    <n v="6"/>
    <n v="1"/>
    <n v="1"/>
  </r>
  <r>
    <s v="LA-704317"/>
    <d v="2025-09-11T00:00:00"/>
    <x v="1"/>
    <s v="Q3"/>
    <x v="8"/>
    <x v="1"/>
    <x v="1"/>
    <x v="2"/>
    <x v="0"/>
    <x v="4"/>
    <n v="6750"/>
    <n v="7500"/>
    <n v="48"/>
    <n v="0.21099999999999999"/>
    <s v="Approved"/>
    <x v="1"/>
    <n v="1"/>
    <n v="0"/>
    <n v="6000"/>
    <n v="0.1128"/>
    <n v="1"/>
    <n v="1"/>
    <n v="1"/>
  </r>
  <r>
    <s v="LA-704318"/>
    <d v="2025-09-11T00:00:00"/>
    <x v="1"/>
    <s v="Q3"/>
    <x v="8"/>
    <x v="3"/>
    <x v="2"/>
    <x v="3"/>
    <x v="0"/>
    <x v="1"/>
    <n v="4150"/>
    <n v="67500"/>
    <n v="180"/>
    <n v="0.183"/>
    <s v="Rejected"/>
    <x v="5"/>
    <n v="0"/>
    <n v="1"/>
    <n v="0"/>
    <m/>
    <n v="7"/>
    <n v="1"/>
    <n v="1"/>
  </r>
  <r>
    <s v="LA-704319"/>
    <d v="2025-09-11T00:00:00"/>
    <x v="1"/>
    <s v="Q3"/>
    <x v="8"/>
    <x v="1"/>
    <x v="3"/>
    <x v="3"/>
    <x v="0"/>
    <x v="4"/>
    <n v="2750"/>
    <n v="14000"/>
    <n v="48"/>
    <n v="0.249"/>
    <s v="Approved"/>
    <x v="1"/>
    <n v="1"/>
    <n v="0"/>
    <n v="14000"/>
    <n v="0.1186"/>
    <n v="2"/>
    <n v="1"/>
    <n v="1"/>
  </r>
  <r>
    <s v="LA-704320"/>
    <d v="2025-09-11T00:00:00"/>
    <x v="1"/>
    <s v="Q3"/>
    <x v="8"/>
    <x v="3"/>
    <x v="1"/>
    <x v="0"/>
    <x v="1"/>
    <x v="3"/>
    <n v="7550"/>
    <n v="168500"/>
    <n v="240"/>
    <n v="0.26500000000000001"/>
    <s v="Approved"/>
    <x v="1"/>
    <n v="1"/>
    <n v="0"/>
    <n v="168500"/>
    <n v="4.3400000000000001E-2"/>
    <n v="4"/>
    <n v="1"/>
    <n v="1"/>
  </r>
  <r>
    <s v="LA-704321"/>
    <d v="2025-09-11T00:00:00"/>
    <x v="1"/>
    <s v="Q3"/>
    <x v="8"/>
    <x v="2"/>
    <x v="1"/>
    <x v="3"/>
    <x v="1"/>
    <x v="0"/>
    <n v="9400"/>
    <n v="62500"/>
    <n v="12"/>
    <n v="0.67800000000000005"/>
    <s v="Rejected"/>
    <x v="3"/>
    <n v="0"/>
    <n v="1"/>
    <n v="0"/>
    <m/>
    <n v="5"/>
    <n v="1"/>
    <n v="1"/>
  </r>
  <r>
    <s v="LA-704322"/>
    <d v="2025-09-11T00:00:00"/>
    <x v="1"/>
    <s v="Q3"/>
    <x v="8"/>
    <x v="1"/>
    <x v="2"/>
    <x v="2"/>
    <x v="0"/>
    <x v="1"/>
    <n v="2800"/>
    <n v="16000"/>
    <n v="36"/>
    <n v="0.41299999999999998"/>
    <s v="Rejected"/>
    <x v="0"/>
    <n v="0"/>
    <n v="1"/>
    <n v="0"/>
    <m/>
    <n v="2"/>
    <n v="1"/>
    <n v="1"/>
  </r>
  <r>
    <s v="LA-704323"/>
    <d v="2025-09-11T00:00:00"/>
    <x v="1"/>
    <s v="Q3"/>
    <x v="8"/>
    <x v="1"/>
    <x v="3"/>
    <x v="3"/>
    <x v="0"/>
    <x v="1"/>
    <n v="4600"/>
    <n v="7000"/>
    <n v="24"/>
    <n v="0.25"/>
    <s v="Approved"/>
    <x v="1"/>
    <n v="1"/>
    <n v="0"/>
    <n v="5500"/>
    <n v="0.12570000000000001"/>
    <n v="2"/>
    <n v="1"/>
    <n v="1"/>
  </r>
  <r>
    <s v="LA-704324"/>
    <d v="2025-09-11T00:00:00"/>
    <x v="1"/>
    <s v="Q3"/>
    <x v="8"/>
    <x v="1"/>
    <x v="3"/>
    <x v="1"/>
    <x v="1"/>
    <x v="4"/>
    <n v="8950"/>
    <n v="17500"/>
    <n v="12"/>
    <n v="0.32300000000000001"/>
    <s v="Rejected"/>
    <x v="4"/>
    <n v="0"/>
    <n v="1"/>
    <n v="0"/>
    <m/>
    <n v="12"/>
    <n v="0"/>
    <n v="1"/>
  </r>
  <r>
    <s v="LA-704325"/>
    <d v="2025-09-11T00:00:00"/>
    <x v="1"/>
    <s v="Q3"/>
    <x v="8"/>
    <x v="2"/>
    <x v="2"/>
    <x v="2"/>
    <x v="1"/>
    <x v="0"/>
    <n v="4000"/>
    <n v="53000"/>
    <n v="60"/>
    <n v="0.438"/>
    <s v="Approved"/>
    <x v="1"/>
    <n v="1"/>
    <n v="0"/>
    <n v="47500"/>
    <n v="0.1245"/>
    <n v="3"/>
    <n v="1"/>
    <n v="1"/>
  </r>
  <r>
    <s v="LA-704326"/>
    <d v="2025-09-11T00:00:00"/>
    <x v="1"/>
    <s v="Q3"/>
    <x v="8"/>
    <x v="0"/>
    <x v="0"/>
    <x v="1"/>
    <x v="1"/>
    <x v="0"/>
    <n v="5400"/>
    <n v="21500"/>
    <n v="48"/>
    <n v="0.156"/>
    <s v="Rejected"/>
    <x v="0"/>
    <n v="0"/>
    <n v="1"/>
    <n v="0"/>
    <m/>
    <n v="3"/>
    <n v="1"/>
    <n v="1"/>
  </r>
  <r>
    <s v="LA-704327"/>
    <d v="2025-09-11T00:00:00"/>
    <x v="1"/>
    <s v="Q3"/>
    <x v="8"/>
    <x v="3"/>
    <x v="3"/>
    <x v="4"/>
    <x v="0"/>
    <x v="0"/>
    <n v="11350"/>
    <n v="338000"/>
    <n v="300"/>
    <n v="0.38800000000000001"/>
    <s v="Approved"/>
    <x v="1"/>
    <n v="1"/>
    <n v="0"/>
    <n v="304000"/>
    <n v="7.4499999999999997E-2"/>
    <n v="19"/>
    <n v="0"/>
    <n v="1"/>
  </r>
  <r>
    <s v="LA-704328"/>
    <d v="2025-09-11T00:00:00"/>
    <x v="1"/>
    <s v="Q3"/>
    <x v="8"/>
    <x v="1"/>
    <x v="3"/>
    <x v="0"/>
    <x v="1"/>
    <x v="1"/>
    <n v="4000"/>
    <n v="8500"/>
    <n v="60"/>
    <n v="0.29399999999999998"/>
    <s v="Rejected"/>
    <x v="0"/>
    <n v="0"/>
    <n v="1"/>
    <n v="0"/>
    <m/>
    <n v="4"/>
    <n v="0"/>
    <n v="1"/>
  </r>
  <r>
    <s v="LA-704329"/>
    <d v="2025-09-11T00:00:00"/>
    <x v="1"/>
    <s v="Q3"/>
    <x v="8"/>
    <x v="2"/>
    <x v="2"/>
    <x v="2"/>
    <x v="1"/>
    <x v="0"/>
    <n v="7300"/>
    <n v="123500"/>
    <n v="12"/>
    <n v="1.625"/>
    <s v="Rejected"/>
    <x v="4"/>
    <n v="0"/>
    <n v="1"/>
    <n v="0"/>
    <m/>
    <n v="10"/>
    <n v="1"/>
    <n v="1"/>
  </r>
  <r>
    <s v="LA-704330"/>
    <d v="2025-09-11T00:00:00"/>
    <x v="1"/>
    <s v="Q3"/>
    <x v="8"/>
    <x v="3"/>
    <x v="0"/>
    <x v="1"/>
    <x v="1"/>
    <x v="0"/>
    <n v="3200"/>
    <n v="195000"/>
    <n v="300"/>
    <n v="0.57099999999999995"/>
    <s v="Rejected"/>
    <x v="0"/>
    <n v="0"/>
    <n v="1"/>
    <n v="0"/>
    <m/>
    <n v="9"/>
    <n v="1"/>
    <n v="1"/>
  </r>
  <r>
    <s v="LA-704331"/>
    <d v="2025-09-12T00:00:00"/>
    <x v="1"/>
    <s v="Q3"/>
    <x v="8"/>
    <x v="1"/>
    <x v="3"/>
    <x v="3"/>
    <x v="0"/>
    <x v="0"/>
    <n v="3000"/>
    <n v="10000"/>
    <n v="24"/>
    <n v="0.25900000000000001"/>
    <s v="Approved"/>
    <x v="1"/>
    <n v="1"/>
    <n v="0"/>
    <n v="10000"/>
    <n v="0.14099999999999999"/>
    <n v="2"/>
    <n v="1"/>
    <n v="1"/>
  </r>
  <r>
    <s v="LA-704332"/>
    <d v="2025-09-12T00:00:00"/>
    <x v="1"/>
    <s v="Q3"/>
    <x v="8"/>
    <x v="1"/>
    <x v="1"/>
    <x v="2"/>
    <x v="1"/>
    <x v="2"/>
    <n v="4000"/>
    <n v="19000"/>
    <n v="36"/>
    <n v="0.35399999999999998"/>
    <s v="Rejected"/>
    <x v="0"/>
    <n v="0"/>
    <n v="1"/>
    <n v="0"/>
    <m/>
    <n v="1"/>
    <n v="1"/>
    <n v="1"/>
  </r>
  <r>
    <s v="LA-704333"/>
    <d v="2025-09-12T00:00:00"/>
    <x v="1"/>
    <s v="Q3"/>
    <x v="8"/>
    <x v="1"/>
    <x v="2"/>
    <x v="0"/>
    <x v="0"/>
    <x v="2"/>
    <n v="4400"/>
    <n v="10000"/>
    <n v="48"/>
    <n v="0.155"/>
    <s v="Rejected"/>
    <x v="0"/>
    <n v="0"/>
    <n v="1"/>
    <n v="0"/>
    <m/>
    <n v="2"/>
    <n v="1"/>
    <n v="1"/>
  </r>
  <r>
    <s v="LA-704334"/>
    <d v="2025-09-12T00:00:00"/>
    <x v="1"/>
    <s v="Q3"/>
    <x v="8"/>
    <x v="3"/>
    <x v="3"/>
    <x v="2"/>
    <x v="0"/>
    <x v="1"/>
    <n v="5800"/>
    <n v="255500"/>
    <n v="180"/>
    <n v="0.44500000000000001"/>
    <s v="Rejected"/>
    <x v="2"/>
    <n v="0"/>
    <n v="1"/>
    <n v="0"/>
    <m/>
    <n v="16"/>
    <n v="0"/>
    <n v="1"/>
  </r>
  <r>
    <s v="LA-704335"/>
    <d v="2025-09-12T00:00:00"/>
    <x v="1"/>
    <s v="Q3"/>
    <x v="8"/>
    <x v="0"/>
    <x v="1"/>
    <x v="3"/>
    <x v="1"/>
    <x v="1"/>
    <n v="5500"/>
    <n v="27000"/>
    <n v="48"/>
    <n v="0.31"/>
    <s v="Approved"/>
    <x v="1"/>
    <n v="1"/>
    <n v="0"/>
    <n v="21500"/>
    <n v="8.5800000000000001E-2"/>
    <n v="1"/>
    <n v="1"/>
    <n v="1"/>
  </r>
  <r>
    <s v="LA-704336"/>
    <d v="2025-09-12T00:00:00"/>
    <x v="1"/>
    <s v="Q3"/>
    <x v="8"/>
    <x v="0"/>
    <x v="2"/>
    <x v="2"/>
    <x v="1"/>
    <x v="1"/>
    <n v="5350"/>
    <n v="26000"/>
    <n v="36"/>
    <n v="0.315"/>
    <s v="Approved"/>
    <x v="1"/>
    <n v="1"/>
    <n v="0"/>
    <n v="23500"/>
    <n v="7.6100000000000001E-2"/>
    <n v="2"/>
    <n v="1"/>
    <n v="1"/>
  </r>
  <r>
    <s v="LA-704337"/>
    <d v="2025-09-13T00:00:00"/>
    <x v="1"/>
    <s v="Q3"/>
    <x v="8"/>
    <x v="1"/>
    <x v="0"/>
    <x v="3"/>
    <x v="1"/>
    <x v="0"/>
    <n v="4500"/>
    <n v="6500"/>
    <n v="12"/>
    <n v="0.24299999999999999"/>
    <s v="Rejected"/>
    <x v="0"/>
    <n v="0"/>
    <n v="1"/>
    <n v="0"/>
    <m/>
    <n v="3"/>
    <n v="1"/>
    <n v="1"/>
  </r>
  <r>
    <s v="LA-704338"/>
    <d v="2025-09-13T00:00:00"/>
    <x v="1"/>
    <s v="Q3"/>
    <x v="8"/>
    <x v="0"/>
    <x v="0"/>
    <x v="1"/>
    <x v="1"/>
    <x v="0"/>
    <n v="4350"/>
    <n v="24000"/>
    <n v="36"/>
    <n v="0.33600000000000002"/>
    <s v="Rejected"/>
    <x v="4"/>
    <n v="0"/>
    <n v="1"/>
    <n v="0"/>
    <m/>
    <n v="9"/>
    <n v="0"/>
    <n v="1"/>
  </r>
  <r>
    <s v="LA-704339"/>
    <d v="2025-09-13T00:00:00"/>
    <x v="1"/>
    <s v="Q3"/>
    <x v="8"/>
    <x v="0"/>
    <x v="1"/>
    <x v="2"/>
    <x v="2"/>
    <x v="1"/>
    <n v="5500"/>
    <n v="20000"/>
    <n v="60"/>
    <n v="0.189"/>
    <s v="Rejected"/>
    <x v="4"/>
    <n v="0"/>
    <n v="1"/>
    <n v="0"/>
    <m/>
    <n v="6"/>
    <n v="0"/>
    <n v="1"/>
  </r>
  <r>
    <s v="LA-704340"/>
    <d v="2025-09-13T00:00:00"/>
    <x v="1"/>
    <s v="Q3"/>
    <x v="8"/>
    <x v="1"/>
    <x v="1"/>
    <x v="0"/>
    <x v="2"/>
    <x v="4"/>
    <n v="8600"/>
    <n v="12000"/>
    <n v="12"/>
    <n v="0.222"/>
    <s v="Approved"/>
    <x v="1"/>
    <n v="1"/>
    <n v="0"/>
    <n v="12000"/>
    <n v="0.11459999999999999"/>
    <n v="1"/>
    <n v="1"/>
    <n v="1"/>
  </r>
  <r>
    <s v="LA-704341"/>
    <d v="2025-09-13T00:00:00"/>
    <x v="1"/>
    <s v="Q3"/>
    <x v="8"/>
    <x v="1"/>
    <x v="1"/>
    <x v="2"/>
    <x v="1"/>
    <x v="1"/>
    <n v="4050"/>
    <n v="12000"/>
    <n v="36"/>
    <n v="0.34599999999999997"/>
    <s v="Approved"/>
    <x v="1"/>
    <n v="1"/>
    <n v="0"/>
    <n v="12000"/>
    <n v="0.124"/>
    <n v="2"/>
    <n v="1"/>
    <n v="1"/>
  </r>
  <r>
    <s v="LA-704342"/>
    <d v="2025-09-14T00:00:00"/>
    <x v="1"/>
    <s v="Q3"/>
    <x v="8"/>
    <x v="1"/>
    <x v="3"/>
    <x v="2"/>
    <x v="1"/>
    <x v="4"/>
    <n v="4000"/>
    <n v="15500"/>
    <n v="48"/>
    <n v="0.187"/>
    <s v="Approved"/>
    <x v="1"/>
    <n v="1"/>
    <n v="0"/>
    <n v="12500"/>
    <n v="0.1159"/>
    <n v="5"/>
    <n v="0"/>
    <n v="1"/>
  </r>
  <r>
    <s v="LA-704343"/>
    <d v="2025-09-14T00:00:00"/>
    <x v="1"/>
    <s v="Q3"/>
    <x v="8"/>
    <x v="1"/>
    <x v="3"/>
    <x v="2"/>
    <x v="1"/>
    <x v="4"/>
    <n v="6850"/>
    <n v="12000"/>
    <n v="60"/>
    <n v="0.187"/>
    <s v="Approved"/>
    <x v="1"/>
    <n v="1"/>
    <n v="0"/>
    <n v="12000"/>
    <n v="0.1124"/>
    <n v="5"/>
    <n v="0"/>
    <n v="1"/>
  </r>
  <r>
    <s v="LA-704344"/>
    <d v="2025-09-14T00:00:00"/>
    <x v="1"/>
    <s v="Q3"/>
    <x v="8"/>
    <x v="1"/>
    <x v="3"/>
    <x v="0"/>
    <x v="0"/>
    <x v="1"/>
    <n v="6000"/>
    <n v="7000"/>
    <n v="36"/>
    <n v="0.14299999999999999"/>
    <s v="Approved"/>
    <x v="1"/>
    <n v="1"/>
    <n v="0"/>
    <n v="5500"/>
    <n v="0.12709999999999999"/>
    <n v="6"/>
    <n v="0"/>
    <n v="1"/>
  </r>
  <r>
    <s v="LA-704345"/>
    <d v="2025-09-15T00:00:00"/>
    <x v="1"/>
    <s v="Q3"/>
    <x v="8"/>
    <x v="3"/>
    <x v="1"/>
    <x v="3"/>
    <x v="0"/>
    <x v="0"/>
    <n v="6750"/>
    <n v="139000"/>
    <n v="180"/>
    <n v="0.32800000000000001"/>
    <s v="Rejected"/>
    <x v="0"/>
    <n v="0"/>
    <n v="1"/>
    <n v="0"/>
    <m/>
    <n v="3"/>
    <n v="1"/>
    <n v="1"/>
  </r>
  <r>
    <s v="LA-704346"/>
    <d v="2025-09-15T00:00:00"/>
    <x v="1"/>
    <s v="Q3"/>
    <x v="8"/>
    <x v="1"/>
    <x v="3"/>
    <x v="4"/>
    <x v="0"/>
    <x v="0"/>
    <n v="7300"/>
    <n v="19000"/>
    <n v="60"/>
    <n v="0.217"/>
    <s v="Approved"/>
    <x v="1"/>
    <n v="1"/>
    <n v="0"/>
    <n v="17000"/>
    <n v="0.13900000000000001"/>
    <n v="3"/>
    <n v="1"/>
    <n v="1"/>
  </r>
  <r>
    <s v="LA-704347"/>
    <d v="2025-09-15T00:00:00"/>
    <x v="1"/>
    <s v="Q3"/>
    <x v="8"/>
    <x v="3"/>
    <x v="2"/>
    <x v="3"/>
    <x v="0"/>
    <x v="4"/>
    <n v="4800"/>
    <n v="248500"/>
    <n v="300"/>
    <n v="0.40200000000000002"/>
    <s v="Approved"/>
    <x v="1"/>
    <n v="1"/>
    <n v="0"/>
    <n v="223500"/>
    <n v="4.7699999999999999E-2"/>
    <n v="6"/>
    <n v="1"/>
    <n v="1"/>
  </r>
  <r>
    <s v="LA-704348"/>
    <d v="2025-09-15T00:00:00"/>
    <x v="1"/>
    <s v="Q3"/>
    <x v="8"/>
    <x v="2"/>
    <x v="2"/>
    <x v="1"/>
    <x v="0"/>
    <x v="0"/>
    <n v="2750"/>
    <n v="92500"/>
    <n v="12"/>
    <n v="3.073"/>
    <s v="Withdrawn"/>
    <x v="1"/>
    <n v="0"/>
    <n v="0"/>
    <n v="0"/>
    <m/>
    <n v="9"/>
    <n v="1"/>
    <n v="1"/>
  </r>
  <r>
    <s v="LA-704349"/>
    <d v="2025-09-15T00:00:00"/>
    <x v="1"/>
    <s v="Q3"/>
    <x v="8"/>
    <x v="3"/>
    <x v="0"/>
    <x v="1"/>
    <x v="0"/>
    <x v="0"/>
    <n v="11300"/>
    <n v="323000"/>
    <n v="240"/>
    <n v="0.41699999999999998"/>
    <s v="Approved"/>
    <x v="1"/>
    <n v="1"/>
    <n v="0"/>
    <n v="323000"/>
    <n v="7.0400000000000004E-2"/>
    <n v="17"/>
    <n v="0"/>
    <n v="1"/>
  </r>
  <r>
    <s v="LA-704350"/>
    <d v="2025-09-15T00:00:00"/>
    <x v="1"/>
    <s v="Q3"/>
    <x v="8"/>
    <x v="1"/>
    <x v="1"/>
    <x v="2"/>
    <x v="0"/>
    <x v="2"/>
    <n v="3700"/>
    <n v="9500"/>
    <n v="48"/>
    <n v="0.27200000000000002"/>
    <s v="Rejected"/>
    <x v="0"/>
    <n v="0"/>
    <n v="1"/>
    <n v="0"/>
    <m/>
    <n v="1"/>
    <n v="1"/>
    <n v="1"/>
  </r>
  <r>
    <s v="LA-704351"/>
    <d v="2025-09-15T00:00:00"/>
    <x v="1"/>
    <s v="Q3"/>
    <x v="8"/>
    <x v="0"/>
    <x v="0"/>
    <x v="3"/>
    <x v="2"/>
    <x v="4"/>
    <n v="5150"/>
    <n v="28000"/>
    <n v="36"/>
    <n v="0.24399999999999999"/>
    <s v="Rejected"/>
    <x v="4"/>
    <n v="0"/>
    <n v="1"/>
    <n v="0"/>
    <m/>
    <n v="8"/>
    <n v="0"/>
    <n v="1"/>
  </r>
  <r>
    <s v="LA-704352"/>
    <d v="2025-09-16T00:00:00"/>
    <x v="1"/>
    <s v="Q3"/>
    <x v="8"/>
    <x v="0"/>
    <x v="1"/>
    <x v="2"/>
    <x v="0"/>
    <x v="0"/>
    <n v="3550"/>
    <n v="36000"/>
    <n v="36"/>
    <n v="0.44600000000000001"/>
    <s v="Approved"/>
    <x v="1"/>
    <n v="1"/>
    <n v="0"/>
    <n v="36000"/>
    <n v="9.4899999999999998E-2"/>
    <n v="1"/>
    <n v="1"/>
    <n v="1"/>
  </r>
  <r>
    <s v="LA-704353"/>
    <d v="2025-09-16T00:00:00"/>
    <x v="1"/>
    <s v="Q3"/>
    <x v="8"/>
    <x v="1"/>
    <x v="0"/>
    <x v="2"/>
    <x v="2"/>
    <x v="2"/>
    <n v="3200"/>
    <n v="16500"/>
    <n v="12"/>
    <n v="0.54600000000000004"/>
    <s v="Rejected"/>
    <x v="3"/>
    <n v="0"/>
    <n v="1"/>
    <n v="0"/>
    <m/>
    <n v="4"/>
    <n v="0"/>
    <n v="1"/>
  </r>
  <r>
    <s v="LA-704354"/>
    <d v="2025-09-16T00:00:00"/>
    <x v="1"/>
    <s v="Q3"/>
    <x v="8"/>
    <x v="1"/>
    <x v="3"/>
    <x v="2"/>
    <x v="0"/>
    <x v="0"/>
    <n v="4250"/>
    <n v="7000"/>
    <n v="48"/>
    <n v="0.22600000000000001"/>
    <s v="Approved"/>
    <x v="1"/>
    <n v="1"/>
    <n v="0"/>
    <n v="6500"/>
    <n v="0.14410000000000001"/>
    <n v="8"/>
    <n v="0"/>
    <n v="1"/>
  </r>
  <r>
    <s v="LA-704355"/>
    <d v="2025-09-16T00:00:00"/>
    <x v="1"/>
    <s v="Q3"/>
    <x v="8"/>
    <x v="3"/>
    <x v="2"/>
    <x v="2"/>
    <x v="2"/>
    <x v="0"/>
    <n v="4250"/>
    <n v="290000"/>
    <n v="240"/>
    <n v="0.51400000000000001"/>
    <s v="Approved"/>
    <x v="1"/>
    <n v="1"/>
    <n v="0"/>
    <n v="232000"/>
    <n v="7.1900000000000006E-2"/>
    <n v="5"/>
    <n v="1"/>
    <n v="1"/>
  </r>
  <r>
    <s v="LA-704356"/>
    <d v="2025-09-16T00:00:00"/>
    <x v="1"/>
    <s v="Q3"/>
    <x v="8"/>
    <x v="1"/>
    <x v="3"/>
    <x v="2"/>
    <x v="1"/>
    <x v="0"/>
    <n v="5100"/>
    <n v="12000"/>
    <n v="36"/>
    <n v="0.29499999999999998"/>
    <s v="Rejected"/>
    <x v="0"/>
    <n v="0"/>
    <n v="1"/>
    <n v="0"/>
    <m/>
    <n v="3"/>
    <n v="1"/>
    <n v="1"/>
  </r>
  <r>
    <s v="LA-704357"/>
    <d v="2025-09-16T00:00:00"/>
    <x v="1"/>
    <s v="Q3"/>
    <x v="8"/>
    <x v="0"/>
    <x v="1"/>
    <x v="1"/>
    <x v="0"/>
    <x v="1"/>
    <n v="5750"/>
    <n v="22500"/>
    <n v="36"/>
    <n v="0.34"/>
    <s v="Rejected"/>
    <x v="4"/>
    <n v="0"/>
    <n v="1"/>
    <n v="0"/>
    <m/>
    <n v="6"/>
    <n v="0"/>
    <n v="1"/>
  </r>
  <r>
    <s v="LA-704358"/>
    <d v="2025-09-16T00:00:00"/>
    <x v="1"/>
    <s v="Q3"/>
    <x v="8"/>
    <x v="0"/>
    <x v="2"/>
    <x v="2"/>
    <x v="1"/>
    <x v="0"/>
    <n v="3000"/>
    <n v="25500"/>
    <n v="36"/>
    <n v="0.38"/>
    <s v="Approved"/>
    <x v="1"/>
    <n v="1"/>
    <n v="0"/>
    <n v="25500"/>
    <n v="9.3700000000000006E-2"/>
    <n v="3"/>
    <n v="1"/>
    <n v="1"/>
  </r>
  <r>
    <s v="LA-704359"/>
    <d v="2025-09-16T00:00:00"/>
    <x v="1"/>
    <s v="Q3"/>
    <x v="8"/>
    <x v="1"/>
    <x v="3"/>
    <x v="0"/>
    <x v="0"/>
    <x v="2"/>
    <n v="4400"/>
    <n v="9000"/>
    <n v="48"/>
    <n v="0.25600000000000001"/>
    <s v="Rejected"/>
    <x v="2"/>
    <n v="0"/>
    <n v="1"/>
    <n v="0"/>
    <m/>
    <n v="3"/>
    <n v="1"/>
    <n v="1"/>
  </r>
  <r>
    <s v="LA-704360"/>
    <d v="2025-09-16T00:00:00"/>
    <x v="1"/>
    <s v="Q3"/>
    <x v="8"/>
    <x v="1"/>
    <x v="3"/>
    <x v="1"/>
    <x v="0"/>
    <x v="4"/>
    <n v="5500"/>
    <n v="15000"/>
    <n v="24"/>
    <n v="0.23100000000000001"/>
    <s v="Rejected"/>
    <x v="0"/>
    <n v="0"/>
    <n v="1"/>
    <n v="0"/>
    <m/>
    <n v="3"/>
    <n v="1"/>
    <n v="1"/>
  </r>
  <r>
    <s v="LA-704361"/>
    <d v="2025-09-17T00:00:00"/>
    <x v="1"/>
    <s v="Q3"/>
    <x v="8"/>
    <x v="1"/>
    <x v="2"/>
    <x v="0"/>
    <x v="0"/>
    <x v="1"/>
    <n v="6250"/>
    <n v="15000"/>
    <n v="60"/>
    <n v="0.28499999999999998"/>
    <s v="Approved"/>
    <x v="1"/>
    <n v="1"/>
    <n v="0"/>
    <n v="15000"/>
    <n v="0.1275"/>
    <n v="1"/>
    <n v="1"/>
    <n v="1"/>
  </r>
  <r>
    <s v="LA-704362"/>
    <d v="2025-09-17T00:00:00"/>
    <x v="1"/>
    <s v="Q3"/>
    <x v="8"/>
    <x v="2"/>
    <x v="0"/>
    <x v="2"/>
    <x v="2"/>
    <x v="4"/>
    <n v="7050"/>
    <n v="89000"/>
    <n v="12"/>
    <n v="1.2789999999999999"/>
    <s v="Approved"/>
    <x v="1"/>
    <n v="1"/>
    <n v="0"/>
    <n v="89000"/>
    <n v="9.6500000000000002E-2"/>
    <n v="14"/>
    <n v="0"/>
    <n v="1"/>
  </r>
  <r>
    <s v="LA-704363"/>
    <d v="2025-09-17T00:00:00"/>
    <x v="1"/>
    <s v="Q3"/>
    <x v="8"/>
    <x v="3"/>
    <x v="3"/>
    <x v="2"/>
    <x v="0"/>
    <x v="0"/>
    <n v="5400"/>
    <n v="483000"/>
    <n v="180"/>
    <n v="0.89400000000000002"/>
    <s v="Rejected"/>
    <x v="0"/>
    <n v="0"/>
    <n v="1"/>
    <n v="0"/>
    <m/>
    <n v="13"/>
    <n v="1"/>
    <n v="1"/>
  </r>
  <r>
    <s v="LA-704364"/>
    <d v="2025-09-17T00:00:00"/>
    <x v="1"/>
    <s v="Q3"/>
    <x v="8"/>
    <x v="0"/>
    <x v="0"/>
    <x v="3"/>
    <x v="0"/>
    <x v="2"/>
    <n v="8000"/>
    <n v="26000"/>
    <n v="60"/>
    <n v="0.30099999999999999"/>
    <s v="Rejected"/>
    <x v="0"/>
    <n v="0"/>
    <n v="1"/>
    <n v="0"/>
    <m/>
    <n v="11"/>
    <n v="0"/>
    <n v="1"/>
  </r>
  <r>
    <s v="LA-704365"/>
    <d v="2025-09-17T00:00:00"/>
    <x v="1"/>
    <s v="Q3"/>
    <x v="8"/>
    <x v="0"/>
    <x v="3"/>
    <x v="1"/>
    <x v="0"/>
    <x v="3"/>
    <n v="3900"/>
    <n v="30000"/>
    <n v="48"/>
    <n v="0.37"/>
    <s v="Approved"/>
    <x v="1"/>
    <n v="1"/>
    <n v="0"/>
    <n v="24000"/>
    <n v="6.3399999999999998E-2"/>
    <n v="4"/>
    <n v="1"/>
    <n v="1"/>
  </r>
  <r>
    <s v="LA-704366"/>
    <d v="2025-09-17T00:00:00"/>
    <x v="1"/>
    <s v="Q3"/>
    <x v="8"/>
    <x v="1"/>
    <x v="1"/>
    <x v="3"/>
    <x v="1"/>
    <x v="4"/>
    <n v="7450"/>
    <n v="12000"/>
    <n v="36"/>
    <n v="0.19400000000000001"/>
    <s v="Approved"/>
    <x v="1"/>
    <n v="1"/>
    <n v="0"/>
    <n v="12000"/>
    <n v="0.11559999999999999"/>
    <n v="2"/>
    <n v="1"/>
    <n v="1"/>
  </r>
  <r>
    <s v="LA-704367"/>
    <d v="2025-09-17T00:00:00"/>
    <x v="1"/>
    <s v="Q3"/>
    <x v="8"/>
    <x v="1"/>
    <x v="3"/>
    <x v="1"/>
    <x v="2"/>
    <x v="4"/>
    <n v="7350"/>
    <n v="12500"/>
    <n v="24"/>
    <n v="0.28100000000000003"/>
    <s v="Approved"/>
    <x v="1"/>
    <n v="1"/>
    <n v="0"/>
    <n v="10000"/>
    <n v="0.1154"/>
    <n v="5"/>
    <n v="0"/>
    <n v="1"/>
  </r>
  <r>
    <s v="LA-704368"/>
    <d v="2025-09-17T00:00:00"/>
    <x v="1"/>
    <s v="Q3"/>
    <x v="8"/>
    <x v="1"/>
    <x v="0"/>
    <x v="1"/>
    <x v="1"/>
    <x v="4"/>
    <n v="5300"/>
    <n v="11500"/>
    <n v="60"/>
    <n v="0.27700000000000002"/>
    <s v="Approved"/>
    <x v="1"/>
    <n v="1"/>
    <n v="0"/>
    <n v="9000"/>
    <n v="0.1153"/>
    <n v="4"/>
    <n v="0"/>
    <n v="1"/>
  </r>
  <r>
    <s v="LA-704369"/>
    <d v="2025-09-17T00:00:00"/>
    <x v="1"/>
    <s v="Q3"/>
    <x v="8"/>
    <x v="1"/>
    <x v="2"/>
    <x v="4"/>
    <x v="0"/>
    <x v="1"/>
    <n v="6650"/>
    <n v="8500"/>
    <n v="60"/>
    <n v="0.13"/>
    <s v="Approved"/>
    <x v="1"/>
    <n v="1"/>
    <n v="0"/>
    <n v="8500"/>
    <n v="0.12429999999999999"/>
    <n v="2"/>
    <n v="1"/>
    <n v="1"/>
  </r>
  <r>
    <s v="LA-704370"/>
    <d v="2025-09-17T00:00:00"/>
    <x v="1"/>
    <s v="Q3"/>
    <x v="8"/>
    <x v="0"/>
    <x v="0"/>
    <x v="0"/>
    <x v="2"/>
    <x v="4"/>
    <n v="5650"/>
    <n v="27500"/>
    <n v="60"/>
    <n v="0.23"/>
    <s v="Approved"/>
    <x v="1"/>
    <n v="1"/>
    <n v="0"/>
    <n v="27500"/>
    <n v="6.6699999999999995E-2"/>
    <n v="4"/>
    <n v="1"/>
    <n v="1"/>
  </r>
  <r>
    <s v="LA-704371"/>
    <d v="2025-09-17T00:00:00"/>
    <x v="1"/>
    <s v="Q3"/>
    <x v="8"/>
    <x v="0"/>
    <x v="3"/>
    <x v="4"/>
    <x v="0"/>
    <x v="3"/>
    <n v="6700"/>
    <n v="53500"/>
    <n v="48"/>
    <n v="0.41299999999999998"/>
    <s v="Withdrawn"/>
    <x v="1"/>
    <n v="0"/>
    <n v="0"/>
    <n v="0"/>
    <m/>
    <n v="9"/>
    <n v="0"/>
    <n v="1"/>
  </r>
  <r>
    <s v="LA-704372"/>
    <d v="2025-09-17T00:00:00"/>
    <x v="1"/>
    <s v="Q3"/>
    <x v="8"/>
    <x v="2"/>
    <x v="2"/>
    <x v="2"/>
    <x v="1"/>
    <x v="1"/>
    <n v="3300"/>
    <n v="103500"/>
    <n v="12"/>
    <n v="2.827"/>
    <s v="Rejected"/>
    <x v="3"/>
    <n v="0"/>
    <n v="1"/>
    <n v="0"/>
    <m/>
    <n v="6"/>
    <n v="1"/>
    <n v="1"/>
  </r>
  <r>
    <s v="LA-704373"/>
    <d v="2025-09-17T00:00:00"/>
    <x v="1"/>
    <s v="Q3"/>
    <x v="8"/>
    <x v="2"/>
    <x v="1"/>
    <x v="1"/>
    <x v="0"/>
    <x v="2"/>
    <n v="7400"/>
    <n v="73500"/>
    <n v="24"/>
    <n v="0.55200000000000005"/>
    <s v="Rejected"/>
    <x v="0"/>
    <n v="0"/>
    <n v="1"/>
    <n v="0"/>
    <m/>
    <n v="4"/>
    <n v="1"/>
    <n v="1"/>
  </r>
  <r>
    <s v="LA-704374"/>
    <d v="2025-09-18T00:00:00"/>
    <x v="1"/>
    <s v="Q3"/>
    <x v="8"/>
    <x v="0"/>
    <x v="0"/>
    <x v="2"/>
    <x v="2"/>
    <x v="2"/>
    <n v="7200"/>
    <n v="19000"/>
    <n v="60"/>
    <n v="0.16300000000000001"/>
    <s v="Withdrawn"/>
    <x v="1"/>
    <n v="0"/>
    <n v="0"/>
    <n v="0"/>
    <m/>
    <n v="11"/>
    <n v="0"/>
    <n v="1"/>
  </r>
  <r>
    <s v="LA-704375"/>
    <d v="2025-09-18T00:00:00"/>
    <x v="1"/>
    <s v="Q3"/>
    <x v="8"/>
    <x v="0"/>
    <x v="3"/>
    <x v="4"/>
    <x v="1"/>
    <x v="0"/>
    <n v="7750"/>
    <n v="53000"/>
    <n v="36"/>
    <n v="0.33200000000000002"/>
    <s v="Rejected"/>
    <x v="0"/>
    <n v="0"/>
    <n v="1"/>
    <n v="0"/>
    <m/>
    <n v="5"/>
    <n v="0"/>
    <n v="1"/>
  </r>
  <r>
    <s v="LA-704376"/>
    <d v="2025-09-18T00:00:00"/>
    <x v="1"/>
    <s v="Q3"/>
    <x v="8"/>
    <x v="2"/>
    <x v="2"/>
    <x v="2"/>
    <x v="0"/>
    <x v="1"/>
    <n v="5250"/>
    <n v="115000"/>
    <n v="36"/>
    <n v="0.76800000000000002"/>
    <s v="Rejected"/>
    <x v="3"/>
    <n v="0"/>
    <n v="1"/>
    <n v="0"/>
    <m/>
    <n v="3"/>
    <n v="1"/>
    <n v="1"/>
  </r>
  <r>
    <s v="LA-704377"/>
    <d v="2025-09-18T00:00:00"/>
    <x v="1"/>
    <s v="Q3"/>
    <x v="8"/>
    <x v="1"/>
    <x v="2"/>
    <x v="2"/>
    <x v="0"/>
    <x v="0"/>
    <n v="7500"/>
    <n v="17000"/>
    <n v="36"/>
    <n v="0.27800000000000002"/>
    <s v="Rejected"/>
    <x v="0"/>
    <n v="0"/>
    <n v="1"/>
    <n v="0"/>
    <m/>
    <n v="2"/>
    <n v="1"/>
    <n v="1"/>
  </r>
  <r>
    <s v="LA-704378"/>
    <d v="2025-09-18T00:00:00"/>
    <x v="1"/>
    <s v="Q3"/>
    <x v="8"/>
    <x v="1"/>
    <x v="2"/>
    <x v="3"/>
    <x v="2"/>
    <x v="1"/>
    <n v="11350"/>
    <n v="14000"/>
    <n v="36"/>
    <n v="0.27300000000000002"/>
    <s v="Approved"/>
    <x v="1"/>
    <n v="1"/>
    <n v="0"/>
    <n v="12500"/>
    <n v="0.125"/>
    <n v="2"/>
    <n v="1"/>
    <n v="1"/>
  </r>
  <r>
    <s v="LA-704379"/>
    <d v="2025-09-18T00:00:00"/>
    <x v="1"/>
    <s v="Q3"/>
    <x v="8"/>
    <x v="1"/>
    <x v="3"/>
    <x v="1"/>
    <x v="0"/>
    <x v="0"/>
    <n v="7450"/>
    <n v="21000"/>
    <n v="12"/>
    <n v="0.45"/>
    <s v="Rejected"/>
    <x v="0"/>
    <n v="0"/>
    <n v="1"/>
    <n v="0"/>
    <m/>
    <n v="5"/>
    <n v="0"/>
    <n v="1"/>
  </r>
  <r>
    <s v="LA-704380"/>
    <d v="2025-09-18T00:00:00"/>
    <x v="1"/>
    <s v="Q3"/>
    <x v="8"/>
    <x v="0"/>
    <x v="1"/>
    <x v="3"/>
    <x v="0"/>
    <x v="1"/>
    <n v="4400"/>
    <n v="59000"/>
    <n v="48"/>
    <n v="0.503"/>
    <s v="Approved"/>
    <x v="1"/>
    <n v="1"/>
    <n v="0"/>
    <n v="53000"/>
    <n v="8.4000000000000005E-2"/>
    <n v="2"/>
    <n v="1"/>
    <n v="1"/>
  </r>
  <r>
    <s v="LA-704381"/>
    <d v="2025-09-18T00:00:00"/>
    <x v="1"/>
    <s v="Q3"/>
    <x v="8"/>
    <x v="0"/>
    <x v="1"/>
    <x v="1"/>
    <x v="0"/>
    <x v="1"/>
    <n v="13500"/>
    <n v="21000"/>
    <n v="48"/>
    <n v="0.122"/>
    <s v="Approved"/>
    <x v="1"/>
    <n v="1"/>
    <n v="0"/>
    <n v="17000"/>
    <n v="8.0699999999999994E-2"/>
    <n v="2"/>
    <n v="1"/>
    <n v="1"/>
  </r>
  <r>
    <s v="LA-704382"/>
    <d v="2025-09-18T00:00:00"/>
    <x v="1"/>
    <s v="Q3"/>
    <x v="8"/>
    <x v="0"/>
    <x v="2"/>
    <x v="3"/>
    <x v="1"/>
    <x v="1"/>
    <n v="10000"/>
    <n v="27500"/>
    <n v="36"/>
    <n v="0.32"/>
    <s v="Approved"/>
    <x v="1"/>
    <n v="1"/>
    <n v="0"/>
    <n v="25000"/>
    <n v="7.7799999999999994E-2"/>
    <n v="2"/>
    <n v="1"/>
    <n v="1"/>
  </r>
  <r>
    <s v="LA-704383"/>
    <d v="2025-09-18T00:00:00"/>
    <x v="1"/>
    <s v="Q3"/>
    <x v="8"/>
    <x v="1"/>
    <x v="0"/>
    <x v="1"/>
    <x v="1"/>
    <x v="1"/>
    <n v="4700"/>
    <n v="13500"/>
    <n v="24"/>
    <n v="0.32700000000000001"/>
    <s v="Rejected"/>
    <x v="5"/>
    <n v="0"/>
    <n v="1"/>
    <n v="0"/>
    <m/>
    <n v="3"/>
    <n v="1"/>
    <n v="1"/>
  </r>
  <r>
    <s v="LA-704384"/>
    <d v="2025-09-19T00:00:00"/>
    <x v="1"/>
    <s v="Q3"/>
    <x v="8"/>
    <x v="0"/>
    <x v="2"/>
    <x v="2"/>
    <x v="0"/>
    <x v="4"/>
    <n v="10100"/>
    <n v="83500"/>
    <n v="60"/>
    <n v="0.22"/>
    <s v="Approved"/>
    <x v="1"/>
    <n v="1"/>
    <n v="0"/>
    <n v="83500"/>
    <n v="7.1199999999999999E-2"/>
    <n v="1"/>
    <n v="1"/>
    <n v="1"/>
  </r>
  <r>
    <s v="LA-704385"/>
    <d v="2025-09-19T00:00:00"/>
    <x v="1"/>
    <s v="Q3"/>
    <x v="8"/>
    <x v="1"/>
    <x v="3"/>
    <x v="0"/>
    <x v="0"/>
    <x v="2"/>
    <n v="3500"/>
    <n v="12500"/>
    <n v="48"/>
    <n v="0.153"/>
    <s v="Rejected"/>
    <x v="0"/>
    <n v="0"/>
    <n v="1"/>
    <n v="0"/>
    <m/>
    <n v="3"/>
    <n v="1"/>
    <n v="1"/>
  </r>
  <r>
    <s v="LA-704386"/>
    <d v="2025-09-19T00:00:00"/>
    <x v="1"/>
    <s v="Q3"/>
    <x v="8"/>
    <x v="0"/>
    <x v="2"/>
    <x v="3"/>
    <x v="2"/>
    <x v="1"/>
    <n v="6550"/>
    <n v="29000"/>
    <n v="36"/>
    <n v="0.21199999999999999"/>
    <s v="Rejected"/>
    <x v="0"/>
    <n v="0"/>
    <n v="1"/>
    <n v="0"/>
    <m/>
    <n v="1"/>
    <n v="1"/>
    <n v="1"/>
  </r>
  <r>
    <s v="LA-704387"/>
    <d v="2025-09-19T00:00:00"/>
    <x v="1"/>
    <s v="Q3"/>
    <x v="8"/>
    <x v="2"/>
    <x v="2"/>
    <x v="2"/>
    <x v="1"/>
    <x v="1"/>
    <n v="2600"/>
    <n v="185500"/>
    <n v="12"/>
    <n v="6.4450000000000003"/>
    <s v="Withdrawn"/>
    <x v="1"/>
    <n v="0"/>
    <n v="0"/>
    <n v="0"/>
    <m/>
    <n v="3"/>
    <n v="1"/>
    <n v="1"/>
  </r>
  <r>
    <s v="LA-704388"/>
    <d v="2025-09-19T00:00:00"/>
    <x v="1"/>
    <s v="Q3"/>
    <x v="8"/>
    <x v="0"/>
    <x v="2"/>
    <x v="0"/>
    <x v="0"/>
    <x v="1"/>
    <n v="9250"/>
    <n v="40000"/>
    <n v="48"/>
    <n v="0.16200000000000001"/>
    <s v="Approved"/>
    <x v="1"/>
    <n v="1"/>
    <n v="0"/>
    <n v="36000"/>
    <n v="7.8600000000000003E-2"/>
    <n v="2"/>
    <n v="1"/>
    <n v="1"/>
  </r>
  <r>
    <s v="LA-704389"/>
    <d v="2025-09-19T00:00:00"/>
    <x v="1"/>
    <s v="Q3"/>
    <x v="8"/>
    <x v="2"/>
    <x v="1"/>
    <x v="2"/>
    <x v="0"/>
    <x v="1"/>
    <n v="6300"/>
    <n v="79000"/>
    <n v="24"/>
    <n v="0.70299999999999996"/>
    <s v="Approved"/>
    <x v="1"/>
    <n v="1"/>
    <n v="0"/>
    <n v="63000"/>
    <n v="0.1105"/>
    <n v="3"/>
    <n v="1"/>
    <n v="1"/>
  </r>
  <r>
    <s v="LA-704390"/>
    <d v="2025-09-19T00:00:00"/>
    <x v="1"/>
    <s v="Q3"/>
    <x v="8"/>
    <x v="0"/>
    <x v="3"/>
    <x v="0"/>
    <x v="1"/>
    <x v="0"/>
    <n v="7450"/>
    <n v="37500"/>
    <n v="36"/>
    <n v="0.221"/>
    <s v="Rejected"/>
    <x v="0"/>
    <n v="0"/>
    <n v="1"/>
    <n v="0"/>
    <m/>
    <n v="7"/>
    <n v="0"/>
    <n v="1"/>
  </r>
  <r>
    <s v="LA-704391"/>
    <d v="2025-09-19T00:00:00"/>
    <x v="1"/>
    <s v="Q3"/>
    <x v="8"/>
    <x v="2"/>
    <x v="2"/>
    <x v="3"/>
    <x v="0"/>
    <x v="3"/>
    <n v="8950"/>
    <n v="142500"/>
    <n v="60"/>
    <n v="0.53500000000000003"/>
    <s v="Withdrawn"/>
    <x v="1"/>
    <n v="0"/>
    <n v="0"/>
    <n v="0"/>
    <m/>
    <n v="4"/>
    <n v="1"/>
    <n v="1"/>
  </r>
  <r>
    <s v="LA-704392"/>
    <d v="2025-09-19T00:00:00"/>
    <x v="1"/>
    <s v="Q3"/>
    <x v="8"/>
    <x v="2"/>
    <x v="2"/>
    <x v="1"/>
    <x v="1"/>
    <x v="4"/>
    <n v="8650"/>
    <n v="125000"/>
    <n v="24"/>
    <n v="0.91300000000000003"/>
    <s v="Rejected"/>
    <x v="3"/>
    <n v="0"/>
    <n v="1"/>
    <n v="0"/>
    <m/>
    <n v="8"/>
    <n v="1"/>
    <n v="1"/>
  </r>
  <r>
    <s v="LA-704393"/>
    <d v="2025-09-19T00:00:00"/>
    <x v="1"/>
    <s v="Q3"/>
    <x v="8"/>
    <x v="0"/>
    <x v="1"/>
    <x v="1"/>
    <x v="1"/>
    <x v="3"/>
    <n v="7100"/>
    <n v="23500"/>
    <n v="36"/>
    <n v="0.311"/>
    <s v="Rejected"/>
    <x v="4"/>
    <n v="0"/>
    <n v="1"/>
    <n v="0"/>
    <m/>
    <n v="7"/>
    <n v="0"/>
    <n v="1"/>
  </r>
  <r>
    <s v="LA-704394"/>
    <d v="2025-09-20T00:00:00"/>
    <x v="1"/>
    <s v="Q3"/>
    <x v="8"/>
    <x v="1"/>
    <x v="3"/>
    <x v="2"/>
    <x v="1"/>
    <x v="4"/>
    <n v="11250"/>
    <n v="9500"/>
    <n v="60"/>
    <n v="0.14000000000000001"/>
    <s v="Approved"/>
    <x v="1"/>
    <n v="1"/>
    <n v="0"/>
    <n v="8500"/>
    <n v="0.1164"/>
    <n v="5"/>
    <n v="0"/>
    <n v="1"/>
  </r>
  <r>
    <s v="LA-704395"/>
    <d v="2025-09-20T00:00:00"/>
    <x v="1"/>
    <s v="Q3"/>
    <x v="8"/>
    <x v="1"/>
    <x v="2"/>
    <x v="1"/>
    <x v="1"/>
    <x v="4"/>
    <n v="4400"/>
    <n v="13500"/>
    <n v="60"/>
    <n v="0.153"/>
    <s v="Approved"/>
    <x v="1"/>
    <n v="1"/>
    <n v="0"/>
    <n v="13500"/>
    <n v="0.1129"/>
    <n v="2"/>
    <n v="1"/>
    <n v="1"/>
  </r>
  <r>
    <s v="LA-704396"/>
    <d v="2025-09-20T00:00:00"/>
    <x v="1"/>
    <s v="Q3"/>
    <x v="8"/>
    <x v="1"/>
    <x v="1"/>
    <x v="2"/>
    <x v="0"/>
    <x v="0"/>
    <n v="5150"/>
    <n v="5500"/>
    <n v="48"/>
    <n v="0.193"/>
    <s v="Rejected"/>
    <x v="0"/>
    <n v="0"/>
    <n v="1"/>
    <n v="0"/>
    <m/>
    <n v="2"/>
    <n v="1"/>
    <n v="1"/>
  </r>
  <r>
    <s v="LA-704397"/>
    <d v="2025-09-20T00:00:00"/>
    <x v="1"/>
    <s v="Q3"/>
    <x v="8"/>
    <x v="0"/>
    <x v="2"/>
    <x v="3"/>
    <x v="0"/>
    <x v="0"/>
    <n v="5900"/>
    <n v="44000"/>
    <n v="60"/>
    <n v="0.20499999999999999"/>
    <s v="Rejected"/>
    <x v="0"/>
    <n v="0"/>
    <n v="1"/>
    <n v="0"/>
    <m/>
    <n v="2"/>
    <n v="1"/>
    <n v="1"/>
  </r>
  <r>
    <s v="LA-704398"/>
    <d v="2025-09-20T00:00:00"/>
    <x v="1"/>
    <s v="Q3"/>
    <x v="8"/>
    <x v="2"/>
    <x v="2"/>
    <x v="2"/>
    <x v="0"/>
    <x v="1"/>
    <n v="2600"/>
    <n v="84000"/>
    <n v="24"/>
    <n v="1.675"/>
    <s v="Rejected"/>
    <x v="3"/>
    <n v="0"/>
    <n v="1"/>
    <n v="0"/>
    <m/>
    <n v="6"/>
    <n v="1"/>
    <n v="1"/>
  </r>
  <r>
    <s v="LA-704399"/>
    <d v="2025-09-20T00:00:00"/>
    <x v="1"/>
    <s v="Q3"/>
    <x v="8"/>
    <x v="0"/>
    <x v="1"/>
    <x v="2"/>
    <x v="0"/>
    <x v="4"/>
    <n v="7350"/>
    <n v="41500"/>
    <n v="60"/>
    <n v="0.30499999999999999"/>
    <s v="Approved"/>
    <x v="1"/>
    <n v="1"/>
    <n v="0"/>
    <n v="37500"/>
    <n v="6.7900000000000002E-2"/>
    <n v="1"/>
    <n v="1"/>
    <n v="1"/>
  </r>
  <r>
    <s v="LA-704400"/>
    <d v="2025-09-20T00:00:00"/>
    <x v="1"/>
    <s v="Q3"/>
    <x v="8"/>
    <x v="1"/>
    <x v="3"/>
    <x v="1"/>
    <x v="0"/>
    <x v="1"/>
    <n v="5950"/>
    <n v="10000"/>
    <n v="36"/>
    <n v="0.246"/>
    <s v="Rejected"/>
    <x v="5"/>
    <n v="0"/>
    <n v="1"/>
    <n v="0"/>
    <m/>
    <n v="4"/>
    <n v="0"/>
    <n v="1"/>
  </r>
  <r>
    <s v="LA-704401"/>
    <d v="2025-09-20T00:00:00"/>
    <x v="1"/>
    <s v="Q3"/>
    <x v="8"/>
    <x v="0"/>
    <x v="2"/>
    <x v="3"/>
    <x v="1"/>
    <x v="1"/>
    <n v="8300"/>
    <n v="23000"/>
    <n v="48"/>
    <n v="0.17899999999999999"/>
    <s v="Approved"/>
    <x v="1"/>
    <n v="1"/>
    <n v="0"/>
    <n v="23000"/>
    <n v="8.0699999999999994E-2"/>
    <n v="2"/>
    <n v="1"/>
    <n v="1"/>
  </r>
  <r>
    <s v="LA-704402"/>
    <d v="2025-09-20T00:00:00"/>
    <x v="1"/>
    <s v="Q3"/>
    <x v="8"/>
    <x v="1"/>
    <x v="1"/>
    <x v="0"/>
    <x v="0"/>
    <x v="1"/>
    <n v="4750"/>
    <n v="7500"/>
    <n v="48"/>
    <n v="0.125"/>
    <s v="Approved"/>
    <x v="1"/>
    <n v="1"/>
    <n v="0"/>
    <n v="7500"/>
    <n v="0.1237"/>
    <n v="4"/>
    <n v="0"/>
    <n v="1"/>
  </r>
  <r>
    <s v="LA-704403"/>
    <d v="2025-09-21T00:00:00"/>
    <x v="1"/>
    <s v="Q3"/>
    <x v="8"/>
    <x v="1"/>
    <x v="3"/>
    <x v="2"/>
    <x v="1"/>
    <x v="4"/>
    <n v="4100"/>
    <n v="11500"/>
    <n v="24"/>
    <n v="0.28499999999999998"/>
    <s v="Approved"/>
    <x v="1"/>
    <n v="1"/>
    <n v="0"/>
    <n v="10500"/>
    <n v="0.11260000000000001"/>
    <n v="3"/>
    <n v="1"/>
    <n v="1"/>
  </r>
  <r>
    <s v="LA-704404"/>
    <d v="2025-09-22T00:00:00"/>
    <x v="1"/>
    <s v="Q3"/>
    <x v="8"/>
    <x v="1"/>
    <x v="1"/>
    <x v="4"/>
    <x v="1"/>
    <x v="2"/>
    <n v="4350"/>
    <n v="8500"/>
    <n v="48"/>
    <n v="0.182"/>
    <s v="Rejected"/>
    <x v="0"/>
    <n v="0"/>
    <n v="1"/>
    <n v="0"/>
    <m/>
    <n v="1"/>
    <n v="1"/>
    <n v="1"/>
  </r>
  <r>
    <s v="LA-704405"/>
    <d v="2025-09-22T00:00:00"/>
    <x v="1"/>
    <s v="Q3"/>
    <x v="8"/>
    <x v="0"/>
    <x v="2"/>
    <x v="3"/>
    <x v="2"/>
    <x v="1"/>
    <n v="10550"/>
    <n v="65000"/>
    <n v="36"/>
    <n v="0.33600000000000002"/>
    <s v="Approved"/>
    <x v="1"/>
    <n v="1"/>
    <n v="0"/>
    <n v="58500"/>
    <n v="8.2299999999999998E-2"/>
    <n v="2"/>
    <n v="1"/>
    <n v="1"/>
  </r>
  <r>
    <s v="LA-704406"/>
    <d v="2025-09-22T00:00:00"/>
    <x v="1"/>
    <s v="Q3"/>
    <x v="8"/>
    <x v="0"/>
    <x v="2"/>
    <x v="2"/>
    <x v="1"/>
    <x v="0"/>
    <n v="8800"/>
    <n v="49000"/>
    <n v="36"/>
    <n v="0.309"/>
    <s v="Rejected"/>
    <x v="5"/>
    <n v="0"/>
    <n v="1"/>
    <n v="0"/>
    <m/>
    <n v="2"/>
    <n v="1"/>
    <n v="1"/>
  </r>
  <r>
    <s v="LA-704407"/>
    <d v="2025-09-22T00:00:00"/>
    <x v="1"/>
    <s v="Q3"/>
    <x v="8"/>
    <x v="1"/>
    <x v="3"/>
    <x v="2"/>
    <x v="1"/>
    <x v="0"/>
    <n v="4000"/>
    <n v="4500"/>
    <n v="60"/>
    <n v="0.18"/>
    <s v="Approved"/>
    <x v="1"/>
    <n v="1"/>
    <n v="0"/>
    <n v="3500"/>
    <n v="0.1371"/>
    <n v="4"/>
    <n v="0"/>
    <n v="1"/>
  </r>
  <r>
    <s v="LA-704408"/>
    <d v="2025-09-22T00:00:00"/>
    <x v="1"/>
    <s v="Q3"/>
    <x v="8"/>
    <x v="2"/>
    <x v="1"/>
    <x v="3"/>
    <x v="2"/>
    <x v="1"/>
    <n v="4850"/>
    <n v="92500"/>
    <n v="24"/>
    <n v="0.94599999999999995"/>
    <s v="Approved"/>
    <x v="1"/>
    <n v="1"/>
    <n v="0"/>
    <n v="92500"/>
    <n v="0.1055"/>
    <n v="3"/>
    <n v="1"/>
    <n v="1"/>
  </r>
  <r>
    <s v="LA-704409"/>
    <d v="2025-09-22T00:00:00"/>
    <x v="1"/>
    <s v="Q3"/>
    <x v="8"/>
    <x v="1"/>
    <x v="3"/>
    <x v="1"/>
    <x v="1"/>
    <x v="0"/>
    <n v="6750"/>
    <n v="26000"/>
    <n v="60"/>
    <n v="0.32800000000000001"/>
    <s v="Approved"/>
    <x v="1"/>
    <n v="1"/>
    <n v="0"/>
    <n v="23500"/>
    <n v="0.14130000000000001"/>
    <n v="5"/>
    <n v="0"/>
    <n v="1"/>
  </r>
  <r>
    <s v="LA-704410"/>
    <d v="2025-09-22T00:00:00"/>
    <x v="1"/>
    <s v="Q3"/>
    <x v="8"/>
    <x v="3"/>
    <x v="2"/>
    <x v="3"/>
    <x v="0"/>
    <x v="2"/>
    <n v="3550"/>
    <n v="146000"/>
    <n v="240"/>
    <n v="0.35599999999999998"/>
    <s v="Rejected"/>
    <x v="0"/>
    <n v="0"/>
    <n v="1"/>
    <n v="0"/>
    <m/>
    <n v="7"/>
    <n v="1"/>
    <n v="1"/>
  </r>
  <r>
    <s v="LA-704411"/>
    <d v="2025-09-22T00:00:00"/>
    <x v="1"/>
    <s v="Q3"/>
    <x v="8"/>
    <x v="0"/>
    <x v="1"/>
    <x v="2"/>
    <x v="1"/>
    <x v="3"/>
    <n v="3150"/>
    <n v="21500"/>
    <n v="60"/>
    <n v="0.29399999999999998"/>
    <s v="Approved"/>
    <x v="1"/>
    <n v="1"/>
    <n v="0"/>
    <n v="19500"/>
    <n v="6.7599999999999993E-2"/>
    <n v="1"/>
    <n v="1"/>
    <n v="1"/>
  </r>
  <r>
    <s v="LA-704412"/>
    <d v="2025-09-23T00:00:00"/>
    <x v="1"/>
    <s v="Q3"/>
    <x v="8"/>
    <x v="1"/>
    <x v="1"/>
    <x v="1"/>
    <x v="0"/>
    <x v="1"/>
    <n v="3800"/>
    <n v="8000"/>
    <n v="60"/>
    <n v="0.26700000000000002"/>
    <s v="Rejected"/>
    <x v="0"/>
    <n v="0"/>
    <n v="1"/>
    <n v="0"/>
    <m/>
    <n v="1"/>
    <n v="1"/>
    <n v="1"/>
  </r>
  <r>
    <s v="LA-704413"/>
    <d v="2025-09-23T00:00:00"/>
    <x v="1"/>
    <s v="Q3"/>
    <x v="8"/>
    <x v="1"/>
    <x v="3"/>
    <x v="3"/>
    <x v="0"/>
    <x v="1"/>
    <n v="2750"/>
    <n v="10500"/>
    <n v="24"/>
    <n v="0.24199999999999999"/>
    <s v="Approved"/>
    <x v="1"/>
    <n v="1"/>
    <n v="0"/>
    <n v="10500"/>
    <n v="0.1221"/>
    <n v="6"/>
    <n v="0"/>
    <n v="1"/>
  </r>
  <r>
    <s v="LA-704414"/>
    <d v="2025-09-23T00:00:00"/>
    <x v="1"/>
    <s v="Q3"/>
    <x v="8"/>
    <x v="1"/>
    <x v="3"/>
    <x v="4"/>
    <x v="0"/>
    <x v="4"/>
    <n v="7300"/>
    <n v="8500"/>
    <n v="12"/>
    <n v="0.311"/>
    <s v="Approved"/>
    <x v="1"/>
    <n v="1"/>
    <n v="0"/>
    <n v="7000"/>
    <n v="0.1168"/>
    <n v="4"/>
    <n v="0"/>
    <n v="1"/>
  </r>
  <r>
    <s v="LA-704415"/>
    <d v="2025-09-23T00:00:00"/>
    <x v="1"/>
    <s v="Q3"/>
    <x v="8"/>
    <x v="2"/>
    <x v="1"/>
    <x v="2"/>
    <x v="1"/>
    <x v="1"/>
    <n v="3950"/>
    <n v="179000"/>
    <n v="24"/>
    <n v="2.2200000000000002"/>
    <s v="Rejected"/>
    <x v="3"/>
    <n v="0"/>
    <n v="1"/>
    <n v="0"/>
    <m/>
    <n v="6"/>
    <n v="1"/>
    <n v="1"/>
  </r>
  <r>
    <s v="LA-704416"/>
    <d v="2025-09-23T00:00:00"/>
    <x v="1"/>
    <s v="Q3"/>
    <x v="8"/>
    <x v="3"/>
    <x v="0"/>
    <x v="2"/>
    <x v="0"/>
    <x v="4"/>
    <n v="4700"/>
    <n v="221000"/>
    <n v="180"/>
    <n v="0.54900000000000004"/>
    <s v="Rejected"/>
    <x v="3"/>
    <n v="0"/>
    <n v="1"/>
    <n v="0"/>
    <m/>
    <n v="13"/>
    <n v="1"/>
    <n v="1"/>
  </r>
  <r>
    <s v="LA-704417"/>
    <d v="2025-09-23T00:00:00"/>
    <x v="1"/>
    <s v="Q3"/>
    <x v="8"/>
    <x v="1"/>
    <x v="2"/>
    <x v="2"/>
    <x v="0"/>
    <x v="1"/>
    <n v="4950"/>
    <n v="4000"/>
    <n v="24"/>
    <n v="0.189"/>
    <s v="Rejected"/>
    <x v="0"/>
    <n v="0"/>
    <n v="1"/>
    <n v="0"/>
    <m/>
    <n v="3"/>
    <n v="1"/>
    <n v="1"/>
  </r>
  <r>
    <s v="LA-704418"/>
    <d v="2025-09-23T00:00:00"/>
    <x v="1"/>
    <s v="Q3"/>
    <x v="8"/>
    <x v="2"/>
    <x v="2"/>
    <x v="2"/>
    <x v="2"/>
    <x v="0"/>
    <n v="4200"/>
    <n v="78500"/>
    <n v="36"/>
    <n v="0.73699999999999999"/>
    <s v="Rejected"/>
    <x v="0"/>
    <n v="0"/>
    <n v="1"/>
    <n v="0"/>
    <m/>
    <n v="6"/>
    <n v="1"/>
    <n v="1"/>
  </r>
  <r>
    <s v="LA-704419"/>
    <d v="2025-09-23T00:00:00"/>
    <x v="1"/>
    <s v="Q3"/>
    <x v="8"/>
    <x v="1"/>
    <x v="1"/>
    <x v="3"/>
    <x v="0"/>
    <x v="3"/>
    <n v="4050"/>
    <n v="24000"/>
    <n v="36"/>
    <n v="0.30199999999999999"/>
    <s v="Approved"/>
    <x v="1"/>
    <n v="1"/>
    <n v="0"/>
    <n v="21500"/>
    <n v="0.1148"/>
    <n v="2"/>
    <n v="1"/>
    <n v="1"/>
  </r>
  <r>
    <s v="LA-704420"/>
    <d v="2025-09-23T00:00:00"/>
    <x v="1"/>
    <s v="Q3"/>
    <x v="8"/>
    <x v="1"/>
    <x v="2"/>
    <x v="3"/>
    <x v="1"/>
    <x v="4"/>
    <n v="6550"/>
    <n v="27000"/>
    <n v="60"/>
    <n v="0.33500000000000002"/>
    <s v="Approved"/>
    <x v="1"/>
    <n v="1"/>
    <n v="0"/>
    <n v="24500"/>
    <n v="0.11409999999999999"/>
    <n v="3"/>
    <n v="1"/>
    <n v="1"/>
  </r>
  <r>
    <s v="LA-704421"/>
    <d v="2025-09-23T00:00:00"/>
    <x v="1"/>
    <s v="Q3"/>
    <x v="8"/>
    <x v="2"/>
    <x v="1"/>
    <x v="0"/>
    <x v="0"/>
    <x v="1"/>
    <n v="5600"/>
    <n v="80500"/>
    <n v="60"/>
    <n v="0.55200000000000005"/>
    <s v="Approved"/>
    <x v="1"/>
    <n v="1"/>
    <n v="0"/>
    <n v="64500"/>
    <n v="0.1072"/>
    <n v="4"/>
    <n v="1"/>
    <n v="1"/>
  </r>
  <r>
    <s v="LA-704422"/>
    <d v="2025-09-23T00:00:00"/>
    <x v="1"/>
    <s v="Q3"/>
    <x v="8"/>
    <x v="1"/>
    <x v="2"/>
    <x v="2"/>
    <x v="1"/>
    <x v="2"/>
    <n v="3200"/>
    <n v="34000"/>
    <n v="36"/>
    <n v="0.46500000000000002"/>
    <s v="Withdrawn"/>
    <x v="1"/>
    <n v="0"/>
    <n v="0"/>
    <n v="0"/>
    <m/>
    <n v="1"/>
    <n v="1"/>
    <n v="1"/>
  </r>
  <r>
    <s v="LA-704423"/>
    <d v="2025-09-23T00:00:00"/>
    <x v="1"/>
    <s v="Q3"/>
    <x v="8"/>
    <x v="0"/>
    <x v="0"/>
    <x v="3"/>
    <x v="0"/>
    <x v="1"/>
    <n v="5100"/>
    <n v="41500"/>
    <n v="60"/>
    <n v="0.38300000000000001"/>
    <s v="Approved"/>
    <x v="1"/>
    <n v="1"/>
    <n v="0"/>
    <n v="41500"/>
    <n v="8.77E-2"/>
    <n v="5"/>
    <n v="0"/>
    <n v="1"/>
  </r>
  <r>
    <s v="LA-704424"/>
    <d v="2025-09-24T00:00:00"/>
    <x v="1"/>
    <s v="Q3"/>
    <x v="8"/>
    <x v="2"/>
    <x v="3"/>
    <x v="2"/>
    <x v="1"/>
    <x v="4"/>
    <n v="10100"/>
    <n v="55500"/>
    <n v="24"/>
    <n v="0.45100000000000001"/>
    <s v="Approved"/>
    <x v="1"/>
    <n v="1"/>
    <n v="0"/>
    <n v="44500"/>
    <n v="0.1009"/>
    <n v="7"/>
    <n v="1"/>
    <n v="1"/>
  </r>
  <r>
    <s v="LA-704425"/>
    <d v="2025-09-24T00:00:00"/>
    <x v="1"/>
    <s v="Q3"/>
    <x v="8"/>
    <x v="0"/>
    <x v="2"/>
    <x v="2"/>
    <x v="1"/>
    <x v="0"/>
    <n v="7700"/>
    <n v="41500"/>
    <n v="48"/>
    <n v="0.28899999999999998"/>
    <s v="Approved"/>
    <x v="1"/>
    <n v="1"/>
    <n v="0"/>
    <n v="41500"/>
    <n v="9.7000000000000003E-2"/>
    <n v="2"/>
    <n v="1"/>
    <n v="1"/>
  </r>
  <r>
    <s v="LA-704426"/>
    <d v="2025-09-24T00:00:00"/>
    <x v="1"/>
    <s v="Q3"/>
    <x v="8"/>
    <x v="1"/>
    <x v="3"/>
    <x v="2"/>
    <x v="2"/>
    <x v="0"/>
    <n v="5800"/>
    <n v="13500"/>
    <n v="24"/>
    <n v="0.20799999999999999"/>
    <s v="Rejected"/>
    <x v="0"/>
    <n v="0"/>
    <n v="1"/>
    <n v="0"/>
    <m/>
    <n v="2"/>
    <n v="1"/>
    <n v="1"/>
  </r>
  <r>
    <s v="LA-704427"/>
    <d v="2025-09-24T00:00:00"/>
    <x v="1"/>
    <s v="Q3"/>
    <x v="8"/>
    <x v="0"/>
    <x v="3"/>
    <x v="3"/>
    <x v="0"/>
    <x v="3"/>
    <n v="11700"/>
    <n v="43000"/>
    <n v="48"/>
    <n v="0.317"/>
    <s v="Approved"/>
    <x v="1"/>
    <n v="1"/>
    <n v="0"/>
    <n v="43000"/>
    <n v="6.5299999999999997E-2"/>
    <n v="6"/>
    <n v="0"/>
    <n v="1"/>
  </r>
  <r>
    <s v="LA-704428"/>
    <d v="2025-09-24T00:00:00"/>
    <x v="1"/>
    <s v="Q3"/>
    <x v="8"/>
    <x v="1"/>
    <x v="2"/>
    <x v="3"/>
    <x v="0"/>
    <x v="0"/>
    <n v="3900"/>
    <n v="10000"/>
    <n v="60"/>
    <n v="0.115"/>
    <s v="Rejected"/>
    <x v="0"/>
    <n v="0"/>
    <n v="1"/>
    <n v="0"/>
    <m/>
    <n v="2"/>
    <n v="1"/>
    <n v="1"/>
  </r>
  <r>
    <s v="LA-704429"/>
    <d v="2025-09-24T00:00:00"/>
    <x v="1"/>
    <s v="Q3"/>
    <x v="8"/>
    <x v="0"/>
    <x v="1"/>
    <x v="1"/>
    <x v="0"/>
    <x v="4"/>
    <n v="5000"/>
    <n v="44000"/>
    <n v="36"/>
    <n v="0.374"/>
    <s v="Approved"/>
    <x v="1"/>
    <n v="1"/>
    <n v="0"/>
    <n v="44000"/>
    <n v="6.9900000000000004E-2"/>
    <n v="3"/>
    <n v="1"/>
    <n v="1"/>
  </r>
  <r>
    <s v="LA-704430"/>
    <d v="2025-09-24T00:00:00"/>
    <x v="1"/>
    <s v="Q3"/>
    <x v="8"/>
    <x v="1"/>
    <x v="2"/>
    <x v="1"/>
    <x v="0"/>
    <x v="2"/>
    <n v="5850"/>
    <n v="16500"/>
    <n v="12"/>
    <n v="0.36699999999999999"/>
    <s v="Rejected"/>
    <x v="0"/>
    <n v="0"/>
    <n v="1"/>
    <n v="0"/>
    <m/>
    <n v="1"/>
    <n v="1"/>
    <n v="1"/>
  </r>
  <r>
    <s v="LA-704431"/>
    <d v="2025-09-24T00:00:00"/>
    <x v="1"/>
    <s v="Q3"/>
    <x v="8"/>
    <x v="0"/>
    <x v="3"/>
    <x v="3"/>
    <x v="1"/>
    <x v="2"/>
    <n v="4100"/>
    <n v="71000"/>
    <n v="36"/>
    <n v="0.72099999999999997"/>
    <s v="Rejected"/>
    <x v="3"/>
    <n v="0"/>
    <n v="1"/>
    <n v="0"/>
    <m/>
    <n v="9"/>
    <n v="0"/>
    <n v="1"/>
  </r>
  <r>
    <s v="LA-704432"/>
    <d v="2025-09-24T00:00:00"/>
    <x v="1"/>
    <s v="Q3"/>
    <x v="8"/>
    <x v="0"/>
    <x v="2"/>
    <x v="3"/>
    <x v="1"/>
    <x v="3"/>
    <n v="9100"/>
    <n v="29500"/>
    <n v="36"/>
    <n v="0.33600000000000002"/>
    <s v="Approved"/>
    <x v="1"/>
    <n v="1"/>
    <n v="0"/>
    <n v="26500"/>
    <n v="6.5199999999999994E-2"/>
    <n v="3"/>
    <n v="1"/>
    <n v="1"/>
  </r>
  <r>
    <s v="LA-704433"/>
    <d v="2025-09-24T00:00:00"/>
    <x v="1"/>
    <s v="Q3"/>
    <x v="8"/>
    <x v="1"/>
    <x v="1"/>
    <x v="2"/>
    <x v="2"/>
    <x v="1"/>
    <n v="3800"/>
    <n v="19000"/>
    <n v="60"/>
    <n v="0.214"/>
    <s v="Approved"/>
    <x v="1"/>
    <n v="1"/>
    <n v="0"/>
    <n v="19000"/>
    <n v="0.1148"/>
    <n v="1"/>
    <n v="1"/>
    <n v="1"/>
  </r>
  <r>
    <s v="LA-704434"/>
    <d v="2025-09-25T00:00:00"/>
    <x v="1"/>
    <s v="Q3"/>
    <x v="8"/>
    <x v="1"/>
    <x v="2"/>
    <x v="1"/>
    <x v="1"/>
    <x v="2"/>
    <n v="4500"/>
    <n v="4500"/>
    <n v="36"/>
    <n v="0.214"/>
    <s v="Rejected"/>
    <x v="0"/>
    <n v="0"/>
    <n v="1"/>
    <n v="0"/>
    <m/>
    <n v="2"/>
    <n v="1"/>
    <n v="1"/>
  </r>
  <r>
    <s v="LA-704435"/>
    <d v="2025-09-25T00:00:00"/>
    <x v="1"/>
    <s v="Q3"/>
    <x v="8"/>
    <x v="2"/>
    <x v="2"/>
    <x v="1"/>
    <x v="0"/>
    <x v="2"/>
    <n v="6400"/>
    <n v="55000"/>
    <n v="12"/>
    <n v="0.85499999999999998"/>
    <s v="Rejected"/>
    <x v="0"/>
    <n v="0"/>
    <n v="1"/>
    <n v="0"/>
    <m/>
    <n v="6"/>
    <n v="1"/>
    <n v="1"/>
  </r>
  <r>
    <s v="LA-704436"/>
    <d v="2025-09-25T00:00:00"/>
    <x v="1"/>
    <s v="Q3"/>
    <x v="8"/>
    <x v="1"/>
    <x v="3"/>
    <x v="0"/>
    <x v="0"/>
    <x v="2"/>
    <n v="6150"/>
    <n v="13000"/>
    <n v="60"/>
    <n v="0.18099999999999999"/>
    <s v="Rejected"/>
    <x v="0"/>
    <n v="0"/>
    <n v="1"/>
    <n v="0"/>
    <m/>
    <n v="5"/>
    <n v="0"/>
    <n v="1"/>
  </r>
  <r>
    <s v="LA-704437"/>
    <d v="2025-09-25T00:00:00"/>
    <x v="1"/>
    <s v="Q3"/>
    <x v="8"/>
    <x v="2"/>
    <x v="1"/>
    <x v="2"/>
    <x v="1"/>
    <x v="1"/>
    <n v="5400"/>
    <n v="115000"/>
    <n v="60"/>
    <n v="0.55800000000000005"/>
    <s v="Approved"/>
    <x v="1"/>
    <n v="1"/>
    <n v="0"/>
    <n v="92000"/>
    <n v="0.11020000000000001"/>
    <n v="4"/>
    <n v="1"/>
    <n v="1"/>
  </r>
  <r>
    <s v="LA-704438"/>
    <d v="2025-09-25T00:00:00"/>
    <x v="1"/>
    <s v="Q3"/>
    <x v="8"/>
    <x v="0"/>
    <x v="1"/>
    <x v="2"/>
    <x v="1"/>
    <x v="1"/>
    <n v="7050"/>
    <n v="24500"/>
    <n v="36"/>
    <n v="0.312"/>
    <s v="Rejected"/>
    <x v="4"/>
    <n v="0"/>
    <n v="1"/>
    <n v="0"/>
    <m/>
    <n v="8"/>
    <n v="0"/>
    <n v="1"/>
  </r>
  <r>
    <s v="LA-704439"/>
    <d v="2025-09-25T00:00:00"/>
    <x v="1"/>
    <s v="Q3"/>
    <x v="8"/>
    <x v="0"/>
    <x v="3"/>
    <x v="1"/>
    <x v="0"/>
    <x v="3"/>
    <n v="9750"/>
    <n v="31500"/>
    <n v="60"/>
    <n v="0.26400000000000001"/>
    <s v="Approved"/>
    <x v="1"/>
    <n v="1"/>
    <n v="0"/>
    <n v="28500"/>
    <n v="6.9599999999999995E-2"/>
    <n v="6"/>
    <n v="0"/>
    <n v="1"/>
  </r>
  <r>
    <s v="LA-704440"/>
    <d v="2025-09-25T00:00:00"/>
    <x v="1"/>
    <s v="Q3"/>
    <x v="8"/>
    <x v="3"/>
    <x v="2"/>
    <x v="1"/>
    <x v="1"/>
    <x v="4"/>
    <n v="7750"/>
    <n v="433500"/>
    <n v="180"/>
    <n v="0.60599999999999998"/>
    <s v="Approved"/>
    <x v="1"/>
    <n v="1"/>
    <n v="0"/>
    <n v="433500"/>
    <n v="4.48E-2"/>
    <n v="6"/>
    <n v="1"/>
    <n v="1"/>
  </r>
  <r>
    <s v="LA-704441"/>
    <d v="2025-09-25T00:00:00"/>
    <x v="1"/>
    <s v="Q3"/>
    <x v="8"/>
    <x v="2"/>
    <x v="3"/>
    <x v="1"/>
    <x v="1"/>
    <x v="4"/>
    <n v="4400"/>
    <n v="131000"/>
    <n v="12"/>
    <n v="2.7490000000000001"/>
    <s v="Rejected"/>
    <x v="3"/>
    <n v="0"/>
    <n v="1"/>
    <n v="0"/>
    <m/>
    <n v="11"/>
    <n v="0"/>
    <n v="1"/>
  </r>
  <r>
    <s v="LA-704442"/>
    <d v="2025-09-26T00:00:00"/>
    <x v="1"/>
    <s v="Q3"/>
    <x v="8"/>
    <x v="2"/>
    <x v="3"/>
    <x v="3"/>
    <x v="2"/>
    <x v="0"/>
    <n v="7200"/>
    <n v="85000"/>
    <n v="24"/>
    <n v="0.70299999999999996"/>
    <s v="Rejected"/>
    <x v="0"/>
    <n v="0"/>
    <n v="1"/>
    <n v="0"/>
    <m/>
    <n v="14"/>
    <n v="0"/>
    <n v="1"/>
  </r>
  <r>
    <s v="LA-704443"/>
    <d v="2025-09-26T00:00:00"/>
    <x v="1"/>
    <s v="Q3"/>
    <x v="8"/>
    <x v="0"/>
    <x v="3"/>
    <x v="3"/>
    <x v="2"/>
    <x v="3"/>
    <n v="10900"/>
    <n v="28500"/>
    <n v="36"/>
    <n v="0.182"/>
    <s v="Approved"/>
    <x v="1"/>
    <n v="1"/>
    <n v="0"/>
    <n v="28500"/>
    <n v="6.6299999999999998E-2"/>
    <n v="4"/>
    <n v="1"/>
    <n v="1"/>
  </r>
  <r>
    <s v="LA-704444"/>
    <d v="2025-09-26T00:00:00"/>
    <x v="1"/>
    <s v="Q3"/>
    <x v="8"/>
    <x v="3"/>
    <x v="3"/>
    <x v="4"/>
    <x v="1"/>
    <x v="3"/>
    <n v="2650"/>
    <n v="334000"/>
    <n v="240"/>
    <n v="0.90400000000000003"/>
    <s v="Approved"/>
    <x v="1"/>
    <n v="1"/>
    <n v="0"/>
    <n v="334000"/>
    <n v="4.2999999999999997E-2"/>
    <n v="13"/>
    <n v="1"/>
    <n v="1"/>
  </r>
  <r>
    <s v="LA-704445"/>
    <d v="2025-09-26T00:00:00"/>
    <x v="1"/>
    <s v="Q3"/>
    <x v="8"/>
    <x v="2"/>
    <x v="2"/>
    <x v="4"/>
    <x v="0"/>
    <x v="4"/>
    <n v="8000"/>
    <n v="45500"/>
    <n v="60"/>
    <n v="0.27900000000000003"/>
    <s v="Approved"/>
    <x v="1"/>
    <n v="1"/>
    <n v="0"/>
    <n v="45500"/>
    <n v="0.1013"/>
    <n v="7"/>
    <n v="1"/>
    <n v="1"/>
  </r>
  <r>
    <s v="LA-704446"/>
    <d v="2025-09-26T00:00:00"/>
    <x v="1"/>
    <s v="Q3"/>
    <x v="8"/>
    <x v="1"/>
    <x v="2"/>
    <x v="2"/>
    <x v="1"/>
    <x v="4"/>
    <n v="10300"/>
    <n v="16500"/>
    <n v="60"/>
    <n v="0.26800000000000002"/>
    <s v="Approved"/>
    <x v="1"/>
    <n v="1"/>
    <n v="0"/>
    <n v="16500"/>
    <n v="0.1157"/>
    <n v="2"/>
    <n v="1"/>
    <n v="1"/>
  </r>
  <r>
    <s v="LA-704447"/>
    <d v="2025-09-26T00:00:00"/>
    <x v="1"/>
    <s v="Q3"/>
    <x v="8"/>
    <x v="1"/>
    <x v="3"/>
    <x v="2"/>
    <x v="0"/>
    <x v="0"/>
    <n v="2250"/>
    <n v="35500"/>
    <n v="24"/>
    <n v="0.98599999999999999"/>
    <s v="Approved"/>
    <x v="1"/>
    <n v="1"/>
    <n v="0"/>
    <n v="28500"/>
    <n v="0.1394"/>
    <n v="3"/>
    <n v="1"/>
    <n v="1"/>
  </r>
  <r>
    <s v="LA-704448"/>
    <d v="2025-09-26T00:00:00"/>
    <x v="1"/>
    <s v="Q3"/>
    <x v="8"/>
    <x v="1"/>
    <x v="3"/>
    <x v="3"/>
    <x v="0"/>
    <x v="3"/>
    <n v="10300"/>
    <n v="13500"/>
    <n v="36"/>
    <n v="0.24099999999999999"/>
    <s v="Approved"/>
    <x v="1"/>
    <n v="1"/>
    <n v="0"/>
    <n v="13500"/>
    <n v="0.1091"/>
    <n v="3"/>
    <n v="1"/>
    <n v="1"/>
  </r>
  <r>
    <s v="LA-704449"/>
    <d v="2025-09-27T00:00:00"/>
    <x v="1"/>
    <s v="Q3"/>
    <x v="8"/>
    <x v="2"/>
    <x v="2"/>
    <x v="2"/>
    <x v="0"/>
    <x v="2"/>
    <n v="5650"/>
    <n v="90000"/>
    <n v="36"/>
    <n v="0.71899999999999997"/>
    <s v="Rejected"/>
    <x v="3"/>
    <n v="0"/>
    <n v="1"/>
    <n v="0"/>
    <m/>
    <n v="7"/>
    <n v="1"/>
    <n v="1"/>
  </r>
  <r>
    <s v="LA-704450"/>
    <d v="2025-09-27T00:00:00"/>
    <x v="1"/>
    <s v="Q3"/>
    <x v="8"/>
    <x v="0"/>
    <x v="0"/>
    <x v="1"/>
    <x v="0"/>
    <x v="1"/>
    <n v="9700"/>
    <n v="15000"/>
    <n v="48"/>
    <n v="0.26100000000000001"/>
    <s v="Rejected"/>
    <x v="4"/>
    <n v="0"/>
    <n v="1"/>
    <n v="0"/>
    <m/>
    <n v="11"/>
    <n v="0"/>
    <n v="1"/>
  </r>
  <r>
    <s v="LA-704451"/>
    <d v="2025-09-27T00:00:00"/>
    <x v="1"/>
    <s v="Q3"/>
    <x v="8"/>
    <x v="3"/>
    <x v="0"/>
    <x v="1"/>
    <x v="1"/>
    <x v="3"/>
    <n v="2600"/>
    <n v="341000"/>
    <n v="300"/>
    <n v="0.84799999999999998"/>
    <s v="Rejected"/>
    <x v="4"/>
    <n v="0"/>
    <n v="1"/>
    <n v="0"/>
    <m/>
    <n v="14"/>
    <n v="1"/>
    <n v="1"/>
  </r>
  <r>
    <s v="LA-704452"/>
    <d v="2025-09-27T00:00:00"/>
    <x v="1"/>
    <s v="Q3"/>
    <x v="8"/>
    <x v="0"/>
    <x v="3"/>
    <x v="1"/>
    <x v="1"/>
    <x v="3"/>
    <n v="10050"/>
    <n v="39500"/>
    <n v="36"/>
    <n v="0.19900000000000001"/>
    <s v="Approved"/>
    <x v="1"/>
    <n v="1"/>
    <n v="0"/>
    <n v="39500"/>
    <n v="6.3500000000000001E-2"/>
    <n v="3"/>
    <n v="1"/>
    <n v="1"/>
  </r>
  <r>
    <s v="LA-704453"/>
    <d v="2025-09-27T00:00:00"/>
    <x v="1"/>
    <s v="Q3"/>
    <x v="8"/>
    <x v="1"/>
    <x v="3"/>
    <x v="3"/>
    <x v="1"/>
    <x v="2"/>
    <n v="8000"/>
    <n v="6500"/>
    <n v="12"/>
    <n v="0.18099999999999999"/>
    <s v="Rejected"/>
    <x v="0"/>
    <n v="0"/>
    <n v="1"/>
    <n v="0"/>
    <m/>
    <n v="2"/>
    <n v="1"/>
    <n v="1"/>
  </r>
  <r>
    <s v="LA-704454"/>
    <d v="2025-09-27T00:00:00"/>
    <x v="1"/>
    <s v="Q3"/>
    <x v="8"/>
    <x v="2"/>
    <x v="3"/>
    <x v="3"/>
    <x v="0"/>
    <x v="1"/>
    <n v="4100"/>
    <n v="161500"/>
    <n v="60"/>
    <n v="0.97399999999999998"/>
    <s v="Rejected"/>
    <x v="3"/>
    <n v="0"/>
    <n v="1"/>
    <n v="0"/>
    <m/>
    <n v="13"/>
    <n v="0"/>
    <n v="1"/>
  </r>
  <r>
    <s v="LA-704455"/>
    <d v="2025-09-27T00:00:00"/>
    <x v="1"/>
    <s v="Q3"/>
    <x v="8"/>
    <x v="2"/>
    <x v="1"/>
    <x v="0"/>
    <x v="0"/>
    <x v="3"/>
    <n v="6550"/>
    <n v="226500"/>
    <n v="24"/>
    <n v="1.774"/>
    <s v="Rejected"/>
    <x v="3"/>
    <n v="0"/>
    <n v="1"/>
    <n v="0"/>
    <m/>
    <n v="9"/>
    <n v="1"/>
    <n v="1"/>
  </r>
  <r>
    <s v="LA-704456"/>
    <d v="2025-09-27T00:00:00"/>
    <x v="1"/>
    <s v="Q3"/>
    <x v="8"/>
    <x v="1"/>
    <x v="1"/>
    <x v="3"/>
    <x v="1"/>
    <x v="4"/>
    <n v="3650"/>
    <n v="10500"/>
    <n v="24"/>
    <n v="0.28000000000000003"/>
    <s v="Approved"/>
    <x v="1"/>
    <n v="1"/>
    <n v="0"/>
    <n v="9500"/>
    <n v="0.11260000000000001"/>
    <n v="1"/>
    <n v="1"/>
    <n v="1"/>
  </r>
  <r>
    <s v="LA-704457"/>
    <d v="2025-09-28T00:00:00"/>
    <x v="1"/>
    <s v="Q3"/>
    <x v="8"/>
    <x v="3"/>
    <x v="1"/>
    <x v="4"/>
    <x v="0"/>
    <x v="0"/>
    <n v="3900"/>
    <n v="118000"/>
    <n v="180"/>
    <n v="0.45"/>
    <s v="Approved"/>
    <x v="1"/>
    <n v="1"/>
    <n v="0"/>
    <n v="118000"/>
    <n v="7.5800000000000006E-2"/>
    <n v="5"/>
    <n v="1"/>
    <n v="1"/>
  </r>
  <r>
    <s v="LA-704458"/>
    <d v="2025-09-28T00:00:00"/>
    <x v="1"/>
    <s v="Q3"/>
    <x v="8"/>
    <x v="2"/>
    <x v="3"/>
    <x v="2"/>
    <x v="0"/>
    <x v="3"/>
    <n v="7000"/>
    <n v="126500"/>
    <n v="24"/>
    <n v="0.99"/>
    <s v="Rejected"/>
    <x v="3"/>
    <n v="0"/>
    <n v="1"/>
    <n v="0"/>
    <m/>
    <n v="17"/>
    <n v="0"/>
    <n v="1"/>
  </r>
  <r>
    <s v="LA-704459"/>
    <d v="2025-09-28T00:00:00"/>
    <x v="1"/>
    <s v="Q3"/>
    <x v="8"/>
    <x v="2"/>
    <x v="2"/>
    <x v="2"/>
    <x v="1"/>
    <x v="1"/>
    <n v="6550"/>
    <n v="62000"/>
    <n v="36"/>
    <n v="0.45400000000000001"/>
    <s v="Approved"/>
    <x v="1"/>
    <n v="1"/>
    <n v="0"/>
    <n v="62000"/>
    <n v="0.1007"/>
    <n v="4"/>
    <n v="1"/>
    <n v="1"/>
  </r>
  <r>
    <s v="LA-704460"/>
    <d v="2025-09-28T00:00:00"/>
    <x v="1"/>
    <s v="Q3"/>
    <x v="8"/>
    <x v="0"/>
    <x v="3"/>
    <x v="1"/>
    <x v="0"/>
    <x v="3"/>
    <n v="9500"/>
    <n v="55000"/>
    <n v="48"/>
    <n v="0.32100000000000001"/>
    <s v="Rejected"/>
    <x v="4"/>
    <n v="0"/>
    <n v="1"/>
    <n v="0"/>
    <m/>
    <n v="9"/>
    <n v="0"/>
    <n v="1"/>
  </r>
  <r>
    <s v="LA-704461"/>
    <d v="2025-09-29T00:00:00"/>
    <x v="1"/>
    <s v="Q3"/>
    <x v="8"/>
    <x v="2"/>
    <x v="3"/>
    <x v="3"/>
    <x v="0"/>
    <x v="0"/>
    <n v="4300"/>
    <n v="58500"/>
    <n v="60"/>
    <n v="0.53100000000000003"/>
    <s v="Approved"/>
    <x v="1"/>
    <n v="1"/>
    <n v="0"/>
    <n v="47000"/>
    <n v="0.1174"/>
    <n v="11"/>
    <n v="0"/>
    <n v="1"/>
  </r>
  <r>
    <s v="LA-704462"/>
    <d v="2025-09-29T00:00:00"/>
    <x v="1"/>
    <s v="Q3"/>
    <x v="8"/>
    <x v="0"/>
    <x v="3"/>
    <x v="2"/>
    <x v="0"/>
    <x v="1"/>
    <n v="4200"/>
    <n v="35500"/>
    <n v="48"/>
    <n v="0.38100000000000001"/>
    <s v="Rejected"/>
    <x v="2"/>
    <n v="0"/>
    <n v="1"/>
    <n v="0"/>
    <m/>
    <n v="3"/>
    <n v="1"/>
    <n v="1"/>
  </r>
  <r>
    <s v="LA-704463"/>
    <d v="2025-09-29T00:00:00"/>
    <x v="1"/>
    <s v="Q3"/>
    <x v="8"/>
    <x v="3"/>
    <x v="2"/>
    <x v="1"/>
    <x v="0"/>
    <x v="1"/>
    <n v="6000"/>
    <n v="333000"/>
    <n v="180"/>
    <n v="0.53700000000000003"/>
    <s v="Rejected"/>
    <x v="3"/>
    <n v="0"/>
    <n v="1"/>
    <n v="0"/>
    <m/>
    <n v="6"/>
    <n v="1"/>
    <n v="1"/>
  </r>
  <r>
    <s v="LA-704464"/>
    <d v="2025-09-29T00:00:00"/>
    <x v="1"/>
    <s v="Q3"/>
    <x v="8"/>
    <x v="0"/>
    <x v="1"/>
    <x v="1"/>
    <x v="2"/>
    <x v="2"/>
    <n v="4300"/>
    <n v="25000"/>
    <n v="36"/>
    <n v="0.36099999999999999"/>
    <s v="Rejected"/>
    <x v="5"/>
    <n v="0"/>
    <n v="1"/>
    <n v="0"/>
    <m/>
    <n v="1"/>
    <n v="1"/>
    <n v="1"/>
  </r>
  <r>
    <s v="LA-704465"/>
    <d v="2025-09-30T00:00:00"/>
    <x v="1"/>
    <s v="Q3"/>
    <x v="8"/>
    <x v="1"/>
    <x v="3"/>
    <x v="3"/>
    <x v="0"/>
    <x v="1"/>
    <n v="4250"/>
    <n v="6000"/>
    <n v="24"/>
    <n v="0.161"/>
    <s v="Approved"/>
    <x v="1"/>
    <n v="1"/>
    <n v="0"/>
    <n v="5500"/>
    <n v="0.124"/>
    <n v="3"/>
    <n v="1"/>
    <n v="1"/>
  </r>
  <r>
    <s v="LA-704466"/>
    <d v="2025-09-30T00:00:00"/>
    <x v="1"/>
    <s v="Q3"/>
    <x v="8"/>
    <x v="3"/>
    <x v="0"/>
    <x v="1"/>
    <x v="1"/>
    <x v="1"/>
    <n v="4950"/>
    <n v="343000"/>
    <n v="300"/>
    <n v="0.61399999999999999"/>
    <s v="Rejected"/>
    <x v="4"/>
    <n v="0"/>
    <n v="1"/>
    <n v="0"/>
    <m/>
    <n v="14"/>
    <n v="1"/>
    <n v="1"/>
  </r>
  <r>
    <s v="LA-704467"/>
    <d v="2025-09-30T00:00:00"/>
    <x v="1"/>
    <s v="Q3"/>
    <x v="8"/>
    <x v="0"/>
    <x v="3"/>
    <x v="2"/>
    <x v="0"/>
    <x v="1"/>
    <n v="7350"/>
    <n v="66000"/>
    <n v="36"/>
    <n v="0.44900000000000001"/>
    <s v="Approved"/>
    <x v="1"/>
    <n v="1"/>
    <n v="0"/>
    <n v="53000"/>
    <n v="8.0500000000000002E-2"/>
    <n v="6"/>
    <n v="0"/>
    <n v="1"/>
  </r>
  <r>
    <s v="LA-704468"/>
    <d v="2025-09-30T00:00:00"/>
    <x v="1"/>
    <s v="Q3"/>
    <x v="8"/>
    <x v="0"/>
    <x v="0"/>
    <x v="4"/>
    <x v="0"/>
    <x v="4"/>
    <n v="4500"/>
    <n v="32500"/>
    <n v="48"/>
    <n v="0.39600000000000002"/>
    <s v="Approved"/>
    <x v="1"/>
    <n v="1"/>
    <n v="0"/>
    <n v="29000"/>
    <n v="6.6500000000000004E-2"/>
    <n v="4"/>
    <n v="1"/>
    <n v="1"/>
  </r>
  <r>
    <s v="LA-704469"/>
    <d v="2025-09-30T00:00:00"/>
    <x v="1"/>
    <s v="Q3"/>
    <x v="8"/>
    <x v="1"/>
    <x v="3"/>
    <x v="3"/>
    <x v="1"/>
    <x v="1"/>
    <n v="3900"/>
    <n v="18000"/>
    <n v="12"/>
    <n v="0.54400000000000004"/>
    <s v="Rejected"/>
    <x v="3"/>
    <n v="0"/>
    <n v="1"/>
    <n v="0"/>
    <m/>
    <n v="2"/>
    <n v="1"/>
    <n v="1"/>
  </r>
  <r>
    <s v="LA-704470"/>
    <d v="2025-09-30T00:00:00"/>
    <x v="1"/>
    <s v="Q3"/>
    <x v="8"/>
    <x v="0"/>
    <x v="2"/>
    <x v="2"/>
    <x v="0"/>
    <x v="4"/>
    <n v="7000"/>
    <n v="21500"/>
    <n v="36"/>
    <n v="0.32200000000000001"/>
    <s v="Approved"/>
    <x v="1"/>
    <n v="1"/>
    <n v="0"/>
    <n v="17000"/>
    <n v="7.1599999999999997E-2"/>
    <n v="3"/>
    <n v="1"/>
    <n v="1"/>
  </r>
  <r>
    <s v="LA-704471"/>
    <d v="2025-09-30T00:00:00"/>
    <x v="1"/>
    <s v="Q3"/>
    <x v="8"/>
    <x v="1"/>
    <x v="1"/>
    <x v="4"/>
    <x v="0"/>
    <x v="1"/>
    <n v="6700"/>
    <n v="16000"/>
    <n v="24"/>
    <n v="0.313"/>
    <s v="Approved"/>
    <x v="1"/>
    <n v="1"/>
    <n v="0"/>
    <n v="16000"/>
    <n v="0.1211"/>
    <n v="2"/>
    <n v="1"/>
    <n v="1"/>
  </r>
  <r>
    <s v="LA-704472"/>
    <d v="2025-09-30T00:00:00"/>
    <x v="1"/>
    <s v="Q3"/>
    <x v="8"/>
    <x v="1"/>
    <x v="3"/>
    <x v="2"/>
    <x v="0"/>
    <x v="0"/>
    <n v="6300"/>
    <n v="9500"/>
    <n v="48"/>
    <n v="0.13900000000000001"/>
    <s v="Approved"/>
    <x v="1"/>
    <n v="1"/>
    <n v="0"/>
    <n v="9500"/>
    <n v="0.14099999999999999"/>
    <n v="6"/>
    <n v="0"/>
    <n v="1"/>
  </r>
  <r>
    <s v="LA-704473"/>
    <d v="2025-09-30T00:00:00"/>
    <x v="1"/>
    <s v="Q3"/>
    <x v="8"/>
    <x v="1"/>
    <x v="2"/>
    <x v="2"/>
    <x v="2"/>
    <x v="1"/>
    <n v="4550"/>
    <n v="7500"/>
    <n v="60"/>
    <n v="0.17"/>
    <s v="Rejected"/>
    <x v="2"/>
    <n v="0"/>
    <n v="1"/>
    <n v="0"/>
    <m/>
    <n v="3"/>
    <n v="1"/>
    <n v="1"/>
  </r>
  <r>
    <s v="LA-704474"/>
    <d v="2025-09-30T00:00:00"/>
    <x v="1"/>
    <s v="Q3"/>
    <x v="8"/>
    <x v="1"/>
    <x v="1"/>
    <x v="2"/>
    <x v="2"/>
    <x v="1"/>
    <n v="2650"/>
    <n v="10000"/>
    <n v="48"/>
    <n v="0.29499999999999998"/>
    <s v="Approved"/>
    <x v="1"/>
    <n v="1"/>
    <n v="0"/>
    <n v="8000"/>
    <n v="0.127"/>
    <n v="2"/>
    <n v="1"/>
    <n v="1"/>
  </r>
  <r>
    <s v="LA-704475"/>
    <d v="2025-10-01T00:00:00"/>
    <x v="1"/>
    <s v="Q4"/>
    <x v="9"/>
    <x v="0"/>
    <x v="3"/>
    <x v="3"/>
    <x v="2"/>
    <x v="4"/>
    <n v="8000"/>
    <n v="15500"/>
    <n v="48"/>
    <n v="0.13700000000000001"/>
    <s v="Approved"/>
    <x v="1"/>
    <n v="1"/>
    <n v="0"/>
    <n v="12500"/>
    <n v="7.4099999999999999E-2"/>
    <n v="6"/>
    <n v="0"/>
    <n v="1"/>
  </r>
  <r>
    <s v="LA-704476"/>
    <d v="2025-10-01T00:00:00"/>
    <x v="1"/>
    <s v="Q4"/>
    <x v="9"/>
    <x v="1"/>
    <x v="1"/>
    <x v="2"/>
    <x v="1"/>
    <x v="1"/>
    <n v="7800"/>
    <n v="9500"/>
    <n v="24"/>
    <n v="0.14499999999999999"/>
    <s v="Approved"/>
    <x v="1"/>
    <n v="1"/>
    <n v="0"/>
    <n v="9500"/>
    <n v="0.1249"/>
    <n v="1"/>
    <n v="1"/>
    <n v="1"/>
  </r>
  <r>
    <s v="LA-704477"/>
    <d v="2025-10-01T00:00:00"/>
    <x v="1"/>
    <s v="Q4"/>
    <x v="9"/>
    <x v="1"/>
    <x v="3"/>
    <x v="2"/>
    <x v="1"/>
    <x v="1"/>
    <n v="7300"/>
    <n v="15500"/>
    <n v="24"/>
    <n v="0.33700000000000002"/>
    <s v="Rejected"/>
    <x v="2"/>
    <n v="0"/>
    <n v="1"/>
    <n v="0"/>
    <m/>
    <n v="5"/>
    <n v="0"/>
    <n v="1"/>
  </r>
  <r>
    <s v="LA-704478"/>
    <d v="2025-10-01T00:00:00"/>
    <x v="1"/>
    <s v="Q4"/>
    <x v="9"/>
    <x v="2"/>
    <x v="3"/>
    <x v="2"/>
    <x v="0"/>
    <x v="0"/>
    <n v="5350"/>
    <n v="108000"/>
    <n v="60"/>
    <n v="0.61499999999999999"/>
    <s v="Rejected"/>
    <x v="0"/>
    <n v="0"/>
    <n v="1"/>
    <n v="0"/>
    <m/>
    <n v="14"/>
    <n v="0"/>
    <n v="1"/>
  </r>
  <r>
    <s v="LA-704479"/>
    <d v="2025-10-01T00:00:00"/>
    <x v="1"/>
    <s v="Q4"/>
    <x v="9"/>
    <x v="1"/>
    <x v="1"/>
    <x v="2"/>
    <x v="0"/>
    <x v="0"/>
    <n v="6850"/>
    <n v="15000"/>
    <n v="48"/>
    <n v="0.14499999999999999"/>
    <s v="Rejected"/>
    <x v="0"/>
    <n v="0"/>
    <n v="1"/>
    <n v="0"/>
    <m/>
    <n v="2"/>
    <n v="1"/>
    <n v="1"/>
  </r>
  <r>
    <s v="LA-704480"/>
    <d v="2025-10-01T00:00:00"/>
    <x v="1"/>
    <s v="Q4"/>
    <x v="9"/>
    <x v="0"/>
    <x v="2"/>
    <x v="2"/>
    <x v="0"/>
    <x v="4"/>
    <n v="4000"/>
    <n v="32500"/>
    <n v="60"/>
    <n v="0.31900000000000001"/>
    <s v="Approved"/>
    <x v="1"/>
    <n v="1"/>
    <n v="0"/>
    <n v="29000"/>
    <n v="6.9699999999999998E-2"/>
    <n v="2"/>
    <n v="1"/>
    <n v="1"/>
  </r>
  <r>
    <s v="LA-704481"/>
    <d v="2025-10-01T00:00:00"/>
    <x v="1"/>
    <s v="Q4"/>
    <x v="9"/>
    <x v="0"/>
    <x v="0"/>
    <x v="2"/>
    <x v="0"/>
    <x v="1"/>
    <n v="5200"/>
    <n v="29000"/>
    <n v="48"/>
    <n v="0.217"/>
    <s v="Rejected"/>
    <x v="2"/>
    <n v="0"/>
    <n v="1"/>
    <n v="0"/>
    <m/>
    <n v="8"/>
    <n v="0"/>
    <n v="1"/>
  </r>
  <r>
    <s v="LA-704482"/>
    <d v="2025-10-02T00:00:00"/>
    <x v="1"/>
    <s v="Q4"/>
    <x v="9"/>
    <x v="0"/>
    <x v="1"/>
    <x v="2"/>
    <x v="1"/>
    <x v="3"/>
    <n v="3200"/>
    <n v="39500"/>
    <n v="60"/>
    <n v="0.33400000000000002"/>
    <s v="Approved"/>
    <x v="1"/>
    <n v="1"/>
    <n v="0"/>
    <n v="39500"/>
    <n v="6.5100000000000005E-2"/>
    <n v="2"/>
    <n v="1"/>
    <n v="1"/>
  </r>
  <r>
    <s v="LA-704483"/>
    <d v="2025-10-02T00:00:00"/>
    <x v="1"/>
    <s v="Q4"/>
    <x v="9"/>
    <x v="0"/>
    <x v="0"/>
    <x v="1"/>
    <x v="2"/>
    <x v="2"/>
    <n v="5200"/>
    <n v="26500"/>
    <n v="36"/>
    <n v="0.314"/>
    <s v="Rejected"/>
    <x v="5"/>
    <n v="0"/>
    <n v="1"/>
    <n v="0"/>
    <m/>
    <n v="5"/>
    <n v="0"/>
    <n v="1"/>
  </r>
  <r>
    <s v="LA-704484"/>
    <d v="2025-10-02T00:00:00"/>
    <x v="1"/>
    <s v="Q4"/>
    <x v="9"/>
    <x v="0"/>
    <x v="1"/>
    <x v="3"/>
    <x v="0"/>
    <x v="0"/>
    <n v="3650"/>
    <n v="29500"/>
    <n v="60"/>
    <n v="0.36499999999999999"/>
    <s v="Approved"/>
    <x v="1"/>
    <n v="1"/>
    <n v="0"/>
    <n v="29500"/>
    <n v="9.2600000000000002E-2"/>
    <n v="2"/>
    <n v="1"/>
    <n v="1"/>
  </r>
  <r>
    <s v="LA-704485"/>
    <d v="2025-10-02T00:00:00"/>
    <x v="1"/>
    <s v="Q4"/>
    <x v="9"/>
    <x v="0"/>
    <x v="2"/>
    <x v="2"/>
    <x v="0"/>
    <x v="0"/>
    <n v="7150"/>
    <n v="31000"/>
    <n v="60"/>
    <n v="0.185"/>
    <s v="Approved"/>
    <x v="1"/>
    <n v="1"/>
    <n v="0"/>
    <n v="31000"/>
    <n v="0.1009"/>
    <n v="3"/>
    <n v="1"/>
    <n v="1"/>
  </r>
  <r>
    <s v="LA-704486"/>
    <d v="2025-10-02T00:00:00"/>
    <x v="1"/>
    <s v="Q4"/>
    <x v="9"/>
    <x v="0"/>
    <x v="3"/>
    <x v="4"/>
    <x v="0"/>
    <x v="0"/>
    <n v="4600"/>
    <n v="20000"/>
    <n v="36"/>
    <n v="0.22600000000000001"/>
    <s v="Approved"/>
    <x v="1"/>
    <n v="1"/>
    <n v="0"/>
    <n v="16000"/>
    <n v="9.8199999999999996E-2"/>
    <n v="6"/>
    <n v="0"/>
    <n v="1"/>
  </r>
  <r>
    <s v="LA-704487"/>
    <d v="2025-10-02T00:00:00"/>
    <x v="1"/>
    <s v="Q4"/>
    <x v="9"/>
    <x v="0"/>
    <x v="1"/>
    <x v="2"/>
    <x v="0"/>
    <x v="1"/>
    <n v="4850"/>
    <n v="17500"/>
    <n v="36"/>
    <n v="0.182"/>
    <s v="Approved"/>
    <x v="1"/>
    <n v="1"/>
    <n v="0"/>
    <n v="17500"/>
    <n v="8.6699999999999999E-2"/>
    <n v="1"/>
    <n v="1"/>
    <n v="1"/>
  </r>
  <r>
    <s v="LA-704488"/>
    <d v="2025-10-02T00:00:00"/>
    <x v="1"/>
    <s v="Q4"/>
    <x v="9"/>
    <x v="0"/>
    <x v="2"/>
    <x v="0"/>
    <x v="0"/>
    <x v="0"/>
    <n v="6500"/>
    <n v="13500"/>
    <n v="48"/>
    <n v="0.221"/>
    <s v="Approved"/>
    <x v="1"/>
    <n v="1"/>
    <n v="0"/>
    <n v="12000"/>
    <n v="9.64E-2"/>
    <n v="2"/>
    <n v="1"/>
    <n v="1"/>
  </r>
  <r>
    <s v="LA-704489"/>
    <d v="2025-10-02T00:00:00"/>
    <x v="1"/>
    <s v="Q4"/>
    <x v="9"/>
    <x v="1"/>
    <x v="2"/>
    <x v="3"/>
    <x v="1"/>
    <x v="3"/>
    <n v="4350"/>
    <n v="10500"/>
    <n v="48"/>
    <n v="0.216"/>
    <s v="Approved"/>
    <x v="1"/>
    <n v="1"/>
    <n v="0"/>
    <n v="10500"/>
    <n v="0.11169999999999999"/>
    <n v="2"/>
    <n v="1"/>
    <n v="1"/>
  </r>
  <r>
    <s v="LA-704490"/>
    <d v="2025-10-03T00:00:00"/>
    <x v="1"/>
    <s v="Q4"/>
    <x v="9"/>
    <x v="0"/>
    <x v="2"/>
    <x v="1"/>
    <x v="1"/>
    <x v="4"/>
    <n v="3200"/>
    <n v="21000"/>
    <n v="48"/>
    <n v="0.223"/>
    <s v="Approved"/>
    <x v="1"/>
    <n v="1"/>
    <n v="0"/>
    <n v="21000"/>
    <n v="7.3999999999999996E-2"/>
    <n v="4"/>
    <n v="1"/>
    <n v="1"/>
  </r>
  <r>
    <s v="LA-704491"/>
    <d v="2025-10-03T00:00:00"/>
    <x v="1"/>
    <s v="Q4"/>
    <x v="9"/>
    <x v="1"/>
    <x v="1"/>
    <x v="2"/>
    <x v="1"/>
    <x v="0"/>
    <n v="7250"/>
    <n v="9000"/>
    <n v="24"/>
    <n v="0.19"/>
    <s v="Approved"/>
    <x v="1"/>
    <n v="1"/>
    <n v="0"/>
    <n v="9000"/>
    <n v="0.13800000000000001"/>
    <n v="1"/>
    <n v="1"/>
    <n v="1"/>
  </r>
  <r>
    <s v="LA-704492"/>
    <d v="2025-10-03T00:00:00"/>
    <x v="1"/>
    <s v="Q4"/>
    <x v="9"/>
    <x v="2"/>
    <x v="3"/>
    <x v="2"/>
    <x v="2"/>
    <x v="2"/>
    <n v="8700"/>
    <n v="167000"/>
    <n v="60"/>
    <n v="0.61299999999999999"/>
    <s v="Rejected"/>
    <x v="0"/>
    <n v="0"/>
    <n v="1"/>
    <n v="0"/>
    <m/>
    <n v="16"/>
    <n v="0"/>
    <n v="1"/>
  </r>
  <r>
    <s v="LA-704493"/>
    <d v="2025-10-03T00:00:00"/>
    <x v="1"/>
    <s v="Q4"/>
    <x v="9"/>
    <x v="2"/>
    <x v="1"/>
    <x v="0"/>
    <x v="2"/>
    <x v="1"/>
    <n v="8200"/>
    <n v="86500"/>
    <n v="36"/>
    <n v="0.39"/>
    <s v="Rejected"/>
    <x v="0"/>
    <n v="0"/>
    <n v="1"/>
    <n v="0"/>
    <m/>
    <n v="2"/>
    <n v="1"/>
    <n v="1"/>
  </r>
  <r>
    <s v="LA-704494"/>
    <d v="2025-10-03T00:00:00"/>
    <x v="1"/>
    <s v="Q4"/>
    <x v="9"/>
    <x v="0"/>
    <x v="1"/>
    <x v="3"/>
    <x v="0"/>
    <x v="1"/>
    <n v="5000"/>
    <n v="39500"/>
    <n v="36"/>
    <n v="0.49099999999999999"/>
    <s v="Rejected"/>
    <x v="3"/>
    <n v="0"/>
    <n v="1"/>
    <n v="0"/>
    <m/>
    <n v="2"/>
    <n v="1"/>
    <n v="1"/>
  </r>
  <r>
    <s v="LA-704495"/>
    <d v="2025-10-03T00:00:00"/>
    <x v="1"/>
    <s v="Q4"/>
    <x v="9"/>
    <x v="0"/>
    <x v="3"/>
    <x v="2"/>
    <x v="2"/>
    <x v="1"/>
    <n v="8200"/>
    <n v="15000"/>
    <n v="36"/>
    <n v="0.151"/>
    <s v="Approved"/>
    <x v="1"/>
    <n v="1"/>
    <n v="0"/>
    <n v="12000"/>
    <n v="8.3699999999999997E-2"/>
    <n v="5"/>
    <n v="0"/>
    <n v="1"/>
  </r>
  <r>
    <s v="LA-704496"/>
    <d v="2025-10-03T00:00:00"/>
    <x v="1"/>
    <s v="Q4"/>
    <x v="9"/>
    <x v="0"/>
    <x v="3"/>
    <x v="2"/>
    <x v="2"/>
    <x v="1"/>
    <n v="6150"/>
    <n v="25000"/>
    <n v="36"/>
    <n v="0.28499999999999998"/>
    <s v="Approved"/>
    <x v="1"/>
    <n v="1"/>
    <n v="0"/>
    <n v="22500"/>
    <n v="8.2299999999999998E-2"/>
    <n v="5"/>
    <n v="0"/>
    <n v="1"/>
  </r>
  <r>
    <s v="LA-704497"/>
    <d v="2025-10-03T00:00:00"/>
    <x v="1"/>
    <s v="Q4"/>
    <x v="9"/>
    <x v="0"/>
    <x v="1"/>
    <x v="1"/>
    <x v="1"/>
    <x v="3"/>
    <n v="4950"/>
    <n v="12000"/>
    <n v="36"/>
    <n v="0.14399999999999999"/>
    <s v="Withdrawn"/>
    <x v="1"/>
    <n v="0"/>
    <n v="0"/>
    <n v="0"/>
    <m/>
    <n v="6"/>
    <n v="0"/>
    <n v="1"/>
  </r>
  <r>
    <s v="LA-704498"/>
    <d v="2025-10-04T00:00:00"/>
    <x v="1"/>
    <s v="Q4"/>
    <x v="9"/>
    <x v="1"/>
    <x v="3"/>
    <x v="1"/>
    <x v="2"/>
    <x v="0"/>
    <n v="6550"/>
    <n v="8000"/>
    <n v="24"/>
    <n v="0.26300000000000001"/>
    <s v="Rejected"/>
    <x v="0"/>
    <n v="0"/>
    <n v="1"/>
    <n v="0"/>
    <m/>
    <n v="5"/>
    <n v="0"/>
    <n v="1"/>
  </r>
  <r>
    <s v="LA-704499"/>
    <d v="2025-10-04T00:00:00"/>
    <x v="1"/>
    <s v="Q4"/>
    <x v="9"/>
    <x v="1"/>
    <x v="3"/>
    <x v="2"/>
    <x v="1"/>
    <x v="2"/>
    <n v="7900"/>
    <n v="12000"/>
    <n v="48"/>
    <n v="0.26100000000000001"/>
    <s v="Rejected"/>
    <x v="5"/>
    <n v="0"/>
    <n v="1"/>
    <n v="0"/>
    <m/>
    <n v="4"/>
    <n v="0"/>
    <n v="1"/>
  </r>
  <r>
    <s v="LA-704500"/>
    <d v="2025-10-04T00:00:00"/>
    <x v="1"/>
    <s v="Q4"/>
    <x v="9"/>
    <x v="0"/>
    <x v="1"/>
    <x v="1"/>
    <x v="1"/>
    <x v="1"/>
    <n v="5900"/>
    <n v="21000"/>
    <n v="36"/>
    <n v="0.34899999999999998"/>
    <s v="Approved"/>
    <x v="1"/>
    <n v="1"/>
    <n v="0"/>
    <n v="19000"/>
    <n v="8.6999999999999994E-2"/>
    <n v="4"/>
    <n v="1"/>
    <n v="1"/>
  </r>
  <r>
    <s v="LA-704501"/>
    <d v="2025-10-04T00:00:00"/>
    <x v="1"/>
    <s v="Q4"/>
    <x v="9"/>
    <x v="0"/>
    <x v="0"/>
    <x v="0"/>
    <x v="1"/>
    <x v="0"/>
    <n v="6400"/>
    <n v="33000"/>
    <n v="36"/>
    <n v="0.23200000000000001"/>
    <s v="Rejected"/>
    <x v="0"/>
    <n v="0"/>
    <n v="1"/>
    <n v="0"/>
    <m/>
    <n v="5"/>
    <n v="0"/>
    <n v="1"/>
  </r>
  <r>
    <s v="LA-704502"/>
    <d v="2025-10-04T00:00:00"/>
    <x v="1"/>
    <s v="Q4"/>
    <x v="9"/>
    <x v="0"/>
    <x v="1"/>
    <x v="2"/>
    <x v="0"/>
    <x v="0"/>
    <n v="4200"/>
    <n v="26000"/>
    <n v="60"/>
    <n v="0.17799999999999999"/>
    <s v="Rejected"/>
    <x v="0"/>
    <n v="0"/>
    <n v="1"/>
    <n v="0"/>
    <m/>
    <n v="1"/>
    <n v="1"/>
    <n v="1"/>
  </r>
  <r>
    <s v="LA-704503"/>
    <d v="2025-10-05T00:00:00"/>
    <x v="1"/>
    <s v="Q4"/>
    <x v="9"/>
    <x v="3"/>
    <x v="3"/>
    <x v="4"/>
    <x v="0"/>
    <x v="2"/>
    <n v="2750"/>
    <n v="245000"/>
    <n v="180"/>
    <n v="0.85899999999999999"/>
    <s v="Rejected"/>
    <x v="3"/>
    <n v="0"/>
    <n v="1"/>
    <n v="0"/>
    <m/>
    <n v="17"/>
    <n v="0"/>
    <n v="1"/>
  </r>
  <r>
    <s v="LA-704504"/>
    <d v="2025-10-05T00:00:00"/>
    <x v="1"/>
    <s v="Q4"/>
    <x v="9"/>
    <x v="2"/>
    <x v="0"/>
    <x v="2"/>
    <x v="0"/>
    <x v="1"/>
    <n v="3000"/>
    <n v="115500"/>
    <n v="12"/>
    <n v="3.4340000000000002"/>
    <s v="Rejected"/>
    <x v="3"/>
    <n v="0"/>
    <n v="1"/>
    <n v="0"/>
    <m/>
    <n v="7"/>
    <n v="1"/>
    <n v="1"/>
  </r>
  <r>
    <s v="LA-704505"/>
    <d v="2025-10-05T00:00:00"/>
    <x v="1"/>
    <s v="Q4"/>
    <x v="9"/>
    <x v="1"/>
    <x v="2"/>
    <x v="3"/>
    <x v="0"/>
    <x v="1"/>
    <n v="8550"/>
    <n v="13000"/>
    <n v="36"/>
    <n v="0.153"/>
    <s v="Approved"/>
    <x v="1"/>
    <n v="1"/>
    <n v="0"/>
    <n v="13000"/>
    <n v="0.12620000000000001"/>
    <n v="3"/>
    <n v="1"/>
    <n v="1"/>
  </r>
  <r>
    <s v="LA-704506"/>
    <d v="2025-10-05T00:00:00"/>
    <x v="1"/>
    <s v="Q4"/>
    <x v="9"/>
    <x v="0"/>
    <x v="0"/>
    <x v="2"/>
    <x v="0"/>
    <x v="1"/>
    <n v="3900"/>
    <n v="12500"/>
    <n v="60"/>
    <n v="0.28299999999999997"/>
    <s v="Approved"/>
    <x v="1"/>
    <n v="1"/>
    <n v="0"/>
    <n v="11000"/>
    <n v="8.2799999999999999E-2"/>
    <n v="4"/>
    <n v="1"/>
    <n v="1"/>
  </r>
  <r>
    <s v="LA-704507"/>
    <d v="2025-10-05T00:00:00"/>
    <x v="1"/>
    <s v="Q4"/>
    <x v="9"/>
    <x v="1"/>
    <x v="3"/>
    <x v="1"/>
    <x v="0"/>
    <x v="1"/>
    <n v="6450"/>
    <n v="13500"/>
    <n v="48"/>
    <n v="0.28100000000000003"/>
    <s v="Withdrawn"/>
    <x v="1"/>
    <n v="0"/>
    <n v="0"/>
    <n v="0"/>
    <m/>
    <n v="3"/>
    <n v="1"/>
    <n v="1"/>
  </r>
  <r>
    <s v="LA-704508"/>
    <d v="2025-10-06T00:00:00"/>
    <x v="1"/>
    <s v="Q4"/>
    <x v="9"/>
    <x v="0"/>
    <x v="2"/>
    <x v="2"/>
    <x v="2"/>
    <x v="3"/>
    <n v="4300"/>
    <n v="24500"/>
    <n v="60"/>
    <n v="0.17299999999999999"/>
    <s v="Approved"/>
    <x v="1"/>
    <n v="1"/>
    <n v="0"/>
    <n v="22000"/>
    <n v="6.7599999999999993E-2"/>
    <n v="3"/>
    <n v="1"/>
    <n v="1"/>
  </r>
  <r>
    <s v="LA-704509"/>
    <d v="2025-10-06T00:00:00"/>
    <x v="1"/>
    <s v="Q4"/>
    <x v="9"/>
    <x v="0"/>
    <x v="0"/>
    <x v="0"/>
    <x v="1"/>
    <x v="3"/>
    <n v="9650"/>
    <n v="30500"/>
    <n v="36"/>
    <n v="0.20200000000000001"/>
    <s v="Rejected"/>
    <x v="4"/>
    <n v="0"/>
    <n v="1"/>
    <n v="0"/>
    <m/>
    <n v="9"/>
    <n v="0"/>
    <n v="1"/>
  </r>
  <r>
    <s v="LA-704510"/>
    <d v="2025-10-06T00:00:00"/>
    <x v="1"/>
    <s v="Q4"/>
    <x v="9"/>
    <x v="3"/>
    <x v="2"/>
    <x v="3"/>
    <x v="0"/>
    <x v="2"/>
    <n v="4200"/>
    <n v="276000"/>
    <n v="180"/>
    <n v="0.56999999999999995"/>
    <s v="Rejected"/>
    <x v="3"/>
    <n v="0"/>
    <n v="1"/>
    <n v="0"/>
    <m/>
    <n v="9"/>
    <n v="1"/>
    <n v="1"/>
  </r>
  <r>
    <s v="LA-704511"/>
    <d v="2025-10-06T00:00:00"/>
    <x v="1"/>
    <s v="Q4"/>
    <x v="9"/>
    <x v="3"/>
    <x v="1"/>
    <x v="1"/>
    <x v="1"/>
    <x v="4"/>
    <n v="6150"/>
    <n v="345000"/>
    <n v="240"/>
    <n v="0.53500000000000003"/>
    <s v="Approved"/>
    <x v="1"/>
    <n v="1"/>
    <n v="0"/>
    <n v="345000"/>
    <n v="5.7299999999999997E-2"/>
    <n v="4"/>
    <n v="1"/>
    <n v="1"/>
  </r>
  <r>
    <s v="LA-704512"/>
    <d v="2025-10-06T00:00:00"/>
    <x v="1"/>
    <s v="Q4"/>
    <x v="9"/>
    <x v="2"/>
    <x v="1"/>
    <x v="2"/>
    <x v="1"/>
    <x v="1"/>
    <n v="2450"/>
    <n v="102000"/>
    <n v="12"/>
    <n v="3.794"/>
    <s v="Rejected"/>
    <x v="3"/>
    <n v="0"/>
    <n v="1"/>
    <n v="0"/>
    <m/>
    <n v="6"/>
    <n v="1"/>
    <n v="1"/>
  </r>
  <r>
    <s v="LA-704513"/>
    <d v="2025-10-06T00:00:00"/>
    <x v="1"/>
    <s v="Q4"/>
    <x v="9"/>
    <x v="1"/>
    <x v="3"/>
    <x v="1"/>
    <x v="1"/>
    <x v="3"/>
    <n v="3800"/>
    <n v="19000"/>
    <n v="12"/>
    <n v="0.51700000000000002"/>
    <s v="Approved"/>
    <x v="1"/>
    <n v="1"/>
    <n v="0"/>
    <n v="17000"/>
    <n v="0.11310000000000001"/>
    <n v="6"/>
    <n v="0"/>
    <n v="1"/>
  </r>
  <r>
    <s v="LA-704514"/>
    <d v="2025-10-06T00:00:00"/>
    <x v="1"/>
    <s v="Q4"/>
    <x v="9"/>
    <x v="1"/>
    <x v="2"/>
    <x v="3"/>
    <x v="0"/>
    <x v="2"/>
    <n v="3700"/>
    <n v="12000"/>
    <n v="36"/>
    <n v="0.252"/>
    <s v="Rejected"/>
    <x v="0"/>
    <n v="0"/>
    <n v="1"/>
    <n v="0"/>
    <m/>
    <n v="3"/>
    <n v="1"/>
    <n v="1"/>
  </r>
  <r>
    <s v="LA-704515"/>
    <d v="2025-10-06T00:00:00"/>
    <x v="1"/>
    <s v="Q4"/>
    <x v="9"/>
    <x v="1"/>
    <x v="2"/>
    <x v="2"/>
    <x v="1"/>
    <x v="2"/>
    <n v="4750"/>
    <n v="10500"/>
    <n v="12"/>
    <n v="0.372"/>
    <s v="Rejected"/>
    <x v="0"/>
    <n v="0"/>
    <n v="1"/>
    <n v="0"/>
    <m/>
    <n v="3"/>
    <n v="1"/>
    <n v="1"/>
  </r>
  <r>
    <s v="LA-704516"/>
    <d v="2025-10-06T00:00:00"/>
    <x v="1"/>
    <s v="Q4"/>
    <x v="9"/>
    <x v="3"/>
    <x v="1"/>
    <x v="3"/>
    <x v="1"/>
    <x v="1"/>
    <n v="8550"/>
    <n v="374000"/>
    <n v="300"/>
    <n v="0.45800000000000002"/>
    <s v="Approved"/>
    <x v="1"/>
    <n v="1"/>
    <n v="0"/>
    <n v="374000"/>
    <n v="5.8799999999999998E-2"/>
    <n v="10"/>
    <n v="1"/>
    <n v="1"/>
  </r>
  <r>
    <s v="LA-704517"/>
    <d v="2025-10-06T00:00:00"/>
    <x v="1"/>
    <s v="Q4"/>
    <x v="9"/>
    <x v="0"/>
    <x v="0"/>
    <x v="2"/>
    <x v="0"/>
    <x v="4"/>
    <n v="3900"/>
    <n v="27000"/>
    <n v="48"/>
    <n v="0.26900000000000002"/>
    <s v="Rejected"/>
    <x v="4"/>
    <n v="0"/>
    <n v="1"/>
    <n v="0"/>
    <m/>
    <n v="8"/>
    <n v="0"/>
    <n v="1"/>
  </r>
  <r>
    <s v="LA-704518"/>
    <d v="2025-10-06T00:00:00"/>
    <x v="1"/>
    <s v="Q4"/>
    <x v="9"/>
    <x v="0"/>
    <x v="2"/>
    <x v="1"/>
    <x v="1"/>
    <x v="4"/>
    <n v="6400"/>
    <n v="21000"/>
    <n v="36"/>
    <n v="0.28299999999999997"/>
    <s v="Rejected"/>
    <x v="4"/>
    <n v="0"/>
    <n v="1"/>
    <n v="0"/>
    <m/>
    <n v="6"/>
    <n v="0"/>
    <n v="1"/>
  </r>
  <r>
    <s v="LA-704519"/>
    <d v="2025-10-06T00:00:00"/>
    <x v="1"/>
    <s v="Q4"/>
    <x v="9"/>
    <x v="3"/>
    <x v="0"/>
    <x v="3"/>
    <x v="1"/>
    <x v="4"/>
    <n v="4250"/>
    <n v="346000"/>
    <n v="180"/>
    <n v="0.77600000000000002"/>
    <s v="Approved"/>
    <x v="1"/>
    <n v="1"/>
    <n v="0"/>
    <n v="346000"/>
    <n v="4.7600000000000003E-2"/>
    <n v="12"/>
    <n v="1"/>
    <n v="1"/>
  </r>
  <r>
    <s v="LA-704520"/>
    <d v="2025-10-06T00:00:00"/>
    <x v="1"/>
    <s v="Q4"/>
    <x v="9"/>
    <x v="1"/>
    <x v="3"/>
    <x v="0"/>
    <x v="1"/>
    <x v="2"/>
    <n v="4600"/>
    <n v="6500"/>
    <n v="36"/>
    <n v="0.27800000000000002"/>
    <s v="Rejected"/>
    <x v="0"/>
    <n v="0"/>
    <n v="1"/>
    <n v="0"/>
    <m/>
    <n v="4"/>
    <n v="0"/>
    <n v="1"/>
  </r>
  <r>
    <s v="LA-704521"/>
    <d v="2025-10-06T00:00:00"/>
    <x v="1"/>
    <s v="Q4"/>
    <x v="9"/>
    <x v="2"/>
    <x v="1"/>
    <x v="1"/>
    <x v="0"/>
    <x v="2"/>
    <n v="4400"/>
    <n v="133500"/>
    <n v="36"/>
    <n v="1.0329999999999999"/>
    <s v="Rejected"/>
    <x v="0"/>
    <n v="0"/>
    <n v="1"/>
    <n v="0"/>
    <m/>
    <n v="3"/>
    <n v="1"/>
    <n v="1"/>
  </r>
  <r>
    <s v="LA-704522"/>
    <d v="2025-10-06T00:00:00"/>
    <x v="1"/>
    <s v="Q4"/>
    <x v="9"/>
    <x v="1"/>
    <x v="3"/>
    <x v="4"/>
    <x v="2"/>
    <x v="0"/>
    <n v="7050"/>
    <n v="37000"/>
    <n v="60"/>
    <n v="0.315"/>
    <s v="Rejected"/>
    <x v="5"/>
    <n v="0"/>
    <n v="1"/>
    <n v="0"/>
    <m/>
    <n v="3"/>
    <n v="1"/>
    <n v="1"/>
  </r>
  <r>
    <s v="LA-704523"/>
    <d v="2025-10-07T00:00:00"/>
    <x v="1"/>
    <s v="Q4"/>
    <x v="9"/>
    <x v="2"/>
    <x v="0"/>
    <x v="2"/>
    <x v="0"/>
    <x v="4"/>
    <n v="2650"/>
    <n v="90000"/>
    <n v="12"/>
    <n v="3.129"/>
    <s v="Rejected"/>
    <x v="3"/>
    <n v="0"/>
    <n v="1"/>
    <n v="0"/>
    <m/>
    <n v="7"/>
    <n v="1"/>
    <n v="1"/>
  </r>
  <r>
    <s v="LA-704524"/>
    <d v="2025-10-07T00:00:00"/>
    <x v="1"/>
    <s v="Q4"/>
    <x v="9"/>
    <x v="0"/>
    <x v="2"/>
    <x v="3"/>
    <x v="0"/>
    <x v="3"/>
    <n v="4600"/>
    <n v="19500"/>
    <n v="36"/>
    <n v="0.214"/>
    <s v="Approved"/>
    <x v="1"/>
    <n v="1"/>
    <n v="0"/>
    <n v="15500"/>
    <n v="6.8900000000000003E-2"/>
    <n v="1"/>
    <n v="1"/>
    <n v="1"/>
  </r>
  <r>
    <s v="LA-704525"/>
    <d v="2025-10-07T00:00:00"/>
    <x v="1"/>
    <s v="Q4"/>
    <x v="9"/>
    <x v="3"/>
    <x v="2"/>
    <x v="4"/>
    <x v="2"/>
    <x v="0"/>
    <n v="5800"/>
    <n v="239500"/>
    <n v="240"/>
    <n v="0.42299999999999999"/>
    <s v="Approved"/>
    <x v="1"/>
    <n v="1"/>
    <n v="0"/>
    <n v="191500"/>
    <n v="7.1099999999999997E-2"/>
    <n v="6"/>
    <n v="1"/>
    <n v="1"/>
  </r>
  <r>
    <s v="LA-704526"/>
    <d v="2025-10-07T00:00:00"/>
    <x v="1"/>
    <s v="Q4"/>
    <x v="9"/>
    <x v="1"/>
    <x v="3"/>
    <x v="3"/>
    <x v="2"/>
    <x v="1"/>
    <n v="6400"/>
    <n v="16500"/>
    <n v="24"/>
    <n v="0.23400000000000001"/>
    <s v="Withdrawn"/>
    <x v="1"/>
    <n v="0"/>
    <n v="0"/>
    <n v="0"/>
    <m/>
    <n v="5"/>
    <n v="0"/>
    <n v="1"/>
  </r>
  <r>
    <s v="LA-704527"/>
    <d v="2025-10-07T00:00:00"/>
    <x v="1"/>
    <s v="Q4"/>
    <x v="9"/>
    <x v="1"/>
    <x v="0"/>
    <x v="2"/>
    <x v="0"/>
    <x v="0"/>
    <n v="6300"/>
    <n v="12500"/>
    <n v="12"/>
    <n v="0.34399999999999997"/>
    <s v="Rejected"/>
    <x v="0"/>
    <n v="0"/>
    <n v="1"/>
    <n v="0"/>
    <m/>
    <n v="3"/>
    <n v="1"/>
    <n v="1"/>
  </r>
  <r>
    <s v="LA-704528"/>
    <d v="2025-10-07T00:00:00"/>
    <x v="1"/>
    <s v="Q4"/>
    <x v="9"/>
    <x v="1"/>
    <x v="0"/>
    <x v="1"/>
    <x v="0"/>
    <x v="0"/>
    <n v="3700"/>
    <n v="9000"/>
    <n v="12"/>
    <n v="0.315"/>
    <s v="Approved"/>
    <x v="1"/>
    <n v="1"/>
    <n v="0"/>
    <n v="9000"/>
    <n v="0.13900000000000001"/>
    <n v="3"/>
    <n v="1"/>
    <n v="1"/>
  </r>
  <r>
    <s v="LA-704529"/>
    <d v="2025-10-07T00:00:00"/>
    <x v="1"/>
    <s v="Q4"/>
    <x v="9"/>
    <x v="1"/>
    <x v="1"/>
    <x v="1"/>
    <x v="0"/>
    <x v="4"/>
    <n v="6600"/>
    <n v="21000"/>
    <n v="36"/>
    <n v="0.159"/>
    <s v="Approved"/>
    <x v="1"/>
    <n v="1"/>
    <n v="0"/>
    <n v="21000"/>
    <n v="0.1176"/>
    <n v="1"/>
    <n v="1"/>
    <n v="1"/>
  </r>
  <r>
    <s v="LA-704530"/>
    <d v="2025-10-07T00:00:00"/>
    <x v="1"/>
    <s v="Q4"/>
    <x v="9"/>
    <x v="1"/>
    <x v="3"/>
    <x v="2"/>
    <x v="0"/>
    <x v="1"/>
    <n v="3650"/>
    <n v="10500"/>
    <n v="48"/>
    <n v="0.29699999999999999"/>
    <s v="Rejected"/>
    <x v="4"/>
    <n v="0"/>
    <n v="1"/>
    <n v="0"/>
    <m/>
    <n v="8"/>
    <n v="0"/>
    <n v="1"/>
  </r>
  <r>
    <s v="LA-704531"/>
    <d v="2025-10-07T00:00:00"/>
    <x v="1"/>
    <s v="Q4"/>
    <x v="9"/>
    <x v="1"/>
    <x v="1"/>
    <x v="2"/>
    <x v="2"/>
    <x v="0"/>
    <n v="4650"/>
    <n v="11000"/>
    <n v="24"/>
    <n v="0.35499999999999998"/>
    <s v="Approved"/>
    <x v="1"/>
    <n v="1"/>
    <n v="0"/>
    <n v="11000"/>
    <n v="0.14380000000000001"/>
    <n v="1"/>
    <n v="1"/>
    <n v="1"/>
  </r>
  <r>
    <s v="LA-704532"/>
    <d v="2025-10-07T00:00:00"/>
    <x v="1"/>
    <s v="Q4"/>
    <x v="9"/>
    <x v="1"/>
    <x v="1"/>
    <x v="3"/>
    <x v="0"/>
    <x v="0"/>
    <n v="7050"/>
    <n v="6500"/>
    <n v="60"/>
    <n v="8.1000000000000003E-2"/>
    <s v="Approved"/>
    <x v="1"/>
    <n v="1"/>
    <n v="0"/>
    <n v="6500"/>
    <n v="0.13469999999999999"/>
    <n v="1"/>
    <n v="1"/>
    <n v="1"/>
  </r>
  <r>
    <s v="LA-704533"/>
    <d v="2025-10-07T00:00:00"/>
    <x v="1"/>
    <s v="Q4"/>
    <x v="9"/>
    <x v="0"/>
    <x v="2"/>
    <x v="2"/>
    <x v="1"/>
    <x v="4"/>
    <n v="4950"/>
    <n v="37000"/>
    <n v="60"/>
    <n v="0.26500000000000001"/>
    <s v="Rejected"/>
    <x v="5"/>
    <n v="0"/>
    <n v="1"/>
    <n v="0"/>
    <m/>
    <n v="3"/>
    <n v="1"/>
    <n v="1"/>
  </r>
  <r>
    <s v="LA-704534"/>
    <d v="2025-10-07T00:00:00"/>
    <x v="1"/>
    <s v="Q4"/>
    <x v="9"/>
    <x v="1"/>
    <x v="1"/>
    <x v="2"/>
    <x v="0"/>
    <x v="4"/>
    <n v="6400"/>
    <n v="11500"/>
    <n v="48"/>
    <n v="0.26500000000000001"/>
    <s v="Approved"/>
    <x v="1"/>
    <n v="1"/>
    <n v="0"/>
    <n v="11500"/>
    <n v="0.1142"/>
    <n v="1"/>
    <n v="1"/>
    <n v="1"/>
  </r>
  <r>
    <s v="LA-704535"/>
    <d v="2025-10-07T00:00:00"/>
    <x v="1"/>
    <s v="Q4"/>
    <x v="9"/>
    <x v="1"/>
    <x v="2"/>
    <x v="2"/>
    <x v="1"/>
    <x v="4"/>
    <n v="5300"/>
    <n v="11000"/>
    <n v="60"/>
    <n v="0.26400000000000001"/>
    <s v="Approved"/>
    <x v="1"/>
    <n v="1"/>
    <n v="0"/>
    <n v="9000"/>
    <n v="0.1197"/>
    <n v="2"/>
    <n v="1"/>
    <n v="1"/>
  </r>
  <r>
    <s v="LA-704536"/>
    <d v="2025-10-07T00:00:00"/>
    <x v="1"/>
    <s v="Q4"/>
    <x v="9"/>
    <x v="1"/>
    <x v="1"/>
    <x v="3"/>
    <x v="2"/>
    <x v="4"/>
    <n v="6500"/>
    <n v="12500"/>
    <n v="48"/>
    <n v="0.13"/>
    <s v="Approved"/>
    <x v="1"/>
    <n v="1"/>
    <n v="0"/>
    <n v="12500"/>
    <n v="0.1172"/>
    <n v="1"/>
    <n v="1"/>
    <n v="1"/>
  </r>
  <r>
    <s v="LA-704537"/>
    <d v="2025-10-07T00:00:00"/>
    <x v="1"/>
    <s v="Q4"/>
    <x v="9"/>
    <x v="2"/>
    <x v="3"/>
    <x v="3"/>
    <x v="1"/>
    <x v="1"/>
    <n v="5000"/>
    <n v="120500"/>
    <n v="36"/>
    <n v="1.0129999999999999"/>
    <s v="Rejected"/>
    <x v="3"/>
    <n v="0"/>
    <n v="1"/>
    <n v="0"/>
    <m/>
    <n v="14"/>
    <n v="0"/>
    <n v="1"/>
  </r>
  <r>
    <s v="LA-704538"/>
    <d v="2025-10-08T00:00:00"/>
    <x v="1"/>
    <s v="Q4"/>
    <x v="9"/>
    <x v="1"/>
    <x v="1"/>
    <x v="2"/>
    <x v="0"/>
    <x v="1"/>
    <n v="4450"/>
    <n v="21000"/>
    <n v="60"/>
    <n v="0.182"/>
    <s v="Approved"/>
    <x v="1"/>
    <n v="1"/>
    <n v="0"/>
    <n v="21000"/>
    <n v="0.12479999999999999"/>
    <n v="1"/>
    <n v="1"/>
    <n v="1"/>
  </r>
  <r>
    <s v="LA-704539"/>
    <d v="2025-10-08T00:00:00"/>
    <x v="1"/>
    <s v="Q4"/>
    <x v="9"/>
    <x v="1"/>
    <x v="3"/>
    <x v="0"/>
    <x v="1"/>
    <x v="3"/>
    <n v="3750"/>
    <n v="8000"/>
    <n v="12"/>
    <n v="0.42499999999999999"/>
    <s v="Rejected"/>
    <x v="0"/>
    <n v="0"/>
    <n v="1"/>
    <n v="0"/>
    <m/>
    <n v="7"/>
    <n v="0"/>
    <n v="1"/>
  </r>
  <r>
    <s v="LA-704540"/>
    <d v="2025-10-08T00:00:00"/>
    <x v="1"/>
    <s v="Q4"/>
    <x v="9"/>
    <x v="1"/>
    <x v="3"/>
    <x v="2"/>
    <x v="0"/>
    <x v="3"/>
    <n v="7200"/>
    <n v="7500"/>
    <n v="12"/>
    <n v="0.27800000000000002"/>
    <s v="Approved"/>
    <x v="1"/>
    <n v="1"/>
    <n v="0"/>
    <n v="7500"/>
    <n v="0.1123"/>
    <n v="2"/>
    <n v="1"/>
    <n v="1"/>
  </r>
  <r>
    <s v="LA-704541"/>
    <d v="2025-10-08T00:00:00"/>
    <x v="1"/>
    <s v="Q4"/>
    <x v="9"/>
    <x v="0"/>
    <x v="3"/>
    <x v="0"/>
    <x v="1"/>
    <x v="4"/>
    <n v="7300"/>
    <n v="36000"/>
    <n v="48"/>
    <n v="0.29099999999999998"/>
    <s v="Approved"/>
    <x v="1"/>
    <n v="1"/>
    <n v="0"/>
    <n v="32500"/>
    <n v="6.9199999999999998E-2"/>
    <n v="6"/>
    <n v="0"/>
    <n v="1"/>
  </r>
  <r>
    <s v="LA-704542"/>
    <d v="2025-10-08T00:00:00"/>
    <x v="1"/>
    <s v="Q4"/>
    <x v="9"/>
    <x v="1"/>
    <x v="2"/>
    <x v="4"/>
    <x v="2"/>
    <x v="0"/>
    <n v="2400"/>
    <n v="19500"/>
    <n v="12"/>
    <n v="0.79700000000000004"/>
    <s v="Rejected"/>
    <x v="0"/>
    <n v="0"/>
    <n v="1"/>
    <n v="0"/>
    <m/>
    <n v="1"/>
    <n v="1"/>
    <n v="1"/>
  </r>
  <r>
    <s v="LA-704543"/>
    <d v="2025-10-08T00:00:00"/>
    <x v="1"/>
    <s v="Q4"/>
    <x v="9"/>
    <x v="1"/>
    <x v="1"/>
    <x v="0"/>
    <x v="1"/>
    <x v="0"/>
    <n v="2950"/>
    <n v="8500"/>
    <n v="48"/>
    <n v="0.30599999999999999"/>
    <s v="Withdrawn"/>
    <x v="1"/>
    <n v="0"/>
    <n v="0"/>
    <n v="0"/>
    <m/>
    <n v="2"/>
    <n v="1"/>
    <n v="1"/>
  </r>
  <r>
    <s v="LA-704544"/>
    <d v="2025-10-08T00:00:00"/>
    <x v="1"/>
    <s v="Q4"/>
    <x v="9"/>
    <x v="0"/>
    <x v="0"/>
    <x v="2"/>
    <x v="0"/>
    <x v="3"/>
    <n v="5350"/>
    <n v="66000"/>
    <n v="48"/>
    <n v="0.50600000000000001"/>
    <s v="Approved"/>
    <x v="1"/>
    <n v="1"/>
    <n v="0"/>
    <n v="66000"/>
    <n v="6.3299999999999995E-2"/>
    <n v="4"/>
    <n v="1"/>
    <n v="1"/>
  </r>
  <r>
    <s v="LA-704545"/>
    <d v="2025-10-08T00:00:00"/>
    <x v="1"/>
    <s v="Q4"/>
    <x v="9"/>
    <x v="0"/>
    <x v="1"/>
    <x v="0"/>
    <x v="1"/>
    <x v="1"/>
    <n v="3100"/>
    <n v="24000"/>
    <n v="36"/>
    <n v="0.441"/>
    <s v="Approved"/>
    <x v="1"/>
    <n v="1"/>
    <n v="0"/>
    <n v="24000"/>
    <n v="7.6399999999999996E-2"/>
    <n v="1"/>
    <n v="1"/>
    <n v="1"/>
  </r>
  <r>
    <s v="LA-704546"/>
    <d v="2025-10-08T00:00:00"/>
    <x v="1"/>
    <s v="Q4"/>
    <x v="9"/>
    <x v="0"/>
    <x v="2"/>
    <x v="3"/>
    <x v="2"/>
    <x v="1"/>
    <n v="5500"/>
    <n v="14000"/>
    <n v="36"/>
    <n v="0.29799999999999999"/>
    <s v="Approved"/>
    <x v="1"/>
    <n v="1"/>
    <n v="0"/>
    <n v="11000"/>
    <n v="7.8200000000000006E-2"/>
    <n v="4"/>
    <n v="1"/>
    <n v="1"/>
  </r>
  <r>
    <s v="LA-704547"/>
    <d v="2025-10-08T00:00:00"/>
    <x v="1"/>
    <s v="Q4"/>
    <x v="9"/>
    <x v="1"/>
    <x v="3"/>
    <x v="3"/>
    <x v="1"/>
    <x v="1"/>
    <n v="4500"/>
    <n v="12000"/>
    <n v="12"/>
    <n v="0.29899999999999999"/>
    <s v="Rejected"/>
    <x v="4"/>
    <n v="0"/>
    <n v="1"/>
    <n v="0"/>
    <m/>
    <n v="9"/>
    <n v="0"/>
    <n v="1"/>
  </r>
  <r>
    <s v="LA-704548"/>
    <d v="2025-10-08T00:00:00"/>
    <x v="1"/>
    <s v="Q4"/>
    <x v="9"/>
    <x v="2"/>
    <x v="3"/>
    <x v="2"/>
    <x v="0"/>
    <x v="3"/>
    <n v="5900"/>
    <n v="85000"/>
    <n v="60"/>
    <n v="0.41099999999999998"/>
    <s v="Approved"/>
    <x v="1"/>
    <n v="1"/>
    <n v="0"/>
    <n v="85000"/>
    <n v="9.2100000000000001E-2"/>
    <n v="10"/>
    <n v="1"/>
    <n v="1"/>
  </r>
  <r>
    <s v="LA-704549"/>
    <d v="2025-10-08T00:00:00"/>
    <x v="1"/>
    <s v="Q4"/>
    <x v="9"/>
    <x v="2"/>
    <x v="2"/>
    <x v="2"/>
    <x v="0"/>
    <x v="0"/>
    <n v="3950"/>
    <n v="61500"/>
    <n v="24"/>
    <n v="0.85099999999999998"/>
    <s v="Approved"/>
    <x v="1"/>
    <n v="1"/>
    <n v="0"/>
    <n v="61500"/>
    <n v="0.12280000000000001"/>
    <n v="5"/>
    <n v="1"/>
    <n v="1"/>
  </r>
  <r>
    <s v="LA-704550"/>
    <d v="2025-10-08T00:00:00"/>
    <x v="1"/>
    <s v="Q4"/>
    <x v="9"/>
    <x v="2"/>
    <x v="2"/>
    <x v="1"/>
    <x v="0"/>
    <x v="1"/>
    <n v="4800"/>
    <n v="83500"/>
    <n v="60"/>
    <n v="0.501"/>
    <s v="Rejected"/>
    <x v="4"/>
    <n v="0"/>
    <n v="1"/>
    <n v="0"/>
    <m/>
    <n v="9"/>
    <n v="1"/>
    <n v="1"/>
  </r>
  <r>
    <s v="LA-704551"/>
    <d v="2025-10-08T00:00:00"/>
    <x v="1"/>
    <s v="Q4"/>
    <x v="9"/>
    <x v="1"/>
    <x v="3"/>
    <x v="0"/>
    <x v="0"/>
    <x v="1"/>
    <n v="9300"/>
    <n v="5000"/>
    <n v="24"/>
    <n v="0.23300000000000001"/>
    <s v="Approved"/>
    <x v="1"/>
    <n v="1"/>
    <n v="0"/>
    <n v="4500"/>
    <n v="0.12379999999999999"/>
    <n v="5"/>
    <n v="0"/>
    <n v="1"/>
  </r>
  <r>
    <s v="LA-704552"/>
    <d v="2025-10-09T00:00:00"/>
    <x v="1"/>
    <s v="Q4"/>
    <x v="9"/>
    <x v="1"/>
    <x v="3"/>
    <x v="0"/>
    <x v="0"/>
    <x v="1"/>
    <n v="8600"/>
    <n v="8000"/>
    <n v="48"/>
    <n v="0.13"/>
    <s v="Approved"/>
    <x v="1"/>
    <n v="1"/>
    <n v="0"/>
    <n v="8000"/>
    <n v="0.12609999999999999"/>
    <n v="3"/>
    <n v="1"/>
    <n v="1"/>
  </r>
  <r>
    <s v="LA-704553"/>
    <d v="2025-10-09T00:00:00"/>
    <x v="1"/>
    <s v="Q4"/>
    <x v="9"/>
    <x v="2"/>
    <x v="2"/>
    <x v="0"/>
    <x v="2"/>
    <x v="4"/>
    <n v="3650"/>
    <n v="101000"/>
    <n v="24"/>
    <n v="1.468"/>
    <s v="Rejected"/>
    <x v="3"/>
    <n v="0"/>
    <n v="1"/>
    <n v="0"/>
    <m/>
    <n v="8"/>
    <n v="1"/>
    <n v="1"/>
  </r>
  <r>
    <s v="LA-704554"/>
    <d v="2025-10-09T00:00:00"/>
    <x v="1"/>
    <s v="Q4"/>
    <x v="9"/>
    <x v="1"/>
    <x v="1"/>
    <x v="2"/>
    <x v="0"/>
    <x v="1"/>
    <n v="8150"/>
    <n v="7500"/>
    <n v="60"/>
    <n v="0.17199999999999999"/>
    <s v="Approved"/>
    <x v="1"/>
    <n v="1"/>
    <n v="0"/>
    <n v="6000"/>
    <n v="0.12970000000000001"/>
    <n v="4"/>
    <n v="0"/>
    <n v="1"/>
  </r>
  <r>
    <s v="LA-704555"/>
    <d v="2025-10-09T00:00:00"/>
    <x v="1"/>
    <s v="Q4"/>
    <x v="9"/>
    <x v="1"/>
    <x v="1"/>
    <x v="4"/>
    <x v="1"/>
    <x v="1"/>
    <n v="4250"/>
    <n v="15500"/>
    <n v="36"/>
    <n v="0.26800000000000002"/>
    <s v="Approved"/>
    <x v="1"/>
    <n v="1"/>
    <n v="0"/>
    <n v="15500"/>
    <n v="0.12690000000000001"/>
    <n v="2"/>
    <n v="1"/>
    <n v="1"/>
  </r>
  <r>
    <s v="LA-704556"/>
    <d v="2025-10-09T00:00:00"/>
    <x v="1"/>
    <s v="Q4"/>
    <x v="9"/>
    <x v="2"/>
    <x v="3"/>
    <x v="1"/>
    <x v="0"/>
    <x v="3"/>
    <n v="7100"/>
    <n v="110500"/>
    <n v="60"/>
    <n v="0.51"/>
    <s v="Approved"/>
    <x v="1"/>
    <n v="1"/>
    <n v="0"/>
    <n v="88500"/>
    <n v="8.7999999999999995E-2"/>
    <n v="16"/>
    <n v="0"/>
    <n v="1"/>
  </r>
  <r>
    <s v="LA-704557"/>
    <d v="2025-10-09T00:00:00"/>
    <x v="1"/>
    <s v="Q4"/>
    <x v="9"/>
    <x v="3"/>
    <x v="1"/>
    <x v="1"/>
    <x v="0"/>
    <x v="3"/>
    <n v="2800"/>
    <n v="220000"/>
    <n v="300"/>
    <n v="0.53100000000000003"/>
    <s v="Approved"/>
    <x v="1"/>
    <n v="1"/>
    <n v="0"/>
    <n v="198000"/>
    <n v="4.36E-2"/>
    <n v="10"/>
    <n v="1"/>
    <n v="1"/>
  </r>
  <r>
    <s v="LA-704558"/>
    <d v="2025-10-09T00:00:00"/>
    <x v="1"/>
    <s v="Q4"/>
    <x v="9"/>
    <x v="1"/>
    <x v="1"/>
    <x v="2"/>
    <x v="2"/>
    <x v="4"/>
    <n v="11500"/>
    <n v="4500"/>
    <n v="36"/>
    <n v="8.8999999999999996E-2"/>
    <s v="Rejected"/>
    <x v="0"/>
    <n v="0"/>
    <n v="1"/>
    <n v="0"/>
    <m/>
    <n v="1"/>
    <n v="1"/>
    <n v="1"/>
  </r>
  <r>
    <s v="LA-704559"/>
    <d v="2025-10-09T00:00:00"/>
    <x v="1"/>
    <s v="Q4"/>
    <x v="9"/>
    <x v="3"/>
    <x v="1"/>
    <x v="2"/>
    <x v="1"/>
    <x v="1"/>
    <n v="6400"/>
    <n v="371500"/>
    <n v="240"/>
    <n v="0.52400000000000002"/>
    <s v="Rejected"/>
    <x v="4"/>
    <n v="0"/>
    <n v="1"/>
    <n v="0"/>
    <m/>
    <n v="8"/>
    <n v="1"/>
    <n v="1"/>
  </r>
  <r>
    <s v="LA-704560"/>
    <d v="2025-10-09T00:00:00"/>
    <x v="1"/>
    <s v="Q4"/>
    <x v="9"/>
    <x v="1"/>
    <x v="2"/>
    <x v="3"/>
    <x v="0"/>
    <x v="0"/>
    <n v="4550"/>
    <n v="8000"/>
    <n v="60"/>
    <n v="0.20399999999999999"/>
    <s v="Approved"/>
    <x v="1"/>
    <n v="1"/>
    <n v="0"/>
    <n v="8000"/>
    <n v="0.14019999999999999"/>
    <n v="3"/>
    <n v="1"/>
    <n v="1"/>
  </r>
  <r>
    <s v="LA-704561"/>
    <d v="2025-10-09T00:00:00"/>
    <x v="1"/>
    <s v="Q4"/>
    <x v="9"/>
    <x v="2"/>
    <x v="3"/>
    <x v="3"/>
    <x v="1"/>
    <x v="2"/>
    <n v="9850"/>
    <n v="59000"/>
    <n v="24"/>
    <n v="0.432"/>
    <s v="Rejected"/>
    <x v="0"/>
    <n v="0"/>
    <n v="1"/>
    <n v="0"/>
    <m/>
    <n v="23"/>
    <n v="0"/>
    <n v="1"/>
  </r>
  <r>
    <s v="LA-704562"/>
    <d v="2025-10-10T00:00:00"/>
    <x v="1"/>
    <s v="Q4"/>
    <x v="9"/>
    <x v="1"/>
    <x v="1"/>
    <x v="0"/>
    <x v="0"/>
    <x v="2"/>
    <n v="7500"/>
    <n v="14000"/>
    <n v="36"/>
    <n v="0.223"/>
    <s v="Rejected"/>
    <x v="0"/>
    <n v="0"/>
    <n v="1"/>
    <n v="0"/>
    <m/>
    <n v="1"/>
    <n v="1"/>
    <n v="1"/>
  </r>
  <r>
    <s v="LA-704563"/>
    <d v="2025-10-10T00:00:00"/>
    <x v="1"/>
    <s v="Q4"/>
    <x v="9"/>
    <x v="0"/>
    <x v="3"/>
    <x v="1"/>
    <x v="0"/>
    <x v="0"/>
    <n v="4800"/>
    <n v="26000"/>
    <n v="48"/>
    <n v="0.32900000000000001"/>
    <s v="Approved"/>
    <x v="1"/>
    <n v="1"/>
    <n v="0"/>
    <n v="21000"/>
    <n v="9.6799999999999997E-2"/>
    <n v="10"/>
    <n v="0"/>
    <n v="1"/>
  </r>
  <r>
    <s v="LA-704564"/>
    <d v="2025-10-10T00:00:00"/>
    <x v="1"/>
    <s v="Q4"/>
    <x v="9"/>
    <x v="0"/>
    <x v="3"/>
    <x v="3"/>
    <x v="0"/>
    <x v="0"/>
    <n v="5500"/>
    <n v="38500"/>
    <n v="48"/>
    <n v="0.23300000000000001"/>
    <s v="Rejected"/>
    <x v="5"/>
    <n v="0"/>
    <n v="1"/>
    <n v="0"/>
    <m/>
    <n v="6"/>
    <n v="0"/>
    <n v="1"/>
  </r>
  <r>
    <s v="LA-704565"/>
    <d v="2025-10-10T00:00:00"/>
    <x v="1"/>
    <s v="Q4"/>
    <x v="9"/>
    <x v="1"/>
    <x v="1"/>
    <x v="2"/>
    <x v="1"/>
    <x v="4"/>
    <n v="5200"/>
    <n v="5000"/>
    <n v="60"/>
    <n v="0.16900000000000001"/>
    <s v="Approved"/>
    <x v="1"/>
    <n v="1"/>
    <n v="0"/>
    <n v="5000"/>
    <n v="0.1147"/>
    <n v="1"/>
    <n v="1"/>
    <n v="1"/>
  </r>
  <r>
    <s v="LA-704566"/>
    <d v="2025-10-10T00:00:00"/>
    <x v="1"/>
    <s v="Q4"/>
    <x v="9"/>
    <x v="0"/>
    <x v="1"/>
    <x v="1"/>
    <x v="2"/>
    <x v="3"/>
    <n v="9600"/>
    <n v="15000"/>
    <n v="36"/>
    <n v="0.28000000000000003"/>
    <s v="Approved"/>
    <x v="1"/>
    <n v="1"/>
    <n v="0"/>
    <n v="15000"/>
    <n v="6.5600000000000006E-2"/>
    <n v="2"/>
    <n v="1"/>
    <n v="1"/>
  </r>
  <r>
    <s v="LA-704567"/>
    <d v="2025-10-10T00:00:00"/>
    <x v="1"/>
    <s v="Q4"/>
    <x v="9"/>
    <x v="3"/>
    <x v="0"/>
    <x v="2"/>
    <x v="2"/>
    <x v="4"/>
    <n v="5900"/>
    <n v="292500"/>
    <n v="180"/>
    <n v="0.60299999999999998"/>
    <s v="Rejected"/>
    <x v="4"/>
    <n v="0"/>
    <n v="1"/>
    <n v="0"/>
    <m/>
    <n v="25"/>
    <n v="0"/>
    <n v="1"/>
  </r>
  <r>
    <s v="LA-704568"/>
    <d v="2025-10-11T00:00:00"/>
    <x v="1"/>
    <s v="Q4"/>
    <x v="9"/>
    <x v="0"/>
    <x v="2"/>
    <x v="3"/>
    <x v="0"/>
    <x v="4"/>
    <n v="9750"/>
    <n v="26000"/>
    <n v="60"/>
    <n v="0.23300000000000001"/>
    <s v="Approved"/>
    <x v="1"/>
    <n v="1"/>
    <n v="0"/>
    <n v="26000"/>
    <n v="7.0699999999999999E-2"/>
    <n v="3"/>
    <n v="1"/>
    <n v="1"/>
  </r>
  <r>
    <s v="LA-704569"/>
    <d v="2025-10-11T00:00:00"/>
    <x v="1"/>
    <s v="Q4"/>
    <x v="9"/>
    <x v="1"/>
    <x v="3"/>
    <x v="4"/>
    <x v="1"/>
    <x v="1"/>
    <n v="5650"/>
    <n v="10500"/>
    <n v="24"/>
    <n v="0.193"/>
    <s v="Approved"/>
    <x v="1"/>
    <n v="1"/>
    <n v="0"/>
    <n v="10500"/>
    <n v="0.1268"/>
    <n v="4"/>
    <n v="0"/>
    <n v="1"/>
  </r>
  <r>
    <s v="LA-704570"/>
    <d v="2025-10-11T00:00:00"/>
    <x v="1"/>
    <s v="Q4"/>
    <x v="9"/>
    <x v="2"/>
    <x v="1"/>
    <x v="4"/>
    <x v="1"/>
    <x v="0"/>
    <n v="5250"/>
    <n v="123500"/>
    <n v="12"/>
    <n v="2.2730000000000001"/>
    <s v="Withdrawn"/>
    <x v="1"/>
    <n v="0"/>
    <n v="0"/>
    <n v="0"/>
    <m/>
    <n v="4"/>
    <n v="1"/>
    <n v="1"/>
  </r>
  <r>
    <s v="LA-704571"/>
    <d v="2025-10-11T00:00:00"/>
    <x v="1"/>
    <s v="Q4"/>
    <x v="9"/>
    <x v="2"/>
    <x v="1"/>
    <x v="2"/>
    <x v="0"/>
    <x v="0"/>
    <n v="3400"/>
    <n v="83000"/>
    <n v="60"/>
    <n v="0.71699999999999997"/>
    <s v="Withdrawn"/>
    <x v="1"/>
    <n v="0"/>
    <n v="0"/>
    <n v="0"/>
    <m/>
    <n v="5"/>
    <n v="1"/>
    <n v="1"/>
  </r>
  <r>
    <s v="LA-704572"/>
    <d v="2025-10-11T00:00:00"/>
    <x v="1"/>
    <s v="Q4"/>
    <x v="9"/>
    <x v="2"/>
    <x v="1"/>
    <x v="3"/>
    <x v="2"/>
    <x v="1"/>
    <n v="8300"/>
    <n v="75000"/>
    <n v="12"/>
    <n v="0.98"/>
    <s v="Rejected"/>
    <x v="3"/>
    <n v="0"/>
    <n v="1"/>
    <n v="0"/>
    <m/>
    <n v="2"/>
    <n v="1"/>
    <n v="1"/>
  </r>
  <r>
    <s v="LA-704573"/>
    <d v="2025-10-11T00:00:00"/>
    <x v="1"/>
    <s v="Q4"/>
    <x v="9"/>
    <x v="1"/>
    <x v="1"/>
    <x v="2"/>
    <x v="0"/>
    <x v="0"/>
    <n v="9900"/>
    <n v="12500"/>
    <n v="60"/>
    <n v="0.16600000000000001"/>
    <s v="Rejected"/>
    <x v="0"/>
    <n v="0"/>
    <n v="1"/>
    <n v="0"/>
    <m/>
    <n v="1"/>
    <n v="1"/>
    <n v="1"/>
  </r>
  <r>
    <s v="LA-704574"/>
    <d v="2025-10-11T00:00:00"/>
    <x v="1"/>
    <s v="Q4"/>
    <x v="9"/>
    <x v="0"/>
    <x v="0"/>
    <x v="3"/>
    <x v="0"/>
    <x v="1"/>
    <n v="3550"/>
    <n v="28500"/>
    <n v="36"/>
    <n v="0.36399999999999999"/>
    <s v="Rejected"/>
    <x v="4"/>
    <n v="0"/>
    <n v="1"/>
    <n v="0"/>
    <m/>
    <n v="9"/>
    <n v="0"/>
    <n v="1"/>
  </r>
  <r>
    <s v="LA-704575"/>
    <d v="2025-10-12T00:00:00"/>
    <x v="1"/>
    <s v="Q4"/>
    <x v="9"/>
    <x v="1"/>
    <x v="2"/>
    <x v="2"/>
    <x v="0"/>
    <x v="1"/>
    <n v="3400"/>
    <n v="4000"/>
    <n v="24"/>
    <n v="0.214"/>
    <s v="Approved"/>
    <x v="1"/>
    <n v="1"/>
    <n v="0"/>
    <n v="4000"/>
    <n v="0.1288"/>
    <n v="2"/>
    <n v="1"/>
    <n v="1"/>
  </r>
  <r>
    <s v="LA-704576"/>
    <d v="2025-10-12T00:00:00"/>
    <x v="1"/>
    <s v="Q4"/>
    <x v="9"/>
    <x v="0"/>
    <x v="2"/>
    <x v="4"/>
    <x v="1"/>
    <x v="0"/>
    <n v="8250"/>
    <n v="16000"/>
    <n v="48"/>
    <n v="0.23400000000000001"/>
    <s v="Rejected"/>
    <x v="0"/>
    <n v="0"/>
    <n v="1"/>
    <n v="0"/>
    <m/>
    <n v="2"/>
    <n v="1"/>
    <n v="1"/>
  </r>
  <r>
    <s v="LA-704577"/>
    <d v="2025-10-12T00:00:00"/>
    <x v="1"/>
    <s v="Q4"/>
    <x v="9"/>
    <x v="1"/>
    <x v="1"/>
    <x v="2"/>
    <x v="0"/>
    <x v="3"/>
    <n v="6300"/>
    <n v="17500"/>
    <n v="12"/>
    <n v="0.40799999999999997"/>
    <s v="Approved"/>
    <x v="1"/>
    <n v="1"/>
    <n v="0"/>
    <n v="17500"/>
    <n v="0.1061"/>
    <n v="1"/>
    <n v="1"/>
    <n v="1"/>
  </r>
  <r>
    <s v="LA-704578"/>
    <d v="2025-10-12T00:00:00"/>
    <x v="1"/>
    <s v="Q4"/>
    <x v="9"/>
    <x v="2"/>
    <x v="0"/>
    <x v="4"/>
    <x v="1"/>
    <x v="2"/>
    <n v="7600"/>
    <n v="67500"/>
    <n v="12"/>
    <n v="0.91800000000000004"/>
    <s v="Rejected"/>
    <x v="0"/>
    <n v="0"/>
    <n v="1"/>
    <n v="0"/>
    <m/>
    <n v="11"/>
    <n v="0"/>
    <n v="1"/>
  </r>
  <r>
    <s v="LA-704579"/>
    <d v="2025-10-12T00:00:00"/>
    <x v="1"/>
    <s v="Q4"/>
    <x v="9"/>
    <x v="0"/>
    <x v="2"/>
    <x v="3"/>
    <x v="0"/>
    <x v="4"/>
    <n v="4050"/>
    <n v="35500"/>
    <n v="60"/>
    <n v="0.30299999999999999"/>
    <s v="Approved"/>
    <x v="1"/>
    <n v="1"/>
    <n v="0"/>
    <n v="35500"/>
    <n v="7.6100000000000001E-2"/>
    <n v="3"/>
    <n v="1"/>
    <n v="1"/>
  </r>
  <r>
    <s v="LA-704580"/>
    <d v="2025-10-13T00:00:00"/>
    <x v="1"/>
    <s v="Q4"/>
    <x v="9"/>
    <x v="1"/>
    <x v="3"/>
    <x v="2"/>
    <x v="2"/>
    <x v="4"/>
    <n v="6350"/>
    <n v="11000"/>
    <n v="48"/>
    <n v="0.23499999999999999"/>
    <s v="Approved"/>
    <x v="1"/>
    <n v="1"/>
    <n v="0"/>
    <n v="9000"/>
    <n v="0.1212"/>
    <n v="4"/>
    <n v="0"/>
    <n v="1"/>
  </r>
  <r>
    <s v="LA-704581"/>
    <d v="2025-10-13T00:00:00"/>
    <x v="1"/>
    <s v="Q4"/>
    <x v="9"/>
    <x v="1"/>
    <x v="0"/>
    <x v="2"/>
    <x v="2"/>
    <x v="3"/>
    <n v="8850"/>
    <n v="22500"/>
    <n v="24"/>
    <n v="0.27100000000000002"/>
    <s v="Approved"/>
    <x v="1"/>
    <n v="1"/>
    <n v="0"/>
    <n v="22500"/>
    <n v="0.1061"/>
    <n v="3"/>
    <n v="1"/>
    <n v="1"/>
  </r>
  <r>
    <s v="LA-704582"/>
    <d v="2025-10-13T00:00:00"/>
    <x v="1"/>
    <s v="Q4"/>
    <x v="9"/>
    <x v="1"/>
    <x v="1"/>
    <x v="4"/>
    <x v="1"/>
    <x v="1"/>
    <n v="3150"/>
    <n v="23500"/>
    <n v="24"/>
    <n v="0.42399999999999999"/>
    <s v="Approved"/>
    <x v="1"/>
    <n v="1"/>
    <n v="0"/>
    <n v="23500"/>
    <n v="0.1216"/>
    <n v="1"/>
    <n v="1"/>
    <n v="1"/>
  </r>
  <r>
    <s v="LA-704583"/>
    <d v="2025-10-14T00:00:00"/>
    <x v="1"/>
    <s v="Q4"/>
    <x v="9"/>
    <x v="1"/>
    <x v="1"/>
    <x v="2"/>
    <x v="1"/>
    <x v="3"/>
    <n v="5950"/>
    <n v="28500"/>
    <n v="12"/>
    <n v="0.625"/>
    <s v="Approved"/>
    <x v="1"/>
    <n v="1"/>
    <n v="0"/>
    <n v="23000"/>
    <n v="0.1106"/>
    <n v="1"/>
    <n v="1"/>
    <n v="1"/>
  </r>
  <r>
    <s v="LA-704584"/>
    <d v="2025-10-14T00:00:00"/>
    <x v="1"/>
    <s v="Q4"/>
    <x v="9"/>
    <x v="0"/>
    <x v="3"/>
    <x v="3"/>
    <x v="0"/>
    <x v="1"/>
    <n v="3250"/>
    <n v="40500"/>
    <n v="36"/>
    <n v="0.45600000000000002"/>
    <s v="Approved"/>
    <x v="1"/>
    <n v="1"/>
    <n v="0"/>
    <n v="40500"/>
    <n v="8.4400000000000003E-2"/>
    <n v="7"/>
    <n v="0"/>
    <n v="1"/>
  </r>
  <r>
    <s v="LA-704585"/>
    <d v="2025-10-14T00:00:00"/>
    <x v="1"/>
    <s v="Q4"/>
    <x v="9"/>
    <x v="1"/>
    <x v="3"/>
    <x v="1"/>
    <x v="2"/>
    <x v="2"/>
    <n v="3800"/>
    <n v="10000"/>
    <n v="24"/>
    <n v="0.185"/>
    <s v="Approved"/>
    <x v="1"/>
    <n v="1"/>
    <n v="0"/>
    <n v="10000"/>
    <n v="0.15690000000000001"/>
    <n v="5"/>
    <n v="0"/>
    <n v="1"/>
  </r>
  <r>
    <s v="LA-704586"/>
    <d v="2025-10-14T00:00:00"/>
    <x v="1"/>
    <s v="Q4"/>
    <x v="9"/>
    <x v="1"/>
    <x v="2"/>
    <x v="2"/>
    <x v="2"/>
    <x v="3"/>
    <n v="7050"/>
    <n v="10000"/>
    <n v="36"/>
    <n v="0.14499999999999999"/>
    <s v="Approved"/>
    <x v="1"/>
    <n v="1"/>
    <n v="0"/>
    <n v="10000"/>
    <n v="0.10920000000000001"/>
    <n v="1"/>
    <n v="1"/>
    <n v="1"/>
  </r>
  <r>
    <s v="LA-704587"/>
    <d v="2025-10-14T00:00:00"/>
    <x v="1"/>
    <s v="Q4"/>
    <x v="9"/>
    <x v="2"/>
    <x v="1"/>
    <x v="2"/>
    <x v="1"/>
    <x v="0"/>
    <n v="7100"/>
    <n v="130500"/>
    <n v="36"/>
    <n v="0.81100000000000005"/>
    <s v="Approved"/>
    <x v="1"/>
    <n v="1"/>
    <n v="0"/>
    <n v="117500"/>
    <n v="0.125"/>
    <n v="4"/>
    <n v="1"/>
    <n v="1"/>
  </r>
  <r>
    <s v="LA-704588"/>
    <d v="2025-10-14T00:00:00"/>
    <x v="1"/>
    <s v="Q4"/>
    <x v="9"/>
    <x v="0"/>
    <x v="0"/>
    <x v="1"/>
    <x v="1"/>
    <x v="2"/>
    <n v="4250"/>
    <n v="22000"/>
    <n v="48"/>
    <n v="0.192"/>
    <s v="Rejected"/>
    <x v="0"/>
    <n v="0"/>
    <n v="1"/>
    <n v="0"/>
    <m/>
    <n v="6"/>
    <n v="0"/>
    <n v="1"/>
  </r>
  <r>
    <s v="LA-704589"/>
    <d v="2025-10-14T00:00:00"/>
    <x v="1"/>
    <s v="Q4"/>
    <x v="9"/>
    <x v="3"/>
    <x v="3"/>
    <x v="3"/>
    <x v="1"/>
    <x v="1"/>
    <n v="8500"/>
    <n v="147000"/>
    <n v="180"/>
    <n v="0.29799999999999999"/>
    <s v="Approved"/>
    <x v="1"/>
    <n v="1"/>
    <n v="0"/>
    <n v="147000"/>
    <n v="5.8200000000000002E-2"/>
    <n v="15"/>
    <n v="1"/>
    <n v="1"/>
  </r>
  <r>
    <s v="LA-704590"/>
    <d v="2025-10-14T00:00:00"/>
    <x v="1"/>
    <s v="Q4"/>
    <x v="9"/>
    <x v="3"/>
    <x v="3"/>
    <x v="3"/>
    <x v="2"/>
    <x v="1"/>
    <n v="3200"/>
    <n v="296500"/>
    <n v="240"/>
    <n v="0.66700000000000004"/>
    <s v="Approved"/>
    <x v="1"/>
    <n v="1"/>
    <n v="0"/>
    <n v="267000"/>
    <n v="5.8599999999999999E-2"/>
    <n v="17"/>
    <n v="0"/>
    <n v="1"/>
  </r>
  <r>
    <s v="LA-704591"/>
    <d v="2025-10-14T00:00:00"/>
    <x v="1"/>
    <s v="Q4"/>
    <x v="9"/>
    <x v="3"/>
    <x v="2"/>
    <x v="2"/>
    <x v="2"/>
    <x v="0"/>
    <n v="7500"/>
    <n v="316000"/>
    <n v="180"/>
    <n v="0.47299999999999998"/>
    <s v="Rejected"/>
    <x v="0"/>
    <n v="0"/>
    <n v="1"/>
    <n v="0"/>
    <m/>
    <n v="9"/>
    <n v="1"/>
    <n v="1"/>
  </r>
  <r>
    <s v="LA-704592"/>
    <d v="2025-10-14T00:00:00"/>
    <x v="1"/>
    <s v="Q4"/>
    <x v="9"/>
    <x v="1"/>
    <x v="3"/>
    <x v="0"/>
    <x v="0"/>
    <x v="0"/>
    <n v="8450"/>
    <n v="11000"/>
    <n v="24"/>
    <n v="0.214"/>
    <s v="Rejected"/>
    <x v="0"/>
    <n v="0"/>
    <n v="1"/>
    <n v="0"/>
    <m/>
    <n v="2"/>
    <n v="1"/>
    <n v="1"/>
  </r>
  <r>
    <s v="LA-704593"/>
    <d v="2025-10-15T00:00:00"/>
    <x v="1"/>
    <s v="Q4"/>
    <x v="9"/>
    <x v="1"/>
    <x v="1"/>
    <x v="3"/>
    <x v="0"/>
    <x v="1"/>
    <n v="7900"/>
    <n v="10500"/>
    <n v="12"/>
    <n v="0.32400000000000001"/>
    <s v="Approved"/>
    <x v="1"/>
    <n v="1"/>
    <n v="0"/>
    <n v="9500"/>
    <n v="0.12379999999999999"/>
    <n v="2"/>
    <n v="1"/>
    <n v="1"/>
  </r>
  <r>
    <s v="LA-704594"/>
    <d v="2025-10-15T00:00:00"/>
    <x v="1"/>
    <s v="Q4"/>
    <x v="9"/>
    <x v="1"/>
    <x v="1"/>
    <x v="1"/>
    <x v="1"/>
    <x v="3"/>
    <n v="12000"/>
    <n v="25500"/>
    <n v="60"/>
    <n v="0.23300000000000001"/>
    <s v="Approved"/>
    <x v="1"/>
    <n v="1"/>
    <n v="0"/>
    <n v="25500"/>
    <n v="0.10730000000000001"/>
    <n v="1"/>
    <n v="1"/>
    <n v="1"/>
  </r>
  <r>
    <s v="LA-704595"/>
    <d v="2025-10-15T00:00:00"/>
    <x v="1"/>
    <s v="Q4"/>
    <x v="9"/>
    <x v="2"/>
    <x v="2"/>
    <x v="3"/>
    <x v="2"/>
    <x v="4"/>
    <n v="7600"/>
    <n v="143500"/>
    <n v="36"/>
    <n v="0.79700000000000004"/>
    <s v="Approved"/>
    <x v="1"/>
    <n v="1"/>
    <n v="0"/>
    <n v="143500"/>
    <n v="0.1014"/>
    <n v="5"/>
    <n v="1"/>
    <n v="1"/>
  </r>
  <r>
    <s v="LA-704596"/>
    <d v="2025-10-15T00:00:00"/>
    <x v="1"/>
    <s v="Q4"/>
    <x v="9"/>
    <x v="0"/>
    <x v="3"/>
    <x v="3"/>
    <x v="2"/>
    <x v="4"/>
    <n v="9300"/>
    <n v="39500"/>
    <n v="36"/>
    <n v="0.249"/>
    <s v="Approved"/>
    <x v="1"/>
    <n v="1"/>
    <n v="0"/>
    <n v="39500"/>
    <n v="7.5200000000000003E-2"/>
    <n v="5"/>
    <n v="0"/>
    <n v="1"/>
  </r>
  <r>
    <s v="LA-704597"/>
    <d v="2025-10-15T00:00:00"/>
    <x v="1"/>
    <s v="Q4"/>
    <x v="9"/>
    <x v="1"/>
    <x v="1"/>
    <x v="2"/>
    <x v="1"/>
    <x v="1"/>
    <n v="5650"/>
    <n v="15500"/>
    <n v="24"/>
    <n v="0.28599999999999998"/>
    <s v="Approved"/>
    <x v="1"/>
    <n v="1"/>
    <n v="0"/>
    <n v="15500"/>
    <n v="0.1249"/>
    <n v="1"/>
    <n v="1"/>
    <n v="1"/>
  </r>
  <r>
    <s v="LA-704598"/>
    <d v="2025-10-15T00:00:00"/>
    <x v="1"/>
    <s v="Q4"/>
    <x v="9"/>
    <x v="2"/>
    <x v="3"/>
    <x v="2"/>
    <x v="2"/>
    <x v="4"/>
    <n v="4850"/>
    <n v="75000"/>
    <n v="12"/>
    <n v="1.536"/>
    <s v="Rejected"/>
    <x v="3"/>
    <n v="0"/>
    <n v="1"/>
    <n v="0"/>
    <m/>
    <n v="8"/>
    <n v="1"/>
    <n v="1"/>
  </r>
  <r>
    <s v="LA-704599"/>
    <d v="2025-10-15T00:00:00"/>
    <x v="1"/>
    <s v="Q4"/>
    <x v="9"/>
    <x v="3"/>
    <x v="2"/>
    <x v="3"/>
    <x v="2"/>
    <x v="1"/>
    <n v="3950"/>
    <n v="223500"/>
    <n v="180"/>
    <n v="0.51500000000000001"/>
    <s v="Approved"/>
    <x v="1"/>
    <n v="1"/>
    <n v="0"/>
    <n v="179000"/>
    <n v="5.45E-2"/>
    <n v="12"/>
    <n v="1"/>
    <n v="1"/>
  </r>
  <r>
    <s v="LA-704600"/>
    <d v="2025-10-15T00:00:00"/>
    <x v="1"/>
    <s v="Q4"/>
    <x v="9"/>
    <x v="0"/>
    <x v="1"/>
    <x v="0"/>
    <x v="1"/>
    <x v="1"/>
    <n v="3300"/>
    <n v="16000"/>
    <n v="36"/>
    <n v="0.28199999999999997"/>
    <s v="Approved"/>
    <x v="1"/>
    <n v="1"/>
    <n v="0"/>
    <n v="16000"/>
    <n v="7.9899999999999999E-2"/>
    <n v="1"/>
    <n v="1"/>
    <n v="1"/>
  </r>
  <r>
    <s v="LA-704601"/>
    <d v="2025-10-15T00:00:00"/>
    <x v="1"/>
    <s v="Q4"/>
    <x v="9"/>
    <x v="0"/>
    <x v="1"/>
    <x v="1"/>
    <x v="1"/>
    <x v="4"/>
    <n v="2700"/>
    <n v="30000"/>
    <n v="60"/>
    <n v="0.35099999999999998"/>
    <s v="Approved"/>
    <x v="1"/>
    <n v="1"/>
    <n v="0"/>
    <n v="30000"/>
    <n v="6.5100000000000005E-2"/>
    <n v="3"/>
    <n v="1"/>
    <n v="1"/>
  </r>
  <r>
    <s v="LA-704602"/>
    <d v="2025-10-16T00:00:00"/>
    <x v="1"/>
    <s v="Q4"/>
    <x v="9"/>
    <x v="1"/>
    <x v="2"/>
    <x v="2"/>
    <x v="2"/>
    <x v="1"/>
    <n v="7400"/>
    <n v="7500"/>
    <n v="36"/>
    <n v="0.252"/>
    <s v="Rejected"/>
    <x v="0"/>
    <n v="0"/>
    <n v="1"/>
    <n v="0"/>
    <m/>
    <n v="2"/>
    <n v="1"/>
    <n v="1"/>
  </r>
  <r>
    <s v="LA-704603"/>
    <d v="2025-10-16T00:00:00"/>
    <x v="1"/>
    <s v="Q4"/>
    <x v="9"/>
    <x v="0"/>
    <x v="0"/>
    <x v="3"/>
    <x v="1"/>
    <x v="4"/>
    <n v="4200"/>
    <n v="87500"/>
    <n v="60"/>
    <n v="0.56799999999999995"/>
    <s v="Rejected"/>
    <x v="4"/>
    <n v="0"/>
    <n v="1"/>
    <n v="0"/>
    <m/>
    <n v="7"/>
    <n v="0"/>
    <n v="1"/>
  </r>
  <r>
    <s v="LA-704604"/>
    <d v="2025-10-16T00:00:00"/>
    <x v="1"/>
    <s v="Q4"/>
    <x v="9"/>
    <x v="2"/>
    <x v="1"/>
    <x v="1"/>
    <x v="1"/>
    <x v="4"/>
    <n v="5150"/>
    <n v="94500"/>
    <n v="24"/>
    <n v="0.98099999999999998"/>
    <s v="Rejected"/>
    <x v="3"/>
    <n v="0"/>
    <n v="1"/>
    <n v="0"/>
    <m/>
    <n v="5"/>
    <n v="1"/>
    <n v="1"/>
  </r>
  <r>
    <s v="LA-704605"/>
    <d v="2025-10-16T00:00:00"/>
    <x v="1"/>
    <s v="Q4"/>
    <x v="9"/>
    <x v="0"/>
    <x v="2"/>
    <x v="2"/>
    <x v="1"/>
    <x v="3"/>
    <n v="7800"/>
    <n v="38500"/>
    <n v="48"/>
    <n v="0.24099999999999999"/>
    <s v="Approved"/>
    <x v="1"/>
    <n v="1"/>
    <n v="0"/>
    <n v="38500"/>
    <n v="7.0400000000000004E-2"/>
    <n v="3"/>
    <n v="1"/>
    <n v="1"/>
  </r>
  <r>
    <s v="LA-704606"/>
    <d v="2025-10-16T00:00:00"/>
    <x v="1"/>
    <s v="Q4"/>
    <x v="9"/>
    <x v="3"/>
    <x v="2"/>
    <x v="3"/>
    <x v="0"/>
    <x v="1"/>
    <n v="12650"/>
    <n v="384500"/>
    <n v="240"/>
    <n v="0.28899999999999998"/>
    <s v="Approved"/>
    <x v="1"/>
    <n v="1"/>
    <n v="0"/>
    <n v="384500"/>
    <n v="5.8999999999999997E-2"/>
    <n v="9"/>
    <n v="1"/>
    <n v="1"/>
  </r>
  <r>
    <s v="LA-704607"/>
    <d v="2025-10-16T00:00:00"/>
    <x v="1"/>
    <s v="Q4"/>
    <x v="9"/>
    <x v="2"/>
    <x v="1"/>
    <x v="2"/>
    <x v="0"/>
    <x v="3"/>
    <n v="3650"/>
    <n v="68500"/>
    <n v="24"/>
    <n v="1.056"/>
    <s v="Approved"/>
    <x v="1"/>
    <n v="1"/>
    <n v="0"/>
    <n v="68500"/>
    <n v="9.2200000000000004E-2"/>
    <n v="3"/>
    <n v="1"/>
    <n v="1"/>
  </r>
  <r>
    <s v="LA-704608"/>
    <d v="2025-10-16T00:00:00"/>
    <x v="1"/>
    <s v="Q4"/>
    <x v="9"/>
    <x v="3"/>
    <x v="3"/>
    <x v="4"/>
    <x v="0"/>
    <x v="0"/>
    <n v="2900"/>
    <n v="108500"/>
    <n v="180"/>
    <n v="0.54"/>
    <s v="Approved"/>
    <x v="1"/>
    <n v="1"/>
    <n v="0"/>
    <n v="87000"/>
    <n v="7.5399999999999995E-2"/>
    <n v="19"/>
    <n v="0"/>
    <n v="1"/>
  </r>
  <r>
    <s v="LA-704609"/>
    <d v="2025-10-16T00:00:00"/>
    <x v="1"/>
    <s v="Q4"/>
    <x v="9"/>
    <x v="2"/>
    <x v="2"/>
    <x v="3"/>
    <x v="0"/>
    <x v="0"/>
    <n v="5200"/>
    <n v="44500"/>
    <n v="36"/>
    <n v="0.36699999999999999"/>
    <s v="Rejected"/>
    <x v="0"/>
    <n v="0"/>
    <n v="1"/>
    <n v="0"/>
    <m/>
    <n v="3"/>
    <n v="1"/>
    <n v="1"/>
  </r>
  <r>
    <s v="LA-704610"/>
    <d v="2025-10-16T00:00:00"/>
    <x v="1"/>
    <s v="Q4"/>
    <x v="9"/>
    <x v="0"/>
    <x v="1"/>
    <x v="0"/>
    <x v="0"/>
    <x v="4"/>
    <n v="9700"/>
    <n v="16000"/>
    <n v="36"/>
    <n v="0.121"/>
    <s v="Approved"/>
    <x v="1"/>
    <n v="1"/>
    <n v="0"/>
    <n v="16000"/>
    <n v="7.0800000000000002E-2"/>
    <n v="2"/>
    <n v="1"/>
    <n v="1"/>
  </r>
  <r>
    <s v="LA-704611"/>
    <d v="2025-10-17T00:00:00"/>
    <x v="1"/>
    <s v="Q4"/>
    <x v="9"/>
    <x v="2"/>
    <x v="2"/>
    <x v="0"/>
    <x v="1"/>
    <x v="2"/>
    <n v="6050"/>
    <n v="151000"/>
    <n v="60"/>
    <n v="0.64500000000000002"/>
    <s v="Rejected"/>
    <x v="0"/>
    <n v="0"/>
    <n v="1"/>
    <n v="0"/>
    <m/>
    <n v="3"/>
    <n v="1"/>
    <n v="1"/>
  </r>
  <r>
    <s v="LA-704612"/>
    <d v="2025-10-17T00:00:00"/>
    <x v="1"/>
    <s v="Q4"/>
    <x v="9"/>
    <x v="0"/>
    <x v="3"/>
    <x v="1"/>
    <x v="1"/>
    <x v="1"/>
    <n v="8200"/>
    <n v="23000"/>
    <n v="36"/>
    <n v="0.27600000000000002"/>
    <s v="Approved"/>
    <x v="1"/>
    <n v="1"/>
    <n v="0"/>
    <n v="18500"/>
    <n v="8.3500000000000005E-2"/>
    <n v="11"/>
    <n v="0"/>
    <n v="1"/>
  </r>
  <r>
    <s v="LA-704613"/>
    <d v="2025-10-17T00:00:00"/>
    <x v="1"/>
    <s v="Q4"/>
    <x v="9"/>
    <x v="1"/>
    <x v="1"/>
    <x v="3"/>
    <x v="1"/>
    <x v="4"/>
    <n v="5400"/>
    <n v="9000"/>
    <n v="12"/>
    <n v="0.223"/>
    <s v="Rejected"/>
    <x v="0"/>
    <n v="0"/>
    <n v="1"/>
    <n v="0"/>
    <m/>
    <n v="2"/>
    <n v="1"/>
    <n v="1"/>
  </r>
  <r>
    <s v="LA-704614"/>
    <d v="2025-10-17T00:00:00"/>
    <x v="1"/>
    <s v="Q4"/>
    <x v="9"/>
    <x v="3"/>
    <x v="1"/>
    <x v="2"/>
    <x v="1"/>
    <x v="4"/>
    <n v="5600"/>
    <n v="262000"/>
    <n v="300"/>
    <n v="0.51100000000000001"/>
    <s v="Approved"/>
    <x v="1"/>
    <n v="1"/>
    <n v="0"/>
    <n v="262000"/>
    <n v="4.5400000000000003E-2"/>
    <n v="7"/>
    <n v="1"/>
    <n v="1"/>
  </r>
  <r>
    <s v="LA-704615"/>
    <d v="2025-10-17T00:00:00"/>
    <x v="1"/>
    <s v="Q4"/>
    <x v="9"/>
    <x v="0"/>
    <x v="1"/>
    <x v="2"/>
    <x v="0"/>
    <x v="0"/>
    <n v="3950"/>
    <n v="68000"/>
    <n v="48"/>
    <n v="0.58799999999999997"/>
    <s v="Withdrawn"/>
    <x v="1"/>
    <n v="0"/>
    <n v="0"/>
    <n v="0"/>
    <m/>
    <n v="3"/>
    <n v="1"/>
    <n v="1"/>
  </r>
  <r>
    <s v="LA-704616"/>
    <d v="2025-10-17T00:00:00"/>
    <x v="1"/>
    <s v="Q4"/>
    <x v="9"/>
    <x v="1"/>
    <x v="3"/>
    <x v="3"/>
    <x v="0"/>
    <x v="0"/>
    <n v="5900"/>
    <n v="30000"/>
    <n v="12"/>
    <n v="0.57499999999999996"/>
    <s v="Rejected"/>
    <x v="0"/>
    <n v="0"/>
    <n v="1"/>
    <n v="0"/>
    <m/>
    <n v="5"/>
    <n v="0"/>
    <n v="1"/>
  </r>
  <r>
    <s v="LA-704617"/>
    <d v="2025-10-17T00:00:00"/>
    <x v="1"/>
    <s v="Q4"/>
    <x v="9"/>
    <x v="1"/>
    <x v="3"/>
    <x v="4"/>
    <x v="1"/>
    <x v="4"/>
    <n v="2500"/>
    <n v="17000"/>
    <n v="60"/>
    <n v="0.33800000000000002"/>
    <s v="Rejected"/>
    <x v="5"/>
    <n v="0"/>
    <n v="1"/>
    <n v="0"/>
    <m/>
    <n v="4"/>
    <n v="0"/>
    <n v="1"/>
  </r>
  <r>
    <s v="LA-704618"/>
    <d v="2025-10-17T00:00:00"/>
    <x v="1"/>
    <s v="Q4"/>
    <x v="9"/>
    <x v="0"/>
    <x v="3"/>
    <x v="2"/>
    <x v="1"/>
    <x v="1"/>
    <n v="6050"/>
    <n v="22000"/>
    <n v="60"/>
    <n v="0.20599999999999999"/>
    <s v="Approved"/>
    <x v="1"/>
    <n v="1"/>
    <n v="0"/>
    <n v="22000"/>
    <n v="8.2600000000000007E-2"/>
    <n v="7"/>
    <n v="0"/>
    <n v="1"/>
  </r>
  <r>
    <s v="LA-704619"/>
    <d v="2025-10-18T00:00:00"/>
    <x v="1"/>
    <s v="Q4"/>
    <x v="9"/>
    <x v="3"/>
    <x v="1"/>
    <x v="2"/>
    <x v="1"/>
    <x v="1"/>
    <n v="4550"/>
    <n v="218500"/>
    <n v="240"/>
    <n v="0.49199999999999999"/>
    <s v="Rejected"/>
    <x v="3"/>
    <n v="0"/>
    <n v="1"/>
    <n v="0"/>
    <m/>
    <n v="7"/>
    <n v="1"/>
    <n v="1"/>
  </r>
  <r>
    <s v="LA-704620"/>
    <d v="2025-10-18T00:00:00"/>
    <x v="1"/>
    <s v="Q4"/>
    <x v="9"/>
    <x v="2"/>
    <x v="0"/>
    <x v="1"/>
    <x v="2"/>
    <x v="2"/>
    <n v="6550"/>
    <n v="145500"/>
    <n v="24"/>
    <n v="1.0980000000000001"/>
    <s v="Rejected"/>
    <x v="0"/>
    <n v="0"/>
    <n v="1"/>
    <n v="0"/>
    <m/>
    <n v="14"/>
    <n v="0"/>
    <n v="1"/>
  </r>
  <r>
    <s v="LA-704621"/>
    <d v="2025-10-18T00:00:00"/>
    <x v="1"/>
    <s v="Q4"/>
    <x v="9"/>
    <x v="1"/>
    <x v="3"/>
    <x v="1"/>
    <x v="0"/>
    <x v="1"/>
    <n v="3650"/>
    <n v="13500"/>
    <n v="36"/>
    <n v="0.314"/>
    <s v="Approved"/>
    <x v="1"/>
    <n v="1"/>
    <n v="0"/>
    <n v="13500"/>
    <n v="0.1242"/>
    <n v="8"/>
    <n v="0"/>
    <n v="1"/>
  </r>
  <r>
    <s v="LA-704622"/>
    <d v="2025-10-19T00:00:00"/>
    <x v="1"/>
    <s v="Q4"/>
    <x v="9"/>
    <x v="2"/>
    <x v="1"/>
    <x v="1"/>
    <x v="0"/>
    <x v="0"/>
    <n v="4850"/>
    <n v="101500"/>
    <n v="60"/>
    <n v="0.61399999999999999"/>
    <s v="Withdrawn"/>
    <x v="1"/>
    <n v="0"/>
    <n v="0"/>
    <n v="0"/>
    <m/>
    <n v="4"/>
    <n v="1"/>
    <n v="1"/>
  </r>
  <r>
    <s v="LA-704623"/>
    <d v="2025-10-19T00:00:00"/>
    <x v="1"/>
    <s v="Q4"/>
    <x v="9"/>
    <x v="1"/>
    <x v="2"/>
    <x v="4"/>
    <x v="1"/>
    <x v="1"/>
    <n v="5450"/>
    <n v="10500"/>
    <n v="24"/>
    <n v="0.28499999999999998"/>
    <s v="Rejected"/>
    <x v="5"/>
    <n v="0"/>
    <n v="1"/>
    <n v="0"/>
    <m/>
    <n v="2"/>
    <n v="1"/>
    <n v="1"/>
  </r>
  <r>
    <s v="LA-704624"/>
    <d v="2025-10-19T00:00:00"/>
    <x v="1"/>
    <s v="Q4"/>
    <x v="9"/>
    <x v="1"/>
    <x v="0"/>
    <x v="2"/>
    <x v="0"/>
    <x v="0"/>
    <n v="2850"/>
    <n v="8000"/>
    <n v="60"/>
    <n v="0.23499999999999999"/>
    <s v="Rejected"/>
    <x v="5"/>
    <n v="0"/>
    <n v="1"/>
    <n v="0"/>
    <m/>
    <n v="4"/>
    <n v="0"/>
    <n v="1"/>
  </r>
  <r>
    <s v="LA-704625"/>
    <d v="2025-10-19T00:00:00"/>
    <x v="1"/>
    <s v="Q4"/>
    <x v="9"/>
    <x v="1"/>
    <x v="3"/>
    <x v="2"/>
    <x v="2"/>
    <x v="1"/>
    <n v="6850"/>
    <n v="19000"/>
    <n v="60"/>
    <n v="0.29899999999999999"/>
    <s v="Approved"/>
    <x v="1"/>
    <n v="1"/>
    <n v="0"/>
    <n v="19000"/>
    <n v="0.12609999999999999"/>
    <n v="3"/>
    <n v="1"/>
    <n v="1"/>
  </r>
  <r>
    <s v="LA-704626"/>
    <d v="2025-10-19T00:00:00"/>
    <x v="1"/>
    <s v="Q4"/>
    <x v="9"/>
    <x v="1"/>
    <x v="1"/>
    <x v="3"/>
    <x v="2"/>
    <x v="4"/>
    <n v="5050"/>
    <n v="15000"/>
    <n v="48"/>
    <n v="0.16300000000000001"/>
    <s v="Approved"/>
    <x v="1"/>
    <n v="1"/>
    <n v="0"/>
    <n v="12000"/>
    <n v="0.1193"/>
    <n v="1"/>
    <n v="1"/>
    <n v="1"/>
  </r>
  <r>
    <s v="LA-704627"/>
    <d v="2025-10-20T00:00:00"/>
    <x v="1"/>
    <s v="Q4"/>
    <x v="9"/>
    <x v="2"/>
    <x v="2"/>
    <x v="2"/>
    <x v="1"/>
    <x v="0"/>
    <n v="4050"/>
    <n v="103000"/>
    <n v="24"/>
    <n v="1.3"/>
    <s v="Rejected"/>
    <x v="0"/>
    <n v="0"/>
    <n v="1"/>
    <n v="0"/>
    <m/>
    <n v="7"/>
    <n v="1"/>
    <n v="1"/>
  </r>
  <r>
    <s v="LA-704628"/>
    <d v="2025-10-20T00:00:00"/>
    <x v="1"/>
    <s v="Q4"/>
    <x v="9"/>
    <x v="2"/>
    <x v="0"/>
    <x v="1"/>
    <x v="0"/>
    <x v="3"/>
    <n v="5700"/>
    <n v="43500"/>
    <n v="60"/>
    <n v="0.22600000000000001"/>
    <s v="Approved"/>
    <x v="1"/>
    <n v="1"/>
    <n v="0"/>
    <n v="35000"/>
    <n v="9.1999999999999998E-2"/>
    <n v="8"/>
    <n v="1"/>
    <n v="1"/>
  </r>
  <r>
    <s v="LA-704629"/>
    <d v="2025-10-20T00:00:00"/>
    <x v="1"/>
    <s v="Q4"/>
    <x v="9"/>
    <x v="3"/>
    <x v="1"/>
    <x v="2"/>
    <x v="0"/>
    <x v="0"/>
    <n v="7600"/>
    <n v="326000"/>
    <n v="240"/>
    <n v="0.41"/>
    <s v="Rejected"/>
    <x v="0"/>
    <n v="0"/>
    <n v="1"/>
    <n v="0"/>
    <m/>
    <n v="9"/>
    <n v="1"/>
    <n v="1"/>
  </r>
  <r>
    <s v="LA-704630"/>
    <d v="2025-10-20T00:00:00"/>
    <x v="1"/>
    <s v="Q4"/>
    <x v="9"/>
    <x v="0"/>
    <x v="3"/>
    <x v="1"/>
    <x v="0"/>
    <x v="0"/>
    <n v="4300"/>
    <n v="28500"/>
    <n v="36"/>
    <n v="0.30499999999999999"/>
    <s v="Approved"/>
    <x v="1"/>
    <n v="1"/>
    <n v="0"/>
    <n v="28500"/>
    <n v="0.1011"/>
    <n v="9"/>
    <n v="0"/>
    <n v="1"/>
  </r>
  <r>
    <s v="LA-704631"/>
    <d v="2025-10-20T00:00:00"/>
    <x v="1"/>
    <s v="Q4"/>
    <x v="9"/>
    <x v="1"/>
    <x v="1"/>
    <x v="3"/>
    <x v="1"/>
    <x v="4"/>
    <n v="3850"/>
    <n v="16500"/>
    <n v="24"/>
    <n v="0.436"/>
    <s v="Approved"/>
    <x v="1"/>
    <n v="1"/>
    <n v="0"/>
    <n v="16500"/>
    <n v="0.112"/>
    <n v="1"/>
    <n v="1"/>
    <n v="1"/>
  </r>
  <r>
    <s v="LA-704632"/>
    <d v="2025-10-20T00:00:00"/>
    <x v="1"/>
    <s v="Q4"/>
    <x v="9"/>
    <x v="2"/>
    <x v="2"/>
    <x v="0"/>
    <x v="2"/>
    <x v="4"/>
    <n v="2400"/>
    <n v="187000"/>
    <n v="36"/>
    <n v="2.754"/>
    <s v="Rejected"/>
    <x v="3"/>
    <n v="0"/>
    <n v="1"/>
    <n v="0"/>
    <m/>
    <n v="2"/>
    <n v="1"/>
    <n v="1"/>
  </r>
  <r>
    <s v="LA-704633"/>
    <d v="2025-10-20T00:00:00"/>
    <x v="1"/>
    <s v="Q4"/>
    <x v="9"/>
    <x v="1"/>
    <x v="3"/>
    <x v="3"/>
    <x v="2"/>
    <x v="3"/>
    <n v="9600"/>
    <n v="21000"/>
    <n v="60"/>
    <n v="0.26900000000000002"/>
    <s v="Approved"/>
    <x v="1"/>
    <n v="1"/>
    <n v="0"/>
    <n v="17000"/>
    <n v="0.10589999999999999"/>
    <n v="3"/>
    <n v="1"/>
    <n v="1"/>
  </r>
  <r>
    <s v="LA-704634"/>
    <d v="2025-10-20T00:00:00"/>
    <x v="1"/>
    <s v="Q4"/>
    <x v="9"/>
    <x v="3"/>
    <x v="1"/>
    <x v="2"/>
    <x v="0"/>
    <x v="4"/>
    <n v="3800"/>
    <n v="345000"/>
    <n v="180"/>
    <n v="0.80100000000000005"/>
    <s v="Rejected"/>
    <x v="3"/>
    <n v="0"/>
    <n v="1"/>
    <n v="0"/>
    <m/>
    <n v="7"/>
    <n v="1"/>
    <n v="1"/>
  </r>
  <r>
    <s v="LA-704635"/>
    <d v="2025-10-20T00:00:00"/>
    <x v="1"/>
    <s v="Q4"/>
    <x v="9"/>
    <x v="0"/>
    <x v="3"/>
    <x v="2"/>
    <x v="1"/>
    <x v="1"/>
    <n v="5150"/>
    <n v="22000"/>
    <n v="36"/>
    <n v="0.36899999999999999"/>
    <s v="Approved"/>
    <x v="1"/>
    <n v="1"/>
    <n v="0"/>
    <n v="22000"/>
    <n v="7.6300000000000007E-2"/>
    <n v="10"/>
    <n v="0"/>
    <n v="1"/>
  </r>
  <r>
    <s v="LA-704636"/>
    <d v="2025-10-20T00:00:00"/>
    <x v="1"/>
    <s v="Q4"/>
    <x v="9"/>
    <x v="1"/>
    <x v="1"/>
    <x v="3"/>
    <x v="1"/>
    <x v="3"/>
    <n v="3550"/>
    <n v="13500"/>
    <n v="24"/>
    <n v="0.42199999999999999"/>
    <s v="Approved"/>
    <x v="1"/>
    <n v="1"/>
    <n v="0"/>
    <n v="12000"/>
    <n v="0.10970000000000001"/>
    <n v="1"/>
    <n v="1"/>
    <n v="1"/>
  </r>
  <r>
    <s v="LA-704637"/>
    <d v="2025-10-20T00:00:00"/>
    <x v="1"/>
    <s v="Q4"/>
    <x v="9"/>
    <x v="3"/>
    <x v="2"/>
    <x v="4"/>
    <x v="0"/>
    <x v="1"/>
    <n v="2800"/>
    <n v="376000"/>
    <n v="300"/>
    <n v="0.95299999999999996"/>
    <s v="Approved"/>
    <x v="1"/>
    <n v="1"/>
    <n v="0"/>
    <n v="376000"/>
    <n v="5.4300000000000001E-2"/>
    <n v="5"/>
    <n v="1"/>
    <n v="1"/>
  </r>
  <r>
    <s v="LA-704638"/>
    <d v="2025-10-20T00:00:00"/>
    <x v="1"/>
    <s v="Q4"/>
    <x v="9"/>
    <x v="0"/>
    <x v="1"/>
    <x v="3"/>
    <x v="0"/>
    <x v="4"/>
    <n v="8000"/>
    <n v="21500"/>
    <n v="60"/>
    <n v="0.29699999999999999"/>
    <s v="Approved"/>
    <x v="1"/>
    <n v="1"/>
    <n v="0"/>
    <n v="21500"/>
    <n v="7.3700000000000002E-2"/>
    <n v="2"/>
    <n v="1"/>
    <n v="1"/>
  </r>
  <r>
    <s v="LA-704639"/>
    <d v="2025-10-20T00:00:00"/>
    <x v="1"/>
    <s v="Q4"/>
    <x v="9"/>
    <x v="0"/>
    <x v="1"/>
    <x v="4"/>
    <x v="2"/>
    <x v="1"/>
    <n v="10950"/>
    <n v="22500"/>
    <n v="36"/>
    <n v="0.127"/>
    <s v="Approved"/>
    <x v="1"/>
    <n v="1"/>
    <n v="0"/>
    <n v="22500"/>
    <n v="7.9500000000000001E-2"/>
    <n v="2"/>
    <n v="1"/>
    <n v="1"/>
  </r>
  <r>
    <s v="LA-704640"/>
    <d v="2025-10-21T00:00:00"/>
    <x v="1"/>
    <s v="Q4"/>
    <x v="9"/>
    <x v="1"/>
    <x v="1"/>
    <x v="2"/>
    <x v="0"/>
    <x v="0"/>
    <n v="2500"/>
    <n v="4000"/>
    <n v="48"/>
    <n v="0.26500000000000001"/>
    <s v="Approved"/>
    <x v="1"/>
    <n v="1"/>
    <n v="0"/>
    <n v="4000"/>
    <n v="0.14749999999999999"/>
    <n v="2"/>
    <n v="1"/>
    <n v="1"/>
  </r>
  <r>
    <s v="LA-704641"/>
    <d v="2025-10-21T00:00:00"/>
    <x v="1"/>
    <s v="Q4"/>
    <x v="9"/>
    <x v="1"/>
    <x v="1"/>
    <x v="1"/>
    <x v="1"/>
    <x v="1"/>
    <n v="5200"/>
    <n v="6000"/>
    <n v="48"/>
    <n v="0.20200000000000001"/>
    <s v="Approved"/>
    <x v="1"/>
    <n v="1"/>
    <n v="0"/>
    <n v="6000"/>
    <n v="0.13150000000000001"/>
    <n v="2"/>
    <n v="1"/>
    <n v="1"/>
  </r>
  <r>
    <s v="LA-704642"/>
    <d v="2025-10-21T00:00:00"/>
    <x v="1"/>
    <s v="Q4"/>
    <x v="9"/>
    <x v="0"/>
    <x v="2"/>
    <x v="2"/>
    <x v="0"/>
    <x v="4"/>
    <n v="3800"/>
    <n v="26500"/>
    <n v="48"/>
    <n v="0.39800000000000002"/>
    <s v="Approved"/>
    <x v="1"/>
    <n v="1"/>
    <n v="0"/>
    <n v="24000"/>
    <n v="7.4099999999999999E-2"/>
    <n v="2"/>
    <n v="1"/>
    <n v="1"/>
  </r>
  <r>
    <s v="LA-704643"/>
    <d v="2025-10-21T00:00:00"/>
    <x v="1"/>
    <s v="Q4"/>
    <x v="9"/>
    <x v="0"/>
    <x v="3"/>
    <x v="2"/>
    <x v="0"/>
    <x v="1"/>
    <n v="3000"/>
    <n v="27000"/>
    <n v="60"/>
    <n v="0.378"/>
    <s v="Approved"/>
    <x v="1"/>
    <n v="1"/>
    <n v="0"/>
    <n v="21500"/>
    <n v="7.7700000000000005E-2"/>
    <n v="14"/>
    <n v="0"/>
    <n v="1"/>
  </r>
  <r>
    <s v="LA-704644"/>
    <d v="2025-10-21T00:00:00"/>
    <x v="1"/>
    <s v="Q4"/>
    <x v="9"/>
    <x v="3"/>
    <x v="3"/>
    <x v="0"/>
    <x v="0"/>
    <x v="0"/>
    <n v="3250"/>
    <n v="155000"/>
    <n v="240"/>
    <n v="0.38900000000000001"/>
    <s v="Approved"/>
    <x v="1"/>
    <n v="1"/>
    <n v="0"/>
    <n v="155000"/>
    <n v="6.9599999999999995E-2"/>
    <n v="28"/>
    <n v="0"/>
    <n v="1"/>
  </r>
  <r>
    <s v="LA-704645"/>
    <d v="2025-10-21T00:00:00"/>
    <x v="1"/>
    <s v="Q4"/>
    <x v="9"/>
    <x v="2"/>
    <x v="3"/>
    <x v="2"/>
    <x v="2"/>
    <x v="1"/>
    <n v="6750"/>
    <n v="81500"/>
    <n v="60"/>
    <n v="0.47299999999999998"/>
    <s v="Approved"/>
    <x v="1"/>
    <n v="1"/>
    <n v="0"/>
    <n v="81500"/>
    <n v="0.1081"/>
    <n v="14"/>
    <n v="0"/>
    <n v="1"/>
  </r>
  <r>
    <s v="LA-704646"/>
    <d v="2025-10-21T00:00:00"/>
    <x v="1"/>
    <s v="Q4"/>
    <x v="9"/>
    <x v="0"/>
    <x v="1"/>
    <x v="2"/>
    <x v="1"/>
    <x v="1"/>
    <n v="4550"/>
    <n v="15000"/>
    <n v="36"/>
    <n v="0.22"/>
    <s v="Rejected"/>
    <x v="5"/>
    <n v="0"/>
    <n v="1"/>
    <n v="0"/>
    <m/>
    <n v="2"/>
    <n v="1"/>
    <n v="1"/>
  </r>
  <r>
    <s v="LA-704647"/>
    <d v="2025-10-21T00:00:00"/>
    <x v="1"/>
    <s v="Q4"/>
    <x v="9"/>
    <x v="0"/>
    <x v="3"/>
    <x v="1"/>
    <x v="0"/>
    <x v="0"/>
    <n v="3050"/>
    <n v="32000"/>
    <n v="48"/>
    <n v="0.42"/>
    <s v="Rejected"/>
    <x v="0"/>
    <n v="0"/>
    <n v="1"/>
    <n v="0"/>
    <m/>
    <n v="5"/>
    <n v="0"/>
    <n v="1"/>
  </r>
  <r>
    <s v="LA-704648"/>
    <d v="2025-10-21T00:00:00"/>
    <x v="1"/>
    <s v="Q4"/>
    <x v="9"/>
    <x v="3"/>
    <x v="1"/>
    <x v="1"/>
    <x v="2"/>
    <x v="0"/>
    <n v="13100"/>
    <n v="231500"/>
    <n v="300"/>
    <n v="0.307"/>
    <s v="Rejected"/>
    <x v="0"/>
    <n v="0"/>
    <n v="1"/>
    <n v="0"/>
    <m/>
    <n v="8"/>
    <n v="1"/>
    <n v="1"/>
  </r>
  <r>
    <s v="LA-704649"/>
    <d v="2025-10-22T00:00:00"/>
    <x v="1"/>
    <s v="Q4"/>
    <x v="9"/>
    <x v="0"/>
    <x v="3"/>
    <x v="1"/>
    <x v="1"/>
    <x v="0"/>
    <n v="2300"/>
    <n v="18500"/>
    <n v="36"/>
    <n v="0.36799999999999999"/>
    <s v="Rejected"/>
    <x v="0"/>
    <n v="0"/>
    <n v="1"/>
    <n v="0"/>
    <m/>
    <n v="4"/>
    <n v="1"/>
    <n v="1"/>
  </r>
  <r>
    <s v="LA-704650"/>
    <d v="2025-10-22T00:00:00"/>
    <x v="1"/>
    <s v="Q4"/>
    <x v="9"/>
    <x v="1"/>
    <x v="0"/>
    <x v="4"/>
    <x v="0"/>
    <x v="0"/>
    <n v="6550"/>
    <n v="7500"/>
    <n v="60"/>
    <n v="0.26500000000000001"/>
    <s v="Approved"/>
    <x v="1"/>
    <n v="1"/>
    <n v="0"/>
    <n v="7500"/>
    <n v="0.1439"/>
    <n v="3"/>
    <n v="1"/>
    <n v="1"/>
  </r>
  <r>
    <s v="LA-704651"/>
    <d v="2025-10-22T00:00:00"/>
    <x v="1"/>
    <s v="Q4"/>
    <x v="9"/>
    <x v="3"/>
    <x v="3"/>
    <x v="1"/>
    <x v="1"/>
    <x v="4"/>
    <n v="13050"/>
    <n v="252500"/>
    <n v="300"/>
    <n v="0.26800000000000002"/>
    <s v="Approved"/>
    <x v="1"/>
    <n v="1"/>
    <n v="0"/>
    <n v="252500"/>
    <n v="4.9200000000000001E-2"/>
    <n v="16"/>
    <n v="0"/>
    <n v="1"/>
  </r>
  <r>
    <s v="LA-704652"/>
    <d v="2025-10-22T00:00:00"/>
    <x v="1"/>
    <s v="Q4"/>
    <x v="9"/>
    <x v="1"/>
    <x v="2"/>
    <x v="1"/>
    <x v="0"/>
    <x v="4"/>
    <n v="3400"/>
    <n v="14500"/>
    <n v="24"/>
    <n v="0.33600000000000002"/>
    <s v="Approved"/>
    <x v="1"/>
    <n v="1"/>
    <n v="0"/>
    <n v="14500"/>
    <n v="0.11260000000000001"/>
    <n v="1"/>
    <n v="1"/>
    <n v="1"/>
  </r>
  <r>
    <s v="LA-704653"/>
    <d v="2025-10-22T00:00:00"/>
    <x v="1"/>
    <s v="Q4"/>
    <x v="9"/>
    <x v="1"/>
    <x v="2"/>
    <x v="0"/>
    <x v="0"/>
    <x v="1"/>
    <n v="8600"/>
    <n v="10500"/>
    <n v="12"/>
    <n v="0.28199999999999997"/>
    <s v="Approved"/>
    <x v="1"/>
    <n v="1"/>
    <n v="0"/>
    <n v="10500"/>
    <n v="0.12520000000000001"/>
    <n v="2"/>
    <n v="1"/>
    <n v="1"/>
  </r>
  <r>
    <s v="LA-704654"/>
    <d v="2025-10-22T00:00:00"/>
    <x v="1"/>
    <s v="Q4"/>
    <x v="9"/>
    <x v="1"/>
    <x v="1"/>
    <x v="3"/>
    <x v="1"/>
    <x v="1"/>
    <n v="5150"/>
    <n v="15500"/>
    <n v="60"/>
    <n v="0.24"/>
    <s v="Approved"/>
    <x v="1"/>
    <n v="1"/>
    <n v="0"/>
    <n v="15500"/>
    <n v="0.129"/>
    <n v="2"/>
    <n v="1"/>
    <n v="1"/>
  </r>
  <r>
    <s v="LA-704655"/>
    <d v="2025-10-23T00:00:00"/>
    <x v="1"/>
    <s v="Q4"/>
    <x v="9"/>
    <x v="1"/>
    <x v="3"/>
    <x v="3"/>
    <x v="2"/>
    <x v="0"/>
    <n v="10550"/>
    <n v="8500"/>
    <n v="60"/>
    <n v="0.10100000000000001"/>
    <s v="Approved"/>
    <x v="1"/>
    <n v="1"/>
    <n v="0"/>
    <n v="8500"/>
    <n v="0.14019999999999999"/>
    <n v="6"/>
    <n v="0"/>
    <n v="1"/>
  </r>
  <r>
    <s v="LA-704656"/>
    <d v="2025-10-23T00:00:00"/>
    <x v="1"/>
    <s v="Q4"/>
    <x v="9"/>
    <x v="0"/>
    <x v="2"/>
    <x v="1"/>
    <x v="0"/>
    <x v="1"/>
    <n v="2550"/>
    <n v="31000"/>
    <n v="36"/>
    <n v="0.61799999999999999"/>
    <s v="Rejected"/>
    <x v="3"/>
    <n v="0"/>
    <n v="1"/>
    <n v="0"/>
    <m/>
    <n v="3"/>
    <n v="1"/>
    <n v="1"/>
  </r>
  <r>
    <s v="LA-704657"/>
    <d v="2025-10-23T00:00:00"/>
    <x v="1"/>
    <s v="Q4"/>
    <x v="9"/>
    <x v="1"/>
    <x v="3"/>
    <x v="3"/>
    <x v="2"/>
    <x v="2"/>
    <n v="4050"/>
    <n v="13500"/>
    <n v="12"/>
    <n v="0.52300000000000002"/>
    <s v="Approved"/>
    <x v="1"/>
    <n v="1"/>
    <n v="0"/>
    <n v="13500"/>
    <n v="0.15859999999999999"/>
    <n v="3"/>
    <n v="1"/>
    <n v="1"/>
  </r>
  <r>
    <s v="LA-704658"/>
    <d v="2025-10-23T00:00:00"/>
    <x v="1"/>
    <s v="Q4"/>
    <x v="9"/>
    <x v="3"/>
    <x v="3"/>
    <x v="4"/>
    <x v="1"/>
    <x v="1"/>
    <n v="2600"/>
    <n v="663000"/>
    <n v="180"/>
    <n v="2.157"/>
    <s v="Rejected"/>
    <x v="3"/>
    <n v="0"/>
    <n v="1"/>
    <n v="0"/>
    <m/>
    <n v="16"/>
    <n v="0"/>
    <n v="1"/>
  </r>
  <r>
    <s v="LA-704659"/>
    <d v="2025-10-23T00:00:00"/>
    <x v="1"/>
    <s v="Q4"/>
    <x v="9"/>
    <x v="2"/>
    <x v="1"/>
    <x v="2"/>
    <x v="1"/>
    <x v="4"/>
    <n v="6600"/>
    <n v="63000"/>
    <n v="12"/>
    <n v="0.92"/>
    <s v="Rejected"/>
    <x v="3"/>
    <n v="0"/>
    <n v="1"/>
    <n v="0"/>
    <m/>
    <n v="4"/>
    <n v="1"/>
    <n v="1"/>
  </r>
  <r>
    <s v="LA-704660"/>
    <d v="2025-10-23T00:00:00"/>
    <x v="1"/>
    <s v="Q4"/>
    <x v="9"/>
    <x v="3"/>
    <x v="2"/>
    <x v="0"/>
    <x v="0"/>
    <x v="1"/>
    <n v="6150"/>
    <n v="227500"/>
    <n v="300"/>
    <n v="0.40200000000000002"/>
    <s v="Approved"/>
    <x v="1"/>
    <n v="1"/>
    <n v="0"/>
    <n v="182000"/>
    <n v="5.6599999999999998E-2"/>
    <n v="5"/>
    <n v="1"/>
    <n v="1"/>
  </r>
  <r>
    <s v="LA-704661"/>
    <d v="2025-10-23T00:00:00"/>
    <x v="1"/>
    <s v="Q4"/>
    <x v="9"/>
    <x v="0"/>
    <x v="0"/>
    <x v="0"/>
    <x v="1"/>
    <x v="4"/>
    <n v="7100"/>
    <n v="30500"/>
    <n v="48"/>
    <n v="0.29799999999999999"/>
    <s v="Approved"/>
    <x v="1"/>
    <n v="1"/>
    <n v="0"/>
    <n v="30500"/>
    <n v="7.2800000000000004E-2"/>
    <n v="4"/>
    <n v="1"/>
    <n v="1"/>
  </r>
  <r>
    <s v="LA-704662"/>
    <d v="2025-10-23T00:00:00"/>
    <x v="1"/>
    <s v="Q4"/>
    <x v="9"/>
    <x v="1"/>
    <x v="2"/>
    <x v="0"/>
    <x v="2"/>
    <x v="0"/>
    <n v="12400"/>
    <n v="16500"/>
    <n v="36"/>
    <n v="0.11899999999999999"/>
    <s v="Rejected"/>
    <x v="0"/>
    <n v="0"/>
    <n v="1"/>
    <n v="0"/>
    <m/>
    <n v="1"/>
    <n v="1"/>
    <n v="1"/>
  </r>
  <r>
    <s v="LA-704663"/>
    <d v="2025-10-23T00:00:00"/>
    <x v="1"/>
    <s v="Q4"/>
    <x v="9"/>
    <x v="0"/>
    <x v="2"/>
    <x v="3"/>
    <x v="1"/>
    <x v="1"/>
    <n v="6100"/>
    <n v="15500"/>
    <n v="48"/>
    <n v="0.20100000000000001"/>
    <s v="Approved"/>
    <x v="1"/>
    <n v="1"/>
    <n v="0"/>
    <n v="12500"/>
    <n v="8.0799999999999997E-2"/>
    <n v="2"/>
    <n v="1"/>
    <n v="1"/>
  </r>
  <r>
    <s v="LA-704664"/>
    <d v="2025-10-23T00:00:00"/>
    <x v="1"/>
    <s v="Q4"/>
    <x v="9"/>
    <x v="2"/>
    <x v="3"/>
    <x v="3"/>
    <x v="2"/>
    <x v="1"/>
    <n v="4600"/>
    <n v="117500"/>
    <n v="12"/>
    <n v="2.3580000000000001"/>
    <s v="Rejected"/>
    <x v="3"/>
    <n v="0"/>
    <n v="1"/>
    <n v="0"/>
    <m/>
    <n v="9"/>
    <n v="1"/>
    <n v="1"/>
  </r>
  <r>
    <s v="LA-704665"/>
    <d v="2025-10-24T00:00:00"/>
    <x v="1"/>
    <s v="Q4"/>
    <x v="9"/>
    <x v="2"/>
    <x v="3"/>
    <x v="2"/>
    <x v="0"/>
    <x v="3"/>
    <n v="3800"/>
    <n v="48500"/>
    <n v="36"/>
    <n v="0.59299999999999997"/>
    <s v="Approved"/>
    <x v="1"/>
    <n v="1"/>
    <n v="0"/>
    <n v="48500"/>
    <n v="9.0800000000000006E-2"/>
    <n v="13"/>
    <n v="0"/>
    <n v="1"/>
  </r>
  <r>
    <s v="LA-704666"/>
    <d v="2025-10-24T00:00:00"/>
    <x v="1"/>
    <s v="Q4"/>
    <x v="9"/>
    <x v="3"/>
    <x v="3"/>
    <x v="2"/>
    <x v="0"/>
    <x v="3"/>
    <n v="4600"/>
    <n v="96500"/>
    <n v="240"/>
    <n v="0.29199999999999998"/>
    <s v="Approved"/>
    <x v="1"/>
    <n v="1"/>
    <n v="0"/>
    <n v="77000"/>
    <n v="4.4299999999999999E-2"/>
    <n v="18"/>
    <n v="0"/>
    <n v="1"/>
  </r>
  <r>
    <s v="LA-704667"/>
    <d v="2025-10-24T00:00:00"/>
    <x v="1"/>
    <s v="Q4"/>
    <x v="9"/>
    <x v="2"/>
    <x v="3"/>
    <x v="1"/>
    <x v="2"/>
    <x v="4"/>
    <n v="4800"/>
    <n v="38500"/>
    <n v="12"/>
    <n v="0.81499999999999995"/>
    <s v="Rejected"/>
    <x v="4"/>
    <n v="0"/>
    <n v="1"/>
    <n v="0"/>
    <m/>
    <n v="16"/>
    <n v="0"/>
    <n v="1"/>
  </r>
  <r>
    <s v="LA-704668"/>
    <d v="2025-10-24T00:00:00"/>
    <x v="1"/>
    <s v="Q4"/>
    <x v="9"/>
    <x v="1"/>
    <x v="3"/>
    <x v="1"/>
    <x v="0"/>
    <x v="0"/>
    <n v="10550"/>
    <n v="10500"/>
    <n v="60"/>
    <n v="0.24299999999999999"/>
    <s v="Rejected"/>
    <x v="0"/>
    <n v="0"/>
    <n v="1"/>
    <n v="0"/>
    <m/>
    <n v="6"/>
    <n v="0"/>
    <n v="1"/>
  </r>
  <r>
    <s v="LA-704669"/>
    <d v="2025-10-24T00:00:00"/>
    <x v="1"/>
    <s v="Q4"/>
    <x v="9"/>
    <x v="1"/>
    <x v="1"/>
    <x v="3"/>
    <x v="2"/>
    <x v="4"/>
    <n v="5550"/>
    <n v="9500"/>
    <n v="12"/>
    <n v="0.38100000000000001"/>
    <s v="Approved"/>
    <x v="1"/>
    <n v="1"/>
    <n v="0"/>
    <n v="8500"/>
    <n v="0.11749999999999999"/>
    <n v="1"/>
    <n v="1"/>
    <n v="1"/>
  </r>
  <r>
    <s v="LA-704670"/>
    <d v="2025-10-24T00:00:00"/>
    <x v="1"/>
    <s v="Q4"/>
    <x v="9"/>
    <x v="3"/>
    <x v="3"/>
    <x v="2"/>
    <x v="1"/>
    <x v="0"/>
    <n v="4300"/>
    <n v="275500"/>
    <n v="300"/>
    <n v="0.59499999999999997"/>
    <s v="Rejected"/>
    <x v="3"/>
    <n v="0"/>
    <n v="1"/>
    <n v="0"/>
    <m/>
    <n v="14"/>
    <n v="1"/>
    <n v="1"/>
  </r>
  <r>
    <s v="LA-704671"/>
    <d v="2025-10-24T00:00:00"/>
    <x v="1"/>
    <s v="Q4"/>
    <x v="9"/>
    <x v="2"/>
    <x v="2"/>
    <x v="3"/>
    <x v="1"/>
    <x v="4"/>
    <n v="2500"/>
    <n v="81000"/>
    <n v="24"/>
    <n v="1.615"/>
    <s v="Rejected"/>
    <x v="3"/>
    <n v="0"/>
    <n v="1"/>
    <n v="0"/>
    <m/>
    <n v="16"/>
    <n v="0"/>
    <n v="1"/>
  </r>
  <r>
    <s v="LA-704672"/>
    <d v="2025-10-24T00:00:00"/>
    <x v="1"/>
    <s v="Q4"/>
    <x v="9"/>
    <x v="1"/>
    <x v="3"/>
    <x v="0"/>
    <x v="1"/>
    <x v="1"/>
    <n v="5700"/>
    <n v="6000"/>
    <n v="36"/>
    <n v="0.14699999999999999"/>
    <s v="Approved"/>
    <x v="1"/>
    <n v="1"/>
    <n v="0"/>
    <n v="5500"/>
    <n v="0.12529999999999999"/>
    <n v="3"/>
    <n v="1"/>
    <n v="1"/>
  </r>
  <r>
    <s v="LA-704673"/>
    <d v="2025-10-24T00:00:00"/>
    <x v="1"/>
    <s v="Q4"/>
    <x v="9"/>
    <x v="1"/>
    <x v="1"/>
    <x v="4"/>
    <x v="1"/>
    <x v="3"/>
    <n v="5350"/>
    <n v="15500"/>
    <n v="36"/>
    <n v="0.26900000000000002"/>
    <s v="Approved"/>
    <x v="1"/>
    <n v="1"/>
    <n v="0"/>
    <n v="14000"/>
    <n v="0.1045"/>
    <n v="1"/>
    <n v="1"/>
    <n v="1"/>
  </r>
  <r>
    <s v="LA-704674"/>
    <d v="2025-10-25T00:00:00"/>
    <x v="1"/>
    <s v="Q4"/>
    <x v="9"/>
    <x v="1"/>
    <x v="1"/>
    <x v="2"/>
    <x v="1"/>
    <x v="1"/>
    <n v="3900"/>
    <n v="7500"/>
    <n v="24"/>
    <n v="0.315"/>
    <s v="Rejected"/>
    <x v="5"/>
    <n v="0"/>
    <n v="1"/>
    <n v="0"/>
    <m/>
    <n v="2"/>
    <n v="1"/>
    <n v="1"/>
  </r>
  <r>
    <s v="LA-704675"/>
    <d v="2025-10-25T00:00:00"/>
    <x v="1"/>
    <s v="Q4"/>
    <x v="9"/>
    <x v="2"/>
    <x v="1"/>
    <x v="1"/>
    <x v="0"/>
    <x v="0"/>
    <n v="4350"/>
    <n v="88500"/>
    <n v="24"/>
    <n v="1.075"/>
    <s v="Rejected"/>
    <x v="3"/>
    <n v="0"/>
    <n v="1"/>
    <n v="0"/>
    <m/>
    <n v="7"/>
    <n v="1"/>
    <n v="1"/>
  </r>
  <r>
    <s v="LA-704676"/>
    <d v="2025-10-25T00:00:00"/>
    <x v="1"/>
    <s v="Q4"/>
    <x v="9"/>
    <x v="0"/>
    <x v="1"/>
    <x v="0"/>
    <x v="1"/>
    <x v="1"/>
    <n v="5750"/>
    <n v="35000"/>
    <n v="48"/>
    <n v="0.35699999999999998"/>
    <s v="Approved"/>
    <x v="1"/>
    <n v="1"/>
    <n v="0"/>
    <n v="35000"/>
    <n v="8.0699999999999994E-2"/>
    <n v="2"/>
    <n v="1"/>
    <n v="1"/>
  </r>
  <r>
    <s v="LA-704677"/>
    <d v="2025-10-25T00:00:00"/>
    <x v="1"/>
    <s v="Q4"/>
    <x v="9"/>
    <x v="2"/>
    <x v="1"/>
    <x v="3"/>
    <x v="1"/>
    <x v="4"/>
    <n v="3650"/>
    <n v="82000"/>
    <n v="60"/>
    <n v="0.67500000000000004"/>
    <s v="Approved"/>
    <x v="1"/>
    <n v="1"/>
    <n v="0"/>
    <n v="82000"/>
    <n v="9.9599999999999994E-2"/>
    <n v="3"/>
    <n v="1"/>
    <n v="1"/>
  </r>
  <r>
    <s v="LA-704678"/>
    <d v="2025-10-25T00:00:00"/>
    <x v="1"/>
    <s v="Q4"/>
    <x v="9"/>
    <x v="1"/>
    <x v="2"/>
    <x v="3"/>
    <x v="0"/>
    <x v="4"/>
    <n v="8950"/>
    <n v="9500"/>
    <n v="60"/>
    <n v="0.13600000000000001"/>
    <s v="Rejected"/>
    <x v="5"/>
    <n v="0"/>
    <n v="1"/>
    <n v="0"/>
    <m/>
    <n v="1"/>
    <n v="1"/>
    <n v="1"/>
  </r>
  <r>
    <s v="LA-704679"/>
    <d v="2025-10-25T00:00:00"/>
    <x v="1"/>
    <s v="Q4"/>
    <x v="9"/>
    <x v="2"/>
    <x v="3"/>
    <x v="3"/>
    <x v="0"/>
    <x v="0"/>
    <n v="3450"/>
    <n v="119000"/>
    <n v="60"/>
    <n v="0.84599999999999997"/>
    <s v="Rejected"/>
    <x v="0"/>
    <n v="0"/>
    <n v="1"/>
    <n v="0"/>
    <m/>
    <n v="8"/>
    <n v="1"/>
    <n v="1"/>
  </r>
  <r>
    <s v="LA-704680"/>
    <d v="2025-10-26T00:00:00"/>
    <x v="1"/>
    <s v="Q4"/>
    <x v="9"/>
    <x v="1"/>
    <x v="2"/>
    <x v="3"/>
    <x v="0"/>
    <x v="3"/>
    <n v="2750"/>
    <n v="8000"/>
    <n v="24"/>
    <n v="0.219"/>
    <s v="Approved"/>
    <x v="1"/>
    <n v="1"/>
    <n v="0"/>
    <n v="7000"/>
    <n v="0.1082"/>
    <n v="1"/>
    <n v="1"/>
    <n v="1"/>
  </r>
  <r>
    <s v="LA-704681"/>
    <d v="2025-10-26T00:00:00"/>
    <x v="1"/>
    <s v="Q4"/>
    <x v="9"/>
    <x v="2"/>
    <x v="0"/>
    <x v="1"/>
    <x v="0"/>
    <x v="0"/>
    <n v="6600"/>
    <n v="56500"/>
    <n v="12"/>
    <n v="0.99299999999999999"/>
    <s v="Rejected"/>
    <x v="0"/>
    <n v="0"/>
    <n v="1"/>
    <n v="0"/>
    <m/>
    <n v="8"/>
    <n v="1"/>
    <n v="1"/>
  </r>
  <r>
    <s v="LA-704682"/>
    <d v="2025-10-26T00:00:00"/>
    <x v="1"/>
    <s v="Q4"/>
    <x v="9"/>
    <x v="3"/>
    <x v="1"/>
    <x v="2"/>
    <x v="0"/>
    <x v="0"/>
    <n v="2550"/>
    <n v="343000"/>
    <n v="180"/>
    <n v="1.19"/>
    <s v="Rejected"/>
    <x v="3"/>
    <n v="0"/>
    <n v="1"/>
    <n v="0"/>
    <m/>
    <n v="13"/>
    <n v="1"/>
    <n v="1"/>
  </r>
  <r>
    <s v="LA-704683"/>
    <d v="2025-10-26T00:00:00"/>
    <x v="1"/>
    <s v="Q4"/>
    <x v="9"/>
    <x v="0"/>
    <x v="3"/>
    <x v="4"/>
    <x v="1"/>
    <x v="1"/>
    <n v="5050"/>
    <n v="24500"/>
    <n v="36"/>
    <n v="0.38700000000000001"/>
    <s v="Approved"/>
    <x v="1"/>
    <n v="1"/>
    <n v="0"/>
    <n v="24500"/>
    <n v="8.4000000000000005E-2"/>
    <n v="4"/>
    <n v="1"/>
    <n v="1"/>
  </r>
  <r>
    <s v="LA-704684"/>
    <d v="2025-10-26T00:00:00"/>
    <x v="1"/>
    <s v="Q4"/>
    <x v="9"/>
    <x v="0"/>
    <x v="3"/>
    <x v="4"/>
    <x v="1"/>
    <x v="1"/>
    <n v="5950"/>
    <n v="35500"/>
    <n v="36"/>
    <n v="0.27800000000000002"/>
    <s v="Approved"/>
    <x v="1"/>
    <n v="1"/>
    <n v="0"/>
    <n v="35500"/>
    <n v="8.2100000000000006E-2"/>
    <n v="6"/>
    <n v="0"/>
    <n v="1"/>
  </r>
  <r>
    <s v="LA-704685"/>
    <d v="2025-10-26T00:00:00"/>
    <x v="1"/>
    <s v="Q4"/>
    <x v="9"/>
    <x v="0"/>
    <x v="3"/>
    <x v="1"/>
    <x v="0"/>
    <x v="4"/>
    <n v="2850"/>
    <n v="31000"/>
    <n v="60"/>
    <n v="0.36099999999999999"/>
    <s v="Approved"/>
    <x v="1"/>
    <n v="1"/>
    <n v="0"/>
    <n v="25000"/>
    <n v="7.3499999999999996E-2"/>
    <n v="9"/>
    <n v="0"/>
    <n v="1"/>
  </r>
  <r>
    <s v="LA-704686"/>
    <d v="2025-10-26T00:00:00"/>
    <x v="1"/>
    <s v="Q4"/>
    <x v="9"/>
    <x v="1"/>
    <x v="3"/>
    <x v="1"/>
    <x v="0"/>
    <x v="1"/>
    <n v="6300"/>
    <n v="11500"/>
    <n v="36"/>
    <n v="0.29599999999999999"/>
    <s v="Approved"/>
    <x v="1"/>
    <n v="1"/>
    <n v="0"/>
    <n v="11500"/>
    <n v="0.12570000000000001"/>
    <n v="6"/>
    <n v="0"/>
    <n v="1"/>
  </r>
  <r>
    <s v="LA-704687"/>
    <d v="2025-10-27T00:00:00"/>
    <x v="1"/>
    <s v="Q4"/>
    <x v="9"/>
    <x v="2"/>
    <x v="3"/>
    <x v="3"/>
    <x v="0"/>
    <x v="4"/>
    <n v="2750"/>
    <n v="94000"/>
    <n v="36"/>
    <n v="1.1519999999999999"/>
    <s v="Rejected"/>
    <x v="3"/>
    <n v="0"/>
    <n v="1"/>
    <n v="0"/>
    <m/>
    <n v="24"/>
    <n v="0"/>
    <n v="1"/>
  </r>
  <r>
    <s v="LA-704688"/>
    <d v="2025-10-27T00:00:00"/>
    <x v="1"/>
    <s v="Q4"/>
    <x v="9"/>
    <x v="3"/>
    <x v="3"/>
    <x v="1"/>
    <x v="1"/>
    <x v="1"/>
    <n v="3900"/>
    <n v="652000"/>
    <n v="300"/>
    <n v="1.0449999999999999"/>
    <s v="Withdrawn"/>
    <x v="1"/>
    <n v="0"/>
    <n v="0"/>
    <n v="0"/>
    <m/>
    <n v="21"/>
    <n v="0"/>
    <n v="1"/>
  </r>
  <r>
    <s v="LA-704689"/>
    <d v="2025-10-27T00:00:00"/>
    <x v="1"/>
    <s v="Q4"/>
    <x v="9"/>
    <x v="3"/>
    <x v="2"/>
    <x v="1"/>
    <x v="2"/>
    <x v="3"/>
    <n v="4950"/>
    <n v="464000"/>
    <n v="240"/>
    <n v="0.79500000000000004"/>
    <s v="Rejected"/>
    <x v="3"/>
    <n v="0"/>
    <n v="1"/>
    <n v="0"/>
    <m/>
    <n v="4"/>
    <n v="1"/>
    <n v="1"/>
  </r>
  <r>
    <s v="LA-704690"/>
    <d v="2025-10-27T00:00:00"/>
    <x v="1"/>
    <s v="Q4"/>
    <x v="9"/>
    <x v="0"/>
    <x v="1"/>
    <x v="3"/>
    <x v="1"/>
    <x v="4"/>
    <n v="5200"/>
    <n v="22500"/>
    <n v="60"/>
    <n v="0.27700000000000002"/>
    <s v="Approved"/>
    <x v="1"/>
    <n v="1"/>
    <n v="0"/>
    <n v="22500"/>
    <n v="7.3899999999999993E-2"/>
    <n v="2"/>
    <n v="1"/>
    <n v="1"/>
  </r>
  <r>
    <s v="LA-704691"/>
    <d v="2025-10-27T00:00:00"/>
    <x v="1"/>
    <s v="Q4"/>
    <x v="9"/>
    <x v="1"/>
    <x v="2"/>
    <x v="3"/>
    <x v="2"/>
    <x v="4"/>
    <n v="3500"/>
    <n v="11000"/>
    <n v="60"/>
    <n v="0.17100000000000001"/>
    <s v="Approved"/>
    <x v="1"/>
    <n v="1"/>
    <n v="0"/>
    <n v="11000"/>
    <n v="0.1118"/>
    <n v="2"/>
    <n v="1"/>
    <n v="1"/>
  </r>
  <r>
    <s v="LA-704692"/>
    <d v="2025-10-27T00:00:00"/>
    <x v="1"/>
    <s v="Q4"/>
    <x v="9"/>
    <x v="3"/>
    <x v="1"/>
    <x v="1"/>
    <x v="2"/>
    <x v="0"/>
    <n v="7450"/>
    <n v="172500"/>
    <n v="240"/>
    <n v="0.20699999999999999"/>
    <s v="Rejected"/>
    <x v="4"/>
    <n v="0"/>
    <n v="1"/>
    <n v="0"/>
    <m/>
    <n v="10"/>
    <n v="1"/>
    <n v="1"/>
  </r>
  <r>
    <s v="LA-704693"/>
    <d v="2025-10-27T00:00:00"/>
    <x v="1"/>
    <s v="Q4"/>
    <x v="9"/>
    <x v="0"/>
    <x v="1"/>
    <x v="2"/>
    <x v="0"/>
    <x v="0"/>
    <n v="3350"/>
    <n v="42500"/>
    <n v="60"/>
    <n v="0.39600000000000002"/>
    <s v="Approved"/>
    <x v="1"/>
    <n v="1"/>
    <n v="0"/>
    <n v="42500"/>
    <n v="9.9599999999999994E-2"/>
    <n v="4"/>
    <n v="1"/>
    <n v="1"/>
  </r>
  <r>
    <s v="LA-704694"/>
    <d v="2025-10-27T00:00:00"/>
    <x v="1"/>
    <s v="Q4"/>
    <x v="9"/>
    <x v="1"/>
    <x v="3"/>
    <x v="2"/>
    <x v="2"/>
    <x v="1"/>
    <n v="2850"/>
    <n v="23500"/>
    <n v="36"/>
    <n v="0.45800000000000002"/>
    <s v="Approved"/>
    <x v="1"/>
    <n v="1"/>
    <n v="0"/>
    <n v="21000"/>
    <n v="0.12690000000000001"/>
    <n v="2"/>
    <n v="1"/>
    <n v="1"/>
  </r>
  <r>
    <s v="LA-704695"/>
    <d v="2025-10-27T00:00:00"/>
    <x v="1"/>
    <s v="Q4"/>
    <x v="9"/>
    <x v="0"/>
    <x v="2"/>
    <x v="4"/>
    <x v="0"/>
    <x v="2"/>
    <n v="9000"/>
    <n v="21000"/>
    <n v="48"/>
    <n v="0.26900000000000002"/>
    <s v="Approved"/>
    <x v="1"/>
    <n v="1"/>
    <n v="0"/>
    <n v="21000"/>
    <n v="0.11600000000000001"/>
    <n v="1"/>
    <n v="1"/>
    <n v="1"/>
  </r>
  <r>
    <s v="LA-704696"/>
    <d v="2025-10-28T00:00:00"/>
    <x v="1"/>
    <s v="Q4"/>
    <x v="9"/>
    <x v="2"/>
    <x v="3"/>
    <x v="4"/>
    <x v="0"/>
    <x v="4"/>
    <n v="4550"/>
    <n v="92500"/>
    <n v="60"/>
    <n v="0.623"/>
    <s v="Approved"/>
    <x v="1"/>
    <n v="1"/>
    <n v="0"/>
    <n v="92500"/>
    <n v="9.4899999999999998E-2"/>
    <n v="12"/>
    <n v="0"/>
    <n v="1"/>
  </r>
  <r>
    <s v="LA-704697"/>
    <d v="2025-10-28T00:00:00"/>
    <x v="1"/>
    <s v="Q4"/>
    <x v="9"/>
    <x v="1"/>
    <x v="0"/>
    <x v="2"/>
    <x v="1"/>
    <x v="4"/>
    <n v="3550"/>
    <n v="8000"/>
    <n v="60"/>
    <n v="0.26800000000000002"/>
    <s v="Approved"/>
    <x v="1"/>
    <n v="1"/>
    <n v="0"/>
    <n v="8000"/>
    <n v="0.1094"/>
    <n v="4"/>
    <n v="0"/>
    <n v="1"/>
  </r>
  <r>
    <s v="LA-704698"/>
    <d v="2025-10-28T00:00:00"/>
    <x v="1"/>
    <s v="Q4"/>
    <x v="9"/>
    <x v="0"/>
    <x v="1"/>
    <x v="2"/>
    <x v="1"/>
    <x v="1"/>
    <n v="4950"/>
    <n v="28000"/>
    <n v="36"/>
    <n v="0.39600000000000002"/>
    <s v="Approved"/>
    <x v="1"/>
    <n v="1"/>
    <n v="0"/>
    <n v="25000"/>
    <n v="8.3000000000000004E-2"/>
    <n v="3"/>
    <n v="1"/>
    <n v="1"/>
  </r>
  <r>
    <s v="LA-704699"/>
    <d v="2025-10-28T00:00:00"/>
    <x v="1"/>
    <s v="Q4"/>
    <x v="9"/>
    <x v="0"/>
    <x v="0"/>
    <x v="2"/>
    <x v="2"/>
    <x v="0"/>
    <n v="5250"/>
    <n v="40500"/>
    <n v="48"/>
    <n v="0.32600000000000001"/>
    <s v="Withdrawn"/>
    <x v="1"/>
    <n v="0"/>
    <n v="0"/>
    <n v="0"/>
    <m/>
    <n v="7"/>
    <n v="0"/>
    <n v="1"/>
  </r>
  <r>
    <s v="LA-704700"/>
    <d v="2025-10-28T00:00:00"/>
    <x v="1"/>
    <s v="Q4"/>
    <x v="9"/>
    <x v="1"/>
    <x v="3"/>
    <x v="2"/>
    <x v="1"/>
    <x v="4"/>
    <n v="6550"/>
    <n v="12000"/>
    <n v="36"/>
    <n v="0.254"/>
    <s v="Approved"/>
    <x v="1"/>
    <n v="1"/>
    <n v="0"/>
    <n v="12000"/>
    <n v="0.1171"/>
    <n v="5"/>
    <n v="0"/>
    <n v="1"/>
  </r>
  <r>
    <s v="LA-704701"/>
    <d v="2025-10-28T00:00:00"/>
    <x v="1"/>
    <s v="Q4"/>
    <x v="9"/>
    <x v="1"/>
    <x v="2"/>
    <x v="1"/>
    <x v="2"/>
    <x v="3"/>
    <n v="6600"/>
    <n v="10500"/>
    <n v="24"/>
    <n v="0.28499999999999998"/>
    <s v="Approved"/>
    <x v="1"/>
    <n v="1"/>
    <n v="0"/>
    <n v="10500"/>
    <n v="0.1108"/>
    <n v="4"/>
    <n v="0"/>
    <n v="1"/>
  </r>
  <r>
    <s v="LA-704702"/>
    <d v="2025-10-28T00:00:00"/>
    <x v="1"/>
    <s v="Q4"/>
    <x v="9"/>
    <x v="1"/>
    <x v="1"/>
    <x v="1"/>
    <x v="0"/>
    <x v="0"/>
    <n v="4000"/>
    <n v="3500"/>
    <n v="60"/>
    <n v="0.26100000000000001"/>
    <s v="Approved"/>
    <x v="1"/>
    <n v="1"/>
    <n v="0"/>
    <n v="3000"/>
    <n v="0.1409"/>
    <n v="1"/>
    <n v="1"/>
    <n v="1"/>
  </r>
  <r>
    <s v="LA-704703"/>
    <d v="2025-10-28T00:00:00"/>
    <x v="1"/>
    <s v="Q4"/>
    <x v="9"/>
    <x v="1"/>
    <x v="2"/>
    <x v="2"/>
    <x v="1"/>
    <x v="4"/>
    <n v="6350"/>
    <n v="11500"/>
    <n v="48"/>
    <n v="0.223"/>
    <s v="Rejected"/>
    <x v="5"/>
    <n v="0"/>
    <n v="1"/>
    <n v="0"/>
    <m/>
    <n v="2"/>
    <n v="1"/>
    <n v="1"/>
  </r>
  <r>
    <s v="LA-704704"/>
    <d v="2025-10-28T00:00:00"/>
    <x v="1"/>
    <s v="Q4"/>
    <x v="9"/>
    <x v="3"/>
    <x v="1"/>
    <x v="0"/>
    <x v="0"/>
    <x v="1"/>
    <n v="4850"/>
    <n v="425500"/>
    <n v="240"/>
    <n v="0.71799999999999997"/>
    <s v="Rejected"/>
    <x v="3"/>
    <n v="0"/>
    <n v="1"/>
    <n v="0"/>
    <m/>
    <n v="9"/>
    <n v="1"/>
    <n v="1"/>
  </r>
  <r>
    <s v="LA-704705"/>
    <d v="2025-10-28T00:00:00"/>
    <x v="1"/>
    <s v="Q4"/>
    <x v="9"/>
    <x v="3"/>
    <x v="1"/>
    <x v="1"/>
    <x v="2"/>
    <x v="4"/>
    <n v="2250"/>
    <n v="306500"/>
    <n v="300"/>
    <n v="0.875"/>
    <s v="Rejected"/>
    <x v="3"/>
    <n v="0"/>
    <n v="1"/>
    <n v="0"/>
    <m/>
    <n v="10"/>
    <n v="1"/>
    <n v="1"/>
  </r>
  <r>
    <s v="LA-704706"/>
    <d v="2025-10-28T00:00:00"/>
    <x v="1"/>
    <s v="Q4"/>
    <x v="9"/>
    <x v="2"/>
    <x v="2"/>
    <x v="2"/>
    <x v="0"/>
    <x v="4"/>
    <n v="4600"/>
    <n v="73500"/>
    <n v="60"/>
    <n v="0.41599999999999998"/>
    <s v="Approved"/>
    <x v="1"/>
    <n v="1"/>
    <n v="0"/>
    <n v="59000"/>
    <n v="0.1014"/>
    <n v="3"/>
    <n v="1"/>
    <n v="1"/>
  </r>
  <r>
    <s v="LA-704707"/>
    <d v="2025-10-28T00:00:00"/>
    <x v="1"/>
    <s v="Q4"/>
    <x v="9"/>
    <x v="1"/>
    <x v="3"/>
    <x v="2"/>
    <x v="2"/>
    <x v="0"/>
    <n v="7600"/>
    <n v="6000"/>
    <n v="36"/>
    <n v="0.23599999999999999"/>
    <s v="Rejected"/>
    <x v="2"/>
    <n v="0"/>
    <n v="1"/>
    <n v="0"/>
    <m/>
    <n v="5"/>
    <n v="0"/>
    <n v="1"/>
  </r>
  <r>
    <s v="LA-704708"/>
    <d v="2025-10-28T00:00:00"/>
    <x v="1"/>
    <s v="Q4"/>
    <x v="9"/>
    <x v="0"/>
    <x v="3"/>
    <x v="3"/>
    <x v="1"/>
    <x v="0"/>
    <n v="3650"/>
    <n v="16000"/>
    <n v="36"/>
    <n v="0.36199999999999999"/>
    <s v="Approved"/>
    <x v="1"/>
    <n v="1"/>
    <n v="0"/>
    <n v="16000"/>
    <n v="9.9500000000000005E-2"/>
    <n v="6"/>
    <n v="0"/>
    <n v="1"/>
  </r>
  <r>
    <s v="LA-704709"/>
    <d v="2025-10-28T00:00:00"/>
    <x v="1"/>
    <s v="Q4"/>
    <x v="9"/>
    <x v="0"/>
    <x v="2"/>
    <x v="2"/>
    <x v="0"/>
    <x v="0"/>
    <n v="3850"/>
    <n v="17000"/>
    <n v="36"/>
    <n v="0.2"/>
    <s v="Rejected"/>
    <x v="5"/>
    <n v="0"/>
    <n v="1"/>
    <n v="0"/>
    <m/>
    <n v="2"/>
    <n v="1"/>
    <n v="1"/>
  </r>
  <r>
    <s v="LA-704710"/>
    <d v="2025-10-28T00:00:00"/>
    <x v="1"/>
    <s v="Q4"/>
    <x v="9"/>
    <x v="1"/>
    <x v="3"/>
    <x v="1"/>
    <x v="2"/>
    <x v="1"/>
    <n v="10950"/>
    <n v="11000"/>
    <n v="36"/>
    <n v="0.10100000000000001"/>
    <s v="Approved"/>
    <x v="1"/>
    <n v="1"/>
    <n v="0"/>
    <n v="11000"/>
    <n v="0.121"/>
    <n v="3"/>
    <n v="1"/>
    <n v="1"/>
  </r>
  <r>
    <s v="LA-704711"/>
    <d v="2025-10-29T00:00:00"/>
    <x v="1"/>
    <s v="Q4"/>
    <x v="9"/>
    <x v="1"/>
    <x v="1"/>
    <x v="0"/>
    <x v="0"/>
    <x v="2"/>
    <n v="2400"/>
    <n v="11500"/>
    <n v="24"/>
    <n v="0.309"/>
    <s v="Approved"/>
    <x v="1"/>
    <n v="1"/>
    <n v="0"/>
    <n v="11500"/>
    <n v="0.16200000000000001"/>
    <n v="1"/>
    <n v="1"/>
    <n v="1"/>
  </r>
  <r>
    <s v="LA-704712"/>
    <d v="2025-10-29T00:00:00"/>
    <x v="1"/>
    <s v="Q4"/>
    <x v="9"/>
    <x v="2"/>
    <x v="2"/>
    <x v="1"/>
    <x v="0"/>
    <x v="0"/>
    <n v="6750"/>
    <n v="73000"/>
    <n v="36"/>
    <n v="0.45200000000000001"/>
    <s v="Rejected"/>
    <x v="3"/>
    <n v="0"/>
    <n v="1"/>
    <n v="0"/>
    <m/>
    <n v="8"/>
    <n v="1"/>
    <n v="1"/>
  </r>
  <r>
    <s v="LA-704713"/>
    <d v="2025-10-29T00:00:00"/>
    <x v="1"/>
    <s v="Q4"/>
    <x v="9"/>
    <x v="3"/>
    <x v="1"/>
    <x v="2"/>
    <x v="2"/>
    <x v="0"/>
    <n v="4150"/>
    <n v="335000"/>
    <n v="240"/>
    <n v="0.66600000000000004"/>
    <s v="Rejected"/>
    <x v="0"/>
    <n v="0"/>
    <n v="1"/>
    <n v="0"/>
    <m/>
    <n v="3"/>
    <n v="1"/>
    <n v="1"/>
  </r>
  <r>
    <s v="LA-704714"/>
    <d v="2025-10-29T00:00:00"/>
    <x v="1"/>
    <s v="Q4"/>
    <x v="9"/>
    <x v="2"/>
    <x v="3"/>
    <x v="2"/>
    <x v="0"/>
    <x v="1"/>
    <n v="5000"/>
    <n v="98000"/>
    <n v="60"/>
    <n v="0.52100000000000002"/>
    <s v="Rejected"/>
    <x v="4"/>
    <n v="0"/>
    <n v="1"/>
    <n v="0"/>
    <m/>
    <n v="19"/>
    <n v="0"/>
    <n v="1"/>
  </r>
  <r>
    <s v="LA-704715"/>
    <d v="2025-10-29T00:00:00"/>
    <x v="1"/>
    <s v="Q4"/>
    <x v="9"/>
    <x v="0"/>
    <x v="3"/>
    <x v="2"/>
    <x v="0"/>
    <x v="4"/>
    <n v="4850"/>
    <n v="41000"/>
    <n v="60"/>
    <n v="0.307"/>
    <s v="Approved"/>
    <x v="1"/>
    <n v="1"/>
    <n v="0"/>
    <n v="33000"/>
    <n v="6.9500000000000006E-2"/>
    <n v="8"/>
    <n v="0"/>
    <n v="1"/>
  </r>
  <r>
    <s v="LA-704716"/>
    <d v="2025-10-29T00:00:00"/>
    <x v="1"/>
    <s v="Q4"/>
    <x v="9"/>
    <x v="1"/>
    <x v="1"/>
    <x v="1"/>
    <x v="0"/>
    <x v="0"/>
    <n v="2300"/>
    <n v="5500"/>
    <n v="48"/>
    <n v="0.192"/>
    <s v="Approved"/>
    <x v="1"/>
    <n v="1"/>
    <n v="0"/>
    <n v="5500"/>
    <n v="0.13739999999999999"/>
    <n v="1"/>
    <n v="1"/>
    <n v="1"/>
  </r>
  <r>
    <s v="LA-704717"/>
    <d v="2025-10-29T00:00:00"/>
    <x v="1"/>
    <s v="Q4"/>
    <x v="9"/>
    <x v="0"/>
    <x v="1"/>
    <x v="1"/>
    <x v="2"/>
    <x v="4"/>
    <n v="6500"/>
    <n v="18000"/>
    <n v="60"/>
    <n v="0.125"/>
    <s v="Approved"/>
    <x v="1"/>
    <n v="1"/>
    <n v="0"/>
    <n v="18000"/>
    <n v="7.1999999999999995E-2"/>
    <n v="1"/>
    <n v="1"/>
    <n v="1"/>
  </r>
  <r>
    <s v="LA-704718"/>
    <d v="2025-10-29T00:00:00"/>
    <x v="1"/>
    <s v="Q4"/>
    <x v="9"/>
    <x v="1"/>
    <x v="2"/>
    <x v="1"/>
    <x v="0"/>
    <x v="0"/>
    <n v="3700"/>
    <n v="12000"/>
    <n v="12"/>
    <n v="0.375"/>
    <s v="Approved"/>
    <x v="1"/>
    <n v="1"/>
    <n v="0"/>
    <n v="12000"/>
    <n v="0.14149999999999999"/>
    <n v="2"/>
    <n v="1"/>
    <n v="1"/>
  </r>
  <r>
    <s v="LA-704719"/>
    <d v="2025-10-29T00:00:00"/>
    <x v="1"/>
    <s v="Q4"/>
    <x v="9"/>
    <x v="1"/>
    <x v="1"/>
    <x v="3"/>
    <x v="0"/>
    <x v="3"/>
    <n v="5500"/>
    <n v="9500"/>
    <n v="24"/>
    <n v="0.29699999999999999"/>
    <s v="Approved"/>
    <x v="1"/>
    <n v="1"/>
    <n v="0"/>
    <n v="8500"/>
    <n v="0.108"/>
    <n v="1"/>
    <n v="1"/>
    <n v="1"/>
  </r>
  <r>
    <s v="LA-704720"/>
    <d v="2025-10-29T00:00:00"/>
    <x v="1"/>
    <s v="Q4"/>
    <x v="9"/>
    <x v="1"/>
    <x v="2"/>
    <x v="3"/>
    <x v="1"/>
    <x v="4"/>
    <n v="3600"/>
    <n v="7500"/>
    <n v="48"/>
    <n v="0.15"/>
    <s v="Approved"/>
    <x v="1"/>
    <n v="1"/>
    <n v="0"/>
    <n v="7500"/>
    <n v="0.1172"/>
    <n v="1"/>
    <n v="1"/>
    <n v="1"/>
  </r>
  <r>
    <s v="LA-704721"/>
    <d v="2025-10-29T00:00:00"/>
    <x v="1"/>
    <s v="Q4"/>
    <x v="9"/>
    <x v="2"/>
    <x v="3"/>
    <x v="3"/>
    <x v="2"/>
    <x v="0"/>
    <n v="7800"/>
    <n v="66000"/>
    <n v="12"/>
    <n v="0.98499999999999999"/>
    <s v="Rejected"/>
    <x v="0"/>
    <n v="0"/>
    <n v="1"/>
    <n v="0"/>
    <m/>
    <n v="14"/>
    <n v="0"/>
    <n v="1"/>
  </r>
  <r>
    <s v="LA-704722"/>
    <d v="2025-10-29T00:00:00"/>
    <x v="1"/>
    <s v="Q4"/>
    <x v="9"/>
    <x v="2"/>
    <x v="3"/>
    <x v="1"/>
    <x v="0"/>
    <x v="3"/>
    <n v="6650"/>
    <n v="62500"/>
    <n v="24"/>
    <n v="0.48899999999999999"/>
    <s v="Approved"/>
    <x v="1"/>
    <n v="1"/>
    <n v="0"/>
    <n v="50000"/>
    <n v="9.2600000000000002E-2"/>
    <n v="18"/>
    <n v="0"/>
    <n v="1"/>
  </r>
  <r>
    <s v="LA-704723"/>
    <d v="2025-10-29T00:00:00"/>
    <x v="1"/>
    <s v="Q4"/>
    <x v="9"/>
    <x v="3"/>
    <x v="1"/>
    <x v="0"/>
    <x v="0"/>
    <x v="1"/>
    <n v="3800"/>
    <n v="430000"/>
    <n v="240"/>
    <n v="0.90100000000000002"/>
    <s v="Rejected"/>
    <x v="3"/>
    <n v="0"/>
    <n v="1"/>
    <n v="0"/>
    <m/>
    <n v="4"/>
    <n v="1"/>
    <n v="1"/>
  </r>
  <r>
    <s v="LA-704724"/>
    <d v="2025-10-29T00:00:00"/>
    <x v="1"/>
    <s v="Q4"/>
    <x v="9"/>
    <x v="1"/>
    <x v="1"/>
    <x v="3"/>
    <x v="0"/>
    <x v="4"/>
    <n v="4300"/>
    <n v="9500"/>
    <n v="36"/>
    <n v="0.16900000000000001"/>
    <s v="Approved"/>
    <x v="1"/>
    <n v="1"/>
    <n v="0"/>
    <n v="7500"/>
    <n v="0.1094"/>
    <n v="1"/>
    <n v="1"/>
    <n v="1"/>
  </r>
  <r>
    <s v="LA-704725"/>
    <d v="2025-10-30T00:00:00"/>
    <x v="1"/>
    <s v="Q4"/>
    <x v="9"/>
    <x v="2"/>
    <x v="2"/>
    <x v="0"/>
    <x v="0"/>
    <x v="1"/>
    <n v="6100"/>
    <n v="108500"/>
    <n v="36"/>
    <n v="0.66"/>
    <s v="Approved"/>
    <x v="1"/>
    <n v="1"/>
    <n v="0"/>
    <n v="97500"/>
    <n v="0.1079"/>
    <n v="4"/>
    <n v="1"/>
    <n v="1"/>
  </r>
  <r>
    <s v="LA-704726"/>
    <d v="2025-10-30T00:00:00"/>
    <x v="1"/>
    <s v="Q4"/>
    <x v="9"/>
    <x v="2"/>
    <x v="1"/>
    <x v="2"/>
    <x v="1"/>
    <x v="1"/>
    <n v="5900"/>
    <n v="72500"/>
    <n v="24"/>
    <n v="0.79500000000000004"/>
    <s v="Approved"/>
    <x v="1"/>
    <n v="1"/>
    <n v="0"/>
    <n v="72500"/>
    <n v="0.11"/>
    <n v="3"/>
    <n v="1"/>
    <n v="1"/>
  </r>
  <r>
    <s v="LA-704727"/>
    <d v="2025-10-30T00:00:00"/>
    <x v="1"/>
    <s v="Q4"/>
    <x v="9"/>
    <x v="1"/>
    <x v="2"/>
    <x v="2"/>
    <x v="0"/>
    <x v="4"/>
    <n v="3000"/>
    <n v="9500"/>
    <n v="60"/>
    <n v="0.246"/>
    <s v="Approved"/>
    <x v="1"/>
    <n v="1"/>
    <n v="0"/>
    <n v="9500"/>
    <n v="0.1167"/>
    <n v="2"/>
    <n v="1"/>
    <n v="1"/>
  </r>
  <r>
    <s v="LA-704728"/>
    <d v="2025-10-30T00:00:00"/>
    <x v="1"/>
    <s v="Q4"/>
    <x v="9"/>
    <x v="1"/>
    <x v="2"/>
    <x v="3"/>
    <x v="0"/>
    <x v="0"/>
    <n v="3900"/>
    <n v="8500"/>
    <n v="60"/>
    <n v="0.14499999999999999"/>
    <s v="Rejected"/>
    <x v="4"/>
    <n v="0"/>
    <n v="1"/>
    <n v="0"/>
    <m/>
    <n v="8"/>
    <n v="0"/>
    <n v="1"/>
  </r>
  <r>
    <s v="LA-704729"/>
    <d v="2025-10-30T00:00:00"/>
    <x v="1"/>
    <s v="Q4"/>
    <x v="9"/>
    <x v="1"/>
    <x v="2"/>
    <x v="2"/>
    <x v="1"/>
    <x v="0"/>
    <n v="2900"/>
    <n v="7500"/>
    <n v="12"/>
    <n v="0.32800000000000001"/>
    <s v="Rejected"/>
    <x v="4"/>
    <n v="0"/>
    <n v="1"/>
    <n v="0"/>
    <m/>
    <n v="6"/>
    <n v="0"/>
    <n v="1"/>
  </r>
  <r>
    <s v="LA-704730"/>
    <d v="2025-10-30T00:00:00"/>
    <x v="1"/>
    <s v="Q4"/>
    <x v="9"/>
    <x v="2"/>
    <x v="1"/>
    <x v="1"/>
    <x v="0"/>
    <x v="2"/>
    <n v="6550"/>
    <n v="92500"/>
    <n v="12"/>
    <n v="1.4219999999999999"/>
    <s v="Rejected"/>
    <x v="0"/>
    <n v="0"/>
    <n v="1"/>
    <n v="0"/>
    <m/>
    <n v="5"/>
    <n v="1"/>
    <n v="1"/>
  </r>
  <r>
    <s v="LA-704731"/>
    <d v="2025-10-31T00:00:00"/>
    <x v="1"/>
    <s v="Q4"/>
    <x v="9"/>
    <x v="1"/>
    <x v="2"/>
    <x v="2"/>
    <x v="0"/>
    <x v="1"/>
    <n v="11050"/>
    <n v="12000"/>
    <n v="48"/>
    <n v="0.161"/>
    <s v="Rejected"/>
    <x v="5"/>
    <n v="0"/>
    <n v="1"/>
    <n v="0"/>
    <m/>
    <n v="2"/>
    <n v="1"/>
    <n v="1"/>
  </r>
  <r>
    <s v="LA-704732"/>
    <d v="2025-10-31T00:00:00"/>
    <x v="1"/>
    <s v="Q4"/>
    <x v="9"/>
    <x v="3"/>
    <x v="2"/>
    <x v="0"/>
    <x v="0"/>
    <x v="4"/>
    <n v="13150"/>
    <n v="230000"/>
    <n v="180"/>
    <n v="0.28799999999999998"/>
    <s v="Approved"/>
    <x v="1"/>
    <n v="1"/>
    <n v="0"/>
    <n v="230000"/>
    <n v="4.7399999999999998E-2"/>
    <n v="11"/>
    <n v="1"/>
    <n v="1"/>
  </r>
  <r>
    <s v="LA-704733"/>
    <d v="2025-10-31T00:00:00"/>
    <x v="1"/>
    <s v="Q4"/>
    <x v="9"/>
    <x v="1"/>
    <x v="0"/>
    <x v="1"/>
    <x v="1"/>
    <x v="1"/>
    <n v="5250"/>
    <n v="11500"/>
    <n v="60"/>
    <n v="0.121"/>
    <s v="Approved"/>
    <x v="1"/>
    <n v="1"/>
    <n v="0"/>
    <n v="10500"/>
    <n v="0.1234"/>
    <n v="3"/>
    <n v="1"/>
    <n v="1"/>
  </r>
  <r>
    <s v="LA-704734"/>
    <d v="2025-10-31T00:00:00"/>
    <x v="1"/>
    <s v="Q4"/>
    <x v="9"/>
    <x v="1"/>
    <x v="2"/>
    <x v="2"/>
    <x v="0"/>
    <x v="2"/>
    <n v="5450"/>
    <n v="16000"/>
    <n v="12"/>
    <n v="0.436"/>
    <s v="Approved"/>
    <x v="1"/>
    <n v="1"/>
    <n v="0"/>
    <n v="16000"/>
    <n v="0.15840000000000001"/>
    <n v="2"/>
    <n v="1"/>
    <n v="1"/>
  </r>
  <r>
    <s v="LA-704735"/>
    <d v="2025-10-31T00:00:00"/>
    <x v="1"/>
    <s v="Q4"/>
    <x v="9"/>
    <x v="0"/>
    <x v="1"/>
    <x v="2"/>
    <x v="0"/>
    <x v="3"/>
    <n v="5700"/>
    <n v="19000"/>
    <n v="36"/>
    <n v="0.17399999999999999"/>
    <s v="Approved"/>
    <x v="1"/>
    <n v="1"/>
    <n v="0"/>
    <n v="19000"/>
    <n v="6.7100000000000007E-2"/>
    <n v="1"/>
    <n v="1"/>
    <n v="1"/>
  </r>
  <r>
    <s v="LA-704736"/>
    <d v="2025-10-31T00:00:00"/>
    <x v="1"/>
    <s v="Q4"/>
    <x v="9"/>
    <x v="1"/>
    <x v="3"/>
    <x v="2"/>
    <x v="1"/>
    <x v="0"/>
    <n v="5750"/>
    <n v="27500"/>
    <n v="36"/>
    <n v="0.23599999999999999"/>
    <s v="Rejected"/>
    <x v="5"/>
    <n v="0"/>
    <n v="1"/>
    <n v="0"/>
    <m/>
    <n v="6"/>
    <n v="0"/>
    <n v="1"/>
  </r>
  <r>
    <s v="LA-704737"/>
    <d v="2025-10-31T00:00:00"/>
    <x v="1"/>
    <s v="Q4"/>
    <x v="9"/>
    <x v="2"/>
    <x v="2"/>
    <x v="3"/>
    <x v="0"/>
    <x v="4"/>
    <n v="4400"/>
    <n v="51500"/>
    <n v="12"/>
    <n v="1.123"/>
    <s v="Rejected"/>
    <x v="3"/>
    <n v="0"/>
    <n v="1"/>
    <n v="0"/>
    <m/>
    <n v="6"/>
    <n v="1"/>
    <n v="1"/>
  </r>
  <r>
    <s v="LA-704738"/>
    <d v="2025-10-31T00:00:00"/>
    <x v="1"/>
    <s v="Q4"/>
    <x v="9"/>
    <x v="0"/>
    <x v="1"/>
    <x v="3"/>
    <x v="1"/>
    <x v="3"/>
    <n v="6050"/>
    <n v="62000"/>
    <n v="48"/>
    <n v="0.47099999999999997"/>
    <s v="Approved"/>
    <x v="1"/>
    <n v="1"/>
    <n v="0"/>
    <n v="62000"/>
    <n v="6.3700000000000007E-2"/>
    <n v="2"/>
    <n v="1"/>
    <n v="1"/>
  </r>
  <r>
    <s v="LA-704739"/>
    <d v="2025-11-01T00:00:00"/>
    <x v="1"/>
    <s v="Q4"/>
    <x v="10"/>
    <x v="0"/>
    <x v="3"/>
    <x v="1"/>
    <x v="1"/>
    <x v="3"/>
    <n v="4350"/>
    <n v="19000"/>
    <n v="60"/>
    <n v="0.23899999999999999"/>
    <s v="Approved"/>
    <x v="1"/>
    <n v="1"/>
    <n v="0"/>
    <n v="19000"/>
    <n v="6.8900000000000003E-2"/>
    <n v="6"/>
    <n v="0"/>
    <n v="1"/>
  </r>
  <r>
    <s v="LA-704740"/>
    <d v="2025-11-01T00:00:00"/>
    <x v="1"/>
    <s v="Q4"/>
    <x v="10"/>
    <x v="3"/>
    <x v="2"/>
    <x v="1"/>
    <x v="1"/>
    <x v="4"/>
    <n v="8950"/>
    <n v="219000"/>
    <n v="240"/>
    <n v="0.27100000000000002"/>
    <s v="Approved"/>
    <x v="1"/>
    <n v="1"/>
    <n v="0"/>
    <n v="175000"/>
    <n v="5.0700000000000002E-2"/>
    <n v="7"/>
    <n v="1"/>
    <n v="1"/>
  </r>
  <r>
    <s v="LA-704741"/>
    <d v="2025-11-01T00:00:00"/>
    <x v="1"/>
    <s v="Q4"/>
    <x v="10"/>
    <x v="0"/>
    <x v="3"/>
    <x v="4"/>
    <x v="1"/>
    <x v="1"/>
    <n v="6650"/>
    <n v="12500"/>
    <n v="36"/>
    <n v="0.14799999999999999"/>
    <s v="Approved"/>
    <x v="1"/>
    <n v="1"/>
    <n v="0"/>
    <n v="10000"/>
    <n v="8.3900000000000002E-2"/>
    <n v="4"/>
    <n v="1"/>
    <n v="1"/>
  </r>
  <r>
    <s v="LA-704742"/>
    <d v="2025-11-01T00:00:00"/>
    <x v="1"/>
    <s v="Q4"/>
    <x v="10"/>
    <x v="1"/>
    <x v="3"/>
    <x v="1"/>
    <x v="2"/>
    <x v="1"/>
    <n v="8550"/>
    <n v="12000"/>
    <n v="48"/>
    <n v="0.254"/>
    <s v="Approved"/>
    <x v="1"/>
    <n v="1"/>
    <n v="0"/>
    <n v="9500"/>
    <n v="0.12379999999999999"/>
    <n v="5"/>
    <n v="0"/>
    <n v="1"/>
  </r>
  <r>
    <s v="LA-704743"/>
    <d v="2025-11-01T00:00:00"/>
    <x v="1"/>
    <s v="Q4"/>
    <x v="10"/>
    <x v="3"/>
    <x v="2"/>
    <x v="4"/>
    <x v="1"/>
    <x v="1"/>
    <n v="5350"/>
    <n v="240500"/>
    <n v="180"/>
    <n v="0.54800000000000004"/>
    <s v="Approved"/>
    <x v="1"/>
    <n v="1"/>
    <n v="0"/>
    <n v="240500"/>
    <n v="5.79E-2"/>
    <n v="5"/>
    <n v="1"/>
    <n v="1"/>
  </r>
  <r>
    <s v="LA-704744"/>
    <d v="2025-11-01T00:00:00"/>
    <x v="1"/>
    <s v="Q4"/>
    <x v="10"/>
    <x v="1"/>
    <x v="1"/>
    <x v="4"/>
    <x v="0"/>
    <x v="4"/>
    <n v="9250"/>
    <n v="16000"/>
    <n v="48"/>
    <n v="0.23300000000000001"/>
    <s v="Approved"/>
    <x v="1"/>
    <n v="1"/>
    <n v="0"/>
    <n v="14500"/>
    <n v="0.11070000000000001"/>
    <n v="1"/>
    <n v="1"/>
    <n v="1"/>
  </r>
  <r>
    <s v="LA-704745"/>
    <d v="2025-11-01T00:00:00"/>
    <x v="1"/>
    <s v="Q4"/>
    <x v="10"/>
    <x v="2"/>
    <x v="2"/>
    <x v="1"/>
    <x v="2"/>
    <x v="1"/>
    <n v="17600"/>
    <n v="80500"/>
    <n v="60"/>
    <n v="0.32400000000000001"/>
    <s v="Approved"/>
    <x v="1"/>
    <n v="1"/>
    <n v="0"/>
    <n v="80500"/>
    <n v="0.1033"/>
    <n v="3"/>
    <n v="1"/>
    <n v="1"/>
  </r>
  <r>
    <s v="LA-704746"/>
    <d v="2025-11-02T00:00:00"/>
    <x v="1"/>
    <s v="Q4"/>
    <x v="10"/>
    <x v="2"/>
    <x v="0"/>
    <x v="2"/>
    <x v="2"/>
    <x v="4"/>
    <n v="4050"/>
    <n v="68500"/>
    <n v="24"/>
    <n v="0.91900000000000004"/>
    <s v="Rejected"/>
    <x v="3"/>
    <n v="0"/>
    <n v="1"/>
    <n v="0"/>
    <m/>
    <n v="9"/>
    <n v="1"/>
    <n v="1"/>
  </r>
  <r>
    <s v="LA-704747"/>
    <d v="2025-11-02T00:00:00"/>
    <x v="1"/>
    <s v="Q4"/>
    <x v="10"/>
    <x v="0"/>
    <x v="2"/>
    <x v="3"/>
    <x v="1"/>
    <x v="4"/>
    <n v="4650"/>
    <n v="31500"/>
    <n v="60"/>
    <n v="0.36"/>
    <s v="Approved"/>
    <x v="1"/>
    <n v="1"/>
    <n v="0"/>
    <n v="31500"/>
    <n v="6.8699999999999997E-2"/>
    <n v="3"/>
    <n v="1"/>
    <n v="1"/>
  </r>
  <r>
    <s v="LA-704748"/>
    <d v="2025-11-03T00:00:00"/>
    <x v="1"/>
    <s v="Q4"/>
    <x v="10"/>
    <x v="0"/>
    <x v="2"/>
    <x v="1"/>
    <x v="2"/>
    <x v="4"/>
    <n v="10300"/>
    <n v="15000"/>
    <n v="36"/>
    <n v="0.224"/>
    <s v="Approved"/>
    <x v="1"/>
    <n v="1"/>
    <n v="0"/>
    <n v="13500"/>
    <n v="7.1599999999999997E-2"/>
    <n v="2"/>
    <n v="1"/>
    <n v="1"/>
  </r>
  <r>
    <s v="LA-704749"/>
    <d v="2025-11-03T00:00:00"/>
    <x v="1"/>
    <s v="Q4"/>
    <x v="10"/>
    <x v="1"/>
    <x v="3"/>
    <x v="3"/>
    <x v="1"/>
    <x v="4"/>
    <n v="3350"/>
    <n v="19500"/>
    <n v="60"/>
    <n v="0.20300000000000001"/>
    <s v="Approved"/>
    <x v="1"/>
    <n v="1"/>
    <n v="0"/>
    <n v="19500"/>
    <n v="0.1206"/>
    <n v="6"/>
    <n v="0"/>
    <n v="1"/>
  </r>
  <r>
    <s v="LA-704750"/>
    <d v="2025-11-03T00:00:00"/>
    <x v="1"/>
    <s v="Q4"/>
    <x v="10"/>
    <x v="1"/>
    <x v="1"/>
    <x v="4"/>
    <x v="0"/>
    <x v="0"/>
    <n v="5950"/>
    <n v="19000"/>
    <n v="48"/>
    <n v="0.251"/>
    <s v="Rejected"/>
    <x v="5"/>
    <n v="0"/>
    <n v="1"/>
    <n v="0"/>
    <m/>
    <n v="4"/>
    <n v="0"/>
    <n v="1"/>
  </r>
  <r>
    <s v="LA-704751"/>
    <d v="2025-11-03T00:00:00"/>
    <x v="1"/>
    <s v="Q4"/>
    <x v="10"/>
    <x v="0"/>
    <x v="2"/>
    <x v="1"/>
    <x v="2"/>
    <x v="4"/>
    <n v="5150"/>
    <n v="55500"/>
    <n v="48"/>
    <n v="0.34"/>
    <s v="Approved"/>
    <x v="1"/>
    <n v="1"/>
    <n v="0"/>
    <n v="50000"/>
    <n v="7.3800000000000004E-2"/>
    <n v="4"/>
    <n v="1"/>
    <n v="1"/>
  </r>
  <r>
    <s v="LA-704752"/>
    <d v="2025-11-03T00:00:00"/>
    <x v="1"/>
    <s v="Q4"/>
    <x v="10"/>
    <x v="2"/>
    <x v="2"/>
    <x v="3"/>
    <x v="0"/>
    <x v="0"/>
    <n v="11600"/>
    <n v="105500"/>
    <n v="24"/>
    <n v="0.51"/>
    <s v="Approved"/>
    <x v="1"/>
    <n v="1"/>
    <n v="0"/>
    <n v="95000"/>
    <n v="0.1187"/>
    <n v="3"/>
    <n v="1"/>
    <n v="1"/>
  </r>
  <r>
    <s v="LA-704753"/>
    <d v="2025-11-03T00:00:00"/>
    <x v="1"/>
    <s v="Q4"/>
    <x v="10"/>
    <x v="3"/>
    <x v="1"/>
    <x v="1"/>
    <x v="0"/>
    <x v="1"/>
    <n v="5900"/>
    <n v="267500"/>
    <n v="240"/>
    <n v="0.36199999999999999"/>
    <s v="Withdrawn"/>
    <x v="1"/>
    <n v="0"/>
    <n v="0"/>
    <n v="0"/>
    <m/>
    <n v="7"/>
    <n v="1"/>
    <n v="1"/>
  </r>
  <r>
    <s v="LA-704754"/>
    <d v="2025-11-03T00:00:00"/>
    <x v="1"/>
    <s v="Q4"/>
    <x v="10"/>
    <x v="0"/>
    <x v="1"/>
    <x v="2"/>
    <x v="1"/>
    <x v="1"/>
    <n v="3650"/>
    <n v="35500"/>
    <n v="60"/>
    <n v="0.27400000000000002"/>
    <s v="Approved"/>
    <x v="1"/>
    <n v="1"/>
    <n v="0"/>
    <n v="28500"/>
    <n v="8.2000000000000003E-2"/>
    <n v="2"/>
    <n v="1"/>
    <n v="1"/>
  </r>
  <r>
    <s v="LA-704755"/>
    <d v="2025-11-04T00:00:00"/>
    <x v="1"/>
    <s v="Q4"/>
    <x v="10"/>
    <x v="1"/>
    <x v="1"/>
    <x v="2"/>
    <x v="1"/>
    <x v="1"/>
    <n v="3800"/>
    <n v="28000"/>
    <n v="24"/>
    <n v="0.55400000000000005"/>
    <s v="Approved"/>
    <x v="1"/>
    <n v="1"/>
    <n v="0"/>
    <n v="28000"/>
    <n v="0.12180000000000001"/>
    <n v="1"/>
    <n v="1"/>
    <n v="1"/>
  </r>
  <r>
    <s v="LA-704756"/>
    <d v="2025-11-04T00:00:00"/>
    <x v="1"/>
    <s v="Q4"/>
    <x v="10"/>
    <x v="3"/>
    <x v="1"/>
    <x v="2"/>
    <x v="0"/>
    <x v="4"/>
    <n v="3200"/>
    <n v="339000"/>
    <n v="240"/>
    <n v="0.93500000000000005"/>
    <s v="Approved"/>
    <x v="1"/>
    <n v="1"/>
    <n v="0"/>
    <n v="271000"/>
    <n v="5.16E-2"/>
    <n v="4"/>
    <n v="1"/>
    <n v="1"/>
  </r>
  <r>
    <s v="LA-704757"/>
    <d v="2025-11-04T00:00:00"/>
    <x v="1"/>
    <s v="Q4"/>
    <x v="10"/>
    <x v="0"/>
    <x v="1"/>
    <x v="2"/>
    <x v="0"/>
    <x v="4"/>
    <n v="3450"/>
    <n v="29500"/>
    <n v="36"/>
    <n v="0.51200000000000001"/>
    <s v="Approved"/>
    <x v="1"/>
    <n v="1"/>
    <n v="0"/>
    <n v="29500"/>
    <n v="7.0900000000000005E-2"/>
    <n v="2"/>
    <n v="1"/>
    <n v="1"/>
  </r>
  <r>
    <s v="LA-704758"/>
    <d v="2025-11-04T00:00:00"/>
    <x v="1"/>
    <s v="Q4"/>
    <x v="10"/>
    <x v="3"/>
    <x v="0"/>
    <x v="4"/>
    <x v="0"/>
    <x v="2"/>
    <n v="7250"/>
    <n v="297500"/>
    <n v="180"/>
    <n v="0.41599999999999998"/>
    <s v="Rejected"/>
    <x v="0"/>
    <n v="0"/>
    <n v="1"/>
    <n v="0"/>
    <m/>
    <n v="12"/>
    <n v="1"/>
    <n v="1"/>
  </r>
  <r>
    <s v="LA-704759"/>
    <d v="2025-11-04T00:00:00"/>
    <x v="1"/>
    <s v="Q4"/>
    <x v="10"/>
    <x v="2"/>
    <x v="1"/>
    <x v="4"/>
    <x v="0"/>
    <x v="4"/>
    <n v="4650"/>
    <n v="72000"/>
    <n v="36"/>
    <n v="0.61699999999999999"/>
    <s v="Approved"/>
    <x v="1"/>
    <n v="1"/>
    <n v="0"/>
    <n v="72000"/>
    <n v="9.3200000000000005E-2"/>
    <n v="6"/>
    <n v="1"/>
    <n v="1"/>
  </r>
  <r>
    <s v="LA-704760"/>
    <d v="2025-11-04T00:00:00"/>
    <x v="1"/>
    <s v="Q4"/>
    <x v="10"/>
    <x v="0"/>
    <x v="1"/>
    <x v="2"/>
    <x v="0"/>
    <x v="1"/>
    <n v="5450"/>
    <n v="22500"/>
    <n v="36"/>
    <n v="0.252"/>
    <s v="Approved"/>
    <x v="1"/>
    <n v="1"/>
    <n v="0"/>
    <n v="22500"/>
    <n v="0.08"/>
    <n v="2"/>
    <n v="1"/>
    <n v="1"/>
  </r>
  <r>
    <s v="LA-704761"/>
    <d v="2025-11-04T00:00:00"/>
    <x v="1"/>
    <s v="Q4"/>
    <x v="10"/>
    <x v="3"/>
    <x v="3"/>
    <x v="2"/>
    <x v="0"/>
    <x v="3"/>
    <n v="3500"/>
    <n v="364000"/>
    <n v="180"/>
    <n v="0.873"/>
    <s v="Approved"/>
    <x v="1"/>
    <n v="1"/>
    <n v="0"/>
    <n v="327500"/>
    <n v="3.9899999999999998E-2"/>
    <n v="13"/>
    <n v="1"/>
    <n v="1"/>
  </r>
  <r>
    <s v="LA-704762"/>
    <d v="2025-11-04T00:00:00"/>
    <x v="1"/>
    <s v="Q4"/>
    <x v="10"/>
    <x v="2"/>
    <x v="0"/>
    <x v="0"/>
    <x v="0"/>
    <x v="1"/>
    <n v="2550"/>
    <n v="94500"/>
    <n v="12"/>
    <n v="3.4529999999999998"/>
    <s v="Rejected"/>
    <x v="4"/>
    <n v="0"/>
    <n v="1"/>
    <n v="0"/>
    <m/>
    <n v="17"/>
    <n v="0"/>
    <n v="1"/>
  </r>
  <r>
    <s v="LA-704763"/>
    <d v="2025-11-04T00:00:00"/>
    <x v="1"/>
    <s v="Q4"/>
    <x v="10"/>
    <x v="3"/>
    <x v="3"/>
    <x v="3"/>
    <x v="0"/>
    <x v="4"/>
    <n v="8200"/>
    <n v="220000"/>
    <n v="240"/>
    <n v="0.27100000000000002"/>
    <s v="Rejected"/>
    <x v="0"/>
    <n v="0"/>
    <n v="1"/>
    <n v="0"/>
    <m/>
    <n v="15"/>
    <n v="1"/>
    <n v="1"/>
  </r>
  <r>
    <s v="LA-704764"/>
    <d v="2025-11-04T00:00:00"/>
    <x v="1"/>
    <s v="Q4"/>
    <x v="10"/>
    <x v="1"/>
    <x v="1"/>
    <x v="4"/>
    <x v="0"/>
    <x v="3"/>
    <n v="6100"/>
    <n v="13500"/>
    <n v="60"/>
    <n v="0.14699999999999999"/>
    <s v="Approved"/>
    <x v="1"/>
    <n v="1"/>
    <n v="0"/>
    <n v="13500"/>
    <n v="0.10680000000000001"/>
    <n v="2"/>
    <n v="1"/>
    <n v="1"/>
  </r>
  <r>
    <s v="LA-704765"/>
    <d v="2025-11-04T00:00:00"/>
    <x v="1"/>
    <s v="Q4"/>
    <x v="10"/>
    <x v="1"/>
    <x v="1"/>
    <x v="3"/>
    <x v="0"/>
    <x v="0"/>
    <n v="5200"/>
    <n v="12000"/>
    <n v="36"/>
    <n v="0.17"/>
    <s v="Approved"/>
    <x v="1"/>
    <n v="1"/>
    <n v="0"/>
    <n v="12000"/>
    <n v="0.14000000000000001"/>
    <n v="1"/>
    <n v="1"/>
    <n v="1"/>
  </r>
  <r>
    <s v="LA-704766"/>
    <d v="2025-11-04T00:00:00"/>
    <x v="1"/>
    <s v="Q4"/>
    <x v="10"/>
    <x v="0"/>
    <x v="2"/>
    <x v="4"/>
    <x v="0"/>
    <x v="3"/>
    <n v="3650"/>
    <n v="45500"/>
    <n v="60"/>
    <n v="0.496"/>
    <s v="Rejected"/>
    <x v="3"/>
    <n v="0"/>
    <n v="1"/>
    <n v="0"/>
    <m/>
    <n v="2"/>
    <n v="1"/>
    <n v="1"/>
  </r>
  <r>
    <s v="LA-704767"/>
    <d v="2025-11-04T00:00:00"/>
    <x v="1"/>
    <s v="Q4"/>
    <x v="10"/>
    <x v="1"/>
    <x v="3"/>
    <x v="3"/>
    <x v="1"/>
    <x v="3"/>
    <n v="5900"/>
    <n v="16500"/>
    <n v="60"/>
    <n v="0.215"/>
    <s v="Approved"/>
    <x v="1"/>
    <n v="1"/>
    <n v="0"/>
    <n v="13000"/>
    <n v="0.107"/>
    <n v="4"/>
    <n v="0"/>
    <n v="1"/>
  </r>
  <r>
    <s v="LA-704768"/>
    <d v="2025-11-05T00:00:00"/>
    <x v="1"/>
    <s v="Q4"/>
    <x v="10"/>
    <x v="0"/>
    <x v="1"/>
    <x v="1"/>
    <x v="0"/>
    <x v="1"/>
    <n v="7250"/>
    <n v="21000"/>
    <n v="36"/>
    <n v="0.25600000000000001"/>
    <s v="Approved"/>
    <x v="1"/>
    <n v="1"/>
    <n v="0"/>
    <n v="21000"/>
    <n v="7.7700000000000005E-2"/>
    <n v="1"/>
    <n v="1"/>
    <n v="1"/>
  </r>
  <r>
    <s v="LA-704769"/>
    <d v="2025-11-05T00:00:00"/>
    <x v="1"/>
    <s v="Q4"/>
    <x v="10"/>
    <x v="2"/>
    <x v="1"/>
    <x v="3"/>
    <x v="2"/>
    <x v="3"/>
    <n v="9300"/>
    <n v="59000"/>
    <n v="12"/>
    <n v="0.754"/>
    <s v="Approved"/>
    <x v="1"/>
    <n v="1"/>
    <n v="0"/>
    <n v="59000"/>
    <n v="9.5200000000000007E-2"/>
    <n v="3"/>
    <n v="1"/>
    <n v="1"/>
  </r>
  <r>
    <s v="LA-704770"/>
    <d v="2025-11-05T00:00:00"/>
    <x v="1"/>
    <s v="Q4"/>
    <x v="10"/>
    <x v="1"/>
    <x v="1"/>
    <x v="1"/>
    <x v="0"/>
    <x v="4"/>
    <n v="4150"/>
    <n v="9000"/>
    <n v="60"/>
    <n v="0.13500000000000001"/>
    <s v="Approved"/>
    <x v="1"/>
    <n v="1"/>
    <n v="0"/>
    <n v="9000"/>
    <n v="0.1118"/>
    <n v="1"/>
    <n v="1"/>
    <n v="1"/>
  </r>
  <r>
    <s v="LA-704771"/>
    <d v="2025-11-05T00:00:00"/>
    <x v="1"/>
    <s v="Q4"/>
    <x v="10"/>
    <x v="0"/>
    <x v="2"/>
    <x v="0"/>
    <x v="1"/>
    <x v="0"/>
    <n v="6250"/>
    <n v="16500"/>
    <n v="36"/>
    <n v="0.183"/>
    <s v="Rejected"/>
    <x v="4"/>
    <n v="0"/>
    <n v="1"/>
    <n v="0"/>
    <m/>
    <n v="5"/>
    <n v="0"/>
    <n v="1"/>
  </r>
  <r>
    <s v="LA-704772"/>
    <d v="2025-11-05T00:00:00"/>
    <x v="1"/>
    <s v="Q4"/>
    <x v="10"/>
    <x v="1"/>
    <x v="1"/>
    <x v="0"/>
    <x v="0"/>
    <x v="3"/>
    <n v="6200"/>
    <n v="16500"/>
    <n v="36"/>
    <n v="0.161"/>
    <s v="Rejected"/>
    <x v="4"/>
    <n v="0"/>
    <n v="1"/>
    <n v="0"/>
    <m/>
    <n v="5"/>
    <n v="0"/>
    <n v="1"/>
  </r>
  <r>
    <s v="LA-704773"/>
    <d v="2025-11-05T00:00:00"/>
    <x v="1"/>
    <s v="Q4"/>
    <x v="10"/>
    <x v="2"/>
    <x v="0"/>
    <x v="4"/>
    <x v="1"/>
    <x v="4"/>
    <n v="6000"/>
    <n v="67000"/>
    <n v="12"/>
    <n v="1.1639999999999999"/>
    <s v="Rejected"/>
    <x v="3"/>
    <n v="0"/>
    <n v="1"/>
    <n v="0"/>
    <m/>
    <n v="5"/>
    <n v="1"/>
    <n v="1"/>
  </r>
  <r>
    <s v="LA-704774"/>
    <d v="2025-11-05T00:00:00"/>
    <x v="1"/>
    <s v="Q4"/>
    <x v="10"/>
    <x v="1"/>
    <x v="2"/>
    <x v="3"/>
    <x v="1"/>
    <x v="4"/>
    <n v="12650"/>
    <n v="11500"/>
    <n v="24"/>
    <n v="0.153"/>
    <s v="Approved"/>
    <x v="1"/>
    <n v="1"/>
    <n v="0"/>
    <n v="11500"/>
    <n v="0.112"/>
    <n v="1"/>
    <n v="1"/>
    <n v="1"/>
  </r>
  <r>
    <s v="LA-704775"/>
    <d v="2025-11-05T00:00:00"/>
    <x v="1"/>
    <s v="Q4"/>
    <x v="10"/>
    <x v="1"/>
    <x v="2"/>
    <x v="0"/>
    <x v="1"/>
    <x v="4"/>
    <n v="4400"/>
    <n v="12500"/>
    <n v="36"/>
    <n v="0.25900000000000001"/>
    <s v="Approved"/>
    <x v="1"/>
    <n v="1"/>
    <n v="0"/>
    <n v="12500"/>
    <n v="0.1128"/>
    <n v="1"/>
    <n v="1"/>
    <n v="1"/>
  </r>
  <r>
    <s v="LA-704776"/>
    <d v="2025-11-05T00:00:00"/>
    <x v="1"/>
    <s v="Q4"/>
    <x v="10"/>
    <x v="0"/>
    <x v="1"/>
    <x v="0"/>
    <x v="2"/>
    <x v="4"/>
    <n v="4450"/>
    <n v="11500"/>
    <n v="48"/>
    <n v="0.27600000000000002"/>
    <s v="Approved"/>
    <x v="1"/>
    <n v="1"/>
    <n v="0"/>
    <n v="9000"/>
    <n v="7.0199999999999999E-2"/>
    <n v="3"/>
    <n v="1"/>
    <n v="1"/>
  </r>
  <r>
    <s v="LA-704777"/>
    <d v="2025-11-05T00:00:00"/>
    <x v="1"/>
    <s v="Q4"/>
    <x v="10"/>
    <x v="1"/>
    <x v="3"/>
    <x v="1"/>
    <x v="0"/>
    <x v="2"/>
    <n v="11450"/>
    <n v="8000"/>
    <n v="12"/>
    <n v="0.192"/>
    <s v="Approved"/>
    <x v="1"/>
    <n v="1"/>
    <n v="0"/>
    <n v="7000"/>
    <n v="0.15260000000000001"/>
    <n v="5"/>
    <n v="0"/>
    <n v="1"/>
  </r>
  <r>
    <s v="LA-704778"/>
    <d v="2025-11-05T00:00:00"/>
    <x v="1"/>
    <s v="Q4"/>
    <x v="10"/>
    <x v="1"/>
    <x v="1"/>
    <x v="2"/>
    <x v="0"/>
    <x v="1"/>
    <n v="7550"/>
    <n v="12000"/>
    <n v="60"/>
    <n v="0.245"/>
    <s v="Approved"/>
    <x v="1"/>
    <n v="1"/>
    <n v="0"/>
    <n v="11000"/>
    <n v="0.1235"/>
    <n v="2"/>
    <n v="1"/>
    <n v="1"/>
  </r>
  <r>
    <s v="LA-704779"/>
    <d v="2025-11-05T00:00:00"/>
    <x v="1"/>
    <s v="Q4"/>
    <x v="10"/>
    <x v="1"/>
    <x v="1"/>
    <x v="2"/>
    <x v="0"/>
    <x v="1"/>
    <n v="3400"/>
    <n v="15000"/>
    <n v="60"/>
    <n v="0.28799999999999998"/>
    <s v="Approved"/>
    <x v="1"/>
    <n v="1"/>
    <n v="0"/>
    <n v="13500"/>
    <n v="0.12130000000000001"/>
    <n v="2"/>
    <n v="1"/>
    <n v="1"/>
  </r>
  <r>
    <s v="LA-704780"/>
    <d v="2025-11-05T00:00:00"/>
    <x v="1"/>
    <s v="Q4"/>
    <x v="10"/>
    <x v="2"/>
    <x v="3"/>
    <x v="2"/>
    <x v="0"/>
    <x v="3"/>
    <n v="3450"/>
    <n v="92000"/>
    <n v="60"/>
    <n v="0.78700000000000003"/>
    <s v="Approved"/>
    <x v="1"/>
    <n v="1"/>
    <n v="0"/>
    <n v="83000"/>
    <n v="9.1899999999999996E-2"/>
    <n v="19"/>
    <n v="0"/>
    <n v="1"/>
  </r>
  <r>
    <s v="LA-704781"/>
    <d v="2025-11-06T00:00:00"/>
    <x v="1"/>
    <s v="Q4"/>
    <x v="10"/>
    <x v="3"/>
    <x v="1"/>
    <x v="2"/>
    <x v="2"/>
    <x v="4"/>
    <n v="6250"/>
    <n v="259500"/>
    <n v="180"/>
    <n v="0.42299999999999999"/>
    <s v="Rejected"/>
    <x v="2"/>
    <n v="0"/>
    <n v="1"/>
    <n v="0"/>
    <m/>
    <n v="4"/>
    <n v="1"/>
    <n v="1"/>
  </r>
  <r>
    <s v="LA-704782"/>
    <d v="2025-11-06T00:00:00"/>
    <x v="1"/>
    <s v="Q4"/>
    <x v="10"/>
    <x v="1"/>
    <x v="1"/>
    <x v="2"/>
    <x v="1"/>
    <x v="4"/>
    <n v="2300"/>
    <n v="6500"/>
    <n v="48"/>
    <n v="0.26700000000000002"/>
    <s v="Approved"/>
    <x v="1"/>
    <n v="1"/>
    <n v="0"/>
    <n v="5000"/>
    <n v="0.1082"/>
    <n v="1"/>
    <n v="1"/>
    <n v="1"/>
  </r>
  <r>
    <s v="LA-704783"/>
    <d v="2025-11-06T00:00:00"/>
    <x v="1"/>
    <s v="Q4"/>
    <x v="10"/>
    <x v="0"/>
    <x v="1"/>
    <x v="3"/>
    <x v="2"/>
    <x v="2"/>
    <n v="4300"/>
    <n v="47500"/>
    <n v="48"/>
    <n v="0.438"/>
    <s v="Rejected"/>
    <x v="4"/>
    <n v="0"/>
    <n v="1"/>
    <n v="0"/>
    <m/>
    <n v="6"/>
    <n v="0"/>
    <n v="1"/>
  </r>
  <r>
    <s v="LA-704784"/>
    <d v="2025-11-06T00:00:00"/>
    <x v="1"/>
    <s v="Q4"/>
    <x v="10"/>
    <x v="1"/>
    <x v="1"/>
    <x v="0"/>
    <x v="1"/>
    <x v="0"/>
    <n v="6050"/>
    <n v="20000"/>
    <n v="36"/>
    <n v="0.183"/>
    <s v="Approved"/>
    <x v="1"/>
    <n v="1"/>
    <n v="0"/>
    <n v="18000"/>
    <n v="0.14599999999999999"/>
    <n v="1"/>
    <n v="1"/>
    <n v="1"/>
  </r>
  <r>
    <s v="LA-704785"/>
    <d v="2025-11-07T00:00:00"/>
    <x v="1"/>
    <s v="Q4"/>
    <x v="10"/>
    <x v="0"/>
    <x v="1"/>
    <x v="4"/>
    <x v="2"/>
    <x v="0"/>
    <n v="10750"/>
    <n v="42000"/>
    <n v="48"/>
    <n v="0.24299999999999999"/>
    <s v="Rejected"/>
    <x v="0"/>
    <n v="0"/>
    <n v="1"/>
    <n v="0"/>
    <m/>
    <n v="2"/>
    <n v="1"/>
    <n v="1"/>
  </r>
  <r>
    <s v="LA-704786"/>
    <d v="2025-11-07T00:00:00"/>
    <x v="1"/>
    <s v="Q4"/>
    <x v="10"/>
    <x v="2"/>
    <x v="3"/>
    <x v="1"/>
    <x v="1"/>
    <x v="4"/>
    <n v="12300"/>
    <n v="78500"/>
    <n v="24"/>
    <n v="0.42599999999999999"/>
    <s v="Approved"/>
    <x v="1"/>
    <n v="1"/>
    <n v="0"/>
    <n v="78500"/>
    <n v="9.5799999999999996E-2"/>
    <n v="9"/>
    <n v="1"/>
    <n v="1"/>
  </r>
  <r>
    <s v="LA-704787"/>
    <d v="2025-11-07T00:00:00"/>
    <x v="1"/>
    <s v="Q4"/>
    <x v="10"/>
    <x v="1"/>
    <x v="1"/>
    <x v="1"/>
    <x v="1"/>
    <x v="1"/>
    <n v="11850"/>
    <n v="17500"/>
    <n v="24"/>
    <n v="0.184"/>
    <s v="Approved"/>
    <x v="1"/>
    <n v="1"/>
    <n v="0"/>
    <n v="17500"/>
    <n v="0.1211"/>
    <n v="1"/>
    <n v="1"/>
    <n v="1"/>
  </r>
  <r>
    <s v="LA-704788"/>
    <d v="2025-11-07T00:00:00"/>
    <x v="1"/>
    <s v="Q4"/>
    <x v="10"/>
    <x v="2"/>
    <x v="3"/>
    <x v="2"/>
    <x v="0"/>
    <x v="1"/>
    <n v="5000"/>
    <n v="105500"/>
    <n v="24"/>
    <n v="1.0740000000000001"/>
    <s v="Rejected"/>
    <x v="3"/>
    <n v="0"/>
    <n v="1"/>
    <n v="0"/>
    <m/>
    <n v="15"/>
    <n v="0"/>
    <n v="1"/>
  </r>
  <r>
    <s v="LA-704789"/>
    <d v="2025-11-08T00:00:00"/>
    <x v="1"/>
    <s v="Q4"/>
    <x v="10"/>
    <x v="0"/>
    <x v="1"/>
    <x v="3"/>
    <x v="1"/>
    <x v="0"/>
    <n v="6500"/>
    <n v="35500"/>
    <n v="48"/>
    <n v="0.21099999999999999"/>
    <s v="Withdrawn"/>
    <x v="1"/>
    <n v="0"/>
    <n v="0"/>
    <n v="0"/>
    <m/>
    <n v="3"/>
    <n v="1"/>
    <n v="1"/>
  </r>
  <r>
    <s v="LA-704790"/>
    <d v="2025-11-09T00:00:00"/>
    <x v="1"/>
    <s v="Q4"/>
    <x v="10"/>
    <x v="2"/>
    <x v="1"/>
    <x v="3"/>
    <x v="1"/>
    <x v="4"/>
    <n v="6300"/>
    <n v="87000"/>
    <n v="36"/>
    <n v="0.58199999999999996"/>
    <s v="Approved"/>
    <x v="1"/>
    <n v="1"/>
    <n v="0"/>
    <n v="87000"/>
    <n v="0.1013"/>
    <n v="4"/>
    <n v="1"/>
    <n v="1"/>
  </r>
  <r>
    <s v="LA-704791"/>
    <d v="2025-11-09T00:00:00"/>
    <x v="1"/>
    <s v="Q4"/>
    <x v="10"/>
    <x v="0"/>
    <x v="2"/>
    <x v="2"/>
    <x v="0"/>
    <x v="0"/>
    <n v="3800"/>
    <n v="59000"/>
    <n v="60"/>
    <n v="0.55000000000000004"/>
    <s v="Rejected"/>
    <x v="4"/>
    <n v="0"/>
    <n v="1"/>
    <n v="0"/>
    <m/>
    <n v="7"/>
    <n v="0"/>
    <n v="1"/>
  </r>
  <r>
    <s v="LA-704792"/>
    <d v="2025-11-09T00:00:00"/>
    <x v="1"/>
    <s v="Q4"/>
    <x v="10"/>
    <x v="1"/>
    <x v="1"/>
    <x v="4"/>
    <x v="0"/>
    <x v="1"/>
    <n v="6500"/>
    <n v="16000"/>
    <n v="60"/>
    <n v="0.192"/>
    <s v="Approved"/>
    <x v="1"/>
    <n v="1"/>
    <n v="0"/>
    <n v="16000"/>
    <n v="0.1232"/>
    <n v="1"/>
    <n v="1"/>
    <n v="1"/>
  </r>
  <r>
    <s v="LA-704793"/>
    <d v="2025-11-09T00:00:00"/>
    <x v="1"/>
    <s v="Q4"/>
    <x v="10"/>
    <x v="1"/>
    <x v="3"/>
    <x v="2"/>
    <x v="1"/>
    <x v="3"/>
    <n v="7300"/>
    <n v="16000"/>
    <n v="24"/>
    <n v="0.33500000000000002"/>
    <s v="Rejected"/>
    <x v="0"/>
    <n v="0"/>
    <n v="1"/>
    <n v="0"/>
    <m/>
    <n v="5"/>
    <n v="0"/>
    <n v="1"/>
  </r>
  <r>
    <s v="LA-704794"/>
    <d v="2025-11-10T00:00:00"/>
    <x v="1"/>
    <s v="Q4"/>
    <x v="10"/>
    <x v="3"/>
    <x v="2"/>
    <x v="3"/>
    <x v="1"/>
    <x v="2"/>
    <n v="8450"/>
    <n v="306500"/>
    <n v="300"/>
    <n v="0.26300000000000001"/>
    <s v="Approved"/>
    <x v="1"/>
    <n v="1"/>
    <n v="0"/>
    <n v="306500"/>
    <n v="8.8400000000000006E-2"/>
    <n v="10"/>
    <n v="1"/>
    <n v="1"/>
  </r>
  <r>
    <s v="LA-704795"/>
    <d v="2025-11-10T00:00:00"/>
    <x v="1"/>
    <s v="Q4"/>
    <x v="10"/>
    <x v="1"/>
    <x v="3"/>
    <x v="2"/>
    <x v="1"/>
    <x v="2"/>
    <n v="3050"/>
    <n v="18500"/>
    <n v="12"/>
    <n v="0.64400000000000002"/>
    <s v="Rejected"/>
    <x v="3"/>
    <n v="0"/>
    <n v="1"/>
    <n v="0"/>
    <m/>
    <n v="7"/>
    <n v="0"/>
    <n v="1"/>
  </r>
  <r>
    <s v="LA-704796"/>
    <d v="2025-11-10T00:00:00"/>
    <x v="1"/>
    <s v="Q4"/>
    <x v="10"/>
    <x v="1"/>
    <x v="0"/>
    <x v="2"/>
    <x v="0"/>
    <x v="4"/>
    <n v="3700"/>
    <n v="8000"/>
    <n v="48"/>
    <n v="0.27500000000000002"/>
    <s v="Approved"/>
    <x v="1"/>
    <n v="1"/>
    <n v="0"/>
    <n v="7000"/>
    <n v="0.1147"/>
    <n v="5"/>
    <n v="0"/>
    <n v="1"/>
  </r>
  <r>
    <s v="LA-704797"/>
    <d v="2025-11-10T00:00:00"/>
    <x v="1"/>
    <s v="Q4"/>
    <x v="10"/>
    <x v="3"/>
    <x v="1"/>
    <x v="2"/>
    <x v="0"/>
    <x v="2"/>
    <n v="5100"/>
    <n v="251000"/>
    <n v="240"/>
    <n v="0.53500000000000003"/>
    <s v="Rejected"/>
    <x v="0"/>
    <n v="0"/>
    <n v="1"/>
    <n v="0"/>
    <m/>
    <n v="5"/>
    <n v="1"/>
    <n v="1"/>
  </r>
  <r>
    <s v="LA-704798"/>
    <d v="2025-11-10T00:00:00"/>
    <x v="1"/>
    <s v="Q4"/>
    <x v="10"/>
    <x v="1"/>
    <x v="2"/>
    <x v="3"/>
    <x v="0"/>
    <x v="4"/>
    <n v="3050"/>
    <n v="12500"/>
    <n v="24"/>
    <n v="0.34499999999999997"/>
    <s v="Approved"/>
    <x v="1"/>
    <n v="1"/>
    <n v="0"/>
    <n v="12500"/>
    <n v="0.1162"/>
    <n v="3"/>
    <n v="1"/>
    <n v="1"/>
  </r>
  <r>
    <s v="LA-704799"/>
    <d v="2025-11-10T00:00:00"/>
    <x v="1"/>
    <s v="Q4"/>
    <x v="10"/>
    <x v="0"/>
    <x v="1"/>
    <x v="3"/>
    <x v="0"/>
    <x v="1"/>
    <n v="7750"/>
    <n v="31500"/>
    <n v="48"/>
    <n v="0.158"/>
    <s v="Approved"/>
    <x v="1"/>
    <n v="1"/>
    <n v="0"/>
    <n v="28500"/>
    <n v="8.6199999999999999E-2"/>
    <n v="2"/>
    <n v="1"/>
    <n v="1"/>
  </r>
  <r>
    <s v="LA-704800"/>
    <d v="2025-11-10T00:00:00"/>
    <x v="1"/>
    <s v="Q4"/>
    <x v="10"/>
    <x v="3"/>
    <x v="2"/>
    <x v="3"/>
    <x v="1"/>
    <x v="3"/>
    <n v="5500"/>
    <n v="296000"/>
    <n v="240"/>
    <n v="0.54700000000000004"/>
    <s v="Approved"/>
    <x v="1"/>
    <n v="1"/>
    <n v="0"/>
    <n v="237000"/>
    <n v="4.4699999999999997E-2"/>
    <n v="3"/>
    <n v="1"/>
    <n v="1"/>
  </r>
  <r>
    <s v="LA-704801"/>
    <d v="2025-11-10T00:00:00"/>
    <x v="1"/>
    <s v="Q4"/>
    <x v="10"/>
    <x v="1"/>
    <x v="2"/>
    <x v="3"/>
    <x v="1"/>
    <x v="0"/>
    <n v="8700"/>
    <n v="12000"/>
    <n v="60"/>
    <n v="0.13500000000000001"/>
    <s v="Approved"/>
    <x v="1"/>
    <n v="1"/>
    <n v="0"/>
    <n v="9500"/>
    <n v="0.1396"/>
    <n v="4"/>
    <n v="0"/>
    <n v="1"/>
  </r>
  <r>
    <s v="LA-704802"/>
    <d v="2025-11-10T00:00:00"/>
    <x v="1"/>
    <s v="Q4"/>
    <x v="10"/>
    <x v="0"/>
    <x v="3"/>
    <x v="3"/>
    <x v="0"/>
    <x v="3"/>
    <n v="4200"/>
    <n v="42000"/>
    <n v="48"/>
    <n v="0.33"/>
    <s v="Approved"/>
    <x v="1"/>
    <n v="1"/>
    <n v="0"/>
    <n v="42000"/>
    <n v="6.1100000000000002E-2"/>
    <n v="5"/>
    <n v="0"/>
    <n v="1"/>
  </r>
  <r>
    <s v="LA-704803"/>
    <d v="2025-11-10T00:00:00"/>
    <x v="1"/>
    <s v="Q4"/>
    <x v="10"/>
    <x v="1"/>
    <x v="3"/>
    <x v="4"/>
    <x v="1"/>
    <x v="4"/>
    <n v="6200"/>
    <n v="10000"/>
    <n v="48"/>
    <n v="0.17"/>
    <s v="Approved"/>
    <x v="1"/>
    <n v="1"/>
    <n v="0"/>
    <n v="10000"/>
    <n v="0.1153"/>
    <n v="4"/>
    <n v="0"/>
    <n v="1"/>
  </r>
  <r>
    <s v="LA-704804"/>
    <d v="2025-11-10T00:00:00"/>
    <x v="1"/>
    <s v="Q4"/>
    <x v="10"/>
    <x v="1"/>
    <x v="3"/>
    <x v="2"/>
    <x v="1"/>
    <x v="4"/>
    <n v="8350"/>
    <n v="14000"/>
    <n v="36"/>
    <n v="0.14699999999999999"/>
    <s v="Approved"/>
    <x v="1"/>
    <n v="1"/>
    <n v="0"/>
    <n v="12500"/>
    <n v="0.11550000000000001"/>
    <n v="5"/>
    <n v="0"/>
    <n v="1"/>
  </r>
  <r>
    <s v="LA-704805"/>
    <d v="2025-11-10T00:00:00"/>
    <x v="1"/>
    <s v="Q4"/>
    <x v="10"/>
    <x v="2"/>
    <x v="3"/>
    <x v="2"/>
    <x v="1"/>
    <x v="2"/>
    <n v="1650"/>
    <n v="99500"/>
    <n v="60"/>
    <n v="1.369"/>
    <s v="Rejected"/>
    <x v="0"/>
    <n v="0"/>
    <n v="1"/>
    <n v="0"/>
    <m/>
    <n v="21"/>
    <n v="0"/>
    <n v="1"/>
  </r>
  <r>
    <s v="LA-704806"/>
    <d v="2025-11-10T00:00:00"/>
    <x v="1"/>
    <s v="Q4"/>
    <x v="10"/>
    <x v="0"/>
    <x v="0"/>
    <x v="0"/>
    <x v="0"/>
    <x v="4"/>
    <n v="2900"/>
    <n v="26500"/>
    <n v="60"/>
    <n v="0.33600000000000002"/>
    <s v="Approved"/>
    <x v="1"/>
    <n v="1"/>
    <n v="0"/>
    <n v="26500"/>
    <n v="6.6500000000000004E-2"/>
    <n v="7"/>
    <n v="0"/>
    <n v="1"/>
  </r>
  <r>
    <s v="LA-704807"/>
    <d v="2025-11-11T00:00:00"/>
    <x v="1"/>
    <s v="Q4"/>
    <x v="10"/>
    <x v="2"/>
    <x v="1"/>
    <x v="3"/>
    <x v="0"/>
    <x v="1"/>
    <n v="4650"/>
    <n v="65500"/>
    <n v="36"/>
    <n v="0.67500000000000004"/>
    <s v="Rejected"/>
    <x v="4"/>
    <n v="0"/>
    <n v="1"/>
    <n v="0"/>
    <m/>
    <n v="10"/>
    <n v="1"/>
    <n v="1"/>
  </r>
  <r>
    <s v="LA-704808"/>
    <d v="2025-11-11T00:00:00"/>
    <x v="1"/>
    <s v="Q4"/>
    <x v="10"/>
    <x v="0"/>
    <x v="3"/>
    <x v="1"/>
    <x v="0"/>
    <x v="2"/>
    <n v="7000"/>
    <n v="12500"/>
    <n v="60"/>
    <n v="0.19600000000000001"/>
    <s v="Rejected"/>
    <x v="2"/>
    <n v="0"/>
    <n v="1"/>
    <n v="0"/>
    <m/>
    <n v="7"/>
    <n v="0"/>
    <n v="1"/>
  </r>
  <r>
    <s v="LA-704809"/>
    <d v="2025-11-11T00:00:00"/>
    <x v="1"/>
    <s v="Q4"/>
    <x v="10"/>
    <x v="2"/>
    <x v="2"/>
    <x v="0"/>
    <x v="0"/>
    <x v="0"/>
    <n v="8250"/>
    <n v="70500"/>
    <n v="24"/>
    <n v="0.52900000000000003"/>
    <s v="Approved"/>
    <x v="1"/>
    <n v="1"/>
    <n v="0"/>
    <n v="70500"/>
    <n v="0.1263"/>
    <n v="7"/>
    <n v="1"/>
    <n v="1"/>
  </r>
  <r>
    <s v="LA-704810"/>
    <d v="2025-11-11T00:00:00"/>
    <x v="1"/>
    <s v="Q4"/>
    <x v="10"/>
    <x v="0"/>
    <x v="2"/>
    <x v="1"/>
    <x v="2"/>
    <x v="2"/>
    <n v="6350"/>
    <n v="29500"/>
    <n v="48"/>
    <n v="0.28199999999999997"/>
    <s v="Rejected"/>
    <x v="0"/>
    <n v="0"/>
    <n v="1"/>
    <n v="0"/>
    <m/>
    <n v="2"/>
    <n v="1"/>
    <n v="1"/>
  </r>
  <r>
    <s v="LA-704811"/>
    <d v="2025-11-11T00:00:00"/>
    <x v="1"/>
    <s v="Q4"/>
    <x v="10"/>
    <x v="1"/>
    <x v="2"/>
    <x v="1"/>
    <x v="2"/>
    <x v="3"/>
    <n v="4800"/>
    <n v="18000"/>
    <n v="60"/>
    <n v="0.13700000000000001"/>
    <s v="Approved"/>
    <x v="1"/>
    <n v="1"/>
    <n v="0"/>
    <n v="16000"/>
    <n v="0.11260000000000001"/>
    <n v="1"/>
    <n v="1"/>
    <n v="1"/>
  </r>
  <r>
    <s v="LA-704812"/>
    <d v="2025-11-11T00:00:00"/>
    <x v="1"/>
    <s v="Q4"/>
    <x v="10"/>
    <x v="0"/>
    <x v="1"/>
    <x v="2"/>
    <x v="1"/>
    <x v="1"/>
    <n v="5300"/>
    <n v="34000"/>
    <n v="48"/>
    <n v="0.25800000000000001"/>
    <s v="Approved"/>
    <x v="1"/>
    <n v="1"/>
    <n v="0"/>
    <n v="30500"/>
    <n v="8.3199999999999996E-2"/>
    <n v="2"/>
    <n v="1"/>
    <n v="1"/>
  </r>
  <r>
    <s v="LA-704813"/>
    <d v="2025-11-11T00:00:00"/>
    <x v="1"/>
    <s v="Q4"/>
    <x v="10"/>
    <x v="1"/>
    <x v="2"/>
    <x v="2"/>
    <x v="0"/>
    <x v="4"/>
    <n v="1800"/>
    <n v="13500"/>
    <n v="60"/>
    <n v="0.32100000000000001"/>
    <s v="Approved"/>
    <x v="1"/>
    <n v="1"/>
    <n v="0"/>
    <n v="13500"/>
    <n v="0.11219999999999999"/>
    <n v="3"/>
    <n v="1"/>
    <n v="1"/>
  </r>
  <r>
    <s v="LA-704814"/>
    <d v="2025-11-12T00:00:00"/>
    <x v="1"/>
    <s v="Q4"/>
    <x v="10"/>
    <x v="3"/>
    <x v="2"/>
    <x v="4"/>
    <x v="0"/>
    <x v="1"/>
    <n v="13950"/>
    <n v="162000"/>
    <n v="240"/>
    <n v="0.17100000000000001"/>
    <s v="Approved"/>
    <x v="1"/>
    <n v="1"/>
    <n v="0"/>
    <n v="162000"/>
    <n v="6.0499999999999998E-2"/>
    <n v="8"/>
    <n v="1"/>
    <n v="1"/>
  </r>
  <r>
    <s v="LA-704815"/>
    <d v="2025-11-12T00:00:00"/>
    <x v="1"/>
    <s v="Q4"/>
    <x v="10"/>
    <x v="1"/>
    <x v="3"/>
    <x v="2"/>
    <x v="0"/>
    <x v="0"/>
    <n v="2200"/>
    <n v="16000"/>
    <n v="24"/>
    <n v="0.53800000000000003"/>
    <s v="Approved"/>
    <x v="1"/>
    <n v="1"/>
    <n v="0"/>
    <n v="16000"/>
    <n v="0.1409"/>
    <n v="5"/>
    <n v="0"/>
    <n v="1"/>
  </r>
  <r>
    <s v="LA-704816"/>
    <d v="2025-11-12T00:00:00"/>
    <x v="1"/>
    <s v="Q4"/>
    <x v="10"/>
    <x v="3"/>
    <x v="3"/>
    <x v="1"/>
    <x v="0"/>
    <x v="0"/>
    <n v="3150"/>
    <n v="330500"/>
    <n v="180"/>
    <n v="0.879"/>
    <s v="Approved"/>
    <x v="1"/>
    <n v="1"/>
    <n v="0"/>
    <n v="330500"/>
    <n v="7.0300000000000001E-2"/>
    <n v="10"/>
    <n v="1"/>
    <n v="1"/>
  </r>
  <r>
    <s v="LA-704817"/>
    <d v="2025-11-12T00:00:00"/>
    <x v="1"/>
    <s v="Q4"/>
    <x v="10"/>
    <x v="0"/>
    <x v="2"/>
    <x v="0"/>
    <x v="1"/>
    <x v="4"/>
    <n v="7250"/>
    <n v="14000"/>
    <n v="60"/>
    <n v="9.9000000000000005E-2"/>
    <s v="Approved"/>
    <x v="1"/>
    <n v="1"/>
    <n v="0"/>
    <n v="14000"/>
    <n v="7.2499999999999995E-2"/>
    <n v="1"/>
    <n v="1"/>
    <n v="1"/>
  </r>
  <r>
    <s v="LA-704818"/>
    <d v="2025-11-12T00:00:00"/>
    <x v="1"/>
    <s v="Q4"/>
    <x v="10"/>
    <x v="0"/>
    <x v="2"/>
    <x v="3"/>
    <x v="0"/>
    <x v="4"/>
    <n v="5550"/>
    <n v="26000"/>
    <n v="36"/>
    <n v="0.26"/>
    <s v="Approved"/>
    <x v="1"/>
    <n v="1"/>
    <n v="0"/>
    <n v="26000"/>
    <n v="6.9900000000000004E-2"/>
    <n v="2"/>
    <n v="1"/>
    <n v="1"/>
  </r>
  <r>
    <s v="LA-704819"/>
    <d v="2025-11-12T00:00:00"/>
    <x v="1"/>
    <s v="Q4"/>
    <x v="10"/>
    <x v="2"/>
    <x v="3"/>
    <x v="2"/>
    <x v="1"/>
    <x v="1"/>
    <n v="8200"/>
    <n v="127500"/>
    <n v="36"/>
    <n v="0.61299999999999999"/>
    <s v="Withdrawn"/>
    <x v="1"/>
    <n v="0"/>
    <n v="0"/>
    <n v="0"/>
    <m/>
    <n v="15"/>
    <n v="0"/>
    <n v="1"/>
  </r>
  <r>
    <s v="LA-704820"/>
    <d v="2025-11-12T00:00:00"/>
    <x v="1"/>
    <s v="Q4"/>
    <x v="10"/>
    <x v="1"/>
    <x v="1"/>
    <x v="2"/>
    <x v="0"/>
    <x v="1"/>
    <n v="2400"/>
    <n v="9500"/>
    <n v="48"/>
    <n v="0.308"/>
    <s v="Rejected"/>
    <x v="4"/>
    <n v="0"/>
    <n v="1"/>
    <n v="0"/>
    <m/>
    <n v="5"/>
    <n v="0"/>
    <n v="1"/>
  </r>
  <r>
    <s v="LA-704821"/>
    <d v="2025-11-13T00:00:00"/>
    <x v="1"/>
    <s v="Q4"/>
    <x v="10"/>
    <x v="1"/>
    <x v="3"/>
    <x v="1"/>
    <x v="0"/>
    <x v="4"/>
    <n v="7900"/>
    <n v="11000"/>
    <n v="36"/>
    <n v="0.12"/>
    <s v="Approved"/>
    <x v="1"/>
    <n v="1"/>
    <n v="0"/>
    <n v="10000"/>
    <n v="0.11310000000000001"/>
    <n v="8"/>
    <n v="0"/>
    <n v="1"/>
  </r>
  <r>
    <s v="LA-704822"/>
    <d v="2025-11-13T00:00:00"/>
    <x v="1"/>
    <s v="Q4"/>
    <x v="10"/>
    <x v="1"/>
    <x v="3"/>
    <x v="3"/>
    <x v="1"/>
    <x v="4"/>
    <n v="2150"/>
    <n v="10000"/>
    <n v="12"/>
    <n v="0.48799999999999999"/>
    <s v="Approved"/>
    <x v="1"/>
    <n v="1"/>
    <n v="0"/>
    <n v="10000"/>
    <n v="0.11360000000000001"/>
    <n v="2"/>
    <n v="1"/>
    <n v="1"/>
  </r>
  <r>
    <s v="LA-704823"/>
    <d v="2025-11-13T00:00:00"/>
    <x v="1"/>
    <s v="Q4"/>
    <x v="10"/>
    <x v="2"/>
    <x v="2"/>
    <x v="2"/>
    <x v="0"/>
    <x v="1"/>
    <n v="9150"/>
    <n v="39500"/>
    <n v="12"/>
    <n v="0.49299999999999999"/>
    <s v="Approved"/>
    <x v="1"/>
    <n v="1"/>
    <n v="0"/>
    <n v="35500"/>
    <n v="0.1061"/>
    <n v="3"/>
    <n v="1"/>
    <n v="1"/>
  </r>
  <r>
    <s v="LA-704824"/>
    <d v="2025-11-13T00:00:00"/>
    <x v="1"/>
    <s v="Q4"/>
    <x v="10"/>
    <x v="1"/>
    <x v="1"/>
    <x v="3"/>
    <x v="1"/>
    <x v="1"/>
    <n v="15500"/>
    <n v="8500"/>
    <n v="24"/>
    <n v="0.13100000000000001"/>
    <s v="Rejected"/>
    <x v="4"/>
    <n v="0"/>
    <n v="1"/>
    <n v="0"/>
    <m/>
    <n v="5"/>
    <n v="0"/>
    <n v="1"/>
  </r>
  <r>
    <s v="LA-704825"/>
    <d v="2025-11-13T00:00:00"/>
    <x v="1"/>
    <s v="Q4"/>
    <x v="10"/>
    <x v="1"/>
    <x v="2"/>
    <x v="4"/>
    <x v="1"/>
    <x v="0"/>
    <n v="4650"/>
    <n v="21500"/>
    <n v="36"/>
    <n v="0.33600000000000002"/>
    <s v="Withdrawn"/>
    <x v="1"/>
    <n v="0"/>
    <n v="0"/>
    <n v="0"/>
    <m/>
    <n v="1"/>
    <n v="1"/>
    <n v="1"/>
  </r>
  <r>
    <s v="LA-704826"/>
    <d v="2025-11-13T00:00:00"/>
    <x v="1"/>
    <s v="Q4"/>
    <x v="10"/>
    <x v="2"/>
    <x v="3"/>
    <x v="0"/>
    <x v="0"/>
    <x v="4"/>
    <n v="5500"/>
    <n v="76500"/>
    <n v="24"/>
    <n v="0.745"/>
    <s v="Approved"/>
    <x v="1"/>
    <n v="1"/>
    <n v="0"/>
    <n v="61000"/>
    <n v="9.69E-2"/>
    <n v="11"/>
    <n v="0"/>
    <n v="1"/>
  </r>
  <r>
    <s v="LA-704827"/>
    <d v="2025-11-13T00:00:00"/>
    <x v="1"/>
    <s v="Q4"/>
    <x v="10"/>
    <x v="1"/>
    <x v="2"/>
    <x v="2"/>
    <x v="0"/>
    <x v="1"/>
    <n v="5500"/>
    <n v="9500"/>
    <n v="12"/>
    <n v="0.379"/>
    <s v="Approved"/>
    <x v="1"/>
    <n v="1"/>
    <n v="0"/>
    <n v="9500"/>
    <n v="0.1236"/>
    <n v="2"/>
    <n v="1"/>
    <n v="1"/>
  </r>
  <r>
    <s v="LA-704828"/>
    <d v="2025-11-13T00:00:00"/>
    <x v="1"/>
    <s v="Q4"/>
    <x v="10"/>
    <x v="1"/>
    <x v="3"/>
    <x v="1"/>
    <x v="1"/>
    <x v="1"/>
    <n v="5750"/>
    <n v="7000"/>
    <n v="12"/>
    <n v="0.20300000000000001"/>
    <s v="Rejected"/>
    <x v="2"/>
    <n v="0"/>
    <n v="1"/>
    <n v="0"/>
    <m/>
    <n v="5"/>
    <n v="0"/>
    <n v="1"/>
  </r>
  <r>
    <s v="LA-704829"/>
    <d v="2025-11-13T00:00:00"/>
    <x v="1"/>
    <s v="Q4"/>
    <x v="10"/>
    <x v="3"/>
    <x v="0"/>
    <x v="2"/>
    <x v="2"/>
    <x v="0"/>
    <n v="5650"/>
    <n v="189000"/>
    <n v="180"/>
    <n v="0.317"/>
    <s v="Approved"/>
    <x v="1"/>
    <n v="1"/>
    <n v="0"/>
    <n v="151000"/>
    <n v="7.4800000000000005E-2"/>
    <n v="11"/>
    <n v="1"/>
    <n v="1"/>
  </r>
  <r>
    <s v="LA-704830"/>
    <d v="2025-11-14T00:00:00"/>
    <x v="1"/>
    <s v="Q4"/>
    <x v="10"/>
    <x v="1"/>
    <x v="1"/>
    <x v="4"/>
    <x v="2"/>
    <x v="0"/>
    <n v="12450"/>
    <n v="10500"/>
    <n v="36"/>
    <n v="0.11600000000000001"/>
    <s v="Approved"/>
    <x v="1"/>
    <n v="1"/>
    <n v="0"/>
    <n v="9500"/>
    <n v="0.1384"/>
    <n v="2"/>
    <n v="1"/>
    <n v="1"/>
  </r>
  <r>
    <s v="LA-704831"/>
    <d v="2025-11-14T00:00:00"/>
    <x v="1"/>
    <s v="Q4"/>
    <x v="10"/>
    <x v="3"/>
    <x v="3"/>
    <x v="4"/>
    <x v="1"/>
    <x v="1"/>
    <n v="4950"/>
    <n v="137500"/>
    <n v="180"/>
    <n v="0.29599999999999999"/>
    <s v="Rejected"/>
    <x v="4"/>
    <n v="0"/>
    <n v="1"/>
    <n v="0"/>
    <m/>
    <n v="22"/>
    <n v="0"/>
    <n v="1"/>
  </r>
  <r>
    <s v="LA-704832"/>
    <d v="2025-11-14T00:00:00"/>
    <x v="1"/>
    <s v="Q4"/>
    <x v="10"/>
    <x v="0"/>
    <x v="3"/>
    <x v="3"/>
    <x v="0"/>
    <x v="1"/>
    <n v="9050"/>
    <n v="31500"/>
    <n v="48"/>
    <n v="0.17199999999999999"/>
    <s v="Rejected"/>
    <x v="5"/>
    <n v="0"/>
    <n v="1"/>
    <n v="0"/>
    <m/>
    <n v="9"/>
    <n v="0"/>
    <n v="1"/>
  </r>
  <r>
    <s v="LA-704833"/>
    <d v="2025-11-14T00:00:00"/>
    <x v="1"/>
    <s v="Q4"/>
    <x v="10"/>
    <x v="1"/>
    <x v="1"/>
    <x v="0"/>
    <x v="0"/>
    <x v="0"/>
    <n v="4850"/>
    <n v="9000"/>
    <n v="60"/>
    <n v="0.217"/>
    <s v="Rejected"/>
    <x v="0"/>
    <n v="0"/>
    <n v="1"/>
    <n v="0"/>
    <m/>
    <n v="1"/>
    <n v="1"/>
    <n v="1"/>
  </r>
  <r>
    <s v="LA-704834"/>
    <d v="2025-11-14T00:00:00"/>
    <x v="1"/>
    <s v="Q4"/>
    <x v="10"/>
    <x v="2"/>
    <x v="1"/>
    <x v="1"/>
    <x v="0"/>
    <x v="3"/>
    <n v="4350"/>
    <n v="112000"/>
    <n v="24"/>
    <n v="1.2410000000000001"/>
    <s v="Rejected"/>
    <x v="3"/>
    <n v="0"/>
    <n v="1"/>
    <n v="0"/>
    <m/>
    <n v="8"/>
    <n v="1"/>
    <n v="1"/>
  </r>
  <r>
    <s v="LA-704835"/>
    <d v="2025-11-14T00:00:00"/>
    <x v="1"/>
    <s v="Q4"/>
    <x v="10"/>
    <x v="1"/>
    <x v="1"/>
    <x v="1"/>
    <x v="2"/>
    <x v="4"/>
    <n v="7150"/>
    <n v="15500"/>
    <n v="12"/>
    <n v="0.374"/>
    <s v="Approved"/>
    <x v="1"/>
    <n v="1"/>
    <n v="0"/>
    <n v="12500"/>
    <n v="0.1149"/>
    <n v="1"/>
    <n v="1"/>
    <n v="1"/>
  </r>
  <r>
    <s v="LA-704836"/>
    <d v="2025-11-15T00:00:00"/>
    <x v="1"/>
    <s v="Q4"/>
    <x v="10"/>
    <x v="1"/>
    <x v="1"/>
    <x v="2"/>
    <x v="0"/>
    <x v="0"/>
    <n v="3000"/>
    <n v="14000"/>
    <n v="12"/>
    <n v="0.627"/>
    <s v="Rejected"/>
    <x v="0"/>
    <n v="0"/>
    <n v="1"/>
    <n v="0"/>
    <m/>
    <n v="1"/>
    <n v="1"/>
    <n v="1"/>
  </r>
  <r>
    <s v="LA-704837"/>
    <d v="2025-11-15T00:00:00"/>
    <x v="1"/>
    <s v="Q4"/>
    <x v="10"/>
    <x v="1"/>
    <x v="1"/>
    <x v="2"/>
    <x v="1"/>
    <x v="4"/>
    <n v="6750"/>
    <n v="15000"/>
    <n v="60"/>
    <n v="0.23799999999999999"/>
    <s v="Approved"/>
    <x v="1"/>
    <n v="1"/>
    <n v="0"/>
    <n v="15000"/>
    <n v="0.1188"/>
    <n v="2"/>
    <n v="1"/>
    <n v="1"/>
  </r>
  <r>
    <s v="LA-704838"/>
    <d v="2025-11-15T00:00:00"/>
    <x v="1"/>
    <s v="Q4"/>
    <x v="10"/>
    <x v="0"/>
    <x v="0"/>
    <x v="1"/>
    <x v="0"/>
    <x v="4"/>
    <n v="8050"/>
    <n v="28000"/>
    <n v="60"/>
    <n v="0.26400000000000001"/>
    <s v="Rejected"/>
    <x v="4"/>
    <n v="0"/>
    <n v="1"/>
    <n v="0"/>
    <m/>
    <n v="9"/>
    <n v="0"/>
    <n v="1"/>
  </r>
  <r>
    <s v="LA-704839"/>
    <d v="2025-11-15T00:00:00"/>
    <x v="1"/>
    <s v="Q4"/>
    <x v="10"/>
    <x v="1"/>
    <x v="1"/>
    <x v="4"/>
    <x v="0"/>
    <x v="0"/>
    <n v="3450"/>
    <n v="8000"/>
    <n v="60"/>
    <n v="0.17399999999999999"/>
    <s v="Rejected"/>
    <x v="0"/>
    <n v="0"/>
    <n v="1"/>
    <n v="0"/>
    <m/>
    <n v="2"/>
    <n v="1"/>
    <n v="1"/>
  </r>
  <r>
    <s v="LA-704840"/>
    <d v="2025-11-15T00:00:00"/>
    <x v="1"/>
    <s v="Q4"/>
    <x v="10"/>
    <x v="3"/>
    <x v="2"/>
    <x v="3"/>
    <x v="0"/>
    <x v="1"/>
    <n v="8100"/>
    <n v="166500"/>
    <n v="300"/>
    <n v="0.36699999999999999"/>
    <s v="Rejected"/>
    <x v="0"/>
    <n v="0"/>
    <n v="1"/>
    <n v="0"/>
    <m/>
    <n v="16"/>
    <n v="0"/>
    <n v="1"/>
  </r>
  <r>
    <s v="LA-704841"/>
    <d v="2025-11-15T00:00:00"/>
    <x v="1"/>
    <s v="Q4"/>
    <x v="10"/>
    <x v="1"/>
    <x v="0"/>
    <x v="2"/>
    <x v="1"/>
    <x v="1"/>
    <n v="8900"/>
    <n v="26000"/>
    <n v="24"/>
    <n v="0.377"/>
    <s v="Approved"/>
    <x v="1"/>
    <n v="1"/>
    <n v="0"/>
    <n v="23500"/>
    <n v="0.12540000000000001"/>
    <n v="3"/>
    <n v="1"/>
    <n v="1"/>
  </r>
  <r>
    <s v="LA-704842"/>
    <d v="2025-11-15T00:00:00"/>
    <x v="1"/>
    <s v="Q4"/>
    <x v="10"/>
    <x v="1"/>
    <x v="3"/>
    <x v="0"/>
    <x v="0"/>
    <x v="0"/>
    <n v="7800"/>
    <n v="17000"/>
    <n v="24"/>
    <n v="0.30599999999999999"/>
    <s v="Approved"/>
    <x v="1"/>
    <n v="1"/>
    <n v="0"/>
    <n v="17000"/>
    <n v="0.1399"/>
    <n v="4"/>
    <n v="0"/>
    <n v="1"/>
  </r>
  <r>
    <s v="LA-704843"/>
    <d v="2025-11-15T00:00:00"/>
    <x v="1"/>
    <s v="Q4"/>
    <x v="10"/>
    <x v="2"/>
    <x v="3"/>
    <x v="3"/>
    <x v="2"/>
    <x v="0"/>
    <n v="9000"/>
    <n v="76000"/>
    <n v="36"/>
    <n v="0.50900000000000001"/>
    <s v="Approved"/>
    <x v="1"/>
    <n v="1"/>
    <n v="0"/>
    <n v="76000"/>
    <n v="0.1235"/>
    <n v="8"/>
    <n v="1"/>
    <n v="1"/>
  </r>
  <r>
    <s v="LA-704844"/>
    <d v="2025-11-16T00:00:00"/>
    <x v="1"/>
    <s v="Q4"/>
    <x v="10"/>
    <x v="1"/>
    <x v="1"/>
    <x v="2"/>
    <x v="0"/>
    <x v="1"/>
    <n v="5700"/>
    <n v="8000"/>
    <n v="36"/>
    <n v="0.21"/>
    <s v="Approved"/>
    <x v="1"/>
    <n v="1"/>
    <n v="0"/>
    <n v="7000"/>
    <n v="0.1187"/>
    <n v="1"/>
    <n v="1"/>
    <n v="1"/>
  </r>
  <r>
    <s v="LA-704845"/>
    <d v="2025-11-16T00:00:00"/>
    <x v="1"/>
    <s v="Q4"/>
    <x v="10"/>
    <x v="1"/>
    <x v="1"/>
    <x v="4"/>
    <x v="1"/>
    <x v="4"/>
    <n v="3700"/>
    <n v="10000"/>
    <n v="12"/>
    <n v="0.45200000000000001"/>
    <s v="Approved"/>
    <x v="1"/>
    <n v="1"/>
    <n v="0"/>
    <n v="8000"/>
    <n v="0.1167"/>
    <n v="3"/>
    <n v="1"/>
    <n v="1"/>
  </r>
  <r>
    <s v="LA-704846"/>
    <d v="2025-11-16T00:00:00"/>
    <x v="1"/>
    <s v="Q4"/>
    <x v="10"/>
    <x v="2"/>
    <x v="1"/>
    <x v="1"/>
    <x v="1"/>
    <x v="4"/>
    <n v="5050"/>
    <n v="107500"/>
    <n v="24"/>
    <n v="1.0780000000000001"/>
    <s v="Rejected"/>
    <x v="3"/>
    <n v="0"/>
    <n v="1"/>
    <n v="0"/>
    <m/>
    <n v="3"/>
    <n v="1"/>
    <n v="1"/>
  </r>
  <r>
    <s v="LA-704847"/>
    <d v="2025-11-16T00:00:00"/>
    <x v="1"/>
    <s v="Q4"/>
    <x v="10"/>
    <x v="1"/>
    <x v="1"/>
    <x v="1"/>
    <x v="1"/>
    <x v="1"/>
    <n v="8400"/>
    <n v="15500"/>
    <n v="12"/>
    <n v="0.24299999999999999"/>
    <s v="Approved"/>
    <x v="1"/>
    <n v="1"/>
    <n v="0"/>
    <n v="15500"/>
    <n v="0.1225"/>
    <n v="1"/>
    <n v="1"/>
    <n v="1"/>
  </r>
  <r>
    <s v="LA-704848"/>
    <d v="2025-11-16T00:00:00"/>
    <x v="1"/>
    <s v="Q4"/>
    <x v="10"/>
    <x v="3"/>
    <x v="3"/>
    <x v="2"/>
    <x v="2"/>
    <x v="0"/>
    <n v="3400"/>
    <n v="270500"/>
    <n v="240"/>
    <n v="0.59199999999999997"/>
    <s v="Rejected"/>
    <x v="0"/>
    <n v="0"/>
    <n v="1"/>
    <n v="0"/>
    <m/>
    <n v="13"/>
    <n v="1"/>
    <n v="1"/>
  </r>
  <r>
    <s v="LA-704849"/>
    <d v="2025-11-17T00:00:00"/>
    <x v="1"/>
    <s v="Q4"/>
    <x v="10"/>
    <x v="1"/>
    <x v="2"/>
    <x v="2"/>
    <x v="1"/>
    <x v="4"/>
    <n v="12400"/>
    <n v="28000"/>
    <n v="12"/>
    <n v="0.26500000000000001"/>
    <s v="Approved"/>
    <x v="1"/>
    <n v="1"/>
    <n v="0"/>
    <n v="22500"/>
    <n v="0.11269999999999999"/>
    <n v="2"/>
    <n v="1"/>
    <n v="1"/>
  </r>
  <r>
    <s v="LA-704850"/>
    <d v="2025-11-17T00:00:00"/>
    <x v="1"/>
    <s v="Q4"/>
    <x v="10"/>
    <x v="3"/>
    <x v="2"/>
    <x v="2"/>
    <x v="0"/>
    <x v="1"/>
    <n v="4050"/>
    <n v="264000"/>
    <n v="240"/>
    <n v="0.48099999999999998"/>
    <s v="Approved"/>
    <x v="1"/>
    <n v="1"/>
    <n v="0"/>
    <n v="264000"/>
    <n v="5.67E-2"/>
    <n v="5"/>
    <n v="1"/>
    <n v="1"/>
  </r>
  <r>
    <s v="LA-704851"/>
    <d v="2025-11-17T00:00:00"/>
    <x v="1"/>
    <s v="Q4"/>
    <x v="10"/>
    <x v="0"/>
    <x v="1"/>
    <x v="1"/>
    <x v="0"/>
    <x v="0"/>
    <n v="8250"/>
    <n v="46000"/>
    <n v="36"/>
    <n v="0.39400000000000002"/>
    <s v="Rejected"/>
    <x v="0"/>
    <n v="0"/>
    <n v="1"/>
    <n v="0"/>
    <m/>
    <n v="1"/>
    <n v="1"/>
    <n v="1"/>
  </r>
  <r>
    <s v="LA-704852"/>
    <d v="2025-11-17T00:00:00"/>
    <x v="1"/>
    <s v="Q4"/>
    <x v="10"/>
    <x v="1"/>
    <x v="1"/>
    <x v="0"/>
    <x v="0"/>
    <x v="2"/>
    <n v="2250"/>
    <n v="5000"/>
    <n v="60"/>
    <n v="0.20399999999999999"/>
    <s v="Rejected"/>
    <x v="0"/>
    <n v="0"/>
    <n v="1"/>
    <n v="0"/>
    <m/>
    <n v="1"/>
    <n v="1"/>
    <n v="1"/>
  </r>
  <r>
    <s v="LA-704853"/>
    <d v="2025-11-17T00:00:00"/>
    <x v="1"/>
    <s v="Q4"/>
    <x v="10"/>
    <x v="0"/>
    <x v="0"/>
    <x v="0"/>
    <x v="2"/>
    <x v="4"/>
    <n v="15550"/>
    <n v="43000"/>
    <n v="60"/>
    <n v="0.254"/>
    <s v="Approved"/>
    <x v="1"/>
    <n v="1"/>
    <n v="0"/>
    <n v="34500"/>
    <n v="7.6700000000000004E-2"/>
    <n v="4"/>
    <n v="1"/>
    <n v="1"/>
  </r>
  <r>
    <s v="LA-704854"/>
    <d v="2025-11-17T00:00:00"/>
    <x v="1"/>
    <s v="Q4"/>
    <x v="10"/>
    <x v="1"/>
    <x v="0"/>
    <x v="2"/>
    <x v="2"/>
    <x v="1"/>
    <n v="6350"/>
    <n v="13500"/>
    <n v="48"/>
    <n v="0.23200000000000001"/>
    <s v="Approved"/>
    <x v="1"/>
    <n v="1"/>
    <n v="0"/>
    <n v="11000"/>
    <n v="0.1172"/>
    <n v="3"/>
    <n v="1"/>
    <n v="1"/>
  </r>
  <r>
    <s v="LA-704855"/>
    <d v="2025-11-17T00:00:00"/>
    <x v="1"/>
    <s v="Q4"/>
    <x v="10"/>
    <x v="1"/>
    <x v="2"/>
    <x v="3"/>
    <x v="1"/>
    <x v="1"/>
    <n v="4300"/>
    <n v="20000"/>
    <n v="60"/>
    <n v="0.22600000000000001"/>
    <s v="Approved"/>
    <x v="1"/>
    <n v="1"/>
    <n v="0"/>
    <n v="20000"/>
    <n v="0.12870000000000001"/>
    <n v="2"/>
    <n v="1"/>
    <n v="1"/>
  </r>
  <r>
    <s v="LA-704856"/>
    <d v="2025-11-17T00:00:00"/>
    <x v="1"/>
    <s v="Q4"/>
    <x v="10"/>
    <x v="1"/>
    <x v="1"/>
    <x v="0"/>
    <x v="0"/>
    <x v="0"/>
    <n v="3750"/>
    <n v="22000"/>
    <n v="48"/>
    <n v="0.34699999999999998"/>
    <s v="Rejected"/>
    <x v="0"/>
    <n v="0"/>
    <n v="1"/>
    <n v="0"/>
    <m/>
    <n v="1"/>
    <n v="1"/>
    <n v="1"/>
  </r>
  <r>
    <s v="LA-704857"/>
    <d v="2025-11-17T00:00:00"/>
    <x v="1"/>
    <s v="Q4"/>
    <x v="10"/>
    <x v="0"/>
    <x v="3"/>
    <x v="3"/>
    <x v="0"/>
    <x v="0"/>
    <n v="3400"/>
    <n v="39000"/>
    <n v="48"/>
    <n v="0.36599999999999999"/>
    <s v="Approved"/>
    <x v="1"/>
    <n v="1"/>
    <n v="0"/>
    <n v="39000"/>
    <n v="9.5699999999999993E-2"/>
    <n v="5"/>
    <n v="0"/>
    <n v="1"/>
  </r>
  <r>
    <s v="LA-704858"/>
    <d v="2025-11-17T00:00:00"/>
    <x v="1"/>
    <s v="Q4"/>
    <x v="10"/>
    <x v="2"/>
    <x v="1"/>
    <x v="1"/>
    <x v="1"/>
    <x v="3"/>
    <n v="5700"/>
    <n v="123000"/>
    <n v="12"/>
    <n v="2.024"/>
    <s v="Rejected"/>
    <x v="3"/>
    <n v="0"/>
    <n v="1"/>
    <n v="0"/>
    <m/>
    <n v="4"/>
    <n v="1"/>
    <n v="1"/>
  </r>
  <r>
    <s v="LA-704859"/>
    <d v="2025-11-17T00:00:00"/>
    <x v="1"/>
    <s v="Q4"/>
    <x v="10"/>
    <x v="3"/>
    <x v="1"/>
    <x v="0"/>
    <x v="0"/>
    <x v="4"/>
    <n v="4250"/>
    <n v="348000"/>
    <n v="300"/>
    <n v="0.67500000000000004"/>
    <s v="Approved"/>
    <x v="1"/>
    <n v="1"/>
    <n v="0"/>
    <n v="278500"/>
    <n v="5.1700000000000003E-2"/>
    <n v="7"/>
    <n v="1"/>
    <n v="1"/>
  </r>
  <r>
    <s v="LA-704860"/>
    <d v="2025-11-18T00:00:00"/>
    <x v="1"/>
    <s v="Q4"/>
    <x v="10"/>
    <x v="1"/>
    <x v="3"/>
    <x v="1"/>
    <x v="0"/>
    <x v="1"/>
    <n v="4950"/>
    <n v="13500"/>
    <n v="60"/>
    <n v="0.25900000000000001"/>
    <s v="Approved"/>
    <x v="1"/>
    <n v="1"/>
    <n v="0"/>
    <n v="13500"/>
    <n v="0.1245"/>
    <n v="3"/>
    <n v="1"/>
    <n v="1"/>
  </r>
  <r>
    <s v="LA-704861"/>
    <d v="2025-11-18T00:00:00"/>
    <x v="1"/>
    <s v="Q4"/>
    <x v="10"/>
    <x v="2"/>
    <x v="0"/>
    <x v="2"/>
    <x v="0"/>
    <x v="4"/>
    <n v="2250"/>
    <n v="125000"/>
    <n v="36"/>
    <n v="1.978"/>
    <s v="Rejected"/>
    <x v="3"/>
    <n v="0"/>
    <n v="1"/>
    <n v="0"/>
    <m/>
    <n v="24"/>
    <n v="0"/>
    <n v="1"/>
  </r>
  <r>
    <s v="LA-704862"/>
    <d v="2025-11-18T00:00:00"/>
    <x v="1"/>
    <s v="Q4"/>
    <x v="10"/>
    <x v="3"/>
    <x v="1"/>
    <x v="2"/>
    <x v="1"/>
    <x v="4"/>
    <n v="4050"/>
    <n v="583500"/>
    <n v="240"/>
    <n v="1.1439999999999999"/>
    <s v="Rejected"/>
    <x v="3"/>
    <n v="0"/>
    <n v="1"/>
    <n v="0"/>
    <m/>
    <n v="7"/>
    <n v="1"/>
    <n v="1"/>
  </r>
  <r>
    <s v="LA-704863"/>
    <d v="2025-11-18T00:00:00"/>
    <x v="1"/>
    <s v="Q4"/>
    <x v="10"/>
    <x v="1"/>
    <x v="0"/>
    <x v="0"/>
    <x v="0"/>
    <x v="1"/>
    <n v="8350"/>
    <n v="23000"/>
    <n v="12"/>
    <n v="0.47399999999999998"/>
    <s v="Approved"/>
    <x v="1"/>
    <n v="1"/>
    <n v="0"/>
    <n v="20500"/>
    <n v="0.12239999999999999"/>
    <n v="3"/>
    <n v="1"/>
    <n v="1"/>
  </r>
  <r>
    <s v="LA-704864"/>
    <d v="2025-11-18T00:00:00"/>
    <x v="1"/>
    <s v="Q4"/>
    <x v="10"/>
    <x v="1"/>
    <x v="3"/>
    <x v="3"/>
    <x v="0"/>
    <x v="3"/>
    <n v="5550"/>
    <n v="12000"/>
    <n v="60"/>
    <n v="0.23599999999999999"/>
    <s v="Approved"/>
    <x v="1"/>
    <n v="1"/>
    <n v="0"/>
    <n v="11000"/>
    <n v="0.10100000000000001"/>
    <n v="2"/>
    <n v="1"/>
    <n v="1"/>
  </r>
  <r>
    <s v="LA-704865"/>
    <d v="2025-11-18T00:00:00"/>
    <x v="1"/>
    <s v="Q4"/>
    <x v="10"/>
    <x v="1"/>
    <x v="3"/>
    <x v="1"/>
    <x v="2"/>
    <x v="3"/>
    <n v="6150"/>
    <n v="6500"/>
    <n v="48"/>
    <n v="0.128"/>
    <s v="Approved"/>
    <x v="1"/>
    <n v="1"/>
    <n v="0"/>
    <n v="6500"/>
    <n v="0.10979999999999999"/>
    <n v="7"/>
    <n v="0"/>
    <n v="1"/>
  </r>
  <r>
    <s v="LA-704866"/>
    <d v="2025-11-18T00:00:00"/>
    <x v="1"/>
    <s v="Q4"/>
    <x v="10"/>
    <x v="1"/>
    <x v="1"/>
    <x v="3"/>
    <x v="1"/>
    <x v="4"/>
    <n v="5000"/>
    <n v="14500"/>
    <n v="24"/>
    <n v="0.19900000000000001"/>
    <s v="Approved"/>
    <x v="1"/>
    <n v="1"/>
    <n v="0"/>
    <n v="14500"/>
    <n v="0.1154"/>
    <n v="1"/>
    <n v="1"/>
    <n v="1"/>
  </r>
  <r>
    <s v="LA-704867"/>
    <d v="2025-11-18T00:00:00"/>
    <x v="1"/>
    <s v="Q4"/>
    <x v="10"/>
    <x v="3"/>
    <x v="2"/>
    <x v="3"/>
    <x v="0"/>
    <x v="4"/>
    <n v="5250"/>
    <n v="281500"/>
    <n v="240"/>
    <n v="0.59399999999999997"/>
    <s v="Approved"/>
    <x v="1"/>
    <n v="1"/>
    <n v="0"/>
    <n v="225000"/>
    <n v="4.82E-2"/>
    <n v="11"/>
    <n v="1"/>
    <n v="1"/>
  </r>
  <r>
    <s v="LA-704868"/>
    <d v="2025-11-19T00:00:00"/>
    <x v="1"/>
    <s v="Q4"/>
    <x v="10"/>
    <x v="1"/>
    <x v="1"/>
    <x v="0"/>
    <x v="0"/>
    <x v="0"/>
    <n v="5600"/>
    <n v="15500"/>
    <n v="48"/>
    <n v="0.19"/>
    <s v="Rejected"/>
    <x v="0"/>
    <n v="0"/>
    <n v="1"/>
    <n v="0"/>
    <m/>
    <n v="2"/>
    <n v="1"/>
    <n v="1"/>
  </r>
  <r>
    <s v="LA-704869"/>
    <d v="2025-11-19T00:00:00"/>
    <x v="1"/>
    <s v="Q4"/>
    <x v="10"/>
    <x v="3"/>
    <x v="2"/>
    <x v="2"/>
    <x v="0"/>
    <x v="1"/>
    <n v="4250"/>
    <n v="513500"/>
    <n v="300"/>
    <n v="0.754"/>
    <s v="Approved"/>
    <x v="1"/>
    <n v="1"/>
    <n v="0"/>
    <n v="462000"/>
    <n v="6.0100000000000001E-2"/>
    <n v="7"/>
    <n v="1"/>
    <n v="1"/>
  </r>
  <r>
    <s v="LA-704870"/>
    <d v="2025-11-19T00:00:00"/>
    <x v="1"/>
    <s v="Q4"/>
    <x v="10"/>
    <x v="1"/>
    <x v="3"/>
    <x v="2"/>
    <x v="1"/>
    <x v="4"/>
    <n v="2950"/>
    <n v="8000"/>
    <n v="12"/>
    <n v="0.377"/>
    <s v="Approved"/>
    <x v="1"/>
    <n v="1"/>
    <n v="0"/>
    <n v="7000"/>
    <n v="0.1147"/>
    <n v="4"/>
    <n v="0"/>
    <n v="1"/>
  </r>
  <r>
    <s v="LA-704871"/>
    <d v="2025-11-19T00:00:00"/>
    <x v="1"/>
    <s v="Q4"/>
    <x v="10"/>
    <x v="1"/>
    <x v="1"/>
    <x v="1"/>
    <x v="0"/>
    <x v="1"/>
    <n v="7500"/>
    <n v="18000"/>
    <n v="60"/>
    <n v="0.20799999999999999"/>
    <s v="Approved"/>
    <x v="1"/>
    <n v="1"/>
    <n v="0"/>
    <n v="18000"/>
    <n v="0.1244"/>
    <n v="2"/>
    <n v="1"/>
    <n v="1"/>
  </r>
  <r>
    <s v="LA-704872"/>
    <d v="2025-11-19T00:00:00"/>
    <x v="1"/>
    <s v="Q4"/>
    <x v="10"/>
    <x v="2"/>
    <x v="3"/>
    <x v="4"/>
    <x v="2"/>
    <x v="1"/>
    <n v="4250"/>
    <n v="76000"/>
    <n v="24"/>
    <n v="1.05"/>
    <s v="Rejected"/>
    <x v="3"/>
    <n v="0"/>
    <n v="1"/>
    <n v="0"/>
    <m/>
    <n v="21"/>
    <n v="0"/>
    <n v="1"/>
  </r>
  <r>
    <s v="LA-704873"/>
    <d v="2025-11-19T00:00:00"/>
    <x v="1"/>
    <s v="Q4"/>
    <x v="10"/>
    <x v="1"/>
    <x v="3"/>
    <x v="3"/>
    <x v="0"/>
    <x v="0"/>
    <n v="3350"/>
    <n v="11000"/>
    <n v="36"/>
    <n v="0.29099999999999998"/>
    <s v="Rejected"/>
    <x v="0"/>
    <n v="0"/>
    <n v="1"/>
    <n v="0"/>
    <m/>
    <n v="7"/>
    <n v="0"/>
    <n v="1"/>
  </r>
  <r>
    <s v="LA-704874"/>
    <d v="2025-11-19T00:00:00"/>
    <x v="1"/>
    <s v="Q4"/>
    <x v="10"/>
    <x v="3"/>
    <x v="2"/>
    <x v="2"/>
    <x v="1"/>
    <x v="1"/>
    <n v="5800"/>
    <n v="133500"/>
    <n v="180"/>
    <n v="0.41"/>
    <s v="Approved"/>
    <x v="1"/>
    <n v="1"/>
    <n v="0"/>
    <n v="133500"/>
    <n v="5.7000000000000002E-2"/>
    <n v="12"/>
    <n v="1"/>
    <n v="1"/>
  </r>
  <r>
    <s v="LA-704875"/>
    <d v="2025-11-19T00:00:00"/>
    <x v="1"/>
    <s v="Q4"/>
    <x v="10"/>
    <x v="0"/>
    <x v="1"/>
    <x v="4"/>
    <x v="2"/>
    <x v="1"/>
    <n v="7550"/>
    <n v="18000"/>
    <n v="36"/>
    <n v="0.19900000000000001"/>
    <s v="Rejected"/>
    <x v="5"/>
    <n v="0"/>
    <n v="1"/>
    <n v="0"/>
    <m/>
    <n v="1"/>
    <n v="1"/>
    <n v="1"/>
  </r>
  <r>
    <s v="LA-704876"/>
    <d v="2025-11-19T00:00:00"/>
    <x v="1"/>
    <s v="Q4"/>
    <x v="10"/>
    <x v="2"/>
    <x v="0"/>
    <x v="2"/>
    <x v="0"/>
    <x v="3"/>
    <n v="2100"/>
    <n v="125000"/>
    <n v="60"/>
    <n v="1.4279999999999999"/>
    <s v="Approved"/>
    <x v="1"/>
    <n v="1"/>
    <n v="0"/>
    <n v="100000"/>
    <n v="9.4500000000000001E-2"/>
    <n v="6"/>
    <n v="1"/>
    <n v="1"/>
  </r>
  <r>
    <s v="LA-704877"/>
    <d v="2025-11-19T00:00:00"/>
    <x v="1"/>
    <s v="Q4"/>
    <x v="10"/>
    <x v="1"/>
    <x v="0"/>
    <x v="2"/>
    <x v="1"/>
    <x v="0"/>
    <n v="5700"/>
    <n v="17500"/>
    <n v="24"/>
    <n v="0.34899999999999998"/>
    <s v="Rejected"/>
    <x v="4"/>
    <n v="0"/>
    <n v="1"/>
    <n v="0"/>
    <m/>
    <n v="9"/>
    <n v="0"/>
    <n v="1"/>
  </r>
  <r>
    <s v="LA-704878"/>
    <d v="2025-11-19T00:00:00"/>
    <x v="1"/>
    <s v="Q4"/>
    <x v="10"/>
    <x v="1"/>
    <x v="2"/>
    <x v="2"/>
    <x v="2"/>
    <x v="2"/>
    <n v="4050"/>
    <n v="14500"/>
    <n v="60"/>
    <n v="0.317"/>
    <s v="Approved"/>
    <x v="1"/>
    <n v="1"/>
    <n v="0"/>
    <n v="14500"/>
    <n v="0.1648"/>
    <n v="2"/>
    <n v="1"/>
    <n v="1"/>
  </r>
  <r>
    <s v="LA-704879"/>
    <d v="2025-11-19T00:00:00"/>
    <x v="1"/>
    <s v="Q4"/>
    <x v="10"/>
    <x v="0"/>
    <x v="2"/>
    <x v="2"/>
    <x v="1"/>
    <x v="0"/>
    <n v="11500"/>
    <n v="42500"/>
    <n v="48"/>
    <n v="0.28499999999999998"/>
    <s v="Approved"/>
    <x v="1"/>
    <n v="1"/>
    <n v="0"/>
    <n v="34000"/>
    <n v="9.4600000000000004E-2"/>
    <n v="2"/>
    <n v="1"/>
    <n v="1"/>
  </r>
  <r>
    <s v="LA-704880"/>
    <d v="2025-11-19T00:00:00"/>
    <x v="1"/>
    <s v="Q4"/>
    <x v="10"/>
    <x v="2"/>
    <x v="1"/>
    <x v="0"/>
    <x v="1"/>
    <x v="4"/>
    <n v="5850"/>
    <n v="103500"/>
    <n v="12"/>
    <n v="1.7549999999999999"/>
    <s v="Rejected"/>
    <x v="3"/>
    <n v="0"/>
    <n v="1"/>
    <n v="0"/>
    <m/>
    <n v="5"/>
    <n v="1"/>
    <n v="1"/>
  </r>
  <r>
    <s v="LA-704881"/>
    <d v="2025-11-19T00:00:00"/>
    <x v="1"/>
    <s v="Q4"/>
    <x v="10"/>
    <x v="1"/>
    <x v="1"/>
    <x v="2"/>
    <x v="0"/>
    <x v="3"/>
    <n v="5500"/>
    <n v="9000"/>
    <n v="24"/>
    <n v="0.152"/>
    <s v="Approved"/>
    <x v="1"/>
    <n v="1"/>
    <n v="0"/>
    <n v="9000"/>
    <n v="0.1026"/>
    <n v="1"/>
    <n v="1"/>
    <n v="1"/>
  </r>
  <r>
    <s v="LA-704882"/>
    <d v="2025-11-20T00:00:00"/>
    <x v="1"/>
    <s v="Q4"/>
    <x v="10"/>
    <x v="2"/>
    <x v="1"/>
    <x v="1"/>
    <x v="0"/>
    <x v="3"/>
    <n v="8350"/>
    <n v="150000"/>
    <n v="60"/>
    <n v="0.499"/>
    <s v="Approved"/>
    <x v="1"/>
    <n v="1"/>
    <n v="0"/>
    <n v="150000"/>
    <n v="9.1600000000000001E-2"/>
    <n v="10"/>
    <n v="1"/>
    <n v="1"/>
  </r>
  <r>
    <s v="LA-704883"/>
    <d v="2025-11-20T00:00:00"/>
    <x v="1"/>
    <s v="Q4"/>
    <x v="10"/>
    <x v="1"/>
    <x v="1"/>
    <x v="1"/>
    <x v="2"/>
    <x v="3"/>
    <n v="11300"/>
    <n v="15500"/>
    <n v="48"/>
    <n v="0.2"/>
    <s v="Approved"/>
    <x v="1"/>
    <n v="1"/>
    <n v="0"/>
    <n v="14000"/>
    <n v="0.1164"/>
    <n v="2"/>
    <n v="1"/>
    <n v="1"/>
  </r>
  <r>
    <s v="LA-704884"/>
    <d v="2025-11-20T00:00:00"/>
    <x v="1"/>
    <s v="Q4"/>
    <x v="10"/>
    <x v="3"/>
    <x v="3"/>
    <x v="0"/>
    <x v="0"/>
    <x v="1"/>
    <n v="6950"/>
    <n v="454500"/>
    <n v="240"/>
    <n v="0.53100000000000003"/>
    <s v="Approved"/>
    <x v="1"/>
    <n v="1"/>
    <n v="0"/>
    <n v="454500"/>
    <n v="5.7700000000000001E-2"/>
    <n v="17"/>
    <n v="0"/>
    <n v="1"/>
  </r>
  <r>
    <s v="LA-704885"/>
    <d v="2025-11-20T00:00:00"/>
    <x v="1"/>
    <s v="Q4"/>
    <x v="10"/>
    <x v="0"/>
    <x v="0"/>
    <x v="1"/>
    <x v="2"/>
    <x v="4"/>
    <n v="9300"/>
    <n v="27500"/>
    <n v="60"/>
    <n v="0.14499999999999999"/>
    <s v="Approved"/>
    <x v="1"/>
    <n v="1"/>
    <n v="0"/>
    <n v="25000"/>
    <n v="7.7100000000000002E-2"/>
    <n v="5"/>
    <n v="0"/>
    <n v="1"/>
  </r>
  <r>
    <s v="LA-704886"/>
    <d v="2025-11-20T00:00:00"/>
    <x v="1"/>
    <s v="Q4"/>
    <x v="10"/>
    <x v="1"/>
    <x v="2"/>
    <x v="2"/>
    <x v="2"/>
    <x v="2"/>
    <n v="6150"/>
    <n v="17500"/>
    <n v="60"/>
    <n v="0.151"/>
    <s v="Rejected"/>
    <x v="0"/>
    <n v="0"/>
    <n v="1"/>
    <n v="0"/>
    <m/>
    <n v="4"/>
    <n v="0"/>
    <n v="1"/>
  </r>
  <r>
    <s v="LA-704887"/>
    <d v="2025-11-20T00:00:00"/>
    <x v="1"/>
    <s v="Q4"/>
    <x v="10"/>
    <x v="1"/>
    <x v="2"/>
    <x v="3"/>
    <x v="0"/>
    <x v="0"/>
    <n v="3650"/>
    <n v="28500"/>
    <n v="60"/>
    <n v="0.311"/>
    <s v="Approved"/>
    <x v="1"/>
    <n v="1"/>
    <n v="0"/>
    <n v="23000"/>
    <n v="0.14019999999999999"/>
    <n v="4"/>
    <n v="0"/>
    <n v="1"/>
  </r>
  <r>
    <s v="LA-704888"/>
    <d v="2025-11-20T00:00:00"/>
    <x v="1"/>
    <s v="Q4"/>
    <x v="10"/>
    <x v="1"/>
    <x v="3"/>
    <x v="0"/>
    <x v="0"/>
    <x v="0"/>
    <n v="8450"/>
    <n v="18500"/>
    <n v="36"/>
    <n v="0.13400000000000001"/>
    <s v="Approved"/>
    <x v="1"/>
    <n v="1"/>
    <n v="0"/>
    <n v="18500"/>
    <n v="0.1431"/>
    <n v="5"/>
    <n v="0"/>
    <n v="1"/>
  </r>
  <r>
    <s v="LA-704889"/>
    <d v="2025-11-21T00:00:00"/>
    <x v="1"/>
    <s v="Q4"/>
    <x v="10"/>
    <x v="1"/>
    <x v="1"/>
    <x v="2"/>
    <x v="0"/>
    <x v="0"/>
    <n v="5150"/>
    <n v="24000"/>
    <n v="48"/>
    <n v="0.27500000000000002"/>
    <s v="Approved"/>
    <x v="1"/>
    <n v="1"/>
    <n v="0"/>
    <n v="21500"/>
    <n v="0.13950000000000001"/>
    <n v="1"/>
    <n v="1"/>
    <n v="1"/>
  </r>
  <r>
    <s v="LA-704890"/>
    <d v="2025-11-21T00:00:00"/>
    <x v="1"/>
    <s v="Q4"/>
    <x v="10"/>
    <x v="1"/>
    <x v="0"/>
    <x v="3"/>
    <x v="2"/>
    <x v="4"/>
    <n v="6500"/>
    <n v="17000"/>
    <n v="60"/>
    <n v="0.29199999999999998"/>
    <s v="Approved"/>
    <x v="1"/>
    <n v="1"/>
    <n v="0"/>
    <n v="17000"/>
    <n v="0.11849999999999999"/>
    <n v="3"/>
    <n v="1"/>
    <n v="1"/>
  </r>
  <r>
    <s v="LA-704891"/>
    <d v="2025-11-21T00:00:00"/>
    <x v="1"/>
    <s v="Q4"/>
    <x v="10"/>
    <x v="0"/>
    <x v="2"/>
    <x v="2"/>
    <x v="0"/>
    <x v="0"/>
    <n v="8050"/>
    <n v="24000"/>
    <n v="48"/>
    <n v="0.161"/>
    <s v="Approved"/>
    <x v="1"/>
    <n v="1"/>
    <n v="0"/>
    <n v="21500"/>
    <n v="9.3100000000000002E-2"/>
    <n v="2"/>
    <n v="1"/>
    <n v="1"/>
  </r>
  <r>
    <s v="LA-704892"/>
    <d v="2025-11-21T00:00:00"/>
    <x v="1"/>
    <s v="Q4"/>
    <x v="10"/>
    <x v="1"/>
    <x v="3"/>
    <x v="3"/>
    <x v="1"/>
    <x v="2"/>
    <n v="12350"/>
    <n v="14500"/>
    <n v="12"/>
    <n v="0.32800000000000001"/>
    <s v="Rejected"/>
    <x v="0"/>
    <n v="0"/>
    <n v="1"/>
    <n v="0"/>
    <m/>
    <n v="6"/>
    <n v="0"/>
    <n v="1"/>
  </r>
  <r>
    <s v="LA-704893"/>
    <d v="2025-11-21T00:00:00"/>
    <x v="1"/>
    <s v="Q4"/>
    <x v="10"/>
    <x v="0"/>
    <x v="0"/>
    <x v="1"/>
    <x v="0"/>
    <x v="3"/>
    <n v="4800"/>
    <n v="19500"/>
    <n v="36"/>
    <n v="0.30299999999999999"/>
    <s v="Approved"/>
    <x v="1"/>
    <n v="1"/>
    <n v="0"/>
    <n v="17500"/>
    <n v="6.3600000000000004E-2"/>
    <n v="3"/>
    <n v="1"/>
    <n v="1"/>
  </r>
  <r>
    <s v="LA-704894"/>
    <d v="2025-11-21T00:00:00"/>
    <x v="1"/>
    <s v="Q4"/>
    <x v="10"/>
    <x v="0"/>
    <x v="3"/>
    <x v="2"/>
    <x v="2"/>
    <x v="4"/>
    <n v="8200"/>
    <n v="30000"/>
    <n v="60"/>
    <n v="0.26400000000000001"/>
    <s v="Approved"/>
    <x v="1"/>
    <n v="1"/>
    <n v="0"/>
    <n v="30000"/>
    <n v="7.2800000000000004E-2"/>
    <n v="4"/>
    <n v="1"/>
    <n v="1"/>
  </r>
  <r>
    <s v="LA-704895"/>
    <d v="2025-11-21T00:00:00"/>
    <x v="1"/>
    <s v="Q4"/>
    <x v="10"/>
    <x v="1"/>
    <x v="1"/>
    <x v="1"/>
    <x v="0"/>
    <x v="4"/>
    <n v="7950"/>
    <n v="5500"/>
    <n v="60"/>
    <n v="0.26100000000000001"/>
    <s v="Approved"/>
    <x v="1"/>
    <n v="1"/>
    <n v="0"/>
    <n v="5500"/>
    <n v="0.115"/>
    <n v="2"/>
    <n v="1"/>
    <n v="1"/>
  </r>
  <r>
    <s v="LA-704896"/>
    <d v="2025-11-21T00:00:00"/>
    <x v="1"/>
    <s v="Q4"/>
    <x v="10"/>
    <x v="0"/>
    <x v="2"/>
    <x v="0"/>
    <x v="0"/>
    <x v="4"/>
    <n v="6050"/>
    <n v="40500"/>
    <n v="48"/>
    <n v="0.39900000000000002"/>
    <s v="Rejected"/>
    <x v="5"/>
    <n v="0"/>
    <n v="1"/>
    <n v="0"/>
    <m/>
    <n v="2"/>
    <n v="1"/>
    <n v="1"/>
  </r>
  <r>
    <s v="LA-704897"/>
    <d v="2025-11-21T00:00:00"/>
    <x v="1"/>
    <s v="Q4"/>
    <x v="10"/>
    <x v="3"/>
    <x v="1"/>
    <x v="4"/>
    <x v="1"/>
    <x v="1"/>
    <n v="4400"/>
    <n v="217500"/>
    <n v="240"/>
    <n v="0.47"/>
    <s v="Approved"/>
    <x v="1"/>
    <n v="1"/>
    <n v="0"/>
    <n v="174000"/>
    <n v="6.2199999999999998E-2"/>
    <n v="6"/>
    <n v="1"/>
    <n v="1"/>
  </r>
  <r>
    <s v="LA-704898"/>
    <d v="2025-11-21T00:00:00"/>
    <x v="1"/>
    <s v="Q4"/>
    <x v="10"/>
    <x v="1"/>
    <x v="1"/>
    <x v="2"/>
    <x v="0"/>
    <x v="1"/>
    <n v="3550"/>
    <n v="11500"/>
    <n v="60"/>
    <n v="0.255"/>
    <s v="Approved"/>
    <x v="1"/>
    <n v="1"/>
    <n v="0"/>
    <n v="11500"/>
    <n v="0.12509999999999999"/>
    <n v="2"/>
    <n v="1"/>
    <n v="1"/>
  </r>
  <r>
    <s v="LA-704899"/>
    <d v="2025-11-22T00:00:00"/>
    <x v="1"/>
    <s v="Q4"/>
    <x v="10"/>
    <x v="3"/>
    <x v="2"/>
    <x v="2"/>
    <x v="2"/>
    <x v="4"/>
    <n v="6000"/>
    <n v="341000"/>
    <n v="180"/>
    <n v="0.68300000000000005"/>
    <s v="Approved"/>
    <x v="1"/>
    <n v="1"/>
    <n v="0"/>
    <n v="341000"/>
    <n v="5.16E-2"/>
    <n v="6"/>
    <n v="1"/>
    <n v="1"/>
  </r>
  <r>
    <s v="LA-704900"/>
    <d v="2025-11-22T00:00:00"/>
    <x v="1"/>
    <s v="Q4"/>
    <x v="10"/>
    <x v="1"/>
    <x v="2"/>
    <x v="2"/>
    <x v="0"/>
    <x v="1"/>
    <n v="10650"/>
    <n v="7000"/>
    <n v="12"/>
    <n v="0.17199999999999999"/>
    <s v="Approved"/>
    <x v="1"/>
    <n v="1"/>
    <n v="0"/>
    <n v="7000"/>
    <n v="0.12659999999999999"/>
    <n v="1"/>
    <n v="1"/>
    <n v="1"/>
  </r>
  <r>
    <s v="LA-704901"/>
    <d v="2025-11-22T00:00:00"/>
    <x v="1"/>
    <s v="Q4"/>
    <x v="10"/>
    <x v="0"/>
    <x v="1"/>
    <x v="2"/>
    <x v="2"/>
    <x v="1"/>
    <n v="11200"/>
    <n v="19000"/>
    <n v="36"/>
    <n v="0.24099999999999999"/>
    <s v="Approved"/>
    <x v="1"/>
    <n v="1"/>
    <n v="0"/>
    <n v="19000"/>
    <n v="8.09E-2"/>
    <n v="1"/>
    <n v="1"/>
    <n v="1"/>
  </r>
  <r>
    <s v="LA-704902"/>
    <d v="2025-11-23T00:00:00"/>
    <x v="1"/>
    <s v="Q4"/>
    <x v="10"/>
    <x v="0"/>
    <x v="2"/>
    <x v="3"/>
    <x v="1"/>
    <x v="0"/>
    <n v="7700"/>
    <n v="20500"/>
    <n v="48"/>
    <n v="0.152"/>
    <s v="Approved"/>
    <x v="1"/>
    <n v="1"/>
    <n v="0"/>
    <n v="20500"/>
    <n v="9.5600000000000004E-2"/>
    <n v="2"/>
    <n v="1"/>
    <n v="1"/>
  </r>
  <r>
    <s v="LA-704903"/>
    <d v="2025-11-24T00:00:00"/>
    <x v="1"/>
    <s v="Q4"/>
    <x v="10"/>
    <x v="1"/>
    <x v="1"/>
    <x v="3"/>
    <x v="1"/>
    <x v="3"/>
    <n v="5250"/>
    <n v="7000"/>
    <n v="24"/>
    <n v="0.192"/>
    <s v="Approved"/>
    <x v="1"/>
    <n v="1"/>
    <n v="0"/>
    <n v="6500"/>
    <n v="0.1066"/>
    <n v="1"/>
    <n v="1"/>
    <n v="1"/>
  </r>
  <r>
    <s v="LA-704904"/>
    <d v="2025-11-24T00:00:00"/>
    <x v="1"/>
    <s v="Q4"/>
    <x v="10"/>
    <x v="3"/>
    <x v="2"/>
    <x v="1"/>
    <x v="0"/>
    <x v="1"/>
    <n v="3800"/>
    <n v="638500"/>
    <n v="180"/>
    <n v="1.405"/>
    <s v="Rejected"/>
    <x v="3"/>
    <n v="0"/>
    <n v="1"/>
    <n v="0"/>
    <m/>
    <n v="3"/>
    <n v="1"/>
    <n v="1"/>
  </r>
  <r>
    <s v="LA-704905"/>
    <d v="2025-11-24T00:00:00"/>
    <x v="1"/>
    <s v="Q4"/>
    <x v="10"/>
    <x v="0"/>
    <x v="3"/>
    <x v="1"/>
    <x v="1"/>
    <x v="4"/>
    <n v="3450"/>
    <n v="12000"/>
    <n v="48"/>
    <n v="0.13800000000000001"/>
    <s v="Approved"/>
    <x v="1"/>
    <n v="1"/>
    <n v="0"/>
    <n v="12000"/>
    <n v="7.1499999999999994E-2"/>
    <n v="4"/>
    <n v="1"/>
    <n v="1"/>
  </r>
  <r>
    <s v="LA-704906"/>
    <d v="2025-11-24T00:00:00"/>
    <x v="1"/>
    <s v="Q4"/>
    <x v="10"/>
    <x v="1"/>
    <x v="3"/>
    <x v="3"/>
    <x v="0"/>
    <x v="0"/>
    <n v="7700"/>
    <n v="17000"/>
    <n v="36"/>
    <n v="0.23899999999999999"/>
    <s v="Approved"/>
    <x v="1"/>
    <n v="1"/>
    <n v="0"/>
    <n v="15500"/>
    <n v="0.1419"/>
    <n v="6"/>
    <n v="0"/>
    <n v="1"/>
  </r>
  <r>
    <s v="LA-704907"/>
    <d v="2025-11-24T00:00:00"/>
    <x v="1"/>
    <s v="Q4"/>
    <x v="10"/>
    <x v="1"/>
    <x v="3"/>
    <x v="3"/>
    <x v="0"/>
    <x v="0"/>
    <n v="3250"/>
    <n v="8000"/>
    <n v="12"/>
    <n v="0.40500000000000003"/>
    <s v="Rejected"/>
    <x v="0"/>
    <n v="0"/>
    <n v="1"/>
    <n v="0"/>
    <m/>
    <n v="3"/>
    <n v="1"/>
    <n v="1"/>
  </r>
  <r>
    <s v="LA-704908"/>
    <d v="2025-11-24T00:00:00"/>
    <x v="1"/>
    <s v="Q4"/>
    <x v="10"/>
    <x v="0"/>
    <x v="2"/>
    <x v="4"/>
    <x v="1"/>
    <x v="0"/>
    <n v="6900"/>
    <n v="28000"/>
    <n v="48"/>
    <n v="0.32200000000000001"/>
    <s v="Rejected"/>
    <x v="0"/>
    <n v="0"/>
    <n v="1"/>
    <n v="0"/>
    <m/>
    <n v="3"/>
    <n v="1"/>
    <n v="1"/>
  </r>
  <r>
    <s v="LA-704909"/>
    <d v="2025-11-25T00:00:00"/>
    <x v="1"/>
    <s v="Q4"/>
    <x v="10"/>
    <x v="1"/>
    <x v="1"/>
    <x v="2"/>
    <x v="0"/>
    <x v="1"/>
    <n v="7050"/>
    <n v="15000"/>
    <n v="36"/>
    <n v="0.159"/>
    <s v="Approved"/>
    <x v="1"/>
    <n v="1"/>
    <n v="0"/>
    <n v="15000"/>
    <n v="0.12709999999999999"/>
    <n v="1"/>
    <n v="1"/>
    <n v="1"/>
  </r>
  <r>
    <s v="LA-704910"/>
    <d v="2025-11-25T00:00:00"/>
    <x v="1"/>
    <s v="Q4"/>
    <x v="10"/>
    <x v="2"/>
    <x v="0"/>
    <x v="4"/>
    <x v="2"/>
    <x v="1"/>
    <n v="4650"/>
    <n v="62500"/>
    <n v="60"/>
    <n v="0.496"/>
    <s v="Approved"/>
    <x v="1"/>
    <n v="1"/>
    <n v="0"/>
    <n v="62500"/>
    <n v="0.11360000000000001"/>
    <n v="8"/>
    <n v="1"/>
    <n v="1"/>
  </r>
  <r>
    <s v="LA-704911"/>
    <d v="2025-11-25T00:00:00"/>
    <x v="1"/>
    <s v="Q4"/>
    <x v="10"/>
    <x v="1"/>
    <x v="3"/>
    <x v="3"/>
    <x v="0"/>
    <x v="1"/>
    <n v="3050"/>
    <n v="8500"/>
    <n v="48"/>
    <n v="0.17499999999999999"/>
    <s v="Approved"/>
    <x v="1"/>
    <n v="1"/>
    <n v="0"/>
    <n v="8500"/>
    <n v="0.1235"/>
    <n v="3"/>
    <n v="1"/>
    <n v="1"/>
  </r>
  <r>
    <s v="LA-704912"/>
    <d v="2025-11-25T00:00:00"/>
    <x v="1"/>
    <s v="Q4"/>
    <x v="10"/>
    <x v="2"/>
    <x v="3"/>
    <x v="4"/>
    <x v="0"/>
    <x v="4"/>
    <n v="6000"/>
    <n v="72000"/>
    <n v="36"/>
    <n v="0.46100000000000002"/>
    <s v="Approved"/>
    <x v="1"/>
    <n v="1"/>
    <n v="0"/>
    <n v="72000"/>
    <n v="9.3799999999999994E-2"/>
    <n v="16"/>
    <n v="0"/>
    <n v="1"/>
  </r>
  <r>
    <s v="LA-704913"/>
    <d v="2025-11-25T00:00:00"/>
    <x v="1"/>
    <s v="Q4"/>
    <x v="10"/>
    <x v="2"/>
    <x v="2"/>
    <x v="2"/>
    <x v="2"/>
    <x v="0"/>
    <n v="4300"/>
    <n v="64500"/>
    <n v="36"/>
    <n v="0.63500000000000001"/>
    <s v="Rejected"/>
    <x v="0"/>
    <n v="0"/>
    <n v="1"/>
    <n v="0"/>
    <m/>
    <n v="3"/>
    <n v="1"/>
    <n v="1"/>
  </r>
  <r>
    <s v="LA-704914"/>
    <d v="2025-11-25T00:00:00"/>
    <x v="1"/>
    <s v="Q4"/>
    <x v="10"/>
    <x v="0"/>
    <x v="2"/>
    <x v="1"/>
    <x v="1"/>
    <x v="4"/>
    <n v="6800"/>
    <n v="32000"/>
    <n v="60"/>
    <n v="0.31"/>
    <s v="Approved"/>
    <x v="1"/>
    <n v="1"/>
    <n v="0"/>
    <n v="25500"/>
    <n v="6.8699999999999997E-2"/>
    <n v="2"/>
    <n v="1"/>
    <n v="1"/>
  </r>
  <r>
    <s v="LA-704915"/>
    <d v="2025-11-25T00:00:00"/>
    <x v="1"/>
    <s v="Q4"/>
    <x v="10"/>
    <x v="1"/>
    <x v="3"/>
    <x v="0"/>
    <x v="1"/>
    <x v="1"/>
    <n v="6650"/>
    <n v="15000"/>
    <n v="12"/>
    <n v="0.33700000000000002"/>
    <s v="Withdrawn"/>
    <x v="1"/>
    <n v="0"/>
    <n v="0"/>
    <n v="0"/>
    <m/>
    <n v="3"/>
    <n v="1"/>
    <n v="1"/>
  </r>
  <r>
    <s v="LA-704916"/>
    <d v="2025-11-25T00:00:00"/>
    <x v="1"/>
    <s v="Q4"/>
    <x v="10"/>
    <x v="0"/>
    <x v="1"/>
    <x v="3"/>
    <x v="0"/>
    <x v="4"/>
    <n v="4700"/>
    <n v="12500"/>
    <n v="60"/>
    <n v="0.114"/>
    <s v="Approved"/>
    <x v="1"/>
    <n v="1"/>
    <n v="0"/>
    <n v="11000"/>
    <n v="7.46E-2"/>
    <n v="2"/>
    <n v="1"/>
    <n v="1"/>
  </r>
  <r>
    <s v="LA-704917"/>
    <d v="2025-11-25T00:00:00"/>
    <x v="1"/>
    <s v="Q4"/>
    <x v="10"/>
    <x v="0"/>
    <x v="3"/>
    <x v="3"/>
    <x v="1"/>
    <x v="1"/>
    <n v="5650"/>
    <n v="35500"/>
    <n v="60"/>
    <n v="0.35399999999999998"/>
    <s v="Approved"/>
    <x v="1"/>
    <n v="1"/>
    <n v="0"/>
    <n v="35500"/>
    <n v="7.9100000000000004E-2"/>
    <n v="7"/>
    <n v="0"/>
    <n v="1"/>
  </r>
  <r>
    <s v="LA-704918"/>
    <d v="2025-11-25T00:00:00"/>
    <x v="1"/>
    <s v="Q4"/>
    <x v="10"/>
    <x v="0"/>
    <x v="3"/>
    <x v="2"/>
    <x v="1"/>
    <x v="1"/>
    <n v="5200"/>
    <n v="59500"/>
    <n v="36"/>
    <n v="0.57399999999999995"/>
    <s v="Rejected"/>
    <x v="3"/>
    <n v="0"/>
    <n v="1"/>
    <n v="0"/>
    <m/>
    <n v="10"/>
    <n v="0"/>
    <n v="1"/>
  </r>
  <r>
    <s v="LA-704919"/>
    <d v="2025-11-25T00:00:00"/>
    <x v="1"/>
    <s v="Q4"/>
    <x v="10"/>
    <x v="3"/>
    <x v="0"/>
    <x v="3"/>
    <x v="0"/>
    <x v="0"/>
    <n v="4000"/>
    <n v="314000"/>
    <n v="180"/>
    <n v="0.72299999999999998"/>
    <s v="Rejected"/>
    <x v="0"/>
    <n v="0"/>
    <n v="1"/>
    <n v="0"/>
    <m/>
    <n v="14"/>
    <n v="1"/>
    <n v="1"/>
  </r>
  <r>
    <s v="LA-704920"/>
    <d v="2025-11-25T00:00:00"/>
    <x v="1"/>
    <s v="Q4"/>
    <x v="10"/>
    <x v="2"/>
    <x v="0"/>
    <x v="0"/>
    <x v="0"/>
    <x v="3"/>
    <n v="4450"/>
    <n v="56500"/>
    <n v="60"/>
    <n v="0.48"/>
    <s v="Approved"/>
    <x v="1"/>
    <n v="1"/>
    <n v="0"/>
    <n v="51000"/>
    <n v="9.0800000000000006E-2"/>
    <n v="8"/>
    <n v="1"/>
    <n v="1"/>
  </r>
  <r>
    <s v="LA-704921"/>
    <d v="2025-11-25T00:00:00"/>
    <x v="1"/>
    <s v="Q4"/>
    <x v="10"/>
    <x v="0"/>
    <x v="1"/>
    <x v="4"/>
    <x v="2"/>
    <x v="4"/>
    <n v="4350"/>
    <n v="26500"/>
    <n v="48"/>
    <n v="0.24299999999999999"/>
    <s v="Approved"/>
    <x v="1"/>
    <n v="1"/>
    <n v="0"/>
    <n v="26500"/>
    <n v="7.7700000000000005E-2"/>
    <n v="2"/>
    <n v="1"/>
    <n v="1"/>
  </r>
  <r>
    <s v="LA-704922"/>
    <d v="2025-11-25T00:00:00"/>
    <x v="1"/>
    <s v="Q4"/>
    <x v="10"/>
    <x v="3"/>
    <x v="0"/>
    <x v="2"/>
    <x v="1"/>
    <x v="1"/>
    <n v="10050"/>
    <n v="106000"/>
    <n v="300"/>
    <n v="0.30099999999999999"/>
    <s v="Rejected"/>
    <x v="2"/>
    <n v="0"/>
    <n v="1"/>
    <n v="0"/>
    <m/>
    <n v="17"/>
    <n v="0"/>
    <n v="1"/>
  </r>
  <r>
    <s v="LA-704923"/>
    <d v="2025-11-26T00:00:00"/>
    <x v="1"/>
    <s v="Q4"/>
    <x v="10"/>
    <x v="2"/>
    <x v="1"/>
    <x v="0"/>
    <x v="1"/>
    <x v="4"/>
    <n v="9250"/>
    <n v="90500"/>
    <n v="12"/>
    <n v="0.99299999999999999"/>
    <s v="Approved"/>
    <x v="1"/>
    <n v="1"/>
    <n v="0"/>
    <n v="90500"/>
    <n v="9.6000000000000002E-2"/>
    <n v="3"/>
    <n v="1"/>
    <n v="1"/>
  </r>
  <r>
    <s v="LA-704924"/>
    <d v="2025-11-26T00:00:00"/>
    <x v="1"/>
    <s v="Q4"/>
    <x v="10"/>
    <x v="0"/>
    <x v="1"/>
    <x v="1"/>
    <x v="0"/>
    <x v="1"/>
    <n v="5250"/>
    <n v="22500"/>
    <n v="60"/>
    <n v="0.156"/>
    <s v="Approved"/>
    <x v="1"/>
    <n v="1"/>
    <n v="0"/>
    <n v="20000"/>
    <n v="8.6900000000000005E-2"/>
    <n v="1"/>
    <n v="1"/>
    <n v="1"/>
  </r>
  <r>
    <s v="LA-704925"/>
    <d v="2025-11-26T00:00:00"/>
    <x v="1"/>
    <s v="Q4"/>
    <x v="10"/>
    <x v="1"/>
    <x v="2"/>
    <x v="3"/>
    <x v="1"/>
    <x v="3"/>
    <n v="5200"/>
    <n v="23500"/>
    <n v="12"/>
    <n v="0.52600000000000002"/>
    <s v="Approved"/>
    <x v="1"/>
    <n v="1"/>
    <n v="0"/>
    <n v="23500"/>
    <n v="0.1118"/>
    <n v="1"/>
    <n v="1"/>
    <n v="1"/>
  </r>
  <r>
    <s v="LA-704926"/>
    <d v="2025-11-26T00:00:00"/>
    <x v="1"/>
    <s v="Q4"/>
    <x v="10"/>
    <x v="0"/>
    <x v="3"/>
    <x v="1"/>
    <x v="0"/>
    <x v="3"/>
    <n v="8150"/>
    <n v="32500"/>
    <n v="36"/>
    <n v="0.23300000000000001"/>
    <s v="Approved"/>
    <x v="1"/>
    <n v="1"/>
    <n v="0"/>
    <n v="32500"/>
    <n v="6.9800000000000001E-2"/>
    <n v="6"/>
    <n v="0"/>
    <n v="1"/>
  </r>
  <r>
    <s v="LA-704927"/>
    <d v="2025-11-26T00:00:00"/>
    <x v="1"/>
    <s v="Q4"/>
    <x v="10"/>
    <x v="1"/>
    <x v="0"/>
    <x v="3"/>
    <x v="0"/>
    <x v="1"/>
    <n v="7300"/>
    <n v="10500"/>
    <n v="48"/>
    <n v="0.255"/>
    <s v="Approved"/>
    <x v="1"/>
    <n v="1"/>
    <n v="0"/>
    <n v="8500"/>
    <n v="0.122"/>
    <n v="6"/>
    <n v="0"/>
    <n v="1"/>
  </r>
  <r>
    <s v="LA-704928"/>
    <d v="2025-11-26T00:00:00"/>
    <x v="1"/>
    <s v="Q4"/>
    <x v="10"/>
    <x v="0"/>
    <x v="1"/>
    <x v="3"/>
    <x v="1"/>
    <x v="0"/>
    <n v="11400"/>
    <n v="35500"/>
    <n v="48"/>
    <n v="0.191"/>
    <s v="Withdrawn"/>
    <x v="1"/>
    <n v="0"/>
    <n v="0"/>
    <n v="0"/>
    <m/>
    <n v="3"/>
    <n v="1"/>
    <n v="1"/>
  </r>
  <r>
    <s v="LA-704929"/>
    <d v="2025-11-26T00:00:00"/>
    <x v="1"/>
    <s v="Q4"/>
    <x v="10"/>
    <x v="1"/>
    <x v="0"/>
    <x v="2"/>
    <x v="1"/>
    <x v="1"/>
    <n v="6700"/>
    <n v="12000"/>
    <n v="60"/>
    <n v="0.183"/>
    <s v="Rejected"/>
    <x v="4"/>
    <n v="0"/>
    <n v="1"/>
    <n v="0"/>
    <m/>
    <n v="6"/>
    <n v="0"/>
    <n v="1"/>
  </r>
  <r>
    <s v="LA-704930"/>
    <d v="2025-11-26T00:00:00"/>
    <x v="1"/>
    <s v="Q4"/>
    <x v="10"/>
    <x v="3"/>
    <x v="3"/>
    <x v="1"/>
    <x v="2"/>
    <x v="4"/>
    <n v="6250"/>
    <n v="223000"/>
    <n v="180"/>
    <n v="0.437"/>
    <s v="Rejected"/>
    <x v="4"/>
    <n v="0"/>
    <n v="1"/>
    <n v="0"/>
    <m/>
    <n v="16"/>
    <n v="0"/>
    <n v="1"/>
  </r>
  <r>
    <s v="LA-704931"/>
    <d v="2025-11-26T00:00:00"/>
    <x v="1"/>
    <s v="Q4"/>
    <x v="10"/>
    <x v="1"/>
    <x v="3"/>
    <x v="3"/>
    <x v="2"/>
    <x v="1"/>
    <n v="4450"/>
    <n v="7500"/>
    <n v="60"/>
    <n v="0.22700000000000001"/>
    <s v="Approved"/>
    <x v="1"/>
    <n v="1"/>
    <n v="0"/>
    <n v="7500"/>
    <n v="0.1303"/>
    <n v="3"/>
    <n v="1"/>
    <n v="1"/>
  </r>
  <r>
    <s v="LA-704932"/>
    <d v="2025-11-26T00:00:00"/>
    <x v="1"/>
    <s v="Q4"/>
    <x v="10"/>
    <x v="0"/>
    <x v="3"/>
    <x v="2"/>
    <x v="1"/>
    <x v="0"/>
    <n v="3900"/>
    <n v="19500"/>
    <n v="60"/>
    <n v="0.16900000000000001"/>
    <s v="Approved"/>
    <x v="1"/>
    <n v="1"/>
    <n v="0"/>
    <n v="15500"/>
    <n v="9.7799999999999998E-2"/>
    <n v="5"/>
    <n v="0"/>
    <n v="1"/>
  </r>
  <r>
    <s v="LA-704933"/>
    <d v="2025-11-26T00:00:00"/>
    <x v="1"/>
    <s v="Q4"/>
    <x v="10"/>
    <x v="1"/>
    <x v="3"/>
    <x v="3"/>
    <x v="1"/>
    <x v="0"/>
    <n v="4250"/>
    <n v="17500"/>
    <n v="60"/>
    <n v="0.33200000000000002"/>
    <s v="Approved"/>
    <x v="1"/>
    <n v="1"/>
    <n v="0"/>
    <n v="17500"/>
    <n v="0.14030000000000001"/>
    <n v="3"/>
    <n v="1"/>
    <n v="1"/>
  </r>
  <r>
    <s v="LA-704934"/>
    <d v="2025-11-26T00:00:00"/>
    <x v="1"/>
    <s v="Q4"/>
    <x v="10"/>
    <x v="2"/>
    <x v="3"/>
    <x v="2"/>
    <x v="0"/>
    <x v="0"/>
    <n v="3500"/>
    <n v="142500"/>
    <n v="36"/>
    <n v="1.508"/>
    <s v="Rejected"/>
    <x v="0"/>
    <n v="0"/>
    <n v="1"/>
    <n v="0"/>
    <m/>
    <n v="12"/>
    <n v="0"/>
    <n v="1"/>
  </r>
  <r>
    <s v="LA-704935"/>
    <d v="2025-11-26T00:00:00"/>
    <x v="1"/>
    <s v="Q4"/>
    <x v="10"/>
    <x v="2"/>
    <x v="3"/>
    <x v="1"/>
    <x v="0"/>
    <x v="0"/>
    <n v="5400"/>
    <n v="64000"/>
    <n v="24"/>
    <n v="0.61399999999999999"/>
    <s v="Rejected"/>
    <x v="0"/>
    <n v="0"/>
    <n v="1"/>
    <n v="0"/>
    <m/>
    <n v="25"/>
    <n v="0"/>
    <n v="1"/>
  </r>
  <r>
    <s v="LA-704936"/>
    <d v="2025-11-27T00:00:00"/>
    <x v="1"/>
    <s v="Q4"/>
    <x v="10"/>
    <x v="2"/>
    <x v="3"/>
    <x v="2"/>
    <x v="1"/>
    <x v="2"/>
    <n v="5350"/>
    <n v="155500"/>
    <n v="36"/>
    <n v="1.147"/>
    <s v="Rejected"/>
    <x v="4"/>
    <n v="0"/>
    <n v="1"/>
    <n v="0"/>
    <m/>
    <n v="14"/>
    <n v="0"/>
    <n v="1"/>
  </r>
  <r>
    <s v="LA-704937"/>
    <d v="2025-11-27T00:00:00"/>
    <x v="1"/>
    <s v="Q4"/>
    <x v="10"/>
    <x v="3"/>
    <x v="2"/>
    <x v="3"/>
    <x v="1"/>
    <x v="4"/>
    <n v="6500"/>
    <n v="202000"/>
    <n v="300"/>
    <n v="0.41599999999999998"/>
    <s v="Approved"/>
    <x v="1"/>
    <n v="1"/>
    <n v="0"/>
    <n v="182000"/>
    <n v="5.1400000000000001E-2"/>
    <n v="12"/>
    <n v="1"/>
    <n v="1"/>
  </r>
  <r>
    <s v="LA-704938"/>
    <d v="2025-11-27T00:00:00"/>
    <x v="1"/>
    <s v="Q4"/>
    <x v="10"/>
    <x v="1"/>
    <x v="1"/>
    <x v="1"/>
    <x v="1"/>
    <x v="3"/>
    <n v="5550"/>
    <n v="8000"/>
    <n v="48"/>
    <n v="9.1999999999999998E-2"/>
    <s v="Approved"/>
    <x v="1"/>
    <n v="1"/>
    <n v="0"/>
    <n v="6500"/>
    <n v="0.1133"/>
    <n v="2"/>
    <n v="1"/>
    <n v="1"/>
  </r>
  <r>
    <s v="LA-704939"/>
    <d v="2025-11-27T00:00:00"/>
    <x v="1"/>
    <s v="Q4"/>
    <x v="10"/>
    <x v="2"/>
    <x v="3"/>
    <x v="1"/>
    <x v="0"/>
    <x v="0"/>
    <n v="6250"/>
    <n v="104000"/>
    <n v="60"/>
    <n v="0.54400000000000004"/>
    <s v="Rejected"/>
    <x v="0"/>
    <n v="0"/>
    <n v="1"/>
    <n v="0"/>
    <m/>
    <n v="18"/>
    <n v="0"/>
    <n v="1"/>
  </r>
  <r>
    <s v="LA-704940"/>
    <d v="2025-11-27T00:00:00"/>
    <x v="1"/>
    <s v="Q4"/>
    <x v="10"/>
    <x v="2"/>
    <x v="1"/>
    <x v="2"/>
    <x v="1"/>
    <x v="2"/>
    <n v="4500"/>
    <n v="71000"/>
    <n v="60"/>
    <n v="0.44700000000000001"/>
    <s v="Approved"/>
    <x v="1"/>
    <n v="1"/>
    <n v="0"/>
    <n v="71000"/>
    <n v="0.14699999999999999"/>
    <n v="7"/>
    <n v="1"/>
    <n v="1"/>
  </r>
  <r>
    <s v="LA-704941"/>
    <d v="2025-11-27T00:00:00"/>
    <x v="1"/>
    <s v="Q4"/>
    <x v="10"/>
    <x v="1"/>
    <x v="1"/>
    <x v="4"/>
    <x v="0"/>
    <x v="4"/>
    <n v="6100"/>
    <n v="11000"/>
    <n v="48"/>
    <n v="0.251"/>
    <s v="Approved"/>
    <x v="1"/>
    <n v="1"/>
    <n v="0"/>
    <n v="11000"/>
    <n v="0.1154"/>
    <n v="2"/>
    <n v="1"/>
    <n v="1"/>
  </r>
  <r>
    <s v="LA-704942"/>
    <d v="2025-11-27T00:00:00"/>
    <x v="1"/>
    <s v="Q4"/>
    <x v="10"/>
    <x v="1"/>
    <x v="1"/>
    <x v="3"/>
    <x v="2"/>
    <x v="1"/>
    <n v="6850"/>
    <n v="12000"/>
    <n v="36"/>
    <n v="0.122"/>
    <s v="Rejected"/>
    <x v="2"/>
    <n v="0"/>
    <n v="1"/>
    <n v="0"/>
    <m/>
    <n v="1"/>
    <n v="1"/>
    <n v="1"/>
  </r>
  <r>
    <s v="LA-704943"/>
    <d v="2025-11-28T00:00:00"/>
    <x v="1"/>
    <s v="Q4"/>
    <x v="10"/>
    <x v="1"/>
    <x v="1"/>
    <x v="2"/>
    <x v="2"/>
    <x v="1"/>
    <n v="5200"/>
    <n v="18500"/>
    <n v="24"/>
    <n v="0.39100000000000001"/>
    <s v="Approved"/>
    <x v="1"/>
    <n v="1"/>
    <n v="0"/>
    <n v="18500"/>
    <n v="0.12529999999999999"/>
    <n v="2"/>
    <n v="1"/>
    <n v="1"/>
  </r>
  <r>
    <s v="LA-704944"/>
    <d v="2025-11-28T00:00:00"/>
    <x v="1"/>
    <s v="Q4"/>
    <x v="10"/>
    <x v="0"/>
    <x v="1"/>
    <x v="2"/>
    <x v="1"/>
    <x v="1"/>
    <n v="5700"/>
    <n v="40000"/>
    <n v="36"/>
    <n v="0.32900000000000001"/>
    <s v="Approved"/>
    <x v="1"/>
    <n v="1"/>
    <n v="0"/>
    <n v="40000"/>
    <n v="8.3400000000000002E-2"/>
    <n v="2"/>
    <n v="1"/>
    <n v="1"/>
  </r>
  <r>
    <s v="LA-704945"/>
    <d v="2025-11-28T00:00:00"/>
    <x v="1"/>
    <s v="Q4"/>
    <x v="10"/>
    <x v="1"/>
    <x v="2"/>
    <x v="2"/>
    <x v="0"/>
    <x v="0"/>
    <n v="8900"/>
    <n v="17500"/>
    <n v="24"/>
    <n v="0.32700000000000001"/>
    <s v="Rejected"/>
    <x v="0"/>
    <n v="0"/>
    <n v="1"/>
    <n v="0"/>
    <m/>
    <n v="1"/>
    <n v="1"/>
    <n v="1"/>
  </r>
  <r>
    <s v="LA-704946"/>
    <d v="2025-11-28T00:00:00"/>
    <x v="1"/>
    <s v="Q4"/>
    <x v="10"/>
    <x v="1"/>
    <x v="3"/>
    <x v="3"/>
    <x v="0"/>
    <x v="4"/>
    <n v="7100"/>
    <n v="11000"/>
    <n v="12"/>
    <n v="0.23899999999999999"/>
    <s v="Rejected"/>
    <x v="4"/>
    <n v="0"/>
    <n v="1"/>
    <n v="0"/>
    <m/>
    <n v="9"/>
    <n v="0"/>
    <n v="1"/>
  </r>
  <r>
    <s v="LA-704947"/>
    <d v="2025-11-29T00:00:00"/>
    <x v="1"/>
    <s v="Q4"/>
    <x v="10"/>
    <x v="1"/>
    <x v="3"/>
    <x v="1"/>
    <x v="0"/>
    <x v="1"/>
    <n v="6000"/>
    <n v="25000"/>
    <n v="60"/>
    <n v="0.316"/>
    <s v="Approved"/>
    <x v="1"/>
    <n v="1"/>
    <n v="0"/>
    <n v="20000"/>
    <n v="0.13439999999999999"/>
    <n v="6"/>
    <n v="0"/>
    <n v="1"/>
  </r>
  <r>
    <s v="LA-704948"/>
    <d v="2025-11-29T00:00:00"/>
    <x v="1"/>
    <s v="Q4"/>
    <x v="10"/>
    <x v="2"/>
    <x v="1"/>
    <x v="1"/>
    <x v="0"/>
    <x v="1"/>
    <n v="8200"/>
    <n v="144500"/>
    <n v="60"/>
    <n v="0.55300000000000005"/>
    <s v="Rejected"/>
    <x v="3"/>
    <n v="0"/>
    <n v="1"/>
    <n v="0"/>
    <m/>
    <n v="4"/>
    <n v="1"/>
    <n v="1"/>
  </r>
  <r>
    <s v="LA-704949"/>
    <d v="2025-11-29T00:00:00"/>
    <x v="1"/>
    <s v="Q4"/>
    <x v="10"/>
    <x v="2"/>
    <x v="1"/>
    <x v="2"/>
    <x v="0"/>
    <x v="1"/>
    <n v="5950"/>
    <n v="182500"/>
    <n v="12"/>
    <n v="2.9279999999999999"/>
    <s v="Rejected"/>
    <x v="3"/>
    <n v="0"/>
    <n v="1"/>
    <n v="0"/>
    <m/>
    <n v="7"/>
    <n v="1"/>
    <n v="1"/>
  </r>
  <r>
    <s v="LA-704950"/>
    <d v="2025-11-29T00:00:00"/>
    <x v="1"/>
    <s v="Q4"/>
    <x v="10"/>
    <x v="0"/>
    <x v="3"/>
    <x v="4"/>
    <x v="0"/>
    <x v="0"/>
    <n v="6150"/>
    <n v="33500"/>
    <n v="60"/>
    <n v="0.30099999999999999"/>
    <s v="Approved"/>
    <x v="1"/>
    <n v="1"/>
    <n v="0"/>
    <n v="30000"/>
    <n v="9.5500000000000002E-2"/>
    <n v="4"/>
    <n v="1"/>
    <n v="1"/>
  </r>
  <r>
    <s v="LA-704951"/>
    <d v="2025-11-29T00:00:00"/>
    <x v="1"/>
    <s v="Q4"/>
    <x v="10"/>
    <x v="1"/>
    <x v="3"/>
    <x v="3"/>
    <x v="2"/>
    <x v="2"/>
    <n v="5950"/>
    <n v="9000"/>
    <n v="48"/>
    <n v="0.27300000000000002"/>
    <s v="Withdrawn"/>
    <x v="1"/>
    <n v="0"/>
    <n v="0"/>
    <n v="0"/>
    <m/>
    <n v="5"/>
    <n v="0"/>
    <n v="1"/>
  </r>
  <r>
    <s v="LA-704952"/>
    <d v="2025-11-29T00:00:00"/>
    <x v="1"/>
    <s v="Q4"/>
    <x v="10"/>
    <x v="0"/>
    <x v="1"/>
    <x v="3"/>
    <x v="2"/>
    <x v="0"/>
    <n v="4900"/>
    <n v="91000"/>
    <n v="36"/>
    <n v="0.73"/>
    <s v="Rejected"/>
    <x v="0"/>
    <n v="0"/>
    <n v="1"/>
    <n v="0"/>
    <m/>
    <n v="2"/>
    <n v="1"/>
    <n v="1"/>
  </r>
  <r>
    <s v="LA-704953"/>
    <d v="2025-11-29T00:00:00"/>
    <x v="1"/>
    <s v="Q4"/>
    <x v="10"/>
    <x v="1"/>
    <x v="2"/>
    <x v="2"/>
    <x v="1"/>
    <x v="3"/>
    <n v="4900"/>
    <n v="13000"/>
    <n v="12"/>
    <n v="0.376"/>
    <s v="Approved"/>
    <x v="1"/>
    <n v="1"/>
    <n v="0"/>
    <n v="13000"/>
    <n v="0.11020000000000001"/>
    <n v="2"/>
    <n v="1"/>
    <n v="1"/>
  </r>
  <r>
    <s v="LA-704954"/>
    <d v="2025-11-29T00:00:00"/>
    <x v="1"/>
    <s v="Q4"/>
    <x v="10"/>
    <x v="2"/>
    <x v="2"/>
    <x v="4"/>
    <x v="1"/>
    <x v="4"/>
    <n v="6950"/>
    <n v="57000"/>
    <n v="36"/>
    <n v="0.41699999999999998"/>
    <s v="Approved"/>
    <x v="1"/>
    <n v="1"/>
    <n v="0"/>
    <n v="57000"/>
    <n v="0.1"/>
    <n v="5"/>
    <n v="1"/>
    <n v="1"/>
  </r>
  <r>
    <s v="LA-704955"/>
    <d v="2025-11-30T00:00:00"/>
    <x v="1"/>
    <s v="Q4"/>
    <x v="10"/>
    <x v="2"/>
    <x v="0"/>
    <x v="1"/>
    <x v="0"/>
    <x v="1"/>
    <n v="8100"/>
    <n v="68000"/>
    <n v="24"/>
    <n v="0.50900000000000001"/>
    <s v="Approved"/>
    <x v="1"/>
    <n v="1"/>
    <n v="0"/>
    <n v="68000"/>
    <n v="0.1033"/>
    <n v="12"/>
    <n v="0"/>
    <n v="1"/>
  </r>
  <r>
    <s v="LA-704956"/>
    <d v="2025-11-30T00:00:00"/>
    <x v="1"/>
    <s v="Q4"/>
    <x v="10"/>
    <x v="0"/>
    <x v="1"/>
    <x v="4"/>
    <x v="2"/>
    <x v="1"/>
    <n v="3550"/>
    <n v="49000"/>
    <n v="48"/>
    <n v="0.49299999999999999"/>
    <s v="Approved"/>
    <x v="1"/>
    <n v="1"/>
    <n v="0"/>
    <n v="49000"/>
    <n v="9.0300000000000005E-2"/>
    <n v="3"/>
    <n v="1"/>
    <n v="1"/>
  </r>
  <r>
    <s v="LA-704957"/>
    <d v="2025-11-30T00:00:00"/>
    <x v="1"/>
    <s v="Q4"/>
    <x v="10"/>
    <x v="1"/>
    <x v="3"/>
    <x v="2"/>
    <x v="0"/>
    <x v="3"/>
    <n v="3800"/>
    <n v="6500"/>
    <n v="12"/>
    <n v="0.29099999999999998"/>
    <s v="Approved"/>
    <x v="1"/>
    <n v="1"/>
    <n v="0"/>
    <n v="6500"/>
    <n v="0.10730000000000001"/>
    <n v="6"/>
    <n v="0"/>
    <n v="1"/>
  </r>
  <r>
    <s v="LA-704958"/>
    <d v="2025-11-30T00:00:00"/>
    <x v="1"/>
    <s v="Q4"/>
    <x v="10"/>
    <x v="0"/>
    <x v="3"/>
    <x v="2"/>
    <x v="2"/>
    <x v="1"/>
    <n v="7650"/>
    <n v="36000"/>
    <n v="48"/>
    <n v="0.32300000000000001"/>
    <s v="Rejected"/>
    <x v="0"/>
    <n v="0"/>
    <n v="1"/>
    <n v="0"/>
    <m/>
    <n v="4"/>
    <n v="1"/>
    <n v="1"/>
  </r>
  <r>
    <s v="LA-704959"/>
    <d v="2025-11-30T00:00:00"/>
    <x v="1"/>
    <s v="Q4"/>
    <x v="10"/>
    <x v="0"/>
    <x v="2"/>
    <x v="2"/>
    <x v="0"/>
    <x v="1"/>
    <n v="3050"/>
    <n v="26000"/>
    <n v="60"/>
    <n v="0.32100000000000001"/>
    <s v="Approved"/>
    <x v="1"/>
    <n v="1"/>
    <n v="0"/>
    <n v="26000"/>
    <n v="7.9000000000000001E-2"/>
    <n v="4"/>
    <n v="1"/>
    <n v="1"/>
  </r>
  <r>
    <s v="LA-704960"/>
    <d v="2025-11-30T00:00:00"/>
    <x v="1"/>
    <s v="Q4"/>
    <x v="10"/>
    <x v="0"/>
    <x v="1"/>
    <x v="0"/>
    <x v="0"/>
    <x v="1"/>
    <n v="9750"/>
    <n v="68500"/>
    <n v="60"/>
    <n v="0.311"/>
    <s v="Approved"/>
    <x v="1"/>
    <n v="1"/>
    <n v="0"/>
    <n v="68500"/>
    <n v="8.2600000000000007E-2"/>
    <n v="1"/>
    <n v="1"/>
    <n v="1"/>
  </r>
  <r>
    <s v="LA-704961"/>
    <d v="2025-11-30T00:00:00"/>
    <x v="1"/>
    <s v="Q4"/>
    <x v="10"/>
    <x v="1"/>
    <x v="3"/>
    <x v="0"/>
    <x v="1"/>
    <x v="1"/>
    <n v="3250"/>
    <n v="15000"/>
    <n v="48"/>
    <n v="0.32700000000000001"/>
    <s v="Approved"/>
    <x v="1"/>
    <n v="1"/>
    <n v="0"/>
    <n v="15000"/>
    <n v="0.1202"/>
    <n v="4"/>
    <n v="0"/>
    <n v="1"/>
  </r>
  <r>
    <s v="LA-704962"/>
    <d v="2025-11-30T00:00:00"/>
    <x v="1"/>
    <s v="Q4"/>
    <x v="10"/>
    <x v="1"/>
    <x v="2"/>
    <x v="4"/>
    <x v="1"/>
    <x v="0"/>
    <n v="11000"/>
    <n v="5000"/>
    <n v="36"/>
    <n v="0.14000000000000001"/>
    <s v="Withdrawn"/>
    <x v="1"/>
    <n v="0"/>
    <n v="0"/>
    <n v="0"/>
    <m/>
    <n v="2"/>
    <n v="1"/>
    <n v="1"/>
  </r>
  <r>
    <s v="LA-704963"/>
    <d v="2025-12-01T00:00:00"/>
    <x v="1"/>
    <s v="Q4"/>
    <x v="11"/>
    <x v="1"/>
    <x v="1"/>
    <x v="3"/>
    <x v="1"/>
    <x v="3"/>
    <n v="4450"/>
    <n v="7000"/>
    <n v="48"/>
    <n v="0.223"/>
    <s v="Approved"/>
    <x v="1"/>
    <n v="1"/>
    <n v="0"/>
    <n v="7000"/>
    <n v="0.10340000000000001"/>
    <n v="2"/>
    <n v="1"/>
    <n v="1"/>
  </r>
  <r>
    <s v="LA-704964"/>
    <d v="2025-12-01T00:00:00"/>
    <x v="1"/>
    <s v="Q4"/>
    <x v="11"/>
    <x v="1"/>
    <x v="1"/>
    <x v="0"/>
    <x v="1"/>
    <x v="1"/>
    <n v="4100"/>
    <n v="8500"/>
    <n v="24"/>
    <n v="0.30599999999999999"/>
    <s v="Approved"/>
    <x v="1"/>
    <n v="1"/>
    <n v="0"/>
    <n v="7500"/>
    <n v="0.12909999999999999"/>
    <n v="1"/>
    <n v="1"/>
    <n v="1"/>
  </r>
  <r>
    <s v="LA-704965"/>
    <d v="2025-12-01T00:00:00"/>
    <x v="1"/>
    <s v="Q4"/>
    <x v="11"/>
    <x v="1"/>
    <x v="3"/>
    <x v="0"/>
    <x v="0"/>
    <x v="0"/>
    <n v="7700"/>
    <n v="18500"/>
    <n v="36"/>
    <n v="0.26800000000000002"/>
    <s v="Rejected"/>
    <x v="0"/>
    <n v="0"/>
    <n v="1"/>
    <n v="0"/>
    <m/>
    <n v="6"/>
    <n v="0"/>
    <n v="1"/>
  </r>
  <r>
    <s v="LA-704966"/>
    <d v="2025-12-01T00:00:00"/>
    <x v="1"/>
    <s v="Q4"/>
    <x v="11"/>
    <x v="0"/>
    <x v="3"/>
    <x v="4"/>
    <x v="0"/>
    <x v="0"/>
    <n v="4300"/>
    <n v="49500"/>
    <n v="60"/>
    <n v="0.46899999999999997"/>
    <s v="Rejected"/>
    <x v="3"/>
    <n v="0"/>
    <n v="1"/>
    <n v="0"/>
    <m/>
    <n v="3"/>
    <n v="1"/>
    <n v="1"/>
  </r>
  <r>
    <s v="LA-704967"/>
    <d v="2025-12-01T00:00:00"/>
    <x v="1"/>
    <s v="Q4"/>
    <x v="11"/>
    <x v="0"/>
    <x v="1"/>
    <x v="3"/>
    <x v="1"/>
    <x v="0"/>
    <n v="9050"/>
    <n v="17500"/>
    <n v="36"/>
    <n v="0.20200000000000001"/>
    <s v="Rejected"/>
    <x v="0"/>
    <n v="0"/>
    <n v="1"/>
    <n v="0"/>
    <m/>
    <n v="2"/>
    <n v="1"/>
    <n v="1"/>
  </r>
  <r>
    <s v="LA-704968"/>
    <d v="2025-12-01T00:00:00"/>
    <x v="1"/>
    <s v="Q4"/>
    <x v="11"/>
    <x v="0"/>
    <x v="3"/>
    <x v="3"/>
    <x v="0"/>
    <x v="0"/>
    <n v="3650"/>
    <n v="23500"/>
    <n v="48"/>
    <n v="0.38500000000000001"/>
    <s v="Approved"/>
    <x v="1"/>
    <n v="1"/>
    <n v="0"/>
    <n v="21000"/>
    <n v="9.8599999999999993E-2"/>
    <n v="7"/>
    <n v="0"/>
    <n v="1"/>
  </r>
  <r>
    <s v="LA-704969"/>
    <d v="2025-12-01T00:00:00"/>
    <x v="1"/>
    <s v="Q4"/>
    <x v="11"/>
    <x v="0"/>
    <x v="3"/>
    <x v="2"/>
    <x v="1"/>
    <x v="1"/>
    <n v="4300"/>
    <n v="10500"/>
    <n v="48"/>
    <n v="0.17499999999999999"/>
    <s v="Withdrawn"/>
    <x v="1"/>
    <n v="0"/>
    <n v="0"/>
    <n v="0"/>
    <m/>
    <n v="3"/>
    <n v="1"/>
    <n v="1"/>
  </r>
  <r>
    <s v="LA-704970"/>
    <d v="2025-12-01T00:00:00"/>
    <x v="1"/>
    <s v="Q4"/>
    <x v="11"/>
    <x v="0"/>
    <x v="1"/>
    <x v="2"/>
    <x v="1"/>
    <x v="1"/>
    <n v="6400"/>
    <n v="15500"/>
    <n v="60"/>
    <n v="0.29199999999999998"/>
    <s v="Approved"/>
    <x v="1"/>
    <n v="1"/>
    <n v="0"/>
    <n v="15500"/>
    <n v="8.4699999999999998E-2"/>
    <n v="3"/>
    <n v="1"/>
    <n v="1"/>
  </r>
  <r>
    <s v="LA-704971"/>
    <d v="2025-12-01T00:00:00"/>
    <x v="1"/>
    <s v="Q4"/>
    <x v="11"/>
    <x v="1"/>
    <x v="2"/>
    <x v="1"/>
    <x v="2"/>
    <x v="1"/>
    <n v="5600"/>
    <n v="23000"/>
    <n v="36"/>
    <n v="0.27300000000000002"/>
    <s v="Approved"/>
    <x v="1"/>
    <n v="1"/>
    <n v="0"/>
    <n v="23000"/>
    <n v="0.1239"/>
    <n v="2"/>
    <n v="1"/>
    <n v="1"/>
  </r>
  <r>
    <s v="LA-704972"/>
    <d v="2025-12-02T00:00:00"/>
    <x v="1"/>
    <s v="Q4"/>
    <x v="11"/>
    <x v="0"/>
    <x v="1"/>
    <x v="2"/>
    <x v="1"/>
    <x v="0"/>
    <n v="5750"/>
    <n v="32500"/>
    <n v="48"/>
    <n v="0.34599999999999997"/>
    <s v="Approved"/>
    <x v="1"/>
    <n v="1"/>
    <n v="0"/>
    <n v="29000"/>
    <n v="9.4299999999999995E-2"/>
    <n v="1"/>
    <n v="1"/>
    <n v="1"/>
  </r>
  <r>
    <s v="LA-704973"/>
    <d v="2025-12-02T00:00:00"/>
    <x v="1"/>
    <s v="Q4"/>
    <x v="11"/>
    <x v="2"/>
    <x v="3"/>
    <x v="2"/>
    <x v="0"/>
    <x v="4"/>
    <n v="3800"/>
    <n v="75000"/>
    <n v="24"/>
    <n v="1.0429999999999999"/>
    <s v="Approved"/>
    <x v="1"/>
    <n v="1"/>
    <n v="0"/>
    <n v="75000"/>
    <n v="9.7199999999999995E-2"/>
    <n v="18"/>
    <n v="0"/>
    <n v="1"/>
  </r>
  <r>
    <s v="LA-704974"/>
    <d v="2025-12-02T00:00:00"/>
    <x v="1"/>
    <s v="Q4"/>
    <x v="11"/>
    <x v="1"/>
    <x v="3"/>
    <x v="2"/>
    <x v="1"/>
    <x v="1"/>
    <n v="3350"/>
    <n v="10000"/>
    <n v="60"/>
    <n v="0.27900000000000003"/>
    <s v="Rejected"/>
    <x v="0"/>
    <n v="0"/>
    <n v="1"/>
    <n v="0"/>
    <m/>
    <n v="2"/>
    <n v="1"/>
    <n v="1"/>
  </r>
  <r>
    <s v="LA-704975"/>
    <d v="2025-12-02T00:00:00"/>
    <x v="1"/>
    <s v="Q4"/>
    <x v="11"/>
    <x v="3"/>
    <x v="3"/>
    <x v="2"/>
    <x v="1"/>
    <x v="1"/>
    <n v="3300"/>
    <n v="178000"/>
    <n v="240"/>
    <n v="0.48299999999999998"/>
    <s v="Withdrawn"/>
    <x v="1"/>
    <n v="0"/>
    <n v="0"/>
    <n v="0"/>
    <m/>
    <n v="17"/>
    <n v="0"/>
    <n v="1"/>
  </r>
  <r>
    <s v="LA-704976"/>
    <d v="2025-12-02T00:00:00"/>
    <x v="1"/>
    <s v="Q4"/>
    <x v="11"/>
    <x v="0"/>
    <x v="0"/>
    <x v="1"/>
    <x v="0"/>
    <x v="4"/>
    <n v="7150"/>
    <n v="56000"/>
    <n v="36"/>
    <n v="0.48"/>
    <s v="Approved"/>
    <x v="1"/>
    <n v="1"/>
    <n v="0"/>
    <n v="56000"/>
    <n v="7.0900000000000005E-2"/>
    <n v="3"/>
    <n v="1"/>
    <n v="1"/>
  </r>
  <r>
    <s v="LA-704977"/>
    <d v="2025-12-02T00:00:00"/>
    <x v="1"/>
    <s v="Q4"/>
    <x v="11"/>
    <x v="0"/>
    <x v="1"/>
    <x v="1"/>
    <x v="0"/>
    <x v="1"/>
    <n v="4700"/>
    <n v="17000"/>
    <n v="48"/>
    <n v="0.246"/>
    <s v="Approved"/>
    <x v="1"/>
    <n v="1"/>
    <n v="0"/>
    <n v="15500"/>
    <n v="8.1600000000000006E-2"/>
    <n v="1"/>
    <n v="1"/>
    <n v="1"/>
  </r>
  <r>
    <s v="LA-704978"/>
    <d v="2025-12-02T00:00:00"/>
    <x v="1"/>
    <s v="Q4"/>
    <x v="11"/>
    <x v="1"/>
    <x v="2"/>
    <x v="1"/>
    <x v="1"/>
    <x v="0"/>
    <n v="9300"/>
    <n v="11000"/>
    <n v="24"/>
    <n v="0.22"/>
    <s v="Rejected"/>
    <x v="0"/>
    <n v="0"/>
    <n v="1"/>
    <n v="0"/>
    <m/>
    <n v="2"/>
    <n v="1"/>
    <n v="1"/>
  </r>
  <r>
    <s v="LA-704979"/>
    <d v="2025-12-02T00:00:00"/>
    <x v="1"/>
    <s v="Q4"/>
    <x v="11"/>
    <x v="3"/>
    <x v="1"/>
    <x v="4"/>
    <x v="1"/>
    <x v="0"/>
    <n v="5200"/>
    <n v="336500"/>
    <n v="300"/>
    <n v="0.52600000000000002"/>
    <s v="Rejected"/>
    <x v="4"/>
    <n v="0"/>
    <n v="1"/>
    <n v="0"/>
    <m/>
    <n v="8"/>
    <n v="1"/>
    <n v="1"/>
  </r>
  <r>
    <s v="LA-704980"/>
    <d v="2025-12-03T00:00:00"/>
    <x v="1"/>
    <s v="Q4"/>
    <x v="11"/>
    <x v="3"/>
    <x v="2"/>
    <x v="2"/>
    <x v="0"/>
    <x v="1"/>
    <n v="7800"/>
    <n v="333000"/>
    <n v="180"/>
    <n v="0.439"/>
    <s v="Rejected"/>
    <x v="4"/>
    <n v="0"/>
    <n v="1"/>
    <n v="0"/>
    <m/>
    <n v="10"/>
    <n v="1"/>
    <n v="1"/>
  </r>
  <r>
    <s v="LA-704981"/>
    <d v="2025-12-03T00:00:00"/>
    <x v="1"/>
    <s v="Q4"/>
    <x v="11"/>
    <x v="0"/>
    <x v="1"/>
    <x v="2"/>
    <x v="2"/>
    <x v="1"/>
    <n v="12850"/>
    <n v="62000"/>
    <n v="48"/>
    <n v="0.28000000000000003"/>
    <s v="Rejected"/>
    <x v="4"/>
    <n v="0"/>
    <n v="1"/>
    <n v="0"/>
    <m/>
    <n v="5"/>
    <n v="0"/>
    <n v="1"/>
  </r>
  <r>
    <s v="LA-704982"/>
    <d v="2025-12-03T00:00:00"/>
    <x v="1"/>
    <s v="Q4"/>
    <x v="11"/>
    <x v="3"/>
    <x v="3"/>
    <x v="3"/>
    <x v="0"/>
    <x v="4"/>
    <n v="13250"/>
    <n v="423500"/>
    <n v="300"/>
    <n v="0.315"/>
    <s v="Approved"/>
    <x v="1"/>
    <n v="1"/>
    <n v="0"/>
    <n v="381000"/>
    <n v="4.7800000000000002E-2"/>
    <n v="18"/>
    <n v="0"/>
    <n v="1"/>
  </r>
  <r>
    <s v="LA-704983"/>
    <d v="2025-12-03T00:00:00"/>
    <x v="1"/>
    <s v="Q4"/>
    <x v="11"/>
    <x v="1"/>
    <x v="3"/>
    <x v="4"/>
    <x v="0"/>
    <x v="1"/>
    <n v="6500"/>
    <n v="12500"/>
    <n v="36"/>
    <n v="0.13100000000000001"/>
    <s v="Approved"/>
    <x v="1"/>
    <n v="1"/>
    <n v="0"/>
    <n v="12500"/>
    <n v="0.1265"/>
    <n v="4"/>
    <n v="0"/>
    <n v="1"/>
  </r>
  <r>
    <s v="LA-704984"/>
    <d v="2025-12-03T00:00:00"/>
    <x v="1"/>
    <s v="Q4"/>
    <x v="11"/>
    <x v="1"/>
    <x v="1"/>
    <x v="3"/>
    <x v="0"/>
    <x v="1"/>
    <n v="8000"/>
    <n v="15000"/>
    <n v="24"/>
    <n v="0.26600000000000001"/>
    <s v="Approved"/>
    <x v="1"/>
    <n v="1"/>
    <n v="0"/>
    <n v="15000"/>
    <n v="0.1249"/>
    <n v="2"/>
    <n v="1"/>
    <n v="1"/>
  </r>
  <r>
    <s v="LA-704985"/>
    <d v="2025-12-03T00:00:00"/>
    <x v="1"/>
    <s v="Q4"/>
    <x v="11"/>
    <x v="2"/>
    <x v="1"/>
    <x v="0"/>
    <x v="0"/>
    <x v="1"/>
    <n v="4350"/>
    <n v="44000"/>
    <n v="60"/>
    <n v="0.33300000000000002"/>
    <s v="Approved"/>
    <x v="1"/>
    <n v="1"/>
    <n v="0"/>
    <n v="35000"/>
    <n v="0.1061"/>
    <n v="7"/>
    <n v="1"/>
    <n v="1"/>
  </r>
  <r>
    <s v="LA-704986"/>
    <d v="2025-12-03T00:00:00"/>
    <x v="1"/>
    <s v="Q4"/>
    <x v="11"/>
    <x v="1"/>
    <x v="1"/>
    <x v="1"/>
    <x v="0"/>
    <x v="4"/>
    <n v="5500"/>
    <n v="15500"/>
    <n v="24"/>
    <n v="0.29099999999999998"/>
    <s v="Approved"/>
    <x v="1"/>
    <n v="1"/>
    <n v="0"/>
    <n v="12500"/>
    <n v="0.1109"/>
    <n v="2"/>
    <n v="1"/>
    <n v="1"/>
  </r>
  <r>
    <s v="LA-704987"/>
    <d v="2025-12-03T00:00:00"/>
    <x v="1"/>
    <s v="Q4"/>
    <x v="11"/>
    <x v="1"/>
    <x v="3"/>
    <x v="2"/>
    <x v="1"/>
    <x v="1"/>
    <n v="5600"/>
    <n v="20500"/>
    <n v="24"/>
    <n v="0.28399999999999997"/>
    <s v="Approved"/>
    <x v="1"/>
    <n v="1"/>
    <n v="0"/>
    <n v="20500"/>
    <n v="0.1246"/>
    <n v="3"/>
    <n v="1"/>
    <n v="1"/>
  </r>
  <r>
    <s v="LA-704988"/>
    <d v="2025-12-03T00:00:00"/>
    <x v="1"/>
    <s v="Q4"/>
    <x v="11"/>
    <x v="1"/>
    <x v="2"/>
    <x v="2"/>
    <x v="0"/>
    <x v="1"/>
    <n v="3600"/>
    <n v="10500"/>
    <n v="12"/>
    <n v="0.33700000000000002"/>
    <s v="Approved"/>
    <x v="1"/>
    <n v="1"/>
    <n v="0"/>
    <n v="10500"/>
    <n v="0.125"/>
    <n v="3"/>
    <n v="1"/>
    <n v="1"/>
  </r>
  <r>
    <s v="LA-704989"/>
    <d v="2025-12-04T00:00:00"/>
    <x v="1"/>
    <s v="Q4"/>
    <x v="11"/>
    <x v="1"/>
    <x v="2"/>
    <x v="2"/>
    <x v="1"/>
    <x v="1"/>
    <n v="4400"/>
    <n v="33000"/>
    <n v="36"/>
    <n v="0.40300000000000002"/>
    <s v="Rejected"/>
    <x v="0"/>
    <n v="0"/>
    <n v="1"/>
    <n v="0"/>
    <m/>
    <n v="2"/>
    <n v="1"/>
    <n v="1"/>
  </r>
  <r>
    <s v="LA-704990"/>
    <d v="2025-12-04T00:00:00"/>
    <x v="1"/>
    <s v="Q4"/>
    <x v="11"/>
    <x v="3"/>
    <x v="1"/>
    <x v="1"/>
    <x v="1"/>
    <x v="4"/>
    <n v="6600"/>
    <n v="109500"/>
    <n v="180"/>
    <n v="0.316"/>
    <s v="Rejected"/>
    <x v="0"/>
    <n v="0"/>
    <n v="1"/>
    <n v="0"/>
    <m/>
    <n v="10"/>
    <n v="1"/>
    <n v="1"/>
  </r>
  <r>
    <s v="LA-704991"/>
    <d v="2025-12-04T00:00:00"/>
    <x v="1"/>
    <s v="Q4"/>
    <x v="11"/>
    <x v="1"/>
    <x v="3"/>
    <x v="1"/>
    <x v="2"/>
    <x v="2"/>
    <n v="4800"/>
    <n v="6500"/>
    <n v="24"/>
    <n v="0.187"/>
    <s v="Approved"/>
    <x v="1"/>
    <n v="1"/>
    <n v="0"/>
    <n v="6000"/>
    <n v="0.1542"/>
    <n v="4"/>
    <n v="0"/>
    <n v="1"/>
  </r>
  <r>
    <s v="LA-704992"/>
    <d v="2025-12-04T00:00:00"/>
    <x v="1"/>
    <s v="Q4"/>
    <x v="11"/>
    <x v="2"/>
    <x v="3"/>
    <x v="1"/>
    <x v="0"/>
    <x v="1"/>
    <n v="8300"/>
    <n v="94500"/>
    <n v="36"/>
    <n v="0.58699999999999997"/>
    <s v="Rejected"/>
    <x v="3"/>
    <n v="0"/>
    <n v="1"/>
    <n v="0"/>
    <m/>
    <n v="9"/>
    <n v="1"/>
    <n v="1"/>
  </r>
  <r>
    <s v="LA-704993"/>
    <d v="2025-12-05T00:00:00"/>
    <x v="1"/>
    <s v="Q4"/>
    <x v="11"/>
    <x v="0"/>
    <x v="3"/>
    <x v="2"/>
    <x v="1"/>
    <x v="2"/>
    <n v="11150"/>
    <n v="21000"/>
    <n v="60"/>
    <n v="0.22700000000000001"/>
    <s v="Rejected"/>
    <x v="0"/>
    <n v="0"/>
    <n v="1"/>
    <n v="0"/>
    <m/>
    <n v="7"/>
    <n v="0"/>
    <n v="1"/>
  </r>
  <r>
    <s v="LA-704994"/>
    <d v="2025-12-05T00:00:00"/>
    <x v="1"/>
    <s v="Q4"/>
    <x v="11"/>
    <x v="1"/>
    <x v="3"/>
    <x v="4"/>
    <x v="0"/>
    <x v="1"/>
    <n v="3800"/>
    <n v="11000"/>
    <n v="24"/>
    <n v="0.254"/>
    <s v="Approved"/>
    <x v="1"/>
    <n v="1"/>
    <n v="0"/>
    <n v="11000"/>
    <n v="0.12620000000000001"/>
    <n v="4"/>
    <n v="0"/>
    <n v="1"/>
  </r>
  <r>
    <s v="LA-704995"/>
    <d v="2025-12-05T00:00:00"/>
    <x v="1"/>
    <s v="Q4"/>
    <x v="11"/>
    <x v="3"/>
    <x v="3"/>
    <x v="1"/>
    <x v="2"/>
    <x v="3"/>
    <n v="11000"/>
    <n v="257500"/>
    <n v="300"/>
    <n v="0.33300000000000002"/>
    <s v="Approved"/>
    <x v="1"/>
    <n v="1"/>
    <n v="0"/>
    <n v="206000"/>
    <n v="4.8000000000000001E-2"/>
    <n v="28"/>
    <n v="0"/>
    <n v="1"/>
  </r>
  <r>
    <s v="LA-704996"/>
    <d v="2025-12-05T00:00:00"/>
    <x v="1"/>
    <s v="Q4"/>
    <x v="11"/>
    <x v="3"/>
    <x v="2"/>
    <x v="3"/>
    <x v="2"/>
    <x v="1"/>
    <n v="3300"/>
    <n v="363500"/>
    <n v="180"/>
    <n v="1.087"/>
    <s v="Approved"/>
    <x v="1"/>
    <n v="1"/>
    <n v="0"/>
    <n v="363500"/>
    <n v="6.2199999999999998E-2"/>
    <n v="14"/>
    <n v="1"/>
    <n v="1"/>
  </r>
  <r>
    <s v="LA-704997"/>
    <d v="2025-12-05T00:00:00"/>
    <x v="1"/>
    <s v="Q4"/>
    <x v="11"/>
    <x v="1"/>
    <x v="1"/>
    <x v="2"/>
    <x v="2"/>
    <x v="4"/>
    <n v="5050"/>
    <n v="10500"/>
    <n v="48"/>
    <n v="0.124"/>
    <s v="Approved"/>
    <x v="1"/>
    <n v="1"/>
    <n v="0"/>
    <n v="9500"/>
    <n v="0.1177"/>
    <n v="2"/>
    <n v="1"/>
    <n v="1"/>
  </r>
  <r>
    <s v="LA-704998"/>
    <d v="2025-12-05T00:00:00"/>
    <x v="1"/>
    <s v="Q4"/>
    <x v="11"/>
    <x v="3"/>
    <x v="1"/>
    <x v="4"/>
    <x v="1"/>
    <x v="2"/>
    <n v="3650"/>
    <n v="119500"/>
    <n v="300"/>
    <n v="0.24299999999999999"/>
    <s v="Rejected"/>
    <x v="5"/>
    <n v="0"/>
    <n v="1"/>
    <n v="0"/>
    <m/>
    <n v="13"/>
    <n v="1"/>
    <n v="1"/>
  </r>
  <r>
    <s v="LA-704999"/>
    <d v="2025-12-05T00:00:00"/>
    <x v="1"/>
    <s v="Q4"/>
    <x v="11"/>
    <x v="0"/>
    <x v="3"/>
    <x v="3"/>
    <x v="0"/>
    <x v="2"/>
    <n v="5800"/>
    <n v="34500"/>
    <n v="36"/>
    <n v="0.38300000000000001"/>
    <s v="Rejected"/>
    <x v="5"/>
    <n v="0"/>
    <n v="1"/>
    <n v="0"/>
    <m/>
    <n v="7"/>
    <n v="0"/>
    <n v="1"/>
  </r>
  <r>
    <s v="LA-705000"/>
    <d v="2025-12-05T00:00:00"/>
    <x v="1"/>
    <s v="Q4"/>
    <x v="11"/>
    <x v="0"/>
    <x v="1"/>
    <x v="2"/>
    <x v="1"/>
    <x v="1"/>
    <n v="4700"/>
    <n v="25500"/>
    <n v="48"/>
    <n v="0.25900000000000001"/>
    <s v="Approved"/>
    <x v="1"/>
    <n v="1"/>
    <n v="0"/>
    <n v="25500"/>
    <n v="7.8E-2"/>
    <n v="2"/>
    <n v="1"/>
    <n v="1"/>
  </r>
  <r>
    <s v="LA-705001"/>
    <d v="2025-12-05T00:00:00"/>
    <x v="1"/>
    <s v="Q4"/>
    <x v="11"/>
    <x v="1"/>
    <x v="1"/>
    <x v="3"/>
    <x v="0"/>
    <x v="1"/>
    <n v="3200"/>
    <n v="28000"/>
    <n v="24"/>
    <n v="0.63100000000000001"/>
    <s v="Approved"/>
    <x v="1"/>
    <n v="1"/>
    <n v="0"/>
    <n v="25000"/>
    <n v="0.12470000000000001"/>
    <n v="1"/>
    <n v="1"/>
    <n v="1"/>
  </r>
  <r>
    <s v="LA-705002"/>
    <d v="2025-12-05T00:00:00"/>
    <x v="1"/>
    <s v="Q4"/>
    <x v="11"/>
    <x v="1"/>
    <x v="2"/>
    <x v="2"/>
    <x v="1"/>
    <x v="0"/>
    <n v="6150"/>
    <n v="15000"/>
    <n v="60"/>
    <n v="0.159"/>
    <s v="Approved"/>
    <x v="1"/>
    <n v="1"/>
    <n v="0"/>
    <n v="15000"/>
    <n v="0.14050000000000001"/>
    <n v="3"/>
    <n v="1"/>
    <n v="1"/>
  </r>
  <r>
    <s v="LA-705003"/>
    <d v="2025-12-06T00:00:00"/>
    <x v="1"/>
    <s v="Q4"/>
    <x v="11"/>
    <x v="1"/>
    <x v="1"/>
    <x v="4"/>
    <x v="0"/>
    <x v="1"/>
    <n v="4700"/>
    <n v="6500"/>
    <n v="48"/>
    <n v="0.20100000000000001"/>
    <s v="Approved"/>
    <x v="1"/>
    <n v="1"/>
    <n v="0"/>
    <n v="6500"/>
    <n v="0.13020000000000001"/>
    <n v="2"/>
    <n v="1"/>
    <n v="1"/>
  </r>
  <r>
    <s v="LA-705004"/>
    <d v="2025-12-06T00:00:00"/>
    <x v="1"/>
    <s v="Q4"/>
    <x v="11"/>
    <x v="3"/>
    <x v="2"/>
    <x v="2"/>
    <x v="2"/>
    <x v="4"/>
    <n v="3550"/>
    <n v="265000"/>
    <n v="180"/>
    <n v="0.72"/>
    <s v="Approved"/>
    <x v="1"/>
    <n v="1"/>
    <n v="0"/>
    <n v="265000"/>
    <n v="5.16E-2"/>
    <n v="10"/>
    <n v="1"/>
    <n v="1"/>
  </r>
  <r>
    <s v="LA-705005"/>
    <d v="2025-12-06T00:00:00"/>
    <x v="1"/>
    <s v="Q4"/>
    <x v="11"/>
    <x v="0"/>
    <x v="3"/>
    <x v="2"/>
    <x v="0"/>
    <x v="1"/>
    <n v="4000"/>
    <n v="36500"/>
    <n v="60"/>
    <n v="0.42799999999999999"/>
    <s v="Approved"/>
    <x v="1"/>
    <n v="1"/>
    <n v="0"/>
    <n v="36500"/>
    <n v="8.2000000000000003E-2"/>
    <n v="3"/>
    <n v="1"/>
    <n v="1"/>
  </r>
  <r>
    <s v="LA-705006"/>
    <d v="2025-12-06T00:00:00"/>
    <x v="1"/>
    <s v="Q4"/>
    <x v="11"/>
    <x v="0"/>
    <x v="3"/>
    <x v="1"/>
    <x v="0"/>
    <x v="0"/>
    <n v="5900"/>
    <n v="7000"/>
    <n v="48"/>
    <n v="0.126"/>
    <s v="Approved"/>
    <x v="1"/>
    <n v="1"/>
    <n v="0"/>
    <n v="6500"/>
    <n v="9.9699999999999997E-2"/>
    <n v="12"/>
    <n v="0"/>
    <n v="1"/>
  </r>
  <r>
    <s v="LA-705007"/>
    <d v="2025-12-07T00:00:00"/>
    <x v="1"/>
    <s v="Q4"/>
    <x v="11"/>
    <x v="2"/>
    <x v="3"/>
    <x v="0"/>
    <x v="1"/>
    <x v="4"/>
    <n v="3000"/>
    <n v="93000"/>
    <n v="24"/>
    <n v="1.4990000000000001"/>
    <s v="Rejected"/>
    <x v="3"/>
    <n v="0"/>
    <n v="1"/>
    <n v="0"/>
    <m/>
    <n v="13"/>
    <n v="0"/>
    <n v="1"/>
  </r>
  <r>
    <s v="LA-705008"/>
    <d v="2025-12-07T00:00:00"/>
    <x v="1"/>
    <s v="Q4"/>
    <x v="11"/>
    <x v="1"/>
    <x v="1"/>
    <x v="2"/>
    <x v="0"/>
    <x v="1"/>
    <n v="2800"/>
    <n v="6500"/>
    <n v="36"/>
    <n v="0.26500000000000001"/>
    <s v="Approved"/>
    <x v="1"/>
    <n v="1"/>
    <n v="0"/>
    <n v="6500"/>
    <n v="0.1231"/>
    <n v="1"/>
    <n v="1"/>
    <n v="1"/>
  </r>
  <r>
    <s v="LA-705009"/>
    <d v="2025-12-07T00:00:00"/>
    <x v="1"/>
    <s v="Q4"/>
    <x v="11"/>
    <x v="3"/>
    <x v="2"/>
    <x v="3"/>
    <x v="0"/>
    <x v="2"/>
    <n v="6250"/>
    <n v="227500"/>
    <n v="180"/>
    <n v="0.42499999999999999"/>
    <s v="Rejected"/>
    <x v="0"/>
    <n v="0"/>
    <n v="1"/>
    <n v="0"/>
    <m/>
    <n v="10"/>
    <n v="1"/>
    <n v="1"/>
  </r>
  <r>
    <s v="LA-705010"/>
    <d v="2025-12-08T00:00:00"/>
    <x v="1"/>
    <s v="Q4"/>
    <x v="11"/>
    <x v="1"/>
    <x v="3"/>
    <x v="2"/>
    <x v="1"/>
    <x v="0"/>
    <n v="5100"/>
    <n v="15500"/>
    <n v="48"/>
    <n v="0.193"/>
    <s v="Rejected"/>
    <x v="0"/>
    <n v="0"/>
    <n v="1"/>
    <n v="0"/>
    <m/>
    <n v="6"/>
    <n v="0"/>
    <n v="1"/>
  </r>
  <r>
    <s v="LA-705011"/>
    <d v="2025-12-08T00:00:00"/>
    <x v="1"/>
    <s v="Q4"/>
    <x v="11"/>
    <x v="2"/>
    <x v="1"/>
    <x v="2"/>
    <x v="0"/>
    <x v="4"/>
    <n v="4950"/>
    <n v="175000"/>
    <n v="60"/>
    <n v="0.95399999999999996"/>
    <s v="Rejected"/>
    <x v="3"/>
    <n v="0"/>
    <n v="1"/>
    <n v="0"/>
    <m/>
    <n v="5"/>
    <n v="1"/>
    <n v="1"/>
  </r>
  <r>
    <s v="LA-705012"/>
    <d v="2025-12-08T00:00:00"/>
    <x v="1"/>
    <s v="Q4"/>
    <x v="11"/>
    <x v="1"/>
    <x v="1"/>
    <x v="2"/>
    <x v="2"/>
    <x v="1"/>
    <n v="5200"/>
    <n v="8500"/>
    <n v="36"/>
    <n v="0.2"/>
    <s v="Approved"/>
    <x v="1"/>
    <n v="1"/>
    <n v="0"/>
    <n v="8500"/>
    <n v="0.1278"/>
    <n v="1"/>
    <n v="1"/>
    <n v="1"/>
  </r>
  <r>
    <s v="LA-705013"/>
    <d v="2025-12-08T00:00:00"/>
    <x v="1"/>
    <s v="Q4"/>
    <x v="11"/>
    <x v="1"/>
    <x v="0"/>
    <x v="1"/>
    <x v="0"/>
    <x v="2"/>
    <n v="5050"/>
    <n v="21500"/>
    <n v="48"/>
    <n v="0.35299999999999998"/>
    <s v="Rejected"/>
    <x v="5"/>
    <n v="0"/>
    <n v="1"/>
    <n v="0"/>
    <m/>
    <n v="5"/>
    <n v="0"/>
    <n v="1"/>
  </r>
  <r>
    <s v="LA-705014"/>
    <d v="2025-12-08T00:00:00"/>
    <x v="1"/>
    <s v="Q4"/>
    <x v="11"/>
    <x v="1"/>
    <x v="0"/>
    <x v="1"/>
    <x v="0"/>
    <x v="2"/>
    <n v="5950"/>
    <n v="11000"/>
    <n v="36"/>
    <n v="0.27800000000000002"/>
    <s v="Rejected"/>
    <x v="2"/>
    <n v="0"/>
    <n v="1"/>
    <n v="0"/>
    <m/>
    <n v="3"/>
    <n v="1"/>
    <n v="1"/>
  </r>
  <r>
    <s v="LA-705015"/>
    <d v="2025-12-08T00:00:00"/>
    <x v="1"/>
    <s v="Q4"/>
    <x v="11"/>
    <x v="0"/>
    <x v="1"/>
    <x v="1"/>
    <x v="1"/>
    <x v="3"/>
    <n v="3500"/>
    <n v="23000"/>
    <n v="36"/>
    <n v="0.28199999999999997"/>
    <s v="Approved"/>
    <x v="1"/>
    <n v="1"/>
    <n v="0"/>
    <n v="18500"/>
    <n v="6.4000000000000001E-2"/>
    <n v="1"/>
    <n v="1"/>
    <n v="1"/>
  </r>
  <r>
    <s v="LA-705016"/>
    <d v="2025-12-09T00:00:00"/>
    <x v="1"/>
    <s v="Q4"/>
    <x v="11"/>
    <x v="3"/>
    <x v="3"/>
    <x v="3"/>
    <x v="0"/>
    <x v="4"/>
    <n v="11800"/>
    <n v="185000"/>
    <n v="300"/>
    <n v="0.23400000000000001"/>
    <s v="Approved"/>
    <x v="1"/>
    <n v="1"/>
    <n v="0"/>
    <n v="185000"/>
    <n v="5.1299999999999998E-2"/>
    <n v="17"/>
    <n v="0"/>
    <n v="1"/>
  </r>
  <r>
    <s v="LA-705017"/>
    <d v="2025-12-09T00:00:00"/>
    <x v="1"/>
    <s v="Q4"/>
    <x v="11"/>
    <x v="0"/>
    <x v="2"/>
    <x v="2"/>
    <x v="1"/>
    <x v="0"/>
    <n v="2800"/>
    <n v="19000"/>
    <n v="36"/>
    <n v="0.30099999999999999"/>
    <s v="Approved"/>
    <x v="1"/>
    <n v="1"/>
    <n v="0"/>
    <n v="19000"/>
    <n v="9.6000000000000002E-2"/>
    <n v="2"/>
    <n v="1"/>
    <n v="1"/>
  </r>
  <r>
    <s v="LA-705018"/>
    <d v="2025-12-09T00:00:00"/>
    <x v="1"/>
    <s v="Q4"/>
    <x v="11"/>
    <x v="1"/>
    <x v="1"/>
    <x v="1"/>
    <x v="0"/>
    <x v="4"/>
    <n v="2200"/>
    <n v="12000"/>
    <n v="24"/>
    <n v="0.498"/>
    <s v="Approved"/>
    <x v="1"/>
    <n v="1"/>
    <n v="0"/>
    <n v="12000"/>
    <n v="0.1133"/>
    <n v="2"/>
    <n v="1"/>
    <n v="1"/>
  </r>
  <r>
    <s v="LA-705019"/>
    <d v="2025-12-09T00:00:00"/>
    <x v="1"/>
    <s v="Q4"/>
    <x v="11"/>
    <x v="2"/>
    <x v="3"/>
    <x v="1"/>
    <x v="0"/>
    <x v="4"/>
    <n v="7150"/>
    <n v="50500"/>
    <n v="12"/>
    <n v="0.85799999999999998"/>
    <s v="Approved"/>
    <x v="1"/>
    <n v="1"/>
    <n v="0"/>
    <n v="50500"/>
    <n v="9.9599999999999994E-2"/>
    <n v="11"/>
    <n v="0"/>
    <n v="1"/>
  </r>
  <r>
    <s v="LA-705020"/>
    <d v="2025-12-09T00:00:00"/>
    <x v="1"/>
    <s v="Q4"/>
    <x v="11"/>
    <x v="1"/>
    <x v="3"/>
    <x v="3"/>
    <x v="1"/>
    <x v="1"/>
    <n v="3900"/>
    <n v="14500"/>
    <n v="60"/>
    <n v="0.14399999999999999"/>
    <s v="Rejected"/>
    <x v="0"/>
    <n v="0"/>
    <n v="1"/>
    <n v="0"/>
    <m/>
    <n v="4"/>
    <n v="0"/>
    <n v="1"/>
  </r>
  <r>
    <s v="LA-705021"/>
    <d v="2025-12-10T00:00:00"/>
    <x v="1"/>
    <s v="Q4"/>
    <x v="11"/>
    <x v="0"/>
    <x v="1"/>
    <x v="2"/>
    <x v="0"/>
    <x v="1"/>
    <n v="3500"/>
    <n v="33500"/>
    <n v="60"/>
    <n v="0.43"/>
    <s v="Rejected"/>
    <x v="2"/>
    <n v="0"/>
    <n v="1"/>
    <n v="0"/>
    <m/>
    <n v="2"/>
    <n v="1"/>
    <n v="1"/>
  </r>
  <r>
    <s v="LA-705022"/>
    <d v="2025-12-10T00:00:00"/>
    <x v="1"/>
    <s v="Q4"/>
    <x v="11"/>
    <x v="1"/>
    <x v="3"/>
    <x v="3"/>
    <x v="0"/>
    <x v="4"/>
    <n v="6050"/>
    <n v="13500"/>
    <n v="60"/>
    <n v="0.10299999999999999"/>
    <s v="Approved"/>
    <x v="1"/>
    <n v="1"/>
    <n v="0"/>
    <n v="11000"/>
    <n v="0.11799999999999999"/>
    <n v="4"/>
    <n v="0"/>
    <n v="1"/>
  </r>
  <r>
    <s v="LA-705023"/>
    <d v="2025-12-10T00:00:00"/>
    <x v="1"/>
    <s v="Q4"/>
    <x v="11"/>
    <x v="1"/>
    <x v="2"/>
    <x v="3"/>
    <x v="0"/>
    <x v="2"/>
    <n v="8050"/>
    <n v="8500"/>
    <n v="12"/>
    <n v="0.156"/>
    <s v="Rejected"/>
    <x v="5"/>
    <n v="0"/>
    <n v="1"/>
    <n v="0"/>
    <m/>
    <n v="2"/>
    <n v="1"/>
    <n v="1"/>
  </r>
  <r>
    <s v="LA-705024"/>
    <d v="2025-12-10T00:00:00"/>
    <x v="1"/>
    <s v="Q4"/>
    <x v="11"/>
    <x v="1"/>
    <x v="1"/>
    <x v="3"/>
    <x v="2"/>
    <x v="1"/>
    <n v="4350"/>
    <n v="8500"/>
    <n v="36"/>
    <n v="0.16600000000000001"/>
    <s v="Rejected"/>
    <x v="0"/>
    <n v="0"/>
    <n v="1"/>
    <n v="0"/>
    <m/>
    <n v="1"/>
    <n v="1"/>
    <n v="1"/>
  </r>
  <r>
    <s v="LA-705025"/>
    <d v="2025-12-10T00:00:00"/>
    <x v="1"/>
    <s v="Q4"/>
    <x v="11"/>
    <x v="0"/>
    <x v="3"/>
    <x v="4"/>
    <x v="0"/>
    <x v="4"/>
    <n v="4150"/>
    <n v="9000"/>
    <n v="36"/>
    <n v="0.13400000000000001"/>
    <s v="Approved"/>
    <x v="1"/>
    <n v="1"/>
    <n v="0"/>
    <n v="9000"/>
    <n v="7.51E-2"/>
    <n v="5"/>
    <n v="0"/>
    <n v="1"/>
  </r>
  <r>
    <s v="LA-705026"/>
    <d v="2025-12-10T00:00:00"/>
    <x v="1"/>
    <s v="Q4"/>
    <x v="11"/>
    <x v="3"/>
    <x v="2"/>
    <x v="0"/>
    <x v="1"/>
    <x v="2"/>
    <n v="5200"/>
    <n v="138500"/>
    <n v="240"/>
    <n v="0.28799999999999998"/>
    <s v="Rejected"/>
    <x v="0"/>
    <n v="0"/>
    <n v="1"/>
    <n v="0"/>
    <m/>
    <n v="6"/>
    <n v="1"/>
    <n v="1"/>
  </r>
  <r>
    <s v="LA-705027"/>
    <d v="2025-12-10T00:00:00"/>
    <x v="1"/>
    <s v="Q4"/>
    <x v="11"/>
    <x v="1"/>
    <x v="1"/>
    <x v="2"/>
    <x v="2"/>
    <x v="1"/>
    <n v="7950"/>
    <n v="23000"/>
    <n v="24"/>
    <n v="0.30599999999999999"/>
    <s v="Approved"/>
    <x v="1"/>
    <n v="1"/>
    <n v="0"/>
    <n v="23000"/>
    <n v="0.12470000000000001"/>
    <n v="1"/>
    <n v="1"/>
    <n v="1"/>
  </r>
  <r>
    <s v="LA-705028"/>
    <d v="2025-12-10T00:00:00"/>
    <x v="1"/>
    <s v="Q4"/>
    <x v="11"/>
    <x v="1"/>
    <x v="1"/>
    <x v="3"/>
    <x v="0"/>
    <x v="1"/>
    <n v="3750"/>
    <n v="15000"/>
    <n v="12"/>
    <n v="0.58499999999999996"/>
    <s v="Rejected"/>
    <x v="3"/>
    <n v="0"/>
    <n v="1"/>
    <n v="0"/>
    <m/>
    <n v="1"/>
    <n v="1"/>
    <n v="1"/>
  </r>
  <r>
    <s v="LA-705029"/>
    <d v="2025-12-10T00:00:00"/>
    <x v="1"/>
    <s v="Q4"/>
    <x v="11"/>
    <x v="0"/>
    <x v="1"/>
    <x v="3"/>
    <x v="2"/>
    <x v="4"/>
    <n v="2450"/>
    <n v="41000"/>
    <n v="60"/>
    <n v="0.57499999999999996"/>
    <s v="Approved"/>
    <x v="1"/>
    <n v="1"/>
    <n v="0"/>
    <n v="37000"/>
    <n v="6.7199999999999996E-2"/>
    <n v="2"/>
    <n v="1"/>
    <n v="1"/>
  </r>
  <r>
    <s v="LA-705030"/>
    <d v="2025-12-10T00:00:00"/>
    <x v="1"/>
    <s v="Q4"/>
    <x v="11"/>
    <x v="3"/>
    <x v="1"/>
    <x v="2"/>
    <x v="0"/>
    <x v="0"/>
    <n v="1850"/>
    <n v="300000"/>
    <n v="240"/>
    <n v="1.131"/>
    <s v="Rejected"/>
    <x v="0"/>
    <n v="0"/>
    <n v="1"/>
    <n v="0"/>
    <m/>
    <n v="8"/>
    <n v="1"/>
    <n v="1"/>
  </r>
  <r>
    <s v="LA-705031"/>
    <d v="2025-12-10T00:00:00"/>
    <x v="1"/>
    <s v="Q4"/>
    <x v="11"/>
    <x v="1"/>
    <x v="2"/>
    <x v="2"/>
    <x v="1"/>
    <x v="2"/>
    <n v="7150"/>
    <n v="21000"/>
    <n v="36"/>
    <n v="0.218"/>
    <s v="Rejected"/>
    <x v="0"/>
    <n v="0"/>
    <n v="1"/>
    <n v="0"/>
    <m/>
    <n v="2"/>
    <n v="1"/>
    <n v="1"/>
  </r>
  <r>
    <s v="LA-705032"/>
    <d v="2025-12-10T00:00:00"/>
    <x v="1"/>
    <s v="Q4"/>
    <x v="11"/>
    <x v="1"/>
    <x v="0"/>
    <x v="3"/>
    <x v="1"/>
    <x v="4"/>
    <n v="3250"/>
    <n v="23000"/>
    <n v="48"/>
    <n v="0.42"/>
    <s v="Approved"/>
    <x v="1"/>
    <n v="1"/>
    <n v="0"/>
    <n v="23000"/>
    <n v="0.1166"/>
    <n v="3"/>
    <n v="1"/>
    <n v="1"/>
  </r>
  <r>
    <s v="LA-705033"/>
    <d v="2025-12-10T00:00:00"/>
    <x v="1"/>
    <s v="Q4"/>
    <x v="11"/>
    <x v="2"/>
    <x v="3"/>
    <x v="3"/>
    <x v="1"/>
    <x v="4"/>
    <n v="7400"/>
    <n v="53500"/>
    <n v="12"/>
    <n v="0.79100000000000004"/>
    <s v="Approved"/>
    <x v="1"/>
    <n v="1"/>
    <n v="0"/>
    <n v="48000"/>
    <n v="9.7100000000000006E-2"/>
    <n v="14"/>
    <n v="0"/>
    <n v="1"/>
  </r>
  <r>
    <s v="LA-705034"/>
    <d v="2025-12-10T00:00:00"/>
    <x v="1"/>
    <s v="Q4"/>
    <x v="11"/>
    <x v="3"/>
    <x v="3"/>
    <x v="2"/>
    <x v="0"/>
    <x v="2"/>
    <n v="2200"/>
    <n v="109500"/>
    <n v="180"/>
    <n v="0.54500000000000004"/>
    <s v="Rejected"/>
    <x v="4"/>
    <n v="0"/>
    <n v="1"/>
    <n v="0"/>
    <m/>
    <n v="35"/>
    <n v="0"/>
    <n v="1"/>
  </r>
  <r>
    <s v="LA-705035"/>
    <d v="2025-12-10T00:00:00"/>
    <x v="1"/>
    <s v="Q4"/>
    <x v="11"/>
    <x v="0"/>
    <x v="1"/>
    <x v="2"/>
    <x v="0"/>
    <x v="1"/>
    <n v="9900"/>
    <n v="50500"/>
    <n v="48"/>
    <n v="0.17299999999999999"/>
    <s v="Approved"/>
    <x v="1"/>
    <n v="1"/>
    <n v="0"/>
    <n v="50500"/>
    <n v="8.6800000000000002E-2"/>
    <n v="2"/>
    <n v="1"/>
    <n v="1"/>
  </r>
  <r>
    <s v="LA-705036"/>
    <d v="2025-12-10T00:00:00"/>
    <x v="1"/>
    <s v="Q4"/>
    <x v="11"/>
    <x v="1"/>
    <x v="2"/>
    <x v="1"/>
    <x v="0"/>
    <x v="0"/>
    <n v="2800"/>
    <n v="15500"/>
    <n v="48"/>
    <n v="0.29899999999999999"/>
    <s v="Approved"/>
    <x v="1"/>
    <n v="1"/>
    <n v="0"/>
    <n v="15500"/>
    <n v="0.14000000000000001"/>
    <n v="1"/>
    <n v="1"/>
    <n v="1"/>
  </r>
  <r>
    <s v="LA-705037"/>
    <d v="2025-12-10T00:00:00"/>
    <x v="1"/>
    <s v="Q4"/>
    <x v="11"/>
    <x v="3"/>
    <x v="2"/>
    <x v="3"/>
    <x v="1"/>
    <x v="1"/>
    <n v="4150"/>
    <n v="229500"/>
    <n v="180"/>
    <n v="0.64"/>
    <s v="Rejected"/>
    <x v="3"/>
    <n v="0"/>
    <n v="1"/>
    <n v="0"/>
    <m/>
    <n v="10"/>
    <n v="1"/>
    <n v="1"/>
  </r>
  <r>
    <s v="LA-705038"/>
    <d v="2025-12-10T00:00:00"/>
    <x v="1"/>
    <s v="Q4"/>
    <x v="11"/>
    <x v="2"/>
    <x v="1"/>
    <x v="2"/>
    <x v="1"/>
    <x v="4"/>
    <n v="7100"/>
    <n v="58500"/>
    <n v="12"/>
    <n v="0.85499999999999998"/>
    <s v="Approved"/>
    <x v="1"/>
    <n v="1"/>
    <n v="0"/>
    <n v="52500"/>
    <n v="9.11E-2"/>
    <n v="3"/>
    <n v="1"/>
    <n v="1"/>
  </r>
  <r>
    <s v="LA-705039"/>
    <d v="2025-12-11T00:00:00"/>
    <x v="1"/>
    <s v="Q4"/>
    <x v="11"/>
    <x v="1"/>
    <x v="3"/>
    <x v="3"/>
    <x v="1"/>
    <x v="1"/>
    <n v="6400"/>
    <n v="4500"/>
    <n v="60"/>
    <n v="0.254"/>
    <s v="Rejected"/>
    <x v="5"/>
    <n v="0"/>
    <n v="1"/>
    <n v="0"/>
    <m/>
    <n v="3"/>
    <n v="1"/>
    <n v="1"/>
  </r>
  <r>
    <s v="LA-705040"/>
    <d v="2025-12-11T00:00:00"/>
    <x v="1"/>
    <s v="Q4"/>
    <x v="11"/>
    <x v="2"/>
    <x v="3"/>
    <x v="3"/>
    <x v="0"/>
    <x v="0"/>
    <n v="6650"/>
    <n v="152000"/>
    <n v="24"/>
    <n v="1.276"/>
    <s v="Rejected"/>
    <x v="3"/>
    <n v="0"/>
    <n v="1"/>
    <n v="0"/>
    <m/>
    <n v="11"/>
    <n v="0"/>
    <n v="1"/>
  </r>
  <r>
    <s v="LA-705041"/>
    <d v="2025-12-11T00:00:00"/>
    <x v="1"/>
    <s v="Q4"/>
    <x v="11"/>
    <x v="0"/>
    <x v="1"/>
    <x v="3"/>
    <x v="2"/>
    <x v="4"/>
    <n v="17100"/>
    <n v="23000"/>
    <n v="48"/>
    <n v="0.151"/>
    <s v="Approved"/>
    <x v="1"/>
    <n v="1"/>
    <n v="0"/>
    <n v="20500"/>
    <n v="7.1900000000000006E-2"/>
    <n v="3"/>
    <n v="1"/>
    <n v="1"/>
  </r>
  <r>
    <s v="LA-705042"/>
    <d v="2025-12-11T00:00:00"/>
    <x v="1"/>
    <s v="Q4"/>
    <x v="11"/>
    <x v="1"/>
    <x v="2"/>
    <x v="3"/>
    <x v="0"/>
    <x v="4"/>
    <n v="6900"/>
    <n v="12500"/>
    <n v="24"/>
    <n v="0.307"/>
    <s v="Approved"/>
    <x v="1"/>
    <n v="1"/>
    <n v="0"/>
    <n v="12500"/>
    <n v="0.1135"/>
    <n v="1"/>
    <n v="1"/>
    <n v="1"/>
  </r>
  <r>
    <s v="LA-705043"/>
    <d v="2025-12-11T00:00:00"/>
    <x v="1"/>
    <s v="Q4"/>
    <x v="11"/>
    <x v="0"/>
    <x v="2"/>
    <x v="1"/>
    <x v="2"/>
    <x v="1"/>
    <n v="8400"/>
    <n v="25500"/>
    <n v="36"/>
    <n v="0.20599999999999999"/>
    <s v="Approved"/>
    <x v="1"/>
    <n v="1"/>
    <n v="0"/>
    <n v="25500"/>
    <n v="8.2299999999999998E-2"/>
    <n v="3"/>
    <n v="1"/>
    <n v="1"/>
  </r>
  <r>
    <s v="LA-705044"/>
    <d v="2025-12-11T00:00:00"/>
    <x v="1"/>
    <s v="Q4"/>
    <x v="11"/>
    <x v="3"/>
    <x v="3"/>
    <x v="2"/>
    <x v="2"/>
    <x v="1"/>
    <n v="4900"/>
    <n v="172000"/>
    <n v="240"/>
    <n v="0.43099999999999999"/>
    <s v="Approved"/>
    <x v="1"/>
    <n v="1"/>
    <n v="0"/>
    <n v="172000"/>
    <n v="5.7599999999999998E-2"/>
    <n v="14"/>
    <n v="1"/>
    <n v="1"/>
  </r>
  <r>
    <s v="LA-705045"/>
    <d v="2025-12-11T00:00:00"/>
    <x v="1"/>
    <s v="Q4"/>
    <x v="11"/>
    <x v="2"/>
    <x v="1"/>
    <x v="1"/>
    <x v="0"/>
    <x v="4"/>
    <n v="7400"/>
    <n v="84500"/>
    <n v="36"/>
    <n v="0.44700000000000001"/>
    <s v="Rejected"/>
    <x v="4"/>
    <n v="0"/>
    <n v="1"/>
    <n v="0"/>
    <m/>
    <n v="7"/>
    <n v="1"/>
    <n v="1"/>
  </r>
  <r>
    <s v="LA-705046"/>
    <d v="2025-12-11T00:00:00"/>
    <x v="1"/>
    <s v="Q4"/>
    <x v="11"/>
    <x v="1"/>
    <x v="1"/>
    <x v="4"/>
    <x v="2"/>
    <x v="1"/>
    <n v="5150"/>
    <n v="24500"/>
    <n v="48"/>
    <n v="0.23200000000000001"/>
    <s v="Approved"/>
    <x v="1"/>
    <n v="1"/>
    <n v="0"/>
    <n v="19500"/>
    <n v="0.127"/>
    <n v="2"/>
    <n v="1"/>
    <n v="1"/>
  </r>
  <r>
    <s v="LA-705047"/>
    <d v="2025-12-11T00:00:00"/>
    <x v="1"/>
    <s v="Q4"/>
    <x v="11"/>
    <x v="3"/>
    <x v="1"/>
    <x v="3"/>
    <x v="0"/>
    <x v="1"/>
    <n v="7800"/>
    <n v="756000"/>
    <n v="240"/>
    <n v="0.88"/>
    <s v="Rejected"/>
    <x v="3"/>
    <n v="0"/>
    <n v="1"/>
    <n v="0"/>
    <m/>
    <n v="5"/>
    <n v="1"/>
    <n v="1"/>
  </r>
  <r>
    <s v="LA-705048"/>
    <d v="2025-12-12T00:00:00"/>
    <x v="1"/>
    <s v="Q4"/>
    <x v="11"/>
    <x v="0"/>
    <x v="0"/>
    <x v="3"/>
    <x v="1"/>
    <x v="3"/>
    <n v="3450"/>
    <n v="38500"/>
    <n v="60"/>
    <n v="0.45200000000000001"/>
    <s v="Approved"/>
    <x v="1"/>
    <n v="1"/>
    <n v="0"/>
    <n v="38500"/>
    <n v="6.3E-2"/>
    <n v="3"/>
    <n v="1"/>
    <n v="1"/>
  </r>
  <r>
    <s v="LA-705049"/>
    <d v="2025-12-12T00:00:00"/>
    <x v="1"/>
    <s v="Q4"/>
    <x v="11"/>
    <x v="0"/>
    <x v="2"/>
    <x v="2"/>
    <x v="0"/>
    <x v="1"/>
    <n v="5500"/>
    <n v="27500"/>
    <n v="60"/>
    <n v="0.153"/>
    <s v="Approved"/>
    <x v="1"/>
    <n v="1"/>
    <n v="0"/>
    <n v="22000"/>
    <n v="8.14E-2"/>
    <n v="2"/>
    <n v="1"/>
    <n v="1"/>
  </r>
  <r>
    <s v="LA-705050"/>
    <d v="2025-12-12T00:00:00"/>
    <x v="1"/>
    <s v="Q4"/>
    <x v="11"/>
    <x v="2"/>
    <x v="2"/>
    <x v="2"/>
    <x v="0"/>
    <x v="0"/>
    <n v="5600"/>
    <n v="92000"/>
    <n v="24"/>
    <n v="0.82699999999999996"/>
    <s v="Rejected"/>
    <x v="0"/>
    <n v="0"/>
    <n v="1"/>
    <n v="0"/>
    <m/>
    <n v="3"/>
    <n v="1"/>
    <n v="1"/>
  </r>
  <r>
    <s v="LA-705051"/>
    <d v="2025-12-12T00:00:00"/>
    <x v="1"/>
    <s v="Q4"/>
    <x v="11"/>
    <x v="3"/>
    <x v="2"/>
    <x v="2"/>
    <x v="0"/>
    <x v="3"/>
    <n v="5550"/>
    <n v="278500"/>
    <n v="300"/>
    <n v="0.35699999999999998"/>
    <s v="Approved"/>
    <x v="1"/>
    <n v="1"/>
    <n v="0"/>
    <n v="223000"/>
    <n v="3.9600000000000003E-2"/>
    <n v="6"/>
    <n v="1"/>
    <n v="1"/>
  </r>
  <r>
    <s v="LA-705052"/>
    <d v="2025-12-12T00:00:00"/>
    <x v="1"/>
    <s v="Q4"/>
    <x v="11"/>
    <x v="1"/>
    <x v="0"/>
    <x v="3"/>
    <x v="2"/>
    <x v="1"/>
    <n v="2900"/>
    <n v="5000"/>
    <n v="24"/>
    <n v="0.27400000000000002"/>
    <s v="Rejected"/>
    <x v="4"/>
    <n v="0"/>
    <n v="1"/>
    <n v="0"/>
    <m/>
    <n v="7"/>
    <n v="0"/>
    <n v="1"/>
  </r>
  <r>
    <s v="LA-705053"/>
    <d v="2025-12-12T00:00:00"/>
    <x v="1"/>
    <s v="Q4"/>
    <x v="11"/>
    <x v="2"/>
    <x v="0"/>
    <x v="2"/>
    <x v="2"/>
    <x v="3"/>
    <n v="4250"/>
    <n v="52000"/>
    <n v="36"/>
    <n v="0.51200000000000001"/>
    <s v="Approved"/>
    <x v="1"/>
    <n v="1"/>
    <n v="0"/>
    <n v="52000"/>
    <n v="9.7500000000000003E-2"/>
    <n v="9"/>
    <n v="1"/>
    <n v="1"/>
  </r>
  <r>
    <s v="LA-705054"/>
    <d v="2025-12-12T00:00:00"/>
    <x v="1"/>
    <s v="Q4"/>
    <x v="11"/>
    <x v="1"/>
    <x v="0"/>
    <x v="1"/>
    <x v="2"/>
    <x v="1"/>
    <n v="9400"/>
    <n v="8000"/>
    <n v="36"/>
    <n v="0.23400000000000001"/>
    <s v="Rejected"/>
    <x v="5"/>
    <n v="0"/>
    <n v="1"/>
    <n v="0"/>
    <m/>
    <n v="4"/>
    <n v="0"/>
    <n v="1"/>
  </r>
  <r>
    <s v="LA-705055"/>
    <d v="2025-12-12T00:00:00"/>
    <x v="1"/>
    <s v="Q4"/>
    <x v="11"/>
    <x v="0"/>
    <x v="2"/>
    <x v="3"/>
    <x v="0"/>
    <x v="2"/>
    <n v="9200"/>
    <n v="17500"/>
    <n v="60"/>
    <n v="0.125"/>
    <s v="Approved"/>
    <x v="1"/>
    <n v="1"/>
    <n v="0"/>
    <n v="16000"/>
    <n v="0.11559999999999999"/>
    <n v="2"/>
    <n v="1"/>
    <n v="1"/>
  </r>
  <r>
    <s v="LA-705056"/>
    <d v="2025-12-12T00:00:00"/>
    <x v="1"/>
    <s v="Q4"/>
    <x v="11"/>
    <x v="1"/>
    <x v="2"/>
    <x v="3"/>
    <x v="1"/>
    <x v="1"/>
    <n v="5400"/>
    <n v="19000"/>
    <n v="60"/>
    <n v="0.19500000000000001"/>
    <s v="Approved"/>
    <x v="1"/>
    <n v="1"/>
    <n v="0"/>
    <n v="19000"/>
    <n v="0.1211"/>
    <n v="1"/>
    <n v="1"/>
    <n v="1"/>
  </r>
  <r>
    <s v="LA-705057"/>
    <d v="2025-12-12T00:00:00"/>
    <x v="1"/>
    <s v="Q4"/>
    <x v="11"/>
    <x v="0"/>
    <x v="1"/>
    <x v="3"/>
    <x v="1"/>
    <x v="1"/>
    <n v="4100"/>
    <n v="25500"/>
    <n v="60"/>
    <n v="0.222"/>
    <s v="Approved"/>
    <x v="1"/>
    <n v="1"/>
    <n v="0"/>
    <n v="25500"/>
    <n v="8.6699999999999999E-2"/>
    <n v="2"/>
    <n v="1"/>
    <n v="1"/>
  </r>
  <r>
    <s v="LA-705058"/>
    <d v="2025-12-13T00:00:00"/>
    <x v="1"/>
    <s v="Q4"/>
    <x v="11"/>
    <x v="0"/>
    <x v="3"/>
    <x v="2"/>
    <x v="0"/>
    <x v="0"/>
    <n v="2900"/>
    <n v="47500"/>
    <n v="60"/>
    <n v="0.41799999999999998"/>
    <s v="Rejected"/>
    <x v="0"/>
    <n v="0"/>
    <n v="1"/>
    <n v="0"/>
    <m/>
    <n v="4"/>
    <n v="1"/>
    <n v="1"/>
  </r>
  <r>
    <s v="LA-705059"/>
    <d v="2025-12-13T00:00:00"/>
    <x v="1"/>
    <s v="Q4"/>
    <x v="11"/>
    <x v="1"/>
    <x v="3"/>
    <x v="3"/>
    <x v="0"/>
    <x v="0"/>
    <n v="3550"/>
    <n v="11000"/>
    <n v="60"/>
    <n v="0.248"/>
    <s v="Approved"/>
    <x v="1"/>
    <n v="1"/>
    <n v="0"/>
    <n v="11000"/>
    <n v="0.1399"/>
    <n v="6"/>
    <n v="0"/>
    <n v="1"/>
  </r>
  <r>
    <s v="LA-705060"/>
    <d v="2025-12-13T00:00:00"/>
    <x v="1"/>
    <s v="Q4"/>
    <x v="11"/>
    <x v="2"/>
    <x v="2"/>
    <x v="0"/>
    <x v="1"/>
    <x v="1"/>
    <n v="6050"/>
    <n v="75500"/>
    <n v="12"/>
    <n v="1.181"/>
    <s v="Rejected"/>
    <x v="3"/>
    <n v="0"/>
    <n v="1"/>
    <n v="0"/>
    <m/>
    <n v="4"/>
    <n v="1"/>
    <n v="1"/>
  </r>
  <r>
    <s v="LA-705061"/>
    <d v="2025-12-13T00:00:00"/>
    <x v="1"/>
    <s v="Q4"/>
    <x v="11"/>
    <x v="3"/>
    <x v="0"/>
    <x v="3"/>
    <x v="2"/>
    <x v="1"/>
    <n v="6300"/>
    <n v="975000"/>
    <n v="240"/>
    <n v="1.177"/>
    <s v="Withdrawn"/>
    <x v="1"/>
    <n v="0"/>
    <n v="0"/>
    <n v="0"/>
    <m/>
    <n v="10"/>
    <n v="1"/>
    <n v="1"/>
  </r>
  <r>
    <s v="LA-705062"/>
    <d v="2025-12-13T00:00:00"/>
    <x v="1"/>
    <s v="Q4"/>
    <x v="11"/>
    <x v="1"/>
    <x v="3"/>
    <x v="3"/>
    <x v="0"/>
    <x v="0"/>
    <n v="2450"/>
    <n v="13000"/>
    <n v="60"/>
    <n v="0.27300000000000002"/>
    <s v="Rejected"/>
    <x v="0"/>
    <n v="0"/>
    <n v="1"/>
    <n v="0"/>
    <m/>
    <n v="5"/>
    <n v="0"/>
    <n v="1"/>
  </r>
  <r>
    <s v="LA-705063"/>
    <d v="2025-12-14T00:00:00"/>
    <x v="1"/>
    <s v="Q4"/>
    <x v="11"/>
    <x v="2"/>
    <x v="3"/>
    <x v="1"/>
    <x v="1"/>
    <x v="3"/>
    <n v="4300"/>
    <n v="41500"/>
    <n v="36"/>
    <n v="0.53200000000000003"/>
    <s v="Approved"/>
    <x v="1"/>
    <n v="1"/>
    <n v="0"/>
    <n v="33000"/>
    <n v="9.6199999999999994E-2"/>
    <n v="13"/>
    <n v="0"/>
    <n v="1"/>
  </r>
  <r>
    <s v="LA-705064"/>
    <d v="2025-12-14T00:00:00"/>
    <x v="1"/>
    <s v="Q4"/>
    <x v="11"/>
    <x v="3"/>
    <x v="1"/>
    <x v="4"/>
    <x v="0"/>
    <x v="2"/>
    <n v="2350"/>
    <n v="214000"/>
    <n v="240"/>
    <n v="0.78400000000000003"/>
    <s v="Rejected"/>
    <x v="0"/>
    <n v="0"/>
    <n v="1"/>
    <n v="0"/>
    <m/>
    <n v="4"/>
    <n v="1"/>
    <n v="1"/>
  </r>
  <r>
    <s v="LA-705065"/>
    <d v="2025-12-14T00:00:00"/>
    <x v="1"/>
    <s v="Q4"/>
    <x v="11"/>
    <x v="3"/>
    <x v="3"/>
    <x v="4"/>
    <x v="0"/>
    <x v="1"/>
    <n v="7500"/>
    <n v="372000"/>
    <n v="240"/>
    <n v="0.42199999999999999"/>
    <s v="Approved"/>
    <x v="1"/>
    <n v="1"/>
    <n v="0"/>
    <n v="335000"/>
    <n v="5.8299999999999998E-2"/>
    <n v="32"/>
    <n v="0"/>
    <n v="1"/>
  </r>
  <r>
    <s v="LA-705066"/>
    <d v="2025-12-14T00:00:00"/>
    <x v="1"/>
    <s v="Q4"/>
    <x v="11"/>
    <x v="1"/>
    <x v="1"/>
    <x v="3"/>
    <x v="0"/>
    <x v="2"/>
    <n v="4600"/>
    <n v="16000"/>
    <n v="12"/>
    <n v="0.53700000000000003"/>
    <s v="Rejected"/>
    <x v="0"/>
    <n v="0"/>
    <n v="1"/>
    <n v="0"/>
    <m/>
    <n v="2"/>
    <n v="1"/>
    <n v="1"/>
  </r>
  <r>
    <s v="LA-705067"/>
    <d v="2025-12-14T00:00:00"/>
    <x v="1"/>
    <s v="Q4"/>
    <x v="11"/>
    <x v="1"/>
    <x v="3"/>
    <x v="1"/>
    <x v="1"/>
    <x v="4"/>
    <n v="7550"/>
    <n v="10000"/>
    <n v="12"/>
    <n v="0.24399999999999999"/>
    <s v="Approved"/>
    <x v="1"/>
    <n v="1"/>
    <n v="0"/>
    <n v="9000"/>
    <n v="0.1177"/>
    <n v="5"/>
    <n v="0"/>
    <n v="1"/>
  </r>
  <r>
    <s v="LA-705068"/>
    <d v="2025-12-14T00:00:00"/>
    <x v="1"/>
    <s v="Q4"/>
    <x v="11"/>
    <x v="0"/>
    <x v="2"/>
    <x v="2"/>
    <x v="0"/>
    <x v="3"/>
    <n v="5150"/>
    <n v="26500"/>
    <n v="48"/>
    <n v="0.33100000000000002"/>
    <s v="Approved"/>
    <x v="1"/>
    <n v="1"/>
    <n v="0"/>
    <n v="21000"/>
    <n v="6.83E-2"/>
    <n v="2"/>
    <n v="1"/>
    <n v="1"/>
  </r>
  <r>
    <s v="LA-705069"/>
    <d v="2025-12-14T00:00:00"/>
    <x v="1"/>
    <s v="Q4"/>
    <x v="11"/>
    <x v="1"/>
    <x v="1"/>
    <x v="3"/>
    <x v="1"/>
    <x v="4"/>
    <n v="9350"/>
    <n v="9000"/>
    <n v="24"/>
    <n v="0.14899999999999999"/>
    <s v="Approved"/>
    <x v="1"/>
    <n v="1"/>
    <n v="0"/>
    <n v="9000"/>
    <n v="0.1187"/>
    <n v="2"/>
    <n v="1"/>
    <n v="1"/>
  </r>
  <r>
    <s v="LA-705070"/>
    <d v="2025-12-15T00:00:00"/>
    <x v="1"/>
    <s v="Q4"/>
    <x v="11"/>
    <x v="1"/>
    <x v="0"/>
    <x v="3"/>
    <x v="1"/>
    <x v="1"/>
    <n v="7600"/>
    <n v="16000"/>
    <n v="48"/>
    <n v="0.18099999999999999"/>
    <s v="Withdrawn"/>
    <x v="1"/>
    <n v="0"/>
    <n v="0"/>
    <n v="0"/>
    <m/>
    <n v="4"/>
    <n v="0"/>
    <n v="1"/>
  </r>
  <r>
    <s v="LA-705071"/>
    <d v="2025-12-15T00:00:00"/>
    <x v="1"/>
    <s v="Q4"/>
    <x v="11"/>
    <x v="1"/>
    <x v="1"/>
    <x v="0"/>
    <x v="0"/>
    <x v="1"/>
    <n v="5850"/>
    <n v="9000"/>
    <n v="48"/>
    <n v="0.17599999999999999"/>
    <s v="Approved"/>
    <x v="1"/>
    <n v="1"/>
    <n v="0"/>
    <n v="7000"/>
    <n v="0.1235"/>
    <n v="1"/>
    <n v="1"/>
    <n v="1"/>
  </r>
  <r>
    <s v="LA-705072"/>
    <d v="2025-12-15T00:00:00"/>
    <x v="1"/>
    <s v="Q4"/>
    <x v="11"/>
    <x v="0"/>
    <x v="0"/>
    <x v="1"/>
    <x v="0"/>
    <x v="3"/>
    <n v="2550"/>
    <n v="22000"/>
    <n v="36"/>
    <n v="0.51100000000000001"/>
    <s v="Approved"/>
    <x v="1"/>
    <n v="1"/>
    <n v="0"/>
    <n v="22000"/>
    <n v="6.3899999999999998E-2"/>
    <n v="5"/>
    <n v="0"/>
    <n v="1"/>
  </r>
  <r>
    <s v="LA-705073"/>
    <d v="2025-12-15T00:00:00"/>
    <x v="1"/>
    <s v="Q4"/>
    <x v="11"/>
    <x v="3"/>
    <x v="0"/>
    <x v="2"/>
    <x v="0"/>
    <x v="1"/>
    <n v="5950"/>
    <n v="337500"/>
    <n v="300"/>
    <n v="0.57199999999999995"/>
    <s v="Approved"/>
    <x v="1"/>
    <n v="1"/>
    <n v="0"/>
    <n v="337500"/>
    <n v="5.8200000000000002E-2"/>
    <n v="12"/>
    <n v="1"/>
    <n v="1"/>
  </r>
  <r>
    <s v="LA-705074"/>
    <d v="2025-12-15T00:00:00"/>
    <x v="1"/>
    <s v="Q4"/>
    <x v="11"/>
    <x v="1"/>
    <x v="3"/>
    <x v="2"/>
    <x v="1"/>
    <x v="2"/>
    <n v="7600"/>
    <n v="13000"/>
    <n v="48"/>
    <n v="0.127"/>
    <s v="Rejected"/>
    <x v="0"/>
    <n v="0"/>
    <n v="1"/>
    <n v="0"/>
    <m/>
    <n v="5"/>
    <n v="0"/>
    <n v="1"/>
  </r>
  <r>
    <s v="LA-705075"/>
    <d v="2025-12-15T00:00:00"/>
    <x v="1"/>
    <s v="Q4"/>
    <x v="11"/>
    <x v="3"/>
    <x v="3"/>
    <x v="4"/>
    <x v="0"/>
    <x v="4"/>
    <n v="5800"/>
    <n v="276000"/>
    <n v="180"/>
    <n v="0.57099999999999995"/>
    <s v="Approved"/>
    <x v="1"/>
    <n v="1"/>
    <n v="0"/>
    <n v="276000"/>
    <n v="4.4900000000000002E-2"/>
    <n v="13"/>
    <n v="1"/>
    <n v="1"/>
  </r>
  <r>
    <s v="LA-705076"/>
    <d v="2025-12-15T00:00:00"/>
    <x v="1"/>
    <s v="Q4"/>
    <x v="11"/>
    <x v="3"/>
    <x v="2"/>
    <x v="1"/>
    <x v="1"/>
    <x v="1"/>
    <n v="6600"/>
    <n v="212000"/>
    <n v="180"/>
    <n v="0.40799999999999997"/>
    <s v="Approved"/>
    <x v="1"/>
    <n v="1"/>
    <n v="0"/>
    <n v="212000"/>
    <n v="5.9799999999999999E-2"/>
    <n v="10"/>
    <n v="1"/>
    <n v="1"/>
  </r>
  <r>
    <s v="LA-705077"/>
    <d v="2025-12-15T00:00:00"/>
    <x v="1"/>
    <s v="Q4"/>
    <x v="11"/>
    <x v="0"/>
    <x v="3"/>
    <x v="3"/>
    <x v="1"/>
    <x v="0"/>
    <n v="16050"/>
    <n v="22000"/>
    <n v="48"/>
    <n v="0.217"/>
    <s v="Withdrawn"/>
    <x v="1"/>
    <n v="0"/>
    <n v="0"/>
    <n v="0"/>
    <m/>
    <n v="5"/>
    <n v="0"/>
    <n v="1"/>
  </r>
  <r>
    <s v="LA-705078"/>
    <d v="2025-12-16T00:00:00"/>
    <x v="1"/>
    <s v="Q4"/>
    <x v="11"/>
    <x v="2"/>
    <x v="3"/>
    <x v="4"/>
    <x v="0"/>
    <x v="1"/>
    <n v="8200"/>
    <n v="98500"/>
    <n v="24"/>
    <n v="0.73899999999999999"/>
    <s v="Approved"/>
    <x v="1"/>
    <n v="1"/>
    <n v="0"/>
    <n v="98500"/>
    <n v="0.1094"/>
    <n v="12"/>
    <n v="0"/>
    <n v="1"/>
  </r>
  <r>
    <s v="LA-705079"/>
    <d v="2025-12-16T00:00:00"/>
    <x v="1"/>
    <s v="Q4"/>
    <x v="11"/>
    <x v="0"/>
    <x v="3"/>
    <x v="1"/>
    <x v="1"/>
    <x v="1"/>
    <n v="5850"/>
    <n v="54500"/>
    <n v="60"/>
    <n v="0.40400000000000003"/>
    <s v="Approved"/>
    <x v="1"/>
    <n v="1"/>
    <n v="0"/>
    <n v="43500"/>
    <n v="7.7200000000000005E-2"/>
    <n v="6"/>
    <n v="0"/>
    <n v="1"/>
  </r>
  <r>
    <s v="LA-705080"/>
    <d v="2025-12-16T00:00:00"/>
    <x v="1"/>
    <s v="Q4"/>
    <x v="11"/>
    <x v="2"/>
    <x v="1"/>
    <x v="3"/>
    <x v="1"/>
    <x v="3"/>
    <n v="2300"/>
    <n v="71500"/>
    <n v="12"/>
    <n v="2.794"/>
    <s v="Rejected"/>
    <x v="3"/>
    <n v="0"/>
    <n v="1"/>
    <n v="0"/>
    <m/>
    <n v="6"/>
    <n v="1"/>
    <n v="1"/>
  </r>
  <r>
    <s v="LA-705081"/>
    <d v="2025-12-16T00:00:00"/>
    <x v="1"/>
    <s v="Q4"/>
    <x v="11"/>
    <x v="1"/>
    <x v="3"/>
    <x v="2"/>
    <x v="2"/>
    <x v="3"/>
    <n v="6850"/>
    <n v="8500"/>
    <n v="48"/>
    <n v="0.23599999999999999"/>
    <s v="Approved"/>
    <x v="1"/>
    <n v="1"/>
    <n v="0"/>
    <n v="8500"/>
    <n v="0.1089"/>
    <n v="3"/>
    <n v="1"/>
    <n v="1"/>
  </r>
  <r>
    <s v="LA-705082"/>
    <d v="2025-12-17T00:00:00"/>
    <x v="1"/>
    <s v="Q4"/>
    <x v="11"/>
    <x v="0"/>
    <x v="2"/>
    <x v="2"/>
    <x v="0"/>
    <x v="0"/>
    <n v="2600"/>
    <n v="103000"/>
    <n v="48"/>
    <n v="1.19"/>
    <s v="Rejected"/>
    <x v="0"/>
    <n v="0"/>
    <n v="1"/>
    <n v="0"/>
    <m/>
    <n v="2"/>
    <n v="1"/>
    <n v="1"/>
  </r>
  <r>
    <s v="LA-705083"/>
    <d v="2025-12-17T00:00:00"/>
    <x v="1"/>
    <s v="Q4"/>
    <x v="11"/>
    <x v="0"/>
    <x v="1"/>
    <x v="2"/>
    <x v="0"/>
    <x v="1"/>
    <n v="5700"/>
    <n v="33000"/>
    <n v="48"/>
    <n v="0.248"/>
    <s v="Rejected"/>
    <x v="0"/>
    <n v="0"/>
    <n v="1"/>
    <n v="0"/>
    <m/>
    <n v="2"/>
    <n v="1"/>
    <n v="1"/>
  </r>
  <r>
    <s v="LA-705084"/>
    <d v="2025-12-17T00:00:00"/>
    <x v="1"/>
    <s v="Q4"/>
    <x v="11"/>
    <x v="1"/>
    <x v="2"/>
    <x v="1"/>
    <x v="1"/>
    <x v="0"/>
    <n v="4950"/>
    <n v="7000"/>
    <n v="60"/>
    <n v="0.222"/>
    <s v="Approved"/>
    <x v="1"/>
    <n v="1"/>
    <n v="0"/>
    <n v="7000"/>
    <n v="0.13420000000000001"/>
    <n v="2"/>
    <n v="1"/>
    <n v="1"/>
  </r>
  <r>
    <s v="LA-705085"/>
    <d v="2025-12-17T00:00:00"/>
    <x v="1"/>
    <s v="Q4"/>
    <x v="11"/>
    <x v="1"/>
    <x v="3"/>
    <x v="1"/>
    <x v="0"/>
    <x v="1"/>
    <n v="2600"/>
    <n v="15500"/>
    <n v="24"/>
    <n v="0.51400000000000001"/>
    <s v="Approved"/>
    <x v="1"/>
    <n v="1"/>
    <n v="0"/>
    <n v="15500"/>
    <n v="0.1234"/>
    <n v="7"/>
    <n v="0"/>
    <n v="1"/>
  </r>
  <r>
    <s v="LA-705086"/>
    <d v="2025-12-17T00:00:00"/>
    <x v="1"/>
    <s v="Q4"/>
    <x v="11"/>
    <x v="1"/>
    <x v="3"/>
    <x v="2"/>
    <x v="0"/>
    <x v="1"/>
    <n v="7800"/>
    <n v="17000"/>
    <n v="36"/>
    <n v="0.123"/>
    <s v="Approved"/>
    <x v="1"/>
    <n v="1"/>
    <n v="0"/>
    <n v="17000"/>
    <n v="0.1235"/>
    <n v="4"/>
    <n v="0"/>
    <n v="1"/>
  </r>
  <r>
    <s v="LA-705087"/>
    <d v="2025-12-17T00:00:00"/>
    <x v="1"/>
    <s v="Q4"/>
    <x v="11"/>
    <x v="3"/>
    <x v="2"/>
    <x v="3"/>
    <x v="0"/>
    <x v="1"/>
    <n v="6250"/>
    <n v="149000"/>
    <n v="240"/>
    <n v="0.25800000000000001"/>
    <s v="Approved"/>
    <x v="1"/>
    <n v="1"/>
    <n v="0"/>
    <n v="119000"/>
    <n v="5.8700000000000002E-2"/>
    <n v="9"/>
    <n v="1"/>
    <n v="1"/>
  </r>
  <r>
    <s v="LA-705088"/>
    <d v="2025-12-18T00:00:00"/>
    <x v="1"/>
    <s v="Q4"/>
    <x v="11"/>
    <x v="1"/>
    <x v="3"/>
    <x v="3"/>
    <x v="0"/>
    <x v="4"/>
    <n v="11600"/>
    <n v="13000"/>
    <n v="60"/>
    <n v="0.193"/>
    <s v="Approved"/>
    <x v="1"/>
    <n v="1"/>
    <n v="0"/>
    <n v="13000"/>
    <n v="0.11310000000000001"/>
    <n v="4"/>
    <n v="0"/>
    <n v="1"/>
  </r>
  <r>
    <s v="LA-705089"/>
    <d v="2025-12-18T00:00:00"/>
    <x v="1"/>
    <s v="Q4"/>
    <x v="11"/>
    <x v="0"/>
    <x v="3"/>
    <x v="3"/>
    <x v="0"/>
    <x v="4"/>
    <n v="3600"/>
    <n v="39500"/>
    <n v="60"/>
    <n v="0.317"/>
    <s v="Approved"/>
    <x v="1"/>
    <n v="1"/>
    <n v="0"/>
    <n v="39500"/>
    <n v="7.1900000000000006E-2"/>
    <n v="9"/>
    <n v="0"/>
    <n v="1"/>
  </r>
  <r>
    <s v="LA-705090"/>
    <d v="2025-12-18T00:00:00"/>
    <x v="1"/>
    <s v="Q4"/>
    <x v="11"/>
    <x v="1"/>
    <x v="0"/>
    <x v="2"/>
    <x v="0"/>
    <x v="1"/>
    <n v="14600"/>
    <n v="12500"/>
    <n v="12"/>
    <n v="0.14099999999999999"/>
    <s v="Approved"/>
    <x v="1"/>
    <n v="1"/>
    <n v="0"/>
    <n v="12500"/>
    <n v="0.1293"/>
    <n v="3"/>
    <n v="1"/>
    <n v="1"/>
  </r>
  <r>
    <s v="LA-705091"/>
    <d v="2025-12-18T00:00:00"/>
    <x v="1"/>
    <s v="Q4"/>
    <x v="11"/>
    <x v="3"/>
    <x v="0"/>
    <x v="2"/>
    <x v="0"/>
    <x v="4"/>
    <n v="6900"/>
    <n v="614000"/>
    <n v="300"/>
    <n v="0.69299999999999995"/>
    <s v="Approved"/>
    <x v="1"/>
    <n v="1"/>
    <n v="0"/>
    <n v="614000"/>
    <n v="4.8399999999999999E-2"/>
    <n v="11"/>
    <n v="1"/>
    <n v="1"/>
  </r>
  <r>
    <s v="LA-705092"/>
    <d v="2025-12-18T00:00:00"/>
    <x v="1"/>
    <s v="Q4"/>
    <x v="11"/>
    <x v="0"/>
    <x v="3"/>
    <x v="2"/>
    <x v="1"/>
    <x v="2"/>
    <n v="6200"/>
    <n v="38000"/>
    <n v="60"/>
    <n v="0.23499999999999999"/>
    <s v="Rejected"/>
    <x v="0"/>
    <n v="0"/>
    <n v="1"/>
    <n v="0"/>
    <m/>
    <n v="8"/>
    <n v="0"/>
    <n v="1"/>
  </r>
  <r>
    <s v="LA-705093"/>
    <d v="2025-12-18T00:00:00"/>
    <x v="1"/>
    <s v="Q4"/>
    <x v="11"/>
    <x v="0"/>
    <x v="2"/>
    <x v="1"/>
    <x v="0"/>
    <x v="3"/>
    <n v="6500"/>
    <n v="28500"/>
    <n v="36"/>
    <n v="0.28399999999999997"/>
    <s v="Approved"/>
    <x v="1"/>
    <n v="1"/>
    <n v="0"/>
    <n v="28500"/>
    <n v="6.7599999999999993E-2"/>
    <n v="2"/>
    <n v="1"/>
    <n v="1"/>
  </r>
  <r>
    <s v="LA-705094"/>
    <d v="2025-12-18T00:00:00"/>
    <x v="1"/>
    <s v="Q4"/>
    <x v="11"/>
    <x v="3"/>
    <x v="1"/>
    <x v="3"/>
    <x v="0"/>
    <x v="0"/>
    <n v="5650"/>
    <n v="293500"/>
    <n v="300"/>
    <n v="0.502"/>
    <s v="Approved"/>
    <x v="1"/>
    <n v="1"/>
    <n v="0"/>
    <n v="293500"/>
    <n v="7.0099999999999996E-2"/>
    <n v="6"/>
    <n v="1"/>
    <n v="1"/>
  </r>
  <r>
    <s v="LA-705095"/>
    <d v="2025-12-18T00:00:00"/>
    <x v="1"/>
    <s v="Q4"/>
    <x v="11"/>
    <x v="1"/>
    <x v="1"/>
    <x v="0"/>
    <x v="0"/>
    <x v="4"/>
    <n v="2800"/>
    <n v="9000"/>
    <n v="48"/>
    <n v="0.185"/>
    <s v="Approved"/>
    <x v="1"/>
    <n v="1"/>
    <n v="0"/>
    <n v="7000"/>
    <n v="0.1114"/>
    <n v="1"/>
    <n v="1"/>
    <n v="1"/>
  </r>
  <r>
    <s v="LA-705096"/>
    <d v="2025-12-18T00:00:00"/>
    <x v="1"/>
    <s v="Q4"/>
    <x v="11"/>
    <x v="1"/>
    <x v="2"/>
    <x v="2"/>
    <x v="0"/>
    <x v="0"/>
    <n v="2800"/>
    <n v="15500"/>
    <n v="48"/>
    <n v="0.33100000000000002"/>
    <s v="Rejected"/>
    <x v="0"/>
    <n v="0"/>
    <n v="1"/>
    <n v="0"/>
    <m/>
    <n v="1"/>
    <n v="1"/>
    <n v="1"/>
  </r>
  <r>
    <s v="LA-705097"/>
    <d v="2025-12-18T00:00:00"/>
    <x v="1"/>
    <s v="Q4"/>
    <x v="11"/>
    <x v="1"/>
    <x v="2"/>
    <x v="3"/>
    <x v="2"/>
    <x v="1"/>
    <n v="5600"/>
    <n v="11000"/>
    <n v="24"/>
    <n v="0.28699999999999998"/>
    <s v="Rejected"/>
    <x v="5"/>
    <n v="0"/>
    <n v="1"/>
    <n v="0"/>
    <m/>
    <n v="2"/>
    <n v="1"/>
    <n v="1"/>
  </r>
  <r>
    <s v="LA-705098"/>
    <d v="2025-12-19T00:00:00"/>
    <x v="1"/>
    <s v="Q4"/>
    <x v="11"/>
    <x v="0"/>
    <x v="2"/>
    <x v="2"/>
    <x v="1"/>
    <x v="1"/>
    <n v="6200"/>
    <n v="35000"/>
    <n v="36"/>
    <n v="0.31900000000000001"/>
    <s v="Approved"/>
    <x v="1"/>
    <n v="1"/>
    <n v="0"/>
    <n v="28000"/>
    <n v="7.7799999999999994E-2"/>
    <n v="4"/>
    <n v="1"/>
    <n v="1"/>
  </r>
  <r>
    <s v="LA-705099"/>
    <d v="2025-12-19T00:00:00"/>
    <x v="1"/>
    <s v="Q4"/>
    <x v="11"/>
    <x v="0"/>
    <x v="1"/>
    <x v="0"/>
    <x v="2"/>
    <x v="4"/>
    <n v="10100"/>
    <n v="60500"/>
    <n v="60"/>
    <n v="0.30299999999999999"/>
    <s v="Approved"/>
    <x v="1"/>
    <n v="1"/>
    <n v="0"/>
    <n v="60500"/>
    <n v="6.9500000000000006E-2"/>
    <n v="1"/>
    <n v="1"/>
    <n v="1"/>
  </r>
  <r>
    <s v="LA-705100"/>
    <d v="2025-12-19T00:00:00"/>
    <x v="1"/>
    <s v="Q4"/>
    <x v="11"/>
    <x v="1"/>
    <x v="3"/>
    <x v="1"/>
    <x v="0"/>
    <x v="0"/>
    <n v="6250"/>
    <n v="22500"/>
    <n v="36"/>
    <n v="0.23699999999999999"/>
    <s v="Rejected"/>
    <x v="0"/>
    <n v="0"/>
    <n v="1"/>
    <n v="0"/>
    <m/>
    <n v="4"/>
    <n v="0"/>
    <n v="1"/>
  </r>
  <r>
    <s v="LA-705101"/>
    <d v="2025-12-19T00:00:00"/>
    <x v="1"/>
    <s v="Q4"/>
    <x v="11"/>
    <x v="1"/>
    <x v="1"/>
    <x v="4"/>
    <x v="0"/>
    <x v="3"/>
    <n v="5600"/>
    <n v="10000"/>
    <n v="48"/>
    <n v="0.22600000000000001"/>
    <s v="Approved"/>
    <x v="1"/>
    <n v="1"/>
    <n v="0"/>
    <n v="10000"/>
    <n v="0.1014"/>
    <n v="1"/>
    <n v="1"/>
    <n v="1"/>
  </r>
  <r>
    <s v="LA-705102"/>
    <d v="2025-12-19T00:00:00"/>
    <x v="1"/>
    <s v="Q4"/>
    <x v="11"/>
    <x v="2"/>
    <x v="1"/>
    <x v="3"/>
    <x v="0"/>
    <x v="3"/>
    <n v="3350"/>
    <n v="42500"/>
    <n v="60"/>
    <n v="0.39700000000000002"/>
    <s v="Approved"/>
    <x v="1"/>
    <n v="1"/>
    <n v="0"/>
    <n v="42500"/>
    <n v="9.3600000000000003E-2"/>
    <n v="3"/>
    <n v="1"/>
    <n v="1"/>
  </r>
  <r>
    <s v="LA-705103"/>
    <d v="2025-12-19T00:00:00"/>
    <x v="1"/>
    <s v="Q4"/>
    <x v="11"/>
    <x v="1"/>
    <x v="2"/>
    <x v="2"/>
    <x v="0"/>
    <x v="2"/>
    <n v="4550"/>
    <n v="20000"/>
    <n v="60"/>
    <n v="0.21199999999999999"/>
    <s v="Withdrawn"/>
    <x v="1"/>
    <n v="0"/>
    <n v="0"/>
    <n v="0"/>
    <m/>
    <n v="5"/>
    <n v="0"/>
    <n v="1"/>
  </r>
  <r>
    <s v="LA-705104"/>
    <d v="2025-12-19T00:00:00"/>
    <x v="1"/>
    <s v="Q4"/>
    <x v="11"/>
    <x v="1"/>
    <x v="0"/>
    <x v="1"/>
    <x v="2"/>
    <x v="1"/>
    <n v="6450"/>
    <n v="15500"/>
    <n v="48"/>
    <n v="0.17599999999999999"/>
    <s v="Approved"/>
    <x v="1"/>
    <n v="1"/>
    <n v="0"/>
    <n v="12500"/>
    <n v="0.1313"/>
    <n v="3"/>
    <n v="1"/>
    <n v="1"/>
  </r>
  <r>
    <s v="LA-705105"/>
    <d v="2025-12-19T00:00:00"/>
    <x v="1"/>
    <s v="Q4"/>
    <x v="11"/>
    <x v="1"/>
    <x v="1"/>
    <x v="4"/>
    <x v="1"/>
    <x v="1"/>
    <n v="6950"/>
    <n v="18000"/>
    <n v="48"/>
    <n v="0.29599999999999999"/>
    <s v="Rejected"/>
    <x v="5"/>
    <n v="0"/>
    <n v="1"/>
    <n v="0"/>
    <m/>
    <n v="2"/>
    <n v="1"/>
    <n v="1"/>
  </r>
  <r>
    <s v="LA-705106"/>
    <d v="2025-12-19T00:00:00"/>
    <x v="1"/>
    <s v="Q4"/>
    <x v="11"/>
    <x v="0"/>
    <x v="3"/>
    <x v="3"/>
    <x v="2"/>
    <x v="1"/>
    <n v="9950"/>
    <n v="9500"/>
    <n v="48"/>
    <n v="0.10100000000000001"/>
    <s v="Approved"/>
    <x v="1"/>
    <n v="1"/>
    <n v="0"/>
    <n v="9500"/>
    <n v="8.5900000000000004E-2"/>
    <n v="4"/>
    <n v="1"/>
    <n v="1"/>
  </r>
  <r>
    <s v="LA-705107"/>
    <d v="2025-12-19T00:00:00"/>
    <x v="1"/>
    <s v="Q4"/>
    <x v="11"/>
    <x v="1"/>
    <x v="2"/>
    <x v="4"/>
    <x v="0"/>
    <x v="1"/>
    <n v="16900"/>
    <n v="6500"/>
    <n v="12"/>
    <n v="0.16300000000000001"/>
    <s v="Approved"/>
    <x v="1"/>
    <n v="1"/>
    <n v="0"/>
    <n v="6500"/>
    <n v="0.1234"/>
    <n v="1"/>
    <n v="1"/>
    <n v="1"/>
  </r>
  <r>
    <s v="LA-705108"/>
    <d v="2025-12-19T00:00:00"/>
    <x v="1"/>
    <s v="Q4"/>
    <x v="11"/>
    <x v="1"/>
    <x v="2"/>
    <x v="3"/>
    <x v="1"/>
    <x v="0"/>
    <n v="5000"/>
    <n v="9500"/>
    <n v="24"/>
    <n v="0.16700000000000001"/>
    <s v="Rejected"/>
    <x v="0"/>
    <n v="0"/>
    <n v="1"/>
    <n v="0"/>
    <m/>
    <n v="1"/>
    <n v="1"/>
    <n v="1"/>
  </r>
  <r>
    <s v="LA-705109"/>
    <d v="2025-12-19T00:00:00"/>
    <x v="1"/>
    <s v="Q4"/>
    <x v="11"/>
    <x v="0"/>
    <x v="3"/>
    <x v="3"/>
    <x v="0"/>
    <x v="4"/>
    <n v="3550"/>
    <n v="32000"/>
    <n v="36"/>
    <n v="0.36799999999999999"/>
    <s v="Approved"/>
    <x v="1"/>
    <n v="1"/>
    <n v="0"/>
    <n v="32000"/>
    <n v="6.6900000000000001E-2"/>
    <n v="7"/>
    <n v="0"/>
    <n v="1"/>
  </r>
  <r>
    <s v="LA-705110"/>
    <d v="2025-12-20T00:00:00"/>
    <x v="1"/>
    <s v="Q4"/>
    <x v="11"/>
    <x v="1"/>
    <x v="0"/>
    <x v="3"/>
    <x v="0"/>
    <x v="4"/>
    <n v="6550"/>
    <n v="10500"/>
    <n v="36"/>
    <n v="0.13300000000000001"/>
    <s v="Approved"/>
    <x v="1"/>
    <n v="1"/>
    <n v="0"/>
    <n v="10500"/>
    <n v="0.1137"/>
    <n v="3"/>
    <n v="1"/>
    <n v="1"/>
  </r>
  <r>
    <s v="LA-705111"/>
    <d v="2025-12-20T00:00:00"/>
    <x v="1"/>
    <s v="Q4"/>
    <x v="11"/>
    <x v="0"/>
    <x v="0"/>
    <x v="4"/>
    <x v="1"/>
    <x v="0"/>
    <n v="6300"/>
    <n v="11500"/>
    <n v="48"/>
    <n v="0.19900000000000001"/>
    <s v="Approved"/>
    <x v="1"/>
    <n v="1"/>
    <n v="0"/>
    <n v="10500"/>
    <n v="9.8799999999999999E-2"/>
    <n v="4"/>
    <n v="1"/>
    <n v="1"/>
  </r>
  <r>
    <s v="LA-705112"/>
    <d v="2025-12-20T00:00:00"/>
    <x v="1"/>
    <s v="Q4"/>
    <x v="11"/>
    <x v="0"/>
    <x v="3"/>
    <x v="4"/>
    <x v="1"/>
    <x v="0"/>
    <n v="3250"/>
    <n v="27000"/>
    <n v="36"/>
    <n v="0.42199999999999999"/>
    <s v="Approved"/>
    <x v="1"/>
    <n v="1"/>
    <n v="0"/>
    <n v="24500"/>
    <n v="9.6799999999999997E-2"/>
    <n v="6"/>
    <n v="0"/>
    <n v="1"/>
  </r>
  <r>
    <s v="LA-705113"/>
    <d v="2025-12-21T00:00:00"/>
    <x v="1"/>
    <s v="Q4"/>
    <x v="11"/>
    <x v="1"/>
    <x v="2"/>
    <x v="1"/>
    <x v="0"/>
    <x v="3"/>
    <n v="6800"/>
    <n v="10500"/>
    <n v="60"/>
    <n v="0.248"/>
    <s v="Approved"/>
    <x v="1"/>
    <n v="1"/>
    <n v="0"/>
    <n v="10500"/>
    <n v="0.1096"/>
    <n v="1"/>
    <n v="1"/>
    <n v="1"/>
  </r>
  <r>
    <s v="LA-705114"/>
    <d v="2025-12-21T00:00:00"/>
    <x v="1"/>
    <s v="Q4"/>
    <x v="11"/>
    <x v="1"/>
    <x v="0"/>
    <x v="2"/>
    <x v="1"/>
    <x v="1"/>
    <n v="10050"/>
    <n v="13500"/>
    <n v="48"/>
    <n v="0.27900000000000003"/>
    <s v="Rejected"/>
    <x v="2"/>
    <n v="0"/>
    <n v="1"/>
    <n v="0"/>
    <m/>
    <n v="4"/>
    <n v="0"/>
    <n v="1"/>
  </r>
  <r>
    <s v="LA-705115"/>
    <d v="2025-12-21T00:00:00"/>
    <x v="1"/>
    <s v="Q4"/>
    <x v="11"/>
    <x v="2"/>
    <x v="1"/>
    <x v="1"/>
    <x v="1"/>
    <x v="0"/>
    <n v="4250"/>
    <n v="68000"/>
    <n v="36"/>
    <n v="0.76300000000000001"/>
    <s v="Rejected"/>
    <x v="0"/>
    <n v="0"/>
    <n v="1"/>
    <n v="0"/>
    <m/>
    <n v="7"/>
    <n v="1"/>
    <n v="1"/>
  </r>
  <r>
    <s v="LA-705116"/>
    <d v="2025-12-22T00:00:00"/>
    <x v="1"/>
    <s v="Q4"/>
    <x v="11"/>
    <x v="1"/>
    <x v="2"/>
    <x v="3"/>
    <x v="0"/>
    <x v="2"/>
    <n v="4900"/>
    <n v="9500"/>
    <n v="36"/>
    <n v="0.28599999999999998"/>
    <s v="Rejected"/>
    <x v="0"/>
    <n v="0"/>
    <n v="1"/>
    <n v="0"/>
    <m/>
    <n v="1"/>
    <n v="1"/>
    <n v="1"/>
  </r>
  <r>
    <s v="LA-705117"/>
    <d v="2025-12-22T00:00:00"/>
    <x v="1"/>
    <s v="Q4"/>
    <x v="11"/>
    <x v="1"/>
    <x v="2"/>
    <x v="2"/>
    <x v="1"/>
    <x v="2"/>
    <n v="3750"/>
    <n v="11500"/>
    <n v="12"/>
    <n v="0.36"/>
    <s v="Rejected"/>
    <x v="2"/>
    <n v="0"/>
    <n v="1"/>
    <n v="0"/>
    <m/>
    <n v="2"/>
    <n v="1"/>
    <n v="1"/>
  </r>
  <r>
    <s v="LA-705118"/>
    <d v="2025-12-22T00:00:00"/>
    <x v="1"/>
    <s v="Q4"/>
    <x v="11"/>
    <x v="1"/>
    <x v="2"/>
    <x v="1"/>
    <x v="1"/>
    <x v="3"/>
    <n v="8850"/>
    <n v="9000"/>
    <n v="48"/>
    <n v="9.9000000000000005E-2"/>
    <s v="Approved"/>
    <x v="1"/>
    <n v="1"/>
    <n v="0"/>
    <n v="9000"/>
    <n v="0.1158"/>
    <n v="1"/>
    <n v="1"/>
    <n v="1"/>
  </r>
  <r>
    <s v="LA-705119"/>
    <d v="2025-12-22T00:00:00"/>
    <x v="1"/>
    <s v="Q4"/>
    <x v="11"/>
    <x v="1"/>
    <x v="2"/>
    <x v="2"/>
    <x v="0"/>
    <x v="0"/>
    <n v="4100"/>
    <n v="16500"/>
    <n v="36"/>
    <n v="0.3"/>
    <s v="Approved"/>
    <x v="1"/>
    <n v="1"/>
    <n v="0"/>
    <n v="16500"/>
    <n v="0.13619999999999999"/>
    <n v="2"/>
    <n v="1"/>
    <n v="1"/>
  </r>
  <r>
    <s v="LA-705120"/>
    <d v="2025-12-22T00:00:00"/>
    <x v="1"/>
    <s v="Q4"/>
    <x v="11"/>
    <x v="3"/>
    <x v="3"/>
    <x v="2"/>
    <x v="0"/>
    <x v="0"/>
    <n v="3250"/>
    <n v="389500"/>
    <n v="180"/>
    <n v="1.121"/>
    <s v="Rejected"/>
    <x v="0"/>
    <n v="0"/>
    <n v="1"/>
    <n v="0"/>
    <m/>
    <n v="24"/>
    <n v="0"/>
    <n v="1"/>
  </r>
  <r>
    <s v="LA-705121"/>
    <d v="2025-12-22T00:00:00"/>
    <x v="1"/>
    <s v="Q4"/>
    <x v="11"/>
    <x v="2"/>
    <x v="3"/>
    <x v="3"/>
    <x v="2"/>
    <x v="2"/>
    <n v="6600"/>
    <n v="179500"/>
    <n v="12"/>
    <n v="2.6269999999999998"/>
    <s v="Rejected"/>
    <x v="0"/>
    <n v="0"/>
    <n v="1"/>
    <n v="0"/>
    <m/>
    <n v="18"/>
    <n v="0"/>
    <n v="1"/>
  </r>
  <r>
    <s v="LA-705122"/>
    <d v="2025-12-22T00:00:00"/>
    <x v="1"/>
    <s v="Q4"/>
    <x v="11"/>
    <x v="2"/>
    <x v="1"/>
    <x v="2"/>
    <x v="2"/>
    <x v="3"/>
    <n v="4950"/>
    <n v="106000"/>
    <n v="36"/>
    <n v="0.84599999999999997"/>
    <s v="Approved"/>
    <x v="1"/>
    <n v="1"/>
    <n v="0"/>
    <n v="106000"/>
    <n v="9.0899999999999995E-2"/>
    <n v="2"/>
    <n v="1"/>
    <n v="1"/>
  </r>
  <r>
    <s v="LA-705123"/>
    <d v="2025-12-22T00:00:00"/>
    <x v="1"/>
    <s v="Q4"/>
    <x v="11"/>
    <x v="1"/>
    <x v="2"/>
    <x v="2"/>
    <x v="2"/>
    <x v="0"/>
    <n v="6800"/>
    <n v="11500"/>
    <n v="12"/>
    <n v="0.38700000000000001"/>
    <s v="Approved"/>
    <x v="1"/>
    <n v="1"/>
    <n v="0"/>
    <n v="9000"/>
    <n v="0.14480000000000001"/>
    <n v="1"/>
    <n v="1"/>
    <n v="1"/>
  </r>
  <r>
    <s v="LA-705124"/>
    <d v="2025-12-22T00:00:00"/>
    <x v="1"/>
    <s v="Q4"/>
    <x v="11"/>
    <x v="3"/>
    <x v="0"/>
    <x v="2"/>
    <x v="1"/>
    <x v="1"/>
    <n v="6200"/>
    <n v="206000"/>
    <n v="300"/>
    <n v="0.34399999999999997"/>
    <s v="Approved"/>
    <x v="1"/>
    <n v="1"/>
    <n v="0"/>
    <n v="165000"/>
    <n v="6.1899999999999997E-2"/>
    <n v="14"/>
    <n v="1"/>
    <n v="1"/>
  </r>
  <r>
    <s v="LA-705125"/>
    <d v="2025-12-22T00:00:00"/>
    <x v="1"/>
    <s v="Q4"/>
    <x v="11"/>
    <x v="1"/>
    <x v="2"/>
    <x v="2"/>
    <x v="0"/>
    <x v="2"/>
    <n v="5150"/>
    <n v="11000"/>
    <n v="12"/>
    <n v="0.34699999999999998"/>
    <s v="Rejected"/>
    <x v="0"/>
    <n v="0"/>
    <n v="1"/>
    <n v="0"/>
    <m/>
    <n v="1"/>
    <n v="1"/>
    <n v="1"/>
  </r>
  <r>
    <s v="LA-705126"/>
    <d v="2025-12-22T00:00:00"/>
    <x v="1"/>
    <s v="Q4"/>
    <x v="11"/>
    <x v="2"/>
    <x v="3"/>
    <x v="4"/>
    <x v="2"/>
    <x v="1"/>
    <n v="4200"/>
    <n v="85000"/>
    <n v="12"/>
    <n v="1.9159999999999999"/>
    <s v="Rejected"/>
    <x v="3"/>
    <n v="0"/>
    <n v="1"/>
    <n v="0"/>
    <m/>
    <n v="18"/>
    <n v="0"/>
    <n v="1"/>
  </r>
  <r>
    <s v="LA-705127"/>
    <d v="2025-12-22T00:00:00"/>
    <x v="1"/>
    <s v="Q4"/>
    <x v="11"/>
    <x v="2"/>
    <x v="3"/>
    <x v="2"/>
    <x v="0"/>
    <x v="1"/>
    <n v="4250"/>
    <n v="52500"/>
    <n v="36"/>
    <n v="0.56599999999999995"/>
    <s v="Rejected"/>
    <x v="3"/>
    <n v="0"/>
    <n v="1"/>
    <n v="0"/>
    <m/>
    <n v="10"/>
    <n v="1"/>
    <n v="1"/>
  </r>
  <r>
    <s v="LA-705128"/>
    <d v="2025-12-23T00:00:00"/>
    <x v="1"/>
    <s v="Q4"/>
    <x v="11"/>
    <x v="1"/>
    <x v="0"/>
    <x v="2"/>
    <x v="1"/>
    <x v="0"/>
    <n v="3100"/>
    <n v="15500"/>
    <n v="60"/>
    <n v="0.252"/>
    <s v="Rejected"/>
    <x v="0"/>
    <n v="0"/>
    <n v="1"/>
    <n v="0"/>
    <m/>
    <n v="2"/>
    <n v="1"/>
    <n v="1"/>
  </r>
  <r>
    <s v="LA-705129"/>
    <d v="2025-12-23T00:00:00"/>
    <x v="1"/>
    <s v="Q4"/>
    <x v="11"/>
    <x v="1"/>
    <x v="2"/>
    <x v="3"/>
    <x v="0"/>
    <x v="4"/>
    <n v="7050"/>
    <n v="4500"/>
    <n v="36"/>
    <n v="7.5999999999999998E-2"/>
    <s v="Approved"/>
    <x v="1"/>
    <n v="1"/>
    <n v="0"/>
    <n v="4500"/>
    <n v="0.1148"/>
    <n v="1"/>
    <n v="1"/>
    <n v="1"/>
  </r>
  <r>
    <s v="LA-705130"/>
    <d v="2025-12-23T00:00:00"/>
    <x v="1"/>
    <s v="Q4"/>
    <x v="11"/>
    <x v="3"/>
    <x v="2"/>
    <x v="3"/>
    <x v="1"/>
    <x v="2"/>
    <n v="5600"/>
    <n v="350000"/>
    <n v="240"/>
    <n v="0.53"/>
    <s v="Rejected"/>
    <x v="3"/>
    <n v="0"/>
    <n v="1"/>
    <n v="0"/>
    <m/>
    <n v="7"/>
    <n v="1"/>
    <n v="1"/>
  </r>
  <r>
    <s v="LA-705131"/>
    <d v="2025-12-23T00:00:00"/>
    <x v="1"/>
    <s v="Q4"/>
    <x v="11"/>
    <x v="1"/>
    <x v="2"/>
    <x v="1"/>
    <x v="1"/>
    <x v="0"/>
    <n v="3500"/>
    <n v="15500"/>
    <n v="60"/>
    <n v="0.14899999999999999"/>
    <s v="Approved"/>
    <x v="1"/>
    <n v="1"/>
    <n v="0"/>
    <n v="14000"/>
    <n v="0.14380000000000001"/>
    <n v="2"/>
    <n v="1"/>
    <n v="1"/>
  </r>
  <r>
    <s v="LA-705132"/>
    <d v="2025-12-23T00:00:00"/>
    <x v="1"/>
    <s v="Q4"/>
    <x v="11"/>
    <x v="3"/>
    <x v="1"/>
    <x v="2"/>
    <x v="0"/>
    <x v="2"/>
    <n v="5400"/>
    <n v="149000"/>
    <n v="180"/>
    <n v="0.28100000000000003"/>
    <s v="Rejected"/>
    <x v="0"/>
    <n v="0"/>
    <n v="1"/>
    <n v="0"/>
    <m/>
    <n v="7"/>
    <n v="1"/>
    <n v="1"/>
  </r>
  <r>
    <s v="LA-705133"/>
    <d v="2025-12-23T00:00:00"/>
    <x v="1"/>
    <s v="Q4"/>
    <x v="11"/>
    <x v="0"/>
    <x v="1"/>
    <x v="3"/>
    <x v="2"/>
    <x v="0"/>
    <n v="4200"/>
    <n v="24000"/>
    <n v="60"/>
    <n v="0.245"/>
    <s v="Approved"/>
    <x v="1"/>
    <n v="1"/>
    <n v="0"/>
    <n v="24000"/>
    <n v="9.11E-2"/>
    <n v="2"/>
    <n v="1"/>
    <n v="1"/>
  </r>
  <r>
    <s v="LA-705134"/>
    <d v="2025-12-23T00:00:00"/>
    <x v="1"/>
    <s v="Q4"/>
    <x v="11"/>
    <x v="2"/>
    <x v="2"/>
    <x v="2"/>
    <x v="1"/>
    <x v="3"/>
    <n v="11550"/>
    <n v="60000"/>
    <n v="60"/>
    <n v="0.32400000000000001"/>
    <s v="Approved"/>
    <x v="1"/>
    <n v="1"/>
    <n v="0"/>
    <n v="60000"/>
    <n v="9.0700000000000003E-2"/>
    <n v="5"/>
    <n v="1"/>
    <n v="1"/>
  </r>
  <r>
    <s v="LA-705135"/>
    <d v="2025-12-23T00:00:00"/>
    <x v="1"/>
    <s v="Q4"/>
    <x v="11"/>
    <x v="0"/>
    <x v="0"/>
    <x v="3"/>
    <x v="1"/>
    <x v="0"/>
    <n v="7550"/>
    <n v="29500"/>
    <n v="60"/>
    <n v="0.13500000000000001"/>
    <s v="Approved"/>
    <x v="1"/>
    <n v="1"/>
    <n v="0"/>
    <n v="29500"/>
    <n v="9.8500000000000004E-2"/>
    <n v="3"/>
    <n v="1"/>
    <n v="1"/>
  </r>
  <r>
    <s v="LA-705136"/>
    <d v="2025-12-23T00:00:00"/>
    <x v="1"/>
    <s v="Q4"/>
    <x v="11"/>
    <x v="1"/>
    <x v="2"/>
    <x v="2"/>
    <x v="2"/>
    <x v="2"/>
    <n v="9050"/>
    <n v="12500"/>
    <n v="60"/>
    <n v="0.23799999999999999"/>
    <s v="Rejected"/>
    <x v="0"/>
    <n v="0"/>
    <n v="1"/>
    <n v="0"/>
    <m/>
    <n v="4"/>
    <n v="0"/>
    <n v="1"/>
  </r>
  <r>
    <s v="LA-705137"/>
    <d v="2025-12-23T00:00:00"/>
    <x v="1"/>
    <s v="Q4"/>
    <x v="11"/>
    <x v="1"/>
    <x v="1"/>
    <x v="2"/>
    <x v="1"/>
    <x v="1"/>
    <n v="4250"/>
    <n v="14500"/>
    <n v="24"/>
    <n v="0.26500000000000001"/>
    <s v="Approved"/>
    <x v="1"/>
    <n v="1"/>
    <n v="0"/>
    <n v="14500"/>
    <n v="0.1258"/>
    <n v="1"/>
    <n v="1"/>
    <n v="1"/>
  </r>
  <r>
    <s v="LA-705138"/>
    <d v="2025-12-23T00:00:00"/>
    <x v="1"/>
    <s v="Q4"/>
    <x v="11"/>
    <x v="3"/>
    <x v="1"/>
    <x v="2"/>
    <x v="1"/>
    <x v="4"/>
    <n v="2500"/>
    <n v="211000"/>
    <n v="300"/>
    <n v="0.64200000000000002"/>
    <s v="Approved"/>
    <x v="1"/>
    <n v="1"/>
    <n v="0"/>
    <n v="190000"/>
    <n v="4.9700000000000001E-2"/>
    <n v="6"/>
    <n v="1"/>
    <n v="1"/>
  </r>
  <r>
    <s v="LA-705139"/>
    <d v="2025-12-23T00:00:00"/>
    <x v="1"/>
    <s v="Q4"/>
    <x v="11"/>
    <x v="3"/>
    <x v="1"/>
    <x v="0"/>
    <x v="1"/>
    <x v="0"/>
    <n v="4750"/>
    <n v="254500"/>
    <n v="180"/>
    <n v="0.501"/>
    <s v="Approved"/>
    <x v="1"/>
    <n v="1"/>
    <n v="0"/>
    <n v="203500"/>
    <n v="7.2400000000000006E-2"/>
    <n v="4"/>
    <n v="1"/>
    <n v="1"/>
  </r>
  <r>
    <s v="LA-705140"/>
    <d v="2025-12-23T00:00:00"/>
    <x v="1"/>
    <s v="Q4"/>
    <x v="11"/>
    <x v="2"/>
    <x v="2"/>
    <x v="1"/>
    <x v="1"/>
    <x v="2"/>
    <n v="9750"/>
    <n v="139500"/>
    <n v="12"/>
    <n v="1.3720000000000001"/>
    <s v="Rejected"/>
    <x v="0"/>
    <n v="0"/>
    <n v="1"/>
    <n v="0"/>
    <m/>
    <n v="5"/>
    <n v="1"/>
    <n v="1"/>
  </r>
  <r>
    <s v="LA-705141"/>
    <d v="2025-12-23T00:00:00"/>
    <x v="1"/>
    <s v="Q4"/>
    <x v="11"/>
    <x v="0"/>
    <x v="2"/>
    <x v="3"/>
    <x v="1"/>
    <x v="0"/>
    <n v="7200"/>
    <n v="12500"/>
    <n v="60"/>
    <n v="0.106"/>
    <s v="Rejected"/>
    <x v="5"/>
    <n v="0"/>
    <n v="1"/>
    <n v="0"/>
    <m/>
    <n v="3"/>
    <n v="1"/>
    <n v="1"/>
  </r>
  <r>
    <s v="LA-705142"/>
    <d v="2025-12-23T00:00:00"/>
    <x v="1"/>
    <s v="Q4"/>
    <x v="11"/>
    <x v="1"/>
    <x v="1"/>
    <x v="3"/>
    <x v="2"/>
    <x v="1"/>
    <n v="13100"/>
    <n v="11500"/>
    <n v="48"/>
    <n v="0.21299999999999999"/>
    <s v="Approved"/>
    <x v="1"/>
    <n v="1"/>
    <n v="0"/>
    <n v="11500"/>
    <n v="0.12970000000000001"/>
    <n v="1"/>
    <n v="1"/>
    <n v="1"/>
  </r>
  <r>
    <s v="LA-705143"/>
    <d v="2025-12-24T00:00:00"/>
    <x v="1"/>
    <s v="Q4"/>
    <x v="11"/>
    <x v="3"/>
    <x v="2"/>
    <x v="0"/>
    <x v="2"/>
    <x v="1"/>
    <n v="9300"/>
    <n v="188500"/>
    <n v="180"/>
    <n v="0.36199999999999999"/>
    <s v="Approved"/>
    <x v="1"/>
    <n v="1"/>
    <n v="0"/>
    <n v="151000"/>
    <n v="5.7799999999999997E-2"/>
    <n v="7"/>
    <n v="1"/>
    <n v="1"/>
  </r>
  <r>
    <s v="LA-705144"/>
    <d v="2025-12-24T00:00:00"/>
    <x v="1"/>
    <s v="Q4"/>
    <x v="11"/>
    <x v="1"/>
    <x v="1"/>
    <x v="1"/>
    <x v="2"/>
    <x v="4"/>
    <n v="5450"/>
    <n v="4000"/>
    <n v="48"/>
    <n v="0.16700000000000001"/>
    <s v="Rejected"/>
    <x v="5"/>
    <n v="0"/>
    <n v="1"/>
    <n v="0"/>
    <m/>
    <n v="1"/>
    <n v="1"/>
    <n v="1"/>
  </r>
  <r>
    <s v="LA-705145"/>
    <d v="2025-12-24T00:00:00"/>
    <x v="1"/>
    <s v="Q4"/>
    <x v="11"/>
    <x v="3"/>
    <x v="3"/>
    <x v="3"/>
    <x v="1"/>
    <x v="4"/>
    <n v="4400"/>
    <n v="241500"/>
    <n v="240"/>
    <n v="0.55500000000000005"/>
    <s v="Approved"/>
    <x v="1"/>
    <n v="1"/>
    <n v="0"/>
    <n v="193000"/>
    <n v="4.5900000000000003E-2"/>
    <n v="23"/>
    <n v="0"/>
    <n v="1"/>
  </r>
  <r>
    <s v="LA-705146"/>
    <d v="2025-12-24T00:00:00"/>
    <x v="1"/>
    <s v="Q4"/>
    <x v="11"/>
    <x v="1"/>
    <x v="0"/>
    <x v="4"/>
    <x v="1"/>
    <x v="1"/>
    <n v="2550"/>
    <n v="21500"/>
    <n v="24"/>
    <n v="0.45"/>
    <s v="Approved"/>
    <x v="1"/>
    <n v="1"/>
    <n v="0"/>
    <n v="19500"/>
    <n v="0.1232"/>
    <n v="5"/>
    <n v="0"/>
    <n v="1"/>
  </r>
  <r>
    <s v="LA-705147"/>
    <d v="2025-12-24T00:00:00"/>
    <x v="1"/>
    <s v="Q4"/>
    <x v="11"/>
    <x v="1"/>
    <x v="2"/>
    <x v="2"/>
    <x v="1"/>
    <x v="4"/>
    <n v="4650"/>
    <n v="18500"/>
    <n v="36"/>
    <n v="0.33"/>
    <s v="Approved"/>
    <x v="1"/>
    <n v="1"/>
    <n v="0"/>
    <n v="15000"/>
    <n v="0.1114"/>
    <n v="1"/>
    <n v="1"/>
    <n v="1"/>
  </r>
  <r>
    <s v="LA-705148"/>
    <d v="2025-12-24T00:00:00"/>
    <x v="1"/>
    <s v="Q4"/>
    <x v="11"/>
    <x v="0"/>
    <x v="3"/>
    <x v="3"/>
    <x v="1"/>
    <x v="1"/>
    <n v="4700"/>
    <n v="30000"/>
    <n v="60"/>
    <n v="0.193"/>
    <s v="Approved"/>
    <x v="1"/>
    <n v="1"/>
    <n v="0"/>
    <n v="30000"/>
    <n v="8.6300000000000002E-2"/>
    <n v="6"/>
    <n v="0"/>
    <n v="1"/>
  </r>
  <r>
    <s v="LA-705149"/>
    <d v="2025-12-24T00:00:00"/>
    <x v="1"/>
    <s v="Q4"/>
    <x v="11"/>
    <x v="2"/>
    <x v="3"/>
    <x v="3"/>
    <x v="2"/>
    <x v="2"/>
    <n v="10250"/>
    <n v="89500"/>
    <n v="24"/>
    <n v="0.47299999999999998"/>
    <s v="Rejected"/>
    <x v="0"/>
    <n v="0"/>
    <n v="1"/>
    <n v="0"/>
    <m/>
    <n v="9"/>
    <n v="1"/>
    <n v="1"/>
  </r>
  <r>
    <s v="LA-705150"/>
    <d v="2025-12-25T00:00:00"/>
    <x v="1"/>
    <s v="Q4"/>
    <x v="11"/>
    <x v="2"/>
    <x v="1"/>
    <x v="3"/>
    <x v="1"/>
    <x v="3"/>
    <n v="3100"/>
    <n v="56500"/>
    <n v="12"/>
    <n v="1.827"/>
    <s v="Rejected"/>
    <x v="3"/>
    <n v="0"/>
    <n v="1"/>
    <n v="0"/>
    <m/>
    <n v="7"/>
    <n v="1"/>
    <n v="1"/>
  </r>
  <r>
    <s v="LA-705151"/>
    <d v="2025-12-25T00:00:00"/>
    <x v="1"/>
    <s v="Q4"/>
    <x v="11"/>
    <x v="1"/>
    <x v="2"/>
    <x v="2"/>
    <x v="0"/>
    <x v="4"/>
    <n v="6750"/>
    <n v="9000"/>
    <n v="12"/>
    <n v="0.25900000000000001"/>
    <s v="Approved"/>
    <x v="1"/>
    <n v="1"/>
    <n v="0"/>
    <n v="9000"/>
    <n v="0.121"/>
    <n v="2"/>
    <n v="1"/>
    <n v="1"/>
  </r>
  <r>
    <s v="LA-705152"/>
    <d v="2025-12-25T00:00:00"/>
    <x v="1"/>
    <s v="Q4"/>
    <x v="11"/>
    <x v="2"/>
    <x v="1"/>
    <x v="3"/>
    <x v="0"/>
    <x v="4"/>
    <n v="1950"/>
    <n v="73000"/>
    <n v="36"/>
    <n v="1.399"/>
    <s v="Rejected"/>
    <x v="3"/>
    <n v="0"/>
    <n v="1"/>
    <n v="0"/>
    <m/>
    <n v="4"/>
    <n v="1"/>
    <n v="1"/>
  </r>
  <r>
    <s v="LA-705153"/>
    <d v="2025-12-25T00:00:00"/>
    <x v="1"/>
    <s v="Q4"/>
    <x v="11"/>
    <x v="2"/>
    <x v="1"/>
    <x v="2"/>
    <x v="0"/>
    <x v="2"/>
    <n v="8550"/>
    <n v="84000"/>
    <n v="36"/>
    <n v="0.38300000000000001"/>
    <s v="Rejected"/>
    <x v="0"/>
    <n v="0"/>
    <n v="1"/>
    <n v="0"/>
    <m/>
    <n v="5"/>
    <n v="1"/>
    <n v="1"/>
  </r>
  <r>
    <s v="LA-705154"/>
    <d v="2025-12-25T00:00:00"/>
    <x v="1"/>
    <s v="Q4"/>
    <x v="11"/>
    <x v="0"/>
    <x v="1"/>
    <x v="2"/>
    <x v="1"/>
    <x v="4"/>
    <n v="5250"/>
    <n v="41000"/>
    <n v="60"/>
    <n v="0.34399999999999997"/>
    <s v="Approved"/>
    <x v="1"/>
    <n v="1"/>
    <n v="0"/>
    <n v="41000"/>
    <n v="7.1800000000000003E-2"/>
    <n v="2"/>
    <n v="1"/>
    <n v="1"/>
  </r>
  <r>
    <s v="LA-705155"/>
    <d v="2025-12-25T00:00:00"/>
    <x v="1"/>
    <s v="Q4"/>
    <x v="11"/>
    <x v="1"/>
    <x v="3"/>
    <x v="2"/>
    <x v="0"/>
    <x v="1"/>
    <n v="4000"/>
    <n v="17500"/>
    <n v="12"/>
    <n v="0.44700000000000001"/>
    <s v="Rejected"/>
    <x v="0"/>
    <n v="0"/>
    <n v="1"/>
    <n v="0"/>
    <m/>
    <n v="5"/>
    <n v="0"/>
    <n v="1"/>
  </r>
  <r>
    <s v="LA-705156"/>
    <d v="2025-12-25T00:00:00"/>
    <x v="1"/>
    <s v="Q4"/>
    <x v="11"/>
    <x v="1"/>
    <x v="3"/>
    <x v="3"/>
    <x v="0"/>
    <x v="0"/>
    <n v="3400"/>
    <n v="16000"/>
    <n v="24"/>
    <n v="0.375"/>
    <s v="Approved"/>
    <x v="1"/>
    <n v="1"/>
    <n v="0"/>
    <n v="14500"/>
    <n v="0.1389"/>
    <n v="6"/>
    <n v="0"/>
    <n v="1"/>
  </r>
  <r>
    <s v="LA-705157"/>
    <d v="2025-12-25T00:00:00"/>
    <x v="1"/>
    <s v="Q4"/>
    <x v="11"/>
    <x v="1"/>
    <x v="1"/>
    <x v="3"/>
    <x v="1"/>
    <x v="1"/>
    <n v="3050"/>
    <n v="9000"/>
    <n v="36"/>
    <n v="0.26600000000000001"/>
    <s v="Approved"/>
    <x v="1"/>
    <n v="1"/>
    <n v="0"/>
    <n v="9000"/>
    <n v="0.1207"/>
    <n v="1"/>
    <n v="1"/>
    <n v="1"/>
  </r>
  <r>
    <s v="LA-705158"/>
    <d v="2025-12-25T00:00:00"/>
    <x v="1"/>
    <s v="Q4"/>
    <x v="11"/>
    <x v="1"/>
    <x v="2"/>
    <x v="0"/>
    <x v="0"/>
    <x v="2"/>
    <n v="7000"/>
    <n v="10000"/>
    <n v="12"/>
    <n v="0.35099999999999998"/>
    <s v="Rejected"/>
    <x v="4"/>
    <n v="0"/>
    <n v="1"/>
    <n v="0"/>
    <m/>
    <n v="6"/>
    <n v="0"/>
    <n v="1"/>
  </r>
  <r>
    <s v="LA-705159"/>
    <d v="2025-12-25T00:00:00"/>
    <x v="1"/>
    <s v="Q4"/>
    <x v="11"/>
    <x v="0"/>
    <x v="2"/>
    <x v="2"/>
    <x v="0"/>
    <x v="4"/>
    <n v="6400"/>
    <n v="16000"/>
    <n v="36"/>
    <n v="0.17199999999999999"/>
    <s v="Approved"/>
    <x v="1"/>
    <n v="1"/>
    <n v="0"/>
    <n v="13000"/>
    <n v="6.9000000000000006E-2"/>
    <n v="1"/>
    <n v="1"/>
    <n v="1"/>
  </r>
  <r>
    <s v="LA-705160"/>
    <d v="2025-12-25T00:00:00"/>
    <x v="1"/>
    <s v="Q4"/>
    <x v="11"/>
    <x v="2"/>
    <x v="1"/>
    <x v="4"/>
    <x v="0"/>
    <x v="4"/>
    <n v="5400"/>
    <n v="70000"/>
    <n v="60"/>
    <n v="0.39900000000000002"/>
    <s v="Approved"/>
    <x v="1"/>
    <n v="1"/>
    <n v="0"/>
    <n v="56000"/>
    <n v="9.3700000000000006E-2"/>
    <n v="5"/>
    <n v="1"/>
    <n v="1"/>
  </r>
  <r>
    <s v="LA-705161"/>
    <d v="2025-12-25T00:00:00"/>
    <x v="1"/>
    <s v="Q4"/>
    <x v="11"/>
    <x v="0"/>
    <x v="3"/>
    <x v="3"/>
    <x v="2"/>
    <x v="4"/>
    <n v="14500"/>
    <n v="19500"/>
    <n v="60"/>
    <n v="0.125"/>
    <s v="Approved"/>
    <x v="1"/>
    <n v="1"/>
    <n v="0"/>
    <n v="19500"/>
    <n v="7.17E-2"/>
    <n v="7"/>
    <n v="0"/>
    <n v="1"/>
  </r>
  <r>
    <s v="LA-705162"/>
    <d v="2025-12-25T00:00:00"/>
    <x v="1"/>
    <s v="Q4"/>
    <x v="11"/>
    <x v="1"/>
    <x v="0"/>
    <x v="2"/>
    <x v="1"/>
    <x v="4"/>
    <n v="6850"/>
    <n v="5500"/>
    <n v="12"/>
    <n v="0.19800000000000001"/>
    <s v="Rejected"/>
    <x v="5"/>
    <n v="0"/>
    <n v="1"/>
    <n v="0"/>
    <m/>
    <n v="2"/>
    <n v="1"/>
    <n v="1"/>
  </r>
  <r>
    <s v="LA-705163"/>
    <d v="2025-12-25T00:00:00"/>
    <x v="1"/>
    <s v="Q4"/>
    <x v="11"/>
    <x v="1"/>
    <x v="3"/>
    <x v="2"/>
    <x v="0"/>
    <x v="4"/>
    <n v="6450"/>
    <n v="7500"/>
    <n v="36"/>
    <n v="0.14099999999999999"/>
    <s v="Approved"/>
    <x v="1"/>
    <n v="1"/>
    <n v="0"/>
    <n v="6000"/>
    <n v="0.1143"/>
    <n v="5"/>
    <n v="0"/>
    <n v="1"/>
  </r>
  <r>
    <s v="LA-705164"/>
    <d v="2025-12-26T00:00:00"/>
    <x v="1"/>
    <s v="Q4"/>
    <x v="11"/>
    <x v="2"/>
    <x v="2"/>
    <x v="3"/>
    <x v="0"/>
    <x v="1"/>
    <n v="4150"/>
    <n v="49000"/>
    <n v="24"/>
    <n v="0.69599999999999995"/>
    <s v="Approved"/>
    <x v="1"/>
    <n v="1"/>
    <n v="0"/>
    <n v="49000"/>
    <n v="0.109"/>
    <n v="4"/>
    <n v="1"/>
    <n v="1"/>
  </r>
  <r>
    <s v="LA-705165"/>
    <d v="2025-12-26T00:00:00"/>
    <x v="1"/>
    <s v="Q4"/>
    <x v="11"/>
    <x v="3"/>
    <x v="0"/>
    <x v="3"/>
    <x v="1"/>
    <x v="4"/>
    <n v="7450"/>
    <n v="347500"/>
    <n v="300"/>
    <n v="0.437"/>
    <s v="Rejected"/>
    <x v="2"/>
    <n v="0"/>
    <n v="1"/>
    <n v="0"/>
    <m/>
    <n v="13"/>
    <n v="1"/>
    <n v="1"/>
  </r>
  <r>
    <s v="LA-705166"/>
    <d v="2025-12-26T00:00:00"/>
    <x v="1"/>
    <s v="Q4"/>
    <x v="11"/>
    <x v="1"/>
    <x v="2"/>
    <x v="3"/>
    <x v="0"/>
    <x v="0"/>
    <n v="10350"/>
    <n v="10000"/>
    <n v="60"/>
    <n v="0.13600000000000001"/>
    <s v="Rejected"/>
    <x v="0"/>
    <n v="0"/>
    <n v="1"/>
    <n v="0"/>
    <m/>
    <n v="2"/>
    <n v="1"/>
    <n v="1"/>
  </r>
  <r>
    <s v="LA-705167"/>
    <d v="2025-12-26T00:00:00"/>
    <x v="1"/>
    <s v="Q4"/>
    <x v="11"/>
    <x v="1"/>
    <x v="3"/>
    <x v="4"/>
    <x v="0"/>
    <x v="0"/>
    <n v="8900"/>
    <n v="6500"/>
    <n v="60"/>
    <n v="0.254"/>
    <s v="Rejected"/>
    <x v="0"/>
    <n v="0"/>
    <n v="1"/>
    <n v="0"/>
    <m/>
    <n v="6"/>
    <n v="0"/>
    <n v="1"/>
  </r>
  <r>
    <s v="LA-705168"/>
    <d v="2025-12-26T00:00:00"/>
    <x v="1"/>
    <s v="Q4"/>
    <x v="11"/>
    <x v="2"/>
    <x v="0"/>
    <x v="2"/>
    <x v="1"/>
    <x v="3"/>
    <n v="5000"/>
    <n v="52500"/>
    <n v="12"/>
    <n v="1.0860000000000001"/>
    <s v="Withdrawn"/>
    <x v="1"/>
    <n v="0"/>
    <n v="0"/>
    <n v="0"/>
    <m/>
    <n v="12"/>
    <n v="0"/>
    <n v="1"/>
  </r>
  <r>
    <s v="LA-705169"/>
    <d v="2025-12-26T00:00:00"/>
    <x v="1"/>
    <s v="Q4"/>
    <x v="11"/>
    <x v="1"/>
    <x v="2"/>
    <x v="1"/>
    <x v="2"/>
    <x v="1"/>
    <n v="3650"/>
    <n v="9000"/>
    <n v="48"/>
    <n v="0.19"/>
    <s v="Approved"/>
    <x v="1"/>
    <n v="1"/>
    <n v="0"/>
    <n v="9000"/>
    <n v="0.12640000000000001"/>
    <n v="2"/>
    <n v="1"/>
    <n v="1"/>
  </r>
  <r>
    <s v="LA-705170"/>
    <d v="2025-12-27T00:00:00"/>
    <x v="1"/>
    <s v="Q4"/>
    <x v="11"/>
    <x v="1"/>
    <x v="3"/>
    <x v="4"/>
    <x v="0"/>
    <x v="4"/>
    <n v="3350"/>
    <n v="13000"/>
    <n v="60"/>
    <n v="0.219"/>
    <s v="Rejected"/>
    <x v="0"/>
    <n v="0"/>
    <n v="1"/>
    <n v="0"/>
    <m/>
    <n v="5"/>
    <n v="0"/>
    <n v="1"/>
  </r>
  <r>
    <s v="LA-705171"/>
    <d v="2025-12-27T00:00:00"/>
    <x v="1"/>
    <s v="Q4"/>
    <x v="11"/>
    <x v="3"/>
    <x v="2"/>
    <x v="2"/>
    <x v="0"/>
    <x v="4"/>
    <n v="7750"/>
    <n v="256500"/>
    <n v="240"/>
    <n v="0.36199999999999999"/>
    <s v="Approved"/>
    <x v="1"/>
    <n v="1"/>
    <n v="0"/>
    <n v="256500"/>
    <n v="4.9099999999999998E-2"/>
    <n v="8"/>
    <n v="1"/>
    <n v="1"/>
  </r>
  <r>
    <s v="LA-705172"/>
    <d v="2025-12-27T00:00:00"/>
    <x v="1"/>
    <s v="Q4"/>
    <x v="11"/>
    <x v="2"/>
    <x v="1"/>
    <x v="3"/>
    <x v="0"/>
    <x v="0"/>
    <n v="2550"/>
    <n v="55500"/>
    <n v="36"/>
    <n v="0.94499999999999995"/>
    <s v="Rejected"/>
    <x v="0"/>
    <n v="0"/>
    <n v="1"/>
    <n v="0"/>
    <m/>
    <n v="3"/>
    <n v="1"/>
    <n v="1"/>
  </r>
  <r>
    <s v="LA-705173"/>
    <d v="2025-12-27T00:00:00"/>
    <x v="1"/>
    <s v="Q4"/>
    <x v="11"/>
    <x v="1"/>
    <x v="0"/>
    <x v="3"/>
    <x v="2"/>
    <x v="4"/>
    <n v="7600"/>
    <n v="24500"/>
    <n v="24"/>
    <n v="0.255"/>
    <s v="Approved"/>
    <x v="1"/>
    <n v="1"/>
    <n v="0"/>
    <n v="22000"/>
    <n v="0.11559999999999999"/>
    <n v="2"/>
    <n v="1"/>
    <n v="1"/>
  </r>
  <r>
    <s v="LA-705174"/>
    <d v="2025-12-27T00:00:00"/>
    <x v="1"/>
    <s v="Q4"/>
    <x v="11"/>
    <x v="1"/>
    <x v="2"/>
    <x v="2"/>
    <x v="2"/>
    <x v="0"/>
    <n v="3800"/>
    <n v="5000"/>
    <n v="36"/>
    <n v="0.20100000000000001"/>
    <s v="Rejected"/>
    <x v="0"/>
    <n v="0"/>
    <n v="1"/>
    <n v="0"/>
    <m/>
    <n v="2"/>
    <n v="1"/>
    <n v="1"/>
  </r>
  <r>
    <s v="LA-705175"/>
    <d v="2025-12-28T00:00:00"/>
    <x v="1"/>
    <s v="Q4"/>
    <x v="11"/>
    <x v="3"/>
    <x v="1"/>
    <x v="4"/>
    <x v="0"/>
    <x v="4"/>
    <n v="10600"/>
    <n v="318500"/>
    <n v="180"/>
    <n v="0.42799999999999999"/>
    <s v="Approved"/>
    <x v="1"/>
    <n v="1"/>
    <n v="0"/>
    <n v="318500"/>
    <n v="5.0500000000000003E-2"/>
    <n v="4"/>
    <n v="1"/>
    <n v="1"/>
  </r>
  <r>
    <s v="LA-705176"/>
    <d v="2025-12-28T00:00:00"/>
    <x v="1"/>
    <s v="Q4"/>
    <x v="11"/>
    <x v="0"/>
    <x v="2"/>
    <x v="0"/>
    <x v="0"/>
    <x v="4"/>
    <n v="6200"/>
    <n v="35000"/>
    <n v="36"/>
    <n v="0.40899999999999997"/>
    <s v="Approved"/>
    <x v="1"/>
    <n v="1"/>
    <n v="0"/>
    <n v="35000"/>
    <n v="7.3200000000000001E-2"/>
    <n v="3"/>
    <n v="1"/>
    <n v="1"/>
  </r>
  <r>
    <s v="LA-705177"/>
    <d v="2025-12-28T00:00:00"/>
    <x v="1"/>
    <s v="Q4"/>
    <x v="11"/>
    <x v="1"/>
    <x v="2"/>
    <x v="3"/>
    <x v="1"/>
    <x v="0"/>
    <n v="2500"/>
    <n v="10000"/>
    <n v="36"/>
    <n v="0.24199999999999999"/>
    <s v="Rejected"/>
    <x v="0"/>
    <n v="0"/>
    <n v="1"/>
    <n v="0"/>
    <m/>
    <n v="1"/>
    <n v="1"/>
    <n v="1"/>
  </r>
  <r>
    <s v="LA-705178"/>
    <d v="2025-12-28T00:00:00"/>
    <x v="1"/>
    <s v="Q4"/>
    <x v="11"/>
    <x v="2"/>
    <x v="1"/>
    <x v="1"/>
    <x v="1"/>
    <x v="0"/>
    <n v="4100"/>
    <n v="54000"/>
    <n v="36"/>
    <n v="0.63"/>
    <s v="Rejected"/>
    <x v="0"/>
    <n v="0"/>
    <n v="1"/>
    <n v="0"/>
    <m/>
    <n v="4"/>
    <n v="1"/>
    <n v="1"/>
  </r>
  <r>
    <s v="LA-705179"/>
    <d v="2025-12-28T00:00:00"/>
    <x v="1"/>
    <s v="Q4"/>
    <x v="11"/>
    <x v="1"/>
    <x v="3"/>
    <x v="3"/>
    <x v="0"/>
    <x v="1"/>
    <n v="7350"/>
    <n v="8500"/>
    <n v="36"/>
    <n v="0.247"/>
    <s v="Approved"/>
    <x v="1"/>
    <n v="1"/>
    <n v="0"/>
    <n v="7500"/>
    <n v="0.12529999999999999"/>
    <n v="5"/>
    <n v="0"/>
    <n v="1"/>
  </r>
  <r>
    <s v="LA-705180"/>
    <d v="2025-12-28T00:00:00"/>
    <x v="1"/>
    <s v="Q4"/>
    <x v="11"/>
    <x v="0"/>
    <x v="1"/>
    <x v="1"/>
    <x v="2"/>
    <x v="3"/>
    <n v="4700"/>
    <n v="44500"/>
    <n v="48"/>
    <n v="0.28100000000000003"/>
    <s v="Approved"/>
    <x v="1"/>
    <n v="1"/>
    <n v="0"/>
    <n v="44500"/>
    <n v="6.5100000000000005E-2"/>
    <n v="2"/>
    <n v="1"/>
    <n v="1"/>
  </r>
  <r>
    <s v="LA-705181"/>
    <d v="2025-12-29T00:00:00"/>
    <x v="1"/>
    <s v="Q4"/>
    <x v="11"/>
    <x v="2"/>
    <x v="1"/>
    <x v="3"/>
    <x v="0"/>
    <x v="1"/>
    <n v="3700"/>
    <n v="43000"/>
    <n v="36"/>
    <n v="0.47"/>
    <s v="Approved"/>
    <x v="1"/>
    <n v="1"/>
    <n v="0"/>
    <n v="43000"/>
    <n v="0.1066"/>
    <n v="4"/>
    <n v="1"/>
    <n v="1"/>
  </r>
  <r>
    <s v="LA-705182"/>
    <d v="2025-12-29T00:00:00"/>
    <x v="1"/>
    <s v="Q4"/>
    <x v="11"/>
    <x v="1"/>
    <x v="1"/>
    <x v="4"/>
    <x v="0"/>
    <x v="0"/>
    <n v="4000"/>
    <n v="6500"/>
    <n v="12"/>
    <n v="0.25800000000000001"/>
    <s v="Approved"/>
    <x v="1"/>
    <n v="1"/>
    <n v="0"/>
    <n v="6500"/>
    <n v="0.1396"/>
    <n v="1"/>
    <n v="1"/>
    <n v="1"/>
  </r>
  <r>
    <s v="LA-705183"/>
    <d v="2025-12-29T00:00:00"/>
    <x v="1"/>
    <s v="Q4"/>
    <x v="11"/>
    <x v="1"/>
    <x v="0"/>
    <x v="2"/>
    <x v="1"/>
    <x v="4"/>
    <n v="3450"/>
    <n v="14500"/>
    <n v="24"/>
    <n v="0.33300000000000002"/>
    <s v="Approved"/>
    <x v="1"/>
    <n v="1"/>
    <n v="0"/>
    <n v="14500"/>
    <n v="0.1133"/>
    <n v="3"/>
    <n v="1"/>
    <n v="1"/>
  </r>
  <r>
    <s v="LA-705184"/>
    <d v="2025-12-29T00:00:00"/>
    <x v="1"/>
    <s v="Q4"/>
    <x v="11"/>
    <x v="1"/>
    <x v="1"/>
    <x v="1"/>
    <x v="0"/>
    <x v="3"/>
    <n v="5850"/>
    <n v="10000"/>
    <n v="36"/>
    <n v="0.23699999999999999"/>
    <s v="Approved"/>
    <x v="1"/>
    <n v="1"/>
    <n v="0"/>
    <n v="9000"/>
    <n v="0.1113"/>
    <n v="1"/>
    <n v="1"/>
    <n v="1"/>
  </r>
  <r>
    <s v="LA-705185"/>
    <d v="2025-12-29T00:00:00"/>
    <x v="1"/>
    <s v="Q4"/>
    <x v="11"/>
    <x v="3"/>
    <x v="2"/>
    <x v="4"/>
    <x v="2"/>
    <x v="4"/>
    <n v="5900"/>
    <n v="143500"/>
    <n v="240"/>
    <n v="0.32200000000000001"/>
    <s v="Rejected"/>
    <x v="0"/>
    <n v="0"/>
    <n v="1"/>
    <n v="0"/>
    <m/>
    <n v="6"/>
    <n v="1"/>
    <n v="1"/>
  </r>
  <r>
    <s v="LA-705186"/>
    <d v="2025-12-29T00:00:00"/>
    <x v="1"/>
    <s v="Q4"/>
    <x v="11"/>
    <x v="2"/>
    <x v="3"/>
    <x v="1"/>
    <x v="1"/>
    <x v="1"/>
    <n v="3500"/>
    <n v="51000"/>
    <n v="36"/>
    <n v="0.53800000000000003"/>
    <s v="Rejected"/>
    <x v="3"/>
    <n v="0"/>
    <n v="1"/>
    <n v="0"/>
    <m/>
    <n v="12"/>
    <n v="0"/>
    <n v="1"/>
  </r>
  <r>
    <s v="LA-705187"/>
    <d v="2025-12-29T00:00:00"/>
    <x v="1"/>
    <s v="Q4"/>
    <x v="11"/>
    <x v="1"/>
    <x v="2"/>
    <x v="2"/>
    <x v="0"/>
    <x v="1"/>
    <n v="6250"/>
    <n v="7000"/>
    <n v="12"/>
    <n v="0.23599999999999999"/>
    <s v="Rejected"/>
    <x v="5"/>
    <n v="0"/>
    <n v="1"/>
    <n v="0"/>
    <m/>
    <n v="3"/>
    <n v="1"/>
    <n v="1"/>
  </r>
  <r>
    <s v="LA-705188"/>
    <d v="2025-12-30T00:00:00"/>
    <x v="1"/>
    <s v="Q4"/>
    <x v="11"/>
    <x v="3"/>
    <x v="3"/>
    <x v="3"/>
    <x v="2"/>
    <x v="0"/>
    <n v="2300"/>
    <n v="335500"/>
    <n v="180"/>
    <n v="1.321"/>
    <s v="Rejected"/>
    <x v="0"/>
    <n v="0"/>
    <n v="1"/>
    <n v="0"/>
    <m/>
    <n v="7"/>
    <n v="1"/>
    <n v="1"/>
  </r>
  <r>
    <s v="LA-705189"/>
    <d v="2025-12-30T00:00:00"/>
    <x v="1"/>
    <s v="Q4"/>
    <x v="11"/>
    <x v="1"/>
    <x v="0"/>
    <x v="1"/>
    <x v="2"/>
    <x v="1"/>
    <n v="7050"/>
    <n v="8500"/>
    <n v="36"/>
    <n v="9.1999999999999998E-2"/>
    <s v="Approved"/>
    <x v="1"/>
    <n v="1"/>
    <n v="0"/>
    <n v="8500"/>
    <n v="0.13320000000000001"/>
    <n v="4"/>
    <n v="0"/>
    <n v="1"/>
  </r>
  <r>
    <s v="LA-705190"/>
    <d v="2025-12-30T00:00:00"/>
    <x v="1"/>
    <s v="Q4"/>
    <x v="11"/>
    <x v="0"/>
    <x v="3"/>
    <x v="1"/>
    <x v="0"/>
    <x v="0"/>
    <n v="9300"/>
    <n v="44000"/>
    <n v="48"/>
    <n v="0.27600000000000002"/>
    <s v="Rejected"/>
    <x v="0"/>
    <n v="0"/>
    <n v="1"/>
    <n v="0"/>
    <m/>
    <n v="6"/>
    <n v="0"/>
    <n v="1"/>
  </r>
  <r>
    <s v="LA-705191"/>
    <d v="2025-12-30T00:00:00"/>
    <x v="1"/>
    <s v="Q4"/>
    <x v="11"/>
    <x v="0"/>
    <x v="1"/>
    <x v="1"/>
    <x v="0"/>
    <x v="3"/>
    <n v="14700"/>
    <n v="16000"/>
    <n v="48"/>
    <n v="0.185"/>
    <s v="Approved"/>
    <x v="1"/>
    <n v="1"/>
    <n v="0"/>
    <n v="16000"/>
    <n v="6.3799999999999996E-2"/>
    <n v="2"/>
    <n v="1"/>
    <n v="1"/>
  </r>
  <r>
    <s v="LA-705192"/>
    <d v="2025-12-30T00:00:00"/>
    <x v="1"/>
    <s v="Q4"/>
    <x v="11"/>
    <x v="0"/>
    <x v="0"/>
    <x v="1"/>
    <x v="1"/>
    <x v="1"/>
    <n v="6400"/>
    <n v="78500"/>
    <n v="60"/>
    <n v="0.42699999999999999"/>
    <s v="Rejected"/>
    <x v="0"/>
    <n v="0"/>
    <n v="1"/>
    <n v="0"/>
    <m/>
    <n v="3"/>
    <n v="1"/>
    <n v="1"/>
  </r>
  <r>
    <s v="LA-705193"/>
    <d v="2025-12-30T00:00:00"/>
    <x v="1"/>
    <s v="Q4"/>
    <x v="11"/>
    <x v="1"/>
    <x v="3"/>
    <x v="2"/>
    <x v="0"/>
    <x v="1"/>
    <n v="5350"/>
    <n v="6000"/>
    <n v="24"/>
    <n v="0.20200000000000001"/>
    <s v="Rejected"/>
    <x v="5"/>
    <n v="0"/>
    <n v="1"/>
    <n v="0"/>
    <m/>
    <n v="6"/>
    <n v="0"/>
    <n v="1"/>
  </r>
  <r>
    <s v="LA-705194"/>
    <d v="2025-12-30T00:00:00"/>
    <x v="1"/>
    <s v="Q4"/>
    <x v="11"/>
    <x v="1"/>
    <x v="3"/>
    <x v="2"/>
    <x v="2"/>
    <x v="1"/>
    <n v="5700"/>
    <n v="11000"/>
    <n v="60"/>
    <n v="0.26100000000000001"/>
    <s v="Approved"/>
    <x v="1"/>
    <n v="1"/>
    <n v="0"/>
    <n v="11000"/>
    <n v="0.12690000000000001"/>
    <n v="3"/>
    <n v="1"/>
    <n v="1"/>
  </r>
  <r>
    <s v="LA-705195"/>
    <d v="2025-12-31T00:00:00"/>
    <x v="1"/>
    <s v="Q4"/>
    <x v="11"/>
    <x v="0"/>
    <x v="0"/>
    <x v="3"/>
    <x v="2"/>
    <x v="4"/>
    <n v="5850"/>
    <n v="48500"/>
    <n v="60"/>
    <n v="0.378"/>
    <s v="Approved"/>
    <x v="1"/>
    <n v="1"/>
    <n v="0"/>
    <n v="39000"/>
    <n v="7.6200000000000004E-2"/>
    <n v="3"/>
    <n v="1"/>
    <n v="1"/>
  </r>
  <r>
    <s v="LA-705196"/>
    <d v="2025-12-31T00:00:00"/>
    <x v="1"/>
    <s v="Q4"/>
    <x v="11"/>
    <x v="1"/>
    <x v="0"/>
    <x v="3"/>
    <x v="2"/>
    <x v="4"/>
    <n v="4150"/>
    <n v="12000"/>
    <n v="60"/>
    <n v="0.28699999999999998"/>
    <s v="Approved"/>
    <x v="1"/>
    <n v="1"/>
    <n v="0"/>
    <n v="12000"/>
    <n v="0.11269999999999999"/>
    <n v="6"/>
    <n v="0"/>
    <n v="1"/>
  </r>
  <r>
    <s v="LA-705197"/>
    <d v="2025-12-31T00:00:00"/>
    <x v="1"/>
    <s v="Q4"/>
    <x v="11"/>
    <x v="1"/>
    <x v="3"/>
    <x v="3"/>
    <x v="1"/>
    <x v="3"/>
    <n v="7450"/>
    <n v="19500"/>
    <n v="24"/>
    <n v="0.25"/>
    <s v="Approved"/>
    <x v="1"/>
    <n v="1"/>
    <n v="0"/>
    <n v="19500"/>
    <n v="0.10630000000000001"/>
    <n v="4"/>
    <n v="0"/>
    <n v="1"/>
  </r>
  <r>
    <s v="LA-705198"/>
    <d v="2025-12-31T00:00:00"/>
    <x v="1"/>
    <s v="Q4"/>
    <x v="11"/>
    <x v="1"/>
    <x v="3"/>
    <x v="3"/>
    <x v="2"/>
    <x v="3"/>
    <n v="4200"/>
    <n v="7500"/>
    <n v="36"/>
    <n v="0.28799999999999998"/>
    <s v="Rejected"/>
    <x v="0"/>
    <n v="0"/>
    <n v="1"/>
    <n v="0"/>
    <m/>
    <n v="4"/>
    <n v="0"/>
    <n v="1"/>
  </r>
  <r>
    <s v="LA-705199"/>
    <d v="2025-12-31T00:00:00"/>
    <x v="1"/>
    <s v="Q4"/>
    <x v="11"/>
    <x v="0"/>
    <x v="1"/>
    <x v="3"/>
    <x v="2"/>
    <x v="0"/>
    <n v="8250"/>
    <n v="27000"/>
    <n v="60"/>
    <n v="0.14899999999999999"/>
    <s v="Approved"/>
    <x v="1"/>
    <n v="1"/>
    <n v="0"/>
    <n v="27000"/>
    <n v="9.6199999999999994E-2"/>
    <n v="3"/>
    <n v="1"/>
    <n v="1"/>
  </r>
  <r>
    <s v="LA-705200"/>
    <d v="2025-12-31T00:00:00"/>
    <x v="1"/>
    <s v="Q4"/>
    <x v="11"/>
    <x v="0"/>
    <x v="2"/>
    <x v="2"/>
    <x v="2"/>
    <x v="1"/>
    <n v="7050"/>
    <n v="27500"/>
    <n v="36"/>
    <n v="0.20599999999999999"/>
    <s v="Approved"/>
    <x v="1"/>
    <n v="1"/>
    <n v="0"/>
    <n v="25000"/>
    <n v="8.14E-2"/>
    <n v="1"/>
    <n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8E421F-E23C-4055-A6DB-A25D862C59B0}" name="ptProdChan" cacheId="18" applyNumberFormats="0" applyBorderFormats="0" applyFontFormats="0" applyPatternFormats="0" applyAlignmentFormats="0" applyWidthHeightFormats="1" dataCaption="Values" updatedVersion="8" minRefreshableVersion="3" rowGrandTotals="0" colGrandTotals="0" itemPrintTitles="1" createdVersion="5" indent="0" compact="0" compactData="0" multipleFieldFilters="0" chartFormat="1">
  <location ref="X5:AB10" firstHeaderRow="1" firstDataRow="2" firstDataCol="1"/>
  <pivotFields count="25">
    <pivotField compact="0" outline="0" showAll="0"/>
    <pivotField compact="0" numFmtId="165" outline="0" showAll="0"/>
    <pivotField compact="0" outline="0" showAll="0"/>
    <pivotField compact="0" outline="0" showAll="0"/>
    <pivotField compact="0" outline="0" showAll="0"/>
    <pivotField axis="axisRow" compact="0" outline="0" showAll="0" defaultSubtotal="0">
      <items count="4">
        <item x="1"/>
        <item x="0"/>
        <item x="3"/>
        <item x="2"/>
      </items>
    </pivotField>
    <pivotField axis="axisCol" compact="0" outline="0" showAll="0" defaultSubtotal="0">
      <items count="4">
        <item x="3"/>
        <item x="0"/>
        <item x="1"/>
        <item x="2"/>
      </items>
    </pivotField>
    <pivotField compact="0" outline="0" showAll="0">
      <items count="6">
        <item x="2"/>
        <item x="1"/>
        <item x="4"/>
        <item x="0"/>
        <item x="3"/>
        <item t="default"/>
      </items>
    </pivotField>
    <pivotField compact="0" outline="0" showAll="0">
      <items count="4">
        <item x="1"/>
        <item x="0"/>
        <item x="2"/>
        <item t="default"/>
      </items>
    </pivotField>
    <pivotField compact="0" outline="0" showAll="0"/>
    <pivotField compact="0" numFmtId="166" outline="0" showAll="0"/>
    <pivotField compact="0" numFmtId="166" outline="0" showAll="0"/>
    <pivotField compact="0" outline="0" showAll="0"/>
    <pivotField compact="0" numFmtId="167"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dataField="1" compact="0" outline="0" showAll="0"/>
    <pivotField compact="0" outline="0" dragToRow="0" dragToCol="0" dragToPage="0" showAll="0" defaultSubtotal="0"/>
    <pivotField compact="0" outline="0" dragToRow="0" dragToCol="0" dragToPage="0" showAll="0" defaultSubtotal="0"/>
  </pivotFields>
  <rowFields count="1">
    <field x="5"/>
  </rowFields>
  <rowItems count="4">
    <i>
      <x/>
    </i>
    <i>
      <x v="1"/>
    </i>
    <i>
      <x v="2"/>
    </i>
    <i>
      <x v="3"/>
    </i>
  </rowItems>
  <colFields count="1">
    <field x="6"/>
  </colFields>
  <colItems count="4">
    <i>
      <x/>
    </i>
    <i>
      <x v="1"/>
    </i>
    <i>
      <x v="2"/>
    </i>
    <i>
      <x v="3"/>
    </i>
  </colItems>
  <dataFields count="1">
    <dataField name="Applications " fld="22" baseField="0" baseItem="0" numFmtId="3"/>
  </dataFields>
  <chartFormats count="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868035-A277-4B18-87A0-8DDBDED19FE3}" name="ptReason" cacheId="18" applyNumberFormats="0" applyBorderFormats="0" applyFontFormats="0" applyPatternFormats="0" applyAlignmentFormats="0" applyWidthHeightFormats="1" dataCaption="Values" updatedVersion="8" minRefreshableVersion="3" itemPrintTitles="1" createdVersion="5" indent="0" compact="0" compactData="0" multipleFieldFilters="0" chartFormat="1">
  <location ref="U5:V11" firstHeaderRow="1" firstDataRow="1" firstDataCol="1"/>
  <pivotFields count="25">
    <pivotField compact="0" outline="0" showAll="0"/>
    <pivotField compact="0" numFmtId="165" outline="0" showAll="0"/>
    <pivotField compact="0" outline="0" showAll="0"/>
    <pivotField compact="0" outline="0" showAll="0"/>
    <pivotField compact="0" outline="0" showAll="0"/>
    <pivotField compact="0" outline="0" showAll="0">
      <items count="5">
        <item x="0"/>
        <item x="3"/>
        <item x="1"/>
        <item x="2"/>
        <item t="default"/>
      </items>
    </pivotField>
    <pivotField compact="0" outline="0" showAll="0"/>
    <pivotField compact="0" outline="0" showAll="0">
      <items count="6">
        <item x="2"/>
        <item x="1"/>
        <item x="4"/>
        <item x="0"/>
        <item x="3"/>
        <item t="default"/>
      </items>
    </pivotField>
    <pivotField compact="0" outline="0" showAll="0">
      <items count="4">
        <item x="1"/>
        <item x="0"/>
        <item x="2"/>
        <item t="default"/>
      </items>
    </pivotField>
    <pivotField compact="0" outline="0" showAll="0"/>
    <pivotField compact="0" numFmtId="166" outline="0" showAll="0"/>
    <pivotField compact="0" numFmtId="166" outline="0" showAll="0"/>
    <pivotField compact="0" outline="0" showAll="0"/>
    <pivotField compact="0" numFmtId="167" outline="0" showAll="0"/>
    <pivotField compact="0" outline="0" showAll="0"/>
    <pivotField axis="axisRow" compact="0" outline="0" showAll="0" sortType="descending" defaultSubtotal="0">
      <items count="6">
        <item x="3"/>
        <item x="4"/>
        <item x="5"/>
        <item x="0"/>
        <item x="2"/>
        <item h="1" x="1"/>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numFmtId="166"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s>
  <rowFields count="1">
    <field x="15"/>
  </rowFields>
  <rowItems count="6">
    <i>
      <x v="3"/>
    </i>
    <i>
      <x/>
    </i>
    <i>
      <x v="1"/>
    </i>
    <i>
      <x v="2"/>
    </i>
    <i>
      <x v="4"/>
    </i>
    <i t="grand">
      <x/>
    </i>
  </rowItems>
  <colItems count="1">
    <i/>
  </colItems>
  <dataFields count="1">
    <dataField name="Rejections " fld="17"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B818CB-73F1-40A9-B15D-D3D3CFC161D8}" name="ptBand" cacheId="18" applyNumberFormats="0" applyBorderFormats="0" applyFontFormats="0" applyPatternFormats="0" applyAlignmentFormats="0" applyWidthHeightFormats="1" dataCaption="Values" updatedVersion="8" minRefreshableVersion="3" itemPrintTitles="1" createdVersion="5" indent="0" compact="0" compactData="0" multipleFieldFilters="0" chartFormat="1">
  <location ref="R5:S11" firstHeaderRow="1" firstDataRow="1" firstDataCol="1"/>
  <pivotFields count="25">
    <pivotField compact="0" outline="0" showAll="0"/>
    <pivotField compact="0" numFmtId="165" outline="0" showAll="0"/>
    <pivotField compact="0" outline="0" showAll="0"/>
    <pivotField compact="0" outline="0" showAll="0"/>
    <pivotField compact="0" outline="0" showAll="0"/>
    <pivotField compact="0" outline="0" showAll="0">
      <items count="5">
        <item x="0"/>
        <item x="3"/>
        <item x="1"/>
        <item x="2"/>
        <item t="default"/>
      </items>
    </pivotField>
    <pivotField compact="0" outline="0" showAll="0"/>
    <pivotField compact="0" outline="0" showAll="0">
      <items count="6">
        <item x="2"/>
        <item x="1"/>
        <item x="4"/>
        <item x="0"/>
        <item x="3"/>
        <item t="default"/>
      </items>
    </pivotField>
    <pivotField compact="0" outline="0" showAll="0">
      <items count="4">
        <item x="1"/>
        <item x="0"/>
        <item x="2"/>
        <item t="default"/>
      </items>
    </pivotField>
    <pivotField axis="axisRow" compact="0" outline="0" showAll="0" defaultSubtotal="0">
      <items count="5">
        <item x="2"/>
        <item x="0"/>
        <item x="1"/>
        <item x="4"/>
        <item x="3"/>
      </items>
    </pivotField>
    <pivotField compact="0" numFmtId="166" outline="0" showAll="0"/>
    <pivotField compact="0" numFmtId="166" outline="0" showAll="0"/>
    <pivotField compact="0" outline="0" showAll="0"/>
    <pivotField compact="0" numFmtId="167"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 compact="0" outline="0" dragToRow="0" dragToCol="0" dragToPage="0" showAll="0" defaultSubtotal="0"/>
  </pivotFields>
  <rowFields count="1">
    <field x="9"/>
  </rowFields>
  <rowItems count="6">
    <i>
      <x/>
    </i>
    <i>
      <x v="1"/>
    </i>
    <i>
      <x v="2"/>
    </i>
    <i>
      <x v="3"/>
    </i>
    <i>
      <x v="4"/>
    </i>
    <i t="grand">
      <x/>
    </i>
  </rowItems>
  <colItems count="1">
    <i/>
  </colItems>
  <dataFields count="1">
    <dataField name="Approval Rate " fld="23" baseField="0" baseItem="0" numFmtId="167"/>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F4FD3F-57F4-4B4B-A6D6-6440E72147CD}" name="ptChannel" cacheId="18" applyNumberFormats="0" applyBorderFormats="0" applyFontFormats="0" applyPatternFormats="0" applyAlignmentFormats="0" applyWidthHeightFormats="1" dataCaption="Values" updatedVersion="8" minRefreshableVersion="3" itemPrintTitles="1" createdVersion="5" indent="0" compact="0" compactData="0" multipleFieldFilters="0" chartFormat="1">
  <location ref="O5:P10" firstHeaderRow="1" firstDataRow="1" firstDataCol="1"/>
  <pivotFields count="25">
    <pivotField compact="0" outline="0" showAll="0"/>
    <pivotField compact="0" numFmtId="165" outline="0" showAll="0"/>
    <pivotField compact="0" outline="0" showAll="0"/>
    <pivotField compact="0" outline="0" showAll="0"/>
    <pivotField compact="0" outline="0" showAll="0"/>
    <pivotField compact="0" outline="0" showAll="0">
      <items count="5">
        <item x="0"/>
        <item x="3"/>
        <item x="1"/>
        <item x="2"/>
        <item t="default"/>
      </items>
    </pivotField>
    <pivotField axis="axisRow" compact="0" outline="0" showAll="0" sortType="descending" defaultSubtotal="0">
      <items count="4">
        <item x="3"/>
        <item x="0"/>
        <item x="1"/>
        <item x="2"/>
      </items>
      <autoSortScope>
        <pivotArea dataOnly="0" outline="0" fieldPosition="0">
          <references count="1">
            <reference field="4294967294" count="1" selected="0">
              <x v="0"/>
            </reference>
          </references>
        </pivotArea>
      </autoSortScope>
    </pivotField>
    <pivotField compact="0" outline="0" showAll="0">
      <items count="6">
        <item x="2"/>
        <item x="1"/>
        <item x="4"/>
        <item x="0"/>
        <item x="3"/>
        <item t="default"/>
      </items>
    </pivotField>
    <pivotField compact="0" outline="0" showAll="0">
      <items count="4">
        <item x="1"/>
        <item x="0"/>
        <item x="2"/>
        <item t="default"/>
      </items>
    </pivotField>
    <pivotField compact="0" outline="0" showAll="0"/>
    <pivotField compact="0" numFmtId="166" outline="0" showAll="0"/>
    <pivotField compact="0" numFmtId="166" outline="0" showAll="0"/>
    <pivotField compact="0" outline="0" showAll="0"/>
    <pivotField compact="0" numFmtId="167"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dataField="1" compact="0" outline="0" showAll="0"/>
    <pivotField compact="0" outline="0" dragToRow="0" dragToCol="0" dragToPage="0" showAll="0" defaultSubtotal="0"/>
    <pivotField compact="0" outline="0" dragToRow="0" dragToCol="0" dragToPage="0" showAll="0" defaultSubtotal="0"/>
  </pivotFields>
  <rowFields count="1">
    <field x="6"/>
  </rowFields>
  <rowItems count="5">
    <i>
      <x/>
    </i>
    <i>
      <x v="3"/>
    </i>
    <i>
      <x v="2"/>
    </i>
    <i>
      <x v="1"/>
    </i>
    <i t="grand">
      <x/>
    </i>
  </rowItems>
  <colItems count="1">
    <i/>
  </colItems>
  <dataFields count="1">
    <dataField name="Applications " fld="22"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3CF3C4-8405-40D1-812A-3C9AB1C64A9E}" name="ptChannelDays" cacheId="18" applyNumberFormats="0" applyBorderFormats="0" applyFontFormats="0" applyPatternFormats="0" applyAlignmentFormats="0" applyWidthHeightFormats="1" dataCaption="Values" updatedVersion="8" minRefreshableVersion="3" itemPrintTitles="1" createdVersion="5" indent="0" compact="0" compactData="0" multipleFieldFilters="0" chartFormat="1">
  <location ref="L5:M10" firstHeaderRow="1" firstDataRow="1" firstDataCol="1"/>
  <pivotFields count="25">
    <pivotField compact="0" outline="0" showAll="0"/>
    <pivotField compact="0" numFmtId="165" outline="0" showAll="0"/>
    <pivotField compact="0" outline="0" showAll="0"/>
    <pivotField compact="0" outline="0" showAll="0"/>
    <pivotField compact="0" outline="0" showAll="0"/>
    <pivotField compact="0" outline="0" showAll="0">
      <items count="5">
        <item x="0"/>
        <item x="3"/>
        <item x="1"/>
        <item x="2"/>
        <item t="default"/>
      </items>
    </pivotField>
    <pivotField axis="axisRow" compact="0" outline="0" showAll="0" sortType="descending" defaultSubtotal="0">
      <items count="4">
        <item x="3"/>
        <item x="0"/>
        <item x="1"/>
        <item x="2"/>
      </items>
      <autoSortScope>
        <pivotArea dataOnly="0" outline="0" fieldPosition="0">
          <references count="1">
            <reference field="4294967294" count="1" selected="0">
              <x v="0"/>
            </reference>
          </references>
        </pivotArea>
      </autoSortScope>
    </pivotField>
    <pivotField compact="0" outline="0" showAll="0">
      <items count="6">
        <item x="2"/>
        <item x="1"/>
        <item x="4"/>
        <item x="0"/>
        <item x="3"/>
        <item t="default"/>
      </items>
    </pivotField>
    <pivotField compact="0" outline="0" showAll="0">
      <items count="4">
        <item x="1"/>
        <item x="0"/>
        <item x="2"/>
        <item t="default"/>
      </items>
    </pivotField>
    <pivotField compact="0" outline="0" showAll="0"/>
    <pivotField compact="0" numFmtId="166" outline="0" showAll="0"/>
    <pivotField compact="0" numFmtId="166" outline="0" showAll="0"/>
    <pivotField compact="0" outline="0" showAll="0"/>
    <pivotField compact="0" numFmtId="167" outline="0" showAll="0"/>
    <pivotField compact="0" outline="0" showAll="0"/>
    <pivotField compact="0" outline="0" showAll="0"/>
    <pivotField compact="0" outline="0" showAll="0"/>
    <pivotField compact="0" outline="0" showAll="0"/>
    <pivotField compact="0" numFmtId="166" outline="0" showAll="0"/>
    <pivotField compact="0" outline="0" showAll="0"/>
    <pivotField dataField="1"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s>
  <rowFields count="1">
    <field x="6"/>
  </rowFields>
  <rowItems count="5">
    <i>
      <x/>
    </i>
    <i>
      <x v="1"/>
    </i>
    <i>
      <x v="3"/>
    </i>
    <i>
      <x v="2"/>
    </i>
    <i t="grand">
      <x/>
    </i>
  </rowItems>
  <colItems count="1">
    <i/>
  </colItems>
  <dataFields count="1">
    <dataField name="Avg Days " fld="20" subtotal="average" baseField="0" baseItem="0" numFmtId="169"/>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D06BB8-EDF0-470F-880C-463F5D873565}" name="ptTrend" cacheId="18" applyNumberFormats="0" applyBorderFormats="0" applyFontFormats="0" applyPatternFormats="0" applyAlignmentFormats="0" applyWidthHeightFormats="1" dataCaption="Values" updatedVersion="8" minRefreshableVersion="3" itemPrintTitles="1" createdVersion="5" indent="0" compact="0" compactData="0" multipleFieldFilters="0" chartFormat="1">
  <location ref="G5:J19" firstHeaderRow="1" firstDataRow="2" firstDataCol="1"/>
  <pivotFields count="25">
    <pivotField compact="0" outline="0" showAll="0"/>
    <pivotField compact="0" numFmtId="165" outline="0" showAll="0"/>
    <pivotField axis="axisCol" compact="0" outline="0" showAll="0" defaultSubtotal="0">
      <items count="2">
        <item x="0"/>
        <item x="1"/>
      </items>
    </pivotField>
    <pivotField compact="0" outline="0" showAll="0"/>
    <pivotField axis="axisRow" compact="0" outline="0" showAll="0" defaultSubtotal="0">
      <items count="12">
        <item x="0"/>
        <item x="1"/>
        <item x="2"/>
        <item x="3"/>
        <item x="4"/>
        <item x="5"/>
        <item x="6"/>
        <item x="7"/>
        <item x="8"/>
        <item x="9"/>
        <item x="10"/>
        <item x="11"/>
      </items>
    </pivotField>
    <pivotField compact="0" outline="0" showAll="0">
      <items count="5">
        <item x="0"/>
        <item x="3"/>
        <item x="1"/>
        <item x="2"/>
        <item t="default"/>
      </items>
    </pivotField>
    <pivotField compact="0" outline="0" showAll="0"/>
    <pivotField compact="0" outline="0" showAll="0">
      <items count="6">
        <item x="2"/>
        <item x="1"/>
        <item x="4"/>
        <item x="0"/>
        <item x="3"/>
        <item t="default"/>
      </items>
    </pivotField>
    <pivotField compact="0" outline="0" showAll="0">
      <items count="4">
        <item x="1"/>
        <item x="0"/>
        <item x="2"/>
        <item t="default"/>
      </items>
    </pivotField>
    <pivotField compact="0" outline="0" showAll="0"/>
    <pivotField compact="0" numFmtId="166" outline="0" showAll="0"/>
    <pivotField compact="0" numFmtId="166" outline="0" showAll="0"/>
    <pivotField compact="0" outline="0" showAll="0"/>
    <pivotField compact="0" numFmtId="167"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dataField="1" compact="0" outline="0" showAll="0"/>
    <pivotField compact="0" outline="0" dragToRow="0" dragToCol="0" dragToPage="0" showAll="0" defaultSubtotal="0"/>
    <pivotField compact="0" outline="0" dragToRow="0" dragToCol="0" dragToPage="0" showAll="0" defaultSubtotal="0"/>
  </pivotFields>
  <rowFields count="1">
    <field x="4"/>
  </rowFields>
  <rowItems count="13">
    <i>
      <x/>
    </i>
    <i>
      <x v="1"/>
    </i>
    <i>
      <x v="2"/>
    </i>
    <i>
      <x v="3"/>
    </i>
    <i>
      <x v="4"/>
    </i>
    <i>
      <x v="5"/>
    </i>
    <i>
      <x v="6"/>
    </i>
    <i>
      <x v="7"/>
    </i>
    <i>
      <x v="8"/>
    </i>
    <i>
      <x v="9"/>
    </i>
    <i>
      <x v="10"/>
    </i>
    <i>
      <x v="11"/>
    </i>
    <i t="grand">
      <x/>
    </i>
  </rowItems>
  <colFields count="1">
    <field x="2"/>
  </colFields>
  <colItems count="3">
    <i>
      <x/>
    </i>
    <i>
      <x v="1"/>
    </i>
    <i t="grand">
      <x/>
    </i>
  </colItems>
  <dataFields count="1">
    <dataField name="Applications " fld="22" baseField="0" baseItem="0" numFmtId="3"/>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ED8C42-923D-4E76-9B83-E3BBF4CD3529}" name="ptKPI" cacheId="18" dataOnRows="1" applyNumberFormats="0" applyBorderFormats="0" applyFontFormats="0" applyPatternFormats="0" applyAlignmentFormats="0" applyWidthHeightFormats="1" dataCaption="Values" updatedVersion="8" minRefreshableVersion="3" itemPrintTitles="1" createdVersion="5" indent="0" compact="0" compactData="0" multipleFieldFilters="0">
  <location ref="B5:E11" firstHeaderRow="1" firstDataRow="2" firstDataCol="1"/>
  <pivotFields count="25">
    <pivotField compact="0" outline="0" showAll="0"/>
    <pivotField compact="0" numFmtId="165" outline="0" showAll="0"/>
    <pivotField axis="axisCol" compact="0" outline="0" showAll="0" defaultSubtotal="0">
      <items count="2">
        <item x="0"/>
        <item x="1"/>
      </items>
    </pivotField>
    <pivotField compact="0" outline="0" showAll="0"/>
    <pivotField compact="0" outline="0" showAll="0"/>
    <pivotField compact="0" outline="0" showAll="0">
      <items count="5">
        <item x="0"/>
        <item x="3"/>
        <item x="1"/>
        <item x="2"/>
        <item t="default"/>
      </items>
    </pivotField>
    <pivotField compact="0" outline="0" showAll="0"/>
    <pivotField compact="0" outline="0" showAll="0">
      <items count="6">
        <item x="2"/>
        <item x="1"/>
        <item x="4"/>
        <item x="0"/>
        <item x="3"/>
        <item t="default"/>
      </items>
    </pivotField>
    <pivotField compact="0" outline="0" showAll="0">
      <items count="4">
        <item x="1"/>
        <item x="0"/>
        <item x="2"/>
        <item t="default"/>
      </items>
    </pivotField>
    <pivotField compact="0" outline="0" showAll="0"/>
    <pivotField compact="0" numFmtId="166" outline="0" showAll="0"/>
    <pivotField compact="0" numFmtId="166" outline="0" showAll="0"/>
    <pivotField compact="0" outline="0" showAll="0"/>
    <pivotField compact="0" numFmtId="167" outline="0" showAll="0"/>
    <pivotField compact="0" outline="0" showAll="0"/>
    <pivotField compact="0" outline="0" showAll="0"/>
    <pivotField compact="0" outline="0" showAll="0"/>
    <pivotField compact="0" outline="0" showAll="0"/>
    <pivotField dataField="1" compact="0" numFmtId="166" outline="0" showAll="0"/>
    <pivotField compact="0" outline="0" showAll="0"/>
    <pivotField dataField="1" compact="0" outline="0" showAll="0"/>
    <pivotField compact="0" outline="0" showAll="0"/>
    <pivotField dataField="1" compact="0" outline="0" showAll="0"/>
    <pivotField dataField="1" compact="0" outline="0" dragToRow="0" dragToCol="0" dragToPage="0" showAll="0" defaultSubtotal="0"/>
    <pivotField dataField="1" compact="0" outline="0" dragToRow="0" dragToCol="0" dragToPage="0" showAll="0" defaultSubtotal="0"/>
  </pivotFields>
  <rowFields count="1">
    <field x="-2"/>
  </rowFields>
  <rowItems count="5">
    <i>
      <x/>
    </i>
    <i i="1">
      <x v="1"/>
    </i>
    <i i="2">
      <x v="2"/>
    </i>
    <i i="3">
      <x v="3"/>
    </i>
    <i i="4">
      <x v="4"/>
    </i>
  </rowItems>
  <colFields count="1">
    <field x="2"/>
  </colFields>
  <colItems count="3">
    <i>
      <x/>
    </i>
    <i>
      <x v="1"/>
    </i>
    <i t="grand">
      <x/>
    </i>
  </colItems>
  <dataFields count="5">
    <dataField name="Applications " fld="22" baseField="0" baseItem="0" numFmtId="3"/>
    <dataField name="Approval Rate " fld="23" baseField="0" baseItem="0" numFmtId="167"/>
    <dataField name="Approved Amount " fld="18" baseField="0" baseItem="0" numFmtId="168"/>
    <dataField name="Avg Days " fld="20" subtotal="average" baseField="0" baseItem="0" numFmtId="169"/>
    <dataField name="SLA " fld="24" baseField="0" baseItem="0" numFmtId="167"/>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F984D92-19A8-4121-BCF7-15F8B68B44C2}" sourceName="Product">
  <pivotTables>
    <pivotTable tabId="2" name="ptKPI"/>
    <pivotTable tabId="2" name="ptTrend"/>
    <pivotTable tabId="2" name="ptChannelDays"/>
    <pivotTable tabId="2" name="ptChannel"/>
    <pivotTable tabId="2" name="ptBand"/>
    <pivotTable tabId="2" name="ptReason"/>
    <pivotTable tabId="2" name="ptProdChan"/>
  </pivotTables>
  <data>
    <tabular pivotCacheId="1114390424">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45A2D75-D052-4EB2-88FF-93D74208C9A8}" sourceName="Region">
  <pivotTables>
    <pivotTable tabId="2" name="ptKPI"/>
    <pivotTable tabId="2" name="ptTrend"/>
    <pivotTable tabId="2" name="ptChannelDays"/>
    <pivotTable tabId="2" name="ptChannel"/>
    <pivotTable tabId="2" name="ptBand"/>
    <pivotTable tabId="2" name="ptReason"/>
    <pivotTable tabId="2" name="ptProdChan"/>
  </pivotTables>
  <data>
    <tabular pivotCacheId="1114390424">
      <items count="5">
        <i x="2" s="1"/>
        <i x="1" s="1"/>
        <i x="4"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Type" xr10:uid="{1B1EF537-73C9-4608-B059-4913DC9889A8}" sourceName="EmploymentType">
  <pivotTables>
    <pivotTable tabId="2" name="ptKPI"/>
    <pivotTable tabId="2" name="ptTrend"/>
    <pivotTable tabId="2" name="ptChannelDays"/>
    <pivotTable tabId="2" name="ptChannel"/>
    <pivotTable tabId="2" name="ptBand"/>
    <pivotTable tabId="2" name="ptReason"/>
    <pivotTable tabId="2" name="ptProdChan"/>
  </pivotTables>
  <data>
    <tabular pivotCacheId="111439042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EE22036-6335-4F2C-9711-D931A0916C72}" cache="Slicer_Product" caption="Product" columnCount="4" style="SlicerStyleLight2" rowHeight="203200"/>
  <slicer name="Region" xr10:uid="{6F459289-882D-44EA-830D-F9C06119D054}" cache="Slicer_Region" caption="Region" columnCount="5" style="SlicerStyleLight2" rowHeight="203200"/>
  <slicer name="EmploymentType" xr10:uid="{7E43EBA4-F10E-497F-902E-484A1E24D991}" cache="Slicer_EmploymentType" caption="Employment Type" columnCount="3" style="SlicerStyleLight2" rowHeight="203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Data" displayName="tblData" ref="A1:W5201">
  <autoFilter ref="A1:W5201" xr:uid="{00000000-0009-0000-0100-000001000000}"/>
  <tableColumns count="23">
    <tableColumn id="1" xr3:uid="{00000000-0010-0000-0000-000001000000}" name="ApplicationID"/>
    <tableColumn id="2" xr3:uid="{00000000-0010-0000-0000-000002000000}" name="ApplicationDate"/>
    <tableColumn id="3" xr3:uid="{00000000-0010-0000-0000-000003000000}" name="Year"/>
    <tableColumn id="4" xr3:uid="{00000000-0010-0000-0000-000004000000}" name="Quarter"/>
    <tableColumn id="5" xr3:uid="{00000000-0010-0000-0000-000005000000}" name="Month"/>
    <tableColumn id="6" xr3:uid="{00000000-0010-0000-0000-000006000000}" name="Product"/>
    <tableColumn id="7" xr3:uid="{00000000-0010-0000-0000-000007000000}" name="Channel"/>
    <tableColumn id="8" xr3:uid="{00000000-0010-0000-0000-000008000000}" name="Region"/>
    <tableColumn id="9" xr3:uid="{00000000-0010-0000-0000-000009000000}" name="EmploymentType"/>
    <tableColumn id="10" xr3:uid="{00000000-0010-0000-0000-00000A000000}" name="CreditScoreBand"/>
    <tableColumn id="11" xr3:uid="{00000000-0010-0000-0000-00000B000000}" name="MonthlyIncome"/>
    <tableColumn id="12" xr3:uid="{00000000-0010-0000-0000-00000C000000}" name="RequestedAmount"/>
    <tableColumn id="13" xr3:uid="{00000000-0010-0000-0000-00000D000000}" name="TermMonths"/>
    <tableColumn id="14" xr3:uid="{00000000-0010-0000-0000-00000E000000}" name="DebtToIncome"/>
    <tableColumn id="15" xr3:uid="{00000000-0010-0000-0000-00000F000000}" name="Status"/>
    <tableColumn id="16" xr3:uid="{00000000-0010-0000-0000-000010000000}" name="RejectionReason"/>
    <tableColumn id="17" xr3:uid="{00000000-0010-0000-0000-000011000000}" name="Approved"/>
    <tableColumn id="18" xr3:uid="{00000000-0010-0000-0000-000012000000}" name="Rejected"/>
    <tableColumn id="19" xr3:uid="{00000000-0010-0000-0000-000013000000}" name="ApprovedAmount"/>
    <tableColumn id="20" xr3:uid="{00000000-0010-0000-0000-000014000000}" name="InterestRate"/>
    <tableColumn id="21" xr3:uid="{00000000-0010-0000-0000-000015000000}" name="ProcessingDays"/>
    <tableColumn id="22" xr3:uid="{00000000-0010-0000-0000-000016000000}" name="WithinSLA"/>
    <tableColumn id="23" xr3:uid="{00000000-0010-0000-0000-000017000000}" name="Application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B2545"/>
      </a:dk2>
      <a:lt2>
        <a:srgbClr val="EEECE1"/>
      </a:lt2>
      <a:accent1>
        <a:srgbClr val="0B2545"/>
      </a:accent1>
      <a:accent2>
        <a:srgbClr val="C9A227"/>
      </a:accent2>
      <a:accent3>
        <a:srgbClr val="3E7CB1"/>
      </a:accent3>
      <a:accent4>
        <a:srgbClr val="8DA9C4"/>
      </a:accent4>
      <a:accent5>
        <a:srgbClr val="B5651D"/>
      </a:accent5>
      <a:accent6>
        <a:srgbClr val="6B7280"/>
      </a:accent6>
      <a:hlink>
        <a:srgbClr val="0000FF"/>
      </a:hlink>
      <a:folHlink>
        <a:srgbClr val="800080"/>
      </a:folHlink>
    </a:clrScheme>
    <a:fontScheme name="Office">
      <a:majorFont>
        <a:latin typeface="Segoe UI"/>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Segoe U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B2545"/>
    <pageSetUpPr fitToPage="1"/>
  </sheetPr>
  <dimension ref="A1:BP55"/>
  <sheetViews>
    <sheetView showGridLines="0" showRowColHeaders="0" tabSelected="1" zoomScale="90" zoomScaleNormal="90" workbookViewId="0"/>
  </sheetViews>
  <sheetFormatPr defaultRowHeight="12" x14ac:dyDescent="0.2"/>
  <cols>
    <col min="1" max="74" width="2.75" style="19" customWidth="1"/>
    <col min="75" max="16384" width="9" style="19"/>
  </cols>
  <sheetData>
    <row r="1" spans="1:68" ht="15" customHeight="1" x14ac:dyDescent="0.2">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row>
    <row r="2" spans="1:68" ht="24" customHeight="1" x14ac:dyDescent="0.55000000000000004">
      <c r="A2" s="21"/>
      <c r="B2" s="22" t="s">
        <v>5266</v>
      </c>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4" t="s">
        <v>5349</v>
      </c>
      <c r="BP2" s="21"/>
    </row>
    <row r="3" spans="1:68" ht="15" customHeight="1" x14ac:dyDescent="0.25">
      <c r="A3" s="21"/>
      <c r="B3" s="23" t="s">
        <v>5348</v>
      </c>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5" t="s">
        <v>5331</v>
      </c>
      <c r="BP3" s="21"/>
    </row>
    <row r="4" spans="1:68" ht="15" customHeight="1" x14ac:dyDescent="0.2">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row>
    <row r="5" spans="1:68" ht="3.95" customHeight="1" x14ac:dyDescent="0.2">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row>
    <row r="6" spans="1:68" ht="15" customHeight="1" x14ac:dyDescent="0.2">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c r="BN6" s="20"/>
      <c r="BO6" s="20"/>
      <c r="BP6" s="20"/>
    </row>
    <row r="7" spans="1:68" ht="15" customHeight="1" x14ac:dyDescent="0.2">
      <c r="A7" s="20"/>
      <c r="B7" s="29"/>
      <c r="C7" s="32" t="s">
        <v>5350</v>
      </c>
      <c r="D7" s="27"/>
      <c r="E7" s="27"/>
      <c r="F7" s="27"/>
      <c r="G7" s="27"/>
      <c r="H7" s="27"/>
      <c r="I7" s="27"/>
      <c r="J7" s="27"/>
      <c r="K7" s="27"/>
      <c r="L7" s="28"/>
      <c r="M7" s="20"/>
      <c r="N7" s="20"/>
      <c r="O7" s="29"/>
      <c r="P7" s="32" t="s">
        <v>5351</v>
      </c>
      <c r="Q7" s="27"/>
      <c r="R7" s="27"/>
      <c r="S7" s="27"/>
      <c r="T7" s="27"/>
      <c r="U7" s="27"/>
      <c r="V7" s="27"/>
      <c r="W7" s="27"/>
      <c r="X7" s="27"/>
      <c r="Y7" s="28"/>
      <c r="Z7" s="20"/>
      <c r="AA7" s="20"/>
      <c r="AB7" s="29"/>
      <c r="AC7" s="32" t="s">
        <v>5352</v>
      </c>
      <c r="AD7" s="27"/>
      <c r="AE7" s="27"/>
      <c r="AF7" s="27"/>
      <c r="AG7" s="27"/>
      <c r="AH7" s="27"/>
      <c r="AI7" s="27"/>
      <c r="AJ7" s="27"/>
      <c r="AK7" s="27"/>
      <c r="AL7" s="28"/>
      <c r="AM7" s="20"/>
      <c r="AN7" s="20"/>
      <c r="AO7" s="29"/>
      <c r="AP7" s="32" t="s">
        <v>5353</v>
      </c>
      <c r="AQ7" s="27"/>
      <c r="AR7" s="27"/>
      <c r="AS7" s="27"/>
      <c r="AT7" s="27"/>
      <c r="AU7" s="27"/>
      <c r="AV7" s="27"/>
      <c r="AW7" s="27"/>
      <c r="AX7" s="27"/>
      <c r="AY7" s="28"/>
      <c r="AZ7" s="20"/>
      <c r="BA7" s="20"/>
      <c r="BB7" s="29"/>
      <c r="BC7" s="32" t="s">
        <v>5354</v>
      </c>
      <c r="BD7" s="27"/>
      <c r="BE7" s="27"/>
      <c r="BF7" s="27"/>
      <c r="BG7" s="27"/>
      <c r="BH7" s="27"/>
      <c r="BI7" s="27"/>
      <c r="BJ7" s="27"/>
      <c r="BK7" s="27"/>
      <c r="BL7" s="28"/>
      <c r="BM7" s="20"/>
      <c r="BN7" s="20"/>
      <c r="BO7" s="20"/>
      <c r="BP7" s="20"/>
    </row>
    <row r="8" spans="1:68" ht="15" customHeight="1" x14ac:dyDescent="0.2">
      <c r="A8" s="20"/>
      <c r="B8" s="30"/>
      <c r="C8" s="33">
        <f>IFERROR(GETPIVOTDATA("Applications ",Pivots!$B$5,"Year",2025),0)</f>
        <v>2811</v>
      </c>
      <c r="D8" s="33"/>
      <c r="E8" s="33"/>
      <c r="F8" s="33"/>
      <c r="G8" s="33"/>
      <c r="H8" s="33"/>
      <c r="I8" s="33"/>
      <c r="J8" s="33"/>
      <c r="K8" s="33"/>
      <c r="L8" s="34"/>
      <c r="M8" s="20"/>
      <c r="N8" s="20"/>
      <c r="O8" s="30"/>
      <c r="P8" s="37">
        <f>IFERROR(GETPIVOTDATA("Approval Rate ",Pivots!$B$5,"Year",2025),0)</f>
        <v>0.5755958733546781</v>
      </c>
      <c r="Q8" s="37"/>
      <c r="R8" s="37"/>
      <c r="S8" s="37"/>
      <c r="T8" s="37"/>
      <c r="U8" s="37"/>
      <c r="V8" s="37"/>
      <c r="W8" s="37"/>
      <c r="X8" s="37"/>
      <c r="Y8" s="38"/>
      <c r="Z8" s="20"/>
      <c r="AA8" s="20"/>
      <c r="AB8" s="30"/>
      <c r="AC8" s="41">
        <f>IFERROR(GETPIVOTDATA("Approved Amount ",Pivots!$B$5,"Year",2025),0)</f>
        <v>92126500</v>
      </c>
      <c r="AD8" s="41"/>
      <c r="AE8" s="41"/>
      <c r="AF8" s="41"/>
      <c r="AG8" s="41"/>
      <c r="AH8" s="41"/>
      <c r="AI8" s="41"/>
      <c r="AJ8" s="41"/>
      <c r="AK8" s="41"/>
      <c r="AL8" s="42"/>
      <c r="AM8" s="20"/>
      <c r="AN8" s="20"/>
      <c r="AO8" s="30"/>
      <c r="AP8" s="43">
        <f>IFERROR(GETPIVOTDATA("Avg Days ",Pivots!$B$5,"Year",2025),0)</f>
        <v>5.2963358235503382</v>
      </c>
      <c r="AQ8" s="43"/>
      <c r="AR8" s="43"/>
      <c r="AS8" s="43"/>
      <c r="AT8" s="43"/>
      <c r="AU8" s="43"/>
      <c r="AV8" s="43"/>
      <c r="AW8" s="43"/>
      <c r="AX8" s="43"/>
      <c r="AY8" s="44"/>
      <c r="AZ8" s="20"/>
      <c r="BA8" s="20"/>
      <c r="BB8" s="30"/>
      <c r="BC8" s="37">
        <f>IFERROR(GETPIVOTDATA("SLA ",Pivots!$B$5,"Year",2025),0)</f>
        <v>0.71469228032728571</v>
      </c>
      <c r="BD8" s="37"/>
      <c r="BE8" s="37"/>
      <c r="BF8" s="37"/>
      <c r="BG8" s="37"/>
      <c r="BH8" s="37"/>
      <c r="BI8" s="37"/>
      <c r="BJ8" s="37"/>
      <c r="BK8" s="37"/>
      <c r="BL8" s="38"/>
      <c r="BM8" s="20"/>
      <c r="BN8" s="20"/>
      <c r="BO8" s="20"/>
      <c r="BP8" s="20"/>
    </row>
    <row r="9" spans="1:68" ht="15" customHeight="1" x14ac:dyDescent="0.2">
      <c r="A9" s="20"/>
      <c r="B9" s="30"/>
      <c r="C9" s="33"/>
      <c r="D9" s="33"/>
      <c r="E9" s="33"/>
      <c r="F9" s="33"/>
      <c r="G9" s="33"/>
      <c r="H9" s="33"/>
      <c r="I9" s="33"/>
      <c r="J9" s="33"/>
      <c r="K9" s="33"/>
      <c r="L9" s="34"/>
      <c r="M9" s="20"/>
      <c r="N9" s="20"/>
      <c r="O9" s="30"/>
      <c r="P9" s="37"/>
      <c r="Q9" s="37"/>
      <c r="R9" s="37"/>
      <c r="S9" s="37"/>
      <c r="T9" s="37"/>
      <c r="U9" s="37"/>
      <c r="V9" s="37"/>
      <c r="W9" s="37"/>
      <c r="X9" s="37"/>
      <c r="Y9" s="38"/>
      <c r="Z9" s="20"/>
      <c r="AA9" s="20"/>
      <c r="AB9" s="30"/>
      <c r="AC9" s="41"/>
      <c r="AD9" s="41"/>
      <c r="AE9" s="41"/>
      <c r="AF9" s="41"/>
      <c r="AG9" s="41"/>
      <c r="AH9" s="41"/>
      <c r="AI9" s="41"/>
      <c r="AJ9" s="41"/>
      <c r="AK9" s="41"/>
      <c r="AL9" s="42"/>
      <c r="AM9" s="20"/>
      <c r="AN9" s="20"/>
      <c r="AO9" s="30"/>
      <c r="AP9" s="43"/>
      <c r="AQ9" s="43"/>
      <c r="AR9" s="43"/>
      <c r="AS9" s="43"/>
      <c r="AT9" s="43"/>
      <c r="AU9" s="43"/>
      <c r="AV9" s="43"/>
      <c r="AW9" s="43"/>
      <c r="AX9" s="43"/>
      <c r="AY9" s="44"/>
      <c r="AZ9" s="20"/>
      <c r="BA9" s="20"/>
      <c r="BB9" s="30"/>
      <c r="BC9" s="37"/>
      <c r="BD9" s="37"/>
      <c r="BE9" s="37"/>
      <c r="BF9" s="37"/>
      <c r="BG9" s="37"/>
      <c r="BH9" s="37"/>
      <c r="BI9" s="37"/>
      <c r="BJ9" s="37"/>
      <c r="BK9" s="37"/>
      <c r="BL9" s="38"/>
      <c r="BM9" s="20"/>
      <c r="BN9" s="20"/>
      <c r="BO9" s="20"/>
      <c r="BP9" s="20"/>
    </row>
    <row r="10" spans="1:68" ht="15" customHeight="1" x14ac:dyDescent="0.2">
      <c r="A10" s="20"/>
      <c r="B10" s="31"/>
      <c r="C10" s="35">
        <f>IFERROR(GETPIVOTDATA("Applications ",Pivots!$B$5,"Year",2025)/GETPIVOTDATA("Applications ",Pivots!$B$5,"Year",2024)-1,"")</f>
        <v>0.17664294683968196</v>
      </c>
      <c r="D10" s="35"/>
      <c r="E10" s="35"/>
      <c r="F10" s="35"/>
      <c r="G10" s="35"/>
      <c r="H10" s="35"/>
      <c r="I10" s="35"/>
      <c r="J10" s="35"/>
      <c r="K10" s="35"/>
      <c r="L10" s="36"/>
      <c r="M10" s="20"/>
      <c r="N10" s="20"/>
      <c r="O10" s="31"/>
      <c r="P10" s="39">
        <f>IFERROR((GETPIVOTDATA("Approval Rate ",Pivots!$B$5,"Year",2025)-GETPIVOTDATA("Approval Rate ",Pivots!$B$5,"Year",2024))*100,"")</f>
        <v>2.0133336728474616</v>
      </c>
      <c r="Q10" s="39"/>
      <c r="R10" s="39"/>
      <c r="S10" s="39"/>
      <c r="T10" s="39"/>
      <c r="U10" s="39"/>
      <c r="V10" s="39"/>
      <c r="W10" s="39"/>
      <c r="X10" s="39"/>
      <c r="Y10" s="40"/>
      <c r="Z10" s="20"/>
      <c r="AA10" s="20"/>
      <c r="AB10" s="31"/>
      <c r="AC10" s="35">
        <f>IFERROR(GETPIVOTDATA("Approved Amount ",Pivots!$B$5,"Year",2025)/GETPIVOTDATA("Approved Amount ",Pivots!$B$5,"Year",2024)-1,"")</f>
        <v>0.23793494984513464</v>
      </c>
      <c r="AD10" s="35"/>
      <c r="AE10" s="35"/>
      <c r="AF10" s="35"/>
      <c r="AG10" s="35"/>
      <c r="AH10" s="35"/>
      <c r="AI10" s="35"/>
      <c r="AJ10" s="35"/>
      <c r="AK10" s="35"/>
      <c r="AL10" s="36"/>
      <c r="AM10" s="20"/>
      <c r="AN10" s="20"/>
      <c r="AO10" s="31"/>
      <c r="AP10" s="45">
        <f>IFERROR(GETPIVOTDATA("Avg Days ",Pivots!$B$5,"Year",2025)/GETPIVOTDATA("Avg Days ",Pivots!$B$5,"Year",2024)-1,"")</f>
        <v>-0.26479103530146675</v>
      </c>
      <c r="AQ10" s="45"/>
      <c r="AR10" s="45"/>
      <c r="AS10" s="45"/>
      <c r="AT10" s="45"/>
      <c r="AU10" s="45"/>
      <c r="AV10" s="45"/>
      <c r="AW10" s="45"/>
      <c r="AX10" s="45"/>
      <c r="AY10" s="46"/>
      <c r="AZ10" s="20"/>
      <c r="BA10" s="20"/>
      <c r="BB10" s="31"/>
      <c r="BC10" s="39">
        <f>IFERROR((GETPIVOTDATA("SLA ",Pivots!$B$5,"Year",2025)-GETPIVOTDATA("SLA ",Pivots!$B$5,"Year",2024))*100,"")</f>
        <v>18.601919535449372</v>
      </c>
      <c r="BD10" s="39"/>
      <c r="BE10" s="39"/>
      <c r="BF10" s="39"/>
      <c r="BG10" s="39"/>
      <c r="BH10" s="39"/>
      <c r="BI10" s="39"/>
      <c r="BJ10" s="39"/>
      <c r="BK10" s="39"/>
      <c r="BL10" s="40"/>
      <c r="BM10" s="20"/>
      <c r="BN10" s="20"/>
      <c r="BO10" s="20"/>
      <c r="BP10" s="20"/>
    </row>
    <row r="11" spans="1:68" ht="15" customHeight="1" x14ac:dyDescent="0.2">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row>
    <row r="12" spans="1:68" ht="15" customHeight="1" x14ac:dyDescent="0.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row>
    <row r="13" spans="1:68" ht="15" customHeight="1" x14ac:dyDescent="0.2">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row>
    <row r="14" spans="1:68" ht="15" customHeight="1" x14ac:dyDescent="0.2">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row>
    <row r="15" spans="1:68" ht="15" customHeight="1" x14ac:dyDescent="0.2">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row>
    <row r="16" spans="1:68" ht="15" customHeight="1" x14ac:dyDescent="0.2">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row>
    <row r="17" spans="1:68" ht="15" customHeight="1" x14ac:dyDescent="0.2">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row>
    <row r="18" spans="1:68" ht="15" customHeight="1" x14ac:dyDescent="0.2">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c r="BL18" s="20"/>
      <c r="BM18" s="20"/>
      <c r="BN18" s="20"/>
      <c r="BO18" s="20"/>
      <c r="BP18" s="20"/>
    </row>
    <row r="19" spans="1:68" ht="15" customHeight="1" x14ac:dyDescent="0.2">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row>
    <row r="20" spans="1:68" ht="15" customHeight="1" x14ac:dyDescent="0.2">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row>
    <row r="21" spans="1:68" ht="15" customHeight="1" x14ac:dyDescent="0.2">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row>
    <row r="22" spans="1:68" ht="15"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row>
    <row r="23" spans="1:68" ht="15" customHeight="1" x14ac:dyDescent="0.2">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row>
    <row r="24" spans="1:68" ht="15" customHeight="1" x14ac:dyDescent="0.2">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row>
    <row r="25" spans="1:68" ht="15" customHeight="1" x14ac:dyDescent="0.2">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row>
    <row r="26" spans="1:68" ht="15"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row>
    <row r="27" spans="1:68" ht="15" customHeight="1" x14ac:dyDescent="0.2">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row>
    <row r="28" spans="1:68" ht="15" customHeight="1" x14ac:dyDescent="0.2">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row>
    <row r="29" spans="1:68" ht="15" customHeight="1" x14ac:dyDescent="0.2">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row>
    <row r="30" spans="1:68" ht="15" customHeight="1" x14ac:dyDescent="0.2">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row>
    <row r="31" spans="1:68" ht="15" customHeight="1" x14ac:dyDescent="0.2">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row>
    <row r="32" spans="1:68" ht="15" customHeight="1" x14ac:dyDescent="0.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row>
    <row r="33" spans="1:68" ht="15" customHeight="1" x14ac:dyDescent="0.2">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0"/>
    </row>
    <row r="34" spans="1:68" ht="15" customHeight="1" x14ac:dyDescent="0.2">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0"/>
    </row>
    <row r="35" spans="1:68" ht="15" customHeight="1" x14ac:dyDescent="0.2">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row>
    <row r="36" spans="1:68" ht="15" customHeight="1" x14ac:dyDescent="0.2">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row>
    <row r="37" spans="1:68" ht="15" customHeight="1" x14ac:dyDescent="0.2">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row>
    <row r="38" spans="1:68" ht="15" customHeight="1" x14ac:dyDescent="0.2">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row>
    <row r="39" spans="1:68" ht="15" customHeight="1" x14ac:dyDescent="0.2">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row>
    <row r="40" spans="1:68" ht="15" customHeight="1" x14ac:dyDescent="0.2">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row>
    <row r="41" spans="1:68" ht="15" customHeight="1" x14ac:dyDescent="0.2">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row>
    <row r="42" spans="1:68" ht="15" customHeight="1" x14ac:dyDescent="0.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row>
    <row r="43" spans="1:68" ht="15" customHeight="1" x14ac:dyDescent="0.2">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row>
    <row r="44" spans="1:68" ht="15" customHeight="1" x14ac:dyDescent="0.2">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row>
    <row r="45" spans="1:68" ht="15" customHeight="1" x14ac:dyDescent="0.2">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row>
    <row r="46" spans="1:68" ht="15" customHeight="1" x14ac:dyDescent="0.2">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row>
    <row r="47" spans="1:68" ht="15" customHeight="1" x14ac:dyDescent="0.2">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row>
    <row r="48" spans="1:68" ht="15" customHeight="1" x14ac:dyDescent="0.2">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row>
    <row r="49" spans="1:68" ht="15" customHeight="1" x14ac:dyDescent="0.2">
      <c r="A49" s="20"/>
      <c r="B49" s="47" t="s">
        <v>5355</v>
      </c>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row>
    <row r="50" spans="1:68" ht="15" customHeight="1" x14ac:dyDescent="0.2"/>
    <row r="51" spans="1:68" ht="15" customHeight="1" x14ac:dyDescent="0.2"/>
    <row r="52" spans="1:68" ht="15" customHeight="1" x14ac:dyDescent="0.2"/>
    <row r="53" spans="1:68" ht="15" customHeight="1" x14ac:dyDescent="0.2"/>
    <row r="54" spans="1:68" ht="15" customHeight="1" x14ac:dyDescent="0.2"/>
    <row r="55" spans="1:68" ht="15" customHeight="1" x14ac:dyDescent="0.2"/>
  </sheetData>
  <mergeCells count="10">
    <mergeCell ref="AP8:AY9"/>
    <mergeCell ref="AP10:AY10"/>
    <mergeCell ref="BC8:BL9"/>
    <mergeCell ref="BC10:BL10"/>
    <mergeCell ref="C8:L9"/>
    <mergeCell ref="C10:L10"/>
    <mergeCell ref="P8:Y9"/>
    <mergeCell ref="P10:Y10"/>
    <mergeCell ref="AC8:AL9"/>
    <mergeCell ref="AC10:AL10"/>
  </mergeCells>
  <pageMargins left="0.75" right="0.75" top="1" bottom="1" header="0.5" footer="0.5"/>
  <pageSetup scale="60"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F8C8D"/>
  </sheetPr>
  <dimension ref="B1:AB19"/>
  <sheetViews>
    <sheetView workbookViewId="0"/>
  </sheetViews>
  <sheetFormatPr defaultRowHeight="16.5" x14ac:dyDescent="0.3"/>
  <cols>
    <col min="1" max="1" width="9" style="18"/>
    <col min="2" max="2" width="98.125" style="18" bestFit="1" customWidth="1"/>
    <col min="3" max="4" width="10.625" style="18" bestFit="1" customWidth="1"/>
    <col min="5" max="5" width="11.625" style="18" bestFit="1" customWidth="1"/>
    <col min="6" max="6" width="9" style="18"/>
    <col min="7" max="7" width="26.875" style="18" bestFit="1" customWidth="1"/>
    <col min="8" max="9" width="6.125" style="18" bestFit="1" customWidth="1"/>
    <col min="10" max="10" width="10.625" style="18" bestFit="1" customWidth="1"/>
    <col min="11" max="11" width="9" style="18"/>
    <col min="12" max="12" width="33.25" style="18" bestFit="1" customWidth="1"/>
    <col min="13" max="13" width="9.125" style="18" bestFit="1" customWidth="1"/>
    <col min="14" max="14" width="9" style="18"/>
    <col min="15" max="15" width="22.25" style="18" bestFit="1" customWidth="1"/>
    <col min="16" max="16" width="11.75" style="18" bestFit="1" customWidth="1"/>
    <col min="17" max="17" width="9" style="18"/>
    <col min="18" max="18" width="31.875" style="18" bestFit="1" customWidth="1"/>
    <col min="19" max="19" width="13.375" style="18" bestFit="1" customWidth="1"/>
    <col min="20" max="20" width="9" style="18"/>
    <col min="21" max="21" width="20.125" style="18" bestFit="1" customWidth="1"/>
    <col min="22" max="22" width="9.875" style="18" bestFit="1" customWidth="1"/>
    <col min="23" max="23" width="9" style="18"/>
    <col min="24" max="24" width="33.625" style="18" bestFit="1" customWidth="1"/>
    <col min="25" max="25" width="9.5" style="18" bestFit="1" customWidth="1"/>
    <col min="26" max="26" width="6.25" style="18" bestFit="1" customWidth="1"/>
    <col min="27" max="27" width="10.75" style="18" bestFit="1" customWidth="1"/>
    <col min="28" max="28" width="6.25" style="18" bestFit="1" customWidth="1"/>
    <col min="29" max="16384" width="9" style="18"/>
  </cols>
  <sheetData>
    <row r="1" spans="2:28" ht="17.25" x14ac:dyDescent="0.3">
      <c r="B1" s="12" t="s">
        <v>5332</v>
      </c>
    </row>
    <row r="3" spans="2:28" x14ac:dyDescent="0.3">
      <c r="B3" s="13" t="s">
        <v>5333</v>
      </c>
      <c r="G3" s="13" t="s">
        <v>5341</v>
      </c>
      <c r="L3" s="13" t="s">
        <v>5342</v>
      </c>
      <c r="O3" s="13" t="s">
        <v>5343</v>
      </c>
      <c r="R3" s="13" t="s">
        <v>5344</v>
      </c>
      <c r="U3" s="13" t="s">
        <v>5345</v>
      </c>
      <c r="X3" s="13" t="s">
        <v>5347</v>
      </c>
    </row>
    <row r="5" spans="2:28" x14ac:dyDescent="0.3">
      <c r="B5"/>
      <c r="C5" s="14" t="s">
        <v>2</v>
      </c>
      <c r="D5"/>
      <c r="E5"/>
      <c r="G5" s="14" t="s">
        <v>5335</v>
      </c>
      <c r="H5" s="14" t="s">
        <v>2</v>
      </c>
      <c r="I5"/>
      <c r="J5"/>
      <c r="L5" s="14" t="s">
        <v>6</v>
      </c>
      <c r="M5" t="s">
        <v>5339</v>
      </c>
      <c r="O5" s="14" t="s">
        <v>6</v>
      </c>
      <c r="P5" t="s">
        <v>5335</v>
      </c>
      <c r="R5" s="14" t="s">
        <v>9</v>
      </c>
      <c r="S5" t="s">
        <v>5337</v>
      </c>
      <c r="U5" s="14" t="s">
        <v>15</v>
      </c>
      <c r="V5" t="s">
        <v>5346</v>
      </c>
      <c r="X5" s="14" t="s">
        <v>5335</v>
      </c>
      <c r="Y5" s="14" t="s">
        <v>6</v>
      </c>
      <c r="Z5"/>
      <c r="AA5"/>
      <c r="AB5"/>
    </row>
    <row r="6" spans="2:28" x14ac:dyDescent="0.3">
      <c r="B6" s="14" t="s">
        <v>5336</v>
      </c>
      <c r="C6">
        <v>2024</v>
      </c>
      <c r="D6">
        <v>2025</v>
      </c>
      <c r="E6" t="s">
        <v>5334</v>
      </c>
      <c r="G6" s="14" t="s">
        <v>4</v>
      </c>
      <c r="H6">
        <v>2024</v>
      </c>
      <c r="I6">
        <v>2025</v>
      </c>
      <c r="J6" t="s">
        <v>5334</v>
      </c>
      <c r="L6" t="s">
        <v>51</v>
      </c>
      <c r="M6" s="17">
        <v>9.3002816901408458</v>
      </c>
      <c r="O6" t="s">
        <v>51</v>
      </c>
      <c r="P6" s="15">
        <v>1775</v>
      </c>
      <c r="R6" t="s">
        <v>43</v>
      </c>
      <c r="S6" s="3">
        <v>0.16603773584905659</v>
      </c>
      <c r="U6" t="s">
        <v>31</v>
      </c>
      <c r="V6" s="15">
        <v>882</v>
      </c>
      <c r="X6" s="14" t="s">
        <v>5</v>
      </c>
      <c r="Y6" t="s">
        <v>51</v>
      </c>
      <c r="Z6" t="s">
        <v>27</v>
      </c>
      <c r="AA6" t="s">
        <v>33</v>
      </c>
      <c r="AB6" t="s">
        <v>45</v>
      </c>
    </row>
    <row r="7" spans="2:28" x14ac:dyDescent="0.3">
      <c r="B7" t="s">
        <v>5335</v>
      </c>
      <c r="C7" s="15">
        <v>2389</v>
      </c>
      <c r="D7" s="15">
        <v>2811</v>
      </c>
      <c r="E7" s="15">
        <v>5200</v>
      </c>
      <c r="G7" t="s">
        <v>25</v>
      </c>
      <c r="H7" s="15">
        <v>231</v>
      </c>
      <c r="I7" s="15">
        <v>272</v>
      </c>
      <c r="J7" s="15">
        <v>503</v>
      </c>
      <c r="L7" t="s">
        <v>27</v>
      </c>
      <c r="M7" s="17">
        <v>7.5955678670360109</v>
      </c>
      <c r="O7" t="s">
        <v>45</v>
      </c>
      <c r="P7" s="15">
        <v>1352</v>
      </c>
      <c r="R7" t="s">
        <v>30</v>
      </c>
      <c r="S7" s="3">
        <v>0.40958788898233811</v>
      </c>
      <c r="U7" t="s">
        <v>53</v>
      </c>
      <c r="V7" s="15">
        <v>505</v>
      </c>
      <c r="X7" t="s">
        <v>37</v>
      </c>
      <c r="Y7" s="15">
        <v>748</v>
      </c>
      <c r="Z7" s="15">
        <v>285</v>
      </c>
      <c r="AA7" s="15">
        <v>558</v>
      </c>
      <c r="AB7" s="15">
        <v>564</v>
      </c>
    </row>
    <row r="8" spans="2:28" x14ac:dyDescent="0.3">
      <c r="B8" t="s">
        <v>5337</v>
      </c>
      <c r="C8" s="3">
        <v>0.55546253662620348</v>
      </c>
      <c r="D8" s="3">
        <v>0.5755958733546781</v>
      </c>
      <c r="E8" s="3">
        <v>0.56634615384615383</v>
      </c>
      <c r="G8" t="s">
        <v>284</v>
      </c>
      <c r="H8" s="15">
        <v>175</v>
      </c>
      <c r="I8" s="15">
        <v>211</v>
      </c>
      <c r="J8" s="15">
        <v>386</v>
      </c>
      <c r="L8" t="s">
        <v>45</v>
      </c>
      <c r="M8" s="17">
        <v>4.1886094674556213</v>
      </c>
      <c r="O8" t="s">
        <v>33</v>
      </c>
      <c r="P8" s="15">
        <v>1351</v>
      </c>
      <c r="R8" t="s">
        <v>35</v>
      </c>
      <c r="S8" s="3">
        <v>0.60327074500302846</v>
      </c>
      <c r="U8" t="s">
        <v>60</v>
      </c>
      <c r="V8" s="15">
        <v>358</v>
      </c>
      <c r="X8" t="s">
        <v>26</v>
      </c>
      <c r="Y8" s="15">
        <v>427</v>
      </c>
      <c r="Z8" s="15">
        <v>210</v>
      </c>
      <c r="AA8" s="15">
        <v>355</v>
      </c>
      <c r="AB8" s="15">
        <v>338</v>
      </c>
    </row>
    <row r="9" spans="2:28" x14ac:dyDescent="0.3">
      <c r="B9" t="s">
        <v>5338</v>
      </c>
      <c r="C9" s="16">
        <v>74419500</v>
      </c>
      <c r="D9" s="16">
        <v>92126500</v>
      </c>
      <c r="E9" s="16">
        <v>166546000</v>
      </c>
      <c r="G9" t="s">
        <v>460</v>
      </c>
      <c r="H9" s="15">
        <v>227</v>
      </c>
      <c r="I9" s="15">
        <v>263</v>
      </c>
      <c r="J9" s="15">
        <v>490</v>
      </c>
      <c r="L9" t="s">
        <v>33</v>
      </c>
      <c r="M9" s="17">
        <v>3.288675055514434</v>
      </c>
      <c r="O9" t="s">
        <v>27</v>
      </c>
      <c r="P9" s="15">
        <v>722</v>
      </c>
      <c r="R9" t="s">
        <v>52</v>
      </c>
      <c r="S9" s="3">
        <v>0.73278688524590163</v>
      </c>
      <c r="U9" t="s">
        <v>65</v>
      </c>
      <c r="V9" s="15">
        <v>222</v>
      </c>
      <c r="X9" t="s">
        <v>50</v>
      </c>
      <c r="Y9" s="15">
        <v>259</v>
      </c>
      <c r="Z9" s="15">
        <v>102</v>
      </c>
      <c r="AA9" s="15">
        <v>179</v>
      </c>
      <c r="AB9" s="15">
        <v>218</v>
      </c>
    </row>
    <row r="10" spans="2:28" x14ac:dyDescent="0.3">
      <c r="B10" t="s">
        <v>5339</v>
      </c>
      <c r="C10" s="17">
        <v>7.2038509836751778</v>
      </c>
      <c r="D10" s="17">
        <v>5.2963358235503382</v>
      </c>
      <c r="E10" s="17">
        <v>6.1726923076923077</v>
      </c>
      <c r="G10" t="s">
        <v>689</v>
      </c>
      <c r="H10" s="15">
        <v>195</v>
      </c>
      <c r="I10" s="15">
        <v>224</v>
      </c>
      <c r="J10" s="15">
        <v>419</v>
      </c>
      <c r="L10" t="s">
        <v>5334</v>
      </c>
      <c r="M10" s="17">
        <v>6.1726923076923077</v>
      </c>
      <c r="O10" t="s">
        <v>5334</v>
      </c>
      <c r="P10" s="15">
        <v>5200</v>
      </c>
      <c r="R10" t="s">
        <v>46</v>
      </c>
      <c r="S10" s="3">
        <v>0.78688524590163933</v>
      </c>
      <c r="U10" t="s">
        <v>48</v>
      </c>
      <c r="V10" s="15">
        <v>109</v>
      </c>
      <c r="X10" t="s">
        <v>41</v>
      </c>
      <c r="Y10" s="15">
        <v>341</v>
      </c>
      <c r="Z10" s="15">
        <v>125</v>
      </c>
      <c r="AA10" s="15">
        <v>259</v>
      </c>
      <c r="AB10" s="15">
        <v>232</v>
      </c>
    </row>
    <row r="11" spans="2:28" x14ac:dyDescent="0.3">
      <c r="B11" t="s">
        <v>5340</v>
      </c>
      <c r="C11" s="3">
        <v>0.52867308497279197</v>
      </c>
      <c r="D11" s="3">
        <v>0.71469228032728571</v>
      </c>
      <c r="E11" s="3">
        <v>0.62923076923076926</v>
      </c>
      <c r="G11" t="s">
        <v>885</v>
      </c>
      <c r="H11" s="15">
        <v>210</v>
      </c>
      <c r="I11" s="15">
        <v>254</v>
      </c>
      <c r="J11" s="15">
        <v>464</v>
      </c>
      <c r="R11" t="s">
        <v>5334</v>
      </c>
      <c r="S11" s="3">
        <v>0.56634615384615383</v>
      </c>
      <c r="U11" t="s">
        <v>5334</v>
      </c>
      <c r="V11" s="15">
        <v>2076</v>
      </c>
    </row>
    <row r="12" spans="2:28" x14ac:dyDescent="0.3">
      <c r="G12" t="s">
        <v>1096</v>
      </c>
      <c r="H12" s="15">
        <v>158</v>
      </c>
      <c r="I12" s="15">
        <v>185</v>
      </c>
      <c r="J12" s="15">
        <v>343</v>
      </c>
    </row>
    <row r="13" spans="2:28" x14ac:dyDescent="0.3">
      <c r="G13" t="s">
        <v>1256</v>
      </c>
      <c r="H13" s="15">
        <v>158</v>
      </c>
      <c r="I13" s="15">
        <v>211</v>
      </c>
      <c r="J13" s="15">
        <v>369</v>
      </c>
    </row>
    <row r="14" spans="2:28" x14ac:dyDescent="0.3">
      <c r="G14" t="s">
        <v>1415</v>
      </c>
      <c r="H14" s="15">
        <v>207</v>
      </c>
      <c r="I14" s="15">
        <v>230</v>
      </c>
      <c r="J14" s="15">
        <v>437</v>
      </c>
    </row>
    <row r="15" spans="2:28" x14ac:dyDescent="0.3">
      <c r="G15" t="s">
        <v>1623</v>
      </c>
      <c r="H15" s="15">
        <v>208</v>
      </c>
      <c r="I15" s="15">
        <v>235</v>
      </c>
      <c r="J15" s="15">
        <v>443</v>
      </c>
    </row>
    <row r="16" spans="2:28" x14ac:dyDescent="0.3">
      <c r="G16" t="s">
        <v>1833</v>
      </c>
      <c r="H16" s="15">
        <v>237</v>
      </c>
      <c r="I16" s="15">
        <v>264</v>
      </c>
      <c r="J16" s="15">
        <v>501</v>
      </c>
    </row>
    <row r="17" spans="7:10" x14ac:dyDescent="0.3">
      <c r="G17" t="s">
        <v>2071</v>
      </c>
      <c r="H17" s="15">
        <v>192</v>
      </c>
      <c r="I17" s="15">
        <v>224</v>
      </c>
      <c r="J17" s="15">
        <v>416</v>
      </c>
    </row>
    <row r="18" spans="7:10" x14ac:dyDescent="0.3">
      <c r="G18" t="s">
        <v>2264</v>
      </c>
      <c r="H18" s="15">
        <v>191</v>
      </c>
      <c r="I18" s="15">
        <v>238</v>
      </c>
      <c r="J18" s="15">
        <v>429</v>
      </c>
    </row>
    <row r="19" spans="7:10" x14ac:dyDescent="0.3">
      <c r="G19" t="s">
        <v>5334</v>
      </c>
      <c r="H19" s="15">
        <v>2389</v>
      </c>
      <c r="I19" s="15">
        <v>2811</v>
      </c>
      <c r="J19" s="15">
        <v>5200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B2545"/>
  </sheetPr>
  <dimension ref="A1:W5201"/>
  <sheetViews>
    <sheetView workbookViewId="0">
      <pane ySplit="1" topLeftCell="A2" activePane="bottomLeft" state="frozen"/>
      <selection pane="bottomLeft"/>
    </sheetView>
  </sheetViews>
  <sheetFormatPr defaultRowHeight="15" x14ac:dyDescent="0.3"/>
  <cols>
    <col min="1" max="1" width="15.875" customWidth="1"/>
    <col min="2" max="2" width="17.875" customWidth="1"/>
    <col min="3" max="3" width="8.875" customWidth="1"/>
    <col min="4" max="4" width="9.875" customWidth="1"/>
    <col min="5" max="5" width="8.875" customWidth="1"/>
    <col min="6" max="6" width="15.875" customWidth="1"/>
    <col min="7" max="7" width="12.875" customWidth="1"/>
    <col min="8" max="8" width="10.875" customWidth="1"/>
    <col min="9" max="9" width="23.875" customWidth="1"/>
    <col min="10" max="10" width="21.875" customWidth="1"/>
    <col min="11" max="11" width="15.875" customWidth="1"/>
    <col min="12" max="12" width="17.875" customWidth="1"/>
    <col min="13" max="13" width="12.875" customWidth="1"/>
    <col min="14" max="14" width="14.875" customWidth="1"/>
    <col min="15" max="15" width="10.875" customWidth="1"/>
    <col min="16" max="16" width="22.875" customWidth="1"/>
    <col min="17" max="18" width="10.875" customWidth="1"/>
    <col min="19" max="19" width="16.875" customWidth="1"/>
    <col min="20" max="20" width="14.875" customWidth="1"/>
    <col min="21" max="21" width="16.875" customWidth="1"/>
    <col min="22" max="22" width="11.875" customWidth="1"/>
    <col min="23" max="23" width="14.875" customWidth="1"/>
  </cols>
  <sheetData>
    <row r="1" spans="1:23" ht="16.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ht="16.5" x14ac:dyDescent="0.3">
      <c r="A2" t="s">
        <v>23</v>
      </c>
      <c r="B2" s="1">
        <v>45292</v>
      </c>
      <c r="C2">
        <v>2024</v>
      </c>
      <c r="D2" t="s">
        <v>24</v>
      </c>
      <c r="E2" t="s">
        <v>25</v>
      </c>
      <c r="F2" t="s">
        <v>26</v>
      </c>
      <c r="G2" t="s">
        <v>27</v>
      </c>
      <c r="H2" t="s">
        <v>28</v>
      </c>
      <c r="I2" t="s">
        <v>29</v>
      </c>
      <c r="J2" t="s">
        <v>30</v>
      </c>
      <c r="K2" s="2">
        <v>2600</v>
      </c>
      <c r="L2" s="2">
        <v>22000</v>
      </c>
      <c r="M2">
        <v>36</v>
      </c>
      <c r="N2" s="3">
        <v>0.41199999999999998</v>
      </c>
      <c r="O2" t="s">
        <v>17</v>
      </c>
      <c r="P2" t="s">
        <v>31</v>
      </c>
      <c r="Q2">
        <v>0</v>
      </c>
      <c r="R2">
        <v>1</v>
      </c>
      <c r="S2" s="2">
        <v>0</v>
      </c>
      <c r="T2" s="4"/>
      <c r="U2">
        <v>5</v>
      </c>
      <c r="V2">
        <v>0</v>
      </c>
      <c r="W2">
        <v>1</v>
      </c>
    </row>
    <row r="3" spans="1:23" ht="16.5" x14ac:dyDescent="0.3">
      <c r="A3" t="s">
        <v>32</v>
      </c>
      <c r="B3" s="1">
        <v>45292</v>
      </c>
      <c r="C3">
        <v>2024</v>
      </c>
      <c r="D3" t="s">
        <v>24</v>
      </c>
      <c r="E3" t="s">
        <v>25</v>
      </c>
      <c r="F3" t="s">
        <v>26</v>
      </c>
      <c r="G3" t="s">
        <v>33</v>
      </c>
      <c r="H3" t="s">
        <v>34</v>
      </c>
      <c r="I3" t="s">
        <v>29</v>
      </c>
      <c r="J3" t="s">
        <v>35</v>
      </c>
      <c r="K3" s="2">
        <v>2700</v>
      </c>
      <c r="L3" s="2">
        <v>17000</v>
      </c>
      <c r="M3">
        <v>36</v>
      </c>
      <c r="N3" s="3">
        <v>0.36</v>
      </c>
      <c r="O3" t="s">
        <v>16</v>
      </c>
      <c r="Q3">
        <v>1</v>
      </c>
      <c r="R3">
        <v>0</v>
      </c>
      <c r="S3" s="2">
        <v>15500</v>
      </c>
      <c r="T3" s="4">
        <v>8.1500000000000003E-2</v>
      </c>
      <c r="U3">
        <v>3</v>
      </c>
      <c r="V3">
        <v>1</v>
      </c>
      <c r="W3">
        <v>1</v>
      </c>
    </row>
    <row r="4" spans="1:23" ht="16.5" x14ac:dyDescent="0.3">
      <c r="A4" t="s">
        <v>36</v>
      </c>
      <c r="B4" s="1">
        <v>45292</v>
      </c>
      <c r="C4">
        <v>2024</v>
      </c>
      <c r="D4" t="s">
        <v>24</v>
      </c>
      <c r="E4" t="s">
        <v>25</v>
      </c>
      <c r="F4" t="s">
        <v>37</v>
      </c>
      <c r="G4" t="s">
        <v>33</v>
      </c>
      <c r="H4" t="s">
        <v>38</v>
      </c>
      <c r="I4" t="s">
        <v>39</v>
      </c>
      <c r="J4" t="s">
        <v>35</v>
      </c>
      <c r="K4" s="2">
        <v>3850</v>
      </c>
      <c r="L4" s="2">
        <v>13000</v>
      </c>
      <c r="M4">
        <v>36</v>
      </c>
      <c r="N4" s="3">
        <v>0.24399999999999999</v>
      </c>
      <c r="O4" t="s">
        <v>17</v>
      </c>
      <c r="P4" t="s">
        <v>31</v>
      </c>
      <c r="Q4">
        <v>0</v>
      </c>
      <c r="R4">
        <v>1</v>
      </c>
      <c r="S4" s="2">
        <v>0</v>
      </c>
      <c r="T4" s="4"/>
      <c r="U4">
        <v>4</v>
      </c>
      <c r="V4">
        <v>0</v>
      </c>
      <c r="W4">
        <v>1</v>
      </c>
    </row>
    <row r="5" spans="1:23" ht="16.5" x14ac:dyDescent="0.3">
      <c r="A5" t="s">
        <v>40</v>
      </c>
      <c r="B5" s="1">
        <v>45292</v>
      </c>
      <c r="C5">
        <v>2024</v>
      </c>
      <c r="D5" t="s">
        <v>24</v>
      </c>
      <c r="E5" t="s">
        <v>25</v>
      </c>
      <c r="F5" t="s">
        <v>41</v>
      </c>
      <c r="G5" t="s">
        <v>33</v>
      </c>
      <c r="H5" t="s">
        <v>34</v>
      </c>
      <c r="I5" t="s">
        <v>42</v>
      </c>
      <c r="J5" t="s">
        <v>43</v>
      </c>
      <c r="K5" s="2">
        <v>7700</v>
      </c>
      <c r="L5" s="2">
        <v>95000</v>
      </c>
      <c r="M5">
        <v>60</v>
      </c>
      <c r="N5" s="3">
        <v>0.34300000000000003</v>
      </c>
      <c r="O5" t="s">
        <v>16</v>
      </c>
      <c r="Q5">
        <v>1</v>
      </c>
      <c r="R5">
        <v>0</v>
      </c>
      <c r="S5" s="2">
        <v>85500</v>
      </c>
      <c r="T5" s="4">
        <v>0.13819999999999999</v>
      </c>
      <c r="U5">
        <v>8</v>
      </c>
      <c r="V5">
        <v>1</v>
      </c>
      <c r="W5">
        <v>1</v>
      </c>
    </row>
    <row r="6" spans="1:23" ht="16.5" x14ac:dyDescent="0.3">
      <c r="A6" t="s">
        <v>44</v>
      </c>
      <c r="B6" s="1">
        <v>45292</v>
      </c>
      <c r="C6">
        <v>2024</v>
      </c>
      <c r="D6" t="s">
        <v>24</v>
      </c>
      <c r="E6" t="s">
        <v>25</v>
      </c>
      <c r="F6" t="s">
        <v>41</v>
      </c>
      <c r="G6" t="s">
        <v>45</v>
      </c>
      <c r="H6" t="s">
        <v>38</v>
      </c>
      <c r="I6" t="s">
        <v>29</v>
      </c>
      <c r="J6" t="s">
        <v>46</v>
      </c>
      <c r="K6" s="2">
        <v>6850</v>
      </c>
      <c r="L6" s="2">
        <v>64000</v>
      </c>
      <c r="M6">
        <v>12</v>
      </c>
      <c r="N6" s="3">
        <v>0.90800000000000003</v>
      </c>
      <c r="O6" t="s">
        <v>16</v>
      </c>
      <c r="Q6">
        <v>1</v>
      </c>
      <c r="R6">
        <v>0</v>
      </c>
      <c r="S6" s="2">
        <v>57500</v>
      </c>
      <c r="T6" s="4">
        <v>9.0200000000000002E-2</v>
      </c>
      <c r="U6">
        <v>9</v>
      </c>
      <c r="V6">
        <v>1</v>
      </c>
      <c r="W6">
        <v>1</v>
      </c>
    </row>
    <row r="7" spans="1:23" ht="16.5" x14ac:dyDescent="0.3">
      <c r="A7" t="s">
        <v>47</v>
      </c>
      <c r="B7" s="1">
        <v>45292</v>
      </c>
      <c r="C7">
        <v>2024</v>
      </c>
      <c r="D7" t="s">
        <v>24</v>
      </c>
      <c r="E7" t="s">
        <v>25</v>
      </c>
      <c r="F7" t="s">
        <v>37</v>
      </c>
      <c r="G7" t="s">
        <v>45</v>
      </c>
      <c r="H7" t="s">
        <v>28</v>
      </c>
      <c r="I7" t="s">
        <v>42</v>
      </c>
      <c r="J7" t="s">
        <v>35</v>
      </c>
      <c r="K7" s="2">
        <v>5700</v>
      </c>
      <c r="L7" s="2">
        <v>7000</v>
      </c>
      <c r="M7">
        <v>60</v>
      </c>
      <c r="N7" s="3">
        <v>0.126</v>
      </c>
      <c r="O7" t="s">
        <v>17</v>
      </c>
      <c r="P7" t="s">
        <v>48</v>
      </c>
      <c r="Q7">
        <v>0</v>
      </c>
      <c r="R7">
        <v>1</v>
      </c>
      <c r="S7" s="2">
        <v>0</v>
      </c>
      <c r="T7" s="4"/>
      <c r="U7">
        <v>2</v>
      </c>
      <c r="V7">
        <v>1</v>
      </c>
      <c r="W7">
        <v>1</v>
      </c>
    </row>
    <row r="8" spans="1:23" ht="16.5" x14ac:dyDescent="0.3">
      <c r="A8" t="s">
        <v>49</v>
      </c>
      <c r="B8" s="1">
        <v>45292</v>
      </c>
      <c r="C8">
        <v>2024</v>
      </c>
      <c r="D8" t="s">
        <v>24</v>
      </c>
      <c r="E8" t="s">
        <v>25</v>
      </c>
      <c r="F8" t="s">
        <v>50</v>
      </c>
      <c r="G8" t="s">
        <v>51</v>
      </c>
      <c r="H8" t="s">
        <v>28</v>
      </c>
      <c r="I8" t="s">
        <v>29</v>
      </c>
      <c r="J8" t="s">
        <v>52</v>
      </c>
      <c r="K8" s="2">
        <v>4350</v>
      </c>
      <c r="L8" s="2">
        <v>757500</v>
      </c>
      <c r="M8">
        <v>180</v>
      </c>
      <c r="N8" s="3">
        <v>1.46</v>
      </c>
      <c r="O8" t="s">
        <v>17</v>
      </c>
      <c r="P8" t="s">
        <v>53</v>
      </c>
      <c r="Q8">
        <v>0</v>
      </c>
      <c r="R8">
        <v>1</v>
      </c>
      <c r="S8" s="2">
        <v>0</v>
      </c>
      <c r="T8" s="4"/>
      <c r="U8">
        <v>24</v>
      </c>
      <c r="V8">
        <v>0</v>
      </c>
      <c r="W8">
        <v>1</v>
      </c>
    </row>
    <row r="9" spans="1:23" ht="16.5" x14ac:dyDescent="0.3">
      <c r="A9" t="s">
        <v>54</v>
      </c>
      <c r="B9" s="1">
        <v>45292</v>
      </c>
      <c r="C9">
        <v>2024</v>
      </c>
      <c r="D9" t="s">
        <v>24</v>
      </c>
      <c r="E9" t="s">
        <v>25</v>
      </c>
      <c r="F9" t="s">
        <v>26</v>
      </c>
      <c r="G9" t="s">
        <v>33</v>
      </c>
      <c r="H9" t="s">
        <v>55</v>
      </c>
      <c r="I9" t="s">
        <v>29</v>
      </c>
      <c r="J9" t="s">
        <v>35</v>
      </c>
      <c r="K9" s="2">
        <v>5450</v>
      </c>
      <c r="L9" s="2">
        <v>20500</v>
      </c>
      <c r="M9">
        <v>60</v>
      </c>
      <c r="N9" s="3">
        <v>0.14000000000000001</v>
      </c>
      <c r="O9" t="s">
        <v>17</v>
      </c>
      <c r="P9" t="s">
        <v>31</v>
      </c>
      <c r="Q9">
        <v>0</v>
      </c>
      <c r="R9">
        <v>1</v>
      </c>
      <c r="S9" s="2">
        <v>0</v>
      </c>
      <c r="T9" s="4"/>
      <c r="U9">
        <v>3</v>
      </c>
      <c r="V9">
        <v>1</v>
      </c>
      <c r="W9">
        <v>1</v>
      </c>
    </row>
    <row r="10" spans="1:23" ht="16.5" x14ac:dyDescent="0.3">
      <c r="A10" t="s">
        <v>56</v>
      </c>
      <c r="B10" s="1">
        <v>45292</v>
      </c>
      <c r="C10">
        <v>2024</v>
      </c>
      <c r="D10" t="s">
        <v>24</v>
      </c>
      <c r="E10" t="s">
        <v>25</v>
      </c>
      <c r="F10" t="s">
        <v>37</v>
      </c>
      <c r="G10" t="s">
        <v>51</v>
      </c>
      <c r="H10" t="s">
        <v>34</v>
      </c>
      <c r="I10" t="s">
        <v>29</v>
      </c>
      <c r="J10" t="s">
        <v>52</v>
      </c>
      <c r="K10" s="2">
        <v>10600</v>
      </c>
      <c r="L10" s="2">
        <v>21000</v>
      </c>
      <c r="M10">
        <v>60</v>
      </c>
      <c r="N10" s="3">
        <v>0.23400000000000001</v>
      </c>
      <c r="O10" t="s">
        <v>16</v>
      </c>
      <c r="Q10">
        <v>1</v>
      </c>
      <c r="R10">
        <v>0</v>
      </c>
      <c r="S10" s="2">
        <v>21000</v>
      </c>
      <c r="T10" s="4">
        <v>0.115</v>
      </c>
      <c r="U10">
        <v>8</v>
      </c>
      <c r="V10">
        <v>0</v>
      </c>
      <c r="W10">
        <v>1</v>
      </c>
    </row>
    <row r="11" spans="1:23" ht="16.5" x14ac:dyDescent="0.3">
      <c r="A11" t="s">
        <v>57</v>
      </c>
      <c r="B11" s="1">
        <v>45292</v>
      </c>
      <c r="C11">
        <v>2024</v>
      </c>
      <c r="D11" t="s">
        <v>24</v>
      </c>
      <c r="E11" t="s">
        <v>25</v>
      </c>
      <c r="F11" t="s">
        <v>37</v>
      </c>
      <c r="G11" t="s">
        <v>51</v>
      </c>
      <c r="H11" t="s">
        <v>38</v>
      </c>
      <c r="I11" t="s">
        <v>39</v>
      </c>
      <c r="J11" t="s">
        <v>52</v>
      </c>
      <c r="K11" s="2">
        <v>5000</v>
      </c>
      <c r="L11" s="2">
        <v>20000</v>
      </c>
      <c r="M11">
        <v>60</v>
      </c>
      <c r="N11" s="3">
        <v>0.32400000000000001</v>
      </c>
      <c r="O11" t="s">
        <v>16</v>
      </c>
      <c r="Q11">
        <v>1</v>
      </c>
      <c r="R11">
        <v>0</v>
      </c>
      <c r="S11" s="2">
        <v>20000</v>
      </c>
      <c r="T11" s="4">
        <v>0.1162</v>
      </c>
      <c r="U11">
        <v>4</v>
      </c>
      <c r="V11">
        <v>0</v>
      </c>
      <c r="W11">
        <v>1</v>
      </c>
    </row>
    <row r="12" spans="1:23" ht="16.5" x14ac:dyDescent="0.3">
      <c r="A12" t="s">
        <v>58</v>
      </c>
      <c r="B12" s="1">
        <v>45292</v>
      </c>
      <c r="C12">
        <v>2024</v>
      </c>
      <c r="D12" t="s">
        <v>24</v>
      </c>
      <c r="E12" t="s">
        <v>25</v>
      </c>
      <c r="F12" t="s">
        <v>26</v>
      </c>
      <c r="G12" t="s">
        <v>45</v>
      </c>
      <c r="H12" t="s">
        <v>55</v>
      </c>
      <c r="I12" t="s">
        <v>29</v>
      </c>
      <c r="J12" t="s">
        <v>35</v>
      </c>
      <c r="K12" s="2">
        <v>4500</v>
      </c>
      <c r="L12" s="2">
        <v>80500</v>
      </c>
      <c r="M12">
        <v>36</v>
      </c>
      <c r="N12" s="3">
        <v>0.73799999999999999</v>
      </c>
      <c r="O12" t="s">
        <v>16</v>
      </c>
      <c r="Q12">
        <v>1</v>
      </c>
      <c r="R12">
        <v>0</v>
      </c>
      <c r="S12" s="2">
        <v>72500</v>
      </c>
      <c r="T12" s="4">
        <v>8.5300000000000001E-2</v>
      </c>
      <c r="U12">
        <v>2</v>
      </c>
      <c r="V12">
        <v>1</v>
      </c>
      <c r="W12">
        <v>1</v>
      </c>
    </row>
    <row r="13" spans="1:23" ht="16.5" x14ac:dyDescent="0.3">
      <c r="A13" t="s">
        <v>59</v>
      </c>
      <c r="B13" s="1">
        <v>45293</v>
      </c>
      <c r="C13">
        <v>2024</v>
      </c>
      <c r="D13" t="s">
        <v>24</v>
      </c>
      <c r="E13" t="s">
        <v>25</v>
      </c>
      <c r="F13" t="s">
        <v>41</v>
      </c>
      <c r="G13" t="s">
        <v>51</v>
      </c>
      <c r="H13" t="s">
        <v>38</v>
      </c>
      <c r="I13" t="s">
        <v>29</v>
      </c>
      <c r="J13" t="s">
        <v>52</v>
      </c>
      <c r="K13" s="2">
        <v>5150</v>
      </c>
      <c r="L13" s="2">
        <v>45500</v>
      </c>
      <c r="M13">
        <v>36</v>
      </c>
      <c r="N13" s="3">
        <v>0.45600000000000002</v>
      </c>
      <c r="O13" t="s">
        <v>17</v>
      </c>
      <c r="P13" t="s">
        <v>60</v>
      </c>
      <c r="Q13">
        <v>0</v>
      </c>
      <c r="R13">
        <v>1</v>
      </c>
      <c r="S13" s="2">
        <v>0</v>
      </c>
      <c r="T13" s="4"/>
      <c r="U13">
        <v>15</v>
      </c>
      <c r="V13">
        <v>0</v>
      </c>
      <c r="W13">
        <v>1</v>
      </c>
    </row>
    <row r="14" spans="1:23" ht="16.5" x14ac:dyDescent="0.3">
      <c r="A14" t="s">
        <v>61</v>
      </c>
      <c r="B14" s="1">
        <v>45293</v>
      </c>
      <c r="C14">
        <v>2024</v>
      </c>
      <c r="D14" t="s">
        <v>24</v>
      </c>
      <c r="E14" t="s">
        <v>25</v>
      </c>
      <c r="F14" t="s">
        <v>50</v>
      </c>
      <c r="G14" t="s">
        <v>45</v>
      </c>
      <c r="H14" t="s">
        <v>38</v>
      </c>
      <c r="I14" t="s">
        <v>42</v>
      </c>
      <c r="J14" t="s">
        <v>43</v>
      </c>
      <c r="K14" s="2">
        <v>8850</v>
      </c>
      <c r="L14" s="2">
        <v>506000</v>
      </c>
      <c r="M14">
        <v>180</v>
      </c>
      <c r="N14" s="3">
        <v>0.68400000000000005</v>
      </c>
      <c r="O14" t="s">
        <v>17</v>
      </c>
      <c r="P14" t="s">
        <v>53</v>
      </c>
      <c r="Q14">
        <v>0</v>
      </c>
      <c r="R14">
        <v>1</v>
      </c>
      <c r="S14" s="2">
        <v>0</v>
      </c>
      <c r="T14" s="4"/>
      <c r="U14">
        <v>6</v>
      </c>
      <c r="V14">
        <v>1</v>
      </c>
      <c r="W14">
        <v>1</v>
      </c>
    </row>
    <row r="15" spans="1:23" ht="16.5" x14ac:dyDescent="0.3">
      <c r="A15" t="s">
        <v>62</v>
      </c>
      <c r="B15" s="1">
        <v>45293</v>
      </c>
      <c r="C15">
        <v>2024</v>
      </c>
      <c r="D15" t="s">
        <v>24</v>
      </c>
      <c r="E15" t="s">
        <v>25</v>
      </c>
      <c r="F15" t="s">
        <v>50</v>
      </c>
      <c r="G15" t="s">
        <v>45</v>
      </c>
      <c r="H15" t="s">
        <v>38</v>
      </c>
      <c r="I15" t="s">
        <v>42</v>
      </c>
      <c r="J15" t="s">
        <v>46</v>
      </c>
      <c r="K15" s="2">
        <v>5100</v>
      </c>
      <c r="L15" s="2">
        <v>691000</v>
      </c>
      <c r="M15">
        <v>180</v>
      </c>
      <c r="N15" s="3">
        <v>1.258</v>
      </c>
      <c r="O15" t="s">
        <v>16</v>
      </c>
      <c r="Q15">
        <v>1</v>
      </c>
      <c r="R15">
        <v>0</v>
      </c>
      <c r="S15" s="2">
        <v>622000</v>
      </c>
      <c r="T15" s="4">
        <v>4.5999999999999999E-2</v>
      </c>
      <c r="U15">
        <v>8</v>
      </c>
      <c r="V15">
        <v>1</v>
      </c>
      <c r="W15">
        <v>1</v>
      </c>
    </row>
    <row r="16" spans="1:23" ht="16.5" x14ac:dyDescent="0.3">
      <c r="A16" t="s">
        <v>63</v>
      </c>
      <c r="B16" s="1">
        <v>45293</v>
      </c>
      <c r="C16">
        <v>2024</v>
      </c>
      <c r="D16" t="s">
        <v>24</v>
      </c>
      <c r="E16" t="s">
        <v>25</v>
      </c>
      <c r="F16" t="s">
        <v>26</v>
      </c>
      <c r="G16" t="s">
        <v>51</v>
      </c>
      <c r="H16" t="s">
        <v>64</v>
      </c>
      <c r="I16" t="s">
        <v>39</v>
      </c>
      <c r="J16" t="s">
        <v>46</v>
      </c>
      <c r="K16" s="2">
        <v>9250</v>
      </c>
      <c r="L16" s="2">
        <v>29000</v>
      </c>
      <c r="M16">
        <v>60</v>
      </c>
      <c r="N16" s="3">
        <v>0.129</v>
      </c>
      <c r="O16" t="s">
        <v>17</v>
      </c>
      <c r="P16" t="s">
        <v>65</v>
      </c>
      <c r="Q16">
        <v>0</v>
      </c>
      <c r="R16">
        <v>1</v>
      </c>
      <c r="S16" s="2">
        <v>0</v>
      </c>
      <c r="T16" s="4"/>
      <c r="U16">
        <v>7</v>
      </c>
      <c r="V16">
        <v>0</v>
      </c>
      <c r="W16">
        <v>1</v>
      </c>
    </row>
    <row r="17" spans="1:23" ht="16.5" x14ac:dyDescent="0.3">
      <c r="A17" t="s">
        <v>66</v>
      </c>
      <c r="B17" s="1">
        <v>45293</v>
      </c>
      <c r="C17">
        <v>2024</v>
      </c>
      <c r="D17" t="s">
        <v>24</v>
      </c>
      <c r="E17" t="s">
        <v>25</v>
      </c>
      <c r="F17" t="s">
        <v>26</v>
      </c>
      <c r="G17" t="s">
        <v>45</v>
      </c>
      <c r="H17" t="s">
        <v>55</v>
      </c>
      <c r="I17" t="s">
        <v>42</v>
      </c>
      <c r="J17" t="s">
        <v>46</v>
      </c>
      <c r="K17" s="2">
        <v>5650</v>
      </c>
      <c r="L17" s="2">
        <v>26000</v>
      </c>
      <c r="M17">
        <v>48</v>
      </c>
      <c r="N17" s="3">
        <v>0.16200000000000001</v>
      </c>
      <c r="O17" t="s">
        <v>16</v>
      </c>
      <c r="Q17">
        <v>1</v>
      </c>
      <c r="R17">
        <v>0</v>
      </c>
      <c r="S17" s="2">
        <v>21000</v>
      </c>
      <c r="T17" s="4">
        <v>7.17E-2</v>
      </c>
      <c r="U17">
        <v>2</v>
      </c>
      <c r="V17">
        <v>1</v>
      </c>
      <c r="W17">
        <v>1</v>
      </c>
    </row>
    <row r="18" spans="1:23" ht="16.5" x14ac:dyDescent="0.3">
      <c r="A18" t="s">
        <v>67</v>
      </c>
      <c r="B18" s="1">
        <v>45293</v>
      </c>
      <c r="C18">
        <v>2024</v>
      </c>
      <c r="D18" t="s">
        <v>24</v>
      </c>
      <c r="E18" t="s">
        <v>25</v>
      </c>
      <c r="F18" t="s">
        <v>26</v>
      </c>
      <c r="G18" t="s">
        <v>51</v>
      </c>
      <c r="H18" t="s">
        <v>34</v>
      </c>
      <c r="I18" t="s">
        <v>29</v>
      </c>
      <c r="J18" t="s">
        <v>35</v>
      </c>
      <c r="K18" s="2">
        <v>9750</v>
      </c>
      <c r="L18" s="2">
        <v>31000</v>
      </c>
      <c r="M18">
        <v>36</v>
      </c>
      <c r="N18" s="3">
        <v>0.23300000000000001</v>
      </c>
      <c r="O18" t="s">
        <v>16</v>
      </c>
      <c r="Q18">
        <v>1</v>
      </c>
      <c r="R18">
        <v>0</v>
      </c>
      <c r="S18" s="2">
        <v>25000</v>
      </c>
      <c r="T18" s="4">
        <v>0.09</v>
      </c>
      <c r="U18">
        <v>6</v>
      </c>
      <c r="V18">
        <v>0</v>
      </c>
      <c r="W18">
        <v>1</v>
      </c>
    </row>
    <row r="19" spans="1:23" ht="16.5" x14ac:dyDescent="0.3">
      <c r="A19" t="s">
        <v>68</v>
      </c>
      <c r="B19" s="1">
        <v>45293</v>
      </c>
      <c r="C19">
        <v>2024</v>
      </c>
      <c r="D19" t="s">
        <v>24</v>
      </c>
      <c r="E19" t="s">
        <v>25</v>
      </c>
      <c r="F19" t="s">
        <v>37</v>
      </c>
      <c r="G19" t="s">
        <v>51</v>
      </c>
      <c r="H19" t="s">
        <v>64</v>
      </c>
      <c r="I19" t="s">
        <v>39</v>
      </c>
      <c r="J19" t="s">
        <v>35</v>
      </c>
      <c r="K19" s="2">
        <v>8400</v>
      </c>
      <c r="L19" s="2">
        <v>5000</v>
      </c>
      <c r="M19">
        <v>48</v>
      </c>
      <c r="N19" s="3">
        <v>0.16800000000000001</v>
      </c>
      <c r="O19" t="s">
        <v>16</v>
      </c>
      <c r="Q19">
        <v>1</v>
      </c>
      <c r="R19">
        <v>0</v>
      </c>
      <c r="S19" s="2">
        <v>5000</v>
      </c>
      <c r="T19" s="4">
        <v>0.12590000000000001</v>
      </c>
      <c r="U19">
        <v>3</v>
      </c>
      <c r="V19">
        <v>1</v>
      </c>
      <c r="W19">
        <v>1</v>
      </c>
    </row>
    <row r="20" spans="1:23" ht="16.5" x14ac:dyDescent="0.3">
      <c r="A20" t="s">
        <v>69</v>
      </c>
      <c r="B20" s="1">
        <v>45293</v>
      </c>
      <c r="C20">
        <v>2024</v>
      </c>
      <c r="D20" t="s">
        <v>24</v>
      </c>
      <c r="E20" t="s">
        <v>25</v>
      </c>
      <c r="F20" t="s">
        <v>37</v>
      </c>
      <c r="G20" t="s">
        <v>45</v>
      </c>
      <c r="H20" t="s">
        <v>38</v>
      </c>
      <c r="I20" t="s">
        <v>29</v>
      </c>
      <c r="J20" t="s">
        <v>43</v>
      </c>
      <c r="K20" s="2">
        <v>8400</v>
      </c>
      <c r="L20" s="2">
        <v>10000</v>
      </c>
      <c r="M20">
        <v>24</v>
      </c>
      <c r="N20" s="3">
        <v>0.151</v>
      </c>
      <c r="O20" t="s">
        <v>16</v>
      </c>
      <c r="Q20">
        <v>1</v>
      </c>
      <c r="R20">
        <v>0</v>
      </c>
      <c r="S20" s="2">
        <v>10000</v>
      </c>
      <c r="T20" s="4">
        <v>0.15959999999999999</v>
      </c>
      <c r="U20">
        <v>4</v>
      </c>
      <c r="V20">
        <v>0</v>
      </c>
      <c r="W20">
        <v>1</v>
      </c>
    </row>
    <row r="21" spans="1:23" ht="16.5" x14ac:dyDescent="0.3">
      <c r="A21" t="s">
        <v>70</v>
      </c>
      <c r="B21" s="1">
        <v>45293</v>
      </c>
      <c r="C21">
        <v>2024</v>
      </c>
      <c r="D21" t="s">
        <v>24</v>
      </c>
      <c r="E21" t="s">
        <v>25</v>
      </c>
      <c r="F21" t="s">
        <v>26</v>
      </c>
      <c r="G21" t="s">
        <v>51</v>
      </c>
      <c r="H21" t="s">
        <v>38</v>
      </c>
      <c r="I21" t="s">
        <v>29</v>
      </c>
      <c r="J21" t="s">
        <v>30</v>
      </c>
      <c r="K21" s="2">
        <v>3450</v>
      </c>
      <c r="L21" s="2">
        <v>18000</v>
      </c>
      <c r="M21">
        <v>48</v>
      </c>
      <c r="N21" s="3">
        <v>0.183</v>
      </c>
      <c r="O21" t="s">
        <v>16</v>
      </c>
      <c r="Q21">
        <v>1</v>
      </c>
      <c r="R21">
        <v>0</v>
      </c>
      <c r="S21" s="2">
        <v>18000</v>
      </c>
      <c r="T21" s="4">
        <v>9.9500000000000005E-2</v>
      </c>
      <c r="U21">
        <v>8</v>
      </c>
      <c r="V21">
        <v>0</v>
      </c>
      <c r="W21">
        <v>1</v>
      </c>
    </row>
    <row r="22" spans="1:23" ht="16.5" x14ac:dyDescent="0.3">
      <c r="A22" t="s">
        <v>71</v>
      </c>
      <c r="B22" s="1">
        <v>45294</v>
      </c>
      <c r="C22">
        <v>2024</v>
      </c>
      <c r="D22" t="s">
        <v>24</v>
      </c>
      <c r="E22" t="s">
        <v>25</v>
      </c>
      <c r="F22" t="s">
        <v>26</v>
      </c>
      <c r="G22" t="s">
        <v>27</v>
      </c>
      <c r="H22" t="s">
        <v>34</v>
      </c>
      <c r="I22" t="s">
        <v>42</v>
      </c>
      <c r="J22" t="s">
        <v>52</v>
      </c>
      <c r="K22" s="2">
        <v>9700</v>
      </c>
      <c r="L22" s="2">
        <v>23500</v>
      </c>
      <c r="M22">
        <v>48</v>
      </c>
      <c r="N22" s="3">
        <v>0.26100000000000001</v>
      </c>
      <c r="O22" t="s">
        <v>17</v>
      </c>
      <c r="P22" t="s">
        <v>60</v>
      </c>
      <c r="Q22">
        <v>0</v>
      </c>
      <c r="R22">
        <v>1</v>
      </c>
      <c r="S22" s="2">
        <v>0</v>
      </c>
      <c r="T22" s="4"/>
      <c r="U22">
        <v>9</v>
      </c>
      <c r="V22">
        <v>0</v>
      </c>
      <c r="W22">
        <v>1</v>
      </c>
    </row>
    <row r="23" spans="1:23" ht="16.5" x14ac:dyDescent="0.3">
      <c r="A23" t="s">
        <v>72</v>
      </c>
      <c r="B23" s="1">
        <v>45294</v>
      </c>
      <c r="C23">
        <v>2024</v>
      </c>
      <c r="D23" t="s">
        <v>24</v>
      </c>
      <c r="E23" t="s">
        <v>25</v>
      </c>
      <c r="F23" t="s">
        <v>37</v>
      </c>
      <c r="G23" t="s">
        <v>33</v>
      </c>
      <c r="H23" t="s">
        <v>55</v>
      </c>
      <c r="I23" t="s">
        <v>29</v>
      </c>
      <c r="J23" t="s">
        <v>35</v>
      </c>
      <c r="K23" s="2">
        <v>2250</v>
      </c>
      <c r="L23" s="2">
        <v>9500</v>
      </c>
      <c r="M23">
        <v>24</v>
      </c>
      <c r="N23" s="3">
        <v>0.32700000000000001</v>
      </c>
      <c r="O23" t="s">
        <v>17</v>
      </c>
      <c r="P23" t="s">
        <v>65</v>
      </c>
      <c r="Q23">
        <v>0</v>
      </c>
      <c r="R23">
        <v>1</v>
      </c>
      <c r="S23" s="2">
        <v>0</v>
      </c>
      <c r="T23" s="4"/>
      <c r="U23">
        <v>2</v>
      </c>
      <c r="V23">
        <v>1</v>
      </c>
      <c r="W23">
        <v>1</v>
      </c>
    </row>
    <row r="24" spans="1:23" ht="16.5" x14ac:dyDescent="0.3">
      <c r="A24" t="s">
        <v>73</v>
      </c>
      <c r="B24" s="1">
        <v>45294</v>
      </c>
      <c r="C24">
        <v>2024</v>
      </c>
      <c r="D24" t="s">
        <v>24</v>
      </c>
      <c r="E24" t="s">
        <v>25</v>
      </c>
      <c r="F24" t="s">
        <v>37</v>
      </c>
      <c r="G24" t="s">
        <v>27</v>
      </c>
      <c r="H24" t="s">
        <v>38</v>
      </c>
      <c r="I24" t="s">
        <v>29</v>
      </c>
      <c r="J24" t="s">
        <v>35</v>
      </c>
      <c r="K24" s="2">
        <v>3000</v>
      </c>
      <c r="L24" s="2">
        <v>6500</v>
      </c>
      <c r="M24">
        <v>60</v>
      </c>
      <c r="N24" s="3">
        <v>0.104</v>
      </c>
      <c r="O24" t="s">
        <v>17</v>
      </c>
      <c r="P24" t="s">
        <v>65</v>
      </c>
      <c r="Q24">
        <v>0</v>
      </c>
      <c r="R24">
        <v>1</v>
      </c>
      <c r="S24" s="2">
        <v>0</v>
      </c>
      <c r="T24" s="4"/>
      <c r="U24">
        <v>3</v>
      </c>
      <c r="V24">
        <v>1</v>
      </c>
      <c r="W24">
        <v>1</v>
      </c>
    </row>
    <row r="25" spans="1:23" ht="16.5" x14ac:dyDescent="0.3">
      <c r="A25" t="s">
        <v>74</v>
      </c>
      <c r="B25" s="1">
        <v>45294</v>
      </c>
      <c r="C25">
        <v>2024</v>
      </c>
      <c r="D25" t="s">
        <v>24</v>
      </c>
      <c r="E25" t="s">
        <v>25</v>
      </c>
      <c r="F25" t="s">
        <v>37</v>
      </c>
      <c r="G25" t="s">
        <v>51</v>
      </c>
      <c r="H25" t="s">
        <v>55</v>
      </c>
      <c r="I25" t="s">
        <v>39</v>
      </c>
      <c r="J25" t="s">
        <v>46</v>
      </c>
      <c r="K25" s="2">
        <v>4250</v>
      </c>
      <c r="L25" s="2">
        <v>11500</v>
      </c>
      <c r="M25">
        <v>24</v>
      </c>
      <c r="N25" s="3">
        <v>0.373</v>
      </c>
      <c r="O25" t="s">
        <v>16</v>
      </c>
      <c r="Q25">
        <v>1</v>
      </c>
      <c r="R25">
        <v>0</v>
      </c>
      <c r="S25" s="2">
        <v>10500</v>
      </c>
      <c r="T25" s="4">
        <v>0.1114</v>
      </c>
      <c r="U25">
        <v>11</v>
      </c>
      <c r="V25">
        <v>0</v>
      </c>
      <c r="W25">
        <v>1</v>
      </c>
    </row>
    <row r="26" spans="1:23" ht="16.5" x14ac:dyDescent="0.3">
      <c r="A26" t="s">
        <v>75</v>
      </c>
      <c r="B26" s="1">
        <v>45294</v>
      </c>
      <c r="C26">
        <v>2024</v>
      </c>
      <c r="D26" t="s">
        <v>24</v>
      </c>
      <c r="E26" t="s">
        <v>25</v>
      </c>
      <c r="F26" t="s">
        <v>26</v>
      </c>
      <c r="G26" t="s">
        <v>27</v>
      </c>
      <c r="H26" t="s">
        <v>38</v>
      </c>
      <c r="I26" t="s">
        <v>39</v>
      </c>
      <c r="J26" t="s">
        <v>30</v>
      </c>
      <c r="K26" s="2">
        <v>9050</v>
      </c>
      <c r="L26" s="2">
        <v>38500</v>
      </c>
      <c r="M26">
        <v>60</v>
      </c>
      <c r="N26" s="3">
        <v>0.32800000000000001</v>
      </c>
      <c r="O26" t="s">
        <v>16</v>
      </c>
      <c r="Q26">
        <v>1</v>
      </c>
      <c r="R26">
        <v>0</v>
      </c>
      <c r="S26" s="2">
        <v>38500</v>
      </c>
      <c r="T26" s="4">
        <v>9.74E-2</v>
      </c>
      <c r="U26">
        <v>4</v>
      </c>
      <c r="V26">
        <v>1</v>
      </c>
      <c r="W26">
        <v>1</v>
      </c>
    </row>
    <row r="27" spans="1:23" ht="16.5" x14ac:dyDescent="0.3">
      <c r="A27" t="s">
        <v>76</v>
      </c>
      <c r="B27" s="1">
        <v>45294</v>
      </c>
      <c r="C27">
        <v>2024</v>
      </c>
      <c r="D27" t="s">
        <v>24</v>
      </c>
      <c r="E27" t="s">
        <v>25</v>
      </c>
      <c r="F27" t="s">
        <v>41</v>
      </c>
      <c r="G27" t="s">
        <v>33</v>
      </c>
      <c r="H27" t="s">
        <v>55</v>
      </c>
      <c r="I27" t="s">
        <v>29</v>
      </c>
      <c r="J27" t="s">
        <v>52</v>
      </c>
      <c r="K27" s="2">
        <v>8900</v>
      </c>
      <c r="L27" s="2">
        <v>84000</v>
      </c>
      <c r="M27">
        <v>60</v>
      </c>
      <c r="N27" s="3">
        <v>0.28499999999999998</v>
      </c>
      <c r="O27" t="s">
        <v>16</v>
      </c>
      <c r="Q27">
        <v>1</v>
      </c>
      <c r="R27">
        <v>0</v>
      </c>
      <c r="S27" s="2">
        <v>75500</v>
      </c>
      <c r="T27" s="4">
        <v>9.69E-2</v>
      </c>
      <c r="U27">
        <v>4</v>
      </c>
      <c r="V27">
        <v>1</v>
      </c>
      <c r="W27">
        <v>1</v>
      </c>
    </row>
    <row r="28" spans="1:23" ht="16.5" x14ac:dyDescent="0.3">
      <c r="A28" t="s">
        <v>77</v>
      </c>
      <c r="B28" s="1">
        <v>45294</v>
      </c>
      <c r="C28">
        <v>2024</v>
      </c>
      <c r="D28" t="s">
        <v>24</v>
      </c>
      <c r="E28" t="s">
        <v>25</v>
      </c>
      <c r="F28" t="s">
        <v>37</v>
      </c>
      <c r="G28" t="s">
        <v>45</v>
      </c>
      <c r="H28" t="s">
        <v>55</v>
      </c>
      <c r="I28" t="s">
        <v>29</v>
      </c>
      <c r="J28" t="s">
        <v>35</v>
      </c>
      <c r="K28" s="2">
        <v>6900</v>
      </c>
      <c r="L28" s="2">
        <v>16000</v>
      </c>
      <c r="M28">
        <v>36</v>
      </c>
      <c r="N28" s="3">
        <v>0.29899999999999999</v>
      </c>
      <c r="O28" t="s">
        <v>16</v>
      </c>
      <c r="Q28">
        <v>1</v>
      </c>
      <c r="R28">
        <v>0</v>
      </c>
      <c r="S28" s="2">
        <v>16000</v>
      </c>
      <c r="T28" s="4">
        <v>0.12429999999999999</v>
      </c>
      <c r="U28">
        <v>1</v>
      </c>
      <c r="V28">
        <v>1</v>
      </c>
      <c r="W28">
        <v>1</v>
      </c>
    </row>
    <row r="29" spans="1:23" ht="16.5" x14ac:dyDescent="0.3">
      <c r="A29" t="s">
        <v>78</v>
      </c>
      <c r="B29" s="1">
        <v>45295</v>
      </c>
      <c r="C29">
        <v>2024</v>
      </c>
      <c r="D29" t="s">
        <v>24</v>
      </c>
      <c r="E29" t="s">
        <v>25</v>
      </c>
      <c r="F29" t="s">
        <v>41</v>
      </c>
      <c r="G29" t="s">
        <v>45</v>
      </c>
      <c r="H29" t="s">
        <v>34</v>
      </c>
      <c r="I29" t="s">
        <v>29</v>
      </c>
      <c r="J29" t="s">
        <v>30</v>
      </c>
      <c r="K29" s="2">
        <v>5050</v>
      </c>
      <c r="L29" s="2">
        <v>72000</v>
      </c>
      <c r="M29">
        <v>60</v>
      </c>
      <c r="N29" s="3">
        <v>0.432</v>
      </c>
      <c r="O29" t="s">
        <v>16</v>
      </c>
      <c r="Q29">
        <v>1</v>
      </c>
      <c r="R29">
        <v>0</v>
      </c>
      <c r="S29" s="2">
        <v>65000</v>
      </c>
      <c r="T29" s="4">
        <v>0.12239999999999999</v>
      </c>
      <c r="U29">
        <v>5</v>
      </c>
      <c r="V29">
        <v>1</v>
      </c>
      <c r="W29">
        <v>1</v>
      </c>
    </row>
    <row r="30" spans="1:23" ht="16.5" x14ac:dyDescent="0.3">
      <c r="A30" t="s">
        <v>79</v>
      </c>
      <c r="B30" s="1">
        <v>45295</v>
      </c>
      <c r="C30">
        <v>2024</v>
      </c>
      <c r="D30" t="s">
        <v>24</v>
      </c>
      <c r="E30" t="s">
        <v>25</v>
      </c>
      <c r="F30" t="s">
        <v>37</v>
      </c>
      <c r="G30" t="s">
        <v>27</v>
      </c>
      <c r="H30" t="s">
        <v>38</v>
      </c>
      <c r="I30" t="s">
        <v>39</v>
      </c>
      <c r="J30" t="s">
        <v>43</v>
      </c>
      <c r="K30" s="2">
        <v>4650</v>
      </c>
      <c r="L30" s="2">
        <v>7500</v>
      </c>
      <c r="M30">
        <v>60</v>
      </c>
      <c r="N30" s="3">
        <v>0.09</v>
      </c>
      <c r="O30" t="s">
        <v>17</v>
      </c>
      <c r="P30" t="s">
        <v>65</v>
      </c>
      <c r="Q30">
        <v>0</v>
      </c>
      <c r="R30">
        <v>1</v>
      </c>
      <c r="S30" s="2">
        <v>0</v>
      </c>
      <c r="T30" s="4"/>
      <c r="U30">
        <v>3</v>
      </c>
      <c r="V30">
        <v>1</v>
      </c>
      <c r="W30">
        <v>1</v>
      </c>
    </row>
    <row r="31" spans="1:23" ht="16.5" x14ac:dyDescent="0.3">
      <c r="A31" t="s">
        <v>80</v>
      </c>
      <c r="B31" s="1">
        <v>45295</v>
      </c>
      <c r="C31">
        <v>2024</v>
      </c>
      <c r="D31" t="s">
        <v>24</v>
      </c>
      <c r="E31" t="s">
        <v>25</v>
      </c>
      <c r="F31" t="s">
        <v>37</v>
      </c>
      <c r="G31" t="s">
        <v>33</v>
      </c>
      <c r="H31" t="s">
        <v>38</v>
      </c>
      <c r="I31" t="s">
        <v>42</v>
      </c>
      <c r="J31" t="s">
        <v>30</v>
      </c>
      <c r="K31" s="2">
        <v>5500</v>
      </c>
      <c r="L31" s="2">
        <v>9000</v>
      </c>
      <c r="M31">
        <v>24</v>
      </c>
      <c r="N31" s="3">
        <v>0.183</v>
      </c>
      <c r="O31" t="s">
        <v>16</v>
      </c>
      <c r="Q31">
        <v>1</v>
      </c>
      <c r="R31">
        <v>0</v>
      </c>
      <c r="S31" s="2">
        <v>8000</v>
      </c>
      <c r="T31" s="4">
        <v>0.1384</v>
      </c>
      <c r="U31">
        <v>2</v>
      </c>
      <c r="V31">
        <v>1</v>
      </c>
      <c r="W31">
        <v>1</v>
      </c>
    </row>
    <row r="32" spans="1:23" ht="16.5" x14ac:dyDescent="0.3">
      <c r="A32" t="s">
        <v>81</v>
      </c>
      <c r="B32" s="1">
        <v>45295</v>
      </c>
      <c r="C32">
        <v>2024</v>
      </c>
      <c r="D32" t="s">
        <v>24</v>
      </c>
      <c r="E32" t="s">
        <v>25</v>
      </c>
      <c r="F32" t="s">
        <v>50</v>
      </c>
      <c r="G32" t="s">
        <v>51</v>
      </c>
      <c r="H32" t="s">
        <v>28</v>
      </c>
      <c r="I32" t="s">
        <v>39</v>
      </c>
      <c r="J32" t="s">
        <v>35</v>
      </c>
      <c r="K32" s="2">
        <v>2450</v>
      </c>
      <c r="L32" s="2">
        <v>230000</v>
      </c>
      <c r="M32">
        <v>300</v>
      </c>
      <c r="N32" s="3">
        <v>0.64400000000000002</v>
      </c>
      <c r="O32" t="s">
        <v>17</v>
      </c>
      <c r="P32" t="s">
        <v>53</v>
      </c>
      <c r="Q32">
        <v>0</v>
      </c>
      <c r="R32">
        <v>1</v>
      </c>
      <c r="S32" s="2">
        <v>0</v>
      </c>
      <c r="T32" s="4"/>
      <c r="U32">
        <v>33</v>
      </c>
      <c r="V32">
        <v>0</v>
      </c>
      <c r="W32">
        <v>1</v>
      </c>
    </row>
    <row r="33" spans="1:23" ht="16.5" x14ac:dyDescent="0.3">
      <c r="A33" t="s">
        <v>82</v>
      </c>
      <c r="B33" s="1">
        <v>45295</v>
      </c>
      <c r="C33">
        <v>2024</v>
      </c>
      <c r="D33" t="s">
        <v>24</v>
      </c>
      <c r="E33" t="s">
        <v>25</v>
      </c>
      <c r="F33" t="s">
        <v>41</v>
      </c>
      <c r="G33" t="s">
        <v>45</v>
      </c>
      <c r="H33" t="s">
        <v>38</v>
      </c>
      <c r="I33" t="s">
        <v>29</v>
      </c>
      <c r="J33" t="s">
        <v>52</v>
      </c>
      <c r="K33" s="2">
        <v>6950</v>
      </c>
      <c r="L33" s="2">
        <v>83000</v>
      </c>
      <c r="M33">
        <v>12</v>
      </c>
      <c r="N33" s="3">
        <v>1.2709999999999999</v>
      </c>
      <c r="O33" t="s">
        <v>17</v>
      </c>
      <c r="P33" t="s">
        <v>60</v>
      </c>
      <c r="Q33">
        <v>0</v>
      </c>
      <c r="R33">
        <v>1</v>
      </c>
      <c r="S33" s="2">
        <v>0</v>
      </c>
      <c r="T33" s="4"/>
      <c r="U33">
        <v>11</v>
      </c>
      <c r="V33">
        <v>0</v>
      </c>
      <c r="W33">
        <v>1</v>
      </c>
    </row>
    <row r="34" spans="1:23" ht="16.5" x14ac:dyDescent="0.3">
      <c r="A34" t="s">
        <v>83</v>
      </c>
      <c r="B34" s="1">
        <v>45295</v>
      </c>
      <c r="C34">
        <v>2024</v>
      </c>
      <c r="D34" t="s">
        <v>24</v>
      </c>
      <c r="E34" t="s">
        <v>25</v>
      </c>
      <c r="F34" t="s">
        <v>37</v>
      </c>
      <c r="G34" t="s">
        <v>51</v>
      </c>
      <c r="H34" t="s">
        <v>38</v>
      </c>
      <c r="I34" t="s">
        <v>39</v>
      </c>
      <c r="J34" t="s">
        <v>30</v>
      </c>
      <c r="K34" s="2">
        <v>6450</v>
      </c>
      <c r="L34" s="2">
        <v>14000</v>
      </c>
      <c r="M34">
        <v>24</v>
      </c>
      <c r="N34" s="3">
        <v>0.21199999999999999</v>
      </c>
      <c r="O34" t="s">
        <v>16</v>
      </c>
      <c r="Q34">
        <v>1</v>
      </c>
      <c r="R34">
        <v>0</v>
      </c>
      <c r="S34" s="2">
        <v>14000</v>
      </c>
      <c r="T34" s="4">
        <v>0.1424</v>
      </c>
      <c r="U34">
        <v>3</v>
      </c>
      <c r="V34">
        <v>1</v>
      </c>
      <c r="W34">
        <v>1</v>
      </c>
    </row>
    <row r="35" spans="1:23" ht="16.5" x14ac:dyDescent="0.3">
      <c r="A35" t="s">
        <v>84</v>
      </c>
      <c r="B35" s="1">
        <v>45295</v>
      </c>
      <c r="C35">
        <v>2024</v>
      </c>
      <c r="D35" t="s">
        <v>24</v>
      </c>
      <c r="E35" t="s">
        <v>25</v>
      </c>
      <c r="F35" t="s">
        <v>26</v>
      </c>
      <c r="G35" t="s">
        <v>33</v>
      </c>
      <c r="H35" t="s">
        <v>38</v>
      </c>
      <c r="I35" t="s">
        <v>29</v>
      </c>
      <c r="J35" t="s">
        <v>35</v>
      </c>
      <c r="K35" s="2">
        <v>7000</v>
      </c>
      <c r="L35" s="2">
        <v>33500</v>
      </c>
      <c r="M35">
        <v>36</v>
      </c>
      <c r="N35" s="3">
        <v>0.27200000000000002</v>
      </c>
      <c r="O35" t="s">
        <v>16</v>
      </c>
      <c r="Q35">
        <v>1</v>
      </c>
      <c r="R35">
        <v>0</v>
      </c>
      <c r="S35" s="2">
        <v>33500</v>
      </c>
      <c r="T35" s="4">
        <v>7.9299999999999995E-2</v>
      </c>
      <c r="U35">
        <v>4</v>
      </c>
      <c r="V35">
        <v>1</v>
      </c>
      <c r="W35">
        <v>1</v>
      </c>
    </row>
    <row r="36" spans="1:23" ht="16.5" x14ac:dyDescent="0.3">
      <c r="A36" t="s">
        <v>85</v>
      </c>
      <c r="B36" s="1">
        <v>45296</v>
      </c>
      <c r="C36">
        <v>2024</v>
      </c>
      <c r="D36" t="s">
        <v>24</v>
      </c>
      <c r="E36" t="s">
        <v>25</v>
      </c>
      <c r="F36" t="s">
        <v>41</v>
      </c>
      <c r="G36" t="s">
        <v>27</v>
      </c>
      <c r="H36" t="s">
        <v>34</v>
      </c>
      <c r="I36" t="s">
        <v>29</v>
      </c>
      <c r="J36" t="s">
        <v>35</v>
      </c>
      <c r="K36" s="2">
        <v>6600</v>
      </c>
      <c r="L36" s="2">
        <v>58500</v>
      </c>
      <c r="M36">
        <v>36</v>
      </c>
      <c r="N36" s="3">
        <v>0.39300000000000002</v>
      </c>
      <c r="O36" t="s">
        <v>17</v>
      </c>
      <c r="P36" t="s">
        <v>60</v>
      </c>
      <c r="Q36">
        <v>0</v>
      </c>
      <c r="R36">
        <v>1</v>
      </c>
      <c r="S36" s="2">
        <v>0</v>
      </c>
      <c r="T36" s="4"/>
      <c r="U36">
        <v>14</v>
      </c>
      <c r="V36">
        <v>0</v>
      </c>
      <c r="W36">
        <v>1</v>
      </c>
    </row>
    <row r="37" spans="1:23" ht="16.5" x14ac:dyDescent="0.3">
      <c r="A37" t="s">
        <v>86</v>
      </c>
      <c r="B37" s="1">
        <v>45296</v>
      </c>
      <c r="C37">
        <v>2024</v>
      </c>
      <c r="D37" t="s">
        <v>24</v>
      </c>
      <c r="E37" t="s">
        <v>25</v>
      </c>
      <c r="F37" t="s">
        <v>26</v>
      </c>
      <c r="G37" t="s">
        <v>27</v>
      </c>
      <c r="H37" t="s">
        <v>38</v>
      </c>
      <c r="I37" t="s">
        <v>39</v>
      </c>
      <c r="J37" t="s">
        <v>52</v>
      </c>
      <c r="K37" s="2">
        <v>3950</v>
      </c>
      <c r="L37" s="2">
        <v>22500</v>
      </c>
      <c r="M37">
        <v>60</v>
      </c>
      <c r="N37" s="3">
        <v>0.26500000000000001</v>
      </c>
      <c r="O37" t="s">
        <v>16</v>
      </c>
      <c r="Q37">
        <v>1</v>
      </c>
      <c r="R37">
        <v>0</v>
      </c>
      <c r="S37" s="2">
        <v>22500</v>
      </c>
      <c r="T37" s="4">
        <v>7.5999999999999998E-2</v>
      </c>
      <c r="U37">
        <v>3</v>
      </c>
      <c r="V37">
        <v>1</v>
      </c>
      <c r="W37">
        <v>1</v>
      </c>
    </row>
    <row r="38" spans="1:23" ht="16.5" x14ac:dyDescent="0.3">
      <c r="A38" t="s">
        <v>87</v>
      </c>
      <c r="B38" s="1">
        <v>45296</v>
      </c>
      <c r="C38">
        <v>2024</v>
      </c>
      <c r="D38" t="s">
        <v>24</v>
      </c>
      <c r="E38" t="s">
        <v>25</v>
      </c>
      <c r="F38" t="s">
        <v>37</v>
      </c>
      <c r="G38" t="s">
        <v>51</v>
      </c>
      <c r="H38" t="s">
        <v>55</v>
      </c>
      <c r="I38" t="s">
        <v>39</v>
      </c>
      <c r="J38" t="s">
        <v>35</v>
      </c>
      <c r="K38" s="2">
        <v>5350</v>
      </c>
      <c r="L38" s="2">
        <v>6500</v>
      </c>
      <c r="M38">
        <v>60</v>
      </c>
      <c r="N38" s="3">
        <v>0.19400000000000001</v>
      </c>
      <c r="O38" t="s">
        <v>17</v>
      </c>
      <c r="P38" t="s">
        <v>65</v>
      </c>
      <c r="Q38">
        <v>0</v>
      </c>
      <c r="R38">
        <v>1</v>
      </c>
      <c r="S38" s="2">
        <v>0</v>
      </c>
      <c r="T38" s="4"/>
      <c r="U38">
        <v>8</v>
      </c>
      <c r="V38">
        <v>0</v>
      </c>
      <c r="W38">
        <v>1</v>
      </c>
    </row>
    <row r="39" spans="1:23" ht="16.5" x14ac:dyDescent="0.3">
      <c r="A39" t="s">
        <v>88</v>
      </c>
      <c r="B39" s="1">
        <v>45296</v>
      </c>
      <c r="C39">
        <v>2024</v>
      </c>
      <c r="D39" t="s">
        <v>24</v>
      </c>
      <c r="E39" t="s">
        <v>25</v>
      </c>
      <c r="F39" t="s">
        <v>26</v>
      </c>
      <c r="G39" t="s">
        <v>27</v>
      </c>
      <c r="H39" t="s">
        <v>38</v>
      </c>
      <c r="I39" t="s">
        <v>42</v>
      </c>
      <c r="J39" t="s">
        <v>30</v>
      </c>
      <c r="K39" s="2">
        <v>7550</v>
      </c>
      <c r="L39" s="2">
        <v>44500</v>
      </c>
      <c r="M39">
        <v>48</v>
      </c>
      <c r="N39" s="3">
        <v>0.33600000000000002</v>
      </c>
      <c r="O39" t="s">
        <v>17</v>
      </c>
      <c r="P39" t="s">
        <v>31</v>
      </c>
      <c r="Q39">
        <v>0</v>
      </c>
      <c r="R39">
        <v>1</v>
      </c>
      <c r="S39" s="2">
        <v>0</v>
      </c>
      <c r="T39" s="4"/>
      <c r="U39">
        <v>4</v>
      </c>
      <c r="V39">
        <v>1</v>
      </c>
      <c r="W39">
        <v>1</v>
      </c>
    </row>
    <row r="40" spans="1:23" ht="16.5" x14ac:dyDescent="0.3">
      <c r="A40" t="s">
        <v>89</v>
      </c>
      <c r="B40" s="1">
        <v>45296</v>
      </c>
      <c r="C40">
        <v>2024</v>
      </c>
      <c r="D40" t="s">
        <v>24</v>
      </c>
      <c r="E40" t="s">
        <v>25</v>
      </c>
      <c r="F40" t="s">
        <v>37</v>
      </c>
      <c r="G40" t="s">
        <v>33</v>
      </c>
      <c r="H40" t="s">
        <v>55</v>
      </c>
      <c r="I40" t="s">
        <v>29</v>
      </c>
      <c r="J40" t="s">
        <v>46</v>
      </c>
      <c r="K40" s="2">
        <v>3400</v>
      </c>
      <c r="L40" s="2">
        <v>8500</v>
      </c>
      <c r="M40">
        <v>24</v>
      </c>
      <c r="N40" s="3">
        <v>0.29499999999999998</v>
      </c>
      <c r="O40" t="s">
        <v>16</v>
      </c>
      <c r="Q40">
        <v>1</v>
      </c>
      <c r="R40">
        <v>0</v>
      </c>
      <c r="S40" s="2">
        <v>8500</v>
      </c>
      <c r="T40" s="4">
        <v>0.10920000000000001</v>
      </c>
      <c r="U40">
        <v>2</v>
      </c>
      <c r="V40">
        <v>1</v>
      </c>
      <c r="W40">
        <v>1</v>
      </c>
    </row>
    <row r="41" spans="1:23" ht="16.5" x14ac:dyDescent="0.3">
      <c r="A41" t="s">
        <v>90</v>
      </c>
      <c r="B41" s="1">
        <v>45296</v>
      </c>
      <c r="C41">
        <v>2024</v>
      </c>
      <c r="D41" t="s">
        <v>24</v>
      </c>
      <c r="E41" t="s">
        <v>25</v>
      </c>
      <c r="F41" t="s">
        <v>37</v>
      </c>
      <c r="G41" t="s">
        <v>33</v>
      </c>
      <c r="H41" t="s">
        <v>34</v>
      </c>
      <c r="I41" t="s">
        <v>39</v>
      </c>
      <c r="J41" t="s">
        <v>35</v>
      </c>
      <c r="K41" s="2">
        <v>7200</v>
      </c>
      <c r="L41" s="2">
        <v>9500</v>
      </c>
      <c r="M41">
        <v>48</v>
      </c>
      <c r="N41" s="3">
        <v>0.24099999999999999</v>
      </c>
      <c r="O41" t="s">
        <v>16</v>
      </c>
      <c r="Q41">
        <v>1</v>
      </c>
      <c r="R41">
        <v>0</v>
      </c>
      <c r="S41" s="2">
        <v>7500</v>
      </c>
      <c r="T41" s="4">
        <v>0.123</v>
      </c>
      <c r="U41">
        <v>2</v>
      </c>
      <c r="V41">
        <v>1</v>
      </c>
      <c r="W41">
        <v>1</v>
      </c>
    </row>
    <row r="42" spans="1:23" ht="16.5" x14ac:dyDescent="0.3">
      <c r="A42" t="s">
        <v>91</v>
      </c>
      <c r="B42" s="1">
        <v>45296</v>
      </c>
      <c r="C42">
        <v>2024</v>
      </c>
      <c r="D42" t="s">
        <v>24</v>
      </c>
      <c r="E42" t="s">
        <v>25</v>
      </c>
      <c r="F42" t="s">
        <v>50</v>
      </c>
      <c r="G42" t="s">
        <v>45</v>
      </c>
      <c r="H42" t="s">
        <v>34</v>
      </c>
      <c r="I42" t="s">
        <v>29</v>
      </c>
      <c r="J42" t="s">
        <v>35</v>
      </c>
      <c r="K42" s="2">
        <v>4050</v>
      </c>
      <c r="L42" s="2">
        <v>604000</v>
      </c>
      <c r="M42">
        <v>240</v>
      </c>
      <c r="N42" s="3">
        <v>1.1859999999999999</v>
      </c>
      <c r="O42" t="s">
        <v>17</v>
      </c>
      <c r="P42" t="s">
        <v>53</v>
      </c>
      <c r="Q42">
        <v>0</v>
      </c>
      <c r="R42">
        <v>1</v>
      </c>
      <c r="S42" s="2">
        <v>0</v>
      </c>
      <c r="T42" s="4"/>
      <c r="U42">
        <v>8</v>
      </c>
      <c r="V42">
        <v>1</v>
      </c>
      <c r="W42">
        <v>1</v>
      </c>
    </row>
    <row r="43" spans="1:23" ht="16.5" x14ac:dyDescent="0.3">
      <c r="A43" t="s">
        <v>92</v>
      </c>
      <c r="B43" s="1">
        <v>45296</v>
      </c>
      <c r="C43">
        <v>2024</v>
      </c>
      <c r="D43" t="s">
        <v>24</v>
      </c>
      <c r="E43" t="s">
        <v>25</v>
      </c>
      <c r="F43" t="s">
        <v>37</v>
      </c>
      <c r="G43" t="s">
        <v>51</v>
      </c>
      <c r="H43" t="s">
        <v>55</v>
      </c>
      <c r="I43" t="s">
        <v>39</v>
      </c>
      <c r="J43" t="s">
        <v>52</v>
      </c>
      <c r="K43" s="2">
        <v>8500</v>
      </c>
      <c r="L43" s="2">
        <v>18500</v>
      </c>
      <c r="M43">
        <v>48</v>
      </c>
      <c r="N43" s="3">
        <v>0.26700000000000002</v>
      </c>
      <c r="O43" t="s">
        <v>17</v>
      </c>
      <c r="P43" t="s">
        <v>65</v>
      </c>
      <c r="Q43">
        <v>0</v>
      </c>
      <c r="R43">
        <v>1</v>
      </c>
      <c r="S43" s="2">
        <v>0</v>
      </c>
      <c r="T43" s="4"/>
      <c r="U43">
        <v>4</v>
      </c>
      <c r="V43">
        <v>0</v>
      </c>
      <c r="W43">
        <v>1</v>
      </c>
    </row>
    <row r="44" spans="1:23" ht="16.5" x14ac:dyDescent="0.3">
      <c r="A44" t="s">
        <v>93</v>
      </c>
      <c r="B44" s="1">
        <v>45297</v>
      </c>
      <c r="C44">
        <v>2024</v>
      </c>
      <c r="D44" t="s">
        <v>24</v>
      </c>
      <c r="E44" t="s">
        <v>25</v>
      </c>
      <c r="F44" t="s">
        <v>37</v>
      </c>
      <c r="G44" t="s">
        <v>51</v>
      </c>
      <c r="H44" t="s">
        <v>38</v>
      </c>
      <c r="I44" t="s">
        <v>29</v>
      </c>
      <c r="J44" t="s">
        <v>46</v>
      </c>
      <c r="K44" s="2">
        <v>7250</v>
      </c>
      <c r="L44" s="2">
        <v>16500</v>
      </c>
      <c r="M44">
        <v>36</v>
      </c>
      <c r="N44" s="3">
        <v>0.24299999999999999</v>
      </c>
      <c r="O44" t="s">
        <v>16</v>
      </c>
      <c r="Q44">
        <v>1</v>
      </c>
      <c r="R44">
        <v>0</v>
      </c>
      <c r="S44" s="2">
        <v>13000</v>
      </c>
      <c r="T44" s="4">
        <v>0.1157</v>
      </c>
      <c r="U44">
        <v>7</v>
      </c>
      <c r="V44">
        <v>0</v>
      </c>
      <c r="W44">
        <v>1</v>
      </c>
    </row>
    <row r="45" spans="1:23" ht="16.5" x14ac:dyDescent="0.3">
      <c r="A45" t="s">
        <v>94</v>
      </c>
      <c r="B45" s="1">
        <v>45297</v>
      </c>
      <c r="C45">
        <v>2024</v>
      </c>
      <c r="D45" t="s">
        <v>24</v>
      </c>
      <c r="E45" t="s">
        <v>25</v>
      </c>
      <c r="F45" t="s">
        <v>26</v>
      </c>
      <c r="G45" t="s">
        <v>45</v>
      </c>
      <c r="H45" t="s">
        <v>38</v>
      </c>
      <c r="I45" t="s">
        <v>29</v>
      </c>
      <c r="J45" t="s">
        <v>35</v>
      </c>
      <c r="K45" s="2">
        <v>3500</v>
      </c>
      <c r="L45" s="2">
        <v>38000</v>
      </c>
      <c r="M45">
        <v>60</v>
      </c>
      <c r="N45" s="3">
        <v>0.29099999999999998</v>
      </c>
      <c r="O45" t="s">
        <v>16</v>
      </c>
      <c r="Q45">
        <v>1</v>
      </c>
      <c r="R45">
        <v>0</v>
      </c>
      <c r="S45" s="2">
        <v>38000</v>
      </c>
      <c r="T45" s="4">
        <v>8.2600000000000007E-2</v>
      </c>
      <c r="U45">
        <v>7</v>
      </c>
      <c r="V45">
        <v>0</v>
      </c>
      <c r="W45">
        <v>1</v>
      </c>
    </row>
    <row r="46" spans="1:23" ht="16.5" x14ac:dyDescent="0.3">
      <c r="A46" t="s">
        <v>95</v>
      </c>
      <c r="B46" s="1">
        <v>45297</v>
      </c>
      <c r="C46">
        <v>2024</v>
      </c>
      <c r="D46" t="s">
        <v>24</v>
      </c>
      <c r="E46" t="s">
        <v>25</v>
      </c>
      <c r="F46" t="s">
        <v>41</v>
      </c>
      <c r="G46" t="s">
        <v>33</v>
      </c>
      <c r="H46" t="s">
        <v>55</v>
      </c>
      <c r="I46" t="s">
        <v>29</v>
      </c>
      <c r="J46" t="s">
        <v>35</v>
      </c>
      <c r="K46" s="2">
        <v>2650</v>
      </c>
      <c r="L46" s="2">
        <v>122500</v>
      </c>
      <c r="M46">
        <v>24</v>
      </c>
      <c r="N46" s="3">
        <v>2.282</v>
      </c>
      <c r="O46" t="s">
        <v>17</v>
      </c>
      <c r="P46" t="s">
        <v>53</v>
      </c>
      <c r="Q46">
        <v>0</v>
      </c>
      <c r="R46">
        <v>1</v>
      </c>
      <c r="S46" s="2">
        <v>0</v>
      </c>
      <c r="T46" s="4"/>
      <c r="U46">
        <v>5</v>
      </c>
      <c r="V46">
        <v>1</v>
      </c>
      <c r="W46">
        <v>1</v>
      </c>
    </row>
    <row r="47" spans="1:23" ht="16.5" x14ac:dyDescent="0.3">
      <c r="A47" t="s">
        <v>96</v>
      </c>
      <c r="B47" s="1">
        <v>45298</v>
      </c>
      <c r="C47">
        <v>2024</v>
      </c>
      <c r="D47" t="s">
        <v>24</v>
      </c>
      <c r="E47" t="s">
        <v>25</v>
      </c>
      <c r="F47" t="s">
        <v>37</v>
      </c>
      <c r="G47" t="s">
        <v>27</v>
      </c>
      <c r="H47" t="s">
        <v>55</v>
      </c>
      <c r="I47" t="s">
        <v>29</v>
      </c>
      <c r="J47" t="s">
        <v>52</v>
      </c>
      <c r="K47" s="2">
        <v>3700</v>
      </c>
      <c r="L47" s="2">
        <v>14500</v>
      </c>
      <c r="M47">
        <v>12</v>
      </c>
      <c r="N47" s="3">
        <v>0.42099999999999999</v>
      </c>
      <c r="O47" t="s">
        <v>17</v>
      </c>
      <c r="P47" t="s">
        <v>60</v>
      </c>
      <c r="Q47">
        <v>0</v>
      </c>
      <c r="R47">
        <v>1</v>
      </c>
      <c r="S47" s="2">
        <v>0</v>
      </c>
      <c r="T47" s="4"/>
      <c r="U47">
        <v>9</v>
      </c>
      <c r="V47">
        <v>0</v>
      </c>
      <c r="W47">
        <v>1</v>
      </c>
    </row>
    <row r="48" spans="1:23" ht="16.5" x14ac:dyDescent="0.3">
      <c r="A48" t="s">
        <v>97</v>
      </c>
      <c r="B48" s="1">
        <v>45298</v>
      </c>
      <c r="C48">
        <v>2024</v>
      </c>
      <c r="D48" t="s">
        <v>24</v>
      </c>
      <c r="E48" t="s">
        <v>25</v>
      </c>
      <c r="F48" t="s">
        <v>37</v>
      </c>
      <c r="G48" t="s">
        <v>51</v>
      </c>
      <c r="H48" t="s">
        <v>38</v>
      </c>
      <c r="I48" t="s">
        <v>39</v>
      </c>
      <c r="J48" t="s">
        <v>46</v>
      </c>
      <c r="K48" s="2">
        <v>3150</v>
      </c>
      <c r="L48" s="2">
        <v>5000</v>
      </c>
      <c r="M48">
        <v>24</v>
      </c>
      <c r="N48" s="3">
        <v>0.154</v>
      </c>
      <c r="O48" t="s">
        <v>16</v>
      </c>
      <c r="Q48">
        <v>1</v>
      </c>
      <c r="R48">
        <v>0</v>
      </c>
      <c r="S48" s="2">
        <v>5000</v>
      </c>
      <c r="T48" s="4">
        <v>0.10979999999999999</v>
      </c>
      <c r="U48">
        <v>6</v>
      </c>
      <c r="V48">
        <v>0</v>
      </c>
      <c r="W48">
        <v>1</v>
      </c>
    </row>
    <row r="49" spans="1:23" ht="16.5" x14ac:dyDescent="0.3">
      <c r="A49" t="s">
        <v>98</v>
      </c>
      <c r="B49" s="1">
        <v>45298</v>
      </c>
      <c r="C49">
        <v>2024</v>
      </c>
      <c r="D49" t="s">
        <v>24</v>
      </c>
      <c r="E49" t="s">
        <v>25</v>
      </c>
      <c r="F49" t="s">
        <v>26</v>
      </c>
      <c r="G49" t="s">
        <v>27</v>
      </c>
      <c r="H49" t="s">
        <v>38</v>
      </c>
      <c r="I49" t="s">
        <v>29</v>
      </c>
      <c r="J49" t="s">
        <v>46</v>
      </c>
      <c r="K49" s="2">
        <v>9150</v>
      </c>
      <c r="L49" s="2">
        <v>18000</v>
      </c>
      <c r="M49">
        <v>48</v>
      </c>
      <c r="N49" s="3">
        <v>0.155</v>
      </c>
      <c r="O49" t="s">
        <v>16</v>
      </c>
      <c r="Q49">
        <v>1</v>
      </c>
      <c r="R49">
        <v>0</v>
      </c>
      <c r="S49" s="2">
        <v>18000</v>
      </c>
      <c r="T49" s="4">
        <v>6.5100000000000005E-2</v>
      </c>
      <c r="U49">
        <v>6</v>
      </c>
      <c r="V49">
        <v>0</v>
      </c>
      <c r="W49">
        <v>1</v>
      </c>
    </row>
    <row r="50" spans="1:23" ht="16.5" x14ac:dyDescent="0.3">
      <c r="A50" t="s">
        <v>99</v>
      </c>
      <c r="B50" s="1">
        <v>45298</v>
      </c>
      <c r="C50">
        <v>2024</v>
      </c>
      <c r="D50" t="s">
        <v>24</v>
      </c>
      <c r="E50" t="s">
        <v>25</v>
      </c>
      <c r="F50" t="s">
        <v>37</v>
      </c>
      <c r="G50" t="s">
        <v>51</v>
      </c>
      <c r="H50" t="s">
        <v>34</v>
      </c>
      <c r="I50" t="s">
        <v>39</v>
      </c>
      <c r="J50" t="s">
        <v>52</v>
      </c>
      <c r="K50" s="2">
        <v>14700</v>
      </c>
      <c r="L50" s="2">
        <v>19000</v>
      </c>
      <c r="M50">
        <v>12</v>
      </c>
      <c r="N50" s="3">
        <v>0.33800000000000002</v>
      </c>
      <c r="O50" t="s">
        <v>16</v>
      </c>
      <c r="Q50">
        <v>1</v>
      </c>
      <c r="R50">
        <v>0</v>
      </c>
      <c r="S50" s="2">
        <v>19000</v>
      </c>
      <c r="T50" s="4">
        <v>0.1116</v>
      </c>
      <c r="U50">
        <v>3</v>
      </c>
      <c r="V50">
        <v>1</v>
      </c>
      <c r="W50">
        <v>1</v>
      </c>
    </row>
    <row r="51" spans="1:23" ht="16.5" x14ac:dyDescent="0.3">
      <c r="A51" t="s">
        <v>100</v>
      </c>
      <c r="B51" s="1">
        <v>45298</v>
      </c>
      <c r="C51">
        <v>2024</v>
      </c>
      <c r="D51" t="s">
        <v>24</v>
      </c>
      <c r="E51" t="s">
        <v>25</v>
      </c>
      <c r="F51" t="s">
        <v>50</v>
      </c>
      <c r="G51" t="s">
        <v>45</v>
      </c>
      <c r="H51" t="s">
        <v>38</v>
      </c>
      <c r="I51" t="s">
        <v>29</v>
      </c>
      <c r="J51" t="s">
        <v>30</v>
      </c>
      <c r="K51" s="2">
        <v>8500</v>
      </c>
      <c r="L51" s="2">
        <v>353000</v>
      </c>
      <c r="M51">
        <v>240</v>
      </c>
      <c r="N51" s="3">
        <v>0.36699999999999999</v>
      </c>
      <c r="O51" t="s">
        <v>17</v>
      </c>
      <c r="P51" t="s">
        <v>31</v>
      </c>
      <c r="Q51">
        <v>0</v>
      </c>
      <c r="R51">
        <v>1</v>
      </c>
      <c r="S51" s="2">
        <v>0</v>
      </c>
      <c r="T51" s="4"/>
      <c r="U51">
        <v>14</v>
      </c>
      <c r="V51">
        <v>1</v>
      </c>
      <c r="W51">
        <v>1</v>
      </c>
    </row>
    <row r="52" spans="1:23" ht="16.5" x14ac:dyDescent="0.3">
      <c r="A52" t="s">
        <v>101</v>
      </c>
      <c r="B52" s="1">
        <v>45298</v>
      </c>
      <c r="C52">
        <v>2024</v>
      </c>
      <c r="D52" t="s">
        <v>24</v>
      </c>
      <c r="E52" t="s">
        <v>25</v>
      </c>
      <c r="F52" t="s">
        <v>26</v>
      </c>
      <c r="G52" t="s">
        <v>45</v>
      </c>
      <c r="H52" t="s">
        <v>55</v>
      </c>
      <c r="I52" t="s">
        <v>42</v>
      </c>
      <c r="J52" t="s">
        <v>52</v>
      </c>
      <c r="K52" s="2">
        <v>4200</v>
      </c>
      <c r="L52" s="2">
        <v>34000</v>
      </c>
      <c r="M52">
        <v>48</v>
      </c>
      <c r="N52" s="3">
        <v>0.35599999999999998</v>
      </c>
      <c r="O52" t="s">
        <v>17</v>
      </c>
      <c r="P52" t="s">
        <v>60</v>
      </c>
      <c r="Q52">
        <v>0</v>
      </c>
      <c r="R52">
        <v>1</v>
      </c>
      <c r="S52" s="2">
        <v>0</v>
      </c>
      <c r="T52" s="4"/>
      <c r="U52">
        <v>7</v>
      </c>
      <c r="V52">
        <v>0</v>
      </c>
      <c r="W52">
        <v>1</v>
      </c>
    </row>
    <row r="53" spans="1:23" ht="16.5" x14ac:dyDescent="0.3">
      <c r="A53" t="s">
        <v>102</v>
      </c>
      <c r="B53" s="1">
        <v>45298</v>
      </c>
      <c r="C53">
        <v>2024</v>
      </c>
      <c r="D53" t="s">
        <v>24</v>
      </c>
      <c r="E53" t="s">
        <v>25</v>
      </c>
      <c r="F53" t="s">
        <v>26</v>
      </c>
      <c r="G53" t="s">
        <v>51</v>
      </c>
      <c r="H53" t="s">
        <v>55</v>
      </c>
      <c r="I53" t="s">
        <v>42</v>
      </c>
      <c r="J53" t="s">
        <v>35</v>
      </c>
      <c r="K53" s="2">
        <v>6100</v>
      </c>
      <c r="L53" s="2">
        <v>35000</v>
      </c>
      <c r="M53">
        <v>60</v>
      </c>
      <c r="N53" s="3">
        <v>0.29299999999999998</v>
      </c>
      <c r="O53" t="s">
        <v>16</v>
      </c>
      <c r="Q53">
        <v>1</v>
      </c>
      <c r="R53">
        <v>0</v>
      </c>
      <c r="S53" s="2">
        <v>31500</v>
      </c>
      <c r="T53" s="4">
        <v>8.2199999999999995E-2</v>
      </c>
      <c r="U53">
        <v>6</v>
      </c>
      <c r="V53">
        <v>0</v>
      </c>
      <c r="W53">
        <v>1</v>
      </c>
    </row>
    <row r="54" spans="1:23" ht="16.5" x14ac:dyDescent="0.3">
      <c r="A54" t="s">
        <v>103</v>
      </c>
      <c r="B54" s="1">
        <v>45298</v>
      </c>
      <c r="C54">
        <v>2024</v>
      </c>
      <c r="D54" t="s">
        <v>24</v>
      </c>
      <c r="E54" t="s">
        <v>25</v>
      </c>
      <c r="F54" t="s">
        <v>37</v>
      </c>
      <c r="G54" t="s">
        <v>27</v>
      </c>
      <c r="H54" t="s">
        <v>55</v>
      </c>
      <c r="I54" t="s">
        <v>39</v>
      </c>
      <c r="J54" t="s">
        <v>35</v>
      </c>
      <c r="K54" s="2">
        <v>8150</v>
      </c>
      <c r="L54" s="2">
        <v>15000</v>
      </c>
      <c r="M54">
        <v>48</v>
      </c>
      <c r="N54" s="3">
        <v>0.217</v>
      </c>
      <c r="O54" t="s">
        <v>17</v>
      </c>
      <c r="P54" t="s">
        <v>31</v>
      </c>
      <c r="Q54">
        <v>0</v>
      </c>
      <c r="R54">
        <v>1</v>
      </c>
      <c r="S54" s="2">
        <v>0</v>
      </c>
      <c r="T54" s="4"/>
      <c r="U54">
        <v>2</v>
      </c>
      <c r="V54">
        <v>1</v>
      </c>
      <c r="W54">
        <v>1</v>
      </c>
    </row>
    <row r="55" spans="1:23" ht="16.5" x14ac:dyDescent="0.3">
      <c r="A55" t="s">
        <v>104</v>
      </c>
      <c r="B55" s="1">
        <v>45299</v>
      </c>
      <c r="C55">
        <v>2024</v>
      </c>
      <c r="D55" t="s">
        <v>24</v>
      </c>
      <c r="E55" t="s">
        <v>25</v>
      </c>
      <c r="F55" t="s">
        <v>26</v>
      </c>
      <c r="G55" t="s">
        <v>33</v>
      </c>
      <c r="H55" t="s">
        <v>34</v>
      </c>
      <c r="I55" t="s">
        <v>42</v>
      </c>
      <c r="J55" t="s">
        <v>35</v>
      </c>
      <c r="K55" s="2">
        <v>5800</v>
      </c>
      <c r="L55" s="2">
        <v>74000</v>
      </c>
      <c r="M55">
        <v>60</v>
      </c>
      <c r="N55" s="3">
        <v>0.39800000000000002</v>
      </c>
      <c r="O55" t="s">
        <v>16</v>
      </c>
      <c r="Q55">
        <v>1</v>
      </c>
      <c r="R55">
        <v>0</v>
      </c>
      <c r="S55" s="2">
        <v>74000</v>
      </c>
      <c r="T55" s="4">
        <v>8.0600000000000005E-2</v>
      </c>
      <c r="U55">
        <v>3</v>
      </c>
      <c r="V55">
        <v>1</v>
      </c>
      <c r="W55">
        <v>1</v>
      </c>
    </row>
    <row r="56" spans="1:23" ht="16.5" x14ac:dyDescent="0.3">
      <c r="A56" t="s">
        <v>105</v>
      </c>
      <c r="B56" s="1">
        <v>45299</v>
      </c>
      <c r="C56">
        <v>2024</v>
      </c>
      <c r="D56" t="s">
        <v>24</v>
      </c>
      <c r="E56" t="s">
        <v>25</v>
      </c>
      <c r="F56" t="s">
        <v>37</v>
      </c>
      <c r="G56" t="s">
        <v>51</v>
      </c>
      <c r="H56" t="s">
        <v>38</v>
      </c>
      <c r="I56" t="s">
        <v>29</v>
      </c>
      <c r="J56" t="s">
        <v>52</v>
      </c>
      <c r="K56" s="2">
        <v>2950</v>
      </c>
      <c r="L56" s="2">
        <v>7500</v>
      </c>
      <c r="M56">
        <v>48</v>
      </c>
      <c r="N56" s="3">
        <v>0.13400000000000001</v>
      </c>
      <c r="O56" t="s">
        <v>16</v>
      </c>
      <c r="Q56">
        <v>1</v>
      </c>
      <c r="R56">
        <v>0</v>
      </c>
      <c r="S56" s="2">
        <v>7500</v>
      </c>
      <c r="T56" s="4">
        <v>0.1108</v>
      </c>
      <c r="U56">
        <v>11</v>
      </c>
      <c r="V56">
        <v>0</v>
      </c>
      <c r="W56">
        <v>1</v>
      </c>
    </row>
    <row r="57" spans="1:23" ht="16.5" x14ac:dyDescent="0.3">
      <c r="A57" t="s">
        <v>106</v>
      </c>
      <c r="B57" s="1">
        <v>45299</v>
      </c>
      <c r="C57">
        <v>2024</v>
      </c>
      <c r="D57" t="s">
        <v>24</v>
      </c>
      <c r="E57" t="s">
        <v>25</v>
      </c>
      <c r="F57" t="s">
        <v>37</v>
      </c>
      <c r="G57" t="s">
        <v>45</v>
      </c>
      <c r="H57" t="s">
        <v>28</v>
      </c>
      <c r="I57" t="s">
        <v>29</v>
      </c>
      <c r="J57" t="s">
        <v>35</v>
      </c>
      <c r="K57" s="2">
        <v>4700</v>
      </c>
      <c r="L57" s="2">
        <v>18500</v>
      </c>
      <c r="M57">
        <v>60</v>
      </c>
      <c r="N57" s="3">
        <v>0.308</v>
      </c>
      <c r="O57" t="s">
        <v>16</v>
      </c>
      <c r="Q57">
        <v>1</v>
      </c>
      <c r="R57">
        <v>0</v>
      </c>
      <c r="S57" s="2">
        <v>18500</v>
      </c>
      <c r="T57" s="4">
        <v>0.12</v>
      </c>
      <c r="U57">
        <v>2</v>
      </c>
      <c r="V57">
        <v>1</v>
      </c>
      <c r="W57">
        <v>1</v>
      </c>
    </row>
    <row r="58" spans="1:23" ht="16.5" x14ac:dyDescent="0.3">
      <c r="A58" t="s">
        <v>107</v>
      </c>
      <c r="B58" s="1">
        <v>45299</v>
      </c>
      <c r="C58">
        <v>2024</v>
      </c>
      <c r="D58" t="s">
        <v>24</v>
      </c>
      <c r="E58" t="s">
        <v>25</v>
      </c>
      <c r="F58" t="s">
        <v>37</v>
      </c>
      <c r="G58" t="s">
        <v>27</v>
      </c>
      <c r="H58" t="s">
        <v>38</v>
      </c>
      <c r="I58" t="s">
        <v>29</v>
      </c>
      <c r="J58" t="s">
        <v>30</v>
      </c>
      <c r="K58" s="2">
        <v>5550</v>
      </c>
      <c r="L58" s="2">
        <v>13000</v>
      </c>
      <c r="M58">
        <v>36</v>
      </c>
      <c r="N58" s="3">
        <v>0.14699999999999999</v>
      </c>
      <c r="O58" t="s">
        <v>16</v>
      </c>
      <c r="Q58">
        <v>1</v>
      </c>
      <c r="R58">
        <v>0</v>
      </c>
      <c r="S58" s="2">
        <v>10500</v>
      </c>
      <c r="T58" s="4">
        <v>0.13950000000000001</v>
      </c>
      <c r="U58">
        <v>4</v>
      </c>
      <c r="V58">
        <v>0</v>
      </c>
      <c r="W58">
        <v>1</v>
      </c>
    </row>
    <row r="59" spans="1:23" ht="16.5" x14ac:dyDescent="0.3">
      <c r="A59" t="s">
        <v>108</v>
      </c>
      <c r="B59" s="1">
        <v>45299</v>
      </c>
      <c r="C59">
        <v>2024</v>
      </c>
      <c r="D59" t="s">
        <v>24</v>
      </c>
      <c r="E59" t="s">
        <v>25</v>
      </c>
      <c r="F59" t="s">
        <v>37</v>
      </c>
      <c r="G59" t="s">
        <v>45</v>
      </c>
      <c r="H59" t="s">
        <v>38</v>
      </c>
      <c r="I59" t="s">
        <v>42</v>
      </c>
      <c r="J59" t="s">
        <v>35</v>
      </c>
      <c r="K59" s="2">
        <v>6250</v>
      </c>
      <c r="L59" s="2">
        <v>11500</v>
      </c>
      <c r="M59">
        <v>12</v>
      </c>
      <c r="N59" s="3">
        <v>0.38300000000000001</v>
      </c>
      <c r="O59" t="s">
        <v>16</v>
      </c>
      <c r="Q59">
        <v>1</v>
      </c>
      <c r="R59">
        <v>0</v>
      </c>
      <c r="S59" s="2">
        <v>9000</v>
      </c>
      <c r="T59" s="4">
        <v>0.1217</v>
      </c>
      <c r="U59">
        <v>2</v>
      </c>
      <c r="V59">
        <v>1</v>
      </c>
      <c r="W59">
        <v>1</v>
      </c>
    </row>
    <row r="60" spans="1:23" ht="16.5" x14ac:dyDescent="0.3">
      <c r="A60" t="s">
        <v>109</v>
      </c>
      <c r="B60" s="1">
        <v>45299</v>
      </c>
      <c r="C60">
        <v>2024</v>
      </c>
      <c r="D60" t="s">
        <v>24</v>
      </c>
      <c r="E60" t="s">
        <v>25</v>
      </c>
      <c r="F60" t="s">
        <v>37</v>
      </c>
      <c r="G60" t="s">
        <v>33</v>
      </c>
      <c r="H60" t="s">
        <v>38</v>
      </c>
      <c r="I60" t="s">
        <v>42</v>
      </c>
      <c r="J60" t="s">
        <v>46</v>
      </c>
      <c r="K60" s="2">
        <v>2400</v>
      </c>
      <c r="L60" s="2">
        <v>8500</v>
      </c>
      <c r="M60">
        <v>48</v>
      </c>
      <c r="N60" s="3">
        <v>0.28699999999999998</v>
      </c>
      <c r="O60" t="s">
        <v>16</v>
      </c>
      <c r="Q60">
        <v>1</v>
      </c>
      <c r="R60">
        <v>0</v>
      </c>
      <c r="S60" s="2">
        <v>7500</v>
      </c>
      <c r="T60" s="4">
        <v>0.10249999999999999</v>
      </c>
      <c r="U60">
        <v>2</v>
      </c>
      <c r="V60">
        <v>1</v>
      </c>
      <c r="W60">
        <v>1</v>
      </c>
    </row>
    <row r="61" spans="1:23" ht="16.5" x14ac:dyDescent="0.3">
      <c r="A61" t="s">
        <v>110</v>
      </c>
      <c r="B61" s="1">
        <v>45299</v>
      </c>
      <c r="C61">
        <v>2024</v>
      </c>
      <c r="D61" t="s">
        <v>24</v>
      </c>
      <c r="E61" t="s">
        <v>25</v>
      </c>
      <c r="F61" t="s">
        <v>50</v>
      </c>
      <c r="G61" t="s">
        <v>51</v>
      </c>
      <c r="H61" t="s">
        <v>28</v>
      </c>
      <c r="I61" t="s">
        <v>29</v>
      </c>
      <c r="J61" t="s">
        <v>30</v>
      </c>
      <c r="K61" s="2">
        <v>4550</v>
      </c>
      <c r="L61" s="2">
        <v>180500</v>
      </c>
      <c r="M61">
        <v>300</v>
      </c>
      <c r="N61" s="3">
        <v>0.41299999999999998</v>
      </c>
      <c r="O61" t="s">
        <v>17</v>
      </c>
      <c r="P61" t="s">
        <v>48</v>
      </c>
      <c r="Q61">
        <v>0</v>
      </c>
      <c r="R61">
        <v>1</v>
      </c>
      <c r="S61" s="2">
        <v>0</v>
      </c>
      <c r="T61" s="4"/>
      <c r="U61">
        <v>26</v>
      </c>
      <c r="V61">
        <v>0</v>
      </c>
      <c r="W61">
        <v>1</v>
      </c>
    </row>
    <row r="62" spans="1:23" ht="16.5" x14ac:dyDescent="0.3">
      <c r="A62" t="s">
        <v>111</v>
      </c>
      <c r="B62" s="1">
        <v>45299</v>
      </c>
      <c r="C62">
        <v>2024</v>
      </c>
      <c r="D62" t="s">
        <v>24</v>
      </c>
      <c r="E62" t="s">
        <v>25</v>
      </c>
      <c r="F62" t="s">
        <v>26</v>
      </c>
      <c r="G62" t="s">
        <v>27</v>
      </c>
      <c r="H62" t="s">
        <v>34</v>
      </c>
      <c r="I62" t="s">
        <v>29</v>
      </c>
      <c r="J62" t="s">
        <v>52</v>
      </c>
      <c r="K62" s="2">
        <v>5550</v>
      </c>
      <c r="L62" s="2">
        <v>13500</v>
      </c>
      <c r="M62">
        <v>36</v>
      </c>
      <c r="N62" s="3">
        <v>0.16700000000000001</v>
      </c>
      <c r="O62" t="s">
        <v>16</v>
      </c>
      <c r="Q62">
        <v>1</v>
      </c>
      <c r="R62">
        <v>0</v>
      </c>
      <c r="S62" s="2">
        <v>13500</v>
      </c>
      <c r="T62" s="4">
        <v>7.4200000000000002E-2</v>
      </c>
      <c r="U62">
        <v>4</v>
      </c>
      <c r="V62">
        <v>1</v>
      </c>
      <c r="W62">
        <v>1</v>
      </c>
    </row>
    <row r="63" spans="1:23" ht="16.5" x14ac:dyDescent="0.3">
      <c r="A63" t="s">
        <v>112</v>
      </c>
      <c r="B63" s="1">
        <v>45299</v>
      </c>
      <c r="C63">
        <v>2024</v>
      </c>
      <c r="D63" t="s">
        <v>24</v>
      </c>
      <c r="E63" t="s">
        <v>25</v>
      </c>
      <c r="F63" t="s">
        <v>37</v>
      </c>
      <c r="G63" t="s">
        <v>51</v>
      </c>
      <c r="H63" t="s">
        <v>55</v>
      </c>
      <c r="I63" t="s">
        <v>39</v>
      </c>
      <c r="J63" t="s">
        <v>43</v>
      </c>
      <c r="K63" s="2">
        <v>5000</v>
      </c>
      <c r="L63" s="2">
        <v>15500</v>
      </c>
      <c r="M63">
        <v>48</v>
      </c>
      <c r="N63" s="3">
        <v>0.17899999999999999</v>
      </c>
      <c r="O63" t="s">
        <v>17</v>
      </c>
      <c r="P63" t="s">
        <v>31</v>
      </c>
      <c r="Q63">
        <v>0</v>
      </c>
      <c r="R63">
        <v>1</v>
      </c>
      <c r="S63" s="2">
        <v>0</v>
      </c>
      <c r="T63" s="4"/>
      <c r="U63">
        <v>4</v>
      </c>
      <c r="V63">
        <v>0</v>
      </c>
      <c r="W63">
        <v>1</v>
      </c>
    </row>
    <row r="64" spans="1:23" ht="16.5" x14ac:dyDescent="0.3">
      <c r="A64" t="s">
        <v>113</v>
      </c>
      <c r="B64" s="1">
        <v>45300</v>
      </c>
      <c r="C64">
        <v>2024</v>
      </c>
      <c r="D64" t="s">
        <v>24</v>
      </c>
      <c r="E64" t="s">
        <v>25</v>
      </c>
      <c r="F64" t="s">
        <v>37</v>
      </c>
      <c r="G64" t="s">
        <v>33</v>
      </c>
      <c r="H64" t="s">
        <v>38</v>
      </c>
      <c r="I64" t="s">
        <v>39</v>
      </c>
      <c r="J64" t="s">
        <v>46</v>
      </c>
      <c r="K64" s="2">
        <v>4450</v>
      </c>
      <c r="L64" s="2">
        <v>14000</v>
      </c>
      <c r="M64">
        <v>60</v>
      </c>
      <c r="N64" s="3">
        <v>0.26300000000000001</v>
      </c>
      <c r="O64" t="s">
        <v>16</v>
      </c>
      <c r="Q64">
        <v>1</v>
      </c>
      <c r="R64">
        <v>0</v>
      </c>
      <c r="S64" s="2">
        <v>12500</v>
      </c>
      <c r="T64" s="4">
        <v>0.1133</v>
      </c>
      <c r="U64">
        <v>2</v>
      </c>
      <c r="V64">
        <v>1</v>
      </c>
      <c r="W64">
        <v>1</v>
      </c>
    </row>
    <row r="65" spans="1:23" ht="16.5" x14ac:dyDescent="0.3">
      <c r="A65" t="s">
        <v>114</v>
      </c>
      <c r="B65" s="1">
        <v>45300</v>
      </c>
      <c r="C65">
        <v>2024</v>
      </c>
      <c r="D65" t="s">
        <v>24</v>
      </c>
      <c r="E65" t="s">
        <v>25</v>
      </c>
      <c r="F65" t="s">
        <v>50</v>
      </c>
      <c r="G65" t="s">
        <v>45</v>
      </c>
      <c r="H65" t="s">
        <v>38</v>
      </c>
      <c r="I65" t="s">
        <v>29</v>
      </c>
      <c r="J65" t="s">
        <v>35</v>
      </c>
      <c r="K65" s="2">
        <v>4400</v>
      </c>
      <c r="L65" s="2">
        <v>325500</v>
      </c>
      <c r="M65">
        <v>300</v>
      </c>
      <c r="N65" s="3">
        <v>0.61</v>
      </c>
      <c r="O65" t="s">
        <v>17</v>
      </c>
      <c r="P65" t="s">
        <v>53</v>
      </c>
      <c r="Q65">
        <v>0</v>
      </c>
      <c r="R65">
        <v>1</v>
      </c>
      <c r="S65" s="2">
        <v>0</v>
      </c>
      <c r="T65" s="4"/>
      <c r="U65">
        <v>19</v>
      </c>
      <c r="V65">
        <v>0</v>
      </c>
      <c r="W65">
        <v>1</v>
      </c>
    </row>
    <row r="66" spans="1:23" ht="16.5" x14ac:dyDescent="0.3">
      <c r="A66" t="s">
        <v>115</v>
      </c>
      <c r="B66" s="1">
        <v>45300</v>
      </c>
      <c r="C66">
        <v>2024</v>
      </c>
      <c r="D66" t="s">
        <v>24</v>
      </c>
      <c r="E66" t="s">
        <v>25</v>
      </c>
      <c r="F66" t="s">
        <v>37</v>
      </c>
      <c r="G66" t="s">
        <v>33</v>
      </c>
      <c r="H66" t="s">
        <v>28</v>
      </c>
      <c r="I66" t="s">
        <v>42</v>
      </c>
      <c r="J66" t="s">
        <v>43</v>
      </c>
      <c r="K66" s="2">
        <v>3300</v>
      </c>
      <c r="L66" s="2">
        <v>10500</v>
      </c>
      <c r="M66">
        <v>48</v>
      </c>
      <c r="N66" s="3">
        <v>0.16500000000000001</v>
      </c>
      <c r="O66" t="s">
        <v>17</v>
      </c>
      <c r="P66" t="s">
        <v>31</v>
      </c>
      <c r="Q66">
        <v>0</v>
      </c>
      <c r="R66">
        <v>1</v>
      </c>
      <c r="S66" s="2">
        <v>0</v>
      </c>
      <c r="T66" s="4"/>
      <c r="U66">
        <v>2</v>
      </c>
      <c r="V66">
        <v>1</v>
      </c>
      <c r="W66">
        <v>1</v>
      </c>
    </row>
    <row r="67" spans="1:23" ht="16.5" x14ac:dyDescent="0.3">
      <c r="A67" t="s">
        <v>116</v>
      </c>
      <c r="B67" s="1">
        <v>45300</v>
      </c>
      <c r="C67">
        <v>2024</v>
      </c>
      <c r="D67" t="s">
        <v>24</v>
      </c>
      <c r="E67" t="s">
        <v>25</v>
      </c>
      <c r="F67" t="s">
        <v>37</v>
      </c>
      <c r="G67" t="s">
        <v>51</v>
      </c>
      <c r="H67" t="s">
        <v>64</v>
      </c>
      <c r="I67" t="s">
        <v>29</v>
      </c>
      <c r="J67" t="s">
        <v>30</v>
      </c>
      <c r="K67" s="2">
        <v>4550</v>
      </c>
      <c r="L67" s="2">
        <v>9500</v>
      </c>
      <c r="M67">
        <v>36</v>
      </c>
      <c r="N67" s="3">
        <v>0.23699999999999999</v>
      </c>
      <c r="O67" t="s">
        <v>16</v>
      </c>
      <c r="Q67">
        <v>1</v>
      </c>
      <c r="R67">
        <v>0</v>
      </c>
      <c r="S67" s="2">
        <v>7500</v>
      </c>
      <c r="T67" s="4">
        <v>0.1346</v>
      </c>
      <c r="U67">
        <v>4</v>
      </c>
      <c r="V67">
        <v>0</v>
      </c>
      <c r="W67">
        <v>1</v>
      </c>
    </row>
    <row r="68" spans="1:23" ht="16.5" x14ac:dyDescent="0.3">
      <c r="A68" t="s">
        <v>117</v>
      </c>
      <c r="B68" s="1">
        <v>45300</v>
      </c>
      <c r="C68">
        <v>2024</v>
      </c>
      <c r="D68" t="s">
        <v>24</v>
      </c>
      <c r="E68" t="s">
        <v>25</v>
      </c>
      <c r="F68" t="s">
        <v>37</v>
      </c>
      <c r="G68" t="s">
        <v>51</v>
      </c>
      <c r="H68" t="s">
        <v>34</v>
      </c>
      <c r="I68" t="s">
        <v>29</v>
      </c>
      <c r="J68" t="s">
        <v>52</v>
      </c>
      <c r="K68" s="2">
        <v>5900</v>
      </c>
      <c r="L68" s="2">
        <v>13500</v>
      </c>
      <c r="M68">
        <v>24</v>
      </c>
      <c r="N68" s="3">
        <v>0.22</v>
      </c>
      <c r="O68" t="s">
        <v>16</v>
      </c>
      <c r="Q68">
        <v>1</v>
      </c>
      <c r="R68">
        <v>0</v>
      </c>
      <c r="S68" s="2">
        <v>13500</v>
      </c>
      <c r="T68" s="4">
        <v>0.1128</v>
      </c>
      <c r="U68">
        <v>7</v>
      </c>
      <c r="V68">
        <v>0</v>
      </c>
      <c r="W68">
        <v>1</v>
      </c>
    </row>
    <row r="69" spans="1:23" ht="16.5" x14ac:dyDescent="0.3">
      <c r="A69" t="s">
        <v>118</v>
      </c>
      <c r="B69" s="1">
        <v>45300</v>
      </c>
      <c r="C69">
        <v>2024</v>
      </c>
      <c r="D69" t="s">
        <v>24</v>
      </c>
      <c r="E69" t="s">
        <v>25</v>
      </c>
      <c r="F69" t="s">
        <v>41</v>
      </c>
      <c r="G69" t="s">
        <v>27</v>
      </c>
      <c r="H69" t="s">
        <v>55</v>
      </c>
      <c r="I69" t="s">
        <v>29</v>
      </c>
      <c r="J69" t="s">
        <v>35</v>
      </c>
      <c r="K69" s="2">
        <v>2400</v>
      </c>
      <c r="L69" s="2">
        <v>196000</v>
      </c>
      <c r="M69">
        <v>24</v>
      </c>
      <c r="N69" s="3">
        <v>3.88</v>
      </c>
      <c r="O69" t="s">
        <v>17</v>
      </c>
      <c r="P69" t="s">
        <v>53</v>
      </c>
      <c r="Q69">
        <v>0</v>
      </c>
      <c r="R69">
        <v>1</v>
      </c>
      <c r="S69" s="2">
        <v>0</v>
      </c>
      <c r="T69" s="4"/>
      <c r="U69">
        <v>13</v>
      </c>
      <c r="V69">
        <v>0</v>
      </c>
      <c r="W69">
        <v>1</v>
      </c>
    </row>
    <row r="70" spans="1:23" ht="16.5" x14ac:dyDescent="0.3">
      <c r="A70" t="s">
        <v>119</v>
      </c>
      <c r="B70" s="1">
        <v>45301</v>
      </c>
      <c r="C70">
        <v>2024</v>
      </c>
      <c r="D70" t="s">
        <v>24</v>
      </c>
      <c r="E70" t="s">
        <v>25</v>
      </c>
      <c r="F70" t="s">
        <v>50</v>
      </c>
      <c r="G70" t="s">
        <v>33</v>
      </c>
      <c r="H70" t="s">
        <v>38</v>
      </c>
      <c r="I70" t="s">
        <v>39</v>
      </c>
      <c r="J70" t="s">
        <v>43</v>
      </c>
      <c r="K70" s="2">
        <v>3850</v>
      </c>
      <c r="L70" s="2">
        <v>533500</v>
      </c>
      <c r="M70">
        <v>300</v>
      </c>
      <c r="N70" s="3">
        <v>1.012</v>
      </c>
      <c r="O70" t="s">
        <v>17</v>
      </c>
      <c r="P70" t="s">
        <v>53</v>
      </c>
      <c r="Q70">
        <v>0</v>
      </c>
      <c r="R70">
        <v>1</v>
      </c>
      <c r="S70" s="2">
        <v>0</v>
      </c>
      <c r="T70" s="4"/>
      <c r="U70">
        <v>7</v>
      </c>
      <c r="V70">
        <v>1</v>
      </c>
      <c r="W70">
        <v>1</v>
      </c>
    </row>
    <row r="71" spans="1:23" ht="16.5" x14ac:dyDescent="0.3">
      <c r="A71" t="s">
        <v>120</v>
      </c>
      <c r="B71" s="1">
        <v>45301</v>
      </c>
      <c r="C71">
        <v>2024</v>
      </c>
      <c r="D71" t="s">
        <v>24</v>
      </c>
      <c r="E71" t="s">
        <v>25</v>
      </c>
      <c r="F71" t="s">
        <v>37</v>
      </c>
      <c r="G71" t="s">
        <v>33</v>
      </c>
      <c r="H71" t="s">
        <v>38</v>
      </c>
      <c r="I71" t="s">
        <v>29</v>
      </c>
      <c r="J71" t="s">
        <v>52</v>
      </c>
      <c r="K71" s="2">
        <v>6100</v>
      </c>
      <c r="L71" s="2">
        <v>12500</v>
      </c>
      <c r="M71">
        <v>60</v>
      </c>
      <c r="N71" s="3">
        <v>9.9000000000000005E-2</v>
      </c>
      <c r="O71" t="s">
        <v>16</v>
      </c>
      <c r="Q71">
        <v>1</v>
      </c>
      <c r="R71">
        <v>0</v>
      </c>
      <c r="S71" s="2">
        <v>12500</v>
      </c>
      <c r="T71" s="4">
        <v>0.1128</v>
      </c>
      <c r="U71">
        <v>2</v>
      </c>
      <c r="V71">
        <v>1</v>
      </c>
      <c r="W71">
        <v>1</v>
      </c>
    </row>
    <row r="72" spans="1:23" ht="16.5" x14ac:dyDescent="0.3">
      <c r="A72" t="s">
        <v>121</v>
      </c>
      <c r="B72" s="1">
        <v>45301</v>
      </c>
      <c r="C72">
        <v>2024</v>
      </c>
      <c r="D72" t="s">
        <v>24</v>
      </c>
      <c r="E72" t="s">
        <v>25</v>
      </c>
      <c r="F72" t="s">
        <v>37</v>
      </c>
      <c r="G72" t="s">
        <v>51</v>
      </c>
      <c r="H72" t="s">
        <v>64</v>
      </c>
      <c r="I72" t="s">
        <v>29</v>
      </c>
      <c r="J72" t="s">
        <v>35</v>
      </c>
      <c r="K72" s="2">
        <v>5750</v>
      </c>
      <c r="L72" s="2">
        <v>9000</v>
      </c>
      <c r="M72">
        <v>24</v>
      </c>
      <c r="N72" s="3">
        <v>0.25</v>
      </c>
      <c r="O72" t="s">
        <v>16</v>
      </c>
      <c r="Q72">
        <v>1</v>
      </c>
      <c r="R72">
        <v>0</v>
      </c>
      <c r="S72" s="2">
        <v>9000</v>
      </c>
      <c r="T72" s="4">
        <v>0.1246</v>
      </c>
      <c r="U72">
        <v>7</v>
      </c>
      <c r="V72">
        <v>0</v>
      </c>
      <c r="W72">
        <v>1</v>
      </c>
    </row>
    <row r="73" spans="1:23" ht="16.5" x14ac:dyDescent="0.3">
      <c r="A73" t="s">
        <v>122</v>
      </c>
      <c r="B73" s="1">
        <v>45301</v>
      </c>
      <c r="C73">
        <v>2024</v>
      </c>
      <c r="D73" t="s">
        <v>24</v>
      </c>
      <c r="E73" t="s">
        <v>25</v>
      </c>
      <c r="F73" t="s">
        <v>37</v>
      </c>
      <c r="G73" t="s">
        <v>51</v>
      </c>
      <c r="H73" t="s">
        <v>38</v>
      </c>
      <c r="I73" t="s">
        <v>39</v>
      </c>
      <c r="J73" t="s">
        <v>35</v>
      </c>
      <c r="K73" s="2">
        <v>10500</v>
      </c>
      <c r="L73" s="2">
        <v>13000</v>
      </c>
      <c r="M73">
        <v>48</v>
      </c>
      <c r="N73" s="3">
        <v>0.189</v>
      </c>
      <c r="O73" t="s">
        <v>17</v>
      </c>
      <c r="P73" t="s">
        <v>48</v>
      </c>
      <c r="Q73">
        <v>0</v>
      </c>
      <c r="R73">
        <v>1</v>
      </c>
      <c r="S73" s="2">
        <v>0</v>
      </c>
      <c r="T73" s="4"/>
      <c r="U73">
        <v>6</v>
      </c>
      <c r="V73">
        <v>0</v>
      </c>
      <c r="W73">
        <v>1</v>
      </c>
    </row>
    <row r="74" spans="1:23" ht="16.5" x14ac:dyDescent="0.3">
      <c r="A74" t="s">
        <v>123</v>
      </c>
      <c r="B74" s="1">
        <v>45301</v>
      </c>
      <c r="C74">
        <v>2024</v>
      </c>
      <c r="D74" t="s">
        <v>24</v>
      </c>
      <c r="E74" t="s">
        <v>25</v>
      </c>
      <c r="F74" t="s">
        <v>37</v>
      </c>
      <c r="G74" t="s">
        <v>27</v>
      </c>
      <c r="H74" t="s">
        <v>34</v>
      </c>
      <c r="I74" t="s">
        <v>29</v>
      </c>
      <c r="J74" t="s">
        <v>52</v>
      </c>
      <c r="K74" s="2">
        <v>5600</v>
      </c>
      <c r="L74" s="2">
        <v>9500</v>
      </c>
      <c r="M74">
        <v>12</v>
      </c>
      <c r="N74" s="3">
        <v>0.37</v>
      </c>
      <c r="O74" t="s">
        <v>17</v>
      </c>
      <c r="P74" t="s">
        <v>60</v>
      </c>
      <c r="Q74">
        <v>0</v>
      </c>
      <c r="R74">
        <v>1</v>
      </c>
      <c r="S74" s="2">
        <v>0</v>
      </c>
      <c r="T74" s="4"/>
      <c r="U74">
        <v>8</v>
      </c>
      <c r="V74">
        <v>0</v>
      </c>
      <c r="W74">
        <v>1</v>
      </c>
    </row>
    <row r="75" spans="1:23" ht="16.5" x14ac:dyDescent="0.3">
      <c r="A75" t="s">
        <v>124</v>
      </c>
      <c r="B75" s="1">
        <v>45301</v>
      </c>
      <c r="C75">
        <v>2024</v>
      </c>
      <c r="D75" t="s">
        <v>24</v>
      </c>
      <c r="E75" t="s">
        <v>25</v>
      </c>
      <c r="F75" t="s">
        <v>50</v>
      </c>
      <c r="G75" t="s">
        <v>45</v>
      </c>
      <c r="H75" t="s">
        <v>55</v>
      </c>
      <c r="I75" t="s">
        <v>39</v>
      </c>
      <c r="J75" t="s">
        <v>35</v>
      </c>
      <c r="K75" s="2">
        <v>4250</v>
      </c>
      <c r="L75" s="2">
        <v>450500</v>
      </c>
      <c r="M75">
        <v>240</v>
      </c>
      <c r="N75" s="3">
        <v>0.85099999999999998</v>
      </c>
      <c r="O75" t="s">
        <v>125</v>
      </c>
      <c r="Q75">
        <v>0</v>
      </c>
      <c r="R75">
        <v>0</v>
      </c>
      <c r="S75" s="2">
        <v>0</v>
      </c>
      <c r="T75" s="4"/>
      <c r="U75">
        <v>8</v>
      </c>
      <c r="V75">
        <v>1</v>
      </c>
      <c r="W75">
        <v>1</v>
      </c>
    </row>
    <row r="76" spans="1:23" ht="16.5" x14ac:dyDescent="0.3">
      <c r="A76" t="s">
        <v>126</v>
      </c>
      <c r="B76" s="1">
        <v>45301</v>
      </c>
      <c r="C76">
        <v>2024</v>
      </c>
      <c r="D76" t="s">
        <v>24</v>
      </c>
      <c r="E76" t="s">
        <v>25</v>
      </c>
      <c r="F76" t="s">
        <v>37</v>
      </c>
      <c r="G76" t="s">
        <v>27</v>
      </c>
      <c r="H76" t="s">
        <v>55</v>
      </c>
      <c r="I76" t="s">
        <v>29</v>
      </c>
      <c r="J76" t="s">
        <v>30</v>
      </c>
      <c r="K76" s="2">
        <v>3900</v>
      </c>
      <c r="L76" s="2">
        <v>24000</v>
      </c>
      <c r="M76">
        <v>12</v>
      </c>
      <c r="N76" s="3">
        <v>0.65900000000000003</v>
      </c>
      <c r="O76" t="s">
        <v>17</v>
      </c>
      <c r="P76" t="s">
        <v>53</v>
      </c>
      <c r="Q76">
        <v>0</v>
      </c>
      <c r="R76">
        <v>1</v>
      </c>
      <c r="S76" s="2">
        <v>0</v>
      </c>
      <c r="T76" s="4"/>
      <c r="U76">
        <v>6</v>
      </c>
      <c r="V76">
        <v>0</v>
      </c>
      <c r="W76">
        <v>1</v>
      </c>
    </row>
    <row r="77" spans="1:23" ht="16.5" x14ac:dyDescent="0.3">
      <c r="A77" t="s">
        <v>127</v>
      </c>
      <c r="B77" s="1">
        <v>45301</v>
      </c>
      <c r="C77">
        <v>2024</v>
      </c>
      <c r="D77" t="s">
        <v>24</v>
      </c>
      <c r="E77" t="s">
        <v>25</v>
      </c>
      <c r="F77" t="s">
        <v>26</v>
      </c>
      <c r="G77" t="s">
        <v>51</v>
      </c>
      <c r="H77" t="s">
        <v>28</v>
      </c>
      <c r="I77" t="s">
        <v>39</v>
      </c>
      <c r="J77" t="s">
        <v>30</v>
      </c>
      <c r="K77" s="2">
        <v>3250</v>
      </c>
      <c r="L77" s="2">
        <v>28500</v>
      </c>
      <c r="M77">
        <v>36</v>
      </c>
      <c r="N77" s="3">
        <v>0.42599999999999999</v>
      </c>
      <c r="O77" t="s">
        <v>16</v>
      </c>
      <c r="Q77">
        <v>1</v>
      </c>
      <c r="R77">
        <v>0</v>
      </c>
      <c r="S77" s="2">
        <v>25500</v>
      </c>
      <c r="T77" s="4">
        <v>9.7199999999999995E-2</v>
      </c>
      <c r="U77">
        <v>7</v>
      </c>
      <c r="V77">
        <v>0</v>
      </c>
      <c r="W77">
        <v>1</v>
      </c>
    </row>
    <row r="78" spans="1:23" ht="16.5" x14ac:dyDescent="0.3">
      <c r="A78" t="s">
        <v>128</v>
      </c>
      <c r="B78" s="1">
        <v>45302</v>
      </c>
      <c r="C78">
        <v>2024</v>
      </c>
      <c r="D78" t="s">
        <v>24</v>
      </c>
      <c r="E78" t="s">
        <v>25</v>
      </c>
      <c r="F78" t="s">
        <v>37</v>
      </c>
      <c r="G78" t="s">
        <v>27</v>
      </c>
      <c r="H78" t="s">
        <v>55</v>
      </c>
      <c r="I78" t="s">
        <v>42</v>
      </c>
      <c r="J78" t="s">
        <v>43</v>
      </c>
      <c r="K78" s="2">
        <v>10250</v>
      </c>
      <c r="L78" s="2">
        <v>16500</v>
      </c>
      <c r="M78">
        <v>24</v>
      </c>
      <c r="N78" s="3">
        <v>0.29199999999999998</v>
      </c>
      <c r="O78" t="s">
        <v>16</v>
      </c>
      <c r="Q78">
        <v>1</v>
      </c>
      <c r="R78">
        <v>0</v>
      </c>
      <c r="S78" s="2">
        <v>16500</v>
      </c>
      <c r="T78" s="4">
        <v>0.1605</v>
      </c>
      <c r="U78">
        <v>3</v>
      </c>
      <c r="V78">
        <v>1</v>
      </c>
      <c r="W78">
        <v>1</v>
      </c>
    </row>
    <row r="79" spans="1:23" ht="16.5" x14ac:dyDescent="0.3">
      <c r="A79" t="s">
        <v>129</v>
      </c>
      <c r="B79" s="1">
        <v>45302</v>
      </c>
      <c r="C79">
        <v>2024</v>
      </c>
      <c r="D79" t="s">
        <v>24</v>
      </c>
      <c r="E79" t="s">
        <v>25</v>
      </c>
      <c r="F79" t="s">
        <v>41</v>
      </c>
      <c r="G79" t="s">
        <v>51</v>
      </c>
      <c r="H79" t="s">
        <v>38</v>
      </c>
      <c r="I79" t="s">
        <v>42</v>
      </c>
      <c r="J79" t="s">
        <v>35</v>
      </c>
      <c r="K79" s="2">
        <v>4450</v>
      </c>
      <c r="L79" s="2">
        <v>119000</v>
      </c>
      <c r="M79">
        <v>60</v>
      </c>
      <c r="N79" s="3">
        <v>0.77</v>
      </c>
      <c r="O79" t="s">
        <v>17</v>
      </c>
      <c r="P79" t="s">
        <v>53</v>
      </c>
      <c r="Q79">
        <v>0</v>
      </c>
      <c r="R79">
        <v>1</v>
      </c>
      <c r="S79" s="2">
        <v>0</v>
      </c>
      <c r="T79" s="4"/>
      <c r="U79">
        <v>13</v>
      </c>
      <c r="V79">
        <v>0</v>
      </c>
      <c r="W79">
        <v>1</v>
      </c>
    </row>
    <row r="80" spans="1:23" ht="16.5" x14ac:dyDescent="0.3">
      <c r="A80" t="s">
        <v>130</v>
      </c>
      <c r="B80" s="1">
        <v>45302</v>
      </c>
      <c r="C80">
        <v>2024</v>
      </c>
      <c r="D80" t="s">
        <v>24</v>
      </c>
      <c r="E80" t="s">
        <v>25</v>
      </c>
      <c r="F80" t="s">
        <v>37</v>
      </c>
      <c r="G80" t="s">
        <v>51</v>
      </c>
      <c r="H80" t="s">
        <v>38</v>
      </c>
      <c r="I80" t="s">
        <v>39</v>
      </c>
      <c r="J80" t="s">
        <v>35</v>
      </c>
      <c r="K80" s="2">
        <v>5000</v>
      </c>
      <c r="L80" s="2">
        <v>10000</v>
      </c>
      <c r="M80">
        <v>48</v>
      </c>
      <c r="N80" s="3">
        <v>0.151</v>
      </c>
      <c r="O80" t="s">
        <v>16</v>
      </c>
      <c r="Q80">
        <v>1</v>
      </c>
      <c r="R80">
        <v>0</v>
      </c>
      <c r="S80" s="2">
        <v>8000</v>
      </c>
      <c r="T80" s="4">
        <v>0.12520000000000001</v>
      </c>
      <c r="U80">
        <v>6</v>
      </c>
      <c r="V80">
        <v>0</v>
      </c>
      <c r="W80">
        <v>1</v>
      </c>
    </row>
    <row r="81" spans="1:23" ht="16.5" x14ac:dyDescent="0.3">
      <c r="A81" t="s">
        <v>131</v>
      </c>
      <c r="B81" s="1">
        <v>45302</v>
      </c>
      <c r="C81">
        <v>2024</v>
      </c>
      <c r="D81" t="s">
        <v>24</v>
      </c>
      <c r="E81" t="s">
        <v>25</v>
      </c>
      <c r="F81" t="s">
        <v>26</v>
      </c>
      <c r="G81" t="s">
        <v>33</v>
      </c>
      <c r="H81" t="s">
        <v>38</v>
      </c>
      <c r="I81" t="s">
        <v>29</v>
      </c>
      <c r="J81" t="s">
        <v>30</v>
      </c>
      <c r="K81" s="2">
        <v>5300</v>
      </c>
      <c r="L81" s="2">
        <v>15000</v>
      </c>
      <c r="M81">
        <v>48</v>
      </c>
      <c r="N81" s="3">
        <v>0.13800000000000001</v>
      </c>
      <c r="O81" t="s">
        <v>125</v>
      </c>
      <c r="Q81">
        <v>0</v>
      </c>
      <c r="R81">
        <v>0</v>
      </c>
      <c r="S81" s="2">
        <v>0</v>
      </c>
      <c r="T81" s="4"/>
      <c r="U81">
        <v>2</v>
      </c>
      <c r="V81">
        <v>1</v>
      </c>
      <c r="W81">
        <v>1</v>
      </c>
    </row>
    <row r="82" spans="1:23" ht="16.5" x14ac:dyDescent="0.3">
      <c r="A82" t="s">
        <v>132</v>
      </c>
      <c r="B82" s="1">
        <v>45302</v>
      </c>
      <c r="C82">
        <v>2024</v>
      </c>
      <c r="D82" t="s">
        <v>24</v>
      </c>
      <c r="E82" t="s">
        <v>25</v>
      </c>
      <c r="F82" t="s">
        <v>50</v>
      </c>
      <c r="G82" t="s">
        <v>33</v>
      </c>
      <c r="H82" t="s">
        <v>55</v>
      </c>
      <c r="I82" t="s">
        <v>29</v>
      </c>
      <c r="J82" t="s">
        <v>35</v>
      </c>
      <c r="K82" s="2">
        <v>5800</v>
      </c>
      <c r="L82" s="2">
        <v>301500</v>
      </c>
      <c r="M82">
        <v>240</v>
      </c>
      <c r="N82" s="3">
        <v>0.55400000000000005</v>
      </c>
      <c r="O82" t="s">
        <v>17</v>
      </c>
      <c r="P82" t="s">
        <v>53</v>
      </c>
      <c r="Q82">
        <v>0</v>
      </c>
      <c r="R82">
        <v>1</v>
      </c>
      <c r="S82" s="2">
        <v>0</v>
      </c>
      <c r="T82" s="4"/>
      <c r="U82">
        <v>10</v>
      </c>
      <c r="V82">
        <v>1</v>
      </c>
      <c r="W82">
        <v>1</v>
      </c>
    </row>
    <row r="83" spans="1:23" ht="16.5" x14ac:dyDescent="0.3">
      <c r="A83" t="s">
        <v>133</v>
      </c>
      <c r="B83" s="1">
        <v>45302</v>
      </c>
      <c r="C83">
        <v>2024</v>
      </c>
      <c r="D83" t="s">
        <v>24</v>
      </c>
      <c r="E83" t="s">
        <v>25</v>
      </c>
      <c r="F83" t="s">
        <v>37</v>
      </c>
      <c r="G83" t="s">
        <v>45</v>
      </c>
      <c r="H83" t="s">
        <v>38</v>
      </c>
      <c r="I83" t="s">
        <v>42</v>
      </c>
      <c r="J83" t="s">
        <v>35</v>
      </c>
      <c r="K83" s="2">
        <v>8550</v>
      </c>
      <c r="L83" s="2">
        <v>6500</v>
      </c>
      <c r="M83">
        <v>12</v>
      </c>
      <c r="N83" s="3">
        <v>0.191</v>
      </c>
      <c r="O83" t="s">
        <v>16</v>
      </c>
      <c r="Q83">
        <v>1</v>
      </c>
      <c r="R83">
        <v>0</v>
      </c>
      <c r="S83" s="2">
        <v>6000</v>
      </c>
      <c r="T83" s="4">
        <v>0.1265</v>
      </c>
      <c r="U83">
        <v>2</v>
      </c>
      <c r="V83">
        <v>1</v>
      </c>
      <c r="W83">
        <v>1</v>
      </c>
    </row>
    <row r="84" spans="1:23" ht="16.5" x14ac:dyDescent="0.3">
      <c r="A84" t="s">
        <v>134</v>
      </c>
      <c r="B84" s="1">
        <v>45302</v>
      </c>
      <c r="C84">
        <v>2024</v>
      </c>
      <c r="D84" t="s">
        <v>24</v>
      </c>
      <c r="E84" t="s">
        <v>25</v>
      </c>
      <c r="F84" t="s">
        <v>41</v>
      </c>
      <c r="G84" t="s">
        <v>51</v>
      </c>
      <c r="H84" t="s">
        <v>55</v>
      </c>
      <c r="I84" t="s">
        <v>39</v>
      </c>
      <c r="J84" t="s">
        <v>46</v>
      </c>
      <c r="K84" s="2">
        <v>8200</v>
      </c>
      <c r="L84" s="2">
        <v>177500</v>
      </c>
      <c r="M84">
        <v>36</v>
      </c>
      <c r="N84" s="3">
        <v>0.85799999999999998</v>
      </c>
      <c r="O84" t="s">
        <v>16</v>
      </c>
      <c r="Q84">
        <v>1</v>
      </c>
      <c r="R84">
        <v>0</v>
      </c>
      <c r="S84" s="2">
        <v>160000</v>
      </c>
      <c r="T84" s="4">
        <v>8.9599999999999999E-2</v>
      </c>
      <c r="U84">
        <v>13</v>
      </c>
      <c r="V84">
        <v>0</v>
      </c>
      <c r="W84">
        <v>1</v>
      </c>
    </row>
    <row r="85" spans="1:23" ht="16.5" x14ac:dyDescent="0.3">
      <c r="A85" t="s">
        <v>135</v>
      </c>
      <c r="B85" s="1">
        <v>45302</v>
      </c>
      <c r="C85">
        <v>2024</v>
      </c>
      <c r="D85" t="s">
        <v>24</v>
      </c>
      <c r="E85" t="s">
        <v>25</v>
      </c>
      <c r="F85" t="s">
        <v>26</v>
      </c>
      <c r="G85" t="s">
        <v>45</v>
      </c>
      <c r="H85" t="s">
        <v>38</v>
      </c>
      <c r="I85" t="s">
        <v>42</v>
      </c>
      <c r="J85" t="s">
        <v>52</v>
      </c>
      <c r="K85" s="2">
        <v>7600</v>
      </c>
      <c r="L85" s="2">
        <v>31500</v>
      </c>
      <c r="M85">
        <v>60</v>
      </c>
      <c r="N85" s="3">
        <v>0.32100000000000001</v>
      </c>
      <c r="O85" t="s">
        <v>16</v>
      </c>
      <c r="Q85">
        <v>1</v>
      </c>
      <c r="R85">
        <v>0</v>
      </c>
      <c r="S85" s="2">
        <v>31500</v>
      </c>
      <c r="T85" s="4">
        <v>7.4300000000000005E-2</v>
      </c>
      <c r="U85">
        <v>4</v>
      </c>
      <c r="V85">
        <v>1</v>
      </c>
      <c r="W85">
        <v>1</v>
      </c>
    </row>
    <row r="86" spans="1:23" ht="16.5" x14ac:dyDescent="0.3">
      <c r="A86" t="s">
        <v>136</v>
      </c>
      <c r="B86" s="1">
        <v>45302</v>
      </c>
      <c r="C86">
        <v>2024</v>
      </c>
      <c r="D86" t="s">
        <v>24</v>
      </c>
      <c r="E86" t="s">
        <v>25</v>
      </c>
      <c r="F86" t="s">
        <v>41</v>
      </c>
      <c r="G86" t="s">
        <v>51</v>
      </c>
      <c r="H86" t="s">
        <v>28</v>
      </c>
      <c r="I86" t="s">
        <v>42</v>
      </c>
      <c r="J86" t="s">
        <v>43</v>
      </c>
      <c r="K86" s="2">
        <v>5100</v>
      </c>
      <c r="L86" s="2">
        <v>73500</v>
      </c>
      <c r="M86">
        <v>12</v>
      </c>
      <c r="N86" s="3">
        <v>1.391</v>
      </c>
      <c r="O86" t="s">
        <v>17</v>
      </c>
      <c r="P86" t="s">
        <v>53</v>
      </c>
      <c r="Q86">
        <v>0</v>
      </c>
      <c r="R86">
        <v>1</v>
      </c>
      <c r="S86" s="2">
        <v>0</v>
      </c>
      <c r="T86" s="4"/>
      <c r="U86">
        <v>9</v>
      </c>
      <c r="V86">
        <v>1</v>
      </c>
      <c r="W86">
        <v>1</v>
      </c>
    </row>
    <row r="87" spans="1:23" ht="16.5" x14ac:dyDescent="0.3">
      <c r="A87" t="s">
        <v>137</v>
      </c>
      <c r="B87" s="1">
        <v>45302</v>
      </c>
      <c r="C87">
        <v>2024</v>
      </c>
      <c r="D87" t="s">
        <v>24</v>
      </c>
      <c r="E87" t="s">
        <v>25</v>
      </c>
      <c r="F87" t="s">
        <v>50</v>
      </c>
      <c r="G87" t="s">
        <v>51</v>
      </c>
      <c r="H87" t="s">
        <v>55</v>
      </c>
      <c r="I87" t="s">
        <v>29</v>
      </c>
      <c r="J87" t="s">
        <v>30</v>
      </c>
      <c r="K87" s="2">
        <v>9650</v>
      </c>
      <c r="L87" s="2">
        <v>670500</v>
      </c>
      <c r="M87">
        <v>300</v>
      </c>
      <c r="N87" s="3">
        <v>0.49</v>
      </c>
      <c r="O87" t="s">
        <v>16</v>
      </c>
      <c r="Q87">
        <v>1</v>
      </c>
      <c r="R87">
        <v>0</v>
      </c>
      <c r="S87" s="2">
        <v>603500</v>
      </c>
      <c r="T87" s="4">
        <v>7.2599999999999998E-2</v>
      </c>
      <c r="U87">
        <v>16</v>
      </c>
      <c r="V87">
        <v>0</v>
      </c>
      <c r="W87">
        <v>1</v>
      </c>
    </row>
    <row r="88" spans="1:23" ht="16.5" x14ac:dyDescent="0.3">
      <c r="A88" t="s">
        <v>138</v>
      </c>
      <c r="B88" s="1">
        <v>45302</v>
      </c>
      <c r="C88">
        <v>2024</v>
      </c>
      <c r="D88" t="s">
        <v>24</v>
      </c>
      <c r="E88" t="s">
        <v>25</v>
      </c>
      <c r="F88" t="s">
        <v>26</v>
      </c>
      <c r="G88" t="s">
        <v>51</v>
      </c>
      <c r="H88" t="s">
        <v>38</v>
      </c>
      <c r="I88" t="s">
        <v>29</v>
      </c>
      <c r="J88" t="s">
        <v>35</v>
      </c>
      <c r="K88" s="2">
        <v>3750</v>
      </c>
      <c r="L88" s="2">
        <v>24000</v>
      </c>
      <c r="M88">
        <v>36</v>
      </c>
      <c r="N88" s="3">
        <v>0.40899999999999997</v>
      </c>
      <c r="O88" t="s">
        <v>16</v>
      </c>
      <c r="Q88">
        <v>1</v>
      </c>
      <c r="R88">
        <v>0</v>
      </c>
      <c r="S88" s="2">
        <v>19000</v>
      </c>
      <c r="T88" s="4">
        <v>8.0699999999999994E-2</v>
      </c>
      <c r="U88">
        <v>8</v>
      </c>
      <c r="V88">
        <v>0</v>
      </c>
      <c r="W88">
        <v>1</v>
      </c>
    </row>
    <row r="89" spans="1:23" ht="16.5" x14ac:dyDescent="0.3">
      <c r="A89" t="s">
        <v>139</v>
      </c>
      <c r="B89" s="1">
        <v>45302</v>
      </c>
      <c r="C89">
        <v>2024</v>
      </c>
      <c r="D89" t="s">
        <v>24</v>
      </c>
      <c r="E89" t="s">
        <v>25</v>
      </c>
      <c r="F89" t="s">
        <v>26</v>
      </c>
      <c r="G89" t="s">
        <v>27</v>
      </c>
      <c r="H89" t="s">
        <v>34</v>
      </c>
      <c r="I89" t="s">
        <v>42</v>
      </c>
      <c r="J89" t="s">
        <v>35</v>
      </c>
      <c r="K89" s="2">
        <v>6350</v>
      </c>
      <c r="L89" s="2">
        <v>43500</v>
      </c>
      <c r="M89">
        <v>48</v>
      </c>
      <c r="N89" s="3">
        <v>0.34599999999999997</v>
      </c>
      <c r="O89" t="s">
        <v>17</v>
      </c>
      <c r="P89" t="s">
        <v>65</v>
      </c>
      <c r="Q89">
        <v>0</v>
      </c>
      <c r="R89">
        <v>1</v>
      </c>
      <c r="S89" s="2">
        <v>0</v>
      </c>
      <c r="T89" s="4"/>
      <c r="U89">
        <v>4</v>
      </c>
      <c r="V89">
        <v>1</v>
      </c>
      <c r="W89">
        <v>1</v>
      </c>
    </row>
    <row r="90" spans="1:23" ht="16.5" x14ac:dyDescent="0.3">
      <c r="A90" t="s">
        <v>140</v>
      </c>
      <c r="B90" s="1">
        <v>45302</v>
      </c>
      <c r="C90">
        <v>2024</v>
      </c>
      <c r="D90" t="s">
        <v>24</v>
      </c>
      <c r="E90" t="s">
        <v>25</v>
      </c>
      <c r="F90" t="s">
        <v>50</v>
      </c>
      <c r="G90" t="s">
        <v>45</v>
      </c>
      <c r="H90" t="s">
        <v>38</v>
      </c>
      <c r="I90" t="s">
        <v>29</v>
      </c>
      <c r="J90" t="s">
        <v>46</v>
      </c>
      <c r="K90" s="2">
        <v>4200</v>
      </c>
      <c r="L90" s="2">
        <v>157500</v>
      </c>
      <c r="M90">
        <v>180</v>
      </c>
      <c r="N90" s="3">
        <v>0.39400000000000002</v>
      </c>
      <c r="O90" t="s">
        <v>16</v>
      </c>
      <c r="Q90">
        <v>1</v>
      </c>
      <c r="R90">
        <v>0</v>
      </c>
      <c r="S90" s="2">
        <v>142000</v>
      </c>
      <c r="T90" s="4">
        <v>3.9399999999999998E-2</v>
      </c>
      <c r="U90">
        <v>8</v>
      </c>
      <c r="V90">
        <v>1</v>
      </c>
      <c r="W90">
        <v>1</v>
      </c>
    </row>
    <row r="91" spans="1:23" ht="16.5" x14ac:dyDescent="0.3">
      <c r="A91" t="s">
        <v>141</v>
      </c>
      <c r="B91" s="1">
        <v>45302</v>
      </c>
      <c r="C91">
        <v>2024</v>
      </c>
      <c r="D91" t="s">
        <v>24</v>
      </c>
      <c r="E91" t="s">
        <v>25</v>
      </c>
      <c r="F91" t="s">
        <v>26</v>
      </c>
      <c r="G91" t="s">
        <v>51</v>
      </c>
      <c r="H91" t="s">
        <v>34</v>
      </c>
      <c r="I91" t="s">
        <v>39</v>
      </c>
      <c r="J91" t="s">
        <v>52</v>
      </c>
      <c r="K91" s="2">
        <v>8050</v>
      </c>
      <c r="L91" s="2">
        <v>20500</v>
      </c>
      <c r="M91">
        <v>60</v>
      </c>
      <c r="N91" s="3">
        <v>0.19800000000000001</v>
      </c>
      <c r="O91" t="s">
        <v>17</v>
      </c>
      <c r="P91" t="s">
        <v>60</v>
      </c>
      <c r="Q91">
        <v>0</v>
      </c>
      <c r="R91">
        <v>1</v>
      </c>
      <c r="S91" s="2">
        <v>0</v>
      </c>
      <c r="T91" s="4"/>
      <c r="U91">
        <v>10</v>
      </c>
      <c r="V91">
        <v>0</v>
      </c>
      <c r="W91">
        <v>1</v>
      </c>
    </row>
    <row r="92" spans="1:23" ht="16.5" x14ac:dyDescent="0.3">
      <c r="A92" t="s">
        <v>142</v>
      </c>
      <c r="B92" s="1">
        <v>45302</v>
      </c>
      <c r="C92">
        <v>2024</v>
      </c>
      <c r="D92" t="s">
        <v>24</v>
      </c>
      <c r="E92" t="s">
        <v>25</v>
      </c>
      <c r="F92" t="s">
        <v>26</v>
      </c>
      <c r="G92" t="s">
        <v>45</v>
      </c>
      <c r="H92" t="s">
        <v>55</v>
      </c>
      <c r="I92" t="s">
        <v>29</v>
      </c>
      <c r="J92" t="s">
        <v>46</v>
      </c>
      <c r="K92" s="2">
        <v>6600</v>
      </c>
      <c r="L92" s="2">
        <v>50500</v>
      </c>
      <c r="M92">
        <v>36</v>
      </c>
      <c r="N92" s="3">
        <v>0.377</v>
      </c>
      <c r="O92" t="s">
        <v>16</v>
      </c>
      <c r="Q92">
        <v>1</v>
      </c>
      <c r="R92">
        <v>0</v>
      </c>
      <c r="S92" s="2">
        <v>45500</v>
      </c>
      <c r="T92" s="4">
        <v>6.3299999999999995E-2</v>
      </c>
      <c r="U92">
        <v>3</v>
      </c>
      <c r="V92">
        <v>1</v>
      </c>
      <c r="W92">
        <v>1</v>
      </c>
    </row>
    <row r="93" spans="1:23" ht="16.5" x14ac:dyDescent="0.3">
      <c r="A93" t="s">
        <v>143</v>
      </c>
      <c r="B93" s="1">
        <v>45303</v>
      </c>
      <c r="C93">
        <v>2024</v>
      </c>
      <c r="D93" t="s">
        <v>24</v>
      </c>
      <c r="E93" t="s">
        <v>25</v>
      </c>
      <c r="F93" t="s">
        <v>26</v>
      </c>
      <c r="G93" t="s">
        <v>45</v>
      </c>
      <c r="H93" t="s">
        <v>55</v>
      </c>
      <c r="I93" t="s">
        <v>29</v>
      </c>
      <c r="J93" t="s">
        <v>46</v>
      </c>
      <c r="K93" s="2">
        <v>8150</v>
      </c>
      <c r="L93" s="2">
        <v>16000</v>
      </c>
      <c r="M93">
        <v>36</v>
      </c>
      <c r="N93" s="3">
        <v>0.13700000000000001</v>
      </c>
      <c r="O93" t="s">
        <v>16</v>
      </c>
      <c r="Q93">
        <v>1</v>
      </c>
      <c r="R93">
        <v>0</v>
      </c>
      <c r="S93" s="2">
        <v>16000</v>
      </c>
      <c r="T93" s="4">
        <v>6.54E-2</v>
      </c>
      <c r="U93">
        <v>2</v>
      </c>
      <c r="V93">
        <v>1</v>
      </c>
      <c r="W93">
        <v>1</v>
      </c>
    </row>
    <row r="94" spans="1:23" ht="16.5" x14ac:dyDescent="0.3">
      <c r="A94" t="s">
        <v>144</v>
      </c>
      <c r="B94" s="1">
        <v>45303</v>
      </c>
      <c r="C94">
        <v>2024</v>
      </c>
      <c r="D94" t="s">
        <v>24</v>
      </c>
      <c r="E94" t="s">
        <v>25</v>
      </c>
      <c r="F94" t="s">
        <v>37</v>
      </c>
      <c r="G94" t="s">
        <v>51</v>
      </c>
      <c r="H94" t="s">
        <v>38</v>
      </c>
      <c r="I94" t="s">
        <v>29</v>
      </c>
      <c r="J94" t="s">
        <v>46</v>
      </c>
      <c r="K94" s="2">
        <v>4250</v>
      </c>
      <c r="L94" s="2">
        <v>6500</v>
      </c>
      <c r="M94">
        <v>36</v>
      </c>
      <c r="N94" s="3">
        <v>0.123</v>
      </c>
      <c r="O94" t="s">
        <v>16</v>
      </c>
      <c r="Q94">
        <v>1</v>
      </c>
      <c r="R94">
        <v>0</v>
      </c>
      <c r="S94" s="2">
        <v>6500</v>
      </c>
      <c r="T94" s="4">
        <v>0.11559999999999999</v>
      </c>
      <c r="U94">
        <v>6</v>
      </c>
      <c r="V94">
        <v>0</v>
      </c>
      <c r="W94">
        <v>1</v>
      </c>
    </row>
    <row r="95" spans="1:23" ht="16.5" x14ac:dyDescent="0.3">
      <c r="A95" t="s">
        <v>145</v>
      </c>
      <c r="B95" s="1">
        <v>45303</v>
      </c>
      <c r="C95">
        <v>2024</v>
      </c>
      <c r="D95" t="s">
        <v>24</v>
      </c>
      <c r="E95" t="s">
        <v>25</v>
      </c>
      <c r="F95" t="s">
        <v>26</v>
      </c>
      <c r="G95" t="s">
        <v>45</v>
      </c>
      <c r="H95" t="s">
        <v>38</v>
      </c>
      <c r="I95" t="s">
        <v>29</v>
      </c>
      <c r="J95" t="s">
        <v>30</v>
      </c>
      <c r="K95" s="2">
        <v>7200</v>
      </c>
      <c r="L95" s="2">
        <v>25500</v>
      </c>
      <c r="M95">
        <v>48</v>
      </c>
      <c r="N95" s="3">
        <v>0.191</v>
      </c>
      <c r="O95" t="s">
        <v>17</v>
      </c>
      <c r="P95" t="s">
        <v>31</v>
      </c>
      <c r="Q95">
        <v>0</v>
      </c>
      <c r="R95">
        <v>1</v>
      </c>
      <c r="S95" s="2">
        <v>0</v>
      </c>
      <c r="T95" s="4"/>
      <c r="U95">
        <v>1</v>
      </c>
      <c r="V95">
        <v>1</v>
      </c>
      <c r="W95">
        <v>1</v>
      </c>
    </row>
    <row r="96" spans="1:23" ht="16.5" x14ac:dyDescent="0.3">
      <c r="A96" t="s">
        <v>146</v>
      </c>
      <c r="B96" s="1">
        <v>45303</v>
      </c>
      <c r="C96">
        <v>2024</v>
      </c>
      <c r="D96" t="s">
        <v>24</v>
      </c>
      <c r="E96" t="s">
        <v>25</v>
      </c>
      <c r="F96" t="s">
        <v>37</v>
      </c>
      <c r="G96" t="s">
        <v>51</v>
      </c>
      <c r="H96" t="s">
        <v>28</v>
      </c>
      <c r="I96" t="s">
        <v>42</v>
      </c>
      <c r="J96" t="s">
        <v>52</v>
      </c>
      <c r="K96" s="2">
        <v>5800</v>
      </c>
      <c r="L96" s="2">
        <v>15000</v>
      </c>
      <c r="M96">
        <v>48</v>
      </c>
      <c r="N96" s="3">
        <v>0.17100000000000001</v>
      </c>
      <c r="O96" t="s">
        <v>16</v>
      </c>
      <c r="Q96">
        <v>1</v>
      </c>
      <c r="R96">
        <v>0</v>
      </c>
      <c r="S96" s="2">
        <v>13500</v>
      </c>
      <c r="T96" s="4">
        <v>0.11799999999999999</v>
      </c>
      <c r="U96">
        <v>10</v>
      </c>
      <c r="V96">
        <v>0</v>
      </c>
      <c r="W96">
        <v>1</v>
      </c>
    </row>
    <row r="97" spans="1:23" ht="16.5" x14ac:dyDescent="0.3">
      <c r="A97" t="s">
        <v>147</v>
      </c>
      <c r="B97" s="1">
        <v>45303</v>
      </c>
      <c r="C97">
        <v>2024</v>
      </c>
      <c r="D97" t="s">
        <v>24</v>
      </c>
      <c r="E97" t="s">
        <v>25</v>
      </c>
      <c r="F97" t="s">
        <v>41</v>
      </c>
      <c r="G97" t="s">
        <v>51</v>
      </c>
      <c r="H97" t="s">
        <v>34</v>
      </c>
      <c r="I97" t="s">
        <v>29</v>
      </c>
      <c r="J97" t="s">
        <v>43</v>
      </c>
      <c r="K97" s="2">
        <v>7800</v>
      </c>
      <c r="L97" s="2">
        <v>91500</v>
      </c>
      <c r="M97">
        <v>36</v>
      </c>
      <c r="N97" s="3">
        <v>0.53600000000000003</v>
      </c>
      <c r="O97" t="s">
        <v>17</v>
      </c>
      <c r="P97" t="s">
        <v>31</v>
      </c>
      <c r="Q97">
        <v>0</v>
      </c>
      <c r="R97">
        <v>1</v>
      </c>
      <c r="S97" s="2">
        <v>0</v>
      </c>
      <c r="T97" s="4"/>
      <c r="U97">
        <v>10</v>
      </c>
      <c r="V97">
        <v>1</v>
      </c>
      <c r="W97">
        <v>1</v>
      </c>
    </row>
    <row r="98" spans="1:23" ht="16.5" x14ac:dyDescent="0.3">
      <c r="A98" t="s">
        <v>148</v>
      </c>
      <c r="B98" s="1">
        <v>45303</v>
      </c>
      <c r="C98">
        <v>2024</v>
      </c>
      <c r="D98" t="s">
        <v>24</v>
      </c>
      <c r="E98" t="s">
        <v>25</v>
      </c>
      <c r="F98" t="s">
        <v>50</v>
      </c>
      <c r="G98" t="s">
        <v>51</v>
      </c>
      <c r="H98" t="s">
        <v>34</v>
      </c>
      <c r="I98" t="s">
        <v>39</v>
      </c>
      <c r="J98" t="s">
        <v>35</v>
      </c>
      <c r="K98" s="2">
        <v>2050</v>
      </c>
      <c r="L98" s="2">
        <v>181000</v>
      </c>
      <c r="M98">
        <v>240</v>
      </c>
      <c r="N98" s="3">
        <v>0.64700000000000002</v>
      </c>
      <c r="O98" t="s">
        <v>17</v>
      </c>
      <c r="P98" t="s">
        <v>53</v>
      </c>
      <c r="Q98">
        <v>0</v>
      </c>
      <c r="R98">
        <v>1</v>
      </c>
      <c r="S98" s="2">
        <v>0</v>
      </c>
      <c r="T98" s="4"/>
      <c r="U98">
        <v>19</v>
      </c>
      <c r="V98">
        <v>0</v>
      </c>
      <c r="W98">
        <v>1</v>
      </c>
    </row>
    <row r="99" spans="1:23" ht="16.5" x14ac:dyDescent="0.3">
      <c r="A99" t="s">
        <v>149</v>
      </c>
      <c r="B99" s="1">
        <v>45303</v>
      </c>
      <c r="C99">
        <v>2024</v>
      </c>
      <c r="D99" t="s">
        <v>24</v>
      </c>
      <c r="E99" t="s">
        <v>25</v>
      </c>
      <c r="F99" t="s">
        <v>37</v>
      </c>
      <c r="G99" t="s">
        <v>33</v>
      </c>
      <c r="H99" t="s">
        <v>55</v>
      </c>
      <c r="I99" t="s">
        <v>29</v>
      </c>
      <c r="J99" t="s">
        <v>30</v>
      </c>
      <c r="K99" s="2">
        <v>5500</v>
      </c>
      <c r="L99" s="2">
        <v>10000</v>
      </c>
      <c r="M99">
        <v>36</v>
      </c>
      <c r="N99" s="3">
        <v>0.29499999999999998</v>
      </c>
      <c r="O99" t="s">
        <v>17</v>
      </c>
      <c r="P99" t="s">
        <v>31</v>
      </c>
      <c r="Q99">
        <v>0</v>
      </c>
      <c r="R99">
        <v>1</v>
      </c>
      <c r="S99" s="2">
        <v>0</v>
      </c>
      <c r="T99" s="4"/>
      <c r="U99">
        <v>2</v>
      </c>
      <c r="V99">
        <v>1</v>
      </c>
      <c r="W99">
        <v>1</v>
      </c>
    </row>
    <row r="100" spans="1:23" ht="16.5" x14ac:dyDescent="0.3">
      <c r="A100" t="s">
        <v>150</v>
      </c>
      <c r="B100" s="1">
        <v>45303</v>
      </c>
      <c r="C100">
        <v>2024</v>
      </c>
      <c r="D100" t="s">
        <v>24</v>
      </c>
      <c r="E100" t="s">
        <v>25</v>
      </c>
      <c r="F100" t="s">
        <v>50</v>
      </c>
      <c r="G100" t="s">
        <v>51</v>
      </c>
      <c r="H100" t="s">
        <v>55</v>
      </c>
      <c r="I100" t="s">
        <v>29</v>
      </c>
      <c r="J100" t="s">
        <v>52</v>
      </c>
      <c r="K100" s="2">
        <v>3900</v>
      </c>
      <c r="L100" s="2">
        <v>470500</v>
      </c>
      <c r="M100">
        <v>240</v>
      </c>
      <c r="N100" s="3">
        <v>0.94</v>
      </c>
      <c r="O100" t="s">
        <v>17</v>
      </c>
      <c r="P100" t="s">
        <v>53</v>
      </c>
      <c r="Q100">
        <v>0</v>
      </c>
      <c r="R100">
        <v>1</v>
      </c>
      <c r="S100" s="2">
        <v>0</v>
      </c>
      <c r="T100" s="4"/>
      <c r="U100">
        <v>43</v>
      </c>
      <c r="V100">
        <v>0</v>
      </c>
      <c r="W100">
        <v>1</v>
      </c>
    </row>
    <row r="101" spans="1:23" ht="16.5" x14ac:dyDescent="0.3">
      <c r="A101" t="s">
        <v>151</v>
      </c>
      <c r="B101" s="1">
        <v>45304</v>
      </c>
      <c r="C101">
        <v>2024</v>
      </c>
      <c r="D101" t="s">
        <v>24</v>
      </c>
      <c r="E101" t="s">
        <v>25</v>
      </c>
      <c r="F101" t="s">
        <v>37</v>
      </c>
      <c r="G101" t="s">
        <v>51</v>
      </c>
      <c r="H101" t="s">
        <v>34</v>
      </c>
      <c r="I101" t="s">
        <v>42</v>
      </c>
      <c r="J101" t="s">
        <v>52</v>
      </c>
      <c r="K101" s="2">
        <v>5600</v>
      </c>
      <c r="L101" s="2">
        <v>18500</v>
      </c>
      <c r="M101">
        <v>24</v>
      </c>
      <c r="N101" s="3">
        <v>0.36</v>
      </c>
      <c r="O101" t="s">
        <v>16</v>
      </c>
      <c r="Q101">
        <v>1</v>
      </c>
      <c r="R101">
        <v>0</v>
      </c>
      <c r="S101" s="2">
        <v>18500</v>
      </c>
      <c r="T101" s="4">
        <v>0.1129</v>
      </c>
      <c r="U101">
        <v>6</v>
      </c>
      <c r="V101">
        <v>0</v>
      </c>
      <c r="W101">
        <v>1</v>
      </c>
    </row>
    <row r="102" spans="1:23" ht="16.5" x14ac:dyDescent="0.3">
      <c r="A102" t="s">
        <v>152</v>
      </c>
      <c r="B102" s="1">
        <v>45304</v>
      </c>
      <c r="C102">
        <v>2024</v>
      </c>
      <c r="D102" t="s">
        <v>24</v>
      </c>
      <c r="E102" t="s">
        <v>25</v>
      </c>
      <c r="F102" t="s">
        <v>41</v>
      </c>
      <c r="G102" t="s">
        <v>51</v>
      </c>
      <c r="H102" t="s">
        <v>38</v>
      </c>
      <c r="I102" t="s">
        <v>29</v>
      </c>
      <c r="J102" t="s">
        <v>30</v>
      </c>
      <c r="K102" s="2">
        <v>2150</v>
      </c>
      <c r="L102" s="2">
        <v>163000</v>
      </c>
      <c r="M102">
        <v>24</v>
      </c>
      <c r="N102" s="3">
        <v>3.6720000000000002</v>
      </c>
      <c r="O102" t="s">
        <v>17</v>
      </c>
      <c r="P102" t="s">
        <v>60</v>
      </c>
      <c r="Q102">
        <v>0</v>
      </c>
      <c r="R102">
        <v>1</v>
      </c>
      <c r="S102" s="2">
        <v>0</v>
      </c>
      <c r="T102" s="4"/>
      <c r="U102">
        <v>12</v>
      </c>
      <c r="V102">
        <v>0</v>
      </c>
      <c r="W102">
        <v>1</v>
      </c>
    </row>
    <row r="103" spans="1:23" ht="16.5" x14ac:dyDescent="0.3">
      <c r="A103" t="s">
        <v>153</v>
      </c>
      <c r="B103" s="1">
        <v>45304</v>
      </c>
      <c r="C103">
        <v>2024</v>
      </c>
      <c r="D103" t="s">
        <v>24</v>
      </c>
      <c r="E103" t="s">
        <v>25</v>
      </c>
      <c r="F103" t="s">
        <v>37</v>
      </c>
      <c r="G103" t="s">
        <v>51</v>
      </c>
      <c r="H103" t="s">
        <v>64</v>
      </c>
      <c r="I103" t="s">
        <v>29</v>
      </c>
      <c r="J103" t="s">
        <v>35</v>
      </c>
      <c r="K103" s="2">
        <v>5300</v>
      </c>
      <c r="L103" s="2">
        <v>10500</v>
      </c>
      <c r="M103">
        <v>48</v>
      </c>
      <c r="N103" s="3">
        <v>0.29299999999999998</v>
      </c>
      <c r="O103" t="s">
        <v>16</v>
      </c>
      <c r="Q103">
        <v>1</v>
      </c>
      <c r="R103">
        <v>0</v>
      </c>
      <c r="S103" s="2">
        <v>10500</v>
      </c>
      <c r="T103" s="4">
        <v>0.126</v>
      </c>
      <c r="U103">
        <v>5</v>
      </c>
      <c r="V103">
        <v>0</v>
      </c>
      <c r="W103">
        <v>1</v>
      </c>
    </row>
    <row r="104" spans="1:23" ht="16.5" x14ac:dyDescent="0.3">
      <c r="A104" t="s">
        <v>154</v>
      </c>
      <c r="B104" s="1">
        <v>45304</v>
      </c>
      <c r="C104">
        <v>2024</v>
      </c>
      <c r="D104" t="s">
        <v>24</v>
      </c>
      <c r="E104" t="s">
        <v>25</v>
      </c>
      <c r="F104" t="s">
        <v>37</v>
      </c>
      <c r="G104" t="s">
        <v>45</v>
      </c>
      <c r="H104" t="s">
        <v>38</v>
      </c>
      <c r="I104" t="s">
        <v>39</v>
      </c>
      <c r="J104" t="s">
        <v>52</v>
      </c>
      <c r="K104" s="2">
        <v>3400</v>
      </c>
      <c r="L104" s="2">
        <v>9500</v>
      </c>
      <c r="M104">
        <v>48</v>
      </c>
      <c r="N104" s="3">
        <v>0.19600000000000001</v>
      </c>
      <c r="O104" t="s">
        <v>16</v>
      </c>
      <c r="Q104">
        <v>1</v>
      </c>
      <c r="R104">
        <v>0</v>
      </c>
      <c r="S104" s="2">
        <v>7500</v>
      </c>
      <c r="T104" s="4">
        <v>0.1099</v>
      </c>
      <c r="U104">
        <v>2</v>
      </c>
      <c r="V104">
        <v>1</v>
      </c>
      <c r="W104">
        <v>1</v>
      </c>
    </row>
    <row r="105" spans="1:23" ht="16.5" x14ac:dyDescent="0.3">
      <c r="A105" t="s">
        <v>155</v>
      </c>
      <c r="B105" s="1">
        <v>45304</v>
      </c>
      <c r="C105">
        <v>2024</v>
      </c>
      <c r="D105" t="s">
        <v>24</v>
      </c>
      <c r="E105" t="s">
        <v>25</v>
      </c>
      <c r="F105" t="s">
        <v>37</v>
      </c>
      <c r="G105" t="s">
        <v>45</v>
      </c>
      <c r="H105" t="s">
        <v>28</v>
      </c>
      <c r="I105" t="s">
        <v>29</v>
      </c>
      <c r="J105" t="s">
        <v>43</v>
      </c>
      <c r="K105" s="2">
        <v>7000</v>
      </c>
      <c r="L105" s="2">
        <v>7500</v>
      </c>
      <c r="M105">
        <v>48</v>
      </c>
      <c r="N105" s="3">
        <v>0.109</v>
      </c>
      <c r="O105" t="s">
        <v>16</v>
      </c>
      <c r="Q105">
        <v>1</v>
      </c>
      <c r="R105">
        <v>0</v>
      </c>
      <c r="S105" s="2">
        <v>6000</v>
      </c>
      <c r="T105" s="4">
        <v>0.15970000000000001</v>
      </c>
      <c r="U105">
        <v>4</v>
      </c>
      <c r="V105">
        <v>0</v>
      </c>
      <c r="W105">
        <v>1</v>
      </c>
    </row>
    <row r="106" spans="1:23" ht="16.5" x14ac:dyDescent="0.3">
      <c r="A106" t="s">
        <v>156</v>
      </c>
      <c r="B106" s="1">
        <v>45304</v>
      </c>
      <c r="C106">
        <v>2024</v>
      </c>
      <c r="D106" t="s">
        <v>24</v>
      </c>
      <c r="E106" t="s">
        <v>25</v>
      </c>
      <c r="F106" t="s">
        <v>26</v>
      </c>
      <c r="G106" t="s">
        <v>27</v>
      </c>
      <c r="H106" t="s">
        <v>38</v>
      </c>
      <c r="I106" t="s">
        <v>42</v>
      </c>
      <c r="J106" t="s">
        <v>35</v>
      </c>
      <c r="K106" s="2">
        <v>3950</v>
      </c>
      <c r="L106" s="2">
        <v>38500</v>
      </c>
      <c r="M106">
        <v>60</v>
      </c>
      <c r="N106" s="3">
        <v>0.38900000000000001</v>
      </c>
      <c r="O106" t="s">
        <v>16</v>
      </c>
      <c r="Q106">
        <v>1</v>
      </c>
      <c r="R106">
        <v>0</v>
      </c>
      <c r="S106" s="2">
        <v>34500</v>
      </c>
      <c r="T106" s="4">
        <v>8.5400000000000004E-2</v>
      </c>
      <c r="U106">
        <v>5</v>
      </c>
      <c r="V106">
        <v>0</v>
      </c>
      <c r="W106">
        <v>1</v>
      </c>
    </row>
    <row r="107" spans="1:23" ht="16.5" x14ac:dyDescent="0.3">
      <c r="A107" t="s">
        <v>157</v>
      </c>
      <c r="B107" s="1">
        <v>45305</v>
      </c>
      <c r="C107">
        <v>2024</v>
      </c>
      <c r="D107" t="s">
        <v>24</v>
      </c>
      <c r="E107" t="s">
        <v>25</v>
      </c>
      <c r="F107" t="s">
        <v>26</v>
      </c>
      <c r="G107" t="s">
        <v>33</v>
      </c>
      <c r="H107" t="s">
        <v>55</v>
      </c>
      <c r="I107" t="s">
        <v>42</v>
      </c>
      <c r="J107" t="s">
        <v>52</v>
      </c>
      <c r="K107" s="2">
        <v>4650</v>
      </c>
      <c r="L107" s="2">
        <v>23000</v>
      </c>
      <c r="M107">
        <v>60</v>
      </c>
      <c r="N107" s="3">
        <v>0.24399999999999999</v>
      </c>
      <c r="O107" t="s">
        <v>16</v>
      </c>
      <c r="Q107">
        <v>1</v>
      </c>
      <c r="R107">
        <v>0</v>
      </c>
      <c r="S107" s="2">
        <v>20500</v>
      </c>
      <c r="T107" s="4">
        <v>7.2099999999999997E-2</v>
      </c>
      <c r="U107">
        <v>2</v>
      </c>
      <c r="V107">
        <v>1</v>
      </c>
      <c r="W107">
        <v>1</v>
      </c>
    </row>
    <row r="108" spans="1:23" ht="16.5" x14ac:dyDescent="0.3">
      <c r="A108" t="s">
        <v>158</v>
      </c>
      <c r="B108" s="1">
        <v>45305</v>
      </c>
      <c r="C108">
        <v>2024</v>
      </c>
      <c r="D108" t="s">
        <v>24</v>
      </c>
      <c r="E108" t="s">
        <v>25</v>
      </c>
      <c r="F108" t="s">
        <v>26</v>
      </c>
      <c r="G108" t="s">
        <v>51</v>
      </c>
      <c r="H108" t="s">
        <v>34</v>
      </c>
      <c r="I108" t="s">
        <v>29</v>
      </c>
      <c r="J108" t="s">
        <v>52</v>
      </c>
      <c r="K108" s="2">
        <v>4850</v>
      </c>
      <c r="L108" s="2">
        <v>37000</v>
      </c>
      <c r="M108">
        <v>48</v>
      </c>
      <c r="N108" s="3">
        <v>0.32700000000000001</v>
      </c>
      <c r="O108" t="s">
        <v>16</v>
      </c>
      <c r="Q108">
        <v>1</v>
      </c>
      <c r="R108">
        <v>0</v>
      </c>
      <c r="S108" s="2">
        <v>37000</v>
      </c>
      <c r="T108" s="4">
        <v>7.3700000000000002E-2</v>
      </c>
      <c r="U108">
        <v>10</v>
      </c>
      <c r="V108">
        <v>0</v>
      </c>
      <c r="W108">
        <v>1</v>
      </c>
    </row>
    <row r="109" spans="1:23" ht="16.5" x14ac:dyDescent="0.3">
      <c r="A109" t="s">
        <v>159</v>
      </c>
      <c r="B109" s="1">
        <v>45305</v>
      </c>
      <c r="C109">
        <v>2024</v>
      </c>
      <c r="D109" t="s">
        <v>24</v>
      </c>
      <c r="E109" t="s">
        <v>25</v>
      </c>
      <c r="F109" t="s">
        <v>26</v>
      </c>
      <c r="G109" t="s">
        <v>45</v>
      </c>
      <c r="H109" t="s">
        <v>38</v>
      </c>
      <c r="I109" t="s">
        <v>39</v>
      </c>
      <c r="J109" t="s">
        <v>43</v>
      </c>
      <c r="K109" s="2">
        <v>4550</v>
      </c>
      <c r="L109" s="2">
        <v>22500</v>
      </c>
      <c r="M109">
        <v>48</v>
      </c>
      <c r="N109" s="3">
        <v>0.36299999999999999</v>
      </c>
      <c r="O109" t="s">
        <v>17</v>
      </c>
      <c r="P109" t="s">
        <v>31</v>
      </c>
      <c r="Q109">
        <v>0</v>
      </c>
      <c r="R109">
        <v>1</v>
      </c>
      <c r="S109" s="2">
        <v>0</v>
      </c>
      <c r="T109" s="4"/>
      <c r="U109">
        <v>4</v>
      </c>
      <c r="V109">
        <v>1</v>
      </c>
      <c r="W109">
        <v>1</v>
      </c>
    </row>
    <row r="110" spans="1:23" ht="16.5" x14ac:dyDescent="0.3">
      <c r="A110" t="s">
        <v>160</v>
      </c>
      <c r="B110" s="1">
        <v>45305</v>
      </c>
      <c r="C110">
        <v>2024</v>
      </c>
      <c r="D110" t="s">
        <v>24</v>
      </c>
      <c r="E110" t="s">
        <v>25</v>
      </c>
      <c r="F110" t="s">
        <v>41</v>
      </c>
      <c r="G110" t="s">
        <v>45</v>
      </c>
      <c r="H110" t="s">
        <v>38</v>
      </c>
      <c r="I110" t="s">
        <v>39</v>
      </c>
      <c r="J110" t="s">
        <v>43</v>
      </c>
      <c r="K110" s="2">
        <v>3600</v>
      </c>
      <c r="L110" s="2">
        <v>41000</v>
      </c>
      <c r="M110">
        <v>12</v>
      </c>
      <c r="N110" s="3">
        <v>1.095</v>
      </c>
      <c r="O110" t="s">
        <v>125</v>
      </c>
      <c r="Q110">
        <v>0</v>
      </c>
      <c r="R110">
        <v>0</v>
      </c>
      <c r="S110" s="2">
        <v>0</v>
      </c>
      <c r="T110" s="4"/>
      <c r="U110">
        <v>10</v>
      </c>
      <c r="V110">
        <v>1</v>
      </c>
      <c r="W110">
        <v>1</v>
      </c>
    </row>
    <row r="111" spans="1:23" ht="16.5" x14ac:dyDescent="0.3">
      <c r="A111" t="s">
        <v>161</v>
      </c>
      <c r="B111" s="1">
        <v>45305</v>
      </c>
      <c r="C111">
        <v>2024</v>
      </c>
      <c r="D111" t="s">
        <v>24</v>
      </c>
      <c r="E111" t="s">
        <v>25</v>
      </c>
      <c r="F111" t="s">
        <v>37</v>
      </c>
      <c r="G111" t="s">
        <v>51</v>
      </c>
      <c r="H111" t="s">
        <v>34</v>
      </c>
      <c r="I111" t="s">
        <v>29</v>
      </c>
      <c r="J111" t="s">
        <v>30</v>
      </c>
      <c r="K111" s="2">
        <v>2800</v>
      </c>
      <c r="L111" s="2">
        <v>19000</v>
      </c>
      <c r="M111">
        <v>36</v>
      </c>
      <c r="N111" s="3">
        <v>0.28599999999999998</v>
      </c>
      <c r="O111" t="s">
        <v>16</v>
      </c>
      <c r="Q111">
        <v>1</v>
      </c>
      <c r="R111">
        <v>0</v>
      </c>
      <c r="S111" s="2">
        <v>19000</v>
      </c>
      <c r="T111" s="4">
        <v>0.14430000000000001</v>
      </c>
      <c r="U111">
        <v>4</v>
      </c>
      <c r="V111">
        <v>0</v>
      </c>
      <c r="W111">
        <v>1</v>
      </c>
    </row>
    <row r="112" spans="1:23" ht="16.5" x14ac:dyDescent="0.3">
      <c r="A112" t="s">
        <v>162</v>
      </c>
      <c r="B112" s="1">
        <v>45306</v>
      </c>
      <c r="C112">
        <v>2024</v>
      </c>
      <c r="D112" t="s">
        <v>24</v>
      </c>
      <c r="E112" t="s">
        <v>25</v>
      </c>
      <c r="F112" t="s">
        <v>50</v>
      </c>
      <c r="G112" t="s">
        <v>45</v>
      </c>
      <c r="H112" t="s">
        <v>34</v>
      </c>
      <c r="I112" t="s">
        <v>29</v>
      </c>
      <c r="J112" t="s">
        <v>52</v>
      </c>
      <c r="K112" s="2">
        <v>4850</v>
      </c>
      <c r="L112" s="2">
        <v>241000</v>
      </c>
      <c r="M112">
        <v>300</v>
      </c>
      <c r="N112" s="3">
        <v>0.38700000000000001</v>
      </c>
      <c r="O112" t="s">
        <v>17</v>
      </c>
      <c r="P112" t="s">
        <v>48</v>
      </c>
      <c r="Q112">
        <v>0</v>
      </c>
      <c r="R112">
        <v>1</v>
      </c>
      <c r="S112" s="2">
        <v>0</v>
      </c>
      <c r="T112" s="4"/>
      <c r="U112">
        <v>11</v>
      </c>
      <c r="V112">
        <v>1</v>
      </c>
      <c r="W112">
        <v>1</v>
      </c>
    </row>
    <row r="113" spans="1:23" ht="16.5" x14ac:dyDescent="0.3">
      <c r="A113" t="s">
        <v>163</v>
      </c>
      <c r="B113" s="1">
        <v>45306</v>
      </c>
      <c r="C113">
        <v>2024</v>
      </c>
      <c r="D113" t="s">
        <v>24</v>
      </c>
      <c r="E113" t="s">
        <v>25</v>
      </c>
      <c r="F113" t="s">
        <v>26</v>
      </c>
      <c r="G113" t="s">
        <v>33</v>
      </c>
      <c r="H113" t="s">
        <v>38</v>
      </c>
      <c r="I113" t="s">
        <v>29</v>
      </c>
      <c r="J113" t="s">
        <v>30</v>
      </c>
      <c r="K113" s="2">
        <v>5700</v>
      </c>
      <c r="L113" s="2">
        <v>26000</v>
      </c>
      <c r="M113">
        <v>60</v>
      </c>
      <c r="N113" s="3">
        <v>0.33100000000000002</v>
      </c>
      <c r="O113" t="s">
        <v>16</v>
      </c>
      <c r="Q113">
        <v>1</v>
      </c>
      <c r="R113">
        <v>0</v>
      </c>
      <c r="S113" s="2">
        <v>26000</v>
      </c>
      <c r="T113" s="4">
        <v>9.8699999999999996E-2</v>
      </c>
      <c r="U113">
        <v>1</v>
      </c>
      <c r="V113">
        <v>1</v>
      </c>
      <c r="W113">
        <v>1</v>
      </c>
    </row>
    <row r="114" spans="1:23" ht="16.5" x14ac:dyDescent="0.3">
      <c r="A114" t="s">
        <v>164</v>
      </c>
      <c r="B114" s="1">
        <v>45306</v>
      </c>
      <c r="C114">
        <v>2024</v>
      </c>
      <c r="D114" t="s">
        <v>24</v>
      </c>
      <c r="E114" t="s">
        <v>25</v>
      </c>
      <c r="F114" t="s">
        <v>26</v>
      </c>
      <c r="G114" t="s">
        <v>51</v>
      </c>
      <c r="H114" t="s">
        <v>34</v>
      </c>
      <c r="I114" t="s">
        <v>42</v>
      </c>
      <c r="J114" t="s">
        <v>52</v>
      </c>
      <c r="K114" s="2">
        <v>7450</v>
      </c>
      <c r="L114" s="2">
        <v>37500</v>
      </c>
      <c r="M114">
        <v>48</v>
      </c>
      <c r="N114" s="3">
        <v>0.23499999999999999</v>
      </c>
      <c r="O114" t="s">
        <v>16</v>
      </c>
      <c r="Q114">
        <v>1</v>
      </c>
      <c r="R114">
        <v>0</v>
      </c>
      <c r="S114" s="2">
        <v>37500</v>
      </c>
      <c r="T114" s="4">
        <v>7.1400000000000005E-2</v>
      </c>
      <c r="U114">
        <v>4</v>
      </c>
      <c r="V114">
        <v>1</v>
      </c>
      <c r="W114">
        <v>1</v>
      </c>
    </row>
    <row r="115" spans="1:23" ht="16.5" x14ac:dyDescent="0.3">
      <c r="A115" t="s">
        <v>165</v>
      </c>
      <c r="B115" s="1">
        <v>45306</v>
      </c>
      <c r="C115">
        <v>2024</v>
      </c>
      <c r="D115" t="s">
        <v>24</v>
      </c>
      <c r="E115" t="s">
        <v>25</v>
      </c>
      <c r="F115" t="s">
        <v>37</v>
      </c>
      <c r="G115" t="s">
        <v>51</v>
      </c>
      <c r="H115" t="s">
        <v>34</v>
      </c>
      <c r="I115" t="s">
        <v>42</v>
      </c>
      <c r="J115" t="s">
        <v>52</v>
      </c>
      <c r="K115" s="2">
        <v>5200</v>
      </c>
      <c r="L115" s="2">
        <v>17500</v>
      </c>
      <c r="M115">
        <v>24</v>
      </c>
      <c r="N115" s="3">
        <v>0.29399999999999998</v>
      </c>
      <c r="O115" t="s">
        <v>17</v>
      </c>
      <c r="P115" t="s">
        <v>65</v>
      </c>
      <c r="Q115">
        <v>0</v>
      </c>
      <c r="R115">
        <v>1</v>
      </c>
      <c r="S115" s="2">
        <v>0</v>
      </c>
      <c r="T115" s="4"/>
      <c r="U115">
        <v>4</v>
      </c>
      <c r="V115">
        <v>0</v>
      </c>
      <c r="W115">
        <v>1</v>
      </c>
    </row>
    <row r="116" spans="1:23" ht="16.5" x14ac:dyDescent="0.3">
      <c r="A116" t="s">
        <v>166</v>
      </c>
      <c r="B116" s="1">
        <v>45306</v>
      </c>
      <c r="C116">
        <v>2024</v>
      </c>
      <c r="D116" t="s">
        <v>24</v>
      </c>
      <c r="E116" t="s">
        <v>25</v>
      </c>
      <c r="F116" t="s">
        <v>37</v>
      </c>
      <c r="G116" t="s">
        <v>51</v>
      </c>
      <c r="H116" t="s">
        <v>64</v>
      </c>
      <c r="I116" t="s">
        <v>29</v>
      </c>
      <c r="J116" t="s">
        <v>35</v>
      </c>
      <c r="K116" s="2">
        <v>8000</v>
      </c>
      <c r="L116" s="2">
        <v>13500</v>
      </c>
      <c r="M116">
        <v>48</v>
      </c>
      <c r="N116" s="3">
        <v>0.26600000000000001</v>
      </c>
      <c r="O116" t="s">
        <v>16</v>
      </c>
      <c r="Q116">
        <v>1</v>
      </c>
      <c r="R116">
        <v>0</v>
      </c>
      <c r="S116" s="2">
        <v>11000</v>
      </c>
      <c r="T116" s="4">
        <v>0.12909999999999999</v>
      </c>
      <c r="U116">
        <v>3</v>
      </c>
      <c r="V116">
        <v>1</v>
      </c>
      <c r="W116">
        <v>1</v>
      </c>
    </row>
    <row r="117" spans="1:23" ht="16.5" x14ac:dyDescent="0.3">
      <c r="A117" t="s">
        <v>167</v>
      </c>
      <c r="B117" s="1">
        <v>45306</v>
      </c>
      <c r="C117">
        <v>2024</v>
      </c>
      <c r="D117" t="s">
        <v>24</v>
      </c>
      <c r="E117" t="s">
        <v>25</v>
      </c>
      <c r="F117" t="s">
        <v>37</v>
      </c>
      <c r="G117" t="s">
        <v>33</v>
      </c>
      <c r="H117" t="s">
        <v>38</v>
      </c>
      <c r="I117" t="s">
        <v>39</v>
      </c>
      <c r="J117" t="s">
        <v>35</v>
      </c>
      <c r="K117" s="2">
        <v>4500</v>
      </c>
      <c r="L117" s="2">
        <v>20000</v>
      </c>
      <c r="M117">
        <v>12</v>
      </c>
      <c r="N117" s="3">
        <v>0.59499999999999997</v>
      </c>
      <c r="O117" t="s">
        <v>17</v>
      </c>
      <c r="P117" t="s">
        <v>60</v>
      </c>
      <c r="Q117">
        <v>0</v>
      </c>
      <c r="R117">
        <v>1</v>
      </c>
      <c r="S117" s="2">
        <v>0</v>
      </c>
      <c r="T117" s="4"/>
      <c r="U117">
        <v>7</v>
      </c>
      <c r="V117">
        <v>0</v>
      </c>
      <c r="W117">
        <v>1</v>
      </c>
    </row>
    <row r="118" spans="1:23" ht="16.5" x14ac:dyDescent="0.3">
      <c r="A118" t="s">
        <v>168</v>
      </c>
      <c r="B118" s="1">
        <v>45307</v>
      </c>
      <c r="C118">
        <v>2024</v>
      </c>
      <c r="D118" t="s">
        <v>24</v>
      </c>
      <c r="E118" t="s">
        <v>25</v>
      </c>
      <c r="F118" t="s">
        <v>41</v>
      </c>
      <c r="G118" t="s">
        <v>51</v>
      </c>
      <c r="H118" t="s">
        <v>38</v>
      </c>
      <c r="I118" t="s">
        <v>42</v>
      </c>
      <c r="J118" t="s">
        <v>35</v>
      </c>
      <c r="K118" s="2">
        <v>2700</v>
      </c>
      <c r="L118" s="2">
        <v>114500</v>
      </c>
      <c r="M118">
        <v>24</v>
      </c>
      <c r="N118" s="3">
        <v>2.0609999999999999</v>
      </c>
      <c r="O118" t="s">
        <v>16</v>
      </c>
      <c r="Q118">
        <v>1</v>
      </c>
      <c r="R118">
        <v>0</v>
      </c>
      <c r="S118" s="2">
        <v>91500</v>
      </c>
      <c r="T118" s="4">
        <v>0.1104</v>
      </c>
      <c r="U118">
        <v>19</v>
      </c>
      <c r="V118">
        <v>0</v>
      </c>
      <c r="W118">
        <v>1</v>
      </c>
    </row>
    <row r="119" spans="1:23" ht="16.5" x14ac:dyDescent="0.3">
      <c r="A119" t="s">
        <v>169</v>
      </c>
      <c r="B119" s="1">
        <v>45307</v>
      </c>
      <c r="C119">
        <v>2024</v>
      </c>
      <c r="D119" t="s">
        <v>24</v>
      </c>
      <c r="E119" t="s">
        <v>25</v>
      </c>
      <c r="F119" t="s">
        <v>37</v>
      </c>
      <c r="G119" t="s">
        <v>45</v>
      </c>
      <c r="H119" t="s">
        <v>55</v>
      </c>
      <c r="I119" t="s">
        <v>39</v>
      </c>
      <c r="J119" t="s">
        <v>35</v>
      </c>
      <c r="K119" s="2">
        <v>9300</v>
      </c>
      <c r="L119" s="2">
        <v>11000</v>
      </c>
      <c r="M119">
        <v>24</v>
      </c>
      <c r="N119" s="3">
        <v>0.28599999999999998</v>
      </c>
      <c r="O119" t="s">
        <v>16</v>
      </c>
      <c r="Q119">
        <v>1</v>
      </c>
      <c r="R119">
        <v>0</v>
      </c>
      <c r="S119" s="2">
        <v>11000</v>
      </c>
      <c r="T119" s="4">
        <v>0.12479999999999999</v>
      </c>
      <c r="U119">
        <v>4</v>
      </c>
      <c r="V119">
        <v>0</v>
      </c>
      <c r="W119">
        <v>1</v>
      </c>
    </row>
    <row r="120" spans="1:23" ht="16.5" x14ac:dyDescent="0.3">
      <c r="A120" t="s">
        <v>170</v>
      </c>
      <c r="B120" s="1">
        <v>45307</v>
      </c>
      <c r="C120">
        <v>2024</v>
      </c>
      <c r="D120" t="s">
        <v>24</v>
      </c>
      <c r="E120" t="s">
        <v>25</v>
      </c>
      <c r="F120" t="s">
        <v>37</v>
      </c>
      <c r="G120" t="s">
        <v>51</v>
      </c>
      <c r="H120" t="s">
        <v>38</v>
      </c>
      <c r="I120" t="s">
        <v>42</v>
      </c>
      <c r="J120" t="s">
        <v>35</v>
      </c>
      <c r="K120" s="2">
        <v>5950</v>
      </c>
      <c r="L120" s="2">
        <v>26000</v>
      </c>
      <c r="M120">
        <v>48</v>
      </c>
      <c r="N120" s="3">
        <v>0.17599999999999999</v>
      </c>
      <c r="O120" t="s">
        <v>16</v>
      </c>
      <c r="Q120">
        <v>1</v>
      </c>
      <c r="R120">
        <v>0</v>
      </c>
      <c r="S120" s="2">
        <v>26000</v>
      </c>
      <c r="T120" s="4">
        <v>0.123</v>
      </c>
      <c r="U120">
        <v>7</v>
      </c>
      <c r="V120">
        <v>0</v>
      </c>
      <c r="W120">
        <v>1</v>
      </c>
    </row>
    <row r="121" spans="1:23" ht="16.5" x14ac:dyDescent="0.3">
      <c r="A121" t="s">
        <v>171</v>
      </c>
      <c r="B121" s="1">
        <v>45307</v>
      </c>
      <c r="C121">
        <v>2024</v>
      </c>
      <c r="D121" t="s">
        <v>24</v>
      </c>
      <c r="E121" t="s">
        <v>25</v>
      </c>
      <c r="F121" t="s">
        <v>26</v>
      </c>
      <c r="G121" t="s">
        <v>51</v>
      </c>
      <c r="H121" t="s">
        <v>34</v>
      </c>
      <c r="I121" t="s">
        <v>29</v>
      </c>
      <c r="J121" t="s">
        <v>52</v>
      </c>
      <c r="K121" s="2">
        <v>6850</v>
      </c>
      <c r="L121" s="2">
        <v>17000</v>
      </c>
      <c r="M121">
        <v>48</v>
      </c>
      <c r="N121" s="3">
        <v>0.28000000000000003</v>
      </c>
      <c r="O121" t="s">
        <v>16</v>
      </c>
      <c r="Q121">
        <v>1</v>
      </c>
      <c r="R121">
        <v>0</v>
      </c>
      <c r="S121" s="2">
        <v>17000</v>
      </c>
      <c r="T121" s="4">
        <v>7.7600000000000002E-2</v>
      </c>
      <c r="U121">
        <v>9</v>
      </c>
      <c r="V121">
        <v>0</v>
      </c>
      <c r="W121">
        <v>1</v>
      </c>
    </row>
    <row r="122" spans="1:23" ht="16.5" x14ac:dyDescent="0.3">
      <c r="A122" t="s">
        <v>172</v>
      </c>
      <c r="B122" s="1">
        <v>45307</v>
      </c>
      <c r="C122">
        <v>2024</v>
      </c>
      <c r="D122" t="s">
        <v>24</v>
      </c>
      <c r="E122" t="s">
        <v>25</v>
      </c>
      <c r="F122" t="s">
        <v>26</v>
      </c>
      <c r="G122" t="s">
        <v>51</v>
      </c>
      <c r="H122" t="s">
        <v>64</v>
      </c>
      <c r="I122" t="s">
        <v>29</v>
      </c>
      <c r="J122" t="s">
        <v>35</v>
      </c>
      <c r="K122" s="2">
        <v>5200</v>
      </c>
      <c r="L122" s="2">
        <v>35500</v>
      </c>
      <c r="M122">
        <v>48</v>
      </c>
      <c r="N122" s="3">
        <v>0.23499999999999999</v>
      </c>
      <c r="O122" t="s">
        <v>17</v>
      </c>
      <c r="P122" t="s">
        <v>60</v>
      </c>
      <c r="Q122">
        <v>0</v>
      </c>
      <c r="R122">
        <v>1</v>
      </c>
      <c r="S122" s="2">
        <v>0</v>
      </c>
      <c r="T122" s="4"/>
      <c r="U122">
        <v>10</v>
      </c>
      <c r="V122">
        <v>0</v>
      </c>
      <c r="W122">
        <v>1</v>
      </c>
    </row>
    <row r="123" spans="1:23" ht="16.5" x14ac:dyDescent="0.3">
      <c r="A123" t="s">
        <v>173</v>
      </c>
      <c r="B123" s="1">
        <v>45307</v>
      </c>
      <c r="C123">
        <v>2024</v>
      </c>
      <c r="D123" t="s">
        <v>24</v>
      </c>
      <c r="E123" t="s">
        <v>25</v>
      </c>
      <c r="F123" t="s">
        <v>41</v>
      </c>
      <c r="G123" t="s">
        <v>51</v>
      </c>
      <c r="H123" t="s">
        <v>64</v>
      </c>
      <c r="I123" t="s">
        <v>39</v>
      </c>
      <c r="J123" t="s">
        <v>43</v>
      </c>
      <c r="K123" s="2">
        <v>11600</v>
      </c>
      <c r="L123" s="2">
        <v>76000</v>
      </c>
      <c r="M123">
        <v>60</v>
      </c>
      <c r="N123" s="3">
        <v>0.27800000000000002</v>
      </c>
      <c r="O123" t="s">
        <v>17</v>
      </c>
      <c r="P123" t="s">
        <v>31</v>
      </c>
      <c r="Q123">
        <v>0</v>
      </c>
      <c r="R123">
        <v>1</v>
      </c>
      <c r="S123" s="2">
        <v>0</v>
      </c>
      <c r="T123" s="4"/>
      <c r="U123">
        <v>9</v>
      </c>
      <c r="V123">
        <v>1</v>
      </c>
      <c r="W123">
        <v>1</v>
      </c>
    </row>
    <row r="124" spans="1:23" ht="16.5" x14ac:dyDescent="0.3">
      <c r="A124" t="s">
        <v>174</v>
      </c>
      <c r="B124" s="1">
        <v>45307</v>
      </c>
      <c r="C124">
        <v>2024</v>
      </c>
      <c r="D124" t="s">
        <v>24</v>
      </c>
      <c r="E124" t="s">
        <v>25</v>
      </c>
      <c r="F124" t="s">
        <v>50</v>
      </c>
      <c r="G124" t="s">
        <v>51</v>
      </c>
      <c r="H124" t="s">
        <v>38</v>
      </c>
      <c r="I124" t="s">
        <v>42</v>
      </c>
      <c r="J124" t="s">
        <v>46</v>
      </c>
      <c r="K124" s="2">
        <v>5700</v>
      </c>
      <c r="L124" s="2">
        <v>202500</v>
      </c>
      <c r="M124">
        <v>300</v>
      </c>
      <c r="N124" s="3">
        <v>0.317</v>
      </c>
      <c r="O124" t="s">
        <v>16</v>
      </c>
      <c r="Q124">
        <v>1</v>
      </c>
      <c r="R124">
        <v>0</v>
      </c>
      <c r="S124" s="2">
        <v>182000</v>
      </c>
      <c r="T124" s="4">
        <v>4.4299999999999999E-2</v>
      </c>
      <c r="U124">
        <v>14</v>
      </c>
      <c r="V124">
        <v>1</v>
      </c>
      <c r="W124">
        <v>1</v>
      </c>
    </row>
    <row r="125" spans="1:23" ht="16.5" x14ac:dyDescent="0.3">
      <c r="A125" t="s">
        <v>175</v>
      </c>
      <c r="B125" s="1">
        <v>45307</v>
      </c>
      <c r="C125">
        <v>2024</v>
      </c>
      <c r="D125" t="s">
        <v>24</v>
      </c>
      <c r="E125" t="s">
        <v>25</v>
      </c>
      <c r="F125" t="s">
        <v>37</v>
      </c>
      <c r="G125" t="s">
        <v>33</v>
      </c>
      <c r="H125" t="s">
        <v>38</v>
      </c>
      <c r="I125" t="s">
        <v>42</v>
      </c>
      <c r="J125" t="s">
        <v>30</v>
      </c>
      <c r="K125" s="2">
        <v>5650</v>
      </c>
      <c r="L125" s="2">
        <v>19500</v>
      </c>
      <c r="M125">
        <v>12</v>
      </c>
      <c r="N125" s="3">
        <v>0.443</v>
      </c>
      <c r="O125" t="s">
        <v>16</v>
      </c>
      <c r="Q125">
        <v>1</v>
      </c>
      <c r="R125">
        <v>0</v>
      </c>
      <c r="S125" s="2">
        <v>19500</v>
      </c>
      <c r="T125" s="4">
        <v>0.13769999999999999</v>
      </c>
      <c r="U125">
        <v>2</v>
      </c>
      <c r="V125">
        <v>1</v>
      </c>
      <c r="W125">
        <v>1</v>
      </c>
    </row>
    <row r="126" spans="1:23" ht="16.5" x14ac:dyDescent="0.3">
      <c r="A126" t="s">
        <v>176</v>
      </c>
      <c r="B126" s="1">
        <v>45307</v>
      </c>
      <c r="C126">
        <v>2024</v>
      </c>
      <c r="D126" t="s">
        <v>24</v>
      </c>
      <c r="E126" t="s">
        <v>25</v>
      </c>
      <c r="F126" t="s">
        <v>41</v>
      </c>
      <c r="G126" t="s">
        <v>33</v>
      </c>
      <c r="H126" t="s">
        <v>38</v>
      </c>
      <c r="I126" t="s">
        <v>39</v>
      </c>
      <c r="J126" t="s">
        <v>30</v>
      </c>
      <c r="K126" s="2">
        <v>5300</v>
      </c>
      <c r="L126" s="2">
        <v>104500</v>
      </c>
      <c r="M126">
        <v>60</v>
      </c>
      <c r="N126" s="3">
        <v>0.56799999999999995</v>
      </c>
      <c r="O126" t="s">
        <v>17</v>
      </c>
      <c r="P126" t="s">
        <v>53</v>
      </c>
      <c r="Q126">
        <v>0</v>
      </c>
      <c r="R126">
        <v>1</v>
      </c>
      <c r="S126" s="2">
        <v>0</v>
      </c>
      <c r="T126" s="4"/>
      <c r="U126">
        <v>3</v>
      </c>
      <c r="V126">
        <v>1</v>
      </c>
      <c r="W126">
        <v>1</v>
      </c>
    </row>
    <row r="127" spans="1:23" ht="16.5" x14ac:dyDescent="0.3">
      <c r="A127" t="s">
        <v>177</v>
      </c>
      <c r="B127" s="1">
        <v>45307</v>
      </c>
      <c r="C127">
        <v>2024</v>
      </c>
      <c r="D127" t="s">
        <v>24</v>
      </c>
      <c r="E127" t="s">
        <v>25</v>
      </c>
      <c r="F127" t="s">
        <v>37</v>
      </c>
      <c r="G127" t="s">
        <v>45</v>
      </c>
      <c r="H127" t="s">
        <v>34</v>
      </c>
      <c r="I127" t="s">
        <v>29</v>
      </c>
      <c r="J127" t="s">
        <v>52</v>
      </c>
      <c r="K127" s="2">
        <v>4750</v>
      </c>
      <c r="L127" s="2">
        <v>23000</v>
      </c>
      <c r="M127">
        <v>48</v>
      </c>
      <c r="N127" s="3">
        <v>0.26700000000000002</v>
      </c>
      <c r="O127" t="s">
        <v>16</v>
      </c>
      <c r="Q127">
        <v>1</v>
      </c>
      <c r="R127">
        <v>0</v>
      </c>
      <c r="S127" s="2">
        <v>23000</v>
      </c>
      <c r="T127" s="4">
        <v>0.1162</v>
      </c>
      <c r="U127">
        <v>2</v>
      </c>
      <c r="V127">
        <v>1</v>
      </c>
      <c r="W127">
        <v>1</v>
      </c>
    </row>
    <row r="128" spans="1:23" ht="16.5" x14ac:dyDescent="0.3">
      <c r="A128" t="s">
        <v>178</v>
      </c>
      <c r="B128" s="1">
        <v>45308</v>
      </c>
      <c r="C128">
        <v>2024</v>
      </c>
      <c r="D128" t="s">
        <v>24</v>
      </c>
      <c r="E128" t="s">
        <v>25</v>
      </c>
      <c r="F128" t="s">
        <v>50</v>
      </c>
      <c r="G128" t="s">
        <v>51</v>
      </c>
      <c r="H128" t="s">
        <v>38</v>
      </c>
      <c r="I128" t="s">
        <v>42</v>
      </c>
      <c r="J128" t="s">
        <v>52</v>
      </c>
      <c r="K128" s="2">
        <v>4550</v>
      </c>
      <c r="L128" s="2">
        <v>206500</v>
      </c>
      <c r="M128">
        <v>300</v>
      </c>
      <c r="N128" s="3">
        <v>0.48099999999999998</v>
      </c>
      <c r="O128" t="s">
        <v>16</v>
      </c>
      <c r="Q128">
        <v>1</v>
      </c>
      <c r="R128">
        <v>0</v>
      </c>
      <c r="S128" s="2">
        <v>165000</v>
      </c>
      <c r="T128" s="4">
        <v>4.9399999999999999E-2</v>
      </c>
      <c r="U128">
        <v>26</v>
      </c>
      <c r="V128">
        <v>0</v>
      </c>
      <c r="W128">
        <v>1</v>
      </c>
    </row>
    <row r="129" spans="1:23" ht="16.5" x14ac:dyDescent="0.3">
      <c r="A129" t="s">
        <v>179</v>
      </c>
      <c r="B129" s="1">
        <v>45308</v>
      </c>
      <c r="C129">
        <v>2024</v>
      </c>
      <c r="D129" t="s">
        <v>24</v>
      </c>
      <c r="E129" t="s">
        <v>25</v>
      </c>
      <c r="F129" t="s">
        <v>41</v>
      </c>
      <c r="G129" t="s">
        <v>51</v>
      </c>
      <c r="H129" t="s">
        <v>38</v>
      </c>
      <c r="I129" t="s">
        <v>29</v>
      </c>
      <c r="J129" t="s">
        <v>43</v>
      </c>
      <c r="K129" s="2">
        <v>2800</v>
      </c>
      <c r="L129" s="2">
        <v>54000</v>
      </c>
      <c r="M129">
        <v>12</v>
      </c>
      <c r="N129" s="3">
        <v>1.7450000000000001</v>
      </c>
      <c r="O129" t="s">
        <v>17</v>
      </c>
      <c r="P129" t="s">
        <v>31</v>
      </c>
      <c r="Q129">
        <v>0</v>
      </c>
      <c r="R129">
        <v>1</v>
      </c>
      <c r="S129" s="2">
        <v>0</v>
      </c>
      <c r="T129" s="4"/>
      <c r="U129">
        <v>15</v>
      </c>
      <c r="V129">
        <v>0</v>
      </c>
      <c r="W129">
        <v>1</v>
      </c>
    </row>
    <row r="130" spans="1:23" ht="16.5" x14ac:dyDescent="0.3">
      <c r="A130" t="s">
        <v>180</v>
      </c>
      <c r="B130" s="1">
        <v>45308</v>
      </c>
      <c r="C130">
        <v>2024</v>
      </c>
      <c r="D130" t="s">
        <v>24</v>
      </c>
      <c r="E130" t="s">
        <v>25</v>
      </c>
      <c r="F130" t="s">
        <v>37</v>
      </c>
      <c r="G130" t="s">
        <v>51</v>
      </c>
      <c r="H130" t="s">
        <v>38</v>
      </c>
      <c r="I130" t="s">
        <v>29</v>
      </c>
      <c r="J130" t="s">
        <v>46</v>
      </c>
      <c r="K130" s="2">
        <v>10650</v>
      </c>
      <c r="L130" s="2">
        <v>18000</v>
      </c>
      <c r="M130">
        <v>48</v>
      </c>
      <c r="N130" s="3">
        <v>0.27700000000000002</v>
      </c>
      <c r="O130" t="s">
        <v>16</v>
      </c>
      <c r="Q130">
        <v>1</v>
      </c>
      <c r="R130">
        <v>0</v>
      </c>
      <c r="S130" s="2">
        <v>18000</v>
      </c>
      <c r="T130" s="4">
        <v>0.1101</v>
      </c>
      <c r="U130">
        <v>5</v>
      </c>
      <c r="V130">
        <v>0</v>
      </c>
      <c r="W130">
        <v>1</v>
      </c>
    </row>
    <row r="131" spans="1:23" ht="16.5" x14ac:dyDescent="0.3">
      <c r="A131" t="s">
        <v>181</v>
      </c>
      <c r="B131" s="1">
        <v>45308</v>
      </c>
      <c r="C131">
        <v>2024</v>
      </c>
      <c r="D131" t="s">
        <v>24</v>
      </c>
      <c r="E131" t="s">
        <v>25</v>
      </c>
      <c r="F131" t="s">
        <v>37</v>
      </c>
      <c r="G131" t="s">
        <v>51</v>
      </c>
      <c r="H131" t="s">
        <v>38</v>
      </c>
      <c r="I131" t="s">
        <v>39</v>
      </c>
      <c r="J131" t="s">
        <v>30</v>
      </c>
      <c r="K131" s="2">
        <v>2200</v>
      </c>
      <c r="L131" s="2">
        <v>20500</v>
      </c>
      <c r="M131">
        <v>24</v>
      </c>
      <c r="N131" s="3">
        <v>0.64400000000000002</v>
      </c>
      <c r="O131" t="s">
        <v>17</v>
      </c>
      <c r="P131" t="s">
        <v>31</v>
      </c>
      <c r="Q131">
        <v>0</v>
      </c>
      <c r="R131">
        <v>1</v>
      </c>
      <c r="S131" s="2">
        <v>0</v>
      </c>
      <c r="T131" s="4"/>
      <c r="U131">
        <v>8</v>
      </c>
      <c r="V131">
        <v>0</v>
      </c>
      <c r="W131">
        <v>1</v>
      </c>
    </row>
    <row r="132" spans="1:23" ht="16.5" x14ac:dyDescent="0.3">
      <c r="A132" t="s">
        <v>182</v>
      </c>
      <c r="B132" s="1">
        <v>45308</v>
      </c>
      <c r="C132">
        <v>2024</v>
      </c>
      <c r="D132" t="s">
        <v>24</v>
      </c>
      <c r="E132" t="s">
        <v>25</v>
      </c>
      <c r="F132" t="s">
        <v>41</v>
      </c>
      <c r="G132" t="s">
        <v>51</v>
      </c>
      <c r="H132" t="s">
        <v>38</v>
      </c>
      <c r="I132" t="s">
        <v>42</v>
      </c>
      <c r="J132" t="s">
        <v>35</v>
      </c>
      <c r="K132" s="2">
        <v>5950</v>
      </c>
      <c r="L132" s="2">
        <v>58000</v>
      </c>
      <c r="M132">
        <v>60</v>
      </c>
      <c r="N132" s="3">
        <v>0.443</v>
      </c>
      <c r="O132" t="s">
        <v>16</v>
      </c>
      <c r="Q132">
        <v>1</v>
      </c>
      <c r="R132">
        <v>0</v>
      </c>
      <c r="S132" s="2">
        <v>52000</v>
      </c>
      <c r="T132" s="4">
        <v>0.1051</v>
      </c>
      <c r="U132">
        <v>22</v>
      </c>
      <c r="V132">
        <v>0</v>
      </c>
      <c r="W132">
        <v>1</v>
      </c>
    </row>
    <row r="133" spans="1:23" ht="16.5" x14ac:dyDescent="0.3">
      <c r="A133" t="s">
        <v>183</v>
      </c>
      <c r="B133" s="1">
        <v>45308</v>
      </c>
      <c r="C133">
        <v>2024</v>
      </c>
      <c r="D133" t="s">
        <v>24</v>
      </c>
      <c r="E133" t="s">
        <v>25</v>
      </c>
      <c r="F133" t="s">
        <v>50</v>
      </c>
      <c r="G133" t="s">
        <v>51</v>
      </c>
      <c r="H133" t="s">
        <v>38</v>
      </c>
      <c r="I133" t="s">
        <v>29</v>
      </c>
      <c r="J133" t="s">
        <v>35</v>
      </c>
      <c r="K133" s="2">
        <v>8250</v>
      </c>
      <c r="L133" s="2">
        <v>280500</v>
      </c>
      <c r="M133">
        <v>240</v>
      </c>
      <c r="N133" s="3">
        <v>0.28199999999999997</v>
      </c>
      <c r="O133" t="s">
        <v>16</v>
      </c>
      <c r="Q133">
        <v>1</v>
      </c>
      <c r="R133">
        <v>0</v>
      </c>
      <c r="S133" s="2">
        <v>280500</v>
      </c>
      <c r="T133" s="4">
        <v>5.9499999999999997E-2</v>
      </c>
      <c r="U133">
        <v>12</v>
      </c>
      <c r="V133">
        <v>1</v>
      </c>
      <c r="W133">
        <v>1</v>
      </c>
    </row>
    <row r="134" spans="1:23" ht="16.5" x14ac:dyDescent="0.3">
      <c r="A134" t="s">
        <v>184</v>
      </c>
      <c r="B134" s="1">
        <v>45308</v>
      </c>
      <c r="C134">
        <v>2024</v>
      </c>
      <c r="D134" t="s">
        <v>24</v>
      </c>
      <c r="E134" t="s">
        <v>25</v>
      </c>
      <c r="F134" t="s">
        <v>26</v>
      </c>
      <c r="G134" t="s">
        <v>45</v>
      </c>
      <c r="H134" t="s">
        <v>64</v>
      </c>
      <c r="I134" t="s">
        <v>39</v>
      </c>
      <c r="J134" t="s">
        <v>52</v>
      </c>
      <c r="K134" s="2">
        <v>5550</v>
      </c>
      <c r="L134" s="2">
        <v>14500</v>
      </c>
      <c r="M134">
        <v>60</v>
      </c>
      <c r="N134" s="3">
        <v>0.14499999999999999</v>
      </c>
      <c r="O134" t="s">
        <v>16</v>
      </c>
      <c r="Q134">
        <v>1</v>
      </c>
      <c r="R134">
        <v>0</v>
      </c>
      <c r="S134" s="2">
        <v>13000</v>
      </c>
      <c r="T134" s="4">
        <v>7.5800000000000006E-2</v>
      </c>
      <c r="U134">
        <v>3</v>
      </c>
      <c r="V134">
        <v>1</v>
      </c>
      <c r="W134">
        <v>1</v>
      </c>
    </row>
    <row r="135" spans="1:23" ht="16.5" x14ac:dyDescent="0.3">
      <c r="A135" t="s">
        <v>185</v>
      </c>
      <c r="B135" s="1">
        <v>45308</v>
      </c>
      <c r="C135">
        <v>2024</v>
      </c>
      <c r="D135" t="s">
        <v>24</v>
      </c>
      <c r="E135" t="s">
        <v>25</v>
      </c>
      <c r="F135" t="s">
        <v>41</v>
      </c>
      <c r="G135" t="s">
        <v>33</v>
      </c>
      <c r="H135" t="s">
        <v>55</v>
      </c>
      <c r="I135" t="s">
        <v>39</v>
      </c>
      <c r="J135" t="s">
        <v>52</v>
      </c>
      <c r="K135" s="2">
        <v>4800</v>
      </c>
      <c r="L135" s="2">
        <v>63000</v>
      </c>
      <c r="M135">
        <v>24</v>
      </c>
      <c r="N135" s="3">
        <v>0.83199999999999996</v>
      </c>
      <c r="O135" t="s">
        <v>17</v>
      </c>
      <c r="P135" t="s">
        <v>60</v>
      </c>
      <c r="Q135">
        <v>0</v>
      </c>
      <c r="R135">
        <v>1</v>
      </c>
      <c r="S135" s="2">
        <v>0</v>
      </c>
      <c r="T135" s="4"/>
      <c r="U135">
        <v>8</v>
      </c>
      <c r="V135">
        <v>1</v>
      </c>
      <c r="W135">
        <v>1</v>
      </c>
    </row>
    <row r="136" spans="1:23" ht="16.5" x14ac:dyDescent="0.3">
      <c r="A136" t="s">
        <v>186</v>
      </c>
      <c r="B136" s="1">
        <v>45308</v>
      </c>
      <c r="C136">
        <v>2024</v>
      </c>
      <c r="D136" t="s">
        <v>24</v>
      </c>
      <c r="E136" t="s">
        <v>25</v>
      </c>
      <c r="F136" t="s">
        <v>37</v>
      </c>
      <c r="G136" t="s">
        <v>33</v>
      </c>
      <c r="H136" t="s">
        <v>55</v>
      </c>
      <c r="I136" t="s">
        <v>29</v>
      </c>
      <c r="J136" t="s">
        <v>30</v>
      </c>
      <c r="K136" s="2">
        <v>4950</v>
      </c>
      <c r="L136" s="2">
        <v>11000</v>
      </c>
      <c r="M136">
        <v>36</v>
      </c>
      <c r="N136" s="3">
        <v>0.217</v>
      </c>
      <c r="O136" t="s">
        <v>17</v>
      </c>
      <c r="P136" t="s">
        <v>31</v>
      </c>
      <c r="Q136">
        <v>0</v>
      </c>
      <c r="R136">
        <v>1</v>
      </c>
      <c r="S136" s="2">
        <v>0</v>
      </c>
      <c r="T136" s="4"/>
      <c r="U136">
        <v>1</v>
      </c>
      <c r="V136">
        <v>1</v>
      </c>
      <c r="W136">
        <v>1</v>
      </c>
    </row>
    <row r="137" spans="1:23" ht="16.5" x14ac:dyDescent="0.3">
      <c r="A137" t="s">
        <v>187</v>
      </c>
      <c r="B137" s="1">
        <v>45309</v>
      </c>
      <c r="C137">
        <v>2024</v>
      </c>
      <c r="D137" t="s">
        <v>24</v>
      </c>
      <c r="E137" t="s">
        <v>25</v>
      </c>
      <c r="F137" t="s">
        <v>26</v>
      </c>
      <c r="G137" t="s">
        <v>45</v>
      </c>
      <c r="H137" t="s">
        <v>34</v>
      </c>
      <c r="I137" t="s">
        <v>29</v>
      </c>
      <c r="J137" t="s">
        <v>43</v>
      </c>
      <c r="K137" s="2">
        <v>4100</v>
      </c>
      <c r="L137" s="2">
        <v>29500</v>
      </c>
      <c r="M137">
        <v>48</v>
      </c>
      <c r="N137" s="3">
        <v>0.33100000000000002</v>
      </c>
      <c r="O137" t="s">
        <v>17</v>
      </c>
      <c r="P137" t="s">
        <v>31</v>
      </c>
      <c r="Q137">
        <v>0</v>
      </c>
      <c r="R137">
        <v>1</v>
      </c>
      <c r="S137" s="2">
        <v>0</v>
      </c>
      <c r="T137" s="4"/>
      <c r="U137">
        <v>3</v>
      </c>
      <c r="V137">
        <v>1</v>
      </c>
      <c r="W137">
        <v>1</v>
      </c>
    </row>
    <row r="138" spans="1:23" ht="16.5" x14ac:dyDescent="0.3">
      <c r="A138" t="s">
        <v>188</v>
      </c>
      <c r="B138" s="1">
        <v>45309</v>
      </c>
      <c r="C138">
        <v>2024</v>
      </c>
      <c r="D138" t="s">
        <v>24</v>
      </c>
      <c r="E138" t="s">
        <v>25</v>
      </c>
      <c r="F138" t="s">
        <v>41</v>
      </c>
      <c r="G138" t="s">
        <v>45</v>
      </c>
      <c r="H138" t="s">
        <v>38</v>
      </c>
      <c r="I138" t="s">
        <v>29</v>
      </c>
      <c r="J138" t="s">
        <v>35</v>
      </c>
      <c r="K138" s="2">
        <v>4400</v>
      </c>
      <c r="L138" s="2">
        <v>218500</v>
      </c>
      <c r="M138">
        <v>36</v>
      </c>
      <c r="N138" s="3">
        <v>1.7529999999999999</v>
      </c>
      <c r="O138" t="s">
        <v>17</v>
      </c>
      <c r="P138" t="s">
        <v>53</v>
      </c>
      <c r="Q138">
        <v>0</v>
      </c>
      <c r="R138">
        <v>1</v>
      </c>
      <c r="S138" s="2">
        <v>0</v>
      </c>
      <c r="T138" s="4"/>
      <c r="U138">
        <v>5</v>
      </c>
      <c r="V138">
        <v>1</v>
      </c>
      <c r="W138">
        <v>1</v>
      </c>
    </row>
    <row r="139" spans="1:23" ht="16.5" x14ac:dyDescent="0.3">
      <c r="A139" t="s">
        <v>189</v>
      </c>
      <c r="B139" s="1">
        <v>45309</v>
      </c>
      <c r="C139">
        <v>2024</v>
      </c>
      <c r="D139" t="s">
        <v>24</v>
      </c>
      <c r="E139" t="s">
        <v>25</v>
      </c>
      <c r="F139" t="s">
        <v>37</v>
      </c>
      <c r="G139" t="s">
        <v>45</v>
      </c>
      <c r="H139" t="s">
        <v>64</v>
      </c>
      <c r="I139" t="s">
        <v>39</v>
      </c>
      <c r="J139" t="s">
        <v>30</v>
      </c>
      <c r="K139" s="2">
        <v>3650</v>
      </c>
      <c r="L139" s="2">
        <v>5000</v>
      </c>
      <c r="M139">
        <v>60</v>
      </c>
      <c r="N139" s="3">
        <v>0.17299999999999999</v>
      </c>
      <c r="O139" t="s">
        <v>16</v>
      </c>
      <c r="Q139">
        <v>1</v>
      </c>
      <c r="R139">
        <v>0</v>
      </c>
      <c r="S139" s="2">
        <v>5000</v>
      </c>
      <c r="T139" s="4">
        <v>0.14810000000000001</v>
      </c>
      <c r="U139">
        <v>2</v>
      </c>
      <c r="V139">
        <v>1</v>
      </c>
      <c r="W139">
        <v>1</v>
      </c>
    </row>
    <row r="140" spans="1:23" ht="16.5" x14ac:dyDescent="0.3">
      <c r="A140" t="s">
        <v>190</v>
      </c>
      <c r="B140" s="1">
        <v>45309</v>
      </c>
      <c r="C140">
        <v>2024</v>
      </c>
      <c r="D140" t="s">
        <v>24</v>
      </c>
      <c r="E140" t="s">
        <v>25</v>
      </c>
      <c r="F140" t="s">
        <v>26</v>
      </c>
      <c r="G140" t="s">
        <v>45</v>
      </c>
      <c r="H140" t="s">
        <v>34</v>
      </c>
      <c r="I140" t="s">
        <v>29</v>
      </c>
      <c r="J140" t="s">
        <v>35</v>
      </c>
      <c r="K140" s="2">
        <v>5100</v>
      </c>
      <c r="L140" s="2">
        <v>26000</v>
      </c>
      <c r="M140">
        <v>48</v>
      </c>
      <c r="N140" s="3">
        <v>0.27500000000000002</v>
      </c>
      <c r="O140" t="s">
        <v>16</v>
      </c>
      <c r="Q140">
        <v>1</v>
      </c>
      <c r="R140">
        <v>0</v>
      </c>
      <c r="S140" s="2">
        <v>26000</v>
      </c>
      <c r="T140" s="4">
        <v>8.4699999999999998E-2</v>
      </c>
      <c r="U140">
        <v>3</v>
      </c>
      <c r="V140">
        <v>1</v>
      </c>
      <c r="W140">
        <v>1</v>
      </c>
    </row>
    <row r="141" spans="1:23" ht="16.5" x14ac:dyDescent="0.3">
      <c r="A141" t="s">
        <v>191</v>
      </c>
      <c r="B141" s="1">
        <v>45309</v>
      </c>
      <c r="C141">
        <v>2024</v>
      </c>
      <c r="D141" t="s">
        <v>24</v>
      </c>
      <c r="E141" t="s">
        <v>25</v>
      </c>
      <c r="F141" t="s">
        <v>41</v>
      </c>
      <c r="G141" t="s">
        <v>33</v>
      </c>
      <c r="H141" t="s">
        <v>38</v>
      </c>
      <c r="I141" t="s">
        <v>29</v>
      </c>
      <c r="J141" t="s">
        <v>30</v>
      </c>
      <c r="K141" s="2">
        <v>5100</v>
      </c>
      <c r="L141" s="2">
        <v>259500</v>
      </c>
      <c r="M141">
        <v>12</v>
      </c>
      <c r="N141" s="3">
        <v>4.6639999999999997</v>
      </c>
      <c r="O141" t="s">
        <v>17</v>
      </c>
      <c r="P141" t="s">
        <v>31</v>
      </c>
      <c r="Q141">
        <v>0</v>
      </c>
      <c r="R141">
        <v>1</v>
      </c>
      <c r="S141" s="2">
        <v>0</v>
      </c>
      <c r="T141" s="4"/>
      <c r="U141">
        <v>11</v>
      </c>
      <c r="V141">
        <v>0</v>
      </c>
      <c r="W141">
        <v>1</v>
      </c>
    </row>
    <row r="142" spans="1:23" ht="16.5" x14ac:dyDescent="0.3">
      <c r="A142" t="s">
        <v>192</v>
      </c>
      <c r="B142" s="1">
        <v>45309</v>
      </c>
      <c r="C142">
        <v>2024</v>
      </c>
      <c r="D142" t="s">
        <v>24</v>
      </c>
      <c r="E142" t="s">
        <v>25</v>
      </c>
      <c r="F142" t="s">
        <v>26</v>
      </c>
      <c r="G142" t="s">
        <v>51</v>
      </c>
      <c r="H142" t="s">
        <v>34</v>
      </c>
      <c r="I142" t="s">
        <v>29</v>
      </c>
      <c r="J142" t="s">
        <v>52</v>
      </c>
      <c r="K142" s="2">
        <v>12750</v>
      </c>
      <c r="L142" s="2">
        <v>25500</v>
      </c>
      <c r="M142">
        <v>36</v>
      </c>
      <c r="N142" s="3">
        <v>0.14199999999999999</v>
      </c>
      <c r="O142" t="s">
        <v>16</v>
      </c>
      <c r="Q142">
        <v>1</v>
      </c>
      <c r="R142">
        <v>0</v>
      </c>
      <c r="S142" s="2">
        <v>25500</v>
      </c>
      <c r="T142" s="4">
        <v>7.0999999999999994E-2</v>
      </c>
      <c r="U142">
        <v>6</v>
      </c>
      <c r="V142">
        <v>0</v>
      </c>
      <c r="W142">
        <v>1</v>
      </c>
    </row>
    <row r="143" spans="1:23" ht="16.5" x14ac:dyDescent="0.3">
      <c r="A143" t="s">
        <v>193</v>
      </c>
      <c r="B143" s="1">
        <v>45310</v>
      </c>
      <c r="C143">
        <v>2024</v>
      </c>
      <c r="D143" t="s">
        <v>24</v>
      </c>
      <c r="E143" t="s">
        <v>25</v>
      </c>
      <c r="F143" t="s">
        <v>37</v>
      </c>
      <c r="G143" t="s">
        <v>51</v>
      </c>
      <c r="H143" t="s">
        <v>64</v>
      </c>
      <c r="I143" t="s">
        <v>42</v>
      </c>
      <c r="J143" t="s">
        <v>46</v>
      </c>
      <c r="K143" s="2">
        <v>5300</v>
      </c>
      <c r="L143" s="2">
        <v>18500</v>
      </c>
      <c r="M143">
        <v>48</v>
      </c>
      <c r="N143" s="3">
        <v>0.32500000000000001</v>
      </c>
      <c r="O143" t="s">
        <v>17</v>
      </c>
      <c r="P143" t="s">
        <v>65</v>
      </c>
      <c r="Q143">
        <v>0</v>
      </c>
      <c r="R143">
        <v>1</v>
      </c>
      <c r="S143" s="2">
        <v>0</v>
      </c>
      <c r="T143" s="4"/>
      <c r="U143">
        <v>3</v>
      </c>
      <c r="V143">
        <v>1</v>
      </c>
      <c r="W143">
        <v>1</v>
      </c>
    </row>
    <row r="144" spans="1:23" ht="16.5" x14ac:dyDescent="0.3">
      <c r="A144" t="s">
        <v>194</v>
      </c>
      <c r="B144" s="1">
        <v>45310</v>
      </c>
      <c r="C144">
        <v>2024</v>
      </c>
      <c r="D144" t="s">
        <v>24</v>
      </c>
      <c r="E144" t="s">
        <v>25</v>
      </c>
      <c r="F144" t="s">
        <v>26</v>
      </c>
      <c r="G144" t="s">
        <v>45</v>
      </c>
      <c r="H144" t="s">
        <v>55</v>
      </c>
      <c r="I144" t="s">
        <v>39</v>
      </c>
      <c r="J144" t="s">
        <v>52</v>
      </c>
      <c r="K144" s="2">
        <v>4250</v>
      </c>
      <c r="L144" s="2">
        <v>31500</v>
      </c>
      <c r="M144">
        <v>48</v>
      </c>
      <c r="N144" s="3">
        <v>0.23899999999999999</v>
      </c>
      <c r="O144" t="s">
        <v>17</v>
      </c>
      <c r="P144" t="s">
        <v>65</v>
      </c>
      <c r="Q144">
        <v>0</v>
      </c>
      <c r="R144">
        <v>1</v>
      </c>
      <c r="S144" s="2">
        <v>0</v>
      </c>
      <c r="T144" s="4"/>
      <c r="U144">
        <v>2</v>
      </c>
      <c r="V144">
        <v>1</v>
      </c>
      <c r="W144">
        <v>1</v>
      </c>
    </row>
    <row r="145" spans="1:23" ht="16.5" x14ac:dyDescent="0.3">
      <c r="A145" t="s">
        <v>195</v>
      </c>
      <c r="B145" s="1">
        <v>45310</v>
      </c>
      <c r="C145">
        <v>2024</v>
      </c>
      <c r="D145" t="s">
        <v>24</v>
      </c>
      <c r="E145" t="s">
        <v>25</v>
      </c>
      <c r="F145" t="s">
        <v>26</v>
      </c>
      <c r="G145" t="s">
        <v>27</v>
      </c>
      <c r="H145" t="s">
        <v>38</v>
      </c>
      <c r="I145" t="s">
        <v>29</v>
      </c>
      <c r="J145" t="s">
        <v>30</v>
      </c>
      <c r="K145" s="2">
        <v>11100</v>
      </c>
      <c r="L145" s="2">
        <v>17000</v>
      </c>
      <c r="M145">
        <v>48</v>
      </c>
      <c r="N145" s="3">
        <v>0.11799999999999999</v>
      </c>
      <c r="O145" t="s">
        <v>17</v>
      </c>
      <c r="P145" t="s">
        <v>31</v>
      </c>
      <c r="Q145">
        <v>0</v>
      </c>
      <c r="R145">
        <v>1</v>
      </c>
      <c r="S145" s="2">
        <v>0</v>
      </c>
      <c r="T145" s="4"/>
      <c r="U145">
        <v>6</v>
      </c>
      <c r="V145">
        <v>0</v>
      </c>
      <c r="W145">
        <v>1</v>
      </c>
    </row>
    <row r="146" spans="1:23" ht="16.5" x14ac:dyDescent="0.3">
      <c r="A146" t="s">
        <v>196</v>
      </c>
      <c r="B146" s="1">
        <v>45310</v>
      </c>
      <c r="C146">
        <v>2024</v>
      </c>
      <c r="D146" t="s">
        <v>24</v>
      </c>
      <c r="E146" t="s">
        <v>25</v>
      </c>
      <c r="F146" t="s">
        <v>50</v>
      </c>
      <c r="G146" t="s">
        <v>45</v>
      </c>
      <c r="H146" t="s">
        <v>34</v>
      </c>
      <c r="I146" t="s">
        <v>39</v>
      </c>
      <c r="J146" t="s">
        <v>35</v>
      </c>
      <c r="K146" s="2">
        <v>1750</v>
      </c>
      <c r="L146" s="2">
        <v>395500</v>
      </c>
      <c r="M146">
        <v>300</v>
      </c>
      <c r="N146" s="3">
        <v>1.359</v>
      </c>
      <c r="O146" t="s">
        <v>125</v>
      </c>
      <c r="Q146">
        <v>0</v>
      </c>
      <c r="R146">
        <v>0</v>
      </c>
      <c r="S146" s="2">
        <v>0</v>
      </c>
      <c r="T146" s="4"/>
      <c r="U146">
        <v>9</v>
      </c>
      <c r="V146">
        <v>1</v>
      </c>
      <c r="W146">
        <v>1</v>
      </c>
    </row>
    <row r="147" spans="1:23" ht="16.5" x14ac:dyDescent="0.3">
      <c r="A147" t="s">
        <v>197</v>
      </c>
      <c r="B147" s="1">
        <v>45310</v>
      </c>
      <c r="C147">
        <v>2024</v>
      </c>
      <c r="D147" t="s">
        <v>24</v>
      </c>
      <c r="E147" t="s">
        <v>25</v>
      </c>
      <c r="F147" t="s">
        <v>37</v>
      </c>
      <c r="G147" t="s">
        <v>33</v>
      </c>
      <c r="H147" t="s">
        <v>38</v>
      </c>
      <c r="I147" t="s">
        <v>42</v>
      </c>
      <c r="J147" t="s">
        <v>43</v>
      </c>
      <c r="K147" s="2">
        <v>8600</v>
      </c>
      <c r="L147" s="2">
        <v>15000</v>
      </c>
      <c r="M147">
        <v>48</v>
      </c>
      <c r="N147" s="3">
        <v>0.246</v>
      </c>
      <c r="O147" t="s">
        <v>17</v>
      </c>
      <c r="P147" t="s">
        <v>31</v>
      </c>
      <c r="Q147">
        <v>0</v>
      </c>
      <c r="R147">
        <v>1</v>
      </c>
      <c r="S147" s="2">
        <v>0</v>
      </c>
      <c r="T147" s="4"/>
      <c r="U147">
        <v>1</v>
      </c>
      <c r="V147">
        <v>1</v>
      </c>
      <c r="W147">
        <v>1</v>
      </c>
    </row>
    <row r="148" spans="1:23" ht="16.5" x14ac:dyDescent="0.3">
      <c r="A148" t="s">
        <v>198</v>
      </c>
      <c r="B148" s="1">
        <v>45310</v>
      </c>
      <c r="C148">
        <v>2024</v>
      </c>
      <c r="D148" t="s">
        <v>24</v>
      </c>
      <c r="E148" t="s">
        <v>25</v>
      </c>
      <c r="F148" t="s">
        <v>26</v>
      </c>
      <c r="G148" t="s">
        <v>51</v>
      </c>
      <c r="H148" t="s">
        <v>34</v>
      </c>
      <c r="I148" t="s">
        <v>29</v>
      </c>
      <c r="J148" t="s">
        <v>35</v>
      </c>
      <c r="K148" s="2">
        <v>3750</v>
      </c>
      <c r="L148" s="2">
        <v>14000</v>
      </c>
      <c r="M148">
        <v>48</v>
      </c>
      <c r="N148" s="3">
        <v>0.188</v>
      </c>
      <c r="O148" t="s">
        <v>16</v>
      </c>
      <c r="Q148">
        <v>1</v>
      </c>
      <c r="R148">
        <v>0</v>
      </c>
      <c r="S148" s="2">
        <v>11000</v>
      </c>
      <c r="T148" s="4">
        <v>8.3099999999999993E-2</v>
      </c>
      <c r="U148">
        <v>9</v>
      </c>
      <c r="V148">
        <v>0</v>
      </c>
      <c r="W148">
        <v>1</v>
      </c>
    </row>
    <row r="149" spans="1:23" ht="16.5" x14ac:dyDescent="0.3">
      <c r="A149" t="s">
        <v>199</v>
      </c>
      <c r="B149" s="1">
        <v>45310</v>
      </c>
      <c r="C149">
        <v>2024</v>
      </c>
      <c r="D149" t="s">
        <v>24</v>
      </c>
      <c r="E149" t="s">
        <v>25</v>
      </c>
      <c r="F149" t="s">
        <v>37</v>
      </c>
      <c r="G149" t="s">
        <v>51</v>
      </c>
      <c r="H149" t="s">
        <v>38</v>
      </c>
      <c r="I149" t="s">
        <v>39</v>
      </c>
      <c r="J149" t="s">
        <v>30</v>
      </c>
      <c r="K149" s="2">
        <v>3700</v>
      </c>
      <c r="L149" s="2">
        <v>19500</v>
      </c>
      <c r="M149">
        <v>36</v>
      </c>
      <c r="N149" s="3">
        <v>0.41499999999999998</v>
      </c>
      <c r="O149" t="s">
        <v>16</v>
      </c>
      <c r="Q149">
        <v>1</v>
      </c>
      <c r="R149">
        <v>0</v>
      </c>
      <c r="S149" s="2">
        <v>19500</v>
      </c>
      <c r="T149" s="4">
        <v>0.14280000000000001</v>
      </c>
      <c r="U149">
        <v>4</v>
      </c>
      <c r="V149">
        <v>0</v>
      </c>
      <c r="W149">
        <v>1</v>
      </c>
    </row>
    <row r="150" spans="1:23" ht="16.5" x14ac:dyDescent="0.3">
      <c r="A150" t="s">
        <v>200</v>
      </c>
      <c r="B150" s="1">
        <v>45310</v>
      </c>
      <c r="C150">
        <v>2024</v>
      </c>
      <c r="D150" t="s">
        <v>24</v>
      </c>
      <c r="E150" t="s">
        <v>25</v>
      </c>
      <c r="F150" t="s">
        <v>37</v>
      </c>
      <c r="G150" t="s">
        <v>33</v>
      </c>
      <c r="H150" t="s">
        <v>55</v>
      </c>
      <c r="I150" t="s">
        <v>29</v>
      </c>
      <c r="J150" t="s">
        <v>46</v>
      </c>
      <c r="K150" s="2">
        <v>5950</v>
      </c>
      <c r="L150" s="2">
        <v>7000</v>
      </c>
      <c r="M150">
        <v>24</v>
      </c>
      <c r="N150" s="3">
        <v>0.214</v>
      </c>
      <c r="O150" t="s">
        <v>16</v>
      </c>
      <c r="Q150">
        <v>1</v>
      </c>
      <c r="R150">
        <v>0</v>
      </c>
      <c r="S150" s="2">
        <v>6500</v>
      </c>
      <c r="T150" s="4">
        <v>0.108</v>
      </c>
      <c r="U150">
        <v>2</v>
      </c>
      <c r="V150">
        <v>1</v>
      </c>
      <c r="W150">
        <v>1</v>
      </c>
    </row>
    <row r="151" spans="1:23" ht="16.5" x14ac:dyDescent="0.3">
      <c r="A151" t="s">
        <v>201</v>
      </c>
      <c r="B151" s="1">
        <v>45310</v>
      </c>
      <c r="C151">
        <v>2024</v>
      </c>
      <c r="D151" t="s">
        <v>24</v>
      </c>
      <c r="E151" t="s">
        <v>25</v>
      </c>
      <c r="F151" t="s">
        <v>41</v>
      </c>
      <c r="G151" t="s">
        <v>51</v>
      </c>
      <c r="H151" t="s">
        <v>55</v>
      </c>
      <c r="I151" t="s">
        <v>29</v>
      </c>
      <c r="J151" t="s">
        <v>35</v>
      </c>
      <c r="K151" s="2">
        <v>5200</v>
      </c>
      <c r="L151" s="2">
        <v>79500</v>
      </c>
      <c r="M151">
        <v>24</v>
      </c>
      <c r="N151" s="3">
        <v>0.78800000000000003</v>
      </c>
      <c r="O151" t="s">
        <v>16</v>
      </c>
      <c r="Q151">
        <v>1</v>
      </c>
      <c r="R151">
        <v>0</v>
      </c>
      <c r="S151" s="2">
        <v>71500</v>
      </c>
      <c r="T151" s="4">
        <v>0.10589999999999999</v>
      </c>
      <c r="U151">
        <v>10</v>
      </c>
      <c r="V151">
        <v>1</v>
      </c>
      <c r="W151">
        <v>1</v>
      </c>
    </row>
    <row r="152" spans="1:23" ht="16.5" x14ac:dyDescent="0.3">
      <c r="A152" t="s">
        <v>202</v>
      </c>
      <c r="B152" s="1">
        <v>45311</v>
      </c>
      <c r="C152">
        <v>2024</v>
      </c>
      <c r="D152" t="s">
        <v>24</v>
      </c>
      <c r="E152" t="s">
        <v>25</v>
      </c>
      <c r="F152" t="s">
        <v>37</v>
      </c>
      <c r="G152" t="s">
        <v>33</v>
      </c>
      <c r="H152" t="s">
        <v>55</v>
      </c>
      <c r="I152" t="s">
        <v>39</v>
      </c>
      <c r="J152" t="s">
        <v>30</v>
      </c>
      <c r="K152" s="2">
        <v>4200</v>
      </c>
      <c r="L152" s="2">
        <v>6500</v>
      </c>
      <c r="M152">
        <v>48</v>
      </c>
      <c r="N152" s="3">
        <v>0.157</v>
      </c>
      <c r="O152" t="s">
        <v>17</v>
      </c>
      <c r="P152" t="s">
        <v>31</v>
      </c>
      <c r="Q152">
        <v>0</v>
      </c>
      <c r="R152">
        <v>1</v>
      </c>
      <c r="S152" s="2">
        <v>0</v>
      </c>
      <c r="T152" s="4"/>
      <c r="U152">
        <v>2</v>
      </c>
      <c r="V152">
        <v>1</v>
      </c>
      <c r="W152">
        <v>1</v>
      </c>
    </row>
    <row r="153" spans="1:23" ht="16.5" x14ac:dyDescent="0.3">
      <c r="A153" t="s">
        <v>203</v>
      </c>
      <c r="B153" s="1">
        <v>45311</v>
      </c>
      <c r="C153">
        <v>2024</v>
      </c>
      <c r="D153" t="s">
        <v>24</v>
      </c>
      <c r="E153" t="s">
        <v>25</v>
      </c>
      <c r="F153" t="s">
        <v>50</v>
      </c>
      <c r="G153" t="s">
        <v>33</v>
      </c>
      <c r="H153" t="s">
        <v>55</v>
      </c>
      <c r="I153" t="s">
        <v>29</v>
      </c>
      <c r="J153" t="s">
        <v>46</v>
      </c>
      <c r="K153" s="2">
        <v>3100</v>
      </c>
      <c r="L153" s="2">
        <v>755000</v>
      </c>
      <c r="M153">
        <v>240</v>
      </c>
      <c r="N153" s="3">
        <v>1.708</v>
      </c>
      <c r="O153" t="s">
        <v>17</v>
      </c>
      <c r="P153" t="s">
        <v>53</v>
      </c>
      <c r="Q153">
        <v>0</v>
      </c>
      <c r="R153">
        <v>1</v>
      </c>
      <c r="S153" s="2">
        <v>0</v>
      </c>
      <c r="T153" s="4"/>
      <c r="U153">
        <v>9</v>
      </c>
      <c r="V153">
        <v>1</v>
      </c>
      <c r="W153">
        <v>1</v>
      </c>
    </row>
    <row r="154" spans="1:23" ht="16.5" x14ac:dyDescent="0.3">
      <c r="A154" t="s">
        <v>204</v>
      </c>
      <c r="B154" s="1">
        <v>45312</v>
      </c>
      <c r="C154">
        <v>2024</v>
      </c>
      <c r="D154" t="s">
        <v>24</v>
      </c>
      <c r="E154" t="s">
        <v>25</v>
      </c>
      <c r="F154" t="s">
        <v>41</v>
      </c>
      <c r="G154" t="s">
        <v>45</v>
      </c>
      <c r="H154" t="s">
        <v>64</v>
      </c>
      <c r="I154" t="s">
        <v>39</v>
      </c>
      <c r="J154" t="s">
        <v>52</v>
      </c>
      <c r="K154" s="2">
        <v>4100</v>
      </c>
      <c r="L154" s="2">
        <v>71000</v>
      </c>
      <c r="M154">
        <v>24</v>
      </c>
      <c r="N154" s="3">
        <v>0.92300000000000004</v>
      </c>
      <c r="O154" t="s">
        <v>16</v>
      </c>
      <c r="Q154">
        <v>1</v>
      </c>
      <c r="R154">
        <v>0</v>
      </c>
      <c r="S154" s="2">
        <v>64000</v>
      </c>
      <c r="T154" s="4">
        <v>9.4700000000000006E-2</v>
      </c>
      <c r="U154">
        <v>9</v>
      </c>
      <c r="V154">
        <v>1</v>
      </c>
      <c r="W154">
        <v>1</v>
      </c>
    </row>
    <row r="155" spans="1:23" ht="16.5" x14ac:dyDescent="0.3">
      <c r="A155" t="s">
        <v>205</v>
      </c>
      <c r="B155" s="1">
        <v>45312</v>
      </c>
      <c r="C155">
        <v>2024</v>
      </c>
      <c r="D155" t="s">
        <v>24</v>
      </c>
      <c r="E155" t="s">
        <v>25</v>
      </c>
      <c r="F155" t="s">
        <v>37</v>
      </c>
      <c r="G155" t="s">
        <v>51</v>
      </c>
      <c r="H155" t="s">
        <v>38</v>
      </c>
      <c r="I155" t="s">
        <v>39</v>
      </c>
      <c r="J155" t="s">
        <v>35</v>
      </c>
      <c r="K155" s="2">
        <v>3900</v>
      </c>
      <c r="L155" s="2">
        <v>11000</v>
      </c>
      <c r="M155">
        <v>60</v>
      </c>
      <c r="N155" s="3">
        <v>0.222</v>
      </c>
      <c r="O155" t="s">
        <v>16</v>
      </c>
      <c r="Q155">
        <v>1</v>
      </c>
      <c r="R155">
        <v>0</v>
      </c>
      <c r="S155" s="2">
        <v>11000</v>
      </c>
      <c r="T155" s="4">
        <v>0.1303</v>
      </c>
      <c r="U155">
        <v>6</v>
      </c>
      <c r="V155">
        <v>0</v>
      </c>
      <c r="W155">
        <v>1</v>
      </c>
    </row>
    <row r="156" spans="1:23" ht="16.5" x14ac:dyDescent="0.3">
      <c r="A156" t="s">
        <v>206</v>
      </c>
      <c r="B156" s="1">
        <v>45312</v>
      </c>
      <c r="C156">
        <v>2024</v>
      </c>
      <c r="D156" t="s">
        <v>24</v>
      </c>
      <c r="E156" t="s">
        <v>25</v>
      </c>
      <c r="F156" t="s">
        <v>37</v>
      </c>
      <c r="G156" t="s">
        <v>45</v>
      </c>
      <c r="H156" t="s">
        <v>38</v>
      </c>
      <c r="I156" t="s">
        <v>29</v>
      </c>
      <c r="J156" t="s">
        <v>52</v>
      </c>
      <c r="K156" s="2">
        <v>5950</v>
      </c>
      <c r="L156" s="2">
        <v>25500</v>
      </c>
      <c r="M156">
        <v>36</v>
      </c>
      <c r="N156" s="3">
        <v>0.32300000000000001</v>
      </c>
      <c r="O156" t="s">
        <v>16</v>
      </c>
      <c r="Q156">
        <v>1</v>
      </c>
      <c r="R156">
        <v>0</v>
      </c>
      <c r="S156" s="2">
        <v>25500</v>
      </c>
      <c r="T156" s="4">
        <v>0.1164</v>
      </c>
      <c r="U156">
        <v>3</v>
      </c>
      <c r="V156">
        <v>1</v>
      </c>
      <c r="W156">
        <v>1</v>
      </c>
    </row>
    <row r="157" spans="1:23" ht="16.5" x14ac:dyDescent="0.3">
      <c r="A157" t="s">
        <v>207</v>
      </c>
      <c r="B157" s="1">
        <v>45312</v>
      </c>
      <c r="C157">
        <v>2024</v>
      </c>
      <c r="D157" t="s">
        <v>24</v>
      </c>
      <c r="E157" t="s">
        <v>25</v>
      </c>
      <c r="F157" t="s">
        <v>50</v>
      </c>
      <c r="G157" t="s">
        <v>51</v>
      </c>
      <c r="H157" t="s">
        <v>55</v>
      </c>
      <c r="I157" t="s">
        <v>29</v>
      </c>
      <c r="J157" t="s">
        <v>35</v>
      </c>
      <c r="K157" s="2">
        <v>3050</v>
      </c>
      <c r="L157" s="2">
        <v>422500</v>
      </c>
      <c r="M157">
        <v>180</v>
      </c>
      <c r="N157" s="3">
        <v>1.208</v>
      </c>
      <c r="O157" t="s">
        <v>17</v>
      </c>
      <c r="P157" t="s">
        <v>53</v>
      </c>
      <c r="Q157">
        <v>0</v>
      </c>
      <c r="R157">
        <v>1</v>
      </c>
      <c r="S157" s="2">
        <v>0</v>
      </c>
      <c r="T157" s="4"/>
      <c r="U157">
        <v>14</v>
      </c>
      <c r="V157">
        <v>1</v>
      </c>
      <c r="W157">
        <v>1</v>
      </c>
    </row>
    <row r="158" spans="1:23" ht="16.5" x14ac:dyDescent="0.3">
      <c r="A158" t="s">
        <v>208</v>
      </c>
      <c r="B158" s="1">
        <v>45312</v>
      </c>
      <c r="C158">
        <v>2024</v>
      </c>
      <c r="D158" t="s">
        <v>24</v>
      </c>
      <c r="E158" t="s">
        <v>25</v>
      </c>
      <c r="F158" t="s">
        <v>26</v>
      </c>
      <c r="G158" t="s">
        <v>45</v>
      </c>
      <c r="H158" t="s">
        <v>34</v>
      </c>
      <c r="I158" t="s">
        <v>42</v>
      </c>
      <c r="J158" t="s">
        <v>35</v>
      </c>
      <c r="K158" s="2">
        <v>9750</v>
      </c>
      <c r="L158" s="2">
        <v>19500</v>
      </c>
      <c r="M158">
        <v>36</v>
      </c>
      <c r="N158" s="3">
        <v>0.20399999999999999</v>
      </c>
      <c r="O158" t="s">
        <v>16</v>
      </c>
      <c r="Q158">
        <v>1</v>
      </c>
      <c r="R158">
        <v>0</v>
      </c>
      <c r="S158" s="2">
        <v>15500</v>
      </c>
      <c r="T158" s="4">
        <v>7.6399999999999996E-2</v>
      </c>
      <c r="U158">
        <v>4</v>
      </c>
      <c r="V158">
        <v>1</v>
      </c>
      <c r="W158">
        <v>1</v>
      </c>
    </row>
    <row r="159" spans="1:23" ht="16.5" x14ac:dyDescent="0.3">
      <c r="A159" t="s">
        <v>209</v>
      </c>
      <c r="B159" s="1">
        <v>45313</v>
      </c>
      <c r="C159">
        <v>2024</v>
      </c>
      <c r="D159" t="s">
        <v>24</v>
      </c>
      <c r="E159" t="s">
        <v>25</v>
      </c>
      <c r="F159" t="s">
        <v>37</v>
      </c>
      <c r="G159" t="s">
        <v>45</v>
      </c>
      <c r="H159" t="s">
        <v>55</v>
      </c>
      <c r="I159" t="s">
        <v>39</v>
      </c>
      <c r="J159" t="s">
        <v>52</v>
      </c>
      <c r="K159" s="2">
        <v>4700</v>
      </c>
      <c r="L159" s="2">
        <v>11000</v>
      </c>
      <c r="M159">
        <v>36</v>
      </c>
      <c r="N159" s="3">
        <v>0.216</v>
      </c>
      <c r="O159" t="s">
        <v>16</v>
      </c>
      <c r="Q159">
        <v>1</v>
      </c>
      <c r="R159">
        <v>0</v>
      </c>
      <c r="S159" s="2">
        <v>10000</v>
      </c>
      <c r="T159" s="4">
        <v>0.1128</v>
      </c>
      <c r="U159">
        <v>3</v>
      </c>
      <c r="V159">
        <v>1</v>
      </c>
      <c r="W159">
        <v>1</v>
      </c>
    </row>
    <row r="160" spans="1:23" ht="16.5" x14ac:dyDescent="0.3">
      <c r="A160" t="s">
        <v>210</v>
      </c>
      <c r="B160" s="1">
        <v>45313</v>
      </c>
      <c r="C160">
        <v>2024</v>
      </c>
      <c r="D160" t="s">
        <v>24</v>
      </c>
      <c r="E160" t="s">
        <v>25</v>
      </c>
      <c r="F160" t="s">
        <v>37</v>
      </c>
      <c r="G160" t="s">
        <v>27</v>
      </c>
      <c r="H160" t="s">
        <v>34</v>
      </c>
      <c r="I160" t="s">
        <v>42</v>
      </c>
      <c r="J160" t="s">
        <v>30</v>
      </c>
      <c r="K160" s="2">
        <v>8700</v>
      </c>
      <c r="L160" s="2">
        <v>11000</v>
      </c>
      <c r="M160">
        <v>12</v>
      </c>
      <c r="N160" s="3">
        <v>0.32100000000000001</v>
      </c>
      <c r="O160" t="s">
        <v>16</v>
      </c>
      <c r="Q160">
        <v>1</v>
      </c>
      <c r="R160">
        <v>0</v>
      </c>
      <c r="S160" s="2">
        <v>10000</v>
      </c>
      <c r="T160" s="4">
        <v>0.13919999999999999</v>
      </c>
      <c r="U160">
        <v>3</v>
      </c>
      <c r="V160">
        <v>1</v>
      </c>
      <c r="W160">
        <v>1</v>
      </c>
    </row>
    <row r="161" spans="1:23" ht="16.5" x14ac:dyDescent="0.3">
      <c r="A161" t="s">
        <v>211</v>
      </c>
      <c r="B161" s="1">
        <v>45313</v>
      </c>
      <c r="C161">
        <v>2024</v>
      </c>
      <c r="D161" t="s">
        <v>24</v>
      </c>
      <c r="E161" t="s">
        <v>25</v>
      </c>
      <c r="F161" t="s">
        <v>37</v>
      </c>
      <c r="G161" t="s">
        <v>51</v>
      </c>
      <c r="H161" t="s">
        <v>34</v>
      </c>
      <c r="I161" t="s">
        <v>42</v>
      </c>
      <c r="J161" t="s">
        <v>35</v>
      </c>
      <c r="K161" s="2">
        <v>5100</v>
      </c>
      <c r="L161" s="2">
        <v>6000</v>
      </c>
      <c r="M161">
        <v>48</v>
      </c>
      <c r="N161" s="3">
        <v>0.112</v>
      </c>
      <c r="O161" t="s">
        <v>16</v>
      </c>
      <c r="Q161">
        <v>1</v>
      </c>
      <c r="R161">
        <v>0</v>
      </c>
      <c r="S161" s="2">
        <v>5000</v>
      </c>
      <c r="T161" s="4">
        <v>0.12559999999999999</v>
      </c>
      <c r="U161">
        <v>3</v>
      </c>
      <c r="V161">
        <v>1</v>
      </c>
      <c r="W161">
        <v>1</v>
      </c>
    </row>
    <row r="162" spans="1:23" ht="16.5" x14ac:dyDescent="0.3">
      <c r="A162" t="s">
        <v>212</v>
      </c>
      <c r="B162" s="1">
        <v>45313</v>
      </c>
      <c r="C162">
        <v>2024</v>
      </c>
      <c r="D162" t="s">
        <v>24</v>
      </c>
      <c r="E162" t="s">
        <v>25</v>
      </c>
      <c r="F162" t="s">
        <v>26</v>
      </c>
      <c r="G162" t="s">
        <v>45</v>
      </c>
      <c r="H162" t="s">
        <v>34</v>
      </c>
      <c r="I162" t="s">
        <v>42</v>
      </c>
      <c r="J162" t="s">
        <v>35</v>
      </c>
      <c r="K162" s="2">
        <v>15200</v>
      </c>
      <c r="L162" s="2">
        <v>40000</v>
      </c>
      <c r="M162">
        <v>48</v>
      </c>
      <c r="N162" s="3">
        <v>0.13800000000000001</v>
      </c>
      <c r="O162" t="s">
        <v>17</v>
      </c>
      <c r="P162" t="s">
        <v>31</v>
      </c>
      <c r="Q162">
        <v>0</v>
      </c>
      <c r="R162">
        <v>1</v>
      </c>
      <c r="S162" s="2">
        <v>0</v>
      </c>
      <c r="T162" s="4"/>
      <c r="U162">
        <v>3</v>
      </c>
      <c r="V162">
        <v>1</v>
      </c>
      <c r="W162">
        <v>1</v>
      </c>
    </row>
    <row r="163" spans="1:23" ht="16.5" x14ac:dyDescent="0.3">
      <c r="A163" t="s">
        <v>213</v>
      </c>
      <c r="B163" s="1">
        <v>45313</v>
      </c>
      <c r="C163">
        <v>2024</v>
      </c>
      <c r="D163" t="s">
        <v>24</v>
      </c>
      <c r="E163" t="s">
        <v>25</v>
      </c>
      <c r="F163" t="s">
        <v>37</v>
      </c>
      <c r="G163" t="s">
        <v>51</v>
      </c>
      <c r="H163" t="s">
        <v>38</v>
      </c>
      <c r="I163" t="s">
        <v>42</v>
      </c>
      <c r="J163" t="s">
        <v>52</v>
      </c>
      <c r="K163" s="2">
        <v>5700</v>
      </c>
      <c r="L163" s="2">
        <v>11500</v>
      </c>
      <c r="M163">
        <v>12</v>
      </c>
      <c r="N163" s="3">
        <v>0.27</v>
      </c>
      <c r="O163" t="s">
        <v>16</v>
      </c>
      <c r="Q163">
        <v>1</v>
      </c>
      <c r="R163">
        <v>0</v>
      </c>
      <c r="S163" s="2">
        <v>10500</v>
      </c>
      <c r="T163" s="4">
        <v>0.1137</v>
      </c>
      <c r="U163">
        <v>8</v>
      </c>
      <c r="V163">
        <v>0</v>
      </c>
      <c r="W163">
        <v>1</v>
      </c>
    </row>
    <row r="164" spans="1:23" ht="16.5" x14ac:dyDescent="0.3">
      <c r="A164" t="s">
        <v>214</v>
      </c>
      <c r="B164" s="1">
        <v>45313</v>
      </c>
      <c r="C164">
        <v>2024</v>
      </c>
      <c r="D164" t="s">
        <v>24</v>
      </c>
      <c r="E164" t="s">
        <v>25</v>
      </c>
      <c r="F164" t="s">
        <v>37</v>
      </c>
      <c r="G164" t="s">
        <v>27</v>
      </c>
      <c r="H164" t="s">
        <v>55</v>
      </c>
      <c r="I164" t="s">
        <v>29</v>
      </c>
      <c r="J164" t="s">
        <v>35</v>
      </c>
      <c r="K164" s="2">
        <v>1750</v>
      </c>
      <c r="L164" s="2">
        <v>7000</v>
      </c>
      <c r="M164">
        <v>24</v>
      </c>
      <c r="N164" s="3">
        <v>0.34</v>
      </c>
      <c r="O164" t="s">
        <v>17</v>
      </c>
      <c r="P164" t="s">
        <v>60</v>
      </c>
      <c r="Q164">
        <v>0</v>
      </c>
      <c r="R164">
        <v>1</v>
      </c>
      <c r="S164" s="2">
        <v>0</v>
      </c>
      <c r="T164" s="4"/>
      <c r="U164">
        <v>7</v>
      </c>
      <c r="V164">
        <v>0</v>
      </c>
      <c r="W164">
        <v>1</v>
      </c>
    </row>
    <row r="165" spans="1:23" ht="16.5" x14ac:dyDescent="0.3">
      <c r="A165" t="s">
        <v>215</v>
      </c>
      <c r="B165" s="1">
        <v>45313</v>
      </c>
      <c r="C165">
        <v>2024</v>
      </c>
      <c r="D165" t="s">
        <v>24</v>
      </c>
      <c r="E165" t="s">
        <v>25</v>
      </c>
      <c r="F165" t="s">
        <v>26</v>
      </c>
      <c r="G165" t="s">
        <v>27</v>
      </c>
      <c r="H165" t="s">
        <v>34</v>
      </c>
      <c r="I165" t="s">
        <v>39</v>
      </c>
      <c r="J165" t="s">
        <v>30</v>
      </c>
      <c r="K165" s="2">
        <v>9500</v>
      </c>
      <c r="L165" s="2">
        <v>19500</v>
      </c>
      <c r="M165">
        <v>60</v>
      </c>
      <c r="N165" s="3">
        <v>0.23599999999999999</v>
      </c>
      <c r="O165" t="s">
        <v>17</v>
      </c>
      <c r="P165" t="s">
        <v>60</v>
      </c>
      <c r="Q165">
        <v>0</v>
      </c>
      <c r="R165">
        <v>1</v>
      </c>
      <c r="S165" s="2">
        <v>0</v>
      </c>
      <c r="T165" s="4"/>
      <c r="U165">
        <v>10</v>
      </c>
      <c r="V165">
        <v>0</v>
      </c>
      <c r="W165">
        <v>1</v>
      </c>
    </row>
    <row r="166" spans="1:23" ht="16.5" x14ac:dyDescent="0.3">
      <c r="A166" t="s">
        <v>216</v>
      </c>
      <c r="B166" s="1">
        <v>45313</v>
      </c>
      <c r="C166">
        <v>2024</v>
      </c>
      <c r="D166" t="s">
        <v>24</v>
      </c>
      <c r="E166" t="s">
        <v>25</v>
      </c>
      <c r="F166" t="s">
        <v>37</v>
      </c>
      <c r="G166" t="s">
        <v>51</v>
      </c>
      <c r="H166" t="s">
        <v>55</v>
      </c>
      <c r="I166" t="s">
        <v>42</v>
      </c>
      <c r="J166" t="s">
        <v>35</v>
      </c>
      <c r="K166" s="2">
        <v>7600</v>
      </c>
      <c r="L166" s="2">
        <v>23500</v>
      </c>
      <c r="M166">
        <v>48</v>
      </c>
      <c r="N166" s="3">
        <v>0.215</v>
      </c>
      <c r="O166" t="s">
        <v>16</v>
      </c>
      <c r="Q166">
        <v>1</v>
      </c>
      <c r="R166">
        <v>0</v>
      </c>
      <c r="S166" s="2">
        <v>21000</v>
      </c>
      <c r="T166" s="4">
        <v>0.1226</v>
      </c>
      <c r="U166">
        <v>2</v>
      </c>
      <c r="V166">
        <v>1</v>
      </c>
      <c r="W166">
        <v>1</v>
      </c>
    </row>
    <row r="167" spans="1:23" ht="16.5" x14ac:dyDescent="0.3">
      <c r="A167" t="s">
        <v>217</v>
      </c>
      <c r="B167" s="1">
        <v>45313</v>
      </c>
      <c r="C167">
        <v>2024</v>
      </c>
      <c r="D167" t="s">
        <v>24</v>
      </c>
      <c r="E167" t="s">
        <v>25</v>
      </c>
      <c r="F167" t="s">
        <v>41</v>
      </c>
      <c r="G167" t="s">
        <v>45</v>
      </c>
      <c r="H167" t="s">
        <v>55</v>
      </c>
      <c r="I167" t="s">
        <v>29</v>
      </c>
      <c r="J167" t="s">
        <v>30</v>
      </c>
      <c r="K167" s="2">
        <v>7300</v>
      </c>
      <c r="L167" s="2">
        <v>108000</v>
      </c>
      <c r="M167">
        <v>36</v>
      </c>
      <c r="N167" s="3">
        <v>0.57799999999999996</v>
      </c>
      <c r="O167" t="s">
        <v>17</v>
      </c>
      <c r="P167" t="s">
        <v>31</v>
      </c>
      <c r="Q167">
        <v>0</v>
      </c>
      <c r="R167">
        <v>1</v>
      </c>
      <c r="S167" s="2">
        <v>0</v>
      </c>
      <c r="T167" s="4"/>
      <c r="U167">
        <v>7</v>
      </c>
      <c r="V167">
        <v>1</v>
      </c>
      <c r="W167">
        <v>1</v>
      </c>
    </row>
    <row r="168" spans="1:23" ht="16.5" x14ac:dyDescent="0.3">
      <c r="A168" t="s">
        <v>218</v>
      </c>
      <c r="B168" s="1">
        <v>45314</v>
      </c>
      <c r="C168">
        <v>2024</v>
      </c>
      <c r="D168" t="s">
        <v>24</v>
      </c>
      <c r="E168" t="s">
        <v>25</v>
      </c>
      <c r="F168" t="s">
        <v>50</v>
      </c>
      <c r="G168" t="s">
        <v>51</v>
      </c>
      <c r="H168" t="s">
        <v>55</v>
      </c>
      <c r="I168" t="s">
        <v>29</v>
      </c>
      <c r="J168" t="s">
        <v>52</v>
      </c>
      <c r="K168" s="2">
        <v>5750</v>
      </c>
      <c r="L168" s="2">
        <v>191000</v>
      </c>
      <c r="M168">
        <v>180</v>
      </c>
      <c r="N168" s="3">
        <v>0.39800000000000002</v>
      </c>
      <c r="O168" t="s">
        <v>16</v>
      </c>
      <c r="Q168">
        <v>1</v>
      </c>
      <c r="R168">
        <v>0</v>
      </c>
      <c r="S168" s="2">
        <v>191000</v>
      </c>
      <c r="T168" s="4">
        <v>4.6600000000000003E-2</v>
      </c>
      <c r="U168">
        <v>18</v>
      </c>
      <c r="V168">
        <v>0</v>
      </c>
      <c r="W168">
        <v>1</v>
      </c>
    </row>
    <row r="169" spans="1:23" ht="16.5" x14ac:dyDescent="0.3">
      <c r="A169" t="s">
        <v>219</v>
      </c>
      <c r="B169" s="1">
        <v>45314</v>
      </c>
      <c r="C169">
        <v>2024</v>
      </c>
      <c r="D169" t="s">
        <v>24</v>
      </c>
      <c r="E169" t="s">
        <v>25</v>
      </c>
      <c r="F169" t="s">
        <v>26</v>
      </c>
      <c r="G169" t="s">
        <v>27</v>
      </c>
      <c r="H169" t="s">
        <v>38</v>
      </c>
      <c r="I169" t="s">
        <v>42</v>
      </c>
      <c r="J169" t="s">
        <v>43</v>
      </c>
      <c r="K169" s="2">
        <v>6300</v>
      </c>
      <c r="L169" s="2">
        <v>32000</v>
      </c>
      <c r="M169">
        <v>48</v>
      </c>
      <c r="N169" s="3">
        <v>0.26500000000000001</v>
      </c>
      <c r="O169" t="s">
        <v>17</v>
      </c>
      <c r="P169" t="s">
        <v>65</v>
      </c>
      <c r="Q169">
        <v>0</v>
      </c>
      <c r="R169">
        <v>1</v>
      </c>
      <c r="S169" s="2">
        <v>0</v>
      </c>
      <c r="T169" s="4"/>
      <c r="U169">
        <v>5</v>
      </c>
      <c r="V169">
        <v>0</v>
      </c>
      <c r="W169">
        <v>1</v>
      </c>
    </row>
    <row r="170" spans="1:23" ht="16.5" x14ac:dyDescent="0.3">
      <c r="A170" t="s">
        <v>220</v>
      </c>
      <c r="B170" s="1">
        <v>45314</v>
      </c>
      <c r="C170">
        <v>2024</v>
      </c>
      <c r="D170" t="s">
        <v>24</v>
      </c>
      <c r="E170" t="s">
        <v>25</v>
      </c>
      <c r="F170" t="s">
        <v>37</v>
      </c>
      <c r="G170" t="s">
        <v>33</v>
      </c>
      <c r="H170" t="s">
        <v>34</v>
      </c>
      <c r="I170" t="s">
        <v>42</v>
      </c>
      <c r="J170" t="s">
        <v>35</v>
      </c>
      <c r="K170" s="2">
        <v>7950</v>
      </c>
      <c r="L170" s="2">
        <v>12000</v>
      </c>
      <c r="M170">
        <v>48</v>
      </c>
      <c r="N170" s="3">
        <v>0.22500000000000001</v>
      </c>
      <c r="O170" t="s">
        <v>16</v>
      </c>
      <c r="Q170">
        <v>1</v>
      </c>
      <c r="R170">
        <v>0</v>
      </c>
      <c r="S170" s="2">
        <v>11000</v>
      </c>
      <c r="T170" s="4">
        <v>0.1295</v>
      </c>
      <c r="U170">
        <v>3</v>
      </c>
      <c r="V170">
        <v>1</v>
      </c>
      <c r="W170">
        <v>1</v>
      </c>
    </row>
    <row r="171" spans="1:23" ht="16.5" x14ac:dyDescent="0.3">
      <c r="A171" t="s">
        <v>221</v>
      </c>
      <c r="B171" s="1">
        <v>45314</v>
      </c>
      <c r="C171">
        <v>2024</v>
      </c>
      <c r="D171" t="s">
        <v>24</v>
      </c>
      <c r="E171" t="s">
        <v>25</v>
      </c>
      <c r="F171" t="s">
        <v>26</v>
      </c>
      <c r="G171" t="s">
        <v>27</v>
      </c>
      <c r="H171" t="s">
        <v>34</v>
      </c>
      <c r="I171" t="s">
        <v>29</v>
      </c>
      <c r="J171" t="s">
        <v>35</v>
      </c>
      <c r="K171" s="2">
        <v>4200</v>
      </c>
      <c r="L171" s="2">
        <v>11500</v>
      </c>
      <c r="M171">
        <v>48</v>
      </c>
      <c r="N171" s="3">
        <v>0.156</v>
      </c>
      <c r="O171" t="s">
        <v>16</v>
      </c>
      <c r="Q171">
        <v>1</v>
      </c>
      <c r="R171">
        <v>0</v>
      </c>
      <c r="S171" s="2">
        <v>11500</v>
      </c>
      <c r="T171" s="4">
        <v>8.4000000000000005E-2</v>
      </c>
      <c r="U171">
        <v>4</v>
      </c>
      <c r="V171">
        <v>1</v>
      </c>
      <c r="W171">
        <v>1</v>
      </c>
    </row>
    <row r="172" spans="1:23" ht="16.5" x14ac:dyDescent="0.3">
      <c r="A172" t="s">
        <v>222</v>
      </c>
      <c r="B172" s="1">
        <v>45314</v>
      </c>
      <c r="C172">
        <v>2024</v>
      </c>
      <c r="D172" t="s">
        <v>24</v>
      </c>
      <c r="E172" t="s">
        <v>25</v>
      </c>
      <c r="F172" t="s">
        <v>37</v>
      </c>
      <c r="G172" t="s">
        <v>51</v>
      </c>
      <c r="H172" t="s">
        <v>28</v>
      </c>
      <c r="I172" t="s">
        <v>29</v>
      </c>
      <c r="J172" t="s">
        <v>35</v>
      </c>
      <c r="K172" s="2">
        <v>5300</v>
      </c>
      <c r="L172" s="2">
        <v>8500</v>
      </c>
      <c r="M172">
        <v>12</v>
      </c>
      <c r="N172" s="3">
        <v>0.20699999999999999</v>
      </c>
      <c r="O172" t="s">
        <v>16</v>
      </c>
      <c r="Q172">
        <v>1</v>
      </c>
      <c r="R172">
        <v>0</v>
      </c>
      <c r="S172" s="2">
        <v>7500</v>
      </c>
      <c r="T172" s="4">
        <v>0.12570000000000001</v>
      </c>
      <c r="U172">
        <v>5</v>
      </c>
      <c r="V172">
        <v>0</v>
      </c>
      <c r="W172">
        <v>1</v>
      </c>
    </row>
    <row r="173" spans="1:23" ht="16.5" x14ac:dyDescent="0.3">
      <c r="A173" t="s">
        <v>223</v>
      </c>
      <c r="B173" s="1">
        <v>45314</v>
      </c>
      <c r="C173">
        <v>2024</v>
      </c>
      <c r="D173" t="s">
        <v>24</v>
      </c>
      <c r="E173" t="s">
        <v>25</v>
      </c>
      <c r="F173" t="s">
        <v>37</v>
      </c>
      <c r="G173" t="s">
        <v>27</v>
      </c>
      <c r="H173" t="s">
        <v>64</v>
      </c>
      <c r="I173" t="s">
        <v>29</v>
      </c>
      <c r="J173" t="s">
        <v>30</v>
      </c>
      <c r="K173" s="2">
        <v>7450</v>
      </c>
      <c r="L173" s="2">
        <v>6500</v>
      </c>
      <c r="M173">
        <v>60</v>
      </c>
      <c r="N173" s="3">
        <v>0.254</v>
      </c>
      <c r="O173" t="s">
        <v>17</v>
      </c>
      <c r="P173" t="s">
        <v>31</v>
      </c>
      <c r="Q173">
        <v>0</v>
      </c>
      <c r="R173">
        <v>1</v>
      </c>
      <c r="S173" s="2">
        <v>0</v>
      </c>
      <c r="T173" s="4"/>
      <c r="U173">
        <v>2</v>
      </c>
      <c r="V173">
        <v>1</v>
      </c>
      <c r="W173">
        <v>1</v>
      </c>
    </row>
    <row r="174" spans="1:23" ht="16.5" x14ac:dyDescent="0.3">
      <c r="A174" t="s">
        <v>224</v>
      </c>
      <c r="B174" s="1">
        <v>45314</v>
      </c>
      <c r="C174">
        <v>2024</v>
      </c>
      <c r="D174" t="s">
        <v>24</v>
      </c>
      <c r="E174" t="s">
        <v>25</v>
      </c>
      <c r="F174" t="s">
        <v>26</v>
      </c>
      <c r="G174" t="s">
        <v>45</v>
      </c>
      <c r="H174" t="s">
        <v>28</v>
      </c>
      <c r="I174" t="s">
        <v>29</v>
      </c>
      <c r="J174" t="s">
        <v>30</v>
      </c>
      <c r="K174" s="2">
        <v>5600</v>
      </c>
      <c r="L174" s="2">
        <v>40000</v>
      </c>
      <c r="M174">
        <v>48</v>
      </c>
      <c r="N174" s="3">
        <v>0.23799999999999999</v>
      </c>
      <c r="O174" t="s">
        <v>17</v>
      </c>
      <c r="P174" t="s">
        <v>31</v>
      </c>
      <c r="Q174">
        <v>0</v>
      </c>
      <c r="R174">
        <v>1</v>
      </c>
      <c r="S174" s="2">
        <v>0</v>
      </c>
      <c r="T174" s="4"/>
      <c r="U174">
        <v>5</v>
      </c>
      <c r="V174">
        <v>0</v>
      </c>
      <c r="W174">
        <v>1</v>
      </c>
    </row>
    <row r="175" spans="1:23" ht="16.5" x14ac:dyDescent="0.3">
      <c r="A175" t="s">
        <v>225</v>
      </c>
      <c r="B175" s="1">
        <v>45314</v>
      </c>
      <c r="C175">
        <v>2024</v>
      </c>
      <c r="D175" t="s">
        <v>24</v>
      </c>
      <c r="E175" t="s">
        <v>25</v>
      </c>
      <c r="F175" t="s">
        <v>26</v>
      </c>
      <c r="G175" t="s">
        <v>51</v>
      </c>
      <c r="H175" t="s">
        <v>28</v>
      </c>
      <c r="I175" t="s">
        <v>39</v>
      </c>
      <c r="J175" t="s">
        <v>52</v>
      </c>
      <c r="K175" s="2">
        <v>5000</v>
      </c>
      <c r="L175" s="2">
        <v>38500</v>
      </c>
      <c r="M175">
        <v>36</v>
      </c>
      <c r="N175" s="3">
        <v>0.40799999999999997</v>
      </c>
      <c r="O175" t="s">
        <v>16</v>
      </c>
      <c r="Q175">
        <v>1</v>
      </c>
      <c r="R175">
        <v>0</v>
      </c>
      <c r="S175" s="2">
        <v>34500</v>
      </c>
      <c r="T175" s="4">
        <v>6.5799999999999997E-2</v>
      </c>
      <c r="U175">
        <v>3</v>
      </c>
      <c r="V175">
        <v>1</v>
      </c>
      <c r="W175">
        <v>1</v>
      </c>
    </row>
    <row r="176" spans="1:23" ht="16.5" x14ac:dyDescent="0.3">
      <c r="A176" t="s">
        <v>226</v>
      </c>
      <c r="B176" s="1">
        <v>45314</v>
      </c>
      <c r="C176">
        <v>2024</v>
      </c>
      <c r="D176" t="s">
        <v>24</v>
      </c>
      <c r="E176" t="s">
        <v>25</v>
      </c>
      <c r="F176" t="s">
        <v>41</v>
      </c>
      <c r="G176" t="s">
        <v>27</v>
      </c>
      <c r="H176" t="s">
        <v>38</v>
      </c>
      <c r="I176" t="s">
        <v>39</v>
      </c>
      <c r="J176" t="s">
        <v>46</v>
      </c>
      <c r="K176" s="2">
        <v>5100</v>
      </c>
      <c r="L176" s="2">
        <v>164500</v>
      </c>
      <c r="M176">
        <v>24</v>
      </c>
      <c r="N176" s="3">
        <v>1.6379999999999999</v>
      </c>
      <c r="O176" t="s">
        <v>17</v>
      </c>
      <c r="P176" t="s">
        <v>53</v>
      </c>
      <c r="Q176">
        <v>0</v>
      </c>
      <c r="R176">
        <v>1</v>
      </c>
      <c r="S176" s="2">
        <v>0</v>
      </c>
      <c r="T176" s="4"/>
      <c r="U176">
        <v>16</v>
      </c>
      <c r="V176">
        <v>0</v>
      </c>
      <c r="W176">
        <v>1</v>
      </c>
    </row>
    <row r="177" spans="1:23" ht="16.5" x14ac:dyDescent="0.3">
      <c r="A177" t="s">
        <v>227</v>
      </c>
      <c r="B177" s="1">
        <v>45315</v>
      </c>
      <c r="C177">
        <v>2024</v>
      </c>
      <c r="D177" t="s">
        <v>24</v>
      </c>
      <c r="E177" t="s">
        <v>25</v>
      </c>
      <c r="F177" t="s">
        <v>37</v>
      </c>
      <c r="G177" t="s">
        <v>45</v>
      </c>
      <c r="H177" t="s">
        <v>38</v>
      </c>
      <c r="I177" t="s">
        <v>29</v>
      </c>
      <c r="J177" t="s">
        <v>52</v>
      </c>
      <c r="K177" s="2">
        <v>3550</v>
      </c>
      <c r="L177" s="2">
        <v>17000</v>
      </c>
      <c r="M177">
        <v>36</v>
      </c>
      <c r="N177" s="3">
        <v>0.26100000000000001</v>
      </c>
      <c r="O177" t="s">
        <v>16</v>
      </c>
      <c r="Q177">
        <v>1</v>
      </c>
      <c r="R177">
        <v>0</v>
      </c>
      <c r="S177" s="2">
        <v>13500</v>
      </c>
      <c r="T177" s="4">
        <v>0.1163</v>
      </c>
      <c r="U177">
        <v>3</v>
      </c>
      <c r="V177">
        <v>1</v>
      </c>
      <c r="W177">
        <v>1</v>
      </c>
    </row>
    <row r="178" spans="1:23" ht="16.5" x14ac:dyDescent="0.3">
      <c r="A178" t="s">
        <v>228</v>
      </c>
      <c r="B178" s="1">
        <v>45315</v>
      </c>
      <c r="C178">
        <v>2024</v>
      </c>
      <c r="D178" t="s">
        <v>24</v>
      </c>
      <c r="E178" t="s">
        <v>25</v>
      </c>
      <c r="F178" t="s">
        <v>50</v>
      </c>
      <c r="G178" t="s">
        <v>27</v>
      </c>
      <c r="H178" t="s">
        <v>34</v>
      </c>
      <c r="I178" t="s">
        <v>29</v>
      </c>
      <c r="J178" t="s">
        <v>35</v>
      </c>
      <c r="K178" s="2">
        <v>16850</v>
      </c>
      <c r="L178" s="2">
        <v>402500</v>
      </c>
      <c r="M178">
        <v>240</v>
      </c>
      <c r="N178" s="3">
        <v>0.28299999999999997</v>
      </c>
      <c r="O178" t="s">
        <v>16</v>
      </c>
      <c r="Q178">
        <v>1</v>
      </c>
      <c r="R178">
        <v>0</v>
      </c>
      <c r="S178" s="2">
        <v>402500</v>
      </c>
      <c r="T178" s="4">
        <v>5.6899999999999999E-2</v>
      </c>
      <c r="U178">
        <v>11</v>
      </c>
      <c r="V178">
        <v>1</v>
      </c>
      <c r="W178">
        <v>1</v>
      </c>
    </row>
    <row r="179" spans="1:23" ht="16.5" x14ac:dyDescent="0.3">
      <c r="A179" t="s">
        <v>229</v>
      </c>
      <c r="B179" s="1">
        <v>45315</v>
      </c>
      <c r="C179">
        <v>2024</v>
      </c>
      <c r="D179" t="s">
        <v>24</v>
      </c>
      <c r="E179" t="s">
        <v>25</v>
      </c>
      <c r="F179" t="s">
        <v>41</v>
      </c>
      <c r="G179" t="s">
        <v>27</v>
      </c>
      <c r="H179" t="s">
        <v>38</v>
      </c>
      <c r="I179" t="s">
        <v>29</v>
      </c>
      <c r="J179" t="s">
        <v>35</v>
      </c>
      <c r="K179" s="2">
        <v>3400</v>
      </c>
      <c r="L179" s="2">
        <v>107000</v>
      </c>
      <c r="M179">
        <v>36</v>
      </c>
      <c r="N179" s="3">
        <v>1.2070000000000001</v>
      </c>
      <c r="O179" t="s">
        <v>17</v>
      </c>
      <c r="P179" t="s">
        <v>53</v>
      </c>
      <c r="Q179">
        <v>0</v>
      </c>
      <c r="R179">
        <v>1</v>
      </c>
      <c r="S179" s="2">
        <v>0</v>
      </c>
      <c r="T179" s="4"/>
      <c r="U179">
        <v>13</v>
      </c>
      <c r="V179">
        <v>0</v>
      </c>
      <c r="W179">
        <v>1</v>
      </c>
    </row>
    <row r="180" spans="1:23" ht="16.5" x14ac:dyDescent="0.3">
      <c r="A180" t="s">
        <v>230</v>
      </c>
      <c r="B180" s="1">
        <v>45315</v>
      </c>
      <c r="C180">
        <v>2024</v>
      </c>
      <c r="D180" t="s">
        <v>24</v>
      </c>
      <c r="E180" t="s">
        <v>25</v>
      </c>
      <c r="F180" t="s">
        <v>41</v>
      </c>
      <c r="G180" t="s">
        <v>45</v>
      </c>
      <c r="H180" t="s">
        <v>55</v>
      </c>
      <c r="I180" t="s">
        <v>39</v>
      </c>
      <c r="J180" t="s">
        <v>46</v>
      </c>
      <c r="K180" s="2">
        <v>5850</v>
      </c>
      <c r="L180" s="2">
        <v>68000</v>
      </c>
      <c r="M180">
        <v>60</v>
      </c>
      <c r="N180" s="3">
        <v>0.316</v>
      </c>
      <c r="O180" t="s">
        <v>16</v>
      </c>
      <c r="Q180">
        <v>1</v>
      </c>
      <c r="R180">
        <v>0</v>
      </c>
      <c r="S180" s="2">
        <v>54500</v>
      </c>
      <c r="T180" s="4">
        <v>8.7900000000000006E-2</v>
      </c>
      <c r="U180">
        <v>6</v>
      </c>
      <c r="V180">
        <v>1</v>
      </c>
      <c r="W180">
        <v>1</v>
      </c>
    </row>
    <row r="181" spans="1:23" ht="16.5" x14ac:dyDescent="0.3">
      <c r="A181" t="s">
        <v>231</v>
      </c>
      <c r="B181" s="1">
        <v>45315</v>
      </c>
      <c r="C181">
        <v>2024</v>
      </c>
      <c r="D181" t="s">
        <v>24</v>
      </c>
      <c r="E181" t="s">
        <v>25</v>
      </c>
      <c r="F181" t="s">
        <v>41</v>
      </c>
      <c r="G181" t="s">
        <v>51</v>
      </c>
      <c r="H181" t="s">
        <v>38</v>
      </c>
      <c r="I181" t="s">
        <v>29</v>
      </c>
      <c r="J181" t="s">
        <v>35</v>
      </c>
      <c r="K181" s="2">
        <v>7000</v>
      </c>
      <c r="L181" s="2">
        <v>56000</v>
      </c>
      <c r="M181">
        <v>60</v>
      </c>
      <c r="N181" s="3">
        <v>0.32600000000000001</v>
      </c>
      <c r="O181" t="s">
        <v>16</v>
      </c>
      <c r="Q181">
        <v>1</v>
      </c>
      <c r="R181">
        <v>0</v>
      </c>
      <c r="S181" s="2">
        <v>56000</v>
      </c>
      <c r="T181" s="4">
        <v>0.1099</v>
      </c>
      <c r="U181">
        <v>21</v>
      </c>
      <c r="V181">
        <v>0</v>
      </c>
      <c r="W181">
        <v>1</v>
      </c>
    </row>
    <row r="182" spans="1:23" ht="16.5" x14ac:dyDescent="0.3">
      <c r="A182" t="s">
        <v>232</v>
      </c>
      <c r="B182" s="1">
        <v>45315</v>
      </c>
      <c r="C182">
        <v>2024</v>
      </c>
      <c r="D182" t="s">
        <v>24</v>
      </c>
      <c r="E182" t="s">
        <v>25</v>
      </c>
      <c r="F182" t="s">
        <v>50</v>
      </c>
      <c r="G182" t="s">
        <v>33</v>
      </c>
      <c r="H182" t="s">
        <v>38</v>
      </c>
      <c r="I182" t="s">
        <v>29</v>
      </c>
      <c r="J182" t="s">
        <v>35</v>
      </c>
      <c r="K182" s="2">
        <v>5250</v>
      </c>
      <c r="L182" s="2">
        <v>206500</v>
      </c>
      <c r="M182">
        <v>240</v>
      </c>
      <c r="N182" s="3">
        <v>0.45300000000000001</v>
      </c>
      <c r="O182" t="s">
        <v>16</v>
      </c>
      <c r="Q182">
        <v>1</v>
      </c>
      <c r="R182">
        <v>0</v>
      </c>
      <c r="S182" s="2">
        <v>165000</v>
      </c>
      <c r="T182" s="4">
        <v>6.0400000000000002E-2</v>
      </c>
      <c r="U182">
        <v>7</v>
      </c>
      <c r="V182">
        <v>1</v>
      </c>
      <c r="W182">
        <v>1</v>
      </c>
    </row>
    <row r="183" spans="1:23" ht="16.5" x14ac:dyDescent="0.3">
      <c r="A183" t="s">
        <v>233</v>
      </c>
      <c r="B183" s="1">
        <v>45315</v>
      </c>
      <c r="C183">
        <v>2024</v>
      </c>
      <c r="D183" t="s">
        <v>24</v>
      </c>
      <c r="E183" t="s">
        <v>25</v>
      </c>
      <c r="F183" t="s">
        <v>37</v>
      </c>
      <c r="G183" t="s">
        <v>51</v>
      </c>
      <c r="H183" t="s">
        <v>38</v>
      </c>
      <c r="I183" t="s">
        <v>42</v>
      </c>
      <c r="J183" t="s">
        <v>35</v>
      </c>
      <c r="K183" s="2">
        <v>4800</v>
      </c>
      <c r="L183" s="2">
        <v>11000</v>
      </c>
      <c r="M183">
        <v>36</v>
      </c>
      <c r="N183" s="3">
        <v>0.23</v>
      </c>
      <c r="O183" t="s">
        <v>17</v>
      </c>
      <c r="P183" t="s">
        <v>60</v>
      </c>
      <c r="Q183">
        <v>0</v>
      </c>
      <c r="R183">
        <v>1</v>
      </c>
      <c r="S183" s="2">
        <v>0</v>
      </c>
      <c r="T183" s="4"/>
      <c r="U183">
        <v>7</v>
      </c>
      <c r="V183">
        <v>0</v>
      </c>
      <c r="W183">
        <v>1</v>
      </c>
    </row>
    <row r="184" spans="1:23" ht="16.5" x14ac:dyDescent="0.3">
      <c r="A184" t="s">
        <v>234</v>
      </c>
      <c r="B184" s="1">
        <v>45315</v>
      </c>
      <c r="C184">
        <v>2024</v>
      </c>
      <c r="D184" t="s">
        <v>24</v>
      </c>
      <c r="E184" t="s">
        <v>25</v>
      </c>
      <c r="F184" t="s">
        <v>37</v>
      </c>
      <c r="G184" t="s">
        <v>51</v>
      </c>
      <c r="H184" t="s">
        <v>34</v>
      </c>
      <c r="I184" t="s">
        <v>29</v>
      </c>
      <c r="J184" t="s">
        <v>35</v>
      </c>
      <c r="K184" s="2">
        <v>4500</v>
      </c>
      <c r="L184" s="2">
        <v>8000</v>
      </c>
      <c r="M184">
        <v>24</v>
      </c>
      <c r="N184" s="3">
        <v>0.29599999999999999</v>
      </c>
      <c r="O184" t="s">
        <v>16</v>
      </c>
      <c r="Q184">
        <v>1</v>
      </c>
      <c r="R184">
        <v>0</v>
      </c>
      <c r="S184" s="2">
        <v>6500</v>
      </c>
      <c r="T184" s="4">
        <v>0.1216</v>
      </c>
      <c r="U184">
        <v>5</v>
      </c>
      <c r="V184">
        <v>0</v>
      </c>
      <c r="W184">
        <v>1</v>
      </c>
    </row>
    <row r="185" spans="1:23" ht="16.5" x14ac:dyDescent="0.3">
      <c r="A185" t="s">
        <v>235</v>
      </c>
      <c r="B185" s="1">
        <v>45316</v>
      </c>
      <c r="C185">
        <v>2024</v>
      </c>
      <c r="D185" t="s">
        <v>24</v>
      </c>
      <c r="E185" t="s">
        <v>25</v>
      </c>
      <c r="F185" t="s">
        <v>41</v>
      </c>
      <c r="G185" t="s">
        <v>45</v>
      </c>
      <c r="H185" t="s">
        <v>38</v>
      </c>
      <c r="I185" t="s">
        <v>29</v>
      </c>
      <c r="J185" t="s">
        <v>52</v>
      </c>
      <c r="K185" s="2">
        <v>5200</v>
      </c>
      <c r="L185" s="2">
        <v>79500</v>
      </c>
      <c r="M185">
        <v>36</v>
      </c>
      <c r="N185" s="3">
        <v>0.624</v>
      </c>
      <c r="O185" t="s">
        <v>16</v>
      </c>
      <c r="Q185">
        <v>1</v>
      </c>
      <c r="R185">
        <v>0</v>
      </c>
      <c r="S185" s="2">
        <v>79500</v>
      </c>
      <c r="T185" s="4">
        <v>9.0700000000000003E-2</v>
      </c>
      <c r="U185">
        <v>4</v>
      </c>
      <c r="V185">
        <v>1</v>
      </c>
      <c r="W185">
        <v>1</v>
      </c>
    </row>
    <row r="186" spans="1:23" ht="16.5" x14ac:dyDescent="0.3">
      <c r="A186" t="s">
        <v>236</v>
      </c>
      <c r="B186" s="1">
        <v>45316</v>
      </c>
      <c r="C186">
        <v>2024</v>
      </c>
      <c r="D186" t="s">
        <v>24</v>
      </c>
      <c r="E186" t="s">
        <v>25</v>
      </c>
      <c r="F186" t="s">
        <v>37</v>
      </c>
      <c r="G186" t="s">
        <v>51</v>
      </c>
      <c r="H186" t="s">
        <v>34</v>
      </c>
      <c r="I186" t="s">
        <v>29</v>
      </c>
      <c r="J186" t="s">
        <v>46</v>
      </c>
      <c r="K186" s="2">
        <v>5100</v>
      </c>
      <c r="L186" s="2">
        <v>12000</v>
      </c>
      <c r="M186">
        <v>48</v>
      </c>
      <c r="N186" s="3">
        <v>0.13500000000000001</v>
      </c>
      <c r="O186" t="s">
        <v>16</v>
      </c>
      <c r="Q186">
        <v>1</v>
      </c>
      <c r="R186">
        <v>0</v>
      </c>
      <c r="S186" s="2">
        <v>9500</v>
      </c>
      <c r="T186" s="4">
        <v>0.1128</v>
      </c>
      <c r="U186">
        <v>6</v>
      </c>
      <c r="V186">
        <v>0</v>
      </c>
      <c r="W186">
        <v>1</v>
      </c>
    </row>
    <row r="187" spans="1:23" ht="16.5" x14ac:dyDescent="0.3">
      <c r="A187" t="s">
        <v>237</v>
      </c>
      <c r="B187" s="1">
        <v>45316</v>
      </c>
      <c r="C187">
        <v>2024</v>
      </c>
      <c r="D187" t="s">
        <v>24</v>
      </c>
      <c r="E187" t="s">
        <v>25</v>
      </c>
      <c r="F187" t="s">
        <v>41</v>
      </c>
      <c r="G187" t="s">
        <v>33</v>
      </c>
      <c r="H187" t="s">
        <v>28</v>
      </c>
      <c r="I187" t="s">
        <v>29</v>
      </c>
      <c r="J187" t="s">
        <v>35</v>
      </c>
      <c r="K187" s="2">
        <v>4600</v>
      </c>
      <c r="L187" s="2">
        <v>56000</v>
      </c>
      <c r="M187">
        <v>60</v>
      </c>
      <c r="N187" s="3">
        <v>0.36</v>
      </c>
      <c r="O187" t="s">
        <v>16</v>
      </c>
      <c r="Q187">
        <v>1</v>
      </c>
      <c r="R187">
        <v>0</v>
      </c>
      <c r="S187" s="2">
        <v>50500</v>
      </c>
      <c r="T187" s="4">
        <v>0.1079</v>
      </c>
      <c r="U187">
        <v>4</v>
      </c>
      <c r="V187">
        <v>1</v>
      </c>
      <c r="W187">
        <v>1</v>
      </c>
    </row>
    <row r="188" spans="1:23" ht="16.5" x14ac:dyDescent="0.3">
      <c r="A188" t="s">
        <v>238</v>
      </c>
      <c r="B188" s="1">
        <v>45316</v>
      </c>
      <c r="C188">
        <v>2024</v>
      </c>
      <c r="D188" t="s">
        <v>24</v>
      </c>
      <c r="E188" t="s">
        <v>25</v>
      </c>
      <c r="F188" t="s">
        <v>41</v>
      </c>
      <c r="G188" t="s">
        <v>27</v>
      </c>
      <c r="H188" t="s">
        <v>55</v>
      </c>
      <c r="I188" t="s">
        <v>29</v>
      </c>
      <c r="J188" t="s">
        <v>43</v>
      </c>
      <c r="K188" s="2">
        <v>6000</v>
      </c>
      <c r="L188" s="2">
        <v>112000</v>
      </c>
      <c r="M188">
        <v>24</v>
      </c>
      <c r="N188" s="3">
        <v>1.1060000000000001</v>
      </c>
      <c r="O188" t="s">
        <v>17</v>
      </c>
      <c r="P188" t="s">
        <v>31</v>
      </c>
      <c r="Q188">
        <v>0</v>
      </c>
      <c r="R188">
        <v>1</v>
      </c>
      <c r="S188" s="2">
        <v>0</v>
      </c>
      <c r="T188" s="4"/>
      <c r="U188">
        <v>14</v>
      </c>
      <c r="V188">
        <v>0</v>
      </c>
      <c r="W188">
        <v>1</v>
      </c>
    </row>
    <row r="189" spans="1:23" ht="16.5" x14ac:dyDescent="0.3">
      <c r="A189" t="s">
        <v>239</v>
      </c>
      <c r="B189" s="1">
        <v>45316</v>
      </c>
      <c r="C189">
        <v>2024</v>
      </c>
      <c r="D189" t="s">
        <v>24</v>
      </c>
      <c r="E189" t="s">
        <v>25</v>
      </c>
      <c r="F189" t="s">
        <v>37</v>
      </c>
      <c r="G189" t="s">
        <v>45</v>
      </c>
      <c r="H189" t="s">
        <v>64</v>
      </c>
      <c r="I189" t="s">
        <v>29</v>
      </c>
      <c r="J189" t="s">
        <v>30</v>
      </c>
      <c r="K189" s="2">
        <v>7650</v>
      </c>
      <c r="L189" s="2">
        <v>11500</v>
      </c>
      <c r="M189">
        <v>36</v>
      </c>
      <c r="N189" s="3">
        <v>0.158</v>
      </c>
      <c r="O189" t="s">
        <v>16</v>
      </c>
      <c r="Q189">
        <v>1</v>
      </c>
      <c r="R189">
        <v>0</v>
      </c>
      <c r="S189" s="2">
        <v>11500</v>
      </c>
      <c r="T189" s="4">
        <v>0.13919999999999999</v>
      </c>
      <c r="U189">
        <v>3</v>
      </c>
      <c r="V189">
        <v>1</v>
      </c>
      <c r="W189">
        <v>1</v>
      </c>
    </row>
    <row r="190" spans="1:23" ht="16.5" x14ac:dyDescent="0.3">
      <c r="A190" t="s">
        <v>240</v>
      </c>
      <c r="B190" s="1">
        <v>45316</v>
      </c>
      <c r="C190">
        <v>2024</v>
      </c>
      <c r="D190" t="s">
        <v>24</v>
      </c>
      <c r="E190" t="s">
        <v>25</v>
      </c>
      <c r="F190" t="s">
        <v>37</v>
      </c>
      <c r="G190" t="s">
        <v>45</v>
      </c>
      <c r="H190" t="s">
        <v>28</v>
      </c>
      <c r="I190" t="s">
        <v>39</v>
      </c>
      <c r="J190" t="s">
        <v>35</v>
      </c>
      <c r="K190" s="2">
        <v>3200</v>
      </c>
      <c r="L190" s="2">
        <v>10500</v>
      </c>
      <c r="M190">
        <v>12</v>
      </c>
      <c r="N190" s="3">
        <v>0.502</v>
      </c>
      <c r="O190" t="s">
        <v>17</v>
      </c>
      <c r="P190" t="s">
        <v>53</v>
      </c>
      <c r="Q190">
        <v>0</v>
      </c>
      <c r="R190">
        <v>1</v>
      </c>
      <c r="S190" s="2">
        <v>0</v>
      </c>
      <c r="T190" s="4"/>
      <c r="U190">
        <v>1</v>
      </c>
      <c r="V190">
        <v>1</v>
      </c>
      <c r="W190">
        <v>1</v>
      </c>
    </row>
    <row r="191" spans="1:23" ht="16.5" x14ac:dyDescent="0.3">
      <c r="A191" t="s">
        <v>241</v>
      </c>
      <c r="B191" s="1">
        <v>45316</v>
      </c>
      <c r="C191">
        <v>2024</v>
      </c>
      <c r="D191" t="s">
        <v>24</v>
      </c>
      <c r="E191" t="s">
        <v>25</v>
      </c>
      <c r="F191" t="s">
        <v>50</v>
      </c>
      <c r="G191" t="s">
        <v>45</v>
      </c>
      <c r="H191" t="s">
        <v>38</v>
      </c>
      <c r="I191" t="s">
        <v>29</v>
      </c>
      <c r="J191" t="s">
        <v>43</v>
      </c>
      <c r="K191" s="2">
        <v>11450</v>
      </c>
      <c r="L191" s="2">
        <v>402500</v>
      </c>
      <c r="M191">
        <v>240</v>
      </c>
      <c r="N191" s="3">
        <v>0.42</v>
      </c>
      <c r="O191" t="s">
        <v>17</v>
      </c>
      <c r="P191" t="s">
        <v>65</v>
      </c>
      <c r="Q191">
        <v>0</v>
      </c>
      <c r="R191">
        <v>1</v>
      </c>
      <c r="S191" s="2">
        <v>0</v>
      </c>
      <c r="T191" s="4"/>
      <c r="U191">
        <v>9</v>
      </c>
      <c r="V191">
        <v>1</v>
      </c>
      <c r="W191">
        <v>1</v>
      </c>
    </row>
    <row r="192" spans="1:23" ht="16.5" x14ac:dyDescent="0.3">
      <c r="A192" t="s">
        <v>242</v>
      </c>
      <c r="B192" s="1">
        <v>45317</v>
      </c>
      <c r="C192">
        <v>2024</v>
      </c>
      <c r="D192" t="s">
        <v>24</v>
      </c>
      <c r="E192" t="s">
        <v>25</v>
      </c>
      <c r="F192" t="s">
        <v>37</v>
      </c>
      <c r="G192" t="s">
        <v>27</v>
      </c>
      <c r="H192" t="s">
        <v>55</v>
      </c>
      <c r="I192" t="s">
        <v>29</v>
      </c>
      <c r="J192" t="s">
        <v>30</v>
      </c>
      <c r="K192" s="2">
        <v>5450</v>
      </c>
      <c r="L192" s="2">
        <v>18500</v>
      </c>
      <c r="M192">
        <v>24</v>
      </c>
      <c r="N192" s="3">
        <v>0.40799999999999997</v>
      </c>
      <c r="O192" t="s">
        <v>16</v>
      </c>
      <c r="Q192">
        <v>1</v>
      </c>
      <c r="R192">
        <v>0</v>
      </c>
      <c r="S192" s="2">
        <v>18500</v>
      </c>
      <c r="T192" s="4">
        <v>0.13739999999999999</v>
      </c>
      <c r="U192">
        <v>6</v>
      </c>
      <c r="V192">
        <v>0</v>
      </c>
      <c r="W192">
        <v>1</v>
      </c>
    </row>
    <row r="193" spans="1:23" ht="16.5" x14ac:dyDescent="0.3">
      <c r="A193" t="s">
        <v>243</v>
      </c>
      <c r="B193" s="1">
        <v>45317</v>
      </c>
      <c r="C193">
        <v>2024</v>
      </c>
      <c r="D193" t="s">
        <v>24</v>
      </c>
      <c r="E193" t="s">
        <v>25</v>
      </c>
      <c r="F193" t="s">
        <v>26</v>
      </c>
      <c r="G193" t="s">
        <v>51</v>
      </c>
      <c r="H193" t="s">
        <v>28</v>
      </c>
      <c r="I193" t="s">
        <v>29</v>
      </c>
      <c r="J193" t="s">
        <v>52</v>
      </c>
      <c r="K193" s="2">
        <v>5850</v>
      </c>
      <c r="L193" s="2">
        <v>20500</v>
      </c>
      <c r="M193">
        <v>60</v>
      </c>
      <c r="N193" s="3">
        <v>0.21</v>
      </c>
      <c r="O193" t="s">
        <v>16</v>
      </c>
      <c r="Q193">
        <v>1</v>
      </c>
      <c r="R193">
        <v>0</v>
      </c>
      <c r="S193" s="2">
        <v>18500</v>
      </c>
      <c r="T193" s="4">
        <v>7.1599999999999997E-2</v>
      </c>
      <c r="U193">
        <v>6</v>
      </c>
      <c r="V193">
        <v>0</v>
      </c>
      <c r="W193">
        <v>1</v>
      </c>
    </row>
    <row r="194" spans="1:23" ht="16.5" x14ac:dyDescent="0.3">
      <c r="A194" t="s">
        <v>244</v>
      </c>
      <c r="B194" s="1">
        <v>45317</v>
      </c>
      <c r="C194">
        <v>2024</v>
      </c>
      <c r="D194" t="s">
        <v>24</v>
      </c>
      <c r="E194" t="s">
        <v>25</v>
      </c>
      <c r="F194" t="s">
        <v>41</v>
      </c>
      <c r="G194" t="s">
        <v>51</v>
      </c>
      <c r="H194" t="s">
        <v>38</v>
      </c>
      <c r="I194" t="s">
        <v>29</v>
      </c>
      <c r="J194" t="s">
        <v>35</v>
      </c>
      <c r="K194" s="2">
        <v>3750</v>
      </c>
      <c r="L194" s="2">
        <v>90500</v>
      </c>
      <c r="M194">
        <v>60</v>
      </c>
      <c r="N194" s="3">
        <v>0.68799999999999994</v>
      </c>
      <c r="O194" t="s">
        <v>17</v>
      </c>
      <c r="P194" t="s">
        <v>53</v>
      </c>
      <c r="Q194">
        <v>0</v>
      </c>
      <c r="R194">
        <v>1</v>
      </c>
      <c r="S194" s="2">
        <v>0</v>
      </c>
      <c r="T194" s="4"/>
      <c r="U194">
        <v>13</v>
      </c>
      <c r="V194">
        <v>0</v>
      </c>
      <c r="W194">
        <v>1</v>
      </c>
    </row>
    <row r="195" spans="1:23" ht="16.5" x14ac:dyDescent="0.3">
      <c r="A195" t="s">
        <v>245</v>
      </c>
      <c r="B195" s="1">
        <v>45317</v>
      </c>
      <c r="C195">
        <v>2024</v>
      </c>
      <c r="D195" t="s">
        <v>24</v>
      </c>
      <c r="E195" t="s">
        <v>25</v>
      </c>
      <c r="F195" t="s">
        <v>26</v>
      </c>
      <c r="G195" t="s">
        <v>51</v>
      </c>
      <c r="H195" t="s">
        <v>55</v>
      </c>
      <c r="I195" t="s">
        <v>29</v>
      </c>
      <c r="J195" t="s">
        <v>52</v>
      </c>
      <c r="K195" s="2">
        <v>6950</v>
      </c>
      <c r="L195" s="2">
        <v>38000</v>
      </c>
      <c r="M195">
        <v>36</v>
      </c>
      <c r="N195" s="3">
        <v>0.41399999999999998</v>
      </c>
      <c r="O195" t="s">
        <v>17</v>
      </c>
      <c r="P195" t="s">
        <v>48</v>
      </c>
      <c r="Q195">
        <v>0</v>
      </c>
      <c r="R195">
        <v>1</v>
      </c>
      <c r="S195" s="2">
        <v>0</v>
      </c>
      <c r="T195" s="4"/>
      <c r="U195">
        <v>5</v>
      </c>
      <c r="V195">
        <v>0</v>
      </c>
      <c r="W195">
        <v>1</v>
      </c>
    </row>
    <row r="196" spans="1:23" ht="16.5" x14ac:dyDescent="0.3">
      <c r="A196" t="s">
        <v>246</v>
      </c>
      <c r="B196" s="1">
        <v>45317</v>
      </c>
      <c r="C196">
        <v>2024</v>
      </c>
      <c r="D196" t="s">
        <v>24</v>
      </c>
      <c r="E196" t="s">
        <v>25</v>
      </c>
      <c r="F196" t="s">
        <v>50</v>
      </c>
      <c r="G196" t="s">
        <v>45</v>
      </c>
      <c r="H196" t="s">
        <v>38</v>
      </c>
      <c r="I196" t="s">
        <v>42</v>
      </c>
      <c r="J196" t="s">
        <v>30</v>
      </c>
      <c r="K196" s="2">
        <v>5800</v>
      </c>
      <c r="L196" s="2">
        <v>584500</v>
      </c>
      <c r="M196">
        <v>240</v>
      </c>
      <c r="N196" s="3">
        <v>0.78400000000000003</v>
      </c>
      <c r="O196" t="s">
        <v>17</v>
      </c>
      <c r="P196" t="s">
        <v>31</v>
      </c>
      <c r="Q196">
        <v>0</v>
      </c>
      <c r="R196">
        <v>1</v>
      </c>
      <c r="S196" s="2">
        <v>0</v>
      </c>
      <c r="T196" s="4"/>
      <c r="U196">
        <v>9</v>
      </c>
      <c r="V196">
        <v>1</v>
      </c>
      <c r="W196">
        <v>1</v>
      </c>
    </row>
    <row r="197" spans="1:23" ht="16.5" x14ac:dyDescent="0.3">
      <c r="A197" t="s">
        <v>247</v>
      </c>
      <c r="B197" s="1">
        <v>45318</v>
      </c>
      <c r="C197">
        <v>2024</v>
      </c>
      <c r="D197" t="s">
        <v>24</v>
      </c>
      <c r="E197" t="s">
        <v>25</v>
      </c>
      <c r="F197" t="s">
        <v>50</v>
      </c>
      <c r="G197" t="s">
        <v>51</v>
      </c>
      <c r="H197" t="s">
        <v>34</v>
      </c>
      <c r="I197" t="s">
        <v>42</v>
      </c>
      <c r="J197" t="s">
        <v>35</v>
      </c>
      <c r="K197" s="2">
        <v>4500</v>
      </c>
      <c r="L197" s="2">
        <v>165500</v>
      </c>
      <c r="M197">
        <v>300</v>
      </c>
      <c r="N197" s="3">
        <v>0.28100000000000003</v>
      </c>
      <c r="O197" t="s">
        <v>16</v>
      </c>
      <c r="Q197">
        <v>1</v>
      </c>
      <c r="R197">
        <v>0</v>
      </c>
      <c r="S197" s="2">
        <v>165500</v>
      </c>
      <c r="T197" s="4">
        <v>6.0400000000000002E-2</v>
      </c>
      <c r="U197">
        <v>15</v>
      </c>
      <c r="V197">
        <v>1</v>
      </c>
      <c r="W197">
        <v>1</v>
      </c>
    </row>
    <row r="198" spans="1:23" ht="16.5" x14ac:dyDescent="0.3">
      <c r="A198" t="s">
        <v>248</v>
      </c>
      <c r="B198" s="1">
        <v>45318</v>
      </c>
      <c r="C198">
        <v>2024</v>
      </c>
      <c r="D198" t="s">
        <v>24</v>
      </c>
      <c r="E198" t="s">
        <v>25</v>
      </c>
      <c r="F198" t="s">
        <v>41</v>
      </c>
      <c r="G198" t="s">
        <v>33</v>
      </c>
      <c r="H198" t="s">
        <v>64</v>
      </c>
      <c r="I198" t="s">
        <v>42</v>
      </c>
      <c r="J198" t="s">
        <v>52</v>
      </c>
      <c r="K198" s="2">
        <v>7200</v>
      </c>
      <c r="L198" s="2">
        <v>84000</v>
      </c>
      <c r="M198">
        <v>60</v>
      </c>
      <c r="N198" s="3">
        <v>0.33900000000000002</v>
      </c>
      <c r="O198" t="s">
        <v>16</v>
      </c>
      <c r="Q198">
        <v>1</v>
      </c>
      <c r="R198">
        <v>0</v>
      </c>
      <c r="S198" s="2">
        <v>84000</v>
      </c>
      <c r="T198" s="4">
        <v>9.4399999999999998E-2</v>
      </c>
      <c r="U198">
        <v>6</v>
      </c>
      <c r="V198">
        <v>1</v>
      </c>
      <c r="W198">
        <v>1</v>
      </c>
    </row>
    <row r="199" spans="1:23" ht="16.5" x14ac:dyDescent="0.3">
      <c r="A199" t="s">
        <v>249</v>
      </c>
      <c r="B199" s="1">
        <v>45318</v>
      </c>
      <c r="C199">
        <v>2024</v>
      </c>
      <c r="D199" t="s">
        <v>24</v>
      </c>
      <c r="E199" t="s">
        <v>25</v>
      </c>
      <c r="F199" t="s">
        <v>50</v>
      </c>
      <c r="G199" t="s">
        <v>51</v>
      </c>
      <c r="H199" t="s">
        <v>38</v>
      </c>
      <c r="I199" t="s">
        <v>42</v>
      </c>
      <c r="J199" t="s">
        <v>30</v>
      </c>
      <c r="K199" s="2">
        <v>4250</v>
      </c>
      <c r="L199" s="2">
        <v>172500</v>
      </c>
      <c r="M199">
        <v>300</v>
      </c>
      <c r="N199" s="3">
        <v>0.34799999999999998</v>
      </c>
      <c r="O199" t="s">
        <v>16</v>
      </c>
      <c r="Q199">
        <v>1</v>
      </c>
      <c r="R199">
        <v>0</v>
      </c>
      <c r="S199" s="2">
        <v>172500</v>
      </c>
      <c r="T199" s="4">
        <v>7.5300000000000006E-2</v>
      </c>
      <c r="U199">
        <v>32</v>
      </c>
      <c r="V199">
        <v>0</v>
      </c>
      <c r="W199">
        <v>1</v>
      </c>
    </row>
    <row r="200" spans="1:23" ht="16.5" x14ac:dyDescent="0.3">
      <c r="A200" t="s">
        <v>250</v>
      </c>
      <c r="B200" s="1">
        <v>45318</v>
      </c>
      <c r="C200">
        <v>2024</v>
      </c>
      <c r="D200" t="s">
        <v>24</v>
      </c>
      <c r="E200" t="s">
        <v>25</v>
      </c>
      <c r="F200" t="s">
        <v>26</v>
      </c>
      <c r="G200" t="s">
        <v>33</v>
      </c>
      <c r="H200" t="s">
        <v>38</v>
      </c>
      <c r="I200" t="s">
        <v>29</v>
      </c>
      <c r="J200" t="s">
        <v>46</v>
      </c>
      <c r="K200" s="2">
        <v>5600</v>
      </c>
      <c r="L200" s="2">
        <v>30000</v>
      </c>
      <c r="M200">
        <v>36</v>
      </c>
      <c r="N200" s="3">
        <v>0.23699999999999999</v>
      </c>
      <c r="O200" t="s">
        <v>16</v>
      </c>
      <c r="Q200">
        <v>1</v>
      </c>
      <c r="R200">
        <v>0</v>
      </c>
      <c r="S200" s="2">
        <v>30000</v>
      </c>
      <c r="T200" s="4">
        <v>6.4399999999999999E-2</v>
      </c>
      <c r="U200">
        <v>2</v>
      </c>
      <c r="V200">
        <v>1</v>
      </c>
      <c r="W200">
        <v>1</v>
      </c>
    </row>
    <row r="201" spans="1:23" ht="16.5" x14ac:dyDescent="0.3">
      <c r="A201" t="s">
        <v>251</v>
      </c>
      <c r="B201" s="1">
        <v>45320</v>
      </c>
      <c r="C201">
        <v>2024</v>
      </c>
      <c r="D201" t="s">
        <v>24</v>
      </c>
      <c r="E201" t="s">
        <v>25</v>
      </c>
      <c r="F201" t="s">
        <v>37</v>
      </c>
      <c r="G201" t="s">
        <v>45</v>
      </c>
      <c r="H201" t="s">
        <v>55</v>
      </c>
      <c r="I201" t="s">
        <v>42</v>
      </c>
      <c r="J201" t="s">
        <v>35</v>
      </c>
      <c r="K201" s="2">
        <v>5600</v>
      </c>
      <c r="L201" s="2">
        <v>11500</v>
      </c>
      <c r="M201">
        <v>24</v>
      </c>
      <c r="N201" s="3">
        <v>0.156</v>
      </c>
      <c r="O201" t="s">
        <v>16</v>
      </c>
      <c r="Q201">
        <v>1</v>
      </c>
      <c r="R201">
        <v>0</v>
      </c>
      <c r="S201" s="2">
        <v>10500</v>
      </c>
      <c r="T201" s="4">
        <v>0.12529999999999999</v>
      </c>
      <c r="U201">
        <v>2</v>
      </c>
      <c r="V201">
        <v>1</v>
      </c>
      <c r="W201">
        <v>1</v>
      </c>
    </row>
    <row r="202" spans="1:23" ht="16.5" x14ac:dyDescent="0.3">
      <c r="A202" t="s">
        <v>252</v>
      </c>
      <c r="B202" s="1">
        <v>45320</v>
      </c>
      <c r="C202">
        <v>2024</v>
      </c>
      <c r="D202" t="s">
        <v>24</v>
      </c>
      <c r="E202" t="s">
        <v>25</v>
      </c>
      <c r="F202" t="s">
        <v>26</v>
      </c>
      <c r="G202" t="s">
        <v>33</v>
      </c>
      <c r="H202" t="s">
        <v>38</v>
      </c>
      <c r="I202" t="s">
        <v>39</v>
      </c>
      <c r="J202" t="s">
        <v>35</v>
      </c>
      <c r="K202" s="2">
        <v>3000</v>
      </c>
      <c r="L202" s="2">
        <v>30000</v>
      </c>
      <c r="M202">
        <v>60</v>
      </c>
      <c r="N202" s="3">
        <v>0.35499999999999998</v>
      </c>
      <c r="O202" t="s">
        <v>16</v>
      </c>
      <c r="Q202">
        <v>1</v>
      </c>
      <c r="R202">
        <v>0</v>
      </c>
      <c r="S202" s="2">
        <v>27000</v>
      </c>
      <c r="T202" s="4">
        <v>7.5499999999999998E-2</v>
      </c>
      <c r="U202">
        <v>2</v>
      </c>
      <c r="V202">
        <v>1</v>
      </c>
      <c r="W202">
        <v>1</v>
      </c>
    </row>
    <row r="203" spans="1:23" ht="16.5" x14ac:dyDescent="0.3">
      <c r="A203" t="s">
        <v>253</v>
      </c>
      <c r="B203" s="1">
        <v>45320</v>
      </c>
      <c r="C203">
        <v>2024</v>
      </c>
      <c r="D203" t="s">
        <v>24</v>
      </c>
      <c r="E203" t="s">
        <v>25</v>
      </c>
      <c r="F203" t="s">
        <v>37</v>
      </c>
      <c r="G203" t="s">
        <v>51</v>
      </c>
      <c r="H203" t="s">
        <v>55</v>
      </c>
      <c r="I203" t="s">
        <v>42</v>
      </c>
      <c r="J203" t="s">
        <v>46</v>
      </c>
      <c r="K203" s="2">
        <v>4300</v>
      </c>
      <c r="L203" s="2">
        <v>12500</v>
      </c>
      <c r="M203">
        <v>24</v>
      </c>
      <c r="N203" s="3">
        <v>0.26700000000000002</v>
      </c>
      <c r="O203" t="s">
        <v>17</v>
      </c>
      <c r="P203" t="s">
        <v>48</v>
      </c>
      <c r="Q203">
        <v>0</v>
      </c>
      <c r="R203">
        <v>1</v>
      </c>
      <c r="S203" s="2">
        <v>0</v>
      </c>
      <c r="T203" s="4"/>
      <c r="U203">
        <v>7</v>
      </c>
      <c r="V203">
        <v>0</v>
      </c>
      <c r="W203">
        <v>1</v>
      </c>
    </row>
    <row r="204" spans="1:23" ht="16.5" x14ac:dyDescent="0.3">
      <c r="A204" t="s">
        <v>254</v>
      </c>
      <c r="B204" s="1">
        <v>45320</v>
      </c>
      <c r="C204">
        <v>2024</v>
      </c>
      <c r="D204" t="s">
        <v>24</v>
      </c>
      <c r="E204" t="s">
        <v>25</v>
      </c>
      <c r="F204" t="s">
        <v>26</v>
      </c>
      <c r="G204" t="s">
        <v>27</v>
      </c>
      <c r="H204" t="s">
        <v>34</v>
      </c>
      <c r="I204" t="s">
        <v>42</v>
      </c>
      <c r="J204" t="s">
        <v>35</v>
      </c>
      <c r="K204" s="2">
        <v>5950</v>
      </c>
      <c r="L204" s="2">
        <v>27500</v>
      </c>
      <c r="M204">
        <v>60</v>
      </c>
      <c r="N204" s="3">
        <v>0.17499999999999999</v>
      </c>
      <c r="O204" t="s">
        <v>16</v>
      </c>
      <c r="Q204">
        <v>1</v>
      </c>
      <c r="R204">
        <v>0</v>
      </c>
      <c r="S204" s="2">
        <v>25000</v>
      </c>
      <c r="T204" s="4">
        <v>8.0199999999999994E-2</v>
      </c>
      <c r="U204">
        <v>4</v>
      </c>
      <c r="V204">
        <v>1</v>
      </c>
      <c r="W204">
        <v>1</v>
      </c>
    </row>
    <row r="205" spans="1:23" ht="16.5" x14ac:dyDescent="0.3">
      <c r="A205" t="s">
        <v>255</v>
      </c>
      <c r="B205" s="1">
        <v>45320</v>
      </c>
      <c r="C205">
        <v>2024</v>
      </c>
      <c r="D205" t="s">
        <v>24</v>
      </c>
      <c r="E205" t="s">
        <v>25</v>
      </c>
      <c r="F205" t="s">
        <v>37</v>
      </c>
      <c r="G205" t="s">
        <v>27</v>
      </c>
      <c r="H205" t="s">
        <v>34</v>
      </c>
      <c r="I205" t="s">
        <v>42</v>
      </c>
      <c r="J205" t="s">
        <v>30</v>
      </c>
      <c r="K205" s="2">
        <v>7050</v>
      </c>
      <c r="L205" s="2">
        <v>23000</v>
      </c>
      <c r="M205">
        <v>36</v>
      </c>
      <c r="N205" s="3">
        <v>0.24299999999999999</v>
      </c>
      <c r="O205" t="s">
        <v>17</v>
      </c>
      <c r="P205" t="s">
        <v>31</v>
      </c>
      <c r="Q205">
        <v>0</v>
      </c>
      <c r="R205">
        <v>1</v>
      </c>
      <c r="S205" s="2">
        <v>0</v>
      </c>
      <c r="T205" s="4"/>
      <c r="U205">
        <v>5</v>
      </c>
      <c r="V205">
        <v>0</v>
      </c>
      <c r="W205">
        <v>1</v>
      </c>
    </row>
    <row r="206" spans="1:23" ht="16.5" x14ac:dyDescent="0.3">
      <c r="A206" t="s">
        <v>256</v>
      </c>
      <c r="B206" s="1">
        <v>45320</v>
      </c>
      <c r="C206">
        <v>2024</v>
      </c>
      <c r="D206" t="s">
        <v>24</v>
      </c>
      <c r="E206" t="s">
        <v>25</v>
      </c>
      <c r="F206" t="s">
        <v>26</v>
      </c>
      <c r="G206" t="s">
        <v>45</v>
      </c>
      <c r="H206" t="s">
        <v>64</v>
      </c>
      <c r="I206" t="s">
        <v>29</v>
      </c>
      <c r="J206" t="s">
        <v>46</v>
      </c>
      <c r="K206" s="2">
        <v>4200</v>
      </c>
      <c r="L206" s="2">
        <v>31000</v>
      </c>
      <c r="M206">
        <v>48</v>
      </c>
      <c r="N206" s="3">
        <v>0.36699999999999999</v>
      </c>
      <c r="O206" t="s">
        <v>16</v>
      </c>
      <c r="Q206">
        <v>1</v>
      </c>
      <c r="R206">
        <v>0</v>
      </c>
      <c r="S206" s="2">
        <v>31000</v>
      </c>
      <c r="T206" s="4">
        <v>6.3100000000000003E-2</v>
      </c>
      <c r="U206">
        <v>2</v>
      </c>
      <c r="V206">
        <v>1</v>
      </c>
      <c r="W206">
        <v>1</v>
      </c>
    </row>
    <row r="207" spans="1:23" ht="16.5" x14ac:dyDescent="0.3">
      <c r="A207" t="s">
        <v>257</v>
      </c>
      <c r="B207" s="1">
        <v>45320</v>
      </c>
      <c r="C207">
        <v>2024</v>
      </c>
      <c r="D207" t="s">
        <v>24</v>
      </c>
      <c r="E207" t="s">
        <v>25</v>
      </c>
      <c r="F207" t="s">
        <v>37</v>
      </c>
      <c r="G207" t="s">
        <v>33</v>
      </c>
      <c r="H207" t="s">
        <v>34</v>
      </c>
      <c r="I207" t="s">
        <v>39</v>
      </c>
      <c r="J207" t="s">
        <v>43</v>
      </c>
      <c r="K207" s="2">
        <v>2800</v>
      </c>
      <c r="L207" s="2">
        <v>10000</v>
      </c>
      <c r="M207">
        <v>36</v>
      </c>
      <c r="N207" s="3">
        <v>0.25600000000000001</v>
      </c>
      <c r="O207" t="s">
        <v>17</v>
      </c>
      <c r="P207" t="s">
        <v>31</v>
      </c>
      <c r="Q207">
        <v>0</v>
      </c>
      <c r="R207">
        <v>1</v>
      </c>
      <c r="S207" s="2">
        <v>0</v>
      </c>
      <c r="T207" s="4"/>
      <c r="U207">
        <v>2</v>
      </c>
      <c r="V207">
        <v>1</v>
      </c>
      <c r="W207">
        <v>1</v>
      </c>
    </row>
    <row r="208" spans="1:23" ht="16.5" x14ac:dyDescent="0.3">
      <c r="A208" t="s">
        <v>258</v>
      </c>
      <c r="B208" s="1">
        <v>45320</v>
      </c>
      <c r="C208">
        <v>2024</v>
      </c>
      <c r="D208" t="s">
        <v>24</v>
      </c>
      <c r="E208" t="s">
        <v>25</v>
      </c>
      <c r="F208" t="s">
        <v>37</v>
      </c>
      <c r="G208" t="s">
        <v>51</v>
      </c>
      <c r="H208" t="s">
        <v>55</v>
      </c>
      <c r="I208" t="s">
        <v>39</v>
      </c>
      <c r="J208" t="s">
        <v>30</v>
      </c>
      <c r="K208" s="2">
        <v>4350</v>
      </c>
      <c r="L208" s="2">
        <v>13500</v>
      </c>
      <c r="M208">
        <v>36</v>
      </c>
      <c r="N208" s="3">
        <v>0.20799999999999999</v>
      </c>
      <c r="O208" t="s">
        <v>16</v>
      </c>
      <c r="Q208">
        <v>1</v>
      </c>
      <c r="R208">
        <v>0</v>
      </c>
      <c r="S208" s="2">
        <v>12000</v>
      </c>
      <c r="T208" s="4">
        <v>0.14050000000000001</v>
      </c>
      <c r="U208">
        <v>5</v>
      </c>
      <c r="V208">
        <v>0</v>
      </c>
      <c r="W208">
        <v>1</v>
      </c>
    </row>
    <row r="209" spans="1:23" ht="16.5" x14ac:dyDescent="0.3">
      <c r="A209" t="s">
        <v>259</v>
      </c>
      <c r="B209" s="1">
        <v>45320</v>
      </c>
      <c r="C209">
        <v>2024</v>
      </c>
      <c r="D209" t="s">
        <v>24</v>
      </c>
      <c r="E209" t="s">
        <v>25</v>
      </c>
      <c r="F209" t="s">
        <v>37</v>
      </c>
      <c r="G209" t="s">
        <v>51</v>
      </c>
      <c r="H209" t="s">
        <v>38</v>
      </c>
      <c r="I209" t="s">
        <v>29</v>
      </c>
      <c r="J209" t="s">
        <v>52</v>
      </c>
      <c r="K209" s="2">
        <v>9000</v>
      </c>
      <c r="L209" s="2">
        <v>8000</v>
      </c>
      <c r="M209">
        <v>24</v>
      </c>
      <c r="N209" s="3">
        <v>0.254</v>
      </c>
      <c r="O209" t="s">
        <v>17</v>
      </c>
      <c r="P209" t="s">
        <v>31</v>
      </c>
      <c r="Q209">
        <v>0</v>
      </c>
      <c r="R209">
        <v>1</v>
      </c>
      <c r="S209" s="2">
        <v>0</v>
      </c>
      <c r="T209" s="4"/>
      <c r="U209">
        <v>6</v>
      </c>
      <c r="V209">
        <v>0</v>
      </c>
      <c r="W209">
        <v>1</v>
      </c>
    </row>
    <row r="210" spans="1:23" ht="16.5" x14ac:dyDescent="0.3">
      <c r="A210" t="s">
        <v>260</v>
      </c>
      <c r="B210" s="1">
        <v>45321</v>
      </c>
      <c r="C210">
        <v>2024</v>
      </c>
      <c r="D210" t="s">
        <v>24</v>
      </c>
      <c r="E210" t="s">
        <v>25</v>
      </c>
      <c r="F210" t="s">
        <v>37</v>
      </c>
      <c r="G210" t="s">
        <v>51</v>
      </c>
      <c r="H210" t="s">
        <v>38</v>
      </c>
      <c r="I210" t="s">
        <v>39</v>
      </c>
      <c r="J210" t="s">
        <v>52</v>
      </c>
      <c r="K210" s="2">
        <v>7150</v>
      </c>
      <c r="L210" s="2">
        <v>8500</v>
      </c>
      <c r="M210">
        <v>12</v>
      </c>
      <c r="N210" s="3">
        <v>0.254</v>
      </c>
      <c r="O210" t="s">
        <v>16</v>
      </c>
      <c r="Q210">
        <v>1</v>
      </c>
      <c r="R210">
        <v>0</v>
      </c>
      <c r="S210" s="2">
        <v>8500</v>
      </c>
      <c r="T210" s="4">
        <v>0.1115</v>
      </c>
      <c r="U210">
        <v>4</v>
      </c>
      <c r="V210">
        <v>0</v>
      </c>
      <c r="W210">
        <v>1</v>
      </c>
    </row>
    <row r="211" spans="1:23" ht="16.5" x14ac:dyDescent="0.3">
      <c r="A211" t="s">
        <v>261</v>
      </c>
      <c r="B211" s="1">
        <v>45321</v>
      </c>
      <c r="C211">
        <v>2024</v>
      </c>
      <c r="D211" t="s">
        <v>24</v>
      </c>
      <c r="E211" t="s">
        <v>25</v>
      </c>
      <c r="F211" t="s">
        <v>37</v>
      </c>
      <c r="G211" t="s">
        <v>33</v>
      </c>
      <c r="H211" t="s">
        <v>34</v>
      </c>
      <c r="I211" t="s">
        <v>29</v>
      </c>
      <c r="J211" t="s">
        <v>35</v>
      </c>
      <c r="K211" s="2">
        <v>3900</v>
      </c>
      <c r="L211" s="2">
        <v>9000</v>
      </c>
      <c r="M211">
        <v>60</v>
      </c>
      <c r="N211" s="3">
        <v>0.26500000000000001</v>
      </c>
      <c r="O211" t="s">
        <v>16</v>
      </c>
      <c r="Q211">
        <v>1</v>
      </c>
      <c r="R211">
        <v>0</v>
      </c>
      <c r="S211" s="2">
        <v>8000</v>
      </c>
      <c r="T211" s="4">
        <v>0.12570000000000001</v>
      </c>
      <c r="U211">
        <v>3</v>
      </c>
      <c r="V211">
        <v>1</v>
      </c>
      <c r="W211">
        <v>1</v>
      </c>
    </row>
    <row r="212" spans="1:23" ht="16.5" x14ac:dyDescent="0.3">
      <c r="A212" t="s">
        <v>262</v>
      </c>
      <c r="B212" s="1">
        <v>45321</v>
      </c>
      <c r="C212">
        <v>2024</v>
      </c>
      <c r="D212" t="s">
        <v>24</v>
      </c>
      <c r="E212" t="s">
        <v>25</v>
      </c>
      <c r="F212" t="s">
        <v>41</v>
      </c>
      <c r="G212" t="s">
        <v>51</v>
      </c>
      <c r="H212" t="s">
        <v>55</v>
      </c>
      <c r="I212" t="s">
        <v>39</v>
      </c>
      <c r="J212" t="s">
        <v>30</v>
      </c>
      <c r="K212" s="2">
        <v>3100</v>
      </c>
      <c r="L212" s="2">
        <v>133000</v>
      </c>
      <c r="M212">
        <v>36</v>
      </c>
      <c r="N212" s="3">
        <v>1.5409999999999999</v>
      </c>
      <c r="O212" t="s">
        <v>17</v>
      </c>
      <c r="P212" t="s">
        <v>53</v>
      </c>
      <c r="Q212">
        <v>0</v>
      </c>
      <c r="R212">
        <v>1</v>
      </c>
      <c r="S212" s="2">
        <v>0</v>
      </c>
      <c r="T212" s="4"/>
      <c r="U212">
        <v>8</v>
      </c>
      <c r="V212">
        <v>1</v>
      </c>
      <c r="W212">
        <v>1</v>
      </c>
    </row>
    <row r="213" spans="1:23" ht="16.5" x14ac:dyDescent="0.3">
      <c r="A213" t="s">
        <v>263</v>
      </c>
      <c r="B213" s="1">
        <v>45321</v>
      </c>
      <c r="C213">
        <v>2024</v>
      </c>
      <c r="D213" t="s">
        <v>24</v>
      </c>
      <c r="E213" t="s">
        <v>25</v>
      </c>
      <c r="F213" t="s">
        <v>41</v>
      </c>
      <c r="G213" t="s">
        <v>27</v>
      </c>
      <c r="H213" t="s">
        <v>64</v>
      </c>
      <c r="I213" t="s">
        <v>42</v>
      </c>
      <c r="J213" t="s">
        <v>30</v>
      </c>
      <c r="K213" s="2">
        <v>2700</v>
      </c>
      <c r="L213" s="2">
        <v>62500</v>
      </c>
      <c r="M213">
        <v>60</v>
      </c>
      <c r="N213" s="3">
        <v>0.67200000000000004</v>
      </c>
      <c r="O213" t="s">
        <v>16</v>
      </c>
      <c r="Q213">
        <v>1</v>
      </c>
      <c r="R213">
        <v>0</v>
      </c>
      <c r="S213" s="2">
        <v>62500</v>
      </c>
      <c r="T213" s="4">
        <v>0.12470000000000001</v>
      </c>
      <c r="U213">
        <v>12</v>
      </c>
      <c r="V213">
        <v>0</v>
      </c>
      <c r="W213">
        <v>1</v>
      </c>
    </row>
    <row r="214" spans="1:23" ht="16.5" x14ac:dyDescent="0.3">
      <c r="A214" t="s">
        <v>264</v>
      </c>
      <c r="B214" s="1">
        <v>45321</v>
      </c>
      <c r="C214">
        <v>2024</v>
      </c>
      <c r="D214" t="s">
        <v>24</v>
      </c>
      <c r="E214" t="s">
        <v>25</v>
      </c>
      <c r="F214" t="s">
        <v>37</v>
      </c>
      <c r="G214" t="s">
        <v>45</v>
      </c>
      <c r="H214" t="s">
        <v>34</v>
      </c>
      <c r="I214" t="s">
        <v>29</v>
      </c>
      <c r="J214" t="s">
        <v>52</v>
      </c>
      <c r="K214" s="2">
        <v>3800</v>
      </c>
      <c r="L214" s="2">
        <v>18000</v>
      </c>
      <c r="M214">
        <v>60</v>
      </c>
      <c r="N214" s="3">
        <v>0.191</v>
      </c>
      <c r="O214" t="s">
        <v>16</v>
      </c>
      <c r="Q214">
        <v>1</v>
      </c>
      <c r="R214">
        <v>0</v>
      </c>
      <c r="S214" s="2">
        <v>18000</v>
      </c>
      <c r="T214" s="4">
        <v>0.1142</v>
      </c>
      <c r="U214">
        <v>2</v>
      </c>
      <c r="V214">
        <v>1</v>
      </c>
      <c r="W214">
        <v>1</v>
      </c>
    </row>
    <row r="215" spans="1:23" ht="16.5" x14ac:dyDescent="0.3">
      <c r="A215" t="s">
        <v>265</v>
      </c>
      <c r="B215" s="1">
        <v>45321</v>
      </c>
      <c r="C215">
        <v>2024</v>
      </c>
      <c r="D215" t="s">
        <v>24</v>
      </c>
      <c r="E215" t="s">
        <v>25</v>
      </c>
      <c r="F215" t="s">
        <v>37</v>
      </c>
      <c r="G215" t="s">
        <v>27</v>
      </c>
      <c r="H215" t="s">
        <v>55</v>
      </c>
      <c r="I215" t="s">
        <v>39</v>
      </c>
      <c r="J215" t="s">
        <v>52</v>
      </c>
      <c r="K215" s="2">
        <v>10400</v>
      </c>
      <c r="L215" s="2">
        <v>24000</v>
      </c>
      <c r="M215">
        <v>24</v>
      </c>
      <c r="N215" s="3">
        <v>0.34699999999999998</v>
      </c>
      <c r="O215" t="s">
        <v>16</v>
      </c>
      <c r="Q215">
        <v>1</v>
      </c>
      <c r="R215">
        <v>0</v>
      </c>
      <c r="S215" s="2">
        <v>24000</v>
      </c>
      <c r="T215" s="4">
        <v>0.11559999999999999</v>
      </c>
      <c r="U215">
        <v>6</v>
      </c>
      <c r="V215">
        <v>0</v>
      </c>
      <c r="W215">
        <v>1</v>
      </c>
    </row>
    <row r="216" spans="1:23" ht="16.5" x14ac:dyDescent="0.3">
      <c r="A216" t="s">
        <v>266</v>
      </c>
      <c r="B216" s="1">
        <v>45321</v>
      </c>
      <c r="C216">
        <v>2024</v>
      </c>
      <c r="D216" t="s">
        <v>24</v>
      </c>
      <c r="E216" t="s">
        <v>25</v>
      </c>
      <c r="F216" t="s">
        <v>26</v>
      </c>
      <c r="G216" t="s">
        <v>27</v>
      </c>
      <c r="H216" t="s">
        <v>38</v>
      </c>
      <c r="I216" t="s">
        <v>29</v>
      </c>
      <c r="J216" t="s">
        <v>43</v>
      </c>
      <c r="K216" s="2">
        <v>5800</v>
      </c>
      <c r="L216" s="2">
        <v>33000</v>
      </c>
      <c r="M216">
        <v>60</v>
      </c>
      <c r="N216" s="3">
        <v>0.214</v>
      </c>
      <c r="O216" t="s">
        <v>17</v>
      </c>
      <c r="P216" t="s">
        <v>60</v>
      </c>
      <c r="Q216">
        <v>0</v>
      </c>
      <c r="R216">
        <v>1</v>
      </c>
      <c r="S216" s="2">
        <v>0</v>
      </c>
      <c r="T216" s="4"/>
      <c r="U216">
        <v>9</v>
      </c>
      <c r="V216">
        <v>0</v>
      </c>
      <c r="W216">
        <v>1</v>
      </c>
    </row>
    <row r="217" spans="1:23" ht="16.5" x14ac:dyDescent="0.3">
      <c r="A217" t="s">
        <v>267</v>
      </c>
      <c r="B217" s="1">
        <v>45321</v>
      </c>
      <c r="C217">
        <v>2024</v>
      </c>
      <c r="D217" t="s">
        <v>24</v>
      </c>
      <c r="E217" t="s">
        <v>25</v>
      </c>
      <c r="F217" t="s">
        <v>26</v>
      </c>
      <c r="G217" t="s">
        <v>51</v>
      </c>
      <c r="H217" t="s">
        <v>38</v>
      </c>
      <c r="I217" t="s">
        <v>39</v>
      </c>
      <c r="J217" t="s">
        <v>52</v>
      </c>
      <c r="K217" s="2">
        <v>5550</v>
      </c>
      <c r="L217" s="2">
        <v>28500</v>
      </c>
      <c r="M217">
        <v>60</v>
      </c>
      <c r="N217" s="3">
        <v>0.25600000000000001</v>
      </c>
      <c r="O217" t="s">
        <v>16</v>
      </c>
      <c r="Q217">
        <v>1</v>
      </c>
      <c r="R217">
        <v>0</v>
      </c>
      <c r="S217" s="2">
        <v>25500</v>
      </c>
      <c r="T217" s="4">
        <v>7.7700000000000005E-2</v>
      </c>
      <c r="U217">
        <v>5</v>
      </c>
      <c r="V217">
        <v>0</v>
      </c>
      <c r="W217">
        <v>1</v>
      </c>
    </row>
    <row r="218" spans="1:23" ht="16.5" x14ac:dyDescent="0.3">
      <c r="A218" t="s">
        <v>268</v>
      </c>
      <c r="B218" s="1">
        <v>45321</v>
      </c>
      <c r="C218">
        <v>2024</v>
      </c>
      <c r="D218" t="s">
        <v>24</v>
      </c>
      <c r="E218" t="s">
        <v>25</v>
      </c>
      <c r="F218" t="s">
        <v>50</v>
      </c>
      <c r="G218" t="s">
        <v>51</v>
      </c>
      <c r="H218" t="s">
        <v>64</v>
      </c>
      <c r="I218" t="s">
        <v>42</v>
      </c>
      <c r="J218" t="s">
        <v>52</v>
      </c>
      <c r="K218" s="2">
        <v>5000</v>
      </c>
      <c r="L218" s="2">
        <v>313500</v>
      </c>
      <c r="M218">
        <v>300</v>
      </c>
      <c r="N218" s="3">
        <v>0.50600000000000001</v>
      </c>
      <c r="O218" t="s">
        <v>16</v>
      </c>
      <c r="Q218">
        <v>1</v>
      </c>
      <c r="R218">
        <v>0</v>
      </c>
      <c r="S218" s="2">
        <v>313500</v>
      </c>
      <c r="T218" s="4">
        <v>5.1999999999999998E-2</v>
      </c>
      <c r="U218">
        <v>25</v>
      </c>
      <c r="V218">
        <v>0</v>
      </c>
      <c r="W218">
        <v>1</v>
      </c>
    </row>
    <row r="219" spans="1:23" ht="16.5" x14ac:dyDescent="0.3">
      <c r="A219" t="s">
        <v>269</v>
      </c>
      <c r="B219" s="1">
        <v>45321</v>
      </c>
      <c r="C219">
        <v>2024</v>
      </c>
      <c r="D219" t="s">
        <v>24</v>
      </c>
      <c r="E219" t="s">
        <v>25</v>
      </c>
      <c r="F219" t="s">
        <v>37</v>
      </c>
      <c r="G219" t="s">
        <v>45</v>
      </c>
      <c r="H219" t="s">
        <v>55</v>
      </c>
      <c r="I219" t="s">
        <v>39</v>
      </c>
      <c r="J219" t="s">
        <v>30</v>
      </c>
      <c r="K219" s="2">
        <v>5200</v>
      </c>
      <c r="L219" s="2">
        <v>19500</v>
      </c>
      <c r="M219">
        <v>60</v>
      </c>
      <c r="N219" s="3">
        <v>0.153</v>
      </c>
      <c r="O219" t="s">
        <v>16</v>
      </c>
      <c r="Q219">
        <v>1</v>
      </c>
      <c r="R219">
        <v>0</v>
      </c>
      <c r="S219" s="2">
        <v>17500</v>
      </c>
      <c r="T219" s="4">
        <v>0.14050000000000001</v>
      </c>
      <c r="U219">
        <v>2</v>
      </c>
      <c r="V219">
        <v>1</v>
      </c>
      <c r="W219">
        <v>1</v>
      </c>
    </row>
    <row r="220" spans="1:23" ht="16.5" x14ac:dyDescent="0.3">
      <c r="A220" t="s">
        <v>270</v>
      </c>
      <c r="B220" s="1">
        <v>45321</v>
      </c>
      <c r="C220">
        <v>2024</v>
      </c>
      <c r="D220" t="s">
        <v>24</v>
      </c>
      <c r="E220" t="s">
        <v>25</v>
      </c>
      <c r="F220" t="s">
        <v>41</v>
      </c>
      <c r="G220" t="s">
        <v>33</v>
      </c>
      <c r="H220" t="s">
        <v>55</v>
      </c>
      <c r="I220" t="s">
        <v>29</v>
      </c>
      <c r="J220" t="s">
        <v>35</v>
      </c>
      <c r="K220" s="2">
        <v>4450</v>
      </c>
      <c r="L220" s="2">
        <v>87000</v>
      </c>
      <c r="M220">
        <v>36</v>
      </c>
      <c r="N220" s="3">
        <v>0.69299999999999995</v>
      </c>
      <c r="O220" t="s">
        <v>17</v>
      </c>
      <c r="P220" t="s">
        <v>53</v>
      </c>
      <c r="Q220">
        <v>0</v>
      </c>
      <c r="R220">
        <v>1</v>
      </c>
      <c r="S220" s="2">
        <v>0</v>
      </c>
      <c r="T220" s="4"/>
      <c r="U220">
        <v>4</v>
      </c>
      <c r="V220">
        <v>1</v>
      </c>
      <c r="W220">
        <v>1</v>
      </c>
    </row>
    <row r="221" spans="1:23" ht="16.5" x14ac:dyDescent="0.3">
      <c r="A221" t="s">
        <v>271</v>
      </c>
      <c r="B221" s="1">
        <v>45321</v>
      </c>
      <c r="C221">
        <v>2024</v>
      </c>
      <c r="D221" t="s">
        <v>24</v>
      </c>
      <c r="E221" t="s">
        <v>25</v>
      </c>
      <c r="F221" t="s">
        <v>50</v>
      </c>
      <c r="G221" t="s">
        <v>33</v>
      </c>
      <c r="H221" t="s">
        <v>34</v>
      </c>
      <c r="I221" t="s">
        <v>42</v>
      </c>
      <c r="J221" t="s">
        <v>30</v>
      </c>
      <c r="K221" s="2">
        <v>2550</v>
      </c>
      <c r="L221" s="2">
        <v>100000</v>
      </c>
      <c r="M221">
        <v>180</v>
      </c>
      <c r="N221" s="3">
        <v>0.503</v>
      </c>
      <c r="O221" t="s">
        <v>17</v>
      </c>
      <c r="P221" t="s">
        <v>53</v>
      </c>
      <c r="Q221">
        <v>0</v>
      </c>
      <c r="R221">
        <v>1</v>
      </c>
      <c r="S221" s="2">
        <v>0</v>
      </c>
      <c r="T221" s="4"/>
      <c r="U221">
        <v>5</v>
      </c>
      <c r="V221">
        <v>1</v>
      </c>
      <c r="W221">
        <v>1</v>
      </c>
    </row>
    <row r="222" spans="1:23" ht="16.5" x14ac:dyDescent="0.3">
      <c r="A222" t="s">
        <v>272</v>
      </c>
      <c r="B222" s="1">
        <v>45321</v>
      </c>
      <c r="C222">
        <v>2024</v>
      </c>
      <c r="D222" t="s">
        <v>24</v>
      </c>
      <c r="E222" t="s">
        <v>25</v>
      </c>
      <c r="F222" t="s">
        <v>26</v>
      </c>
      <c r="G222" t="s">
        <v>51</v>
      </c>
      <c r="H222" t="s">
        <v>55</v>
      </c>
      <c r="I222" t="s">
        <v>29</v>
      </c>
      <c r="J222" t="s">
        <v>35</v>
      </c>
      <c r="K222" s="2">
        <v>4650</v>
      </c>
      <c r="L222" s="2">
        <v>27500</v>
      </c>
      <c r="M222">
        <v>60</v>
      </c>
      <c r="N222" s="3">
        <v>0.36199999999999999</v>
      </c>
      <c r="O222" t="s">
        <v>16</v>
      </c>
      <c r="Q222">
        <v>1</v>
      </c>
      <c r="R222">
        <v>0</v>
      </c>
      <c r="S222" s="2">
        <v>27500</v>
      </c>
      <c r="T222" s="4">
        <v>7.4200000000000002E-2</v>
      </c>
      <c r="U222">
        <v>9</v>
      </c>
      <c r="V222">
        <v>0</v>
      </c>
      <c r="W222">
        <v>1</v>
      </c>
    </row>
    <row r="223" spans="1:23" ht="16.5" x14ac:dyDescent="0.3">
      <c r="A223" t="s">
        <v>273</v>
      </c>
      <c r="B223" s="1">
        <v>45321</v>
      </c>
      <c r="C223">
        <v>2024</v>
      </c>
      <c r="D223" t="s">
        <v>24</v>
      </c>
      <c r="E223" t="s">
        <v>25</v>
      </c>
      <c r="F223" t="s">
        <v>50</v>
      </c>
      <c r="G223" t="s">
        <v>33</v>
      </c>
      <c r="H223" t="s">
        <v>55</v>
      </c>
      <c r="I223" t="s">
        <v>29</v>
      </c>
      <c r="J223" t="s">
        <v>46</v>
      </c>
      <c r="K223" s="2">
        <v>7900</v>
      </c>
      <c r="L223" s="2">
        <v>132500</v>
      </c>
      <c r="M223">
        <v>180</v>
      </c>
      <c r="N223" s="3">
        <v>0.35099999999999998</v>
      </c>
      <c r="O223" t="s">
        <v>16</v>
      </c>
      <c r="Q223">
        <v>1</v>
      </c>
      <c r="R223">
        <v>0</v>
      </c>
      <c r="S223" s="2">
        <v>132500</v>
      </c>
      <c r="T223" s="4">
        <v>4.3499999999999997E-2</v>
      </c>
      <c r="U223">
        <v>8</v>
      </c>
      <c r="V223">
        <v>1</v>
      </c>
      <c r="W223">
        <v>1</v>
      </c>
    </row>
    <row r="224" spans="1:23" ht="16.5" x14ac:dyDescent="0.3">
      <c r="A224" t="s">
        <v>274</v>
      </c>
      <c r="B224" s="1">
        <v>45322</v>
      </c>
      <c r="C224">
        <v>2024</v>
      </c>
      <c r="D224" t="s">
        <v>24</v>
      </c>
      <c r="E224" t="s">
        <v>25</v>
      </c>
      <c r="F224" t="s">
        <v>37</v>
      </c>
      <c r="G224" t="s">
        <v>27</v>
      </c>
      <c r="H224" t="s">
        <v>55</v>
      </c>
      <c r="I224" t="s">
        <v>39</v>
      </c>
      <c r="J224" t="s">
        <v>30</v>
      </c>
      <c r="K224" s="2">
        <v>3850</v>
      </c>
      <c r="L224" s="2">
        <v>17000</v>
      </c>
      <c r="M224">
        <v>24</v>
      </c>
      <c r="N224" s="3">
        <v>0.26400000000000001</v>
      </c>
      <c r="O224" t="s">
        <v>17</v>
      </c>
      <c r="P224" t="s">
        <v>65</v>
      </c>
      <c r="Q224">
        <v>0</v>
      </c>
      <c r="R224">
        <v>1</v>
      </c>
      <c r="S224" s="2">
        <v>0</v>
      </c>
      <c r="T224" s="4"/>
      <c r="U224">
        <v>4</v>
      </c>
      <c r="V224">
        <v>0</v>
      </c>
      <c r="W224">
        <v>1</v>
      </c>
    </row>
    <row r="225" spans="1:23" ht="16.5" x14ac:dyDescent="0.3">
      <c r="A225" t="s">
        <v>275</v>
      </c>
      <c r="B225" s="1">
        <v>45322</v>
      </c>
      <c r="C225">
        <v>2024</v>
      </c>
      <c r="D225" t="s">
        <v>24</v>
      </c>
      <c r="E225" t="s">
        <v>25</v>
      </c>
      <c r="F225" t="s">
        <v>26</v>
      </c>
      <c r="G225" t="s">
        <v>45</v>
      </c>
      <c r="H225" t="s">
        <v>28</v>
      </c>
      <c r="I225" t="s">
        <v>29</v>
      </c>
      <c r="J225" t="s">
        <v>52</v>
      </c>
      <c r="K225" s="2">
        <v>12300</v>
      </c>
      <c r="L225" s="2">
        <v>23000</v>
      </c>
      <c r="M225">
        <v>48</v>
      </c>
      <c r="N225" s="3">
        <v>0.105</v>
      </c>
      <c r="O225" t="s">
        <v>16</v>
      </c>
      <c r="Q225">
        <v>1</v>
      </c>
      <c r="R225">
        <v>0</v>
      </c>
      <c r="S225" s="2">
        <v>20500</v>
      </c>
      <c r="T225" s="4">
        <v>7.0000000000000007E-2</v>
      </c>
      <c r="U225">
        <v>4</v>
      </c>
      <c r="V225">
        <v>1</v>
      </c>
      <c r="W225">
        <v>1</v>
      </c>
    </row>
    <row r="226" spans="1:23" ht="16.5" x14ac:dyDescent="0.3">
      <c r="A226" t="s">
        <v>276</v>
      </c>
      <c r="B226" s="1">
        <v>45322</v>
      </c>
      <c r="C226">
        <v>2024</v>
      </c>
      <c r="D226" t="s">
        <v>24</v>
      </c>
      <c r="E226" t="s">
        <v>25</v>
      </c>
      <c r="F226" t="s">
        <v>37</v>
      </c>
      <c r="G226" t="s">
        <v>45</v>
      </c>
      <c r="H226" t="s">
        <v>38</v>
      </c>
      <c r="I226" t="s">
        <v>39</v>
      </c>
      <c r="J226" t="s">
        <v>35</v>
      </c>
      <c r="K226" s="2">
        <v>4550</v>
      </c>
      <c r="L226" s="2">
        <v>14000</v>
      </c>
      <c r="M226">
        <v>60</v>
      </c>
      <c r="N226" s="3">
        <v>0.248</v>
      </c>
      <c r="O226" t="s">
        <v>16</v>
      </c>
      <c r="Q226">
        <v>1</v>
      </c>
      <c r="R226">
        <v>0</v>
      </c>
      <c r="S226" s="2">
        <v>11000</v>
      </c>
      <c r="T226" s="4">
        <v>0.12559999999999999</v>
      </c>
      <c r="U226">
        <v>3</v>
      </c>
      <c r="V226">
        <v>1</v>
      </c>
      <c r="W226">
        <v>1</v>
      </c>
    </row>
    <row r="227" spans="1:23" ht="16.5" x14ac:dyDescent="0.3">
      <c r="A227" t="s">
        <v>277</v>
      </c>
      <c r="B227" s="1">
        <v>45322</v>
      </c>
      <c r="C227">
        <v>2024</v>
      </c>
      <c r="D227" t="s">
        <v>24</v>
      </c>
      <c r="E227" t="s">
        <v>25</v>
      </c>
      <c r="F227" t="s">
        <v>37</v>
      </c>
      <c r="G227" t="s">
        <v>51</v>
      </c>
      <c r="H227" t="s">
        <v>55</v>
      </c>
      <c r="I227" t="s">
        <v>39</v>
      </c>
      <c r="J227" t="s">
        <v>52</v>
      </c>
      <c r="K227" s="2">
        <v>2400</v>
      </c>
      <c r="L227" s="2">
        <v>19000</v>
      </c>
      <c r="M227">
        <v>36</v>
      </c>
      <c r="N227" s="3">
        <v>0.44500000000000001</v>
      </c>
      <c r="O227" t="s">
        <v>16</v>
      </c>
      <c r="Q227">
        <v>1</v>
      </c>
      <c r="R227">
        <v>0</v>
      </c>
      <c r="S227" s="2">
        <v>15000</v>
      </c>
      <c r="T227" s="4">
        <v>0.11899999999999999</v>
      </c>
      <c r="U227">
        <v>3</v>
      </c>
      <c r="V227">
        <v>1</v>
      </c>
      <c r="W227">
        <v>1</v>
      </c>
    </row>
    <row r="228" spans="1:23" ht="16.5" x14ac:dyDescent="0.3">
      <c r="A228" t="s">
        <v>278</v>
      </c>
      <c r="B228" s="1">
        <v>45322</v>
      </c>
      <c r="C228">
        <v>2024</v>
      </c>
      <c r="D228" t="s">
        <v>24</v>
      </c>
      <c r="E228" t="s">
        <v>25</v>
      </c>
      <c r="F228" t="s">
        <v>37</v>
      </c>
      <c r="G228" t="s">
        <v>33</v>
      </c>
      <c r="H228" t="s">
        <v>38</v>
      </c>
      <c r="I228" t="s">
        <v>39</v>
      </c>
      <c r="J228" t="s">
        <v>30</v>
      </c>
      <c r="K228" s="2">
        <v>2750</v>
      </c>
      <c r="L228" s="2">
        <v>12500</v>
      </c>
      <c r="M228">
        <v>24</v>
      </c>
      <c r="N228" s="3">
        <v>0.27100000000000002</v>
      </c>
      <c r="O228" t="s">
        <v>17</v>
      </c>
      <c r="P228" t="s">
        <v>60</v>
      </c>
      <c r="Q228">
        <v>0</v>
      </c>
      <c r="R228">
        <v>1</v>
      </c>
      <c r="S228" s="2">
        <v>0</v>
      </c>
      <c r="T228" s="4"/>
      <c r="U228">
        <v>5</v>
      </c>
      <c r="V228">
        <v>0</v>
      </c>
      <c r="W228">
        <v>1</v>
      </c>
    </row>
    <row r="229" spans="1:23" ht="16.5" x14ac:dyDescent="0.3">
      <c r="A229" t="s">
        <v>279</v>
      </c>
      <c r="B229" s="1">
        <v>45322</v>
      </c>
      <c r="C229">
        <v>2024</v>
      </c>
      <c r="D229" t="s">
        <v>24</v>
      </c>
      <c r="E229" t="s">
        <v>25</v>
      </c>
      <c r="F229" t="s">
        <v>50</v>
      </c>
      <c r="G229" t="s">
        <v>33</v>
      </c>
      <c r="H229" t="s">
        <v>55</v>
      </c>
      <c r="I229" t="s">
        <v>29</v>
      </c>
      <c r="J229" t="s">
        <v>52</v>
      </c>
      <c r="K229" s="2">
        <v>4350</v>
      </c>
      <c r="L229" s="2">
        <v>475500</v>
      </c>
      <c r="M229">
        <v>300</v>
      </c>
      <c r="N229" s="3">
        <v>0.82499999999999996</v>
      </c>
      <c r="O229" t="s">
        <v>17</v>
      </c>
      <c r="P229" t="s">
        <v>60</v>
      </c>
      <c r="Q229">
        <v>0</v>
      </c>
      <c r="R229">
        <v>1</v>
      </c>
      <c r="S229" s="2">
        <v>0</v>
      </c>
      <c r="T229" s="4"/>
      <c r="U229">
        <v>11</v>
      </c>
      <c r="V229">
        <v>1</v>
      </c>
      <c r="W229">
        <v>1</v>
      </c>
    </row>
    <row r="230" spans="1:23" ht="16.5" x14ac:dyDescent="0.3">
      <c r="A230" t="s">
        <v>280</v>
      </c>
      <c r="B230" s="1">
        <v>45322</v>
      </c>
      <c r="C230">
        <v>2024</v>
      </c>
      <c r="D230" t="s">
        <v>24</v>
      </c>
      <c r="E230" t="s">
        <v>25</v>
      </c>
      <c r="F230" t="s">
        <v>50</v>
      </c>
      <c r="G230" t="s">
        <v>51</v>
      </c>
      <c r="H230" t="s">
        <v>38</v>
      </c>
      <c r="I230" t="s">
        <v>42</v>
      </c>
      <c r="J230" t="s">
        <v>30</v>
      </c>
      <c r="K230" s="2">
        <v>8850</v>
      </c>
      <c r="L230" s="2">
        <v>176000</v>
      </c>
      <c r="M230">
        <v>240</v>
      </c>
      <c r="N230" s="3">
        <v>0.27100000000000002</v>
      </c>
      <c r="O230" t="s">
        <v>16</v>
      </c>
      <c r="Q230">
        <v>1</v>
      </c>
      <c r="R230">
        <v>0</v>
      </c>
      <c r="S230" s="2">
        <v>141000</v>
      </c>
      <c r="T230" s="4">
        <v>7.0599999999999996E-2</v>
      </c>
      <c r="U230">
        <v>10</v>
      </c>
      <c r="V230">
        <v>1</v>
      </c>
      <c r="W230">
        <v>1</v>
      </c>
    </row>
    <row r="231" spans="1:23" ht="16.5" x14ac:dyDescent="0.3">
      <c r="A231" t="s">
        <v>281</v>
      </c>
      <c r="B231" s="1">
        <v>45322</v>
      </c>
      <c r="C231">
        <v>2024</v>
      </c>
      <c r="D231" t="s">
        <v>24</v>
      </c>
      <c r="E231" t="s">
        <v>25</v>
      </c>
      <c r="F231" t="s">
        <v>50</v>
      </c>
      <c r="G231" t="s">
        <v>45</v>
      </c>
      <c r="H231" t="s">
        <v>28</v>
      </c>
      <c r="I231" t="s">
        <v>29</v>
      </c>
      <c r="J231" t="s">
        <v>30</v>
      </c>
      <c r="K231" s="2">
        <v>4000</v>
      </c>
      <c r="L231" s="2">
        <v>198000</v>
      </c>
      <c r="M231">
        <v>240</v>
      </c>
      <c r="N231" s="3">
        <v>0.41199999999999998</v>
      </c>
      <c r="O231" t="s">
        <v>16</v>
      </c>
      <c r="Q231">
        <v>1</v>
      </c>
      <c r="R231">
        <v>0</v>
      </c>
      <c r="S231" s="2">
        <v>198000</v>
      </c>
      <c r="T231" s="4">
        <v>7.5200000000000003E-2</v>
      </c>
      <c r="U231">
        <v>7</v>
      </c>
      <c r="V231">
        <v>1</v>
      </c>
      <c r="W231">
        <v>1</v>
      </c>
    </row>
    <row r="232" spans="1:23" ht="16.5" x14ac:dyDescent="0.3">
      <c r="A232" t="s">
        <v>282</v>
      </c>
      <c r="B232" s="1">
        <v>45322</v>
      </c>
      <c r="C232">
        <v>2024</v>
      </c>
      <c r="D232" t="s">
        <v>24</v>
      </c>
      <c r="E232" t="s">
        <v>25</v>
      </c>
      <c r="F232" t="s">
        <v>37</v>
      </c>
      <c r="G232" t="s">
        <v>45</v>
      </c>
      <c r="H232" t="s">
        <v>55</v>
      </c>
      <c r="I232" t="s">
        <v>29</v>
      </c>
      <c r="J232" t="s">
        <v>52</v>
      </c>
      <c r="K232" s="2">
        <v>5350</v>
      </c>
      <c r="L232" s="2">
        <v>10500</v>
      </c>
      <c r="M232">
        <v>48</v>
      </c>
      <c r="N232" s="3">
        <v>0.11600000000000001</v>
      </c>
      <c r="O232" t="s">
        <v>16</v>
      </c>
      <c r="Q232">
        <v>1</v>
      </c>
      <c r="R232">
        <v>0</v>
      </c>
      <c r="S232" s="2">
        <v>10500</v>
      </c>
      <c r="T232" s="4">
        <v>0.1118</v>
      </c>
      <c r="U232">
        <v>2</v>
      </c>
      <c r="V232">
        <v>1</v>
      </c>
      <c r="W232">
        <v>1</v>
      </c>
    </row>
    <row r="233" spans="1:23" ht="16.5" x14ac:dyDescent="0.3">
      <c r="A233" t="s">
        <v>283</v>
      </c>
      <c r="B233" s="1">
        <v>45323</v>
      </c>
      <c r="C233">
        <v>2024</v>
      </c>
      <c r="D233" t="s">
        <v>24</v>
      </c>
      <c r="E233" t="s">
        <v>284</v>
      </c>
      <c r="F233" t="s">
        <v>41</v>
      </c>
      <c r="G233" t="s">
        <v>51</v>
      </c>
      <c r="H233" t="s">
        <v>64</v>
      </c>
      <c r="I233" t="s">
        <v>29</v>
      </c>
      <c r="J233" t="s">
        <v>30</v>
      </c>
      <c r="K233" s="2">
        <v>4600</v>
      </c>
      <c r="L233" s="2">
        <v>71500</v>
      </c>
      <c r="M233">
        <v>36</v>
      </c>
      <c r="N233" s="3">
        <v>0.56200000000000006</v>
      </c>
      <c r="O233" t="s">
        <v>17</v>
      </c>
      <c r="P233" t="s">
        <v>31</v>
      </c>
      <c r="Q233">
        <v>0</v>
      </c>
      <c r="R233">
        <v>1</v>
      </c>
      <c r="S233" s="2">
        <v>0</v>
      </c>
      <c r="T233" s="4"/>
      <c r="U233">
        <v>15</v>
      </c>
      <c r="V233">
        <v>0</v>
      </c>
      <c r="W233">
        <v>1</v>
      </c>
    </row>
    <row r="234" spans="1:23" ht="16.5" x14ac:dyDescent="0.3">
      <c r="A234" t="s">
        <v>285</v>
      </c>
      <c r="B234" s="1">
        <v>45323</v>
      </c>
      <c r="C234">
        <v>2024</v>
      </c>
      <c r="D234" t="s">
        <v>24</v>
      </c>
      <c r="E234" t="s">
        <v>284</v>
      </c>
      <c r="F234" t="s">
        <v>50</v>
      </c>
      <c r="G234" t="s">
        <v>51</v>
      </c>
      <c r="H234" t="s">
        <v>38</v>
      </c>
      <c r="I234" t="s">
        <v>39</v>
      </c>
      <c r="J234" t="s">
        <v>30</v>
      </c>
      <c r="K234" s="2">
        <v>5700</v>
      </c>
      <c r="L234" s="2">
        <v>240500</v>
      </c>
      <c r="M234">
        <v>240</v>
      </c>
      <c r="N234" s="3">
        <v>0.44500000000000001</v>
      </c>
      <c r="O234" t="s">
        <v>16</v>
      </c>
      <c r="Q234">
        <v>1</v>
      </c>
      <c r="R234">
        <v>0</v>
      </c>
      <c r="S234" s="2">
        <v>240500</v>
      </c>
      <c r="T234" s="4">
        <v>7.3999999999999996E-2</v>
      </c>
      <c r="U234">
        <v>33</v>
      </c>
      <c r="V234">
        <v>0</v>
      </c>
      <c r="W234">
        <v>1</v>
      </c>
    </row>
    <row r="235" spans="1:23" ht="16.5" x14ac:dyDescent="0.3">
      <c r="A235" t="s">
        <v>286</v>
      </c>
      <c r="B235" s="1">
        <v>45323</v>
      </c>
      <c r="C235">
        <v>2024</v>
      </c>
      <c r="D235" t="s">
        <v>24</v>
      </c>
      <c r="E235" t="s">
        <v>284</v>
      </c>
      <c r="F235" t="s">
        <v>26</v>
      </c>
      <c r="G235" t="s">
        <v>51</v>
      </c>
      <c r="H235" t="s">
        <v>34</v>
      </c>
      <c r="I235" t="s">
        <v>29</v>
      </c>
      <c r="J235" t="s">
        <v>35</v>
      </c>
      <c r="K235" s="2">
        <v>9150</v>
      </c>
      <c r="L235" s="2">
        <v>28000</v>
      </c>
      <c r="M235">
        <v>60</v>
      </c>
      <c r="N235" s="3">
        <v>0.20200000000000001</v>
      </c>
      <c r="O235" t="s">
        <v>16</v>
      </c>
      <c r="Q235">
        <v>1</v>
      </c>
      <c r="R235">
        <v>0</v>
      </c>
      <c r="S235" s="2">
        <v>28000</v>
      </c>
      <c r="T235" s="4">
        <v>8.1199999999999994E-2</v>
      </c>
      <c r="U235">
        <v>5</v>
      </c>
      <c r="V235">
        <v>0</v>
      </c>
      <c r="W235">
        <v>1</v>
      </c>
    </row>
    <row r="236" spans="1:23" ht="16.5" x14ac:dyDescent="0.3">
      <c r="A236" t="s">
        <v>287</v>
      </c>
      <c r="B236" s="1">
        <v>45323</v>
      </c>
      <c r="C236">
        <v>2024</v>
      </c>
      <c r="D236" t="s">
        <v>24</v>
      </c>
      <c r="E236" t="s">
        <v>284</v>
      </c>
      <c r="F236" t="s">
        <v>37</v>
      </c>
      <c r="G236" t="s">
        <v>51</v>
      </c>
      <c r="H236" t="s">
        <v>55</v>
      </c>
      <c r="I236" t="s">
        <v>39</v>
      </c>
      <c r="J236" t="s">
        <v>35</v>
      </c>
      <c r="K236" s="2">
        <v>4000</v>
      </c>
      <c r="L236" s="2">
        <v>8500</v>
      </c>
      <c r="M236">
        <v>48</v>
      </c>
      <c r="N236" s="3">
        <v>0.13</v>
      </c>
      <c r="O236" t="s">
        <v>16</v>
      </c>
      <c r="Q236">
        <v>1</v>
      </c>
      <c r="R236">
        <v>0</v>
      </c>
      <c r="S236" s="2">
        <v>7500</v>
      </c>
      <c r="T236" s="4">
        <v>0.12770000000000001</v>
      </c>
      <c r="U236">
        <v>5</v>
      </c>
      <c r="V236">
        <v>0</v>
      </c>
      <c r="W236">
        <v>1</v>
      </c>
    </row>
    <row r="237" spans="1:23" ht="16.5" x14ac:dyDescent="0.3">
      <c r="A237" t="s">
        <v>288</v>
      </c>
      <c r="B237" s="1">
        <v>45324</v>
      </c>
      <c r="C237">
        <v>2024</v>
      </c>
      <c r="D237" t="s">
        <v>24</v>
      </c>
      <c r="E237" t="s">
        <v>284</v>
      </c>
      <c r="F237" t="s">
        <v>41</v>
      </c>
      <c r="G237" t="s">
        <v>33</v>
      </c>
      <c r="H237" t="s">
        <v>64</v>
      </c>
      <c r="I237" t="s">
        <v>42</v>
      </c>
      <c r="J237" t="s">
        <v>52</v>
      </c>
      <c r="K237" s="2">
        <v>5950</v>
      </c>
      <c r="L237" s="2">
        <v>87000</v>
      </c>
      <c r="M237">
        <v>24</v>
      </c>
      <c r="N237" s="3">
        <v>0.85699999999999998</v>
      </c>
      <c r="O237" t="s">
        <v>16</v>
      </c>
      <c r="Q237">
        <v>1</v>
      </c>
      <c r="R237">
        <v>0</v>
      </c>
      <c r="S237" s="2">
        <v>87000</v>
      </c>
      <c r="T237" s="4">
        <v>0.10349999999999999</v>
      </c>
      <c r="U237">
        <v>3</v>
      </c>
      <c r="V237">
        <v>1</v>
      </c>
      <c r="W237">
        <v>1</v>
      </c>
    </row>
    <row r="238" spans="1:23" ht="16.5" x14ac:dyDescent="0.3">
      <c r="A238" t="s">
        <v>289</v>
      </c>
      <c r="B238" s="1">
        <v>45324</v>
      </c>
      <c r="C238">
        <v>2024</v>
      </c>
      <c r="D238" t="s">
        <v>24</v>
      </c>
      <c r="E238" t="s">
        <v>284</v>
      </c>
      <c r="F238" t="s">
        <v>26</v>
      </c>
      <c r="G238" t="s">
        <v>51</v>
      </c>
      <c r="H238" t="s">
        <v>64</v>
      </c>
      <c r="I238" t="s">
        <v>39</v>
      </c>
      <c r="J238" t="s">
        <v>52</v>
      </c>
      <c r="K238" s="2">
        <v>7150</v>
      </c>
      <c r="L238" s="2">
        <v>22000</v>
      </c>
      <c r="M238">
        <v>36</v>
      </c>
      <c r="N238" s="3">
        <v>0.214</v>
      </c>
      <c r="O238" t="s">
        <v>16</v>
      </c>
      <c r="Q238">
        <v>1</v>
      </c>
      <c r="R238">
        <v>0</v>
      </c>
      <c r="S238" s="2">
        <v>22000</v>
      </c>
      <c r="T238" s="4">
        <v>6.9199999999999998E-2</v>
      </c>
      <c r="U238">
        <v>5</v>
      </c>
      <c r="V238">
        <v>0</v>
      </c>
      <c r="W238">
        <v>1</v>
      </c>
    </row>
    <row r="239" spans="1:23" ht="16.5" x14ac:dyDescent="0.3">
      <c r="A239" t="s">
        <v>290</v>
      </c>
      <c r="B239" s="1">
        <v>45324</v>
      </c>
      <c r="C239">
        <v>2024</v>
      </c>
      <c r="D239" t="s">
        <v>24</v>
      </c>
      <c r="E239" t="s">
        <v>284</v>
      </c>
      <c r="F239" t="s">
        <v>26</v>
      </c>
      <c r="G239" t="s">
        <v>51</v>
      </c>
      <c r="H239" t="s">
        <v>28</v>
      </c>
      <c r="I239" t="s">
        <v>39</v>
      </c>
      <c r="J239" t="s">
        <v>43</v>
      </c>
      <c r="K239" s="2">
        <v>3050</v>
      </c>
      <c r="L239" s="2">
        <v>86500</v>
      </c>
      <c r="M239">
        <v>48</v>
      </c>
      <c r="N239" s="3">
        <v>0.77200000000000002</v>
      </c>
      <c r="O239" t="s">
        <v>17</v>
      </c>
      <c r="P239" t="s">
        <v>53</v>
      </c>
      <c r="Q239">
        <v>0</v>
      </c>
      <c r="R239">
        <v>1</v>
      </c>
      <c r="S239" s="2">
        <v>0</v>
      </c>
      <c r="T239" s="4"/>
      <c r="U239">
        <v>5</v>
      </c>
      <c r="V239">
        <v>0</v>
      </c>
      <c r="W239">
        <v>1</v>
      </c>
    </row>
    <row r="240" spans="1:23" ht="16.5" x14ac:dyDescent="0.3">
      <c r="A240" t="s">
        <v>291</v>
      </c>
      <c r="B240" s="1">
        <v>45324</v>
      </c>
      <c r="C240">
        <v>2024</v>
      </c>
      <c r="D240" t="s">
        <v>24</v>
      </c>
      <c r="E240" t="s">
        <v>284</v>
      </c>
      <c r="F240" t="s">
        <v>26</v>
      </c>
      <c r="G240" t="s">
        <v>27</v>
      </c>
      <c r="H240" t="s">
        <v>38</v>
      </c>
      <c r="I240" t="s">
        <v>29</v>
      </c>
      <c r="J240" t="s">
        <v>30</v>
      </c>
      <c r="K240" s="2">
        <v>4300</v>
      </c>
      <c r="L240" s="2">
        <v>30000</v>
      </c>
      <c r="M240">
        <v>60</v>
      </c>
      <c r="N240" s="3">
        <v>0.218</v>
      </c>
      <c r="O240" t="s">
        <v>17</v>
      </c>
      <c r="P240" t="s">
        <v>60</v>
      </c>
      <c r="Q240">
        <v>0</v>
      </c>
      <c r="R240">
        <v>1</v>
      </c>
      <c r="S240" s="2">
        <v>0</v>
      </c>
      <c r="T240" s="4"/>
      <c r="U240">
        <v>9</v>
      </c>
      <c r="V240">
        <v>0</v>
      </c>
      <c r="W240">
        <v>1</v>
      </c>
    </row>
    <row r="241" spans="1:23" ht="16.5" x14ac:dyDescent="0.3">
      <c r="A241" t="s">
        <v>292</v>
      </c>
      <c r="B241" s="1">
        <v>45325</v>
      </c>
      <c r="C241">
        <v>2024</v>
      </c>
      <c r="D241" t="s">
        <v>24</v>
      </c>
      <c r="E241" t="s">
        <v>284</v>
      </c>
      <c r="F241" t="s">
        <v>26</v>
      </c>
      <c r="G241" t="s">
        <v>45</v>
      </c>
      <c r="H241" t="s">
        <v>55</v>
      </c>
      <c r="I241" t="s">
        <v>29</v>
      </c>
      <c r="J241" t="s">
        <v>43</v>
      </c>
      <c r="K241" s="2">
        <v>3000</v>
      </c>
      <c r="L241" s="2">
        <v>35000</v>
      </c>
      <c r="M241">
        <v>48</v>
      </c>
      <c r="N241" s="3">
        <v>0.39700000000000002</v>
      </c>
      <c r="O241" t="s">
        <v>17</v>
      </c>
      <c r="P241" t="s">
        <v>31</v>
      </c>
      <c r="Q241">
        <v>0</v>
      </c>
      <c r="R241">
        <v>1</v>
      </c>
      <c r="S241" s="2">
        <v>0</v>
      </c>
      <c r="T241" s="4"/>
      <c r="U241">
        <v>3</v>
      </c>
      <c r="V241">
        <v>1</v>
      </c>
      <c r="W241">
        <v>1</v>
      </c>
    </row>
    <row r="242" spans="1:23" ht="16.5" x14ac:dyDescent="0.3">
      <c r="A242" t="s">
        <v>293</v>
      </c>
      <c r="B242" s="1">
        <v>45325</v>
      </c>
      <c r="C242">
        <v>2024</v>
      </c>
      <c r="D242" t="s">
        <v>24</v>
      </c>
      <c r="E242" t="s">
        <v>284</v>
      </c>
      <c r="F242" t="s">
        <v>26</v>
      </c>
      <c r="G242" t="s">
        <v>51</v>
      </c>
      <c r="H242" t="s">
        <v>38</v>
      </c>
      <c r="I242" t="s">
        <v>29</v>
      </c>
      <c r="J242" t="s">
        <v>35</v>
      </c>
      <c r="K242" s="2">
        <v>10300</v>
      </c>
      <c r="L242" s="2">
        <v>18000</v>
      </c>
      <c r="M242">
        <v>36</v>
      </c>
      <c r="N242" s="3">
        <v>0.28199999999999997</v>
      </c>
      <c r="O242" t="s">
        <v>16</v>
      </c>
      <c r="Q242">
        <v>1</v>
      </c>
      <c r="R242">
        <v>0</v>
      </c>
      <c r="S242" s="2">
        <v>18000</v>
      </c>
      <c r="T242" s="4">
        <v>8.4599999999999995E-2</v>
      </c>
      <c r="U242">
        <v>7</v>
      </c>
      <c r="V242">
        <v>0</v>
      </c>
      <c r="W242">
        <v>1</v>
      </c>
    </row>
    <row r="243" spans="1:23" ht="16.5" x14ac:dyDescent="0.3">
      <c r="A243" t="s">
        <v>294</v>
      </c>
      <c r="B243" s="1">
        <v>45325</v>
      </c>
      <c r="C243">
        <v>2024</v>
      </c>
      <c r="D243" t="s">
        <v>24</v>
      </c>
      <c r="E243" t="s">
        <v>284</v>
      </c>
      <c r="F243" t="s">
        <v>37</v>
      </c>
      <c r="G243" t="s">
        <v>45</v>
      </c>
      <c r="H243" t="s">
        <v>34</v>
      </c>
      <c r="I243" t="s">
        <v>29</v>
      </c>
      <c r="J243" t="s">
        <v>35</v>
      </c>
      <c r="K243" s="2">
        <v>3800</v>
      </c>
      <c r="L243" s="2">
        <v>22000</v>
      </c>
      <c r="M243">
        <v>12</v>
      </c>
      <c r="N243" s="3">
        <v>0.61799999999999999</v>
      </c>
      <c r="O243" t="s">
        <v>16</v>
      </c>
      <c r="Q243">
        <v>1</v>
      </c>
      <c r="R243">
        <v>0</v>
      </c>
      <c r="S243" s="2">
        <v>22000</v>
      </c>
      <c r="T243" s="4">
        <v>0.12920000000000001</v>
      </c>
      <c r="U243">
        <v>4</v>
      </c>
      <c r="V243">
        <v>0</v>
      </c>
      <c r="W243">
        <v>1</v>
      </c>
    </row>
    <row r="244" spans="1:23" ht="16.5" x14ac:dyDescent="0.3">
      <c r="A244" t="s">
        <v>295</v>
      </c>
      <c r="B244" s="1">
        <v>45325</v>
      </c>
      <c r="C244">
        <v>2024</v>
      </c>
      <c r="D244" t="s">
        <v>24</v>
      </c>
      <c r="E244" t="s">
        <v>284</v>
      </c>
      <c r="F244" t="s">
        <v>37</v>
      </c>
      <c r="G244" t="s">
        <v>45</v>
      </c>
      <c r="H244" t="s">
        <v>38</v>
      </c>
      <c r="I244" t="s">
        <v>39</v>
      </c>
      <c r="J244" t="s">
        <v>30</v>
      </c>
      <c r="K244" s="2">
        <v>5300</v>
      </c>
      <c r="L244" s="2">
        <v>9500</v>
      </c>
      <c r="M244">
        <v>12</v>
      </c>
      <c r="N244" s="3">
        <v>0.27800000000000002</v>
      </c>
      <c r="O244" t="s">
        <v>16</v>
      </c>
      <c r="Q244">
        <v>1</v>
      </c>
      <c r="R244">
        <v>0</v>
      </c>
      <c r="S244" s="2">
        <v>9500</v>
      </c>
      <c r="T244" s="4">
        <v>0.1386</v>
      </c>
      <c r="U244">
        <v>2</v>
      </c>
      <c r="V244">
        <v>1</v>
      </c>
      <c r="W244">
        <v>1</v>
      </c>
    </row>
    <row r="245" spans="1:23" ht="16.5" x14ac:dyDescent="0.3">
      <c r="A245" t="s">
        <v>296</v>
      </c>
      <c r="B245" s="1">
        <v>45326</v>
      </c>
      <c r="C245">
        <v>2024</v>
      </c>
      <c r="D245" t="s">
        <v>24</v>
      </c>
      <c r="E245" t="s">
        <v>284</v>
      </c>
      <c r="F245" t="s">
        <v>37</v>
      </c>
      <c r="G245" t="s">
        <v>51</v>
      </c>
      <c r="H245" t="s">
        <v>34</v>
      </c>
      <c r="I245" t="s">
        <v>39</v>
      </c>
      <c r="J245" t="s">
        <v>43</v>
      </c>
      <c r="K245" s="2">
        <v>4800</v>
      </c>
      <c r="L245" s="2">
        <v>17000</v>
      </c>
      <c r="M245">
        <v>60</v>
      </c>
      <c r="N245" s="3">
        <v>0.214</v>
      </c>
      <c r="O245" t="s">
        <v>16</v>
      </c>
      <c r="Q245">
        <v>1</v>
      </c>
      <c r="R245">
        <v>0</v>
      </c>
      <c r="S245" s="2">
        <v>17000</v>
      </c>
      <c r="T245" s="4">
        <v>0.15790000000000001</v>
      </c>
      <c r="U245">
        <v>4</v>
      </c>
      <c r="V245">
        <v>0</v>
      </c>
      <c r="W245">
        <v>1</v>
      </c>
    </row>
    <row r="246" spans="1:23" ht="16.5" x14ac:dyDescent="0.3">
      <c r="A246" t="s">
        <v>297</v>
      </c>
      <c r="B246" s="1">
        <v>45326</v>
      </c>
      <c r="C246">
        <v>2024</v>
      </c>
      <c r="D246" t="s">
        <v>24</v>
      </c>
      <c r="E246" t="s">
        <v>284</v>
      </c>
      <c r="F246" t="s">
        <v>26</v>
      </c>
      <c r="G246" t="s">
        <v>45</v>
      </c>
      <c r="H246" t="s">
        <v>55</v>
      </c>
      <c r="I246" t="s">
        <v>42</v>
      </c>
      <c r="J246" t="s">
        <v>46</v>
      </c>
      <c r="K246" s="2">
        <v>9150</v>
      </c>
      <c r="L246" s="2">
        <v>42000</v>
      </c>
      <c r="M246">
        <v>48</v>
      </c>
      <c r="N246" s="3">
        <v>0.27200000000000002</v>
      </c>
      <c r="O246" t="s">
        <v>16</v>
      </c>
      <c r="Q246">
        <v>1</v>
      </c>
      <c r="R246">
        <v>0</v>
      </c>
      <c r="S246" s="2">
        <v>42000</v>
      </c>
      <c r="T246" s="4">
        <v>6.9699999999999998E-2</v>
      </c>
      <c r="U246">
        <v>2</v>
      </c>
      <c r="V246">
        <v>1</v>
      </c>
      <c r="W246">
        <v>1</v>
      </c>
    </row>
    <row r="247" spans="1:23" ht="16.5" x14ac:dyDescent="0.3">
      <c r="A247" t="s">
        <v>298</v>
      </c>
      <c r="B247" s="1">
        <v>45326</v>
      </c>
      <c r="C247">
        <v>2024</v>
      </c>
      <c r="D247" t="s">
        <v>24</v>
      </c>
      <c r="E247" t="s">
        <v>284</v>
      </c>
      <c r="F247" t="s">
        <v>50</v>
      </c>
      <c r="G247" t="s">
        <v>51</v>
      </c>
      <c r="H247" t="s">
        <v>55</v>
      </c>
      <c r="I247" t="s">
        <v>29</v>
      </c>
      <c r="J247" t="s">
        <v>46</v>
      </c>
      <c r="K247" s="2">
        <v>5900</v>
      </c>
      <c r="L247" s="2">
        <v>221500</v>
      </c>
      <c r="M247">
        <v>240</v>
      </c>
      <c r="N247" s="3">
        <v>0.34200000000000003</v>
      </c>
      <c r="O247" t="s">
        <v>16</v>
      </c>
      <c r="Q247">
        <v>1</v>
      </c>
      <c r="R247">
        <v>0</v>
      </c>
      <c r="S247" s="2">
        <v>221500</v>
      </c>
      <c r="T247" s="4">
        <v>4.3299999999999998E-2</v>
      </c>
      <c r="U247">
        <v>33</v>
      </c>
      <c r="V247">
        <v>0</v>
      </c>
      <c r="W247">
        <v>1</v>
      </c>
    </row>
    <row r="248" spans="1:23" ht="16.5" x14ac:dyDescent="0.3">
      <c r="A248" t="s">
        <v>299</v>
      </c>
      <c r="B248" s="1">
        <v>45327</v>
      </c>
      <c r="C248">
        <v>2024</v>
      </c>
      <c r="D248" t="s">
        <v>24</v>
      </c>
      <c r="E248" t="s">
        <v>284</v>
      </c>
      <c r="F248" t="s">
        <v>37</v>
      </c>
      <c r="G248" t="s">
        <v>51</v>
      </c>
      <c r="H248" t="s">
        <v>38</v>
      </c>
      <c r="I248" t="s">
        <v>42</v>
      </c>
      <c r="J248" t="s">
        <v>30</v>
      </c>
      <c r="K248" s="2">
        <v>6100</v>
      </c>
      <c r="L248" s="2">
        <v>10000</v>
      </c>
      <c r="M248">
        <v>24</v>
      </c>
      <c r="N248" s="3">
        <v>0.26100000000000001</v>
      </c>
      <c r="O248" t="s">
        <v>17</v>
      </c>
      <c r="P248" t="s">
        <v>31</v>
      </c>
      <c r="Q248">
        <v>0</v>
      </c>
      <c r="R248">
        <v>1</v>
      </c>
      <c r="S248" s="2">
        <v>0</v>
      </c>
      <c r="T248" s="4"/>
      <c r="U248">
        <v>3</v>
      </c>
      <c r="V248">
        <v>1</v>
      </c>
      <c r="W248">
        <v>1</v>
      </c>
    </row>
    <row r="249" spans="1:23" ht="16.5" x14ac:dyDescent="0.3">
      <c r="A249" t="s">
        <v>300</v>
      </c>
      <c r="B249" s="1">
        <v>45327</v>
      </c>
      <c r="C249">
        <v>2024</v>
      </c>
      <c r="D249" t="s">
        <v>24</v>
      </c>
      <c r="E249" t="s">
        <v>284</v>
      </c>
      <c r="F249" t="s">
        <v>37</v>
      </c>
      <c r="G249" t="s">
        <v>45</v>
      </c>
      <c r="H249" t="s">
        <v>55</v>
      </c>
      <c r="I249" t="s">
        <v>42</v>
      </c>
      <c r="J249" t="s">
        <v>52</v>
      </c>
      <c r="K249" s="2">
        <v>4000</v>
      </c>
      <c r="L249" s="2">
        <v>9000</v>
      </c>
      <c r="M249">
        <v>36</v>
      </c>
      <c r="N249" s="3">
        <v>0.27700000000000002</v>
      </c>
      <c r="O249" t="s">
        <v>17</v>
      </c>
      <c r="P249" t="s">
        <v>65</v>
      </c>
      <c r="Q249">
        <v>0</v>
      </c>
      <c r="R249">
        <v>1</v>
      </c>
      <c r="S249" s="2">
        <v>0</v>
      </c>
      <c r="T249" s="4"/>
      <c r="U249">
        <v>1</v>
      </c>
      <c r="V249">
        <v>1</v>
      </c>
      <c r="W249">
        <v>1</v>
      </c>
    </row>
    <row r="250" spans="1:23" ht="16.5" x14ac:dyDescent="0.3">
      <c r="A250" t="s">
        <v>301</v>
      </c>
      <c r="B250" s="1">
        <v>45327</v>
      </c>
      <c r="C250">
        <v>2024</v>
      </c>
      <c r="D250" t="s">
        <v>24</v>
      </c>
      <c r="E250" t="s">
        <v>284</v>
      </c>
      <c r="F250" t="s">
        <v>37</v>
      </c>
      <c r="G250" t="s">
        <v>33</v>
      </c>
      <c r="H250" t="s">
        <v>55</v>
      </c>
      <c r="I250" t="s">
        <v>39</v>
      </c>
      <c r="J250" t="s">
        <v>35</v>
      </c>
      <c r="K250" s="2">
        <v>3400</v>
      </c>
      <c r="L250" s="2">
        <v>7500</v>
      </c>
      <c r="M250">
        <v>36</v>
      </c>
      <c r="N250" s="3">
        <v>0.124</v>
      </c>
      <c r="O250" t="s">
        <v>17</v>
      </c>
      <c r="P250" t="s">
        <v>31</v>
      </c>
      <c r="Q250">
        <v>0</v>
      </c>
      <c r="R250">
        <v>1</v>
      </c>
      <c r="S250" s="2">
        <v>0</v>
      </c>
      <c r="T250" s="4"/>
      <c r="U250">
        <v>3</v>
      </c>
      <c r="V250">
        <v>1</v>
      </c>
      <c r="W250">
        <v>1</v>
      </c>
    </row>
    <row r="251" spans="1:23" ht="16.5" x14ac:dyDescent="0.3">
      <c r="A251" t="s">
        <v>302</v>
      </c>
      <c r="B251" s="1">
        <v>45327</v>
      </c>
      <c r="C251">
        <v>2024</v>
      </c>
      <c r="D251" t="s">
        <v>24</v>
      </c>
      <c r="E251" t="s">
        <v>284</v>
      </c>
      <c r="F251" t="s">
        <v>37</v>
      </c>
      <c r="G251" t="s">
        <v>33</v>
      </c>
      <c r="H251" t="s">
        <v>38</v>
      </c>
      <c r="I251" t="s">
        <v>39</v>
      </c>
      <c r="J251" t="s">
        <v>43</v>
      </c>
      <c r="K251" s="2">
        <v>14250</v>
      </c>
      <c r="L251" s="2">
        <v>16500</v>
      </c>
      <c r="M251">
        <v>12</v>
      </c>
      <c r="N251" s="3">
        <v>0.33700000000000002</v>
      </c>
      <c r="O251" t="s">
        <v>17</v>
      </c>
      <c r="P251" t="s">
        <v>65</v>
      </c>
      <c r="Q251">
        <v>0</v>
      </c>
      <c r="R251">
        <v>1</v>
      </c>
      <c r="S251" s="2">
        <v>0</v>
      </c>
      <c r="T251" s="4"/>
      <c r="U251">
        <v>1</v>
      </c>
      <c r="V251">
        <v>1</v>
      </c>
      <c r="W251">
        <v>1</v>
      </c>
    </row>
    <row r="252" spans="1:23" ht="16.5" x14ac:dyDescent="0.3">
      <c r="A252" t="s">
        <v>303</v>
      </c>
      <c r="B252" s="1">
        <v>45327</v>
      </c>
      <c r="C252">
        <v>2024</v>
      </c>
      <c r="D252" t="s">
        <v>24</v>
      </c>
      <c r="E252" t="s">
        <v>284</v>
      </c>
      <c r="F252" t="s">
        <v>26</v>
      </c>
      <c r="G252" t="s">
        <v>51</v>
      </c>
      <c r="H252" t="s">
        <v>28</v>
      </c>
      <c r="I252" t="s">
        <v>42</v>
      </c>
      <c r="J252" t="s">
        <v>30</v>
      </c>
      <c r="K252" s="2">
        <v>3800</v>
      </c>
      <c r="L252" s="2">
        <v>39000</v>
      </c>
      <c r="M252">
        <v>48</v>
      </c>
      <c r="N252" s="3">
        <v>0.39900000000000002</v>
      </c>
      <c r="O252" t="s">
        <v>17</v>
      </c>
      <c r="P252" t="s">
        <v>31</v>
      </c>
      <c r="Q252">
        <v>0</v>
      </c>
      <c r="R252">
        <v>1</v>
      </c>
      <c r="S252" s="2">
        <v>0</v>
      </c>
      <c r="T252" s="4"/>
      <c r="U252">
        <v>5</v>
      </c>
      <c r="V252">
        <v>0</v>
      </c>
      <c r="W252">
        <v>1</v>
      </c>
    </row>
    <row r="253" spans="1:23" ht="16.5" x14ac:dyDescent="0.3">
      <c r="A253" t="s">
        <v>304</v>
      </c>
      <c r="B253" s="1">
        <v>45327</v>
      </c>
      <c r="C253">
        <v>2024</v>
      </c>
      <c r="D253" t="s">
        <v>24</v>
      </c>
      <c r="E253" t="s">
        <v>284</v>
      </c>
      <c r="F253" t="s">
        <v>41</v>
      </c>
      <c r="G253" t="s">
        <v>51</v>
      </c>
      <c r="H253" t="s">
        <v>34</v>
      </c>
      <c r="I253" t="s">
        <v>39</v>
      </c>
      <c r="J253" t="s">
        <v>52</v>
      </c>
      <c r="K253" s="2">
        <v>4300</v>
      </c>
      <c r="L253" s="2">
        <v>146000</v>
      </c>
      <c r="M253">
        <v>60</v>
      </c>
      <c r="N253" s="3">
        <v>0.78600000000000003</v>
      </c>
      <c r="O253" t="s">
        <v>17</v>
      </c>
      <c r="P253" t="s">
        <v>53</v>
      </c>
      <c r="Q253">
        <v>0</v>
      </c>
      <c r="R253">
        <v>1</v>
      </c>
      <c r="S253" s="2">
        <v>0</v>
      </c>
      <c r="T253" s="4"/>
      <c r="U253">
        <v>17</v>
      </c>
      <c r="V253">
        <v>0</v>
      </c>
      <c r="W253">
        <v>1</v>
      </c>
    </row>
    <row r="254" spans="1:23" ht="16.5" x14ac:dyDescent="0.3">
      <c r="A254" t="s">
        <v>305</v>
      </c>
      <c r="B254" s="1">
        <v>45327</v>
      </c>
      <c r="C254">
        <v>2024</v>
      </c>
      <c r="D254" t="s">
        <v>24</v>
      </c>
      <c r="E254" t="s">
        <v>284</v>
      </c>
      <c r="F254" t="s">
        <v>26</v>
      </c>
      <c r="G254" t="s">
        <v>27</v>
      </c>
      <c r="H254" t="s">
        <v>64</v>
      </c>
      <c r="I254" t="s">
        <v>29</v>
      </c>
      <c r="J254" t="s">
        <v>46</v>
      </c>
      <c r="K254" s="2">
        <v>6400</v>
      </c>
      <c r="L254" s="2">
        <v>48000</v>
      </c>
      <c r="M254">
        <v>60</v>
      </c>
      <c r="N254" s="3">
        <v>0.36299999999999999</v>
      </c>
      <c r="O254" t="s">
        <v>16</v>
      </c>
      <c r="Q254">
        <v>1</v>
      </c>
      <c r="R254">
        <v>0</v>
      </c>
      <c r="S254" s="2">
        <v>48000</v>
      </c>
      <c r="T254" s="4">
        <v>6.3E-2</v>
      </c>
      <c r="U254">
        <v>8</v>
      </c>
      <c r="V254">
        <v>0</v>
      </c>
      <c r="W254">
        <v>1</v>
      </c>
    </row>
    <row r="255" spans="1:23" ht="16.5" x14ac:dyDescent="0.3">
      <c r="A255" t="s">
        <v>306</v>
      </c>
      <c r="B255" s="1">
        <v>45327</v>
      </c>
      <c r="C255">
        <v>2024</v>
      </c>
      <c r="D255" t="s">
        <v>24</v>
      </c>
      <c r="E255" t="s">
        <v>284</v>
      </c>
      <c r="F255" t="s">
        <v>37</v>
      </c>
      <c r="G255" t="s">
        <v>51</v>
      </c>
      <c r="H255" t="s">
        <v>55</v>
      </c>
      <c r="I255" t="s">
        <v>29</v>
      </c>
      <c r="J255" t="s">
        <v>35</v>
      </c>
      <c r="K255" s="2">
        <v>7550</v>
      </c>
      <c r="L255" s="2">
        <v>13000</v>
      </c>
      <c r="M255">
        <v>24</v>
      </c>
      <c r="N255" s="3">
        <v>0.32300000000000001</v>
      </c>
      <c r="O255" t="s">
        <v>16</v>
      </c>
      <c r="Q255">
        <v>1</v>
      </c>
      <c r="R255">
        <v>0</v>
      </c>
      <c r="S255" s="2">
        <v>10500</v>
      </c>
      <c r="T255" s="4">
        <v>0.12230000000000001</v>
      </c>
      <c r="U255">
        <v>4</v>
      </c>
      <c r="V255">
        <v>0</v>
      </c>
      <c r="W255">
        <v>1</v>
      </c>
    </row>
    <row r="256" spans="1:23" ht="16.5" x14ac:dyDescent="0.3">
      <c r="A256" t="s">
        <v>307</v>
      </c>
      <c r="B256" s="1">
        <v>45327</v>
      </c>
      <c r="C256">
        <v>2024</v>
      </c>
      <c r="D256" t="s">
        <v>24</v>
      </c>
      <c r="E256" t="s">
        <v>284</v>
      </c>
      <c r="F256" t="s">
        <v>41</v>
      </c>
      <c r="G256" t="s">
        <v>51</v>
      </c>
      <c r="H256" t="s">
        <v>38</v>
      </c>
      <c r="I256" t="s">
        <v>29</v>
      </c>
      <c r="J256" t="s">
        <v>43</v>
      </c>
      <c r="K256" s="2">
        <v>3400</v>
      </c>
      <c r="L256" s="2">
        <v>116000</v>
      </c>
      <c r="M256">
        <v>36</v>
      </c>
      <c r="N256" s="3">
        <v>1.3009999999999999</v>
      </c>
      <c r="O256" t="s">
        <v>17</v>
      </c>
      <c r="P256" t="s">
        <v>31</v>
      </c>
      <c r="Q256">
        <v>0</v>
      </c>
      <c r="R256">
        <v>1</v>
      </c>
      <c r="S256" s="2">
        <v>0</v>
      </c>
      <c r="T256" s="4"/>
      <c r="U256">
        <v>9</v>
      </c>
      <c r="V256">
        <v>1</v>
      </c>
      <c r="W256">
        <v>1</v>
      </c>
    </row>
    <row r="257" spans="1:23" ht="16.5" x14ac:dyDescent="0.3">
      <c r="A257" t="s">
        <v>308</v>
      </c>
      <c r="B257" s="1">
        <v>45328</v>
      </c>
      <c r="C257">
        <v>2024</v>
      </c>
      <c r="D257" t="s">
        <v>24</v>
      </c>
      <c r="E257" t="s">
        <v>284</v>
      </c>
      <c r="F257" t="s">
        <v>50</v>
      </c>
      <c r="G257" t="s">
        <v>51</v>
      </c>
      <c r="H257" t="s">
        <v>34</v>
      </c>
      <c r="I257" t="s">
        <v>39</v>
      </c>
      <c r="J257" t="s">
        <v>35</v>
      </c>
      <c r="K257" s="2">
        <v>5250</v>
      </c>
      <c r="L257" s="2">
        <v>256000</v>
      </c>
      <c r="M257">
        <v>240</v>
      </c>
      <c r="N257" s="3">
        <v>0.45500000000000002</v>
      </c>
      <c r="O257" t="s">
        <v>16</v>
      </c>
      <c r="Q257">
        <v>1</v>
      </c>
      <c r="R257">
        <v>0</v>
      </c>
      <c r="S257" s="2">
        <v>205000</v>
      </c>
      <c r="T257" s="4">
        <v>6.0600000000000001E-2</v>
      </c>
      <c r="U257">
        <v>13</v>
      </c>
      <c r="V257">
        <v>1</v>
      </c>
      <c r="W257">
        <v>1</v>
      </c>
    </row>
    <row r="258" spans="1:23" ht="16.5" x14ac:dyDescent="0.3">
      <c r="A258" t="s">
        <v>309</v>
      </c>
      <c r="B258" s="1">
        <v>45328</v>
      </c>
      <c r="C258">
        <v>2024</v>
      </c>
      <c r="D258" t="s">
        <v>24</v>
      </c>
      <c r="E258" t="s">
        <v>284</v>
      </c>
      <c r="F258" t="s">
        <v>50</v>
      </c>
      <c r="G258" t="s">
        <v>51</v>
      </c>
      <c r="H258" t="s">
        <v>38</v>
      </c>
      <c r="I258" t="s">
        <v>39</v>
      </c>
      <c r="J258" t="s">
        <v>52</v>
      </c>
      <c r="K258" s="2">
        <v>4200</v>
      </c>
      <c r="L258" s="2">
        <v>205500</v>
      </c>
      <c r="M258">
        <v>240</v>
      </c>
      <c r="N258" s="3">
        <v>0.40500000000000003</v>
      </c>
      <c r="O258" t="s">
        <v>16</v>
      </c>
      <c r="Q258">
        <v>1</v>
      </c>
      <c r="R258">
        <v>0</v>
      </c>
      <c r="S258" s="2">
        <v>205500</v>
      </c>
      <c r="T258" s="4">
        <v>5.1799999999999999E-2</v>
      </c>
      <c r="U258">
        <v>25</v>
      </c>
      <c r="V258">
        <v>0</v>
      </c>
      <c r="W258">
        <v>1</v>
      </c>
    </row>
    <row r="259" spans="1:23" ht="16.5" x14ac:dyDescent="0.3">
      <c r="A259" t="s">
        <v>310</v>
      </c>
      <c r="B259" s="1">
        <v>45328</v>
      </c>
      <c r="C259">
        <v>2024</v>
      </c>
      <c r="D259" t="s">
        <v>24</v>
      </c>
      <c r="E259" t="s">
        <v>284</v>
      </c>
      <c r="F259" t="s">
        <v>41</v>
      </c>
      <c r="G259" t="s">
        <v>51</v>
      </c>
      <c r="H259" t="s">
        <v>55</v>
      </c>
      <c r="I259" t="s">
        <v>42</v>
      </c>
      <c r="J259" t="s">
        <v>52</v>
      </c>
      <c r="K259" s="2">
        <v>4600</v>
      </c>
      <c r="L259" s="2">
        <v>70000</v>
      </c>
      <c r="M259">
        <v>24</v>
      </c>
      <c r="N259" s="3">
        <v>0.86199999999999999</v>
      </c>
      <c r="O259" t="s">
        <v>16</v>
      </c>
      <c r="Q259">
        <v>1</v>
      </c>
      <c r="R259">
        <v>0</v>
      </c>
      <c r="S259" s="2">
        <v>70000</v>
      </c>
      <c r="T259" s="4">
        <v>9.8000000000000004E-2</v>
      </c>
      <c r="U259">
        <v>6</v>
      </c>
      <c r="V259">
        <v>1</v>
      </c>
      <c r="W259">
        <v>1</v>
      </c>
    </row>
    <row r="260" spans="1:23" ht="16.5" x14ac:dyDescent="0.3">
      <c r="A260" t="s">
        <v>311</v>
      </c>
      <c r="B260" s="1">
        <v>45328</v>
      </c>
      <c r="C260">
        <v>2024</v>
      </c>
      <c r="D260" t="s">
        <v>24</v>
      </c>
      <c r="E260" t="s">
        <v>284</v>
      </c>
      <c r="F260" t="s">
        <v>41</v>
      </c>
      <c r="G260" t="s">
        <v>51</v>
      </c>
      <c r="H260" t="s">
        <v>38</v>
      </c>
      <c r="I260" t="s">
        <v>29</v>
      </c>
      <c r="J260" t="s">
        <v>35</v>
      </c>
      <c r="K260" s="2">
        <v>4300</v>
      </c>
      <c r="L260" s="2">
        <v>124500</v>
      </c>
      <c r="M260">
        <v>36</v>
      </c>
      <c r="N260" s="3">
        <v>1.0489999999999999</v>
      </c>
      <c r="O260" t="s">
        <v>125</v>
      </c>
      <c r="Q260">
        <v>0</v>
      </c>
      <c r="R260">
        <v>0</v>
      </c>
      <c r="S260" s="2">
        <v>0</v>
      </c>
      <c r="T260" s="4"/>
      <c r="U260">
        <v>17</v>
      </c>
      <c r="V260">
        <v>0</v>
      </c>
      <c r="W260">
        <v>1</v>
      </c>
    </row>
    <row r="261" spans="1:23" ht="16.5" x14ac:dyDescent="0.3">
      <c r="A261" t="s">
        <v>312</v>
      </c>
      <c r="B261" s="1">
        <v>45328</v>
      </c>
      <c r="C261">
        <v>2024</v>
      </c>
      <c r="D261" t="s">
        <v>24</v>
      </c>
      <c r="E261" t="s">
        <v>284</v>
      </c>
      <c r="F261" t="s">
        <v>50</v>
      </c>
      <c r="G261" t="s">
        <v>51</v>
      </c>
      <c r="H261" t="s">
        <v>55</v>
      </c>
      <c r="I261" t="s">
        <v>39</v>
      </c>
      <c r="J261" t="s">
        <v>35</v>
      </c>
      <c r="K261" s="2">
        <v>4300</v>
      </c>
      <c r="L261" s="2">
        <v>215000</v>
      </c>
      <c r="M261">
        <v>240</v>
      </c>
      <c r="N261" s="3">
        <v>0.53900000000000003</v>
      </c>
      <c r="O261" t="s">
        <v>17</v>
      </c>
      <c r="P261" t="s">
        <v>53</v>
      </c>
      <c r="Q261">
        <v>0</v>
      </c>
      <c r="R261">
        <v>1</v>
      </c>
      <c r="S261" s="2">
        <v>0</v>
      </c>
      <c r="T261" s="4"/>
      <c r="U261">
        <v>12</v>
      </c>
      <c r="V261">
        <v>1</v>
      </c>
      <c r="W261">
        <v>1</v>
      </c>
    </row>
    <row r="262" spans="1:23" ht="16.5" x14ac:dyDescent="0.3">
      <c r="A262" t="s">
        <v>313</v>
      </c>
      <c r="B262" s="1">
        <v>45328</v>
      </c>
      <c r="C262">
        <v>2024</v>
      </c>
      <c r="D262" t="s">
        <v>24</v>
      </c>
      <c r="E262" t="s">
        <v>284</v>
      </c>
      <c r="F262" t="s">
        <v>26</v>
      </c>
      <c r="G262" t="s">
        <v>51</v>
      </c>
      <c r="H262" t="s">
        <v>38</v>
      </c>
      <c r="I262" t="s">
        <v>39</v>
      </c>
      <c r="J262" t="s">
        <v>30</v>
      </c>
      <c r="K262" s="2">
        <v>4900</v>
      </c>
      <c r="L262" s="2">
        <v>36000</v>
      </c>
      <c r="M262">
        <v>48</v>
      </c>
      <c r="N262" s="3">
        <v>0.35699999999999998</v>
      </c>
      <c r="O262" t="s">
        <v>17</v>
      </c>
      <c r="P262" t="s">
        <v>31</v>
      </c>
      <c r="Q262">
        <v>0</v>
      </c>
      <c r="R262">
        <v>1</v>
      </c>
      <c r="S262" s="2">
        <v>0</v>
      </c>
      <c r="T262" s="4"/>
      <c r="U262">
        <v>3</v>
      </c>
      <c r="V262">
        <v>1</v>
      </c>
      <c r="W262">
        <v>1</v>
      </c>
    </row>
    <row r="263" spans="1:23" ht="16.5" x14ac:dyDescent="0.3">
      <c r="A263" t="s">
        <v>314</v>
      </c>
      <c r="B263" s="1">
        <v>45328</v>
      </c>
      <c r="C263">
        <v>2024</v>
      </c>
      <c r="D263" t="s">
        <v>24</v>
      </c>
      <c r="E263" t="s">
        <v>284</v>
      </c>
      <c r="F263" t="s">
        <v>37</v>
      </c>
      <c r="G263" t="s">
        <v>27</v>
      </c>
      <c r="H263" t="s">
        <v>38</v>
      </c>
      <c r="I263" t="s">
        <v>39</v>
      </c>
      <c r="J263" t="s">
        <v>46</v>
      </c>
      <c r="K263" s="2">
        <v>6350</v>
      </c>
      <c r="L263" s="2">
        <v>21000</v>
      </c>
      <c r="M263">
        <v>60</v>
      </c>
      <c r="N263" s="3">
        <v>0.157</v>
      </c>
      <c r="O263" t="s">
        <v>16</v>
      </c>
      <c r="Q263">
        <v>1</v>
      </c>
      <c r="R263">
        <v>0</v>
      </c>
      <c r="S263" s="2">
        <v>21000</v>
      </c>
      <c r="T263" s="4">
        <v>0.1086</v>
      </c>
      <c r="U263">
        <v>4</v>
      </c>
      <c r="V263">
        <v>0</v>
      </c>
      <c r="W263">
        <v>1</v>
      </c>
    </row>
    <row r="264" spans="1:23" ht="16.5" x14ac:dyDescent="0.3">
      <c r="A264" t="s">
        <v>315</v>
      </c>
      <c r="B264" s="1">
        <v>45328</v>
      </c>
      <c r="C264">
        <v>2024</v>
      </c>
      <c r="D264" t="s">
        <v>24</v>
      </c>
      <c r="E264" t="s">
        <v>284</v>
      </c>
      <c r="F264" t="s">
        <v>41</v>
      </c>
      <c r="G264" t="s">
        <v>51</v>
      </c>
      <c r="H264" t="s">
        <v>55</v>
      </c>
      <c r="I264" t="s">
        <v>39</v>
      </c>
      <c r="J264" t="s">
        <v>35</v>
      </c>
      <c r="K264" s="2">
        <v>8050</v>
      </c>
      <c r="L264" s="2">
        <v>77500</v>
      </c>
      <c r="M264">
        <v>12</v>
      </c>
      <c r="N264" s="3">
        <v>1.0149999999999999</v>
      </c>
      <c r="O264" t="s">
        <v>125</v>
      </c>
      <c r="Q264">
        <v>0</v>
      </c>
      <c r="R264">
        <v>0</v>
      </c>
      <c r="S264" s="2">
        <v>0</v>
      </c>
      <c r="T264" s="4"/>
      <c r="U264">
        <v>12</v>
      </c>
      <c r="V264">
        <v>0</v>
      </c>
      <c r="W264">
        <v>1</v>
      </c>
    </row>
    <row r="265" spans="1:23" ht="16.5" x14ac:dyDescent="0.3">
      <c r="A265" t="s">
        <v>316</v>
      </c>
      <c r="B265" s="1">
        <v>45329</v>
      </c>
      <c r="C265">
        <v>2024</v>
      </c>
      <c r="D265" t="s">
        <v>24</v>
      </c>
      <c r="E265" t="s">
        <v>284</v>
      </c>
      <c r="F265" t="s">
        <v>37</v>
      </c>
      <c r="G265" t="s">
        <v>33</v>
      </c>
      <c r="H265" t="s">
        <v>55</v>
      </c>
      <c r="I265" t="s">
        <v>39</v>
      </c>
      <c r="J265" t="s">
        <v>30</v>
      </c>
      <c r="K265" s="2">
        <v>5000</v>
      </c>
      <c r="L265" s="2">
        <v>9500</v>
      </c>
      <c r="M265">
        <v>12</v>
      </c>
      <c r="N265" s="3">
        <v>0.27600000000000002</v>
      </c>
      <c r="O265" t="s">
        <v>16</v>
      </c>
      <c r="Q265">
        <v>1</v>
      </c>
      <c r="R265">
        <v>0</v>
      </c>
      <c r="S265" s="2">
        <v>9500</v>
      </c>
      <c r="T265" s="4">
        <v>0.14050000000000001</v>
      </c>
      <c r="U265">
        <v>1</v>
      </c>
      <c r="V265">
        <v>1</v>
      </c>
      <c r="W265">
        <v>1</v>
      </c>
    </row>
    <row r="266" spans="1:23" ht="16.5" x14ac:dyDescent="0.3">
      <c r="A266" t="s">
        <v>317</v>
      </c>
      <c r="B266" s="1">
        <v>45329</v>
      </c>
      <c r="C266">
        <v>2024</v>
      </c>
      <c r="D266" t="s">
        <v>24</v>
      </c>
      <c r="E266" t="s">
        <v>284</v>
      </c>
      <c r="F266" t="s">
        <v>37</v>
      </c>
      <c r="G266" t="s">
        <v>45</v>
      </c>
      <c r="H266" t="s">
        <v>55</v>
      </c>
      <c r="I266" t="s">
        <v>29</v>
      </c>
      <c r="J266" t="s">
        <v>35</v>
      </c>
      <c r="K266" s="2">
        <v>6200</v>
      </c>
      <c r="L266" s="2">
        <v>9000</v>
      </c>
      <c r="M266">
        <v>60</v>
      </c>
      <c r="N266" s="3">
        <v>0.23899999999999999</v>
      </c>
      <c r="O266" t="s">
        <v>17</v>
      </c>
      <c r="P266" t="s">
        <v>65</v>
      </c>
      <c r="Q266">
        <v>0</v>
      </c>
      <c r="R266">
        <v>1</v>
      </c>
      <c r="S266" s="2">
        <v>0</v>
      </c>
      <c r="T266" s="4"/>
      <c r="U266">
        <v>3</v>
      </c>
      <c r="V266">
        <v>1</v>
      </c>
      <c r="W266">
        <v>1</v>
      </c>
    </row>
    <row r="267" spans="1:23" ht="16.5" x14ac:dyDescent="0.3">
      <c r="A267" t="s">
        <v>318</v>
      </c>
      <c r="B267" s="1">
        <v>45329</v>
      </c>
      <c r="C267">
        <v>2024</v>
      </c>
      <c r="D267" t="s">
        <v>24</v>
      </c>
      <c r="E267" t="s">
        <v>284</v>
      </c>
      <c r="F267" t="s">
        <v>50</v>
      </c>
      <c r="G267" t="s">
        <v>51</v>
      </c>
      <c r="H267" t="s">
        <v>55</v>
      </c>
      <c r="I267" t="s">
        <v>29</v>
      </c>
      <c r="J267" t="s">
        <v>52</v>
      </c>
      <c r="K267" s="2">
        <v>4550</v>
      </c>
      <c r="L267" s="2">
        <v>196000</v>
      </c>
      <c r="M267">
        <v>240</v>
      </c>
      <c r="N267" s="3">
        <v>0.48399999999999999</v>
      </c>
      <c r="O267" t="s">
        <v>16</v>
      </c>
      <c r="Q267">
        <v>1</v>
      </c>
      <c r="R267">
        <v>0</v>
      </c>
      <c r="S267" s="2">
        <v>157000</v>
      </c>
      <c r="T267" s="4">
        <v>4.4999999999999998E-2</v>
      </c>
      <c r="U267">
        <v>21</v>
      </c>
      <c r="V267">
        <v>0</v>
      </c>
      <c r="W267">
        <v>1</v>
      </c>
    </row>
    <row r="268" spans="1:23" ht="16.5" x14ac:dyDescent="0.3">
      <c r="A268" t="s">
        <v>319</v>
      </c>
      <c r="B268" s="1">
        <v>45329</v>
      </c>
      <c r="C268">
        <v>2024</v>
      </c>
      <c r="D268" t="s">
        <v>24</v>
      </c>
      <c r="E268" t="s">
        <v>284</v>
      </c>
      <c r="F268" t="s">
        <v>26</v>
      </c>
      <c r="G268" t="s">
        <v>45</v>
      </c>
      <c r="H268" t="s">
        <v>38</v>
      </c>
      <c r="I268" t="s">
        <v>29</v>
      </c>
      <c r="J268" t="s">
        <v>43</v>
      </c>
      <c r="K268" s="2">
        <v>8950</v>
      </c>
      <c r="L268" s="2">
        <v>23000</v>
      </c>
      <c r="M268">
        <v>36</v>
      </c>
      <c r="N268" s="3">
        <v>0.16700000000000001</v>
      </c>
      <c r="O268" t="s">
        <v>17</v>
      </c>
      <c r="P268" t="s">
        <v>31</v>
      </c>
      <c r="Q268">
        <v>0</v>
      </c>
      <c r="R268">
        <v>1</v>
      </c>
      <c r="S268" s="2">
        <v>0</v>
      </c>
      <c r="T268" s="4"/>
      <c r="U268">
        <v>4</v>
      </c>
      <c r="V268">
        <v>1</v>
      </c>
      <c r="W268">
        <v>1</v>
      </c>
    </row>
    <row r="269" spans="1:23" ht="16.5" x14ac:dyDescent="0.3">
      <c r="A269" t="s">
        <v>320</v>
      </c>
      <c r="B269" s="1">
        <v>45329</v>
      </c>
      <c r="C269">
        <v>2024</v>
      </c>
      <c r="D269" t="s">
        <v>24</v>
      </c>
      <c r="E269" t="s">
        <v>284</v>
      </c>
      <c r="F269" t="s">
        <v>37</v>
      </c>
      <c r="G269" t="s">
        <v>45</v>
      </c>
      <c r="H269" t="s">
        <v>38</v>
      </c>
      <c r="I269" t="s">
        <v>39</v>
      </c>
      <c r="J269" t="s">
        <v>30</v>
      </c>
      <c r="K269" s="2">
        <v>3850</v>
      </c>
      <c r="L269" s="2">
        <v>15000</v>
      </c>
      <c r="M269">
        <v>24</v>
      </c>
      <c r="N269" s="3">
        <v>0.35199999999999998</v>
      </c>
      <c r="O269" t="s">
        <v>16</v>
      </c>
      <c r="Q269">
        <v>1</v>
      </c>
      <c r="R269">
        <v>0</v>
      </c>
      <c r="S269" s="2">
        <v>15000</v>
      </c>
      <c r="T269" s="4">
        <v>0.13969999999999999</v>
      </c>
      <c r="U269">
        <v>2</v>
      </c>
      <c r="V269">
        <v>1</v>
      </c>
      <c r="W269">
        <v>1</v>
      </c>
    </row>
    <row r="270" spans="1:23" ht="16.5" x14ac:dyDescent="0.3">
      <c r="A270" t="s">
        <v>321</v>
      </c>
      <c r="B270" s="1">
        <v>45329</v>
      </c>
      <c r="C270">
        <v>2024</v>
      </c>
      <c r="D270" t="s">
        <v>24</v>
      </c>
      <c r="E270" t="s">
        <v>284</v>
      </c>
      <c r="F270" t="s">
        <v>41</v>
      </c>
      <c r="G270" t="s">
        <v>51</v>
      </c>
      <c r="H270" t="s">
        <v>38</v>
      </c>
      <c r="I270" t="s">
        <v>29</v>
      </c>
      <c r="J270" t="s">
        <v>46</v>
      </c>
      <c r="K270" s="2">
        <v>4100</v>
      </c>
      <c r="L270" s="2">
        <v>82500</v>
      </c>
      <c r="M270">
        <v>60</v>
      </c>
      <c r="N270" s="3">
        <v>0.57099999999999995</v>
      </c>
      <c r="O270" t="s">
        <v>16</v>
      </c>
      <c r="Q270">
        <v>1</v>
      </c>
      <c r="R270">
        <v>0</v>
      </c>
      <c r="S270" s="2">
        <v>82500</v>
      </c>
      <c r="T270" s="4">
        <v>8.5500000000000007E-2</v>
      </c>
      <c r="U270">
        <v>18</v>
      </c>
      <c r="V270">
        <v>0</v>
      </c>
      <c r="W270">
        <v>1</v>
      </c>
    </row>
    <row r="271" spans="1:23" ht="16.5" x14ac:dyDescent="0.3">
      <c r="A271" t="s">
        <v>322</v>
      </c>
      <c r="B271" s="1">
        <v>45330</v>
      </c>
      <c r="C271">
        <v>2024</v>
      </c>
      <c r="D271" t="s">
        <v>24</v>
      </c>
      <c r="E271" t="s">
        <v>284</v>
      </c>
      <c r="F271" t="s">
        <v>26</v>
      </c>
      <c r="G271" t="s">
        <v>51</v>
      </c>
      <c r="H271" t="s">
        <v>38</v>
      </c>
      <c r="I271" t="s">
        <v>39</v>
      </c>
      <c r="J271" t="s">
        <v>30</v>
      </c>
      <c r="K271" s="2">
        <v>3450</v>
      </c>
      <c r="L271" s="2">
        <v>35500</v>
      </c>
      <c r="M271">
        <v>60</v>
      </c>
      <c r="N271" s="3">
        <v>0.38500000000000001</v>
      </c>
      <c r="O271" t="s">
        <v>17</v>
      </c>
      <c r="P271" t="s">
        <v>31</v>
      </c>
      <c r="Q271">
        <v>0</v>
      </c>
      <c r="R271">
        <v>1</v>
      </c>
      <c r="S271" s="2">
        <v>0</v>
      </c>
      <c r="T271" s="4"/>
      <c r="U271">
        <v>7</v>
      </c>
      <c r="V271">
        <v>0</v>
      </c>
      <c r="W271">
        <v>1</v>
      </c>
    </row>
    <row r="272" spans="1:23" ht="16.5" x14ac:dyDescent="0.3">
      <c r="A272" t="s">
        <v>323</v>
      </c>
      <c r="B272" s="1">
        <v>45330</v>
      </c>
      <c r="C272">
        <v>2024</v>
      </c>
      <c r="D272" t="s">
        <v>24</v>
      </c>
      <c r="E272" t="s">
        <v>284</v>
      </c>
      <c r="F272" t="s">
        <v>37</v>
      </c>
      <c r="G272" t="s">
        <v>27</v>
      </c>
      <c r="H272" t="s">
        <v>64</v>
      </c>
      <c r="I272" t="s">
        <v>29</v>
      </c>
      <c r="J272" t="s">
        <v>30</v>
      </c>
      <c r="K272" s="2">
        <v>6100</v>
      </c>
      <c r="L272" s="2">
        <v>26500</v>
      </c>
      <c r="M272">
        <v>12</v>
      </c>
      <c r="N272" s="3">
        <v>0.59399999999999997</v>
      </c>
      <c r="O272" t="s">
        <v>17</v>
      </c>
      <c r="P272" t="s">
        <v>31</v>
      </c>
      <c r="Q272">
        <v>0</v>
      </c>
      <c r="R272">
        <v>1</v>
      </c>
      <c r="S272" s="2">
        <v>0</v>
      </c>
      <c r="T272" s="4"/>
      <c r="U272">
        <v>6</v>
      </c>
      <c r="V272">
        <v>0</v>
      </c>
      <c r="W272">
        <v>1</v>
      </c>
    </row>
    <row r="273" spans="1:23" ht="16.5" x14ac:dyDescent="0.3">
      <c r="A273" t="s">
        <v>324</v>
      </c>
      <c r="B273" s="1">
        <v>45330</v>
      </c>
      <c r="C273">
        <v>2024</v>
      </c>
      <c r="D273" t="s">
        <v>24</v>
      </c>
      <c r="E273" t="s">
        <v>284</v>
      </c>
      <c r="F273" t="s">
        <v>41</v>
      </c>
      <c r="G273" t="s">
        <v>51</v>
      </c>
      <c r="H273" t="s">
        <v>38</v>
      </c>
      <c r="I273" t="s">
        <v>29</v>
      </c>
      <c r="J273" t="s">
        <v>35</v>
      </c>
      <c r="K273" s="2">
        <v>5400</v>
      </c>
      <c r="L273" s="2">
        <v>120500</v>
      </c>
      <c r="M273">
        <v>24</v>
      </c>
      <c r="N273" s="3">
        <v>1.238</v>
      </c>
      <c r="O273" t="s">
        <v>125</v>
      </c>
      <c r="Q273">
        <v>0</v>
      </c>
      <c r="R273">
        <v>0</v>
      </c>
      <c r="S273" s="2">
        <v>0</v>
      </c>
      <c r="T273" s="4"/>
      <c r="U273">
        <v>14</v>
      </c>
      <c r="V273">
        <v>0</v>
      </c>
      <c r="W273">
        <v>1</v>
      </c>
    </row>
    <row r="274" spans="1:23" ht="16.5" x14ac:dyDescent="0.3">
      <c r="A274" t="s">
        <v>325</v>
      </c>
      <c r="B274" s="1">
        <v>45330</v>
      </c>
      <c r="C274">
        <v>2024</v>
      </c>
      <c r="D274" t="s">
        <v>24</v>
      </c>
      <c r="E274" t="s">
        <v>284</v>
      </c>
      <c r="F274" t="s">
        <v>37</v>
      </c>
      <c r="G274" t="s">
        <v>27</v>
      </c>
      <c r="H274" t="s">
        <v>64</v>
      </c>
      <c r="I274" t="s">
        <v>29</v>
      </c>
      <c r="J274" t="s">
        <v>52</v>
      </c>
      <c r="K274" s="2">
        <v>5850</v>
      </c>
      <c r="L274" s="2">
        <v>5500</v>
      </c>
      <c r="M274">
        <v>36</v>
      </c>
      <c r="N274" s="3">
        <v>0.26100000000000001</v>
      </c>
      <c r="O274" t="s">
        <v>16</v>
      </c>
      <c r="Q274">
        <v>1</v>
      </c>
      <c r="R274">
        <v>0</v>
      </c>
      <c r="S274" s="2">
        <v>4500</v>
      </c>
      <c r="T274" s="4">
        <v>0.11360000000000001</v>
      </c>
      <c r="U274">
        <v>4</v>
      </c>
      <c r="V274">
        <v>0</v>
      </c>
      <c r="W274">
        <v>1</v>
      </c>
    </row>
    <row r="275" spans="1:23" ht="16.5" x14ac:dyDescent="0.3">
      <c r="A275" t="s">
        <v>326</v>
      </c>
      <c r="B275" s="1">
        <v>45330</v>
      </c>
      <c r="C275">
        <v>2024</v>
      </c>
      <c r="D275" t="s">
        <v>24</v>
      </c>
      <c r="E275" t="s">
        <v>284</v>
      </c>
      <c r="F275" t="s">
        <v>37</v>
      </c>
      <c r="G275" t="s">
        <v>45</v>
      </c>
      <c r="H275" t="s">
        <v>28</v>
      </c>
      <c r="I275" t="s">
        <v>29</v>
      </c>
      <c r="J275" t="s">
        <v>35</v>
      </c>
      <c r="K275" s="2">
        <v>2850</v>
      </c>
      <c r="L275" s="2">
        <v>6000</v>
      </c>
      <c r="M275">
        <v>36</v>
      </c>
      <c r="N275" s="3">
        <v>0.30299999999999999</v>
      </c>
      <c r="O275" t="s">
        <v>16</v>
      </c>
      <c r="Q275">
        <v>1</v>
      </c>
      <c r="R275">
        <v>0</v>
      </c>
      <c r="S275" s="2">
        <v>5000</v>
      </c>
      <c r="T275" s="4">
        <v>0.122</v>
      </c>
      <c r="U275">
        <v>1</v>
      </c>
      <c r="V275">
        <v>1</v>
      </c>
      <c r="W275">
        <v>1</v>
      </c>
    </row>
    <row r="276" spans="1:23" ht="16.5" x14ac:dyDescent="0.3">
      <c r="A276" t="s">
        <v>327</v>
      </c>
      <c r="B276" s="1">
        <v>45330</v>
      </c>
      <c r="C276">
        <v>2024</v>
      </c>
      <c r="D276" t="s">
        <v>24</v>
      </c>
      <c r="E276" t="s">
        <v>284</v>
      </c>
      <c r="F276" t="s">
        <v>37</v>
      </c>
      <c r="G276" t="s">
        <v>33</v>
      </c>
      <c r="H276" t="s">
        <v>38</v>
      </c>
      <c r="I276" t="s">
        <v>29</v>
      </c>
      <c r="J276" t="s">
        <v>35</v>
      </c>
      <c r="K276" s="2">
        <v>3500</v>
      </c>
      <c r="L276" s="2">
        <v>24500</v>
      </c>
      <c r="M276">
        <v>24</v>
      </c>
      <c r="N276" s="3">
        <v>0.52300000000000002</v>
      </c>
      <c r="O276" t="s">
        <v>17</v>
      </c>
      <c r="P276" t="s">
        <v>53</v>
      </c>
      <c r="Q276">
        <v>0</v>
      </c>
      <c r="R276">
        <v>1</v>
      </c>
      <c r="S276" s="2">
        <v>0</v>
      </c>
      <c r="T276" s="4"/>
      <c r="U276">
        <v>1</v>
      </c>
      <c r="V276">
        <v>1</v>
      </c>
      <c r="W276">
        <v>1</v>
      </c>
    </row>
    <row r="277" spans="1:23" ht="16.5" x14ac:dyDescent="0.3">
      <c r="A277" t="s">
        <v>328</v>
      </c>
      <c r="B277" s="1">
        <v>45330</v>
      </c>
      <c r="C277">
        <v>2024</v>
      </c>
      <c r="D277" t="s">
        <v>24</v>
      </c>
      <c r="E277" t="s">
        <v>284</v>
      </c>
      <c r="F277" t="s">
        <v>26</v>
      </c>
      <c r="G277" t="s">
        <v>33</v>
      </c>
      <c r="H277" t="s">
        <v>28</v>
      </c>
      <c r="I277" t="s">
        <v>42</v>
      </c>
      <c r="J277" t="s">
        <v>52</v>
      </c>
      <c r="K277" s="2">
        <v>5150</v>
      </c>
      <c r="L277" s="2">
        <v>37500</v>
      </c>
      <c r="M277">
        <v>60</v>
      </c>
      <c r="N277" s="3">
        <v>0.311</v>
      </c>
      <c r="O277" t="s">
        <v>16</v>
      </c>
      <c r="Q277">
        <v>1</v>
      </c>
      <c r="R277">
        <v>0</v>
      </c>
      <c r="S277" s="2">
        <v>37500</v>
      </c>
      <c r="T277" s="4">
        <v>6.9599999999999995E-2</v>
      </c>
      <c r="U277">
        <v>3</v>
      </c>
      <c r="V277">
        <v>1</v>
      </c>
      <c r="W277">
        <v>1</v>
      </c>
    </row>
    <row r="278" spans="1:23" ht="16.5" x14ac:dyDescent="0.3">
      <c r="A278" t="s">
        <v>329</v>
      </c>
      <c r="B278" s="1">
        <v>45330</v>
      </c>
      <c r="C278">
        <v>2024</v>
      </c>
      <c r="D278" t="s">
        <v>24</v>
      </c>
      <c r="E278" t="s">
        <v>284</v>
      </c>
      <c r="F278" t="s">
        <v>37</v>
      </c>
      <c r="G278" t="s">
        <v>27</v>
      </c>
      <c r="H278" t="s">
        <v>38</v>
      </c>
      <c r="I278" t="s">
        <v>39</v>
      </c>
      <c r="J278" t="s">
        <v>52</v>
      </c>
      <c r="K278" s="2">
        <v>9850</v>
      </c>
      <c r="L278" s="2">
        <v>22500</v>
      </c>
      <c r="M278">
        <v>12</v>
      </c>
      <c r="N278" s="3">
        <v>0.438</v>
      </c>
      <c r="O278" t="s">
        <v>16</v>
      </c>
      <c r="Q278">
        <v>1</v>
      </c>
      <c r="R278">
        <v>0</v>
      </c>
      <c r="S278" s="2">
        <v>18000</v>
      </c>
      <c r="T278" s="4">
        <v>0.1133</v>
      </c>
      <c r="U278">
        <v>5</v>
      </c>
      <c r="V278">
        <v>0</v>
      </c>
      <c r="W278">
        <v>1</v>
      </c>
    </row>
    <row r="279" spans="1:23" ht="16.5" x14ac:dyDescent="0.3">
      <c r="A279" t="s">
        <v>330</v>
      </c>
      <c r="B279" s="1">
        <v>45330</v>
      </c>
      <c r="C279">
        <v>2024</v>
      </c>
      <c r="D279" t="s">
        <v>24</v>
      </c>
      <c r="E279" t="s">
        <v>284</v>
      </c>
      <c r="F279" t="s">
        <v>37</v>
      </c>
      <c r="G279" t="s">
        <v>51</v>
      </c>
      <c r="H279" t="s">
        <v>55</v>
      </c>
      <c r="I279" t="s">
        <v>29</v>
      </c>
      <c r="J279" t="s">
        <v>52</v>
      </c>
      <c r="K279" s="2">
        <v>3900</v>
      </c>
      <c r="L279" s="2">
        <v>8000</v>
      </c>
      <c r="M279">
        <v>24</v>
      </c>
      <c r="N279" s="3">
        <v>0.17699999999999999</v>
      </c>
      <c r="O279" t="s">
        <v>16</v>
      </c>
      <c r="Q279">
        <v>1</v>
      </c>
      <c r="R279">
        <v>0</v>
      </c>
      <c r="S279" s="2">
        <v>6500</v>
      </c>
      <c r="T279" s="4">
        <v>0.1182</v>
      </c>
      <c r="U279">
        <v>9</v>
      </c>
      <c r="V279">
        <v>0</v>
      </c>
      <c r="W279">
        <v>1</v>
      </c>
    </row>
    <row r="280" spans="1:23" ht="16.5" x14ac:dyDescent="0.3">
      <c r="A280" t="s">
        <v>331</v>
      </c>
      <c r="B280" s="1">
        <v>45330</v>
      </c>
      <c r="C280">
        <v>2024</v>
      </c>
      <c r="D280" t="s">
        <v>24</v>
      </c>
      <c r="E280" t="s">
        <v>284</v>
      </c>
      <c r="F280" t="s">
        <v>26</v>
      </c>
      <c r="G280" t="s">
        <v>51</v>
      </c>
      <c r="H280" t="s">
        <v>38</v>
      </c>
      <c r="I280" t="s">
        <v>39</v>
      </c>
      <c r="J280" t="s">
        <v>35</v>
      </c>
      <c r="K280" s="2">
        <v>6350</v>
      </c>
      <c r="L280" s="2">
        <v>11000</v>
      </c>
      <c r="M280">
        <v>36</v>
      </c>
      <c r="N280" s="3">
        <v>0.11799999999999999</v>
      </c>
      <c r="O280" t="s">
        <v>17</v>
      </c>
      <c r="P280" t="s">
        <v>60</v>
      </c>
      <c r="Q280">
        <v>0</v>
      </c>
      <c r="R280">
        <v>1</v>
      </c>
      <c r="S280" s="2">
        <v>0</v>
      </c>
      <c r="T280" s="4"/>
      <c r="U280">
        <v>12</v>
      </c>
      <c r="V280">
        <v>0</v>
      </c>
      <c r="W280">
        <v>1</v>
      </c>
    </row>
    <row r="281" spans="1:23" ht="16.5" x14ac:dyDescent="0.3">
      <c r="A281" t="s">
        <v>332</v>
      </c>
      <c r="B281" s="1">
        <v>45330</v>
      </c>
      <c r="C281">
        <v>2024</v>
      </c>
      <c r="D281" t="s">
        <v>24</v>
      </c>
      <c r="E281" t="s">
        <v>284</v>
      </c>
      <c r="F281" t="s">
        <v>41</v>
      </c>
      <c r="G281" t="s">
        <v>51</v>
      </c>
      <c r="H281" t="s">
        <v>38</v>
      </c>
      <c r="I281" t="s">
        <v>39</v>
      </c>
      <c r="J281" t="s">
        <v>30</v>
      </c>
      <c r="K281" s="2">
        <v>5200</v>
      </c>
      <c r="L281" s="2">
        <v>93000</v>
      </c>
      <c r="M281">
        <v>24</v>
      </c>
      <c r="N281" s="3">
        <v>1.0720000000000001</v>
      </c>
      <c r="O281" t="s">
        <v>17</v>
      </c>
      <c r="P281" t="s">
        <v>53</v>
      </c>
      <c r="Q281">
        <v>0</v>
      </c>
      <c r="R281">
        <v>1</v>
      </c>
      <c r="S281" s="2">
        <v>0</v>
      </c>
      <c r="T281" s="4"/>
      <c r="U281">
        <v>13</v>
      </c>
      <c r="V281">
        <v>0</v>
      </c>
      <c r="W281">
        <v>1</v>
      </c>
    </row>
    <row r="282" spans="1:23" ht="16.5" x14ac:dyDescent="0.3">
      <c r="A282" t="s">
        <v>333</v>
      </c>
      <c r="B282" s="1">
        <v>45331</v>
      </c>
      <c r="C282">
        <v>2024</v>
      </c>
      <c r="D282" t="s">
        <v>24</v>
      </c>
      <c r="E282" t="s">
        <v>284</v>
      </c>
      <c r="F282" t="s">
        <v>37</v>
      </c>
      <c r="G282" t="s">
        <v>33</v>
      </c>
      <c r="H282" t="s">
        <v>28</v>
      </c>
      <c r="I282" t="s">
        <v>39</v>
      </c>
      <c r="J282" t="s">
        <v>52</v>
      </c>
      <c r="K282" s="2">
        <v>6800</v>
      </c>
      <c r="L282" s="2">
        <v>16000</v>
      </c>
      <c r="M282">
        <v>36</v>
      </c>
      <c r="N282" s="3">
        <v>0.24299999999999999</v>
      </c>
      <c r="O282" t="s">
        <v>16</v>
      </c>
      <c r="Q282">
        <v>1</v>
      </c>
      <c r="R282">
        <v>0</v>
      </c>
      <c r="S282" s="2">
        <v>16000</v>
      </c>
      <c r="T282" s="4">
        <v>0.1176</v>
      </c>
      <c r="U282">
        <v>2</v>
      </c>
      <c r="V282">
        <v>1</v>
      </c>
      <c r="W282">
        <v>1</v>
      </c>
    </row>
    <row r="283" spans="1:23" ht="16.5" x14ac:dyDescent="0.3">
      <c r="A283" t="s">
        <v>334</v>
      </c>
      <c r="B283" s="1">
        <v>45331</v>
      </c>
      <c r="C283">
        <v>2024</v>
      </c>
      <c r="D283" t="s">
        <v>24</v>
      </c>
      <c r="E283" t="s">
        <v>284</v>
      </c>
      <c r="F283" t="s">
        <v>37</v>
      </c>
      <c r="G283" t="s">
        <v>33</v>
      </c>
      <c r="H283" t="s">
        <v>64</v>
      </c>
      <c r="I283" t="s">
        <v>42</v>
      </c>
      <c r="J283" t="s">
        <v>46</v>
      </c>
      <c r="K283" s="2">
        <v>6050</v>
      </c>
      <c r="L283" s="2">
        <v>10000</v>
      </c>
      <c r="M283">
        <v>48</v>
      </c>
      <c r="N283" s="3">
        <v>0.28199999999999997</v>
      </c>
      <c r="O283" t="s">
        <v>16</v>
      </c>
      <c r="Q283">
        <v>1</v>
      </c>
      <c r="R283">
        <v>0</v>
      </c>
      <c r="S283" s="2">
        <v>9000</v>
      </c>
      <c r="T283" s="4">
        <v>0.1103</v>
      </c>
      <c r="U283">
        <v>1</v>
      </c>
      <c r="V283">
        <v>1</v>
      </c>
      <c r="W283">
        <v>1</v>
      </c>
    </row>
    <row r="284" spans="1:23" ht="16.5" x14ac:dyDescent="0.3">
      <c r="A284" t="s">
        <v>335</v>
      </c>
      <c r="B284" s="1">
        <v>45331</v>
      </c>
      <c r="C284">
        <v>2024</v>
      </c>
      <c r="D284" t="s">
        <v>24</v>
      </c>
      <c r="E284" t="s">
        <v>284</v>
      </c>
      <c r="F284" t="s">
        <v>37</v>
      </c>
      <c r="G284" t="s">
        <v>51</v>
      </c>
      <c r="H284" t="s">
        <v>38</v>
      </c>
      <c r="I284" t="s">
        <v>29</v>
      </c>
      <c r="J284" t="s">
        <v>35</v>
      </c>
      <c r="K284" s="2">
        <v>3600</v>
      </c>
      <c r="L284" s="2">
        <v>10000</v>
      </c>
      <c r="M284">
        <v>60</v>
      </c>
      <c r="N284" s="3">
        <v>0.30499999999999999</v>
      </c>
      <c r="O284" t="s">
        <v>16</v>
      </c>
      <c r="Q284">
        <v>1</v>
      </c>
      <c r="R284">
        <v>0</v>
      </c>
      <c r="S284" s="2">
        <v>8000</v>
      </c>
      <c r="T284" s="4">
        <v>0.12470000000000001</v>
      </c>
      <c r="U284">
        <v>4</v>
      </c>
      <c r="V284">
        <v>0</v>
      </c>
      <c r="W284">
        <v>1</v>
      </c>
    </row>
    <row r="285" spans="1:23" ht="16.5" x14ac:dyDescent="0.3">
      <c r="A285" t="s">
        <v>336</v>
      </c>
      <c r="B285" s="1">
        <v>45331</v>
      </c>
      <c r="C285">
        <v>2024</v>
      </c>
      <c r="D285" t="s">
        <v>24</v>
      </c>
      <c r="E285" t="s">
        <v>284</v>
      </c>
      <c r="F285" t="s">
        <v>26</v>
      </c>
      <c r="G285" t="s">
        <v>45</v>
      </c>
      <c r="H285" t="s">
        <v>34</v>
      </c>
      <c r="I285" t="s">
        <v>39</v>
      </c>
      <c r="J285" t="s">
        <v>43</v>
      </c>
      <c r="K285" s="2">
        <v>4150</v>
      </c>
      <c r="L285" s="2">
        <v>13500</v>
      </c>
      <c r="M285">
        <v>48</v>
      </c>
      <c r="N285" s="3">
        <v>0.27500000000000002</v>
      </c>
      <c r="O285" t="s">
        <v>16</v>
      </c>
      <c r="Q285">
        <v>1</v>
      </c>
      <c r="R285">
        <v>0</v>
      </c>
      <c r="S285" s="2">
        <v>13500</v>
      </c>
      <c r="T285" s="4">
        <v>0.1129</v>
      </c>
      <c r="U285">
        <v>5</v>
      </c>
      <c r="V285">
        <v>0</v>
      </c>
      <c r="W285">
        <v>1</v>
      </c>
    </row>
    <row r="286" spans="1:23" ht="16.5" x14ac:dyDescent="0.3">
      <c r="A286" t="s">
        <v>337</v>
      </c>
      <c r="B286" s="1">
        <v>45331</v>
      </c>
      <c r="C286">
        <v>2024</v>
      </c>
      <c r="D286" t="s">
        <v>24</v>
      </c>
      <c r="E286" t="s">
        <v>284</v>
      </c>
      <c r="F286" t="s">
        <v>41</v>
      </c>
      <c r="G286" t="s">
        <v>27</v>
      </c>
      <c r="H286" t="s">
        <v>38</v>
      </c>
      <c r="I286" t="s">
        <v>29</v>
      </c>
      <c r="J286" t="s">
        <v>35</v>
      </c>
      <c r="K286" s="2">
        <v>4650</v>
      </c>
      <c r="L286" s="2">
        <v>100500</v>
      </c>
      <c r="M286">
        <v>12</v>
      </c>
      <c r="N286" s="3">
        <v>2.056</v>
      </c>
      <c r="O286" t="s">
        <v>17</v>
      </c>
      <c r="P286" t="s">
        <v>53</v>
      </c>
      <c r="Q286">
        <v>0</v>
      </c>
      <c r="R286">
        <v>1</v>
      </c>
      <c r="S286" s="2">
        <v>0</v>
      </c>
      <c r="T286" s="4"/>
      <c r="U286">
        <v>12</v>
      </c>
      <c r="V286">
        <v>0</v>
      </c>
      <c r="W286">
        <v>1</v>
      </c>
    </row>
    <row r="287" spans="1:23" ht="16.5" x14ac:dyDescent="0.3">
      <c r="A287" t="s">
        <v>338</v>
      </c>
      <c r="B287" s="1">
        <v>45331</v>
      </c>
      <c r="C287">
        <v>2024</v>
      </c>
      <c r="D287" t="s">
        <v>24</v>
      </c>
      <c r="E287" t="s">
        <v>284</v>
      </c>
      <c r="F287" t="s">
        <v>26</v>
      </c>
      <c r="G287" t="s">
        <v>51</v>
      </c>
      <c r="H287" t="s">
        <v>55</v>
      </c>
      <c r="I287" t="s">
        <v>29</v>
      </c>
      <c r="J287" t="s">
        <v>30</v>
      </c>
      <c r="K287" s="2">
        <v>7200</v>
      </c>
      <c r="L287" s="2">
        <v>19000</v>
      </c>
      <c r="M287">
        <v>36</v>
      </c>
      <c r="N287" s="3">
        <v>0.33100000000000002</v>
      </c>
      <c r="O287" t="s">
        <v>125</v>
      </c>
      <c r="Q287">
        <v>0</v>
      </c>
      <c r="R287">
        <v>0</v>
      </c>
      <c r="S287" s="2">
        <v>0</v>
      </c>
      <c r="T287" s="4"/>
      <c r="U287">
        <v>7</v>
      </c>
      <c r="V287">
        <v>0</v>
      </c>
      <c r="W287">
        <v>1</v>
      </c>
    </row>
    <row r="288" spans="1:23" ht="16.5" x14ac:dyDescent="0.3">
      <c r="A288" t="s">
        <v>339</v>
      </c>
      <c r="B288" s="1">
        <v>45332</v>
      </c>
      <c r="C288">
        <v>2024</v>
      </c>
      <c r="D288" t="s">
        <v>24</v>
      </c>
      <c r="E288" t="s">
        <v>284</v>
      </c>
      <c r="F288" t="s">
        <v>37</v>
      </c>
      <c r="G288" t="s">
        <v>45</v>
      </c>
      <c r="H288" t="s">
        <v>64</v>
      </c>
      <c r="I288" t="s">
        <v>29</v>
      </c>
      <c r="J288" t="s">
        <v>43</v>
      </c>
      <c r="K288" s="2">
        <v>5850</v>
      </c>
      <c r="L288" s="2">
        <v>26000</v>
      </c>
      <c r="M288">
        <v>48</v>
      </c>
      <c r="N288" s="3">
        <v>0.184</v>
      </c>
      <c r="O288" t="s">
        <v>17</v>
      </c>
      <c r="P288" t="s">
        <v>31</v>
      </c>
      <c r="Q288">
        <v>0</v>
      </c>
      <c r="R288">
        <v>1</v>
      </c>
      <c r="S288" s="2">
        <v>0</v>
      </c>
      <c r="T288" s="4"/>
      <c r="U288">
        <v>2</v>
      </c>
      <c r="V288">
        <v>1</v>
      </c>
      <c r="W288">
        <v>1</v>
      </c>
    </row>
    <row r="289" spans="1:23" ht="16.5" x14ac:dyDescent="0.3">
      <c r="A289" t="s">
        <v>340</v>
      </c>
      <c r="B289" s="1">
        <v>45332</v>
      </c>
      <c r="C289">
        <v>2024</v>
      </c>
      <c r="D289" t="s">
        <v>24</v>
      </c>
      <c r="E289" t="s">
        <v>284</v>
      </c>
      <c r="F289" t="s">
        <v>26</v>
      </c>
      <c r="G289" t="s">
        <v>27</v>
      </c>
      <c r="H289" t="s">
        <v>28</v>
      </c>
      <c r="I289" t="s">
        <v>42</v>
      </c>
      <c r="J289" t="s">
        <v>30</v>
      </c>
      <c r="K289" s="2">
        <v>7250</v>
      </c>
      <c r="L289" s="2">
        <v>43000</v>
      </c>
      <c r="M289">
        <v>60</v>
      </c>
      <c r="N289" s="3">
        <v>0.17299999999999999</v>
      </c>
      <c r="O289" t="s">
        <v>17</v>
      </c>
      <c r="P289" t="s">
        <v>60</v>
      </c>
      <c r="Q289">
        <v>0</v>
      </c>
      <c r="R289">
        <v>1</v>
      </c>
      <c r="S289" s="2">
        <v>0</v>
      </c>
      <c r="T289" s="4"/>
      <c r="U289">
        <v>12</v>
      </c>
      <c r="V289">
        <v>0</v>
      </c>
      <c r="W289">
        <v>1</v>
      </c>
    </row>
    <row r="290" spans="1:23" ht="16.5" x14ac:dyDescent="0.3">
      <c r="A290" t="s">
        <v>341</v>
      </c>
      <c r="B290" s="1">
        <v>45332</v>
      </c>
      <c r="C290">
        <v>2024</v>
      </c>
      <c r="D290" t="s">
        <v>24</v>
      </c>
      <c r="E290" t="s">
        <v>284</v>
      </c>
      <c r="F290" t="s">
        <v>50</v>
      </c>
      <c r="G290" t="s">
        <v>45</v>
      </c>
      <c r="H290" t="s">
        <v>28</v>
      </c>
      <c r="I290" t="s">
        <v>39</v>
      </c>
      <c r="J290" t="s">
        <v>35</v>
      </c>
      <c r="K290" s="2">
        <v>10700</v>
      </c>
      <c r="L290" s="2">
        <v>156000</v>
      </c>
      <c r="M290">
        <v>240</v>
      </c>
      <c r="N290" s="3">
        <v>0.316</v>
      </c>
      <c r="O290" t="s">
        <v>16</v>
      </c>
      <c r="Q290">
        <v>1</v>
      </c>
      <c r="R290">
        <v>0</v>
      </c>
      <c r="S290" s="2">
        <v>156000</v>
      </c>
      <c r="T290" s="4">
        <v>5.4699999999999999E-2</v>
      </c>
      <c r="U290">
        <v>9</v>
      </c>
      <c r="V290">
        <v>1</v>
      </c>
      <c r="W290">
        <v>1</v>
      </c>
    </row>
    <row r="291" spans="1:23" ht="16.5" x14ac:dyDescent="0.3">
      <c r="A291" t="s">
        <v>342</v>
      </c>
      <c r="B291" s="1">
        <v>45332</v>
      </c>
      <c r="C291">
        <v>2024</v>
      </c>
      <c r="D291" t="s">
        <v>24</v>
      </c>
      <c r="E291" t="s">
        <v>284</v>
      </c>
      <c r="F291" t="s">
        <v>50</v>
      </c>
      <c r="G291" t="s">
        <v>45</v>
      </c>
      <c r="H291" t="s">
        <v>55</v>
      </c>
      <c r="I291" t="s">
        <v>29</v>
      </c>
      <c r="J291" t="s">
        <v>35</v>
      </c>
      <c r="K291" s="2">
        <v>3900</v>
      </c>
      <c r="L291" s="2">
        <v>460500</v>
      </c>
      <c r="M291">
        <v>240</v>
      </c>
      <c r="N291" s="3">
        <v>0.83799999999999997</v>
      </c>
      <c r="O291" t="s">
        <v>17</v>
      </c>
      <c r="P291" t="s">
        <v>60</v>
      </c>
      <c r="Q291">
        <v>0</v>
      </c>
      <c r="R291">
        <v>1</v>
      </c>
      <c r="S291" s="2">
        <v>0</v>
      </c>
      <c r="T291" s="4"/>
      <c r="U291">
        <v>14</v>
      </c>
      <c r="V291">
        <v>1</v>
      </c>
      <c r="W291">
        <v>1</v>
      </c>
    </row>
    <row r="292" spans="1:23" ht="16.5" x14ac:dyDescent="0.3">
      <c r="A292" t="s">
        <v>343</v>
      </c>
      <c r="B292" s="1">
        <v>45332</v>
      </c>
      <c r="C292">
        <v>2024</v>
      </c>
      <c r="D292" t="s">
        <v>24</v>
      </c>
      <c r="E292" t="s">
        <v>284</v>
      </c>
      <c r="F292" t="s">
        <v>37</v>
      </c>
      <c r="G292" t="s">
        <v>27</v>
      </c>
      <c r="H292" t="s">
        <v>55</v>
      </c>
      <c r="I292" t="s">
        <v>29</v>
      </c>
      <c r="J292" t="s">
        <v>43</v>
      </c>
      <c r="K292" s="2">
        <v>6750</v>
      </c>
      <c r="L292" s="2">
        <v>6500</v>
      </c>
      <c r="M292">
        <v>24</v>
      </c>
      <c r="N292" s="3">
        <v>0.21199999999999999</v>
      </c>
      <c r="O292" t="s">
        <v>16</v>
      </c>
      <c r="Q292">
        <v>1</v>
      </c>
      <c r="R292">
        <v>0</v>
      </c>
      <c r="S292" s="2">
        <v>6500</v>
      </c>
      <c r="T292" s="4">
        <v>0.16500000000000001</v>
      </c>
      <c r="U292">
        <v>3</v>
      </c>
      <c r="V292">
        <v>1</v>
      </c>
      <c r="W292">
        <v>1</v>
      </c>
    </row>
    <row r="293" spans="1:23" ht="16.5" x14ac:dyDescent="0.3">
      <c r="A293" t="s">
        <v>344</v>
      </c>
      <c r="B293" s="1">
        <v>45332</v>
      </c>
      <c r="C293">
        <v>2024</v>
      </c>
      <c r="D293" t="s">
        <v>24</v>
      </c>
      <c r="E293" t="s">
        <v>284</v>
      </c>
      <c r="F293" t="s">
        <v>41</v>
      </c>
      <c r="G293" t="s">
        <v>51</v>
      </c>
      <c r="H293" t="s">
        <v>34</v>
      </c>
      <c r="I293" t="s">
        <v>42</v>
      </c>
      <c r="J293" t="s">
        <v>43</v>
      </c>
      <c r="K293" s="2">
        <v>9650</v>
      </c>
      <c r="L293" s="2">
        <v>161500</v>
      </c>
      <c r="M293">
        <v>12</v>
      </c>
      <c r="N293" s="3">
        <v>1.6879999999999999</v>
      </c>
      <c r="O293" t="s">
        <v>17</v>
      </c>
      <c r="P293" t="s">
        <v>31</v>
      </c>
      <c r="Q293">
        <v>0</v>
      </c>
      <c r="R293">
        <v>1</v>
      </c>
      <c r="S293" s="2">
        <v>0</v>
      </c>
      <c r="T293" s="4"/>
      <c r="U293">
        <v>14</v>
      </c>
      <c r="V293">
        <v>0</v>
      </c>
      <c r="W293">
        <v>1</v>
      </c>
    </row>
    <row r="294" spans="1:23" ht="16.5" x14ac:dyDescent="0.3">
      <c r="A294" t="s">
        <v>345</v>
      </c>
      <c r="B294" s="1">
        <v>45333</v>
      </c>
      <c r="C294">
        <v>2024</v>
      </c>
      <c r="D294" t="s">
        <v>24</v>
      </c>
      <c r="E294" t="s">
        <v>284</v>
      </c>
      <c r="F294" t="s">
        <v>37</v>
      </c>
      <c r="G294" t="s">
        <v>45</v>
      </c>
      <c r="H294" t="s">
        <v>28</v>
      </c>
      <c r="I294" t="s">
        <v>42</v>
      </c>
      <c r="J294" t="s">
        <v>30</v>
      </c>
      <c r="K294" s="2">
        <v>3250</v>
      </c>
      <c r="L294" s="2">
        <v>16000</v>
      </c>
      <c r="M294">
        <v>48</v>
      </c>
      <c r="N294" s="3">
        <v>0.21099999999999999</v>
      </c>
      <c r="O294" t="s">
        <v>16</v>
      </c>
      <c r="Q294">
        <v>1</v>
      </c>
      <c r="R294">
        <v>0</v>
      </c>
      <c r="S294" s="2">
        <v>16000</v>
      </c>
      <c r="T294" s="4">
        <v>0.1343</v>
      </c>
      <c r="U294">
        <v>3</v>
      </c>
      <c r="V294">
        <v>1</v>
      </c>
      <c r="W294">
        <v>1</v>
      </c>
    </row>
    <row r="295" spans="1:23" ht="16.5" x14ac:dyDescent="0.3">
      <c r="A295" t="s">
        <v>346</v>
      </c>
      <c r="B295" s="1">
        <v>45333</v>
      </c>
      <c r="C295">
        <v>2024</v>
      </c>
      <c r="D295" t="s">
        <v>24</v>
      </c>
      <c r="E295" t="s">
        <v>284</v>
      </c>
      <c r="F295" t="s">
        <v>37</v>
      </c>
      <c r="G295" t="s">
        <v>51</v>
      </c>
      <c r="H295" t="s">
        <v>38</v>
      </c>
      <c r="I295" t="s">
        <v>29</v>
      </c>
      <c r="J295" t="s">
        <v>35</v>
      </c>
      <c r="K295" s="2">
        <v>4750</v>
      </c>
      <c r="L295" s="2">
        <v>13500</v>
      </c>
      <c r="M295">
        <v>12</v>
      </c>
      <c r="N295" s="3">
        <v>0.432</v>
      </c>
      <c r="O295" t="s">
        <v>125</v>
      </c>
      <c r="Q295">
        <v>0</v>
      </c>
      <c r="R295">
        <v>0</v>
      </c>
      <c r="S295" s="2">
        <v>0</v>
      </c>
      <c r="T295" s="4"/>
      <c r="U295">
        <v>7</v>
      </c>
      <c r="V295">
        <v>0</v>
      </c>
      <c r="W295">
        <v>1</v>
      </c>
    </row>
    <row r="296" spans="1:23" ht="16.5" x14ac:dyDescent="0.3">
      <c r="A296" t="s">
        <v>347</v>
      </c>
      <c r="B296" s="1">
        <v>45333</v>
      </c>
      <c r="C296">
        <v>2024</v>
      </c>
      <c r="D296" t="s">
        <v>24</v>
      </c>
      <c r="E296" t="s">
        <v>284</v>
      </c>
      <c r="F296" t="s">
        <v>41</v>
      </c>
      <c r="G296" t="s">
        <v>51</v>
      </c>
      <c r="H296" t="s">
        <v>55</v>
      </c>
      <c r="I296" t="s">
        <v>42</v>
      </c>
      <c r="J296" t="s">
        <v>52</v>
      </c>
      <c r="K296" s="2">
        <v>8500</v>
      </c>
      <c r="L296" s="2">
        <v>77500</v>
      </c>
      <c r="M296">
        <v>12</v>
      </c>
      <c r="N296" s="3">
        <v>0.92400000000000004</v>
      </c>
      <c r="O296" t="s">
        <v>16</v>
      </c>
      <c r="Q296">
        <v>1</v>
      </c>
      <c r="R296">
        <v>0</v>
      </c>
      <c r="S296" s="2">
        <v>77500</v>
      </c>
      <c r="T296" s="4">
        <v>0.1003</v>
      </c>
      <c r="U296">
        <v>7</v>
      </c>
      <c r="V296">
        <v>1</v>
      </c>
      <c r="W296">
        <v>1</v>
      </c>
    </row>
    <row r="297" spans="1:23" ht="16.5" x14ac:dyDescent="0.3">
      <c r="A297" t="s">
        <v>348</v>
      </c>
      <c r="B297" s="1">
        <v>45333</v>
      </c>
      <c r="C297">
        <v>2024</v>
      </c>
      <c r="D297" t="s">
        <v>24</v>
      </c>
      <c r="E297" t="s">
        <v>284</v>
      </c>
      <c r="F297" t="s">
        <v>37</v>
      </c>
      <c r="G297" t="s">
        <v>33</v>
      </c>
      <c r="H297" t="s">
        <v>64</v>
      </c>
      <c r="I297" t="s">
        <v>39</v>
      </c>
      <c r="J297" t="s">
        <v>52</v>
      </c>
      <c r="K297" s="2">
        <v>4750</v>
      </c>
      <c r="L297" s="2">
        <v>18500</v>
      </c>
      <c r="M297">
        <v>60</v>
      </c>
      <c r="N297" s="3">
        <v>0.218</v>
      </c>
      <c r="O297" t="s">
        <v>16</v>
      </c>
      <c r="Q297">
        <v>1</v>
      </c>
      <c r="R297">
        <v>0</v>
      </c>
      <c r="S297" s="2">
        <v>16500</v>
      </c>
      <c r="T297" s="4">
        <v>0.1119</v>
      </c>
      <c r="U297">
        <v>2</v>
      </c>
      <c r="V297">
        <v>1</v>
      </c>
      <c r="W297">
        <v>1</v>
      </c>
    </row>
    <row r="298" spans="1:23" ht="16.5" x14ac:dyDescent="0.3">
      <c r="A298" t="s">
        <v>349</v>
      </c>
      <c r="B298" s="1">
        <v>45334</v>
      </c>
      <c r="C298">
        <v>2024</v>
      </c>
      <c r="D298" t="s">
        <v>24</v>
      </c>
      <c r="E298" t="s">
        <v>284</v>
      </c>
      <c r="F298" t="s">
        <v>26</v>
      </c>
      <c r="G298" t="s">
        <v>45</v>
      </c>
      <c r="H298" t="s">
        <v>38</v>
      </c>
      <c r="I298" t="s">
        <v>39</v>
      </c>
      <c r="J298" t="s">
        <v>30</v>
      </c>
      <c r="K298" s="2">
        <v>9100</v>
      </c>
      <c r="L298" s="2">
        <v>18500</v>
      </c>
      <c r="M298">
        <v>60</v>
      </c>
      <c r="N298" s="3">
        <v>0.189</v>
      </c>
      <c r="O298" t="s">
        <v>125</v>
      </c>
      <c r="Q298">
        <v>0</v>
      </c>
      <c r="R298">
        <v>0</v>
      </c>
      <c r="S298" s="2">
        <v>0</v>
      </c>
      <c r="T298" s="4"/>
      <c r="U298">
        <v>3</v>
      </c>
      <c r="V298">
        <v>1</v>
      </c>
      <c r="W298">
        <v>1</v>
      </c>
    </row>
    <row r="299" spans="1:23" ht="16.5" x14ac:dyDescent="0.3">
      <c r="A299" t="s">
        <v>350</v>
      </c>
      <c r="B299" s="1">
        <v>45334</v>
      </c>
      <c r="C299">
        <v>2024</v>
      </c>
      <c r="D299" t="s">
        <v>24</v>
      </c>
      <c r="E299" t="s">
        <v>284</v>
      </c>
      <c r="F299" t="s">
        <v>26</v>
      </c>
      <c r="G299" t="s">
        <v>33</v>
      </c>
      <c r="H299" t="s">
        <v>38</v>
      </c>
      <c r="I299" t="s">
        <v>39</v>
      </c>
      <c r="J299" t="s">
        <v>43</v>
      </c>
      <c r="K299" s="2">
        <v>5150</v>
      </c>
      <c r="L299" s="2">
        <v>30500</v>
      </c>
      <c r="M299">
        <v>36</v>
      </c>
      <c r="N299" s="3">
        <v>0.32100000000000001</v>
      </c>
      <c r="O299" t="s">
        <v>17</v>
      </c>
      <c r="P299" t="s">
        <v>31</v>
      </c>
      <c r="Q299">
        <v>0</v>
      </c>
      <c r="R299">
        <v>1</v>
      </c>
      <c r="S299" s="2">
        <v>0</v>
      </c>
      <c r="T299" s="4"/>
      <c r="U299">
        <v>1</v>
      </c>
      <c r="V299">
        <v>1</v>
      </c>
      <c r="W299">
        <v>1</v>
      </c>
    </row>
    <row r="300" spans="1:23" ht="16.5" x14ac:dyDescent="0.3">
      <c r="A300" t="s">
        <v>351</v>
      </c>
      <c r="B300" s="1">
        <v>45334</v>
      </c>
      <c r="C300">
        <v>2024</v>
      </c>
      <c r="D300" t="s">
        <v>24</v>
      </c>
      <c r="E300" t="s">
        <v>284</v>
      </c>
      <c r="F300" t="s">
        <v>37</v>
      </c>
      <c r="G300" t="s">
        <v>27</v>
      </c>
      <c r="H300" t="s">
        <v>34</v>
      </c>
      <c r="I300" t="s">
        <v>29</v>
      </c>
      <c r="J300" t="s">
        <v>35</v>
      </c>
      <c r="K300" s="2">
        <v>5750</v>
      </c>
      <c r="L300" s="2">
        <v>16500</v>
      </c>
      <c r="M300">
        <v>24</v>
      </c>
      <c r="N300" s="3">
        <v>0.34300000000000003</v>
      </c>
      <c r="O300" t="s">
        <v>16</v>
      </c>
      <c r="Q300">
        <v>1</v>
      </c>
      <c r="R300">
        <v>0</v>
      </c>
      <c r="S300" s="2">
        <v>16500</v>
      </c>
      <c r="T300" s="4">
        <v>0.124</v>
      </c>
      <c r="U300">
        <v>3</v>
      </c>
      <c r="V300">
        <v>1</v>
      </c>
      <c r="W300">
        <v>1</v>
      </c>
    </row>
    <row r="301" spans="1:23" ht="16.5" x14ac:dyDescent="0.3">
      <c r="A301" t="s">
        <v>352</v>
      </c>
      <c r="B301" s="1">
        <v>45334</v>
      </c>
      <c r="C301">
        <v>2024</v>
      </c>
      <c r="D301" t="s">
        <v>24</v>
      </c>
      <c r="E301" t="s">
        <v>284</v>
      </c>
      <c r="F301" t="s">
        <v>41</v>
      </c>
      <c r="G301" t="s">
        <v>51</v>
      </c>
      <c r="H301" t="s">
        <v>55</v>
      </c>
      <c r="I301" t="s">
        <v>29</v>
      </c>
      <c r="J301" t="s">
        <v>52</v>
      </c>
      <c r="K301" s="2">
        <v>6300</v>
      </c>
      <c r="L301" s="2">
        <v>68500</v>
      </c>
      <c r="M301">
        <v>24</v>
      </c>
      <c r="N301" s="3">
        <v>0.58199999999999996</v>
      </c>
      <c r="O301" t="s">
        <v>16</v>
      </c>
      <c r="Q301">
        <v>1</v>
      </c>
      <c r="R301">
        <v>0</v>
      </c>
      <c r="S301" s="2">
        <v>68500</v>
      </c>
      <c r="T301" s="4">
        <v>9.3700000000000006E-2</v>
      </c>
      <c r="U301">
        <v>12</v>
      </c>
      <c r="V301">
        <v>0</v>
      </c>
      <c r="W301">
        <v>1</v>
      </c>
    </row>
    <row r="302" spans="1:23" ht="16.5" x14ac:dyDescent="0.3">
      <c r="A302" t="s">
        <v>353</v>
      </c>
      <c r="B302" s="1">
        <v>45334</v>
      </c>
      <c r="C302">
        <v>2024</v>
      </c>
      <c r="D302" t="s">
        <v>24</v>
      </c>
      <c r="E302" t="s">
        <v>284</v>
      </c>
      <c r="F302" t="s">
        <v>37</v>
      </c>
      <c r="G302" t="s">
        <v>51</v>
      </c>
      <c r="H302" t="s">
        <v>38</v>
      </c>
      <c r="I302" t="s">
        <v>42</v>
      </c>
      <c r="J302" t="s">
        <v>46</v>
      </c>
      <c r="K302" s="2">
        <v>5400</v>
      </c>
      <c r="L302" s="2">
        <v>17000</v>
      </c>
      <c r="M302">
        <v>60</v>
      </c>
      <c r="N302" s="3">
        <v>0.14299999999999999</v>
      </c>
      <c r="O302" t="s">
        <v>16</v>
      </c>
      <c r="Q302">
        <v>1</v>
      </c>
      <c r="R302">
        <v>0</v>
      </c>
      <c r="S302" s="2">
        <v>13500</v>
      </c>
      <c r="T302" s="4">
        <v>0.1085</v>
      </c>
      <c r="U302">
        <v>5</v>
      </c>
      <c r="V302">
        <v>0</v>
      </c>
      <c r="W302">
        <v>1</v>
      </c>
    </row>
    <row r="303" spans="1:23" ht="16.5" x14ac:dyDescent="0.3">
      <c r="A303" t="s">
        <v>354</v>
      </c>
      <c r="B303" s="1">
        <v>45334</v>
      </c>
      <c r="C303">
        <v>2024</v>
      </c>
      <c r="D303" t="s">
        <v>24</v>
      </c>
      <c r="E303" t="s">
        <v>284</v>
      </c>
      <c r="F303" t="s">
        <v>37</v>
      </c>
      <c r="G303" t="s">
        <v>45</v>
      </c>
      <c r="H303" t="s">
        <v>55</v>
      </c>
      <c r="I303" t="s">
        <v>29</v>
      </c>
      <c r="J303" t="s">
        <v>46</v>
      </c>
      <c r="K303" s="2">
        <v>2900</v>
      </c>
      <c r="L303" s="2">
        <v>18500</v>
      </c>
      <c r="M303">
        <v>36</v>
      </c>
      <c r="N303" s="3">
        <v>0.36</v>
      </c>
      <c r="O303" t="s">
        <v>16</v>
      </c>
      <c r="Q303">
        <v>1</v>
      </c>
      <c r="R303">
        <v>0</v>
      </c>
      <c r="S303" s="2">
        <v>15000</v>
      </c>
      <c r="T303" s="4">
        <v>0.10879999999999999</v>
      </c>
      <c r="U303">
        <v>3</v>
      </c>
      <c r="V303">
        <v>1</v>
      </c>
      <c r="W303">
        <v>1</v>
      </c>
    </row>
    <row r="304" spans="1:23" ht="16.5" x14ac:dyDescent="0.3">
      <c r="A304" t="s">
        <v>355</v>
      </c>
      <c r="B304" s="1">
        <v>45334</v>
      </c>
      <c r="C304">
        <v>2024</v>
      </c>
      <c r="D304" t="s">
        <v>24</v>
      </c>
      <c r="E304" t="s">
        <v>284</v>
      </c>
      <c r="F304" t="s">
        <v>37</v>
      </c>
      <c r="G304" t="s">
        <v>33</v>
      </c>
      <c r="H304" t="s">
        <v>55</v>
      </c>
      <c r="I304" t="s">
        <v>42</v>
      </c>
      <c r="J304" t="s">
        <v>30</v>
      </c>
      <c r="K304" s="2">
        <v>6250</v>
      </c>
      <c r="L304" s="2">
        <v>14500</v>
      </c>
      <c r="M304">
        <v>24</v>
      </c>
      <c r="N304" s="3">
        <v>0.28100000000000003</v>
      </c>
      <c r="O304" t="s">
        <v>16</v>
      </c>
      <c r="Q304">
        <v>1</v>
      </c>
      <c r="R304">
        <v>0</v>
      </c>
      <c r="S304" s="2">
        <v>14500</v>
      </c>
      <c r="T304" s="4">
        <v>0.13800000000000001</v>
      </c>
      <c r="U304">
        <v>1</v>
      </c>
      <c r="V304">
        <v>1</v>
      </c>
      <c r="W304">
        <v>1</v>
      </c>
    </row>
    <row r="305" spans="1:23" ht="16.5" x14ac:dyDescent="0.3">
      <c r="A305" t="s">
        <v>356</v>
      </c>
      <c r="B305" s="1">
        <v>45334</v>
      </c>
      <c r="C305">
        <v>2024</v>
      </c>
      <c r="D305" t="s">
        <v>24</v>
      </c>
      <c r="E305" t="s">
        <v>284</v>
      </c>
      <c r="F305" t="s">
        <v>37</v>
      </c>
      <c r="G305" t="s">
        <v>45</v>
      </c>
      <c r="H305" t="s">
        <v>38</v>
      </c>
      <c r="I305" t="s">
        <v>42</v>
      </c>
      <c r="J305" t="s">
        <v>46</v>
      </c>
      <c r="K305" s="2">
        <v>3250</v>
      </c>
      <c r="L305" s="2">
        <v>13000</v>
      </c>
      <c r="M305">
        <v>36</v>
      </c>
      <c r="N305" s="3">
        <v>0.35199999999999998</v>
      </c>
      <c r="O305" t="s">
        <v>16</v>
      </c>
      <c r="Q305">
        <v>1</v>
      </c>
      <c r="R305">
        <v>0</v>
      </c>
      <c r="S305" s="2">
        <v>11500</v>
      </c>
      <c r="T305" s="4">
        <v>0.11119999999999999</v>
      </c>
      <c r="U305">
        <v>2</v>
      </c>
      <c r="V305">
        <v>1</v>
      </c>
      <c r="W305">
        <v>1</v>
      </c>
    </row>
    <row r="306" spans="1:23" ht="16.5" x14ac:dyDescent="0.3">
      <c r="A306" t="s">
        <v>357</v>
      </c>
      <c r="B306" s="1">
        <v>45334</v>
      </c>
      <c r="C306">
        <v>2024</v>
      </c>
      <c r="D306" t="s">
        <v>24</v>
      </c>
      <c r="E306" t="s">
        <v>284</v>
      </c>
      <c r="F306" t="s">
        <v>41</v>
      </c>
      <c r="G306" t="s">
        <v>51</v>
      </c>
      <c r="H306" t="s">
        <v>64</v>
      </c>
      <c r="I306" t="s">
        <v>39</v>
      </c>
      <c r="J306" t="s">
        <v>52</v>
      </c>
      <c r="K306" s="2">
        <v>4000</v>
      </c>
      <c r="L306" s="2">
        <v>110000</v>
      </c>
      <c r="M306">
        <v>60</v>
      </c>
      <c r="N306" s="3">
        <v>0.71699999999999997</v>
      </c>
      <c r="O306" t="s">
        <v>16</v>
      </c>
      <c r="Q306">
        <v>1</v>
      </c>
      <c r="R306">
        <v>0</v>
      </c>
      <c r="S306" s="2">
        <v>110000</v>
      </c>
      <c r="T306" s="4">
        <v>9.8799999999999999E-2</v>
      </c>
      <c r="U306">
        <v>14</v>
      </c>
      <c r="V306">
        <v>0</v>
      </c>
      <c r="W306">
        <v>1</v>
      </c>
    </row>
    <row r="307" spans="1:23" ht="16.5" x14ac:dyDescent="0.3">
      <c r="A307" t="s">
        <v>358</v>
      </c>
      <c r="B307" s="1">
        <v>45334</v>
      </c>
      <c r="C307">
        <v>2024</v>
      </c>
      <c r="D307" t="s">
        <v>24</v>
      </c>
      <c r="E307" t="s">
        <v>284</v>
      </c>
      <c r="F307" t="s">
        <v>37</v>
      </c>
      <c r="G307" t="s">
        <v>51</v>
      </c>
      <c r="H307" t="s">
        <v>55</v>
      </c>
      <c r="I307" t="s">
        <v>29</v>
      </c>
      <c r="J307" t="s">
        <v>52</v>
      </c>
      <c r="K307" s="2">
        <v>7750</v>
      </c>
      <c r="L307" s="2">
        <v>16500</v>
      </c>
      <c r="M307">
        <v>24</v>
      </c>
      <c r="N307" s="3">
        <v>0.22500000000000001</v>
      </c>
      <c r="O307" t="s">
        <v>16</v>
      </c>
      <c r="Q307">
        <v>1</v>
      </c>
      <c r="R307">
        <v>0</v>
      </c>
      <c r="S307" s="2">
        <v>15000</v>
      </c>
      <c r="T307" s="4">
        <v>0.1162</v>
      </c>
      <c r="U307">
        <v>3</v>
      </c>
      <c r="V307">
        <v>1</v>
      </c>
      <c r="W307">
        <v>1</v>
      </c>
    </row>
    <row r="308" spans="1:23" ht="16.5" x14ac:dyDescent="0.3">
      <c r="A308" t="s">
        <v>359</v>
      </c>
      <c r="B308" s="1">
        <v>45334</v>
      </c>
      <c r="C308">
        <v>2024</v>
      </c>
      <c r="D308" t="s">
        <v>24</v>
      </c>
      <c r="E308" t="s">
        <v>284</v>
      </c>
      <c r="F308" t="s">
        <v>37</v>
      </c>
      <c r="G308" t="s">
        <v>33</v>
      </c>
      <c r="H308" t="s">
        <v>55</v>
      </c>
      <c r="I308" t="s">
        <v>29</v>
      </c>
      <c r="J308" t="s">
        <v>43</v>
      </c>
      <c r="K308" s="2">
        <v>7850</v>
      </c>
      <c r="L308" s="2">
        <v>16500</v>
      </c>
      <c r="M308">
        <v>48</v>
      </c>
      <c r="N308" s="3">
        <v>0.24199999999999999</v>
      </c>
      <c r="O308" t="s">
        <v>17</v>
      </c>
      <c r="P308" t="s">
        <v>31</v>
      </c>
      <c r="Q308">
        <v>0</v>
      </c>
      <c r="R308">
        <v>1</v>
      </c>
      <c r="S308" s="2">
        <v>0</v>
      </c>
      <c r="T308" s="4"/>
      <c r="U308">
        <v>1</v>
      </c>
      <c r="V308">
        <v>1</v>
      </c>
      <c r="W308">
        <v>1</v>
      </c>
    </row>
    <row r="309" spans="1:23" ht="16.5" x14ac:dyDescent="0.3">
      <c r="A309" t="s">
        <v>360</v>
      </c>
      <c r="B309" s="1">
        <v>45334</v>
      </c>
      <c r="C309">
        <v>2024</v>
      </c>
      <c r="D309" t="s">
        <v>24</v>
      </c>
      <c r="E309" t="s">
        <v>284</v>
      </c>
      <c r="F309" t="s">
        <v>37</v>
      </c>
      <c r="G309" t="s">
        <v>51</v>
      </c>
      <c r="H309" t="s">
        <v>28</v>
      </c>
      <c r="I309" t="s">
        <v>29</v>
      </c>
      <c r="J309" t="s">
        <v>35</v>
      </c>
      <c r="K309" s="2">
        <v>8350</v>
      </c>
      <c r="L309" s="2">
        <v>7000</v>
      </c>
      <c r="M309">
        <v>24</v>
      </c>
      <c r="N309" s="3">
        <v>0.16200000000000001</v>
      </c>
      <c r="O309" t="s">
        <v>16</v>
      </c>
      <c r="Q309">
        <v>1</v>
      </c>
      <c r="R309">
        <v>0</v>
      </c>
      <c r="S309" s="2">
        <v>7000</v>
      </c>
      <c r="T309" s="4">
        <v>0.12559999999999999</v>
      </c>
      <c r="U309">
        <v>4</v>
      </c>
      <c r="V309">
        <v>0</v>
      </c>
      <c r="W309">
        <v>1</v>
      </c>
    </row>
    <row r="310" spans="1:23" ht="16.5" x14ac:dyDescent="0.3">
      <c r="A310" t="s">
        <v>361</v>
      </c>
      <c r="B310" s="1">
        <v>45334</v>
      </c>
      <c r="C310">
        <v>2024</v>
      </c>
      <c r="D310" t="s">
        <v>24</v>
      </c>
      <c r="E310" t="s">
        <v>284</v>
      </c>
      <c r="F310" t="s">
        <v>37</v>
      </c>
      <c r="G310" t="s">
        <v>27</v>
      </c>
      <c r="H310" t="s">
        <v>38</v>
      </c>
      <c r="I310" t="s">
        <v>39</v>
      </c>
      <c r="J310" t="s">
        <v>30</v>
      </c>
      <c r="K310" s="2">
        <v>6400</v>
      </c>
      <c r="L310" s="2">
        <v>14500</v>
      </c>
      <c r="M310">
        <v>12</v>
      </c>
      <c r="N310" s="3">
        <v>0.39600000000000002</v>
      </c>
      <c r="O310" t="s">
        <v>17</v>
      </c>
      <c r="P310" t="s">
        <v>31</v>
      </c>
      <c r="Q310">
        <v>0</v>
      </c>
      <c r="R310">
        <v>1</v>
      </c>
      <c r="S310" s="2">
        <v>0</v>
      </c>
      <c r="T310" s="4"/>
      <c r="U310">
        <v>4</v>
      </c>
      <c r="V310">
        <v>0</v>
      </c>
      <c r="W310">
        <v>1</v>
      </c>
    </row>
    <row r="311" spans="1:23" ht="16.5" x14ac:dyDescent="0.3">
      <c r="A311" t="s">
        <v>362</v>
      </c>
      <c r="B311" s="1">
        <v>45335</v>
      </c>
      <c r="C311">
        <v>2024</v>
      </c>
      <c r="D311" t="s">
        <v>24</v>
      </c>
      <c r="E311" t="s">
        <v>284</v>
      </c>
      <c r="F311" t="s">
        <v>37</v>
      </c>
      <c r="G311" t="s">
        <v>45</v>
      </c>
      <c r="H311" t="s">
        <v>38</v>
      </c>
      <c r="I311" t="s">
        <v>29</v>
      </c>
      <c r="J311" t="s">
        <v>35</v>
      </c>
      <c r="K311" s="2">
        <v>4200</v>
      </c>
      <c r="L311" s="2">
        <v>19000</v>
      </c>
      <c r="M311">
        <v>48</v>
      </c>
      <c r="N311" s="3">
        <v>0.34699999999999998</v>
      </c>
      <c r="O311" t="s">
        <v>16</v>
      </c>
      <c r="Q311">
        <v>1</v>
      </c>
      <c r="R311">
        <v>0</v>
      </c>
      <c r="S311" s="2">
        <v>19000</v>
      </c>
      <c r="T311" s="4">
        <v>0.12379999999999999</v>
      </c>
      <c r="U311">
        <v>3</v>
      </c>
      <c r="V311">
        <v>1</v>
      </c>
      <c r="W311">
        <v>1</v>
      </c>
    </row>
    <row r="312" spans="1:23" ht="16.5" x14ac:dyDescent="0.3">
      <c r="A312" t="s">
        <v>363</v>
      </c>
      <c r="B312" s="1">
        <v>45335</v>
      </c>
      <c r="C312">
        <v>2024</v>
      </c>
      <c r="D312" t="s">
        <v>24</v>
      </c>
      <c r="E312" t="s">
        <v>284</v>
      </c>
      <c r="F312" t="s">
        <v>41</v>
      </c>
      <c r="G312" t="s">
        <v>51</v>
      </c>
      <c r="H312" t="s">
        <v>64</v>
      </c>
      <c r="I312" t="s">
        <v>29</v>
      </c>
      <c r="J312" t="s">
        <v>43</v>
      </c>
      <c r="K312" s="2">
        <v>8600</v>
      </c>
      <c r="L312" s="2">
        <v>114500</v>
      </c>
      <c r="M312">
        <v>36</v>
      </c>
      <c r="N312" s="3">
        <v>0.67700000000000005</v>
      </c>
      <c r="O312" t="s">
        <v>17</v>
      </c>
      <c r="P312" t="s">
        <v>31</v>
      </c>
      <c r="Q312">
        <v>0</v>
      </c>
      <c r="R312">
        <v>1</v>
      </c>
      <c r="S312" s="2">
        <v>0</v>
      </c>
      <c r="T312" s="4"/>
      <c r="U312">
        <v>11</v>
      </c>
      <c r="V312">
        <v>0</v>
      </c>
      <c r="W312">
        <v>1</v>
      </c>
    </row>
    <row r="313" spans="1:23" ht="16.5" x14ac:dyDescent="0.3">
      <c r="A313" t="s">
        <v>364</v>
      </c>
      <c r="B313" s="1">
        <v>45335</v>
      </c>
      <c r="C313">
        <v>2024</v>
      </c>
      <c r="D313" t="s">
        <v>24</v>
      </c>
      <c r="E313" t="s">
        <v>284</v>
      </c>
      <c r="F313" t="s">
        <v>26</v>
      </c>
      <c r="G313" t="s">
        <v>51</v>
      </c>
      <c r="H313" t="s">
        <v>55</v>
      </c>
      <c r="I313" t="s">
        <v>29</v>
      </c>
      <c r="J313" t="s">
        <v>52</v>
      </c>
      <c r="K313" s="2">
        <v>5450</v>
      </c>
      <c r="L313" s="2">
        <v>40500</v>
      </c>
      <c r="M313">
        <v>60</v>
      </c>
      <c r="N313" s="3">
        <v>0.32600000000000001</v>
      </c>
      <c r="O313" t="s">
        <v>17</v>
      </c>
      <c r="P313" t="s">
        <v>48</v>
      </c>
      <c r="Q313">
        <v>0</v>
      </c>
      <c r="R313">
        <v>1</v>
      </c>
      <c r="S313" s="2">
        <v>0</v>
      </c>
      <c r="T313" s="4"/>
      <c r="U313">
        <v>5</v>
      </c>
      <c r="V313">
        <v>0</v>
      </c>
      <c r="W313">
        <v>1</v>
      </c>
    </row>
    <row r="314" spans="1:23" ht="16.5" x14ac:dyDescent="0.3">
      <c r="A314" t="s">
        <v>365</v>
      </c>
      <c r="B314" s="1">
        <v>45335</v>
      </c>
      <c r="C314">
        <v>2024</v>
      </c>
      <c r="D314" t="s">
        <v>24</v>
      </c>
      <c r="E314" t="s">
        <v>284</v>
      </c>
      <c r="F314" t="s">
        <v>37</v>
      </c>
      <c r="G314" t="s">
        <v>51</v>
      </c>
      <c r="H314" t="s">
        <v>34</v>
      </c>
      <c r="I314" t="s">
        <v>39</v>
      </c>
      <c r="J314" t="s">
        <v>35</v>
      </c>
      <c r="K314" s="2">
        <v>2600</v>
      </c>
      <c r="L314" s="2">
        <v>10500</v>
      </c>
      <c r="M314">
        <v>24</v>
      </c>
      <c r="N314" s="3">
        <v>0.41199999999999998</v>
      </c>
      <c r="O314" t="s">
        <v>16</v>
      </c>
      <c r="Q314">
        <v>1</v>
      </c>
      <c r="R314">
        <v>0</v>
      </c>
      <c r="S314" s="2">
        <v>8500</v>
      </c>
      <c r="T314" s="4">
        <v>0.1235</v>
      </c>
      <c r="U314">
        <v>4</v>
      </c>
      <c r="V314">
        <v>0</v>
      </c>
      <c r="W314">
        <v>1</v>
      </c>
    </row>
    <row r="315" spans="1:23" ht="16.5" x14ac:dyDescent="0.3">
      <c r="A315" t="s">
        <v>366</v>
      </c>
      <c r="B315" s="1">
        <v>45335</v>
      </c>
      <c r="C315">
        <v>2024</v>
      </c>
      <c r="D315" t="s">
        <v>24</v>
      </c>
      <c r="E315" t="s">
        <v>284</v>
      </c>
      <c r="F315" t="s">
        <v>37</v>
      </c>
      <c r="G315" t="s">
        <v>51</v>
      </c>
      <c r="H315" t="s">
        <v>64</v>
      </c>
      <c r="I315" t="s">
        <v>42</v>
      </c>
      <c r="J315" t="s">
        <v>30</v>
      </c>
      <c r="K315" s="2">
        <v>5900</v>
      </c>
      <c r="L315" s="2">
        <v>23000</v>
      </c>
      <c r="M315">
        <v>60</v>
      </c>
      <c r="N315" s="3">
        <v>0.312</v>
      </c>
      <c r="O315" t="s">
        <v>16</v>
      </c>
      <c r="Q315">
        <v>1</v>
      </c>
      <c r="R315">
        <v>0</v>
      </c>
      <c r="S315" s="2">
        <v>23000</v>
      </c>
      <c r="T315" s="4">
        <v>0.13930000000000001</v>
      </c>
      <c r="U315">
        <v>4</v>
      </c>
      <c r="V315">
        <v>0</v>
      </c>
      <c r="W315">
        <v>1</v>
      </c>
    </row>
    <row r="316" spans="1:23" ht="16.5" x14ac:dyDescent="0.3">
      <c r="A316" t="s">
        <v>367</v>
      </c>
      <c r="B316" s="1">
        <v>45335</v>
      </c>
      <c r="C316">
        <v>2024</v>
      </c>
      <c r="D316" t="s">
        <v>24</v>
      </c>
      <c r="E316" t="s">
        <v>284</v>
      </c>
      <c r="F316" t="s">
        <v>37</v>
      </c>
      <c r="G316" t="s">
        <v>33</v>
      </c>
      <c r="H316" t="s">
        <v>55</v>
      </c>
      <c r="I316" t="s">
        <v>29</v>
      </c>
      <c r="J316" t="s">
        <v>35</v>
      </c>
      <c r="K316" s="2">
        <v>7850</v>
      </c>
      <c r="L316" s="2">
        <v>9000</v>
      </c>
      <c r="M316">
        <v>12</v>
      </c>
      <c r="N316" s="3">
        <v>0.33500000000000002</v>
      </c>
      <c r="O316" t="s">
        <v>17</v>
      </c>
      <c r="P316" t="s">
        <v>60</v>
      </c>
      <c r="Q316">
        <v>0</v>
      </c>
      <c r="R316">
        <v>1</v>
      </c>
      <c r="S316" s="2">
        <v>0</v>
      </c>
      <c r="T316" s="4"/>
      <c r="U316">
        <v>7</v>
      </c>
      <c r="V316">
        <v>0</v>
      </c>
      <c r="W316">
        <v>1</v>
      </c>
    </row>
    <row r="317" spans="1:23" ht="16.5" x14ac:dyDescent="0.3">
      <c r="A317" t="s">
        <v>368</v>
      </c>
      <c r="B317" s="1">
        <v>45335</v>
      </c>
      <c r="C317">
        <v>2024</v>
      </c>
      <c r="D317" t="s">
        <v>24</v>
      </c>
      <c r="E317" t="s">
        <v>284</v>
      </c>
      <c r="F317" t="s">
        <v>50</v>
      </c>
      <c r="G317" t="s">
        <v>51</v>
      </c>
      <c r="H317" t="s">
        <v>55</v>
      </c>
      <c r="I317" t="s">
        <v>39</v>
      </c>
      <c r="J317" t="s">
        <v>46</v>
      </c>
      <c r="K317" s="2">
        <v>8600</v>
      </c>
      <c r="L317" s="2">
        <v>140500</v>
      </c>
      <c r="M317">
        <v>240</v>
      </c>
      <c r="N317" s="3">
        <v>0.29699999999999999</v>
      </c>
      <c r="O317" t="s">
        <v>16</v>
      </c>
      <c r="Q317">
        <v>1</v>
      </c>
      <c r="R317">
        <v>0</v>
      </c>
      <c r="S317" s="2">
        <v>140500</v>
      </c>
      <c r="T317" s="4">
        <v>4.6100000000000002E-2</v>
      </c>
      <c r="U317">
        <v>24</v>
      </c>
      <c r="V317">
        <v>0</v>
      </c>
      <c r="W317">
        <v>1</v>
      </c>
    </row>
    <row r="318" spans="1:23" ht="16.5" x14ac:dyDescent="0.3">
      <c r="A318" t="s">
        <v>369</v>
      </c>
      <c r="B318" s="1">
        <v>45335</v>
      </c>
      <c r="C318">
        <v>2024</v>
      </c>
      <c r="D318" t="s">
        <v>24</v>
      </c>
      <c r="E318" t="s">
        <v>284</v>
      </c>
      <c r="F318" t="s">
        <v>37</v>
      </c>
      <c r="G318" t="s">
        <v>27</v>
      </c>
      <c r="H318" t="s">
        <v>64</v>
      </c>
      <c r="I318" t="s">
        <v>29</v>
      </c>
      <c r="J318" t="s">
        <v>52</v>
      </c>
      <c r="K318" s="2">
        <v>4500</v>
      </c>
      <c r="L318" s="2">
        <v>12500</v>
      </c>
      <c r="M318">
        <v>24</v>
      </c>
      <c r="N318" s="3">
        <v>0.32600000000000001</v>
      </c>
      <c r="O318" t="s">
        <v>16</v>
      </c>
      <c r="Q318">
        <v>1</v>
      </c>
      <c r="R318">
        <v>0</v>
      </c>
      <c r="S318" s="2">
        <v>12500</v>
      </c>
      <c r="T318" s="4">
        <v>0.10979999999999999</v>
      </c>
      <c r="U318">
        <v>5</v>
      </c>
      <c r="V318">
        <v>0</v>
      </c>
      <c r="W318">
        <v>1</v>
      </c>
    </row>
    <row r="319" spans="1:23" ht="16.5" x14ac:dyDescent="0.3">
      <c r="A319" t="s">
        <v>370</v>
      </c>
      <c r="B319" s="1">
        <v>45335</v>
      </c>
      <c r="C319">
        <v>2024</v>
      </c>
      <c r="D319" t="s">
        <v>24</v>
      </c>
      <c r="E319" t="s">
        <v>284</v>
      </c>
      <c r="F319" t="s">
        <v>37</v>
      </c>
      <c r="G319" t="s">
        <v>51</v>
      </c>
      <c r="H319" t="s">
        <v>55</v>
      </c>
      <c r="I319" t="s">
        <v>39</v>
      </c>
      <c r="J319" t="s">
        <v>35</v>
      </c>
      <c r="K319" s="2">
        <v>4550</v>
      </c>
      <c r="L319" s="2">
        <v>9500</v>
      </c>
      <c r="M319">
        <v>12</v>
      </c>
      <c r="N319" s="3">
        <v>0.35299999999999998</v>
      </c>
      <c r="O319" t="s">
        <v>16</v>
      </c>
      <c r="Q319">
        <v>1</v>
      </c>
      <c r="R319">
        <v>0</v>
      </c>
      <c r="S319" s="2">
        <v>9500</v>
      </c>
      <c r="T319" s="4">
        <v>0.1226</v>
      </c>
      <c r="U319">
        <v>7</v>
      </c>
      <c r="V319">
        <v>0</v>
      </c>
      <c r="W319">
        <v>1</v>
      </c>
    </row>
    <row r="320" spans="1:23" ht="16.5" x14ac:dyDescent="0.3">
      <c r="A320" t="s">
        <v>371</v>
      </c>
      <c r="B320" s="1">
        <v>45336</v>
      </c>
      <c r="C320">
        <v>2024</v>
      </c>
      <c r="D320" t="s">
        <v>24</v>
      </c>
      <c r="E320" t="s">
        <v>284</v>
      </c>
      <c r="F320" t="s">
        <v>26</v>
      </c>
      <c r="G320" t="s">
        <v>51</v>
      </c>
      <c r="H320" t="s">
        <v>64</v>
      </c>
      <c r="I320" t="s">
        <v>29</v>
      </c>
      <c r="J320" t="s">
        <v>30</v>
      </c>
      <c r="K320" s="2">
        <v>10200</v>
      </c>
      <c r="L320" s="2">
        <v>74500</v>
      </c>
      <c r="M320">
        <v>48</v>
      </c>
      <c r="N320" s="3">
        <v>0.26300000000000001</v>
      </c>
      <c r="O320" t="s">
        <v>17</v>
      </c>
      <c r="P320" t="s">
        <v>31</v>
      </c>
      <c r="Q320">
        <v>0</v>
      </c>
      <c r="R320">
        <v>1</v>
      </c>
      <c r="S320" s="2">
        <v>0</v>
      </c>
      <c r="T320" s="4"/>
      <c r="U320">
        <v>9</v>
      </c>
      <c r="V320">
        <v>0</v>
      </c>
      <c r="W320">
        <v>1</v>
      </c>
    </row>
    <row r="321" spans="1:23" ht="16.5" x14ac:dyDescent="0.3">
      <c r="A321" t="s">
        <v>372</v>
      </c>
      <c r="B321" s="1">
        <v>45336</v>
      </c>
      <c r="C321">
        <v>2024</v>
      </c>
      <c r="D321" t="s">
        <v>24</v>
      </c>
      <c r="E321" t="s">
        <v>284</v>
      </c>
      <c r="F321" t="s">
        <v>50</v>
      </c>
      <c r="G321" t="s">
        <v>45</v>
      </c>
      <c r="H321" t="s">
        <v>38</v>
      </c>
      <c r="I321" t="s">
        <v>29</v>
      </c>
      <c r="J321" t="s">
        <v>52</v>
      </c>
      <c r="K321" s="2">
        <v>7000</v>
      </c>
      <c r="L321" s="2">
        <v>263500</v>
      </c>
      <c r="M321">
        <v>180</v>
      </c>
      <c r="N321" s="3">
        <v>0.51800000000000002</v>
      </c>
      <c r="O321" t="s">
        <v>16</v>
      </c>
      <c r="Q321">
        <v>1</v>
      </c>
      <c r="R321">
        <v>0</v>
      </c>
      <c r="S321" s="2">
        <v>263500</v>
      </c>
      <c r="T321" s="4">
        <v>4.8300000000000003E-2</v>
      </c>
      <c r="U321">
        <v>4</v>
      </c>
      <c r="V321">
        <v>1</v>
      </c>
      <c r="W321">
        <v>1</v>
      </c>
    </row>
    <row r="322" spans="1:23" ht="16.5" x14ac:dyDescent="0.3">
      <c r="A322" t="s">
        <v>373</v>
      </c>
      <c r="B322" s="1">
        <v>45336</v>
      </c>
      <c r="C322">
        <v>2024</v>
      </c>
      <c r="D322" t="s">
        <v>24</v>
      </c>
      <c r="E322" t="s">
        <v>284</v>
      </c>
      <c r="F322" t="s">
        <v>26</v>
      </c>
      <c r="G322" t="s">
        <v>51</v>
      </c>
      <c r="H322" t="s">
        <v>38</v>
      </c>
      <c r="I322" t="s">
        <v>42</v>
      </c>
      <c r="J322" t="s">
        <v>35</v>
      </c>
      <c r="K322" s="2">
        <v>4400</v>
      </c>
      <c r="L322" s="2">
        <v>22500</v>
      </c>
      <c r="M322">
        <v>48</v>
      </c>
      <c r="N322" s="3">
        <v>0.36399999999999999</v>
      </c>
      <c r="O322" t="s">
        <v>16</v>
      </c>
      <c r="Q322">
        <v>1</v>
      </c>
      <c r="R322">
        <v>0</v>
      </c>
      <c r="S322" s="2">
        <v>20000</v>
      </c>
      <c r="T322" s="4">
        <v>8.0199999999999994E-2</v>
      </c>
      <c r="U322">
        <v>8</v>
      </c>
      <c r="V322">
        <v>0</v>
      </c>
      <c r="W322">
        <v>1</v>
      </c>
    </row>
    <row r="323" spans="1:23" ht="16.5" x14ac:dyDescent="0.3">
      <c r="A323" t="s">
        <v>374</v>
      </c>
      <c r="B323" s="1">
        <v>45336</v>
      </c>
      <c r="C323">
        <v>2024</v>
      </c>
      <c r="D323" t="s">
        <v>24</v>
      </c>
      <c r="E323" t="s">
        <v>284</v>
      </c>
      <c r="F323" t="s">
        <v>26</v>
      </c>
      <c r="G323" t="s">
        <v>27</v>
      </c>
      <c r="H323" t="s">
        <v>38</v>
      </c>
      <c r="I323" t="s">
        <v>29</v>
      </c>
      <c r="J323" t="s">
        <v>35</v>
      </c>
      <c r="K323" s="2">
        <v>3950</v>
      </c>
      <c r="L323" s="2">
        <v>29500</v>
      </c>
      <c r="M323">
        <v>48</v>
      </c>
      <c r="N323" s="3">
        <v>0.376</v>
      </c>
      <c r="O323" t="s">
        <v>16</v>
      </c>
      <c r="Q323">
        <v>1</v>
      </c>
      <c r="R323">
        <v>0</v>
      </c>
      <c r="S323" s="2">
        <v>29500</v>
      </c>
      <c r="T323" s="4">
        <v>8.5099999999999995E-2</v>
      </c>
      <c r="U323">
        <v>8</v>
      </c>
      <c r="V323">
        <v>0</v>
      </c>
      <c r="W323">
        <v>1</v>
      </c>
    </row>
    <row r="324" spans="1:23" ht="16.5" x14ac:dyDescent="0.3">
      <c r="A324" t="s">
        <v>375</v>
      </c>
      <c r="B324" s="1">
        <v>45336</v>
      </c>
      <c r="C324">
        <v>2024</v>
      </c>
      <c r="D324" t="s">
        <v>24</v>
      </c>
      <c r="E324" t="s">
        <v>284</v>
      </c>
      <c r="F324" t="s">
        <v>50</v>
      </c>
      <c r="G324" t="s">
        <v>33</v>
      </c>
      <c r="H324" t="s">
        <v>64</v>
      </c>
      <c r="I324" t="s">
        <v>29</v>
      </c>
      <c r="J324" t="s">
        <v>46</v>
      </c>
      <c r="K324" s="2">
        <v>6000</v>
      </c>
      <c r="L324" s="2">
        <v>326500</v>
      </c>
      <c r="M324">
        <v>180</v>
      </c>
      <c r="N324" s="3">
        <v>0.58699999999999997</v>
      </c>
      <c r="O324" t="s">
        <v>16</v>
      </c>
      <c r="Q324">
        <v>1</v>
      </c>
      <c r="R324">
        <v>0</v>
      </c>
      <c r="S324" s="2">
        <v>326500</v>
      </c>
      <c r="T324" s="4">
        <v>4.6300000000000001E-2</v>
      </c>
      <c r="U324">
        <v>10</v>
      </c>
      <c r="V324">
        <v>1</v>
      </c>
      <c r="W324">
        <v>1</v>
      </c>
    </row>
    <row r="325" spans="1:23" ht="16.5" x14ac:dyDescent="0.3">
      <c r="A325" t="s">
        <v>376</v>
      </c>
      <c r="B325" s="1">
        <v>45337</v>
      </c>
      <c r="C325">
        <v>2024</v>
      </c>
      <c r="D325" t="s">
        <v>24</v>
      </c>
      <c r="E325" t="s">
        <v>284</v>
      </c>
      <c r="F325" t="s">
        <v>26</v>
      </c>
      <c r="G325" t="s">
        <v>33</v>
      </c>
      <c r="H325" t="s">
        <v>38</v>
      </c>
      <c r="I325" t="s">
        <v>39</v>
      </c>
      <c r="J325" t="s">
        <v>35</v>
      </c>
      <c r="K325" s="2">
        <v>3700</v>
      </c>
      <c r="L325" s="2">
        <v>31000</v>
      </c>
      <c r="M325">
        <v>48</v>
      </c>
      <c r="N325" s="3">
        <v>0.443</v>
      </c>
      <c r="O325" t="s">
        <v>16</v>
      </c>
      <c r="Q325">
        <v>1</v>
      </c>
      <c r="R325">
        <v>0</v>
      </c>
      <c r="S325" s="2">
        <v>31000</v>
      </c>
      <c r="T325" s="4">
        <v>7.5700000000000003E-2</v>
      </c>
      <c r="U325">
        <v>3</v>
      </c>
      <c r="V325">
        <v>1</v>
      </c>
      <c r="W325">
        <v>1</v>
      </c>
    </row>
    <row r="326" spans="1:23" ht="16.5" x14ac:dyDescent="0.3">
      <c r="A326" t="s">
        <v>377</v>
      </c>
      <c r="B326" s="1">
        <v>45337</v>
      </c>
      <c r="C326">
        <v>2024</v>
      </c>
      <c r="D326" t="s">
        <v>24</v>
      </c>
      <c r="E326" t="s">
        <v>284</v>
      </c>
      <c r="F326" t="s">
        <v>37</v>
      </c>
      <c r="G326" t="s">
        <v>51</v>
      </c>
      <c r="H326" t="s">
        <v>34</v>
      </c>
      <c r="I326" t="s">
        <v>42</v>
      </c>
      <c r="J326" t="s">
        <v>35</v>
      </c>
      <c r="K326" s="2">
        <v>3900</v>
      </c>
      <c r="L326" s="2">
        <v>17500</v>
      </c>
      <c r="M326">
        <v>60</v>
      </c>
      <c r="N326" s="3">
        <v>0.34799999999999998</v>
      </c>
      <c r="O326" t="s">
        <v>125</v>
      </c>
      <c r="Q326">
        <v>0</v>
      </c>
      <c r="R326">
        <v>0</v>
      </c>
      <c r="S326" s="2">
        <v>0</v>
      </c>
      <c r="T326" s="4"/>
      <c r="U326">
        <v>6</v>
      </c>
      <c r="V326">
        <v>0</v>
      </c>
      <c r="W326">
        <v>1</v>
      </c>
    </row>
    <row r="327" spans="1:23" ht="16.5" x14ac:dyDescent="0.3">
      <c r="A327" t="s">
        <v>378</v>
      </c>
      <c r="B327" s="1">
        <v>45337</v>
      </c>
      <c r="C327">
        <v>2024</v>
      </c>
      <c r="D327" t="s">
        <v>24</v>
      </c>
      <c r="E327" t="s">
        <v>284</v>
      </c>
      <c r="F327" t="s">
        <v>37</v>
      </c>
      <c r="G327" t="s">
        <v>45</v>
      </c>
      <c r="H327" t="s">
        <v>34</v>
      </c>
      <c r="I327" t="s">
        <v>29</v>
      </c>
      <c r="J327" t="s">
        <v>35</v>
      </c>
      <c r="K327" s="2">
        <v>4800</v>
      </c>
      <c r="L327" s="2">
        <v>12000</v>
      </c>
      <c r="M327">
        <v>12</v>
      </c>
      <c r="N327" s="3">
        <v>0.30599999999999999</v>
      </c>
      <c r="O327" t="s">
        <v>16</v>
      </c>
      <c r="Q327">
        <v>1</v>
      </c>
      <c r="R327">
        <v>0</v>
      </c>
      <c r="S327" s="2">
        <v>11000</v>
      </c>
      <c r="T327" s="4">
        <v>0.127</v>
      </c>
      <c r="U327">
        <v>3</v>
      </c>
      <c r="V327">
        <v>1</v>
      </c>
      <c r="W327">
        <v>1</v>
      </c>
    </row>
    <row r="328" spans="1:23" ht="16.5" x14ac:dyDescent="0.3">
      <c r="A328" t="s">
        <v>379</v>
      </c>
      <c r="B328" s="1">
        <v>45337</v>
      </c>
      <c r="C328">
        <v>2024</v>
      </c>
      <c r="D328" t="s">
        <v>24</v>
      </c>
      <c r="E328" t="s">
        <v>284</v>
      </c>
      <c r="F328" t="s">
        <v>37</v>
      </c>
      <c r="G328" t="s">
        <v>51</v>
      </c>
      <c r="H328" t="s">
        <v>34</v>
      </c>
      <c r="I328" t="s">
        <v>29</v>
      </c>
      <c r="J328" t="s">
        <v>35</v>
      </c>
      <c r="K328" s="2">
        <v>7400</v>
      </c>
      <c r="L328" s="2">
        <v>13500</v>
      </c>
      <c r="M328">
        <v>36</v>
      </c>
      <c r="N328" s="3">
        <v>0.27300000000000002</v>
      </c>
      <c r="O328" t="s">
        <v>16</v>
      </c>
      <c r="Q328">
        <v>1</v>
      </c>
      <c r="R328">
        <v>0</v>
      </c>
      <c r="S328" s="2">
        <v>12000</v>
      </c>
      <c r="T328" s="4">
        <v>0.12470000000000001</v>
      </c>
      <c r="U328">
        <v>4</v>
      </c>
      <c r="V328">
        <v>0</v>
      </c>
      <c r="W328">
        <v>1</v>
      </c>
    </row>
    <row r="329" spans="1:23" ht="16.5" x14ac:dyDescent="0.3">
      <c r="A329" t="s">
        <v>380</v>
      </c>
      <c r="B329" s="1">
        <v>45337</v>
      </c>
      <c r="C329">
        <v>2024</v>
      </c>
      <c r="D329" t="s">
        <v>24</v>
      </c>
      <c r="E329" t="s">
        <v>284</v>
      </c>
      <c r="F329" t="s">
        <v>26</v>
      </c>
      <c r="G329" t="s">
        <v>33</v>
      </c>
      <c r="H329" t="s">
        <v>55</v>
      </c>
      <c r="I329" t="s">
        <v>39</v>
      </c>
      <c r="J329" t="s">
        <v>43</v>
      </c>
      <c r="K329" s="2">
        <v>6700</v>
      </c>
      <c r="L329" s="2">
        <v>36000</v>
      </c>
      <c r="M329">
        <v>60</v>
      </c>
      <c r="N329" s="3">
        <v>0.17399999999999999</v>
      </c>
      <c r="O329" t="s">
        <v>17</v>
      </c>
      <c r="P329" t="s">
        <v>31</v>
      </c>
      <c r="Q329">
        <v>0</v>
      </c>
      <c r="R329">
        <v>1</v>
      </c>
      <c r="S329" s="2">
        <v>0</v>
      </c>
      <c r="T329" s="4"/>
      <c r="U329">
        <v>3</v>
      </c>
      <c r="V329">
        <v>1</v>
      </c>
      <c r="W329">
        <v>1</v>
      </c>
    </row>
    <row r="330" spans="1:23" ht="16.5" x14ac:dyDescent="0.3">
      <c r="A330" t="s">
        <v>381</v>
      </c>
      <c r="B330" s="1">
        <v>45337</v>
      </c>
      <c r="C330">
        <v>2024</v>
      </c>
      <c r="D330" t="s">
        <v>24</v>
      </c>
      <c r="E330" t="s">
        <v>284</v>
      </c>
      <c r="F330" t="s">
        <v>37</v>
      </c>
      <c r="G330" t="s">
        <v>45</v>
      </c>
      <c r="H330" t="s">
        <v>28</v>
      </c>
      <c r="I330" t="s">
        <v>29</v>
      </c>
      <c r="J330" t="s">
        <v>52</v>
      </c>
      <c r="K330" s="2">
        <v>11050</v>
      </c>
      <c r="L330" s="2">
        <v>11000</v>
      </c>
      <c r="M330">
        <v>12</v>
      </c>
      <c r="N330" s="3">
        <v>0.309</v>
      </c>
      <c r="O330" t="s">
        <v>16</v>
      </c>
      <c r="Q330">
        <v>1</v>
      </c>
      <c r="R330">
        <v>0</v>
      </c>
      <c r="S330" s="2">
        <v>10000</v>
      </c>
      <c r="T330" s="4">
        <v>0.11310000000000001</v>
      </c>
      <c r="U330">
        <v>2</v>
      </c>
      <c r="V330">
        <v>1</v>
      </c>
      <c r="W330">
        <v>1</v>
      </c>
    </row>
    <row r="331" spans="1:23" ht="16.5" x14ac:dyDescent="0.3">
      <c r="A331" t="s">
        <v>382</v>
      </c>
      <c r="B331" s="1">
        <v>45337</v>
      </c>
      <c r="C331">
        <v>2024</v>
      </c>
      <c r="D331" t="s">
        <v>24</v>
      </c>
      <c r="E331" t="s">
        <v>284</v>
      </c>
      <c r="F331" t="s">
        <v>37</v>
      </c>
      <c r="G331" t="s">
        <v>51</v>
      </c>
      <c r="H331" t="s">
        <v>34</v>
      </c>
      <c r="I331" t="s">
        <v>42</v>
      </c>
      <c r="J331" t="s">
        <v>52</v>
      </c>
      <c r="K331" s="2">
        <v>2400</v>
      </c>
      <c r="L331" s="2">
        <v>11500</v>
      </c>
      <c r="M331">
        <v>48</v>
      </c>
      <c r="N331" s="3">
        <v>0.183</v>
      </c>
      <c r="O331" t="s">
        <v>16</v>
      </c>
      <c r="Q331">
        <v>1</v>
      </c>
      <c r="R331">
        <v>0</v>
      </c>
      <c r="S331" s="2">
        <v>11500</v>
      </c>
      <c r="T331" s="4">
        <v>0.11210000000000001</v>
      </c>
      <c r="U331">
        <v>3</v>
      </c>
      <c r="V331">
        <v>1</v>
      </c>
      <c r="W331">
        <v>1</v>
      </c>
    </row>
    <row r="332" spans="1:23" ht="16.5" x14ac:dyDescent="0.3">
      <c r="A332" t="s">
        <v>383</v>
      </c>
      <c r="B332" s="1">
        <v>45337</v>
      </c>
      <c r="C332">
        <v>2024</v>
      </c>
      <c r="D332" t="s">
        <v>24</v>
      </c>
      <c r="E332" t="s">
        <v>284</v>
      </c>
      <c r="F332" t="s">
        <v>26</v>
      </c>
      <c r="G332" t="s">
        <v>33</v>
      </c>
      <c r="H332" t="s">
        <v>38</v>
      </c>
      <c r="I332" t="s">
        <v>29</v>
      </c>
      <c r="J332" t="s">
        <v>35</v>
      </c>
      <c r="K332" s="2">
        <v>4300</v>
      </c>
      <c r="L332" s="2">
        <v>11000</v>
      </c>
      <c r="M332">
        <v>36</v>
      </c>
      <c r="N332" s="3">
        <v>0.317</v>
      </c>
      <c r="O332" t="s">
        <v>16</v>
      </c>
      <c r="Q332">
        <v>1</v>
      </c>
      <c r="R332">
        <v>0</v>
      </c>
      <c r="S332" s="2">
        <v>11000</v>
      </c>
      <c r="T332" s="4">
        <v>8.1500000000000003E-2</v>
      </c>
      <c r="U332">
        <v>2</v>
      </c>
      <c r="V332">
        <v>1</v>
      </c>
      <c r="W332">
        <v>1</v>
      </c>
    </row>
    <row r="333" spans="1:23" ht="16.5" x14ac:dyDescent="0.3">
      <c r="A333" t="s">
        <v>384</v>
      </c>
      <c r="B333" s="1">
        <v>45338</v>
      </c>
      <c r="C333">
        <v>2024</v>
      </c>
      <c r="D333" t="s">
        <v>24</v>
      </c>
      <c r="E333" t="s">
        <v>284</v>
      </c>
      <c r="F333" t="s">
        <v>41</v>
      </c>
      <c r="G333" t="s">
        <v>27</v>
      </c>
      <c r="H333" t="s">
        <v>38</v>
      </c>
      <c r="I333" t="s">
        <v>39</v>
      </c>
      <c r="J333" t="s">
        <v>43</v>
      </c>
      <c r="K333" s="2">
        <v>6000</v>
      </c>
      <c r="L333" s="2">
        <v>140500</v>
      </c>
      <c r="M333">
        <v>12</v>
      </c>
      <c r="N333" s="3">
        <v>2.2599999999999998</v>
      </c>
      <c r="O333" t="s">
        <v>17</v>
      </c>
      <c r="P333" t="s">
        <v>53</v>
      </c>
      <c r="Q333">
        <v>0</v>
      </c>
      <c r="R333">
        <v>1</v>
      </c>
      <c r="S333" s="2">
        <v>0</v>
      </c>
      <c r="T333" s="4"/>
      <c r="U333">
        <v>11</v>
      </c>
      <c r="V333">
        <v>0</v>
      </c>
      <c r="W333">
        <v>1</v>
      </c>
    </row>
    <row r="334" spans="1:23" ht="16.5" x14ac:dyDescent="0.3">
      <c r="A334" t="s">
        <v>385</v>
      </c>
      <c r="B334" s="1">
        <v>45338</v>
      </c>
      <c r="C334">
        <v>2024</v>
      </c>
      <c r="D334" t="s">
        <v>24</v>
      </c>
      <c r="E334" t="s">
        <v>284</v>
      </c>
      <c r="F334" t="s">
        <v>26</v>
      </c>
      <c r="G334" t="s">
        <v>45</v>
      </c>
      <c r="H334" t="s">
        <v>55</v>
      </c>
      <c r="I334" t="s">
        <v>39</v>
      </c>
      <c r="J334" t="s">
        <v>35</v>
      </c>
      <c r="K334" s="2">
        <v>12500</v>
      </c>
      <c r="L334" s="2">
        <v>28000</v>
      </c>
      <c r="M334">
        <v>48</v>
      </c>
      <c r="N334" s="3">
        <v>0.189</v>
      </c>
      <c r="O334" t="s">
        <v>16</v>
      </c>
      <c r="Q334">
        <v>1</v>
      </c>
      <c r="R334">
        <v>0</v>
      </c>
      <c r="S334" s="2">
        <v>28000</v>
      </c>
      <c r="T334" s="4">
        <v>7.9100000000000004E-2</v>
      </c>
      <c r="U334">
        <v>2</v>
      </c>
      <c r="V334">
        <v>1</v>
      </c>
      <c r="W334">
        <v>1</v>
      </c>
    </row>
    <row r="335" spans="1:23" ht="16.5" x14ac:dyDescent="0.3">
      <c r="A335" t="s">
        <v>386</v>
      </c>
      <c r="B335" s="1">
        <v>45338</v>
      </c>
      <c r="C335">
        <v>2024</v>
      </c>
      <c r="D335" t="s">
        <v>24</v>
      </c>
      <c r="E335" t="s">
        <v>284</v>
      </c>
      <c r="F335" t="s">
        <v>26</v>
      </c>
      <c r="G335" t="s">
        <v>51</v>
      </c>
      <c r="H335" t="s">
        <v>38</v>
      </c>
      <c r="I335" t="s">
        <v>29</v>
      </c>
      <c r="J335" t="s">
        <v>52</v>
      </c>
      <c r="K335" s="2">
        <v>6350</v>
      </c>
      <c r="L335" s="2">
        <v>41000</v>
      </c>
      <c r="M335">
        <v>36</v>
      </c>
      <c r="N335" s="3">
        <v>0.314</v>
      </c>
      <c r="O335" t="s">
        <v>16</v>
      </c>
      <c r="Q335">
        <v>1</v>
      </c>
      <c r="R335">
        <v>0</v>
      </c>
      <c r="S335" s="2">
        <v>37000</v>
      </c>
      <c r="T335" s="4">
        <v>7.0300000000000001E-2</v>
      </c>
      <c r="U335">
        <v>4</v>
      </c>
      <c r="V335">
        <v>1</v>
      </c>
      <c r="W335">
        <v>1</v>
      </c>
    </row>
    <row r="336" spans="1:23" ht="16.5" x14ac:dyDescent="0.3">
      <c r="A336" t="s">
        <v>387</v>
      </c>
      <c r="B336" s="1">
        <v>45338</v>
      </c>
      <c r="C336">
        <v>2024</v>
      </c>
      <c r="D336" t="s">
        <v>24</v>
      </c>
      <c r="E336" t="s">
        <v>284</v>
      </c>
      <c r="F336" t="s">
        <v>37</v>
      </c>
      <c r="G336" t="s">
        <v>45</v>
      </c>
      <c r="H336" t="s">
        <v>55</v>
      </c>
      <c r="I336" t="s">
        <v>39</v>
      </c>
      <c r="J336" t="s">
        <v>35</v>
      </c>
      <c r="K336" s="2">
        <v>5050</v>
      </c>
      <c r="L336" s="2">
        <v>23500</v>
      </c>
      <c r="M336">
        <v>36</v>
      </c>
      <c r="N336" s="3">
        <v>0.25900000000000001</v>
      </c>
      <c r="O336" t="s">
        <v>16</v>
      </c>
      <c r="Q336">
        <v>1</v>
      </c>
      <c r="R336">
        <v>0</v>
      </c>
      <c r="S336" s="2">
        <v>19000</v>
      </c>
      <c r="T336" s="4">
        <v>0.1268</v>
      </c>
      <c r="U336">
        <v>2</v>
      </c>
      <c r="V336">
        <v>1</v>
      </c>
      <c r="W336">
        <v>1</v>
      </c>
    </row>
    <row r="337" spans="1:23" ht="16.5" x14ac:dyDescent="0.3">
      <c r="A337" t="s">
        <v>388</v>
      </c>
      <c r="B337" s="1">
        <v>45338</v>
      </c>
      <c r="C337">
        <v>2024</v>
      </c>
      <c r="D337" t="s">
        <v>24</v>
      </c>
      <c r="E337" t="s">
        <v>284</v>
      </c>
      <c r="F337" t="s">
        <v>41</v>
      </c>
      <c r="G337" t="s">
        <v>51</v>
      </c>
      <c r="H337" t="s">
        <v>38</v>
      </c>
      <c r="I337" t="s">
        <v>39</v>
      </c>
      <c r="J337" t="s">
        <v>35</v>
      </c>
      <c r="K337" s="2">
        <v>5250</v>
      </c>
      <c r="L337" s="2">
        <v>41500</v>
      </c>
      <c r="M337">
        <v>12</v>
      </c>
      <c r="N337" s="3">
        <v>0.90600000000000003</v>
      </c>
      <c r="O337" t="s">
        <v>17</v>
      </c>
      <c r="P337" t="s">
        <v>53</v>
      </c>
      <c r="Q337">
        <v>0</v>
      </c>
      <c r="R337">
        <v>1</v>
      </c>
      <c r="S337" s="2">
        <v>0</v>
      </c>
      <c r="T337" s="4"/>
      <c r="U337">
        <v>7</v>
      </c>
      <c r="V337">
        <v>1</v>
      </c>
      <c r="W337">
        <v>1</v>
      </c>
    </row>
    <row r="338" spans="1:23" ht="16.5" x14ac:dyDescent="0.3">
      <c r="A338" t="s">
        <v>389</v>
      </c>
      <c r="B338" s="1">
        <v>45338</v>
      </c>
      <c r="C338">
        <v>2024</v>
      </c>
      <c r="D338" t="s">
        <v>24</v>
      </c>
      <c r="E338" t="s">
        <v>284</v>
      </c>
      <c r="F338" t="s">
        <v>37</v>
      </c>
      <c r="G338" t="s">
        <v>33</v>
      </c>
      <c r="H338" t="s">
        <v>34</v>
      </c>
      <c r="I338" t="s">
        <v>39</v>
      </c>
      <c r="J338" t="s">
        <v>52</v>
      </c>
      <c r="K338" s="2">
        <v>9200</v>
      </c>
      <c r="L338" s="2">
        <v>9000</v>
      </c>
      <c r="M338">
        <v>12</v>
      </c>
      <c r="N338" s="3">
        <v>0.313</v>
      </c>
      <c r="O338" t="s">
        <v>17</v>
      </c>
      <c r="P338" t="s">
        <v>65</v>
      </c>
      <c r="Q338">
        <v>0</v>
      </c>
      <c r="R338">
        <v>1</v>
      </c>
      <c r="S338" s="2">
        <v>0</v>
      </c>
      <c r="T338" s="4"/>
      <c r="U338">
        <v>2</v>
      </c>
      <c r="V338">
        <v>1</v>
      </c>
      <c r="W338">
        <v>1</v>
      </c>
    </row>
    <row r="339" spans="1:23" ht="16.5" x14ac:dyDescent="0.3">
      <c r="A339" t="s">
        <v>390</v>
      </c>
      <c r="B339" s="1">
        <v>45338</v>
      </c>
      <c r="C339">
        <v>2024</v>
      </c>
      <c r="D339" t="s">
        <v>24</v>
      </c>
      <c r="E339" t="s">
        <v>284</v>
      </c>
      <c r="F339" t="s">
        <v>37</v>
      </c>
      <c r="G339" t="s">
        <v>51</v>
      </c>
      <c r="H339" t="s">
        <v>55</v>
      </c>
      <c r="I339" t="s">
        <v>29</v>
      </c>
      <c r="J339" t="s">
        <v>30</v>
      </c>
      <c r="K339" s="2">
        <v>9050</v>
      </c>
      <c r="L339" s="2">
        <v>7000</v>
      </c>
      <c r="M339">
        <v>36</v>
      </c>
      <c r="N339" s="3">
        <v>0.185</v>
      </c>
      <c r="O339" t="s">
        <v>16</v>
      </c>
      <c r="Q339">
        <v>1</v>
      </c>
      <c r="R339">
        <v>0</v>
      </c>
      <c r="S339" s="2">
        <v>7000</v>
      </c>
      <c r="T339" s="4">
        <v>0.14530000000000001</v>
      </c>
      <c r="U339">
        <v>8</v>
      </c>
      <c r="V339">
        <v>0</v>
      </c>
      <c r="W339">
        <v>1</v>
      </c>
    </row>
    <row r="340" spans="1:23" ht="16.5" x14ac:dyDescent="0.3">
      <c r="A340" t="s">
        <v>391</v>
      </c>
      <c r="B340" s="1">
        <v>45338</v>
      </c>
      <c r="C340">
        <v>2024</v>
      </c>
      <c r="D340" t="s">
        <v>24</v>
      </c>
      <c r="E340" t="s">
        <v>284</v>
      </c>
      <c r="F340" t="s">
        <v>37</v>
      </c>
      <c r="G340" t="s">
        <v>51</v>
      </c>
      <c r="H340" t="s">
        <v>38</v>
      </c>
      <c r="I340" t="s">
        <v>42</v>
      </c>
      <c r="J340" t="s">
        <v>35</v>
      </c>
      <c r="K340" s="2">
        <v>6550</v>
      </c>
      <c r="L340" s="2">
        <v>15000</v>
      </c>
      <c r="M340">
        <v>36</v>
      </c>
      <c r="N340" s="3">
        <v>0.185</v>
      </c>
      <c r="O340" t="s">
        <v>17</v>
      </c>
      <c r="P340" t="s">
        <v>31</v>
      </c>
      <c r="Q340">
        <v>0</v>
      </c>
      <c r="R340">
        <v>1</v>
      </c>
      <c r="S340" s="2">
        <v>0</v>
      </c>
      <c r="T340" s="4"/>
      <c r="U340">
        <v>9</v>
      </c>
      <c r="V340">
        <v>0</v>
      </c>
      <c r="W340">
        <v>1</v>
      </c>
    </row>
    <row r="341" spans="1:23" ht="16.5" x14ac:dyDescent="0.3">
      <c r="A341" t="s">
        <v>392</v>
      </c>
      <c r="B341" s="1">
        <v>45339</v>
      </c>
      <c r="C341">
        <v>2024</v>
      </c>
      <c r="D341" t="s">
        <v>24</v>
      </c>
      <c r="E341" t="s">
        <v>284</v>
      </c>
      <c r="F341" t="s">
        <v>37</v>
      </c>
      <c r="G341" t="s">
        <v>27</v>
      </c>
      <c r="H341" t="s">
        <v>64</v>
      </c>
      <c r="I341" t="s">
        <v>29</v>
      </c>
      <c r="J341" t="s">
        <v>35</v>
      </c>
      <c r="K341" s="2">
        <v>5400</v>
      </c>
      <c r="L341" s="2">
        <v>13500</v>
      </c>
      <c r="M341">
        <v>12</v>
      </c>
      <c r="N341" s="3">
        <v>0.33600000000000002</v>
      </c>
      <c r="O341" t="s">
        <v>16</v>
      </c>
      <c r="Q341">
        <v>1</v>
      </c>
      <c r="R341">
        <v>0</v>
      </c>
      <c r="S341" s="2">
        <v>13500</v>
      </c>
      <c r="T341" s="4">
        <v>0.1229</v>
      </c>
      <c r="U341">
        <v>3</v>
      </c>
      <c r="V341">
        <v>1</v>
      </c>
      <c r="W341">
        <v>1</v>
      </c>
    </row>
    <row r="342" spans="1:23" ht="16.5" x14ac:dyDescent="0.3">
      <c r="A342" t="s">
        <v>393</v>
      </c>
      <c r="B342" s="1">
        <v>45339</v>
      </c>
      <c r="C342">
        <v>2024</v>
      </c>
      <c r="D342" t="s">
        <v>24</v>
      </c>
      <c r="E342" t="s">
        <v>284</v>
      </c>
      <c r="F342" t="s">
        <v>37</v>
      </c>
      <c r="G342" t="s">
        <v>45</v>
      </c>
      <c r="H342" t="s">
        <v>55</v>
      </c>
      <c r="I342" t="s">
        <v>29</v>
      </c>
      <c r="J342" t="s">
        <v>46</v>
      </c>
      <c r="K342" s="2">
        <v>2650</v>
      </c>
      <c r="L342" s="2">
        <v>6500</v>
      </c>
      <c r="M342">
        <v>12</v>
      </c>
      <c r="N342" s="3">
        <v>0.318</v>
      </c>
      <c r="O342" t="s">
        <v>16</v>
      </c>
      <c r="Q342">
        <v>1</v>
      </c>
      <c r="R342">
        <v>0</v>
      </c>
      <c r="S342" s="2">
        <v>5000</v>
      </c>
      <c r="T342" s="4">
        <v>0.114</v>
      </c>
      <c r="U342">
        <v>2</v>
      </c>
      <c r="V342">
        <v>1</v>
      </c>
      <c r="W342">
        <v>1</v>
      </c>
    </row>
    <row r="343" spans="1:23" ht="16.5" x14ac:dyDescent="0.3">
      <c r="A343" t="s">
        <v>394</v>
      </c>
      <c r="B343" s="1">
        <v>45339</v>
      </c>
      <c r="C343">
        <v>2024</v>
      </c>
      <c r="D343" t="s">
        <v>24</v>
      </c>
      <c r="E343" t="s">
        <v>284</v>
      </c>
      <c r="F343" t="s">
        <v>26</v>
      </c>
      <c r="G343" t="s">
        <v>45</v>
      </c>
      <c r="H343" t="s">
        <v>55</v>
      </c>
      <c r="I343" t="s">
        <v>29</v>
      </c>
      <c r="J343" t="s">
        <v>52</v>
      </c>
      <c r="K343" s="2">
        <v>9450</v>
      </c>
      <c r="L343" s="2">
        <v>31000</v>
      </c>
      <c r="M343">
        <v>48</v>
      </c>
      <c r="N343" s="3">
        <v>0.28399999999999997</v>
      </c>
      <c r="O343" t="s">
        <v>16</v>
      </c>
      <c r="Q343">
        <v>1</v>
      </c>
      <c r="R343">
        <v>0</v>
      </c>
      <c r="S343" s="2">
        <v>31000</v>
      </c>
      <c r="T343" s="4">
        <v>6.7599999999999993E-2</v>
      </c>
      <c r="U343">
        <v>5</v>
      </c>
      <c r="V343">
        <v>0</v>
      </c>
      <c r="W343">
        <v>1</v>
      </c>
    </row>
    <row r="344" spans="1:23" ht="16.5" x14ac:dyDescent="0.3">
      <c r="A344" t="s">
        <v>395</v>
      </c>
      <c r="B344" s="1">
        <v>45339</v>
      </c>
      <c r="C344">
        <v>2024</v>
      </c>
      <c r="D344" t="s">
        <v>24</v>
      </c>
      <c r="E344" t="s">
        <v>284</v>
      </c>
      <c r="F344" t="s">
        <v>37</v>
      </c>
      <c r="G344" t="s">
        <v>51</v>
      </c>
      <c r="H344" t="s">
        <v>28</v>
      </c>
      <c r="I344" t="s">
        <v>29</v>
      </c>
      <c r="J344" t="s">
        <v>46</v>
      </c>
      <c r="K344" s="2">
        <v>6000</v>
      </c>
      <c r="L344" s="2">
        <v>9500</v>
      </c>
      <c r="M344">
        <v>60</v>
      </c>
      <c r="N344" s="3">
        <v>0.17499999999999999</v>
      </c>
      <c r="O344" t="s">
        <v>16</v>
      </c>
      <c r="Q344">
        <v>1</v>
      </c>
      <c r="R344">
        <v>0</v>
      </c>
      <c r="S344" s="2">
        <v>7500</v>
      </c>
      <c r="T344" s="4">
        <v>0.10920000000000001</v>
      </c>
      <c r="U344">
        <v>3</v>
      </c>
      <c r="V344">
        <v>1</v>
      </c>
      <c r="W344">
        <v>1</v>
      </c>
    </row>
    <row r="345" spans="1:23" ht="16.5" x14ac:dyDescent="0.3">
      <c r="A345" t="s">
        <v>396</v>
      </c>
      <c r="B345" s="1">
        <v>45339</v>
      </c>
      <c r="C345">
        <v>2024</v>
      </c>
      <c r="D345" t="s">
        <v>24</v>
      </c>
      <c r="E345" t="s">
        <v>284</v>
      </c>
      <c r="F345" t="s">
        <v>37</v>
      </c>
      <c r="G345" t="s">
        <v>45</v>
      </c>
      <c r="H345" t="s">
        <v>38</v>
      </c>
      <c r="I345" t="s">
        <v>42</v>
      </c>
      <c r="J345" t="s">
        <v>35</v>
      </c>
      <c r="K345" s="2">
        <v>9050</v>
      </c>
      <c r="L345" s="2">
        <v>10000</v>
      </c>
      <c r="M345">
        <v>36</v>
      </c>
      <c r="N345" s="3">
        <v>0.109</v>
      </c>
      <c r="O345" t="s">
        <v>16</v>
      </c>
      <c r="Q345">
        <v>1</v>
      </c>
      <c r="R345">
        <v>0</v>
      </c>
      <c r="S345" s="2">
        <v>10000</v>
      </c>
      <c r="T345" s="4">
        <v>0.12970000000000001</v>
      </c>
      <c r="U345">
        <v>2</v>
      </c>
      <c r="V345">
        <v>1</v>
      </c>
      <c r="W345">
        <v>1</v>
      </c>
    </row>
    <row r="346" spans="1:23" ht="16.5" x14ac:dyDescent="0.3">
      <c r="A346" t="s">
        <v>397</v>
      </c>
      <c r="B346" s="1">
        <v>45340</v>
      </c>
      <c r="C346">
        <v>2024</v>
      </c>
      <c r="D346" t="s">
        <v>24</v>
      </c>
      <c r="E346" t="s">
        <v>284</v>
      </c>
      <c r="F346" t="s">
        <v>41</v>
      </c>
      <c r="G346" t="s">
        <v>33</v>
      </c>
      <c r="H346" t="s">
        <v>55</v>
      </c>
      <c r="I346" t="s">
        <v>39</v>
      </c>
      <c r="J346" t="s">
        <v>43</v>
      </c>
      <c r="K346" s="2">
        <v>6450</v>
      </c>
      <c r="L346" s="2">
        <v>70500</v>
      </c>
      <c r="M346">
        <v>24</v>
      </c>
      <c r="N346" s="3">
        <v>0.71599999999999997</v>
      </c>
      <c r="O346" t="s">
        <v>17</v>
      </c>
      <c r="P346" t="s">
        <v>31</v>
      </c>
      <c r="Q346">
        <v>0</v>
      </c>
      <c r="R346">
        <v>1</v>
      </c>
      <c r="S346" s="2">
        <v>0</v>
      </c>
      <c r="T346" s="4"/>
      <c r="U346">
        <v>3</v>
      </c>
      <c r="V346">
        <v>1</v>
      </c>
      <c r="W346">
        <v>1</v>
      </c>
    </row>
    <row r="347" spans="1:23" ht="16.5" x14ac:dyDescent="0.3">
      <c r="A347" t="s">
        <v>398</v>
      </c>
      <c r="B347" s="1">
        <v>45340</v>
      </c>
      <c r="C347">
        <v>2024</v>
      </c>
      <c r="D347" t="s">
        <v>24</v>
      </c>
      <c r="E347" t="s">
        <v>284</v>
      </c>
      <c r="F347" t="s">
        <v>26</v>
      </c>
      <c r="G347" t="s">
        <v>33</v>
      </c>
      <c r="H347" t="s">
        <v>38</v>
      </c>
      <c r="I347" t="s">
        <v>42</v>
      </c>
      <c r="J347" t="s">
        <v>30</v>
      </c>
      <c r="K347" s="2">
        <v>8750</v>
      </c>
      <c r="L347" s="2">
        <v>24000</v>
      </c>
      <c r="M347">
        <v>48</v>
      </c>
      <c r="N347" s="3">
        <v>0.154</v>
      </c>
      <c r="O347" t="s">
        <v>125</v>
      </c>
      <c r="Q347">
        <v>0</v>
      </c>
      <c r="R347">
        <v>0</v>
      </c>
      <c r="S347" s="2">
        <v>0</v>
      </c>
      <c r="T347" s="4"/>
      <c r="U347">
        <v>3</v>
      </c>
      <c r="V347">
        <v>1</v>
      </c>
      <c r="W347">
        <v>1</v>
      </c>
    </row>
    <row r="348" spans="1:23" ht="16.5" x14ac:dyDescent="0.3">
      <c r="A348" t="s">
        <v>399</v>
      </c>
      <c r="B348" s="1">
        <v>45341</v>
      </c>
      <c r="C348">
        <v>2024</v>
      </c>
      <c r="D348" t="s">
        <v>24</v>
      </c>
      <c r="E348" t="s">
        <v>284</v>
      </c>
      <c r="F348" t="s">
        <v>50</v>
      </c>
      <c r="G348" t="s">
        <v>51</v>
      </c>
      <c r="H348" t="s">
        <v>34</v>
      </c>
      <c r="I348" t="s">
        <v>29</v>
      </c>
      <c r="J348" t="s">
        <v>52</v>
      </c>
      <c r="K348" s="2">
        <v>4900</v>
      </c>
      <c r="L348" s="2">
        <v>193000</v>
      </c>
      <c r="M348">
        <v>240</v>
      </c>
      <c r="N348" s="3">
        <v>0.33200000000000002</v>
      </c>
      <c r="O348" t="s">
        <v>16</v>
      </c>
      <c r="Q348">
        <v>1</v>
      </c>
      <c r="R348">
        <v>0</v>
      </c>
      <c r="S348" s="2">
        <v>193000</v>
      </c>
      <c r="T348" s="4">
        <v>5.0099999999999999E-2</v>
      </c>
      <c r="U348">
        <v>24</v>
      </c>
      <c r="V348">
        <v>0</v>
      </c>
      <c r="W348">
        <v>1</v>
      </c>
    </row>
    <row r="349" spans="1:23" ht="16.5" x14ac:dyDescent="0.3">
      <c r="A349" t="s">
        <v>400</v>
      </c>
      <c r="B349" s="1">
        <v>45341</v>
      </c>
      <c r="C349">
        <v>2024</v>
      </c>
      <c r="D349" t="s">
        <v>24</v>
      </c>
      <c r="E349" t="s">
        <v>284</v>
      </c>
      <c r="F349" t="s">
        <v>41</v>
      </c>
      <c r="G349" t="s">
        <v>27</v>
      </c>
      <c r="H349" t="s">
        <v>38</v>
      </c>
      <c r="I349" t="s">
        <v>29</v>
      </c>
      <c r="J349" t="s">
        <v>35</v>
      </c>
      <c r="K349" s="2">
        <v>7150</v>
      </c>
      <c r="L349" s="2">
        <v>49000</v>
      </c>
      <c r="M349">
        <v>12</v>
      </c>
      <c r="N349" s="3">
        <v>0.71099999999999997</v>
      </c>
      <c r="O349" t="s">
        <v>17</v>
      </c>
      <c r="P349" t="s">
        <v>60</v>
      </c>
      <c r="Q349">
        <v>0</v>
      </c>
      <c r="R349">
        <v>1</v>
      </c>
      <c r="S349" s="2">
        <v>0</v>
      </c>
      <c r="T349" s="4"/>
      <c r="U349">
        <v>21</v>
      </c>
      <c r="V349">
        <v>0</v>
      </c>
      <c r="W349">
        <v>1</v>
      </c>
    </row>
    <row r="350" spans="1:23" ht="16.5" x14ac:dyDescent="0.3">
      <c r="A350" t="s">
        <v>401</v>
      </c>
      <c r="B350" s="1">
        <v>45341</v>
      </c>
      <c r="C350">
        <v>2024</v>
      </c>
      <c r="D350" t="s">
        <v>24</v>
      </c>
      <c r="E350" t="s">
        <v>284</v>
      </c>
      <c r="F350" t="s">
        <v>37</v>
      </c>
      <c r="G350" t="s">
        <v>33</v>
      </c>
      <c r="H350" t="s">
        <v>55</v>
      </c>
      <c r="I350" t="s">
        <v>42</v>
      </c>
      <c r="J350" t="s">
        <v>43</v>
      </c>
      <c r="K350" s="2">
        <v>4800</v>
      </c>
      <c r="L350" s="2">
        <v>9500</v>
      </c>
      <c r="M350">
        <v>12</v>
      </c>
      <c r="N350" s="3">
        <v>0.35299999999999998</v>
      </c>
      <c r="O350" t="s">
        <v>16</v>
      </c>
      <c r="Q350">
        <v>1</v>
      </c>
      <c r="R350">
        <v>0</v>
      </c>
      <c r="S350" s="2">
        <v>9500</v>
      </c>
      <c r="T350" s="4">
        <v>0.15759999999999999</v>
      </c>
      <c r="U350">
        <v>2</v>
      </c>
      <c r="V350">
        <v>1</v>
      </c>
      <c r="W350">
        <v>1</v>
      </c>
    </row>
    <row r="351" spans="1:23" ht="16.5" x14ac:dyDescent="0.3">
      <c r="A351" t="s">
        <v>402</v>
      </c>
      <c r="B351" s="1">
        <v>45341</v>
      </c>
      <c r="C351">
        <v>2024</v>
      </c>
      <c r="D351" t="s">
        <v>24</v>
      </c>
      <c r="E351" t="s">
        <v>284</v>
      </c>
      <c r="F351" t="s">
        <v>50</v>
      </c>
      <c r="G351" t="s">
        <v>33</v>
      </c>
      <c r="H351" t="s">
        <v>38</v>
      </c>
      <c r="I351" t="s">
        <v>42</v>
      </c>
      <c r="J351" t="s">
        <v>35</v>
      </c>
      <c r="K351" s="2">
        <v>8500</v>
      </c>
      <c r="L351" s="2">
        <v>298500</v>
      </c>
      <c r="M351">
        <v>240</v>
      </c>
      <c r="N351" s="3">
        <v>0.33500000000000002</v>
      </c>
      <c r="O351" t="s">
        <v>16</v>
      </c>
      <c r="Q351">
        <v>1</v>
      </c>
      <c r="R351">
        <v>0</v>
      </c>
      <c r="S351" s="2">
        <v>239000</v>
      </c>
      <c r="T351" s="4">
        <v>6.6500000000000004E-2</v>
      </c>
      <c r="U351">
        <v>8</v>
      </c>
      <c r="V351">
        <v>1</v>
      </c>
      <c r="W351">
        <v>1</v>
      </c>
    </row>
    <row r="352" spans="1:23" ht="16.5" x14ac:dyDescent="0.3">
      <c r="A352" t="s">
        <v>403</v>
      </c>
      <c r="B352" s="1">
        <v>45341</v>
      </c>
      <c r="C352">
        <v>2024</v>
      </c>
      <c r="D352" t="s">
        <v>24</v>
      </c>
      <c r="E352" t="s">
        <v>284</v>
      </c>
      <c r="F352" t="s">
        <v>37</v>
      </c>
      <c r="G352" t="s">
        <v>45</v>
      </c>
      <c r="H352" t="s">
        <v>34</v>
      </c>
      <c r="I352" t="s">
        <v>29</v>
      </c>
      <c r="J352" t="s">
        <v>30</v>
      </c>
      <c r="K352" s="2">
        <v>5550</v>
      </c>
      <c r="L352" s="2">
        <v>17000</v>
      </c>
      <c r="M352">
        <v>60</v>
      </c>
      <c r="N352" s="3">
        <v>0.28299999999999997</v>
      </c>
      <c r="O352" t="s">
        <v>17</v>
      </c>
      <c r="P352" t="s">
        <v>60</v>
      </c>
      <c r="Q352">
        <v>0</v>
      </c>
      <c r="R352">
        <v>1</v>
      </c>
      <c r="S352" s="2">
        <v>0</v>
      </c>
      <c r="T352" s="4"/>
      <c r="U352">
        <v>9</v>
      </c>
      <c r="V352">
        <v>0</v>
      </c>
      <c r="W352">
        <v>1</v>
      </c>
    </row>
    <row r="353" spans="1:23" ht="16.5" x14ac:dyDescent="0.3">
      <c r="A353" t="s">
        <v>404</v>
      </c>
      <c r="B353" s="1">
        <v>45342</v>
      </c>
      <c r="C353">
        <v>2024</v>
      </c>
      <c r="D353" t="s">
        <v>24</v>
      </c>
      <c r="E353" t="s">
        <v>284</v>
      </c>
      <c r="F353" t="s">
        <v>26</v>
      </c>
      <c r="G353" t="s">
        <v>45</v>
      </c>
      <c r="H353" t="s">
        <v>38</v>
      </c>
      <c r="I353" t="s">
        <v>39</v>
      </c>
      <c r="J353" t="s">
        <v>35</v>
      </c>
      <c r="K353" s="2">
        <v>4850</v>
      </c>
      <c r="L353" s="2">
        <v>28000</v>
      </c>
      <c r="M353">
        <v>36</v>
      </c>
      <c r="N353" s="3">
        <v>0.34200000000000003</v>
      </c>
      <c r="O353" t="s">
        <v>16</v>
      </c>
      <c r="Q353">
        <v>1</v>
      </c>
      <c r="R353">
        <v>0</v>
      </c>
      <c r="S353" s="2">
        <v>28000</v>
      </c>
      <c r="T353" s="4">
        <v>7.8700000000000006E-2</v>
      </c>
      <c r="U353">
        <v>3</v>
      </c>
      <c r="V353">
        <v>1</v>
      </c>
      <c r="W353">
        <v>1</v>
      </c>
    </row>
    <row r="354" spans="1:23" ht="16.5" x14ac:dyDescent="0.3">
      <c r="A354" t="s">
        <v>405</v>
      </c>
      <c r="B354" s="1">
        <v>45342</v>
      </c>
      <c r="C354">
        <v>2024</v>
      </c>
      <c r="D354" t="s">
        <v>24</v>
      </c>
      <c r="E354" t="s">
        <v>284</v>
      </c>
      <c r="F354" t="s">
        <v>37</v>
      </c>
      <c r="G354" t="s">
        <v>45</v>
      </c>
      <c r="H354" t="s">
        <v>34</v>
      </c>
      <c r="I354" t="s">
        <v>42</v>
      </c>
      <c r="J354" t="s">
        <v>30</v>
      </c>
      <c r="K354" s="2">
        <v>5500</v>
      </c>
      <c r="L354" s="2">
        <v>5500</v>
      </c>
      <c r="M354">
        <v>36</v>
      </c>
      <c r="N354" s="3">
        <v>0.158</v>
      </c>
      <c r="O354" t="s">
        <v>17</v>
      </c>
      <c r="P354" t="s">
        <v>31</v>
      </c>
      <c r="Q354">
        <v>0</v>
      </c>
      <c r="R354">
        <v>1</v>
      </c>
      <c r="S354" s="2">
        <v>0</v>
      </c>
      <c r="T354" s="4"/>
      <c r="U354">
        <v>1</v>
      </c>
      <c r="V354">
        <v>1</v>
      </c>
      <c r="W354">
        <v>1</v>
      </c>
    </row>
    <row r="355" spans="1:23" ht="16.5" x14ac:dyDescent="0.3">
      <c r="A355" t="s">
        <v>406</v>
      </c>
      <c r="B355" s="1">
        <v>45342</v>
      </c>
      <c r="C355">
        <v>2024</v>
      </c>
      <c r="D355" t="s">
        <v>24</v>
      </c>
      <c r="E355" t="s">
        <v>284</v>
      </c>
      <c r="F355" t="s">
        <v>37</v>
      </c>
      <c r="G355" t="s">
        <v>51</v>
      </c>
      <c r="H355" t="s">
        <v>34</v>
      </c>
      <c r="I355" t="s">
        <v>29</v>
      </c>
      <c r="J355" t="s">
        <v>52</v>
      </c>
      <c r="K355" s="2">
        <v>3800</v>
      </c>
      <c r="L355" s="2">
        <v>10500</v>
      </c>
      <c r="M355">
        <v>24</v>
      </c>
      <c r="N355" s="3">
        <v>0.25800000000000001</v>
      </c>
      <c r="O355" t="s">
        <v>16</v>
      </c>
      <c r="Q355">
        <v>1</v>
      </c>
      <c r="R355">
        <v>0</v>
      </c>
      <c r="S355" s="2">
        <v>10500</v>
      </c>
      <c r="T355" s="4">
        <v>0.1166</v>
      </c>
      <c r="U355">
        <v>6</v>
      </c>
      <c r="V355">
        <v>0</v>
      </c>
      <c r="W355">
        <v>1</v>
      </c>
    </row>
    <row r="356" spans="1:23" ht="16.5" x14ac:dyDescent="0.3">
      <c r="A356" t="s">
        <v>407</v>
      </c>
      <c r="B356" s="1">
        <v>45342</v>
      </c>
      <c r="C356">
        <v>2024</v>
      </c>
      <c r="D356" t="s">
        <v>24</v>
      </c>
      <c r="E356" t="s">
        <v>284</v>
      </c>
      <c r="F356" t="s">
        <v>37</v>
      </c>
      <c r="G356" t="s">
        <v>51</v>
      </c>
      <c r="H356" t="s">
        <v>38</v>
      </c>
      <c r="I356" t="s">
        <v>39</v>
      </c>
      <c r="J356" t="s">
        <v>35</v>
      </c>
      <c r="K356" s="2">
        <v>6200</v>
      </c>
      <c r="L356" s="2">
        <v>13000</v>
      </c>
      <c r="M356">
        <v>60</v>
      </c>
      <c r="N356" s="3">
        <v>0.27200000000000002</v>
      </c>
      <c r="O356" t="s">
        <v>17</v>
      </c>
      <c r="P356" t="s">
        <v>65</v>
      </c>
      <c r="Q356">
        <v>0</v>
      </c>
      <c r="R356">
        <v>1</v>
      </c>
      <c r="S356" s="2">
        <v>0</v>
      </c>
      <c r="T356" s="4"/>
      <c r="U356">
        <v>7</v>
      </c>
      <c r="V356">
        <v>0</v>
      </c>
      <c r="W356">
        <v>1</v>
      </c>
    </row>
    <row r="357" spans="1:23" ht="16.5" x14ac:dyDescent="0.3">
      <c r="A357" t="s">
        <v>408</v>
      </c>
      <c r="B357" s="1">
        <v>45343</v>
      </c>
      <c r="C357">
        <v>2024</v>
      </c>
      <c r="D357" t="s">
        <v>24</v>
      </c>
      <c r="E357" t="s">
        <v>284</v>
      </c>
      <c r="F357" t="s">
        <v>41</v>
      </c>
      <c r="G357" t="s">
        <v>45</v>
      </c>
      <c r="H357" t="s">
        <v>64</v>
      </c>
      <c r="I357" t="s">
        <v>39</v>
      </c>
      <c r="J357" t="s">
        <v>46</v>
      </c>
      <c r="K357" s="2">
        <v>4200</v>
      </c>
      <c r="L357" s="2">
        <v>135500</v>
      </c>
      <c r="M357">
        <v>60</v>
      </c>
      <c r="N357" s="3">
        <v>0.89600000000000002</v>
      </c>
      <c r="O357" t="s">
        <v>17</v>
      </c>
      <c r="P357" t="s">
        <v>53</v>
      </c>
      <c r="Q357">
        <v>0</v>
      </c>
      <c r="R357">
        <v>1</v>
      </c>
      <c r="S357" s="2">
        <v>0</v>
      </c>
      <c r="T357" s="4"/>
      <c r="U357">
        <v>6</v>
      </c>
      <c r="V357">
        <v>1</v>
      </c>
      <c r="W357">
        <v>1</v>
      </c>
    </row>
    <row r="358" spans="1:23" ht="16.5" x14ac:dyDescent="0.3">
      <c r="A358" t="s">
        <v>409</v>
      </c>
      <c r="B358" s="1">
        <v>45343</v>
      </c>
      <c r="C358">
        <v>2024</v>
      </c>
      <c r="D358" t="s">
        <v>24</v>
      </c>
      <c r="E358" t="s">
        <v>284</v>
      </c>
      <c r="F358" t="s">
        <v>26</v>
      </c>
      <c r="G358" t="s">
        <v>45</v>
      </c>
      <c r="H358" t="s">
        <v>34</v>
      </c>
      <c r="I358" t="s">
        <v>39</v>
      </c>
      <c r="J358" t="s">
        <v>30</v>
      </c>
      <c r="K358" s="2">
        <v>6500</v>
      </c>
      <c r="L358" s="2">
        <v>46500</v>
      </c>
      <c r="M358">
        <v>36</v>
      </c>
      <c r="N358" s="3">
        <v>0.27700000000000002</v>
      </c>
      <c r="O358" t="s">
        <v>16</v>
      </c>
      <c r="Q358">
        <v>1</v>
      </c>
      <c r="R358">
        <v>0</v>
      </c>
      <c r="S358" s="2">
        <v>46500</v>
      </c>
      <c r="T358" s="4">
        <v>9.4299999999999995E-2</v>
      </c>
      <c r="U358">
        <v>7</v>
      </c>
      <c r="V358">
        <v>0</v>
      </c>
      <c r="W358">
        <v>1</v>
      </c>
    </row>
    <row r="359" spans="1:23" ht="16.5" x14ac:dyDescent="0.3">
      <c r="A359" t="s">
        <v>410</v>
      </c>
      <c r="B359" s="1">
        <v>45343</v>
      </c>
      <c r="C359">
        <v>2024</v>
      </c>
      <c r="D359" t="s">
        <v>24</v>
      </c>
      <c r="E359" t="s">
        <v>284</v>
      </c>
      <c r="F359" t="s">
        <v>26</v>
      </c>
      <c r="G359" t="s">
        <v>51</v>
      </c>
      <c r="H359" t="s">
        <v>55</v>
      </c>
      <c r="I359" t="s">
        <v>42</v>
      </c>
      <c r="J359" t="s">
        <v>35</v>
      </c>
      <c r="K359" s="2">
        <v>13000</v>
      </c>
      <c r="L359" s="2">
        <v>20000</v>
      </c>
      <c r="M359">
        <v>48</v>
      </c>
      <c r="N359" s="3">
        <v>0.115</v>
      </c>
      <c r="O359" t="s">
        <v>17</v>
      </c>
      <c r="P359" t="s">
        <v>48</v>
      </c>
      <c r="Q359">
        <v>0</v>
      </c>
      <c r="R359">
        <v>1</v>
      </c>
      <c r="S359" s="2">
        <v>0</v>
      </c>
      <c r="T359" s="4"/>
      <c r="U359">
        <v>10</v>
      </c>
      <c r="V359">
        <v>0</v>
      </c>
      <c r="W359">
        <v>1</v>
      </c>
    </row>
    <row r="360" spans="1:23" ht="16.5" x14ac:dyDescent="0.3">
      <c r="A360" t="s">
        <v>411</v>
      </c>
      <c r="B360" s="1">
        <v>45343</v>
      </c>
      <c r="C360">
        <v>2024</v>
      </c>
      <c r="D360" t="s">
        <v>24</v>
      </c>
      <c r="E360" t="s">
        <v>284</v>
      </c>
      <c r="F360" t="s">
        <v>50</v>
      </c>
      <c r="G360" t="s">
        <v>51</v>
      </c>
      <c r="H360" t="s">
        <v>28</v>
      </c>
      <c r="I360" t="s">
        <v>39</v>
      </c>
      <c r="J360" t="s">
        <v>52</v>
      </c>
      <c r="K360" s="2">
        <v>7300</v>
      </c>
      <c r="L360" s="2">
        <v>548000</v>
      </c>
      <c r="M360">
        <v>240</v>
      </c>
      <c r="N360" s="3">
        <v>0.58499999999999996</v>
      </c>
      <c r="O360" t="s">
        <v>16</v>
      </c>
      <c r="Q360">
        <v>1</v>
      </c>
      <c r="R360">
        <v>0</v>
      </c>
      <c r="S360" s="2">
        <v>548000</v>
      </c>
      <c r="T360" s="4">
        <v>4.8500000000000001E-2</v>
      </c>
      <c r="U360">
        <v>17</v>
      </c>
      <c r="V360">
        <v>0</v>
      </c>
      <c r="W360">
        <v>1</v>
      </c>
    </row>
    <row r="361" spans="1:23" ht="16.5" x14ac:dyDescent="0.3">
      <c r="A361" t="s">
        <v>412</v>
      </c>
      <c r="B361" s="1">
        <v>45343</v>
      </c>
      <c r="C361">
        <v>2024</v>
      </c>
      <c r="D361" t="s">
        <v>24</v>
      </c>
      <c r="E361" t="s">
        <v>284</v>
      </c>
      <c r="F361" t="s">
        <v>37</v>
      </c>
      <c r="G361" t="s">
        <v>33</v>
      </c>
      <c r="H361" t="s">
        <v>34</v>
      </c>
      <c r="I361" t="s">
        <v>29</v>
      </c>
      <c r="J361" t="s">
        <v>46</v>
      </c>
      <c r="K361" s="2">
        <v>6350</v>
      </c>
      <c r="L361" s="2">
        <v>11500</v>
      </c>
      <c r="M361">
        <v>48</v>
      </c>
      <c r="N361" s="3">
        <v>0.14499999999999999</v>
      </c>
      <c r="O361" t="s">
        <v>16</v>
      </c>
      <c r="Q361">
        <v>1</v>
      </c>
      <c r="R361">
        <v>0</v>
      </c>
      <c r="S361" s="2">
        <v>11500</v>
      </c>
      <c r="T361" s="4">
        <v>0.1114</v>
      </c>
      <c r="U361">
        <v>2</v>
      </c>
      <c r="V361">
        <v>1</v>
      </c>
      <c r="W361">
        <v>1</v>
      </c>
    </row>
    <row r="362" spans="1:23" ht="16.5" x14ac:dyDescent="0.3">
      <c r="A362" t="s">
        <v>413</v>
      </c>
      <c r="B362" s="1">
        <v>45343</v>
      </c>
      <c r="C362">
        <v>2024</v>
      </c>
      <c r="D362" t="s">
        <v>24</v>
      </c>
      <c r="E362" t="s">
        <v>284</v>
      </c>
      <c r="F362" t="s">
        <v>37</v>
      </c>
      <c r="G362" t="s">
        <v>27</v>
      </c>
      <c r="H362" t="s">
        <v>55</v>
      </c>
      <c r="I362" t="s">
        <v>29</v>
      </c>
      <c r="J362" t="s">
        <v>52</v>
      </c>
      <c r="K362" s="2">
        <v>4050</v>
      </c>
      <c r="L362" s="2">
        <v>11000</v>
      </c>
      <c r="M362">
        <v>24</v>
      </c>
      <c r="N362" s="3">
        <v>0.308</v>
      </c>
      <c r="O362" t="s">
        <v>16</v>
      </c>
      <c r="Q362">
        <v>1</v>
      </c>
      <c r="R362">
        <v>0</v>
      </c>
      <c r="S362" s="2">
        <v>10000</v>
      </c>
      <c r="T362" s="4">
        <v>0.1119</v>
      </c>
      <c r="U362">
        <v>8</v>
      </c>
      <c r="V362">
        <v>0</v>
      </c>
      <c r="W362">
        <v>1</v>
      </c>
    </row>
    <row r="363" spans="1:23" ht="16.5" x14ac:dyDescent="0.3">
      <c r="A363" t="s">
        <v>414</v>
      </c>
      <c r="B363" s="1">
        <v>45343</v>
      </c>
      <c r="C363">
        <v>2024</v>
      </c>
      <c r="D363" t="s">
        <v>24</v>
      </c>
      <c r="E363" t="s">
        <v>284</v>
      </c>
      <c r="F363" t="s">
        <v>41</v>
      </c>
      <c r="G363" t="s">
        <v>51</v>
      </c>
      <c r="H363" t="s">
        <v>64</v>
      </c>
      <c r="I363" t="s">
        <v>29</v>
      </c>
      <c r="J363" t="s">
        <v>35</v>
      </c>
      <c r="K363" s="2">
        <v>4200</v>
      </c>
      <c r="L363" s="2">
        <v>161500</v>
      </c>
      <c r="M363">
        <v>24</v>
      </c>
      <c r="N363" s="3">
        <v>1.84</v>
      </c>
      <c r="O363" t="s">
        <v>17</v>
      </c>
      <c r="P363" t="s">
        <v>53</v>
      </c>
      <c r="Q363">
        <v>0</v>
      </c>
      <c r="R363">
        <v>1</v>
      </c>
      <c r="S363" s="2">
        <v>0</v>
      </c>
      <c r="T363" s="4"/>
      <c r="U363">
        <v>14</v>
      </c>
      <c r="V363">
        <v>0</v>
      </c>
      <c r="W363">
        <v>1</v>
      </c>
    </row>
    <row r="364" spans="1:23" ht="16.5" x14ac:dyDescent="0.3">
      <c r="A364" t="s">
        <v>415</v>
      </c>
      <c r="B364" s="1">
        <v>45343</v>
      </c>
      <c r="C364">
        <v>2024</v>
      </c>
      <c r="D364" t="s">
        <v>24</v>
      </c>
      <c r="E364" t="s">
        <v>284</v>
      </c>
      <c r="F364" t="s">
        <v>41</v>
      </c>
      <c r="G364" t="s">
        <v>45</v>
      </c>
      <c r="H364" t="s">
        <v>55</v>
      </c>
      <c r="I364" t="s">
        <v>29</v>
      </c>
      <c r="J364" t="s">
        <v>52</v>
      </c>
      <c r="K364" s="2">
        <v>3850</v>
      </c>
      <c r="L364" s="2">
        <v>75500</v>
      </c>
      <c r="M364">
        <v>24</v>
      </c>
      <c r="N364" s="3">
        <v>0.95799999999999996</v>
      </c>
      <c r="O364" t="s">
        <v>16</v>
      </c>
      <c r="Q364">
        <v>1</v>
      </c>
      <c r="R364">
        <v>0</v>
      </c>
      <c r="S364" s="2">
        <v>75500</v>
      </c>
      <c r="T364" s="4">
        <v>9.4799999999999995E-2</v>
      </c>
      <c r="U364">
        <v>6</v>
      </c>
      <c r="V364">
        <v>1</v>
      </c>
      <c r="W364">
        <v>1</v>
      </c>
    </row>
    <row r="365" spans="1:23" ht="16.5" x14ac:dyDescent="0.3">
      <c r="A365" t="s">
        <v>416</v>
      </c>
      <c r="B365" s="1">
        <v>45343</v>
      </c>
      <c r="C365">
        <v>2024</v>
      </c>
      <c r="D365" t="s">
        <v>24</v>
      </c>
      <c r="E365" t="s">
        <v>284</v>
      </c>
      <c r="F365" t="s">
        <v>41</v>
      </c>
      <c r="G365" t="s">
        <v>33</v>
      </c>
      <c r="H365" t="s">
        <v>38</v>
      </c>
      <c r="I365" t="s">
        <v>29</v>
      </c>
      <c r="J365" t="s">
        <v>52</v>
      </c>
      <c r="K365" s="2">
        <v>7600</v>
      </c>
      <c r="L365" s="2">
        <v>49500</v>
      </c>
      <c r="M365">
        <v>24</v>
      </c>
      <c r="N365" s="3">
        <v>0.51100000000000001</v>
      </c>
      <c r="O365" t="s">
        <v>16</v>
      </c>
      <c r="Q365">
        <v>1</v>
      </c>
      <c r="R365">
        <v>0</v>
      </c>
      <c r="S365" s="2">
        <v>44500</v>
      </c>
      <c r="T365" s="4">
        <v>9.5899999999999999E-2</v>
      </c>
      <c r="U365">
        <v>6</v>
      </c>
      <c r="V365">
        <v>1</v>
      </c>
      <c r="W365">
        <v>1</v>
      </c>
    </row>
    <row r="366" spans="1:23" ht="16.5" x14ac:dyDescent="0.3">
      <c r="A366" t="s">
        <v>417</v>
      </c>
      <c r="B366" s="1">
        <v>45343</v>
      </c>
      <c r="C366">
        <v>2024</v>
      </c>
      <c r="D366" t="s">
        <v>24</v>
      </c>
      <c r="E366" t="s">
        <v>284</v>
      </c>
      <c r="F366" t="s">
        <v>50</v>
      </c>
      <c r="G366" t="s">
        <v>51</v>
      </c>
      <c r="H366" t="s">
        <v>38</v>
      </c>
      <c r="I366" t="s">
        <v>29</v>
      </c>
      <c r="J366" t="s">
        <v>46</v>
      </c>
      <c r="K366" s="2">
        <v>2450</v>
      </c>
      <c r="L366" s="2">
        <v>381000</v>
      </c>
      <c r="M366">
        <v>240</v>
      </c>
      <c r="N366" s="3">
        <v>1.23</v>
      </c>
      <c r="O366" t="s">
        <v>17</v>
      </c>
      <c r="P366" t="s">
        <v>53</v>
      </c>
      <c r="Q366">
        <v>0</v>
      </c>
      <c r="R366">
        <v>1</v>
      </c>
      <c r="S366" s="2">
        <v>0</v>
      </c>
      <c r="T366" s="4"/>
      <c r="U366">
        <v>16</v>
      </c>
      <c r="V366">
        <v>0</v>
      </c>
      <c r="W366">
        <v>1</v>
      </c>
    </row>
    <row r="367" spans="1:23" ht="16.5" x14ac:dyDescent="0.3">
      <c r="A367" t="s">
        <v>418</v>
      </c>
      <c r="B367" s="1">
        <v>45343</v>
      </c>
      <c r="C367">
        <v>2024</v>
      </c>
      <c r="D367" t="s">
        <v>24</v>
      </c>
      <c r="E367" t="s">
        <v>284</v>
      </c>
      <c r="F367" t="s">
        <v>26</v>
      </c>
      <c r="G367" t="s">
        <v>33</v>
      </c>
      <c r="H367" t="s">
        <v>38</v>
      </c>
      <c r="I367" t="s">
        <v>29</v>
      </c>
      <c r="J367" t="s">
        <v>30</v>
      </c>
      <c r="K367" s="2">
        <v>5000</v>
      </c>
      <c r="L367" s="2">
        <v>35500</v>
      </c>
      <c r="M367">
        <v>36</v>
      </c>
      <c r="N367" s="3">
        <v>0.373</v>
      </c>
      <c r="O367" t="s">
        <v>17</v>
      </c>
      <c r="P367" t="s">
        <v>31</v>
      </c>
      <c r="Q367">
        <v>0</v>
      </c>
      <c r="R367">
        <v>1</v>
      </c>
      <c r="S367" s="2">
        <v>0</v>
      </c>
      <c r="T367" s="4"/>
      <c r="U367">
        <v>3</v>
      </c>
      <c r="V367">
        <v>1</v>
      </c>
      <c r="W367">
        <v>1</v>
      </c>
    </row>
    <row r="368" spans="1:23" ht="16.5" x14ac:dyDescent="0.3">
      <c r="A368" t="s">
        <v>419</v>
      </c>
      <c r="B368" s="1">
        <v>45343</v>
      </c>
      <c r="C368">
        <v>2024</v>
      </c>
      <c r="D368" t="s">
        <v>24</v>
      </c>
      <c r="E368" t="s">
        <v>284</v>
      </c>
      <c r="F368" t="s">
        <v>37</v>
      </c>
      <c r="G368" t="s">
        <v>45</v>
      </c>
      <c r="H368" t="s">
        <v>55</v>
      </c>
      <c r="I368" t="s">
        <v>42</v>
      </c>
      <c r="J368" t="s">
        <v>52</v>
      </c>
      <c r="K368" s="2">
        <v>8100</v>
      </c>
      <c r="L368" s="2">
        <v>10000</v>
      </c>
      <c r="M368">
        <v>48</v>
      </c>
      <c r="N368" s="3">
        <v>0.13100000000000001</v>
      </c>
      <c r="O368" t="s">
        <v>16</v>
      </c>
      <c r="Q368">
        <v>1</v>
      </c>
      <c r="R368">
        <v>0</v>
      </c>
      <c r="S368" s="2">
        <v>9000</v>
      </c>
      <c r="T368" s="4">
        <v>0.1178</v>
      </c>
      <c r="U368">
        <v>4</v>
      </c>
      <c r="V368">
        <v>0</v>
      </c>
      <c r="W368">
        <v>1</v>
      </c>
    </row>
    <row r="369" spans="1:23" ht="16.5" x14ac:dyDescent="0.3">
      <c r="A369" t="s">
        <v>420</v>
      </c>
      <c r="B369" s="1">
        <v>45343</v>
      </c>
      <c r="C369">
        <v>2024</v>
      </c>
      <c r="D369" t="s">
        <v>24</v>
      </c>
      <c r="E369" t="s">
        <v>284</v>
      </c>
      <c r="F369" t="s">
        <v>37</v>
      </c>
      <c r="G369" t="s">
        <v>51</v>
      </c>
      <c r="H369" t="s">
        <v>34</v>
      </c>
      <c r="I369" t="s">
        <v>29</v>
      </c>
      <c r="J369" t="s">
        <v>35</v>
      </c>
      <c r="K369" s="2">
        <v>4300</v>
      </c>
      <c r="L369" s="2">
        <v>14000</v>
      </c>
      <c r="M369">
        <v>60</v>
      </c>
      <c r="N369" s="3">
        <v>0.28599999999999998</v>
      </c>
      <c r="O369" t="s">
        <v>16</v>
      </c>
      <c r="Q369">
        <v>1</v>
      </c>
      <c r="R369">
        <v>0</v>
      </c>
      <c r="S369" s="2">
        <v>12500</v>
      </c>
      <c r="T369" s="4">
        <v>0.1221</v>
      </c>
      <c r="U369">
        <v>9</v>
      </c>
      <c r="V369">
        <v>0</v>
      </c>
      <c r="W369">
        <v>1</v>
      </c>
    </row>
    <row r="370" spans="1:23" ht="16.5" x14ac:dyDescent="0.3">
      <c r="A370" t="s">
        <v>421</v>
      </c>
      <c r="B370" s="1">
        <v>45343</v>
      </c>
      <c r="C370">
        <v>2024</v>
      </c>
      <c r="D370" t="s">
        <v>24</v>
      </c>
      <c r="E370" t="s">
        <v>284</v>
      </c>
      <c r="F370" t="s">
        <v>37</v>
      </c>
      <c r="G370" t="s">
        <v>51</v>
      </c>
      <c r="H370" t="s">
        <v>55</v>
      </c>
      <c r="I370" t="s">
        <v>29</v>
      </c>
      <c r="J370" t="s">
        <v>52</v>
      </c>
      <c r="K370" s="2">
        <v>5050</v>
      </c>
      <c r="L370" s="2">
        <v>9500</v>
      </c>
      <c r="M370">
        <v>36</v>
      </c>
      <c r="N370" s="3">
        <v>0.23699999999999999</v>
      </c>
      <c r="O370" t="s">
        <v>16</v>
      </c>
      <c r="Q370">
        <v>1</v>
      </c>
      <c r="R370">
        <v>0</v>
      </c>
      <c r="S370" s="2">
        <v>7500</v>
      </c>
      <c r="T370" s="4">
        <v>0.114</v>
      </c>
      <c r="U370">
        <v>5</v>
      </c>
      <c r="V370">
        <v>0</v>
      </c>
      <c r="W370">
        <v>1</v>
      </c>
    </row>
    <row r="371" spans="1:23" ht="16.5" x14ac:dyDescent="0.3">
      <c r="A371" t="s">
        <v>422</v>
      </c>
      <c r="B371" s="1">
        <v>45343</v>
      </c>
      <c r="C371">
        <v>2024</v>
      </c>
      <c r="D371" t="s">
        <v>24</v>
      </c>
      <c r="E371" t="s">
        <v>284</v>
      </c>
      <c r="F371" t="s">
        <v>37</v>
      </c>
      <c r="G371" t="s">
        <v>45</v>
      </c>
      <c r="H371" t="s">
        <v>64</v>
      </c>
      <c r="I371" t="s">
        <v>39</v>
      </c>
      <c r="J371" t="s">
        <v>35</v>
      </c>
      <c r="K371" s="2">
        <v>4300</v>
      </c>
      <c r="L371" s="2">
        <v>10500</v>
      </c>
      <c r="M371">
        <v>48</v>
      </c>
      <c r="N371" s="3">
        <v>0.309</v>
      </c>
      <c r="O371" t="s">
        <v>16</v>
      </c>
      <c r="Q371">
        <v>1</v>
      </c>
      <c r="R371">
        <v>0</v>
      </c>
      <c r="S371" s="2">
        <v>9500</v>
      </c>
      <c r="T371" s="4">
        <v>0.1232</v>
      </c>
      <c r="U371">
        <v>3</v>
      </c>
      <c r="V371">
        <v>1</v>
      </c>
      <c r="W371">
        <v>1</v>
      </c>
    </row>
    <row r="372" spans="1:23" ht="16.5" x14ac:dyDescent="0.3">
      <c r="A372" t="s">
        <v>423</v>
      </c>
      <c r="B372" s="1">
        <v>45344</v>
      </c>
      <c r="C372">
        <v>2024</v>
      </c>
      <c r="D372" t="s">
        <v>24</v>
      </c>
      <c r="E372" t="s">
        <v>284</v>
      </c>
      <c r="F372" t="s">
        <v>37</v>
      </c>
      <c r="G372" t="s">
        <v>45</v>
      </c>
      <c r="H372" t="s">
        <v>55</v>
      </c>
      <c r="I372" t="s">
        <v>29</v>
      </c>
      <c r="J372" t="s">
        <v>30</v>
      </c>
      <c r="K372" s="2">
        <v>5450</v>
      </c>
      <c r="L372" s="2">
        <v>8000</v>
      </c>
      <c r="M372">
        <v>36</v>
      </c>
      <c r="N372" s="3">
        <v>0.192</v>
      </c>
      <c r="O372" t="s">
        <v>16</v>
      </c>
      <c r="Q372">
        <v>1</v>
      </c>
      <c r="R372">
        <v>0</v>
      </c>
      <c r="S372" s="2">
        <v>7000</v>
      </c>
      <c r="T372" s="4">
        <v>0.14360000000000001</v>
      </c>
      <c r="U372">
        <v>2</v>
      </c>
      <c r="V372">
        <v>1</v>
      </c>
      <c r="W372">
        <v>1</v>
      </c>
    </row>
    <row r="373" spans="1:23" ht="16.5" x14ac:dyDescent="0.3">
      <c r="A373" t="s">
        <v>424</v>
      </c>
      <c r="B373" s="1">
        <v>45344</v>
      </c>
      <c r="C373">
        <v>2024</v>
      </c>
      <c r="D373" t="s">
        <v>24</v>
      </c>
      <c r="E373" t="s">
        <v>284</v>
      </c>
      <c r="F373" t="s">
        <v>50</v>
      </c>
      <c r="G373" t="s">
        <v>27</v>
      </c>
      <c r="H373" t="s">
        <v>38</v>
      </c>
      <c r="I373" t="s">
        <v>39</v>
      </c>
      <c r="J373" t="s">
        <v>52</v>
      </c>
      <c r="K373" s="2">
        <v>3900</v>
      </c>
      <c r="L373" s="2">
        <v>161500</v>
      </c>
      <c r="M373">
        <v>180</v>
      </c>
      <c r="N373" s="3">
        <v>0.44600000000000001</v>
      </c>
      <c r="O373" t="s">
        <v>17</v>
      </c>
      <c r="P373" t="s">
        <v>60</v>
      </c>
      <c r="Q373">
        <v>0</v>
      </c>
      <c r="R373">
        <v>1</v>
      </c>
      <c r="S373" s="2">
        <v>0</v>
      </c>
      <c r="T373" s="4"/>
      <c r="U373">
        <v>31</v>
      </c>
      <c r="V373">
        <v>0</v>
      </c>
      <c r="W373">
        <v>1</v>
      </c>
    </row>
    <row r="374" spans="1:23" ht="16.5" x14ac:dyDescent="0.3">
      <c r="A374" t="s">
        <v>425</v>
      </c>
      <c r="B374" s="1">
        <v>45344</v>
      </c>
      <c r="C374">
        <v>2024</v>
      </c>
      <c r="D374" t="s">
        <v>24</v>
      </c>
      <c r="E374" t="s">
        <v>284</v>
      </c>
      <c r="F374" t="s">
        <v>37</v>
      </c>
      <c r="G374" t="s">
        <v>33</v>
      </c>
      <c r="H374" t="s">
        <v>55</v>
      </c>
      <c r="I374" t="s">
        <v>39</v>
      </c>
      <c r="J374" t="s">
        <v>52</v>
      </c>
      <c r="K374" s="2">
        <v>3450</v>
      </c>
      <c r="L374" s="2">
        <v>5000</v>
      </c>
      <c r="M374">
        <v>12</v>
      </c>
      <c r="N374" s="3">
        <v>0.27900000000000003</v>
      </c>
      <c r="O374" t="s">
        <v>16</v>
      </c>
      <c r="Q374">
        <v>1</v>
      </c>
      <c r="R374">
        <v>0</v>
      </c>
      <c r="S374" s="2">
        <v>5000</v>
      </c>
      <c r="T374" s="4">
        <v>0.1153</v>
      </c>
      <c r="U374">
        <v>2</v>
      </c>
      <c r="V374">
        <v>1</v>
      </c>
      <c r="W374">
        <v>1</v>
      </c>
    </row>
    <row r="375" spans="1:23" ht="16.5" x14ac:dyDescent="0.3">
      <c r="A375" t="s">
        <v>426</v>
      </c>
      <c r="B375" s="1">
        <v>45344</v>
      </c>
      <c r="C375">
        <v>2024</v>
      </c>
      <c r="D375" t="s">
        <v>24</v>
      </c>
      <c r="E375" t="s">
        <v>284</v>
      </c>
      <c r="F375" t="s">
        <v>26</v>
      </c>
      <c r="G375" t="s">
        <v>51</v>
      </c>
      <c r="H375" t="s">
        <v>34</v>
      </c>
      <c r="I375" t="s">
        <v>39</v>
      </c>
      <c r="J375" t="s">
        <v>52</v>
      </c>
      <c r="K375" s="2">
        <v>3150</v>
      </c>
      <c r="L375" s="2">
        <v>37500</v>
      </c>
      <c r="M375">
        <v>48</v>
      </c>
      <c r="N375" s="3">
        <v>0.51900000000000002</v>
      </c>
      <c r="O375" t="s">
        <v>16</v>
      </c>
      <c r="Q375">
        <v>1</v>
      </c>
      <c r="R375">
        <v>0</v>
      </c>
      <c r="S375" s="2">
        <v>34000</v>
      </c>
      <c r="T375" s="4">
        <v>7.2099999999999997E-2</v>
      </c>
      <c r="U375">
        <v>4</v>
      </c>
      <c r="V375">
        <v>1</v>
      </c>
      <c r="W375">
        <v>1</v>
      </c>
    </row>
    <row r="376" spans="1:23" ht="16.5" x14ac:dyDescent="0.3">
      <c r="A376" t="s">
        <v>427</v>
      </c>
      <c r="B376" s="1">
        <v>45345</v>
      </c>
      <c r="C376">
        <v>2024</v>
      </c>
      <c r="D376" t="s">
        <v>24</v>
      </c>
      <c r="E376" t="s">
        <v>284</v>
      </c>
      <c r="F376" t="s">
        <v>41</v>
      </c>
      <c r="G376" t="s">
        <v>45</v>
      </c>
      <c r="H376" t="s">
        <v>55</v>
      </c>
      <c r="I376" t="s">
        <v>29</v>
      </c>
      <c r="J376" t="s">
        <v>35</v>
      </c>
      <c r="K376" s="2">
        <v>3700</v>
      </c>
      <c r="L376" s="2">
        <v>95000</v>
      </c>
      <c r="M376">
        <v>60</v>
      </c>
      <c r="N376" s="3">
        <v>0.621</v>
      </c>
      <c r="O376" t="s">
        <v>17</v>
      </c>
      <c r="P376" t="s">
        <v>53</v>
      </c>
      <c r="Q376">
        <v>0</v>
      </c>
      <c r="R376">
        <v>1</v>
      </c>
      <c r="S376" s="2">
        <v>0</v>
      </c>
      <c r="T376" s="4"/>
      <c r="U376">
        <v>10</v>
      </c>
      <c r="V376">
        <v>1</v>
      </c>
      <c r="W376">
        <v>1</v>
      </c>
    </row>
    <row r="377" spans="1:23" ht="16.5" x14ac:dyDescent="0.3">
      <c r="A377" t="s">
        <v>428</v>
      </c>
      <c r="B377" s="1">
        <v>45345</v>
      </c>
      <c r="C377">
        <v>2024</v>
      </c>
      <c r="D377" t="s">
        <v>24</v>
      </c>
      <c r="E377" t="s">
        <v>284</v>
      </c>
      <c r="F377" t="s">
        <v>41</v>
      </c>
      <c r="G377" t="s">
        <v>33</v>
      </c>
      <c r="H377" t="s">
        <v>34</v>
      </c>
      <c r="I377" t="s">
        <v>29</v>
      </c>
      <c r="J377" t="s">
        <v>35</v>
      </c>
      <c r="K377" s="2">
        <v>7300</v>
      </c>
      <c r="L377" s="2">
        <v>151000</v>
      </c>
      <c r="M377">
        <v>24</v>
      </c>
      <c r="N377" s="3">
        <v>1.0860000000000001</v>
      </c>
      <c r="O377" t="s">
        <v>16</v>
      </c>
      <c r="Q377">
        <v>1</v>
      </c>
      <c r="R377">
        <v>0</v>
      </c>
      <c r="S377" s="2">
        <v>121000</v>
      </c>
      <c r="T377" s="4">
        <v>0.10340000000000001</v>
      </c>
      <c r="U377">
        <v>4</v>
      </c>
      <c r="V377">
        <v>1</v>
      </c>
      <c r="W377">
        <v>1</v>
      </c>
    </row>
    <row r="378" spans="1:23" ht="16.5" x14ac:dyDescent="0.3">
      <c r="A378" t="s">
        <v>429</v>
      </c>
      <c r="B378" s="1">
        <v>45345</v>
      </c>
      <c r="C378">
        <v>2024</v>
      </c>
      <c r="D378" t="s">
        <v>24</v>
      </c>
      <c r="E378" t="s">
        <v>284</v>
      </c>
      <c r="F378" t="s">
        <v>41</v>
      </c>
      <c r="G378" t="s">
        <v>45</v>
      </c>
      <c r="H378" t="s">
        <v>38</v>
      </c>
      <c r="I378" t="s">
        <v>29</v>
      </c>
      <c r="J378" t="s">
        <v>35</v>
      </c>
      <c r="K378" s="2">
        <v>12400</v>
      </c>
      <c r="L378" s="2">
        <v>97000</v>
      </c>
      <c r="M378">
        <v>24</v>
      </c>
      <c r="N378" s="3">
        <v>0.60699999999999998</v>
      </c>
      <c r="O378" t="s">
        <v>16</v>
      </c>
      <c r="Q378">
        <v>1</v>
      </c>
      <c r="R378">
        <v>0</v>
      </c>
      <c r="S378" s="2">
        <v>97000</v>
      </c>
      <c r="T378" s="4">
        <v>0.10829999999999999</v>
      </c>
      <c r="U378">
        <v>10</v>
      </c>
      <c r="V378">
        <v>1</v>
      </c>
      <c r="W378">
        <v>1</v>
      </c>
    </row>
    <row r="379" spans="1:23" ht="16.5" x14ac:dyDescent="0.3">
      <c r="A379" t="s">
        <v>430</v>
      </c>
      <c r="B379" s="1">
        <v>45345</v>
      </c>
      <c r="C379">
        <v>2024</v>
      </c>
      <c r="D379" t="s">
        <v>24</v>
      </c>
      <c r="E379" t="s">
        <v>284</v>
      </c>
      <c r="F379" t="s">
        <v>37</v>
      </c>
      <c r="G379" t="s">
        <v>51</v>
      </c>
      <c r="H379" t="s">
        <v>55</v>
      </c>
      <c r="I379" t="s">
        <v>29</v>
      </c>
      <c r="J379" t="s">
        <v>30</v>
      </c>
      <c r="K379" s="2">
        <v>2900</v>
      </c>
      <c r="L379" s="2">
        <v>17500</v>
      </c>
      <c r="M379">
        <v>12</v>
      </c>
      <c r="N379" s="3">
        <v>0.76700000000000002</v>
      </c>
      <c r="O379" t="s">
        <v>16</v>
      </c>
      <c r="Q379">
        <v>1</v>
      </c>
      <c r="R379">
        <v>0</v>
      </c>
      <c r="S379" s="2">
        <v>14000</v>
      </c>
      <c r="T379" s="4">
        <v>0.13830000000000001</v>
      </c>
      <c r="U379">
        <v>3</v>
      </c>
      <c r="V379">
        <v>1</v>
      </c>
      <c r="W379">
        <v>1</v>
      </c>
    </row>
    <row r="380" spans="1:23" ht="16.5" x14ac:dyDescent="0.3">
      <c r="A380" t="s">
        <v>431</v>
      </c>
      <c r="B380" s="1">
        <v>45345</v>
      </c>
      <c r="C380">
        <v>2024</v>
      </c>
      <c r="D380" t="s">
        <v>24</v>
      </c>
      <c r="E380" t="s">
        <v>284</v>
      </c>
      <c r="F380" t="s">
        <v>50</v>
      </c>
      <c r="G380" t="s">
        <v>45</v>
      </c>
      <c r="H380" t="s">
        <v>64</v>
      </c>
      <c r="I380" t="s">
        <v>39</v>
      </c>
      <c r="J380" t="s">
        <v>43</v>
      </c>
      <c r="K380" s="2">
        <v>4100</v>
      </c>
      <c r="L380" s="2">
        <v>140000</v>
      </c>
      <c r="M380">
        <v>240</v>
      </c>
      <c r="N380" s="3">
        <v>0.29699999999999999</v>
      </c>
      <c r="O380" t="s">
        <v>17</v>
      </c>
      <c r="P380" t="s">
        <v>31</v>
      </c>
      <c r="Q380">
        <v>0</v>
      </c>
      <c r="R380">
        <v>1</v>
      </c>
      <c r="S380" s="2">
        <v>0</v>
      </c>
      <c r="T380" s="4"/>
      <c r="U380">
        <v>6</v>
      </c>
      <c r="V380">
        <v>1</v>
      </c>
      <c r="W380">
        <v>1</v>
      </c>
    </row>
    <row r="381" spans="1:23" ht="16.5" x14ac:dyDescent="0.3">
      <c r="A381" t="s">
        <v>432</v>
      </c>
      <c r="B381" s="1">
        <v>45345</v>
      </c>
      <c r="C381">
        <v>2024</v>
      </c>
      <c r="D381" t="s">
        <v>24</v>
      </c>
      <c r="E381" t="s">
        <v>284</v>
      </c>
      <c r="F381" t="s">
        <v>37</v>
      </c>
      <c r="G381" t="s">
        <v>51</v>
      </c>
      <c r="H381" t="s">
        <v>28</v>
      </c>
      <c r="I381" t="s">
        <v>39</v>
      </c>
      <c r="J381" t="s">
        <v>46</v>
      </c>
      <c r="K381" s="2">
        <v>3150</v>
      </c>
      <c r="L381" s="2">
        <v>11000</v>
      </c>
      <c r="M381">
        <v>36</v>
      </c>
      <c r="N381" s="3">
        <v>0.35699999999999998</v>
      </c>
      <c r="O381" t="s">
        <v>17</v>
      </c>
      <c r="P381" t="s">
        <v>65</v>
      </c>
      <c r="Q381">
        <v>0</v>
      </c>
      <c r="R381">
        <v>1</v>
      </c>
      <c r="S381" s="2">
        <v>0</v>
      </c>
      <c r="T381" s="4"/>
      <c r="U381">
        <v>4</v>
      </c>
      <c r="V381">
        <v>0</v>
      </c>
      <c r="W381">
        <v>1</v>
      </c>
    </row>
    <row r="382" spans="1:23" ht="16.5" x14ac:dyDescent="0.3">
      <c r="A382" t="s">
        <v>433</v>
      </c>
      <c r="B382" s="1">
        <v>45346</v>
      </c>
      <c r="C382">
        <v>2024</v>
      </c>
      <c r="D382" t="s">
        <v>24</v>
      </c>
      <c r="E382" t="s">
        <v>284</v>
      </c>
      <c r="F382" t="s">
        <v>37</v>
      </c>
      <c r="G382" t="s">
        <v>51</v>
      </c>
      <c r="H382" t="s">
        <v>34</v>
      </c>
      <c r="I382" t="s">
        <v>29</v>
      </c>
      <c r="J382" t="s">
        <v>30</v>
      </c>
      <c r="K382" s="2">
        <v>8100</v>
      </c>
      <c r="L382" s="2">
        <v>13500</v>
      </c>
      <c r="M382">
        <v>60</v>
      </c>
      <c r="N382" s="3">
        <v>0.248</v>
      </c>
      <c r="O382" t="s">
        <v>17</v>
      </c>
      <c r="P382" t="s">
        <v>31</v>
      </c>
      <c r="Q382">
        <v>0</v>
      </c>
      <c r="R382">
        <v>1</v>
      </c>
      <c r="S382" s="2">
        <v>0</v>
      </c>
      <c r="T382" s="4"/>
      <c r="U382">
        <v>3</v>
      </c>
      <c r="V382">
        <v>1</v>
      </c>
      <c r="W382">
        <v>1</v>
      </c>
    </row>
    <row r="383" spans="1:23" ht="16.5" x14ac:dyDescent="0.3">
      <c r="A383" t="s">
        <v>434</v>
      </c>
      <c r="B383" s="1">
        <v>45346</v>
      </c>
      <c r="C383">
        <v>2024</v>
      </c>
      <c r="D383" t="s">
        <v>24</v>
      </c>
      <c r="E383" t="s">
        <v>284</v>
      </c>
      <c r="F383" t="s">
        <v>26</v>
      </c>
      <c r="G383" t="s">
        <v>45</v>
      </c>
      <c r="H383" t="s">
        <v>38</v>
      </c>
      <c r="I383" t="s">
        <v>29</v>
      </c>
      <c r="J383" t="s">
        <v>30</v>
      </c>
      <c r="K383" s="2">
        <v>8450</v>
      </c>
      <c r="L383" s="2">
        <v>24500</v>
      </c>
      <c r="M383">
        <v>60</v>
      </c>
      <c r="N383" s="3">
        <v>0.26800000000000002</v>
      </c>
      <c r="O383" t="s">
        <v>17</v>
      </c>
      <c r="P383" t="s">
        <v>31</v>
      </c>
      <c r="Q383">
        <v>0</v>
      </c>
      <c r="R383">
        <v>1</v>
      </c>
      <c r="S383" s="2">
        <v>0</v>
      </c>
      <c r="T383" s="4"/>
      <c r="U383">
        <v>2</v>
      </c>
      <c r="V383">
        <v>1</v>
      </c>
      <c r="W383">
        <v>1</v>
      </c>
    </row>
    <row r="384" spans="1:23" ht="16.5" x14ac:dyDescent="0.3">
      <c r="A384" t="s">
        <v>435</v>
      </c>
      <c r="B384" s="1">
        <v>45346</v>
      </c>
      <c r="C384">
        <v>2024</v>
      </c>
      <c r="D384" t="s">
        <v>24</v>
      </c>
      <c r="E384" t="s">
        <v>284</v>
      </c>
      <c r="F384" t="s">
        <v>26</v>
      </c>
      <c r="G384" t="s">
        <v>45</v>
      </c>
      <c r="H384" t="s">
        <v>28</v>
      </c>
      <c r="I384" t="s">
        <v>29</v>
      </c>
      <c r="J384" t="s">
        <v>35</v>
      </c>
      <c r="K384" s="2">
        <v>13550</v>
      </c>
      <c r="L384" s="2">
        <v>55000</v>
      </c>
      <c r="M384">
        <v>48</v>
      </c>
      <c r="N384" s="3">
        <v>0.32</v>
      </c>
      <c r="O384" t="s">
        <v>16</v>
      </c>
      <c r="Q384">
        <v>1</v>
      </c>
      <c r="R384">
        <v>0</v>
      </c>
      <c r="S384" s="2">
        <v>55000</v>
      </c>
      <c r="T384" s="4">
        <v>8.5000000000000006E-2</v>
      </c>
      <c r="U384">
        <v>3</v>
      </c>
      <c r="V384">
        <v>1</v>
      </c>
      <c r="W384">
        <v>1</v>
      </c>
    </row>
    <row r="385" spans="1:23" ht="16.5" x14ac:dyDescent="0.3">
      <c r="A385" t="s">
        <v>436</v>
      </c>
      <c r="B385" s="1">
        <v>45347</v>
      </c>
      <c r="C385">
        <v>2024</v>
      </c>
      <c r="D385" t="s">
        <v>24</v>
      </c>
      <c r="E385" t="s">
        <v>284</v>
      </c>
      <c r="F385" t="s">
        <v>50</v>
      </c>
      <c r="G385" t="s">
        <v>45</v>
      </c>
      <c r="H385" t="s">
        <v>55</v>
      </c>
      <c r="I385" t="s">
        <v>42</v>
      </c>
      <c r="J385" t="s">
        <v>46</v>
      </c>
      <c r="K385" s="2">
        <v>8150</v>
      </c>
      <c r="L385" s="2">
        <v>374000</v>
      </c>
      <c r="M385">
        <v>240</v>
      </c>
      <c r="N385" s="3">
        <v>0.51200000000000001</v>
      </c>
      <c r="O385" t="s">
        <v>16</v>
      </c>
      <c r="Q385">
        <v>1</v>
      </c>
      <c r="R385">
        <v>0</v>
      </c>
      <c r="S385" s="2">
        <v>299000</v>
      </c>
      <c r="T385" s="4">
        <v>4.2299999999999997E-2</v>
      </c>
      <c r="U385">
        <v>12</v>
      </c>
      <c r="V385">
        <v>1</v>
      </c>
      <c r="W385">
        <v>1</v>
      </c>
    </row>
    <row r="386" spans="1:23" ht="16.5" x14ac:dyDescent="0.3">
      <c r="A386" t="s">
        <v>437</v>
      </c>
      <c r="B386" s="1">
        <v>45347</v>
      </c>
      <c r="C386">
        <v>2024</v>
      </c>
      <c r="D386" t="s">
        <v>24</v>
      </c>
      <c r="E386" t="s">
        <v>284</v>
      </c>
      <c r="F386" t="s">
        <v>26</v>
      </c>
      <c r="G386" t="s">
        <v>45</v>
      </c>
      <c r="H386" t="s">
        <v>55</v>
      </c>
      <c r="I386" t="s">
        <v>29</v>
      </c>
      <c r="J386" t="s">
        <v>52</v>
      </c>
      <c r="K386" s="2">
        <v>7100</v>
      </c>
      <c r="L386" s="2">
        <v>39500</v>
      </c>
      <c r="M386">
        <v>60</v>
      </c>
      <c r="N386" s="3">
        <v>0.35499999999999998</v>
      </c>
      <c r="O386" t="s">
        <v>16</v>
      </c>
      <c r="Q386">
        <v>1</v>
      </c>
      <c r="R386">
        <v>0</v>
      </c>
      <c r="S386" s="2">
        <v>31500</v>
      </c>
      <c r="T386" s="4">
        <v>7.3200000000000001E-2</v>
      </c>
      <c r="U386">
        <v>5</v>
      </c>
      <c r="V386">
        <v>0</v>
      </c>
      <c r="W386">
        <v>1</v>
      </c>
    </row>
    <row r="387" spans="1:23" ht="16.5" x14ac:dyDescent="0.3">
      <c r="A387" t="s">
        <v>438</v>
      </c>
      <c r="B387" s="1">
        <v>45348</v>
      </c>
      <c r="C387">
        <v>2024</v>
      </c>
      <c r="D387" t="s">
        <v>24</v>
      </c>
      <c r="E387" t="s">
        <v>284</v>
      </c>
      <c r="F387" t="s">
        <v>26</v>
      </c>
      <c r="G387" t="s">
        <v>45</v>
      </c>
      <c r="H387" t="s">
        <v>55</v>
      </c>
      <c r="I387" t="s">
        <v>29</v>
      </c>
      <c r="J387" t="s">
        <v>30</v>
      </c>
      <c r="K387" s="2">
        <v>5400</v>
      </c>
      <c r="L387" s="2">
        <v>15000</v>
      </c>
      <c r="M387">
        <v>48</v>
      </c>
      <c r="N387" s="3">
        <v>0.27300000000000002</v>
      </c>
      <c r="O387" t="s">
        <v>16</v>
      </c>
      <c r="Q387">
        <v>1</v>
      </c>
      <c r="R387">
        <v>0</v>
      </c>
      <c r="S387" s="2">
        <v>12000</v>
      </c>
      <c r="T387" s="4">
        <v>9.3399999999999997E-2</v>
      </c>
      <c r="U387">
        <v>2</v>
      </c>
      <c r="V387">
        <v>1</v>
      </c>
      <c r="W387">
        <v>1</v>
      </c>
    </row>
    <row r="388" spans="1:23" ht="16.5" x14ac:dyDescent="0.3">
      <c r="A388" t="s">
        <v>439</v>
      </c>
      <c r="B388" s="1">
        <v>45348</v>
      </c>
      <c r="C388">
        <v>2024</v>
      </c>
      <c r="D388" t="s">
        <v>24</v>
      </c>
      <c r="E388" t="s">
        <v>284</v>
      </c>
      <c r="F388" t="s">
        <v>37</v>
      </c>
      <c r="G388" t="s">
        <v>45</v>
      </c>
      <c r="H388" t="s">
        <v>34</v>
      </c>
      <c r="I388" t="s">
        <v>42</v>
      </c>
      <c r="J388" t="s">
        <v>35</v>
      </c>
      <c r="K388" s="2">
        <v>7550</v>
      </c>
      <c r="L388" s="2">
        <v>11500</v>
      </c>
      <c r="M388">
        <v>48</v>
      </c>
      <c r="N388" s="3">
        <v>0.23799999999999999</v>
      </c>
      <c r="O388" t="s">
        <v>16</v>
      </c>
      <c r="Q388">
        <v>1</v>
      </c>
      <c r="R388">
        <v>0</v>
      </c>
      <c r="S388" s="2">
        <v>10500</v>
      </c>
      <c r="T388" s="4">
        <v>0.13109999999999999</v>
      </c>
      <c r="U388">
        <v>5</v>
      </c>
      <c r="V388">
        <v>0</v>
      </c>
      <c r="W388">
        <v>1</v>
      </c>
    </row>
    <row r="389" spans="1:23" ht="16.5" x14ac:dyDescent="0.3">
      <c r="A389" t="s">
        <v>440</v>
      </c>
      <c r="B389" s="1">
        <v>45348</v>
      </c>
      <c r="C389">
        <v>2024</v>
      </c>
      <c r="D389" t="s">
        <v>24</v>
      </c>
      <c r="E389" t="s">
        <v>284</v>
      </c>
      <c r="F389" t="s">
        <v>37</v>
      </c>
      <c r="G389" t="s">
        <v>33</v>
      </c>
      <c r="H389" t="s">
        <v>34</v>
      </c>
      <c r="I389" t="s">
        <v>39</v>
      </c>
      <c r="J389" t="s">
        <v>52</v>
      </c>
      <c r="K389" s="2">
        <v>8000</v>
      </c>
      <c r="L389" s="2">
        <v>11000</v>
      </c>
      <c r="M389">
        <v>12</v>
      </c>
      <c r="N389" s="3">
        <v>0.26400000000000001</v>
      </c>
      <c r="O389" t="s">
        <v>16</v>
      </c>
      <c r="Q389">
        <v>1</v>
      </c>
      <c r="R389">
        <v>0</v>
      </c>
      <c r="S389" s="2">
        <v>11000</v>
      </c>
      <c r="T389" s="4">
        <v>0.1119</v>
      </c>
      <c r="U389">
        <v>3</v>
      </c>
      <c r="V389">
        <v>1</v>
      </c>
      <c r="W389">
        <v>1</v>
      </c>
    </row>
    <row r="390" spans="1:23" ht="16.5" x14ac:dyDescent="0.3">
      <c r="A390" t="s">
        <v>441</v>
      </c>
      <c r="B390" s="1">
        <v>45348</v>
      </c>
      <c r="C390">
        <v>2024</v>
      </c>
      <c r="D390" t="s">
        <v>24</v>
      </c>
      <c r="E390" t="s">
        <v>284</v>
      </c>
      <c r="F390" t="s">
        <v>50</v>
      </c>
      <c r="G390" t="s">
        <v>45</v>
      </c>
      <c r="H390" t="s">
        <v>55</v>
      </c>
      <c r="I390" t="s">
        <v>39</v>
      </c>
      <c r="J390" t="s">
        <v>30</v>
      </c>
      <c r="K390" s="2">
        <v>7050</v>
      </c>
      <c r="L390" s="2">
        <v>145000</v>
      </c>
      <c r="M390">
        <v>300</v>
      </c>
      <c r="N390" s="3">
        <v>0.26500000000000001</v>
      </c>
      <c r="O390" t="s">
        <v>16</v>
      </c>
      <c r="Q390">
        <v>1</v>
      </c>
      <c r="R390">
        <v>0</v>
      </c>
      <c r="S390" s="2">
        <v>116000</v>
      </c>
      <c r="T390" s="4">
        <v>7.1599999999999997E-2</v>
      </c>
      <c r="U390">
        <v>5</v>
      </c>
      <c r="V390">
        <v>1</v>
      </c>
      <c r="W390">
        <v>1</v>
      </c>
    </row>
    <row r="391" spans="1:23" ht="16.5" x14ac:dyDescent="0.3">
      <c r="A391" t="s">
        <v>442</v>
      </c>
      <c r="B391" s="1">
        <v>45348</v>
      </c>
      <c r="C391">
        <v>2024</v>
      </c>
      <c r="D391" t="s">
        <v>24</v>
      </c>
      <c r="E391" t="s">
        <v>284</v>
      </c>
      <c r="F391" t="s">
        <v>41</v>
      </c>
      <c r="G391" t="s">
        <v>51</v>
      </c>
      <c r="H391" t="s">
        <v>28</v>
      </c>
      <c r="I391" t="s">
        <v>39</v>
      </c>
      <c r="J391" t="s">
        <v>35</v>
      </c>
      <c r="K391" s="2">
        <v>4150</v>
      </c>
      <c r="L391" s="2">
        <v>129000</v>
      </c>
      <c r="M391">
        <v>24</v>
      </c>
      <c r="N391" s="3">
        <v>1.482</v>
      </c>
      <c r="O391" t="s">
        <v>17</v>
      </c>
      <c r="P391" t="s">
        <v>53</v>
      </c>
      <c r="Q391">
        <v>0</v>
      </c>
      <c r="R391">
        <v>1</v>
      </c>
      <c r="S391" s="2">
        <v>0</v>
      </c>
      <c r="T391" s="4"/>
      <c r="U391">
        <v>20</v>
      </c>
      <c r="V391">
        <v>0</v>
      </c>
      <c r="W391">
        <v>1</v>
      </c>
    </row>
    <row r="392" spans="1:23" ht="16.5" x14ac:dyDescent="0.3">
      <c r="A392" t="s">
        <v>443</v>
      </c>
      <c r="B392" s="1">
        <v>45349</v>
      </c>
      <c r="C392">
        <v>2024</v>
      </c>
      <c r="D392" t="s">
        <v>24</v>
      </c>
      <c r="E392" t="s">
        <v>284</v>
      </c>
      <c r="F392" t="s">
        <v>50</v>
      </c>
      <c r="G392" t="s">
        <v>27</v>
      </c>
      <c r="H392" t="s">
        <v>38</v>
      </c>
      <c r="I392" t="s">
        <v>29</v>
      </c>
      <c r="J392" t="s">
        <v>30</v>
      </c>
      <c r="K392" s="2">
        <v>2350</v>
      </c>
      <c r="L392" s="2">
        <v>241500</v>
      </c>
      <c r="M392">
        <v>240</v>
      </c>
      <c r="N392" s="3">
        <v>0.72699999999999998</v>
      </c>
      <c r="O392" t="s">
        <v>16</v>
      </c>
      <c r="Q392">
        <v>1</v>
      </c>
      <c r="R392">
        <v>0</v>
      </c>
      <c r="S392" s="2">
        <v>241500</v>
      </c>
      <c r="T392" s="4">
        <v>7.3200000000000001E-2</v>
      </c>
      <c r="U392">
        <v>10</v>
      </c>
      <c r="V392">
        <v>1</v>
      </c>
      <c r="W392">
        <v>1</v>
      </c>
    </row>
    <row r="393" spans="1:23" ht="16.5" x14ac:dyDescent="0.3">
      <c r="A393" t="s">
        <v>444</v>
      </c>
      <c r="B393" s="1">
        <v>45349</v>
      </c>
      <c r="C393">
        <v>2024</v>
      </c>
      <c r="D393" t="s">
        <v>24</v>
      </c>
      <c r="E393" t="s">
        <v>284</v>
      </c>
      <c r="F393" t="s">
        <v>41</v>
      </c>
      <c r="G393" t="s">
        <v>51</v>
      </c>
      <c r="H393" t="s">
        <v>34</v>
      </c>
      <c r="I393" t="s">
        <v>29</v>
      </c>
      <c r="J393" t="s">
        <v>35</v>
      </c>
      <c r="K393" s="2">
        <v>5950</v>
      </c>
      <c r="L393" s="2">
        <v>122000</v>
      </c>
      <c r="M393">
        <v>60</v>
      </c>
      <c r="N393" s="3">
        <v>0.65700000000000003</v>
      </c>
      <c r="O393" t="s">
        <v>16</v>
      </c>
      <c r="Q393">
        <v>1</v>
      </c>
      <c r="R393">
        <v>0</v>
      </c>
      <c r="S393" s="2">
        <v>122000</v>
      </c>
      <c r="T393" s="4">
        <v>0.1077</v>
      </c>
      <c r="U393">
        <v>14</v>
      </c>
      <c r="V393">
        <v>0</v>
      </c>
      <c r="W393">
        <v>1</v>
      </c>
    </row>
    <row r="394" spans="1:23" ht="16.5" x14ac:dyDescent="0.3">
      <c r="A394" t="s">
        <v>445</v>
      </c>
      <c r="B394" s="1">
        <v>45349</v>
      </c>
      <c r="C394">
        <v>2024</v>
      </c>
      <c r="D394" t="s">
        <v>24</v>
      </c>
      <c r="E394" t="s">
        <v>284</v>
      </c>
      <c r="F394" t="s">
        <v>26</v>
      </c>
      <c r="G394" t="s">
        <v>45</v>
      </c>
      <c r="H394" t="s">
        <v>34</v>
      </c>
      <c r="I394" t="s">
        <v>39</v>
      </c>
      <c r="J394" t="s">
        <v>35</v>
      </c>
      <c r="K394" s="2">
        <v>3450</v>
      </c>
      <c r="L394" s="2">
        <v>25000</v>
      </c>
      <c r="M394">
        <v>48</v>
      </c>
      <c r="N394" s="3">
        <v>0.245</v>
      </c>
      <c r="O394" t="s">
        <v>16</v>
      </c>
      <c r="Q394">
        <v>1</v>
      </c>
      <c r="R394">
        <v>0</v>
      </c>
      <c r="S394" s="2">
        <v>25000</v>
      </c>
      <c r="T394" s="4">
        <v>7.6999999999999999E-2</v>
      </c>
      <c r="U394">
        <v>3</v>
      </c>
      <c r="V394">
        <v>1</v>
      </c>
      <c r="W394">
        <v>1</v>
      </c>
    </row>
    <row r="395" spans="1:23" ht="16.5" x14ac:dyDescent="0.3">
      <c r="A395" t="s">
        <v>446</v>
      </c>
      <c r="B395" s="1">
        <v>45349</v>
      </c>
      <c r="C395">
        <v>2024</v>
      </c>
      <c r="D395" t="s">
        <v>24</v>
      </c>
      <c r="E395" t="s">
        <v>284</v>
      </c>
      <c r="F395" t="s">
        <v>26</v>
      </c>
      <c r="G395" t="s">
        <v>51</v>
      </c>
      <c r="H395" t="s">
        <v>34</v>
      </c>
      <c r="I395" t="s">
        <v>29</v>
      </c>
      <c r="J395" t="s">
        <v>35</v>
      </c>
      <c r="K395" s="2">
        <v>5750</v>
      </c>
      <c r="L395" s="2">
        <v>41000</v>
      </c>
      <c r="M395">
        <v>60</v>
      </c>
      <c r="N395" s="3">
        <v>0.33300000000000002</v>
      </c>
      <c r="O395" t="s">
        <v>16</v>
      </c>
      <c r="Q395">
        <v>1</v>
      </c>
      <c r="R395">
        <v>0</v>
      </c>
      <c r="S395" s="2">
        <v>33000</v>
      </c>
      <c r="T395" s="4">
        <v>8.0799999999999997E-2</v>
      </c>
      <c r="U395">
        <v>11</v>
      </c>
      <c r="V395">
        <v>0</v>
      </c>
      <c r="W395">
        <v>1</v>
      </c>
    </row>
    <row r="396" spans="1:23" ht="16.5" x14ac:dyDescent="0.3">
      <c r="A396" t="s">
        <v>447</v>
      </c>
      <c r="B396" s="1">
        <v>45349</v>
      </c>
      <c r="C396">
        <v>2024</v>
      </c>
      <c r="D396" t="s">
        <v>24</v>
      </c>
      <c r="E396" t="s">
        <v>284</v>
      </c>
      <c r="F396" t="s">
        <v>26</v>
      </c>
      <c r="G396" t="s">
        <v>45</v>
      </c>
      <c r="H396" t="s">
        <v>34</v>
      </c>
      <c r="I396" t="s">
        <v>29</v>
      </c>
      <c r="J396" t="s">
        <v>43</v>
      </c>
      <c r="K396" s="2">
        <v>5200</v>
      </c>
      <c r="L396" s="2">
        <v>16500</v>
      </c>
      <c r="M396">
        <v>36</v>
      </c>
      <c r="N396" s="3">
        <v>0.31</v>
      </c>
      <c r="O396" t="s">
        <v>125</v>
      </c>
      <c r="Q396">
        <v>0</v>
      </c>
      <c r="R396">
        <v>0</v>
      </c>
      <c r="S396" s="2">
        <v>0</v>
      </c>
      <c r="T396" s="4"/>
      <c r="U396">
        <v>2</v>
      </c>
      <c r="V396">
        <v>1</v>
      </c>
      <c r="W396">
        <v>1</v>
      </c>
    </row>
    <row r="397" spans="1:23" ht="16.5" x14ac:dyDescent="0.3">
      <c r="A397" t="s">
        <v>448</v>
      </c>
      <c r="B397" s="1">
        <v>45350</v>
      </c>
      <c r="C397">
        <v>2024</v>
      </c>
      <c r="D397" t="s">
        <v>24</v>
      </c>
      <c r="E397" t="s">
        <v>284</v>
      </c>
      <c r="F397" t="s">
        <v>41</v>
      </c>
      <c r="G397" t="s">
        <v>45</v>
      </c>
      <c r="H397" t="s">
        <v>55</v>
      </c>
      <c r="I397" t="s">
        <v>42</v>
      </c>
      <c r="J397" t="s">
        <v>35</v>
      </c>
      <c r="K397" s="2">
        <v>11200</v>
      </c>
      <c r="L397" s="2">
        <v>223000</v>
      </c>
      <c r="M397">
        <v>60</v>
      </c>
      <c r="N397" s="3">
        <v>0.66400000000000003</v>
      </c>
      <c r="O397" t="s">
        <v>17</v>
      </c>
      <c r="P397" t="s">
        <v>53</v>
      </c>
      <c r="Q397">
        <v>0</v>
      </c>
      <c r="R397">
        <v>1</v>
      </c>
      <c r="S397" s="2">
        <v>0</v>
      </c>
      <c r="T397" s="4"/>
      <c r="U397">
        <v>6</v>
      </c>
      <c r="V397">
        <v>1</v>
      </c>
      <c r="W397">
        <v>1</v>
      </c>
    </row>
    <row r="398" spans="1:23" ht="16.5" x14ac:dyDescent="0.3">
      <c r="A398" t="s">
        <v>449</v>
      </c>
      <c r="B398" s="1">
        <v>45350</v>
      </c>
      <c r="C398">
        <v>2024</v>
      </c>
      <c r="D398" t="s">
        <v>24</v>
      </c>
      <c r="E398" t="s">
        <v>284</v>
      </c>
      <c r="F398" t="s">
        <v>50</v>
      </c>
      <c r="G398" t="s">
        <v>27</v>
      </c>
      <c r="H398" t="s">
        <v>34</v>
      </c>
      <c r="I398" t="s">
        <v>39</v>
      </c>
      <c r="J398" t="s">
        <v>52</v>
      </c>
      <c r="K398" s="2">
        <v>7650</v>
      </c>
      <c r="L398" s="2">
        <v>171000</v>
      </c>
      <c r="M398">
        <v>180</v>
      </c>
      <c r="N398" s="3">
        <v>0.39700000000000002</v>
      </c>
      <c r="O398" t="s">
        <v>17</v>
      </c>
      <c r="P398" t="s">
        <v>60</v>
      </c>
      <c r="Q398">
        <v>0</v>
      </c>
      <c r="R398">
        <v>1</v>
      </c>
      <c r="S398" s="2">
        <v>0</v>
      </c>
      <c r="T398" s="4"/>
      <c r="U398">
        <v>20</v>
      </c>
      <c r="V398">
        <v>0</v>
      </c>
      <c r="W398">
        <v>1</v>
      </c>
    </row>
    <row r="399" spans="1:23" ht="16.5" x14ac:dyDescent="0.3">
      <c r="A399" t="s">
        <v>450</v>
      </c>
      <c r="B399" s="1">
        <v>45350</v>
      </c>
      <c r="C399">
        <v>2024</v>
      </c>
      <c r="D399" t="s">
        <v>24</v>
      </c>
      <c r="E399" t="s">
        <v>284</v>
      </c>
      <c r="F399" t="s">
        <v>37</v>
      </c>
      <c r="G399" t="s">
        <v>45</v>
      </c>
      <c r="H399" t="s">
        <v>38</v>
      </c>
      <c r="I399" t="s">
        <v>29</v>
      </c>
      <c r="J399" t="s">
        <v>30</v>
      </c>
      <c r="K399" s="2">
        <v>6600</v>
      </c>
      <c r="L399" s="2">
        <v>4000</v>
      </c>
      <c r="M399">
        <v>60</v>
      </c>
      <c r="N399" s="3">
        <v>0.13400000000000001</v>
      </c>
      <c r="O399" t="s">
        <v>16</v>
      </c>
      <c r="Q399">
        <v>1</v>
      </c>
      <c r="R399">
        <v>0</v>
      </c>
      <c r="S399" s="2">
        <v>3500</v>
      </c>
      <c r="T399" s="4">
        <v>0.13819999999999999</v>
      </c>
      <c r="U399">
        <v>2</v>
      </c>
      <c r="V399">
        <v>1</v>
      </c>
      <c r="W399">
        <v>1</v>
      </c>
    </row>
    <row r="400" spans="1:23" ht="16.5" x14ac:dyDescent="0.3">
      <c r="A400" t="s">
        <v>451</v>
      </c>
      <c r="B400" s="1">
        <v>45350</v>
      </c>
      <c r="C400">
        <v>2024</v>
      </c>
      <c r="D400" t="s">
        <v>24</v>
      </c>
      <c r="E400" t="s">
        <v>284</v>
      </c>
      <c r="F400" t="s">
        <v>50</v>
      </c>
      <c r="G400" t="s">
        <v>45</v>
      </c>
      <c r="H400" t="s">
        <v>64</v>
      </c>
      <c r="I400" t="s">
        <v>29</v>
      </c>
      <c r="J400" t="s">
        <v>35</v>
      </c>
      <c r="K400" s="2">
        <v>2400</v>
      </c>
      <c r="L400" s="2">
        <v>237500</v>
      </c>
      <c r="M400">
        <v>300</v>
      </c>
      <c r="N400" s="3">
        <v>0.66300000000000003</v>
      </c>
      <c r="O400" t="s">
        <v>16</v>
      </c>
      <c r="Q400">
        <v>1</v>
      </c>
      <c r="R400">
        <v>0</v>
      </c>
      <c r="S400" s="2">
        <v>237500</v>
      </c>
      <c r="T400" s="4">
        <v>5.9400000000000001E-2</v>
      </c>
      <c r="U400">
        <v>11</v>
      </c>
      <c r="V400">
        <v>1</v>
      </c>
      <c r="W400">
        <v>1</v>
      </c>
    </row>
    <row r="401" spans="1:23" ht="16.5" x14ac:dyDescent="0.3">
      <c r="A401" t="s">
        <v>452</v>
      </c>
      <c r="B401" s="1">
        <v>45350</v>
      </c>
      <c r="C401">
        <v>2024</v>
      </c>
      <c r="D401" t="s">
        <v>24</v>
      </c>
      <c r="E401" t="s">
        <v>284</v>
      </c>
      <c r="F401" t="s">
        <v>37</v>
      </c>
      <c r="G401" t="s">
        <v>27</v>
      </c>
      <c r="H401" t="s">
        <v>38</v>
      </c>
      <c r="I401" t="s">
        <v>29</v>
      </c>
      <c r="J401" t="s">
        <v>52</v>
      </c>
      <c r="K401" s="2">
        <v>1850</v>
      </c>
      <c r="L401" s="2">
        <v>15000</v>
      </c>
      <c r="M401">
        <v>36</v>
      </c>
      <c r="N401" s="3">
        <v>0.36399999999999999</v>
      </c>
      <c r="O401" t="s">
        <v>17</v>
      </c>
      <c r="P401" t="s">
        <v>60</v>
      </c>
      <c r="Q401">
        <v>0</v>
      </c>
      <c r="R401">
        <v>1</v>
      </c>
      <c r="S401" s="2">
        <v>0</v>
      </c>
      <c r="T401" s="4"/>
      <c r="U401">
        <v>7</v>
      </c>
      <c r="V401">
        <v>0</v>
      </c>
      <c r="W401">
        <v>1</v>
      </c>
    </row>
    <row r="402" spans="1:23" ht="16.5" x14ac:dyDescent="0.3">
      <c r="A402" t="s">
        <v>453</v>
      </c>
      <c r="B402" s="1">
        <v>45351</v>
      </c>
      <c r="C402">
        <v>2024</v>
      </c>
      <c r="D402" t="s">
        <v>24</v>
      </c>
      <c r="E402" t="s">
        <v>284</v>
      </c>
      <c r="F402" t="s">
        <v>37</v>
      </c>
      <c r="G402" t="s">
        <v>45</v>
      </c>
      <c r="H402" t="s">
        <v>38</v>
      </c>
      <c r="I402" t="s">
        <v>42</v>
      </c>
      <c r="J402" t="s">
        <v>52</v>
      </c>
      <c r="K402" s="2">
        <v>3000</v>
      </c>
      <c r="L402" s="2">
        <v>14000</v>
      </c>
      <c r="M402">
        <v>24</v>
      </c>
      <c r="N402" s="3">
        <v>0.28100000000000003</v>
      </c>
      <c r="O402" t="s">
        <v>16</v>
      </c>
      <c r="Q402">
        <v>1</v>
      </c>
      <c r="R402">
        <v>0</v>
      </c>
      <c r="S402" s="2">
        <v>14000</v>
      </c>
      <c r="T402" s="4">
        <v>0.1138</v>
      </c>
      <c r="U402">
        <v>2</v>
      </c>
      <c r="V402">
        <v>1</v>
      </c>
      <c r="W402">
        <v>1</v>
      </c>
    </row>
    <row r="403" spans="1:23" ht="16.5" x14ac:dyDescent="0.3">
      <c r="A403" t="s">
        <v>454</v>
      </c>
      <c r="B403" s="1">
        <v>45351</v>
      </c>
      <c r="C403">
        <v>2024</v>
      </c>
      <c r="D403" t="s">
        <v>24</v>
      </c>
      <c r="E403" t="s">
        <v>284</v>
      </c>
      <c r="F403" t="s">
        <v>41</v>
      </c>
      <c r="G403" t="s">
        <v>27</v>
      </c>
      <c r="H403" t="s">
        <v>34</v>
      </c>
      <c r="I403" t="s">
        <v>39</v>
      </c>
      <c r="J403" t="s">
        <v>30</v>
      </c>
      <c r="K403" s="2">
        <v>4400</v>
      </c>
      <c r="L403" s="2">
        <v>83500</v>
      </c>
      <c r="M403">
        <v>60</v>
      </c>
      <c r="N403" s="3">
        <v>0.626</v>
      </c>
      <c r="O403" t="s">
        <v>16</v>
      </c>
      <c r="Q403">
        <v>1</v>
      </c>
      <c r="R403">
        <v>0</v>
      </c>
      <c r="S403" s="2">
        <v>83500</v>
      </c>
      <c r="T403" s="4">
        <v>0.1187</v>
      </c>
      <c r="U403">
        <v>11</v>
      </c>
      <c r="V403">
        <v>0</v>
      </c>
      <c r="W403">
        <v>1</v>
      </c>
    </row>
    <row r="404" spans="1:23" ht="16.5" x14ac:dyDescent="0.3">
      <c r="A404" t="s">
        <v>455</v>
      </c>
      <c r="B404" s="1">
        <v>45351</v>
      </c>
      <c r="C404">
        <v>2024</v>
      </c>
      <c r="D404" t="s">
        <v>24</v>
      </c>
      <c r="E404" t="s">
        <v>284</v>
      </c>
      <c r="F404" t="s">
        <v>37</v>
      </c>
      <c r="G404" t="s">
        <v>45</v>
      </c>
      <c r="H404" t="s">
        <v>55</v>
      </c>
      <c r="I404" t="s">
        <v>29</v>
      </c>
      <c r="J404" t="s">
        <v>30</v>
      </c>
      <c r="K404" s="2">
        <v>7450</v>
      </c>
      <c r="L404" s="2">
        <v>9500</v>
      </c>
      <c r="M404">
        <v>36</v>
      </c>
      <c r="N404" s="3">
        <v>0.26</v>
      </c>
      <c r="O404" t="s">
        <v>17</v>
      </c>
      <c r="P404" t="s">
        <v>31</v>
      </c>
      <c r="Q404">
        <v>0</v>
      </c>
      <c r="R404">
        <v>1</v>
      </c>
      <c r="S404" s="2">
        <v>0</v>
      </c>
      <c r="T404" s="4"/>
      <c r="U404">
        <v>2</v>
      </c>
      <c r="V404">
        <v>1</v>
      </c>
      <c r="W404">
        <v>1</v>
      </c>
    </row>
    <row r="405" spans="1:23" ht="16.5" x14ac:dyDescent="0.3">
      <c r="A405" t="s">
        <v>456</v>
      </c>
      <c r="B405" s="1">
        <v>45351</v>
      </c>
      <c r="C405">
        <v>2024</v>
      </c>
      <c r="D405" t="s">
        <v>24</v>
      </c>
      <c r="E405" t="s">
        <v>284</v>
      </c>
      <c r="F405" t="s">
        <v>41</v>
      </c>
      <c r="G405" t="s">
        <v>27</v>
      </c>
      <c r="H405" t="s">
        <v>55</v>
      </c>
      <c r="I405" t="s">
        <v>42</v>
      </c>
      <c r="J405" t="s">
        <v>52</v>
      </c>
      <c r="K405" s="2">
        <v>9000</v>
      </c>
      <c r="L405" s="2">
        <v>46500</v>
      </c>
      <c r="M405">
        <v>36</v>
      </c>
      <c r="N405" s="3">
        <v>0.378</v>
      </c>
      <c r="O405" t="s">
        <v>17</v>
      </c>
      <c r="P405" t="s">
        <v>31</v>
      </c>
      <c r="Q405">
        <v>0</v>
      </c>
      <c r="R405">
        <v>1</v>
      </c>
      <c r="S405" s="2">
        <v>0</v>
      </c>
      <c r="T405" s="4"/>
      <c r="U405">
        <v>10</v>
      </c>
      <c r="V405">
        <v>1</v>
      </c>
      <c r="W405">
        <v>1</v>
      </c>
    </row>
    <row r="406" spans="1:23" ht="16.5" x14ac:dyDescent="0.3">
      <c r="A406" t="s">
        <v>457</v>
      </c>
      <c r="B406" s="1">
        <v>45351</v>
      </c>
      <c r="C406">
        <v>2024</v>
      </c>
      <c r="D406" t="s">
        <v>24</v>
      </c>
      <c r="E406" t="s">
        <v>284</v>
      </c>
      <c r="F406" t="s">
        <v>37</v>
      </c>
      <c r="G406" t="s">
        <v>51</v>
      </c>
      <c r="H406" t="s">
        <v>38</v>
      </c>
      <c r="I406" t="s">
        <v>42</v>
      </c>
      <c r="J406" t="s">
        <v>35</v>
      </c>
      <c r="K406" s="2">
        <v>4500</v>
      </c>
      <c r="L406" s="2">
        <v>17000</v>
      </c>
      <c r="M406">
        <v>24</v>
      </c>
      <c r="N406" s="3">
        <v>0.38200000000000001</v>
      </c>
      <c r="O406" t="s">
        <v>16</v>
      </c>
      <c r="Q406">
        <v>1</v>
      </c>
      <c r="R406">
        <v>0</v>
      </c>
      <c r="S406" s="2">
        <v>15500</v>
      </c>
      <c r="T406" s="4">
        <v>0.1293</v>
      </c>
      <c r="U406">
        <v>5</v>
      </c>
      <c r="V406">
        <v>0</v>
      </c>
      <c r="W406">
        <v>1</v>
      </c>
    </row>
    <row r="407" spans="1:23" ht="16.5" x14ac:dyDescent="0.3">
      <c r="A407" t="s">
        <v>458</v>
      </c>
      <c r="B407" s="1">
        <v>45351</v>
      </c>
      <c r="C407">
        <v>2024</v>
      </c>
      <c r="D407" t="s">
        <v>24</v>
      </c>
      <c r="E407" t="s">
        <v>284</v>
      </c>
      <c r="F407" t="s">
        <v>37</v>
      </c>
      <c r="G407" t="s">
        <v>33</v>
      </c>
      <c r="H407" t="s">
        <v>55</v>
      </c>
      <c r="I407" t="s">
        <v>29</v>
      </c>
      <c r="J407" t="s">
        <v>46</v>
      </c>
      <c r="K407" s="2">
        <v>5600</v>
      </c>
      <c r="L407" s="2">
        <v>10000</v>
      </c>
      <c r="M407">
        <v>24</v>
      </c>
      <c r="N407" s="3">
        <v>0.20300000000000001</v>
      </c>
      <c r="O407" t="s">
        <v>16</v>
      </c>
      <c r="Q407">
        <v>1</v>
      </c>
      <c r="R407">
        <v>0</v>
      </c>
      <c r="S407" s="2">
        <v>9000</v>
      </c>
      <c r="T407" s="4">
        <v>0.1051</v>
      </c>
      <c r="U407">
        <v>3</v>
      </c>
      <c r="V407">
        <v>1</v>
      </c>
      <c r="W407">
        <v>1</v>
      </c>
    </row>
    <row r="408" spans="1:23" ht="16.5" x14ac:dyDescent="0.3">
      <c r="A408" t="s">
        <v>459</v>
      </c>
      <c r="B408" s="1">
        <v>45352</v>
      </c>
      <c r="C408">
        <v>2024</v>
      </c>
      <c r="D408" t="s">
        <v>24</v>
      </c>
      <c r="E408" t="s">
        <v>460</v>
      </c>
      <c r="F408" t="s">
        <v>37</v>
      </c>
      <c r="G408" t="s">
        <v>45</v>
      </c>
      <c r="H408" t="s">
        <v>38</v>
      </c>
      <c r="I408" t="s">
        <v>29</v>
      </c>
      <c r="J408" t="s">
        <v>35</v>
      </c>
      <c r="K408" s="2">
        <v>4850</v>
      </c>
      <c r="L408" s="2">
        <v>15000</v>
      </c>
      <c r="M408">
        <v>36</v>
      </c>
      <c r="N408" s="3">
        <v>0.316</v>
      </c>
      <c r="O408" t="s">
        <v>17</v>
      </c>
      <c r="P408" t="s">
        <v>65</v>
      </c>
      <c r="Q408">
        <v>0</v>
      </c>
      <c r="R408">
        <v>1</v>
      </c>
      <c r="S408" s="2">
        <v>0</v>
      </c>
      <c r="T408" s="4"/>
      <c r="U408">
        <v>2</v>
      </c>
      <c r="V408">
        <v>1</v>
      </c>
      <c r="W408">
        <v>1</v>
      </c>
    </row>
    <row r="409" spans="1:23" ht="16.5" x14ac:dyDescent="0.3">
      <c r="A409" t="s">
        <v>461</v>
      </c>
      <c r="B409" s="1">
        <v>45352</v>
      </c>
      <c r="C409">
        <v>2024</v>
      </c>
      <c r="D409" t="s">
        <v>24</v>
      </c>
      <c r="E409" t="s">
        <v>460</v>
      </c>
      <c r="F409" t="s">
        <v>37</v>
      </c>
      <c r="G409" t="s">
        <v>45</v>
      </c>
      <c r="H409" t="s">
        <v>38</v>
      </c>
      <c r="I409" t="s">
        <v>42</v>
      </c>
      <c r="J409" t="s">
        <v>52</v>
      </c>
      <c r="K409" s="2">
        <v>2250</v>
      </c>
      <c r="L409" s="2">
        <v>14500</v>
      </c>
      <c r="M409">
        <v>48</v>
      </c>
      <c r="N409" s="3">
        <v>0.28399999999999997</v>
      </c>
      <c r="O409" t="s">
        <v>16</v>
      </c>
      <c r="Q409">
        <v>1</v>
      </c>
      <c r="R409">
        <v>0</v>
      </c>
      <c r="S409" s="2">
        <v>11500</v>
      </c>
      <c r="T409" s="4">
        <v>0.1152</v>
      </c>
      <c r="U409">
        <v>2</v>
      </c>
      <c r="V409">
        <v>1</v>
      </c>
      <c r="W409">
        <v>1</v>
      </c>
    </row>
    <row r="410" spans="1:23" ht="16.5" x14ac:dyDescent="0.3">
      <c r="A410" t="s">
        <v>462</v>
      </c>
      <c r="B410" s="1">
        <v>45352</v>
      </c>
      <c r="C410">
        <v>2024</v>
      </c>
      <c r="D410" t="s">
        <v>24</v>
      </c>
      <c r="E410" t="s">
        <v>460</v>
      </c>
      <c r="F410" t="s">
        <v>37</v>
      </c>
      <c r="G410" t="s">
        <v>33</v>
      </c>
      <c r="H410" t="s">
        <v>38</v>
      </c>
      <c r="I410" t="s">
        <v>29</v>
      </c>
      <c r="J410" t="s">
        <v>43</v>
      </c>
      <c r="K410" s="2">
        <v>6300</v>
      </c>
      <c r="L410" s="2">
        <v>9500</v>
      </c>
      <c r="M410">
        <v>12</v>
      </c>
      <c r="N410" s="3">
        <v>0.30199999999999999</v>
      </c>
      <c r="O410" t="s">
        <v>17</v>
      </c>
      <c r="P410" t="s">
        <v>31</v>
      </c>
      <c r="Q410">
        <v>0</v>
      </c>
      <c r="R410">
        <v>1</v>
      </c>
      <c r="S410" s="2">
        <v>0</v>
      </c>
      <c r="T410" s="4"/>
      <c r="U410">
        <v>2</v>
      </c>
      <c r="V410">
        <v>1</v>
      </c>
      <c r="W410">
        <v>1</v>
      </c>
    </row>
    <row r="411" spans="1:23" ht="16.5" x14ac:dyDescent="0.3">
      <c r="A411" t="s">
        <v>463</v>
      </c>
      <c r="B411" s="1">
        <v>45352</v>
      </c>
      <c r="C411">
        <v>2024</v>
      </c>
      <c r="D411" t="s">
        <v>24</v>
      </c>
      <c r="E411" t="s">
        <v>460</v>
      </c>
      <c r="F411" t="s">
        <v>26</v>
      </c>
      <c r="G411" t="s">
        <v>33</v>
      </c>
      <c r="H411" t="s">
        <v>38</v>
      </c>
      <c r="I411" t="s">
        <v>29</v>
      </c>
      <c r="J411" t="s">
        <v>46</v>
      </c>
      <c r="K411" s="2">
        <v>6350</v>
      </c>
      <c r="L411" s="2">
        <v>15000</v>
      </c>
      <c r="M411">
        <v>60</v>
      </c>
      <c r="N411" s="3">
        <v>0.17399999999999999</v>
      </c>
      <c r="O411" t="s">
        <v>16</v>
      </c>
      <c r="Q411">
        <v>1</v>
      </c>
      <c r="R411">
        <v>0</v>
      </c>
      <c r="S411" s="2">
        <v>13500</v>
      </c>
      <c r="T411" s="4">
        <v>6.88E-2</v>
      </c>
      <c r="U411">
        <v>4</v>
      </c>
      <c r="V411">
        <v>1</v>
      </c>
      <c r="W411">
        <v>1</v>
      </c>
    </row>
    <row r="412" spans="1:23" ht="16.5" x14ac:dyDescent="0.3">
      <c r="A412" t="s">
        <v>464</v>
      </c>
      <c r="B412" s="1">
        <v>45352</v>
      </c>
      <c r="C412">
        <v>2024</v>
      </c>
      <c r="D412" t="s">
        <v>24</v>
      </c>
      <c r="E412" t="s">
        <v>460</v>
      </c>
      <c r="F412" t="s">
        <v>41</v>
      </c>
      <c r="G412" t="s">
        <v>33</v>
      </c>
      <c r="H412" t="s">
        <v>38</v>
      </c>
      <c r="I412" t="s">
        <v>39</v>
      </c>
      <c r="J412" t="s">
        <v>52</v>
      </c>
      <c r="K412" s="2">
        <v>4050</v>
      </c>
      <c r="L412" s="2">
        <v>98500</v>
      </c>
      <c r="M412">
        <v>60</v>
      </c>
      <c r="N412" s="3">
        <v>0.69699999999999995</v>
      </c>
      <c r="O412" t="s">
        <v>16</v>
      </c>
      <c r="Q412">
        <v>1</v>
      </c>
      <c r="R412">
        <v>0</v>
      </c>
      <c r="S412" s="2">
        <v>79000</v>
      </c>
      <c r="T412" s="4">
        <v>9.4399999999999998E-2</v>
      </c>
      <c r="U412">
        <v>7</v>
      </c>
      <c r="V412">
        <v>1</v>
      </c>
      <c r="W412">
        <v>1</v>
      </c>
    </row>
    <row r="413" spans="1:23" ht="16.5" x14ac:dyDescent="0.3">
      <c r="A413" t="s">
        <v>465</v>
      </c>
      <c r="B413" s="1">
        <v>45352</v>
      </c>
      <c r="C413">
        <v>2024</v>
      </c>
      <c r="D413" t="s">
        <v>24</v>
      </c>
      <c r="E413" t="s">
        <v>460</v>
      </c>
      <c r="F413" t="s">
        <v>41</v>
      </c>
      <c r="G413" t="s">
        <v>51</v>
      </c>
      <c r="H413" t="s">
        <v>28</v>
      </c>
      <c r="I413" t="s">
        <v>29</v>
      </c>
      <c r="J413" t="s">
        <v>46</v>
      </c>
      <c r="K413" s="2">
        <v>7900</v>
      </c>
      <c r="L413" s="2">
        <v>53500</v>
      </c>
      <c r="M413">
        <v>60</v>
      </c>
      <c r="N413" s="3">
        <v>0.34899999999999998</v>
      </c>
      <c r="O413" t="s">
        <v>16</v>
      </c>
      <c r="Q413">
        <v>1</v>
      </c>
      <c r="R413">
        <v>0</v>
      </c>
      <c r="S413" s="2">
        <v>53500</v>
      </c>
      <c r="T413" s="4">
        <v>0.09</v>
      </c>
      <c r="U413">
        <v>20</v>
      </c>
      <c r="V413">
        <v>0</v>
      </c>
      <c r="W413">
        <v>1</v>
      </c>
    </row>
    <row r="414" spans="1:23" ht="16.5" x14ac:dyDescent="0.3">
      <c r="A414" t="s">
        <v>466</v>
      </c>
      <c r="B414" s="1">
        <v>45352</v>
      </c>
      <c r="C414">
        <v>2024</v>
      </c>
      <c r="D414" t="s">
        <v>24</v>
      </c>
      <c r="E414" t="s">
        <v>460</v>
      </c>
      <c r="F414" t="s">
        <v>50</v>
      </c>
      <c r="G414" t="s">
        <v>27</v>
      </c>
      <c r="H414" t="s">
        <v>28</v>
      </c>
      <c r="I414" t="s">
        <v>29</v>
      </c>
      <c r="J414" t="s">
        <v>46</v>
      </c>
      <c r="K414" s="2">
        <v>4300</v>
      </c>
      <c r="L414" s="2">
        <v>429000</v>
      </c>
      <c r="M414">
        <v>180</v>
      </c>
      <c r="N414" s="3">
        <v>0.95899999999999996</v>
      </c>
      <c r="O414" t="s">
        <v>16</v>
      </c>
      <c r="Q414">
        <v>1</v>
      </c>
      <c r="R414">
        <v>0</v>
      </c>
      <c r="S414" s="2">
        <v>429000</v>
      </c>
      <c r="T414" s="4">
        <v>3.5000000000000003E-2</v>
      </c>
      <c r="U414">
        <v>15</v>
      </c>
      <c r="V414">
        <v>1</v>
      </c>
      <c r="W414">
        <v>1</v>
      </c>
    </row>
    <row r="415" spans="1:23" ht="16.5" x14ac:dyDescent="0.3">
      <c r="A415" t="s">
        <v>467</v>
      </c>
      <c r="B415" s="1">
        <v>45353</v>
      </c>
      <c r="C415">
        <v>2024</v>
      </c>
      <c r="D415" t="s">
        <v>24</v>
      </c>
      <c r="E415" t="s">
        <v>460</v>
      </c>
      <c r="F415" t="s">
        <v>26</v>
      </c>
      <c r="G415" t="s">
        <v>27</v>
      </c>
      <c r="H415" t="s">
        <v>55</v>
      </c>
      <c r="I415" t="s">
        <v>42</v>
      </c>
      <c r="J415" t="s">
        <v>30</v>
      </c>
      <c r="K415" s="2">
        <v>6950</v>
      </c>
      <c r="L415" s="2">
        <v>31000</v>
      </c>
      <c r="M415">
        <v>60</v>
      </c>
      <c r="N415" s="3">
        <v>0.32400000000000001</v>
      </c>
      <c r="O415" t="s">
        <v>17</v>
      </c>
      <c r="P415" t="s">
        <v>31</v>
      </c>
      <c r="Q415">
        <v>0</v>
      </c>
      <c r="R415">
        <v>1</v>
      </c>
      <c r="S415" s="2">
        <v>0</v>
      </c>
      <c r="T415" s="4"/>
      <c r="U415">
        <v>7</v>
      </c>
      <c r="V415">
        <v>0</v>
      </c>
      <c r="W415">
        <v>1</v>
      </c>
    </row>
    <row r="416" spans="1:23" ht="16.5" x14ac:dyDescent="0.3">
      <c r="A416" t="s">
        <v>468</v>
      </c>
      <c r="B416" s="1">
        <v>45353</v>
      </c>
      <c r="C416">
        <v>2024</v>
      </c>
      <c r="D416" t="s">
        <v>24</v>
      </c>
      <c r="E416" t="s">
        <v>460</v>
      </c>
      <c r="F416" t="s">
        <v>26</v>
      </c>
      <c r="G416" t="s">
        <v>51</v>
      </c>
      <c r="H416" t="s">
        <v>64</v>
      </c>
      <c r="I416" t="s">
        <v>29</v>
      </c>
      <c r="J416" t="s">
        <v>35</v>
      </c>
      <c r="K416" s="2">
        <v>4700</v>
      </c>
      <c r="L416" s="2">
        <v>61500</v>
      </c>
      <c r="M416">
        <v>36</v>
      </c>
      <c r="N416" s="3">
        <v>0.51</v>
      </c>
      <c r="O416" t="s">
        <v>125</v>
      </c>
      <c r="Q416">
        <v>0</v>
      </c>
      <c r="R416">
        <v>0</v>
      </c>
      <c r="S416" s="2">
        <v>0</v>
      </c>
      <c r="T416" s="4"/>
      <c r="U416">
        <v>4</v>
      </c>
      <c r="V416">
        <v>1</v>
      </c>
      <c r="W416">
        <v>1</v>
      </c>
    </row>
    <row r="417" spans="1:23" ht="16.5" x14ac:dyDescent="0.3">
      <c r="A417" t="s">
        <v>469</v>
      </c>
      <c r="B417" s="1">
        <v>45353</v>
      </c>
      <c r="C417">
        <v>2024</v>
      </c>
      <c r="D417" t="s">
        <v>24</v>
      </c>
      <c r="E417" t="s">
        <v>460</v>
      </c>
      <c r="F417" t="s">
        <v>37</v>
      </c>
      <c r="G417" t="s">
        <v>51</v>
      </c>
      <c r="H417" t="s">
        <v>34</v>
      </c>
      <c r="I417" t="s">
        <v>29</v>
      </c>
      <c r="J417" t="s">
        <v>35</v>
      </c>
      <c r="K417" s="2">
        <v>6150</v>
      </c>
      <c r="L417" s="2">
        <v>11000</v>
      </c>
      <c r="M417">
        <v>36</v>
      </c>
      <c r="N417" s="3">
        <v>0.126</v>
      </c>
      <c r="O417" t="s">
        <v>16</v>
      </c>
      <c r="Q417">
        <v>1</v>
      </c>
      <c r="R417">
        <v>0</v>
      </c>
      <c r="S417" s="2">
        <v>10000</v>
      </c>
      <c r="T417" s="4">
        <v>0.13059999999999999</v>
      </c>
      <c r="U417">
        <v>4</v>
      </c>
      <c r="V417">
        <v>0</v>
      </c>
      <c r="W417">
        <v>1</v>
      </c>
    </row>
    <row r="418" spans="1:23" ht="16.5" x14ac:dyDescent="0.3">
      <c r="A418" t="s">
        <v>470</v>
      </c>
      <c r="B418" s="1">
        <v>45353</v>
      </c>
      <c r="C418">
        <v>2024</v>
      </c>
      <c r="D418" t="s">
        <v>24</v>
      </c>
      <c r="E418" t="s">
        <v>460</v>
      </c>
      <c r="F418" t="s">
        <v>26</v>
      </c>
      <c r="G418" t="s">
        <v>33</v>
      </c>
      <c r="H418" t="s">
        <v>64</v>
      </c>
      <c r="I418" t="s">
        <v>42</v>
      </c>
      <c r="J418" t="s">
        <v>35</v>
      </c>
      <c r="K418" s="2">
        <v>7050</v>
      </c>
      <c r="L418" s="2">
        <v>54500</v>
      </c>
      <c r="M418">
        <v>48</v>
      </c>
      <c r="N418" s="3">
        <v>0.35099999999999998</v>
      </c>
      <c r="O418" t="s">
        <v>17</v>
      </c>
      <c r="P418" t="s">
        <v>65</v>
      </c>
      <c r="Q418">
        <v>0</v>
      </c>
      <c r="R418">
        <v>1</v>
      </c>
      <c r="S418" s="2">
        <v>0</v>
      </c>
      <c r="T418" s="4"/>
      <c r="U418">
        <v>2</v>
      </c>
      <c r="V418">
        <v>1</v>
      </c>
      <c r="W418">
        <v>1</v>
      </c>
    </row>
    <row r="419" spans="1:23" ht="16.5" x14ac:dyDescent="0.3">
      <c r="A419" t="s">
        <v>471</v>
      </c>
      <c r="B419" s="1">
        <v>45353</v>
      </c>
      <c r="C419">
        <v>2024</v>
      </c>
      <c r="D419" t="s">
        <v>24</v>
      </c>
      <c r="E419" t="s">
        <v>460</v>
      </c>
      <c r="F419" t="s">
        <v>37</v>
      </c>
      <c r="G419" t="s">
        <v>51</v>
      </c>
      <c r="H419" t="s">
        <v>34</v>
      </c>
      <c r="I419" t="s">
        <v>39</v>
      </c>
      <c r="J419" t="s">
        <v>46</v>
      </c>
      <c r="K419" s="2">
        <v>4350</v>
      </c>
      <c r="L419" s="2">
        <v>11000</v>
      </c>
      <c r="M419">
        <v>48</v>
      </c>
      <c r="N419" s="3">
        <v>0.20799999999999999</v>
      </c>
      <c r="O419" t="s">
        <v>16</v>
      </c>
      <c r="Q419">
        <v>1</v>
      </c>
      <c r="R419">
        <v>0</v>
      </c>
      <c r="S419" s="2">
        <v>10000</v>
      </c>
      <c r="T419" s="4">
        <v>0.1074</v>
      </c>
      <c r="U419">
        <v>9</v>
      </c>
      <c r="V419">
        <v>0</v>
      </c>
      <c r="W419">
        <v>1</v>
      </c>
    </row>
    <row r="420" spans="1:23" ht="16.5" x14ac:dyDescent="0.3">
      <c r="A420" t="s">
        <v>472</v>
      </c>
      <c r="B420" s="1">
        <v>45354</v>
      </c>
      <c r="C420">
        <v>2024</v>
      </c>
      <c r="D420" t="s">
        <v>24</v>
      </c>
      <c r="E420" t="s">
        <v>460</v>
      </c>
      <c r="F420" t="s">
        <v>26</v>
      </c>
      <c r="G420" t="s">
        <v>51</v>
      </c>
      <c r="H420" t="s">
        <v>38</v>
      </c>
      <c r="I420" t="s">
        <v>39</v>
      </c>
      <c r="J420" t="s">
        <v>43</v>
      </c>
      <c r="K420" s="2">
        <v>4300</v>
      </c>
      <c r="L420" s="2">
        <v>30000</v>
      </c>
      <c r="M420">
        <v>36</v>
      </c>
      <c r="N420" s="3">
        <v>0.44700000000000001</v>
      </c>
      <c r="O420" t="s">
        <v>17</v>
      </c>
      <c r="P420" t="s">
        <v>31</v>
      </c>
      <c r="Q420">
        <v>0</v>
      </c>
      <c r="R420">
        <v>1</v>
      </c>
      <c r="S420" s="2">
        <v>0</v>
      </c>
      <c r="T420" s="4"/>
      <c r="U420">
        <v>12</v>
      </c>
      <c r="V420">
        <v>0</v>
      </c>
      <c r="W420">
        <v>1</v>
      </c>
    </row>
    <row r="421" spans="1:23" ht="16.5" x14ac:dyDescent="0.3">
      <c r="A421" t="s">
        <v>473</v>
      </c>
      <c r="B421" s="1">
        <v>45354</v>
      </c>
      <c r="C421">
        <v>2024</v>
      </c>
      <c r="D421" t="s">
        <v>24</v>
      </c>
      <c r="E421" t="s">
        <v>460</v>
      </c>
      <c r="F421" t="s">
        <v>37</v>
      </c>
      <c r="G421" t="s">
        <v>33</v>
      </c>
      <c r="H421" t="s">
        <v>28</v>
      </c>
      <c r="I421" t="s">
        <v>39</v>
      </c>
      <c r="J421" t="s">
        <v>30</v>
      </c>
      <c r="K421" s="2">
        <v>7250</v>
      </c>
      <c r="L421" s="2">
        <v>9500</v>
      </c>
      <c r="M421">
        <v>36</v>
      </c>
      <c r="N421" s="3">
        <v>0.28299999999999997</v>
      </c>
      <c r="O421" t="s">
        <v>17</v>
      </c>
      <c r="P421" t="s">
        <v>31</v>
      </c>
      <c r="Q421">
        <v>0</v>
      </c>
      <c r="R421">
        <v>1</v>
      </c>
      <c r="S421" s="2">
        <v>0</v>
      </c>
      <c r="T421" s="4"/>
      <c r="U421">
        <v>2</v>
      </c>
      <c r="V421">
        <v>1</v>
      </c>
      <c r="W421">
        <v>1</v>
      </c>
    </row>
    <row r="422" spans="1:23" ht="16.5" x14ac:dyDescent="0.3">
      <c r="A422" t="s">
        <v>474</v>
      </c>
      <c r="B422" s="1">
        <v>45354</v>
      </c>
      <c r="C422">
        <v>2024</v>
      </c>
      <c r="D422" t="s">
        <v>24</v>
      </c>
      <c r="E422" t="s">
        <v>460</v>
      </c>
      <c r="F422" t="s">
        <v>50</v>
      </c>
      <c r="G422" t="s">
        <v>33</v>
      </c>
      <c r="H422" t="s">
        <v>64</v>
      </c>
      <c r="I422" t="s">
        <v>29</v>
      </c>
      <c r="J422" t="s">
        <v>52</v>
      </c>
      <c r="K422" s="2">
        <v>8700</v>
      </c>
      <c r="L422" s="2">
        <v>205500</v>
      </c>
      <c r="M422">
        <v>180</v>
      </c>
      <c r="N422" s="3">
        <v>0.38100000000000001</v>
      </c>
      <c r="O422" t="s">
        <v>17</v>
      </c>
      <c r="P422" t="s">
        <v>60</v>
      </c>
      <c r="Q422">
        <v>0</v>
      </c>
      <c r="R422">
        <v>1</v>
      </c>
      <c r="S422" s="2">
        <v>0</v>
      </c>
      <c r="T422" s="4"/>
      <c r="U422">
        <v>8</v>
      </c>
      <c r="V422">
        <v>1</v>
      </c>
      <c r="W422">
        <v>1</v>
      </c>
    </row>
    <row r="423" spans="1:23" ht="16.5" x14ac:dyDescent="0.3">
      <c r="A423" t="s">
        <v>475</v>
      </c>
      <c r="B423" s="1">
        <v>45355</v>
      </c>
      <c r="C423">
        <v>2024</v>
      </c>
      <c r="D423" t="s">
        <v>24</v>
      </c>
      <c r="E423" t="s">
        <v>460</v>
      </c>
      <c r="F423" t="s">
        <v>26</v>
      </c>
      <c r="G423" t="s">
        <v>33</v>
      </c>
      <c r="H423" t="s">
        <v>64</v>
      </c>
      <c r="I423" t="s">
        <v>42</v>
      </c>
      <c r="J423" t="s">
        <v>35</v>
      </c>
      <c r="K423" s="2">
        <v>18300</v>
      </c>
      <c r="L423" s="2">
        <v>19500</v>
      </c>
      <c r="M423">
        <v>36</v>
      </c>
      <c r="N423" s="3">
        <v>0.224</v>
      </c>
      <c r="O423" t="s">
        <v>17</v>
      </c>
      <c r="P423" t="s">
        <v>65</v>
      </c>
      <c r="Q423">
        <v>0</v>
      </c>
      <c r="R423">
        <v>1</v>
      </c>
      <c r="S423" s="2">
        <v>0</v>
      </c>
      <c r="T423" s="4"/>
      <c r="U423">
        <v>3</v>
      </c>
      <c r="V423">
        <v>1</v>
      </c>
      <c r="W423">
        <v>1</v>
      </c>
    </row>
    <row r="424" spans="1:23" ht="16.5" x14ac:dyDescent="0.3">
      <c r="A424" t="s">
        <v>476</v>
      </c>
      <c r="B424" s="1">
        <v>45355</v>
      </c>
      <c r="C424">
        <v>2024</v>
      </c>
      <c r="D424" t="s">
        <v>24</v>
      </c>
      <c r="E424" t="s">
        <v>460</v>
      </c>
      <c r="F424" t="s">
        <v>37</v>
      </c>
      <c r="G424" t="s">
        <v>27</v>
      </c>
      <c r="H424" t="s">
        <v>38</v>
      </c>
      <c r="I424" t="s">
        <v>42</v>
      </c>
      <c r="J424" t="s">
        <v>35</v>
      </c>
      <c r="K424" s="2">
        <v>7850</v>
      </c>
      <c r="L424" s="2">
        <v>14500</v>
      </c>
      <c r="M424">
        <v>60</v>
      </c>
      <c r="N424" s="3">
        <v>0.154</v>
      </c>
      <c r="O424" t="s">
        <v>17</v>
      </c>
      <c r="P424" t="s">
        <v>60</v>
      </c>
      <c r="Q424">
        <v>0</v>
      </c>
      <c r="R424">
        <v>1</v>
      </c>
      <c r="S424" s="2">
        <v>0</v>
      </c>
      <c r="T424" s="4"/>
      <c r="U424">
        <v>8</v>
      </c>
      <c r="V424">
        <v>0</v>
      </c>
      <c r="W424">
        <v>1</v>
      </c>
    </row>
    <row r="425" spans="1:23" ht="16.5" x14ac:dyDescent="0.3">
      <c r="A425" t="s">
        <v>477</v>
      </c>
      <c r="B425" s="1">
        <v>45355</v>
      </c>
      <c r="C425">
        <v>2024</v>
      </c>
      <c r="D425" t="s">
        <v>24</v>
      </c>
      <c r="E425" t="s">
        <v>460</v>
      </c>
      <c r="F425" t="s">
        <v>37</v>
      </c>
      <c r="G425" t="s">
        <v>33</v>
      </c>
      <c r="H425" t="s">
        <v>55</v>
      </c>
      <c r="I425" t="s">
        <v>29</v>
      </c>
      <c r="J425" t="s">
        <v>35</v>
      </c>
      <c r="K425" s="2">
        <v>10700</v>
      </c>
      <c r="L425" s="2">
        <v>19000</v>
      </c>
      <c r="M425">
        <v>48</v>
      </c>
      <c r="N425" s="3">
        <v>0.17499999999999999</v>
      </c>
      <c r="O425" t="s">
        <v>17</v>
      </c>
      <c r="P425" t="s">
        <v>60</v>
      </c>
      <c r="Q425">
        <v>0</v>
      </c>
      <c r="R425">
        <v>1</v>
      </c>
      <c r="S425" s="2">
        <v>0</v>
      </c>
      <c r="T425" s="4"/>
      <c r="U425">
        <v>6</v>
      </c>
      <c r="V425">
        <v>0</v>
      </c>
      <c r="W425">
        <v>1</v>
      </c>
    </row>
    <row r="426" spans="1:23" ht="16.5" x14ac:dyDescent="0.3">
      <c r="A426" t="s">
        <v>478</v>
      </c>
      <c r="B426" s="1">
        <v>45355</v>
      </c>
      <c r="C426">
        <v>2024</v>
      </c>
      <c r="D426" t="s">
        <v>24</v>
      </c>
      <c r="E426" t="s">
        <v>460</v>
      </c>
      <c r="F426" t="s">
        <v>37</v>
      </c>
      <c r="G426" t="s">
        <v>51</v>
      </c>
      <c r="H426" t="s">
        <v>38</v>
      </c>
      <c r="I426" t="s">
        <v>39</v>
      </c>
      <c r="J426" t="s">
        <v>30</v>
      </c>
      <c r="K426" s="2">
        <v>5100</v>
      </c>
      <c r="L426" s="2">
        <v>24000</v>
      </c>
      <c r="M426">
        <v>24</v>
      </c>
      <c r="N426" s="3">
        <v>0.372</v>
      </c>
      <c r="O426" t="s">
        <v>16</v>
      </c>
      <c r="Q426">
        <v>1</v>
      </c>
      <c r="R426">
        <v>0</v>
      </c>
      <c r="S426" s="2">
        <v>24000</v>
      </c>
      <c r="T426" s="4">
        <v>0.1426</v>
      </c>
      <c r="U426">
        <v>7</v>
      </c>
      <c r="V426">
        <v>0</v>
      </c>
      <c r="W426">
        <v>1</v>
      </c>
    </row>
    <row r="427" spans="1:23" ht="16.5" x14ac:dyDescent="0.3">
      <c r="A427" t="s">
        <v>479</v>
      </c>
      <c r="B427" s="1">
        <v>45355</v>
      </c>
      <c r="C427">
        <v>2024</v>
      </c>
      <c r="D427" t="s">
        <v>24</v>
      </c>
      <c r="E427" t="s">
        <v>460</v>
      </c>
      <c r="F427" t="s">
        <v>41</v>
      </c>
      <c r="G427" t="s">
        <v>51</v>
      </c>
      <c r="H427" t="s">
        <v>55</v>
      </c>
      <c r="I427" t="s">
        <v>29</v>
      </c>
      <c r="J427" t="s">
        <v>43</v>
      </c>
      <c r="K427" s="2">
        <v>6500</v>
      </c>
      <c r="L427" s="2">
        <v>26500</v>
      </c>
      <c r="M427">
        <v>24</v>
      </c>
      <c r="N427" s="3">
        <v>0.29499999999999998</v>
      </c>
      <c r="O427" t="s">
        <v>17</v>
      </c>
      <c r="P427" t="s">
        <v>65</v>
      </c>
      <c r="Q427">
        <v>0</v>
      </c>
      <c r="R427">
        <v>1</v>
      </c>
      <c r="S427" s="2">
        <v>0</v>
      </c>
      <c r="T427" s="4"/>
      <c r="U427">
        <v>10</v>
      </c>
      <c r="V427">
        <v>1</v>
      </c>
      <c r="W427">
        <v>1</v>
      </c>
    </row>
    <row r="428" spans="1:23" ht="16.5" x14ac:dyDescent="0.3">
      <c r="A428" t="s">
        <v>480</v>
      </c>
      <c r="B428" s="1">
        <v>45355</v>
      </c>
      <c r="C428">
        <v>2024</v>
      </c>
      <c r="D428" t="s">
        <v>24</v>
      </c>
      <c r="E428" t="s">
        <v>460</v>
      </c>
      <c r="F428" t="s">
        <v>37</v>
      </c>
      <c r="G428" t="s">
        <v>45</v>
      </c>
      <c r="H428" t="s">
        <v>55</v>
      </c>
      <c r="I428" t="s">
        <v>29</v>
      </c>
      <c r="J428" t="s">
        <v>35</v>
      </c>
      <c r="K428" s="2">
        <v>4600</v>
      </c>
      <c r="L428" s="2">
        <v>9500</v>
      </c>
      <c r="M428">
        <v>48</v>
      </c>
      <c r="N428" s="3">
        <v>0.17499999999999999</v>
      </c>
      <c r="O428" t="s">
        <v>17</v>
      </c>
      <c r="P428" t="s">
        <v>48</v>
      </c>
      <c r="Q428">
        <v>0</v>
      </c>
      <c r="R428">
        <v>1</v>
      </c>
      <c r="S428" s="2">
        <v>0</v>
      </c>
      <c r="T428" s="4"/>
      <c r="U428">
        <v>2</v>
      </c>
      <c r="V428">
        <v>1</v>
      </c>
      <c r="W428">
        <v>1</v>
      </c>
    </row>
    <row r="429" spans="1:23" ht="16.5" x14ac:dyDescent="0.3">
      <c r="A429" t="s">
        <v>481</v>
      </c>
      <c r="B429" s="1">
        <v>45355</v>
      </c>
      <c r="C429">
        <v>2024</v>
      </c>
      <c r="D429" t="s">
        <v>24</v>
      </c>
      <c r="E429" t="s">
        <v>460</v>
      </c>
      <c r="F429" t="s">
        <v>50</v>
      </c>
      <c r="G429" t="s">
        <v>45</v>
      </c>
      <c r="H429" t="s">
        <v>38</v>
      </c>
      <c r="I429" t="s">
        <v>29</v>
      </c>
      <c r="J429" t="s">
        <v>30</v>
      </c>
      <c r="K429" s="2">
        <v>4050</v>
      </c>
      <c r="L429" s="2">
        <v>621000</v>
      </c>
      <c r="M429">
        <v>240</v>
      </c>
      <c r="N429" s="3">
        <v>1.107</v>
      </c>
      <c r="O429" t="s">
        <v>17</v>
      </c>
      <c r="P429" t="s">
        <v>31</v>
      </c>
      <c r="Q429">
        <v>0</v>
      </c>
      <c r="R429">
        <v>1</v>
      </c>
      <c r="S429" s="2">
        <v>0</v>
      </c>
      <c r="T429" s="4"/>
      <c r="U429">
        <v>8</v>
      </c>
      <c r="V429">
        <v>1</v>
      </c>
      <c r="W429">
        <v>1</v>
      </c>
    </row>
    <row r="430" spans="1:23" ht="16.5" x14ac:dyDescent="0.3">
      <c r="A430" t="s">
        <v>482</v>
      </c>
      <c r="B430" s="1">
        <v>45355</v>
      </c>
      <c r="C430">
        <v>2024</v>
      </c>
      <c r="D430" t="s">
        <v>24</v>
      </c>
      <c r="E430" t="s">
        <v>460</v>
      </c>
      <c r="F430" t="s">
        <v>26</v>
      </c>
      <c r="G430" t="s">
        <v>27</v>
      </c>
      <c r="H430" t="s">
        <v>34</v>
      </c>
      <c r="I430" t="s">
        <v>29</v>
      </c>
      <c r="J430" t="s">
        <v>43</v>
      </c>
      <c r="K430" s="2">
        <v>5050</v>
      </c>
      <c r="L430" s="2">
        <v>24000</v>
      </c>
      <c r="M430">
        <v>36</v>
      </c>
      <c r="N430" s="3">
        <v>0.20399999999999999</v>
      </c>
      <c r="O430" t="s">
        <v>17</v>
      </c>
      <c r="P430" t="s">
        <v>31</v>
      </c>
      <c r="Q430">
        <v>0</v>
      </c>
      <c r="R430">
        <v>1</v>
      </c>
      <c r="S430" s="2">
        <v>0</v>
      </c>
      <c r="T430" s="4"/>
      <c r="U430">
        <v>5</v>
      </c>
      <c r="V430">
        <v>0</v>
      </c>
      <c r="W430">
        <v>1</v>
      </c>
    </row>
    <row r="431" spans="1:23" ht="16.5" x14ac:dyDescent="0.3">
      <c r="A431" t="s">
        <v>483</v>
      </c>
      <c r="B431" s="1">
        <v>45356</v>
      </c>
      <c r="C431">
        <v>2024</v>
      </c>
      <c r="D431" t="s">
        <v>24</v>
      </c>
      <c r="E431" t="s">
        <v>460</v>
      </c>
      <c r="F431" t="s">
        <v>26</v>
      </c>
      <c r="G431" t="s">
        <v>27</v>
      </c>
      <c r="H431" t="s">
        <v>55</v>
      </c>
      <c r="I431" t="s">
        <v>29</v>
      </c>
      <c r="J431" t="s">
        <v>52</v>
      </c>
      <c r="K431" s="2">
        <v>4050</v>
      </c>
      <c r="L431" s="2">
        <v>62500</v>
      </c>
      <c r="M431">
        <v>60</v>
      </c>
      <c r="N431" s="3">
        <v>0.52800000000000002</v>
      </c>
      <c r="O431" t="s">
        <v>17</v>
      </c>
      <c r="P431" t="s">
        <v>60</v>
      </c>
      <c r="Q431">
        <v>0</v>
      </c>
      <c r="R431">
        <v>1</v>
      </c>
      <c r="S431" s="2">
        <v>0</v>
      </c>
      <c r="T431" s="4"/>
      <c r="U431">
        <v>11</v>
      </c>
      <c r="V431">
        <v>0</v>
      </c>
      <c r="W431">
        <v>1</v>
      </c>
    </row>
    <row r="432" spans="1:23" ht="16.5" x14ac:dyDescent="0.3">
      <c r="A432" t="s">
        <v>484</v>
      </c>
      <c r="B432" s="1">
        <v>45356</v>
      </c>
      <c r="C432">
        <v>2024</v>
      </c>
      <c r="D432" t="s">
        <v>24</v>
      </c>
      <c r="E432" t="s">
        <v>460</v>
      </c>
      <c r="F432" t="s">
        <v>26</v>
      </c>
      <c r="G432" t="s">
        <v>51</v>
      </c>
      <c r="H432" t="s">
        <v>34</v>
      </c>
      <c r="I432" t="s">
        <v>39</v>
      </c>
      <c r="J432" t="s">
        <v>52</v>
      </c>
      <c r="K432" s="2">
        <v>4350</v>
      </c>
      <c r="L432" s="2">
        <v>24000</v>
      </c>
      <c r="M432">
        <v>36</v>
      </c>
      <c r="N432" s="3">
        <v>0.33500000000000002</v>
      </c>
      <c r="O432" t="s">
        <v>16</v>
      </c>
      <c r="Q432">
        <v>1</v>
      </c>
      <c r="R432">
        <v>0</v>
      </c>
      <c r="S432" s="2">
        <v>24000</v>
      </c>
      <c r="T432" s="4">
        <v>7.2400000000000006E-2</v>
      </c>
      <c r="U432">
        <v>7</v>
      </c>
      <c r="V432">
        <v>0</v>
      </c>
      <c r="W432">
        <v>1</v>
      </c>
    </row>
    <row r="433" spans="1:23" ht="16.5" x14ac:dyDescent="0.3">
      <c r="A433" t="s">
        <v>485</v>
      </c>
      <c r="B433" s="1">
        <v>45356</v>
      </c>
      <c r="C433">
        <v>2024</v>
      </c>
      <c r="D433" t="s">
        <v>24</v>
      </c>
      <c r="E433" t="s">
        <v>460</v>
      </c>
      <c r="F433" t="s">
        <v>37</v>
      </c>
      <c r="G433" t="s">
        <v>45</v>
      </c>
      <c r="H433" t="s">
        <v>28</v>
      </c>
      <c r="I433" t="s">
        <v>39</v>
      </c>
      <c r="J433" t="s">
        <v>30</v>
      </c>
      <c r="K433" s="2">
        <v>2150</v>
      </c>
      <c r="L433" s="2">
        <v>19000</v>
      </c>
      <c r="M433">
        <v>24</v>
      </c>
      <c r="N433" s="3">
        <v>0.51</v>
      </c>
      <c r="O433" t="s">
        <v>16</v>
      </c>
      <c r="Q433">
        <v>1</v>
      </c>
      <c r="R433">
        <v>0</v>
      </c>
      <c r="S433" s="2">
        <v>15000</v>
      </c>
      <c r="T433" s="4">
        <v>0.1394</v>
      </c>
      <c r="U433">
        <v>2</v>
      </c>
      <c r="V433">
        <v>1</v>
      </c>
      <c r="W433">
        <v>1</v>
      </c>
    </row>
    <row r="434" spans="1:23" ht="16.5" x14ac:dyDescent="0.3">
      <c r="A434" t="s">
        <v>486</v>
      </c>
      <c r="B434" s="1">
        <v>45356</v>
      </c>
      <c r="C434">
        <v>2024</v>
      </c>
      <c r="D434" t="s">
        <v>24</v>
      </c>
      <c r="E434" t="s">
        <v>460</v>
      </c>
      <c r="F434" t="s">
        <v>26</v>
      </c>
      <c r="G434" t="s">
        <v>45</v>
      </c>
      <c r="H434" t="s">
        <v>34</v>
      </c>
      <c r="I434" t="s">
        <v>39</v>
      </c>
      <c r="J434" t="s">
        <v>43</v>
      </c>
      <c r="K434" s="2">
        <v>3700</v>
      </c>
      <c r="L434" s="2">
        <v>52500</v>
      </c>
      <c r="M434">
        <v>36</v>
      </c>
      <c r="N434" s="3">
        <v>0.53400000000000003</v>
      </c>
      <c r="O434" t="s">
        <v>17</v>
      </c>
      <c r="P434" t="s">
        <v>31</v>
      </c>
      <c r="Q434">
        <v>0</v>
      </c>
      <c r="R434">
        <v>1</v>
      </c>
      <c r="S434" s="2">
        <v>0</v>
      </c>
      <c r="T434" s="4"/>
      <c r="U434">
        <v>3</v>
      </c>
      <c r="V434">
        <v>1</v>
      </c>
      <c r="W434">
        <v>1</v>
      </c>
    </row>
    <row r="435" spans="1:23" ht="16.5" x14ac:dyDescent="0.3">
      <c r="A435" t="s">
        <v>487</v>
      </c>
      <c r="B435" s="1">
        <v>45356</v>
      </c>
      <c r="C435">
        <v>2024</v>
      </c>
      <c r="D435" t="s">
        <v>24</v>
      </c>
      <c r="E435" t="s">
        <v>460</v>
      </c>
      <c r="F435" t="s">
        <v>37</v>
      </c>
      <c r="G435" t="s">
        <v>51</v>
      </c>
      <c r="H435" t="s">
        <v>38</v>
      </c>
      <c r="I435" t="s">
        <v>29</v>
      </c>
      <c r="J435" t="s">
        <v>52</v>
      </c>
      <c r="K435" s="2">
        <v>6000</v>
      </c>
      <c r="L435" s="2">
        <v>16000</v>
      </c>
      <c r="M435">
        <v>60</v>
      </c>
      <c r="N435" s="3">
        <v>0.19600000000000001</v>
      </c>
      <c r="O435" t="s">
        <v>17</v>
      </c>
      <c r="P435" t="s">
        <v>60</v>
      </c>
      <c r="Q435">
        <v>0</v>
      </c>
      <c r="R435">
        <v>1</v>
      </c>
      <c r="S435" s="2">
        <v>0</v>
      </c>
      <c r="T435" s="4"/>
      <c r="U435">
        <v>12</v>
      </c>
      <c r="V435">
        <v>0</v>
      </c>
      <c r="W435">
        <v>1</v>
      </c>
    </row>
    <row r="436" spans="1:23" ht="16.5" x14ac:dyDescent="0.3">
      <c r="A436" t="s">
        <v>488</v>
      </c>
      <c r="B436" s="1">
        <v>45356</v>
      </c>
      <c r="C436">
        <v>2024</v>
      </c>
      <c r="D436" t="s">
        <v>24</v>
      </c>
      <c r="E436" t="s">
        <v>460</v>
      </c>
      <c r="F436" t="s">
        <v>26</v>
      </c>
      <c r="G436" t="s">
        <v>45</v>
      </c>
      <c r="H436" t="s">
        <v>64</v>
      </c>
      <c r="I436" t="s">
        <v>29</v>
      </c>
      <c r="J436" t="s">
        <v>30</v>
      </c>
      <c r="K436" s="2">
        <v>2450</v>
      </c>
      <c r="L436" s="2">
        <v>30500</v>
      </c>
      <c r="M436">
        <v>48</v>
      </c>
      <c r="N436" s="3">
        <v>0.36299999999999999</v>
      </c>
      <c r="O436" t="s">
        <v>17</v>
      </c>
      <c r="P436" t="s">
        <v>31</v>
      </c>
      <c r="Q436">
        <v>0</v>
      </c>
      <c r="R436">
        <v>1</v>
      </c>
      <c r="S436" s="2">
        <v>0</v>
      </c>
      <c r="T436" s="4"/>
      <c r="U436">
        <v>3</v>
      </c>
      <c r="V436">
        <v>1</v>
      </c>
      <c r="W436">
        <v>1</v>
      </c>
    </row>
    <row r="437" spans="1:23" ht="16.5" x14ac:dyDescent="0.3">
      <c r="A437" t="s">
        <v>489</v>
      </c>
      <c r="B437" s="1">
        <v>45356</v>
      </c>
      <c r="C437">
        <v>2024</v>
      </c>
      <c r="D437" t="s">
        <v>24</v>
      </c>
      <c r="E437" t="s">
        <v>460</v>
      </c>
      <c r="F437" t="s">
        <v>26</v>
      </c>
      <c r="G437" t="s">
        <v>51</v>
      </c>
      <c r="H437" t="s">
        <v>28</v>
      </c>
      <c r="I437" t="s">
        <v>39</v>
      </c>
      <c r="J437" t="s">
        <v>52</v>
      </c>
      <c r="K437" s="2">
        <v>3600</v>
      </c>
      <c r="L437" s="2">
        <v>15500</v>
      </c>
      <c r="M437">
        <v>36</v>
      </c>
      <c r="N437" s="3">
        <v>0.32500000000000001</v>
      </c>
      <c r="O437" t="s">
        <v>16</v>
      </c>
      <c r="Q437">
        <v>1</v>
      </c>
      <c r="R437">
        <v>0</v>
      </c>
      <c r="S437" s="2">
        <v>14000</v>
      </c>
      <c r="T437" s="4">
        <v>7.2300000000000003E-2</v>
      </c>
      <c r="U437">
        <v>4</v>
      </c>
      <c r="V437">
        <v>1</v>
      </c>
      <c r="W437">
        <v>1</v>
      </c>
    </row>
    <row r="438" spans="1:23" ht="16.5" x14ac:dyDescent="0.3">
      <c r="A438" t="s">
        <v>490</v>
      </c>
      <c r="B438" s="1">
        <v>45356</v>
      </c>
      <c r="C438">
        <v>2024</v>
      </c>
      <c r="D438" t="s">
        <v>24</v>
      </c>
      <c r="E438" t="s">
        <v>460</v>
      </c>
      <c r="F438" t="s">
        <v>26</v>
      </c>
      <c r="G438" t="s">
        <v>45</v>
      </c>
      <c r="H438" t="s">
        <v>64</v>
      </c>
      <c r="I438" t="s">
        <v>42</v>
      </c>
      <c r="J438" t="s">
        <v>46</v>
      </c>
      <c r="K438" s="2">
        <v>6300</v>
      </c>
      <c r="L438" s="2">
        <v>20500</v>
      </c>
      <c r="M438">
        <v>60</v>
      </c>
      <c r="N438" s="3">
        <v>0.21199999999999999</v>
      </c>
      <c r="O438" t="s">
        <v>16</v>
      </c>
      <c r="Q438">
        <v>1</v>
      </c>
      <c r="R438">
        <v>0</v>
      </c>
      <c r="S438" s="2">
        <v>20500</v>
      </c>
      <c r="T438" s="4">
        <v>6.6400000000000001E-2</v>
      </c>
      <c r="U438">
        <v>2</v>
      </c>
      <c r="V438">
        <v>1</v>
      </c>
      <c r="W438">
        <v>1</v>
      </c>
    </row>
    <row r="439" spans="1:23" ht="16.5" x14ac:dyDescent="0.3">
      <c r="A439" t="s">
        <v>491</v>
      </c>
      <c r="B439" s="1">
        <v>45356</v>
      </c>
      <c r="C439">
        <v>2024</v>
      </c>
      <c r="D439" t="s">
        <v>24</v>
      </c>
      <c r="E439" t="s">
        <v>460</v>
      </c>
      <c r="F439" t="s">
        <v>41</v>
      </c>
      <c r="G439" t="s">
        <v>45</v>
      </c>
      <c r="H439" t="s">
        <v>55</v>
      </c>
      <c r="I439" t="s">
        <v>39</v>
      </c>
      <c r="J439" t="s">
        <v>43</v>
      </c>
      <c r="K439" s="2">
        <v>6650</v>
      </c>
      <c r="L439" s="2">
        <v>78000</v>
      </c>
      <c r="M439">
        <v>24</v>
      </c>
      <c r="N439" s="3">
        <v>0.73599999999999999</v>
      </c>
      <c r="O439" t="s">
        <v>17</v>
      </c>
      <c r="P439" t="s">
        <v>53</v>
      </c>
      <c r="Q439">
        <v>0</v>
      </c>
      <c r="R439">
        <v>1</v>
      </c>
      <c r="S439" s="2">
        <v>0</v>
      </c>
      <c r="T439" s="4"/>
      <c r="U439">
        <v>8</v>
      </c>
      <c r="V439">
        <v>1</v>
      </c>
      <c r="W439">
        <v>1</v>
      </c>
    </row>
    <row r="440" spans="1:23" ht="16.5" x14ac:dyDescent="0.3">
      <c r="A440" t="s">
        <v>492</v>
      </c>
      <c r="B440" s="1">
        <v>45356</v>
      </c>
      <c r="C440">
        <v>2024</v>
      </c>
      <c r="D440" t="s">
        <v>24</v>
      </c>
      <c r="E440" t="s">
        <v>460</v>
      </c>
      <c r="F440" t="s">
        <v>26</v>
      </c>
      <c r="G440" t="s">
        <v>51</v>
      </c>
      <c r="H440" t="s">
        <v>38</v>
      </c>
      <c r="I440" t="s">
        <v>29</v>
      </c>
      <c r="J440" t="s">
        <v>43</v>
      </c>
      <c r="K440" s="2">
        <v>8900</v>
      </c>
      <c r="L440" s="2">
        <v>19000</v>
      </c>
      <c r="M440">
        <v>60</v>
      </c>
      <c r="N440" s="3">
        <v>0.14899999999999999</v>
      </c>
      <c r="O440" t="s">
        <v>17</v>
      </c>
      <c r="P440" t="s">
        <v>31</v>
      </c>
      <c r="Q440">
        <v>0</v>
      </c>
      <c r="R440">
        <v>1</v>
      </c>
      <c r="S440" s="2">
        <v>0</v>
      </c>
      <c r="T440" s="4"/>
      <c r="U440">
        <v>15</v>
      </c>
      <c r="V440">
        <v>0</v>
      </c>
      <c r="W440">
        <v>1</v>
      </c>
    </row>
    <row r="441" spans="1:23" ht="16.5" x14ac:dyDescent="0.3">
      <c r="A441" t="s">
        <v>493</v>
      </c>
      <c r="B441" s="1">
        <v>45357</v>
      </c>
      <c r="C441">
        <v>2024</v>
      </c>
      <c r="D441" t="s">
        <v>24</v>
      </c>
      <c r="E441" t="s">
        <v>460</v>
      </c>
      <c r="F441" t="s">
        <v>37</v>
      </c>
      <c r="G441" t="s">
        <v>45</v>
      </c>
      <c r="H441" t="s">
        <v>55</v>
      </c>
      <c r="I441" t="s">
        <v>39</v>
      </c>
      <c r="J441" t="s">
        <v>30</v>
      </c>
      <c r="K441" s="2">
        <v>8800</v>
      </c>
      <c r="L441" s="2">
        <v>10500</v>
      </c>
      <c r="M441">
        <v>36</v>
      </c>
      <c r="N441" s="3">
        <v>0.123</v>
      </c>
      <c r="O441" t="s">
        <v>16</v>
      </c>
      <c r="Q441">
        <v>1</v>
      </c>
      <c r="R441">
        <v>0</v>
      </c>
      <c r="S441" s="2">
        <v>8500</v>
      </c>
      <c r="T441" s="4">
        <v>0.13780000000000001</v>
      </c>
      <c r="U441">
        <v>2</v>
      </c>
      <c r="V441">
        <v>1</v>
      </c>
      <c r="W441">
        <v>1</v>
      </c>
    </row>
    <row r="442" spans="1:23" ht="16.5" x14ac:dyDescent="0.3">
      <c r="A442" t="s">
        <v>494</v>
      </c>
      <c r="B442" s="1">
        <v>45357</v>
      </c>
      <c r="C442">
        <v>2024</v>
      </c>
      <c r="D442" t="s">
        <v>24</v>
      </c>
      <c r="E442" t="s">
        <v>460</v>
      </c>
      <c r="F442" t="s">
        <v>26</v>
      </c>
      <c r="G442" t="s">
        <v>27</v>
      </c>
      <c r="H442" t="s">
        <v>64</v>
      </c>
      <c r="I442" t="s">
        <v>29</v>
      </c>
      <c r="J442" t="s">
        <v>35</v>
      </c>
      <c r="K442" s="2">
        <v>7800</v>
      </c>
      <c r="L442" s="2">
        <v>44500</v>
      </c>
      <c r="M442">
        <v>48</v>
      </c>
      <c r="N442" s="3">
        <v>0.307</v>
      </c>
      <c r="O442" t="s">
        <v>17</v>
      </c>
      <c r="P442" t="s">
        <v>60</v>
      </c>
      <c r="Q442">
        <v>0</v>
      </c>
      <c r="R442">
        <v>1</v>
      </c>
      <c r="S442" s="2">
        <v>0</v>
      </c>
      <c r="T442" s="4"/>
      <c r="U442">
        <v>9</v>
      </c>
      <c r="V442">
        <v>0</v>
      </c>
      <c r="W442">
        <v>1</v>
      </c>
    </row>
    <row r="443" spans="1:23" ht="16.5" x14ac:dyDescent="0.3">
      <c r="A443" t="s">
        <v>495</v>
      </c>
      <c r="B443" s="1">
        <v>45357</v>
      </c>
      <c r="C443">
        <v>2024</v>
      </c>
      <c r="D443" t="s">
        <v>24</v>
      </c>
      <c r="E443" t="s">
        <v>460</v>
      </c>
      <c r="F443" t="s">
        <v>41</v>
      </c>
      <c r="G443" t="s">
        <v>51</v>
      </c>
      <c r="H443" t="s">
        <v>38</v>
      </c>
      <c r="I443" t="s">
        <v>29</v>
      </c>
      <c r="J443" t="s">
        <v>35</v>
      </c>
      <c r="K443" s="2">
        <v>7650</v>
      </c>
      <c r="L443" s="2">
        <v>97500</v>
      </c>
      <c r="M443">
        <v>60</v>
      </c>
      <c r="N443" s="3">
        <v>0.50900000000000001</v>
      </c>
      <c r="O443" t="s">
        <v>17</v>
      </c>
      <c r="P443" t="s">
        <v>53</v>
      </c>
      <c r="Q443">
        <v>0</v>
      </c>
      <c r="R443">
        <v>1</v>
      </c>
      <c r="S443" s="2">
        <v>0</v>
      </c>
      <c r="T443" s="4"/>
      <c r="U443">
        <v>15</v>
      </c>
      <c r="V443">
        <v>0</v>
      </c>
      <c r="W443">
        <v>1</v>
      </c>
    </row>
    <row r="444" spans="1:23" ht="16.5" x14ac:dyDescent="0.3">
      <c r="A444" t="s">
        <v>496</v>
      </c>
      <c r="B444" s="1">
        <v>45357</v>
      </c>
      <c r="C444">
        <v>2024</v>
      </c>
      <c r="D444" t="s">
        <v>24</v>
      </c>
      <c r="E444" t="s">
        <v>460</v>
      </c>
      <c r="F444" t="s">
        <v>50</v>
      </c>
      <c r="G444" t="s">
        <v>33</v>
      </c>
      <c r="H444" t="s">
        <v>55</v>
      </c>
      <c r="I444" t="s">
        <v>39</v>
      </c>
      <c r="J444" t="s">
        <v>30</v>
      </c>
      <c r="K444" s="2">
        <v>7600</v>
      </c>
      <c r="L444" s="2">
        <v>256500</v>
      </c>
      <c r="M444">
        <v>300</v>
      </c>
      <c r="N444" s="3">
        <v>0.40500000000000003</v>
      </c>
      <c r="O444" t="s">
        <v>17</v>
      </c>
      <c r="P444" t="s">
        <v>31</v>
      </c>
      <c r="Q444">
        <v>0</v>
      </c>
      <c r="R444">
        <v>1</v>
      </c>
      <c r="S444" s="2">
        <v>0</v>
      </c>
      <c r="T444" s="4"/>
      <c r="U444">
        <v>4</v>
      </c>
      <c r="V444">
        <v>1</v>
      </c>
      <c r="W444">
        <v>1</v>
      </c>
    </row>
    <row r="445" spans="1:23" ht="16.5" x14ac:dyDescent="0.3">
      <c r="A445" t="s">
        <v>497</v>
      </c>
      <c r="B445" s="1">
        <v>45357</v>
      </c>
      <c r="C445">
        <v>2024</v>
      </c>
      <c r="D445" t="s">
        <v>24</v>
      </c>
      <c r="E445" t="s">
        <v>460</v>
      </c>
      <c r="F445" t="s">
        <v>37</v>
      </c>
      <c r="G445" t="s">
        <v>33</v>
      </c>
      <c r="H445" t="s">
        <v>64</v>
      </c>
      <c r="I445" t="s">
        <v>29</v>
      </c>
      <c r="J445" t="s">
        <v>35</v>
      </c>
      <c r="K445" s="2">
        <v>4250</v>
      </c>
      <c r="L445" s="2">
        <v>4500</v>
      </c>
      <c r="M445">
        <v>12</v>
      </c>
      <c r="N445" s="3">
        <v>0.16</v>
      </c>
      <c r="O445" t="s">
        <v>16</v>
      </c>
      <c r="Q445">
        <v>1</v>
      </c>
      <c r="R445">
        <v>0</v>
      </c>
      <c r="S445" s="2">
        <v>4000</v>
      </c>
      <c r="T445" s="4">
        <v>0.1195</v>
      </c>
      <c r="U445">
        <v>1</v>
      </c>
      <c r="V445">
        <v>1</v>
      </c>
      <c r="W445">
        <v>1</v>
      </c>
    </row>
    <row r="446" spans="1:23" ht="16.5" x14ac:dyDescent="0.3">
      <c r="A446" t="s">
        <v>498</v>
      </c>
      <c r="B446" s="1">
        <v>45357</v>
      </c>
      <c r="C446">
        <v>2024</v>
      </c>
      <c r="D446" t="s">
        <v>24</v>
      </c>
      <c r="E446" t="s">
        <v>460</v>
      </c>
      <c r="F446" t="s">
        <v>41</v>
      </c>
      <c r="G446" t="s">
        <v>45</v>
      </c>
      <c r="H446" t="s">
        <v>38</v>
      </c>
      <c r="I446" t="s">
        <v>39</v>
      </c>
      <c r="J446" t="s">
        <v>30</v>
      </c>
      <c r="K446" s="2">
        <v>6300</v>
      </c>
      <c r="L446" s="2">
        <v>87500</v>
      </c>
      <c r="M446">
        <v>36</v>
      </c>
      <c r="N446" s="3">
        <v>0.54700000000000004</v>
      </c>
      <c r="O446" t="s">
        <v>16</v>
      </c>
      <c r="Q446">
        <v>1</v>
      </c>
      <c r="R446">
        <v>0</v>
      </c>
      <c r="S446" s="2">
        <v>79000</v>
      </c>
      <c r="T446" s="4">
        <v>0.12640000000000001</v>
      </c>
      <c r="U446">
        <v>8</v>
      </c>
      <c r="V446">
        <v>1</v>
      </c>
      <c r="W446">
        <v>1</v>
      </c>
    </row>
    <row r="447" spans="1:23" ht="16.5" x14ac:dyDescent="0.3">
      <c r="A447" t="s">
        <v>499</v>
      </c>
      <c r="B447" s="1">
        <v>45357</v>
      </c>
      <c r="C447">
        <v>2024</v>
      </c>
      <c r="D447" t="s">
        <v>24</v>
      </c>
      <c r="E447" t="s">
        <v>460</v>
      </c>
      <c r="F447" t="s">
        <v>37</v>
      </c>
      <c r="G447" t="s">
        <v>45</v>
      </c>
      <c r="H447" t="s">
        <v>38</v>
      </c>
      <c r="I447" t="s">
        <v>42</v>
      </c>
      <c r="J447" t="s">
        <v>30</v>
      </c>
      <c r="K447" s="2">
        <v>3150</v>
      </c>
      <c r="L447" s="2">
        <v>19000</v>
      </c>
      <c r="M447">
        <v>12</v>
      </c>
      <c r="N447" s="3">
        <v>0.76300000000000001</v>
      </c>
      <c r="O447" t="s">
        <v>17</v>
      </c>
      <c r="P447" t="s">
        <v>53</v>
      </c>
      <c r="Q447">
        <v>0</v>
      </c>
      <c r="R447">
        <v>1</v>
      </c>
      <c r="S447" s="2">
        <v>0</v>
      </c>
      <c r="T447" s="4"/>
      <c r="U447">
        <v>3</v>
      </c>
      <c r="V447">
        <v>1</v>
      </c>
      <c r="W447">
        <v>1</v>
      </c>
    </row>
    <row r="448" spans="1:23" ht="16.5" x14ac:dyDescent="0.3">
      <c r="A448" t="s">
        <v>500</v>
      </c>
      <c r="B448" s="1">
        <v>45357</v>
      </c>
      <c r="C448">
        <v>2024</v>
      </c>
      <c r="D448" t="s">
        <v>24</v>
      </c>
      <c r="E448" t="s">
        <v>460</v>
      </c>
      <c r="F448" t="s">
        <v>37</v>
      </c>
      <c r="G448" t="s">
        <v>33</v>
      </c>
      <c r="H448" t="s">
        <v>34</v>
      </c>
      <c r="I448" t="s">
        <v>39</v>
      </c>
      <c r="J448" t="s">
        <v>35</v>
      </c>
      <c r="K448" s="2">
        <v>3650</v>
      </c>
      <c r="L448" s="2">
        <v>8000</v>
      </c>
      <c r="M448">
        <v>60</v>
      </c>
      <c r="N448" s="3">
        <v>0.23400000000000001</v>
      </c>
      <c r="O448" t="s">
        <v>17</v>
      </c>
      <c r="P448" t="s">
        <v>60</v>
      </c>
      <c r="Q448">
        <v>0</v>
      </c>
      <c r="R448">
        <v>1</v>
      </c>
      <c r="S448" s="2">
        <v>0</v>
      </c>
      <c r="T448" s="4"/>
      <c r="U448">
        <v>6</v>
      </c>
      <c r="V448">
        <v>0</v>
      </c>
      <c r="W448">
        <v>1</v>
      </c>
    </row>
    <row r="449" spans="1:23" ht="16.5" x14ac:dyDescent="0.3">
      <c r="A449" t="s">
        <v>501</v>
      </c>
      <c r="B449" s="1">
        <v>45357</v>
      </c>
      <c r="C449">
        <v>2024</v>
      </c>
      <c r="D449" t="s">
        <v>24</v>
      </c>
      <c r="E449" t="s">
        <v>460</v>
      </c>
      <c r="F449" t="s">
        <v>26</v>
      </c>
      <c r="G449" t="s">
        <v>51</v>
      </c>
      <c r="H449" t="s">
        <v>64</v>
      </c>
      <c r="I449" t="s">
        <v>29</v>
      </c>
      <c r="J449" t="s">
        <v>52</v>
      </c>
      <c r="K449" s="2">
        <v>4850</v>
      </c>
      <c r="L449" s="2">
        <v>47500</v>
      </c>
      <c r="M449">
        <v>36</v>
      </c>
      <c r="N449" s="3">
        <v>0.47399999999999998</v>
      </c>
      <c r="O449" t="s">
        <v>16</v>
      </c>
      <c r="Q449">
        <v>1</v>
      </c>
      <c r="R449">
        <v>0</v>
      </c>
      <c r="S449" s="2">
        <v>47500</v>
      </c>
      <c r="T449" s="4">
        <v>7.1199999999999999E-2</v>
      </c>
      <c r="U449">
        <v>13</v>
      </c>
      <c r="V449">
        <v>0</v>
      </c>
      <c r="W449">
        <v>1</v>
      </c>
    </row>
    <row r="450" spans="1:23" ht="16.5" x14ac:dyDescent="0.3">
      <c r="A450" t="s">
        <v>502</v>
      </c>
      <c r="B450" s="1">
        <v>45358</v>
      </c>
      <c r="C450">
        <v>2024</v>
      </c>
      <c r="D450" t="s">
        <v>24</v>
      </c>
      <c r="E450" t="s">
        <v>460</v>
      </c>
      <c r="F450" t="s">
        <v>41</v>
      </c>
      <c r="G450" t="s">
        <v>51</v>
      </c>
      <c r="H450" t="s">
        <v>55</v>
      </c>
      <c r="I450" t="s">
        <v>39</v>
      </c>
      <c r="J450" t="s">
        <v>35</v>
      </c>
      <c r="K450" s="2">
        <v>4000</v>
      </c>
      <c r="L450" s="2">
        <v>117000</v>
      </c>
      <c r="M450">
        <v>12</v>
      </c>
      <c r="N450" s="3">
        <v>2.6779999999999999</v>
      </c>
      <c r="O450" t="s">
        <v>17</v>
      </c>
      <c r="P450" t="s">
        <v>53</v>
      </c>
      <c r="Q450">
        <v>0</v>
      </c>
      <c r="R450">
        <v>1</v>
      </c>
      <c r="S450" s="2">
        <v>0</v>
      </c>
      <c r="T450" s="4"/>
      <c r="U450">
        <v>13</v>
      </c>
      <c r="V450">
        <v>0</v>
      </c>
      <c r="W450">
        <v>1</v>
      </c>
    </row>
    <row r="451" spans="1:23" ht="16.5" x14ac:dyDescent="0.3">
      <c r="A451" t="s">
        <v>503</v>
      </c>
      <c r="B451" s="1">
        <v>45358</v>
      </c>
      <c r="C451">
        <v>2024</v>
      </c>
      <c r="D451" t="s">
        <v>24</v>
      </c>
      <c r="E451" t="s">
        <v>460</v>
      </c>
      <c r="F451" t="s">
        <v>37</v>
      </c>
      <c r="G451" t="s">
        <v>27</v>
      </c>
      <c r="H451" t="s">
        <v>38</v>
      </c>
      <c r="I451" t="s">
        <v>29</v>
      </c>
      <c r="J451" t="s">
        <v>52</v>
      </c>
      <c r="K451" s="2">
        <v>3400</v>
      </c>
      <c r="L451" s="2">
        <v>8000</v>
      </c>
      <c r="M451">
        <v>48</v>
      </c>
      <c r="N451" s="3">
        <v>0.186</v>
      </c>
      <c r="O451" t="s">
        <v>17</v>
      </c>
      <c r="P451" t="s">
        <v>31</v>
      </c>
      <c r="Q451">
        <v>0</v>
      </c>
      <c r="R451">
        <v>1</v>
      </c>
      <c r="S451" s="2">
        <v>0</v>
      </c>
      <c r="T451" s="4"/>
      <c r="U451">
        <v>4</v>
      </c>
      <c r="V451">
        <v>0</v>
      </c>
      <c r="W451">
        <v>1</v>
      </c>
    </row>
    <row r="452" spans="1:23" ht="16.5" x14ac:dyDescent="0.3">
      <c r="A452" t="s">
        <v>504</v>
      </c>
      <c r="B452" s="1">
        <v>45358</v>
      </c>
      <c r="C452">
        <v>2024</v>
      </c>
      <c r="D452" t="s">
        <v>24</v>
      </c>
      <c r="E452" t="s">
        <v>460</v>
      </c>
      <c r="F452" t="s">
        <v>37</v>
      </c>
      <c r="G452" t="s">
        <v>27</v>
      </c>
      <c r="H452" t="s">
        <v>55</v>
      </c>
      <c r="I452" t="s">
        <v>29</v>
      </c>
      <c r="J452" t="s">
        <v>52</v>
      </c>
      <c r="K452" s="2">
        <v>8500</v>
      </c>
      <c r="L452" s="2">
        <v>20500</v>
      </c>
      <c r="M452">
        <v>12</v>
      </c>
      <c r="N452" s="3">
        <v>0.371</v>
      </c>
      <c r="O452" t="s">
        <v>16</v>
      </c>
      <c r="Q452">
        <v>1</v>
      </c>
      <c r="R452">
        <v>0</v>
      </c>
      <c r="S452" s="2">
        <v>18500</v>
      </c>
      <c r="T452" s="4">
        <v>0.1143</v>
      </c>
      <c r="U452">
        <v>2</v>
      </c>
      <c r="V452">
        <v>1</v>
      </c>
      <c r="W452">
        <v>1</v>
      </c>
    </row>
    <row r="453" spans="1:23" ht="16.5" x14ac:dyDescent="0.3">
      <c r="A453" t="s">
        <v>505</v>
      </c>
      <c r="B453" s="1">
        <v>45358</v>
      </c>
      <c r="C453">
        <v>2024</v>
      </c>
      <c r="D453" t="s">
        <v>24</v>
      </c>
      <c r="E453" t="s">
        <v>460</v>
      </c>
      <c r="F453" t="s">
        <v>26</v>
      </c>
      <c r="G453" t="s">
        <v>27</v>
      </c>
      <c r="H453" t="s">
        <v>55</v>
      </c>
      <c r="I453" t="s">
        <v>39</v>
      </c>
      <c r="J453" t="s">
        <v>35</v>
      </c>
      <c r="K453" s="2">
        <v>7200</v>
      </c>
      <c r="L453" s="2">
        <v>35000</v>
      </c>
      <c r="M453">
        <v>36</v>
      </c>
      <c r="N453" s="3">
        <v>0.373</v>
      </c>
      <c r="O453" t="s">
        <v>16</v>
      </c>
      <c r="Q453">
        <v>1</v>
      </c>
      <c r="R453">
        <v>0</v>
      </c>
      <c r="S453" s="2">
        <v>28000</v>
      </c>
      <c r="T453" s="4">
        <v>8.5300000000000001E-2</v>
      </c>
      <c r="U453">
        <v>3</v>
      </c>
      <c r="V453">
        <v>1</v>
      </c>
      <c r="W453">
        <v>1</v>
      </c>
    </row>
    <row r="454" spans="1:23" ht="16.5" x14ac:dyDescent="0.3">
      <c r="A454" t="s">
        <v>506</v>
      </c>
      <c r="B454" s="1">
        <v>45358</v>
      </c>
      <c r="C454">
        <v>2024</v>
      </c>
      <c r="D454" t="s">
        <v>24</v>
      </c>
      <c r="E454" t="s">
        <v>460</v>
      </c>
      <c r="F454" t="s">
        <v>37</v>
      </c>
      <c r="G454" t="s">
        <v>27</v>
      </c>
      <c r="H454" t="s">
        <v>38</v>
      </c>
      <c r="I454" t="s">
        <v>39</v>
      </c>
      <c r="J454" t="s">
        <v>35</v>
      </c>
      <c r="K454" s="2">
        <v>4750</v>
      </c>
      <c r="L454" s="2">
        <v>14000</v>
      </c>
      <c r="M454">
        <v>60</v>
      </c>
      <c r="N454" s="3">
        <v>0.29599999999999999</v>
      </c>
      <c r="O454" t="s">
        <v>17</v>
      </c>
      <c r="P454" t="s">
        <v>65</v>
      </c>
      <c r="Q454">
        <v>0</v>
      </c>
      <c r="R454">
        <v>1</v>
      </c>
      <c r="S454" s="2">
        <v>0</v>
      </c>
      <c r="T454" s="4"/>
      <c r="U454">
        <v>3</v>
      </c>
      <c r="V454">
        <v>1</v>
      </c>
      <c r="W454">
        <v>1</v>
      </c>
    </row>
    <row r="455" spans="1:23" ht="16.5" x14ac:dyDescent="0.3">
      <c r="A455" t="s">
        <v>507</v>
      </c>
      <c r="B455" s="1">
        <v>45358</v>
      </c>
      <c r="C455">
        <v>2024</v>
      </c>
      <c r="D455" t="s">
        <v>24</v>
      </c>
      <c r="E455" t="s">
        <v>460</v>
      </c>
      <c r="F455" t="s">
        <v>26</v>
      </c>
      <c r="G455" t="s">
        <v>27</v>
      </c>
      <c r="H455" t="s">
        <v>34</v>
      </c>
      <c r="I455" t="s">
        <v>29</v>
      </c>
      <c r="J455" t="s">
        <v>30</v>
      </c>
      <c r="K455" s="2">
        <v>12250</v>
      </c>
      <c r="L455" s="2">
        <v>22500</v>
      </c>
      <c r="M455">
        <v>60</v>
      </c>
      <c r="N455" s="3">
        <v>0.23699999999999999</v>
      </c>
      <c r="O455" t="s">
        <v>17</v>
      </c>
      <c r="P455" t="s">
        <v>31</v>
      </c>
      <c r="Q455">
        <v>0</v>
      </c>
      <c r="R455">
        <v>1</v>
      </c>
      <c r="S455" s="2">
        <v>0</v>
      </c>
      <c r="T455" s="4"/>
      <c r="U455">
        <v>6</v>
      </c>
      <c r="V455">
        <v>0</v>
      </c>
      <c r="W455">
        <v>1</v>
      </c>
    </row>
    <row r="456" spans="1:23" ht="16.5" x14ac:dyDescent="0.3">
      <c r="A456" t="s">
        <v>508</v>
      </c>
      <c r="B456" s="1">
        <v>45358</v>
      </c>
      <c r="C456">
        <v>2024</v>
      </c>
      <c r="D456" t="s">
        <v>24</v>
      </c>
      <c r="E456" t="s">
        <v>460</v>
      </c>
      <c r="F456" t="s">
        <v>26</v>
      </c>
      <c r="G456" t="s">
        <v>51</v>
      </c>
      <c r="H456" t="s">
        <v>38</v>
      </c>
      <c r="I456" t="s">
        <v>39</v>
      </c>
      <c r="J456" t="s">
        <v>43</v>
      </c>
      <c r="K456" s="2">
        <v>3600</v>
      </c>
      <c r="L456" s="2">
        <v>40500</v>
      </c>
      <c r="M456">
        <v>60</v>
      </c>
      <c r="N456" s="3">
        <v>0.32500000000000001</v>
      </c>
      <c r="O456" t="s">
        <v>17</v>
      </c>
      <c r="P456" t="s">
        <v>31</v>
      </c>
      <c r="Q456">
        <v>0</v>
      </c>
      <c r="R456">
        <v>1</v>
      </c>
      <c r="S456" s="2">
        <v>0</v>
      </c>
      <c r="T456" s="4"/>
      <c r="U456">
        <v>6</v>
      </c>
      <c r="V456">
        <v>0</v>
      </c>
      <c r="W456">
        <v>1</v>
      </c>
    </row>
    <row r="457" spans="1:23" ht="16.5" x14ac:dyDescent="0.3">
      <c r="A457" t="s">
        <v>509</v>
      </c>
      <c r="B457" s="1">
        <v>45358</v>
      </c>
      <c r="C457">
        <v>2024</v>
      </c>
      <c r="D457" t="s">
        <v>24</v>
      </c>
      <c r="E457" t="s">
        <v>460</v>
      </c>
      <c r="F457" t="s">
        <v>26</v>
      </c>
      <c r="G457" t="s">
        <v>51</v>
      </c>
      <c r="H457" t="s">
        <v>34</v>
      </c>
      <c r="I457" t="s">
        <v>39</v>
      </c>
      <c r="J457" t="s">
        <v>43</v>
      </c>
      <c r="K457" s="2">
        <v>8050</v>
      </c>
      <c r="L457" s="2">
        <v>38000</v>
      </c>
      <c r="M457">
        <v>60</v>
      </c>
      <c r="N457" s="3">
        <v>0.34100000000000003</v>
      </c>
      <c r="O457" t="s">
        <v>17</v>
      </c>
      <c r="P457" t="s">
        <v>31</v>
      </c>
      <c r="Q457">
        <v>0</v>
      </c>
      <c r="R457">
        <v>1</v>
      </c>
      <c r="S457" s="2">
        <v>0</v>
      </c>
      <c r="T457" s="4"/>
      <c r="U457">
        <v>7</v>
      </c>
      <c r="V457">
        <v>0</v>
      </c>
      <c r="W457">
        <v>1</v>
      </c>
    </row>
    <row r="458" spans="1:23" ht="16.5" x14ac:dyDescent="0.3">
      <c r="A458" t="s">
        <v>510</v>
      </c>
      <c r="B458" s="1">
        <v>45358</v>
      </c>
      <c r="C458">
        <v>2024</v>
      </c>
      <c r="D458" t="s">
        <v>24</v>
      </c>
      <c r="E458" t="s">
        <v>460</v>
      </c>
      <c r="F458" t="s">
        <v>37</v>
      </c>
      <c r="G458" t="s">
        <v>45</v>
      </c>
      <c r="H458" t="s">
        <v>55</v>
      </c>
      <c r="I458" t="s">
        <v>39</v>
      </c>
      <c r="J458" t="s">
        <v>35</v>
      </c>
      <c r="K458" s="2">
        <v>6450</v>
      </c>
      <c r="L458" s="2">
        <v>16500</v>
      </c>
      <c r="M458">
        <v>36</v>
      </c>
      <c r="N458" s="3">
        <v>0.315</v>
      </c>
      <c r="O458" t="s">
        <v>16</v>
      </c>
      <c r="Q458">
        <v>1</v>
      </c>
      <c r="R458">
        <v>0</v>
      </c>
      <c r="S458" s="2">
        <v>16500</v>
      </c>
      <c r="T458" s="4">
        <v>0.128</v>
      </c>
      <c r="U458">
        <v>1</v>
      </c>
      <c r="V458">
        <v>1</v>
      </c>
      <c r="W458">
        <v>1</v>
      </c>
    </row>
    <row r="459" spans="1:23" ht="16.5" x14ac:dyDescent="0.3">
      <c r="A459" t="s">
        <v>511</v>
      </c>
      <c r="B459" s="1">
        <v>45358</v>
      </c>
      <c r="C459">
        <v>2024</v>
      </c>
      <c r="D459" t="s">
        <v>24</v>
      </c>
      <c r="E459" t="s">
        <v>460</v>
      </c>
      <c r="F459" t="s">
        <v>41</v>
      </c>
      <c r="G459" t="s">
        <v>27</v>
      </c>
      <c r="H459" t="s">
        <v>38</v>
      </c>
      <c r="I459" t="s">
        <v>39</v>
      </c>
      <c r="J459" t="s">
        <v>30</v>
      </c>
      <c r="K459" s="2">
        <v>4600</v>
      </c>
      <c r="L459" s="2">
        <v>61500</v>
      </c>
      <c r="M459">
        <v>60</v>
      </c>
      <c r="N459" s="3">
        <v>0.44700000000000001</v>
      </c>
      <c r="O459" t="s">
        <v>16</v>
      </c>
      <c r="Q459">
        <v>1</v>
      </c>
      <c r="R459">
        <v>0</v>
      </c>
      <c r="S459" s="2">
        <v>61500</v>
      </c>
      <c r="T459" s="4">
        <v>0.1242</v>
      </c>
      <c r="U459">
        <v>8</v>
      </c>
      <c r="V459">
        <v>1</v>
      </c>
      <c r="W459">
        <v>1</v>
      </c>
    </row>
    <row r="460" spans="1:23" ht="16.5" x14ac:dyDescent="0.3">
      <c r="A460" t="s">
        <v>512</v>
      </c>
      <c r="B460" s="1">
        <v>45358</v>
      </c>
      <c r="C460">
        <v>2024</v>
      </c>
      <c r="D460" t="s">
        <v>24</v>
      </c>
      <c r="E460" t="s">
        <v>460</v>
      </c>
      <c r="F460" t="s">
        <v>50</v>
      </c>
      <c r="G460" t="s">
        <v>51</v>
      </c>
      <c r="H460" t="s">
        <v>34</v>
      </c>
      <c r="I460" t="s">
        <v>39</v>
      </c>
      <c r="J460" t="s">
        <v>52</v>
      </c>
      <c r="K460" s="2">
        <v>4150</v>
      </c>
      <c r="L460" s="2">
        <v>146500</v>
      </c>
      <c r="M460">
        <v>240</v>
      </c>
      <c r="N460" s="3">
        <v>0.47</v>
      </c>
      <c r="O460" t="s">
        <v>16</v>
      </c>
      <c r="Q460">
        <v>1</v>
      </c>
      <c r="R460">
        <v>0</v>
      </c>
      <c r="S460" s="2">
        <v>117000</v>
      </c>
      <c r="T460" s="4">
        <v>4.8800000000000003E-2</v>
      </c>
      <c r="U460">
        <v>20</v>
      </c>
      <c r="V460">
        <v>0</v>
      </c>
      <c r="W460">
        <v>1</v>
      </c>
    </row>
    <row r="461" spans="1:23" ht="16.5" x14ac:dyDescent="0.3">
      <c r="A461" t="s">
        <v>513</v>
      </c>
      <c r="B461" s="1">
        <v>45358</v>
      </c>
      <c r="C461">
        <v>2024</v>
      </c>
      <c r="D461" t="s">
        <v>24</v>
      </c>
      <c r="E461" t="s">
        <v>460</v>
      </c>
      <c r="F461" t="s">
        <v>37</v>
      </c>
      <c r="G461" t="s">
        <v>33</v>
      </c>
      <c r="H461" t="s">
        <v>38</v>
      </c>
      <c r="I461" t="s">
        <v>39</v>
      </c>
      <c r="J461" t="s">
        <v>30</v>
      </c>
      <c r="K461" s="2">
        <v>2900</v>
      </c>
      <c r="L461" s="2">
        <v>5500</v>
      </c>
      <c r="M461">
        <v>36</v>
      </c>
      <c r="N461" s="3">
        <v>0.23200000000000001</v>
      </c>
      <c r="O461" t="s">
        <v>17</v>
      </c>
      <c r="P461" t="s">
        <v>31</v>
      </c>
      <c r="Q461">
        <v>0</v>
      </c>
      <c r="R461">
        <v>1</v>
      </c>
      <c r="S461" s="2">
        <v>0</v>
      </c>
      <c r="T461" s="4"/>
      <c r="U461">
        <v>2</v>
      </c>
      <c r="V461">
        <v>1</v>
      </c>
      <c r="W461">
        <v>1</v>
      </c>
    </row>
    <row r="462" spans="1:23" ht="16.5" x14ac:dyDescent="0.3">
      <c r="A462" t="s">
        <v>514</v>
      </c>
      <c r="B462" s="1">
        <v>45358</v>
      </c>
      <c r="C462">
        <v>2024</v>
      </c>
      <c r="D462" t="s">
        <v>24</v>
      </c>
      <c r="E462" t="s">
        <v>460</v>
      </c>
      <c r="F462" t="s">
        <v>50</v>
      </c>
      <c r="G462" t="s">
        <v>51</v>
      </c>
      <c r="H462" t="s">
        <v>34</v>
      </c>
      <c r="I462" t="s">
        <v>29</v>
      </c>
      <c r="J462" t="s">
        <v>52</v>
      </c>
      <c r="K462" s="2">
        <v>18500</v>
      </c>
      <c r="L462" s="2">
        <v>261000</v>
      </c>
      <c r="M462">
        <v>300</v>
      </c>
      <c r="N462" s="3">
        <v>0.27400000000000002</v>
      </c>
      <c r="O462" t="s">
        <v>16</v>
      </c>
      <c r="Q462">
        <v>1</v>
      </c>
      <c r="R462">
        <v>0</v>
      </c>
      <c r="S462" s="2">
        <v>209000</v>
      </c>
      <c r="T462" s="4">
        <v>5.1299999999999998E-2</v>
      </c>
      <c r="U462">
        <v>15</v>
      </c>
      <c r="V462">
        <v>1</v>
      </c>
      <c r="W462">
        <v>1</v>
      </c>
    </row>
    <row r="463" spans="1:23" ht="16.5" x14ac:dyDescent="0.3">
      <c r="A463" t="s">
        <v>515</v>
      </c>
      <c r="B463" s="1">
        <v>45358</v>
      </c>
      <c r="C463">
        <v>2024</v>
      </c>
      <c r="D463" t="s">
        <v>24</v>
      </c>
      <c r="E463" t="s">
        <v>460</v>
      </c>
      <c r="F463" t="s">
        <v>37</v>
      </c>
      <c r="G463" t="s">
        <v>45</v>
      </c>
      <c r="H463" t="s">
        <v>55</v>
      </c>
      <c r="I463" t="s">
        <v>42</v>
      </c>
      <c r="J463" t="s">
        <v>46</v>
      </c>
      <c r="K463" s="2">
        <v>3900</v>
      </c>
      <c r="L463" s="2">
        <v>16000</v>
      </c>
      <c r="M463">
        <v>24</v>
      </c>
      <c r="N463" s="3">
        <v>0.41</v>
      </c>
      <c r="O463" t="s">
        <v>16</v>
      </c>
      <c r="Q463">
        <v>1</v>
      </c>
      <c r="R463">
        <v>0</v>
      </c>
      <c r="S463" s="2">
        <v>16000</v>
      </c>
      <c r="T463" s="4">
        <v>0.10979999999999999</v>
      </c>
      <c r="U463">
        <v>1</v>
      </c>
      <c r="V463">
        <v>1</v>
      </c>
      <c r="W463">
        <v>1</v>
      </c>
    </row>
    <row r="464" spans="1:23" ht="16.5" x14ac:dyDescent="0.3">
      <c r="A464" t="s">
        <v>516</v>
      </c>
      <c r="B464" s="1">
        <v>45359</v>
      </c>
      <c r="C464">
        <v>2024</v>
      </c>
      <c r="D464" t="s">
        <v>24</v>
      </c>
      <c r="E464" t="s">
        <v>460</v>
      </c>
      <c r="F464" t="s">
        <v>26</v>
      </c>
      <c r="G464" t="s">
        <v>51</v>
      </c>
      <c r="H464" t="s">
        <v>34</v>
      </c>
      <c r="I464" t="s">
        <v>29</v>
      </c>
      <c r="J464" t="s">
        <v>30</v>
      </c>
      <c r="K464" s="2">
        <v>4800</v>
      </c>
      <c r="L464" s="2">
        <v>30500</v>
      </c>
      <c r="M464">
        <v>36</v>
      </c>
      <c r="N464" s="3">
        <v>0.27400000000000002</v>
      </c>
      <c r="O464" t="s">
        <v>125</v>
      </c>
      <c r="Q464">
        <v>0</v>
      </c>
      <c r="R464">
        <v>0</v>
      </c>
      <c r="S464" s="2">
        <v>0</v>
      </c>
      <c r="T464" s="4"/>
      <c r="U464">
        <v>7</v>
      </c>
      <c r="V464">
        <v>0</v>
      </c>
      <c r="W464">
        <v>1</v>
      </c>
    </row>
    <row r="465" spans="1:23" ht="16.5" x14ac:dyDescent="0.3">
      <c r="A465" t="s">
        <v>517</v>
      </c>
      <c r="B465" s="1">
        <v>45359</v>
      </c>
      <c r="C465">
        <v>2024</v>
      </c>
      <c r="D465" t="s">
        <v>24</v>
      </c>
      <c r="E465" t="s">
        <v>460</v>
      </c>
      <c r="F465" t="s">
        <v>50</v>
      </c>
      <c r="G465" t="s">
        <v>51</v>
      </c>
      <c r="H465" t="s">
        <v>55</v>
      </c>
      <c r="I465" t="s">
        <v>39</v>
      </c>
      <c r="J465" t="s">
        <v>35</v>
      </c>
      <c r="K465" s="2">
        <v>4700</v>
      </c>
      <c r="L465" s="2">
        <v>346500</v>
      </c>
      <c r="M465">
        <v>180</v>
      </c>
      <c r="N465" s="3">
        <v>0.70499999999999996</v>
      </c>
      <c r="O465" t="s">
        <v>16</v>
      </c>
      <c r="Q465">
        <v>1</v>
      </c>
      <c r="R465">
        <v>0</v>
      </c>
      <c r="S465" s="2">
        <v>346500</v>
      </c>
      <c r="T465" s="4">
        <v>6.2600000000000003E-2</v>
      </c>
      <c r="U465">
        <v>33</v>
      </c>
      <c r="V465">
        <v>0</v>
      </c>
      <c r="W465">
        <v>1</v>
      </c>
    </row>
    <row r="466" spans="1:23" ht="16.5" x14ac:dyDescent="0.3">
      <c r="A466" t="s">
        <v>518</v>
      </c>
      <c r="B466" s="1">
        <v>45359</v>
      </c>
      <c r="C466">
        <v>2024</v>
      </c>
      <c r="D466" t="s">
        <v>24</v>
      </c>
      <c r="E466" t="s">
        <v>460</v>
      </c>
      <c r="F466" t="s">
        <v>50</v>
      </c>
      <c r="G466" t="s">
        <v>45</v>
      </c>
      <c r="H466" t="s">
        <v>55</v>
      </c>
      <c r="I466" t="s">
        <v>29</v>
      </c>
      <c r="J466" t="s">
        <v>35</v>
      </c>
      <c r="K466" s="2">
        <v>4400</v>
      </c>
      <c r="L466" s="2">
        <v>152500</v>
      </c>
      <c r="M466">
        <v>180</v>
      </c>
      <c r="N466" s="3">
        <v>0.48899999999999999</v>
      </c>
      <c r="O466" t="s">
        <v>16</v>
      </c>
      <c r="Q466">
        <v>1</v>
      </c>
      <c r="R466">
        <v>0</v>
      </c>
      <c r="S466" s="2">
        <v>122000</v>
      </c>
      <c r="T466" s="4">
        <v>5.7099999999999998E-2</v>
      </c>
      <c r="U466">
        <v>11</v>
      </c>
      <c r="V466">
        <v>1</v>
      </c>
      <c r="W466">
        <v>1</v>
      </c>
    </row>
    <row r="467" spans="1:23" ht="16.5" x14ac:dyDescent="0.3">
      <c r="A467" t="s">
        <v>519</v>
      </c>
      <c r="B467" s="1">
        <v>45359</v>
      </c>
      <c r="C467">
        <v>2024</v>
      </c>
      <c r="D467" t="s">
        <v>24</v>
      </c>
      <c r="E467" t="s">
        <v>460</v>
      </c>
      <c r="F467" t="s">
        <v>37</v>
      </c>
      <c r="G467" t="s">
        <v>33</v>
      </c>
      <c r="H467" t="s">
        <v>55</v>
      </c>
      <c r="I467" t="s">
        <v>29</v>
      </c>
      <c r="J467" t="s">
        <v>46</v>
      </c>
      <c r="K467" s="2">
        <v>6000</v>
      </c>
      <c r="L467" s="2">
        <v>14500</v>
      </c>
      <c r="M467">
        <v>60</v>
      </c>
      <c r="N467" s="3">
        <v>0.22800000000000001</v>
      </c>
      <c r="O467" t="s">
        <v>16</v>
      </c>
      <c r="Q467">
        <v>1</v>
      </c>
      <c r="R467">
        <v>0</v>
      </c>
      <c r="S467" s="2">
        <v>14500</v>
      </c>
      <c r="T467" s="4">
        <v>0.1094</v>
      </c>
      <c r="U467">
        <v>2</v>
      </c>
      <c r="V467">
        <v>1</v>
      </c>
      <c r="W467">
        <v>1</v>
      </c>
    </row>
    <row r="468" spans="1:23" ht="16.5" x14ac:dyDescent="0.3">
      <c r="A468" t="s">
        <v>520</v>
      </c>
      <c r="B468" s="1">
        <v>45360</v>
      </c>
      <c r="C468">
        <v>2024</v>
      </c>
      <c r="D468" t="s">
        <v>24</v>
      </c>
      <c r="E468" t="s">
        <v>460</v>
      </c>
      <c r="F468" t="s">
        <v>37</v>
      </c>
      <c r="G468" t="s">
        <v>51</v>
      </c>
      <c r="H468" t="s">
        <v>38</v>
      </c>
      <c r="I468" t="s">
        <v>42</v>
      </c>
      <c r="J468" t="s">
        <v>35</v>
      </c>
      <c r="K468" s="2">
        <v>6850</v>
      </c>
      <c r="L468" s="2">
        <v>15500</v>
      </c>
      <c r="M468">
        <v>24</v>
      </c>
      <c r="N468" s="3">
        <v>0.33500000000000002</v>
      </c>
      <c r="O468" t="s">
        <v>16</v>
      </c>
      <c r="Q468">
        <v>1</v>
      </c>
      <c r="R468">
        <v>0</v>
      </c>
      <c r="S468" s="2">
        <v>12500</v>
      </c>
      <c r="T468" s="4">
        <v>0.12280000000000001</v>
      </c>
      <c r="U468">
        <v>6</v>
      </c>
      <c r="V468">
        <v>0</v>
      </c>
      <c r="W468">
        <v>1</v>
      </c>
    </row>
    <row r="469" spans="1:23" ht="16.5" x14ac:dyDescent="0.3">
      <c r="A469" t="s">
        <v>521</v>
      </c>
      <c r="B469" s="1">
        <v>45360</v>
      </c>
      <c r="C469">
        <v>2024</v>
      </c>
      <c r="D469" t="s">
        <v>24</v>
      </c>
      <c r="E469" t="s">
        <v>460</v>
      </c>
      <c r="F469" t="s">
        <v>50</v>
      </c>
      <c r="G469" t="s">
        <v>51</v>
      </c>
      <c r="H469" t="s">
        <v>55</v>
      </c>
      <c r="I469" t="s">
        <v>29</v>
      </c>
      <c r="J469" t="s">
        <v>43</v>
      </c>
      <c r="K469" s="2">
        <v>4650</v>
      </c>
      <c r="L469" s="2">
        <v>97500</v>
      </c>
      <c r="M469">
        <v>300</v>
      </c>
      <c r="N469" s="3">
        <v>0.24</v>
      </c>
      <c r="O469" t="s">
        <v>16</v>
      </c>
      <c r="Q469">
        <v>1</v>
      </c>
      <c r="R469">
        <v>0</v>
      </c>
      <c r="S469" s="2">
        <v>97500</v>
      </c>
      <c r="T469" s="4">
        <v>9.1200000000000003E-2</v>
      </c>
      <c r="U469">
        <v>22</v>
      </c>
      <c r="V469">
        <v>0</v>
      </c>
      <c r="W469">
        <v>1</v>
      </c>
    </row>
    <row r="470" spans="1:23" ht="16.5" x14ac:dyDescent="0.3">
      <c r="A470" t="s">
        <v>522</v>
      </c>
      <c r="B470" s="1">
        <v>45360</v>
      </c>
      <c r="C470">
        <v>2024</v>
      </c>
      <c r="D470" t="s">
        <v>24</v>
      </c>
      <c r="E470" t="s">
        <v>460</v>
      </c>
      <c r="F470" t="s">
        <v>37</v>
      </c>
      <c r="G470" t="s">
        <v>51</v>
      </c>
      <c r="H470" t="s">
        <v>55</v>
      </c>
      <c r="I470" t="s">
        <v>39</v>
      </c>
      <c r="J470" t="s">
        <v>46</v>
      </c>
      <c r="K470" s="2">
        <v>8200</v>
      </c>
      <c r="L470" s="2">
        <v>27000</v>
      </c>
      <c r="M470">
        <v>48</v>
      </c>
      <c r="N470" s="3">
        <v>0.30099999999999999</v>
      </c>
      <c r="O470" t="s">
        <v>16</v>
      </c>
      <c r="Q470">
        <v>1</v>
      </c>
      <c r="R470">
        <v>0</v>
      </c>
      <c r="S470" s="2">
        <v>24500</v>
      </c>
      <c r="T470" s="4">
        <v>0.1104</v>
      </c>
      <c r="U470">
        <v>5</v>
      </c>
      <c r="V470">
        <v>0</v>
      </c>
      <c r="W470">
        <v>1</v>
      </c>
    </row>
    <row r="471" spans="1:23" ht="16.5" x14ac:dyDescent="0.3">
      <c r="A471" t="s">
        <v>523</v>
      </c>
      <c r="B471" s="1">
        <v>45360</v>
      </c>
      <c r="C471">
        <v>2024</v>
      </c>
      <c r="D471" t="s">
        <v>24</v>
      </c>
      <c r="E471" t="s">
        <v>460</v>
      </c>
      <c r="F471" t="s">
        <v>41</v>
      </c>
      <c r="G471" t="s">
        <v>51</v>
      </c>
      <c r="H471" t="s">
        <v>34</v>
      </c>
      <c r="I471" t="s">
        <v>29</v>
      </c>
      <c r="J471" t="s">
        <v>35</v>
      </c>
      <c r="K471" s="2">
        <v>5300</v>
      </c>
      <c r="L471" s="2">
        <v>70500</v>
      </c>
      <c r="M471">
        <v>12</v>
      </c>
      <c r="N471" s="3">
        <v>1.3779999999999999</v>
      </c>
      <c r="O471" t="s">
        <v>17</v>
      </c>
      <c r="P471" t="s">
        <v>53</v>
      </c>
      <c r="Q471">
        <v>0</v>
      </c>
      <c r="R471">
        <v>1</v>
      </c>
      <c r="S471" s="2">
        <v>0</v>
      </c>
      <c r="T471" s="4"/>
      <c r="U471">
        <v>15</v>
      </c>
      <c r="V471">
        <v>0</v>
      </c>
      <c r="W471">
        <v>1</v>
      </c>
    </row>
    <row r="472" spans="1:23" ht="16.5" x14ac:dyDescent="0.3">
      <c r="A472" t="s">
        <v>524</v>
      </c>
      <c r="B472" s="1">
        <v>45361</v>
      </c>
      <c r="C472">
        <v>2024</v>
      </c>
      <c r="D472" t="s">
        <v>24</v>
      </c>
      <c r="E472" t="s">
        <v>460</v>
      </c>
      <c r="F472" t="s">
        <v>26</v>
      </c>
      <c r="G472" t="s">
        <v>27</v>
      </c>
      <c r="H472" t="s">
        <v>34</v>
      </c>
      <c r="I472" t="s">
        <v>39</v>
      </c>
      <c r="J472" t="s">
        <v>52</v>
      </c>
      <c r="K472" s="2">
        <v>3450</v>
      </c>
      <c r="L472" s="2">
        <v>12000</v>
      </c>
      <c r="M472">
        <v>36</v>
      </c>
      <c r="N472" s="3">
        <v>0.35399999999999998</v>
      </c>
      <c r="O472" t="s">
        <v>16</v>
      </c>
      <c r="Q472">
        <v>1</v>
      </c>
      <c r="R472">
        <v>0</v>
      </c>
      <c r="S472" s="2">
        <v>11000</v>
      </c>
      <c r="T472" s="4">
        <v>7.3999999999999996E-2</v>
      </c>
      <c r="U472">
        <v>5</v>
      </c>
      <c r="V472">
        <v>0</v>
      </c>
      <c r="W472">
        <v>1</v>
      </c>
    </row>
    <row r="473" spans="1:23" ht="16.5" x14ac:dyDescent="0.3">
      <c r="A473" t="s">
        <v>525</v>
      </c>
      <c r="B473" s="1">
        <v>45361</v>
      </c>
      <c r="C473">
        <v>2024</v>
      </c>
      <c r="D473" t="s">
        <v>24</v>
      </c>
      <c r="E473" t="s">
        <v>460</v>
      </c>
      <c r="F473" t="s">
        <v>37</v>
      </c>
      <c r="G473" t="s">
        <v>51</v>
      </c>
      <c r="H473" t="s">
        <v>55</v>
      </c>
      <c r="I473" t="s">
        <v>39</v>
      </c>
      <c r="J473" t="s">
        <v>52</v>
      </c>
      <c r="K473" s="2">
        <v>5850</v>
      </c>
      <c r="L473" s="2">
        <v>4500</v>
      </c>
      <c r="M473">
        <v>12</v>
      </c>
      <c r="N473" s="3">
        <v>0.126</v>
      </c>
      <c r="O473" t="s">
        <v>16</v>
      </c>
      <c r="Q473">
        <v>1</v>
      </c>
      <c r="R473">
        <v>0</v>
      </c>
      <c r="S473" s="2">
        <v>4500</v>
      </c>
      <c r="T473" s="4">
        <v>0.11650000000000001</v>
      </c>
      <c r="U473">
        <v>4</v>
      </c>
      <c r="V473">
        <v>0</v>
      </c>
      <c r="W473">
        <v>1</v>
      </c>
    </row>
    <row r="474" spans="1:23" ht="16.5" x14ac:dyDescent="0.3">
      <c r="A474" t="s">
        <v>526</v>
      </c>
      <c r="B474" s="1">
        <v>45361</v>
      </c>
      <c r="C474">
        <v>2024</v>
      </c>
      <c r="D474" t="s">
        <v>24</v>
      </c>
      <c r="E474" t="s">
        <v>460</v>
      </c>
      <c r="F474" t="s">
        <v>26</v>
      </c>
      <c r="G474" t="s">
        <v>33</v>
      </c>
      <c r="H474" t="s">
        <v>38</v>
      </c>
      <c r="I474" t="s">
        <v>42</v>
      </c>
      <c r="J474" t="s">
        <v>52</v>
      </c>
      <c r="K474" s="2">
        <v>5750</v>
      </c>
      <c r="L474" s="2">
        <v>20500</v>
      </c>
      <c r="M474">
        <v>48</v>
      </c>
      <c r="N474" s="3">
        <v>0.26100000000000001</v>
      </c>
      <c r="O474" t="s">
        <v>16</v>
      </c>
      <c r="Q474">
        <v>1</v>
      </c>
      <c r="R474">
        <v>0</v>
      </c>
      <c r="S474" s="2">
        <v>20500</v>
      </c>
      <c r="T474" s="4">
        <v>7.5200000000000003E-2</v>
      </c>
      <c r="U474">
        <v>2</v>
      </c>
      <c r="V474">
        <v>1</v>
      </c>
      <c r="W474">
        <v>1</v>
      </c>
    </row>
    <row r="475" spans="1:23" ht="16.5" x14ac:dyDescent="0.3">
      <c r="A475" t="s">
        <v>527</v>
      </c>
      <c r="B475" s="1">
        <v>45361</v>
      </c>
      <c r="C475">
        <v>2024</v>
      </c>
      <c r="D475" t="s">
        <v>24</v>
      </c>
      <c r="E475" t="s">
        <v>460</v>
      </c>
      <c r="F475" t="s">
        <v>41</v>
      </c>
      <c r="G475" t="s">
        <v>45</v>
      </c>
      <c r="H475" t="s">
        <v>34</v>
      </c>
      <c r="I475" t="s">
        <v>29</v>
      </c>
      <c r="J475" t="s">
        <v>30</v>
      </c>
      <c r="K475" s="2">
        <v>7400</v>
      </c>
      <c r="L475" s="2">
        <v>84500</v>
      </c>
      <c r="M475">
        <v>12</v>
      </c>
      <c r="N475" s="3">
        <v>1.1850000000000001</v>
      </c>
      <c r="O475" t="s">
        <v>17</v>
      </c>
      <c r="P475" t="s">
        <v>31</v>
      </c>
      <c r="Q475">
        <v>0</v>
      </c>
      <c r="R475">
        <v>1</v>
      </c>
      <c r="S475" s="2">
        <v>0</v>
      </c>
      <c r="T475" s="4"/>
      <c r="U475">
        <v>7</v>
      </c>
      <c r="V475">
        <v>1</v>
      </c>
      <c r="W475">
        <v>1</v>
      </c>
    </row>
    <row r="476" spans="1:23" ht="16.5" x14ac:dyDescent="0.3">
      <c r="A476" t="s">
        <v>528</v>
      </c>
      <c r="B476" s="1">
        <v>45361</v>
      </c>
      <c r="C476">
        <v>2024</v>
      </c>
      <c r="D476" t="s">
        <v>24</v>
      </c>
      <c r="E476" t="s">
        <v>460</v>
      </c>
      <c r="F476" t="s">
        <v>41</v>
      </c>
      <c r="G476" t="s">
        <v>51</v>
      </c>
      <c r="H476" t="s">
        <v>38</v>
      </c>
      <c r="I476" t="s">
        <v>39</v>
      </c>
      <c r="J476" t="s">
        <v>43</v>
      </c>
      <c r="K476" s="2">
        <v>5100</v>
      </c>
      <c r="L476" s="2">
        <v>32500</v>
      </c>
      <c r="M476">
        <v>12</v>
      </c>
      <c r="N476" s="3">
        <v>0.753</v>
      </c>
      <c r="O476" t="s">
        <v>17</v>
      </c>
      <c r="P476" t="s">
        <v>31</v>
      </c>
      <c r="Q476">
        <v>0</v>
      </c>
      <c r="R476">
        <v>1</v>
      </c>
      <c r="S476" s="2">
        <v>0</v>
      </c>
      <c r="T476" s="4"/>
      <c r="U476">
        <v>20</v>
      </c>
      <c r="V476">
        <v>0</v>
      </c>
      <c r="W476">
        <v>1</v>
      </c>
    </row>
    <row r="477" spans="1:23" ht="16.5" x14ac:dyDescent="0.3">
      <c r="A477" t="s">
        <v>529</v>
      </c>
      <c r="B477" s="1">
        <v>45361</v>
      </c>
      <c r="C477">
        <v>2024</v>
      </c>
      <c r="D477" t="s">
        <v>24</v>
      </c>
      <c r="E477" t="s">
        <v>460</v>
      </c>
      <c r="F477" t="s">
        <v>37</v>
      </c>
      <c r="G477" t="s">
        <v>45</v>
      </c>
      <c r="H477" t="s">
        <v>28</v>
      </c>
      <c r="I477" t="s">
        <v>29</v>
      </c>
      <c r="J477" t="s">
        <v>30</v>
      </c>
      <c r="K477" s="2">
        <v>2700</v>
      </c>
      <c r="L477" s="2">
        <v>7000</v>
      </c>
      <c r="M477">
        <v>36</v>
      </c>
      <c r="N477" s="3">
        <v>0.32200000000000001</v>
      </c>
      <c r="O477" t="s">
        <v>16</v>
      </c>
      <c r="Q477">
        <v>1</v>
      </c>
      <c r="R477">
        <v>0</v>
      </c>
      <c r="S477" s="2">
        <v>6500</v>
      </c>
      <c r="T477" s="4">
        <v>0.14330000000000001</v>
      </c>
      <c r="U477">
        <v>3</v>
      </c>
      <c r="V477">
        <v>1</v>
      </c>
      <c r="W477">
        <v>1</v>
      </c>
    </row>
    <row r="478" spans="1:23" ht="16.5" x14ac:dyDescent="0.3">
      <c r="A478" t="s">
        <v>530</v>
      </c>
      <c r="B478" s="1">
        <v>45362</v>
      </c>
      <c r="C478">
        <v>2024</v>
      </c>
      <c r="D478" t="s">
        <v>24</v>
      </c>
      <c r="E478" t="s">
        <v>460</v>
      </c>
      <c r="F478" t="s">
        <v>41</v>
      </c>
      <c r="G478" t="s">
        <v>45</v>
      </c>
      <c r="H478" t="s">
        <v>55</v>
      </c>
      <c r="I478" t="s">
        <v>39</v>
      </c>
      <c r="J478" t="s">
        <v>35</v>
      </c>
      <c r="K478" s="2">
        <v>4650</v>
      </c>
      <c r="L478" s="2">
        <v>141500</v>
      </c>
      <c r="M478">
        <v>12</v>
      </c>
      <c r="N478" s="3">
        <v>2.871</v>
      </c>
      <c r="O478" t="s">
        <v>17</v>
      </c>
      <c r="P478" t="s">
        <v>53</v>
      </c>
      <c r="Q478">
        <v>0</v>
      </c>
      <c r="R478">
        <v>1</v>
      </c>
      <c r="S478" s="2">
        <v>0</v>
      </c>
      <c r="T478" s="4"/>
      <c r="U478">
        <v>9</v>
      </c>
      <c r="V478">
        <v>1</v>
      </c>
      <c r="W478">
        <v>1</v>
      </c>
    </row>
    <row r="479" spans="1:23" ht="16.5" x14ac:dyDescent="0.3">
      <c r="A479" t="s">
        <v>531</v>
      </c>
      <c r="B479" s="1">
        <v>45362</v>
      </c>
      <c r="C479">
        <v>2024</v>
      </c>
      <c r="D479" t="s">
        <v>24</v>
      </c>
      <c r="E479" t="s">
        <v>460</v>
      </c>
      <c r="F479" t="s">
        <v>37</v>
      </c>
      <c r="G479" t="s">
        <v>51</v>
      </c>
      <c r="H479" t="s">
        <v>55</v>
      </c>
      <c r="I479" t="s">
        <v>29</v>
      </c>
      <c r="J479" t="s">
        <v>46</v>
      </c>
      <c r="K479" s="2">
        <v>9200</v>
      </c>
      <c r="L479" s="2">
        <v>19500</v>
      </c>
      <c r="M479">
        <v>12</v>
      </c>
      <c r="N479" s="3">
        <v>0.41399999999999998</v>
      </c>
      <c r="O479" t="s">
        <v>16</v>
      </c>
      <c r="Q479">
        <v>1</v>
      </c>
      <c r="R479">
        <v>0</v>
      </c>
      <c r="S479" s="2">
        <v>19500</v>
      </c>
      <c r="T479" s="4">
        <v>0.1053</v>
      </c>
      <c r="U479">
        <v>7</v>
      </c>
      <c r="V479">
        <v>0</v>
      </c>
      <c r="W479">
        <v>1</v>
      </c>
    </row>
    <row r="480" spans="1:23" ht="16.5" x14ac:dyDescent="0.3">
      <c r="A480" t="s">
        <v>532</v>
      </c>
      <c r="B480" s="1">
        <v>45362</v>
      </c>
      <c r="C480">
        <v>2024</v>
      </c>
      <c r="D480" t="s">
        <v>24</v>
      </c>
      <c r="E480" t="s">
        <v>460</v>
      </c>
      <c r="F480" t="s">
        <v>26</v>
      </c>
      <c r="G480" t="s">
        <v>45</v>
      </c>
      <c r="H480" t="s">
        <v>28</v>
      </c>
      <c r="I480" t="s">
        <v>39</v>
      </c>
      <c r="J480" t="s">
        <v>52</v>
      </c>
      <c r="K480" s="2">
        <v>3500</v>
      </c>
      <c r="L480" s="2">
        <v>23500</v>
      </c>
      <c r="M480">
        <v>48</v>
      </c>
      <c r="N480" s="3">
        <v>0.33900000000000002</v>
      </c>
      <c r="O480" t="s">
        <v>16</v>
      </c>
      <c r="Q480">
        <v>1</v>
      </c>
      <c r="R480">
        <v>0</v>
      </c>
      <c r="S480" s="2">
        <v>19000</v>
      </c>
      <c r="T480" s="4">
        <v>6.9900000000000004E-2</v>
      </c>
      <c r="U480">
        <v>2</v>
      </c>
      <c r="V480">
        <v>1</v>
      </c>
      <c r="W480">
        <v>1</v>
      </c>
    </row>
    <row r="481" spans="1:23" ht="16.5" x14ac:dyDescent="0.3">
      <c r="A481" t="s">
        <v>533</v>
      </c>
      <c r="B481" s="1">
        <v>45362</v>
      </c>
      <c r="C481">
        <v>2024</v>
      </c>
      <c r="D481" t="s">
        <v>24</v>
      </c>
      <c r="E481" t="s">
        <v>460</v>
      </c>
      <c r="F481" t="s">
        <v>50</v>
      </c>
      <c r="G481" t="s">
        <v>27</v>
      </c>
      <c r="H481" t="s">
        <v>55</v>
      </c>
      <c r="I481" t="s">
        <v>39</v>
      </c>
      <c r="J481" t="s">
        <v>46</v>
      </c>
      <c r="K481" s="2">
        <v>3600</v>
      </c>
      <c r="L481" s="2">
        <v>618000</v>
      </c>
      <c r="M481">
        <v>300</v>
      </c>
      <c r="N481" s="3">
        <v>1.232</v>
      </c>
      <c r="O481" t="s">
        <v>17</v>
      </c>
      <c r="P481" t="s">
        <v>53</v>
      </c>
      <c r="Q481">
        <v>0</v>
      </c>
      <c r="R481">
        <v>1</v>
      </c>
      <c r="S481" s="2">
        <v>0</v>
      </c>
      <c r="T481" s="4"/>
      <c r="U481">
        <v>19</v>
      </c>
      <c r="V481">
        <v>0</v>
      </c>
      <c r="W481">
        <v>1</v>
      </c>
    </row>
    <row r="482" spans="1:23" ht="16.5" x14ac:dyDescent="0.3">
      <c r="A482" t="s">
        <v>534</v>
      </c>
      <c r="B482" s="1">
        <v>45362</v>
      </c>
      <c r="C482">
        <v>2024</v>
      </c>
      <c r="D482" t="s">
        <v>24</v>
      </c>
      <c r="E482" t="s">
        <v>460</v>
      </c>
      <c r="F482" t="s">
        <v>26</v>
      </c>
      <c r="G482" t="s">
        <v>33</v>
      </c>
      <c r="H482" t="s">
        <v>55</v>
      </c>
      <c r="I482" t="s">
        <v>39</v>
      </c>
      <c r="J482" t="s">
        <v>30</v>
      </c>
      <c r="K482" s="2">
        <v>4300</v>
      </c>
      <c r="L482" s="2">
        <v>20500</v>
      </c>
      <c r="M482">
        <v>36</v>
      </c>
      <c r="N482" s="3">
        <v>0.248</v>
      </c>
      <c r="O482" t="s">
        <v>16</v>
      </c>
      <c r="Q482">
        <v>1</v>
      </c>
      <c r="R482">
        <v>0</v>
      </c>
      <c r="S482" s="2">
        <v>18500</v>
      </c>
      <c r="T482" s="4">
        <v>9.7500000000000003E-2</v>
      </c>
      <c r="U482">
        <v>3</v>
      </c>
      <c r="V482">
        <v>1</v>
      </c>
      <c r="W482">
        <v>1</v>
      </c>
    </row>
    <row r="483" spans="1:23" ht="16.5" x14ac:dyDescent="0.3">
      <c r="A483" t="s">
        <v>535</v>
      </c>
      <c r="B483" s="1">
        <v>45362</v>
      </c>
      <c r="C483">
        <v>2024</v>
      </c>
      <c r="D483" t="s">
        <v>24</v>
      </c>
      <c r="E483" t="s">
        <v>460</v>
      </c>
      <c r="F483" t="s">
        <v>26</v>
      </c>
      <c r="G483" t="s">
        <v>27</v>
      </c>
      <c r="H483" t="s">
        <v>28</v>
      </c>
      <c r="I483" t="s">
        <v>39</v>
      </c>
      <c r="J483" t="s">
        <v>30</v>
      </c>
      <c r="K483" s="2">
        <v>1950</v>
      </c>
      <c r="L483" s="2">
        <v>35000</v>
      </c>
      <c r="M483">
        <v>60</v>
      </c>
      <c r="N483" s="3">
        <v>0.45900000000000002</v>
      </c>
      <c r="O483" t="s">
        <v>17</v>
      </c>
      <c r="P483" t="s">
        <v>60</v>
      </c>
      <c r="Q483">
        <v>0</v>
      </c>
      <c r="R483">
        <v>1</v>
      </c>
      <c r="S483" s="2">
        <v>0</v>
      </c>
      <c r="T483" s="4"/>
      <c r="U483">
        <v>10</v>
      </c>
      <c r="V483">
        <v>0</v>
      </c>
      <c r="W483">
        <v>1</v>
      </c>
    </row>
    <row r="484" spans="1:23" ht="16.5" x14ac:dyDescent="0.3">
      <c r="A484" t="s">
        <v>536</v>
      </c>
      <c r="B484" s="1">
        <v>45363</v>
      </c>
      <c r="C484">
        <v>2024</v>
      </c>
      <c r="D484" t="s">
        <v>24</v>
      </c>
      <c r="E484" t="s">
        <v>460</v>
      </c>
      <c r="F484" t="s">
        <v>37</v>
      </c>
      <c r="G484" t="s">
        <v>51</v>
      </c>
      <c r="H484" t="s">
        <v>34</v>
      </c>
      <c r="I484" t="s">
        <v>29</v>
      </c>
      <c r="J484" t="s">
        <v>52</v>
      </c>
      <c r="K484" s="2">
        <v>3650</v>
      </c>
      <c r="L484" s="2">
        <v>14000</v>
      </c>
      <c r="M484">
        <v>60</v>
      </c>
      <c r="N484" s="3">
        <v>0.17399999999999999</v>
      </c>
      <c r="O484" t="s">
        <v>16</v>
      </c>
      <c r="Q484">
        <v>1</v>
      </c>
      <c r="R484">
        <v>0</v>
      </c>
      <c r="S484" s="2">
        <v>14000</v>
      </c>
      <c r="T484" s="4">
        <v>0.11990000000000001</v>
      </c>
      <c r="U484">
        <v>4</v>
      </c>
      <c r="V484">
        <v>0</v>
      </c>
      <c r="W484">
        <v>1</v>
      </c>
    </row>
    <row r="485" spans="1:23" ht="16.5" x14ac:dyDescent="0.3">
      <c r="A485" t="s">
        <v>537</v>
      </c>
      <c r="B485" s="1">
        <v>45363</v>
      </c>
      <c r="C485">
        <v>2024</v>
      </c>
      <c r="D485" t="s">
        <v>24</v>
      </c>
      <c r="E485" t="s">
        <v>460</v>
      </c>
      <c r="F485" t="s">
        <v>50</v>
      </c>
      <c r="G485" t="s">
        <v>51</v>
      </c>
      <c r="H485" t="s">
        <v>34</v>
      </c>
      <c r="I485" t="s">
        <v>39</v>
      </c>
      <c r="J485" t="s">
        <v>30</v>
      </c>
      <c r="K485" s="2">
        <v>5450</v>
      </c>
      <c r="L485" s="2">
        <v>484500</v>
      </c>
      <c r="M485">
        <v>240</v>
      </c>
      <c r="N485" s="3">
        <v>0.64900000000000002</v>
      </c>
      <c r="O485" t="s">
        <v>17</v>
      </c>
      <c r="P485" t="s">
        <v>53</v>
      </c>
      <c r="Q485">
        <v>0</v>
      </c>
      <c r="R485">
        <v>1</v>
      </c>
      <c r="S485" s="2">
        <v>0</v>
      </c>
      <c r="T485" s="4"/>
      <c r="U485">
        <v>41</v>
      </c>
      <c r="V485">
        <v>0</v>
      </c>
      <c r="W485">
        <v>1</v>
      </c>
    </row>
    <row r="486" spans="1:23" ht="16.5" x14ac:dyDescent="0.3">
      <c r="A486" t="s">
        <v>538</v>
      </c>
      <c r="B486" s="1">
        <v>45363</v>
      </c>
      <c r="C486">
        <v>2024</v>
      </c>
      <c r="D486" t="s">
        <v>24</v>
      </c>
      <c r="E486" t="s">
        <v>460</v>
      </c>
      <c r="F486" t="s">
        <v>50</v>
      </c>
      <c r="G486" t="s">
        <v>45</v>
      </c>
      <c r="H486" t="s">
        <v>34</v>
      </c>
      <c r="I486" t="s">
        <v>39</v>
      </c>
      <c r="J486" t="s">
        <v>43</v>
      </c>
      <c r="K486" s="2">
        <v>6050</v>
      </c>
      <c r="L486" s="2">
        <v>110500</v>
      </c>
      <c r="M486">
        <v>180</v>
      </c>
      <c r="N486" s="3">
        <v>0.318</v>
      </c>
      <c r="O486" t="s">
        <v>16</v>
      </c>
      <c r="Q486">
        <v>1</v>
      </c>
      <c r="R486">
        <v>0</v>
      </c>
      <c r="S486" s="2">
        <v>99500</v>
      </c>
      <c r="T486" s="4">
        <v>9.2999999999999999E-2</v>
      </c>
      <c r="U486">
        <v>8</v>
      </c>
      <c r="V486">
        <v>1</v>
      </c>
      <c r="W486">
        <v>1</v>
      </c>
    </row>
    <row r="487" spans="1:23" ht="16.5" x14ac:dyDescent="0.3">
      <c r="A487" t="s">
        <v>539</v>
      </c>
      <c r="B487" s="1">
        <v>45363</v>
      </c>
      <c r="C487">
        <v>2024</v>
      </c>
      <c r="D487" t="s">
        <v>24</v>
      </c>
      <c r="E487" t="s">
        <v>460</v>
      </c>
      <c r="F487" t="s">
        <v>50</v>
      </c>
      <c r="G487" t="s">
        <v>45</v>
      </c>
      <c r="H487" t="s">
        <v>34</v>
      </c>
      <c r="I487" t="s">
        <v>29</v>
      </c>
      <c r="J487" t="s">
        <v>52</v>
      </c>
      <c r="K487" s="2">
        <v>3450</v>
      </c>
      <c r="L487" s="2">
        <v>157500</v>
      </c>
      <c r="M487">
        <v>240</v>
      </c>
      <c r="N487" s="3">
        <v>0.35499999999999998</v>
      </c>
      <c r="O487" t="s">
        <v>16</v>
      </c>
      <c r="Q487">
        <v>1</v>
      </c>
      <c r="R487">
        <v>0</v>
      </c>
      <c r="S487" s="2">
        <v>157500</v>
      </c>
      <c r="T487" s="4">
        <v>4.5900000000000003E-2</v>
      </c>
      <c r="U487">
        <v>11</v>
      </c>
      <c r="V487">
        <v>1</v>
      </c>
      <c r="W487">
        <v>1</v>
      </c>
    </row>
    <row r="488" spans="1:23" ht="16.5" x14ac:dyDescent="0.3">
      <c r="A488" t="s">
        <v>540</v>
      </c>
      <c r="B488" s="1">
        <v>45363</v>
      </c>
      <c r="C488">
        <v>2024</v>
      </c>
      <c r="D488" t="s">
        <v>24</v>
      </c>
      <c r="E488" t="s">
        <v>460</v>
      </c>
      <c r="F488" t="s">
        <v>41</v>
      </c>
      <c r="G488" t="s">
        <v>51</v>
      </c>
      <c r="H488" t="s">
        <v>64</v>
      </c>
      <c r="I488" t="s">
        <v>29</v>
      </c>
      <c r="J488" t="s">
        <v>35</v>
      </c>
      <c r="K488" s="2">
        <v>3350</v>
      </c>
      <c r="L488" s="2">
        <v>91000</v>
      </c>
      <c r="M488">
        <v>12</v>
      </c>
      <c r="N488" s="3">
        <v>2.5790000000000002</v>
      </c>
      <c r="O488" t="s">
        <v>17</v>
      </c>
      <c r="P488" t="s">
        <v>53</v>
      </c>
      <c r="Q488">
        <v>0</v>
      </c>
      <c r="R488">
        <v>1</v>
      </c>
      <c r="S488" s="2">
        <v>0</v>
      </c>
      <c r="T488" s="4"/>
      <c r="U488">
        <v>17</v>
      </c>
      <c r="V488">
        <v>0</v>
      </c>
      <c r="W488">
        <v>1</v>
      </c>
    </row>
    <row r="489" spans="1:23" ht="16.5" x14ac:dyDescent="0.3">
      <c r="A489" t="s">
        <v>541</v>
      </c>
      <c r="B489" s="1">
        <v>45363</v>
      </c>
      <c r="C489">
        <v>2024</v>
      </c>
      <c r="D489" t="s">
        <v>24</v>
      </c>
      <c r="E489" t="s">
        <v>460</v>
      </c>
      <c r="F489" t="s">
        <v>50</v>
      </c>
      <c r="G489" t="s">
        <v>51</v>
      </c>
      <c r="H489" t="s">
        <v>34</v>
      </c>
      <c r="I489" t="s">
        <v>29</v>
      </c>
      <c r="J489" t="s">
        <v>35</v>
      </c>
      <c r="K489" s="2">
        <v>5250</v>
      </c>
      <c r="L489" s="2">
        <v>395500</v>
      </c>
      <c r="M489">
        <v>240</v>
      </c>
      <c r="N489" s="3">
        <v>0.60099999999999998</v>
      </c>
      <c r="O489" t="s">
        <v>17</v>
      </c>
      <c r="P489" t="s">
        <v>53</v>
      </c>
      <c r="Q489">
        <v>0</v>
      </c>
      <c r="R489">
        <v>1</v>
      </c>
      <c r="S489" s="2">
        <v>0</v>
      </c>
      <c r="T489" s="4"/>
      <c r="U489">
        <v>32</v>
      </c>
      <c r="V489">
        <v>0</v>
      </c>
      <c r="W489">
        <v>1</v>
      </c>
    </row>
    <row r="490" spans="1:23" ht="16.5" x14ac:dyDescent="0.3">
      <c r="A490" t="s">
        <v>542</v>
      </c>
      <c r="B490" s="1">
        <v>45363</v>
      </c>
      <c r="C490">
        <v>2024</v>
      </c>
      <c r="D490" t="s">
        <v>24</v>
      </c>
      <c r="E490" t="s">
        <v>460</v>
      </c>
      <c r="F490" t="s">
        <v>26</v>
      </c>
      <c r="G490" t="s">
        <v>33</v>
      </c>
      <c r="H490" t="s">
        <v>34</v>
      </c>
      <c r="I490" t="s">
        <v>29</v>
      </c>
      <c r="J490" t="s">
        <v>35</v>
      </c>
      <c r="K490" s="2">
        <v>4100</v>
      </c>
      <c r="L490" s="2">
        <v>16000</v>
      </c>
      <c r="M490">
        <v>48</v>
      </c>
      <c r="N490" s="3">
        <v>0.158</v>
      </c>
      <c r="O490" t="s">
        <v>16</v>
      </c>
      <c r="Q490">
        <v>1</v>
      </c>
      <c r="R490">
        <v>0</v>
      </c>
      <c r="S490" s="2">
        <v>16000</v>
      </c>
      <c r="T490" s="4">
        <v>8.4900000000000003E-2</v>
      </c>
      <c r="U490">
        <v>1</v>
      </c>
      <c r="V490">
        <v>1</v>
      </c>
      <c r="W490">
        <v>1</v>
      </c>
    </row>
    <row r="491" spans="1:23" ht="16.5" x14ac:dyDescent="0.3">
      <c r="A491" t="s">
        <v>543</v>
      </c>
      <c r="B491" s="1">
        <v>45363</v>
      </c>
      <c r="C491">
        <v>2024</v>
      </c>
      <c r="D491" t="s">
        <v>24</v>
      </c>
      <c r="E491" t="s">
        <v>460</v>
      </c>
      <c r="F491" t="s">
        <v>37</v>
      </c>
      <c r="G491" t="s">
        <v>51</v>
      </c>
      <c r="H491" t="s">
        <v>55</v>
      </c>
      <c r="I491" t="s">
        <v>39</v>
      </c>
      <c r="J491" t="s">
        <v>43</v>
      </c>
      <c r="K491" s="2">
        <v>2950</v>
      </c>
      <c r="L491" s="2">
        <v>16500</v>
      </c>
      <c r="M491">
        <v>12</v>
      </c>
      <c r="N491" s="3">
        <v>0.61799999999999999</v>
      </c>
      <c r="O491" t="s">
        <v>17</v>
      </c>
      <c r="P491" t="s">
        <v>53</v>
      </c>
      <c r="Q491">
        <v>0</v>
      </c>
      <c r="R491">
        <v>1</v>
      </c>
      <c r="S491" s="2">
        <v>0</v>
      </c>
      <c r="T491" s="4"/>
      <c r="U491">
        <v>5</v>
      </c>
      <c r="V491">
        <v>0</v>
      </c>
      <c r="W491">
        <v>1</v>
      </c>
    </row>
    <row r="492" spans="1:23" ht="16.5" x14ac:dyDescent="0.3">
      <c r="A492" t="s">
        <v>544</v>
      </c>
      <c r="B492" s="1">
        <v>45363</v>
      </c>
      <c r="C492">
        <v>2024</v>
      </c>
      <c r="D492" t="s">
        <v>24</v>
      </c>
      <c r="E492" t="s">
        <v>460</v>
      </c>
      <c r="F492" t="s">
        <v>41</v>
      </c>
      <c r="G492" t="s">
        <v>27</v>
      </c>
      <c r="H492" t="s">
        <v>28</v>
      </c>
      <c r="I492" t="s">
        <v>39</v>
      </c>
      <c r="J492" t="s">
        <v>52</v>
      </c>
      <c r="K492" s="2">
        <v>5200</v>
      </c>
      <c r="L492" s="2">
        <v>83500</v>
      </c>
      <c r="M492">
        <v>60</v>
      </c>
      <c r="N492" s="3">
        <v>0.57499999999999996</v>
      </c>
      <c r="O492" t="s">
        <v>16</v>
      </c>
      <c r="Q492">
        <v>1</v>
      </c>
      <c r="R492">
        <v>0</v>
      </c>
      <c r="S492" s="2">
        <v>83500</v>
      </c>
      <c r="T492" s="4">
        <v>9.4799999999999995E-2</v>
      </c>
      <c r="U492">
        <v>9</v>
      </c>
      <c r="V492">
        <v>1</v>
      </c>
      <c r="W492">
        <v>1</v>
      </c>
    </row>
    <row r="493" spans="1:23" ht="16.5" x14ac:dyDescent="0.3">
      <c r="A493" t="s">
        <v>545</v>
      </c>
      <c r="B493" s="1">
        <v>45363</v>
      </c>
      <c r="C493">
        <v>2024</v>
      </c>
      <c r="D493" t="s">
        <v>24</v>
      </c>
      <c r="E493" t="s">
        <v>460</v>
      </c>
      <c r="F493" t="s">
        <v>50</v>
      </c>
      <c r="G493" t="s">
        <v>51</v>
      </c>
      <c r="H493" t="s">
        <v>55</v>
      </c>
      <c r="I493" t="s">
        <v>39</v>
      </c>
      <c r="J493" t="s">
        <v>43</v>
      </c>
      <c r="K493" s="2">
        <v>2550</v>
      </c>
      <c r="L493" s="2">
        <v>361500</v>
      </c>
      <c r="M493">
        <v>180</v>
      </c>
      <c r="N493" s="3">
        <v>1.2290000000000001</v>
      </c>
      <c r="O493" t="s">
        <v>17</v>
      </c>
      <c r="P493" t="s">
        <v>31</v>
      </c>
      <c r="Q493">
        <v>0</v>
      </c>
      <c r="R493">
        <v>1</v>
      </c>
      <c r="S493" s="2">
        <v>0</v>
      </c>
      <c r="T493" s="4"/>
      <c r="U493">
        <v>23</v>
      </c>
      <c r="V493">
        <v>0</v>
      </c>
      <c r="W493">
        <v>1</v>
      </c>
    </row>
    <row r="494" spans="1:23" ht="16.5" x14ac:dyDescent="0.3">
      <c r="A494" t="s">
        <v>546</v>
      </c>
      <c r="B494" s="1">
        <v>45364</v>
      </c>
      <c r="C494">
        <v>2024</v>
      </c>
      <c r="D494" t="s">
        <v>24</v>
      </c>
      <c r="E494" t="s">
        <v>460</v>
      </c>
      <c r="F494" t="s">
        <v>37</v>
      </c>
      <c r="G494" t="s">
        <v>45</v>
      </c>
      <c r="H494" t="s">
        <v>38</v>
      </c>
      <c r="I494" t="s">
        <v>29</v>
      </c>
      <c r="J494" t="s">
        <v>43</v>
      </c>
      <c r="K494" s="2">
        <v>4450</v>
      </c>
      <c r="L494" s="2">
        <v>27000</v>
      </c>
      <c r="M494">
        <v>60</v>
      </c>
      <c r="N494" s="3">
        <v>0.33500000000000002</v>
      </c>
      <c r="O494" t="s">
        <v>17</v>
      </c>
      <c r="P494" t="s">
        <v>31</v>
      </c>
      <c r="Q494">
        <v>0</v>
      </c>
      <c r="R494">
        <v>1</v>
      </c>
      <c r="S494" s="2">
        <v>0</v>
      </c>
      <c r="T494" s="4"/>
      <c r="U494">
        <v>2</v>
      </c>
      <c r="V494">
        <v>1</v>
      </c>
      <c r="W494">
        <v>1</v>
      </c>
    </row>
    <row r="495" spans="1:23" ht="16.5" x14ac:dyDescent="0.3">
      <c r="A495" t="s">
        <v>547</v>
      </c>
      <c r="B495" s="1">
        <v>45364</v>
      </c>
      <c r="C495">
        <v>2024</v>
      </c>
      <c r="D495" t="s">
        <v>24</v>
      </c>
      <c r="E495" t="s">
        <v>460</v>
      </c>
      <c r="F495" t="s">
        <v>26</v>
      </c>
      <c r="G495" t="s">
        <v>51</v>
      </c>
      <c r="H495" t="s">
        <v>38</v>
      </c>
      <c r="I495" t="s">
        <v>29</v>
      </c>
      <c r="J495" t="s">
        <v>43</v>
      </c>
      <c r="K495" s="2">
        <v>5500</v>
      </c>
      <c r="L495" s="2">
        <v>25000</v>
      </c>
      <c r="M495">
        <v>48</v>
      </c>
      <c r="N495" s="3">
        <v>0.3</v>
      </c>
      <c r="O495" t="s">
        <v>17</v>
      </c>
      <c r="P495" t="s">
        <v>31</v>
      </c>
      <c r="Q495">
        <v>0</v>
      </c>
      <c r="R495">
        <v>1</v>
      </c>
      <c r="S495" s="2">
        <v>0</v>
      </c>
      <c r="T495" s="4"/>
      <c r="U495">
        <v>8</v>
      </c>
      <c r="V495">
        <v>0</v>
      </c>
      <c r="W495">
        <v>1</v>
      </c>
    </row>
    <row r="496" spans="1:23" ht="16.5" x14ac:dyDescent="0.3">
      <c r="A496" t="s">
        <v>548</v>
      </c>
      <c r="B496" s="1">
        <v>45364</v>
      </c>
      <c r="C496">
        <v>2024</v>
      </c>
      <c r="D496" t="s">
        <v>24</v>
      </c>
      <c r="E496" t="s">
        <v>460</v>
      </c>
      <c r="F496" t="s">
        <v>37</v>
      </c>
      <c r="G496" t="s">
        <v>51</v>
      </c>
      <c r="H496" t="s">
        <v>34</v>
      </c>
      <c r="I496" t="s">
        <v>29</v>
      </c>
      <c r="J496" t="s">
        <v>52</v>
      </c>
      <c r="K496" s="2">
        <v>5250</v>
      </c>
      <c r="L496" s="2">
        <v>9500</v>
      </c>
      <c r="M496">
        <v>36</v>
      </c>
      <c r="N496" s="3">
        <v>0.123</v>
      </c>
      <c r="O496" t="s">
        <v>16</v>
      </c>
      <c r="Q496">
        <v>1</v>
      </c>
      <c r="R496">
        <v>0</v>
      </c>
      <c r="S496" s="2">
        <v>7500</v>
      </c>
      <c r="T496" s="4">
        <v>0.11409999999999999</v>
      </c>
      <c r="U496">
        <v>7</v>
      </c>
      <c r="V496">
        <v>0</v>
      </c>
      <c r="W496">
        <v>1</v>
      </c>
    </row>
    <row r="497" spans="1:23" ht="16.5" x14ac:dyDescent="0.3">
      <c r="A497" t="s">
        <v>549</v>
      </c>
      <c r="B497" s="1">
        <v>45364</v>
      </c>
      <c r="C497">
        <v>2024</v>
      </c>
      <c r="D497" t="s">
        <v>24</v>
      </c>
      <c r="E497" t="s">
        <v>460</v>
      </c>
      <c r="F497" t="s">
        <v>50</v>
      </c>
      <c r="G497" t="s">
        <v>45</v>
      </c>
      <c r="H497" t="s">
        <v>55</v>
      </c>
      <c r="I497" t="s">
        <v>39</v>
      </c>
      <c r="J497" t="s">
        <v>52</v>
      </c>
      <c r="K497" s="2">
        <v>6450</v>
      </c>
      <c r="L497" s="2">
        <v>140000</v>
      </c>
      <c r="M497">
        <v>180</v>
      </c>
      <c r="N497" s="3">
        <v>0.26100000000000001</v>
      </c>
      <c r="O497" t="s">
        <v>16</v>
      </c>
      <c r="Q497">
        <v>1</v>
      </c>
      <c r="R497">
        <v>0</v>
      </c>
      <c r="S497" s="2">
        <v>112000</v>
      </c>
      <c r="T497" s="4">
        <v>5.3699999999999998E-2</v>
      </c>
      <c r="U497">
        <v>11</v>
      </c>
      <c r="V497">
        <v>1</v>
      </c>
      <c r="W497">
        <v>1</v>
      </c>
    </row>
    <row r="498" spans="1:23" ht="16.5" x14ac:dyDescent="0.3">
      <c r="A498" t="s">
        <v>550</v>
      </c>
      <c r="B498" s="1">
        <v>45364</v>
      </c>
      <c r="C498">
        <v>2024</v>
      </c>
      <c r="D498" t="s">
        <v>24</v>
      </c>
      <c r="E498" t="s">
        <v>460</v>
      </c>
      <c r="F498" t="s">
        <v>37</v>
      </c>
      <c r="G498" t="s">
        <v>27</v>
      </c>
      <c r="H498" t="s">
        <v>28</v>
      </c>
      <c r="I498" t="s">
        <v>39</v>
      </c>
      <c r="J498" t="s">
        <v>52</v>
      </c>
      <c r="K498" s="2">
        <v>5550</v>
      </c>
      <c r="L498" s="2">
        <v>29000</v>
      </c>
      <c r="M498">
        <v>12</v>
      </c>
      <c r="N498" s="3">
        <v>0.629</v>
      </c>
      <c r="O498" t="s">
        <v>16</v>
      </c>
      <c r="Q498">
        <v>1</v>
      </c>
      <c r="R498">
        <v>0</v>
      </c>
      <c r="S498" s="2">
        <v>26000</v>
      </c>
      <c r="T498" s="4">
        <v>0.1135</v>
      </c>
      <c r="U498">
        <v>4</v>
      </c>
      <c r="V498">
        <v>0</v>
      </c>
      <c r="W498">
        <v>1</v>
      </c>
    </row>
    <row r="499" spans="1:23" ht="16.5" x14ac:dyDescent="0.3">
      <c r="A499" t="s">
        <v>551</v>
      </c>
      <c r="B499" s="1">
        <v>45364</v>
      </c>
      <c r="C499">
        <v>2024</v>
      </c>
      <c r="D499" t="s">
        <v>24</v>
      </c>
      <c r="E499" t="s">
        <v>460</v>
      </c>
      <c r="F499" t="s">
        <v>50</v>
      </c>
      <c r="G499" t="s">
        <v>45</v>
      </c>
      <c r="H499" t="s">
        <v>55</v>
      </c>
      <c r="I499" t="s">
        <v>29</v>
      </c>
      <c r="J499" t="s">
        <v>35</v>
      </c>
      <c r="K499" s="2">
        <v>6100</v>
      </c>
      <c r="L499" s="2">
        <v>366500</v>
      </c>
      <c r="M499">
        <v>180</v>
      </c>
      <c r="N499" s="3">
        <v>0.66500000000000004</v>
      </c>
      <c r="O499" t="s">
        <v>17</v>
      </c>
      <c r="P499" t="s">
        <v>53</v>
      </c>
      <c r="Q499">
        <v>0</v>
      </c>
      <c r="R499">
        <v>1</v>
      </c>
      <c r="S499" s="2">
        <v>0</v>
      </c>
      <c r="T499" s="4"/>
      <c r="U499">
        <v>9</v>
      </c>
      <c r="V499">
        <v>1</v>
      </c>
      <c r="W499">
        <v>1</v>
      </c>
    </row>
    <row r="500" spans="1:23" ht="16.5" x14ac:dyDescent="0.3">
      <c r="A500" t="s">
        <v>552</v>
      </c>
      <c r="B500" s="1">
        <v>45364</v>
      </c>
      <c r="C500">
        <v>2024</v>
      </c>
      <c r="D500" t="s">
        <v>24</v>
      </c>
      <c r="E500" t="s">
        <v>460</v>
      </c>
      <c r="F500" t="s">
        <v>26</v>
      </c>
      <c r="G500" t="s">
        <v>33</v>
      </c>
      <c r="H500" t="s">
        <v>55</v>
      </c>
      <c r="I500" t="s">
        <v>29</v>
      </c>
      <c r="J500" t="s">
        <v>46</v>
      </c>
      <c r="K500" s="2">
        <v>5200</v>
      </c>
      <c r="L500" s="2">
        <v>21000</v>
      </c>
      <c r="M500">
        <v>60</v>
      </c>
      <c r="N500" s="3">
        <v>0.215</v>
      </c>
      <c r="O500" t="s">
        <v>17</v>
      </c>
      <c r="P500" t="s">
        <v>60</v>
      </c>
      <c r="Q500">
        <v>0</v>
      </c>
      <c r="R500">
        <v>1</v>
      </c>
      <c r="S500" s="2">
        <v>0</v>
      </c>
      <c r="T500" s="4"/>
      <c r="U500">
        <v>6</v>
      </c>
      <c r="V500">
        <v>0</v>
      </c>
      <c r="W500">
        <v>1</v>
      </c>
    </row>
    <row r="501" spans="1:23" ht="16.5" x14ac:dyDescent="0.3">
      <c r="A501" t="s">
        <v>553</v>
      </c>
      <c r="B501" s="1">
        <v>45364</v>
      </c>
      <c r="C501">
        <v>2024</v>
      </c>
      <c r="D501" t="s">
        <v>24</v>
      </c>
      <c r="E501" t="s">
        <v>460</v>
      </c>
      <c r="F501" t="s">
        <v>41</v>
      </c>
      <c r="G501" t="s">
        <v>45</v>
      </c>
      <c r="H501" t="s">
        <v>34</v>
      </c>
      <c r="I501" t="s">
        <v>39</v>
      </c>
      <c r="J501" t="s">
        <v>52</v>
      </c>
      <c r="K501" s="2">
        <v>3600</v>
      </c>
      <c r="L501" s="2">
        <v>76500</v>
      </c>
      <c r="M501">
        <v>24</v>
      </c>
      <c r="N501" s="3">
        <v>1.1950000000000001</v>
      </c>
      <c r="O501" t="s">
        <v>17</v>
      </c>
      <c r="P501" t="s">
        <v>53</v>
      </c>
      <c r="Q501">
        <v>0</v>
      </c>
      <c r="R501">
        <v>1</v>
      </c>
      <c r="S501" s="2">
        <v>0</v>
      </c>
      <c r="T501" s="4"/>
      <c r="U501">
        <v>11</v>
      </c>
      <c r="V501">
        <v>0</v>
      </c>
      <c r="W501">
        <v>1</v>
      </c>
    </row>
    <row r="502" spans="1:23" ht="16.5" x14ac:dyDescent="0.3">
      <c r="A502" t="s">
        <v>554</v>
      </c>
      <c r="B502" s="1">
        <v>45364</v>
      </c>
      <c r="C502">
        <v>2024</v>
      </c>
      <c r="D502" t="s">
        <v>24</v>
      </c>
      <c r="E502" t="s">
        <v>460</v>
      </c>
      <c r="F502" t="s">
        <v>26</v>
      </c>
      <c r="G502" t="s">
        <v>51</v>
      </c>
      <c r="H502" t="s">
        <v>38</v>
      </c>
      <c r="I502" t="s">
        <v>29</v>
      </c>
      <c r="J502" t="s">
        <v>46</v>
      </c>
      <c r="K502" s="2">
        <v>5050</v>
      </c>
      <c r="L502" s="2">
        <v>12500</v>
      </c>
      <c r="M502">
        <v>36</v>
      </c>
      <c r="N502" s="3">
        <v>0.20300000000000001</v>
      </c>
      <c r="O502" t="s">
        <v>16</v>
      </c>
      <c r="Q502">
        <v>1</v>
      </c>
      <c r="R502">
        <v>0</v>
      </c>
      <c r="S502" s="2">
        <v>12500</v>
      </c>
      <c r="T502" s="4">
        <v>6.5500000000000003E-2</v>
      </c>
      <c r="U502">
        <v>4</v>
      </c>
      <c r="V502">
        <v>1</v>
      </c>
      <c r="W502">
        <v>1</v>
      </c>
    </row>
    <row r="503" spans="1:23" ht="16.5" x14ac:dyDescent="0.3">
      <c r="A503" t="s">
        <v>555</v>
      </c>
      <c r="B503" s="1">
        <v>45364</v>
      </c>
      <c r="C503">
        <v>2024</v>
      </c>
      <c r="D503" t="s">
        <v>24</v>
      </c>
      <c r="E503" t="s">
        <v>460</v>
      </c>
      <c r="F503" t="s">
        <v>50</v>
      </c>
      <c r="G503" t="s">
        <v>51</v>
      </c>
      <c r="H503" t="s">
        <v>55</v>
      </c>
      <c r="I503" t="s">
        <v>39</v>
      </c>
      <c r="J503" t="s">
        <v>35</v>
      </c>
      <c r="K503" s="2">
        <v>4250</v>
      </c>
      <c r="L503" s="2">
        <v>714500</v>
      </c>
      <c r="M503">
        <v>180</v>
      </c>
      <c r="N503" s="3">
        <v>1.421</v>
      </c>
      <c r="O503" t="s">
        <v>17</v>
      </c>
      <c r="P503" t="s">
        <v>53</v>
      </c>
      <c r="Q503">
        <v>0</v>
      </c>
      <c r="R503">
        <v>1</v>
      </c>
      <c r="S503" s="2">
        <v>0</v>
      </c>
      <c r="T503" s="4"/>
      <c r="U503">
        <v>19</v>
      </c>
      <c r="V503">
        <v>0</v>
      </c>
      <c r="W503">
        <v>1</v>
      </c>
    </row>
    <row r="504" spans="1:23" ht="16.5" x14ac:dyDescent="0.3">
      <c r="A504" t="s">
        <v>556</v>
      </c>
      <c r="B504" s="1">
        <v>45364</v>
      </c>
      <c r="C504">
        <v>2024</v>
      </c>
      <c r="D504" t="s">
        <v>24</v>
      </c>
      <c r="E504" t="s">
        <v>460</v>
      </c>
      <c r="F504" t="s">
        <v>50</v>
      </c>
      <c r="G504" t="s">
        <v>51</v>
      </c>
      <c r="H504" t="s">
        <v>38</v>
      </c>
      <c r="I504" t="s">
        <v>29</v>
      </c>
      <c r="J504" t="s">
        <v>35</v>
      </c>
      <c r="K504" s="2">
        <v>3150</v>
      </c>
      <c r="L504" s="2">
        <v>297500</v>
      </c>
      <c r="M504">
        <v>240</v>
      </c>
      <c r="N504" s="3">
        <v>0.73199999999999998</v>
      </c>
      <c r="O504" t="s">
        <v>16</v>
      </c>
      <c r="Q504">
        <v>1</v>
      </c>
      <c r="R504">
        <v>0</v>
      </c>
      <c r="S504" s="2">
        <v>297500</v>
      </c>
      <c r="T504" s="4">
        <v>5.6599999999999998E-2</v>
      </c>
      <c r="U504">
        <v>20</v>
      </c>
      <c r="V504">
        <v>0</v>
      </c>
      <c r="W504">
        <v>1</v>
      </c>
    </row>
    <row r="505" spans="1:23" ht="16.5" x14ac:dyDescent="0.3">
      <c r="A505" t="s">
        <v>557</v>
      </c>
      <c r="B505" s="1">
        <v>45364</v>
      </c>
      <c r="C505">
        <v>2024</v>
      </c>
      <c r="D505" t="s">
        <v>24</v>
      </c>
      <c r="E505" t="s">
        <v>460</v>
      </c>
      <c r="F505" t="s">
        <v>37</v>
      </c>
      <c r="G505" t="s">
        <v>27</v>
      </c>
      <c r="H505" t="s">
        <v>34</v>
      </c>
      <c r="I505" t="s">
        <v>39</v>
      </c>
      <c r="J505" t="s">
        <v>43</v>
      </c>
      <c r="K505" s="2">
        <v>3200</v>
      </c>
      <c r="L505" s="2">
        <v>17500</v>
      </c>
      <c r="M505">
        <v>36</v>
      </c>
      <c r="N505" s="3">
        <v>0.34300000000000003</v>
      </c>
      <c r="O505" t="s">
        <v>17</v>
      </c>
      <c r="P505" t="s">
        <v>60</v>
      </c>
      <c r="Q505">
        <v>0</v>
      </c>
      <c r="R505">
        <v>1</v>
      </c>
      <c r="S505" s="2">
        <v>0</v>
      </c>
      <c r="T505" s="4"/>
      <c r="U505">
        <v>8</v>
      </c>
      <c r="V505">
        <v>0</v>
      </c>
      <c r="W505">
        <v>1</v>
      </c>
    </row>
    <row r="506" spans="1:23" ht="16.5" x14ac:dyDescent="0.3">
      <c r="A506" t="s">
        <v>558</v>
      </c>
      <c r="B506" s="1">
        <v>45364</v>
      </c>
      <c r="C506">
        <v>2024</v>
      </c>
      <c r="D506" t="s">
        <v>24</v>
      </c>
      <c r="E506" t="s">
        <v>460</v>
      </c>
      <c r="F506" t="s">
        <v>37</v>
      </c>
      <c r="G506" t="s">
        <v>51</v>
      </c>
      <c r="H506" t="s">
        <v>64</v>
      </c>
      <c r="I506" t="s">
        <v>42</v>
      </c>
      <c r="J506" t="s">
        <v>30</v>
      </c>
      <c r="K506" s="2">
        <v>2550</v>
      </c>
      <c r="L506" s="2">
        <v>12500</v>
      </c>
      <c r="M506">
        <v>36</v>
      </c>
      <c r="N506" s="3">
        <v>0.34</v>
      </c>
      <c r="O506" t="s">
        <v>16</v>
      </c>
      <c r="Q506">
        <v>1</v>
      </c>
      <c r="R506">
        <v>0</v>
      </c>
      <c r="S506" s="2">
        <v>10000</v>
      </c>
      <c r="T506" s="4">
        <v>0.14380000000000001</v>
      </c>
      <c r="U506">
        <v>6</v>
      </c>
      <c r="V506">
        <v>0</v>
      </c>
      <c r="W506">
        <v>1</v>
      </c>
    </row>
    <row r="507" spans="1:23" ht="16.5" x14ac:dyDescent="0.3">
      <c r="A507" t="s">
        <v>559</v>
      </c>
      <c r="B507" s="1">
        <v>45364</v>
      </c>
      <c r="C507">
        <v>2024</v>
      </c>
      <c r="D507" t="s">
        <v>24</v>
      </c>
      <c r="E507" t="s">
        <v>460</v>
      </c>
      <c r="F507" t="s">
        <v>26</v>
      </c>
      <c r="G507" t="s">
        <v>51</v>
      </c>
      <c r="H507" t="s">
        <v>55</v>
      </c>
      <c r="I507" t="s">
        <v>42</v>
      </c>
      <c r="J507" t="s">
        <v>52</v>
      </c>
      <c r="K507" s="2">
        <v>8750</v>
      </c>
      <c r="L507" s="2">
        <v>20500</v>
      </c>
      <c r="M507">
        <v>60</v>
      </c>
      <c r="N507" s="3">
        <v>0.11799999999999999</v>
      </c>
      <c r="O507" t="s">
        <v>16</v>
      </c>
      <c r="Q507">
        <v>1</v>
      </c>
      <c r="R507">
        <v>0</v>
      </c>
      <c r="S507" s="2">
        <v>16500</v>
      </c>
      <c r="T507" s="4">
        <v>6.83E-2</v>
      </c>
      <c r="U507">
        <v>8</v>
      </c>
      <c r="V507">
        <v>0</v>
      </c>
      <c r="W507">
        <v>1</v>
      </c>
    </row>
    <row r="508" spans="1:23" ht="16.5" x14ac:dyDescent="0.3">
      <c r="A508" t="s">
        <v>560</v>
      </c>
      <c r="B508" s="1">
        <v>45364</v>
      </c>
      <c r="C508">
        <v>2024</v>
      </c>
      <c r="D508" t="s">
        <v>24</v>
      </c>
      <c r="E508" t="s">
        <v>460</v>
      </c>
      <c r="F508" t="s">
        <v>26</v>
      </c>
      <c r="G508" t="s">
        <v>51</v>
      </c>
      <c r="H508" t="s">
        <v>34</v>
      </c>
      <c r="I508" t="s">
        <v>29</v>
      </c>
      <c r="J508" t="s">
        <v>52</v>
      </c>
      <c r="K508" s="2">
        <v>5350</v>
      </c>
      <c r="L508" s="2">
        <v>35500</v>
      </c>
      <c r="M508">
        <v>36</v>
      </c>
      <c r="N508" s="3">
        <v>0.376</v>
      </c>
      <c r="O508" t="s">
        <v>16</v>
      </c>
      <c r="Q508">
        <v>1</v>
      </c>
      <c r="R508">
        <v>0</v>
      </c>
      <c r="S508" s="2">
        <v>35500</v>
      </c>
      <c r="T508" s="4">
        <v>7.1099999999999997E-2</v>
      </c>
      <c r="U508">
        <v>5</v>
      </c>
      <c r="V508">
        <v>0</v>
      </c>
      <c r="W508">
        <v>1</v>
      </c>
    </row>
    <row r="509" spans="1:23" ht="16.5" x14ac:dyDescent="0.3">
      <c r="A509" t="s">
        <v>561</v>
      </c>
      <c r="B509" s="1">
        <v>45364</v>
      </c>
      <c r="C509">
        <v>2024</v>
      </c>
      <c r="D509" t="s">
        <v>24</v>
      </c>
      <c r="E509" t="s">
        <v>460</v>
      </c>
      <c r="F509" t="s">
        <v>26</v>
      </c>
      <c r="G509" t="s">
        <v>45</v>
      </c>
      <c r="H509" t="s">
        <v>55</v>
      </c>
      <c r="I509" t="s">
        <v>42</v>
      </c>
      <c r="J509" t="s">
        <v>30</v>
      </c>
      <c r="K509" s="2">
        <v>4650</v>
      </c>
      <c r="L509" s="2">
        <v>21500</v>
      </c>
      <c r="M509">
        <v>60</v>
      </c>
      <c r="N509" s="3">
        <v>0.28399999999999997</v>
      </c>
      <c r="O509" t="s">
        <v>16</v>
      </c>
      <c r="Q509">
        <v>1</v>
      </c>
      <c r="R509">
        <v>0</v>
      </c>
      <c r="S509" s="2">
        <v>17000</v>
      </c>
      <c r="T509" s="4">
        <v>0.1004</v>
      </c>
      <c r="U509">
        <v>3</v>
      </c>
      <c r="V509">
        <v>1</v>
      </c>
      <c r="W509">
        <v>1</v>
      </c>
    </row>
    <row r="510" spans="1:23" ht="16.5" x14ac:dyDescent="0.3">
      <c r="A510" t="s">
        <v>562</v>
      </c>
      <c r="B510" s="1">
        <v>45364</v>
      </c>
      <c r="C510">
        <v>2024</v>
      </c>
      <c r="D510" t="s">
        <v>24</v>
      </c>
      <c r="E510" t="s">
        <v>460</v>
      </c>
      <c r="F510" t="s">
        <v>26</v>
      </c>
      <c r="G510" t="s">
        <v>27</v>
      </c>
      <c r="H510" t="s">
        <v>55</v>
      </c>
      <c r="I510" t="s">
        <v>39</v>
      </c>
      <c r="J510" t="s">
        <v>30</v>
      </c>
      <c r="K510" s="2">
        <v>4450</v>
      </c>
      <c r="L510" s="2">
        <v>19000</v>
      </c>
      <c r="M510">
        <v>48</v>
      </c>
      <c r="N510" s="3">
        <v>0.35099999999999998</v>
      </c>
      <c r="O510" t="s">
        <v>125</v>
      </c>
      <c r="Q510">
        <v>0</v>
      </c>
      <c r="R510">
        <v>0</v>
      </c>
      <c r="S510" s="2">
        <v>0</v>
      </c>
      <c r="T510" s="4"/>
      <c r="U510">
        <v>10</v>
      </c>
      <c r="V510">
        <v>0</v>
      </c>
      <c r="W510">
        <v>1</v>
      </c>
    </row>
    <row r="511" spans="1:23" ht="16.5" x14ac:dyDescent="0.3">
      <c r="A511" t="s">
        <v>563</v>
      </c>
      <c r="B511" s="1">
        <v>45364</v>
      </c>
      <c r="C511">
        <v>2024</v>
      </c>
      <c r="D511" t="s">
        <v>24</v>
      </c>
      <c r="E511" t="s">
        <v>460</v>
      </c>
      <c r="F511" t="s">
        <v>37</v>
      </c>
      <c r="G511" t="s">
        <v>51</v>
      </c>
      <c r="H511" t="s">
        <v>38</v>
      </c>
      <c r="I511" t="s">
        <v>39</v>
      </c>
      <c r="J511" t="s">
        <v>30</v>
      </c>
      <c r="K511" s="2">
        <v>4950</v>
      </c>
      <c r="L511" s="2">
        <v>11000</v>
      </c>
      <c r="M511">
        <v>12</v>
      </c>
      <c r="N511" s="3">
        <v>0.251</v>
      </c>
      <c r="O511" t="s">
        <v>16</v>
      </c>
      <c r="Q511">
        <v>1</v>
      </c>
      <c r="R511">
        <v>0</v>
      </c>
      <c r="S511" s="2">
        <v>11000</v>
      </c>
      <c r="T511" s="4">
        <v>0.1348</v>
      </c>
      <c r="U511">
        <v>3</v>
      </c>
      <c r="V511">
        <v>1</v>
      </c>
      <c r="W511">
        <v>1</v>
      </c>
    </row>
    <row r="512" spans="1:23" ht="16.5" x14ac:dyDescent="0.3">
      <c r="A512" t="s">
        <v>564</v>
      </c>
      <c r="B512" s="1">
        <v>45364</v>
      </c>
      <c r="C512">
        <v>2024</v>
      </c>
      <c r="D512" t="s">
        <v>24</v>
      </c>
      <c r="E512" t="s">
        <v>460</v>
      </c>
      <c r="F512" t="s">
        <v>50</v>
      </c>
      <c r="G512" t="s">
        <v>27</v>
      </c>
      <c r="H512" t="s">
        <v>38</v>
      </c>
      <c r="I512" t="s">
        <v>42</v>
      </c>
      <c r="J512" t="s">
        <v>46</v>
      </c>
      <c r="K512" s="2">
        <v>6350</v>
      </c>
      <c r="L512" s="2">
        <v>165500</v>
      </c>
      <c r="M512">
        <v>180</v>
      </c>
      <c r="N512" s="3">
        <v>0.314</v>
      </c>
      <c r="O512" t="s">
        <v>17</v>
      </c>
      <c r="P512" t="s">
        <v>60</v>
      </c>
      <c r="Q512">
        <v>0</v>
      </c>
      <c r="R512">
        <v>1</v>
      </c>
      <c r="S512" s="2">
        <v>0</v>
      </c>
      <c r="T512" s="4"/>
      <c r="U512">
        <v>29</v>
      </c>
      <c r="V512">
        <v>0</v>
      </c>
      <c r="W512">
        <v>1</v>
      </c>
    </row>
    <row r="513" spans="1:23" ht="16.5" x14ac:dyDescent="0.3">
      <c r="A513" t="s">
        <v>565</v>
      </c>
      <c r="B513" s="1">
        <v>45365</v>
      </c>
      <c r="C513">
        <v>2024</v>
      </c>
      <c r="D513" t="s">
        <v>24</v>
      </c>
      <c r="E513" t="s">
        <v>460</v>
      </c>
      <c r="F513" t="s">
        <v>41</v>
      </c>
      <c r="G513" t="s">
        <v>51</v>
      </c>
      <c r="H513" t="s">
        <v>34</v>
      </c>
      <c r="I513" t="s">
        <v>29</v>
      </c>
      <c r="J513" t="s">
        <v>35</v>
      </c>
      <c r="K513" s="2">
        <v>3800</v>
      </c>
      <c r="L513" s="2">
        <v>65000</v>
      </c>
      <c r="M513">
        <v>12</v>
      </c>
      <c r="N513" s="3">
        <v>1.609</v>
      </c>
      <c r="O513" t="s">
        <v>17</v>
      </c>
      <c r="P513" t="s">
        <v>53</v>
      </c>
      <c r="Q513">
        <v>0</v>
      </c>
      <c r="R513">
        <v>1</v>
      </c>
      <c r="S513" s="2">
        <v>0</v>
      </c>
      <c r="T513" s="4"/>
      <c r="U513">
        <v>17</v>
      </c>
      <c r="V513">
        <v>0</v>
      </c>
      <c r="W513">
        <v>1</v>
      </c>
    </row>
    <row r="514" spans="1:23" ht="16.5" x14ac:dyDescent="0.3">
      <c r="A514" t="s">
        <v>566</v>
      </c>
      <c r="B514" s="1">
        <v>45365</v>
      </c>
      <c r="C514">
        <v>2024</v>
      </c>
      <c r="D514" t="s">
        <v>24</v>
      </c>
      <c r="E514" t="s">
        <v>460</v>
      </c>
      <c r="F514" t="s">
        <v>50</v>
      </c>
      <c r="G514" t="s">
        <v>45</v>
      </c>
      <c r="H514" t="s">
        <v>34</v>
      </c>
      <c r="I514" t="s">
        <v>39</v>
      </c>
      <c r="J514" t="s">
        <v>52</v>
      </c>
      <c r="K514" s="2">
        <v>9600</v>
      </c>
      <c r="L514" s="2">
        <v>371500</v>
      </c>
      <c r="M514">
        <v>300</v>
      </c>
      <c r="N514" s="3">
        <v>0.28699999999999998</v>
      </c>
      <c r="O514" t="s">
        <v>16</v>
      </c>
      <c r="Q514">
        <v>1</v>
      </c>
      <c r="R514">
        <v>0</v>
      </c>
      <c r="S514" s="2">
        <v>334500</v>
      </c>
      <c r="T514" s="4">
        <v>5.3900000000000003E-2</v>
      </c>
      <c r="U514">
        <v>13</v>
      </c>
      <c r="V514">
        <v>1</v>
      </c>
      <c r="W514">
        <v>1</v>
      </c>
    </row>
    <row r="515" spans="1:23" ht="16.5" x14ac:dyDescent="0.3">
      <c r="A515" t="s">
        <v>567</v>
      </c>
      <c r="B515" s="1">
        <v>45365</v>
      </c>
      <c r="C515">
        <v>2024</v>
      </c>
      <c r="D515" t="s">
        <v>24</v>
      </c>
      <c r="E515" t="s">
        <v>460</v>
      </c>
      <c r="F515" t="s">
        <v>26</v>
      </c>
      <c r="G515" t="s">
        <v>51</v>
      </c>
      <c r="H515" t="s">
        <v>64</v>
      </c>
      <c r="I515" t="s">
        <v>29</v>
      </c>
      <c r="J515" t="s">
        <v>46</v>
      </c>
      <c r="K515" s="2">
        <v>3200</v>
      </c>
      <c r="L515" s="2">
        <v>88500</v>
      </c>
      <c r="M515">
        <v>36</v>
      </c>
      <c r="N515" s="3">
        <v>0.97199999999999998</v>
      </c>
      <c r="O515" t="s">
        <v>16</v>
      </c>
      <c r="Q515">
        <v>1</v>
      </c>
      <c r="R515">
        <v>0</v>
      </c>
      <c r="S515" s="2">
        <v>88500</v>
      </c>
      <c r="T515" s="4">
        <v>6.6600000000000006E-2</v>
      </c>
      <c r="U515">
        <v>5</v>
      </c>
      <c r="V515">
        <v>0</v>
      </c>
      <c r="W515">
        <v>1</v>
      </c>
    </row>
    <row r="516" spans="1:23" ht="16.5" x14ac:dyDescent="0.3">
      <c r="A516" t="s">
        <v>568</v>
      </c>
      <c r="B516" s="1">
        <v>45365</v>
      </c>
      <c r="C516">
        <v>2024</v>
      </c>
      <c r="D516" t="s">
        <v>24</v>
      </c>
      <c r="E516" t="s">
        <v>460</v>
      </c>
      <c r="F516" t="s">
        <v>37</v>
      </c>
      <c r="G516" t="s">
        <v>45</v>
      </c>
      <c r="H516" t="s">
        <v>34</v>
      </c>
      <c r="I516" t="s">
        <v>39</v>
      </c>
      <c r="J516" t="s">
        <v>52</v>
      </c>
      <c r="K516" s="2">
        <v>4750</v>
      </c>
      <c r="L516" s="2">
        <v>6500</v>
      </c>
      <c r="M516">
        <v>48</v>
      </c>
      <c r="N516" s="3">
        <v>0.21099999999999999</v>
      </c>
      <c r="O516" t="s">
        <v>16</v>
      </c>
      <c r="Q516">
        <v>1</v>
      </c>
      <c r="R516">
        <v>0</v>
      </c>
      <c r="S516" s="2">
        <v>6500</v>
      </c>
      <c r="T516" s="4">
        <v>0.11409999999999999</v>
      </c>
      <c r="U516">
        <v>1</v>
      </c>
      <c r="V516">
        <v>1</v>
      </c>
      <c r="W516">
        <v>1</v>
      </c>
    </row>
    <row r="517" spans="1:23" ht="16.5" x14ac:dyDescent="0.3">
      <c r="A517" t="s">
        <v>569</v>
      </c>
      <c r="B517" s="1">
        <v>45365</v>
      </c>
      <c r="C517">
        <v>2024</v>
      </c>
      <c r="D517" t="s">
        <v>24</v>
      </c>
      <c r="E517" t="s">
        <v>460</v>
      </c>
      <c r="F517" t="s">
        <v>41</v>
      </c>
      <c r="G517" t="s">
        <v>33</v>
      </c>
      <c r="H517" t="s">
        <v>55</v>
      </c>
      <c r="I517" t="s">
        <v>42</v>
      </c>
      <c r="J517" t="s">
        <v>30</v>
      </c>
      <c r="K517" s="2">
        <v>6650</v>
      </c>
      <c r="L517" s="2">
        <v>34500</v>
      </c>
      <c r="M517">
        <v>36</v>
      </c>
      <c r="N517" s="3">
        <v>0.28299999999999997</v>
      </c>
      <c r="O517" t="s">
        <v>17</v>
      </c>
      <c r="P517" t="s">
        <v>31</v>
      </c>
      <c r="Q517">
        <v>0</v>
      </c>
      <c r="R517">
        <v>1</v>
      </c>
      <c r="S517" s="2">
        <v>0</v>
      </c>
      <c r="T517" s="4"/>
      <c r="U517">
        <v>8</v>
      </c>
      <c r="V517">
        <v>1</v>
      </c>
      <c r="W517">
        <v>1</v>
      </c>
    </row>
    <row r="518" spans="1:23" ht="16.5" x14ac:dyDescent="0.3">
      <c r="A518" t="s">
        <v>570</v>
      </c>
      <c r="B518" s="1">
        <v>45365</v>
      </c>
      <c r="C518">
        <v>2024</v>
      </c>
      <c r="D518" t="s">
        <v>24</v>
      </c>
      <c r="E518" t="s">
        <v>460</v>
      </c>
      <c r="F518" t="s">
        <v>37</v>
      </c>
      <c r="G518" t="s">
        <v>51</v>
      </c>
      <c r="H518" t="s">
        <v>55</v>
      </c>
      <c r="I518" t="s">
        <v>29</v>
      </c>
      <c r="J518" t="s">
        <v>46</v>
      </c>
      <c r="K518" s="2">
        <v>6100</v>
      </c>
      <c r="L518" s="2">
        <v>4500</v>
      </c>
      <c r="M518">
        <v>48</v>
      </c>
      <c r="N518" s="3">
        <v>0.13900000000000001</v>
      </c>
      <c r="O518" t="s">
        <v>16</v>
      </c>
      <c r="Q518">
        <v>1</v>
      </c>
      <c r="R518">
        <v>0</v>
      </c>
      <c r="S518" s="2">
        <v>4500</v>
      </c>
      <c r="T518" s="4">
        <v>0.10979999999999999</v>
      </c>
      <c r="U518">
        <v>8</v>
      </c>
      <c r="V518">
        <v>0</v>
      </c>
      <c r="W518">
        <v>1</v>
      </c>
    </row>
    <row r="519" spans="1:23" ht="16.5" x14ac:dyDescent="0.3">
      <c r="A519" t="s">
        <v>571</v>
      </c>
      <c r="B519" s="1">
        <v>45365</v>
      </c>
      <c r="C519">
        <v>2024</v>
      </c>
      <c r="D519" t="s">
        <v>24</v>
      </c>
      <c r="E519" t="s">
        <v>460</v>
      </c>
      <c r="F519" t="s">
        <v>50</v>
      </c>
      <c r="G519" t="s">
        <v>51</v>
      </c>
      <c r="H519" t="s">
        <v>38</v>
      </c>
      <c r="I519" t="s">
        <v>29</v>
      </c>
      <c r="J519" t="s">
        <v>35</v>
      </c>
      <c r="K519" s="2">
        <v>6200</v>
      </c>
      <c r="L519" s="2">
        <v>134500</v>
      </c>
      <c r="M519">
        <v>180</v>
      </c>
      <c r="N519" s="3">
        <v>0.27200000000000002</v>
      </c>
      <c r="O519" t="s">
        <v>16</v>
      </c>
      <c r="Q519">
        <v>1</v>
      </c>
      <c r="R519">
        <v>0</v>
      </c>
      <c r="S519" s="2">
        <v>121000</v>
      </c>
      <c r="T519" s="4">
        <v>5.8000000000000003E-2</v>
      </c>
      <c r="U519">
        <v>16</v>
      </c>
      <c r="V519">
        <v>0</v>
      </c>
      <c r="W519">
        <v>1</v>
      </c>
    </row>
    <row r="520" spans="1:23" ht="16.5" x14ac:dyDescent="0.3">
      <c r="A520" t="s">
        <v>572</v>
      </c>
      <c r="B520" s="1">
        <v>45365</v>
      </c>
      <c r="C520">
        <v>2024</v>
      </c>
      <c r="D520" t="s">
        <v>24</v>
      </c>
      <c r="E520" t="s">
        <v>460</v>
      </c>
      <c r="F520" t="s">
        <v>37</v>
      </c>
      <c r="G520" t="s">
        <v>27</v>
      </c>
      <c r="H520" t="s">
        <v>64</v>
      </c>
      <c r="I520" t="s">
        <v>29</v>
      </c>
      <c r="J520" t="s">
        <v>35</v>
      </c>
      <c r="K520" s="2">
        <v>4250</v>
      </c>
      <c r="L520" s="2">
        <v>7000</v>
      </c>
      <c r="M520">
        <v>48</v>
      </c>
      <c r="N520" s="3">
        <v>0.215</v>
      </c>
      <c r="O520" t="s">
        <v>17</v>
      </c>
      <c r="P520" t="s">
        <v>60</v>
      </c>
      <c r="Q520">
        <v>0</v>
      </c>
      <c r="R520">
        <v>1</v>
      </c>
      <c r="S520" s="2">
        <v>0</v>
      </c>
      <c r="T520" s="4"/>
      <c r="U520">
        <v>8</v>
      </c>
      <c r="V520">
        <v>0</v>
      </c>
      <c r="W520">
        <v>1</v>
      </c>
    </row>
    <row r="521" spans="1:23" ht="16.5" x14ac:dyDescent="0.3">
      <c r="A521" t="s">
        <v>573</v>
      </c>
      <c r="B521" s="1">
        <v>45366</v>
      </c>
      <c r="C521">
        <v>2024</v>
      </c>
      <c r="D521" t="s">
        <v>24</v>
      </c>
      <c r="E521" t="s">
        <v>460</v>
      </c>
      <c r="F521" t="s">
        <v>26</v>
      </c>
      <c r="G521" t="s">
        <v>51</v>
      </c>
      <c r="H521" t="s">
        <v>28</v>
      </c>
      <c r="I521" t="s">
        <v>39</v>
      </c>
      <c r="J521" t="s">
        <v>35</v>
      </c>
      <c r="K521" s="2">
        <v>9550</v>
      </c>
      <c r="L521" s="2">
        <v>19000</v>
      </c>
      <c r="M521">
        <v>48</v>
      </c>
      <c r="N521" s="3">
        <v>0.246</v>
      </c>
      <c r="O521" t="s">
        <v>16</v>
      </c>
      <c r="Q521">
        <v>1</v>
      </c>
      <c r="R521">
        <v>0</v>
      </c>
      <c r="S521" s="2">
        <v>15000</v>
      </c>
      <c r="T521" s="4">
        <v>8.43E-2</v>
      </c>
      <c r="U521">
        <v>7</v>
      </c>
      <c r="V521">
        <v>0</v>
      </c>
      <c r="W521">
        <v>1</v>
      </c>
    </row>
    <row r="522" spans="1:23" ht="16.5" x14ac:dyDescent="0.3">
      <c r="A522" t="s">
        <v>574</v>
      </c>
      <c r="B522" s="1">
        <v>45366</v>
      </c>
      <c r="C522">
        <v>2024</v>
      </c>
      <c r="D522" t="s">
        <v>24</v>
      </c>
      <c r="E522" t="s">
        <v>460</v>
      </c>
      <c r="F522" t="s">
        <v>41</v>
      </c>
      <c r="G522" t="s">
        <v>51</v>
      </c>
      <c r="H522" t="s">
        <v>28</v>
      </c>
      <c r="I522" t="s">
        <v>39</v>
      </c>
      <c r="J522" t="s">
        <v>46</v>
      </c>
      <c r="K522" s="2">
        <v>4750</v>
      </c>
      <c r="L522" s="2">
        <v>73000</v>
      </c>
      <c r="M522">
        <v>12</v>
      </c>
      <c r="N522" s="3">
        <v>1.466</v>
      </c>
      <c r="O522" t="s">
        <v>16</v>
      </c>
      <c r="Q522">
        <v>1</v>
      </c>
      <c r="R522">
        <v>0</v>
      </c>
      <c r="S522" s="2">
        <v>73000</v>
      </c>
      <c r="T522" s="4">
        <v>9.6699999999999994E-2</v>
      </c>
      <c r="U522">
        <v>10</v>
      </c>
      <c r="V522">
        <v>1</v>
      </c>
      <c r="W522">
        <v>1</v>
      </c>
    </row>
    <row r="523" spans="1:23" ht="16.5" x14ac:dyDescent="0.3">
      <c r="A523" t="s">
        <v>575</v>
      </c>
      <c r="B523" s="1">
        <v>45366</v>
      </c>
      <c r="C523">
        <v>2024</v>
      </c>
      <c r="D523" t="s">
        <v>24</v>
      </c>
      <c r="E523" t="s">
        <v>460</v>
      </c>
      <c r="F523" t="s">
        <v>50</v>
      </c>
      <c r="G523" t="s">
        <v>27</v>
      </c>
      <c r="H523" t="s">
        <v>34</v>
      </c>
      <c r="I523" t="s">
        <v>39</v>
      </c>
      <c r="J523" t="s">
        <v>35</v>
      </c>
      <c r="K523" s="2">
        <v>10500</v>
      </c>
      <c r="L523" s="2">
        <v>322500</v>
      </c>
      <c r="M523">
        <v>240</v>
      </c>
      <c r="N523" s="3">
        <v>0.36399999999999999</v>
      </c>
      <c r="O523" t="s">
        <v>16</v>
      </c>
      <c r="Q523">
        <v>1</v>
      </c>
      <c r="R523">
        <v>0</v>
      </c>
      <c r="S523" s="2">
        <v>258000</v>
      </c>
      <c r="T523" s="4">
        <v>6.08E-2</v>
      </c>
      <c r="U523">
        <v>10</v>
      </c>
      <c r="V523">
        <v>1</v>
      </c>
      <c r="W523">
        <v>1</v>
      </c>
    </row>
    <row r="524" spans="1:23" ht="16.5" x14ac:dyDescent="0.3">
      <c r="A524" t="s">
        <v>576</v>
      </c>
      <c r="B524" s="1">
        <v>45366</v>
      </c>
      <c r="C524">
        <v>2024</v>
      </c>
      <c r="D524" t="s">
        <v>24</v>
      </c>
      <c r="E524" t="s">
        <v>460</v>
      </c>
      <c r="F524" t="s">
        <v>37</v>
      </c>
      <c r="G524" t="s">
        <v>33</v>
      </c>
      <c r="H524" t="s">
        <v>34</v>
      </c>
      <c r="I524" t="s">
        <v>39</v>
      </c>
      <c r="J524" t="s">
        <v>35</v>
      </c>
      <c r="K524" s="2">
        <v>3650</v>
      </c>
      <c r="L524" s="2">
        <v>13500</v>
      </c>
      <c r="M524">
        <v>60</v>
      </c>
      <c r="N524" s="3">
        <v>0.14000000000000001</v>
      </c>
      <c r="O524" t="s">
        <v>17</v>
      </c>
      <c r="P524" t="s">
        <v>31</v>
      </c>
      <c r="Q524">
        <v>0</v>
      </c>
      <c r="R524">
        <v>1</v>
      </c>
      <c r="S524" s="2">
        <v>0</v>
      </c>
      <c r="T524" s="4"/>
      <c r="U524">
        <v>3</v>
      </c>
      <c r="V524">
        <v>1</v>
      </c>
      <c r="W524">
        <v>1</v>
      </c>
    </row>
    <row r="525" spans="1:23" ht="16.5" x14ac:dyDescent="0.3">
      <c r="A525" t="s">
        <v>577</v>
      </c>
      <c r="B525" s="1">
        <v>45366</v>
      </c>
      <c r="C525">
        <v>2024</v>
      </c>
      <c r="D525" t="s">
        <v>24</v>
      </c>
      <c r="E525" t="s">
        <v>460</v>
      </c>
      <c r="F525" t="s">
        <v>41</v>
      </c>
      <c r="G525" t="s">
        <v>51</v>
      </c>
      <c r="H525" t="s">
        <v>64</v>
      </c>
      <c r="I525" t="s">
        <v>39</v>
      </c>
      <c r="J525" t="s">
        <v>35</v>
      </c>
      <c r="K525" s="2">
        <v>5750</v>
      </c>
      <c r="L525" s="2">
        <v>88500</v>
      </c>
      <c r="M525">
        <v>24</v>
      </c>
      <c r="N525" s="3">
        <v>0.89100000000000001</v>
      </c>
      <c r="O525" t="s">
        <v>17</v>
      </c>
      <c r="P525" t="s">
        <v>53</v>
      </c>
      <c r="Q525">
        <v>0</v>
      </c>
      <c r="R525">
        <v>1</v>
      </c>
      <c r="S525" s="2">
        <v>0</v>
      </c>
      <c r="T525" s="4"/>
      <c r="U525">
        <v>20</v>
      </c>
      <c r="V525">
        <v>0</v>
      </c>
      <c r="W525">
        <v>1</v>
      </c>
    </row>
    <row r="526" spans="1:23" ht="16.5" x14ac:dyDescent="0.3">
      <c r="A526" t="s">
        <v>578</v>
      </c>
      <c r="B526" s="1">
        <v>45366</v>
      </c>
      <c r="C526">
        <v>2024</v>
      </c>
      <c r="D526" t="s">
        <v>24</v>
      </c>
      <c r="E526" t="s">
        <v>460</v>
      </c>
      <c r="F526" t="s">
        <v>50</v>
      </c>
      <c r="G526" t="s">
        <v>51</v>
      </c>
      <c r="H526" t="s">
        <v>34</v>
      </c>
      <c r="I526" t="s">
        <v>29</v>
      </c>
      <c r="J526" t="s">
        <v>52</v>
      </c>
      <c r="K526" s="2">
        <v>11200</v>
      </c>
      <c r="L526" s="2">
        <v>400000</v>
      </c>
      <c r="M526">
        <v>240</v>
      </c>
      <c r="N526" s="3">
        <v>0.42099999999999999</v>
      </c>
      <c r="O526" t="s">
        <v>17</v>
      </c>
      <c r="P526" t="s">
        <v>65</v>
      </c>
      <c r="Q526">
        <v>0</v>
      </c>
      <c r="R526">
        <v>1</v>
      </c>
      <c r="S526" s="2">
        <v>0</v>
      </c>
      <c r="T526" s="4"/>
      <c r="U526">
        <v>15</v>
      </c>
      <c r="V526">
        <v>1</v>
      </c>
      <c r="W526">
        <v>1</v>
      </c>
    </row>
    <row r="527" spans="1:23" ht="16.5" x14ac:dyDescent="0.3">
      <c r="A527" t="s">
        <v>579</v>
      </c>
      <c r="B527" s="1">
        <v>45366</v>
      </c>
      <c r="C527">
        <v>2024</v>
      </c>
      <c r="D527" t="s">
        <v>24</v>
      </c>
      <c r="E527" t="s">
        <v>460</v>
      </c>
      <c r="F527" t="s">
        <v>41</v>
      </c>
      <c r="G527" t="s">
        <v>51</v>
      </c>
      <c r="H527" t="s">
        <v>38</v>
      </c>
      <c r="I527" t="s">
        <v>39</v>
      </c>
      <c r="J527" t="s">
        <v>30</v>
      </c>
      <c r="K527" s="2">
        <v>4500</v>
      </c>
      <c r="L527" s="2">
        <v>58000</v>
      </c>
      <c r="M527">
        <v>24</v>
      </c>
      <c r="N527" s="3">
        <v>0.69599999999999995</v>
      </c>
      <c r="O527" t="s">
        <v>17</v>
      </c>
      <c r="P527" t="s">
        <v>31</v>
      </c>
      <c r="Q527">
        <v>0</v>
      </c>
      <c r="R527">
        <v>1</v>
      </c>
      <c r="S527" s="2">
        <v>0</v>
      </c>
      <c r="T527" s="4"/>
      <c r="U527">
        <v>19</v>
      </c>
      <c r="V527">
        <v>0</v>
      </c>
      <c r="W527">
        <v>1</v>
      </c>
    </row>
    <row r="528" spans="1:23" ht="16.5" x14ac:dyDescent="0.3">
      <c r="A528" t="s">
        <v>580</v>
      </c>
      <c r="B528" s="1">
        <v>45366</v>
      </c>
      <c r="C528">
        <v>2024</v>
      </c>
      <c r="D528" t="s">
        <v>24</v>
      </c>
      <c r="E528" t="s">
        <v>460</v>
      </c>
      <c r="F528" t="s">
        <v>41</v>
      </c>
      <c r="G528" t="s">
        <v>45</v>
      </c>
      <c r="H528" t="s">
        <v>38</v>
      </c>
      <c r="I528" t="s">
        <v>29</v>
      </c>
      <c r="J528" t="s">
        <v>52</v>
      </c>
      <c r="K528" s="2">
        <v>5800</v>
      </c>
      <c r="L528" s="2">
        <v>198000</v>
      </c>
      <c r="M528">
        <v>12</v>
      </c>
      <c r="N528" s="3">
        <v>3.12</v>
      </c>
      <c r="O528" t="s">
        <v>17</v>
      </c>
      <c r="P528" t="s">
        <v>53</v>
      </c>
      <c r="Q528">
        <v>0</v>
      </c>
      <c r="R528">
        <v>1</v>
      </c>
      <c r="S528" s="2">
        <v>0</v>
      </c>
      <c r="T528" s="4"/>
      <c r="U528">
        <v>7</v>
      </c>
      <c r="V528">
        <v>1</v>
      </c>
      <c r="W528">
        <v>1</v>
      </c>
    </row>
    <row r="529" spans="1:23" ht="16.5" x14ac:dyDescent="0.3">
      <c r="A529" t="s">
        <v>581</v>
      </c>
      <c r="B529" s="1">
        <v>45366</v>
      </c>
      <c r="C529">
        <v>2024</v>
      </c>
      <c r="D529" t="s">
        <v>24</v>
      </c>
      <c r="E529" t="s">
        <v>460</v>
      </c>
      <c r="F529" t="s">
        <v>37</v>
      </c>
      <c r="G529" t="s">
        <v>33</v>
      </c>
      <c r="H529" t="s">
        <v>28</v>
      </c>
      <c r="I529" t="s">
        <v>39</v>
      </c>
      <c r="J529" t="s">
        <v>30</v>
      </c>
      <c r="K529" s="2">
        <v>14100</v>
      </c>
      <c r="L529" s="2">
        <v>8500</v>
      </c>
      <c r="M529">
        <v>36</v>
      </c>
      <c r="N529" s="3">
        <v>0.14299999999999999</v>
      </c>
      <c r="O529" t="s">
        <v>17</v>
      </c>
      <c r="P529" t="s">
        <v>31</v>
      </c>
      <c r="Q529">
        <v>0</v>
      </c>
      <c r="R529">
        <v>1</v>
      </c>
      <c r="S529" s="2">
        <v>0</v>
      </c>
      <c r="T529" s="4"/>
      <c r="U529">
        <v>4</v>
      </c>
      <c r="V529">
        <v>0</v>
      </c>
      <c r="W529">
        <v>1</v>
      </c>
    </row>
    <row r="530" spans="1:23" ht="16.5" x14ac:dyDescent="0.3">
      <c r="A530" t="s">
        <v>582</v>
      </c>
      <c r="B530" s="1">
        <v>45366</v>
      </c>
      <c r="C530">
        <v>2024</v>
      </c>
      <c r="D530" t="s">
        <v>24</v>
      </c>
      <c r="E530" t="s">
        <v>460</v>
      </c>
      <c r="F530" t="s">
        <v>37</v>
      </c>
      <c r="G530" t="s">
        <v>33</v>
      </c>
      <c r="H530" t="s">
        <v>34</v>
      </c>
      <c r="I530" t="s">
        <v>42</v>
      </c>
      <c r="J530" t="s">
        <v>35</v>
      </c>
      <c r="K530" s="2">
        <v>6500</v>
      </c>
      <c r="L530" s="2">
        <v>7500</v>
      </c>
      <c r="M530">
        <v>60</v>
      </c>
      <c r="N530" s="3">
        <v>0.127</v>
      </c>
      <c r="O530" t="s">
        <v>16</v>
      </c>
      <c r="Q530">
        <v>1</v>
      </c>
      <c r="R530">
        <v>0</v>
      </c>
      <c r="S530" s="2">
        <v>7000</v>
      </c>
      <c r="T530" s="4">
        <v>0.1237</v>
      </c>
      <c r="U530">
        <v>2</v>
      </c>
      <c r="V530">
        <v>1</v>
      </c>
      <c r="W530">
        <v>1</v>
      </c>
    </row>
    <row r="531" spans="1:23" ht="16.5" x14ac:dyDescent="0.3">
      <c r="A531" t="s">
        <v>583</v>
      </c>
      <c r="B531" s="1">
        <v>45367</v>
      </c>
      <c r="C531">
        <v>2024</v>
      </c>
      <c r="D531" t="s">
        <v>24</v>
      </c>
      <c r="E531" t="s">
        <v>460</v>
      </c>
      <c r="F531" t="s">
        <v>26</v>
      </c>
      <c r="G531" t="s">
        <v>45</v>
      </c>
      <c r="H531" t="s">
        <v>55</v>
      </c>
      <c r="I531" t="s">
        <v>42</v>
      </c>
      <c r="J531" t="s">
        <v>35</v>
      </c>
      <c r="K531" s="2">
        <v>5050</v>
      </c>
      <c r="L531" s="2">
        <v>32000</v>
      </c>
      <c r="M531">
        <v>48</v>
      </c>
      <c r="N531" s="3">
        <v>0.27900000000000003</v>
      </c>
      <c r="O531" t="s">
        <v>16</v>
      </c>
      <c r="Q531">
        <v>1</v>
      </c>
      <c r="R531">
        <v>0</v>
      </c>
      <c r="S531" s="2">
        <v>25500</v>
      </c>
      <c r="T531" s="4">
        <v>8.09E-2</v>
      </c>
      <c r="U531">
        <v>3</v>
      </c>
      <c r="V531">
        <v>1</v>
      </c>
      <c r="W531">
        <v>1</v>
      </c>
    </row>
    <row r="532" spans="1:23" ht="16.5" x14ac:dyDescent="0.3">
      <c r="A532" t="s">
        <v>584</v>
      </c>
      <c r="B532" s="1">
        <v>45367</v>
      </c>
      <c r="C532">
        <v>2024</v>
      </c>
      <c r="D532" t="s">
        <v>24</v>
      </c>
      <c r="E532" t="s">
        <v>460</v>
      </c>
      <c r="F532" t="s">
        <v>37</v>
      </c>
      <c r="G532" t="s">
        <v>33</v>
      </c>
      <c r="H532" t="s">
        <v>55</v>
      </c>
      <c r="I532" t="s">
        <v>39</v>
      </c>
      <c r="J532" t="s">
        <v>35</v>
      </c>
      <c r="K532" s="2">
        <v>6950</v>
      </c>
      <c r="L532" s="2">
        <v>14000</v>
      </c>
      <c r="M532">
        <v>60</v>
      </c>
      <c r="N532" s="3">
        <v>0.16300000000000001</v>
      </c>
      <c r="O532" t="s">
        <v>16</v>
      </c>
      <c r="Q532">
        <v>1</v>
      </c>
      <c r="R532">
        <v>0</v>
      </c>
      <c r="S532" s="2">
        <v>14000</v>
      </c>
      <c r="T532" s="4">
        <v>0.12559999999999999</v>
      </c>
      <c r="U532">
        <v>1</v>
      </c>
      <c r="V532">
        <v>1</v>
      </c>
      <c r="W532">
        <v>1</v>
      </c>
    </row>
    <row r="533" spans="1:23" ht="16.5" x14ac:dyDescent="0.3">
      <c r="A533" t="s">
        <v>585</v>
      </c>
      <c r="B533" s="1">
        <v>45367</v>
      </c>
      <c r="C533">
        <v>2024</v>
      </c>
      <c r="D533" t="s">
        <v>24</v>
      </c>
      <c r="E533" t="s">
        <v>460</v>
      </c>
      <c r="F533" t="s">
        <v>37</v>
      </c>
      <c r="G533" t="s">
        <v>51</v>
      </c>
      <c r="H533" t="s">
        <v>28</v>
      </c>
      <c r="I533" t="s">
        <v>29</v>
      </c>
      <c r="J533" t="s">
        <v>35</v>
      </c>
      <c r="K533" s="2">
        <v>6900</v>
      </c>
      <c r="L533" s="2">
        <v>25500</v>
      </c>
      <c r="M533">
        <v>24</v>
      </c>
      <c r="N533" s="3">
        <v>0.39400000000000002</v>
      </c>
      <c r="O533" t="s">
        <v>17</v>
      </c>
      <c r="P533" t="s">
        <v>31</v>
      </c>
      <c r="Q533">
        <v>0</v>
      </c>
      <c r="R533">
        <v>1</v>
      </c>
      <c r="S533" s="2">
        <v>0</v>
      </c>
      <c r="T533" s="4"/>
      <c r="U533">
        <v>5</v>
      </c>
      <c r="V533">
        <v>0</v>
      </c>
      <c r="W533">
        <v>1</v>
      </c>
    </row>
    <row r="534" spans="1:23" ht="16.5" x14ac:dyDescent="0.3">
      <c r="A534" t="s">
        <v>586</v>
      </c>
      <c r="B534" s="1">
        <v>45367</v>
      </c>
      <c r="C534">
        <v>2024</v>
      </c>
      <c r="D534" t="s">
        <v>24</v>
      </c>
      <c r="E534" t="s">
        <v>460</v>
      </c>
      <c r="F534" t="s">
        <v>37</v>
      </c>
      <c r="G534" t="s">
        <v>51</v>
      </c>
      <c r="H534" t="s">
        <v>64</v>
      </c>
      <c r="I534" t="s">
        <v>29</v>
      </c>
      <c r="J534" t="s">
        <v>35</v>
      </c>
      <c r="K534" s="2">
        <v>4150</v>
      </c>
      <c r="L534" s="2">
        <v>25000</v>
      </c>
      <c r="M534">
        <v>60</v>
      </c>
      <c r="N534" s="3">
        <v>0.22500000000000001</v>
      </c>
      <c r="O534" t="s">
        <v>16</v>
      </c>
      <c r="Q534">
        <v>1</v>
      </c>
      <c r="R534">
        <v>0</v>
      </c>
      <c r="S534" s="2">
        <v>20000</v>
      </c>
      <c r="T534" s="4">
        <v>0.13109999999999999</v>
      </c>
      <c r="U534">
        <v>5</v>
      </c>
      <c r="V534">
        <v>0</v>
      </c>
      <c r="W534">
        <v>1</v>
      </c>
    </row>
    <row r="535" spans="1:23" ht="16.5" x14ac:dyDescent="0.3">
      <c r="A535" t="s">
        <v>587</v>
      </c>
      <c r="B535" s="1">
        <v>45367</v>
      </c>
      <c r="C535">
        <v>2024</v>
      </c>
      <c r="D535" t="s">
        <v>24</v>
      </c>
      <c r="E535" t="s">
        <v>460</v>
      </c>
      <c r="F535" t="s">
        <v>50</v>
      </c>
      <c r="G535" t="s">
        <v>51</v>
      </c>
      <c r="H535" t="s">
        <v>55</v>
      </c>
      <c r="I535" t="s">
        <v>29</v>
      </c>
      <c r="J535" t="s">
        <v>35</v>
      </c>
      <c r="K535" s="2">
        <v>8200</v>
      </c>
      <c r="L535" s="2">
        <v>467000</v>
      </c>
      <c r="M535">
        <v>240</v>
      </c>
      <c r="N535" s="3">
        <v>0.59099999999999997</v>
      </c>
      <c r="O535" t="s">
        <v>16</v>
      </c>
      <c r="Q535">
        <v>1</v>
      </c>
      <c r="R535">
        <v>0</v>
      </c>
      <c r="S535" s="2">
        <v>467000</v>
      </c>
      <c r="T535" s="4">
        <v>5.9499999999999997E-2</v>
      </c>
      <c r="U535">
        <v>27</v>
      </c>
      <c r="V535">
        <v>0</v>
      </c>
      <c r="W535">
        <v>1</v>
      </c>
    </row>
    <row r="536" spans="1:23" ht="16.5" x14ac:dyDescent="0.3">
      <c r="A536" t="s">
        <v>588</v>
      </c>
      <c r="B536" s="1">
        <v>45367</v>
      </c>
      <c r="C536">
        <v>2024</v>
      </c>
      <c r="D536" t="s">
        <v>24</v>
      </c>
      <c r="E536" t="s">
        <v>460</v>
      </c>
      <c r="F536" t="s">
        <v>41</v>
      </c>
      <c r="G536" t="s">
        <v>51</v>
      </c>
      <c r="H536" t="s">
        <v>38</v>
      </c>
      <c r="I536" t="s">
        <v>29</v>
      </c>
      <c r="J536" t="s">
        <v>43</v>
      </c>
      <c r="K536" s="2">
        <v>2800</v>
      </c>
      <c r="L536" s="2">
        <v>105500</v>
      </c>
      <c r="M536">
        <v>12</v>
      </c>
      <c r="N536" s="3">
        <v>3.4569999999999999</v>
      </c>
      <c r="O536" t="s">
        <v>17</v>
      </c>
      <c r="P536" t="s">
        <v>53</v>
      </c>
      <c r="Q536">
        <v>0</v>
      </c>
      <c r="R536">
        <v>1</v>
      </c>
      <c r="S536" s="2">
        <v>0</v>
      </c>
      <c r="T536" s="4"/>
      <c r="U536">
        <v>19</v>
      </c>
      <c r="V536">
        <v>0</v>
      </c>
      <c r="W536">
        <v>1</v>
      </c>
    </row>
    <row r="537" spans="1:23" ht="16.5" x14ac:dyDescent="0.3">
      <c r="A537" t="s">
        <v>589</v>
      </c>
      <c r="B537" s="1">
        <v>45367</v>
      </c>
      <c r="C537">
        <v>2024</v>
      </c>
      <c r="D537" t="s">
        <v>24</v>
      </c>
      <c r="E537" t="s">
        <v>460</v>
      </c>
      <c r="F537" t="s">
        <v>26</v>
      </c>
      <c r="G537" t="s">
        <v>27</v>
      </c>
      <c r="H537" t="s">
        <v>34</v>
      </c>
      <c r="I537" t="s">
        <v>29</v>
      </c>
      <c r="J537" t="s">
        <v>52</v>
      </c>
      <c r="K537" s="2">
        <v>1900</v>
      </c>
      <c r="L537" s="2">
        <v>37500</v>
      </c>
      <c r="M537">
        <v>60</v>
      </c>
      <c r="N537" s="3">
        <v>0.46200000000000002</v>
      </c>
      <c r="O537" t="s">
        <v>16</v>
      </c>
      <c r="Q537">
        <v>1</v>
      </c>
      <c r="R537">
        <v>0</v>
      </c>
      <c r="S537" s="2">
        <v>37500</v>
      </c>
      <c r="T537" s="4">
        <v>7.0099999999999996E-2</v>
      </c>
      <c r="U537">
        <v>3</v>
      </c>
      <c r="V537">
        <v>1</v>
      </c>
      <c r="W537">
        <v>1</v>
      </c>
    </row>
    <row r="538" spans="1:23" ht="16.5" x14ac:dyDescent="0.3">
      <c r="A538" t="s">
        <v>590</v>
      </c>
      <c r="B538" s="1">
        <v>45368</v>
      </c>
      <c r="C538">
        <v>2024</v>
      </c>
      <c r="D538" t="s">
        <v>24</v>
      </c>
      <c r="E538" t="s">
        <v>460</v>
      </c>
      <c r="F538" t="s">
        <v>37</v>
      </c>
      <c r="G538" t="s">
        <v>51</v>
      </c>
      <c r="H538" t="s">
        <v>55</v>
      </c>
      <c r="I538" t="s">
        <v>39</v>
      </c>
      <c r="J538" t="s">
        <v>35</v>
      </c>
      <c r="K538" s="2">
        <v>9900</v>
      </c>
      <c r="L538" s="2">
        <v>13500</v>
      </c>
      <c r="M538">
        <v>24</v>
      </c>
      <c r="N538" s="3">
        <v>0.214</v>
      </c>
      <c r="O538" t="s">
        <v>16</v>
      </c>
      <c r="Q538">
        <v>1</v>
      </c>
      <c r="R538">
        <v>0</v>
      </c>
      <c r="S538" s="2">
        <v>12000</v>
      </c>
      <c r="T538" s="4">
        <v>0.12540000000000001</v>
      </c>
      <c r="U538">
        <v>6</v>
      </c>
      <c r="V538">
        <v>0</v>
      </c>
      <c r="W538">
        <v>1</v>
      </c>
    </row>
    <row r="539" spans="1:23" ht="16.5" x14ac:dyDescent="0.3">
      <c r="A539" t="s">
        <v>591</v>
      </c>
      <c r="B539" s="1">
        <v>45368</v>
      </c>
      <c r="C539">
        <v>2024</v>
      </c>
      <c r="D539" t="s">
        <v>24</v>
      </c>
      <c r="E539" t="s">
        <v>460</v>
      </c>
      <c r="F539" t="s">
        <v>37</v>
      </c>
      <c r="G539" t="s">
        <v>33</v>
      </c>
      <c r="H539" t="s">
        <v>38</v>
      </c>
      <c r="I539" t="s">
        <v>42</v>
      </c>
      <c r="J539" t="s">
        <v>52</v>
      </c>
      <c r="K539" s="2">
        <v>6300</v>
      </c>
      <c r="L539" s="2">
        <v>19500</v>
      </c>
      <c r="M539">
        <v>24</v>
      </c>
      <c r="N539" s="3">
        <v>0.38200000000000001</v>
      </c>
      <c r="O539" t="s">
        <v>16</v>
      </c>
      <c r="Q539">
        <v>1</v>
      </c>
      <c r="R539">
        <v>0</v>
      </c>
      <c r="S539" s="2">
        <v>15500</v>
      </c>
      <c r="T539" s="4">
        <v>0.1104</v>
      </c>
      <c r="U539">
        <v>1</v>
      </c>
      <c r="V539">
        <v>1</v>
      </c>
      <c r="W539">
        <v>1</v>
      </c>
    </row>
    <row r="540" spans="1:23" ht="16.5" x14ac:dyDescent="0.3">
      <c r="A540" t="s">
        <v>592</v>
      </c>
      <c r="B540" s="1">
        <v>45368</v>
      </c>
      <c r="C540">
        <v>2024</v>
      </c>
      <c r="D540" t="s">
        <v>24</v>
      </c>
      <c r="E540" t="s">
        <v>460</v>
      </c>
      <c r="F540" t="s">
        <v>50</v>
      </c>
      <c r="G540" t="s">
        <v>51</v>
      </c>
      <c r="H540" t="s">
        <v>38</v>
      </c>
      <c r="I540" t="s">
        <v>39</v>
      </c>
      <c r="J540" t="s">
        <v>35</v>
      </c>
      <c r="K540" s="2">
        <v>3050</v>
      </c>
      <c r="L540" s="2">
        <v>249500</v>
      </c>
      <c r="M540">
        <v>180</v>
      </c>
      <c r="N540" s="3">
        <v>0.72099999999999997</v>
      </c>
      <c r="O540" t="s">
        <v>16</v>
      </c>
      <c r="Q540">
        <v>1</v>
      </c>
      <c r="R540">
        <v>0</v>
      </c>
      <c r="S540" s="2">
        <v>224500</v>
      </c>
      <c r="T540" s="4">
        <v>6.3299999999999995E-2</v>
      </c>
      <c r="U540">
        <v>16</v>
      </c>
      <c r="V540">
        <v>0</v>
      </c>
      <c r="W540">
        <v>1</v>
      </c>
    </row>
    <row r="541" spans="1:23" ht="16.5" x14ac:dyDescent="0.3">
      <c r="A541" t="s">
        <v>593</v>
      </c>
      <c r="B541" s="1">
        <v>45368</v>
      </c>
      <c r="C541">
        <v>2024</v>
      </c>
      <c r="D541" t="s">
        <v>24</v>
      </c>
      <c r="E541" t="s">
        <v>460</v>
      </c>
      <c r="F541" t="s">
        <v>26</v>
      </c>
      <c r="G541" t="s">
        <v>45</v>
      </c>
      <c r="H541" t="s">
        <v>38</v>
      </c>
      <c r="I541" t="s">
        <v>42</v>
      </c>
      <c r="J541" t="s">
        <v>30</v>
      </c>
      <c r="K541" s="2">
        <v>10000</v>
      </c>
      <c r="L541" s="2">
        <v>26000</v>
      </c>
      <c r="M541">
        <v>60</v>
      </c>
      <c r="N541" s="3">
        <v>0.218</v>
      </c>
      <c r="O541" t="s">
        <v>16</v>
      </c>
      <c r="Q541">
        <v>1</v>
      </c>
      <c r="R541">
        <v>0</v>
      </c>
      <c r="S541" s="2">
        <v>21000</v>
      </c>
      <c r="T541" s="4">
        <v>0.1017</v>
      </c>
      <c r="U541">
        <v>3</v>
      </c>
      <c r="V541">
        <v>1</v>
      </c>
      <c r="W541">
        <v>1</v>
      </c>
    </row>
    <row r="542" spans="1:23" ht="16.5" x14ac:dyDescent="0.3">
      <c r="A542" t="s">
        <v>594</v>
      </c>
      <c r="B542" s="1">
        <v>45369</v>
      </c>
      <c r="C542">
        <v>2024</v>
      </c>
      <c r="D542" t="s">
        <v>24</v>
      </c>
      <c r="E542" t="s">
        <v>460</v>
      </c>
      <c r="F542" t="s">
        <v>37</v>
      </c>
      <c r="G542" t="s">
        <v>51</v>
      </c>
      <c r="H542" t="s">
        <v>38</v>
      </c>
      <c r="I542" t="s">
        <v>29</v>
      </c>
      <c r="J542" t="s">
        <v>52</v>
      </c>
      <c r="K542" s="2">
        <v>3100</v>
      </c>
      <c r="L542" s="2">
        <v>8500</v>
      </c>
      <c r="M542">
        <v>24</v>
      </c>
      <c r="N542" s="3">
        <v>0.26500000000000001</v>
      </c>
      <c r="O542" t="s">
        <v>16</v>
      </c>
      <c r="Q542">
        <v>1</v>
      </c>
      <c r="R542">
        <v>0</v>
      </c>
      <c r="S542" s="2">
        <v>8500</v>
      </c>
      <c r="T542" s="4">
        <v>0.1176</v>
      </c>
      <c r="U542">
        <v>7</v>
      </c>
      <c r="V542">
        <v>0</v>
      </c>
      <c r="W542">
        <v>1</v>
      </c>
    </row>
    <row r="543" spans="1:23" ht="16.5" x14ac:dyDescent="0.3">
      <c r="A543" t="s">
        <v>595</v>
      </c>
      <c r="B543" s="1">
        <v>45369</v>
      </c>
      <c r="C543">
        <v>2024</v>
      </c>
      <c r="D543" t="s">
        <v>24</v>
      </c>
      <c r="E543" t="s">
        <v>460</v>
      </c>
      <c r="F543" t="s">
        <v>37</v>
      </c>
      <c r="G543" t="s">
        <v>27</v>
      </c>
      <c r="H543" t="s">
        <v>55</v>
      </c>
      <c r="I543" t="s">
        <v>29</v>
      </c>
      <c r="J543" t="s">
        <v>35</v>
      </c>
      <c r="K543" s="2">
        <v>9450</v>
      </c>
      <c r="L543" s="2">
        <v>12000</v>
      </c>
      <c r="M543">
        <v>24</v>
      </c>
      <c r="N543" s="3">
        <v>0.14000000000000001</v>
      </c>
      <c r="O543" t="s">
        <v>16</v>
      </c>
      <c r="Q543">
        <v>1</v>
      </c>
      <c r="R543">
        <v>0</v>
      </c>
      <c r="S543" s="2">
        <v>12000</v>
      </c>
      <c r="T543" s="4">
        <v>0.12970000000000001</v>
      </c>
      <c r="U543">
        <v>3</v>
      </c>
      <c r="V543">
        <v>1</v>
      </c>
      <c r="W543">
        <v>1</v>
      </c>
    </row>
    <row r="544" spans="1:23" ht="16.5" x14ac:dyDescent="0.3">
      <c r="A544" t="s">
        <v>596</v>
      </c>
      <c r="B544" s="1">
        <v>45369</v>
      </c>
      <c r="C544">
        <v>2024</v>
      </c>
      <c r="D544" t="s">
        <v>24</v>
      </c>
      <c r="E544" t="s">
        <v>460</v>
      </c>
      <c r="F544" t="s">
        <v>37</v>
      </c>
      <c r="G544" t="s">
        <v>33</v>
      </c>
      <c r="H544" t="s">
        <v>55</v>
      </c>
      <c r="I544" t="s">
        <v>39</v>
      </c>
      <c r="J544" t="s">
        <v>52</v>
      </c>
      <c r="K544" s="2">
        <v>9750</v>
      </c>
      <c r="L544" s="2">
        <v>8500</v>
      </c>
      <c r="M544">
        <v>24</v>
      </c>
      <c r="N544" s="3">
        <v>0.27700000000000002</v>
      </c>
      <c r="O544" t="s">
        <v>16</v>
      </c>
      <c r="Q544">
        <v>1</v>
      </c>
      <c r="R544">
        <v>0</v>
      </c>
      <c r="S544" s="2">
        <v>8500</v>
      </c>
      <c r="T544" s="4">
        <v>0.1133</v>
      </c>
      <c r="U544">
        <v>3</v>
      </c>
      <c r="V544">
        <v>1</v>
      </c>
      <c r="W544">
        <v>1</v>
      </c>
    </row>
    <row r="545" spans="1:23" ht="16.5" x14ac:dyDescent="0.3">
      <c r="A545" t="s">
        <v>597</v>
      </c>
      <c r="B545" s="1">
        <v>45369</v>
      </c>
      <c r="C545">
        <v>2024</v>
      </c>
      <c r="D545" t="s">
        <v>24</v>
      </c>
      <c r="E545" t="s">
        <v>460</v>
      </c>
      <c r="F545" t="s">
        <v>37</v>
      </c>
      <c r="G545" t="s">
        <v>51</v>
      </c>
      <c r="H545" t="s">
        <v>55</v>
      </c>
      <c r="I545" t="s">
        <v>39</v>
      </c>
      <c r="J545" t="s">
        <v>46</v>
      </c>
      <c r="K545" s="2">
        <v>8550</v>
      </c>
      <c r="L545" s="2">
        <v>27000</v>
      </c>
      <c r="M545">
        <v>36</v>
      </c>
      <c r="N545" s="3">
        <v>0.246</v>
      </c>
      <c r="O545" t="s">
        <v>16</v>
      </c>
      <c r="Q545">
        <v>1</v>
      </c>
      <c r="R545">
        <v>0</v>
      </c>
      <c r="S545" s="2">
        <v>24500</v>
      </c>
      <c r="T545" s="4">
        <v>0.11219999999999999</v>
      </c>
      <c r="U545">
        <v>5</v>
      </c>
      <c r="V545">
        <v>0</v>
      </c>
      <c r="W545">
        <v>1</v>
      </c>
    </row>
    <row r="546" spans="1:23" ht="16.5" x14ac:dyDescent="0.3">
      <c r="A546" t="s">
        <v>598</v>
      </c>
      <c r="B546" s="1">
        <v>45369</v>
      </c>
      <c r="C546">
        <v>2024</v>
      </c>
      <c r="D546" t="s">
        <v>24</v>
      </c>
      <c r="E546" t="s">
        <v>460</v>
      </c>
      <c r="F546" t="s">
        <v>26</v>
      </c>
      <c r="G546" t="s">
        <v>33</v>
      </c>
      <c r="H546" t="s">
        <v>55</v>
      </c>
      <c r="I546" t="s">
        <v>39</v>
      </c>
      <c r="J546" t="s">
        <v>35</v>
      </c>
      <c r="K546" s="2">
        <v>6100</v>
      </c>
      <c r="L546" s="2">
        <v>15500</v>
      </c>
      <c r="M546">
        <v>36</v>
      </c>
      <c r="N546" s="3">
        <v>0.29399999999999998</v>
      </c>
      <c r="O546" t="s">
        <v>16</v>
      </c>
      <c r="Q546">
        <v>1</v>
      </c>
      <c r="R546">
        <v>0</v>
      </c>
      <c r="S546" s="2">
        <v>15500</v>
      </c>
      <c r="T546" s="4">
        <v>7.9100000000000004E-2</v>
      </c>
      <c r="U546">
        <v>3</v>
      </c>
      <c r="V546">
        <v>1</v>
      </c>
      <c r="W546">
        <v>1</v>
      </c>
    </row>
    <row r="547" spans="1:23" ht="16.5" x14ac:dyDescent="0.3">
      <c r="A547" t="s">
        <v>599</v>
      </c>
      <c r="B547" s="1">
        <v>45370</v>
      </c>
      <c r="C547">
        <v>2024</v>
      </c>
      <c r="D547" t="s">
        <v>24</v>
      </c>
      <c r="E547" t="s">
        <v>460</v>
      </c>
      <c r="F547" t="s">
        <v>37</v>
      </c>
      <c r="G547" t="s">
        <v>45</v>
      </c>
      <c r="H547" t="s">
        <v>55</v>
      </c>
      <c r="I547" t="s">
        <v>39</v>
      </c>
      <c r="J547" t="s">
        <v>30</v>
      </c>
      <c r="K547" s="2">
        <v>5350</v>
      </c>
      <c r="L547" s="2">
        <v>13000</v>
      </c>
      <c r="M547">
        <v>48</v>
      </c>
      <c r="N547" s="3">
        <v>0.20100000000000001</v>
      </c>
      <c r="O547" t="s">
        <v>16</v>
      </c>
      <c r="Q547">
        <v>1</v>
      </c>
      <c r="R547">
        <v>0</v>
      </c>
      <c r="S547" s="2">
        <v>11500</v>
      </c>
      <c r="T547" s="4">
        <v>0.1376</v>
      </c>
      <c r="U547">
        <v>1</v>
      </c>
      <c r="V547">
        <v>1</v>
      </c>
      <c r="W547">
        <v>1</v>
      </c>
    </row>
    <row r="548" spans="1:23" ht="16.5" x14ac:dyDescent="0.3">
      <c r="A548" t="s">
        <v>600</v>
      </c>
      <c r="B548" s="1">
        <v>45370</v>
      </c>
      <c r="C548">
        <v>2024</v>
      </c>
      <c r="D548" t="s">
        <v>24</v>
      </c>
      <c r="E548" t="s">
        <v>460</v>
      </c>
      <c r="F548" t="s">
        <v>41</v>
      </c>
      <c r="G548" t="s">
        <v>51</v>
      </c>
      <c r="H548" t="s">
        <v>38</v>
      </c>
      <c r="I548" t="s">
        <v>29</v>
      </c>
      <c r="J548" t="s">
        <v>35</v>
      </c>
      <c r="K548" s="2">
        <v>3350</v>
      </c>
      <c r="L548" s="2">
        <v>151000</v>
      </c>
      <c r="M548">
        <v>36</v>
      </c>
      <c r="N548" s="3">
        <v>1.6839999999999999</v>
      </c>
      <c r="O548" t="s">
        <v>17</v>
      </c>
      <c r="P548" t="s">
        <v>53</v>
      </c>
      <c r="Q548">
        <v>0</v>
      </c>
      <c r="R548">
        <v>1</v>
      </c>
      <c r="S548" s="2">
        <v>0</v>
      </c>
      <c r="T548" s="4"/>
      <c r="U548">
        <v>13</v>
      </c>
      <c r="V548">
        <v>0</v>
      </c>
      <c r="W548">
        <v>1</v>
      </c>
    </row>
    <row r="549" spans="1:23" ht="16.5" x14ac:dyDescent="0.3">
      <c r="A549" t="s">
        <v>601</v>
      </c>
      <c r="B549" s="1">
        <v>45370</v>
      </c>
      <c r="C549">
        <v>2024</v>
      </c>
      <c r="D549" t="s">
        <v>24</v>
      </c>
      <c r="E549" t="s">
        <v>460</v>
      </c>
      <c r="F549" t="s">
        <v>26</v>
      </c>
      <c r="G549" t="s">
        <v>45</v>
      </c>
      <c r="H549" t="s">
        <v>64</v>
      </c>
      <c r="I549" t="s">
        <v>29</v>
      </c>
      <c r="J549" t="s">
        <v>46</v>
      </c>
      <c r="K549" s="2">
        <v>4150</v>
      </c>
      <c r="L549" s="2">
        <v>46500</v>
      </c>
      <c r="M549">
        <v>36</v>
      </c>
      <c r="N549" s="3">
        <v>0.434</v>
      </c>
      <c r="O549" t="s">
        <v>16</v>
      </c>
      <c r="Q549">
        <v>1</v>
      </c>
      <c r="R549">
        <v>0</v>
      </c>
      <c r="S549" s="2">
        <v>42000</v>
      </c>
      <c r="T549" s="4">
        <v>6.8000000000000005E-2</v>
      </c>
      <c r="U549">
        <v>2</v>
      </c>
      <c r="V549">
        <v>1</v>
      </c>
      <c r="W549">
        <v>1</v>
      </c>
    </row>
    <row r="550" spans="1:23" ht="16.5" x14ac:dyDescent="0.3">
      <c r="A550" t="s">
        <v>602</v>
      </c>
      <c r="B550" s="1">
        <v>45370</v>
      </c>
      <c r="C550">
        <v>2024</v>
      </c>
      <c r="D550" t="s">
        <v>24</v>
      </c>
      <c r="E550" t="s">
        <v>460</v>
      </c>
      <c r="F550" t="s">
        <v>37</v>
      </c>
      <c r="G550" t="s">
        <v>51</v>
      </c>
      <c r="H550" t="s">
        <v>38</v>
      </c>
      <c r="I550" t="s">
        <v>39</v>
      </c>
      <c r="J550" t="s">
        <v>43</v>
      </c>
      <c r="K550" s="2">
        <v>5750</v>
      </c>
      <c r="L550" s="2">
        <v>9500</v>
      </c>
      <c r="M550">
        <v>24</v>
      </c>
      <c r="N550" s="3">
        <v>0.23599999999999999</v>
      </c>
      <c r="O550" t="s">
        <v>125</v>
      </c>
      <c r="Q550">
        <v>0</v>
      </c>
      <c r="R550">
        <v>0</v>
      </c>
      <c r="S550" s="2">
        <v>0</v>
      </c>
      <c r="T550" s="4"/>
      <c r="U550">
        <v>4</v>
      </c>
      <c r="V550">
        <v>0</v>
      </c>
      <c r="W550">
        <v>1</v>
      </c>
    </row>
    <row r="551" spans="1:23" ht="16.5" x14ac:dyDescent="0.3">
      <c r="A551" t="s">
        <v>603</v>
      </c>
      <c r="B551" s="1">
        <v>45370</v>
      </c>
      <c r="C551">
        <v>2024</v>
      </c>
      <c r="D551" t="s">
        <v>24</v>
      </c>
      <c r="E551" t="s">
        <v>460</v>
      </c>
      <c r="F551" t="s">
        <v>37</v>
      </c>
      <c r="G551" t="s">
        <v>51</v>
      </c>
      <c r="H551" t="s">
        <v>38</v>
      </c>
      <c r="I551" t="s">
        <v>39</v>
      </c>
      <c r="J551" t="s">
        <v>52</v>
      </c>
      <c r="K551" s="2">
        <v>6200</v>
      </c>
      <c r="L551" s="2">
        <v>6000</v>
      </c>
      <c r="M551">
        <v>60</v>
      </c>
      <c r="N551" s="3">
        <v>0.22700000000000001</v>
      </c>
      <c r="O551" t="s">
        <v>16</v>
      </c>
      <c r="Q551">
        <v>1</v>
      </c>
      <c r="R551">
        <v>0</v>
      </c>
      <c r="S551" s="2">
        <v>6000</v>
      </c>
      <c r="T551" s="4">
        <v>0.1149</v>
      </c>
      <c r="U551">
        <v>3</v>
      </c>
      <c r="V551">
        <v>1</v>
      </c>
      <c r="W551">
        <v>1</v>
      </c>
    </row>
    <row r="552" spans="1:23" ht="16.5" x14ac:dyDescent="0.3">
      <c r="A552" t="s">
        <v>604</v>
      </c>
      <c r="B552" s="1">
        <v>45370</v>
      </c>
      <c r="C552">
        <v>2024</v>
      </c>
      <c r="D552" t="s">
        <v>24</v>
      </c>
      <c r="E552" t="s">
        <v>460</v>
      </c>
      <c r="F552" t="s">
        <v>41</v>
      </c>
      <c r="G552" t="s">
        <v>51</v>
      </c>
      <c r="H552" t="s">
        <v>55</v>
      </c>
      <c r="I552" t="s">
        <v>29</v>
      </c>
      <c r="J552" t="s">
        <v>46</v>
      </c>
      <c r="K552" s="2">
        <v>3950</v>
      </c>
      <c r="L552" s="2">
        <v>190500</v>
      </c>
      <c r="M552">
        <v>36</v>
      </c>
      <c r="N552" s="3">
        <v>1.794</v>
      </c>
      <c r="O552" t="s">
        <v>16</v>
      </c>
      <c r="Q552">
        <v>1</v>
      </c>
      <c r="R552">
        <v>0</v>
      </c>
      <c r="S552" s="2">
        <v>190500</v>
      </c>
      <c r="T552" s="4">
        <v>9.2799999999999994E-2</v>
      </c>
      <c r="U552">
        <v>18</v>
      </c>
      <c r="V552">
        <v>0</v>
      </c>
      <c r="W552">
        <v>1</v>
      </c>
    </row>
    <row r="553" spans="1:23" ht="16.5" x14ac:dyDescent="0.3">
      <c r="A553" t="s">
        <v>605</v>
      </c>
      <c r="B553" s="1">
        <v>45370</v>
      </c>
      <c r="C553">
        <v>2024</v>
      </c>
      <c r="D553" t="s">
        <v>24</v>
      </c>
      <c r="E553" t="s">
        <v>460</v>
      </c>
      <c r="F553" t="s">
        <v>37</v>
      </c>
      <c r="G553" t="s">
        <v>45</v>
      </c>
      <c r="H553" t="s">
        <v>55</v>
      </c>
      <c r="I553" t="s">
        <v>29</v>
      </c>
      <c r="J553" t="s">
        <v>30</v>
      </c>
      <c r="K553" s="2">
        <v>4150</v>
      </c>
      <c r="L553" s="2">
        <v>29000</v>
      </c>
      <c r="M553">
        <v>48</v>
      </c>
      <c r="N553" s="3">
        <v>0.317</v>
      </c>
      <c r="O553" t="s">
        <v>16</v>
      </c>
      <c r="Q553">
        <v>1</v>
      </c>
      <c r="R553">
        <v>0</v>
      </c>
      <c r="S553" s="2">
        <v>29000</v>
      </c>
      <c r="T553" s="4">
        <v>0.1376</v>
      </c>
      <c r="U553">
        <v>2</v>
      </c>
      <c r="V553">
        <v>1</v>
      </c>
      <c r="W553">
        <v>1</v>
      </c>
    </row>
    <row r="554" spans="1:23" ht="16.5" x14ac:dyDescent="0.3">
      <c r="A554" t="s">
        <v>606</v>
      </c>
      <c r="B554" s="1">
        <v>45370</v>
      </c>
      <c r="C554">
        <v>2024</v>
      </c>
      <c r="D554" t="s">
        <v>24</v>
      </c>
      <c r="E554" t="s">
        <v>460</v>
      </c>
      <c r="F554" t="s">
        <v>37</v>
      </c>
      <c r="G554" t="s">
        <v>51</v>
      </c>
      <c r="H554" t="s">
        <v>38</v>
      </c>
      <c r="I554" t="s">
        <v>39</v>
      </c>
      <c r="J554" t="s">
        <v>30</v>
      </c>
      <c r="K554" s="2">
        <v>7650</v>
      </c>
      <c r="L554" s="2">
        <v>10000</v>
      </c>
      <c r="M554">
        <v>24</v>
      </c>
      <c r="N554" s="3">
        <v>0.27200000000000002</v>
      </c>
      <c r="O554" t="s">
        <v>17</v>
      </c>
      <c r="P554" t="s">
        <v>31</v>
      </c>
      <c r="Q554">
        <v>0</v>
      </c>
      <c r="R554">
        <v>1</v>
      </c>
      <c r="S554" s="2">
        <v>0</v>
      </c>
      <c r="T554" s="4"/>
      <c r="U554">
        <v>5</v>
      </c>
      <c r="V554">
        <v>0</v>
      </c>
      <c r="W554">
        <v>1</v>
      </c>
    </row>
    <row r="555" spans="1:23" ht="16.5" x14ac:dyDescent="0.3">
      <c r="A555" t="s">
        <v>607</v>
      </c>
      <c r="B555" s="1">
        <v>45370</v>
      </c>
      <c r="C555">
        <v>2024</v>
      </c>
      <c r="D555" t="s">
        <v>24</v>
      </c>
      <c r="E555" t="s">
        <v>460</v>
      </c>
      <c r="F555" t="s">
        <v>50</v>
      </c>
      <c r="G555" t="s">
        <v>33</v>
      </c>
      <c r="H555" t="s">
        <v>55</v>
      </c>
      <c r="I555" t="s">
        <v>42</v>
      </c>
      <c r="J555" t="s">
        <v>52</v>
      </c>
      <c r="K555" s="2">
        <v>8050</v>
      </c>
      <c r="L555" s="2">
        <v>319500</v>
      </c>
      <c r="M555">
        <v>240</v>
      </c>
      <c r="N555" s="3">
        <v>0.42</v>
      </c>
      <c r="O555" t="s">
        <v>125</v>
      </c>
      <c r="Q555">
        <v>0</v>
      </c>
      <c r="R555">
        <v>0</v>
      </c>
      <c r="S555" s="2">
        <v>0</v>
      </c>
      <c r="T555" s="4"/>
      <c r="U555">
        <v>11</v>
      </c>
      <c r="V555">
        <v>1</v>
      </c>
      <c r="W555">
        <v>1</v>
      </c>
    </row>
    <row r="556" spans="1:23" ht="16.5" x14ac:dyDescent="0.3">
      <c r="A556" t="s">
        <v>608</v>
      </c>
      <c r="B556" s="1">
        <v>45371</v>
      </c>
      <c r="C556">
        <v>2024</v>
      </c>
      <c r="D556" t="s">
        <v>24</v>
      </c>
      <c r="E556" t="s">
        <v>460</v>
      </c>
      <c r="F556" t="s">
        <v>26</v>
      </c>
      <c r="G556" t="s">
        <v>27</v>
      </c>
      <c r="H556" t="s">
        <v>28</v>
      </c>
      <c r="I556" t="s">
        <v>29</v>
      </c>
      <c r="J556" t="s">
        <v>52</v>
      </c>
      <c r="K556" s="2">
        <v>8500</v>
      </c>
      <c r="L556" s="2">
        <v>44000</v>
      </c>
      <c r="M556">
        <v>48</v>
      </c>
      <c r="N556" s="3">
        <v>0.27600000000000002</v>
      </c>
      <c r="O556" t="s">
        <v>17</v>
      </c>
      <c r="P556" t="s">
        <v>31</v>
      </c>
      <c r="Q556">
        <v>0</v>
      </c>
      <c r="R556">
        <v>1</v>
      </c>
      <c r="S556" s="2">
        <v>0</v>
      </c>
      <c r="T556" s="4"/>
      <c r="U556">
        <v>5</v>
      </c>
      <c r="V556">
        <v>0</v>
      </c>
      <c r="W556">
        <v>1</v>
      </c>
    </row>
    <row r="557" spans="1:23" ht="16.5" x14ac:dyDescent="0.3">
      <c r="A557" t="s">
        <v>609</v>
      </c>
      <c r="B557" s="1">
        <v>45371</v>
      </c>
      <c r="C557">
        <v>2024</v>
      </c>
      <c r="D557" t="s">
        <v>24</v>
      </c>
      <c r="E557" t="s">
        <v>460</v>
      </c>
      <c r="F557" t="s">
        <v>37</v>
      </c>
      <c r="G557" t="s">
        <v>51</v>
      </c>
      <c r="H557" t="s">
        <v>28</v>
      </c>
      <c r="I557" t="s">
        <v>29</v>
      </c>
      <c r="J557" t="s">
        <v>30</v>
      </c>
      <c r="K557" s="2">
        <v>5300</v>
      </c>
      <c r="L557" s="2">
        <v>17500</v>
      </c>
      <c r="M557">
        <v>24</v>
      </c>
      <c r="N557" s="3">
        <v>0.26800000000000002</v>
      </c>
      <c r="O557" t="s">
        <v>17</v>
      </c>
      <c r="P557" t="s">
        <v>31</v>
      </c>
      <c r="Q557">
        <v>0</v>
      </c>
      <c r="R557">
        <v>1</v>
      </c>
      <c r="S557" s="2">
        <v>0</v>
      </c>
      <c r="T557" s="4"/>
      <c r="U557">
        <v>2</v>
      </c>
      <c r="V557">
        <v>1</v>
      </c>
      <c r="W557">
        <v>1</v>
      </c>
    </row>
    <row r="558" spans="1:23" ht="16.5" x14ac:dyDescent="0.3">
      <c r="A558" t="s">
        <v>610</v>
      </c>
      <c r="B558" s="1">
        <v>45371</v>
      </c>
      <c r="C558">
        <v>2024</v>
      </c>
      <c r="D558" t="s">
        <v>24</v>
      </c>
      <c r="E558" t="s">
        <v>460</v>
      </c>
      <c r="F558" t="s">
        <v>41</v>
      </c>
      <c r="G558" t="s">
        <v>33</v>
      </c>
      <c r="H558" t="s">
        <v>64</v>
      </c>
      <c r="I558" t="s">
        <v>29</v>
      </c>
      <c r="J558" t="s">
        <v>46</v>
      </c>
      <c r="K558" s="2">
        <v>3850</v>
      </c>
      <c r="L558" s="2">
        <v>134500</v>
      </c>
      <c r="M558">
        <v>36</v>
      </c>
      <c r="N558" s="3">
        <v>1.371</v>
      </c>
      <c r="O558" t="s">
        <v>17</v>
      </c>
      <c r="P558" t="s">
        <v>53</v>
      </c>
      <c r="Q558">
        <v>0</v>
      </c>
      <c r="R558">
        <v>1</v>
      </c>
      <c r="S558" s="2">
        <v>0</v>
      </c>
      <c r="T558" s="4"/>
      <c r="U558">
        <v>5</v>
      </c>
      <c r="V558">
        <v>1</v>
      </c>
      <c r="W558">
        <v>1</v>
      </c>
    </row>
    <row r="559" spans="1:23" ht="16.5" x14ac:dyDescent="0.3">
      <c r="A559" t="s">
        <v>611</v>
      </c>
      <c r="B559" s="1">
        <v>45371</v>
      </c>
      <c r="C559">
        <v>2024</v>
      </c>
      <c r="D559" t="s">
        <v>24</v>
      </c>
      <c r="E559" t="s">
        <v>460</v>
      </c>
      <c r="F559" t="s">
        <v>41</v>
      </c>
      <c r="G559" t="s">
        <v>45</v>
      </c>
      <c r="H559" t="s">
        <v>55</v>
      </c>
      <c r="I559" t="s">
        <v>42</v>
      </c>
      <c r="J559" t="s">
        <v>52</v>
      </c>
      <c r="K559" s="2">
        <v>9400</v>
      </c>
      <c r="L559" s="2">
        <v>101500</v>
      </c>
      <c r="M559">
        <v>60</v>
      </c>
      <c r="N559" s="3">
        <v>0.312</v>
      </c>
      <c r="O559" t="s">
        <v>16</v>
      </c>
      <c r="Q559">
        <v>1</v>
      </c>
      <c r="R559">
        <v>0</v>
      </c>
      <c r="S559" s="2">
        <v>81000</v>
      </c>
      <c r="T559" s="4">
        <v>9.7900000000000001E-2</v>
      </c>
      <c r="U559">
        <v>11</v>
      </c>
      <c r="V559">
        <v>0</v>
      </c>
      <c r="W559">
        <v>1</v>
      </c>
    </row>
    <row r="560" spans="1:23" ht="16.5" x14ac:dyDescent="0.3">
      <c r="A560" t="s">
        <v>612</v>
      </c>
      <c r="B560" s="1">
        <v>45371</v>
      </c>
      <c r="C560">
        <v>2024</v>
      </c>
      <c r="D560" t="s">
        <v>24</v>
      </c>
      <c r="E560" t="s">
        <v>460</v>
      </c>
      <c r="F560" t="s">
        <v>37</v>
      </c>
      <c r="G560" t="s">
        <v>51</v>
      </c>
      <c r="H560" t="s">
        <v>64</v>
      </c>
      <c r="I560" t="s">
        <v>29</v>
      </c>
      <c r="J560" t="s">
        <v>30</v>
      </c>
      <c r="K560" s="2">
        <v>4150</v>
      </c>
      <c r="L560" s="2">
        <v>22000</v>
      </c>
      <c r="M560">
        <v>48</v>
      </c>
      <c r="N560" s="3">
        <v>0.26</v>
      </c>
      <c r="O560" t="s">
        <v>17</v>
      </c>
      <c r="P560" t="s">
        <v>31</v>
      </c>
      <c r="Q560">
        <v>0</v>
      </c>
      <c r="R560">
        <v>1</v>
      </c>
      <c r="S560" s="2">
        <v>0</v>
      </c>
      <c r="T560" s="4"/>
      <c r="U560">
        <v>5</v>
      </c>
      <c r="V560">
        <v>0</v>
      </c>
      <c r="W560">
        <v>1</v>
      </c>
    </row>
    <row r="561" spans="1:23" ht="16.5" x14ac:dyDescent="0.3">
      <c r="A561" t="s">
        <v>613</v>
      </c>
      <c r="B561" s="1">
        <v>45371</v>
      </c>
      <c r="C561">
        <v>2024</v>
      </c>
      <c r="D561" t="s">
        <v>24</v>
      </c>
      <c r="E561" t="s">
        <v>460</v>
      </c>
      <c r="F561" t="s">
        <v>41</v>
      </c>
      <c r="G561" t="s">
        <v>51</v>
      </c>
      <c r="H561" t="s">
        <v>28</v>
      </c>
      <c r="I561" t="s">
        <v>39</v>
      </c>
      <c r="J561" t="s">
        <v>35</v>
      </c>
      <c r="K561" s="2">
        <v>4100</v>
      </c>
      <c r="L561" s="2">
        <v>159000</v>
      </c>
      <c r="M561">
        <v>24</v>
      </c>
      <c r="N561" s="3">
        <v>1.89</v>
      </c>
      <c r="O561" t="s">
        <v>17</v>
      </c>
      <c r="P561" t="s">
        <v>53</v>
      </c>
      <c r="Q561">
        <v>0</v>
      </c>
      <c r="R561">
        <v>1</v>
      </c>
      <c r="S561" s="2">
        <v>0</v>
      </c>
      <c r="T561" s="4"/>
      <c r="U561">
        <v>27</v>
      </c>
      <c r="V561">
        <v>0</v>
      </c>
      <c r="W561">
        <v>1</v>
      </c>
    </row>
    <row r="562" spans="1:23" ht="16.5" x14ac:dyDescent="0.3">
      <c r="A562" t="s">
        <v>614</v>
      </c>
      <c r="B562" s="1">
        <v>45371</v>
      </c>
      <c r="C562">
        <v>2024</v>
      </c>
      <c r="D562" t="s">
        <v>24</v>
      </c>
      <c r="E562" t="s">
        <v>460</v>
      </c>
      <c r="F562" t="s">
        <v>50</v>
      </c>
      <c r="G562" t="s">
        <v>51</v>
      </c>
      <c r="H562" t="s">
        <v>38</v>
      </c>
      <c r="I562" t="s">
        <v>39</v>
      </c>
      <c r="J562" t="s">
        <v>52</v>
      </c>
      <c r="K562" s="2">
        <v>3300</v>
      </c>
      <c r="L562" s="2">
        <v>176500</v>
      </c>
      <c r="M562">
        <v>180</v>
      </c>
      <c r="N562" s="3">
        <v>0.51600000000000001</v>
      </c>
      <c r="O562" t="s">
        <v>16</v>
      </c>
      <c r="Q562">
        <v>1</v>
      </c>
      <c r="R562">
        <v>0</v>
      </c>
      <c r="S562" s="2">
        <v>159000</v>
      </c>
      <c r="T562" s="4">
        <v>5.1200000000000002E-2</v>
      </c>
      <c r="U562">
        <v>18</v>
      </c>
      <c r="V562">
        <v>0</v>
      </c>
      <c r="W562">
        <v>1</v>
      </c>
    </row>
    <row r="563" spans="1:23" ht="16.5" x14ac:dyDescent="0.3">
      <c r="A563" t="s">
        <v>615</v>
      </c>
      <c r="B563" s="1">
        <v>45371</v>
      </c>
      <c r="C563">
        <v>2024</v>
      </c>
      <c r="D563" t="s">
        <v>24</v>
      </c>
      <c r="E563" t="s">
        <v>460</v>
      </c>
      <c r="F563" t="s">
        <v>37</v>
      </c>
      <c r="G563" t="s">
        <v>51</v>
      </c>
      <c r="H563" t="s">
        <v>64</v>
      </c>
      <c r="I563" t="s">
        <v>29</v>
      </c>
      <c r="J563" t="s">
        <v>35</v>
      </c>
      <c r="K563" s="2">
        <v>4150</v>
      </c>
      <c r="L563" s="2">
        <v>13000</v>
      </c>
      <c r="M563">
        <v>60</v>
      </c>
      <c r="N563" s="3">
        <v>0.14599999999999999</v>
      </c>
      <c r="O563" t="s">
        <v>16</v>
      </c>
      <c r="Q563">
        <v>1</v>
      </c>
      <c r="R563">
        <v>0</v>
      </c>
      <c r="S563" s="2">
        <v>13000</v>
      </c>
      <c r="T563" s="4">
        <v>0.12280000000000001</v>
      </c>
      <c r="U563">
        <v>5</v>
      </c>
      <c r="V563">
        <v>0</v>
      </c>
      <c r="W563">
        <v>1</v>
      </c>
    </row>
    <row r="564" spans="1:23" ht="16.5" x14ac:dyDescent="0.3">
      <c r="A564" t="s">
        <v>616</v>
      </c>
      <c r="B564" s="1">
        <v>45371</v>
      </c>
      <c r="C564">
        <v>2024</v>
      </c>
      <c r="D564" t="s">
        <v>24</v>
      </c>
      <c r="E564" t="s">
        <v>460</v>
      </c>
      <c r="F564" t="s">
        <v>41</v>
      </c>
      <c r="G564" t="s">
        <v>51</v>
      </c>
      <c r="H564" t="s">
        <v>38</v>
      </c>
      <c r="I564" t="s">
        <v>39</v>
      </c>
      <c r="J564" t="s">
        <v>35</v>
      </c>
      <c r="K564" s="2">
        <v>9050</v>
      </c>
      <c r="L564" s="2">
        <v>95500</v>
      </c>
      <c r="M564">
        <v>24</v>
      </c>
      <c r="N564" s="3">
        <v>0.63300000000000001</v>
      </c>
      <c r="O564" t="s">
        <v>16</v>
      </c>
      <c r="Q564">
        <v>1</v>
      </c>
      <c r="R564">
        <v>0</v>
      </c>
      <c r="S564" s="2">
        <v>95500</v>
      </c>
      <c r="T564" s="4">
        <v>0.1075</v>
      </c>
      <c r="U564">
        <v>13</v>
      </c>
      <c r="V564">
        <v>0</v>
      </c>
      <c r="W564">
        <v>1</v>
      </c>
    </row>
    <row r="565" spans="1:23" ht="16.5" x14ac:dyDescent="0.3">
      <c r="A565" t="s">
        <v>617</v>
      </c>
      <c r="B565" s="1">
        <v>45372</v>
      </c>
      <c r="C565">
        <v>2024</v>
      </c>
      <c r="D565" t="s">
        <v>24</v>
      </c>
      <c r="E565" t="s">
        <v>460</v>
      </c>
      <c r="F565" t="s">
        <v>37</v>
      </c>
      <c r="G565" t="s">
        <v>33</v>
      </c>
      <c r="H565" t="s">
        <v>55</v>
      </c>
      <c r="I565" t="s">
        <v>29</v>
      </c>
      <c r="J565" t="s">
        <v>30</v>
      </c>
      <c r="K565" s="2">
        <v>4050</v>
      </c>
      <c r="L565" s="2">
        <v>15500</v>
      </c>
      <c r="M565">
        <v>48</v>
      </c>
      <c r="N565" s="3">
        <v>0.222</v>
      </c>
      <c r="O565" t="s">
        <v>17</v>
      </c>
      <c r="P565" t="s">
        <v>31</v>
      </c>
      <c r="Q565">
        <v>0</v>
      </c>
      <c r="R565">
        <v>1</v>
      </c>
      <c r="S565" s="2">
        <v>0</v>
      </c>
      <c r="T565" s="4"/>
      <c r="U565">
        <v>3</v>
      </c>
      <c r="V565">
        <v>1</v>
      </c>
      <c r="W565">
        <v>1</v>
      </c>
    </row>
    <row r="566" spans="1:23" ht="16.5" x14ac:dyDescent="0.3">
      <c r="A566" t="s">
        <v>618</v>
      </c>
      <c r="B566" s="1">
        <v>45372</v>
      </c>
      <c r="C566">
        <v>2024</v>
      </c>
      <c r="D566" t="s">
        <v>24</v>
      </c>
      <c r="E566" t="s">
        <v>460</v>
      </c>
      <c r="F566" t="s">
        <v>37</v>
      </c>
      <c r="G566" t="s">
        <v>45</v>
      </c>
      <c r="H566" t="s">
        <v>38</v>
      </c>
      <c r="I566" t="s">
        <v>42</v>
      </c>
      <c r="J566" t="s">
        <v>43</v>
      </c>
      <c r="K566" s="2">
        <v>7450</v>
      </c>
      <c r="L566" s="2">
        <v>11500</v>
      </c>
      <c r="M566">
        <v>24</v>
      </c>
      <c r="N566" s="3">
        <v>0.247</v>
      </c>
      <c r="O566" t="s">
        <v>17</v>
      </c>
      <c r="P566" t="s">
        <v>31</v>
      </c>
      <c r="Q566">
        <v>0</v>
      </c>
      <c r="R566">
        <v>1</v>
      </c>
      <c r="S566" s="2">
        <v>0</v>
      </c>
      <c r="T566" s="4"/>
      <c r="U566">
        <v>1</v>
      </c>
      <c r="V566">
        <v>1</v>
      </c>
      <c r="W566">
        <v>1</v>
      </c>
    </row>
    <row r="567" spans="1:23" ht="16.5" x14ac:dyDescent="0.3">
      <c r="A567" t="s">
        <v>619</v>
      </c>
      <c r="B567" s="1">
        <v>45372</v>
      </c>
      <c r="C567">
        <v>2024</v>
      </c>
      <c r="D567" t="s">
        <v>24</v>
      </c>
      <c r="E567" t="s">
        <v>460</v>
      </c>
      <c r="F567" t="s">
        <v>37</v>
      </c>
      <c r="G567" t="s">
        <v>45</v>
      </c>
      <c r="H567" t="s">
        <v>64</v>
      </c>
      <c r="I567" t="s">
        <v>29</v>
      </c>
      <c r="J567" t="s">
        <v>35</v>
      </c>
      <c r="K567" s="2">
        <v>3550</v>
      </c>
      <c r="L567" s="2">
        <v>14000</v>
      </c>
      <c r="M567">
        <v>48</v>
      </c>
      <c r="N567" s="3">
        <v>0.187</v>
      </c>
      <c r="O567" t="s">
        <v>16</v>
      </c>
      <c r="Q567">
        <v>1</v>
      </c>
      <c r="R567">
        <v>0</v>
      </c>
      <c r="S567" s="2">
        <v>11000</v>
      </c>
      <c r="T567" s="4">
        <v>0.12559999999999999</v>
      </c>
      <c r="U567">
        <v>2</v>
      </c>
      <c r="V567">
        <v>1</v>
      </c>
      <c r="W567">
        <v>1</v>
      </c>
    </row>
    <row r="568" spans="1:23" ht="16.5" x14ac:dyDescent="0.3">
      <c r="A568" t="s">
        <v>620</v>
      </c>
      <c r="B568" s="1">
        <v>45372</v>
      </c>
      <c r="C568">
        <v>2024</v>
      </c>
      <c r="D568" t="s">
        <v>24</v>
      </c>
      <c r="E568" t="s">
        <v>460</v>
      </c>
      <c r="F568" t="s">
        <v>41</v>
      </c>
      <c r="G568" t="s">
        <v>51</v>
      </c>
      <c r="H568" t="s">
        <v>55</v>
      </c>
      <c r="I568" t="s">
        <v>29</v>
      </c>
      <c r="J568" t="s">
        <v>30</v>
      </c>
      <c r="K568" s="2">
        <v>6550</v>
      </c>
      <c r="L568" s="2">
        <v>73500</v>
      </c>
      <c r="M568">
        <v>12</v>
      </c>
      <c r="N568" s="3">
        <v>1.2170000000000001</v>
      </c>
      <c r="O568" t="s">
        <v>17</v>
      </c>
      <c r="P568" t="s">
        <v>31</v>
      </c>
      <c r="Q568">
        <v>0</v>
      </c>
      <c r="R568">
        <v>1</v>
      </c>
      <c r="S568" s="2">
        <v>0</v>
      </c>
      <c r="T568" s="4"/>
      <c r="U568">
        <v>20</v>
      </c>
      <c r="V568">
        <v>0</v>
      </c>
      <c r="W568">
        <v>1</v>
      </c>
    </row>
    <row r="569" spans="1:23" ht="16.5" x14ac:dyDescent="0.3">
      <c r="A569" t="s">
        <v>621</v>
      </c>
      <c r="B569" s="1">
        <v>45372</v>
      </c>
      <c r="C569">
        <v>2024</v>
      </c>
      <c r="D569" t="s">
        <v>24</v>
      </c>
      <c r="E569" t="s">
        <v>460</v>
      </c>
      <c r="F569" t="s">
        <v>37</v>
      </c>
      <c r="G569" t="s">
        <v>51</v>
      </c>
      <c r="H569" t="s">
        <v>38</v>
      </c>
      <c r="I569" t="s">
        <v>39</v>
      </c>
      <c r="J569" t="s">
        <v>52</v>
      </c>
      <c r="K569" s="2">
        <v>4000</v>
      </c>
      <c r="L569" s="2">
        <v>10500</v>
      </c>
      <c r="M569">
        <v>48</v>
      </c>
      <c r="N569" s="3">
        <v>0.309</v>
      </c>
      <c r="O569" t="s">
        <v>16</v>
      </c>
      <c r="Q569">
        <v>1</v>
      </c>
      <c r="R569">
        <v>0</v>
      </c>
      <c r="S569" s="2">
        <v>10500</v>
      </c>
      <c r="T569" s="4">
        <v>0.1188</v>
      </c>
      <c r="U569">
        <v>6</v>
      </c>
      <c r="V569">
        <v>0</v>
      </c>
      <c r="W569">
        <v>1</v>
      </c>
    </row>
    <row r="570" spans="1:23" ht="16.5" x14ac:dyDescent="0.3">
      <c r="A570" t="s">
        <v>622</v>
      </c>
      <c r="B570" s="1">
        <v>45372</v>
      </c>
      <c r="C570">
        <v>2024</v>
      </c>
      <c r="D570" t="s">
        <v>24</v>
      </c>
      <c r="E570" t="s">
        <v>460</v>
      </c>
      <c r="F570" t="s">
        <v>37</v>
      </c>
      <c r="G570" t="s">
        <v>51</v>
      </c>
      <c r="H570" t="s">
        <v>34</v>
      </c>
      <c r="I570" t="s">
        <v>39</v>
      </c>
      <c r="J570" t="s">
        <v>52</v>
      </c>
      <c r="K570" s="2">
        <v>4500</v>
      </c>
      <c r="L570" s="2">
        <v>13500</v>
      </c>
      <c r="M570">
        <v>12</v>
      </c>
      <c r="N570" s="3">
        <v>0.50700000000000001</v>
      </c>
      <c r="O570" t="s">
        <v>17</v>
      </c>
      <c r="P570" t="s">
        <v>53</v>
      </c>
      <c r="Q570">
        <v>0</v>
      </c>
      <c r="R570">
        <v>1</v>
      </c>
      <c r="S570" s="2">
        <v>0</v>
      </c>
      <c r="T570" s="4"/>
      <c r="U570">
        <v>5</v>
      </c>
      <c r="V570">
        <v>0</v>
      </c>
      <c r="W570">
        <v>1</v>
      </c>
    </row>
    <row r="571" spans="1:23" ht="16.5" x14ac:dyDescent="0.3">
      <c r="A571" t="s">
        <v>623</v>
      </c>
      <c r="B571" s="1">
        <v>45373</v>
      </c>
      <c r="C571">
        <v>2024</v>
      </c>
      <c r="D571" t="s">
        <v>24</v>
      </c>
      <c r="E571" t="s">
        <v>460</v>
      </c>
      <c r="F571" t="s">
        <v>37</v>
      </c>
      <c r="G571" t="s">
        <v>45</v>
      </c>
      <c r="H571" t="s">
        <v>38</v>
      </c>
      <c r="I571" t="s">
        <v>29</v>
      </c>
      <c r="J571" t="s">
        <v>30</v>
      </c>
      <c r="K571" s="2">
        <v>5750</v>
      </c>
      <c r="L571" s="2">
        <v>11500</v>
      </c>
      <c r="M571">
        <v>36</v>
      </c>
      <c r="N571" s="3">
        <v>0.313</v>
      </c>
      <c r="O571" t="s">
        <v>17</v>
      </c>
      <c r="P571" t="s">
        <v>31</v>
      </c>
      <c r="Q571">
        <v>0</v>
      </c>
      <c r="R571">
        <v>1</v>
      </c>
      <c r="S571" s="2">
        <v>0</v>
      </c>
      <c r="T571" s="4"/>
      <c r="U571">
        <v>2</v>
      </c>
      <c r="V571">
        <v>1</v>
      </c>
      <c r="W571">
        <v>1</v>
      </c>
    </row>
    <row r="572" spans="1:23" ht="16.5" x14ac:dyDescent="0.3">
      <c r="A572" t="s">
        <v>624</v>
      </c>
      <c r="B572" s="1">
        <v>45373</v>
      </c>
      <c r="C572">
        <v>2024</v>
      </c>
      <c r="D572" t="s">
        <v>24</v>
      </c>
      <c r="E572" t="s">
        <v>460</v>
      </c>
      <c r="F572" t="s">
        <v>26</v>
      </c>
      <c r="G572" t="s">
        <v>51</v>
      </c>
      <c r="H572" t="s">
        <v>38</v>
      </c>
      <c r="I572" t="s">
        <v>29</v>
      </c>
      <c r="J572" t="s">
        <v>30</v>
      </c>
      <c r="K572" s="2">
        <v>7450</v>
      </c>
      <c r="L572" s="2">
        <v>18000</v>
      </c>
      <c r="M572">
        <v>60</v>
      </c>
      <c r="N572" s="3">
        <v>0.11</v>
      </c>
      <c r="O572" t="s">
        <v>16</v>
      </c>
      <c r="Q572">
        <v>1</v>
      </c>
      <c r="R572">
        <v>0</v>
      </c>
      <c r="S572" s="2">
        <v>18000</v>
      </c>
      <c r="T572" s="4">
        <v>9.8699999999999996E-2</v>
      </c>
      <c r="U572">
        <v>11</v>
      </c>
      <c r="V572">
        <v>0</v>
      </c>
      <c r="W572">
        <v>1</v>
      </c>
    </row>
    <row r="573" spans="1:23" ht="16.5" x14ac:dyDescent="0.3">
      <c r="A573" t="s">
        <v>625</v>
      </c>
      <c r="B573" s="1">
        <v>45373</v>
      </c>
      <c r="C573">
        <v>2024</v>
      </c>
      <c r="D573" t="s">
        <v>24</v>
      </c>
      <c r="E573" t="s">
        <v>460</v>
      </c>
      <c r="F573" t="s">
        <v>26</v>
      </c>
      <c r="G573" t="s">
        <v>45</v>
      </c>
      <c r="H573" t="s">
        <v>34</v>
      </c>
      <c r="I573" t="s">
        <v>29</v>
      </c>
      <c r="J573" t="s">
        <v>30</v>
      </c>
      <c r="K573" s="2">
        <v>3450</v>
      </c>
      <c r="L573" s="2">
        <v>23500</v>
      </c>
      <c r="M573">
        <v>36</v>
      </c>
      <c r="N573" s="3">
        <v>0.42</v>
      </c>
      <c r="O573" t="s">
        <v>17</v>
      </c>
      <c r="P573" t="s">
        <v>31</v>
      </c>
      <c r="Q573">
        <v>0</v>
      </c>
      <c r="R573">
        <v>1</v>
      </c>
      <c r="S573" s="2">
        <v>0</v>
      </c>
      <c r="T573" s="4"/>
      <c r="U573">
        <v>4</v>
      </c>
      <c r="V573">
        <v>1</v>
      </c>
      <c r="W573">
        <v>1</v>
      </c>
    </row>
    <row r="574" spans="1:23" ht="16.5" x14ac:dyDescent="0.3">
      <c r="A574" t="s">
        <v>626</v>
      </c>
      <c r="B574" s="1">
        <v>45373</v>
      </c>
      <c r="C574">
        <v>2024</v>
      </c>
      <c r="D574" t="s">
        <v>24</v>
      </c>
      <c r="E574" t="s">
        <v>460</v>
      </c>
      <c r="F574" t="s">
        <v>37</v>
      </c>
      <c r="G574" t="s">
        <v>51</v>
      </c>
      <c r="H574" t="s">
        <v>38</v>
      </c>
      <c r="I574" t="s">
        <v>29</v>
      </c>
      <c r="J574" t="s">
        <v>35</v>
      </c>
      <c r="K574" s="2">
        <v>4150</v>
      </c>
      <c r="L574" s="2">
        <v>10000</v>
      </c>
      <c r="M574">
        <v>12</v>
      </c>
      <c r="N574" s="3">
        <v>0.36399999999999999</v>
      </c>
      <c r="O574" t="s">
        <v>17</v>
      </c>
      <c r="P574" t="s">
        <v>65</v>
      </c>
      <c r="Q574">
        <v>0</v>
      </c>
      <c r="R574">
        <v>1</v>
      </c>
      <c r="S574" s="2">
        <v>0</v>
      </c>
      <c r="T574" s="4"/>
      <c r="U574">
        <v>7</v>
      </c>
      <c r="V574">
        <v>0</v>
      </c>
      <c r="W574">
        <v>1</v>
      </c>
    </row>
    <row r="575" spans="1:23" ht="16.5" x14ac:dyDescent="0.3">
      <c r="A575" t="s">
        <v>627</v>
      </c>
      <c r="B575" s="1">
        <v>45373</v>
      </c>
      <c r="C575">
        <v>2024</v>
      </c>
      <c r="D575" t="s">
        <v>24</v>
      </c>
      <c r="E575" t="s">
        <v>460</v>
      </c>
      <c r="F575" t="s">
        <v>37</v>
      </c>
      <c r="G575" t="s">
        <v>27</v>
      </c>
      <c r="H575" t="s">
        <v>38</v>
      </c>
      <c r="I575" t="s">
        <v>42</v>
      </c>
      <c r="J575" t="s">
        <v>46</v>
      </c>
      <c r="K575" s="2">
        <v>2900</v>
      </c>
      <c r="L575" s="2">
        <v>11000</v>
      </c>
      <c r="M575">
        <v>12</v>
      </c>
      <c r="N575" s="3">
        <v>0.41</v>
      </c>
      <c r="O575" t="s">
        <v>16</v>
      </c>
      <c r="Q575">
        <v>1</v>
      </c>
      <c r="R575">
        <v>0</v>
      </c>
      <c r="S575" s="2">
        <v>9000</v>
      </c>
      <c r="T575" s="4">
        <v>0.1091</v>
      </c>
      <c r="U575">
        <v>3</v>
      </c>
      <c r="V575">
        <v>1</v>
      </c>
      <c r="W575">
        <v>1</v>
      </c>
    </row>
    <row r="576" spans="1:23" ht="16.5" x14ac:dyDescent="0.3">
      <c r="A576" t="s">
        <v>628</v>
      </c>
      <c r="B576" s="1">
        <v>45374</v>
      </c>
      <c r="C576">
        <v>2024</v>
      </c>
      <c r="D576" t="s">
        <v>24</v>
      </c>
      <c r="E576" t="s">
        <v>460</v>
      </c>
      <c r="F576" t="s">
        <v>37</v>
      </c>
      <c r="G576" t="s">
        <v>51</v>
      </c>
      <c r="H576" t="s">
        <v>38</v>
      </c>
      <c r="I576" t="s">
        <v>29</v>
      </c>
      <c r="J576" t="s">
        <v>52</v>
      </c>
      <c r="K576" s="2">
        <v>4200</v>
      </c>
      <c r="L576" s="2">
        <v>24500</v>
      </c>
      <c r="M576">
        <v>24</v>
      </c>
      <c r="N576" s="3">
        <v>0.41499999999999998</v>
      </c>
      <c r="O576" t="s">
        <v>16</v>
      </c>
      <c r="Q576">
        <v>1</v>
      </c>
      <c r="R576">
        <v>0</v>
      </c>
      <c r="S576" s="2">
        <v>24500</v>
      </c>
      <c r="T576" s="4">
        <v>0.1166</v>
      </c>
      <c r="U576">
        <v>5</v>
      </c>
      <c r="V576">
        <v>0</v>
      </c>
      <c r="W576">
        <v>1</v>
      </c>
    </row>
    <row r="577" spans="1:23" ht="16.5" x14ac:dyDescent="0.3">
      <c r="A577" t="s">
        <v>629</v>
      </c>
      <c r="B577" s="1">
        <v>45374</v>
      </c>
      <c r="C577">
        <v>2024</v>
      </c>
      <c r="D577" t="s">
        <v>24</v>
      </c>
      <c r="E577" t="s">
        <v>460</v>
      </c>
      <c r="F577" t="s">
        <v>50</v>
      </c>
      <c r="G577" t="s">
        <v>51</v>
      </c>
      <c r="H577" t="s">
        <v>38</v>
      </c>
      <c r="I577" t="s">
        <v>29</v>
      </c>
      <c r="J577" t="s">
        <v>35</v>
      </c>
      <c r="K577" s="2">
        <v>4850</v>
      </c>
      <c r="L577" s="2">
        <v>299000</v>
      </c>
      <c r="M577">
        <v>240</v>
      </c>
      <c r="N577" s="3">
        <v>0.56799999999999995</v>
      </c>
      <c r="O577" t="s">
        <v>16</v>
      </c>
      <c r="Q577">
        <v>1</v>
      </c>
      <c r="R577">
        <v>0</v>
      </c>
      <c r="S577" s="2">
        <v>299000</v>
      </c>
      <c r="T577" s="4">
        <v>5.3400000000000003E-2</v>
      </c>
      <c r="U577">
        <v>13</v>
      </c>
      <c r="V577">
        <v>1</v>
      </c>
      <c r="W577">
        <v>1</v>
      </c>
    </row>
    <row r="578" spans="1:23" ht="16.5" x14ac:dyDescent="0.3">
      <c r="A578" t="s">
        <v>630</v>
      </c>
      <c r="B578" s="1">
        <v>45374</v>
      </c>
      <c r="C578">
        <v>2024</v>
      </c>
      <c r="D578" t="s">
        <v>24</v>
      </c>
      <c r="E578" t="s">
        <v>460</v>
      </c>
      <c r="F578" t="s">
        <v>37</v>
      </c>
      <c r="G578" t="s">
        <v>51</v>
      </c>
      <c r="H578" t="s">
        <v>34</v>
      </c>
      <c r="I578" t="s">
        <v>29</v>
      </c>
      <c r="J578" t="s">
        <v>52</v>
      </c>
      <c r="K578" s="2">
        <v>4250</v>
      </c>
      <c r="L578" s="2">
        <v>14000</v>
      </c>
      <c r="M578">
        <v>36</v>
      </c>
      <c r="N578" s="3">
        <v>0.26700000000000002</v>
      </c>
      <c r="O578" t="s">
        <v>16</v>
      </c>
      <c r="Q578">
        <v>1</v>
      </c>
      <c r="R578">
        <v>0</v>
      </c>
      <c r="S578" s="2">
        <v>11000</v>
      </c>
      <c r="T578" s="4">
        <v>0.11650000000000001</v>
      </c>
      <c r="U578">
        <v>5</v>
      </c>
      <c r="V578">
        <v>0</v>
      </c>
      <c r="W578">
        <v>1</v>
      </c>
    </row>
    <row r="579" spans="1:23" ht="16.5" x14ac:dyDescent="0.3">
      <c r="A579" t="s">
        <v>631</v>
      </c>
      <c r="B579" s="1">
        <v>45374</v>
      </c>
      <c r="C579">
        <v>2024</v>
      </c>
      <c r="D579" t="s">
        <v>24</v>
      </c>
      <c r="E579" t="s">
        <v>460</v>
      </c>
      <c r="F579" t="s">
        <v>26</v>
      </c>
      <c r="G579" t="s">
        <v>51</v>
      </c>
      <c r="H579" t="s">
        <v>38</v>
      </c>
      <c r="I579" t="s">
        <v>29</v>
      </c>
      <c r="J579" t="s">
        <v>52</v>
      </c>
      <c r="K579" s="2">
        <v>4600</v>
      </c>
      <c r="L579" s="2">
        <v>44000</v>
      </c>
      <c r="M579">
        <v>48</v>
      </c>
      <c r="N579" s="3">
        <v>0.34200000000000003</v>
      </c>
      <c r="O579" t="s">
        <v>16</v>
      </c>
      <c r="Q579">
        <v>1</v>
      </c>
      <c r="R579">
        <v>0</v>
      </c>
      <c r="S579" s="2">
        <v>44000</v>
      </c>
      <c r="T579" s="4">
        <v>6.9500000000000006E-2</v>
      </c>
      <c r="U579">
        <v>5</v>
      </c>
      <c r="V579">
        <v>0</v>
      </c>
      <c r="W579">
        <v>1</v>
      </c>
    </row>
    <row r="580" spans="1:23" ht="16.5" x14ac:dyDescent="0.3">
      <c r="A580" t="s">
        <v>632</v>
      </c>
      <c r="B580" s="1">
        <v>45374</v>
      </c>
      <c r="C580">
        <v>2024</v>
      </c>
      <c r="D580" t="s">
        <v>24</v>
      </c>
      <c r="E580" t="s">
        <v>460</v>
      </c>
      <c r="F580" t="s">
        <v>26</v>
      </c>
      <c r="G580" t="s">
        <v>51</v>
      </c>
      <c r="H580" t="s">
        <v>55</v>
      </c>
      <c r="I580" t="s">
        <v>42</v>
      </c>
      <c r="J580" t="s">
        <v>46</v>
      </c>
      <c r="K580" s="2">
        <v>2500</v>
      </c>
      <c r="L580" s="2">
        <v>19500</v>
      </c>
      <c r="M580">
        <v>36</v>
      </c>
      <c r="N580" s="3">
        <v>0.39800000000000002</v>
      </c>
      <c r="O580" t="s">
        <v>16</v>
      </c>
      <c r="Q580">
        <v>1</v>
      </c>
      <c r="R580">
        <v>0</v>
      </c>
      <c r="S580" s="2">
        <v>17500</v>
      </c>
      <c r="T580" s="4">
        <v>6.4199999999999993E-2</v>
      </c>
      <c r="U580">
        <v>5</v>
      </c>
      <c r="V580">
        <v>0</v>
      </c>
      <c r="W580">
        <v>1</v>
      </c>
    </row>
    <row r="581" spans="1:23" ht="16.5" x14ac:dyDescent="0.3">
      <c r="A581" t="s">
        <v>633</v>
      </c>
      <c r="B581" s="1">
        <v>45374</v>
      </c>
      <c r="C581">
        <v>2024</v>
      </c>
      <c r="D581" t="s">
        <v>24</v>
      </c>
      <c r="E581" t="s">
        <v>460</v>
      </c>
      <c r="F581" t="s">
        <v>37</v>
      </c>
      <c r="G581" t="s">
        <v>27</v>
      </c>
      <c r="H581" t="s">
        <v>34</v>
      </c>
      <c r="I581" t="s">
        <v>39</v>
      </c>
      <c r="J581" t="s">
        <v>35</v>
      </c>
      <c r="K581" s="2">
        <v>9150</v>
      </c>
      <c r="L581" s="2">
        <v>4500</v>
      </c>
      <c r="M581">
        <v>48</v>
      </c>
      <c r="N581" s="3">
        <v>7.8E-2</v>
      </c>
      <c r="O581" t="s">
        <v>16</v>
      </c>
      <c r="Q581">
        <v>1</v>
      </c>
      <c r="R581">
        <v>0</v>
      </c>
      <c r="S581" s="2">
        <v>4500</v>
      </c>
      <c r="T581" s="4">
        <v>0.122</v>
      </c>
      <c r="U581">
        <v>2</v>
      </c>
      <c r="V581">
        <v>1</v>
      </c>
      <c r="W581">
        <v>1</v>
      </c>
    </row>
    <row r="582" spans="1:23" ht="16.5" x14ac:dyDescent="0.3">
      <c r="A582" t="s">
        <v>634</v>
      </c>
      <c r="B582" s="1">
        <v>45374</v>
      </c>
      <c r="C582">
        <v>2024</v>
      </c>
      <c r="D582" t="s">
        <v>24</v>
      </c>
      <c r="E582" t="s">
        <v>460</v>
      </c>
      <c r="F582" t="s">
        <v>50</v>
      </c>
      <c r="G582" t="s">
        <v>33</v>
      </c>
      <c r="H582" t="s">
        <v>55</v>
      </c>
      <c r="I582" t="s">
        <v>39</v>
      </c>
      <c r="J582" t="s">
        <v>52</v>
      </c>
      <c r="K582" s="2">
        <v>5100</v>
      </c>
      <c r="L582" s="2">
        <v>173000</v>
      </c>
      <c r="M582">
        <v>240</v>
      </c>
      <c r="N582" s="3">
        <v>0.45200000000000001</v>
      </c>
      <c r="O582" t="s">
        <v>16</v>
      </c>
      <c r="Q582">
        <v>1</v>
      </c>
      <c r="R582">
        <v>0</v>
      </c>
      <c r="S582" s="2">
        <v>155500</v>
      </c>
      <c r="T582" s="4">
        <v>4.9200000000000001E-2</v>
      </c>
      <c r="U582">
        <v>9</v>
      </c>
      <c r="V582">
        <v>1</v>
      </c>
      <c r="W582">
        <v>1</v>
      </c>
    </row>
    <row r="583" spans="1:23" ht="16.5" x14ac:dyDescent="0.3">
      <c r="A583" t="s">
        <v>635</v>
      </c>
      <c r="B583" s="1">
        <v>45374</v>
      </c>
      <c r="C583">
        <v>2024</v>
      </c>
      <c r="D583" t="s">
        <v>24</v>
      </c>
      <c r="E583" t="s">
        <v>460</v>
      </c>
      <c r="F583" t="s">
        <v>41</v>
      </c>
      <c r="G583" t="s">
        <v>45</v>
      </c>
      <c r="H583" t="s">
        <v>28</v>
      </c>
      <c r="I583" t="s">
        <v>39</v>
      </c>
      <c r="J583" t="s">
        <v>52</v>
      </c>
      <c r="K583" s="2">
        <v>6500</v>
      </c>
      <c r="L583" s="2">
        <v>43500</v>
      </c>
      <c r="M583">
        <v>36</v>
      </c>
      <c r="N583" s="3">
        <v>0.42299999999999999</v>
      </c>
      <c r="O583" t="s">
        <v>16</v>
      </c>
      <c r="Q583">
        <v>1</v>
      </c>
      <c r="R583">
        <v>0</v>
      </c>
      <c r="S583" s="2">
        <v>39000</v>
      </c>
      <c r="T583" s="4">
        <v>9.8299999999999998E-2</v>
      </c>
      <c r="U583">
        <v>6</v>
      </c>
      <c r="V583">
        <v>1</v>
      </c>
      <c r="W583">
        <v>1</v>
      </c>
    </row>
    <row r="584" spans="1:23" ht="16.5" x14ac:dyDescent="0.3">
      <c r="A584" t="s">
        <v>636</v>
      </c>
      <c r="B584" s="1">
        <v>45375</v>
      </c>
      <c r="C584">
        <v>2024</v>
      </c>
      <c r="D584" t="s">
        <v>24</v>
      </c>
      <c r="E584" t="s">
        <v>460</v>
      </c>
      <c r="F584" t="s">
        <v>37</v>
      </c>
      <c r="G584" t="s">
        <v>51</v>
      </c>
      <c r="H584" t="s">
        <v>55</v>
      </c>
      <c r="I584" t="s">
        <v>39</v>
      </c>
      <c r="J584" t="s">
        <v>43</v>
      </c>
      <c r="K584" s="2">
        <v>4100</v>
      </c>
      <c r="L584" s="2">
        <v>12500</v>
      </c>
      <c r="M584">
        <v>12</v>
      </c>
      <c r="N584" s="3">
        <v>0.45300000000000001</v>
      </c>
      <c r="O584" t="s">
        <v>17</v>
      </c>
      <c r="P584" t="s">
        <v>53</v>
      </c>
      <c r="Q584">
        <v>0</v>
      </c>
      <c r="R584">
        <v>1</v>
      </c>
      <c r="S584" s="2">
        <v>0</v>
      </c>
      <c r="T584" s="4"/>
      <c r="U584">
        <v>5</v>
      </c>
      <c r="V584">
        <v>0</v>
      </c>
      <c r="W584">
        <v>1</v>
      </c>
    </row>
    <row r="585" spans="1:23" ht="16.5" x14ac:dyDescent="0.3">
      <c r="A585" t="s">
        <v>637</v>
      </c>
      <c r="B585" s="1">
        <v>45375</v>
      </c>
      <c r="C585">
        <v>2024</v>
      </c>
      <c r="D585" t="s">
        <v>24</v>
      </c>
      <c r="E585" t="s">
        <v>460</v>
      </c>
      <c r="F585" t="s">
        <v>37</v>
      </c>
      <c r="G585" t="s">
        <v>27</v>
      </c>
      <c r="H585" t="s">
        <v>28</v>
      </c>
      <c r="I585" t="s">
        <v>39</v>
      </c>
      <c r="J585" t="s">
        <v>43</v>
      </c>
      <c r="K585" s="2">
        <v>2600</v>
      </c>
      <c r="L585" s="2">
        <v>8500</v>
      </c>
      <c r="M585">
        <v>60</v>
      </c>
      <c r="N585" s="3">
        <v>0.28199999999999997</v>
      </c>
      <c r="O585" t="s">
        <v>17</v>
      </c>
      <c r="P585" t="s">
        <v>31</v>
      </c>
      <c r="Q585">
        <v>0</v>
      </c>
      <c r="R585">
        <v>1</v>
      </c>
      <c r="S585" s="2">
        <v>0</v>
      </c>
      <c r="T585" s="4"/>
      <c r="U585">
        <v>3</v>
      </c>
      <c r="V585">
        <v>1</v>
      </c>
      <c r="W585">
        <v>1</v>
      </c>
    </row>
    <row r="586" spans="1:23" ht="16.5" x14ac:dyDescent="0.3">
      <c r="A586" t="s">
        <v>638</v>
      </c>
      <c r="B586" s="1">
        <v>45375</v>
      </c>
      <c r="C586">
        <v>2024</v>
      </c>
      <c r="D586" t="s">
        <v>24</v>
      </c>
      <c r="E586" t="s">
        <v>460</v>
      </c>
      <c r="F586" t="s">
        <v>41</v>
      </c>
      <c r="G586" t="s">
        <v>45</v>
      </c>
      <c r="H586" t="s">
        <v>34</v>
      </c>
      <c r="I586" t="s">
        <v>39</v>
      </c>
      <c r="J586" t="s">
        <v>52</v>
      </c>
      <c r="K586" s="2">
        <v>6350</v>
      </c>
      <c r="L586" s="2">
        <v>105000</v>
      </c>
      <c r="M586">
        <v>60</v>
      </c>
      <c r="N586" s="3">
        <v>0.45</v>
      </c>
      <c r="O586" t="s">
        <v>16</v>
      </c>
      <c r="Q586">
        <v>1</v>
      </c>
      <c r="R586">
        <v>0</v>
      </c>
      <c r="S586" s="2">
        <v>105000</v>
      </c>
      <c r="T586" s="4">
        <v>9.9099999999999994E-2</v>
      </c>
      <c r="U586">
        <v>8</v>
      </c>
      <c r="V586">
        <v>1</v>
      </c>
      <c r="W586">
        <v>1</v>
      </c>
    </row>
    <row r="587" spans="1:23" ht="16.5" x14ac:dyDescent="0.3">
      <c r="A587" t="s">
        <v>639</v>
      </c>
      <c r="B587" s="1">
        <v>45376</v>
      </c>
      <c r="C587">
        <v>2024</v>
      </c>
      <c r="D587" t="s">
        <v>24</v>
      </c>
      <c r="E587" t="s">
        <v>460</v>
      </c>
      <c r="F587" t="s">
        <v>26</v>
      </c>
      <c r="G587" t="s">
        <v>27</v>
      </c>
      <c r="H587" t="s">
        <v>38</v>
      </c>
      <c r="I587" t="s">
        <v>29</v>
      </c>
      <c r="J587" t="s">
        <v>30</v>
      </c>
      <c r="K587" s="2">
        <v>4850</v>
      </c>
      <c r="L587" s="2">
        <v>47500</v>
      </c>
      <c r="M587">
        <v>48</v>
      </c>
      <c r="N587" s="3">
        <v>0.40600000000000003</v>
      </c>
      <c r="O587" t="s">
        <v>16</v>
      </c>
      <c r="Q587">
        <v>1</v>
      </c>
      <c r="R587">
        <v>0</v>
      </c>
      <c r="S587" s="2">
        <v>47500</v>
      </c>
      <c r="T587" s="4">
        <v>9.9900000000000003E-2</v>
      </c>
      <c r="U587">
        <v>4</v>
      </c>
      <c r="V587">
        <v>1</v>
      </c>
      <c r="W587">
        <v>1</v>
      </c>
    </row>
    <row r="588" spans="1:23" ht="16.5" x14ac:dyDescent="0.3">
      <c r="A588" t="s">
        <v>640</v>
      </c>
      <c r="B588" s="1">
        <v>45376</v>
      </c>
      <c r="C588">
        <v>2024</v>
      </c>
      <c r="D588" t="s">
        <v>24</v>
      </c>
      <c r="E588" t="s">
        <v>460</v>
      </c>
      <c r="F588" t="s">
        <v>26</v>
      </c>
      <c r="G588" t="s">
        <v>33</v>
      </c>
      <c r="H588" t="s">
        <v>34</v>
      </c>
      <c r="I588" t="s">
        <v>29</v>
      </c>
      <c r="J588" t="s">
        <v>30</v>
      </c>
      <c r="K588" s="2">
        <v>6400</v>
      </c>
      <c r="L588" s="2">
        <v>51500</v>
      </c>
      <c r="M588">
        <v>48</v>
      </c>
      <c r="N588" s="3">
        <v>0.33300000000000002</v>
      </c>
      <c r="O588" t="s">
        <v>17</v>
      </c>
      <c r="P588" t="s">
        <v>60</v>
      </c>
      <c r="Q588">
        <v>0</v>
      </c>
      <c r="R588">
        <v>1</v>
      </c>
      <c r="S588" s="2">
        <v>0</v>
      </c>
      <c r="T588" s="4"/>
      <c r="U588">
        <v>5</v>
      </c>
      <c r="V588">
        <v>0</v>
      </c>
      <c r="W588">
        <v>1</v>
      </c>
    </row>
    <row r="589" spans="1:23" ht="16.5" x14ac:dyDescent="0.3">
      <c r="A589" t="s">
        <v>641</v>
      </c>
      <c r="B589" s="1">
        <v>45376</v>
      </c>
      <c r="C589">
        <v>2024</v>
      </c>
      <c r="D589" t="s">
        <v>24</v>
      </c>
      <c r="E589" t="s">
        <v>460</v>
      </c>
      <c r="F589" t="s">
        <v>41</v>
      </c>
      <c r="G589" t="s">
        <v>33</v>
      </c>
      <c r="H589" t="s">
        <v>64</v>
      </c>
      <c r="I589" t="s">
        <v>29</v>
      </c>
      <c r="J589" t="s">
        <v>52</v>
      </c>
      <c r="K589" s="2">
        <v>5550</v>
      </c>
      <c r="L589" s="2">
        <v>41000</v>
      </c>
      <c r="M589">
        <v>24</v>
      </c>
      <c r="N589" s="3">
        <v>0.439</v>
      </c>
      <c r="O589" t="s">
        <v>16</v>
      </c>
      <c r="Q589">
        <v>1</v>
      </c>
      <c r="R589">
        <v>0</v>
      </c>
      <c r="S589" s="2">
        <v>41000</v>
      </c>
      <c r="T589" s="4">
        <v>0.1031</v>
      </c>
      <c r="U589">
        <v>4</v>
      </c>
      <c r="V589">
        <v>1</v>
      </c>
      <c r="W589">
        <v>1</v>
      </c>
    </row>
    <row r="590" spans="1:23" ht="16.5" x14ac:dyDescent="0.3">
      <c r="A590" t="s">
        <v>642</v>
      </c>
      <c r="B590" s="1">
        <v>45376</v>
      </c>
      <c r="C590">
        <v>2024</v>
      </c>
      <c r="D590" t="s">
        <v>24</v>
      </c>
      <c r="E590" t="s">
        <v>460</v>
      </c>
      <c r="F590" t="s">
        <v>26</v>
      </c>
      <c r="G590" t="s">
        <v>33</v>
      </c>
      <c r="H590" t="s">
        <v>55</v>
      </c>
      <c r="I590" t="s">
        <v>42</v>
      </c>
      <c r="J590" t="s">
        <v>35</v>
      </c>
      <c r="K590" s="2">
        <v>7100</v>
      </c>
      <c r="L590" s="2">
        <v>49000</v>
      </c>
      <c r="M590">
        <v>60</v>
      </c>
      <c r="N590" s="3">
        <v>0.36</v>
      </c>
      <c r="O590" t="s">
        <v>17</v>
      </c>
      <c r="P590" t="s">
        <v>31</v>
      </c>
      <c r="Q590">
        <v>0</v>
      </c>
      <c r="R590">
        <v>1</v>
      </c>
      <c r="S590" s="2">
        <v>0</v>
      </c>
      <c r="T590" s="4"/>
      <c r="U590">
        <v>4</v>
      </c>
      <c r="V590">
        <v>1</v>
      </c>
      <c r="W590">
        <v>1</v>
      </c>
    </row>
    <row r="591" spans="1:23" ht="16.5" x14ac:dyDescent="0.3">
      <c r="A591" t="s">
        <v>643</v>
      </c>
      <c r="B591" s="1">
        <v>45376</v>
      </c>
      <c r="C591">
        <v>2024</v>
      </c>
      <c r="D591" t="s">
        <v>24</v>
      </c>
      <c r="E591" t="s">
        <v>460</v>
      </c>
      <c r="F591" t="s">
        <v>37</v>
      </c>
      <c r="G591" t="s">
        <v>27</v>
      </c>
      <c r="H591" t="s">
        <v>55</v>
      </c>
      <c r="I591" t="s">
        <v>42</v>
      </c>
      <c r="J591" t="s">
        <v>46</v>
      </c>
      <c r="K591" s="2">
        <v>4850</v>
      </c>
      <c r="L591" s="2">
        <v>5500</v>
      </c>
      <c r="M591">
        <v>24</v>
      </c>
      <c r="N591" s="3">
        <v>0.16700000000000001</v>
      </c>
      <c r="O591" t="s">
        <v>17</v>
      </c>
      <c r="P591" t="s">
        <v>60</v>
      </c>
      <c r="Q591">
        <v>0</v>
      </c>
      <c r="R591">
        <v>1</v>
      </c>
      <c r="S591" s="2">
        <v>0</v>
      </c>
      <c r="T591" s="4"/>
      <c r="U591">
        <v>7</v>
      </c>
      <c r="V591">
        <v>0</v>
      </c>
      <c r="W591">
        <v>1</v>
      </c>
    </row>
    <row r="592" spans="1:23" ht="16.5" x14ac:dyDescent="0.3">
      <c r="A592" t="s">
        <v>644</v>
      </c>
      <c r="B592" s="1">
        <v>45376</v>
      </c>
      <c r="C592">
        <v>2024</v>
      </c>
      <c r="D592" t="s">
        <v>24</v>
      </c>
      <c r="E592" t="s">
        <v>460</v>
      </c>
      <c r="F592" t="s">
        <v>37</v>
      </c>
      <c r="G592" t="s">
        <v>51</v>
      </c>
      <c r="H592" t="s">
        <v>55</v>
      </c>
      <c r="I592" t="s">
        <v>39</v>
      </c>
      <c r="J592" t="s">
        <v>35</v>
      </c>
      <c r="K592" s="2">
        <v>2600</v>
      </c>
      <c r="L592" s="2">
        <v>7000</v>
      </c>
      <c r="M592">
        <v>48</v>
      </c>
      <c r="N592" s="3">
        <v>0.31</v>
      </c>
      <c r="O592" t="s">
        <v>16</v>
      </c>
      <c r="Q592">
        <v>1</v>
      </c>
      <c r="R592">
        <v>0</v>
      </c>
      <c r="S592" s="2">
        <v>7000</v>
      </c>
      <c r="T592" s="4">
        <v>0.121</v>
      </c>
      <c r="U592">
        <v>3</v>
      </c>
      <c r="V592">
        <v>1</v>
      </c>
      <c r="W592">
        <v>1</v>
      </c>
    </row>
    <row r="593" spans="1:23" ht="16.5" x14ac:dyDescent="0.3">
      <c r="A593" t="s">
        <v>645</v>
      </c>
      <c r="B593" s="1">
        <v>45377</v>
      </c>
      <c r="C593">
        <v>2024</v>
      </c>
      <c r="D593" t="s">
        <v>24</v>
      </c>
      <c r="E593" t="s">
        <v>460</v>
      </c>
      <c r="F593" t="s">
        <v>37</v>
      </c>
      <c r="G593" t="s">
        <v>45</v>
      </c>
      <c r="H593" t="s">
        <v>55</v>
      </c>
      <c r="I593" t="s">
        <v>42</v>
      </c>
      <c r="J593" t="s">
        <v>52</v>
      </c>
      <c r="K593" s="2">
        <v>11400</v>
      </c>
      <c r="L593" s="2">
        <v>9000</v>
      </c>
      <c r="M593">
        <v>24</v>
      </c>
      <c r="N593" s="3">
        <v>0.16500000000000001</v>
      </c>
      <c r="O593" t="s">
        <v>16</v>
      </c>
      <c r="Q593">
        <v>1</v>
      </c>
      <c r="R593">
        <v>0</v>
      </c>
      <c r="S593" s="2">
        <v>9000</v>
      </c>
      <c r="T593" s="4">
        <v>0.111</v>
      </c>
      <c r="U593">
        <v>2</v>
      </c>
      <c r="V593">
        <v>1</v>
      </c>
      <c r="W593">
        <v>1</v>
      </c>
    </row>
    <row r="594" spans="1:23" ht="16.5" x14ac:dyDescent="0.3">
      <c r="A594" t="s">
        <v>646</v>
      </c>
      <c r="B594" s="1">
        <v>45377</v>
      </c>
      <c r="C594">
        <v>2024</v>
      </c>
      <c r="D594" t="s">
        <v>24</v>
      </c>
      <c r="E594" t="s">
        <v>460</v>
      </c>
      <c r="F594" t="s">
        <v>37</v>
      </c>
      <c r="G594" t="s">
        <v>51</v>
      </c>
      <c r="H594" t="s">
        <v>38</v>
      </c>
      <c r="I594" t="s">
        <v>39</v>
      </c>
      <c r="J594" t="s">
        <v>43</v>
      </c>
      <c r="K594" s="2">
        <v>7150</v>
      </c>
      <c r="L594" s="2">
        <v>3500</v>
      </c>
      <c r="M594">
        <v>48</v>
      </c>
      <c r="N594" s="3">
        <v>0.14299999999999999</v>
      </c>
      <c r="O594" t="s">
        <v>17</v>
      </c>
      <c r="P594" t="s">
        <v>31</v>
      </c>
      <c r="Q594">
        <v>0</v>
      </c>
      <c r="R594">
        <v>1</v>
      </c>
      <c r="S594" s="2">
        <v>0</v>
      </c>
      <c r="T594" s="4"/>
      <c r="U594">
        <v>6</v>
      </c>
      <c r="V594">
        <v>0</v>
      </c>
      <c r="W594">
        <v>1</v>
      </c>
    </row>
    <row r="595" spans="1:23" ht="16.5" x14ac:dyDescent="0.3">
      <c r="A595" t="s">
        <v>647</v>
      </c>
      <c r="B595" s="1">
        <v>45377</v>
      </c>
      <c r="C595">
        <v>2024</v>
      </c>
      <c r="D595" t="s">
        <v>24</v>
      </c>
      <c r="E595" t="s">
        <v>460</v>
      </c>
      <c r="F595" t="s">
        <v>37</v>
      </c>
      <c r="G595" t="s">
        <v>33</v>
      </c>
      <c r="H595" t="s">
        <v>38</v>
      </c>
      <c r="I595" t="s">
        <v>39</v>
      </c>
      <c r="J595" t="s">
        <v>52</v>
      </c>
      <c r="K595" s="2">
        <v>8400</v>
      </c>
      <c r="L595" s="2">
        <v>12500</v>
      </c>
      <c r="M595">
        <v>24</v>
      </c>
      <c r="N595" s="3">
        <v>0.21299999999999999</v>
      </c>
      <c r="O595" t="s">
        <v>16</v>
      </c>
      <c r="Q595">
        <v>1</v>
      </c>
      <c r="R595">
        <v>0</v>
      </c>
      <c r="S595" s="2">
        <v>12500</v>
      </c>
      <c r="T595" s="4">
        <v>0.1169</v>
      </c>
      <c r="U595">
        <v>1</v>
      </c>
      <c r="V595">
        <v>1</v>
      </c>
      <c r="W595">
        <v>1</v>
      </c>
    </row>
    <row r="596" spans="1:23" ht="16.5" x14ac:dyDescent="0.3">
      <c r="A596" t="s">
        <v>648</v>
      </c>
      <c r="B596" s="1">
        <v>45377</v>
      </c>
      <c r="C596">
        <v>2024</v>
      </c>
      <c r="D596" t="s">
        <v>24</v>
      </c>
      <c r="E596" t="s">
        <v>460</v>
      </c>
      <c r="F596" t="s">
        <v>26</v>
      </c>
      <c r="G596" t="s">
        <v>33</v>
      </c>
      <c r="H596" t="s">
        <v>55</v>
      </c>
      <c r="I596" t="s">
        <v>29</v>
      </c>
      <c r="J596" t="s">
        <v>30</v>
      </c>
      <c r="K596" s="2">
        <v>12200</v>
      </c>
      <c r="L596" s="2">
        <v>19500</v>
      </c>
      <c r="M596">
        <v>60</v>
      </c>
      <c r="N596" s="3">
        <v>0.22900000000000001</v>
      </c>
      <c r="O596" t="s">
        <v>16</v>
      </c>
      <c r="Q596">
        <v>1</v>
      </c>
      <c r="R596">
        <v>0</v>
      </c>
      <c r="S596" s="2">
        <v>19500</v>
      </c>
      <c r="T596" s="4">
        <v>9.7100000000000006E-2</v>
      </c>
      <c r="U596">
        <v>1</v>
      </c>
      <c r="V596">
        <v>1</v>
      </c>
      <c r="W596">
        <v>1</v>
      </c>
    </row>
    <row r="597" spans="1:23" ht="16.5" x14ac:dyDescent="0.3">
      <c r="A597" t="s">
        <v>649</v>
      </c>
      <c r="B597" s="1">
        <v>45377</v>
      </c>
      <c r="C597">
        <v>2024</v>
      </c>
      <c r="D597" t="s">
        <v>24</v>
      </c>
      <c r="E597" t="s">
        <v>460</v>
      </c>
      <c r="F597" t="s">
        <v>41</v>
      </c>
      <c r="G597" t="s">
        <v>27</v>
      </c>
      <c r="H597" t="s">
        <v>28</v>
      </c>
      <c r="I597" t="s">
        <v>39</v>
      </c>
      <c r="J597" t="s">
        <v>35</v>
      </c>
      <c r="K597" s="2">
        <v>4650</v>
      </c>
      <c r="L597" s="2">
        <v>82500</v>
      </c>
      <c r="M597">
        <v>60</v>
      </c>
      <c r="N597" s="3">
        <v>0.44400000000000001</v>
      </c>
      <c r="O597" t="s">
        <v>17</v>
      </c>
      <c r="P597" t="s">
        <v>60</v>
      </c>
      <c r="Q597">
        <v>0</v>
      </c>
      <c r="R597">
        <v>1</v>
      </c>
      <c r="S597" s="2">
        <v>0</v>
      </c>
      <c r="T597" s="4"/>
      <c r="U597">
        <v>15</v>
      </c>
      <c r="V597">
        <v>0</v>
      </c>
      <c r="W597">
        <v>1</v>
      </c>
    </row>
    <row r="598" spans="1:23" ht="16.5" x14ac:dyDescent="0.3">
      <c r="A598" t="s">
        <v>650</v>
      </c>
      <c r="B598" s="1">
        <v>45377</v>
      </c>
      <c r="C598">
        <v>2024</v>
      </c>
      <c r="D598" t="s">
        <v>24</v>
      </c>
      <c r="E598" t="s">
        <v>460</v>
      </c>
      <c r="F598" t="s">
        <v>37</v>
      </c>
      <c r="G598" t="s">
        <v>51</v>
      </c>
      <c r="H598" t="s">
        <v>34</v>
      </c>
      <c r="I598" t="s">
        <v>29</v>
      </c>
      <c r="J598" t="s">
        <v>30</v>
      </c>
      <c r="K598" s="2">
        <v>5150</v>
      </c>
      <c r="L598" s="2">
        <v>9500</v>
      </c>
      <c r="M598">
        <v>60</v>
      </c>
      <c r="N598" s="3">
        <v>0.106</v>
      </c>
      <c r="O598" t="s">
        <v>17</v>
      </c>
      <c r="P598" t="s">
        <v>31</v>
      </c>
      <c r="Q598">
        <v>0</v>
      </c>
      <c r="R598">
        <v>1</v>
      </c>
      <c r="S598" s="2">
        <v>0</v>
      </c>
      <c r="T598" s="4"/>
      <c r="U598">
        <v>3</v>
      </c>
      <c r="V598">
        <v>1</v>
      </c>
      <c r="W598">
        <v>1</v>
      </c>
    </row>
    <row r="599" spans="1:23" ht="16.5" x14ac:dyDescent="0.3">
      <c r="A599" t="s">
        <v>651</v>
      </c>
      <c r="B599" s="1">
        <v>45377</v>
      </c>
      <c r="C599">
        <v>2024</v>
      </c>
      <c r="D599" t="s">
        <v>24</v>
      </c>
      <c r="E599" t="s">
        <v>460</v>
      </c>
      <c r="F599" t="s">
        <v>41</v>
      </c>
      <c r="G599" t="s">
        <v>51</v>
      </c>
      <c r="H599" t="s">
        <v>38</v>
      </c>
      <c r="I599" t="s">
        <v>29</v>
      </c>
      <c r="J599" t="s">
        <v>52</v>
      </c>
      <c r="K599" s="2">
        <v>6900</v>
      </c>
      <c r="L599" s="2">
        <v>68000</v>
      </c>
      <c r="M599">
        <v>24</v>
      </c>
      <c r="N599" s="3">
        <v>0.64</v>
      </c>
      <c r="O599" t="s">
        <v>17</v>
      </c>
      <c r="P599" t="s">
        <v>53</v>
      </c>
      <c r="Q599">
        <v>0</v>
      </c>
      <c r="R599">
        <v>1</v>
      </c>
      <c r="S599" s="2">
        <v>0</v>
      </c>
      <c r="T599" s="4"/>
      <c r="U599">
        <v>17</v>
      </c>
      <c r="V599">
        <v>0</v>
      </c>
      <c r="W599">
        <v>1</v>
      </c>
    </row>
    <row r="600" spans="1:23" ht="16.5" x14ac:dyDescent="0.3">
      <c r="A600" t="s">
        <v>652</v>
      </c>
      <c r="B600" s="1">
        <v>45377</v>
      </c>
      <c r="C600">
        <v>2024</v>
      </c>
      <c r="D600" t="s">
        <v>24</v>
      </c>
      <c r="E600" t="s">
        <v>460</v>
      </c>
      <c r="F600" t="s">
        <v>37</v>
      </c>
      <c r="G600" t="s">
        <v>27</v>
      </c>
      <c r="H600" t="s">
        <v>64</v>
      </c>
      <c r="I600" t="s">
        <v>29</v>
      </c>
      <c r="J600" t="s">
        <v>35</v>
      </c>
      <c r="K600" s="2">
        <v>3000</v>
      </c>
      <c r="L600" s="2">
        <v>13000</v>
      </c>
      <c r="M600">
        <v>48</v>
      </c>
      <c r="N600" s="3">
        <v>0.33100000000000002</v>
      </c>
      <c r="O600" t="s">
        <v>16</v>
      </c>
      <c r="Q600">
        <v>1</v>
      </c>
      <c r="R600">
        <v>0</v>
      </c>
      <c r="S600" s="2">
        <v>13000</v>
      </c>
      <c r="T600" s="4">
        <v>0.12740000000000001</v>
      </c>
      <c r="U600">
        <v>5</v>
      </c>
      <c r="V600">
        <v>0</v>
      </c>
      <c r="W600">
        <v>1</v>
      </c>
    </row>
    <row r="601" spans="1:23" ht="16.5" x14ac:dyDescent="0.3">
      <c r="A601" t="s">
        <v>653</v>
      </c>
      <c r="B601" s="1">
        <v>45378</v>
      </c>
      <c r="C601">
        <v>2024</v>
      </c>
      <c r="D601" t="s">
        <v>24</v>
      </c>
      <c r="E601" t="s">
        <v>460</v>
      </c>
      <c r="F601" t="s">
        <v>37</v>
      </c>
      <c r="G601" t="s">
        <v>51</v>
      </c>
      <c r="H601" t="s">
        <v>28</v>
      </c>
      <c r="I601" t="s">
        <v>29</v>
      </c>
      <c r="J601" t="s">
        <v>35</v>
      </c>
      <c r="K601" s="2">
        <v>3600</v>
      </c>
      <c r="L601" s="2">
        <v>10000</v>
      </c>
      <c r="M601">
        <v>36</v>
      </c>
      <c r="N601" s="3">
        <v>0.33800000000000002</v>
      </c>
      <c r="O601" t="s">
        <v>16</v>
      </c>
      <c r="Q601">
        <v>1</v>
      </c>
      <c r="R601">
        <v>0</v>
      </c>
      <c r="S601" s="2">
        <v>9000</v>
      </c>
      <c r="T601" s="4">
        <v>0.12759999999999999</v>
      </c>
      <c r="U601">
        <v>3</v>
      </c>
      <c r="V601">
        <v>1</v>
      </c>
      <c r="W601">
        <v>1</v>
      </c>
    </row>
    <row r="602" spans="1:23" ht="16.5" x14ac:dyDescent="0.3">
      <c r="A602" t="s">
        <v>654</v>
      </c>
      <c r="B602" s="1">
        <v>45378</v>
      </c>
      <c r="C602">
        <v>2024</v>
      </c>
      <c r="D602" t="s">
        <v>24</v>
      </c>
      <c r="E602" t="s">
        <v>460</v>
      </c>
      <c r="F602" t="s">
        <v>26</v>
      </c>
      <c r="G602" t="s">
        <v>45</v>
      </c>
      <c r="H602" t="s">
        <v>38</v>
      </c>
      <c r="I602" t="s">
        <v>29</v>
      </c>
      <c r="J602" t="s">
        <v>30</v>
      </c>
      <c r="K602" s="2">
        <v>3300</v>
      </c>
      <c r="L602" s="2">
        <v>32500</v>
      </c>
      <c r="M602">
        <v>60</v>
      </c>
      <c r="N602" s="3">
        <v>0.28799999999999998</v>
      </c>
      <c r="O602" t="s">
        <v>17</v>
      </c>
      <c r="P602" t="s">
        <v>31</v>
      </c>
      <c r="Q602">
        <v>0</v>
      </c>
      <c r="R602">
        <v>1</v>
      </c>
      <c r="S602" s="2">
        <v>0</v>
      </c>
      <c r="T602" s="4"/>
      <c r="U602">
        <v>2</v>
      </c>
      <c r="V602">
        <v>1</v>
      </c>
      <c r="W602">
        <v>1</v>
      </c>
    </row>
    <row r="603" spans="1:23" ht="16.5" x14ac:dyDescent="0.3">
      <c r="A603" t="s">
        <v>655</v>
      </c>
      <c r="B603" s="1">
        <v>45378</v>
      </c>
      <c r="C603">
        <v>2024</v>
      </c>
      <c r="D603" t="s">
        <v>24</v>
      </c>
      <c r="E603" t="s">
        <v>460</v>
      </c>
      <c r="F603" t="s">
        <v>37</v>
      </c>
      <c r="G603" t="s">
        <v>33</v>
      </c>
      <c r="H603" t="s">
        <v>38</v>
      </c>
      <c r="I603" t="s">
        <v>29</v>
      </c>
      <c r="J603" t="s">
        <v>52</v>
      </c>
      <c r="K603" s="2">
        <v>11000</v>
      </c>
      <c r="L603" s="2">
        <v>16000</v>
      </c>
      <c r="M603">
        <v>12</v>
      </c>
      <c r="N603" s="3">
        <v>0.35199999999999998</v>
      </c>
      <c r="O603" t="s">
        <v>16</v>
      </c>
      <c r="Q603">
        <v>1</v>
      </c>
      <c r="R603">
        <v>0</v>
      </c>
      <c r="S603" s="2">
        <v>14500</v>
      </c>
      <c r="T603" s="4">
        <v>0.11310000000000001</v>
      </c>
      <c r="U603">
        <v>1</v>
      </c>
      <c r="V603">
        <v>1</v>
      </c>
      <c r="W603">
        <v>1</v>
      </c>
    </row>
    <row r="604" spans="1:23" ht="16.5" x14ac:dyDescent="0.3">
      <c r="A604" t="s">
        <v>656</v>
      </c>
      <c r="B604" s="1">
        <v>45378</v>
      </c>
      <c r="C604">
        <v>2024</v>
      </c>
      <c r="D604" t="s">
        <v>24</v>
      </c>
      <c r="E604" t="s">
        <v>460</v>
      </c>
      <c r="F604" t="s">
        <v>26</v>
      </c>
      <c r="G604" t="s">
        <v>33</v>
      </c>
      <c r="H604" t="s">
        <v>38</v>
      </c>
      <c r="I604" t="s">
        <v>39</v>
      </c>
      <c r="J604" t="s">
        <v>35</v>
      </c>
      <c r="K604" s="2">
        <v>5650</v>
      </c>
      <c r="L604" s="2">
        <v>14500</v>
      </c>
      <c r="M604">
        <v>48</v>
      </c>
      <c r="N604" s="3">
        <v>0.19600000000000001</v>
      </c>
      <c r="O604" t="s">
        <v>17</v>
      </c>
      <c r="P604" t="s">
        <v>65</v>
      </c>
      <c r="Q604">
        <v>0</v>
      </c>
      <c r="R604">
        <v>1</v>
      </c>
      <c r="S604" s="2">
        <v>0</v>
      </c>
      <c r="T604" s="4"/>
      <c r="U604">
        <v>2</v>
      </c>
      <c r="V604">
        <v>1</v>
      </c>
      <c r="W604">
        <v>1</v>
      </c>
    </row>
    <row r="605" spans="1:23" ht="16.5" x14ac:dyDescent="0.3">
      <c r="A605" t="s">
        <v>657</v>
      </c>
      <c r="B605" s="1">
        <v>45378</v>
      </c>
      <c r="C605">
        <v>2024</v>
      </c>
      <c r="D605" t="s">
        <v>24</v>
      </c>
      <c r="E605" t="s">
        <v>460</v>
      </c>
      <c r="F605" t="s">
        <v>37</v>
      </c>
      <c r="G605" t="s">
        <v>33</v>
      </c>
      <c r="H605" t="s">
        <v>28</v>
      </c>
      <c r="I605" t="s">
        <v>42</v>
      </c>
      <c r="J605" t="s">
        <v>35</v>
      </c>
      <c r="K605" s="2">
        <v>6700</v>
      </c>
      <c r="L605" s="2">
        <v>20000</v>
      </c>
      <c r="M605">
        <v>48</v>
      </c>
      <c r="N605" s="3">
        <v>0.23699999999999999</v>
      </c>
      <c r="O605" t="s">
        <v>16</v>
      </c>
      <c r="Q605">
        <v>1</v>
      </c>
      <c r="R605">
        <v>0</v>
      </c>
      <c r="S605" s="2">
        <v>20000</v>
      </c>
      <c r="T605" s="4">
        <v>0.1237</v>
      </c>
      <c r="U605">
        <v>1</v>
      </c>
      <c r="V605">
        <v>1</v>
      </c>
      <c r="W605">
        <v>1</v>
      </c>
    </row>
    <row r="606" spans="1:23" ht="16.5" x14ac:dyDescent="0.3">
      <c r="A606" t="s">
        <v>658</v>
      </c>
      <c r="B606" s="1">
        <v>45378</v>
      </c>
      <c r="C606">
        <v>2024</v>
      </c>
      <c r="D606" t="s">
        <v>24</v>
      </c>
      <c r="E606" t="s">
        <v>460</v>
      </c>
      <c r="F606" t="s">
        <v>37</v>
      </c>
      <c r="G606" t="s">
        <v>33</v>
      </c>
      <c r="H606" t="s">
        <v>38</v>
      </c>
      <c r="I606" t="s">
        <v>29</v>
      </c>
      <c r="J606" t="s">
        <v>30</v>
      </c>
      <c r="K606" s="2">
        <v>6450</v>
      </c>
      <c r="L606" s="2">
        <v>7000</v>
      </c>
      <c r="M606">
        <v>36</v>
      </c>
      <c r="N606" s="3">
        <v>0.13</v>
      </c>
      <c r="O606" t="s">
        <v>16</v>
      </c>
      <c r="Q606">
        <v>1</v>
      </c>
      <c r="R606">
        <v>0</v>
      </c>
      <c r="S606" s="2">
        <v>7000</v>
      </c>
      <c r="T606" s="4">
        <v>0.14180000000000001</v>
      </c>
      <c r="U606">
        <v>1</v>
      </c>
      <c r="V606">
        <v>1</v>
      </c>
      <c r="W606">
        <v>1</v>
      </c>
    </row>
    <row r="607" spans="1:23" ht="16.5" x14ac:dyDescent="0.3">
      <c r="A607" t="s">
        <v>659</v>
      </c>
      <c r="B607" s="1">
        <v>45378</v>
      </c>
      <c r="C607">
        <v>2024</v>
      </c>
      <c r="D607" t="s">
        <v>24</v>
      </c>
      <c r="E607" t="s">
        <v>460</v>
      </c>
      <c r="F607" t="s">
        <v>37</v>
      </c>
      <c r="G607" t="s">
        <v>27</v>
      </c>
      <c r="H607" t="s">
        <v>34</v>
      </c>
      <c r="I607" t="s">
        <v>39</v>
      </c>
      <c r="J607" t="s">
        <v>52</v>
      </c>
      <c r="K607" s="2">
        <v>6550</v>
      </c>
      <c r="L607" s="2">
        <v>34500</v>
      </c>
      <c r="M607">
        <v>48</v>
      </c>
      <c r="N607" s="3">
        <v>0.217</v>
      </c>
      <c r="O607" t="s">
        <v>17</v>
      </c>
      <c r="P607" t="s">
        <v>65</v>
      </c>
      <c r="Q607">
        <v>0</v>
      </c>
      <c r="R607">
        <v>1</v>
      </c>
      <c r="S607" s="2">
        <v>0</v>
      </c>
      <c r="T607" s="4"/>
      <c r="U607">
        <v>3</v>
      </c>
      <c r="V607">
        <v>1</v>
      </c>
      <c r="W607">
        <v>1</v>
      </c>
    </row>
    <row r="608" spans="1:23" ht="16.5" x14ac:dyDescent="0.3">
      <c r="A608" t="s">
        <v>660</v>
      </c>
      <c r="B608" s="1">
        <v>45378</v>
      </c>
      <c r="C608">
        <v>2024</v>
      </c>
      <c r="D608" t="s">
        <v>24</v>
      </c>
      <c r="E608" t="s">
        <v>460</v>
      </c>
      <c r="F608" t="s">
        <v>37</v>
      </c>
      <c r="G608" t="s">
        <v>27</v>
      </c>
      <c r="H608" t="s">
        <v>55</v>
      </c>
      <c r="I608" t="s">
        <v>39</v>
      </c>
      <c r="J608" t="s">
        <v>43</v>
      </c>
      <c r="K608" s="2">
        <v>4250</v>
      </c>
      <c r="L608" s="2">
        <v>12500</v>
      </c>
      <c r="M608">
        <v>36</v>
      </c>
      <c r="N608" s="3">
        <v>0.317</v>
      </c>
      <c r="O608" t="s">
        <v>17</v>
      </c>
      <c r="P608" t="s">
        <v>31</v>
      </c>
      <c r="Q608">
        <v>0</v>
      </c>
      <c r="R608">
        <v>1</v>
      </c>
      <c r="S608" s="2">
        <v>0</v>
      </c>
      <c r="T608" s="4"/>
      <c r="U608">
        <v>5</v>
      </c>
      <c r="V608">
        <v>0</v>
      </c>
      <c r="W608">
        <v>1</v>
      </c>
    </row>
    <row r="609" spans="1:23" ht="16.5" x14ac:dyDescent="0.3">
      <c r="A609" t="s">
        <v>661</v>
      </c>
      <c r="B609" s="1">
        <v>45378</v>
      </c>
      <c r="C609">
        <v>2024</v>
      </c>
      <c r="D609" t="s">
        <v>24</v>
      </c>
      <c r="E609" t="s">
        <v>460</v>
      </c>
      <c r="F609" t="s">
        <v>37</v>
      </c>
      <c r="G609" t="s">
        <v>45</v>
      </c>
      <c r="H609" t="s">
        <v>55</v>
      </c>
      <c r="I609" t="s">
        <v>42</v>
      </c>
      <c r="J609" t="s">
        <v>43</v>
      </c>
      <c r="K609" s="2">
        <v>6050</v>
      </c>
      <c r="L609" s="2">
        <v>3500</v>
      </c>
      <c r="M609">
        <v>12</v>
      </c>
      <c r="N609" s="3">
        <v>0.20599999999999999</v>
      </c>
      <c r="O609" t="s">
        <v>17</v>
      </c>
      <c r="P609" t="s">
        <v>60</v>
      </c>
      <c r="Q609">
        <v>0</v>
      </c>
      <c r="R609">
        <v>1</v>
      </c>
      <c r="S609" s="2">
        <v>0</v>
      </c>
      <c r="T609" s="4"/>
      <c r="U609">
        <v>6</v>
      </c>
      <c r="V609">
        <v>0</v>
      </c>
      <c r="W609">
        <v>1</v>
      </c>
    </row>
    <row r="610" spans="1:23" ht="16.5" x14ac:dyDescent="0.3">
      <c r="A610" t="s">
        <v>662</v>
      </c>
      <c r="B610" s="1">
        <v>45378</v>
      </c>
      <c r="C610">
        <v>2024</v>
      </c>
      <c r="D610" t="s">
        <v>24</v>
      </c>
      <c r="E610" t="s">
        <v>460</v>
      </c>
      <c r="F610" t="s">
        <v>26</v>
      </c>
      <c r="G610" t="s">
        <v>51</v>
      </c>
      <c r="H610" t="s">
        <v>38</v>
      </c>
      <c r="I610" t="s">
        <v>29</v>
      </c>
      <c r="J610" t="s">
        <v>46</v>
      </c>
      <c r="K610" s="2">
        <v>6600</v>
      </c>
      <c r="L610" s="2">
        <v>24500</v>
      </c>
      <c r="M610">
        <v>36</v>
      </c>
      <c r="N610" s="3">
        <v>0.24299999999999999</v>
      </c>
      <c r="O610" t="s">
        <v>16</v>
      </c>
      <c r="Q610">
        <v>1</v>
      </c>
      <c r="R610">
        <v>0</v>
      </c>
      <c r="S610" s="2">
        <v>19500</v>
      </c>
      <c r="T610" s="4">
        <v>6.8599999999999994E-2</v>
      </c>
      <c r="U610">
        <v>6</v>
      </c>
      <c r="V610">
        <v>0</v>
      </c>
      <c r="W610">
        <v>1</v>
      </c>
    </row>
    <row r="611" spans="1:23" ht="16.5" x14ac:dyDescent="0.3">
      <c r="A611" t="s">
        <v>663</v>
      </c>
      <c r="B611" s="1">
        <v>45379</v>
      </c>
      <c r="C611">
        <v>2024</v>
      </c>
      <c r="D611" t="s">
        <v>24</v>
      </c>
      <c r="E611" t="s">
        <v>460</v>
      </c>
      <c r="F611" t="s">
        <v>37</v>
      </c>
      <c r="G611" t="s">
        <v>51</v>
      </c>
      <c r="H611" t="s">
        <v>38</v>
      </c>
      <c r="I611" t="s">
        <v>39</v>
      </c>
      <c r="J611" t="s">
        <v>43</v>
      </c>
      <c r="K611" s="2">
        <v>4200</v>
      </c>
      <c r="L611" s="2">
        <v>7500</v>
      </c>
      <c r="M611">
        <v>60</v>
      </c>
      <c r="N611" s="3">
        <v>0.25700000000000001</v>
      </c>
      <c r="O611" t="s">
        <v>17</v>
      </c>
      <c r="P611" t="s">
        <v>31</v>
      </c>
      <c r="Q611">
        <v>0</v>
      </c>
      <c r="R611">
        <v>1</v>
      </c>
      <c r="S611" s="2">
        <v>0</v>
      </c>
      <c r="T611" s="4"/>
      <c r="U611">
        <v>4</v>
      </c>
      <c r="V611">
        <v>0</v>
      </c>
      <c r="W611">
        <v>1</v>
      </c>
    </row>
    <row r="612" spans="1:23" ht="16.5" x14ac:dyDescent="0.3">
      <c r="A612" t="s">
        <v>664</v>
      </c>
      <c r="B612" s="1">
        <v>45379</v>
      </c>
      <c r="C612">
        <v>2024</v>
      </c>
      <c r="D612" t="s">
        <v>24</v>
      </c>
      <c r="E612" t="s">
        <v>460</v>
      </c>
      <c r="F612" t="s">
        <v>26</v>
      </c>
      <c r="G612" t="s">
        <v>51</v>
      </c>
      <c r="H612" t="s">
        <v>28</v>
      </c>
      <c r="I612" t="s">
        <v>39</v>
      </c>
      <c r="J612" t="s">
        <v>52</v>
      </c>
      <c r="K612" s="2">
        <v>7900</v>
      </c>
      <c r="L612" s="2">
        <v>27000</v>
      </c>
      <c r="M612">
        <v>60</v>
      </c>
      <c r="N612" s="3">
        <v>0.11799999999999999</v>
      </c>
      <c r="O612" t="s">
        <v>17</v>
      </c>
      <c r="P612" t="s">
        <v>31</v>
      </c>
      <c r="Q612">
        <v>0</v>
      </c>
      <c r="R612">
        <v>1</v>
      </c>
      <c r="S612" s="2">
        <v>0</v>
      </c>
      <c r="T612" s="4"/>
      <c r="U612">
        <v>7</v>
      </c>
      <c r="V612">
        <v>0</v>
      </c>
      <c r="W612">
        <v>1</v>
      </c>
    </row>
    <row r="613" spans="1:23" ht="16.5" x14ac:dyDescent="0.3">
      <c r="A613" t="s">
        <v>665</v>
      </c>
      <c r="B613" s="1">
        <v>45379</v>
      </c>
      <c r="C613">
        <v>2024</v>
      </c>
      <c r="D613" t="s">
        <v>24</v>
      </c>
      <c r="E613" t="s">
        <v>460</v>
      </c>
      <c r="F613" t="s">
        <v>37</v>
      </c>
      <c r="G613" t="s">
        <v>45</v>
      </c>
      <c r="H613" t="s">
        <v>55</v>
      </c>
      <c r="I613" t="s">
        <v>29</v>
      </c>
      <c r="J613" t="s">
        <v>30</v>
      </c>
      <c r="K613" s="2">
        <v>5550</v>
      </c>
      <c r="L613" s="2">
        <v>5500</v>
      </c>
      <c r="M613">
        <v>36</v>
      </c>
      <c r="N613" s="3">
        <v>9.8000000000000004E-2</v>
      </c>
      <c r="O613" t="s">
        <v>16</v>
      </c>
      <c r="Q613">
        <v>1</v>
      </c>
      <c r="R613">
        <v>0</v>
      </c>
      <c r="S613" s="2">
        <v>5500</v>
      </c>
      <c r="T613" s="4">
        <v>0.14449999999999999</v>
      </c>
      <c r="U613">
        <v>3</v>
      </c>
      <c r="V613">
        <v>1</v>
      </c>
      <c r="W613">
        <v>1</v>
      </c>
    </row>
    <row r="614" spans="1:23" ht="16.5" x14ac:dyDescent="0.3">
      <c r="A614" t="s">
        <v>666</v>
      </c>
      <c r="B614" s="1">
        <v>45379</v>
      </c>
      <c r="C614">
        <v>2024</v>
      </c>
      <c r="D614" t="s">
        <v>24</v>
      </c>
      <c r="E614" t="s">
        <v>460</v>
      </c>
      <c r="F614" t="s">
        <v>37</v>
      </c>
      <c r="G614" t="s">
        <v>45</v>
      </c>
      <c r="H614" t="s">
        <v>64</v>
      </c>
      <c r="I614" t="s">
        <v>29</v>
      </c>
      <c r="J614" t="s">
        <v>52</v>
      </c>
      <c r="K614" s="2">
        <v>4250</v>
      </c>
      <c r="L614" s="2">
        <v>7000</v>
      </c>
      <c r="M614">
        <v>48</v>
      </c>
      <c r="N614" s="3">
        <v>0.11899999999999999</v>
      </c>
      <c r="O614" t="s">
        <v>16</v>
      </c>
      <c r="Q614">
        <v>1</v>
      </c>
      <c r="R614">
        <v>0</v>
      </c>
      <c r="S614" s="2">
        <v>7000</v>
      </c>
      <c r="T614" s="4">
        <v>0.11840000000000001</v>
      </c>
      <c r="U614">
        <v>1</v>
      </c>
      <c r="V614">
        <v>1</v>
      </c>
      <c r="W614">
        <v>1</v>
      </c>
    </row>
    <row r="615" spans="1:23" ht="16.5" x14ac:dyDescent="0.3">
      <c r="A615" t="s">
        <v>667</v>
      </c>
      <c r="B615" s="1">
        <v>45379</v>
      </c>
      <c r="C615">
        <v>2024</v>
      </c>
      <c r="D615" t="s">
        <v>24</v>
      </c>
      <c r="E615" t="s">
        <v>460</v>
      </c>
      <c r="F615" t="s">
        <v>37</v>
      </c>
      <c r="G615" t="s">
        <v>51</v>
      </c>
      <c r="H615" t="s">
        <v>64</v>
      </c>
      <c r="I615" t="s">
        <v>39</v>
      </c>
      <c r="J615" t="s">
        <v>35</v>
      </c>
      <c r="K615" s="2">
        <v>4450</v>
      </c>
      <c r="L615" s="2">
        <v>8000</v>
      </c>
      <c r="M615">
        <v>12</v>
      </c>
      <c r="N615" s="3">
        <v>0.308</v>
      </c>
      <c r="O615" t="s">
        <v>16</v>
      </c>
      <c r="Q615">
        <v>1</v>
      </c>
      <c r="R615">
        <v>0</v>
      </c>
      <c r="S615" s="2">
        <v>8000</v>
      </c>
      <c r="T615" s="4">
        <v>0.1275</v>
      </c>
      <c r="U615">
        <v>5</v>
      </c>
      <c r="V615">
        <v>0</v>
      </c>
      <c r="W615">
        <v>1</v>
      </c>
    </row>
    <row r="616" spans="1:23" ht="16.5" x14ac:dyDescent="0.3">
      <c r="A616" t="s">
        <v>668</v>
      </c>
      <c r="B616" s="1">
        <v>45379</v>
      </c>
      <c r="C616">
        <v>2024</v>
      </c>
      <c r="D616" t="s">
        <v>24</v>
      </c>
      <c r="E616" t="s">
        <v>460</v>
      </c>
      <c r="F616" t="s">
        <v>26</v>
      </c>
      <c r="G616" t="s">
        <v>51</v>
      </c>
      <c r="H616" t="s">
        <v>34</v>
      </c>
      <c r="I616" t="s">
        <v>39</v>
      </c>
      <c r="J616" t="s">
        <v>35</v>
      </c>
      <c r="K616" s="2">
        <v>4350</v>
      </c>
      <c r="L616" s="2">
        <v>36500</v>
      </c>
      <c r="M616">
        <v>60</v>
      </c>
      <c r="N616" s="3">
        <v>0.26900000000000002</v>
      </c>
      <c r="O616" t="s">
        <v>17</v>
      </c>
      <c r="P616" t="s">
        <v>65</v>
      </c>
      <c r="Q616">
        <v>0</v>
      </c>
      <c r="R616">
        <v>1</v>
      </c>
      <c r="S616" s="2">
        <v>0</v>
      </c>
      <c r="T616" s="4"/>
      <c r="U616">
        <v>8</v>
      </c>
      <c r="V616">
        <v>0</v>
      </c>
      <c r="W616">
        <v>1</v>
      </c>
    </row>
    <row r="617" spans="1:23" ht="16.5" x14ac:dyDescent="0.3">
      <c r="A617" t="s">
        <v>669</v>
      </c>
      <c r="B617" s="1">
        <v>45379</v>
      </c>
      <c r="C617">
        <v>2024</v>
      </c>
      <c r="D617" t="s">
        <v>24</v>
      </c>
      <c r="E617" t="s">
        <v>460</v>
      </c>
      <c r="F617" t="s">
        <v>37</v>
      </c>
      <c r="G617" t="s">
        <v>33</v>
      </c>
      <c r="H617" t="s">
        <v>55</v>
      </c>
      <c r="I617" t="s">
        <v>39</v>
      </c>
      <c r="J617" t="s">
        <v>35</v>
      </c>
      <c r="K617" s="2">
        <v>3350</v>
      </c>
      <c r="L617" s="2">
        <v>14500</v>
      </c>
      <c r="M617">
        <v>60</v>
      </c>
      <c r="N617" s="3">
        <v>0.14899999999999999</v>
      </c>
      <c r="O617" t="s">
        <v>16</v>
      </c>
      <c r="Q617">
        <v>1</v>
      </c>
      <c r="R617">
        <v>0</v>
      </c>
      <c r="S617" s="2">
        <v>14500</v>
      </c>
      <c r="T617" s="4">
        <v>0.12670000000000001</v>
      </c>
      <c r="U617">
        <v>2</v>
      </c>
      <c r="V617">
        <v>1</v>
      </c>
      <c r="W617">
        <v>1</v>
      </c>
    </row>
    <row r="618" spans="1:23" ht="16.5" x14ac:dyDescent="0.3">
      <c r="A618" t="s">
        <v>670</v>
      </c>
      <c r="B618" s="1">
        <v>45379</v>
      </c>
      <c r="C618">
        <v>2024</v>
      </c>
      <c r="D618" t="s">
        <v>24</v>
      </c>
      <c r="E618" t="s">
        <v>460</v>
      </c>
      <c r="F618" t="s">
        <v>37</v>
      </c>
      <c r="G618" t="s">
        <v>51</v>
      </c>
      <c r="H618" t="s">
        <v>34</v>
      </c>
      <c r="I618" t="s">
        <v>42</v>
      </c>
      <c r="J618" t="s">
        <v>30</v>
      </c>
      <c r="K618" s="2">
        <v>6800</v>
      </c>
      <c r="L618" s="2">
        <v>17000</v>
      </c>
      <c r="M618">
        <v>24</v>
      </c>
      <c r="N618" s="3">
        <v>0.22700000000000001</v>
      </c>
      <c r="O618" t="s">
        <v>16</v>
      </c>
      <c r="Q618">
        <v>1</v>
      </c>
      <c r="R618">
        <v>0</v>
      </c>
      <c r="S618" s="2">
        <v>17000</v>
      </c>
      <c r="T618" s="4">
        <v>0.1368</v>
      </c>
      <c r="U618">
        <v>7</v>
      </c>
      <c r="V618">
        <v>0</v>
      </c>
      <c r="W618">
        <v>1</v>
      </c>
    </row>
    <row r="619" spans="1:23" ht="16.5" x14ac:dyDescent="0.3">
      <c r="A619" t="s">
        <v>671</v>
      </c>
      <c r="B619" s="1">
        <v>45379</v>
      </c>
      <c r="C619">
        <v>2024</v>
      </c>
      <c r="D619" t="s">
        <v>24</v>
      </c>
      <c r="E619" t="s">
        <v>460</v>
      </c>
      <c r="F619" t="s">
        <v>26</v>
      </c>
      <c r="G619" t="s">
        <v>27</v>
      </c>
      <c r="H619" t="s">
        <v>38</v>
      </c>
      <c r="I619" t="s">
        <v>29</v>
      </c>
      <c r="J619" t="s">
        <v>30</v>
      </c>
      <c r="K619" s="2">
        <v>3850</v>
      </c>
      <c r="L619" s="2">
        <v>35000</v>
      </c>
      <c r="M619">
        <v>36</v>
      </c>
      <c r="N619" s="3">
        <v>0.39900000000000002</v>
      </c>
      <c r="O619" t="s">
        <v>17</v>
      </c>
      <c r="P619" t="s">
        <v>60</v>
      </c>
      <c r="Q619">
        <v>0</v>
      </c>
      <c r="R619">
        <v>1</v>
      </c>
      <c r="S619" s="2">
        <v>0</v>
      </c>
      <c r="T619" s="4"/>
      <c r="U619">
        <v>13</v>
      </c>
      <c r="V619">
        <v>0</v>
      </c>
      <c r="W619">
        <v>1</v>
      </c>
    </row>
    <row r="620" spans="1:23" ht="16.5" x14ac:dyDescent="0.3">
      <c r="A620" t="s">
        <v>672</v>
      </c>
      <c r="B620" s="1">
        <v>45379</v>
      </c>
      <c r="C620">
        <v>2024</v>
      </c>
      <c r="D620" t="s">
        <v>24</v>
      </c>
      <c r="E620" t="s">
        <v>460</v>
      </c>
      <c r="F620" t="s">
        <v>41</v>
      </c>
      <c r="G620" t="s">
        <v>51</v>
      </c>
      <c r="H620" t="s">
        <v>38</v>
      </c>
      <c r="I620" t="s">
        <v>39</v>
      </c>
      <c r="J620" t="s">
        <v>52</v>
      </c>
      <c r="K620" s="2">
        <v>11850</v>
      </c>
      <c r="L620" s="2">
        <v>134000</v>
      </c>
      <c r="M620">
        <v>12</v>
      </c>
      <c r="N620" s="3">
        <v>1.2070000000000001</v>
      </c>
      <c r="O620" t="s">
        <v>16</v>
      </c>
      <c r="Q620">
        <v>1</v>
      </c>
      <c r="R620">
        <v>0</v>
      </c>
      <c r="S620" s="2">
        <v>134000</v>
      </c>
      <c r="T620" s="4">
        <v>9.9000000000000005E-2</v>
      </c>
      <c r="U620">
        <v>13</v>
      </c>
      <c r="V620">
        <v>0</v>
      </c>
      <c r="W620">
        <v>1</v>
      </c>
    </row>
    <row r="621" spans="1:23" ht="16.5" x14ac:dyDescent="0.3">
      <c r="A621" t="s">
        <v>673</v>
      </c>
      <c r="B621" s="1">
        <v>45379</v>
      </c>
      <c r="C621">
        <v>2024</v>
      </c>
      <c r="D621" t="s">
        <v>24</v>
      </c>
      <c r="E621" t="s">
        <v>460</v>
      </c>
      <c r="F621" t="s">
        <v>37</v>
      </c>
      <c r="G621" t="s">
        <v>51</v>
      </c>
      <c r="H621" t="s">
        <v>38</v>
      </c>
      <c r="I621" t="s">
        <v>29</v>
      </c>
      <c r="J621" t="s">
        <v>35</v>
      </c>
      <c r="K621" s="2">
        <v>2850</v>
      </c>
      <c r="L621" s="2">
        <v>9500</v>
      </c>
      <c r="M621">
        <v>24</v>
      </c>
      <c r="N621" s="3">
        <v>0.33900000000000002</v>
      </c>
      <c r="O621" t="s">
        <v>16</v>
      </c>
      <c r="Q621">
        <v>1</v>
      </c>
      <c r="R621">
        <v>0</v>
      </c>
      <c r="S621" s="2">
        <v>9500</v>
      </c>
      <c r="T621" s="4">
        <v>0.1246</v>
      </c>
      <c r="U621">
        <v>3</v>
      </c>
      <c r="V621">
        <v>1</v>
      </c>
      <c r="W621">
        <v>1</v>
      </c>
    </row>
    <row r="622" spans="1:23" ht="16.5" x14ac:dyDescent="0.3">
      <c r="A622" t="s">
        <v>674</v>
      </c>
      <c r="B622" s="1">
        <v>45379</v>
      </c>
      <c r="C622">
        <v>2024</v>
      </c>
      <c r="D622" t="s">
        <v>24</v>
      </c>
      <c r="E622" t="s">
        <v>460</v>
      </c>
      <c r="F622" t="s">
        <v>37</v>
      </c>
      <c r="G622" t="s">
        <v>33</v>
      </c>
      <c r="H622" t="s">
        <v>34</v>
      </c>
      <c r="I622" t="s">
        <v>39</v>
      </c>
      <c r="J622" t="s">
        <v>46</v>
      </c>
      <c r="K622" s="2">
        <v>14450</v>
      </c>
      <c r="L622" s="2">
        <v>26000</v>
      </c>
      <c r="M622">
        <v>48</v>
      </c>
      <c r="N622" s="3">
        <v>0.11799999999999999</v>
      </c>
      <c r="O622" t="s">
        <v>16</v>
      </c>
      <c r="Q622">
        <v>1</v>
      </c>
      <c r="R622">
        <v>0</v>
      </c>
      <c r="S622" s="2">
        <v>26000</v>
      </c>
      <c r="T622" s="4">
        <v>0.1137</v>
      </c>
      <c r="U622">
        <v>1</v>
      </c>
      <c r="V622">
        <v>1</v>
      </c>
      <c r="W622">
        <v>1</v>
      </c>
    </row>
    <row r="623" spans="1:23" ht="16.5" x14ac:dyDescent="0.3">
      <c r="A623" t="s">
        <v>675</v>
      </c>
      <c r="B623" s="1">
        <v>45379</v>
      </c>
      <c r="C623">
        <v>2024</v>
      </c>
      <c r="D623" t="s">
        <v>24</v>
      </c>
      <c r="E623" t="s">
        <v>460</v>
      </c>
      <c r="F623" t="s">
        <v>37</v>
      </c>
      <c r="G623" t="s">
        <v>51</v>
      </c>
      <c r="H623" t="s">
        <v>28</v>
      </c>
      <c r="I623" t="s">
        <v>29</v>
      </c>
      <c r="J623" t="s">
        <v>52</v>
      </c>
      <c r="K623" s="2">
        <v>6700</v>
      </c>
      <c r="L623" s="2">
        <v>13000</v>
      </c>
      <c r="M623">
        <v>48</v>
      </c>
      <c r="N623" s="3">
        <v>0.13300000000000001</v>
      </c>
      <c r="O623" t="s">
        <v>16</v>
      </c>
      <c r="Q623">
        <v>1</v>
      </c>
      <c r="R623">
        <v>0</v>
      </c>
      <c r="S623" s="2">
        <v>10500</v>
      </c>
      <c r="T623" s="4">
        <v>0.11749999999999999</v>
      </c>
      <c r="U623">
        <v>5</v>
      </c>
      <c r="V623">
        <v>0</v>
      </c>
      <c r="W623">
        <v>1</v>
      </c>
    </row>
    <row r="624" spans="1:23" ht="16.5" x14ac:dyDescent="0.3">
      <c r="A624" t="s">
        <v>676</v>
      </c>
      <c r="B624" s="1">
        <v>45380</v>
      </c>
      <c r="C624">
        <v>2024</v>
      </c>
      <c r="D624" t="s">
        <v>24</v>
      </c>
      <c r="E624" t="s">
        <v>460</v>
      </c>
      <c r="F624" t="s">
        <v>26</v>
      </c>
      <c r="G624" t="s">
        <v>51</v>
      </c>
      <c r="H624" t="s">
        <v>55</v>
      </c>
      <c r="I624" t="s">
        <v>42</v>
      </c>
      <c r="J624" t="s">
        <v>43</v>
      </c>
      <c r="K624" s="2">
        <v>8800</v>
      </c>
      <c r="L624" s="2">
        <v>30000</v>
      </c>
      <c r="M624">
        <v>36</v>
      </c>
      <c r="N624" s="3">
        <v>0.32100000000000001</v>
      </c>
      <c r="O624" t="s">
        <v>16</v>
      </c>
      <c r="Q624">
        <v>1</v>
      </c>
      <c r="R624">
        <v>0</v>
      </c>
      <c r="S624" s="2">
        <v>30000</v>
      </c>
      <c r="T624" s="4">
        <v>0.1191</v>
      </c>
      <c r="U624">
        <v>6</v>
      </c>
      <c r="V624">
        <v>0</v>
      </c>
      <c r="W624">
        <v>1</v>
      </c>
    </row>
    <row r="625" spans="1:23" ht="16.5" x14ac:dyDescent="0.3">
      <c r="A625" t="s">
        <v>677</v>
      </c>
      <c r="B625" s="1">
        <v>45380</v>
      </c>
      <c r="C625">
        <v>2024</v>
      </c>
      <c r="D625" t="s">
        <v>24</v>
      </c>
      <c r="E625" t="s">
        <v>460</v>
      </c>
      <c r="F625" t="s">
        <v>37</v>
      </c>
      <c r="G625" t="s">
        <v>45</v>
      </c>
      <c r="H625" t="s">
        <v>64</v>
      </c>
      <c r="I625" t="s">
        <v>42</v>
      </c>
      <c r="J625" t="s">
        <v>52</v>
      </c>
      <c r="K625" s="2">
        <v>8650</v>
      </c>
      <c r="L625" s="2">
        <v>16500</v>
      </c>
      <c r="M625">
        <v>12</v>
      </c>
      <c r="N625" s="3">
        <v>0.22500000000000001</v>
      </c>
      <c r="O625" t="s">
        <v>16</v>
      </c>
      <c r="Q625">
        <v>1</v>
      </c>
      <c r="R625">
        <v>0</v>
      </c>
      <c r="S625" s="2">
        <v>16500</v>
      </c>
      <c r="T625" s="4">
        <v>0.1135</v>
      </c>
      <c r="U625">
        <v>4</v>
      </c>
      <c r="V625">
        <v>0</v>
      </c>
      <c r="W625">
        <v>1</v>
      </c>
    </row>
    <row r="626" spans="1:23" ht="16.5" x14ac:dyDescent="0.3">
      <c r="A626" t="s">
        <v>678</v>
      </c>
      <c r="B626" s="1">
        <v>45380</v>
      </c>
      <c r="C626">
        <v>2024</v>
      </c>
      <c r="D626" t="s">
        <v>24</v>
      </c>
      <c r="E626" t="s">
        <v>460</v>
      </c>
      <c r="F626" t="s">
        <v>50</v>
      </c>
      <c r="G626" t="s">
        <v>27</v>
      </c>
      <c r="H626" t="s">
        <v>34</v>
      </c>
      <c r="I626" t="s">
        <v>42</v>
      </c>
      <c r="J626" t="s">
        <v>52</v>
      </c>
      <c r="K626" s="2">
        <v>7000</v>
      </c>
      <c r="L626" s="2">
        <v>251000</v>
      </c>
      <c r="M626">
        <v>180</v>
      </c>
      <c r="N626" s="3">
        <v>0.35799999999999998</v>
      </c>
      <c r="O626" t="s">
        <v>16</v>
      </c>
      <c r="Q626">
        <v>1</v>
      </c>
      <c r="R626">
        <v>0</v>
      </c>
      <c r="S626" s="2">
        <v>251000</v>
      </c>
      <c r="T626" s="4">
        <v>5.28E-2</v>
      </c>
      <c r="U626">
        <v>12</v>
      </c>
      <c r="V626">
        <v>1</v>
      </c>
      <c r="W626">
        <v>1</v>
      </c>
    </row>
    <row r="627" spans="1:23" ht="16.5" x14ac:dyDescent="0.3">
      <c r="A627" t="s">
        <v>679</v>
      </c>
      <c r="B627" s="1">
        <v>45380</v>
      </c>
      <c r="C627">
        <v>2024</v>
      </c>
      <c r="D627" t="s">
        <v>24</v>
      </c>
      <c r="E627" t="s">
        <v>460</v>
      </c>
      <c r="F627" t="s">
        <v>37</v>
      </c>
      <c r="G627" t="s">
        <v>33</v>
      </c>
      <c r="H627" t="s">
        <v>55</v>
      </c>
      <c r="I627" t="s">
        <v>29</v>
      </c>
      <c r="J627" t="s">
        <v>30</v>
      </c>
      <c r="K627" s="2">
        <v>2700</v>
      </c>
      <c r="L627" s="2">
        <v>8000</v>
      </c>
      <c r="M627">
        <v>12</v>
      </c>
      <c r="N627" s="3">
        <v>0.47099999999999997</v>
      </c>
      <c r="O627" t="s">
        <v>17</v>
      </c>
      <c r="P627" t="s">
        <v>31</v>
      </c>
      <c r="Q627">
        <v>0</v>
      </c>
      <c r="R627">
        <v>1</v>
      </c>
      <c r="S627" s="2">
        <v>0</v>
      </c>
      <c r="T627" s="4"/>
      <c r="U627">
        <v>2</v>
      </c>
      <c r="V627">
        <v>1</v>
      </c>
      <c r="W627">
        <v>1</v>
      </c>
    </row>
    <row r="628" spans="1:23" ht="16.5" x14ac:dyDescent="0.3">
      <c r="A628" t="s">
        <v>680</v>
      </c>
      <c r="B628" s="1">
        <v>45381</v>
      </c>
      <c r="C628">
        <v>2024</v>
      </c>
      <c r="D628" t="s">
        <v>24</v>
      </c>
      <c r="E628" t="s">
        <v>460</v>
      </c>
      <c r="F628" t="s">
        <v>41</v>
      </c>
      <c r="G628" t="s">
        <v>51</v>
      </c>
      <c r="H628" t="s">
        <v>28</v>
      </c>
      <c r="I628" t="s">
        <v>42</v>
      </c>
      <c r="J628" t="s">
        <v>35</v>
      </c>
      <c r="K628" s="2">
        <v>5850</v>
      </c>
      <c r="L628" s="2">
        <v>61500</v>
      </c>
      <c r="M628">
        <v>12</v>
      </c>
      <c r="N628" s="3">
        <v>1.17</v>
      </c>
      <c r="O628" t="s">
        <v>17</v>
      </c>
      <c r="P628" t="s">
        <v>53</v>
      </c>
      <c r="Q628">
        <v>0</v>
      </c>
      <c r="R628">
        <v>1</v>
      </c>
      <c r="S628" s="2">
        <v>0</v>
      </c>
      <c r="T628" s="4"/>
      <c r="U628">
        <v>20</v>
      </c>
      <c r="V628">
        <v>0</v>
      </c>
      <c r="W628">
        <v>1</v>
      </c>
    </row>
    <row r="629" spans="1:23" ht="16.5" x14ac:dyDescent="0.3">
      <c r="A629" t="s">
        <v>681</v>
      </c>
      <c r="B629" s="1">
        <v>45381</v>
      </c>
      <c r="C629">
        <v>2024</v>
      </c>
      <c r="D629" t="s">
        <v>24</v>
      </c>
      <c r="E629" t="s">
        <v>460</v>
      </c>
      <c r="F629" t="s">
        <v>37</v>
      </c>
      <c r="G629" t="s">
        <v>51</v>
      </c>
      <c r="H629" t="s">
        <v>38</v>
      </c>
      <c r="I629" t="s">
        <v>29</v>
      </c>
      <c r="J629" t="s">
        <v>35</v>
      </c>
      <c r="K629" s="2">
        <v>10300</v>
      </c>
      <c r="L629" s="2">
        <v>5500</v>
      </c>
      <c r="M629">
        <v>48</v>
      </c>
      <c r="N629" s="3">
        <v>0.255</v>
      </c>
      <c r="O629" t="s">
        <v>17</v>
      </c>
      <c r="P629" t="s">
        <v>65</v>
      </c>
      <c r="Q629">
        <v>0</v>
      </c>
      <c r="R629">
        <v>1</v>
      </c>
      <c r="S629" s="2">
        <v>0</v>
      </c>
      <c r="T629" s="4"/>
      <c r="U629">
        <v>4</v>
      </c>
      <c r="V629">
        <v>0</v>
      </c>
      <c r="W629">
        <v>1</v>
      </c>
    </row>
    <row r="630" spans="1:23" ht="16.5" x14ac:dyDescent="0.3">
      <c r="A630" t="s">
        <v>682</v>
      </c>
      <c r="B630" s="1">
        <v>45381</v>
      </c>
      <c r="C630">
        <v>2024</v>
      </c>
      <c r="D630" t="s">
        <v>24</v>
      </c>
      <c r="E630" t="s">
        <v>460</v>
      </c>
      <c r="F630" t="s">
        <v>26</v>
      </c>
      <c r="G630" t="s">
        <v>27</v>
      </c>
      <c r="H630" t="s">
        <v>55</v>
      </c>
      <c r="I630" t="s">
        <v>39</v>
      </c>
      <c r="J630" t="s">
        <v>52</v>
      </c>
      <c r="K630" s="2">
        <v>4600</v>
      </c>
      <c r="L630" s="2">
        <v>49000</v>
      </c>
      <c r="M630">
        <v>48</v>
      </c>
      <c r="N630" s="3">
        <v>0.33100000000000002</v>
      </c>
      <c r="O630" t="s">
        <v>16</v>
      </c>
      <c r="Q630">
        <v>1</v>
      </c>
      <c r="R630">
        <v>0</v>
      </c>
      <c r="S630" s="2">
        <v>44000</v>
      </c>
      <c r="T630" s="4">
        <v>6.6699999999999995E-2</v>
      </c>
      <c r="U630">
        <v>5</v>
      </c>
      <c r="V630">
        <v>0</v>
      </c>
      <c r="W630">
        <v>1</v>
      </c>
    </row>
    <row r="631" spans="1:23" ht="16.5" x14ac:dyDescent="0.3">
      <c r="A631" t="s">
        <v>683</v>
      </c>
      <c r="B631" s="1">
        <v>45381</v>
      </c>
      <c r="C631">
        <v>2024</v>
      </c>
      <c r="D631" t="s">
        <v>24</v>
      </c>
      <c r="E631" t="s">
        <v>460</v>
      </c>
      <c r="F631" t="s">
        <v>26</v>
      </c>
      <c r="G631" t="s">
        <v>27</v>
      </c>
      <c r="H631" t="s">
        <v>38</v>
      </c>
      <c r="I631" t="s">
        <v>39</v>
      </c>
      <c r="J631" t="s">
        <v>46</v>
      </c>
      <c r="K631" s="2">
        <v>3250</v>
      </c>
      <c r="L631" s="2">
        <v>29000</v>
      </c>
      <c r="M631">
        <v>36</v>
      </c>
      <c r="N631" s="3">
        <v>0.44600000000000001</v>
      </c>
      <c r="O631" t="s">
        <v>16</v>
      </c>
      <c r="Q631">
        <v>1</v>
      </c>
      <c r="R631">
        <v>0</v>
      </c>
      <c r="S631" s="2">
        <v>29000</v>
      </c>
      <c r="T631" s="4">
        <v>6.3299999999999995E-2</v>
      </c>
      <c r="U631">
        <v>8</v>
      </c>
      <c r="V631">
        <v>0</v>
      </c>
      <c r="W631">
        <v>1</v>
      </c>
    </row>
    <row r="632" spans="1:23" ht="16.5" x14ac:dyDescent="0.3">
      <c r="A632" t="s">
        <v>684</v>
      </c>
      <c r="B632" s="1">
        <v>45381</v>
      </c>
      <c r="C632">
        <v>2024</v>
      </c>
      <c r="D632" t="s">
        <v>24</v>
      </c>
      <c r="E632" t="s">
        <v>460</v>
      </c>
      <c r="F632" t="s">
        <v>50</v>
      </c>
      <c r="G632" t="s">
        <v>45</v>
      </c>
      <c r="H632" t="s">
        <v>38</v>
      </c>
      <c r="I632" t="s">
        <v>42</v>
      </c>
      <c r="J632" t="s">
        <v>52</v>
      </c>
      <c r="K632" s="2">
        <v>9400</v>
      </c>
      <c r="L632" s="2">
        <v>236000</v>
      </c>
      <c r="M632">
        <v>180</v>
      </c>
      <c r="N632" s="3">
        <v>0.41099999999999998</v>
      </c>
      <c r="O632" t="s">
        <v>17</v>
      </c>
      <c r="P632" t="s">
        <v>48</v>
      </c>
      <c r="Q632">
        <v>0</v>
      </c>
      <c r="R632">
        <v>1</v>
      </c>
      <c r="S632" s="2">
        <v>0</v>
      </c>
      <c r="T632" s="4"/>
      <c r="U632">
        <v>9</v>
      </c>
      <c r="V632">
        <v>1</v>
      </c>
      <c r="W632">
        <v>1</v>
      </c>
    </row>
    <row r="633" spans="1:23" ht="16.5" x14ac:dyDescent="0.3">
      <c r="A633" t="s">
        <v>685</v>
      </c>
      <c r="B633" s="1">
        <v>45382</v>
      </c>
      <c r="C633">
        <v>2024</v>
      </c>
      <c r="D633" t="s">
        <v>24</v>
      </c>
      <c r="E633" t="s">
        <v>460</v>
      </c>
      <c r="F633" t="s">
        <v>37</v>
      </c>
      <c r="G633" t="s">
        <v>51</v>
      </c>
      <c r="H633" t="s">
        <v>55</v>
      </c>
      <c r="I633" t="s">
        <v>29</v>
      </c>
      <c r="J633" t="s">
        <v>30</v>
      </c>
      <c r="K633" s="2">
        <v>2700</v>
      </c>
      <c r="L633" s="2">
        <v>22000</v>
      </c>
      <c r="M633">
        <v>24</v>
      </c>
      <c r="N633" s="3">
        <v>0.55600000000000005</v>
      </c>
      <c r="O633" t="s">
        <v>16</v>
      </c>
      <c r="Q633">
        <v>1</v>
      </c>
      <c r="R633">
        <v>0</v>
      </c>
      <c r="S633" s="2">
        <v>20000</v>
      </c>
      <c r="T633" s="4">
        <v>0.14280000000000001</v>
      </c>
      <c r="U633">
        <v>12</v>
      </c>
      <c r="V633">
        <v>0</v>
      </c>
      <c r="W633">
        <v>1</v>
      </c>
    </row>
    <row r="634" spans="1:23" ht="16.5" x14ac:dyDescent="0.3">
      <c r="A634" t="s">
        <v>686</v>
      </c>
      <c r="B634" s="1">
        <v>45382</v>
      </c>
      <c r="C634">
        <v>2024</v>
      </c>
      <c r="D634" t="s">
        <v>24</v>
      </c>
      <c r="E634" t="s">
        <v>460</v>
      </c>
      <c r="F634" t="s">
        <v>50</v>
      </c>
      <c r="G634" t="s">
        <v>51</v>
      </c>
      <c r="H634" t="s">
        <v>28</v>
      </c>
      <c r="I634" t="s">
        <v>39</v>
      </c>
      <c r="J634" t="s">
        <v>35</v>
      </c>
      <c r="K634" s="2">
        <v>7550</v>
      </c>
      <c r="L634" s="2">
        <v>212000</v>
      </c>
      <c r="M634">
        <v>300</v>
      </c>
      <c r="N634" s="3">
        <v>0.34100000000000003</v>
      </c>
      <c r="O634" t="s">
        <v>16</v>
      </c>
      <c r="Q634">
        <v>1</v>
      </c>
      <c r="R634">
        <v>0</v>
      </c>
      <c r="S634" s="2">
        <v>212000</v>
      </c>
      <c r="T634" s="4">
        <v>6.1800000000000001E-2</v>
      </c>
      <c r="U634">
        <v>21</v>
      </c>
      <c r="V634">
        <v>0</v>
      </c>
      <c r="W634">
        <v>1</v>
      </c>
    </row>
    <row r="635" spans="1:23" ht="16.5" x14ac:dyDescent="0.3">
      <c r="A635" t="s">
        <v>687</v>
      </c>
      <c r="B635" s="1">
        <v>45383</v>
      </c>
      <c r="C635">
        <v>2024</v>
      </c>
      <c r="D635" t="s">
        <v>688</v>
      </c>
      <c r="E635" t="s">
        <v>689</v>
      </c>
      <c r="F635" t="s">
        <v>41</v>
      </c>
      <c r="G635" t="s">
        <v>45</v>
      </c>
      <c r="H635" t="s">
        <v>55</v>
      </c>
      <c r="I635" t="s">
        <v>29</v>
      </c>
      <c r="J635" t="s">
        <v>35</v>
      </c>
      <c r="K635" s="2">
        <v>3000</v>
      </c>
      <c r="L635" s="2">
        <v>109000</v>
      </c>
      <c r="M635">
        <v>12</v>
      </c>
      <c r="N635" s="3">
        <v>3.423</v>
      </c>
      <c r="O635" t="s">
        <v>17</v>
      </c>
      <c r="P635" t="s">
        <v>60</v>
      </c>
      <c r="Q635">
        <v>0</v>
      </c>
      <c r="R635">
        <v>1</v>
      </c>
      <c r="S635" s="2">
        <v>0</v>
      </c>
      <c r="T635" s="4"/>
      <c r="U635">
        <v>9</v>
      </c>
      <c r="V635">
        <v>1</v>
      </c>
      <c r="W635">
        <v>1</v>
      </c>
    </row>
    <row r="636" spans="1:23" ht="16.5" x14ac:dyDescent="0.3">
      <c r="A636" t="s">
        <v>690</v>
      </c>
      <c r="B636" s="1">
        <v>45383</v>
      </c>
      <c r="C636">
        <v>2024</v>
      </c>
      <c r="D636" t="s">
        <v>688</v>
      </c>
      <c r="E636" t="s">
        <v>689</v>
      </c>
      <c r="F636" t="s">
        <v>37</v>
      </c>
      <c r="G636" t="s">
        <v>51</v>
      </c>
      <c r="H636" t="s">
        <v>38</v>
      </c>
      <c r="I636" t="s">
        <v>39</v>
      </c>
      <c r="J636" t="s">
        <v>30</v>
      </c>
      <c r="K636" s="2">
        <v>10650</v>
      </c>
      <c r="L636" s="2">
        <v>13500</v>
      </c>
      <c r="M636">
        <v>60</v>
      </c>
      <c r="N636" s="3">
        <v>0.17499999999999999</v>
      </c>
      <c r="O636" t="s">
        <v>16</v>
      </c>
      <c r="Q636">
        <v>1</v>
      </c>
      <c r="R636">
        <v>0</v>
      </c>
      <c r="S636" s="2">
        <v>13500</v>
      </c>
      <c r="T636" s="4">
        <v>0.1376</v>
      </c>
      <c r="U636">
        <v>5</v>
      </c>
      <c r="V636">
        <v>0</v>
      </c>
      <c r="W636">
        <v>1</v>
      </c>
    </row>
    <row r="637" spans="1:23" ht="16.5" x14ac:dyDescent="0.3">
      <c r="A637" t="s">
        <v>691</v>
      </c>
      <c r="B637" s="1">
        <v>45383</v>
      </c>
      <c r="C637">
        <v>2024</v>
      </c>
      <c r="D637" t="s">
        <v>688</v>
      </c>
      <c r="E637" t="s">
        <v>689</v>
      </c>
      <c r="F637" t="s">
        <v>41</v>
      </c>
      <c r="G637" t="s">
        <v>33</v>
      </c>
      <c r="H637" t="s">
        <v>55</v>
      </c>
      <c r="I637" t="s">
        <v>29</v>
      </c>
      <c r="J637" t="s">
        <v>35</v>
      </c>
      <c r="K637" s="2">
        <v>9000</v>
      </c>
      <c r="L637" s="2">
        <v>104000</v>
      </c>
      <c r="M637">
        <v>36</v>
      </c>
      <c r="N637" s="3">
        <v>0.58899999999999997</v>
      </c>
      <c r="O637" t="s">
        <v>16</v>
      </c>
      <c r="Q637">
        <v>1</v>
      </c>
      <c r="R637">
        <v>0</v>
      </c>
      <c r="S637" s="2">
        <v>104000</v>
      </c>
      <c r="T637" s="4">
        <v>0.1053</v>
      </c>
      <c r="U637">
        <v>9</v>
      </c>
      <c r="V637">
        <v>1</v>
      </c>
      <c r="W637">
        <v>1</v>
      </c>
    </row>
    <row r="638" spans="1:23" ht="16.5" x14ac:dyDescent="0.3">
      <c r="A638" t="s">
        <v>692</v>
      </c>
      <c r="B638" s="1">
        <v>45383</v>
      </c>
      <c r="C638">
        <v>2024</v>
      </c>
      <c r="D638" t="s">
        <v>688</v>
      </c>
      <c r="E638" t="s">
        <v>689</v>
      </c>
      <c r="F638" t="s">
        <v>41</v>
      </c>
      <c r="G638" t="s">
        <v>45</v>
      </c>
      <c r="H638" t="s">
        <v>64</v>
      </c>
      <c r="I638" t="s">
        <v>39</v>
      </c>
      <c r="J638" t="s">
        <v>30</v>
      </c>
      <c r="K638" s="2">
        <v>4950</v>
      </c>
      <c r="L638" s="2">
        <v>169500</v>
      </c>
      <c r="M638">
        <v>12</v>
      </c>
      <c r="N638" s="3">
        <v>3.2309999999999999</v>
      </c>
      <c r="O638" t="s">
        <v>17</v>
      </c>
      <c r="P638" t="s">
        <v>31</v>
      </c>
      <c r="Q638">
        <v>0</v>
      </c>
      <c r="R638">
        <v>1</v>
      </c>
      <c r="S638" s="2">
        <v>0</v>
      </c>
      <c r="T638" s="4"/>
      <c r="U638">
        <v>4</v>
      </c>
      <c r="V638">
        <v>1</v>
      </c>
      <c r="W638">
        <v>1</v>
      </c>
    </row>
    <row r="639" spans="1:23" ht="16.5" x14ac:dyDescent="0.3">
      <c r="A639" t="s">
        <v>693</v>
      </c>
      <c r="B639" s="1">
        <v>45383</v>
      </c>
      <c r="C639">
        <v>2024</v>
      </c>
      <c r="D639" t="s">
        <v>688</v>
      </c>
      <c r="E639" t="s">
        <v>689</v>
      </c>
      <c r="F639" t="s">
        <v>37</v>
      </c>
      <c r="G639" t="s">
        <v>51</v>
      </c>
      <c r="H639" t="s">
        <v>28</v>
      </c>
      <c r="I639" t="s">
        <v>39</v>
      </c>
      <c r="J639" t="s">
        <v>43</v>
      </c>
      <c r="K639" s="2">
        <v>9250</v>
      </c>
      <c r="L639" s="2">
        <v>10500</v>
      </c>
      <c r="M639">
        <v>36</v>
      </c>
      <c r="N639" s="3">
        <v>0.28599999999999998</v>
      </c>
      <c r="O639" t="s">
        <v>17</v>
      </c>
      <c r="P639" t="s">
        <v>31</v>
      </c>
      <c r="Q639">
        <v>0</v>
      </c>
      <c r="R639">
        <v>1</v>
      </c>
      <c r="S639" s="2">
        <v>0</v>
      </c>
      <c r="T639" s="4"/>
      <c r="U639">
        <v>10</v>
      </c>
      <c r="V639">
        <v>0</v>
      </c>
      <c r="W639">
        <v>1</v>
      </c>
    </row>
    <row r="640" spans="1:23" ht="16.5" x14ac:dyDescent="0.3">
      <c r="A640" t="s">
        <v>694</v>
      </c>
      <c r="B640" s="1">
        <v>45383</v>
      </c>
      <c r="C640">
        <v>2024</v>
      </c>
      <c r="D640" t="s">
        <v>688</v>
      </c>
      <c r="E640" t="s">
        <v>689</v>
      </c>
      <c r="F640" t="s">
        <v>41</v>
      </c>
      <c r="G640" t="s">
        <v>33</v>
      </c>
      <c r="H640" t="s">
        <v>28</v>
      </c>
      <c r="I640" t="s">
        <v>29</v>
      </c>
      <c r="J640" t="s">
        <v>46</v>
      </c>
      <c r="K640" s="2">
        <v>4050</v>
      </c>
      <c r="L640" s="2">
        <v>67000</v>
      </c>
      <c r="M640">
        <v>60</v>
      </c>
      <c r="N640" s="3">
        <v>0.53300000000000003</v>
      </c>
      <c r="O640" t="s">
        <v>16</v>
      </c>
      <c r="Q640">
        <v>1</v>
      </c>
      <c r="R640">
        <v>0</v>
      </c>
      <c r="S640" s="2">
        <v>60500</v>
      </c>
      <c r="T640" s="4">
        <v>9.4600000000000004E-2</v>
      </c>
      <c r="U640">
        <v>7</v>
      </c>
      <c r="V640">
        <v>1</v>
      </c>
      <c r="W640">
        <v>1</v>
      </c>
    </row>
    <row r="641" spans="1:23" ht="16.5" x14ac:dyDescent="0.3">
      <c r="A641" t="s">
        <v>695</v>
      </c>
      <c r="B641" s="1">
        <v>45383</v>
      </c>
      <c r="C641">
        <v>2024</v>
      </c>
      <c r="D641" t="s">
        <v>688</v>
      </c>
      <c r="E641" t="s">
        <v>689</v>
      </c>
      <c r="F641" t="s">
        <v>37</v>
      </c>
      <c r="G641" t="s">
        <v>27</v>
      </c>
      <c r="H641" t="s">
        <v>34</v>
      </c>
      <c r="I641" t="s">
        <v>39</v>
      </c>
      <c r="J641" t="s">
        <v>35</v>
      </c>
      <c r="K641" s="2">
        <v>8600</v>
      </c>
      <c r="L641" s="2">
        <v>22000</v>
      </c>
      <c r="M641">
        <v>60</v>
      </c>
      <c r="N641" s="3">
        <v>0.13400000000000001</v>
      </c>
      <c r="O641" t="s">
        <v>17</v>
      </c>
      <c r="P641" t="s">
        <v>65</v>
      </c>
      <c r="Q641">
        <v>0</v>
      </c>
      <c r="R641">
        <v>1</v>
      </c>
      <c r="S641" s="2">
        <v>0</v>
      </c>
      <c r="T641" s="4"/>
      <c r="U641">
        <v>3</v>
      </c>
      <c r="V641">
        <v>1</v>
      </c>
      <c r="W641">
        <v>1</v>
      </c>
    </row>
    <row r="642" spans="1:23" ht="16.5" x14ac:dyDescent="0.3">
      <c r="A642" t="s">
        <v>696</v>
      </c>
      <c r="B642" s="1">
        <v>45383</v>
      </c>
      <c r="C642">
        <v>2024</v>
      </c>
      <c r="D642" t="s">
        <v>688</v>
      </c>
      <c r="E642" t="s">
        <v>689</v>
      </c>
      <c r="F642" t="s">
        <v>37</v>
      </c>
      <c r="G642" t="s">
        <v>33</v>
      </c>
      <c r="H642" t="s">
        <v>38</v>
      </c>
      <c r="I642" t="s">
        <v>29</v>
      </c>
      <c r="J642" t="s">
        <v>35</v>
      </c>
      <c r="K642" s="2">
        <v>6600</v>
      </c>
      <c r="L642" s="2">
        <v>20500</v>
      </c>
      <c r="M642">
        <v>12</v>
      </c>
      <c r="N642" s="3">
        <v>0.38</v>
      </c>
      <c r="O642" t="s">
        <v>16</v>
      </c>
      <c r="Q642">
        <v>1</v>
      </c>
      <c r="R642">
        <v>0</v>
      </c>
      <c r="S642" s="2">
        <v>20500</v>
      </c>
      <c r="T642" s="4">
        <v>0.1295</v>
      </c>
      <c r="U642">
        <v>1</v>
      </c>
      <c r="V642">
        <v>1</v>
      </c>
      <c r="W642">
        <v>1</v>
      </c>
    </row>
    <row r="643" spans="1:23" ht="16.5" x14ac:dyDescent="0.3">
      <c r="A643" t="s">
        <v>697</v>
      </c>
      <c r="B643" s="1">
        <v>45383</v>
      </c>
      <c r="C643">
        <v>2024</v>
      </c>
      <c r="D643" t="s">
        <v>688</v>
      </c>
      <c r="E643" t="s">
        <v>689</v>
      </c>
      <c r="F643" t="s">
        <v>50</v>
      </c>
      <c r="G643" t="s">
        <v>45</v>
      </c>
      <c r="H643" t="s">
        <v>34</v>
      </c>
      <c r="I643" t="s">
        <v>29</v>
      </c>
      <c r="J643" t="s">
        <v>43</v>
      </c>
      <c r="K643" s="2">
        <v>6950</v>
      </c>
      <c r="L643" s="2">
        <v>357500</v>
      </c>
      <c r="M643">
        <v>180</v>
      </c>
      <c r="N643" s="3">
        <v>0.46500000000000002</v>
      </c>
      <c r="O643" t="s">
        <v>17</v>
      </c>
      <c r="P643" t="s">
        <v>60</v>
      </c>
      <c r="Q643">
        <v>0</v>
      </c>
      <c r="R643">
        <v>1</v>
      </c>
      <c r="S643" s="2">
        <v>0</v>
      </c>
      <c r="T643" s="4"/>
      <c r="U643">
        <v>12</v>
      </c>
      <c r="V643">
        <v>1</v>
      </c>
      <c r="W643">
        <v>1</v>
      </c>
    </row>
    <row r="644" spans="1:23" ht="16.5" x14ac:dyDescent="0.3">
      <c r="A644" t="s">
        <v>698</v>
      </c>
      <c r="B644" s="1">
        <v>45384</v>
      </c>
      <c r="C644">
        <v>2024</v>
      </c>
      <c r="D644" t="s">
        <v>688</v>
      </c>
      <c r="E644" t="s">
        <v>689</v>
      </c>
      <c r="F644" t="s">
        <v>37</v>
      </c>
      <c r="G644" t="s">
        <v>51</v>
      </c>
      <c r="H644" t="s">
        <v>55</v>
      </c>
      <c r="I644" t="s">
        <v>29</v>
      </c>
      <c r="J644" t="s">
        <v>43</v>
      </c>
      <c r="K644" s="2">
        <v>6750</v>
      </c>
      <c r="L644" s="2">
        <v>9000</v>
      </c>
      <c r="M644">
        <v>12</v>
      </c>
      <c r="N644" s="3">
        <v>0.33</v>
      </c>
      <c r="O644" t="s">
        <v>17</v>
      </c>
      <c r="P644" t="s">
        <v>31</v>
      </c>
      <c r="Q644">
        <v>0</v>
      </c>
      <c r="R644">
        <v>1</v>
      </c>
      <c r="S644" s="2">
        <v>0</v>
      </c>
      <c r="T644" s="4"/>
      <c r="U644">
        <v>4</v>
      </c>
      <c r="V644">
        <v>0</v>
      </c>
      <c r="W644">
        <v>1</v>
      </c>
    </row>
    <row r="645" spans="1:23" ht="16.5" x14ac:dyDescent="0.3">
      <c r="A645" t="s">
        <v>699</v>
      </c>
      <c r="B645" s="1">
        <v>45384</v>
      </c>
      <c r="C645">
        <v>2024</v>
      </c>
      <c r="D645" t="s">
        <v>688</v>
      </c>
      <c r="E645" t="s">
        <v>689</v>
      </c>
      <c r="F645" t="s">
        <v>50</v>
      </c>
      <c r="G645" t="s">
        <v>51</v>
      </c>
      <c r="H645" t="s">
        <v>34</v>
      </c>
      <c r="I645" t="s">
        <v>29</v>
      </c>
      <c r="J645" t="s">
        <v>46</v>
      </c>
      <c r="K645" s="2">
        <v>3750</v>
      </c>
      <c r="L645" s="2">
        <v>189500</v>
      </c>
      <c r="M645">
        <v>180</v>
      </c>
      <c r="N645" s="3">
        <v>0.51800000000000002</v>
      </c>
      <c r="O645" t="s">
        <v>16</v>
      </c>
      <c r="Q645">
        <v>1</v>
      </c>
      <c r="R645">
        <v>0</v>
      </c>
      <c r="S645" s="2">
        <v>189500</v>
      </c>
      <c r="T645" s="4">
        <v>4.3099999999999999E-2</v>
      </c>
      <c r="U645">
        <v>15</v>
      </c>
      <c r="V645">
        <v>1</v>
      </c>
      <c r="W645">
        <v>1</v>
      </c>
    </row>
    <row r="646" spans="1:23" ht="16.5" x14ac:dyDescent="0.3">
      <c r="A646" t="s">
        <v>700</v>
      </c>
      <c r="B646" s="1">
        <v>45384</v>
      </c>
      <c r="C646">
        <v>2024</v>
      </c>
      <c r="D646" t="s">
        <v>688</v>
      </c>
      <c r="E646" t="s">
        <v>689</v>
      </c>
      <c r="F646" t="s">
        <v>37</v>
      </c>
      <c r="G646" t="s">
        <v>27</v>
      </c>
      <c r="H646" t="s">
        <v>34</v>
      </c>
      <c r="I646" t="s">
        <v>42</v>
      </c>
      <c r="J646" t="s">
        <v>43</v>
      </c>
      <c r="K646" s="2">
        <v>11050</v>
      </c>
      <c r="L646" s="2">
        <v>9500</v>
      </c>
      <c r="M646">
        <v>36</v>
      </c>
      <c r="N646" s="3">
        <v>0.26400000000000001</v>
      </c>
      <c r="O646" t="s">
        <v>17</v>
      </c>
      <c r="P646" t="s">
        <v>60</v>
      </c>
      <c r="Q646">
        <v>0</v>
      </c>
      <c r="R646">
        <v>1</v>
      </c>
      <c r="S646" s="2">
        <v>0</v>
      </c>
      <c r="T646" s="4"/>
      <c r="U646">
        <v>6</v>
      </c>
      <c r="V646">
        <v>0</v>
      </c>
      <c r="W646">
        <v>1</v>
      </c>
    </row>
    <row r="647" spans="1:23" ht="16.5" x14ac:dyDescent="0.3">
      <c r="A647" t="s">
        <v>701</v>
      </c>
      <c r="B647" s="1">
        <v>45384</v>
      </c>
      <c r="C647">
        <v>2024</v>
      </c>
      <c r="D647" t="s">
        <v>688</v>
      </c>
      <c r="E647" t="s">
        <v>689</v>
      </c>
      <c r="F647" t="s">
        <v>50</v>
      </c>
      <c r="G647" t="s">
        <v>27</v>
      </c>
      <c r="H647" t="s">
        <v>38</v>
      </c>
      <c r="I647" t="s">
        <v>29</v>
      </c>
      <c r="J647" t="s">
        <v>30</v>
      </c>
      <c r="K647" s="2">
        <v>3650</v>
      </c>
      <c r="L647" s="2">
        <v>112500</v>
      </c>
      <c r="M647">
        <v>180</v>
      </c>
      <c r="N647" s="3">
        <v>0.37</v>
      </c>
      <c r="O647" t="s">
        <v>16</v>
      </c>
      <c r="Q647">
        <v>1</v>
      </c>
      <c r="R647">
        <v>0</v>
      </c>
      <c r="S647" s="2">
        <v>101000</v>
      </c>
      <c r="T647" s="4">
        <v>8.2900000000000001E-2</v>
      </c>
      <c r="U647">
        <v>13</v>
      </c>
      <c r="V647">
        <v>1</v>
      </c>
      <c r="W647">
        <v>1</v>
      </c>
    </row>
    <row r="648" spans="1:23" ht="16.5" x14ac:dyDescent="0.3">
      <c r="A648" t="s">
        <v>702</v>
      </c>
      <c r="B648" s="1">
        <v>45384</v>
      </c>
      <c r="C648">
        <v>2024</v>
      </c>
      <c r="D648" t="s">
        <v>688</v>
      </c>
      <c r="E648" t="s">
        <v>689</v>
      </c>
      <c r="F648" t="s">
        <v>41</v>
      </c>
      <c r="G648" t="s">
        <v>51</v>
      </c>
      <c r="H648" t="s">
        <v>38</v>
      </c>
      <c r="I648" t="s">
        <v>42</v>
      </c>
      <c r="J648" t="s">
        <v>46</v>
      </c>
      <c r="K648" s="2">
        <v>5800</v>
      </c>
      <c r="L648" s="2">
        <v>85500</v>
      </c>
      <c r="M648">
        <v>24</v>
      </c>
      <c r="N648" s="3">
        <v>0.89400000000000002</v>
      </c>
      <c r="O648" t="s">
        <v>17</v>
      </c>
      <c r="P648" t="s">
        <v>53</v>
      </c>
      <c r="Q648">
        <v>0</v>
      </c>
      <c r="R648">
        <v>1</v>
      </c>
      <c r="S648" s="2">
        <v>0</v>
      </c>
      <c r="T648" s="4"/>
      <c r="U648">
        <v>18</v>
      </c>
      <c r="V648">
        <v>0</v>
      </c>
      <c r="W648">
        <v>1</v>
      </c>
    </row>
    <row r="649" spans="1:23" ht="16.5" x14ac:dyDescent="0.3">
      <c r="A649" t="s">
        <v>703</v>
      </c>
      <c r="B649" s="1">
        <v>45384</v>
      </c>
      <c r="C649">
        <v>2024</v>
      </c>
      <c r="D649" t="s">
        <v>688</v>
      </c>
      <c r="E649" t="s">
        <v>689</v>
      </c>
      <c r="F649" t="s">
        <v>37</v>
      </c>
      <c r="G649" t="s">
        <v>51</v>
      </c>
      <c r="H649" t="s">
        <v>55</v>
      </c>
      <c r="I649" t="s">
        <v>39</v>
      </c>
      <c r="J649" t="s">
        <v>46</v>
      </c>
      <c r="K649" s="2">
        <v>12700</v>
      </c>
      <c r="L649" s="2">
        <v>13000</v>
      </c>
      <c r="M649">
        <v>60</v>
      </c>
      <c r="N649" s="3">
        <v>0.23400000000000001</v>
      </c>
      <c r="O649" t="s">
        <v>16</v>
      </c>
      <c r="Q649">
        <v>1</v>
      </c>
      <c r="R649">
        <v>0</v>
      </c>
      <c r="S649" s="2">
        <v>13000</v>
      </c>
      <c r="T649" s="4">
        <v>0.1069</v>
      </c>
      <c r="U649">
        <v>4</v>
      </c>
      <c r="V649">
        <v>0</v>
      </c>
      <c r="W649">
        <v>1</v>
      </c>
    </row>
    <row r="650" spans="1:23" ht="16.5" x14ac:dyDescent="0.3">
      <c r="A650" t="s">
        <v>704</v>
      </c>
      <c r="B650" s="1">
        <v>45384</v>
      </c>
      <c r="C650">
        <v>2024</v>
      </c>
      <c r="D650" t="s">
        <v>688</v>
      </c>
      <c r="E650" t="s">
        <v>689</v>
      </c>
      <c r="F650" t="s">
        <v>50</v>
      </c>
      <c r="G650" t="s">
        <v>45</v>
      </c>
      <c r="H650" t="s">
        <v>38</v>
      </c>
      <c r="I650" t="s">
        <v>29</v>
      </c>
      <c r="J650" t="s">
        <v>46</v>
      </c>
      <c r="K650" s="2">
        <v>5650</v>
      </c>
      <c r="L650" s="2">
        <v>253000</v>
      </c>
      <c r="M650">
        <v>180</v>
      </c>
      <c r="N650" s="3">
        <v>0.52200000000000002</v>
      </c>
      <c r="O650" t="s">
        <v>16</v>
      </c>
      <c r="Q650">
        <v>1</v>
      </c>
      <c r="R650">
        <v>0</v>
      </c>
      <c r="S650" s="2">
        <v>202500</v>
      </c>
      <c r="T650" s="4">
        <v>4.1599999999999998E-2</v>
      </c>
      <c r="U650">
        <v>8</v>
      </c>
      <c r="V650">
        <v>1</v>
      </c>
      <c r="W650">
        <v>1</v>
      </c>
    </row>
    <row r="651" spans="1:23" ht="16.5" x14ac:dyDescent="0.3">
      <c r="A651" t="s">
        <v>705</v>
      </c>
      <c r="B651" s="1">
        <v>45384</v>
      </c>
      <c r="C651">
        <v>2024</v>
      </c>
      <c r="D651" t="s">
        <v>688</v>
      </c>
      <c r="E651" t="s">
        <v>689</v>
      </c>
      <c r="F651" t="s">
        <v>41</v>
      </c>
      <c r="G651" t="s">
        <v>51</v>
      </c>
      <c r="H651" t="s">
        <v>34</v>
      </c>
      <c r="I651" t="s">
        <v>29</v>
      </c>
      <c r="J651" t="s">
        <v>52</v>
      </c>
      <c r="K651" s="2">
        <v>6350</v>
      </c>
      <c r="L651" s="2">
        <v>173500</v>
      </c>
      <c r="M651">
        <v>24</v>
      </c>
      <c r="N651" s="3">
        <v>1.3779999999999999</v>
      </c>
      <c r="O651" t="s">
        <v>17</v>
      </c>
      <c r="P651" t="s">
        <v>53</v>
      </c>
      <c r="Q651">
        <v>0</v>
      </c>
      <c r="R651">
        <v>1</v>
      </c>
      <c r="S651" s="2">
        <v>0</v>
      </c>
      <c r="T651" s="4"/>
      <c r="U651">
        <v>14</v>
      </c>
      <c r="V651">
        <v>0</v>
      </c>
      <c r="W651">
        <v>1</v>
      </c>
    </row>
    <row r="652" spans="1:23" ht="16.5" x14ac:dyDescent="0.3">
      <c r="A652" t="s">
        <v>706</v>
      </c>
      <c r="B652" s="1">
        <v>45384</v>
      </c>
      <c r="C652">
        <v>2024</v>
      </c>
      <c r="D652" t="s">
        <v>688</v>
      </c>
      <c r="E652" t="s">
        <v>689</v>
      </c>
      <c r="F652" t="s">
        <v>41</v>
      </c>
      <c r="G652" t="s">
        <v>51</v>
      </c>
      <c r="H652" t="s">
        <v>34</v>
      </c>
      <c r="I652" t="s">
        <v>42</v>
      </c>
      <c r="J652" t="s">
        <v>43</v>
      </c>
      <c r="K652" s="2">
        <v>18300</v>
      </c>
      <c r="L652" s="2">
        <v>177000</v>
      </c>
      <c r="M652">
        <v>60</v>
      </c>
      <c r="N652" s="3">
        <v>0.434</v>
      </c>
      <c r="O652" t="s">
        <v>17</v>
      </c>
      <c r="P652" t="s">
        <v>31</v>
      </c>
      <c r="Q652">
        <v>0</v>
      </c>
      <c r="R652">
        <v>1</v>
      </c>
      <c r="S652" s="2">
        <v>0</v>
      </c>
      <c r="T652" s="4"/>
      <c r="U652">
        <v>17</v>
      </c>
      <c r="V652">
        <v>0</v>
      </c>
      <c r="W652">
        <v>1</v>
      </c>
    </row>
    <row r="653" spans="1:23" ht="16.5" x14ac:dyDescent="0.3">
      <c r="A653" t="s">
        <v>707</v>
      </c>
      <c r="B653" s="1">
        <v>45385</v>
      </c>
      <c r="C653">
        <v>2024</v>
      </c>
      <c r="D653" t="s">
        <v>688</v>
      </c>
      <c r="E653" t="s">
        <v>689</v>
      </c>
      <c r="F653" t="s">
        <v>50</v>
      </c>
      <c r="G653" t="s">
        <v>51</v>
      </c>
      <c r="H653" t="s">
        <v>38</v>
      </c>
      <c r="I653" t="s">
        <v>29</v>
      </c>
      <c r="J653" t="s">
        <v>52</v>
      </c>
      <c r="K653" s="2">
        <v>5000</v>
      </c>
      <c r="L653" s="2">
        <v>125000</v>
      </c>
      <c r="M653">
        <v>240</v>
      </c>
      <c r="N653" s="3">
        <v>0.32200000000000001</v>
      </c>
      <c r="O653" t="s">
        <v>16</v>
      </c>
      <c r="Q653">
        <v>1</v>
      </c>
      <c r="R653">
        <v>0</v>
      </c>
      <c r="S653" s="2">
        <v>100000</v>
      </c>
      <c r="T653" s="4">
        <v>5.2299999999999999E-2</v>
      </c>
      <c r="U653">
        <v>29</v>
      </c>
      <c r="V653">
        <v>0</v>
      </c>
      <c r="W653">
        <v>1</v>
      </c>
    </row>
    <row r="654" spans="1:23" ht="16.5" x14ac:dyDescent="0.3">
      <c r="A654" t="s">
        <v>708</v>
      </c>
      <c r="B654" s="1">
        <v>45385</v>
      </c>
      <c r="C654">
        <v>2024</v>
      </c>
      <c r="D654" t="s">
        <v>688</v>
      </c>
      <c r="E654" t="s">
        <v>689</v>
      </c>
      <c r="F654" t="s">
        <v>37</v>
      </c>
      <c r="G654" t="s">
        <v>33</v>
      </c>
      <c r="H654" t="s">
        <v>34</v>
      </c>
      <c r="I654" t="s">
        <v>29</v>
      </c>
      <c r="J654" t="s">
        <v>52</v>
      </c>
      <c r="K654" s="2">
        <v>4700</v>
      </c>
      <c r="L654" s="2">
        <v>5500</v>
      </c>
      <c r="M654">
        <v>48</v>
      </c>
      <c r="N654" s="3">
        <v>0.27</v>
      </c>
      <c r="O654" t="s">
        <v>16</v>
      </c>
      <c r="Q654">
        <v>1</v>
      </c>
      <c r="R654">
        <v>0</v>
      </c>
      <c r="S654" s="2">
        <v>5500</v>
      </c>
      <c r="T654" s="4">
        <v>0.1183</v>
      </c>
      <c r="U654">
        <v>1</v>
      </c>
      <c r="V654">
        <v>1</v>
      </c>
      <c r="W654">
        <v>1</v>
      </c>
    </row>
    <row r="655" spans="1:23" ht="16.5" x14ac:dyDescent="0.3">
      <c r="A655" t="s">
        <v>709</v>
      </c>
      <c r="B655" s="1">
        <v>45385</v>
      </c>
      <c r="C655">
        <v>2024</v>
      </c>
      <c r="D655" t="s">
        <v>688</v>
      </c>
      <c r="E655" t="s">
        <v>689</v>
      </c>
      <c r="F655" t="s">
        <v>50</v>
      </c>
      <c r="G655" t="s">
        <v>45</v>
      </c>
      <c r="H655" t="s">
        <v>38</v>
      </c>
      <c r="I655" t="s">
        <v>39</v>
      </c>
      <c r="J655" t="s">
        <v>30</v>
      </c>
      <c r="K655" s="2">
        <v>3100</v>
      </c>
      <c r="L655" s="2">
        <v>303500</v>
      </c>
      <c r="M655">
        <v>300</v>
      </c>
      <c r="N655" s="3">
        <v>0.79500000000000004</v>
      </c>
      <c r="O655" t="s">
        <v>16</v>
      </c>
      <c r="Q655">
        <v>1</v>
      </c>
      <c r="R655">
        <v>0</v>
      </c>
      <c r="S655" s="2">
        <v>303500</v>
      </c>
      <c r="T655" s="4">
        <v>6.9900000000000004E-2</v>
      </c>
      <c r="U655">
        <v>16</v>
      </c>
      <c r="V655">
        <v>0</v>
      </c>
      <c r="W655">
        <v>1</v>
      </c>
    </row>
    <row r="656" spans="1:23" ht="16.5" x14ac:dyDescent="0.3">
      <c r="A656" t="s">
        <v>710</v>
      </c>
      <c r="B656" s="1">
        <v>45385</v>
      </c>
      <c r="C656">
        <v>2024</v>
      </c>
      <c r="D656" t="s">
        <v>688</v>
      </c>
      <c r="E656" t="s">
        <v>689</v>
      </c>
      <c r="F656" t="s">
        <v>41</v>
      </c>
      <c r="G656" t="s">
        <v>51</v>
      </c>
      <c r="H656" t="s">
        <v>64</v>
      </c>
      <c r="I656" t="s">
        <v>29</v>
      </c>
      <c r="J656" t="s">
        <v>35</v>
      </c>
      <c r="K656" s="2">
        <v>8000</v>
      </c>
      <c r="L656" s="2">
        <v>115500</v>
      </c>
      <c r="M656">
        <v>36</v>
      </c>
      <c r="N656" s="3">
        <v>0.57199999999999995</v>
      </c>
      <c r="O656" t="s">
        <v>16</v>
      </c>
      <c r="Q656">
        <v>1</v>
      </c>
      <c r="R656">
        <v>0</v>
      </c>
      <c r="S656" s="2">
        <v>115500</v>
      </c>
      <c r="T656" s="4">
        <v>0.1152</v>
      </c>
      <c r="U656">
        <v>13</v>
      </c>
      <c r="V656">
        <v>0</v>
      </c>
      <c r="W656">
        <v>1</v>
      </c>
    </row>
    <row r="657" spans="1:23" ht="16.5" x14ac:dyDescent="0.3">
      <c r="A657" t="s">
        <v>711</v>
      </c>
      <c r="B657" s="1">
        <v>45385</v>
      </c>
      <c r="C657">
        <v>2024</v>
      </c>
      <c r="D657" t="s">
        <v>688</v>
      </c>
      <c r="E657" t="s">
        <v>689</v>
      </c>
      <c r="F657" t="s">
        <v>26</v>
      </c>
      <c r="G657" t="s">
        <v>51</v>
      </c>
      <c r="H657" t="s">
        <v>34</v>
      </c>
      <c r="I657" t="s">
        <v>39</v>
      </c>
      <c r="J657" t="s">
        <v>35</v>
      </c>
      <c r="K657" s="2">
        <v>5450</v>
      </c>
      <c r="L657" s="2">
        <v>7500</v>
      </c>
      <c r="M657">
        <v>36</v>
      </c>
      <c r="N657" s="3">
        <v>0.1</v>
      </c>
      <c r="O657" t="s">
        <v>16</v>
      </c>
      <c r="Q657">
        <v>1</v>
      </c>
      <c r="R657">
        <v>0</v>
      </c>
      <c r="S657" s="2">
        <v>7500</v>
      </c>
      <c r="T657" s="4">
        <v>8.7499999999999994E-2</v>
      </c>
      <c r="U657">
        <v>5</v>
      </c>
      <c r="V657">
        <v>0</v>
      </c>
      <c r="W657">
        <v>1</v>
      </c>
    </row>
    <row r="658" spans="1:23" ht="16.5" x14ac:dyDescent="0.3">
      <c r="A658" t="s">
        <v>712</v>
      </c>
      <c r="B658" s="1">
        <v>45385</v>
      </c>
      <c r="C658">
        <v>2024</v>
      </c>
      <c r="D658" t="s">
        <v>688</v>
      </c>
      <c r="E658" t="s">
        <v>689</v>
      </c>
      <c r="F658" t="s">
        <v>50</v>
      </c>
      <c r="G658" t="s">
        <v>51</v>
      </c>
      <c r="H658" t="s">
        <v>38</v>
      </c>
      <c r="I658" t="s">
        <v>29</v>
      </c>
      <c r="J658" t="s">
        <v>52</v>
      </c>
      <c r="K658" s="2">
        <v>4300</v>
      </c>
      <c r="L658" s="2">
        <v>123000</v>
      </c>
      <c r="M658">
        <v>300</v>
      </c>
      <c r="N658" s="3">
        <v>0.26400000000000001</v>
      </c>
      <c r="O658" t="s">
        <v>17</v>
      </c>
      <c r="P658" t="s">
        <v>60</v>
      </c>
      <c r="Q658">
        <v>0</v>
      </c>
      <c r="R658">
        <v>1</v>
      </c>
      <c r="S658" s="2">
        <v>0</v>
      </c>
      <c r="T658" s="4"/>
      <c r="U658">
        <v>21</v>
      </c>
      <c r="V658">
        <v>0</v>
      </c>
      <c r="W658">
        <v>1</v>
      </c>
    </row>
    <row r="659" spans="1:23" ht="16.5" x14ac:dyDescent="0.3">
      <c r="A659" t="s">
        <v>713</v>
      </c>
      <c r="B659" s="1">
        <v>45386</v>
      </c>
      <c r="C659">
        <v>2024</v>
      </c>
      <c r="D659" t="s">
        <v>688</v>
      </c>
      <c r="E659" t="s">
        <v>689</v>
      </c>
      <c r="F659" t="s">
        <v>37</v>
      </c>
      <c r="G659" t="s">
        <v>27</v>
      </c>
      <c r="H659" t="s">
        <v>55</v>
      </c>
      <c r="I659" t="s">
        <v>29</v>
      </c>
      <c r="J659" t="s">
        <v>52</v>
      </c>
      <c r="K659" s="2">
        <v>7150</v>
      </c>
      <c r="L659" s="2">
        <v>6000</v>
      </c>
      <c r="M659">
        <v>12</v>
      </c>
      <c r="N659" s="3">
        <v>0.28599999999999998</v>
      </c>
      <c r="O659" t="s">
        <v>16</v>
      </c>
      <c r="Q659">
        <v>1</v>
      </c>
      <c r="R659">
        <v>0</v>
      </c>
      <c r="S659" s="2">
        <v>5500</v>
      </c>
      <c r="T659" s="4">
        <v>0.1108</v>
      </c>
      <c r="U659">
        <v>4</v>
      </c>
      <c r="V659">
        <v>0</v>
      </c>
      <c r="W659">
        <v>1</v>
      </c>
    </row>
    <row r="660" spans="1:23" ht="16.5" x14ac:dyDescent="0.3">
      <c r="A660" t="s">
        <v>714</v>
      </c>
      <c r="B660" s="1">
        <v>45386</v>
      </c>
      <c r="C660">
        <v>2024</v>
      </c>
      <c r="D660" t="s">
        <v>688</v>
      </c>
      <c r="E660" t="s">
        <v>689</v>
      </c>
      <c r="F660" t="s">
        <v>41</v>
      </c>
      <c r="G660" t="s">
        <v>51</v>
      </c>
      <c r="H660" t="s">
        <v>38</v>
      </c>
      <c r="I660" t="s">
        <v>29</v>
      </c>
      <c r="J660" t="s">
        <v>52</v>
      </c>
      <c r="K660" s="2">
        <v>4500</v>
      </c>
      <c r="L660" s="2">
        <v>71500</v>
      </c>
      <c r="M660">
        <v>24</v>
      </c>
      <c r="N660" s="3">
        <v>0.97899999999999998</v>
      </c>
      <c r="O660" t="s">
        <v>17</v>
      </c>
      <c r="P660" t="s">
        <v>53</v>
      </c>
      <c r="Q660">
        <v>0</v>
      </c>
      <c r="R660">
        <v>1</v>
      </c>
      <c r="S660" s="2">
        <v>0</v>
      </c>
      <c r="T660" s="4"/>
      <c r="U660">
        <v>12</v>
      </c>
      <c r="V660">
        <v>0</v>
      </c>
      <c r="W660">
        <v>1</v>
      </c>
    </row>
    <row r="661" spans="1:23" ht="16.5" x14ac:dyDescent="0.3">
      <c r="A661" t="s">
        <v>715</v>
      </c>
      <c r="B661" s="1">
        <v>45386</v>
      </c>
      <c r="C661">
        <v>2024</v>
      </c>
      <c r="D661" t="s">
        <v>688</v>
      </c>
      <c r="E661" t="s">
        <v>689</v>
      </c>
      <c r="F661" t="s">
        <v>26</v>
      </c>
      <c r="G661" t="s">
        <v>33</v>
      </c>
      <c r="H661" t="s">
        <v>64</v>
      </c>
      <c r="I661" t="s">
        <v>39</v>
      </c>
      <c r="J661" t="s">
        <v>35</v>
      </c>
      <c r="K661" s="2">
        <v>4750</v>
      </c>
      <c r="L661" s="2">
        <v>31000</v>
      </c>
      <c r="M661">
        <v>48</v>
      </c>
      <c r="N661" s="3">
        <v>0.38400000000000001</v>
      </c>
      <c r="O661" t="s">
        <v>17</v>
      </c>
      <c r="P661" t="s">
        <v>31</v>
      </c>
      <c r="Q661">
        <v>0</v>
      </c>
      <c r="R661">
        <v>1</v>
      </c>
      <c r="S661" s="2">
        <v>0</v>
      </c>
      <c r="T661" s="4"/>
      <c r="U661">
        <v>1</v>
      </c>
      <c r="V661">
        <v>1</v>
      </c>
      <c r="W661">
        <v>1</v>
      </c>
    </row>
    <row r="662" spans="1:23" ht="16.5" x14ac:dyDescent="0.3">
      <c r="A662" t="s">
        <v>716</v>
      </c>
      <c r="B662" s="1">
        <v>45387</v>
      </c>
      <c r="C662">
        <v>2024</v>
      </c>
      <c r="D662" t="s">
        <v>688</v>
      </c>
      <c r="E662" t="s">
        <v>689</v>
      </c>
      <c r="F662" t="s">
        <v>37</v>
      </c>
      <c r="G662" t="s">
        <v>45</v>
      </c>
      <c r="H662" t="s">
        <v>55</v>
      </c>
      <c r="I662" t="s">
        <v>29</v>
      </c>
      <c r="J662" t="s">
        <v>30</v>
      </c>
      <c r="K662" s="2">
        <v>4100</v>
      </c>
      <c r="L662" s="2">
        <v>14500</v>
      </c>
      <c r="M662">
        <v>60</v>
      </c>
      <c r="N662" s="3">
        <v>0.28199999999999997</v>
      </c>
      <c r="O662" t="s">
        <v>17</v>
      </c>
      <c r="P662" t="s">
        <v>31</v>
      </c>
      <c r="Q662">
        <v>0</v>
      </c>
      <c r="R662">
        <v>1</v>
      </c>
      <c r="S662" s="2">
        <v>0</v>
      </c>
      <c r="T662" s="4"/>
      <c r="U662">
        <v>1</v>
      </c>
      <c r="V662">
        <v>1</v>
      </c>
      <c r="W662">
        <v>1</v>
      </c>
    </row>
    <row r="663" spans="1:23" ht="16.5" x14ac:dyDescent="0.3">
      <c r="A663" t="s">
        <v>717</v>
      </c>
      <c r="B663" s="1">
        <v>45387</v>
      </c>
      <c r="C663">
        <v>2024</v>
      </c>
      <c r="D663" t="s">
        <v>688</v>
      </c>
      <c r="E663" t="s">
        <v>689</v>
      </c>
      <c r="F663" t="s">
        <v>50</v>
      </c>
      <c r="G663" t="s">
        <v>33</v>
      </c>
      <c r="H663" t="s">
        <v>34</v>
      </c>
      <c r="I663" t="s">
        <v>42</v>
      </c>
      <c r="J663" t="s">
        <v>35</v>
      </c>
      <c r="K663" s="2">
        <v>4200</v>
      </c>
      <c r="L663" s="2">
        <v>163500</v>
      </c>
      <c r="M663">
        <v>240</v>
      </c>
      <c r="N663" s="3">
        <v>0.34499999999999997</v>
      </c>
      <c r="O663" t="s">
        <v>17</v>
      </c>
      <c r="P663" t="s">
        <v>65</v>
      </c>
      <c r="Q663">
        <v>0</v>
      </c>
      <c r="R663">
        <v>1</v>
      </c>
      <c r="S663" s="2">
        <v>0</v>
      </c>
      <c r="T663" s="4"/>
      <c r="U663">
        <v>9</v>
      </c>
      <c r="V663">
        <v>1</v>
      </c>
      <c r="W663">
        <v>1</v>
      </c>
    </row>
    <row r="664" spans="1:23" ht="16.5" x14ac:dyDescent="0.3">
      <c r="A664" t="s">
        <v>718</v>
      </c>
      <c r="B664" s="1">
        <v>45387</v>
      </c>
      <c r="C664">
        <v>2024</v>
      </c>
      <c r="D664" t="s">
        <v>688</v>
      </c>
      <c r="E664" t="s">
        <v>689</v>
      </c>
      <c r="F664" t="s">
        <v>41</v>
      </c>
      <c r="G664" t="s">
        <v>45</v>
      </c>
      <c r="H664" t="s">
        <v>34</v>
      </c>
      <c r="I664" t="s">
        <v>29</v>
      </c>
      <c r="J664" t="s">
        <v>46</v>
      </c>
      <c r="K664" s="2">
        <v>2950</v>
      </c>
      <c r="L664" s="2">
        <v>140500</v>
      </c>
      <c r="M664">
        <v>24</v>
      </c>
      <c r="N664" s="3">
        <v>2.2450000000000001</v>
      </c>
      <c r="O664" t="s">
        <v>17</v>
      </c>
      <c r="P664" t="s">
        <v>53</v>
      </c>
      <c r="Q664">
        <v>0</v>
      </c>
      <c r="R664">
        <v>1</v>
      </c>
      <c r="S664" s="2">
        <v>0</v>
      </c>
      <c r="T664" s="4"/>
      <c r="U664">
        <v>7</v>
      </c>
      <c r="V664">
        <v>1</v>
      </c>
      <c r="W664">
        <v>1</v>
      </c>
    </row>
    <row r="665" spans="1:23" ht="16.5" x14ac:dyDescent="0.3">
      <c r="A665" t="s">
        <v>719</v>
      </c>
      <c r="B665" s="1">
        <v>45387</v>
      </c>
      <c r="C665">
        <v>2024</v>
      </c>
      <c r="D665" t="s">
        <v>688</v>
      </c>
      <c r="E665" t="s">
        <v>689</v>
      </c>
      <c r="F665" t="s">
        <v>37</v>
      </c>
      <c r="G665" t="s">
        <v>45</v>
      </c>
      <c r="H665" t="s">
        <v>55</v>
      </c>
      <c r="I665" t="s">
        <v>42</v>
      </c>
      <c r="J665" t="s">
        <v>52</v>
      </c>
      <c r="K665" s="2">
        <v>4650</v>
      </c>
      <c r="L665" s="2">
        <v>10000</v>
      </c>
      <c r="M665">
        <v>36</v>
      </c>
      <c r="N665" s="3">
        <v>0.20100000000000001</v>
      </c>
      <c r="O665" t="s">
        <v>17</v>
      </c>
      <c r="P665" t="s">
        <v>60</v>
      </c>
      <c r="Q665">
        <v>0</v>
      </c>
      <c r="R665">
        <v>1</v>
      </c>
      <c r="S665" s="2">
        <v>0</v>
      </c>
      <c r="T665" s="4"/>
      <c r="U665">
        <v>6</v>
      </c>
      <c r="V665">
        <v>0</v>
      </c>
      <c r="W665">
        <v>1</v>
      </c>
    </row>
    <row r="666" spans="1:23" ht="16.5" x14ac:dyDescent="0.3">
      <c r="A666" t="s">
        <v>720</v>
      </c>
      <c r="B666" s="1">
        <v>45387</v>
      </c>
      <c r="C666">
        <v>2024</v>
      </c>
      <c r="D666" t="s">
        <v>688</v>
      </c>
      <c r="E666" t="s">
        <v>689</v>
      </c>
      <c r="F666" t="s">
        <v>50</v>
      </c>
      <c r="G666" t="s">
        <v>27</v>
      </c>
      <c r="H666" t="s">
        <v>55</v>
      </c>
      <c r="I666" t="s">
        <v>29</v>
      </c>
      <c r="J666" t="s">
        <v>52</v>
      </c>
      <c r="K666" s="2">
        <v>3850</v>
      </c>
      <c r="L666" s="2">
        <v>361500</v>
      </c>
      <c r="M666">
        <v>180</v>
      </c>
      <c r="N666" s="3">
        <v>0.94899999999999995</v>
      </c>
      <c r="O666" t="s">
        <v>17</v>
      </c>
      <c r="P666" t="s">
        <v>53</v>
      </c>
      <c r="Q666">
        <v>0</v>
      </c>
      <c r="R666">
        <v>1</v>
      </c>
      <c r="S666" s="2">
        <v>0</v>
      </c>
      <c r="T666" s="4"/>
      <c r="U666">
        <v>15</v>
      </c>
      <c r="V666">
        <v>1</v>
      </c>
      <c r="W666">
        <v>1</v>
      </c>
    </row>
    <row r="667" spans="1:23" ht="16.5" x14ac:dyDescent="0.3">
      <c r="A667" t="s">
        <v>721</v>
      </c>
      <c r="B667" s="1">
        <v>45388</v>
      </c>
      <c r="C667">
        <v>2024</v>
      </c>
      <c r="D667" t="s">
        <v>688</v>
      </c>
      <c r="E667" t="s">
        <v>689</v>
      </c>
      <c r="F667" t="s">
        <v>37</v>
      </c>
      <c r="G667" t="s">
        <v>27</v>
      </c>
      <c r="H667" t="s">
        <v>38</v>
      </c>
      <c r="I667" t="s">
        <v>29</v>
      </c>
      <c r="J667" t="s">
        <v>35</v>
      </c>
      <c r="K667" s="2">
        <v>5500</v>
      </c>
      <c r="L667" s="2">
        <v>12500</v>
      </c>
      <c r="M667">
        <v>24</v>
      </c>
      <c r="N667" s="3">
        <v>0.20100000000000001</v>
      </c>
      <c r="O667" t="s">
        <v>16</v>
      </c>
      <c r="Q667">
        <v>1</v>
      </c>
      <c r="R667">
        <v>0</v>
      </c>
      <c r="S667" s="2">
        <v>12500</v>
      </c>
      <c r="T667" s="4">
        <v>0.1236</v>
      </c>
      <c r="U667">
        <v>2</v>
      </c>
      <c r="V667">
        <v>1</v>
      </c>
      <c r="W667">
        <v>1</v>
      </c>
    </row>
    <row r="668" spans="1:23" ht="16.5" x14ac:dyDescent="0.3">
      <c r="A668" t="s">
        <v>722</v>
      </c>
      <c r="B668" s="1">
        <v>45388</v>
      </c>
      <c r="C668">
        <v>2024</v>
      </c>
      <c r="D668" t="s">
        <v>688</v>
      </c>
      <c r="E668" t="s">
        <v>689</v>
      </c>
      <c r="F668" t="s">
        <v>41</v>
      </c>
      <c r="G668" t="s">
        <v>33</v>
      </c>
      <c r="H668" t="s">
        <v>55</v>
      </c>
      <c r="I668" t="s">
        <v>42</v>
      </c>
      <c r="J668" t="s">
        <v>46</v>
      </c>
      <c r="K668" s="2">
        <v>3600</v>
      </c>
      <c r="L668" s="2">
        <v>78500</v>
      </c>
      <c r="M668">
        <v>36</v>
      </c>
      <c r="N668" s="3">
        <v>0.92600000000000005</v>
      </c>
      <c r="O668" t="s">
        <v>16</v>
      </c>
      <c r="Q668">
        <v>1</v>
      </c>
      <c r="R668">
        <v>0</v>
      </c>
      <c r="S668" s="2">
        <v>63000</v>
      </c>
      <c r="T668" s="4">
        <v>9.7500000000000003E-2</v>
      </c>
      <c r="U668">
        <v>3</v>
      </c>
      <c r="V668">
        <v>1</v>
      </c>
      <c r="W668">
        <v>1</v>
      </c>
    </row>
    <row r="669" spans="1:23" ht="16.5" x14ac:dyDescent="0.3">
      <c r="A669" t="s">
        <v>723</v>
      </c>
      <c r="B669" s="1">
        <v>45388</v>
      </c>
      <c r="C669">
        <v>2024</v>
      </c>
      <c r="D669" t="s">
        <v>688</v>
      </c>
      <c r="E669" t="s">
        <v>689</v>
      </c>
      <c r="F669" t="s">
        <v>50</v>
      </c>
      <c r="G669" t="s">
        <v>33</v>
      </c>
      <c r="H669" t="s">
        <v>55</v>
      </c>
      <c r="I669" t="s">
        <v>29</v>
      </c>
      <c r="J669" t="s">
        <v>52</v>
      </c>
      <c r="K669" s="2">
        <v>7500</v>
      </c>
      <c r="L669" s="2">
        <v>395000</v>
      </c>
      <c r="M669">
        <v>300</v>
      </c>
      <c r="N669" s="3">
        <v>0.46300000000000002</v>
      </c>
      <c r="O669" t="s">
        <v>16</v>
      </c>
      <c r="Q669">
        <v>1</v>
      </c>
      <c r="R669">
        <v>0</v>
      </c>
      <c r="S669" s="2">
        <v>355500</v>
      </c>
      <c r="T669" s="4">
        <v>4.7899999999999998E-2</v>
      </c>
      <c r="U669">
        <v>5</v>
      </c>
      <c r="V669">
        <v>1</v>
      </c>
      <c r="W669">
        <v>1</v>
      </c>
    </row>
    <row r="670" spans="1:23" ht="16.5" x14ac:dyDescent="0.3">
      <c r="A670" t="s">
        <v>724</v>
      </c>
      <c r="B670" s="1">
        <v>45388</v>
      </c>
      <c r="C670">
        <v>2024</v>
      </c>
      <c r="D670" t="s">
        <v>688</v>
      </c>
      <c r="E670" t="s">
        <v>689</v>
      </c>
      <c r="F670" t="s">
        <v>37</v>
      </c>
      <c r="G670" t="s">
        <v>27</v>
      </c>
      <c r="H670" t="s">
        <v>64</v>
      </c>
      <c r="I670" t="s">
        <v>42</v>
      </c>
      <c r="J670" t="s">
        <v>30</v>
      </c>
      <c r="K670" s="2">
        <v>3000</v>
      </c>
      <c r="L670" s="2">
        <v>5000</v>
      </c>
      <c r="M670">
        <v>60</v>
      </c>
      <c r="N670" s="3">
        <v>0.153</v>
      </c>
      <c r="O670" t="s">
        <v>17</v>
      </c>
      <c r="P670" t="s">
        <v>31</v>
      </c>
      <c r="Q670">
        <v>0</v>
      </c>
      <c r="R670">
        <v>1</v>
      </c>
      <c r="S670" s="2">
        <v>0</v>
      </c>
      <c r="T670" s="4"/>
      <c r="U670">
        <v>3</v>
      </c>
      <c r="V670">
        <v>1</v>
      </c>
      <c r="W670">
        <v>1</v>
      </c>
    </row>
    <row r="671" spans="1:23" ht="16.5" x14ac:dyDescent="0.3">
      <c r="A671" t="s">
        <v>725</v>
      </c>
      <c r="B671" s="1">
        <v>45389</v>
      </c>
      <c r="C671">
        <v>2024</v>
      </c>
      <c r="D671" t="s">
        <v>688</v>
      </c>
      <c r="E671" t="s">
        <v>689</v>
      </c>
      <c r="F671" t="s">
        <v>50</v>
      </c>
      <c r="G671" t="s">
        <v>27</v>
      </c>
      <c r="H671" t="s">
        <v>64</v>
      </c>
      <c r="I671" t="s">
        <v>29</v>
      </c>
      <c r="J671" t="s">
        <v>35</v>
      </c>
      <c r="K671" s="2">
        <v>4900</v>
      </c>
      <c r="L671" s="2">
        <v>605000</v>
      </c>
      <c r="M671">
        <v>180</v>
      </c>
      <c r="N671" s="3">
        <v>1.0289999999999999</v>
      </c>
      <c r="O671" t="s">
        <v>17</v>
      </c>
      <c r="P671" t="s">
        <v>53</v>
      </c>
      <c r="Q671">
        <v>0</v>
      </c>
      <c r="R671">
        <v>1</v>
      </c>
      <c r="S671" s="2">
        <v>0</v>
      </c>
      <c r="T671" s="4"/>
      <c r="U671">
        <v>26</v>
      </c>
      <c r="V671">
        <v>0</v>
      </c>
      <c r="W671">
        <v>1</v>
      </c>
    </row>
    <row r="672" spans="1:23" ht="16.5" x14ac:dyDescent="0.3">
      <c r="A672" t="s">
        <v>726</v>
      </c>
      <c r="B672" s="1">
        <v>45389</v>
      </c>
      <c r="C672">
        <v>2024</v>
      </c>
      <c r="D672" t="s">
        <v>688</v>
      </c>
      <c r="E672" t="s">
        <v>689</v>
      </c>
      <c r="F672" t="s">
        <v>41</v>
      </c>
      <c r="G672" t="s">
        <v>51</v>
      </c>
      <c r="H672" t="s">
        <v>38</v>
      </c>
      <c r="I672" t="s">
        <v>42</v>
      </c>
      <c r="J672" t="s">
        <v>35</v>
      </c>
      <c r="K672" s="2">
        <v>5250</v>
      </c>
      <c r="L672" s="2">
        <v>80000</v>
      </c>
      <c r="M672">
        <v>24</v>
      </c>
      <c r="N672" s="3">
        <v>0.89100000000000001</v>
      </c>
      <c r="O672" t="s">
        <v>17</v>
      </c>
      <c r="P672" t="s">
        <v>53</v>
      </c>
      <c r="Q672">
        <v>0</v>
      </c>
      <c r="R672">
        <v>1</v>
      </c>
      <c r="S672" s="2">
        <v>0</v>
      </c>
      <c r="T672" s="4"/>
      <c r="U672">
        <v>10</v>
      </c>
      <c r="V672">
        <v>1</v>
      </c>
      <c r="W672">
        <v>1</v>
      </c>
    </row>
    <row r="673" spans="1:23" ht="16.5" x14ac:dyDescent="0.3">
      <c r="A673" t="s">
        <v>727</v>
      </c>
      <c r="B673" s="1">
        <v>45390</v>
      </c>
      <c r="C673">
        <v>2024</v>
      </c>
      <c r="D673" t="s">
        <v>688</v>
      </c>
      <c r="E673" t="s">
        <v>689</v>
      </c>
      <c r="F673" t="s">
        <v>41</v>
      </c>
      <c r="G673" t="s">
        <v>51</v>
      </c>
      <c r="H673" t="s">
        <v>34</v>
      </c>
      <c r="I673" t="s">
        <v>42</v>
      </c>
      <c r="J673" t="s">
        <v>52</v>
      </c>
      <c r="K673" s="2">
        <v>3750</v>
      </c>
      <c r="L673" s="2">
        <v>45500</v>
      </c>
      <c r="M673">
        <v>24</v>
      </c>
      <c r="N673" s="3">
        <v>0.61899999999999999</v>
      </c>
      <c r="O673" t="s">
        <v>17</v>
      </c>
      <c r="P673" t="s">
        <v>53</v>
      </c>
      <c r="Q673">
        <v>0</v>
      </c>
      <c r="R673">
        <v>1</v>
      </c>
      <c r="S673" s="2">
        <v>0</v>
      </c>
      <c r="T673" s="4"/>
      <c r="U673">
        <v>20</v>
      </c>
      <c r="V673">
        <v>0</v>
      </c>
      <c r="W673">
        <v>1</v>
      </c>
    </row>
    <row r="674" spans="1:23" ht="16.5" x14ac:dyDescent="0.3">
      <c r="A674" t="s">
        <v>728</v>
      </c>
      <c r="B674" s="1">
        <v>45390</v>
      </c>
      <c r="C674">
        <v>2024</v>
      </c>
      <c r="D674" t="s">
        <v>688</v>
      </c>
      <c r="E674" t="s">
        <v>689</v>
      </c>
      <c r="F674" t="s">
        <v>50</v>
      </c>
      <c r="G674" t="s">
        <v>51</v>
      </c>
      <c r="H674" t="s">
        <v>64</v>
      </c>
      <c r="I674" t="s">
        <v>42</v>
      </c>
      <c r="J674" t="s">
        <v>43</v>
      </c>
      <c r="K674" s="2">
        <v>6900</v>
      </c>
      <c r="L674" s="2">
        <v>326500</v>
      </c>
      <c r="M674">
        <v>180</v>
      </c>
      <c r="N674" s="3">
        <v>0.57399999999999995</v>
      </c>
      <c r="O674" t="s">
        <v>17</v>
      </c>
      <c r="P674" t="s">
        <v>53</v>
      </c>
      <c r="Q674">
        <v>0</v>
      </c>
      <c r="R674">
        <v>1</v>
      </c>
      <c r="S674" s="2">
        <v>0</v>
      </c>
      <c r="T674" s="4"/>
      <c r="U674">
        <v>13</v>
      </c>
      <c r="V674">
        <v>1</v>
      </c>
      <c r="W674">
        <v>1</v>
      </c>
    </row>
    <row r="675" spans="1:23" ht="16.5" x14ac:dyDescent="0.3">
      <c r="A675" t="s">
        <v>729</v>
      </c>
      <c r="B675" s="1">
        <v>45390</v>
      </c>
      <c r="C675">
        <v>2024</v>
      </c>
      <c r="D675" t="s">
        <v>688</v>
      </c>
      <c r="E675" t="s">
        <v>689</v>
      </c>
      <c r="F675" t="s">
        <v>37</v>
      </c>
      <c r="G675" t="s">
        <v>45</v>
      </c>
      <c r="H675" t="s">
        <v>38</v>
      </c>
      <c r="I675" t="s">
        <v>29</v>
      </c>
      <c r="J675" t="s">
        <v>35</v>
      </c>
      <c r="K675" s="2">
        <v>5250</v>
      </c>
      <c r="L675" s="2">
        <v>11000</v>
      </c>
      <c r="M675">
        <v>60</v>
      </c>
      <c r="N675" s="3">
        <v>0.12</v>
      </c>
      <c r="O675" t="s">
        <v>16</v>
      </c>
      <c r="Q675">
        <v>1</v>
      </c>
      <c r="R675">
        <v>0</v>
      </c>
      <c r="S675" s="2">
        <v>11000</v>
      </c>
      <c r="T675" s="4">
        <v>0.12839999999999999</v>
      </c>
      <c r="U675">
        <v>3</v>
      </c>
      <c r="V675">
        <v>1</v>
      </c>
      <c r="W675">
        <v>1</v>
      </c>
    </row>
    <row r="676" spans="1:23" ht="16.5" x14ac:dyDescent="0.3">
      <c r="A676" t="s">
        <v>730</v>
      </c>
      <c r="B676" s="1">
        <v>45390</v>
      </c>
      <c r="C676">
        <v>2024</v>
      </c>
      <c r="D676" t="s">
        <v>688</v>
      </c>
      <c r="E676" t="s">
        <v>689</v>
      </c>
      <c r="F676" t="s">
        <v>37</v>
      </c>
      <c r="G676" t="s">
        <v>45</v>
      </c>
      <c r="H676" t="s">
        <v>38</v>
      </c>
      <c r="I676" t="s">
        <v>39</v>
      </c>
      <c r="J676" t="s">
        <v>46</v>
      </c>
      <c r="K676" s="2">
        <v>3250</v>
      </c>
      <c r="L676" s="2">
        <v>12000</v>
      </c>
      <c r="M676">
        <v>12</v>
      </c>
      <c r="N676" s="3">
        <v>0.45400000000000001</v>
      </c>
      <c r="O676" t="s">
        <v>16</v>
      </c>
      <c r="Q676">
        <v>1</v>
      </c>
      <c r="R676">
        <v>0</v>
      </c>
      <c r="S676" s="2">
        <v>12000</v>
      </c>
      <c r="T676" s="4">
        <v>0.1067</v>
      </c>
      <c r="U676">
        <v>2</v>
      </c>
      <c r="V676">
        <v>1</v>
      </c>
      <c r="W676">
        <v>1</v>
      </c>
    </row>
    <row r="677" spans="1:23" ht="16.5" x14ac:dyDescent="0.3">
      <c r="A677" t="s">
        <v>731</v>
      </c>
      <c r="B677" s="1">
        <v>45390</v>
      </c>
      <c r="C677">
        <v>2024</v>
      </c>
      <c r="D677" t="s">
        <v>688</v>
      </c>
      <c r="E677" t="s">
        <v>689</v>
      </c>
      <c r="F677" t="s">
        <v>26</v>
      </c>
      <c r="G677" t="s">
        <v>27</v>
      </c>
      <c r="H677" t="s">
        <v>28</v>
      </c>
      <c r="I677" t="s">
        <v>42</v>
      </c>
      <c r="J677" t="s">
        <v>43</v>
      </c>
      <c r="K677" s="2">
        <v>5800</v>
      </c>
      <c r="L677" s="2">
        <v>27000</v>
      </c>
      <c r="M677">
        <v>36</v>
      </c>
      <c r="N677" s="3">
        <v>0.313</v>
      </c>
      <c r="O677" t="s">
        <v>17</v>
      </c>
      <c r="P677" t="s">
        <v>31</v>
      </c>
      <c r="Q677">
        <v>0</v>
      </c>
      <c r="R677">
        <v>1</v>
      </c>
      <c r="S677" s="2">
        <v>0</v>
      </c>
      <c r="T677" s="4"/>
      <c r="U677">
        <v>3</v>
      </c>
      <c r="V677">
        <v>1</v>
      </c>
      <c r="W677">
        <v>1</v>
      </c>
    </row>
    <row r="678" spans="1:23" ht="16.5" x14ac:dyDescent="0.3">
      <c r="A678" t="s">
        <v>732</v>
      </c>
      <c r="B678" s="1">
        <v>45390</v>
      </c>
      <c r="C678">
        <v>2024</v>
      </c>
      <c r="D678" t="s">
        <v>688</v>
      </c>
      <c r="E678" t="s">
        <v>689</v>
      </c>
      <c r="F678" t="s">
        <v>37</v>
      </c>
      <c r="G678" t="s">
        <v>27</v>
      </c>
      <c r="H678" t="s">
        <v>55</v>
      </c>
      <c r="I678" t="s">
        <v>39</v>
      </c>
      <c r="J678" t="s">
        <v>43</v>
      </c>
      <c r="K678" s="2">
        <v>4650</v>
      </c>
      <c r="L678" s="2">
        <v>6500</v>
      </c>
      <c r="M678">
        <v>36</v>
      </c>
      <c r="N678" s="3">
        <v>0.29199999999999998</v>
      </c>
      <c r="O678" t="s">
        <v>17</v>
      </c>
      <c r="P678" t="s">
        <v>60</v>
      </c>
      <c r="Q678">
        <v>0</v>
      </c>
      <c r="R678">
        <v>1</v>
      </c>
      <c r="S678" s="2">
        <v>0</v>
      </c>
      <c r="T678" s="4"/>
      <c r="U678">
        <v>7</v>
      </c>
      <c r="V678">
        <v>0</v>
      </c>
      <c r="W678">
        <v>1</v>
      </c>
    </row>
    <row r="679" spans="1:23" ht="16.5" x14ac:dyDescent="0.3">
      <c r="A679" t="s">
        <v>733</v>
      </c>
      <c r="B679" s="1">
        <v>45390</v>
      </c>
      <c r="C679">
        <v>2024</v>
      </c>
      <c r="D679" t="s">
        <v>688</v>
      </c>
      <c r="E679" t="s">
        <v>689</v>
      </c>
      <c r="F679" t="s">
        <v>37</v>
      </c>
      <c r="G679" t="s">
        <v>51</v>
      </c>
      <c r="H679" t="s">
        <v>28</v>
      </c>
      <c r="I679" t="s">
        <v>42</v>
      </c>
      <c r="J679" t="s">
        <v>52</v>
      </c>
      <c r="K679" s="2">
        <v>10100</v>
      </c>
      <c r="L679" s="2">
        <v>10500</v>
      </c>
      <c r="M679">
        <v>24</v>
      </c>
      <c r="N679" s="3">
        <v>0.18099999999999999</v>
      </c>
      <c r="O679" t="s">
        <v>16</v>
      </c>
      <c r="Q679">
        <v>1</v>
      </c>
      <c r="R679">
        <v>0</v>
      </c>
      <c r="S679" s="2">
        <v>9500</v>
      </c>
      <c r="T679" s="4">
        <v>0.1202</v>
      </c>
      <c r="U679">
        <v>4</v>
      </c>
      <c r="V679">
        <v>0</v>
      </c>
      <c r="W679">
        <v>1</v>
      </c>
    </row>
    <row r="680" spans="1:23" ht="16.5" x14ac:dyDescent="0.3">
      <c r="A680" t="s">
        <v>734</v>
      </c>
      <c r="B680" s="1">
        <v>45390</v>
      </c>
      <c r="C680">
        <v>2024</v>
      </c>
      <c r="D680" t="s">
        <v>688</v>
      </c>
      <c r="E680" t="s">
        <v>689</v>
      </c>
      <c r="F680" t="s">
        <v>26</v>
      </c>
      <c r="G680" t="s">
        <v>51</v>
      </c>
      <c r="H680" t="s">
        <v>55</v>
      </c>
      <c r="I680" t="s">
        <v>42</v>
      </c>
      <c r="J680" t="s">
        <v>30</v>
      </c>
      <c r="K680" s="2">
        <v>8700</v>
      </c>
      <c r="L680" s="2">
        <v>23500</v>
      </c>
      <c r="M680">
        <v>60</v>
      </c>
      <c r="N680" s="3">
        <v>0.23200000000000001</v>
      </c>
      <c r="O680" t="s">
        <v>17</v>
      </c>
      <c r="P680" t="s">
        <v>31</v>
      </c>
      <c r="Q680">
        <v>0</v>
      </c>
      <c r="R680">
        <v>1</v>
      </c>
      <c r="S680" s="2">
        <v>0</v>
      </c>
      <c r="T680" s="4"/>
      <c r="U680">
        <v>9</v>
      </c>
      <c r="V680">
        <v>0</v>
      </c>
      <c r="W680">
        <v>1</v>
      </c>
    </row>
    <row r="681" spans="1:23" ht="16.5" x14ac:dyDescent="0.3">
      <c r="A681" t="s">
        <v>735</v>
      </c>
      <c r="B681" s="1">
        <v>45390</v>
      </c>
      <c r="C681">
        <v>2024</v>
      </c>
      <c r="D681" t="s">
        <v>688</v>
      </c>
      <c r="E681" t="s">
        <v>689</v>
      </c>
      <c r="F681" t="s">
        <v>37</v>
      </c>
      <c r="G681" t="s">
        <v>45</v>
      </c>
      <c r="H681" t="s">
        <v>55</v>
      </c>
      <c r="I681" t="s">
        <v>29</v>
      </c>
      <c r="J681" t="s">
        <v>43</v>
      </c>
      <c r="K681" s="2">
        <v>4350</v>
      </c>
      <c r="L681" s="2">
        <v>20500</v>
      </c>
      <c r="M681">
        <v>36</v>
      </c>
      <c r="N681" s="3">
        <v>0.24299999999999999</v>
      </c>
      <c r="O681" t="s">
        <v>16</v>
      </c>
      <c r="Q681">
        <v>1</v>
      </c>
      <c r="R681">
        <v>0</v>
      </c>
      <c r="S681" s="2">
        <v>20500</v>
      </c>
      <c r="T681" s="4">
        <v>0.16370000000000001</v>
      </c>
      <c r="U681">
        <v>2</v>
      </c>
      <c r="V681">
        <v>1</v>
      </c>
      <c r="W681">
        <v>1</v>
      </c>
    </row>
    <row r="682" spans="1:23" ht="16.5" x14ac:dyDescent="0.3">
      <c r="A682" t="s">
        <v>736</v>
      </c>
      <c r="B682" s="1">
        <v>45390</v>
      </c>
      <c r="C682">
        <v>2024</v>
      </c>
      <c r="D682" t="s">
        <v>688</v>
      </c>
      <c r="E682" t="s">
        <v>689</v>
      </c>
      <c r="F682" t="s">
        <v>37</v>
      </c>
      <c r="G682" t="s">
        <v>45</v>
      </c>
      <c r="H682" t="s">
        <v>28</v>
      </c>
      <c r="I682" t="s">
        <v>42</v>
      </c>
      <c r="J682" t="s">
        <v>35</v>
      </c>
      <c r="K682" s="2">
        <v>8000</v>
      </c>
      <c r="L682" s="2">
        <v>14000</v>
      </c>
      <c r="M682">
        <v>48</v>
      </c>
      <c r="N682" s="3">
        <v>0.13200000000000001</v>
      </c>
      <c r="O682" t="s">
        <v>16</v>
      </c>
      <c r="Q682">
        <v>1</v>
      </c>
      <c r="R682">
        <v>0</v>
      </c>
      <c r="S682" s="2">
        <v>14000</v>
      </c>
      <c r="T682" s="4">
        <v>0.12529999999999999</v>
      </c>
      <c r="U682">
        <v>3</v>
      </c>
      <c r="V682">
        <v>1</v>
      </c>
      <c r="W682">
        <v>1</v>
      </c>
    </row>
    <row r="683" spans="1:23" ht="16.5" x14ac:dyDescent="0.3">
      <c r="A683" t="s">
        <v>737</v>
      </c>
      <c r="B683" s="1">
        <v>45390</v>
      </c>
      <c r="C683">
        <v>2024</v>
      </c>
      <c r="D683" t="s">
        <v>688</v>
      </c>
      <c r="E683" t="s">
        <v>689</v>
      </c>
      <c r="F683" t="s">
        <v>26</v>
      </c>
      <c r="G683" t="s">
        <v>33</v>
      </c>
      <c r="H683" t="s">
        <v>34</v>
      </c>
      <c r="I683" t="s">
        <v>29</v>
      </c>
      <c r="J683" t="s">
        <v>30</v>
      </c>
      <c r="K683" s="2">
        <v>2250</v>
      </c>
      <c r="L683" s="2">
        <v>31000</v>
      </c>
      <c r="M683">
        <v>48</v>
      </c>
      <c r="N683" s="3">
        <v>0.57199999999999995</v>
      </c>
      <c r="O683" t="s">
        <v>17</v>
      </c>
      <c r="P683" t="s">
        <v>31</v>
      </c>
      <c r="Q683">
        <v>0</v>
      </c>
      <c r="R683">
        <v>1</v>
      </c>
      <c r="S683" s="2">
        <v>0</v>
      </c>
      <c r="T683" s="4"/>
      <c r="U683">
        <v>3</v>
      </c>
      <c r="V683">
        <v>1</v>
      </c>
      <c r="W683">
        <v>1</v>
      </c>
    </row>
    <row r="684" spans="1:23" ht="16.5" x14ac:dyDescent="0.3">
      <c r="A684" t="s">
        <v>738</v>
      </c>
      <c r="B684" s="1">
        <v>45391</v>
      </c>
      <c r="C684">
        <v>2024</v>
      </c>
      <c r="D684" t="s">
        <v>688</v>
      </c>
      <c r="E684" t="s">
        <v>689</v>
      </c>
      <c r="F684" t="s">
        <v>37</v>
      </c>
      <c r="G684" t="s">
        <v>27</v>
      </c>
      <c r="H684" t="s">
        <v>38</v>
      </c>
      <c r="I684" t="s">
        <v>29</v>
      </c>
      <c r="J684" t="s">
        <v>46</v>
      </c>
      <c r="K684" s="2">
        <v>4650</v>
      </c>
      <c r="L684" s="2">
        <v>19500</v>
      </c>
      <c r="M684">
        <v>36</v>
      </c>
      <c r="N684" s="3">
        <v>0.28599999999999998</v>
      </c>
      <c r="O684" t="s">
        <v>16</v>
      </c>
      <c r="Q684">
        <v>1</v>
      </c>
      <c r="R684">
        <v>0</v>
      </c>
      <c r="S684" s="2">
        <v>19500</v>
      </c>
      <c r="T684" s="4">
        <v>0.1074</v>
      </c>
      <c r="U684">
        <v>3</v>
      </c>
      <c r="V684">
        <v>1</v>
      </c>
      <c r="W684">
        <v>1</v>
      </c>
    </row>
    <row r="685" spans="1:23" ht="16.5" x14ac:dyDescent="0.3">
      <c r="A685" t="s">
        <v>739</v>
      </c>
      <c r="B685" s="1">
        <v>45391</v>
      </c>
      <c r="C685">
        <v>2024</v>
      </c>
      <c r="D685" t="s">
        <v>688</v>
      </c>
      <c r="E685" t="s">
        <v>689</v>
      </c>
      <c r="F685" t="s">
        <v>26</v>
      </c>
      <c r="G685" t="s">
        <v>51</v>
      </c>
      <c r="H685" t="s">
        <v>55</v>
      </c>
      <c r="I685" t="s">
        <v>42</v>
      </c>
      <c r="J685" t="s">
        <v>30</v>
      </c>
      <c r="K685" s="2">
        <v>6350</v>
      </c>
      <c r="L685" s="2">
        <v>44000</v>
      </c>
      <c r="M685">
        <v>36</v>
      </c>
      <c r="N685" s="3">
        <v>0.36699999999999999</v>
      </c>
      <c r="O685" t="s">
        <v>16</v>
      </c>
      <c r="Q685">
        <v>1</v>
      </c>
      <c r="R685">
        <v>0</v>
      </c>
      <c r="S685" s="2">
        <v>44000</v>
      </c>
      <c r="T685" s="4">
        <v>9.8699999999999996E-2</v>
      </c>
      <c r="U685">
        <v>5</v>
      </c>
      <c r="V685">
        <v>0</v>
      </c>
      <c r="W685">
        <v>1</v>
      </c>
    </row>
    <row r="686" spans="1:23" ht="16.5" x14ac:dyDescent="0.3">
      <c r="A686" t="s">
        <v>740</v>
      </c>
      <c r="B686" s="1">
        <v>45391</v>
      </c>
      <c r="C686">
        <v>2024</v>
      </c>
      <c r="D686" t="s">
        <v>688</v>
      </c>
      <c r="E686" t="s">
        <v>689</v>
      </c>
      <c r="F686" t="s">
        <v>26</v>
      </c>
      <c r="G686" t="s">
        <v>51</v>
      </c>
      <c r="H686" t="s">
        <v>34</v>
      </c>
      <c r="I686" t="s">
        <v>29</v>
      </c>
      <c r="J686" t="s">
        <v>30</v>
      </c>
      <c r="K686" s="2">
        <v>5400</v>
      </c>
      <c r="L686" s="2">
        <v>28500</v>
      </c>
      <c r="M686">
        <v>60</v>
      </c>
      <c r="N686" s="3">
        <v>0.27900000000000003</v>
      </c>
      <c r="O686" t="s">
        <v>17</v>
      </c>
      <c r="P686" t="s">
        <v>65</v>
      </c>
      <c r="Q686">
        <v>0</v>
      </c>
      <c r="R686">
        <v>1</v>
      </c>
      <c r="S686" s="2">
        <v>0</v>
      </c>
      <c r="T686" s="4"/>
      <c r="U686">
        <v>7</v>
      </c>
      <c r="V686">
        <v>0</v>
      </c>
      <c r="W686">
        <v>1</v>
      </c>
    </row>
    <row r="687" spans="1:23" ht="16.5" x14ac:dyDescent="0.3">
      <c r="A687" t="s">
        <v>741</v>
      </c>
      <c r="B687" s="1">
        <v>45391</v>
      </c>
      <c r="C687">
        <v>2024</v>
      </c>
      <c r="D687" t="s">
        <v>688</v>
      </c>
      <c r="E687" t="s">
        <v>689</v>
      </c>
      <c r="F687" t="s">
        <v>41</v>
      </c>
      <c r="G687" t="s">
        <v>33</v>
      </c>
      <c r="H687" t="s">
        <v>34</v>
      </c>
      <c r="I687" t="s">
        <v>42</v>
      </c>
      <c r="J687" t="s">
        <v>52</v>
      </c>
      <c r="K687" s="2">
        <v>6700</v>
      </c>
      <c r="L687" s="2">
        <v>92000</v>
      </c>
      <c r="M687">
        <v>12</v>
      </c>
      <c r="N687" s="3">
        <v>1.2929999999999999</v>
      </c>
      <c r="O687" t="s">
        <v>17</v>
      </c>
      <c r="P687" t="s">
        <v>60</v>
      </c>
      <c r="Q687">
        <v>0</v>
      </c>
      <c r="R687">
        <v>1</v>
      </c>
      <c r="S687" s="2">
        <v>0</v>
      </c>
      <c r="T687" s="4"/>
      <c r="U687">
        <v>10</v>
      </c>
      <c r="V687">
        <v>1</v>
      </c>
      <c r="W687">
        <v>1</v>
      </c>
    </row>
    <row r="688" spans="1:23" ht="16.5" x14ac:dyDescent="0.3">
      <c r="A688" t="s">
        <v>742</v>
      </c>
      <c r="B688" s="1">
        <v>45391</v>
      </c>
      <c r="C688">
        <v>2024</v>
      </c>
      <c r="D688" t="s">
        <v>688</v>
      </c>
      <c r="E688" t="s">
        <v>689</v>
      </c>
      <c r="F688" t="s">
        <v>26</v>
      </c>
      <c r="G688" t="s">
        <v>27</v>
      </c>
      <c r="H688" t="s">
        <v>34</v>
      </c>
      <c r="I688" t="s">
        <v>39</v>
      </c>
      <c r="J688" t="s">
        <v>46</v>
      </c>
      <c r="K688" s="2">
        <v>6150</v>
      </c>
      <c r="L688" s="2">
        <v>8000</v>
      </c>
      <c r="M688">
        <v>48</v>
      </c>
      <c r="N688" s="3">
        <v>0.26700000000000002</v>
      </c>
      <c r="O688" t="s">
        <v>16</v>
      </c>
      <c r="Q688">
        <v>1</v>
      </c>
      <c r="R688">
        <v>0</v>
      </c>
      <c r="S688" s="2">
        <v>8000</v>
      </c>
      <c r="T688" s="4">
        <v>6.6400000000000001E-2</v>
      </c>
      <c r="U688">
        <v>6</v>
      </c>
      <c r="V688">
        <v>0</v>
      </c>
      <c r="W688">
        <v>1</v>
      </c>
    </row>
    <row r="689" spans="1:23" ht="16.5" x14ac:dyDescent="0.3">
      <c r="A689" t="s">
        <v>743</v>
      </c>
      <c r="B689" s="1">
        <v>45391</v>
      </c>
      <c r="C689">
        <v>2024</v>
      </c>
      <c r="D689" t="s">
        <v>688</v>
      </c>
      <c r="E689" t="s">
        <v>689</v>
      </c>
      <c r="F689" t="s">
        <v>37</v>
      </c>
      <c r="G689" t="s">
        <v>51</v>
      </c>
      <c r="H689" t="s">
        <v>28</v>
      </c>
      <c r="I689" t="s">
        <v>42</v>
      </c>
      <c r="J689" t="s">
        <v>30</v>
      </c>
      <c r="K689" s="2">
        <v>9750</v>
      </c>
      <c r="L689" s="2">
        <v>15000</v>
      </c>
      <c r="M689">
        <v>24</v>
      </c>
      <c r="N689" s="3">
        <v>0.13100000000000001</v>
      </c>
      <c r="O689" t="s">
        <v>16</v>
      </c>
      <c r="Q689">
        <v>1</v>
      </c>
      <c r="R689">
        <v>0</v>
      </c>
      <c r="S689" s="2">
        <v>13500</v>
      </c>
      <c r="T689" s="4">
        <v>0.13739999999999999</v>
      </c>
      <c r="U689">
        <v>5</v>
      </c>
      <c r="V689">
        <v>0</v>
      </c>
      <c r="W689">
        <v>1</v>
      </c>
    </row>
    <row r="690" spans="1:23" ht="16.5" x14ac:dyDescent="0.3">
      <c r="A690" t="s">
        <v>744</v>
      </c>
      <c r="B690" s="1">
        <v>45391</v>
      </c>
      <c r="C690">
        <v>2024</v>
      </c>
      <c r="D690" t="s">
        <v>688</v>
      </c>
      <c r="E690" t="s">
        <v>689</v>
      </c>
      <c r="F690" t="s">
        <v>41</v>
      </c>
      <c r="G690" t="s">
        <v>51</v>
      </c>
      <c r="H690" t="s">
        <v>34</v>
      </c>
      <c r="I690" t="s">
        <v>39</v>
      </c>
      <c r="J690" t="s">
        <v>30</v>
      </c>
      <c r="K690" s="2">
        <v>4600</v>
      </c>
      <c r="L690" s="2">
        <v>83000</v>
      </c>
      <c r="M690">
        <v>24</v>
      </c>
      <c r="N690" s="3">
        <v>1.0249999999999999</v>
      </c>
      <c r="O690" t="s">
        <v>17</v>
      </c>
      <c r="P690" t="s">
        <v>31</v>
      </c>
      <c r="Q690">
        <v>0</v>
      </c>
      <c r="R690">
        <v>1</v>
      </c>
      <c r="S690" s="2">
        <v>0</v>
      </c>
      <c r="T690" s="4"/>
      <c r="U690">
        <v>9</v>
      </c>
      <c r="V690">
        <v>1</v>
      </c>
      <c r="W690">
        <v>1</v>
      </c>
    </row>
    <row r="691" spans="1:23" ht="16.5" x14ac:dyDescent="0.3">
      <c r="A691" t="s">
        <v>745</v>
      </c>
      <c r="B691" s="1">
        <v>45391</v>
      </c>
      <c r="C691">
        <v>2024</v>
      </c>
      <c r="D691" t="s">
        <v>688</v>
      </c>
      <c r="E691" t="s">
        <v>689</v>
      </c>
      <c r="F691" t="s">
        <v>26</v>
      </c>
      <c r="G691" t="s">
        <v>51</v>
      </c>
      <c r="H691" t="s">
        <v>38</v>
      </c>
      <c r="I691" t="s">
        <v>29</v>
      </c>
      <c r="J691" t="s">
        <v>30</v>
      </c>
      <c r="K691" s="2">
        <v>5300</v>
      </c>
      <c r="L691" s="2">
        <v>62500</v>
      </c>
      <c r="M691">
        <v>60</v>
      </c>
      <c r="N691" s="3">
        <v>0.46500000000000002</v>
      </c>
      <c r="O691" t="s">
        <v>17</v>
      </c>
      <c r="P691" t="s">
        <v>31</v>
      </c>
      <c r="Q691">
        <v>0</v>
      </c>
      <c r="R691">
        <v>1</v>
      </c>
      <c r="S691" s="2">
        <v>0</v>
      </c>
      <c r="T691" s="4"/>
      <c r="U691">
        <v>5</v>
      </c>
      <c r="V691">
        <v>0</v>
      </c>
      <c r="W691">
        <v>1</v>
      </c>
    </row>
    <row r="692" spans="1:23" ht="16.5" x14ac:dyDescent="0.3">
      <c r="A692" t="s">
        <v>746</v>
      </c>
      <c r="B692" s="1">
        <v>45391</v>
      </c>
      <c r="C692">
        <v>2024</v>
      </c>
      <c r="D692" t="s">
        <v>688</v>
      </c>
      <c r="E692" t="s">
        <v>689</v>
      </c>
      <c r="F692" t="s">
        <v>37</v>
      </c>
      <c r="G692" t="s">
        <v>27</v>
      </c>
      <c r="H692" t="s">
        <v>55</v>
      </c>
      <c r="I692" t="s">
        <v>39</v>
      </c>
      <c r="J692" t="s">
        <v>35</v>
      </c>
      <c r="K692" s="2">
        <v>4150</v>
      </c>
      <c r="L692" s="2">
        <v>10500</v>
      </c>
      <c r="M692">
        <v>24</v>
      </c>
      <c r="N692" s="3">
        <v>0.314</v>
      </c>
      <c r="O692" t="s">
        <v>17</v>
      </c>
      <c r="P692" t="s">
        <v>65</v>
      </c>
      <c r="Q692">
        <v>0</v>
      </c>
      <c r="R692">
        <v>1</v>
      </c>
      <c r="S692" s="2">
        <v>0</v>
      </c>
      <c r="T692" s="4"/>
      <c r="U692">
        <v>2</v>
      </c>
      <c r="V692">
        <v>1</v>
      </c>
      <c r="W692">
        <v>1</v>
      </c>
    </row>
    <row r="693" spans="1:23" ht="16.5" x14ac:dyDescent="0.3">
      <c r="A693" t="s">
        <v>747</v>
      </c>
      <c r="B693" s="1">
        <v>45391</v>
      </c>
      <c r="C693">
        <v>2024</v>
      </c>
      <c r="D693" t="s">
        <v>688</v>
      </c>
      <c r="E693" t="s">
        <v>689</v>
      </c>
      <c r="F693" t="s">
        <v>41</v>
      </c>
      <c r="G693" t="s">
        <v>33</v>
      </c>
      <c r="H693" t="s">
        <v>55</v>
      </c>
      <c r="I693" t="s">
        <v>29</v>
      </c>
      <c r="J693" t="s">
        <v>30</v>
      </c>
      <c r="K693" s="2">
        <v>4000</v>
      </c>
      <c r="L693" s="2">
        <v>97000</v>
      </c>
      <c r="M693">
        <v>60</v>
      </c>
      <c r="N693" s="3">
        <v>0.67800000000000005</v>
      </c>
      <c r="O693" t="s">
        <v>17</v>
      </c>
      <c r="P693" t="s">
        <v>31</v>
      </c>
      <c r="Q693">
        <v>0</v>
      </c>
      <c r="R693">
        <v>1</v>
      </c>
      <c r="S693" s="2">
        <v>0</v>
      </c>
      <c r="T693" s="4"/>
      <c r="U693">
        <v>5</v>
      </c>
      <c r="V693">
        <v>1</v>
      </c>
      <c r="W693">
        <v>1</v>
      </c>
    </row>
    <row r="694" spans="1:23" ht="16.5" x14ac:dyDescent="0.3">
      <c r="A694" t="s">
        <v>748</v>
      </c>
      <c r="B694" s="1">
        <v>45392</v>
      </c>
      <c r="C694">
        <v>2024</v>
      </c>
      <c r="D694" t="s">
        <v>688</v>
      </c>
      <c r="E694" t="s">
        <v>689</v>
      </c>
      <c r="F694" t="s">
        <v>37</v>
      </c>
      <c r="G694" t="s">
        <v>51</v>
      </c>
      <c r="H694" t="s">
        <v>38</v>
      </c>
      <c r="I694" t="s">
        <v>29</v>
      </c>
      <c r="J694" t="s">
        <v>52</v>
      </c>
      <c r="K694" s="2">
        <v>3650</v>
      </c>
      <c r="L694" s="2">
        <v>9000</v>
      </c>
      <c r="M694">
        <v>48</v>
      </c>
      <c r="N694" s="3">
        <v>0.22500000000000001</v>
      </c>
      <c r="O694" t="s">
        <v>16</v>
      </c>
      <c r="Q694">
        <v>1</v>
      </c>
      <c r="R694">
        <v>0</v>
      </c>
      <c r="S694" s="2">
        <v>8000</v>
      </c>
      <c r="T694" s="4">
        <v>0.11260000000000001</v>
      </c>
      <c r="U694">
        <v>3</v>
      </c>
      <c r="V694">
        <v>1</v>
      </c>
      <c r="W694">
        <v>1</v>
      </c>
    </row>
    <row r="695" spans="1:23" ht="16.5" x14ac:dyDescent="0.3">
      <c r="A695" t="s">
        <v>749</v>
      </c>
      <c r="B695" s="1">
        <v>45392</v>
      </c>
      <c r="C695">
        <v>2024</v>
      </c>
      <c r="D695" t="s">
        <v>688</v>
      </c>
      <c r="E695" t="s">
        <v>689</v>
      </c>
      <c r="F695" t="s">
        <v>26</v>
      </c>
      <c r="G695" t="s">
        <v>27</v>
      </c>
      <c r="H695" t="s">
        <v>55</v>
      </c>
      <c r="I695" t="s">
        <v>39</v>
      </c>
      <c r="J695" t="s">
        <v>35</v>
      </c>
      <c r="K695" s="2">
        <v>6200</v>
      </c>
      <c r="L695" s="2">
        <v>41500</v>
      </c>
      <c r="M695">
        <v>60</v>
      </c>
      <c r="N695" s="3">
        <v>0.29599999999999999</v>
      </c>
      <c r="O695" t="s">
        <v>16</v>
      </c>
      <c r="Q695">
        <v>1</v>
      </c>
      <c r="R695">
        <v>0</v>
      </c>
      <c r="S695" s="2">
        <v>41500</v>
      </c>
      <c r="T695" s="4">
        <v>8.3900000000000002E-2</v>
      </c>
      <c r="U695">
        <v>2</v>
      </c>
      <c r="V695">
        <v>1</v>
      </c>
      <c r="W695">
        <v>1</v>
      </c>
    </row>
    <row r="696" spans="1:23" ht="16.5" x14ac:dyDescent="0.3">
      <c r="A696" t="s">
        <v>750</v>
      </c>
      <c r="B696" s="1">
        <v>45392</v>
      </c>
      <c r="C696">
        <v>2024</v>
      </c>
      <c r="D696" t="s">
        <v>688</v>
      </c>
      <c r="E696" t="s">
        <v>689</v>
      </c>
      <c r="F696" t="s">
        <v>41</v>
      </c>
      <c r="G696" t="s">
        <v>51</v>
      </c>
      <c r="H696" t="s">
        <v>34</v>
      </c>
      <c r="I696" t="s">
        <v>29</v>
      </c>
      <c r="J696" t="s">
        <v>52</v>
      </c>
      <c r="K696" s="2">
        <v>8500</v>
      </c>
      <c r="L696" s="2">
        <v>53000</v>
      </c>
      <c r="M696">
        <v>12</v>
      </c>
      <c r="N696" s="3">
        <v>0.64500000000000002</v>
      </c>
      <c r="O696" t="s">
        <v>16</v>
      </c>
      <c r="Q696">
        <v>1</v>
      </c>
      <c r="R696">
        <v>0</v>
      </c>
      <c r="S696" s="2">
        <v>42500</v>
      </c>
      <c r="T696" s="4">
        <v>9.64E-2</v>
      </c>
      <c r="U696">
        <v>14</v>
      </c>
      <c r="V696">
        <v>0</v>
      </c>
      <c r="W696">
        <v>1</v>
      </c>
    </row>
    <row r="697" spans="1:23" ht="16.5" x14ac:dyDescent="0.3">
      <c r="A697" t="s">
        <v>751</v>
      </c>
      <c r="B697" s="1">
        <v>45392</v>
      </c>
      <c r="C697">
        <v>2024</v>
      </c>
      <c r="D697" t="s">
        <v>688</v>
      </c>
      <c r="E697" t="s">
        <v>689</v>
      </c>
      <c r="F697" t="s">
        <v>26</v>
      </c>
      <c r="G697" t="s">
        <v>45</v>
      </c>
      <c r="H697" t="s">
        <v>38</v>
      </c>
      <c r="I697" t="s">
        <v>39</v>
      </c>
      <c r="J697" t="s">
        <v>35</v>
      </c>
      <c r="K697" s="2">
        <v>3850</v>
      </c>
      <c r="L697" s="2">
        <v>26000</v>
      </c>
      <c r="M697">
        <v>48</v>
      </c>
      <c r="N697" s="3">
        <v>0.34899999999999998</v>
      </c>
      <c r="O697" t="s">
        <v>17</v>
      </c>
      <c r="P697" t="s">
        <v>48</v>
      </c>
      <c r="Q697">
        <v>0</v>
      </c>
      <c r="R697">
        <v>1</v>
      </c>
      <c r="S697" s="2">
        <v>0</v>
      </c>
      <c r="T697" s="4"/>
      <c r="U697">
        <v>4</v>
      </c>
      <c r="V697">
        <v>1</v>
      </c>
      <c r="W697">
        <v>1</v>
      </c>
    </row>
    <row r="698" spans="1:23" ht="16.5" x14ac:dyDescent="0.3">
      <c r="A698" t="s">
        <v>752</v>
      </c>
      <c r="B698" s="1">
        <v>45393</v>
      </c>
      <c r="C698">
        <v>2024</v>
      </c>
      <c r="D698" t="s">
        <v>688</v>
      </c>
      <c r="E698" t="s">
        <v>689</v>
      </c>
      <c r="F698" t="s">
        <v>37</v>
      </c>
      <c r="G698" t="s">
        <v>51</v>
      </c>
      <c r="H698" t="s">
        <v>38</v>
      </c>
      <c r="I698" t="s">
        <v>29</v>
      </c>
      <c r="J698" t="s">
        <v>30</v>
      </c>
      <c r="K698" s="2">
        <v>3600</v>
      </c>
      <c r="L698" s="2">
        <v>11000</v>
      </c>
      <c r="M698">
        <v>24</v>
      </c>
      <c r="N698" s="3">
        <v>0.29599999999999999</v>
      </c>
      <c r="O698" t="s">
        <v>16</v>
      </c>
      <c r="Q698">
        <v>1</v>
      </c>
      <c r="R698">
        <v>0</v>
      </c>
      <c r="S698" s="2">
        <v>11000</v>
      </c>
      <c r="T698" s="4">
        <v>0.14199999999999999</v>
      </c>
      <c r="U698">
        <v>5</v>
      </c>
      <c r="V698">
        <v>0</v>
      </c>
      <c r="W698">
        <v>1</v>
      </c>
    </row>
    <row r="699" spans="1:23" ht="16.5" x14ac:dyDescent="0.3">
      <c r="A699" t="s">
        <v>753</v>
      </c>
      <c r="B699" s="1">
        <v>45393</v>
      </c>
      <c r="C699">
        <v>2024</v>
      </c>
      <c r="D699" t="s">
        <v>688</v>
      </c>
      <c r="E699" t="s">
        <v>689</v>
      </c>
      <c r="F699" t="s">
        <v>26</v>
      </c>
      <c r="G699" t="s">
        <v>51</v>
      </c>
      <c r="H699" t="s">
        <v>38</v>
      </c>
      <c r="I699" t="s">
        <v>29</v>
      </c>
      <c r="J699" t="s">
        <v>46</v>
      </c>
      <c r="K699" s="2">
        <v>2800</v>
      </c>
      <c r="L699" s="2">
        <v>15000</v>
      </c>
      <c r="M699">
        <v>60</v>
      </c>
      <c r="N699" s="3">
        <v>0.16700000000000001</v>
      </c>
      <c r="O699" t="s">
        <v>16</v>
      </c>
      <c r="Q699">
        <v>1</v>
      </c>
      <c r="R699">
        <v>0</v>
      </c>
      <c r="S699" s="2">
        <v>15000</v>
      </c>
      <c r="T699" s="4">
        <v>6.6299999999999998E-2</v>
      </c>
      <c r="U699">
        <v>5</v>
      </c>
      <c r="V699">
        <v>0</v>
      </c>
      <c r="W699">
        <v>1</v>
      </c>
    </row>
    <row r="700" spans="1:23" ht="16.5" x14ac:dyDescent="0.3">
      <c r="A700" t="s">
        <v>754</v>
      </c>
      <c r="B700" s="1">
        <v>45393</v>
      </c>
      <c r="C700">
        <v>2024</v>
      </c>
      <c r="D700" t="s">
        <v>688</v>
      </c>
      <c r="E700" t="s">
        <v>689</v>
      </c>
      <c r="F700" t="s">
        <v>41</v>
      </c>
      <c r="G700" t="s">
        <v>27</v>
      </c>
      <c r="H700" t="s">
        <v>34</v>
      </c>
      <c r="I700" t="s">
        <v>39</v>
      </c>
      <c r="J700" t="s">
        <v>52</v>
      </c>
      <c r="K700" s="2">
        <v>9450</v>
      </c>
      <c r="L700" s="2">
        <v>56000</v>
      </c>
      <c r="M700">
        <v>36</v>
      </c>
      <c r="N700" s="3">
        <v>0.29099999999999998</v>
      </c>
      <c r="O700" t="s">
        <v>17</v>
      </c>
      <c r="P700" t="s">
        <v>65</v>
      </c>
      <c r="Q700">
        <v>0</v>
      </c>
      <c r="R700">
        <v>1</v>
      </c>
      <c r="S700" s="2">
        <v>0</v>
      </c>
      <c r="T700" s="4"/>
      <c r="U700">
        <v>10</v>
      </c>
      <c r="V700">
        <v>1</v>
      </c>
      <c r="W700">
        <v>1</v>
      </c>
    </row>
    <row r="701" spans="1:23" ht="16.5" x14ac:dyDescent="0.3">
      <c r="A701" t="s">
        <v>755</v>
      </c>
      <c r="B701" s="1">
        <v>45393</v>
      </c>
      <c r="C701">
        <v>2024</v>
      </c>
      <c r="D701" t="s">
        <v>688</v>
      </c>
      <c r="E701" t="s">
        <v>689</v>
      </c>
      <c r="F701" t="s">
        <v>37</v>
      </c>
      <c r="G701" t="s">
        <v>51</v>
      </c>
      <c r="H701" t="s">
        <v>55</v>
      </c>
      <c r="I701" t="s">
        <v>29</v>
      </c>
      <c r="J701" t="s">
        <v>52</v>
      </c>
      <c r="K701" s="2">
        <v>8000</v>
      </c>
      <c r="L701" s="2">
        <v>11500</v>
      </c>
      <c r="M701">
        <v>24</v>
      </c>
      <c r="N701" s="3">
        <v>0.27100000000000002</v>
      </c>
      <c r="O701" t="s">
        <v>16</v>
      </c>
      <c r="Q701">
        <v>1</v>
      </c>
      <c r="R701">
        <v>0</v>
      </c>
      <c r="S701" s="2">
        <v>11500</v>
      </c>
      <c r="T701" s="4">
        <v>0.114</v>
      </c>
      <c r="U701">
        <v>5</v>
      </c>
      <c r="V701">
        <v>0</v>
      </c>
      <c r="W701">
        <v>1</v>
      </c>
    </row>
    <row r="702" spans="1:23" ht="16.5" x14ac:dyDescent="0.3">
      <c r="A702" t="s">
        <v>756</v>
      </c>
      <c r="B702" s="1">
        <v>45393</v>
      </c>
      <c r="C702">
        <v>2024</v>
      </c>
      <c r="D702" t="s">
        <v>688</v>
      </c>
      <c r="E702" t="s">
        <v>689</v>
      </c>
      <c r="F702" t="s">
        <v>41</v>
      </c>
      <c r="G702" t="s">
        <v>51</v>
      </c>
      <c r="H702" t="s">
        <v>28</v>
      </c>
      <c r="I702" t="s">
        <v>29</v>
      </c>
      <c r="J702" t="s">
        <v>46</v>
      </c>
      <c r="K702" s="2">
        <v>4450</v>
      </c>
      <c r="L702" s="2">
        <v>94000</v>
      </c>
      <c r="M702">
        <v>60</v>
      </c>
      <c r="N702" s="3">
        <v>0.56999999999999995</v>
      </c>
      <c r="O702" t="s">
        <v>16</v>
      </c>
      <c r="Q702">
        <v>1</v>
      </c>
      <c r="R702">
        <v>0</v>
      </c>
      <c r="S702" s="2">
        <v>75000</v>
      </c>
      <c r="T702" s="4">
        <v>9.2799999999999994E-2</v>
      </c>
      <c r="U702">
        <v>16</v>
      </c>
      <c r="V702">
        <v>0</v>
      </c>
      <c r="W702">
        <v>1</v>
      </c>
    </row>
    <row r="703" spans="1:23" ht="16.5" x14ac:dyDescent="0.3">
      <c r="A703" t="s">
        <v>757</v>
      </c>
      <c r="B703" s="1">
        <v>45393</v>
      </c>
      <c r="C703">
        <v>2024</v>
      </c>
      <c r="D703" t="s">
        <v>688</v>
      </c>
      <c r="E703" t="s">
        <v>689</v>
      </c>
      <c r="F703" t="s">
        <v>37</v>
      </c>
      <c r="G703" t="s">
        <v>27</v>
      </c>
      <c r="H703" t="s">
        <v>28</v>
      </c>
      <c r="I703" t="s">
        <v>29</v>
      </c>
      <c r="J703" t="s">
        <v>30</v>
      </c>
      <c r="K703" s="2">
        <v>3600</v>
      </c>
      <c r="L703" s="2">
        <v>13000</v>
      </c>
      <c r="M703">
        <v>48</v>
      </c>
      <c r="N703" s="3">
        <v>0.17</v>
      </c>
      <c r="O703" t="s">
        <v>17</v>
      </c>
      <c r="P703" t="s">
        <v>60</v>
      </c>
      <c r="Q703">
        <v>0</v>
      </c>
      <c r="R703">
        <v>1</v>
      </c>
      <c r="S703" s="2">
        <v>0</v>
      </c>
      <c r="T703" s="4"/>
      <c r="U703">
        <v>7</v>
      </c>
      <c r="V703">
        <v>0</v>
      </c>
      <c r="W703">
        <v>1</v>
      </c>
    </row>
    <row r="704" spans="1:23" ht="16.5" x14ac:dyDescent="0.3">
      <c r="A704" t="s">
        <v>758</v>
      </c>
      <c r="B704" s="1">
        <v>45393</v>
      </c>
      <c r="C704">
        <v>2024</v>
      </c>
      <c r="D704" t="s">
        <v>688</v>
      </c>
      <c r="E704" t="s">
        <v>689</v>
      </c>
      <c r="F704" t="s">
        <v>37</v>
      </c>
      <c r="G704" t="s">
        <v>51</v>
      </c>
      <c r="H704" t="s">
        <v>64</v>
      </c>
      <c r="I704" t="s">
        <v>39</v>
      </c>
      <c r="J704" t="s">
        <v>30</v>
      </c>
      <c r="K704" s="2">
        <v>4400</v>
      </c>
      <c r="L704" s="2">
        <v>6500</v>
      </c>
      <c r="M704">
        <v>24</v>
      </c>
      <c r="N704" s="3">
        <v>0.29699999999999999</v>
      </c>
      <c r="O704" t="s">
        <v>17</v>
      </c>
      <c r="P704" t="s">
        <v>31</v>
      </c>
      <c r="Q704">
        <v>0</v>
      </c>
      <c r="R704">
        <v>1</v>
      </c>
      <c r="S704" s="2">
        <v>0</v>
      </c>
      <c r="T704" s="4"/>
      <c r="U704">
        <v>8</v>
      </c>
      <c r="V704">
        <v>0</v>
      </c>
      <c r="W704">
        <v>1</v>
      </c>
    </row>
    <row r="705" spans="1:23" ht="16.5" x14ac:dyDescent="0.3">
      <c r="A705" t="s">
        <v>759</v>
      </c>
      <c r="B705" s="1">
        <v>45393</v>
      </c>
      <c r="C705">
        <v>2024</v>
      </c>
      <c r="D705" t="s">
        <v>688</v>
      </c>
      <c r="E705" t="s">
        <v>689</v>
      </c>
      <c r="F705" t="s">
        <v>41</v>
      </c>
      <c r="G705" t="s">
        <v>45</v>
      </c>
      <c r="H705" t="s">
        <v>34</v>
      </c>
      <c r="I705" t="s">
        <v>42</v>
      </c>
      <c r="J705" t="s">
        <v>52</v>
      </c>
      <c r="K705" s="2">
        <v>6700</v>
      </c>
      <c r="L705" s="2">
        <v>28000</v>
      </c>
      <c r="M705">
        <v>24</v>
      </c>
      <c r="N705" s="3">
        <v>0.442</v>
      </c>
      <c r="O705" t="s">
        <v>16</v>
      </c>
      <c r="Q705">
        <v>1</v>
      </c>
      <c r="R705">
        <v>0</v>
      </c>
      <c r="S705" s="2">
        <v>22500</v>
      </c>
      <c r="T705" s="4">
        <v>9.8299999999999998E-2</v>
      </c>
      <c r="U705">
        <v>6</v>
      </c>
      <c r="V705">
        <v>1</v>
      </c>
      <c r="W705">
        <v>1</v>
      </c>
    </row>
    <row r="706" spans="1:23" ht="16.5" x14ac:dyDescent="0.3">
      <c r="A706" t="s">
        <v>760</v>
      </c>
      <c r="B706" s="1">
        <v>45393</v>
      </c>
      <c r="C706">
        <v>2024</v>
      </c>
      <c r="D706" t="s">
        <v>688</v>
      </c>
      <c r="E706" t="s">
        <v>689</v>
      </c>
      <c r="F706" t="s">
        <v>41</v>
      </c>
      <c r="G706" t="s">
        <v>33</v>
      </c>
      <c r="H706" t="s">
        <v>55</v>
      </c>
      <c r="I706" t="s">
        <v>39</v>
      </c>
      <c r="J706" t="s">
        <v>35</v>
      </c>
      <c r="K706" s="2">
        <v>3950</v>
      </c>
      <c r="L706" s="2">
        <v>138500</v>
      </c>
      <c r="M706">
        <v>60</v>
      </c>
      <c r="N706" s="3">
        <v>0.95899999999999996</v>
      </c>
      <c r="O706" t="s">
        <v>16</v>
      </c>
      <c r="Q706">
        <v>1</v>
      </c>
      <c r="R706">
        <v>0</v>
      </c>
      <c r="S706" s="2">
        <v>138500</v>
      </c>
      <c r="T706" s="4">
        <v>0.10539999999999999</v>
      </c>
      <c r="U706">
        <v>12</v>
      </c>
      <c r="V706">
        <v>0</v>
      </c>
      <c r="W706">
        <v>1</v>
      </c>
    </row>
    <row r="707" spans="1:23" ht="16.5" x14ac:dyDescent="0.3">
      <c r="A707" t="s">
        <v>761</v>
      </c>
      <c r="B707" s="1">
        <v>45393</v>
      </c>
      <c r="C707">
        <v>2024</v>
      </c>
      <c r="D707" t="s">
        <v>688</v>
      </c>
      <c r="E707" t="s">
        <v>689</v>
      </c>
      <c r="F707" t="s">
        <v>26</v>
      </c>
      <c r="G707" t="s">
        <v>33</v>
      </c>
      <c r="H707" t="s">
        <v>55</v>
      </c>
      <c r="I707" t="s">
        <v>42</v>
      </c>
      <c r="J707" t="s">
        <v>46</v>
      </c>
      <c r="K707" s="2">
        <v>3400</v>
      </c>
      <c r="L707" s="2">
        <v>37000</v>
      </c>
      <c r="M707">
        <v>36</v>
      </c>
      <c r="N707" s="3">
        <v>0.44600000000000001</v>
      </c>
      <c r="O707" t="s">
        <v>17</v>
      </c>
      <c r="P707" t="s">
        <v>60</v>
      </c>
      <c r="Q707">
        <v>0</v>
      </c>
      <c r="R707">
        <v>1</v>
      </c>
      <c r="S707" s="2">
        <v>0</v>
      </c>
      <c r="T707" s="4"/>
      <c r="U707">
        <v>6</v>
      </c>
      <c r="V707">
        <v>0</v>
      </c>
      <c r="W707">
        <v>1</v>
      </c>
    </row>
    <row r="708" spans="1:23" ht="16.5" x14ac:dyDescent="0.3">
      <c r="A708" t="s">
        <v>762</v>
      </c>
      <c r="B708" s="1">
        <v>45394</v>
      </c>
      <c r="C708">
        <v>2024</v>
      </c>
      <c r="D708" t="s">
        <v>688</v>
      </c>
      <c r="E708" t="s">
        <v>689</v>
      </c>
      <c r="F708" t="s">
        <v>37</v>
      </c>
      <c r="G708" t="s">
        <v>27</v>
      </c>
      <c r="H708" t="s">
        <v>55</v>
      </c>
      <c r="I708" t="s">
        <v>29</v>
      </c>
      <c r="J708" t="s">
        <v>43</v>
      </c>
      <c r="K708" s="2">
        <v>11700</v>
      </c>
      <c r="L708" s="2">
        <v>24500</v>
      </c>
      <c r="M708">
        <v>24</v>
      </c>
      <c r="N708" s="3">
        <v>0.17499999999999999</v>
      </c>
      <c r="O708" t="s">
        <v>17</v>
      </c>
      <c r="P708" t="s">
        <v>65</v>
      </c>
      <c r="Q708">
        <v>0</v>
      </c>
      <c r="R708">
        <v>1</v>
      </c>
      <c r="S708" s="2">
        <v>0</v>
      </c>
      <c r="T708" s="4"/>
      <c r="U708">
        <v>2</v>
      </c>
      <c r="V708">
        <v>1</v>
      </c>
      <c r="W708">
        <v>1</v>
      </c>
    </row>
    <row r="709" spans="1:23" ht="16.5" x14ac:dyDescent="0.3">
      <c r="A709" t="s">
        <v>763</v>
      </c>
      <c r="B709" s="1">
        <v>45394</v>
      </c>
      <c r="C709">
        <v>2024</v>
      </c>
      <c r="D709" t="s">
        <v>688</v>
      </c>
      <c r="E709" t="s">
        <v>689</v>
      </c>
      <c r="F709" t="s">
        <v>41</v>
      </c>
      <c r="G709" t="s">
        <v>51</v>
      </c>
      <c r="H709" t="s">
        <v>34</v>
      </c>
      <c r="I709" t="s">
        <v>39</v>
      </c>
      <c r="J709" t="s">
        <v>35</v>
      </c>
      <c r="K709" s="2">
        <v>4900</v>
      </c>
      <c r="L709" s="2">
        <v>56500</v>
      </c>
      <c r="M709">
        <v>60</v>
      </c>
      <c r="N709" s="3">
        <v>0.46100000000000002</v>
      </c>
      <c r="O709" t="s">
        <v>16</v>
      </c>
      <c r="Q709">
        <v>1</v>
      </c>
      <c r="R709">
        <v>0</v>
      </c>
      <c r="S709" s="2">
        <v>56500</v>
      </c>
      <c r="T709" s="4">
        <v>0.11210000000000001</v>
      </c>
      <c r="U709">
        <v>29</v>
      </c>
      <c r="V709">
        <v>0</v>
      </c>
      <c r="W709">
        <v>1</v>
      </c>
    </row>
    <row r="710" spans="1:23" ht="16.5" x14ac:dyDescent="0.3">
      <c r="A710" t="s">
        <v>764</v>
      </c>
      <c r="B710" s="1">
        <v>45394</v>
      </c>
      <c r="C710">
        <v>2024</v>
      </c>
      <c r="D710" t="s">
        <v>688</v>
      </c>
      <c r="E710" t="s">
        <v>689</v>
      </c>
      <c r="F710" t="s">
        <v>37</v>
      </c>
      <c r="G710" t="s">
        <v>45</v>
      </c>
      <c r="H710" t="s">
        <v>64</v>
      </c>
      <c r="I710" t="s">
        <v>39</v>
      </c>
      <c r="J710" t="s">
        <v>46</v>
      </c>
      <c r="K710" s="2">
        <v>5550</v>
      </c>
      <c r="L710" s="2">
        <v>8000</v>
      </c>
      <c r="M710">
        <v>12</v>
      </c>
      <c r="N710" s="3">
        <v>0.35599999999999998</v>
      </c>
      <c r="O710" t="s">
        <v>16</v>
      </c>
      <c r="Q710">
        <v>1</v>
      </c>
      <c r="R710">
        <v>0</v>
      </c>
      <c r="S710" s="2">
        <v>6500</v>
      </c>
      <c r="T710" s="4">
        <v>0.10829999999999999</v>
      </c>
      <c r="U710">
        <v>2</v>
      </c>
      <c r="V710">
        <v>1</v>
      </c>
      <c r="W710">
        <v>1</v>
      </c>
    </row>
    <row r="711" spans="1:23" ht="16.5" x14ac:dyDescent="0.3">
      <c r="A711" t="s">
        <v>765</v>
      </c>
      <c r="B711" s="1">
        <v>45394</v>
      </c>
      <c r="C711">
        <v>2024</v>
      </c>
      <c r="D711" t="s">
        <v>688</v>
      </c>
      <c r="E711" t="s">
        <v>689</v>
      </c>
      <c r="F711" t="s">
        <v>37</v>
      </c>
      <c r="G711" t="s">
        <v>51</v>
      </c>
      <c r="H711" t="s">
        <v>64</v>
      </c>
      <c r="I711" t="s">
        <v>42</v>
      </c>
      <c r="J711" t="s">
        <v>30</v>
      </c>
      <c r="K711" s="2">
        <v>5050</v>
      </c>
      <c r="L711" s="2">
        <v>11000</v>
      </c>
      <c r="M711">
        <v>48</v>
      </c>
      <c r="N711" s="3">
        <v>0.16200000000000001</v>
      </c>
      <c r="O711" t="s">
        <v>17</v>
      </c>
      <c r="P711" t="s">
        <v>48</v>
      </c>
      <c r="Q711">
        <v>0</v>
      </c>
      <c r="R711">
        <v>1</v>
      </c>
      <c r="S711" s="2">
        <v>0</v>
      </c>
      <c r="T711" s="4"/>
      <c r="U711">
        <v>4</v>
      </c>
      <c r="V711">
        <v>0</v>
      </c>
      <c r="W711">
        <v>1</v>
      </c>
    </row>
    <row r="712" spans="1:23" ht="16.5" x14ac:dyDescent="0.3">
      <c r="A712" t="s">
        <v>766</v>
      </c>
      <c r="B712" s="1">
        <v>45394</v>
      </c>
      <c r="C712">
        <v>2024</v>
      </c>
      <c r="D712" t="s">
        <v>688</v>
      </c>
      <c r="E712" t="s">
        <v>689</v>
      </c>
      <c r="F712" t="s">
        <v>37</v>
      </c>
      <c r="G712" t="s">
        <v>45</v>
      </c>
      <c r="H712" t="s">
        <v>34</v>
      </c>
      <c r="I712" t="s">
        <v>39</v>
      </c>
      <c r="J712" t="s">
        <v>30</v>
      </c>
      <c r="K712" s="2">
        <v>2500</v>
      </c>
      <c r="L712" s="2">
        <v>12500</v>
      </c>
      <c r="M712">
        <v>48</v>
      </c>
      <c r="N712" s="3">
        <v>0.19500000000000001</v>
      </c>
      <c r="O712" t="s">
        <v>17</v>
      </c>
      <c r="P712" t="s">
        <v>31</v>
      </c>
      <c r="Q712">
        <v>0</v>
      </c>
      <c r="R712">
        <v>1</v>
      </c>
      <c r="S712" s="2">
        <v>0</v>
      </c>
      <c r="T712" s="4"/>
      <c r="U712">
        <v>3</v>
      </c>
      <c r="V712">
        <v>1</v>
      </c>
      <c r="W712">
        <v>1</v>
      </c>
    </row>
    <row r="713" spans="1:23" ht="16.5" x14ac:dyDescent="0.3">
      <c r="A713" t="s">
        <v>767</v>
      </c>
      <c r="B713" s="1">
        <v>45394</v>
      </c>
      <c r="C713">
        <v>2024</v>
      </c>
      <c r="D713" t="s">
        <v>688</v>
      </c>
      <c r="E713" t="s">
        <v>689</v>
      </c>
      <c r="F713" t="s">
        <v>37</v>
      </c>
      <c r="G713" t="s">
        <v>51</v>
      </c>
      <c r="H713" t="s">
        <v>34</v>
      </c>
      <c r="I713" t="s">
        <v>29</v>
      </c>
      <c r="J713" t="s">
        <v>52</v>
      </c>
      <c r="K713" s="2">
        <v>2850</v>
      </c>
      <c r="L713" s="2">
        <v>9000</v>
      </c>
      <c r="M713">
        <v>24</v>
      </c>
      <c r="N713" s="3">
        <v>0.224</v>
      </c>
      <c r="O713" t="s">
        <v>16</v>
      </c>
      <c r="Q713">
        <v>1</v>
      </c>
      <c r="R713">
        <v>0</v>
      </c>
      <c r="S713" s="2">
        <v>8000</v>
      </c>
      <c r="T713" s="4">
        <v>0.11849999999999999</v>
      </c>
      <c r="U713">
        <v>3</v>
      </c>
      <c r="V713">
        <v>1</v>
      </c>
      <c r="W713">
        <v>1</v>
      </c>
    </row>
    <row r="714" spans="1:23" ht="16.5" x14ac:dyDescent="0.3">
      <c r="A714" t="s">
        <v>768</v>
      </c>
      <c r="B714" s="1">
        <v>45394</v>
      </c>
      <c r="C714">
        <v>2024</v>
      </c>
      <c r="D714" t="s">
        <v>688</v>
      </c>
      <c r="E714" t="s">
        <v>689</v>
      </c>
      <c r="F714" t="s">
        <v>37</v>
      </c>
      <c r="G714" t="s">
        <v>27</v>
      </c>
      <c r="H714" t="s">
        <v>38</v>
      </c>
      <c r="I714" t="s">
        <v>39</v>
      </c>
      <c r="J714" t="s">
        <v>35</v>
      </c>
      <c r="K714" s="2">
        <v>7200</v>
      </c>
      <c r="L714" s="2">
        <v>7000</v>
      </c>
      <c r="M714">
        <v>36</v>
      </c>
      <c r="N714" s="3">
        <v>8.4000000000000005E-2</v>
      </c>
      <c r="O714" t="s">
        <v>16</v>
      </c>
      <c r="Q714">
        <v>1</v>
      </c>
      <c r="R714">
        <v>0</v>
      </c>
      <c r="S714" s="2">
        <v>7000</v>
      </c>
      <c r="T714" s="4">
        <v>0.1244</v>
      </c>
      <c r="U714">
        <v>3</v>
      </c>
      <c r="V714">
        <v>1</v>
      </c>
      <c r="W714">
        <v>1</v>
      </c>
    </row>
    <row r="715" spans="1:23" ht="16.5" x14ac:dyDescent="0.3">
      <c r="A715" t="s">
        <v>769</v>
      </c>
      <c r="B715" s="1">
        <v>45394</v>
      </c>
      <c r="C715">
        <v>2024</v>
      </c>
      <c r="D715" t="s">
        <v>688</v>
      </c>
      <c r="E715" t="s">
        <v>689</v>
      </c>
      <c r="F715" t="s">
        <v>37</v>
      </c>
      <c r="G715" t="s">
        <v>33</v>
      </c>
      <c r="H715" t="s">
        <v>38</v>
      </c>
      <c r="I715" t="s">
        <v>29</v>
      </c>
      <c r="J715" t="s">
        <v>35</v>
      </c>
      <c r="K715" s="2">
        <v>4700</v>
      </c>
      <c r="L715" s="2">
        <v>10000</v>
      </c>
      <c r="M715">
        <v>24</v>
      </c>
      <c r="N715" s="3">
        <v>0.17899999999999999</v>
      </c>
      <c r="O715" t="s">
        <v>16</v>
      </c>
      <c r="Q715">
        <v>1</v>
      </c>
      <c r="R715">
        <v>0</v>
      </c>
      <c r="S715" s="2">
        <v>10000</v>
      </c>
      <c r="T715" s="4">
        <v>0.1234</v>
      </c>
      <c r="U715">
        <v>1</v>
      </c>
      <c r="V715">
        <v>1</v>
      </c>
      <c r="W715">
        <v>1</v>
      </c>
    </row>
    <row r="716" spans="1:23" ht="16.5" x14ac:dyDescent="0.3">
      <c r="A716" t="s">
        <v>770</v>
      </c>
      <c r="B716" s="1">
        <v>45394</v>
      </c>
      <c r="C716">
        <v>2024</v>
      </c>
      <c r="D716" t="s">
        <v>688</v>
      </c>
      <c r="E716" t="s">
        <v>689</v>
      </c>
      <c r="F716" t="s">
        <v>41</v>
      </c>
      <c r="G716" t="s">
        <v>45</v>
      </c>
      <c r="H716" t="s">
        <v>38</v>
      </c>
      <c r="I716" t="s">
        <v>29</v>
      </c>
      <c r="J716" t="s">
        <v>30</v>
      </c>
      <c r="K716" s="2">
        <v>2250</v>
      </c>
      <c r="L716" s="2">
        <v>71000</v>
      </c>
      <c r="M716">
        <v>36</v>
      </c>
      <c r="N716" s="3">
        <v>1.099</v>
      </c>
      <c r="O716" t="s">
        <v>17</v>
      </c>
      <c r="P716" t="s">
        <v>53</v>
      </c>
      <c r="Q716">
        <v>0</v>
      </c>
      <c r="R716">
        <v>1</v>
      </c>
      <c r="S716" s="2">
        <v>0</v>
      </c>
      <c r="T716" s="4"/>
      <c r="U716">
        <v>5</v>
      </c>
      <c r="V716">
        <v>1</v>
      </c>
      <c r="W716">
        <v>1</v>
      </c>
    </row>
    <row r="717" spans="1:23" ht="16.5" x14ac:dyDescent="0.3">
      <c r="A717" t="s">
        <v>771</v>
      </c>
      <c r="B717" s="1">
        <v>45394</v>
      </c>
      <c r="C717">
        <v>2024</v>
      </c>
      <c r="D717" t="s">
        <v>688</v>
      </c>
      <c r="E717" t="s">
        <v>689</v>
      </c>
      <c r="F717" t="s">
        <v>41</v>
      </c>
      <c r="G717" t="s">
        <v>45</v>
      </c>
      <c r="H717" t="s">
        <v>38</v>
      </c>
      <c r="I717" t="s">
        <v>39</v>
      </c>
      <c r="J717" t="s">
        <v>46</v>
      </c>
      <c r="K717" s="2">
        <v>8450</v>
      </c>
      <c r="L717" s="2">
        <v>89500</v>
      </c>
      <c r="M717">
        <v>12</v>
      </c>
      <c r="N717" s="3">
        <v>1.0129999999999999</v>
      </c>
      <c r="O717" t="s">
        <v>17</v>
      </c>
      <c r="P717" t="s">
        <v>53</v>
      </c>
      <c r="Q717">
        <v>0</v>
      </c>
      <c r="R717">
        <v>1</v>
      </c>
      <c r="S717" s="2">
        <v>0</v>
      </c>
      <c r="T717" s="4"/>
      <c r="U717">
        <v>4</v>
      </c>
      <c r="V717">
        <v>1</v>
      </c>
      <c r="W717">
        <v>1</v>
      </c>
    </row>
    <row r="718" spans="1:23" ht="16.5" x14ac:dyDescent="0.3">
      <c r="A718" t="s">
        <v>772</v>
      </c>
      <c r="B718" s="1">
        <v>45395</v>
      </c>
      <c r="C718">
        <v>2024</v>
      </c>
      <c r="D718" t="s">
        <v>688</v>
      </c>
      <c r="E718" t="s">
        <v>689</v>
      </c>
      <c r="F718" t="s">
        <v>41</v>
      </c>
      <c r="G718" t="s">
        <v>45</v>
      </c>
      <c r="H718" t="s">
        <v>55</v>
      </c>
      <c r="I718" t="s">
        <v>29</v>
      </c>
      <c r="J718" t="s">
        <v>35</v>
      </c>
      <c r="K718" s="2">
        <v>3150</v>
      </c>
      <c r="L718" s="2">
        <v>99000</v>
      </c>
      <c r="M718">
        <v>60</v>
      </c>
      <c r="N718" s="3">
        <v>0.81399999999999995</v>
      </c>
      <c r="O718" t="s">
        <v>17</v>
      </c>
      <c r="P718" t="s">
        <v>53</v>
      </c>
      <c r="Q718">
        <v>0</v>
      </c>
      <c r="R718">
        <v>1</v>
      </c>
      <c r="S718" s="2">
        <v>0</v>
      </c>
      <c r="T718" s="4"/>
      <c r="U718">
        <v>9</v>
      </c>
      <c r="V718">
        <v>1</v>
      </c>
      <c r="W718">
        <v>1</v>
      </c>
    </row>
    <row r="719" spans="1:23" ht="16.5" x14ac:dyDescent="0.3">
      <c r="A719" t="s">
        <v>773</v>
      </c>
      <c r="B719" s="1">
        <v>45395</v>
      </c>
      <c r="C719">
        <v>2024</v>
      </c>
      <c r="D719" t="s">
        <v>688</v>
      </c>
      <c r="E719" t="s">
        <v>689</v>
      </c>
      <c r="F719" t="s">
        <v>50</v>
      </c>
      <c r="G719" t="s">
        <v>51</v>
      </c>
      <c r="H719" t="s">
        <v>55</v>
      </c>
      <c r="I719" t="s">
        <v>42</v>
      </c>
      <c r="J719" t="s">
        <v>52</v>
      </c>
      <c r="K719" s="2">
        <v>5550</v>
      </c>
      <c r="L719" s="2">
        <v>219500</v>
      </c>
      <c r="M719">
        <v>240</v>
      </c>
      <c r="N719" s="3">
        <v>0.371</v>
      </c>
      <c r="O719" t="s">
        <v>17</v>
      </c>
      <c r="P719" t="s">
        <v>65</v>
      </c>
      <c r="Q719">
        <v>0</v>
      </c>
      <c r="R719">
        <v>1</v>
      </c>
      <c r="S719" s="2">
        <v>0</v>
      </c>
      <c r="T719" s="4"/>
      <c r="U719">
        <v>15</v>
      </c>
      <c r="V719">
        <v>1</v>
      </c>
      <c r="W719">
        <v>1</v>
      </c>
    </row>
    <row r="720" spans="1:23" ht="16.5" x14ac:dyDescent="0.3">
      <c r="A720" t="s">
        <v>774</v>
      </c>
      <c r="B720" s="1">
        <v>45395</v>
      </c>
      <c r="C720">
        <v>2024</v>
      </c>
      <c r="D720" t="s">
        <v>688</v>
      </c>
      <c r="E720" t="s">
        <v>689</v>
      </c>
      <c r="F720" t="s">
        <v>37</v>
      </c>
      <c r="G720" t="s">
        <v>51</v>
      </c>
      <c r="H720" t="s">
        <v>64</v>
      </c>
      <c r="I720" t="s">
        <v>39</v>
      </c>
      <c r="J720" t="s">
        <v>35</v>
      </c>
      <c r="K720" s="2">
        <v>7450</v>
      </c>
      <c r="L720" s="2">
        <v>14000</v>
      </c>
      <c r="M720">
        <v>60</v>
      </c>
      <c r="N720" s="3">
        <v>0.13800000000000001</v>
      </c>
      <c r="O720" t="s">
        <v>16</v>
      </c>
      <c r="Q720">
        <v>1</v>
      </c>
      <c r="R720">
        <v>0</v>
      </c>
      <c r="S720" s="2">
        <v>14000</v>
      </c>
      <c r="T720" s="4">
        <v>0.1236</v>
      </c>
      <c r="U720">
        <v>6</v>
      </c>
      <c r="V720">
        <v>0</v>
      </c>
      <c r="W720">
        <v>1</v>
      </c>
    </row>
    <row r="721" spans="1:23" ht="16.5" x14ac:dyDescent="0.3">
      <c r="A721" t="s">
        <v>775</v>
      </c>
      <c r="B721" s="1">
        <v>45395</v>
      </c>
      <c r="C721">
        <v>2024</v>
      </c>
      <c r="D721" t="s">
        <v>688</v>
      </c>
      <c r="E721" t="s">
        <v>689</v>
      </c>
      <c r="F721" t="s">
        <v>37</v>
      </c>
      <c r="G721" t="s">
        <v>27</v>
      </c>
      <c r="H721" t="s">
        <v>34</v>
      </c>
      <c r="I721" t="s">
        <v>29</v>
      </c>
      <c r="J721" t="s">
        <v>52</v>
      </c>
      <c r="K721" s="2">
        <v>2450</v>
      </c>
      <c r="L721" s="2">
        <v>21000</v>
      </c>
      <c r="M721">
        <v>36</v>
      </c>
      <c r="N721" s="3">
        <v>0.47</v>
      </c>
      <c r="O721" t="s">
        <v>16</v>
      </c>
      <c r="Q721">
        <v>1</v>
      </c>
      <c r="R721">
        <v>0</v>
      </c>
      <c r="S721" s="2">
        <v>17000</v>
      </c>
      <c r="T721" s="4">
        <v>0.11550000000000001</v>
      </c>
      <c r="U721">
        <v>4</v>
      </c>
      <c r="V721">
        <v>0</v>
      </c>
      <c r="W721">
        <v>1</v>
      </c>
    </row>
    <row r="722" spans="1:23" ht="16.5" x14ac:dyDescent="0.3">
      <c r="A722" t="s">
        <v>776</v>
      </c>
      <c r="B722" s="1">
        <v>45396</v>
      </c>
      <c r="C722">
        <v>2024</v>
      </c>
      <c r="D722" t="s">
        <v>688</v>
      </c>
      <c r="E722" t="s">
        <v>689</v>
      </c>
      <c r="F722" t="s">
        <v>41</v>
      </c>
      <c r="G722" t="s">
        <v>51</v>
      </c>
      <c r="H722" t="s">
        <v>34</v>
      </c>
      <c r="I722" t="s">
        <v>39</v>
      </c>
      <c r="J722" t="s">
        <v>46</v>
      </c>
      <c r="K722" s="2">
        <v>7900</v>
      </c>
      <c r="L722" s="2">
        <v>28000</v>
      </c>
      <c r="M722">
        <v>24</v>
      </c>
      <c r="N722" s="3">
        <v>0.38600000000000001</v>
      </c>
      <c r="O722" t="s">
        <v>16</v>
      </c>
      <c r="Q722">
        <v>1</v>
      </c>
      <c r="R722">
        <v>0</v>
      </c>
      <c r="S722" s="2">
        <v>28000</v>
      </c>
      <c r="T722" s="4">
        <v>8.8900000000000007E-2</v>
      </c>
      <c r="U722">
        <v>6</v>
      </c>
      <c r="V722">
        <v>1</v>
      </c>
      <c r="W722">
        <v>1</v>
      </c>
    </row>
    <row r="723" spans="1:23" ht="16.5" x14ac:dyDescent="0.3">
      <c r="A723" t="s">
        <v>777</v>
      </c>
      <c r="B723" s="1">
        <v>45396</v>
      </c>
      <c r="C723">
        <v>2024</v>
      </c>
      <c r="D723" t="s">
        <v>688</v>
      </c>
      <c r="E723" t="s">
        <v>689</v>
      </c>
      <c r="F723" t="s">
        <v>50</v>
      </c>
      <c r="G723" t="s">
        <v>27</v>
      </c>
      <c r="H723" t="s">
        <v>55</v>
      </c>
      <c r="I723" t="s">
        <v>39</v>
      </c>
      <c r="J723" t="s">
        <v>43</v>
      </c>
      <c r="K723" s="2">
        <v>8150</v>
      </c>
      <c r="L723" s="2">
        <v>297500</v>
      </c>
      <c r="M723">
        <v>240</v>
      </c>
      <c r="N723" s="3">
        <v>0.42199999999999999</v>
      </c>
      <c r="O723" t="s">
        <v>17</v>
      </c>
      <c r="P723" t="s">
        <v>60</v>
      </c>
      <c r="Q723">
        <v>0</v>
      </c>
      <c r="R723">
        <v>1</v>
      </c>
      <c r="S723" s="2">
        <v>0</v>
      </c>
      <c r="T723" s="4"/>
      <c r="U723">
        <v>27</v>
      </c>
      <c r="V723">
        <v>0</v>
      </c>
      <c r="W723">
        <v>1</v>
      </c>
    </row>
    <row r="724" spans="1:23" ht="16.5" x14ac:dyDescent="0.3">
      <c r="A724" t="s">
        <v>778</v>
      </c>
      <c r="B724" s="1">
        <v>45396</v>
      </c>
      <c r="C724">
        <v>2024</v>
      </c>
      <c r="D724" t="s">
        <v>688</v>
      </c>
      <c r="E724" t="s">
        <v>689</v>
      </c>
      <c r="F724" t="s">
        <v>37</v>
      </c>
      <c r="G724" t="s">
        <v>33</v>
      </c>
      <c r="H724" t="s">
        <v>38</v>
      </c>
      <c r="I724" t="s">
        <v>39</v>
      </c>
      <c r="J724" t="s">
        <v>35</v>
      </c>
      <c r="K724" s="2">
        <v>4350</v>
      </c>
      <c r="L724" s="2">
        <v>10500</v>
      </c>
      <c r="M724">
        <v>12</v>
      </c>
      <c r="N724" s="3">
        <v>0.38300000000000001</v>
      </c>
      <c r="O724" t="s">
        <v>16</v>
      </c>
      <c r="Q724">
        <v>1</v>
      </c>
      <c r="R724">
        <v>0</v>
      </c>
      <c r="S724" s="2">
        <v>10500</v>
      </c>
      <c r="T724" s="4">
        <v>0.12609999999999999</v>
      </c>
      <c r="U724">
        <v>2</v>
      </c>
      <c r="V724">
        <v>1</v>
      </c>
      <c r="W724">
        <v>1</v>
      </c>
    </row>
    <row r="725" spans="1:23" ht="16.5" x14ac:dyDescent="0.3">
      <c r="A725" t="s">
        <v>779</v>
      </c>
      <c r="B725" s="1">
        <v>45396</v>
      </c>
      <c r="C725">
        <v>2024</v>
      </c>
      <c r="D725" t="s">
        <v>688</v>
      </c>
      <c r="E725" t="s">
        <v>689</v>
      </c>
      <c r="F725" t="s">
        <v>37</v>
      </c>
      <c r="G725" t="s">
        <v>45</v>
      </c>
      <c r="H725" t="s">
        <v>38</v>
      </c>
      <c r="I725" t="s">
        <v>39</v>
      </c>
      <c r="J725" t="s">
        <v>35</v>
      </c>
      <c r="K725" s="2">
        <v>5250</v>
      </c>
      <c r="L725" s="2">
        <v>7000</v>
      </c>
      <c r="M725">
        <v>60</v>
      </c>
      <c r="N725" s="3">
        <v>9.2999999999999999E-2</v>
      </c>
      <c r="O725" t="s">
        <v>16</v>
      </c>
      <c r="Q725">
        <v>1</v>
      </c>
      <c r="R725">
        <v>0</v>
      </c>
      <c r="S725" s="2">
        <v>6500</v>
      </c>
      <c r="T725" s="4">
        <v>0.1235</v>
      </c>
      <c r="U725">
        <v>2</v>
      </c>
      <c r="V725">
        <v>1</v>
      </c>
      <c r="W725">
        <v>1</v>
      </c>
    </row>
    <row r="726" spans="1:23" ht="16.5" x14ac:dyDescent="0.3">
      <c r="A726" t="s">
        <v>780</v>
      </c>
      <c r="B726" s="1">
        <v>45397</v>
      </c>
      <c r="C726">
        <v>2024</v>
      </c>
      <c r="D726" t="s">
        <v>688</v>
      </c>
      <c r="E726" t="s">
        <v>689</v>
      </c>
      <c r="F726" t="s">
        <v>50</v>
      </c>
      <c r="G726" t="s">
        <v>51</v>
      </c>
      <c r="H726" t="s">
        <v>38</v>
      </c>
      <c r="I726" t="s">
        <v>29</v>
      </c>
      <c r="J726" t="s">
        <v>52</v>
      </c>
      <c r="K726" s="2">
        <v>5750</v>
      </c>
      <c r="L726" s="2">
        <v>225000</v>
      </c>
      <c r="M726">
        <v>240</v>
      </c>
      <c r="N726" s="3">
        <v>0.46</v>
      </c>
      <c r="O726" t="s">
        <v>16</v>
      </c>
      <c r="Q726">
        <v>1</v>
      </c>
      <c r="R726">
        <v>0</v>
      </c>
      <c r="S726" s="2">
        <v>225000</v>
      </c>
      <c r="T726" s="4">
        <v>4.5100000000000001E-2</v>
      </c>
      <c r="U726">
        <v>17</v>
      </c>
      <c r="V726">
        <v>0</v>
      </c>
      <c r="W726">
        <v>1</v>
      </c>
    </row>
    <row r="727" spans="1:23" ht="16.5" x14ac:dyDescent="0.3">
      <c r="A727" t="s">
        <v>781</v>
      </c>
      <c r="B727" s="1">
        <v>45397</v>
      </c>
      <c r="C727">
        <v>2024</v>
      </c>
      <c r="D727" t="s">
        <v>688</v>
      </c>
      <c r="E727" t="s">
        <v>689</v>
      </c>
      <c r="F727" t="s">
        <v>50</v>
      </c>
      <c r="G727" t="s">
        <v>51</v>
      </c>
      <c r="H727" t="s">
        <v>28</v>
      </c>
      <c r="I727" t="s">
        <v>39</v>
      </c>
      <c r="J727" t="s">
        <v>35</v>
      </c>
      <c r="K727" s="2">
        <v>5550</v>
      </c>
      <c r="L727" s="2">
        <v>415500</v>
      </c>
      <c r="M727">
        <v>300</v>
      </c>
      <c r="N727" s="3">
        <v>0.502</v>
      </c>
      <c r="O727" t="s">
        <v>16</v>
      </c>
      <c r="Q727">
        <v>1</v>
      </c>
      <c r="R727">
        <v>0</v>
      </c>
      <c r="S727" s="2">
        <v>415500</v>
      </c>
      <c r="T727" s="4">
        <v>6.3799999999999996E-2</v>
      </c>
      <c r="U727">
        <v>20</v>
      </c>
      <c r="V727">
        <v>0</v>
      </c>
      <c r="W727">
        <v>1</v>
      </c>
    </row>
    <row r="728" spans="1:23" ht="16.5" x14ac:dyDescent="0.3">
      <c r="A728" t="s">
        <v>782</v>
      </c>
      <c r="B728" s="1">
        <v>45397</v>
      </c>
      <c r="C728">
        <v>2024</v>
      </c>
      <c r="D728" t="s">
        <v>688</v>
      </c>
      <c r="E728" t="s">
        <v>689</v>
      </c>
      <c r="F728" t="s">
        <v>37</v>
      </c>
      <c r="G728" t="s">
        <v>51</v>
      </c>
      <c r="H728" t="s">
        <v>38</v>
      </c>
      <c r="I728" t="s">
        <v>29</v>
      </c>
      <c r="J728" t="s">
        <v>35</v>
      </c>
      <c r="K728" s="2">
        <v>4050</v>
      </c>
      <c r="L728" s="2">
        <v>16000</v>
      </c>
      <c r="M728">
        <v>24</v>
      </c>
      <c r="N728" s="3">
        <v>0.39700000000000002</v>
      </c>
      <c r="O728" t="s">
        <v>125</v>
      </c>
      <c r="Q728">
        <v>0</v>
      </c>
      <c r="R728">
        <v>0</v>
      </c>
      <c r="S728" s="2">
        <v>0</v>
      </c>
      <c r="T728" s="4"/>
      <c r="U728">
        <v>9</v>
      </c>
      <c r="V728">
        <v>0</v>
      </c>
      <c r="W728">
        <v>1</v>
      </c>
    </row>
    <row r="729" spans="1:23" ht="16.5" x14ac:dyDescent="0.3">
      <c r="A729" t="s">
        <v>783</v>
      </c>
      <c r="B729" s="1">
        <v>45397</v>
      </c>
      <c r="C729">
        <v>2024</v>
      </c>
      <c r="D729" t="s">
        <v>688</v>
      </c>
      <c r="E729" t="s">
        <v>689</v>
      </c>
      <c r="F729" t="s">
        <v>26</v>
      </c>
      <c r="G729" t="s">
        <v>45</v>
      </c>
      <c r="H729" t="s">
        <v>38</v>
      </c>
      <c r="I729" t="s">
        <v>29</v>
      </c>
      <c r="J729" t="s">
        <v>35</v>
      </c>
      <c r="K729" s="2">
        <v>4450</v>
      </c>
      <c r="L729" s="2">
        <v>26500</v>
      </c>
      <c r="M729">
        <v>48</v>
      </c>
      <c r="N729" s="3">
        <v>0.19400000000000001</v>
      </c>
      <c r="O729" t="s">
        <v>17</v>
      </c>
      <c r="P729" t="s">
        <v>31</v>
      </c>
      <c r="Q729">
        <v>0</v>
      </c>
      <c r="R729">
        <v>1</v>
      </c>
      <c r="S729" s="2">
        <v>0</v>
      </c>
      <c r="T729" s="4"/>
      <c r="U729">
        <v>4</v>
      </c>
      <c r="V729">
        <v>1</v>
      </c>
      <c r="W729">
        <v>1</v>
      </c>
    </row>
    <row r="730" spans="1:23" ht="16.5" x14ac:dyDescent="0.3">
      <c r="A730" t="s">
        <v>784</v>
      </c>
      <c r="B730" s="1">
        <v>45398</v>
      </c>
      <c r="C730">
        <v>2024</v>
      </c>
      <c r="D730" t="s">
        <v>688</v>
      </c>
      <c r="E730" t="s">
        <v>689</v>
      </c>
      <c r="F730" t="s">
        <v>37</v>
      </c>
      <c r="G730" t="s">
        <v>27</v>
      </c>
      <c r="H730" t="s">
        <v>55</v>
      </c>
      <c r="I730" t="s">
        <v>39</v>
      </c>
      <c r="J730" t="s">
        <v>46</v>
      </c>
      <c r="K730" s="2">
        <v>4000</v>
      </c>
      <c r="L730" s="2">
        <v>27500</v>
      </c>
      <c r="M730">
        <v>24</v>
      </c>
      <c r="N730" s="3">
        <v>0.40400000000000003</v>
      </c>
      <c r="O730" t="s">
        <v>17</v>
      </c>
      <c r="P730" t="s">
        <v>60</v>
      </c>
      <c r="Q730">
        <v>0</v>
      </c>
      <c r="R730">
        <v>1</v>
      </c>
      <c r="S730" s="2">
        <v>0</v>
      </c>
      <c r="T730" s="4"/>
      <c r="U730">
        <v>7</v>
      </c>
      <c r="V730">
        <v>0</v>
      </c>
      <c r="W730">
        <v>1</v>
      </c>
    </row>
    <row r="731" spans="1:23" ht="16.5" x14ac:dyDescent="0.3">
      <c r="A731" t="s">
        <v>785</v>
      </c>
      <c r="B731" s="1">
        <v>45398</v>
      </c>
      <c r="C731">
        <v>2024</v>
      </c>
      <c r="D731" t="s">
        <v>688</v>
      </c>
      <c r="E731" t="s">
        <v>689</v>
      </c>
      <c r="F731" t="s">
        <v>50</v>
      </c>
      <c r="G731" t="s">
        <v>27</v>
      </c>
      <c r="H731" t="s">
        <v>34</v>
      </c>
      <c r="I731" t="s">
        <v>42</v>
      </c>
      <c r="J731" t="s">
        <v>43</v>
      </c>
      <c r="K731" s="2">
        <v>4250</v>
      </c>
      <c r="L731" s="2">
        <v>190500</v>
      </c>
      <c r="M731">
        <v>180</v>
      </c>
      <c r="N731" s="3">
        <v>0.51200000000000001</v>
      </c>
      <c r="O731" t="s">
        <v>17</v>
      </c>
      <c r="P731" t="s">
        <v>31</v>
      </c>
      <c r="Q731">
        <v>0</v>
      </c>
      <c r="R731">
        <v>1</v>
      </c>
      <c r="S731" s="2">
        <v>0</v>
      </c>
      <c r="T731" s="4"/>
      <c r="U731">
        <v>7</v>
      </c>
      <c r="V731">
        <v>1</v>
      </c>
      <c r="W731">
        <v>1</v>
      </c>
    </row>
    <row r="732" spans="1:23" ht="16.5" x14ac:dyDescent="0.3">
      <c r="A732" t="s">
        <v>786</v>
      </c>
      <c r="B732" s="1">
        <v>45398</v>
      </c>
      <c r="C732">
        <v>2024</v>
      </c>
      <c r="D732" t="s">
        <v>688</v>
      </c>
      <c r="E732" t="s">
        <v>689</v>
      </c>
      <c r="F732" t="s">
        <v>41</v>
      </c>
      <c r="G732" t="s">
        <v>45</v>
      </c>
      <c r="H732" t="s">
        <v>34</v>
      </c>
      <c r="I732" t="s">
        <v>42</v>
      </c>
      <c r="J732" t="s">
        <v>52</v>
      </c>
      <c r="K732" s="2">
        <v>14050</v>
      </c>
      <c r="L732" s="2">
        <v>225000</v>
      </c>
      <c r="M732">
        <v>12</v>
      </c>
      <c r="N732" s="3">
        <v>1.5680000000000001</v>
      </c>
      <c r="O732" t="s">
        <v>17</v>
      </c>
      <c r="P732" t="s">
        <v>53</v>
      </c>
      <c r="Q732">
        <v>0</v>
      </c>
      <c r="R732">
        <v>1</v>
      </c>
      <c r="S732" s="2">
        <v>0</v>
      </c>
      <c r="T732" s="4"/>
      <c r="U732">
        <v>4</v>
      </c>
      <c r="V732">
        <v>1</v>
      </c>
      <c r="W732">
        <v>1</v>
      </c>
    </row>
    <row r="733" spans="1:23" ht="16.5" x14ac:dyDescent="0.3">
      <c r="A733" t="s">
        <v>787</v>
      </c>
      <c r="B733" s="1">
        <v>45398</v>
      </c>
      <c r="C733">
        <v>2024</v>
      </c>
      <c r="D733" t="s">
        <v>688</v>
      </c>
      <c r="E733" t="s">
        <v>689</v>
      </c>
      <c r="F733" t="s">
        <v>50</v>
      </c>
      <c r="G733" t="s">
        <v>45</v>
      </c>
      <c r="H733" t="s">
        <v>28</v>
      </c>
      <c r="I733" t="s">
        <v>29</v>
      </c>
      <c r="J733" t="s">
        <v>46</v>
      </c>
      <c r="K733" s="2">
        <v>5100</v>
      </c>
      <c r="L733" s="2">
        <v>161000</v>
      </c>
      <c r="M733">
        <v>300</v>
      </c>
      <c r="N733" s="3">
        <v>0.40300000000000002</v>
      </c>
      <c r="O733" t="s">
        <v>16</v>
      </c>
      <c r="Q733">
        <v>1</v>
      </c>
      <c r="R733">
        <v>0</v>
      </c>
      <c r="S733" s="2">
        <v>145000</v>
      </c>
      <c r="T733" s="4">
        <v>4.5600000000000002E-2</v>
      </c>
      <c r="U733">
        <v>11</v>
      </c>
      <c r="V733">
        <v>1</v>
      </c>
      <c r="W733">
        <v>1</v>
      </c>
    </row>
    <row r="734" spans="1:23" ht="16.5" x14ac:dyDescent="0.3">
      <c r="A734" t="s">
        <v>788</v>
      </c>
      <c r="B734" s="1">
        <v>45398</v>
      </c>
      <c r="C734">
        <v>2024</v>
      </c>
      <c r="D734" t="s">
        <v>688</v>
      </c>
      <c r="E734" t="s">
        <v>689</v>
      </c>
      <c r="F734" t="s">
        <v>50</v>
      </c>
      <c r="G734" t="s">
        <v>51</v>
      </c>
      <c r="H734" t="s">
        <v>38</v>
      </c>
      <c r="I734" t="s">
        <v>39</v>
      </c>
      <c r="J734" t="s">
        <v>35</v>
      </c>
      <c r="K734" s="2">
        <v>6200</v>
      </c>
      <c r="L734" s="2">
        <v>352500</v>
      </c>
      <c r="M734">
        <v>180</v>
      </c>
      <c r="N734" s="3">
        <v>0.57399999999999995</v>
      </c>
      <c r="O734" t="s">
        <v>16</v>
      </c>
      <c r="Q734">
        <v>1</v>
      </c>
      <c r="R734">
        <v>0</v>
      </c>
      <c r="S734" s="2">
        <v>282000</v>
      </c>
      <c r="T734" s="4">
        <v>5.8900000000000001E-2</v>
      </c>
      <c r="U734">
        <v>19</v>
      </c>
      <c r="V734">
        <v>0</v>
      </c>
      <c r="W734">
        <v>1</v>
      </c>
    </row>
    <row r="735" spans="1:23" ht="16.5" x14ac:dyDescent="0.3">
      <c r="A735" t="s">
        <v>789</v>
      </c>
      <c r="B735" s="1">
        <v>45398</v>
      </c>
      <c r="C735">
        <v>2024</v>
      </c>
      <c r="D735" t="s">
        <v>688</v>
      </c>
      <c r="E735" t="s">
        <v>689</v>
      </c>
      <c r="F735" t="s">
        <v>37</v>
      </c>
      <c r="G735" t="s">
        <v>45</v>
      </c>
      <c r="H735" t="s">
        <v>38</v>
      </c>
      <c r="I735" t="s">
        <v>29</v>
      </c>
      <c r="J735" t="s">
        <v>30</v>
      </c>
      <c r="K735" s="2">
        <v>7800</v>
      </c>
      <c r="L735" s="2">
        <v>8000</v>
      </c>
      <c r="M735">
        <v>24</v>
      </c>
      <c r="N735" s="3">
        <v>0.23300000000000001</v>
      </c>
      <c r="O735" t="s">
        <v>16</v>
      </c>
      <c r="Q735">
        <v>1</v>
      </c>
      <c r="R735">
        <v>0</v>
      </c>
      <c r="S735" s="2">
        <v>6500</v>
      </c>
      <c r="T735" s="4">
        <v>0.14069999999999999</v>
      </c>
      <c r="U735">
        <v>2</v>
      </c>
      <c r="V735">
        <v>1</v>
      </c>
      <c r="W735">
        <v>1</v>
      </c>
    </row>
    <row r="736" spans="1:23" ht="16.5" x14ac:dyDescent="0.3">
      <c r="A736" t="s">
        <v>790</v>
      </c>
      <c r="B736" s="1">
        <v>45399</v>
      </c>
      <c r="C736">
        <v>2024</v>
      </c>
      <c r="D736" t="s">
        <v>688</v>
      </c>
      <c r="E736" t="s">
        <v>689</v>
      </c>
      <c r="F736" t="s">
        <v>26</v>
      </c>
      <c r="G736" t="s">
        <v>51</v>
      </c>
      <c r="H736" t="s">
        <v>38</v>
      </c>
      <c r="I736" t="s">
        <v>29</v>
      </c>
      <c r="J736" t="s">
        <v>30</v>
      </c>
      <c r="K736" s="2">
        <v>5850</v>
      </c>
      <c r="L736" s="2">
        <v>38500</v>
      </c>
      <c r="M736">
        <v>36</v>
      </c>
      <c r="N736" s="3">
        <v>0.28599999999999998</v>
      </c>
      <c r="O736" t="s">
        <v>16</v>
      </c>
      <c r="Q736">
        <v>1</v>
      </c>
      <c r="R736">
        <v>0</v>
      </c>
      <c r="S736" s="2">
        <v>38500</v>
      </c>
      <c r="T736" s="4">
        <v>9.9099999999999994E-2</v>
      </c>
      <c r="U736">
        <v>5</v>
      </c>
      <c r="V736">
        <v>0</v>
      </c>
      <c r="W736">
        <v>1</v>
      </c>
    </row>
    <row r="737" spans="1:23" ht="16.5" x14ac:dyDescent="0.3">
      <c r="A737" t="s">
        <v>791</v>
      </c>
      <c r="B737" s="1">
        <v>45399</v>
      </c>
      <c r="C737">
        <v>2024</v>
      </c>
      <c r="D737" t="s">
        <v>688</v>
      </c>
      <c r="E737" t="s">
        <v>689</v>
      </c>
      <c r="F737" t="s">
        <v>26</v>
      </c>
      <c r="G737" t="s">
        <v>45</v>
      </c>
      <c r="H737" t="s">
        <v>55</v>
      </c>
      <c r="I737" t="s">
        <v>29</v>
      </c>
      <c r="J737" t="s">
        <v>35</v>
      </c>
      <c r="K737" s="2">
        <v>4350</v>
      </c>
      <c r="L737" s="2">
        <v>25000</v>
      </c>
      <c r="M737">
        <v>48</v>
      </c>
      <c r="N737" s="3">
        <v>0.30599999999999999</v>
      </c>
      <c r="O737" t="s">
        <v>16</v>
      </c>
      <c r="Q737">
        <v>1</v>
      </c>
      <c r="R737">
        <v>0</v>
      </c>
      <c r="S737" s="2">
        <v>25000</v>
      </c>
      <c r="T737" s="4">
        <v>8.2900000000000001E-2</v>
      </c>
      <c r="U737">
        <v>4</v>
      </c>
      <c r="V737">
        <v>1</v>
      </c>
      <c r="W737">
        <v>1</v>
      </c>
    </row>
    <row r="738" spans="1:23" ht="16.5" x14ac:dyDescent="0.3">
      <c r="A738" t="s">
        <v>792</v>
      </c>
      <c r="B738" s="1">
        <v>45399</v>
      </c>
      <c r="C738">
        <v>2024</v>
      </c>
      <c r="D738" t="s">
        <v>688</v>
      </c>
      <c r="E738" t="s">
        <v>689</v>
      </c>
      <c r="F738" t="s">
        <v>41</v>
      </c>
      <c r="G738" t="s">
        <v>27</v>
      </c>
      <c r="H738" t="s">
        <v>64</v>
      </c>
      <c r="I738" t="s">
        <v>29</v>
      </c>
      <c r="J738" t="s">
        <v>35</v>
      </c>
      <c r="K738" s="2">
        <v>6250</v>
      </c>
      <c r="L738" s="2">
        <v>111500</v>
      </c>
      <c r="M738">
        <v>12</v>
      </c>
      <c r="N738" s="3">
        <v>1.6639999999999999</v>
      </c>
      <c r="O738" t="s">
        <v>17</v>
      </c>
      <c r="P738" t="s">
        <v>53</v>
      </c>
      <c r="Q738">
        <v>0</v>
      </c>
      <c r="R738">
        <v>1</v>
      </c>
      <c r="S738" s="2">
        <v>0</v>
      </c>
      <c r="T738" s="4"/>
      <c r="U738">
        <v>16</v>
      </c>
      <c r="V738">
        <v>0</v>
      </c>
      <c r="W738">
        <v>1</v>
      </c>
    </row>
    <row r="739" spans="1:23" ht="16.5" x14ac:dyDescent="0.3">
      <c r="A739" t="s">
        <v>793</v>
      </c>
      <c r="B739" s="1">
        <v>45399</v>
      </c>
      <c r="C739">
        <v>2024</v>
      </c>
      <c r="D739" t="s">
        <v>688</v>
      </c>
      <c r="E739" t="s">
        <v>689</v>
      </c>
      <c r="F739" t="s">
        <v>37</v>
      </c>
      <c r="G739" t="s">
        <v>45</v>
      </c>
      <c r="H739" t="s">
        <v>38</v>
      </c>
      <c r="I739" t="s">
        <v>29</v>
      </c>
      <c r="J739" t="s">
        <v>52</v>
      </c>
      <c r="K739" s="2">
        <v>7500</v>
      </c>
      <c r="L739" s="2">
        <v>12000</v>
      </c>
      <c r="M739">
        <v>24</v>
      </c>
      <c r="N739" s="3">
        <v>0.253</v>
      </c>
      <c r="O739" t="s">
        <v>16</v>
      </c>
      <c r="Q739">
        <v>1</v>
      </c>
      <c r="R739">
        <v>0</v>
      </c>
      <c r="S739" s="2">
        <v>12000</v>
      </c>
      <c r="T739" s="4">
        <v>0.11269999999999999</v>
      </c>
      <c r="U739">
        <v>2</v>
      </c>
      <c r="V739">
        <v>1</v>
      </c>
      <c r="W739">
        <v>1</v>
      </c>
    </row>
    <row r="740" spans="1:23" ht="16.5" x14ac:dyDescent="0.3">
      <c r="A740" t="s">
        <v>794</v>
      </c>
      <c r="B740" s="1">
        <v>45399</v>
      </c>
      <c r="C740">
        <v>2024</v>
      </c>
      <c r="D740" t="s">
        <v>688</v>
      </c>
      <c r="E740" t="s">
        <v>689</v>
      </c>
      <c r="F740" t="s">
        <v>37</v>
      </c>
      <c r="G740" t="s">
        <v>45</v>
      </c>
      <c r="H740" t="s">
        <v>38</v>
      </c>
      <c r="I740" t="s">
        <v>29</v>
      </c>
      <c r="J740" t="s">
        <v>35</v>
      </c>
      <c r="K740" s="2">
        <v>9350</v>
      </c>
      <c r="L740" s="2">
        <v>9500</v>
      </c>
      <c r="M740">
        <v>36</v>
      </c>
      <c r="N740" s="3">
        <v>0.27</v>
      </c>
      <c r="O740" t="s">
        <v>16</v>
      </c>
      <c r="Q740">
        <v>1</v>
      </c>
      <c r="R740">
        <v>0</v>
      </c>
      <c r="S740" s="2">
        <v>9500</v>
      </c>
      <c r="T740" s="4">
        <v>0.12280000000000001</v>
      </c>
      <c r="U740">
        <v>2</v>
      </c>
      <c r="V740">
        <v>1</v>
      </c>
      <c r="W740">
        <v>1</v>
      </c>
    </row>
    <row r="741" spans="1:23" ht="16.5" x14ac:dyDescent="0.3">
      <c r="A741" t="s">
        <v>795</v>
      </c>
      <c r="B741" s="1">
        <v>45400</v>
      </c>
      <c r="C741">
        <v>2024</v>
      </c>
      <c r="D741" t="s">
        <v>688</v>
      </c>
      <c r="E741" t="s">
        <v>689</v>
      </c>
      <c r="F741" t="s">
        <v>37</v>
      </c>
      <c r="G741" t="s">
        <v>27</v>
      </c>
      <c r="H741" t="s">
        <v>28</v>
      </c>
      <c r="I741" t="s">
        <v>39</v>
      </c>
      <c r="J741" t="s">
        <v>30</v>
      </c>
      <c r="K741" s="2">
        <v>3100</v>
      </c>
      <c r="L741" s="2">
        <v>15500</v>
      </c>
      <c r="M741">
        <v>48</v>
      </c>
      <c r="N741" s="3">
        <v>0.32500000000000001</v>
      </c>
      <c r="O741" t="s">
        <v>17</v>
      </c>
      <c r="P741" t="s">
        <v>31</v>
      </c>
      <c r="Q741">
        <v>0</v>
      </c>
      <c r="R741">
        <v>1</v>
      </c>
      <c r="S741" s="2">
        <v>0</v>
      </c>
      <c r="T741" s="4"/>
      <c r="U741">
        <v>6</v>
      </c>
      <c r="V741">
        <v>0</v>
      </c>
      <c r="W741">
        <v>1</v>
      </c>
    </row>
    <row r="742" spans="1:23" ht="16.5" x14ac:dyDescent="0.3">
      <c r="A742" t="s">
        <v>796</v>
      </c>
      <c r="B742" s="1">
        <v>45400</v>
      </c>
      <c r="C742">
        <v>2024</v>
      </c>
      <c r="D742" t="s">
        <v>688</v>
      </c>
      <c r="E742" t="s">
        <v>689</v>
      </c>
      <c r="F742" t="s">
        <v>26</v>
      </c>
      <c r="G742" t="s">
        <v>27</v>
      </c>
      <c r="H742" t="s">
        <v>38</v>
      </c>
      <c r="I742" t="s">
        <v>39</v>
      </c>
      <c r="J742" t="s">
        <v>46</v>
      </c>
      <c r="K742" s="2">
        <v>7450</v>
      </c>
      <c r="L742" s="2">
        <v>73500</v>
      </c>
      <c r="M742">
        <v>60</v>
      </c>
      <c r="N742" s="3">
        <v>0.26800000000000002</v>
      </c>
      <c r="O742" t="s">
        <v>16</v>
      </c>
      <c r="Q742">
        <v>1</v>
      </c>
      <c r="R742">
        <v>0</v>
      </c>
      <c r="S742" s="2">
        <v>73500</v>
      </c>
      <c r="T742" s="4">
        <v>6.3500000000000001E-2</v>
      </c>
      <c r="U742">
        <v>7</v>
      </c>
      <c r="V742">
        <v>0</v>
      </c>
      <c r="W742">
        <v>1</v>
      </c>
    </row>
    <row r="743" spans="1:23" ht="16.5" x14ac:dyDescent="0.3">
      <c r="A743" t="s">
        <v>797</v>
      </c>
      <c r="B743" s="1">
        <v>45400</v>
      </c>
      <c r="C743">
        <v>2024</v>
      </c>
      <c r="D743" t="s">
        <v>688</v>
      </c>
      <c r="E743" t="s">
        <v>689</v>
      </c>
      <c r="F743" t="s">
        <v>37</v>
      </c>
      <c r="G743" t="s">
        <v>27</v>
      </c>
      <c r="H743" t="s">
        <v>55</v>
      </c>
      <c r="I743" t="s">
        <v>39</v>
      </c>
      <c r="J743" t="s">
        <v>30</v>
      </c>
      <c r="K743" s="2">
        <v>2800</v>
      </c>
      <c r="L743" s="2">
        <v>8500</v>
      </c>
      <c r="M743">
        <v>48</v>
      </c>
      <c r="N743" s="3">
        <v>0.23300000000000001</v>
      </c>
      <c r="O743" t="s">
        <v>16</v>
      </c>
      <c r="Q743">
        <v>1</v>
      </c>
      <c r="R743">
        <v>0</v>
      </c>
      <c r="S743" s="2">
        <v>8500</v>
      </c>
      <c r="T743" s="4">
        <v>0.1414</v>
      </c>
      <c r="U743">
        <v>5</v>
      </c>
      <c r="V743">
        <v>0</v>
      </c>
      <c r="W743">
        <v>1</v>
      </c>
    </row>
    <row r="744" spans="1:23" ht="16.5" x14ac:dyDescent="0.3">
      <c r="A744" t="s">
        <v>798</v>
      </c>
      <c r="B744" s="1">
        <v>45400</v>
      </c>
      <c r="C744">
        <v>2024</v>
      </c>
      <c r="D744" t="s">
        <v>688</v>
      </c>
      <c r="E744" t="s">
        <v>689</v>
      </c>
      <c r="F744" t="s">
        <v>37</v>
      </c>
      <c r="G744" t="s">
        <v>51</v>
      </c>
      <c r="H744" t="s">
        <v>64</v>
      </c>
      <c r="I744" t="s">
        <v>42</v>
      </c>
      <c r="J744" t="s">
        <v>52</v>
      </c>
      <c r="K744" s="2">
        <v>5700</v>
      </c>
      <c r="L744" s="2">
        <v>6500</v>
      </c>
      <c r="M744">
        <v>48</v>
      </c>
      <c r="N744" s="3">
        <v>0.16</v>
      </c>
      <c r="O744" t="s">
        <v>16</v>
      </c>
      <c r="Q744">
        <v>1</v>
      </c>
      <c r="R744">
        <v>0</v>
      </c>
      <c r="S744" s="2">
        <v>5000</v>
      </c>
      <c r="T744" s="4">
        <v>0.1173</v>
      </c>
      <c r="U744">
        <v>6</v>
      </c>
      <c r="V744">
        <v>0</v>
      </c>
      <c r="W744">
        <v>1</v>
      </c>
    </row>
    <row r="745" spans="1:23" ht="16.5" x14ac:dyDescent="0.3">
      <c r="A745" t="s">
        <v>799</v>
      </c>
      <c r="B745" s="1">
        <v>45401</v>
      </c>
      <c r="C745">
        <v>2024</v>
      </c>
      <c r="D745" t="s">
        <v>688</v>
      </c>
      <c r="E745" t="s">
        <v>689</v>
      </c>
      <c r="F745" t="s">
        <v>37</v>
      </c>
      <c r="G745" t="s">
        <v>51</v>
      </c>
      <c r="H745" t="s">
        <v>38</v>
      </c>
      <c r="I745" t="s">
        <v>42</v>
      </c>
      <c r="J745" t="s">
        <v>30</v>
      </c>
      <c r="K745" s="2">
        <v>5800</v>
      </c>
      <c r="L745" s="2">
        <v>11000</v>
      </c>
      <c r="M745">
        <v>36</v>
      </c>
      <c r="N745" s="3">
        <v>0.13900000000000001</v>
      </c>
      <c r="O745" t="s">
        <v>16</v>
      </c>
      <c r="Q745">
        <v>1</v>
      </c>
      <c r="R745">
        <v>0</v>
      </c>
      <c r="S745" s="2">
        <v>11000</v>
      </c>
      <c r="T745" s="4">
        <v>0.14050000000000001</v>
      </c>
      <c r="U745">
        <v>6</v>
      </c>
      <c r="V745">
        <v>0</v>
      </c>
      <c r="W745">
        <v>1</v>
      </c>
    </row>
    <row r="746" spans="1:23" ht="16.5" x14ac:dyDescent="0.3">
      <c r="A746" t="s">
        <v>800</v>
      </c>
      <c r="B746" s="1">
        <v>45401</v>
      </c>
      <c r="C746">
        <v>2024</v>
      </c>
      <c r="D746" t="s">
        <v>688</v>
      </c>
      <c r="E746" t="s">
        <v>689</v>
      </c>
      <c r="F746" t="s">
        <v>26</v>
      </c>
      <c r="G746" t="s">
        <v>51</v>
      </c>
      <c r="H746" t="s">
        <v>55</v>
      </c>
      <c r="I746" t="s">
        <v>39</v>
      </c>
      <c r="J746" t="s">
        <v>52</v>
      </c>
      <c r="K746" s="2">
        <v>7700</v>
      </c>
      <c r="L746" s="2">
        <v>41500</v>
      </c>
      <c r="M746">
        <v>36</v>
      </c>
      <c r="N746" s="3">
        <v>0.23300000000000001</v>
      </c>
      <c r="O746" t="s">
        <v>16</v>
      </c>
      <c r="Q746">
        <v>1</v>
      </c>
      <c r="R746">
        <v>0</v>
      </c>
      <c r="S746" s="2">
        <v>37500</v>
      </c>
      <c r="T746" s="4">
        <v>7.0000000000000007E-2</v>
      </c>
      <c r="U746">
        <v>7</v>
      </c>
      <c r="V746">
        <v>0</v>
      </c>
      <c r="W746">
        <v>1</v>
      </c>
    </row>
    <row r="747" spans="1:23" ht="16.5" x14ac:dyDescent="0.3">
      <c r="A747" t="s">
        <v>801</v>
      </c>
      <c r="B747" s="1">
        <v>45401</v>
      </c>
      <c r="C747">
        <v>2024</v>
      </c>
      <c r="D747" t="s">
        <v>688</v>
      </c>
      <c r="E747" t="s">
        <v>689</v>
      </c>
      <c r="F747" t="s">
        <v>41</v>
      </c>
      <c r="G747" t="s">
        <v>33</v>
      </c>
      <c r="H747" t="s">
        <v>55</v>
      </c>
      <c r="I747" t="s">
        <v>29</v>
      </c>
      <c r="J747" t="s">
        <v>35</v>
      </c>
      <c r="K747" s="2">
        <v>3350</v>
      </c>
      <c r="L747" s="2">
        <v>152000</v>
      </c>
      <c r="M747">
        <v>12</v>
      </c>
      <c r="N747" s="3">
        <v>4.1260000000000003</v>
      </c>
      <c r="O747" t="s">
        <v>17</v>
      </c>
      <c r="P747" t="s">
        <v>53</v>
      </c>
      <c r="Q747">
        <v>0</v>
      </c>
      <c r="R747">
        <v>1</v>
      </c>
      <c r="S747" s="2">
        <v>0</v>
      </c>
      <c r="T747" s="4"/>
      <c r="U747">
        <v>5</v>
      </c>
      <c r="V747">
        <v>1</v>
      </c>
      <c r="W747">
        <v>1</v>
      </c>
    </row>
    <row r="748" spans="1:23" ht="16.5" x14ac:dyDescent="0.3">
      <c r="A748" t="s">
        <v>802</v>
      </c>
      <c r="B748" s="1">
        <v>45401</v>
      </c>
      <c r="C748">
        <v>2024</v>
      </c>
      <c r="D748" t="s">
        <v>688</v>
      </c>
      <c r="E748" t="s">
        <v>689</v>
      </c>
      <c r="F748" t="s">
        <v>41</v>
      </c>
      <c r="G748" t="s">
        <v>27</v>
      </c>
      <c r="H748" t="s">
        <v>34</v>
      </c>
      <c r="I748" t="s">
        <v>39</v>
      </c>
      <c r="J748" t="s">
        <v>52</v>
      </c>
      <c r="K748" s="2">
        <v>5350</v>
      </c>
      <c r="L748" s="2">
        <v>136500</v>
      </c>
      <c r="M748">
        <v>24</v>
      </c>
      <c r="N748" s="3">
        <v>1.393</v>
      </c>
      <c r="O748" t="s">
        <v>17</v>
      </c>
      <c r="P748" t="s">
        <v>53</v>
      </c>
      <c r="Q748">
        <v>0</v>
      </c>
      <c r="R748">
        <v>1</v>
      </c>
      <c r="S748" s="2">
        <v>0</v>
      </c>
      <c r="T748" s="4"/>
      <c r="U748">
        <v>13</v>
      </c>
      <c r="V748">
        <v>0</v>
      </c>
      <c r="W748">
        <v>1</v>
      </c>
    </row>
    <row r="749" spans="1:23" ht="16.5" x14ac:dyDescent="0.3">
      <c r="A749" t="s">
        <v>803</v>
      </c>
      <c r="B749" s="1">
        <v>45401</v>
      </c>
      <c r="C749">
        <v>2024</v>
      </c>
      <c r="D749" t="s">
        <v>688</v>
      </c>
      <c r="E749" t="s">
        <v>689</v>
      </c>
      <c r="F749" t="s">
        <v>26</v>
      </c>
      <c r="G749" t="s">
        <v>45</v>
      </c>
      <c r="H749" t="s">
        <v>34</v>
      </c>
      <c r="I749" t="s">
        <v>29</v>
      </c>
      <c r="J749" t="s">
        <v>46</v>
      </c>
      <c r="K749" s="2">
        <v>6800</v>
      </c>
      <c r="L749" s="2">
        <v>27000</v>
      </c>
      <c r="M749">
        <v>48</v>
      </c>
      <c r="N749" s="3">
        <v>0.245</v>
      </c>
      <c r="O749" t="s">
        <v>16</v>
      </c>
      <c r="Q749">
        <v>1</v>
      </c>
      <c r="R749">
        <v>0</v>
      </c>
      <c r="S749" s="2">
        <v>21500</v>
      </c>
      <c r="T749" s="4">
        <v>6.5500000000000003E-2</v>
      </c>
      <c r="U749">
        <v>4</v>
      </c>
      <c r="V749">
        <v>1</v>
      </c>
      <c r="W749">
        <v>1</v>
      </c>
    </row>
    <row r="750" spans="1:23" ht="16.5" x14ac:dyDescent="0.3">
      <c r="A750" t="s">
        <v>804</v>
      </c>
      <c r="B750" s="1">
        <v>45401</v>
      </c>
      <c r="C750">
        <v>2024</v>
      </c>
      <c r="D750" t="s">
        <v>688</v>
      </c>
      <c r="E750" t="s">
        <v>689</v>
      </c>
      <c r="F750" t="s">
        <v>37</v>
      </c>
      <c r="G750" t="s">
        <v>51</v>
      </c>
      <c r="H750" t="s">
        <v>55</v>
      </c>
      <c r="I750" t="s">
        <v>39</v>
      </c>
      <c r="J750" t="s">
        <v>52</v>
      </c>
      <c r="K750" s="2">
        <v>6100</v>
      </c>
      <c r="L750" s="2">
        <v>15500</v>
      </c>
      <c r="M750">
        <v>24</v>
      </c>
      <c r="N750" s="3">
        <v>0.27100000000000002</v>
      </c>
      <c r="O750" t="s">
        <v>16</v>
      </c>
      <c r="Q750">
        <v>1</v>
      </c>
      <c r="R750">
        <v>0</v>
      </c>
      <c r="S750" s="2">
        <v>15500</v>
      </c>
      <c r="T750" s="4">
        <v>0.1143</v>
      </c>
      <c r="U750">
        <v>5</v>
      </c>
      <c r="V750">
        <v>0</v>
      </c>
      <c r="W750">
        <v>1</v>
      </c>
    </row>
    <row r="751" spans="1:23" ht="16.5" x14ac:dyDescent="0.3">
      <c r="A751" t="s">
        <v>805</v>
      </c>
      <c r="B751" s="1">
        <v>45401</v>
      </c>
      <c r="C751">
        <v>2024</v>
      </c>
      <c r="D751" t="s">
        <v>688</v>
      </c>
      <c r="E751" t="s">
        <v>689</v>
      </c>
      <c r="F751" t="s">
        <v>26</v>
      </c>
      <c r="G751" t="s">
        <v>27</v>
      </c>
      <c r="H751" t="s">
        <v>38</v>
      </c>
      <c r="I751" t="s">
        <v>29</v>
      </c>
      <c r="J751" t="s">
        <v>35</v>
      </c>
      <c r="K751" s="2">
        <v>5550</v>
      </c>
      <c r="L751" s="2">
        <v>17000</v>
      </c>
      <c r="M751">
        <v>60</v>
      </c>
      <c r="N751" s="3">
        <v>0.20699999999999999</v>
      </c>
      <c r="O751" t="s">
        <v>125</v>
      </c>
      <c r="Q751">
        <v>0</v>
      </c>
      <c r="R751">
        <v>0</v>
      </c>
      <c r="S751" s="2">
        <v>0</v>
      </c>
      <c r="T751" s="4"/>
      <c r="U751">
        <v>11</v>
      </c>
      <c r="V751">
        <v>0</v>
      </c>
      <c r="W751">
        <v>1</v>
      </c>
    </row>
    <row r="752" spans="1:23" ht="16.5" x14ac:dyDescent="0.3">
      <c r="A752" t="s">
        <v>806</v>
      </c>
      <c r="B752" s="1">
        <v>45401</v>
      </c>
      <c r="C752">
        <v>2024</v>
      </c>
      <c r="D752" t="s">
        <v>688</v>
      </c>
      <c r="E752" t="s">
        <v>689</v>
      </c>
      <c r="F752" t="s">
        <v>37</v>
      </c>
      <c r="G752" t="s">
        <v>51</v>
      </c>
      <c r="H752" t="s">
        <v>38</v>
      </c>
      <c r="I752" t="s">
        <v>39</v>
      </c>
      <c r="J752" t="s">
        <v>30</v>
      </c>
      <c r="K752" s="2">
        <v>4750</v>
      </c>
      <c r="L752" s="2">
        <v>11000</v>
      </c>
      <c r="M752">
        <v>60</v>
      </c>
      <c r="N752" s="3">
        <v>0.16300000000000001</v>
      </c>
      <c r="O752" t="s">
        <v>16</v>
      </c>
      <c r="Q752">
        <v>1</v>
      </c>
      <c r="R752">
        <v>0</v>
      </c>
      <c r="S752" s="2">
        <v>11000</v>
      </c>
      <c r="T752" s="4">
        <v>0.1404</v>
      </c>
      <c r="U752">
        <v>4</v>
      </c>
      <c r="V752">
        <v>0</v>
      </c>
      <c r="W752">
        <v>1</v>
      </c>
    </row>
    <row r="753" spans="1:23" ht="16.5" x14ac:dyDescent="0.3">
      <c r="A753" t="s">
        <v>807</v>
      </c>
      <c r="B753" s="1">
        <v>45401</v>
      </c>
      <c r="C753">
        <v>2024</v>
      </c>
      <c r="D753" t="s">
        <v>688</v>
      </c>
      <c r="E753" t="s">
        <v>689</v>
      </c>
      <c r="F753" t="s">
        <v>50</v>
      </c>
      <c r="G753" t="s">
        <v>45</v>
      </c>
      <c r="H753" t="s">
        <v>34</v>
      </c>
      <c r="I753" t="s">
        <v>39</v>
      </c>
      <c r="J753" t="s">
        <v>35</v>
      </c>
      <c r="K753" s="2">
        <v>3400</v>
      </c>
      <c r="L753" s="2">
        <v>428000</v>
      </c>
      <c r="M753">
        <v>300</v>
      </c>
      <c r="N753" s="3">
        <v>0.92200000000000004</v>
      </c>
      <c r="O753" t="s">
        <v>16</v>
      </c>
      <c r="Q753">
        <v>1</v>
      </c>
      <c r="R753">
        <v>0</v>
      </c>
      <c r="S753" s="2">
        <v>428000</v>
      </c>
      <c r="T753" s="4">
        <v>5.9499999999999997E-2</v>
      </c>
      <c r="U753">
        <v>12</v>
      </c>
      <c r="V753">
        <v>1</v>
      </c>
      <c r="W753">
        <v>1</v>
      </c>
    </row>
    <row r="754" spans="1:23" ht="16.5" x14ac:dyDescent="0.3">
      <c r="A754" t="s">
        <v>808</v>
      </c>
      <c r="B754" s="1">
        <v>45401</v>
      </c>
      <c r="C754">
        <v>2024</v>
      </c>
      <c r="D754" t="s">
        <v>688</v>
      </c>
      <c r="E754" t="s">
        <v>689</v>
      </c>
      <c r="F754" t="s">
        <v>41</v>
      </c>
      <c r="G754" t="s">
        <v>33</v>
      </c>
      <c r="H754" t="s">
        <v>64</v>
      </c>
      <c r="I754" t="s">
        <v>29</v>
      </c>
      <c r="J754" t="s">
        <v>46</v>
      </c>
      <c r="K754" s="2">
        <v>4150</v>
      </c>
      <c r="L754" s="2">
        <v>84000</v>
      </c>
      <c r="M754">
        <v>24</v>
      </c>
      <c r="N754" s="3">
        <v>1.087</v>
      </c>
      <c r="O754" t="s">
        <v>16</v>
      </c>
      <c r="Q754">
        <v>1</v>
      </c>
      <c r="R754">
        <v>0</v>
      </c>
      <c r="S754" s="2">
        <v>67000</v>
      </c>
      <c r="T754" s="4">
        <v>9.1399999999999995E-2</v>
      </c>
      <c r="U754">
        <v>4</v>
      </c>
      <c r="V754">
        <v>1</v>
      </c>
      <c r="W754">
        <v>1</v>
      </c>
    </row>
    <row r="755" spans="1:23" ht="16.5" x14ac:dyDescent="0.3">
      <c r="A755" t="s">
        <v>809</v>
      </c>
      <c r="B755" s="1">
        <v>45401</v>
      </c>
      <c r="C755">
        <v>2024</v>
      </c>
      <c r="D755" t="s">
        <v>688</v>
      </c>
      <c r="E755" t="s">
        <v>689</v>
      </c>
      <c r="F755" t="s">
        <v>26</v>
      </c>
      <c r="G755" t="s">
        <v>27</v>
      </c>
      <c r="H755" t="s">
        <v>55</v>
      </c>
      <c r="I755" t="s">
        <v>39</v>
      </c>
      <c r="J755" t="s">
        <v>30</v>
      </c>
      <c r="K755" s="2">
        <v>7250</v>
      </c>
      <c r="L755" s="2">
        <v>69000</v>
      </c>
      <c r="M755">
        <v>48</v>
      </c>
      <c r="N755" s="3">
        <v>0.33400000000000002</v>
      </c>
      <c r="O755" t="s">
        <v>16</v>
      </c>
      <c r="Q755">
        <v>1</v>
      </c>
      <c r="R755">
        <v>0</v>
      </c>
      <c r="S755" s="2">
        <v>69000</v>
      </c>
      <c r="T755" s="4">
        <v>9.69E-2</v>
      </c>
      <c r="U755">
        <v>4</v>
      </c>
      <c r="V755">
        <v>1</v>
      </c>
      <c r="W755">
        <v>1</v>
      </c>
    </row>
    <row r="756" spans="1:23" ht="16.5" x14ac:dyDescent="0.3">
      <c r="A756" t="s">
        <v>810</v>
      </c>
      <c r="B756" s="1">
        <v>45401</v>
      </c>
      <c r="C756">
        <v>2024</v>
      </c>
      <c r="D756" t="s">
        <v>688</v>
      </c>
      <c r="E756" t="s">
        <v>689</v>
      </c>
      <c r="F756" t="s">
        <v>50</v>
      </c>
      <c r="G756" t="s">
        <v>51</v>
      </c>
      <c r="H756" t="s">
        <v>38</v>
      </c>
      <c r="I756" t="s">
        <v>39</v>
      </c>
      <c r="J756" t="s">
        <v>35</v>
      </c>
      <c r="K756" s="2">
        <v>6700</v>
      </c>
      <c r="L756" s="2">
        <v>318000</v>
      </c>
      <c r="M756">
        <v>180</v>
      </c>
      <c r="N756" s="3">
        <v>0.59199999999999997</v>
      </c>
      <c r="O756" t="s">
        <v>17</v>
      </c>
      <c r="P756" t="s">
        <v>53</v>
      </c>
      <c r="Q756">
        <v>0</v>
      </c>
      <c r="R756">
        <v>1</v>
      </c>
      <c r="S756" s="2">
        <v>0</v>
      </c>
      <c r="T756" s="4"/>
      <c r="U756">
        <v>28</v>
      </c>
      <c r="V756">
        <v>0</v>
      </c>
      <c r="W756">
        <v>1</v>
      </c>
    </row>
    <row r="757" spans="1:23" ht="16.5" x14ac:dyDescent="0.3">
      <c r="A757" t="s">
        <v>811</v>
      </c>
      <c r="B757" s="1">
        <v>45401</v>
      </c>
      <c r="C757">
        <v>2024</v>
      </c>
      <c r="D757" t="s">
        <v>688</v>
      </c>
      <c r="E757" t="s">
        <v>689</v>
      </c>
      <c r="F757" t="s">
        <v>50</v>
      </c>
      <c r="G757" t="s">
        <v>45</v>
      </c>
      <c r="H757" t="s">
        <v>34</v>
      </c>
      <c r="I757" t="s">
        <v>39</v>
      </c>
      <c r="J757" t="s">
        <v>35</v>
      </c>
      <c r="K757" s="2">
        <v>5600</v>
      </c>
      <c r="L757" s="2">
        <v>594000</v>
      </c>
      <c r="M757">
        <v>300</v>
      </c>
      <c r="N757" s="3">
        <v>0.78300000000000003</v>
      </c>
      <c r="O757" t="s">
        <v>17</v>
      </c>
      <c r="P757" t="s">
        <v>53</v>
      </c>
      <c r="Q757">
        <v>0</v>
      </c>
      <c r="R757">
        <v>1</v>
      </c>
      <c r="S757" s="2">
        <v>0</v>
      </c>
      <c r="T757" s="4"/>
      <c r="U757">
        <v>7</v>
      </c>
      <c r="V757">
        <v>1</v>
      </c>
      <c r="W757">
        <v>1</v>
      </c>
    </row>
    <row r="758" spans="1:23" ht="16.5" x14ac:dyDescent="0.3">
      <c r="A758" t="s">
        <v>812</v>
      </c>
      <c r="B758" s="1">
        <v>45402</v>
      </c>
      <c r="C758">
        <v>2024</v>
      </c>
      <c r="D758" t="s">
        <v>688</v>
      </c>
      <c r="E758" t="s">
        <v>689</v>
      </c>
      <c r="F758" t="s">
        <v>50</v>
      </c>
      <c r="G758" t="s">
        <v>45</v>
      </c>
      <c r="H758" t="s">
        <v>55</v>
      </c>
      <c r="I758" t="s">
        <v>29</v>
      </c>
      <c r="J758" t="s">
        <v>35</v>
      </c>
      <c r="K758" s="2">
        <v>4400</v>
      </c>
      <c r="L758" s="2">
        <v>138000</v>
      </c>
      <c r="M758">
        <v>240</v>
      </c>
      <c r="N758" s="3">
        <v>0.27400000000000002</v>
      </c>
      <c r="O758" t="s">
        <v>17</v>
      </c>
      <c r="P758" t="s">
        <v>65</v>
      </c>
      <c r="Q758">
        <v>0</v>
      </c>
      <c r="R758">
        <v>1</v>
      </c>
      <c r="S758" s="2">
        <v>0</v>
      </c>
      <c r="T758" s="4"/>
      <c r="U758">
        <v>5</v>
      </c>
      <c r="V758">
        <v>1</v>
      </c>
      <c r="W758">
        <v>1</v>
      </c>
    </row>
    <row r="759" spans="1:23" ht="16.5" x14ac:dyDescent="0.3">
      <c r="A759" t="s">
        <v>813</v>
      </c>
      <c r="B759" s="1">
        <v>45402</v>
      </c>
      <c r="C759">
        <v>2024</v>
      </c>
      <c r="D759" t="s">
        <v>688</v>
      </c>
      <c r="E759" t="s">
        <v>689</v>
      </c>
      <c r="F759" t="s">
        <v>41</v>
      </c>
      <c r="G759" t="s">
        <v>27</v>
      </c>
      <c r="H759" t="s">
        <v>28</v>
      </c>
      <c r="I759" t="s">
        <v>29</v>
      </c>
      <c r="J759" t="s">
        <v>30</v>
      </c>
      <c r="K759" s="2">
        <v>2450</v>
      </c>
      <c r="L759" s="2">
        <v>77500</v>
      </c>
      <c r="M759">
        <v>60</v>
      </c>
      <c r="N759" s="3">
        <v>0.76900000000000002</v>
      </c>
      <c r="O759" t="s">
        <v>17</v>
      </c>
      <c r="P759" t="s">
        <v>31</v>
      </c>
      <c r="Q759">
        <v>0</v>
      </c>
      <c r="R759">
        <v>1</v>
      </c>
      <c r="S759" s="2">
        <v>0</v>
      </c>
      <c r="T759" s="4"/>
      <c r="U759">
        <v>19</v>
      </c>
      <c r="V759">
        <v>0</v>
      </c>
      <c r="W759">
        <v>1</v>
      </c>
    </row>
    <row r="760" spans="1:23" ht="16.5" x14ac:dyDescent="0.3">
      <c r="A760" t="s">
        <v>814</v>
      </c>
      <c r="B760" s="1">
        <v>45402</v>
      </c>
      <c r="C760">
        <v>2024</v>
      </c>
      <c r="D760" t="s">
        <v>688</v>
      </c>
      <c r="E760" t="s">
        <v>689</v>
      </c>
      <c r="F760" t="s">
        <v>37</v>
      </c>
      <c r="G760" t="s">
        <v>51</v>
      </c>
      <c r="H760" t="s">
        <v>34</v>
      </c>
      <c r="I760" t="s">
        <v>42</v>
      </c>
      <c r="J760" t="s">
        <v>43</v>
      </c>
      <c r="K760" s="2">
        <v>4950</v>
      </c>
      <c r="L760" s="2">
        <v>10000</v>
      </c>
      <c r="M760">
        <v>12</v>
      </c>
      <c r="N760" s="3">
        <v>0.42499999999999999</v>
      </c>
      <c r="O760" t="s">
        <v>16</v>
      </c>
      <c r="Q760">
        <v>1</v>
      </c>
      <c r="R760">
        <v>0</v>
      </c>
      <c r="S760" s="2">
        <v>9000</v>
      </c>
      <c r="T760" s="4">
        <v>0.16020000000000001</v>
      </c>
      <c r="U760">
        <v>4</v>
      </c>
      <c r="V760">
        <v>0</v>
      </c>
      <c r="W760">
        <v>1</v>
      </c>
    </row>
    <row r="761" spans="1:23" ht="16.5" x14ac:dyDescent="0.3">
      <c r="A761" t="s">
        <v>815</v>
      </c>
      <c r="B761" s="1">
        <v>45402</v>
      </c>
      <c r="C761">
        <v>2024</v>
      </c>
      <c r="D761" t="s">
        <v>688</v>
      </c>
      <c r="E761" t="s">
        <v>689</v>
      </c>
      <c r="F761" t="s">
        <v>37</v>
      </c>
      <c r="G761" t="s">
        <v>27</v>
      </c>
      <c r="H761" t="s">
        <v>38</v>
      </c>
      <c r="I761" t="s">
        <v>39</v>
      </c>
      <c r="J761" t="s">
        <v>46</v>
      </c>
      <c r="K761" s="2">
        <v>4650</v>
      </c>
      <c r="L761" s="2">
        <v>12000</v>
      </c>
      <c r="M761">
        <v>36</v>
      </c>
      <c r="N761" s="3">
        <v>0.27300000000000002</v>
      </c>
      <c r="O761" t="s">
        <v>16</v>
      </c>
      <c r="Q761">
        <v>1</v>
      </c>
      <c r="R761">
        <v>0</v>
      </c>
      <c r="S761" s="2">
        <v>9500</v>
      </c>
      <c r="T761" s="4">
        <v>0.1113</v>
      </c>
      <c r="U761">
        <v>4</v>
      </c>
      <c r="V761">
        <v>0</v>
      </c>
      <c r="W761">
        <v>1</v>
      </c>
    </row>
    <row r="762" spans="1:23" ht="16.5" x14ac:dyDescent="0.3">
      <c r="A762" t="s">
        <v>816</v>
      </c>
      <c r="B762" s="1">
        <v>45402</v>
      </c>
      <c r="C762">
        <v>2024</v>
      </c>
      <c r="D762" t="s">
        <v>688</v>
      </c>
      <c r="E762" t="s">
        <v>689</v>
      </c>
      <c r="F762" t="s">
        <v>37</v>
      </c>
      <c r="G762" t="s">
        <v>27</v>
      </c>
      <c r="H762" t="s">
        <v>55</v>
      </c>
      <c r="I762" t="s">
        <v>29</v>
      </c>
      <c r="J762" t="s">
        <v>52</v>
      </c>
      <c r="K762" s="2">
        <v>4350</v>
      </c>
      <c r="L762" s="2">
        <v>15500</v>
      </c>
      <c r="M762">
        <v>48</v>
      </c>
      <c r="N762" s="3">
        <v>0.29799999999999999</v>
      </c>
      <c r="O762" t="s">
        <v>16</v>
      </c>
      <c r="Q762">
        <v>1</v>
      </c>
      <c r="R762">
        <v>0</v>
      </c>
      <c r="S762" s="2">
        <v>15500</v>
      </c>
      <c r="T762" s="4">
        <v>0.1124</v>
      </c>
      <c r="U762">
        <v>2</v>
      </c>
      <c r="V762">
        <v>1</v>
      </c>
      <c r="W762">
        <v>1</v>
      </c>
    </row>
    <row r="763" spans="1:23" ht="16.5" x14ac:dyDescent="0.3">
      <c r="A763" t="s">
        <v>817</v>
      </c>
      <c r="B763" s="1">
        <v>45403</v>
      </c>
      <c r="C763">
        <v>2024</v>
      </c>
      <c r="D763" t="s">
        <v>688</v>
      </c>
      <c r="E763" t="s">
        <v>689</v>
      </c>
      <c r="F763" t="s">
        <v>26</v>
      </c>
      <c r="G763" t="s">
        <v>27</v>
      </c>
      <c r="H763" t="s">
        <v>28</v>
      </c>
      <c r="I763" t="s">
        <v>39</v>
      </c>
      <c r="J763" t="s">
        <v>35</v>
      </c>
      <c r="K763" s="2">
        <v>7500</v>
      </c>
      <c r="L763" s="2">
        <v>71500</v>
      </c>
      <c r="M763">
        <v>48</v>
      </c>
      <c r="N763" s="3">
        <v>0.34499999999999997</v>
      </c>
      <c r="O763" t="s">
        <v>16</v>
      </c>
      <c r="Q763">
        <v>1</v>
      </c>
      <c r="R763">
        <v>0</v>
      </c>
      <c r="S763" s="2">
        <v>64500</v>
      </c>
      <c r="T763" s="4">
        <v>7.9500000000000001E-2</v>
      </c>
      <c r="U763">
        <v>5</v>
      </c>
      <c r="V763">
        <v>0</v>
      </c>
      <c r="W763">
        <v>1</v>
      </c>
    </row>
    <row r="764" spans="1:23" ht="16.5" x14ac:dyDescent="0.3">
      <c r="A764" t="s">
        <v>818</v>
      </c>
      <c r="B764" s="1">
        <v>45403</v>
      </c>
      <c r="C764">
        <v>2024</v>
      </c>
      <c r="D764" t="s">
        <v>688</v>
      </c>
      <c r="E764" t="s">
        <v>689</v>
      </c>
      <c r="F764" t="s">
        <v>50</v>
      </c>
      <c r="G764" t="s">
        <v>45</v>
      </c>
      <c r="H764" t="s">
        <v>55</v>
      </c>
      <c r="I764" t="s">
        <v>42</v>
      </c>
      <c r="J764" t="s">
        <v>30</v>
      </c>
      <c r="K764" s="2">
        <v>9050</v>
      </c>
      <c r="L764" s="2">
        <v>427000</v>
      </c>
      <c r="M764">
        <v>300</v>
      </c>
      <c r="N764" s="3">
        <v>0.41199999999999998</v>
      </c>
      <c r="O764" t="s">
        <v>17</v>
      </c>
      <c r="P764" t="s">
        <v>31</v>
      </c>
      <c r="Q764">
        <v>0</v>
      </c>
      <c r="R764">
        <v>1</v>
      </c>
      <c r="S764" s="2">
        <v>0</v>
      </c>
      <c r="T764" s="4"/>
      <c r="U764">
        <v>7</v>
      </c>
      <c r="V764">
        <v>1</v>
      </c>
      <c r="W764">
        <v>1</v>
      </c>
    </row>
    <row r="765" spans="1:23" ht="16.5" x14ac:dyDescent="0.3">
      <c r="A765" t="s">
        <v>819</v>
      </c>
      <c r="B765" s="1">
        <v>45404</v>
      </c>
      <c r="C765">
        <v>2024</v>
      </c>
      <c r="D765" t="s">
        <v>688</v>
      </c>
      <c r="E765" t="s">
        <v>689</v>
      </c>
      <c r="F765" t="s">
        <v>50</v>
      </c>
      <c r="G765" t="s">
        <v>51</v>
      </c>
      <c r="H765" t="s">
        <v>38</v>
      </c>
      <c r="I765" t="s">
        <v>39</v>
      </c>
      <c r="J765" t="s">
        <v>43</v>
      </c>
      <c r="K765" s="2">
        <v>7350</v>
      </c>
      <c r="L765" s="2">
        <v>356000</v>
      </c>
      <c r="M765">
        <v>180</v>
      </c>
      <c r="N765" s="3">
        <v>0.61599999999999999</v>
      </c>
      <c r="O765" t="s">
        <v>17</v>
      </c>
      <c r="P765" t="s">
        <v>31</v>
      </c>
      <c r="Q765">
        <v>0</v>
      </c>
      <c r="R765">
        <v>1</v>
      </c>
      <c r="S765" s="2">
        <v>0</v>
      </c>
      <c r="T765" s="4"/>
      <c r="U765">
        <v>15</v>
      </c>
      <c r="V765">
        <v>1</v>
      </c>
      <c r="W765">
        <v>1</v>
      </c>
    </row>
    <row r="766" spans="1:23" ht="16.5" x14ac:dyDescent="0.3">
      <c r="A766" t="s">
        <v>820</v>
      </c>
      <c r="B766" s="1">
        <v>45404</v>
      </c>
      <c r="C766">
        <v>2024</v>
      </c>
      <c r="D766" t="s">
        <v>688</v>
      </c>
      <c r="E766" t="s">
        <v>689</v>
      </c>
      <c r="F766" t="s">
        <v>37</v>
      </c>
      <c r="G766" t="s">
        <v>27</v>
      </c>
      <c r="H766" t="s">
        <v>55</v>
      </c>
      <c r="I766" t="s">
        <v>29</v>
      </c>
      <c r="J766" t="s">
        <v>30</v>
      </c>
      <c r="K766" s="2">
        <v>5300</v>
      </c>
      <c r="L766" s="2">
        <v>25000</v>
      </c>
      <c r="M766">
        <v>36</v>
      </c>
      <c r="N766" s="3">
        <v>0.252</v>
      </c>
      <c r="O766" t="s">
        <v>16</v>
      </c>
      <c r="Q766">
        <v>1</v>
      </c>
      <c r="R766">
        <v>0</v>
      </c>
      <c r="S766" s="2">
        <v>25000</v>
      </c>
      <c r="T766" s="4">
        <v>0.14050000000000001</v>
      </c>
      <c r="U766">
        <v>3</v>
      </c>
      <c r="V766">
        <v>1</v>
      </c>
      <c r="W766">
        <v>1</v>
      </c>
    </row>
    <row r="767" spans="1:23" ht="16.5" x14ac:dyDescent="0.3">
      <c r="A767" t="s">
        <v>821</v>
      </c>
      <c r="B767" s="1">
        <v>45404</v>
      </c>
      <c r="C767">
        <v>2024</v>
      </c>
      <c r="D767" t="s">
        <v>688</v>
      </c>
      <c r="E767" t="s">
        <v>689</v>
      </c>
      <c r="F767" t="s">
        <v>37</v>
      </c>
      <c r="G767" t="s">
        <v>51</v>
      </c>
      <c r="H767" t="s">
        <v>38</v>
      </c>
      <c r="I767" t="s">
        <v>29</v>
      </c>
      <c r="J767" t="s">
        <v>35</v>
      </c>
      <c r="K767" s="2">
        <v>3900</v>
      </c>
      <c r="L767" s="2">
        <v>8500</v>
      </c>
      <c r="M767">
        <v>36</v>
      </c>
      <c r="N767" s="3">
        <v>0.317</v>
      </c>
      <c r="O767" t="s">
        <v>16</v>
      </c>
      <c r="Q767">
        <v>1</v>
      </c>
      <c r="R767">
        <v>0</v>
      </c>
      <c r="S767" s="2">
        <v>8500</v>
      </c>
      <c r="T767" s="4">
        <v>0.13139999999999999</v>
      </c>
      <c r="U767">
        <v>2</v>
      </c>
      <c r="V767">
        <v>1</v>
      </c>
      <c r="W767">
        <v>1</v>
      </c>
    </row>
    <row r="768" spans="1:23" ht="16.5" x14ac:dyDescent="0.3">
      <c r="A768" t="s">
        <v>822</v>
      </c>
      <c r="B768" s="1">
        <v>45404</v>
      </c>
      <c r="C768">
        <v>2024</v>
      </c>
      <c r="D768" t="s">
        <v>688</v>
      </c>
      <c r="E768" t="s">
        <v>689</v>
      </c>
      <c r="F768" t="s">
        <v>26</v>
      </c>
      <c r="G768" t="s">
        <v>51</v>
      </c>
      <c r="H768" t="s">
        <v>28</v>
      </c>
      <c r="I768" t="s">
        <v>39</v>
      </c>
      <c r="J768" t="s">
        <v>52</v>
      </c>
      <c r="K768" s="2">
        <v>7900</v>
      </c>
      <c r="L768" s="2">
        <v>19500</v>
      </c>
      <c r="M768">
        <v>60</v>
      </c>
      <c r="N768" s="3">
        <v>0.14599999999999999</v>
      </c>
      <c r="O768" t="s">
        <v>16</v>
      </c>
      <c r="Q768">
        <v>1</v>
      </c>
      <c r="R768">
        <v>0</v>
      </c>
      <c r="S768" s="2">
        <v>19500</v>
      </c>
      <c r="T768" s="4">
        <v>7.1800000000000003E-2</v>
      </c>
      <c r="U768">
        <v>6</v>
      </c>
      <c r="V768">
        <v>0</v>
      </c>
      <c r="W768">
        <v>1</v>
      </c>
    </row>
    <row r="769" spans="1:23" ht="16.5" x14ac:dyDescent="0.3">
      <c r="A769" t="s">
        <v>823</v>
      </c>
      <c r="B769" s="1">
        <v>45405</v>
      </c>
      <c r="C769">
        <v>2024</v>
      </c>
      <c r="D769" t="s">
        <v>688</v>
      </c>
      <c r="E769" t="s">
        <v>689</v>
      </c>
      <c r="F769" t="s">
        <v>37</v>
      </c>
      <c r="G769" t="s">
        <v>51</v>
      </c>
      <c r="H769" t="s">
        <v>55</v>
      </c>
      <c r="I769" t="s">
        <v>29</v>
      </c>
      <c r="J769" t="s">
        <v>35</v>
      </c>
      <c r="K769" s="2">
        <v>4150</v>
      </c>
      <c r="L769" s="2">
        <v>18500</v>
      </c>
      <c r="M769">
        <v>36</v>
      </c>
      <c r="N769" s="3">
        <v>0.30599999999999999</v>
      </c>
      <c r="O769" t="s">
        <v>16</v>
      </c>
      <c r="Q769">
        <v>1</v>
      </c>
      <c r="R769">
        <v>0</v>
      </c>
      <c r="S769" s="2">
        <v>16500</v>
      </c>
      <c r="T769" s="4">
        <v>0.1234</v>
      </c>
      <c r="U769">
        <v>4</v>
      </c>
      <c r="V769">
        <v>0</v>
      </c>
      <c r="W769">
        <v>1</v>
      </c>
    </row>
    <row r="770" spans="1:23" ht="16.5" x14ac:dyDescent="0.3">
      <c r="A770" t="s">
        <v>824</v>
      </c>
      <c r="B770" s="1">
        <v>45405</v>
      </c>
      <c r="C770">
        <v>2024</v>
      </c>
      <c r="D770" t="s">
        <v>688</v>
      </c>
      <c r="E770" t="s">
        <v>689</v>
      </c>
      <c r="F770" t="s">
        <v>50</v>
      </c>
      <c r="G770" t="s">
        <v>45</v>
      </c>
      <c r="H770" t="s">
        <v>38</v>
      </c>
      <c r="I770" t="s">
        <v>42</v>
      </c>
      <c r="J770" t="s">
        <v>52</v>
      </c>
      <c r="K770" s="2">
        <v>8150</v>
      </c>
      <c r="L770" s="2">
        <v>345500</v>
      </c>
      <c r="M770">
        <v>240</v>
      </c>
      <c r="N770" s="3">
        <v>0.497</v>
      </c>
      <c r="O770" t="s">
        <v>16</v>
      </c>
      <c r="Q770">
        <v>1</v>
      </c>
      <c r="R770">
        <v>0</v>
      </c>
      <c r="S770" s="2">
        <v>311000</v>
      </c>
      <c r="T770" s="4">
        <v>4.58E-2</v>
      </c>
      <c r="U770">
        <v>16</v>
      </c>
      <c r="V770">
        <v>0</v>
      </c>
      <c r="W770">
        <v>1</v>
      </c>
    </row>
    <row r="771" spans="1:23" ht="16.5" x14ac:dyDescent="0.3">
      <c r="A771" t="s">
        <v>825</v>
      </c>
      <c r="B771" s="1">
        <v>45405</v>
      </c>
      <c r="C771">
        <v>2024</v>
      </c>
      <c r="D771" t="s">
        <v>688</v>
      </c>
      <c r="E771" t="s">
        <v>689</v>
      </c>
      <c r="F771" t="s">
        <v>37</v>
      </c>
      <c r="G771" t="s">
        <v>27</v>
      </c>
      <c r="H771" t="s">
        <v>28</v>
      </c>
      <c r="I771" t="s">
        <v>39</v>
      </c>
      <c r="J771" t="s">
        <v>52</v>
      </c>
      <c r="K771" s="2">
        <v>5600</v>
      </c>
      <c r="L771" s="2">
        <v>5000</v>
      </c>
      <c r="M771">
        <v>12</v>
      </c>
      <c r="N771" s="3">
        <v>0.246</v>
      </c>
      <c r="O771" t="s">
        <v>16</v>
      </c>
      <c r="Q771">
        <v>1</v>
      </c>
      <c r="R771">
        <v>0</v>
      </c>
      <c r="S771" s="2">
        <v>5000</v>
      </c>
      <c r="T771" s="4">
        <v>0.1158</v>
      </c>
      <c r="U771">
        <v>2</v>
      </c>
      <c r="V771">
        <v>1</v>
      </c>
      <c r="W771">
        <v>1</v>
      </c>
    </row>
    <row r="772" spans="1:23" ht="16.5" x14ac:dyDescent="0.3">
      <c r="A772" t="s">
        <v>826</v>
      </c>
      <c r="B772" s="1">
        <v>45405</v>
      </c>
      <c r="C772">
        <v>2024</v>
      </c>
      <c r="D772" t="s">
        <v>688</v>
      </c>
      <c r="E772" t="s">
        <v>689</v>
      </c>
      <c r="F772" t="s">
        <v>50</v>
      </c>
      <c r="G772" t="s">
        <v>27</v>
      </c>
      <c r="H772" t="s">
        <v>38</v>
      </c>
      <c r="I772" t="s">
        <v>29</v>
      </c>
      <c r="J772" t="s">
        <v>30</v>
      </c>
      <c r="K772" s="2">
        <v>3100</v>
      </c>
      <c r="L772" s="2">
        <v>275500</v>
      </c>
      <c r="M772">
        <v>300</v>
      </c>
      <c r="N772" s="3">
        <v>0.745</v>
      </c>
      <c r="O772" t="s">
        <v>17</v>
      </c>
      <c r="P772" t="s">
        <v>60</v>
      </c>
      <c r="Q772">
        <v>0</v>
      </c>
      <c r="R772">
        <v>1</v>
      </c>
      <c r="S772" s="2">
        <v>0</v>
      </c>
      <c r="T772" s="4"/>
      <c r="U772">
        <v>16</v>
      </c>
      <c r="V772">
        <v>0</v>
      </c>
      <c r="W772">
        <v>1</v>
      </c>
    </row>
    <row r="773" spans="1:23" ht="16.5" x14ac:dyDescent="0.3">
      <c r="A773" t="s">
        <v>827</v>
      </c>
      <c r="B773" s="1">
        <v>45405</v>
      </c>
      <c r="C773">
        <v>2024</v>
      </c>
      <c r="D773" t="s">
        <v>688</v>
      </c>
      <c r="E773" t="s">
        <v>689</v>
      </c>
      <c r="F773" t="s">
        <v>37</v>
      </c>
      <c r="G773" t="s">
        <v>33</v>
      </c>
      <c r="H773" t="s">
        <v>34</v>
      </c>
      <c r="I773" t="s">
        <v>42</v>
      </c>
      <c r="J773" t="s">
        <v>46</v>
      </c>
      <c r="K773" s="2">
        <v>9300</v>
      </c>
      <c r="L773" s="2">
        <v>14000</v>
      </c>
      <c r="M773">
        <v>60</v>
      </c>
      <c r="N773" s="3">
        <v>9.8000000000000004E-2</v>
      </c>
      <c r="O773" t="s">
        <v>16</v>
      </c>
      <c r="Q773">
        <v>1</v>
      </c>
      <c r="R773">
        <v>0</v>
      </c>
      <c r="S773" s="2">
        <v>14000</v>
      </c>
      <c r="T773" s="4">
        <v>0.1133</v>
      </c>
      <c r="U773">
        <v>3</v>
      </c>
      <c r="V773">
        <v>1</v>
      </c>
      <c r="W773">
        <v>1</v>
      </c>
    </row>
    <row r="774" spans="1:23" ht="16.5" x14ac:dyDescent="0.3">
      <c r="A774" t="s">
        <v>828</v>
      </c>
      <c r="B774" s="1">
        <v>45405</v>
      </c>
      <c r="C774">
        <v>2024</v>
      </c>
      <c r="D774" t="s">
        <v>688</v>
      </c>
      <c r="E774" t="s">
        <v>689</v>
      </c>
      <c r="F774" t="s">
        <v>26</v>
      </c>
      <c r="G774" t="s">
        <v>51</v>
      </c>
      <c r="H774" t="s">
        <v>38</v>
      </c>
      <c r="I774" t="s">
        <v>39</v>
      </c>
      <c r="J774" t="s">
        <v>46</v>
      </c>
      <c r="K774" s="2">
        <v>5150</v>
      </c>
      <c r="L774" s="2">
        <v>42500</v>
      </c>
      <c r="M774">
        <v>48</v>
      </c>
      <c r="N774" s="3">
        <v>0.251</v>
      </c>
      <c r="O774" t="s">
        <v>16</v>
      </c>
      <c r="Q774">
        <v>1</v>
      </c>
      <c r="R774">
        <v>0</v>
      </c>
      <c r="S774" s="2">
        <v>42500</v>
      </c>
      <c r="T774" s="4">
        <v>6.8699999999999997E-2</v>
      </c>
      <c r="U774">
        <v>6</v>
      </c>
      <c r="V774">
        <v>0</v>
      </c>
      <c r="W774">
        <v>1</v>
      </c>
    </row>
    <row r="775" spans="1:23" ht="16.5" x14ac:dyDescent="0.3">
      <c r="A775" t="s">
        <v>829</v>
      </c>
      <c r="B775" s="1">
        <v>45405</v>
      </c>
      <c r="C775">
        <v>2024</v>
      </c>
      <c r="D775" t="s">
        <v>688</v>
      </c>
      <c r="E775" t="s">
        <v>689</v>
      </c>
      <c r="F775" t="s">
        <v>37</v>
      </c>
      <c r="G775" t="s">
        <v>51</v>
      </c>
      <c r="H775" t="s">
        <v>34</v>
      </c>
      <c r="I775" t="s">
        <v>29</v>
      </c>
      <c r="J775" t="s">
        <v>30</v>
      </c>
      <c r="K775" s="2">
        <v>4550</v>
      </c>
      <c r="L775" s="2">
        <v>12500</v>
      </c>
      <c r="M775">
        <v>48</v>
      </c>
      <c r="N775" s="3">
        <v>0.16300000000000001</v>
      </c>
      <c r="O775" t="s">
        <v>17</v>
      </c>
      <c r="P775" t="s">
        <v>31</v>
      </c>
      <c r="Q775">
        <v>0</v>
      </c>
      <c r="R775">
        <v>1</v>
      </c>
      <c r="S775" s="2">
        <v>0</v>
      </c>
      <c r="T775" s="4"/>
      <c r="U775">
        <v>5</v>
      </c>
      <c r="V775">
        <v>0</v>
      </c>
      <c r="W775">
        <v>1</v>
      </c>
    </row>
    <row r="776" spans="1:23" ht="16.5" x14ac:dyDescent="0.3">
      <c r="A776" t="s">
        <v>830</v>
      </c>
      <c r="B776" s="1">
        <v>45405</v>
      </c>
      <c r="C776">
        <v>2024</v>
      </c>
      <c r="D776" t="s">
        <v>688</v>
      </c>
      <c r="E776" t="s">
        <v>689</v>
      </c>
      <c r="F776" t="s">
        <v>26</v>
      </c>
      <c r="G776" t="s">
        <v>51</v>
      </c>
      <c r="H776" t="s">
        <v>55</v>
      </c>
      <c r="I776" t="s">
        <v>29</v>
      </c>
      <c r="J776" t="s">
        <v>30</v>
      </c>
      <c r="K776" s="2">
        <v>2600</v>
      </c>
      <c r="L776" s="2">
        <v>24000</v>
      </c>
      <c r="M776">
        <v>60</v>
      </c>
      <c r="N776" s="3">
        <v>0.373</v>
      </c>
      <c r="O776" t="s">
        <v>17</v>
      </c>
      <c r="P776" t="s">
        <v>31</v>
      </c>
      <c r="Q776">
        <v>0</v>
      </c>
      <c r="R776">
        <v>1</v>
      </c>
      <c r="S776" s="2">
        <v>0</v>
      </c>
      <c r="T776" s="4"/>
      <c r="U776">
        <v>8</v>
      </c>
      <c r="V776">
        <v>0</v>
      </c>
      <c r="W776">
        <v>1</v>
      </c>
    </row>
    <row r="777" spans="1:23" ht="16.5" x14ac:dyDescent="0.3">
      <c r="A777" t="s">
        <v>831</v>
      </c>
      <c r="B777" s="1">
        <v>45405</v>
      </c>
      <c r="C777">
        <v>2024</v>
      </c>
      <c r="D777" t="s">
        <v>688</v>
      </c>
      <c r="E777" t="s">
        <v>689</v>
      </c>
      <c r="F777" t="s">
        <v>26</v>
      </c>
      <c r="G777" t="s">
        <v>51</v>
      </c>
      <c r="H777" t="s">
        <v>28</v>
      </c>
      <c r="I777" t="s">
        <v>42</v>
      </c>
      <c r="J777" t="s">
        <v>46</v>
      </c>
      <c r="K777" s="2">
        <v>9650</v>
      </c>
      <c r="L777" s="2">
        <v>17000</v>
      </c>
      <c r="M777">
        <v>48</v>
      </c>
      <c r="N777" s="3">
        <v>0.23400000000000001</v>
      </c>
      <c r="O777" t="s">
        <v>16</v>
      </c>
      <c r="Q777">
        <v>1</v>
      </c>
      <c r="R777">
        <v>0</v>
      </c>
      <c r="S777" s="2">
        <v>17000</v>
      </c>
      <c r="T777" s="4">
        <v>6.54E-2</v>
      </c>
      <c r="U777">
        <v>9</v>
      </c>
      <c r="V777">
        <v>0</v>
      </c>
      <c r="W777">
        <v>1</v>
      </c>
    </row>
    <row r="778" spans="1:23" ht="16.5" x14ac:dyDescent="0.3">
      <c r="A778" t="s">
        <v>832</v>
      </c>
      <c r="B778" s="1">
        <v>45405</v>
      </c>
      <c r="C778">
        <v>2024</v>
      </c>
      <c r="D778" t="s">
        <v>688</v>
      </c>
      <c r="E778" t="s">
        <v>689</v>
      </c>
      <c r="F778" t="s">
        <v>37</v>
      </c>
      <c r="G778" t="s">
        <v>45</v>
      </c>
      <c r="H778" t="s">
        <v>55</v>
      </c>
      <c r="I778" t="s">
        <v>29</v>
      </c>
      <c r="J778" t="s">
        <v>43</v>
      </c>
      <c r="K778" s="2">
        <v>4550</v>
      </c>
      <c r="L778" s="2">
        <v>9000</v>
      </c>
      <c r="M778">
        <v>24</v>
      </c>
      <c r="N778" s="3">
        <v>0.30499999999999999</v>
      </c>
      <c r="O778" t="s">
        <v>17</v>
      </c>
      <c r="P778" t="s">
        <v>31</v>
      </c>
      <c r="Q778">
        <v>0</v>
      </c>
      <c r="R778">
        <v>1</v>
      </c>
      <c r="S778" s="2">
        <v>0</v>
      </c>
      <c r="T778" s="4"/>
      <c r="U778">
        <v>3</v>
      </c>
      <c r="V778">
        <v>1</v>
      </c>
      <c r="W778">
        <v>1</v>
      </c>
    </row>
    <row r="779" spans="1:23" ht="16.5" x14ac:dyDescent="0.3">
      <c r="A779" t="s">
        <v>833</v>
      </c>
      <c r="B779" s="1">
        <v>45406</v>
      </c>
      <c r="C779">
        <v>2024</v>
      </c>
      <c r="D779" t="s">
        <v>688</v>
      </c>
      <c r="E779" t="s">
        <v>689</v>
      </c>
      <c r="F779" t="s">
        <v>37</v>
      </c>
      <c r="G779" t="s">
        <v>45</v>
      </c>
      <c r="H779" t="s">
        <v>38</v>
      </c>
      <c r="I779" t="s">
        <v>39</v>
      </c>
      <c r="J779" t="s">
        <v>43</v>
      </c>
      <c r="K779" s="2">
        <v>5250</v>
      </c>
      <c r="L779" s="2">
        <v>21000</v>
      </c>
      <c r="M779">
        <v>48</v>
      </c>
      <c r="N779" s="3">
        <v>0.215</v>
      </c>
      <c r="O779" t="s">
        <v>17</v>
      </c>
      <c r="P779" t="s">
        <v>65</v>
      </c>
      <c r="Q779">
        <v>0</v>
      </c>
      <c r="R779">
        <v>1</v>
      </c>
      <c r="S779" s="2">
        <v>0</v>
      </c>
      <c r="T779" s="4"/>
      <c r="U779">
        <v>2</v>
      </c>
      <c r="V779">
        <v>1</v>
      </c>
      <c r="W779">
        <v>1</v>
      </c>
    </row>
    <row r="780" spans="1:23" ht="16.5" x14ac:dyDescent="0.3">
      <c r="A780" t="s">
        <v>834</v>
      </c>
      <c r="B780" s="1">
        <v>45406</v>
      </c>
      <c r="C780">
        <v>2024</v>
      </c>
      <c r="D780" t="s">
        <v>688</v>
      </c>
      <c r="E780" t="s">
        <v>689</v>
      </c>
      <c r="F780" t="s">
        <v>26</v>
      </c>
      <c r="G780" t="s">
        <v>45</v>
      </c>
      <c r="H780" t="s">
        <v>38</v>
      </c>
      <c r="I780" t="s">
        <v>42</v>
      </c>
      <c r="J780" t="s">
        <v>52</v>
      </c>
      <c r="K780" s="2">
        <v>9250</v>
      </c>
      <c r="L780" s="2">
        <v>48500</v>
      </c>
      <c r="M780">
        <v>36</v>
      </c>
      <c r="N780" s="3">
        <v>0.313</v>
      </c>
      <c r="O780" t="s">
        <v>17</v>
      </c>
      <c r="P780" t="s">
        <v>65</v>
      </c>
      <c r="Q780">
        <v>0</v>
      </c>
      <c r="R780">
        <v>1</v>
      </c>
      <c r="S780" s="2">
        <v>0</v>
      </c>
      <c r="T780" s="4"/>
      <c r="U780">
        <v>3</v>
      </c>
      <c r="V780">
        <v>1</v>
      </c>
      <c r="W780">
        <v>1</v>
      </c>
    </row>
    <row r="781" spans="1:23" ht="16.5" x14ac:dyDescent="0.3">
      <c r="A781" t="s">
        <v>835</v>
      </c>
      <c r="B781" s="1">
        <v>45406</v>
      </c>
      <c r="C781">
        <v>2024</v>
      </c>
      <c r="D781" t="s">
        <v>688</v>
      </c>
      <c r="E781" t="s">
        <v>689</v>
      </c>
      <c r="F781" t="s">
        <v>26</v>
      </c>
      <c r="G781" t="s">
        <v>51</v>
      </c>
      <c r="H781" t="s">
        <v>64</v>
      </c>
      <c r="I781" t="s">
        <v>39</v>
      </c>
      <c r="J781" t="s">
        <v>35</v>
      </c>
      <c r="K781" s="2">
        <v>5000</v>
      </c>
      <c r="L781" s="2">
        <v>26500</v>
      </c>
      <c r="M781">
        <v>60</v>
      </c>
      <c r="N781" s="3">
        <v>0.28999999999999998</v>
      </c>
      <c r="O781" t="s">
        <v>16</v>
      </c>
      <c r="Q781">
        <v>1</v>
      </c>
      <c r="R781">
        <v>0</v>
      </c>
      <c r="S781" s="2">
        <v>26500</v>
      </c>
      <c r="T781" s="4">
        <v>8.3299999999999999E-2</v>
      </c>
      <c r="U781">
        <v>7</v>
      </c>
      <c r="V781">
        <v>0</v>
      </c>
      <c r="W781">
        <v>1</v>
      </c>
    </row>
    <row r="782" spans="1:23" ht="16.5" x14ac:dyDescent="0.3">
      <c r="A782" t="s">
        <v>836</v>
      </c>
      <c r="B782" s="1">
        <v>45406</v>
      </c>
      <c r="C782">
        <v>2024</v>
      </c>
      <c r="D782" t="s">
        <v>688</v>
      </c>
      <c r="E782" t="s">
        <v>689</v>
      </c>
      <c r="F782" t="s">
        <v>37</v>
      </c>
      <c r="G782" t="s">
        <v>51</v>
      </c>
      <c r="H782" t="s">
        <v>34</v>
      </c>
      <c r="I782" t="s">
        <v>29</v>
      </c>
      <c r="J782" t="s">
        <v>52</v>
      </c>
      <c r="K782" s="2">
        <v>3900</v>
      </c>
      <c r="L782" s="2">
        <v>9500</v>
      </c>
      <c r="M782">
        <v>36</v>
      </c>
      <c r="N782" s="3">
        <v>0.13500000000000001</v>
      </c>
      <c r="O782" t="s">
        <v>16</v>
      </c>
      <c r="Q782">
        <v>1</v>
      </c>
      <c r="R782">
        <v>0</v>
      </c>
      <c r="S782" s="2">
        <v>7500</v>
      </c>
      <c r="T782" s="4">
        <v>0.1162</v>
      </c>
      <c r="U782">
        <v>6</v>
      </c>
      <c r="V782">
        <v>0</v>
      </c>
      <c r="W782">
        <v>1</v>
      </c>
    </row>
    <row r="783" spans="1:23" ht="16.5" x14ac:dyDescent="0.3">
      <c r="A783" t="s">
        <v>837</v>
      </c>
      <c r="B783" s="1">
        <v>45406</v>
      </c>
      <c r="C783">
        <v>2024</v>
      </c>
      <c r="D783" t="s">
        <v>688</v>
      </c>
      <c r="E783" t="s">
        <v>689</v>
      </c>
      <c r="F783" t="s">
        <v>41</v>
      </c>
      <c r="G783" t="s">
        <v>51</v>
      </c>
      <c r="H783" t="s">
        <v>55</v>
      </c>
      <c r="I783" t="s">
        <v>42</v>
      </c>
      <c r="J783" t="s">
        <v>43</v>
      </c>
      <c r="K783" s="2">
        <v>11650</v>
      </c>
      <c r="L783" s="2">
        <v>90500</v>
      </c>
      <c r="M783">
        <v>60</v>
      </c>
      <c r="N783" s="3">
        <v>0.374</v>
      </c>
      <c r="O783" t="s">
        <v>17</v>
      </c>
      <c r="P783" t="s">
        <v>31</v>
      </c>
      <c r="Q783">
        <v>0</v>
      </c>
      <c r="R783">
        <v>1</v>
      </c>
      <c r="S783" s="2">
        <v>0</v>
      </c>
      <c r="T783" s="4"/>
      <c r="U783">
        <v>14</v>
      </c>
      <c r="V783">
        <v>0</v>
      </c>
      <c r="W783">
        <v>1</v>
      </c>
    </row>
    <row r="784" spans="1:23" ht="16.5" x14ac:dyDescent="0.3">
      <c r="A784" t="s">
        <v>838</v>
      </c>
      <c r="B784" s="1">
        <v>45406</v>
      </c>
      <c r="C784">
        <v>2024</v>
      </c>
      <c r="D784" t="s">
        <v>688</v>
      </c>
      <c r="E784" t="s">
        <v>689</v>
      </c>
      <c r="F784" t="s">
        <v>41</v>
      </c>
      <c r="G784" t="s">
        <v>51</v>
      </c>
      <c r="H784" t="s">
        <v>34</v>
      </c>
      <c r="I784" t="s">
        <v>42</v>
      </c>
      <c r="J784" t="s">
        <v>52</v>
      </c>
      <c r="K784" s="2">
        <v>5250</v>
      </c>
      <c r="L784" s="2">
        <v>122500</v>
      </c>
      <c r="M784">
        <v>12</v>
      </c>
      <c r="N784" s="3">
        <v>2.2480000000000002</v>
      </c>
      <c r="O784" t="s">
        <v>17</v>
      </c>
      <c r="P784" t="s">
        <v>53</v>
      </c>
      <c r="Q784">
        <v>0</v>
      </c>
      <c r="R784">
        <v>1</v>
      </c>
      <c r="S784" s="2">
        <v>0</v>
      </c>
      <c r="T784" s="4"/>
      <c r="U784">
        <v>18</v>
      </c>
      <c r="V784">
        <v>0</v>
      </c>
      <c r="W784">
        <v>1</v>
      </c>
    </row>
    <row r="785" spans="1:23" ht="16.5" x14ac:dyDescent="0.3">
      <c r="A785" t="s">
        <v>839</v>
      </c>
      <c r="B785" s="1">
        <v>45406</v>
      </c>
      <c r="C785">
        <v>2024</v>
      </c>
      <c r="D785" t="s">
        <v>688</v>
      </c>
      <c r="E785" t="s">
        <v>689</v>
      </c>
      <c r="F785" t="s">
        <v>37</v>
      </c>
      <c r="G785" t="s">
        <v>51</v>
      </c>
      <c r="H785" t="s">
        <v>38</v>
      </c>
      <c r="I785" t="s">
        <v>29</v>
      </c>
      <c r="J785" t="s">
        <v>52</v>
      </c>
      <c r="K785" s="2">
        <v>4850</v>
      </c>
      <c r="L785" s="2">
        <v>14500</v>
      </c>
      <c r="M785">
        <v>36</v>
      </c>
      <c r="N785" s="3">
        <v>0.22</v>
      </c>
      <c r="O785" t="s">
        <v>16</v>
      </c>
      <c r="Q785">
        <v>1</v>
      </c>
      <c r="R785">
        <v>0</v>
      </c>
      <c r="S785" s="2">
        <v>14500</v>
      </c>
      <c r="T785" s="4">
        <v>0.1182</v>
      </c>
      <c r="U785">
        <v>7</v>
      </c>
      <c r="V785">
        <v>0</v>
      </c>
      <c r="W785">
        <v>1</v>
      </c>
    </row>
    <row r="786" spans="1:23" ht="16.5" x14ac:dyDescent="0.3">
      <c r="A786" t="s">
        <v>840</v>
      </c>
      <c r="B786" s="1">
        <v>45406</v>
      </c>
      <c r="C786">
        <v>2024</v>
      </c>
      <c r="D786" t="s">
        <v>688</v>
      </c>
      <c r="E786" t="s">
        <v>689</v>
      </c>
      <c r="F786" t="s">
        <v>50</v>
      </c>
      <c r="G786" t="s">
        <v>51</v>
      </c>
      <c r="H786" t="s">
        <v>55</v>
      </c>
      <c r="I786" t="s">
        <v>42</v>
      </c>
      <c r="J786" t="s">
        <v>30</v>
      </c>
      <c r="K786" s="2">
        <v>5150</v>
      </c>
      <c r="L786" s="2">
        <v>265500</v>
      </c>
      <c r="M786">
        <v>300</v>
      </c>
      <c r="N786" s="3">
        <v>0.51900000000000002</v>
      </c>
      <c r="O786" t="s">
        <v>17</v>
      </c>
      <c r="P786" t="s">
        <v>60</v>
      </c>
      <c r="Q786">
        <v>0</v>
      </c>
      <c r="R786">
        <v>1</v>
      </c>
      <c r="S786" s="2">
        <v>0</v>
      </c>
      <c r="T786" s="4"/>
      <c r="U786">
        <v>28</v>
      </c>
      <c r="V786">
        <v>0</v>
      </c>
      <c r="W786">
        <v>1</v>
      </c>
    </row>
    <row r="787" spans="1:23" ht="16.5" x14ac:dyDescent="0.3">
      <c r="A787" t="s">
        <v>841</v>
      </c>
      <c r="B787" s="1">
        <v>45406</v>
      </c>
      <c r="C787">
        <v>2024</v>
      </c>
      <c r="D787" t="s">
        <v>688</v>
      </c>
      <c r="E787" t="s">
        <v>689</v>
      </c>
      <c r="F787" t="s">
        <v>37</v>
      </c>
      <c r="G787" t="s">
        <v>51</v>
      </c>
      <c r="H787" t="s">
        <v>34</v>
      </c>
      <c r="I787" t="s">
        <v>42</v>
      </c>
      <c r="J787" t="s">
        <v>46</v>
      </c>
      <c r="K787" s="2">
        <v>5250</v>
      </c>
      <c r="L787" s="2">
        <v>8000</v>
      </c>
      <c r="M787">
        <v>36</v>
      </c>
      <c r="N787" s="3">
        <v>0.21199999999999999</v>
      </c>
      <c r="O787" t="s">
        <v>16</v>
      </c>
      <c r="Q787">
        <v>1</v>
      </c>
      <c r="R787">
        <v>0</v>
      </c>
      <c r="S787" s="2">
        <v>7000</v>
      </c>
      <c r="T787" s="4">
        <v>0.1147</v>
      </c>
      <c r="U787">
        <v>5</v>
      </c>
      <c r="V787">
        <v>0</v>
      </c>
      <c r="W787">
        <v>1</v>
      </c>
    </row>
    <row r="788" spans="1:23" ht="16.5" x14ac:dyDescent="0.3">
      <c r="A788" t="s">
        <v>842</v>
      </c>
      <c r="B788" s="1">
        <v>45406</v>
      </c>
      <c r="C788">
        <v>2024</v>
      </c>
      <c r="D788" t="s">
        <v>688</v>
      </c>
      <c r="E788" t="s">
        <v>689</v>
      </c>
      <c r="F788" t="s">
        <v>37</v>
      </c>
      <c r="G788" t="s">
        <v>27</v>
      </c>
      <c r="H788" t="s">
        <v>64</v>
      </c>
      <c r="I788" t="s">
        <v>29</v>
      </c>
      <c r="J788" t="s">
        <v>52</v>
      </c>
      <c r="K788" s="2">
        <v>6900</v>
      </c>
      <c r="L788" s="2">
        <v>8500</v>
      </c>
      <c r="M788">
        <v>48</v>
      </c>
      <c r="N788" s="3">
        <v>0.18</v>
      </c>
      <c r="O788" t="s">
        <v>17</v>
      </c>
      <c r="P788" t="s">
        <v>60</v>
      </c>
      <c r="Q788">
        <v>0</v>
      </c>
      <c r="R788">
        <v>1</v>
      </c>
      <c r="S788" s="2">
        <v>0</v>
      </c>
      <c r="T788" s="4"/>
      <c r="U788">
        <v>9</v>
      </c>
      <c r="V788">
        <v>0</v>
      </c>
      <c r="W788">
        <v>1</v>
      </c>
    </row>
    <row r="789" spans="1:23" ht="16.5" x14ac:dyDescent="0.3">
      <c r="A789" t="s">
        <v>843</v>
      </c>
      <c r="B789" s="1">
        <v>45406</v>
      </c>
      <c r="C789">
        <v>2024</v>
      </c>
      <c r="D789" t="s">
        <v>688</v>
      </c>
      <c r="E789" t="s">
        <v>689</v>
      </c>
      <c r="F789" t="s">
        <v>26</v>
      </c>
      <c r="G789" t="s">
        <v>27</v>
      </c>
      <c r="H789" t="s">
        <v>28</v>
      </c>
      <c r="I789" t="s">
        <v>39</v>
      </c>
      <c r="J789" t="s">
        <v>35</v>
      </c>
      <c r="K789" s="2">
        <v>5800</v>
      </c>
      <c r="L789" s="2">
        <v>25500</v>
      </c>
      <c r="M789">
        <v>60</v>
      </c>
      <c r="N789" s="3">
        <v>0.28899999999999998</v>
      </c>
      <c r="O789" t="s">
        <v>16</v>
      </c>
      <c r="Q789">
        <v>1</v>
      </c>
      <c r="R789">
        <v>0</v>
      </c>
      <c r="S789" s="2">
        <v>25500</v>
      </c>
      <c r="T789" s="4">
        <v>8.6599999999999996E-2</v>
      </c>
      <c r="U789">
        <v>11</v>
      </c>
      <c r="V789">
        <v>0</v>
      </c>
      <c r="W789">
        <v>1</v>
      </c>
    </row>
    <row r="790" spans="1:23" ht="16.5" x14ac:dyDescent="0.3">
      <c r="A790" t="s">
        <v>844</v>
      </c>
      <c r="B790" s="1">
        <v>45406</v>
      </c>
      <c r="C790">
        <v>2024</v>
      </c>
      <c r="D790" t="s">
        <v>688</v>
      </c>
      <c r="E790" t="s">
        <v>689</v>
      </c>
      <c r="F790" t="s">
        <v>26</v>
      </c>
      <c r="G790" t="s">
        <v>51</v>
      </c>
      <c r="H790" t="s">
        <v>38</v>
      </c>
      <c r="I790" t="s">
        <v>29</v>
      </c>
      <c r="J790" t="s">
        <v>43</v>
      </c>
      <c r="K790" s="2">
        <v>5800</v>
      </c>
      <c r="L790" s="2">
        <v>40500</v>
      </c>
      <c r="M790">
        <v>36</v>
      </c>
      <c r="N790" s="3">
        <v>0.35699999999999998</v>
      </c>
      <c r="O790" t="s">
        <v>16</v>
      </c>
      <c r="Q790">
        <v>1</v>
      </c>
      <c r="R790">
        <v>0</v>
      </c>
      <c r="S790" s="2">
        <v>36500</v>
      </c>
      <c r="T790" s="4">
        <v>0.1174</v>
      </c>
      <c r="U790">
        <v>6</v>
      </c>
      <c r="V790">
        <v>0</v>
      </c>
      <c r="W790">
        <v>1</v>
      </c>
    </row>
    <row r="791" spans="1:23" ht="16.5" x14ac:dyDescent="0.3">
      <c r="A791" t="s">
        <v>845</v>
      </c>
      <c r="B791" s="1">
        <v>45406</v>
      </c>
      <c r="C791">
        <v>2024</v>
      </c>
      <c r="D791" t="s">
        <v>688</v>
      </c>
      <c r="E791" t="s">
        <v>689</v>
      </c>
      <c r="F791" t="s">
        <v>37</v>
      </c>
      <c r="G791" t="s">
        <v>33</v>
      </c>
      <c r="H791" t="s">
        <v>64</v>
      </c>
      <c r="I791" t="s">
        <v>29</v>
      </c>
      <c r="J791" t="s">
        <v>52</v>
      </c>
      <c r="K791" s="2">
        <v>4700</v>
      </c>
      <c r="L791" s="2">
        <v>5000</v>
      </c>
      <c r="M791">
        <v>24</v>
      </c>
      <c r="N791" s="3">
        <v>0.20699999999999999</v>
      </c>
      <c r="O791" t="s">
        <v>16</v>
      </c>
      <c r="Q791">
        <v>1</v>
      </c>
      <c r="R791">
        <v>0</v>
      </c>
      <c r="S791" s="2">
        <v>5000</v>
      </c>
      <c r="T791" s="4">
        <v>0.1144</v>
      </c>
      <c r="U791">
        <v>1</v>
      </c>
      <c r="V791">
        <v>1</v>
      </c>
      <c r="W791">
        <v>1</v>
      </c>
    </row>
    <row r="792" spans="1:23" ht="16.5" x14ac:dyDescent="0.3">
      <c r="A792" t="s">
        <v>846</v>
      </c>
      <c r="B792" s="1">
        <v>45406</v>
      </c>
      <c r="C792">
        <v>2024</v>
      </c>
      <c r="D792" t="s">
        <v>688</v>
      </c>
      <c r="E792" t="s">
        <v>689</v>
      </c>
      <c r="F792" t="s">
        <v>26</v>
      </c>
      <c r="G792" t="s">
        <v>45</v>
      </c>
      <c r="H792" t="s">
        <v>64</v>
      </c>
      <c r="I792" t="s">
        <v>39</v>
      </c>
      <c r="J792" t="s">
        <v>46</v>
      </c>
      <c r="K792" s="2">
        <v>11700</v>
      </c>
      <c r="L792" s="2">
        <v>17000</v>
      </c>
      <c r="M792">
        <v>60</v>
      </c>
      <c r="N792" s="3">
        <v>0.16300000000000001</v>
      </c>
      <c r="O792" t="s">
        <v>16</v>
      </c>
      <c r="Q792">
        <v>1</v>
      </c>
      <c r="R792">
        <v>0</v>
      </c>
      <c r="S792" s="2">
        <v>17000</v>
      </c>
      <c r="T792" s="4">
        <v>6.6500000000000004E-2</v>
      </c>
      <c r="U792">
        <v>2</v>
      </c>
      <c r="V792">
        <v>1</v>
      </c>
      <c r="W792">
        <v>1</v>
      </c>
    </row>
    <row r="793" spans="1:23" ht="16.5" x14ac:dyDescent="0.3">
      <c r="A793" t="s">
        <v>847</v>
      </c>
      <c r="B793" s="1">
        <v>45407</v>
      </c>
      <c r="C793">
        <v>2024</v>
      </c>
      <c r="D793" t="s">
        <v>688</v>
      </c>
      <c r="E793" t="s">
        <v>689</v>
      </c>
      <c r="F793" t="s">
        <v>26</v>
      </c>
      <c r="G793" t="s">
        <v>45</v>
      </c>
      <c r="H793" t="s">
        <v>38</v>
      </c>
      <c r="I793" t="s">
        <v>29</v>
      </c>
      <c r="J793" t="s">
        <v>35</v>
      </c>
      <c r="K793" s="2">
        <v>4300</v>
      </c>
      <c r="L793" s="2">
        <v>18000</v>
      </c>
      <c r="M793">
        <v>48</v>
      </c>
      <c r="N793" s="3">
        <v>0.314</v>
      </c>
      <c r="O793" t="s">
        <v>17</v>
      </c>
      <c r="P793" t="s">
        <v>31</v>
      </c>
      <c r="Q793">
        <v>0</v>
      </c>
      <c r="R793">
        <v>1</v>
      </c>
      <c r="S793" s="2">
        <v>0</v>
      </c>
      <c r="T793" s="4"/>
      <c r="U793">
        <v>3</v>
      </c>
      <c r="V793">
        <v>1</v>
      </c>
      <c r="W793">
        <v>1</v>
      </c>
    </row>
    <row r="794" spans="1:23" ht="16.5" x14ac:dyDescent="0.3">
      <c r="A794" t="s">
        <v>848</v>
      </c>
      <c r="B794" s="1">
        <v>45407</v>
      </c>
      <c r="C794">
        <v>2024</v>
      </c>
      <c r="D794" t="s">
        <v>688</v>
      </c>
      <c r="E794" t="s">
        <v>689</v>
      </c>
      <c r="F794" t="s">
        <v>41</v>
      </c>
      <c r="G794" t="s">
        <v>27</v>
      </c>
      <c r="H794" t="s">
        <v>55</v>
      </c>
      <c r="I794" t="s">
        <v>39</v>
      </c>
      <c r="J794" t="s">
        <v>30</v>
      </c>
      <c r="K794" s="2">
        <v>5100</v>
      </c>
      <c r="L794" s="2">
        <v>104500</v>
      </c>
      <c r="M794">
        <v>24</v>
      </c>
      <c r="N794" s="3">
        <v>1.0960000000000001</v>
      </c>
      <c r="O794" t="s">
        <v>17</v>
      </c>
      <c r="P794" t="s">
        <v>31</v>
      </c>
      <c r="Q794">
        <v>0</v>
      </c>
      <c r="R794">
        <v>1</v>
      </c>
      <c r="S794" s="2">
        <v>0</v>
      </c>
      <c r="T794" s="4"/>
      <c r="U794">
        <v>21</v>
      </c>
      <c r="V794">
        <v>0</v>
      </c>
      <c r="W794">
        <v>1</v>
      </c>
    </row>
    <row r="795" spans="1:23" ht="16.5" x14ac:dyDescent="0.3">
      <c r="A795" t="s">
        <v>849</v>
      </c>
      <c r="B795" s="1">
        <v>45407</v>
      </c>
      <c r="C795">
        <v>2024</v>
      </c>
      <c r="D795" t="s">
        <v>688</v>
      </c>
      <c r="E795" t="s">
        <v>689</v>
      </c>
      <c r="F795" t="s">
        <v>50</v>
      </c>
      <c r="G795" t="s">
        <v>51</v>
      </c>
      <c r="H795" t="s">
        <v>55</v>
      </c>
      <c r="I795" t="s">
        <v>29</v>
      </c>
      <c r="J795" t="s">
        <v>35</v>
      </c>
      <c r="K795" s="2">
        <v>4250</v>
      </c>
      <c r="L795" s="2">
        <v>386000</v>
      </c>
      <c r="M795">
        <v>300</v>
      </c>
      <c r="N795" s="3">
        <v>0.73799999999999999</v>
      </c>
      <c r="O795" t="s">
        <v>16</v>
      </c>
      <c r="Q795">
        <v>1</v>
      </c>
      <c r="R795">
        <v>0</v>
      </c>
      <c r="S795" s="2">
        <v>386000</v>
      </c>
      <c r="T795" s="4">
        <v>6.3200000000000006E-2</v>
      </c>
      <c r="U795">
        <v>19</v>
      </c>
      <c r="V795">
        <v>0</v>
      </c>
      <c r="W795">
        <v>1</v>
      </c>
    </row>
    <row r="796" spans="1:23" ht="16.5" x14ac:dyDescent="0.3">
      <c r="A796" t="s">
        <v>850</v>
      </c>
      <c r="B796" s="1">
        <v>45407</v>
      </c>
      <c r="C796">
        <v>2024</v>
      </c>
      <c r="D796" t="s">
        <v>688</v>
      </c>
      <c r="E796" t="s">
        <v>689</v>
      </c>
      <c r="F796" t="s">
        <v>26</v>
      </c>
      <c r="G796" t="s">
        <v>51</v>
      </c>
      <c r="H796" t="s">
        <v>38</v>
      </c>
      <c r="I796" t="s">
        <v>29</v>
      </c>
      <c r="J796" t="s">
        <v>52</v>
      </c>
      <c r="K796" s="2">
        <v>6050</v>
      </c>
      <c r="L796" s="2">
        <v>33000</v>
      </c>
      <c r="M796">
        <v>60</v>
      </c>
      <c r="N796" s="3">
        <v>0.20100000000000001</v>
      </c>
      <c r="O796" t="s">
        <v>16</v>
      </c>
      <c r="Q796">
        <v>1</v>
      </c>
      <c r="R796">
        <v>0</v>
      </c>
      <c r="S796" s="2">
        <v>33000</v>
      </c>
      <c r="T796" s="4">
        <v>7.46E-2</v>
      </c>
      <c r="U796">
        <v>5</v>
      </c>
      <c r="V796">
        <v>0</v>
      </c>
      <c r="W796">
        <v>1</v>
      </c>
    </row>
    <row r="797" spans="1:23" ht="16.5" x14ac:dyDescent="0.3">
      <c r="A797" t="s">
        <v>851</v>
      </c>
      <c r="B797" s="1">
        <v>45407</v>
      </c>
      <c r="C797">
        <v>2024</v>
      </c>
      <c r="D797" t="s">
        <v>688</v>
      </c>
      <c r="E797" t="s">
        <v>689</v>
      </c>
      <c r="F797" t="s">
        <v>37</v>
      </c>
      <c r="G797" t="s">
        <v>51</v>
      </c>
      <c r="H797" t="s">
        <v>34</v>
      </c>
      <c r="I797" t="s">
        <v>29</v>
      </c>
      <c r="J797" t="s">
        <v>30</v>
      </c>
      <c r="K797" s="2">
        <v>7900</v>
      </c>
      <c r="L797" s="2">
        <v>24500</v>
      </c>
      <c r="M797">
        <v>12</v>
      </c>
      <c r="N797" s="3">
        <v>0.36</v>
      </c>
      <c r="O797" t="s">
        <v>17</v>
      </c>
      <c r="P797" t="s">
        <v>31</v>
      </c>
      <c r="Q797">
        <v>0</v>
      </c>
      <c r="R797">
        <v>1</v>
      </c>
      <c r="S797" s="2">
        <v>0</v>
      </c>
      <c r="T797" s="4"/>
      <c r="U797">
        <v>4</v>
      </c>
      <c r="V797">
        <v>0</v>
      </c>
      <c r="W797">
        <v>1</v>
      </c>
    </row>
    <row r="798" spans="1:23" ht="16.5" x14ac:dyDescent="0.3">
      <c r="A798" t="s">
        <v>852</v>
      </c>
      <c r="B798" s="1">
        <v>45407</v>
      </c>
      <c r="C798">
        <v>2024</v>
      </c>
      <c r="D798" t="s">
        <v>688</v>
      </c>
      <c r="E798" t="s">
        <v>689</v>
      </c>
      <c r="F798" t="s">
        <v>26</v>
      </c>
      <c r="G798" t="s">
        <v>27</v>
      </c>
      <c r="H798" t="s">
        <v>64</v>
      </c>
      <c r="I798" t="s">
        <v>42</v>
      </c>
      <c r="J798" t="s">
        <v>46</v>
      </c>
      <c r="K798" s="2">
        <v>5200</v>
      </c>
      <c r="L798" s="2">
        <v>21500</v>
      </c>
      <c r="M798">
        <v>36</v>
      </c>
      <c r="N798" s="3">
        <v>0.24199999999999999</v>
      </c>
      <c r="O798" t="s">
        <v>16</v>
      </c>
      <c r="Q798">
        <v>1</v>
      </c>
      <c r="R798">
        <v>0</v>
      </c>
      <c r="S798" s="2">
        <v>21500</v>
      </c>
      <c r="T798" s="4">
        <v>7.0000000000000007E-2</v>
      </c>
      <c r="U798">
        <v>4</v>
      </c>
      <c r="V798">
        <v>1</v>
      </c>
      <c r="W798">
        <v>1</v>
      </c>
    </row>
    <row r="799" spans="1:23" ht="16.5" x14ac:dyDescent="0.3">
      <c r="A799" t="s">
        <v>853</v>
      </c>
      <c r="B799" s="1">
        <v>45408</v>
      </c>
      <c r="C799">
        <v>2024</v>
      </c>
      <c r="D799" t="s">
        <v>688</v>
      </c>
      <c r="E799" t="s">
        <v>689</v>
      </c>
      <c r="F799" t="s">
        <v>37</v>
      </c>
      <c r="G799" t="s">
        <v>51</v>
      </c>
      <c r="H799" t="s">
        <v>55</v>
      </c>
      <c r="I799" t="s">
        <v>39</v>
      </c>
      <c r="J799" t="s">
        <v>52</v>
      </c>
      <c r="K799" s="2">
        <v>4450</v>
      </c>
      <c r="L799" s="2">
        <v>11000</v>
      </c>
      <c r="M799">
        <v>36</v>
      </c>
      <c r="N799" s="3">
        <v>0.16200000000000001</v>
      </c>
      <c r="O799" t="s">
        <v>16</v>
      </c>
      <c r="Q799">
        <v>1</v>
      </c>
      <c r="R799">
        <v>0</v>
      </c>
      <c r="S799" s="2">
        <v>9000</v>
      </c>
      <c r="T799" s="4">
        <v>0.11509999999999999</v>
      </c>
      <c r="U799">
        <v>8</v>
      </c>
      <c r="V799">
        <v>0</v>
      </c>
      <c r="W799">
        <v>1</v>
      </c>
    </row>
    <row r="800" spans="1:23" ht="16.5" x14ac:dyDescent="0.3">
      <c r="A800" t="s">
        <v>854</v>
      </c>
      <c r="B800" s="1">
        <v>45408</v>
      </c>
      <c r="C800">
        <v>2024</v>
      </c>
      <c r="D800" t="s">
        <v>688</v>
      </c>
      <c r="E800" t="s">
        <v>689</v>
      </c>
      <c r="F800" t="s">
        <v>37</v>
      </c>
      <c r="G800" t="s">
        <v>27</v>
      </c>
      <c r="H800" t="s">
        <v>28</v>
      </c>
      <c r="I800" t="s">
        <v>39</v>
      </c>
      <c r="J800" t="s">
        <v>52</v>
      </c>
      <c r="K800" s="2">
        <v>8150</v>
      </c>
      <c r="L800" s="2">
        <v>25000</v>
      </c>
      <c r="M800">
        <v>36</v>
      </c>
      <c r="N800" s="3">
        <v>0.22</v>
      </c>
      <c r="O800" t="s">
        <v>16</v>
      </c>
      <c r="Q800">
        <v>1</v>
      </c>
      <c r="R800">
        <v>0</v>
      </c>
      <c r="S800" s="2">
        <v>25000</v>
      </c>
      <c r="T800" s="4">
        <v>0.11360000000000001</v>
      </c>
      <c r="U800">
        <v>4</v>
      </c>
      <c r="V800">
        <v>0</v>
      </c>
      <c r="W800">
        <v>1</v>
      </c>
    </row>
    <row r="801" spans="1:23" ht="16.5" x14ac:dyDescent="0.3">
      <c r="A801" t="s">
        <v>855</v>
      </c>
      <c r="B801" s="1">
        <v>45408</v>
      </c>
      <c r="C801">
        <v>2024</v>
      </c>
      <c r="D801" t="s">
        <v>688</v>
      </c>
      <c r="E801" t="s">
        <v>689</v>
      </c>
      <c r="F801" t="s">
        <v>37</v>
      </c>
      <c r="G801" t="s">
        <v>45</v>
      </c>
      <c r="H801" t="s">
        <v>34</v>
      </c>
      <c r="I801" t="s">
        <v>39</v>
      </c>
      <c r="J801" t="s">
        <v>43</v>
      </c>
      <c r="K801" s="2">
        <v>7100</v>
      </c>
      <c r="L801" s="2">
        <v>15500</v>
      </c>
      <c r="M801">
        <v>12</v>
      </c>
      <c r="N801" s="3">
        <v>0.36099999999999999</v>
      </c>
      <c r="O801" t="s">
        <v>17</v>
      </c>
      <c r="P801" t="s">
        <v>31</v>
      </c>
      <c r="Q801">
        <v>0</v>
      </c>
      <c r="R801">
        <v>1</v>
      </c>
      <c r="S801" s="2">
        <v>0</v>
      </c>
      <c r="T801" s="4"/>
      <c r="U801">
        <v>1</v>
      </c>
      <c r="V801">
        <v>1</v>
      </c>
      <c r="W801">
        <v>1</v>
      </c>
    </row>
    <row r="802" spans="1:23" ht="16.5" x14ac:dyDescent="0.3">
      <c r="A802" t="s">
        <v>856</v>
      </c>
      <c r="B802" s="1">
        <v>45408</v>
      </c>
      <c r="C802">
        <v>2024</v>
      </c>
      <c r="D802" t="s">
        <v>688</v>
      </c>
      <c r="E802" t="s">
        <v>689</v>
      </c>
      <c r="F802" t="s">
        <v>37</v>
      </c>
      <c r="G802" t="s">
        <v>51</v>
      </c>
      <c r="H802" t="s">
        <v>55</v>
      </c>
      <c r="I802" t="s">
        <v>39</v>
      </c>
      <c r="J802" t="s">
        <v>30</v>
      </c>
      <c r="K802" s="2">
        <v>8500</v>
      </c>
      <c r="L802" s="2">
        <v>12500</v>
      </c>
      <c r="M802">
        <v>48</v>
      </c>
      <c r="N802" s="3">
        <v>0.20899999999999999</v>
      </c>
      <c r="O802" t="s">
        <v>17</v>
      </c>
      <c r="P802" t="s">
        <v>31</v>
      </c>
      <c r="Q802">
        <v>0</v>
      </c>
      <c r="R802">
        <v>1</v>
      </c>
      <c r="S802" s="2">
        <v>0</v>
      </c>
      <c r="T802" s="4"/>
      <c r="U802">
        <v>4</v>
      </c>
      <c r="V802">
        <v>0</v>
      </c>
      <c r="W802">
        <v>1</v>
      </c>
    </row>
    <row r="803" spans="1:23" ht="16.5" x14ac:dyDescent="0.3">
      <c r="A803" t="s">
        <v>857</v>
      </c>
      <c r="B803" s="1">
        <v>45409</v>
      </c>
      <c r="C803">
        <v>2024</v>
      </c>
      <c r="D803" t="s">
        <v>688</v>
      </c>
      <c r="E803" t="s">
        <v>689</v>
      </c>
      <c r="F803" t="s">
        <v>41</v>
      </c>
      <c r="G803" t="s">
        <v>27</v>
      </c>
      <c r="H803" t="s">
        <v>55</v>
      </c>
      <c r="I803" t="s">
        <v>42</v>
      </c>
      <c r="J803" t="s">
        <v>46</v>
      </c>
      <c r="K803" s="2">
        <v>4450</v>
      </c>
      <c r="L803" s="2">
        <v>63500</v>
      </c>
      <c r="M803">
        <v>60</v>
      </c>
      <c r="N803" s="3">
        <v>0.36299999999999999</v>
      </c>
      <c r="O803" t="s">
        <v>16</v>
      </c>
      <c r="Q803">
        <v>1</v>
      </c>
      <c r="R803">
        <v>0</v>
      </c>
      <c r="S803" s="2">
        <v>51000</v>
      </c>
      <c r="T803" s="4">
        <v>9.01E-2</v>
      </c>
      <c r="U803">
        <v>10</v>
      </c>
      <c r="V803">
        <v>1</v>
      </c>
      <c r="W803">
        <v>1</v>
      </c>
    </row>
    <row r="804" spans="1:23" ht="16.5" x14ac:dyDescent="0.3">
      <c r="A804" t="s">
        <v>858</v>
      </c>
      <c r="B804" s="1">
        <v>45409</v>
      </c>
      <c r="C804">
        <v>2024</v>
      </c>
      <c r="D804" t="s">
        <v>688</v>
      </c>
      <c r="E804" t="s">
        <v>689</v>
      </c>
      <c r="F804" t="s">
        <v>37</v>
      </c>
      <c r="G804" t="s">
        <v>51</v>
      </c>
      <c r="H804" t="s">
        <v>55</v>
      </c>
      <c r="I804" t="s">
        <v>39</v>
      </c>
      <c r="J804" t="s">
        <v>43</v>
      </c>
      <c r="K804" s="2">
        <v>5650</v>
      </c>
      <c r="L804" s="2">
        <v>6500</v>
      </c>
      <c r="M804">
        <v>60</v>
      </c>
      <c r="N804" s="3">
        <v>0.17199999999999999</v>
      </c>
      <c r="O804" t="s">
        <v>17</v>
      </c>
      <c r="P804" t="s">
        <v>31</v>
      </c>
      <c r="Q804">
        <v>0</v>
      </c>
      <c r="R804">
        <v>1</v>
      </c>
      <c r="S804" s="2">
        <v>0</v>
      </c>
      <c r="T804" s="4"/>
      <c r="U804">
        <v>4</v>
      </c>
      <c r="V804">
        <v>0</v>
      </c>
      <c r="W804">
        <v>1</v>
      </c>
    </row>
    <row r="805" spans="1:23" ht="16.5" x14ac:dyDescent="0.3">
      <c r="A805" t="s">
        <v>859</v>
      </c>
      <c r="B805" s="1">
        <v>45409</v>
      </c>
      <c r="C805">
        <v>2024</v>
      </c>
      <c r="D805" t="s">
        <v>688</v>
      </c>
      <c r="E805" t="s">
        <v>689</v>
      </c>
      <c r="F805" t="s">
        <v>37</v>
      </c>
      <c r="G805" t="s">
        <v>45</v>
      </c>
      <c r="H805" t="s">
        <v>28</v>
      </c>
      <c r="I805" t="s">
        <v>29</v>
      </c>
      <c r="J805" t="s">
        <v>35</v>
      </c>
      <c r="K805" s="2">
        <v>3750</v>
      </c>
      <c r="L805" s="2">
        <v>11500</v>
      </c>
      <c r="M805">
        <v>12</v>
      </c>
      <c r="N805" s="3">
        <v>0.45800000000000002</v>
      </c>
      <c r="O805" t="s">
        <v>16</v>
      </c>
      <c r="Q805">
        <v>1</v>
      </c>
      <c r="R805">
        <v>0</v>
      </c>
      <c r="S805" s="2">
        <v>10500</v>
      </c>
      <c r="T805" s="4">
        <v>0.12620000000000001</v>
      </c>
      <c r="U805">
        <v>2</v>
      </c>
      <c r="V805">
        <v>1</v>
      </c>
      <c r="W805">
        <v>1</v>
      </c>
    </row>
    <row r="806" spans="1:23" ht="16.5" x14ac:dyDescent="0.3">
      <c r="A806" t="s">
        <v>860</v>
      </c>
      <c r="B806" s="1">
        <v>45409</v>
      </c>
      <c r="C806">
        <v>2024</v>
      </c>
      <c r="D806" t="s">
        <v>688</v>
      </c>
      <c r="E806" t="s">
        <v>689</v>
      </c>
      <c r="F806" t="s">
        <v>41</v>
      </c>
      <c r="G806" t="s">
        <v>51</v>
      </c>
      <c r="H806" t="s">
        <v>38</v>
      </c>
      <c r="I806" t="s">
        <v>29</v>
      </c>
      <c r="J806" t="s">
        <v>35</v>
      </c>
      <c r="K806" s="2">
        <v>3800</v>
      </c>
      <c r="L806" s="2">
        <v>47500</v>
      </c>
      <c r="M806">
        <v>12</v>
      </c>
      <c r="N806" s="3">
        <v>1.3240000000000001</v>
      </c>
      <c r="O806" t="s">
        <v>17</v>
      </c>
      <c r="P806" t="s">
        <v>53</v>
      </c>
      <c r="Q806">
        <v>0</v>
      </c>
      <c r="R806">
        <v>1</v>
      </c>
      <c r="S806" s="2">
        <v>0</v>
      </c>
      <c r="T806" s="4"/>
      <c r="U806">
        <v>11</v>
      </c>
      <c r="V806">
        <v>0</v>
      </c>
      <c r="W806">
        <v>1</v>
      </c>
    </row>
    <row r="807" spans="1:23" ht="16.5" x14ac:dyDescent="0.3">
      <c r="A807" t="s">
        <v>861</v>
      </c>
      <c r="B807" s="1">
        <v>45410</v>
      </c>
      <c r="C807">
        <v>2024</v>
      </c>
      <c r="D807" t="s">
        <v>688</v>
      </c>
      <c r="E807" t="s">
        <v>689</v>
      </c>
      <c r="F807" t="s">
        <v>41</v>
      </c>
      <c r="G807" t="s">
        <v>27</v>
      </c>
      <c r="H807" t="s">
        <v>34</v>
      </c>
      <c r="I807" t="s">
        <v>39</v>
      </c>
      <c r="J807" t="s">
        <v>35</v>
      </c>
      <c r="K807" s="2">
        <v>4900</v>
      </c>
      <c r="L807" s="2">
        <v>69500</v>
      </c>
      <c r="M807">
        <v>36</v>
      </c>
      <c r="N807" s="3">
        <v>0.66400000000000003</v>
      </c>
      <c r="O807" t="s">
        <v>16</v>
      </c>
      <c r="Q807">
        <v>1</v>
      </c>
      <c r="R807">
        <v>0</v>
      </c>
      <c r="S807" s="2">
        <v>69500</v>
      </c>
      <c r="T807" s="4">
        <v>0.1086</v>
      </c>
      <c r="U807">
        <v>7</v>
      </c>
      <c r="V807">
        <v>1</v>
      </c>
      <c r="W807">
        <v>1</v>
      </c>
    </row>
    <row r="808" spans="1:23" ht="16.5" x14ac:dyDescent="0.3">
      <c r="A808" t="s">
        <v>862</v>
      </c>
      <c r="B808" s="1">
        <v>45410</v>
      </c>
      <c r="C808">
        <v>2024</v>
      </c>
      <c r="D808" t="s">
        <v>688</v>
      </c>
      <c r="E808" t="s">
        <v>689</v>
      </c>
      <c r="F808" t="s">
        <v>26</v>
      </c>
      <c r="G808" t="s">
        <v>45</v>
      </c>
      <c r="H808" t="s">
        <v>55</v>
      </c>
      <c r="I808" t="s">
        <v>39</v>
      </c>
      <c r="J808" t="s">
        <v>35</v>
      </c>
      <c r="K808" s="2">
        <v>4800</v>
      </c>
      <c r="L808" s="2">
        <v>17500</v>
      </c>
      <c r="M808">
        <v>48</v>
      </c>
      <c r="N808" s="3">
        <v>0.215</v>
      </c>
      <c r="O808" t="s">
        <v>16</v>
      </c>
      <c r="Q808">
        <v>1</v>
      </c>
      <c r="R808">
        <v>0</v>
      </c>
      <c r="S808" s="2">
        <v>16000</v>
      </c>
      <c r="T808" s="4">
        <v>7.9899999999999999E-2</v>
      </c>
      <c r="U808">
        <v>2</v>
      </c>
      <c r="V808">
        <v>1</v>
      </c>
      <c r="W808">
        <v>1</v>
      </c>
    </row>
    <row r="809" spans="1:23" ht="16.5" x14ac:dyDescent="0.3">
      <c r="A809" t="s">
        <v>863</v>
      </c>
      <c r="B809" s="1">
        <v>45410</v>
      </c>
      <c r="C809">
        <v>2024</v>
      </c>
      <c r="D809" t="s">
        <v>688</v>
      </c>
      <c r="E809" t="s">
        <v>689</v>
      </c>
      <c r="F809" t="s">
        <v>37</v>
      </c>
      <c r="G809" t="s">
        <v>45</v>
      </c>
      <c r="H809" t="s">
        <v>38</v>
      </c>
      <c r="I809" t="s">
        <v>29</v>
      </c>
      <c r="J809" t="s">
        <v>30</v>
      </c>
      <c r="K809" s="2">
        <v>5050</v>
      </c>
      <c r="L809" s="2">
        <v>7000</v>
      </c>
      <c r="M809">
        <v>60</v>
      </c>
      <c r="N809" s="3">
        <v>0.129</v>
      </c>
      <c r="O809" t="s">
        <v>16</v>
      </c>
      <c r="Q809">
        <v>1</v>
      </c>
      <c r="R809">
        <v>0</v>
      </c>
      <c r="S809" s="2">
        <v>5500</v>
      </c>
      <c r="T809" s="4">
        <v>0.13780000000000001</v>
      </c>
      <c r="U809">
        <v>3</v>
      </c>
      <c r="V809">
        <v>1</v>
      </c>
      <c r="W809">
        <v>1</v>
      </c>
    </row>
    <row r="810" spans="1:23" ht="16.5" x14ac:dyDescent="0.3">
      <c r="A810" t="s">
        <v>864</v>
      </c>
      <c r="B810" s="1">
        <v>45410</v>
      </c>
      <c r="C810">
        <v>2024</v>
      </c>
      <c r="D810" t="s">
        <v>688</v>
      </c>
      <c r="E810" t="s">
        <v>689</v>
      </c>
      <c r="F810" t="s">
        <v>37</v>
      </c>
      <c r="G810" t="s">
        <v>51</v>
      </c>
      <c r="H810" t="s">
        <v>38</v>
      </c>
      <c r="I810" t="s">
        <v>29</v>
      </c>
      <c r="J810" t="s">
        <v>43</v>
      </c>
      <c r="K810" s="2">
        <v>4600</v>
      </c>
      <c r="L810" s="2">
        <v>14000</v>
      </c>
      <c r="M810">
        <v>36</v>
      </c>
      <c r="N810" s="3">
        <v>0.17100000000000001</v>
      </c>
      <c r="O810" t="s">
        <v>17</v>
      </c>
      <c r="P810" t="s">
        <v>31</v>
      </c>
      <c r="Q810">
        <v>0</v>
      </c>
      <c r="R810">
        <v>1</v>
      </c>
      <c r="S810" s="2">
        <v>0</v>
      </c>
      <c r="T810" s="4"/>
      <c r="U810">
        <v>4</v>
      </c>
      <c r="V810">
        <v>0</v>
      </c>
      <c r="W810">
        <v>1</v>
      </c>
    </row>
    <row r="811" spans="1:23" ht="16.5" x14ac:dyDescent="0.3">
      <c r="A811" t="s">
        <v>865</v>
      </c>
      <c r="B811" s="1">
        <v>45410</v>
      </c>
      <c r="C811">
        <v>2024</v>
      </c>
      <c r="D811" t="s">
        <v>688</v>
      </c>
      <c r="E811" t="s">
        <v>689</v>
      </c>
      <c r="F811" t="s">
        <v>41</v>
      </c>
      <c r="G811" t="s">
        <v>45</v>
      </c>
      <c r="H811" t="s">
        <v>55</v>
      </c>
      <c r="I811" t="s">
        <v>39</v>
      </c>
      <c r="J811" t="s">
        <v>43</v>
      </c>
      <c r="K811" s="2">
        <v>3600</v>
      </c>
      <c r="L811" s="2">
        <v>79000</v>
      </c>
      <c r="M811">
        <v>24</v>
      </c>
      <c r="N811" s="3">
        <v>1.2330000000000001</v>
      </c>
      <c r="O811" t="s">
        <v>17</v>
      </c>
      <c r="P811" t="s">
        <v>53</v>
      </c>
      <c r="Q811">
        <v>0</v>
      </c>
      <c r="R811">
        <v>1</v>
      </c>
      <c r="S811" s="2">
        <v>0</v>
      </c>
      <c r="T811" s="4"/>
      <c r="U811">
        <v>8</v>
      </c>
      <c r="V811">
        <v>1</v>
      </c>
      <c r="W811">
        <v>1</v>
      </c>
    </row>
    <row r="812" spans="1:23" ht="16.5" x14ac:dyDescent="0.3">
      <c r="A812" t="s">
        <v>866</v>
      </c>
      <c r="B812" s="1">
        <v>45410</v>
      </c>
      <c r="C812">
        <v>2024</v>
      </c>
      <c r="D812" t="s">
        <v>688</v>
      </c>
      <c r="E812" t="s">
        <v>689</v>
      </c>
      <c r="F812" t="s">
        <v>41</v>
      </c>
      <c r="G812" t="s">
        <v>51</v>
      </c>
      <c r="H812" t="s">
        <v>38</v>
      </c>
      <c r="I812" t="s">
        <v>29</v>
      </c>
      <c r="J812" t="s">
        <v>30</v>
      </c>
      <c r="K812" s="2">
        <v>4300</v>
      </c>
      <c r="L812" s="2">
        <v>103000</v>
      </c>
      <c r="M812">
        <v>36</v>
      </c>
      <c r="N812" s="3">
        <v>0.96299999999999997</v>
      </c>
      <c r="O812" t="s">
        <v>17</v>
      </c>
      <c r="P812" t="s">
        <v>53</v>
      </c>
      <c r="Q812">
        <v>0</v>
      </c>
      <c r="R812">
        <v>1</v>
      </c>
      <c r="S812" s="2">
        <v>0</v>
      </c>
      <c r="T812" s="4"/>
      <c r="U812">
        <v>30</v>
      </c>
      <c r="V812">
        <v>0</v>
      </c>
      <c r="W812">
        <v>1</v>
      </c>
    </row>
    <row r="813" spans="1:23" ht="16.5" x14ac:dyDescent="0.3">
      <c r="A813" t="s">
        <v>867</v>
      </c>
      <c r="B813" s="1">
        <v>45411</v>
      </c>
      <c r="C813">
        <v>2024</v>
      </c>
      <c r="D813" t="s">
        <v>688</v>
      </c>
      <c r="E813" t="s">
        <v>689</v>
      </c>
      <c r="F813" t="s">
        <v>41</v>
      </c>
      <c r="G813" t="s">
        <v>45</v>
      </c>
      <c r="H813" t="s">
        <v>55</v>
      </c>
      <c r="I813" t="s">
        <v>39</v>
      </c>
      <c r="J813" t="s">
        <v>46</v>
      </c>
      <c r="K813" s="2">
        <v>3600</v>
      </c>
      <c r="L813" s="2">
        <v>89500</v>
      </c>
      <c r="M813">
        <v>12</v>
      </c>
      <c r="N813" s="3">
        <v>2.38</v>
      </c>
      <c r="O813" t="s">
        <v>17</v>
      </c>
      <c r="P813" t="s">
        <v>53</v>
      </c>
      <c r="Q813">
        <v>0</v>
      </c>
      <c r="R813">
        <v>1</v>
      </c>
      <c r="S813" s="2">
        <v>0</v>
      </c>
      <c r="T813" s="4"/>
      <c r="U813">
        <v>5</v>
      </c>
      <c r="V813">
        <v>1</v>
      </c>
      <c r="W813">
        <v>1</v>
      </c>
    </row>
    <row r="814" spans="1:23" ht="16.5" x14ac:dyDescent="0.3">
      <c r="A814" t="s">
        <v>868</v>
      </c>
      <c r="B814" s="1">
        <v>45411</v>
      </c>
      <c r="C814">
        <v>2024</v>
      </c>
      <c r="D814" t="s">
        <v>688</v>
      </c>
      <c r="E814" t="s">
        <v>689</v>
      </c>
      <c r="F814" t="s">
        <v>50</v>
      </c>
      <c r="G814" t="s">
        <v>33</v>
      </c>
      <c r="H814" t="s">
        <v>38</v>
      </c>
      <c r="I814" t="s">
        <v>42</v>
      </c>
      <c r="J814" t="s">
        <v>30</v>
      </c>
      <c r="K814" s="2">
        <v>7000</v>
      </c>
      <c r="L814" s="2">
        <v>527500</v>
      </c>
      <c r="M814">
        <v>180</v>
      </c>
      <c r="N814" s="3">
        <v>0.72299999999999998</v>
      </c>
      <c r="O814" t="s">
        <v>17</v>
      </c>
      <c r="P814" t="s">
        <v>31</v>
      </c>
      <c r="Q814">
        <v>0</v>
      </c>
      <c r="R814">
        <v>1</v>
      </c>
      <c r="S814" s="2">
        <v>0</v>
      </c>
      <c r="T814" s="4"/>
      <c r="U814">
        <v>4</v>
      </c>
      <c r="V814">
        <v>1</v>
      </c>
      <c r="W814">
        <v>1</v>
      </c>
    </row>
    <row r="815" spans="1:23" ht="16.5" x14ac:dyDescent="0.3">
      <c r="A815" t="s">
        <v>869</v>
      </c>
      <c r="B815" s="1">
        <v>45411</v>
      </c>
      <c r="C815">
        <v>2024</v>
      </c>
      <c r="D815" t="s">
        <v>688</v>
      </c>
      <c r="E815" t="s">
        <v>689</v>
      </c>
      <c r="F815" t="s">
        <v>26</v>
      </c>
      <c r="G815" t="s">
        <v>33</v>
      </c>
      <c r="H815" t="s">
        <v>55</v>
      </c>
      <c r="I815" t="s">
        <v>39</v>
      </c>
      <c r="J815" t="s">
        <v>35</v>
      </c>
      <c r="K815" s="2">
        <v>6150</v>
      </c>
      <c r="L815" s="2">
        <v>18500</v>
      </c>
      <c r="M815">
        <v>36</v>
      </c>
      <c r="N815" s="3">
        <v>0.20899999999999999</v>
      </c>
      <c r="O815" t="s">
        <v>16</v>
      </c>
      <c r="Q815">
        <v>1</v>
      </c>
      <c r="R815">
        <v>0</v>
      </c>
      <c r="S815" s="2">
        <v>18500</v>
      </c>
      <c r="T815" s="4">
        <v>7.8700000000000006E-2</v>
      </c>
      <c r="U815">
        <v>1</v>
      </c>
      <c r="V815">
        <v>1</v>
      </c>
      <c r="W815">
        <v>1</v>
      </c>
    </row>
    <row r="816" spans="1:23" ht="16.5" x14ac:dyDescent="0.3">
      <c r="A816" t="s">
        <v>870</v>
      </c>
      <c r="B816" s="1">
        <v>45411</v>
      </c>
      <c r="C816">
        <v>2024</v>
      </c>
      <c r="D816" t="s">
        <v>688</v>
      </c>
      <c r="E816" t="s">
        <v>689</v>
      </c>
      <c r="F816" t="s">
        <v>41</v>
      </c>
      <c r="G816" t="s">
        <v>33</v>
      </c>
      <c r="H816" t="s">
        <v>38</v>
      </c>
      <c r="I816" t="s">
        <v>39</v>
      </c>
      <c r="J816" t="s">
        <v>35</v>
      </c>
      <c r="K816" s="2">
        <v>5700</v>
      </c>
      <c r="L816" s="2">
        <v>91500</v>
      </c>
      <c r="M816">
        <v>24</v>
      </c>
      <c r="N816" s="3">
        <v>0.86099999999999999</v>
      </c>
      <c r="O816" t="s">
        <v>16</v>
      </c>
      <c r="Q816">
        <v>1</v>
      </c>
      <c r="R816">
        <v>0</v>
      </c>
      <c r="S816" s="2">
        <v>73000</v>
      </c>
      <c r="T816" s="4">
        <v>0.1067</v>
      </c>
      <c r="U816">
        <v>8</v>
      </c>
      <c r="V816">
        <v>1</v>
      </c>
      <c r="W816">
        <v>1</v>
      </c>
    </row>
    <row r="817" spans="1:23" ht="16.5" x14ac:dyDescent="0.3">
      <c r="A817" t="s">
        <v>871</v>
      </c>
      <c r="B817" s="1">
        <v>45411</v>
      </c>
      <c r="C817">
        <v>2024</v>
      </c>
      <c r="D817" t="s">
        <v>688</v>
      </c>
      <c r="E817" t="s">
        <v>689</v>
      </c>
      <c r="F817" t="s">
        <v>41</v>
      </c>
      <c r="G817" t="s">
        <v>33</v>
      </c>
      <c r="H817" t="s">
        <v>55</v>
      </c>
      <c r="I817" t="s">
        <v>29</v>
      </c>
      <c r="J817" t="s">
        <v>43</v>
      </c>
      <c r="K817" s="2">
        <v>1450</v>
      </c>
      <c r="L817" s="2">
        <v>62500</v>
      </c>
      <c r="M817">
        <v>60</v>
      </c>
      <c r="N817" s="3">
        <v>1.0069999999999999</v>
      </c>
      <c r="O817" t="s">
        <v>17</v>
      </c>
      <c r="P817" t="s">
        <v>31</v>
      </c>
      <c r="Q817">
        <v>0</v>
      </c>
      <c r="R817">
        <v>1</v>
      </c>
      <c r="S817" s="2">
        <v>0</v>
      </c>
      <c r="T817" s="4"/>
      <c r="U817">
        <v>5</v>
      </c>
      <c r="V817">
        <v>1</v>
      </c>
      <c r="W817">
        <v>1</v>
      </c>
    </row>
    <row r="818" spans="1:23" ht="16.5" x14ac:dyDescent="0.3">
      <c r="A818" t="s">
        <v>872</v>
      </c>
      <c r="B818" s="1">
        <v>45411</v>
      </c>
      <c r="C818">
        <v>2024</v>
      </c>
      <c r="D818" t="s">
        <v>688</v>
      </c>
      <c r="E818" t="s">
        <v>689</v>
      </c>
      <c r="F818" t="s">
        <v>50</v>
      </c>
      <c r="G818" t="s">
        <v>45</v>
      </c>
      <c r="H818" t="s">
        <v>64</v>
      </c>
      <c r="I818" t="s">
        <v>29</v>
      </c>
      <c r="J818" t="s">
        <v>35</v>
      </c>
      <c r="K818" s="2">
        <v>2400</v>
      </c>
      <c r="L818" s="2">
        <v>218500</v>
      </c>
      <c r="M818">
        <v>180</v>
      </c>
      <c r="N818" s="3">
        <v>0.94199999999999995</v>
      </c>
      <c r="O818" t="s">
        <v>17</v>
      </c>
      <c r="P818" t="s">
        <v>53</v>
      </c>
      <c r="Q818">
        <v>0</v>
      </c>
      <c r="R818">
        <v>1</v>
      </c>
      <c r="S818" s="2">
        <v>0</v>
      </c>
      <c r="T818" s="4"/>
      <c r="U818">
        <v>10</v>
      </c>
      <c r="V818">
        <v>1</v>
      </c>
      <c r="W818">
        <v>1</v>
      </c>
    </row>
    <row r="819" spans="1:23" ht="16.5" x14ac:dyDescent="0.3">
      <c r="A819" t="s">
        <v>873</v>
      </c>
      <c r="B819" s="1">
        <v>45411</v>
      </c>
      <c r="C819">
        <v>2024</v>
      </c>
      <c r="D819" t="s">
        <v>688</v>
      </c>
      <c r="E819" t="s">
        <v>689</v>
      </c>
      <c r="F819" t="s">
        <v>37</v>
      </c>
      <c r="G819" t="s">
        <v>33</v>
      </c>
      <c r="H819" t="s">
        <v>28</v>
      </c>
      <c r="I819" t="s">
        <v>42</v>
      </c>
      <c r="J819" t="s">
        <v>30</v>
      </c>
      <c r="K819" s="2">
        <v>3450</v>
      </c>
      <c r="L819" s="2">
        <v>4500</v>
      </c>
      <c r="M819">
        <v>24</v>
      </c>
      <c r="N819" s="3">
        <v>0.156</v>
      </c>
      <c r="O819" t="s">
        <v>16</v>
      </c>
      <c r="Q819">
        <v>1</v>
      </c>
      <c r="R819">
        <v>0</v>
      </c>
      <c r="S819" s="2">
        <v>4500</v>
      </c>
      <c r="T819" s="4">
        <v>0.1396</v>
      </c>
      <c r="U819">
        <v>1</v>
      </c>
      <c r="V819">
        <v>1</v>
      </c>
      <c r="W819">
        <v>1</v>
      </c>
    </row>
    <row r="820" spans="1:23" ht="16.5" x14ac:dyDescent="0.3">
      <c r="A820" t="s">
        <v>874</v>
      </c>
      <c r="B820" s="1">
        <v>45411</v>
      </c>
      <c r="C820">
        <v>2024</v>
      </c>
      <c r="D820" t="s">
        <v>688</v>
      </c>
      <c r="E820" t="s">
        <v>689</v>
      </c>
      <c r="F820" t="s">
        <v>41</v>
      </c>
      <c r="G820" t="s">
        <v>45</v>
      </c>
      <c r="H820" t="s">
        <v>28</v>
      </c>
      <c r="I820" t="s">
        <v>29</v>
      </c>
      <c r="J820" t="s">
        <v>46</v>
      </c>
      <c r="K820" s="2">
        <v>3050</v>
      </c>
      <c r="L820" s="2">
        <v>101000</v>
      </c>
      <c r="M820">
        <v>60</v>
      </c>
      <c r="N820" s="3">
        <v>0.80200000000000005</v>
      </c>
      <c r="O820" t="s">
        <v>16</v>
      </c>
      <c r="Q820">
        <v>1</v>
      </c>
      <c r="R820">
        <v>0</v>
      </c>
      <c r="S820" s="2">
        <v>101000</v>
      </c>
      <c r="T820" s="4">
        <v>9.5799999999999996E-2</v>
      </c>
      <c r="U820">
        <v>6</v>
      </c>
      <c r="V820">
        <v>1</v>
      </c>
      <c r="W820">
        <v>1</v>
      </c>
    </row>
    <row r="821" spans="1:23" ht="16.5" x14ac:dyDescent="0.3">
      <c r="A821" t="s">
        <v>875</v>
      </c>
      <c r="B821" s="1">
        <v>45412</v>
      </c>
      <c r="C821">
        <v>2024</v>
      </c>
      <c r="D821" t="s">
        <v>688</v>
      </c>
      <c r="E821" t="s">
        <v>689</v>
      </c>
      <c r="F821" t="s">
        <v>37</v>
      </c>
      <c r="G821" t="s">
        <v>45</v>
      </c>
      <c r="H821" t="s">
        <v>34</v>
      </c>
      <c r="I821" t="s">
        <v>42</v>
      </c>
      <c r="J821" t="s">
        <v>52</v>
      </c>
      <c r="K821" s="2">
        <v>5800</v>
      </c>
      <c r="L821" s="2">
        <v>12500</v>
      </c>
      <c r="M821">
        <v>12</v>
      </c>
      <c r="N821" s="3">
        <v>0.245</v>
      </c>
      <c r="O821" t="s">
        <v>16</v>
      </c>
      <c r="Q821">
        <v>1</v>
      </c>
      <c r="R821">
        <v>0</v>
      </c>
      <c r="S821" s="2">
        <v>10000</v>
      </c>
      <c r="T821" s="4">
        <v>0.1111</v>
      </c>
      <c r="U821">
        <v>2</v>
      </c>
      <c r="V821">
        <v>1</v>
      </c>
      <c r="W821">
        <v>1</v>
      </c>
    </row>
    <row r="822" spans="1:23" ht="16.5" x14ac:dyDescent="0.3">
      <c r="A822" t="s">
        <v>876</v>
      </c>
      <c r="B822" s="1">
        <v>45412</v>
      </c>
      <c r="C822">
        <v>2024</v>
      </c>
      <c r="D822" t="s">
        <v>688</v>
      </c>
      <c r="E822" t="s">
        <v>689</v>
      </c>
      <c r="F822" t="s">
        <v>37</v>
      </c>
      <c r="G822" t="s">
        <v>33</v>
      </c>
      <c r="H822" t="s">
        <v>28</v>
      </c>
      <c r="I822" t="s">
        <v>29</v>
      </c>
      <c r="J822" t="s">
        <v>43</v>
      </c>
      <c r="K822" s="2">
        <v>3350</v>
      </c>
      <c r="L822" s="2">
        <v>27000</v>
      </c>
      <c r="M822">
        <v>36</v>
      </c>
      <c r="N822" s="3">
        <v>0.39100000000000001</v>
      </c>
      <c r="O822" t="s">
        <v>17</v>
      </c>
      <c r="P822" t="s">
        <v>31</v>
      </c>
      <c r="Q822">
        <v>0</v>
      </c>
      <c r="R822">
        <v>1</v>
      </c>
      <c r="S822" s="2">
        <v>0</v>
      </c>
      <c r="T822" s="4"/>
      <c r="U822">
        <v>3</v>
      </c>
      <c r="V822">
        <v>1</v>
      </c>
      <c r="W822">
        <v>1</v>
      </c>
    </row>
    <row r="823" spans="1:23" ht="16.5" x14ac:dyDescent="0.3">
      <c r="A823" t="s">
        <v>877</v>
      </c>
      <c r="B823" s="1">
        <v>45412</v>
      </c>
      <c r="C823">
        <v>2024</v>
      </c>
      <c r="D823" t="s">
        <v>688</v>
      </c>
      <c r="E823" t="s">
        <v>689</v>
      </c>
      <c r="F823" t="s">
        <v>37</v>
      </c>
      <c r="G823" t="s">
        <v>45</v>
      </c>
      <c r="H823" t="s">
        <v>34</v>
      </c>
      <c r="I823" t="s">
        <v>39</v>
      </c>
      <c r="J823" t="s">
        <v>46</v>
      </c>
      <c r="K823" s="2">
        <v>4450</v>
      </c>
      <c r="L823" s="2">
        <v>12000</v>
      </c>
      <c r="M823">
        <v>12</v>
      </c>
      <c r="N823" s="3">
        <v>0.40899999999999997</v>
      </c>
      <c r="O823" t="s">
        <v>17</v>
      </c>
      <c r="P823" t="s">
        <v>31</v>
      </c>
      <c r="Q823">
        <v>0</v>
      </c>
      <c r="R823">
        <v>1</v>
      </c>
      <c r="S823" s="2">
        <v>0</v>
      </c>
      <c r="T823" s="4"/>
      <c r="U823">
        <v>3</v>
      </c>
      <c r="V823">
        <v>1</v>
      </c>
      <c r="W823">
        <v>1</v>
      </c>
    </row>
    <row r="824" spans="1:23" ht="16.5" x14ac:dyDescent="0.3">
      <c r="A824" t="s">
        <v>878</v>
      </c>
      <c r="B824" s="1">
        <v>45412</v>
      </c>
      <c r="C824">
        <v>2024</v>
      </c>
      <c r="D824" t="s">
        <v>688</v>
      </c>
      <c r="E824" t="s">
        <v>689</v>
      </c>
      <c r="F824" t="s">
        <v>26</v>
      </c>
      <c r="G824" t="s">
        <v>33</v>
      </c>
      <c r="H824" t="s">
        <v>55</v>
      </c>
      <c r="I824" t="s">
        <v>29</v>
      </c>
      <c r="J824" t="s">
        <v>30</v>
      </c>
      <c r="K824" s="2">
        <v>6000</v>
      </c>
      <c r="L824" s="2">
        <v>22500</v>
      </c>
      <c r="M824">
        <v>36</v>
      </c>
      <c r="N824" s="3">
        <v>0.36499999999999999</v>
      </c>
      <c r="O824" t="s">
        <v>17</v>
      </c>
      <c r="P824" t="s">
        <v>31</v>
      </c>
      <c r="Q824">
        <v>0</v>
      </c>
      <c r="R824">
        <v>1</v>
      </c>
      <c r="S824" s="2">
        <v>0</v>
      </c>
      <c r="T824" s="4"/>
      <c r="U824">
        <v>2</v>
      </c>
      <c r="V824">
        <v>1</v>
      </c>
      <c r="W824">
        <v>1</v>
      </c>
    </row>
    <row r="825" spans="1:23" ht="16.5" x14ac:dyDescent="0.3">
      <c r="A825" t="s">
        <v>879</v>
      </c>
      <c r="B825" s="1">
        <v>45412</v>
      </c>
      <c r="C825">
        <v>2024</v>
      </c>
      <c r="D825" t="s">
        <v>688</v>
      </c>
      <c r="E825" t="s">
        <v>689</v>
      </c>
      <c r="F825" t="s">
        <v>41</v>
      </c>
      <c r="G825" t="s">
        <v>51</v>
      </c>
      <c r="H825" t="s">
        <v>34</v>
      </c>
      <c r="I825" t="s">
        <v>29</v>
      </c>
      <c r="J825" t="s">
        <v>35</v>
      </c>
      <c r="K825" s="2">
        <v>5700</v>
      </c>
      <c r="L825" s="2">
        <v>55000</v>
      </c>
      <c r="M825">
        <v>24</v>
      </c>
      <c r="N825" s="3">
        <v>0.56899999999999995</v>
      </c>
      <c r="O825" t="s">
        <v>16</v>
      </c>
      <c r="Q825">
        <v>1</v>
      </c>
      <c r="R825">
        <v>0</v>
      </c>
      <c r="S825" s="2">
        <v>55000</v>
      </c>
      <c r="T825" s="4">
        <v>0.11260000000000001</v>
      </c>
      <c r="U825">
        <v>15</v>
      </c>
      <c r="V825">
        <v>0</v>
      </c>
      <c r="W825">
        <v>1</v>
      </c>
    </row>
    <row r="826" spans="1:23" ht="16.5" x14ac:dyDescent="0.3">
      <c r="A826" t="s">
        <v>880</v>
      </c>
      <c r="B826" s="1">
        <v>45412</v>
      </c>
      <c r="C826">
        <v>2024</v>
      </c>
      <c r="D826" t="s">
        <v>688</v>
      </c>
      <c r="E826" t="s">
        <v>689</v>
      </c>
      <c r="F826" t="s">
        <v>26</v>
      </c>
      <c r="G826" t="s">
        <v>51</v>
      </c>
      <c r="H826" t="s">
        <v>38</v>
      </c>
      <c r="I826" t="s">
        <v>39</v>
      </c>
      <c r="J826" t="s">
        <v>35</v>
      </c>
      <c r="K826" s="2">
        <v>5050</v>
      </c>
      <c r="L826" s="2">
        <v>13500</v>
      </c>
      <c r="M826">
        <v>60</v>
      </c>
      <c r="N826" s="3">
        <v>0.22900000000000001</v>
      </c>
      <c r="O826" t="s">
        <v>16</v>
      </c>
      <c r="Q826">
        <v>1</v>
      </c>
      <c r="R826">
        <v>0</v>
      </c>
      <c r="S826" s="2">
        <v>12000</v>
      </c>
      <c r="T826" s="4">
        <v>8.2299999999999998E-2</v>
      </c>
      <c r="U826">
        <v>10</v>
      </c>
      <c r="V826">
        <v>0</v>
      </c>
      <c r="W826">
        <v>1</v>
      </c>
    </row>
    <row r="827" spans="1:23" ht="16.5" x14ac:dyDescent="0.3">
      <c r="A827" t="s">
        <v>881</v>
      </c>
      <c r="B827" s="1">
        <v>45412</v>
      </c>
      <c r="C827">
        <v>2024</v>
      </c>
      <c r="D827" t="s">
        <v>688</v>
      </c>
      <c r="E827" t="s">
        <v>689</v>
      </c>
      <c r="F827" t="s">
        <v>50</v>
      </c>
      <c r="G827" t="s">
        <v>51</v>
      </c>
      <c r="H827" t="s">
        <v>55</v>
      </c>
      <c r="I827" t="s">
        <v>39</v>
      </c>
      <c r="J827" t="s">
        <v>52</v>
      </c>
      <c r="K827" s="2">
        <v>8200</v>
      </c>
      <c r="L827" s="2">
        <v>169000</v>
      </c>
      <c r="M827">
        <v>180</v>
      </c>
      <c r="N827" s="3">
        <v>0.313</v>
      </c>
      <c r="O827" t="s">
        <v>16</v>
      </c>
      <c r="Q827">
        <v>1</v>
      </c>
      <c r="R827">
        <v>0</v>
      </c>
      <c r="S827" s="2">
        <v>152000</v>
      </c>
      <c r="T827" s="4">
        <v>5.21E-2</v>
      </c>
      <c r="U827">
        <v>31</v>
      </c>
      <c r="V827">
        <v>0</v>
      </c>
      <c r="W827">
        <v>1</v>
      </c>
    </row>
    <row r="828" spans="1:23" ht="16.5" x14ac:dyDescent="0.3">
      <c r="A828" t="s">
        <v>882</v>
      </c>
      <c r="B828" s="1">
        <v>45412</v>
      </c>
      <c r="C828">
        <v>2024</v>
      </c>
      <c r="D828" t="s">
        <v>688</v>
      </c>
      <c r="E828" t="s">
        <v>689</v>
      </c>
      <c r="F828" t="s">
        <v>26</v>
      </c>
      <c r="G828" t="s">
        <v>27</v>
      </c>
      <c r="H828" t="s">
        <v>55</v>
      </c>
      <c r="I828" t="s">
        <v>42</v>
      </c>
      <c r="J828" t="s">
        <v>52</v>
      </c>
      <c r="K828" s="2">
        <v>2650</v>
      </c>
      <c r="L828" s="2">
        <v>34500</v>
      </c>
      <c r="M828">
        <v>36</v>
      </c>
      <c r="N828" s="3">
        <v>0.46899999999999997</v>
      </c>
      <c r="O828" t="s">
        <v>16</v>
      </c>
      <c r="Q828">
        <v>1</v>
      </c>
      <c r="R828">
        <v>0</v>
      </c>
      <c r="S828" s="2">
        <v>34500</v>
      </c>
      <c r="T828" s="4">
        <v>7.3599999999999999E-2</v>
      </c>
      <c r="U828">
        <v>7</v>
      </c>
      <c r="V828">
        <v>0</v>
      </c>
      <c r="W828">
        <v>1</v>
      </c>
    </row>
    <row r="829" spans="1:23" ht="16.5" x14ac:dyDescent="0.3">
      <c r="A829" t="s">
        <v>883</v>
      </c>
      <c r="B829" s="1">
        <v>45412</v>
      </c>
      <c r="C829">
        <v>2024</v>
      </c>
      <c r="D829" t="s">
        <v>688</v>
      </c>
      <c r="E829" t="s">
        <v>689</v>
      </c>
      <c r="F829" t="s">
        <v>37</v>
      </c>
      <c r="G829" t="s">
        <v>45</v>
      </c>
      <c r="H829" t="s">
        <v>38</v>
      </c>
      <c r="I829" t="s">
        <v>42</v>
      </c>
      <c r="J829" t="s">
        <v>52</v>
      </c>
      <c r="K829" s="2">
        <v>5550</v>
      </c>
      <c r="L829" s="2">
        <v>17500</v>
      </c>
      <c r="M829">
        <v>12</v>
      </c>
      <c r="N829" s="3">
        <v>0.42299999999999999</v>
      </c>
      <c r="O829" t="s">
        <v>16</v>
      </c>
      <c r="Q829">
        <v>1</v>
      </c>
      <c r="R829">
        <v>0</v>
      </c>
      <c r="S829" s="2">
        <v>14000</v>
      </c>
      <c r="T829" s="4">
        <v>0.1167</v>
      </c>
      <c r="U829">
        <v>3</v>
      </c>
      <c r="V829">
        <v>1</v>
      </c>
      <c r="W829">
        <v>1</v>
      </c>
    </row>
    <row r="830" spans="1:23" ht="16.5" x14ac:dyDescent="0.3">
      <c r="A830" t="s">
        <v>884</v>
      </c>
      <c r="B830" s="1">
        <v>45413</v>
      </c>
      <c r="C830">
        <v>2024</v>
      </c>
      <c r="D830" t="s">
        <v>688</v>
      </c>
      <c r="E830" t="s">
        <v>885</v>
      </c>
      <c r="F830" t="s">
        <v>26</v>
      </c>
      <c r="G830" t="s">
        <v>51</v>
      </c>
      <c r="H830" t="s">
        <v>38</v>
      </c>
      <c r="I830" t="s">
        <v>39</v>
      </c>
      <c r="J830" t="s">
        <v>43</v>
      </c>
      <c r="K830" s="2">
        <v>7350</v>
      </c>
      <c r="L830" s="2">
        <v>35000</v>
      </c>
      <c r="M830">
        <v>48</v>
      </c>
      <c r="N830" s="3">
        <v>0.16700000000000001</v>
      </c>
      <c r="O830" t="s">
        <v>17</v>
      </c>
      <c r="P830" t="s">
        <v>31</v>
      </c>
      <c r="Q830">
        <v>0</v>
      </c>
      <c r="R830">
        <v>1</v>
      </c>
      <c r="S830" s="2">
        <v>0</v>
      </c>
      <c r="T830" s="4"/>
      <c r="U830">
        <v>5</v>
      </c>
      <c r="V830">
        <v>0</v>
      </c>
      <c r="W830">
        <v>1</v>
      </c>
    </row>
    <row r="831" spans="1:23" ht="16.5" x14ac:dyDescent="0.3">
      <c r="A831" t="s">
        <v>886</v>
      </c>
      <c r="B831" s="1">
        <v>45413</v>
      </c>
      <c r="C831">
        <v>2024</v>
      </c>
      <c r="D831" t="s">
        <v>688</v>
      </c>
      <c r="E831" t="s">
        <v>885</v>
      </c>
      <c r="F831" t="s">
        <v>37</v>
      </c>
      <c r="G831" t="s">
        <v>51</v>
      </c>
      <c r="H831" t="s">
        <v>34</v>
      </c>
      <c r="I831" t="s">
        <v>39</v>
      </c>
      <c r="J831" t="s">
        <v>35</v>
      </c>
      <c r="K831" s="2">
        <v>4550</v>
      </c>
      <c r="L831" s="2">
        <v>15000</v>
      </c>
      <c r="M831">
        <v>36</v>
      </c>
      <c r="N831" s="3">
        <v>0.245</v>
      </c>
      <c r="O831" t="s">
        <v>16</v>
      </c>
      <c r="Q831">
        <v>1</v>
      </c>
      <c r="R831">
        <v>0</v>
      </c>
      <c r="S831" s="2">
        <v>15000</v>
      </c>
      <c r="T831" s="4">
        <v>0.12330000000000001</v>
      </c>
      <c r="U831">
        <v>3</v>
      </c>
      <c r="V831">
        <v>1</v>
      </c>
      <c r="W831">
        <v>1</v>
      </c>
    </row>
    <row r="832" spans="1:23" ht="16.5" x14ac:dyDescent="0.3">
      <c r="A832" t="s">
        <v>887</v>
      </c>
      <c r="B832" s="1">
        <v>45413</v>
      </c>
      <c r="C832">
        <v>2024</v>
      </c>
      <c r="D832" t="s">
        <v>688</v>
      </c>
      <c r="E832" t="s">
        <v>885</v>
      </c>
      <c r="F832" t="s">
        <v>26</v>
      </c>
      <c r="G832" t="s">
        <v>45</v>
      </c>
      <c r="H832" t="s">
        <v>38</v>
      </c>
      <c r="I832" t="s">
        <v>39</v>
      </c>
      <c r="J832" t="s">
        <v>30</v>
      </c>
      <c r="K832" s="2">
        <v>1300</v>
      </c>
      <c r="L832" s="2">
        <v>49000</v>
      </c>
      <c r="M832">
        <v>48</v>
      </c>
      <c r="N832" s="3">
        <v>1.038</v>
      </c>
      <c r="O832" t="s">
        <v>17</v>
      </c>
      <c r="P832" t="s">
        <v>53</v>
      </c>
      <c r="Q832">
        <v>0</v>
      </c>
      <c r="R832">
        <v>1</v>
      </c>
      <c r="S832" s="2">
        <v>0</v>
      </c>
      <c r="T832" s="4"/>
      <c r="U832">
        <v>4</v>
      </c>
      <c r="V832">
        <v>1</v>
      </c>
      <c r="W832">
        <v>1</v>
      </c>
    </row>
    <row r="833" spans="1:23" ht="16.5" x14ac:dyDescent="0.3">
      <c r="A833" t="s">
        <v>888</v>
      </c>
      <c r="B833" s="1">
        <v>45413</v>
      </c>
      <c r="C833">
        <v>2024</v>
      </c>
      <c r="D833" t="s">
        <v>688</v>
      </c>
      <c r="E833" t="s">
        <v>885</v>
      </c>
      <c r="F833" t="s">
        <v>37</v>
      </c>
      <c r="G833" t="s">
        <v>51</v>
      </c>
      <c r="H833" t="s">
        <v>34</v>
      </c>
      <c r="I833" t="s">
        <v>29</v>
      </c>
      <c r="J833" t="s">
        <v>43</v>
      </c>
      <c r="K833" s="2">
        <v>4200</v>
      </c>
      <c r="L833" s="2">
        <v>13000</v>
      </c>
      <c r="M833">
        <v>60</v>
      </c>
      <c r="N833" s="3">
        <v>0.30299999999999999</v>
      </c>
      <c r="O833" t="s">
        <v>17</v>
      </c>
      <c r="P833" t="s">
        <v>31</v>
      </c>
      <c r="Q833">
        <v>0</v>
      </c>
      <c r="R833">
        <v>1</v>
      </c>
      <c r="S833" s="2">
        <v>0</v>
      </c>
      <c r="T833" s="4"/>
      <c r="U833">
        <v>5</v>
      </c>
      <c r="V833">
        <v>0</v>
      </c>
      <c r="W833">
        <v>1</v>
      </c>
    </row>
    <row r="834" spans="1:23" ht="16.5" x14ac:dyDescent="0.3">
      <c r="A834" t="s">
        <v>889</v>
      </c>
      <c r="B834" s="1">
        <v>45413</v>
      </c>
      <c r="C834">
        <v>2024</v>
      </c>
      <c r="D834" t="s">
        <v>688</v>
      </c>
      <c r="E834" t="s">
        <v>885</v>
      </c>
      <c r="F834" t="s">
        <v>37</v>
      </c>
      <c r="G834" t="s">
        <v>27</v>
      </c>
      <c r="H834" t="s">
        <v>34</v>
      </c>
      <c r="I834" t="s">
        <v>39</v>
      </c>
      <c r="J834" t="s">
        <v>52</v>
      </c>
      <c r="K834" s="2">
        <v>3800</v>
      </c>
      <c r="L834" s="2">
        <v>12000</v>
      </c>
      <c r="M834">
        <v>24</v>
      </c>
      <c r="N834" s="3">
        <v>0.28299999999999997</v>
      </c>
      <c r="O834" t="s">
        <v>16</v>
      </c>
      <c r="Q834">
        <v>1</v>
      </c>
      <c r="R834">
        <v>0</v>
      </c>
      <c r="S834" s="2">
        <v>12000</v>
      </c>
      <c r="T834" s="4">
        <v>0.1186</v>
      </c>
      <c r="U834">
        <v>6</v>
      </c>
      <c r="V834">
        <v>0</v>
      </c>
      <c r="W834">
        <v>1</v>
      </c>
    </row>
    <row r="835" spans="1:23" ht="16.5" x14ac:dyDescent="0.3">
      <c r="A835" t="s">
        <v>890</v>
      </c>
      <c r="B835" s="1">
        <v>45413</v>
      </c>
      <c r="C835">
        <v>2024</v>
      </c>
      <c r="D835" t="s">
        <v>688</v>
      </c>
      <c r="E835" t="s">
        <v>885</v>
      </c>
      <c r="F835" t="s">
        <v>50</v>
      </c>
      <c r="G835" t="s">
        <v>45</v>
      </c>
      <c r="H835" t="s">
        <v>38</v>
      </c>
      <c r="I835" t="s">
        <v>39</v>
      </c>
      <c r="J835" t="s">
        <v>30</v>
      </c>
      <c r="K835" s="2">
        <v>6400</v>
      </c>
      <c r="L835" s="2">
        <v>266500</v>
      </c>
      <c r="M835">
        <v>240</v>
      </c>
      <c r="N835" s="3">
        <v>0.47099999999999997</v>
      </c>
      <c r="O835" t="s">
        <v>16</v>
      </c>
      <c r="Q835">
        <v>1</v>
      </c>
      <c r="R835">
        <v>0</v>
      </c>
      <c r="S835" s="2">
        <v>266500</v>
      </c>
      <c r="T835" s="4">
        <v>7.2800000000000004E-2</v>
      </c>
      <c r="U835">
        <v>8</v>
      </c>
      <c r="V835">
        <v>1</v>
      </c>
      <c r="W835">
        <v>1</v>
      </c>
    </row>
    <row r="836" spans="1:23" ht="16.5" x14ac:dyDescent="0.3">
      <c r="A836" t="s">
        <v>891</v>
      </c>
      <c r="B836" s="1">
        <v>45413</v>
      </c>
      <c r="C836">
        <v>2024</v>
      </c>
      <c r="D836" t="s">
        <v>688</v>
      </c>
      <c r="E836" t="s">
        <v>885</v>
      </c>
      <c r="F836" t="s">
        <v>37</v>
      </c>
      <c r="G836" t="s">
        <v>45</v>
      </c>
      <c r="H836" t="s">
        <v>64</v>
      </c>
      <c r="I836" t="s">
        <v>29</v>
      </c>
      <c r="J836" t="s">
        <v>46</v>
      </c>
      <c r="K836" s="2">
        <v>3650</v>
      </c>
      <c r="L836" s="2">
        <v>9500</v>
      </c>
      <c r="M836">
        <v>36</v>
      </c>
      <c r="N836" s="3">
        <v>0.25600000000000001</v>
      </c>
      <c r="O836" t="s">
        <v>16</v>
      </c>
      <c r="Q836">
        <v>1</v>
      </c>
      <c r="R836">
        <v>0</v>
      </c>
      <c r="S836" s="2">
        <v>9500</v>
      </c>
      <c r="T836" s="4">
        <v>0.10920000000000001</v>
      </c>
      <c r="U836">
        <v>1</v>
      </c>
      <c r="V836">
        <v>1</v>
      </c>
      <c r="W836">
        <v>1</v>
      </c>
    </row>
    <row r="837" spans="1:23" ht="16.5" x14ac:dyDescent="0.3">
      <c r="A837" t="s">
        <v>892</v>
      </c>
      <c r="B837" s="1">
        <v>45413</v>
      </c>
      <c r="C837">
        <v>2024</v>
      </c>
      <c r="D837" t="s">
        <v>688</v>
      </c>
      <c r="E837" t="s">
        <v>885</v>
      </c>
      <c r="F837" t="s">
        <v>50</v>
      </c>
      <c r="G837" t="s">
        <v>51</v>
      </c>
      <c r="H837" t="s">
        <v>34</v>
      </c>
      <c r="I837" t="s">
        <v>39</v>
      </c>
      <c r="J837" t="s">
        <v>52</v>
      </c>
      <c r="K837" s="2">
        <v>6900</v>
      </c>
      <c r="L837" s="2">
        <v>290500</v>
      </c>
      <c r="M837">
        <v>240</v>
      </c>
      <c r="N837" s="3">
        <v>0.5</v>
      </c>
      <c r="O837" t="s">
        <v>16</v>
      </c>
      <c r="Q837">
        <v>1</v>
      </c>
      <c r="R837">
        <v>0</v>
      </c>
      <c r="S837" s="2">
        <v>290500</v>
      </c>
      <c r="T837" s="4">
        <v>5.2200000000000003E-2</v>
      </c>
      <c r="U837">
        <v>37</v>
      </c>
      <c r="V837">
        <v>0</v>
      </c>
      <c r="W837">
        <v>1</v>
      </c>
    </row>
    <row r="838" spans="1:23" ht="16.5" x14ac:dyDescent="0.3">
      <c r="A838" t="s">
        <v>893</v>
      </c>
      <c r="B838" s="1">
        <v>45414</v>
      </c>
      <c r="C838">
        <v>2024</v>
      </c>
      <c r="D838" t="s">
        <v>688</v>
      </c>
      <c r="E838" t="s">
        <v>885</v>
      </c>
      <c r="F838" t="s">
        <v>37</v>
      </c>
      <c r="G838" t="s">
        <v>27</v>
      </c>
      <c r="H838" t="s">
        <v>55</v>
      </c>
      <c r="I838" t="s">
        <v>39</v>
      </c>
      <c r="J838" t="s">
        <v>30</v>
      </c>
      <c r="K838" s="2">
        <v>9550</v>
      </c>
      <c r="L838" s="2">
        <v>10000</v>
      </c>
      <c r="M838">
        <v>60</v>
      </c>
      <c r="N838" s="3">
        <v>8.8999999999999996E-2</v>
      </c>
      <c r="O838" t="s">
        <v>16</v>
      </c>
      <c r="Q838">
        <v>1</v>
      </c>
      <c r="R838">
        <v>0</v>
      </c>
      <c r="S838" s="2">
        <v>9000</v>
      </c>
      <c r="T838" s="4">
        <v>0.13780000000000001</v>
      </c>
      <c r="U838">
        <v>4</v>
      </c>
      <c r="V838">
        <v>0</v>
      </c>
      <c r="W838">
        <v>1</v>
      </c>
    </row>
    <row r="839" spans="1:23" ht="16.5" x14ac:dyDescent="0.3">
      <c r="A839" t="s">
        <v>894</v>
      </c>
      <c r="B839" s="1">
        <v>45414</v>
      </c>
      <c r="C839">
        <v>2024</v>
      </c>
      <c r="D839" t="s">
        <v>688</v>
      </c>
      <c r="E839" t="s">
        <v>885</v>
      </c>
      <c r="F839" t="s">
        <v>37</v>
      </c>
      <c r="G839" t="s">
        <v>27</v>
      </c>
      <c r="H839" t="s">
        <v>34</v>
      </c>
      <c r="I839" t="s">
        <v>29</v>
      </c>
      <c r="J839" t="s">
        <v>52</v>
      </c>
      <c r="K839" s="2">
        <v>3750</v>
      </c>
      <c r="L839" s="2">
        <v>15000</v>
      </c>
      <c r="M839">
        <v>48</v>
      </c>
      <c r="N839" s="3">
        <v>0.16</v>
      </c>
      <c r="O839" t="s">
        <v>17</v>
      </c>
      <c r="P839" t="s">
        <v>60</v>
      </c>
      <c r="Q839">
        <v>0</v>
      </c>
      <c r="R839">
        <v>1</v>
      </c>
      <c r="S839" s="2">
        <v>0</v>
      </c>
      <c r="T839" s="4"/>
      <c r="U839">
        <v>7</v>
      </c>
      <c r="V839">
        <v>0</v>
      </c>
      <c r="W839">
        <v>1</v>
      </c>
    </row>
    <row r="840" spans="1:23" ht="16.5" x14ac:dyDescent="0.3">
      <c r="A840" t="s">
        <v>895</v>
      </c>
      <c r="B840" s="1">
        <v>45414</v>
      </c>
      <c r="C840">
        <v>2024</v>
      </c>
      <c r="D840" t="s">
        <v>688</v>
      </c>
      <c r="E840" t="s">
        <v>885</v>
      </c>
      <c r="F840" t="s">
        <v>37</v>
      </c>
      <c r="G840" t="s">
        <v>51</v>
      </c>
      <c r="H840" t="s">
        <v>28</v>
      </c>
      <c r="I840" t="s">
        <v>39</v>
      </c>
      <c r="J840" t="s">
        <v>35</v>
      </c>
      <c r="K840" s="2">
        <v>6200</v>
      </c>
      <c r="L840" s="2">
        <v>15500</v>
      </c>
      <c r="M840">
        <v>24</v>
      </c>
      <c r="N840" s="3">
        <v>0.28799999999999998</v>
      </c>
      <c r="O840" t="s">
        <v>16</v>
      </c>
      <c r="Q840">
        <v>1</v>
      </c>
      <c r="R840">
        <v>0</v>
      </c>
      <c r="S840" s="2">
        <v>15500</v>
      </c>
      <c r="T840" s="4">
        <v>0.13239999999999999</v>
      </c>
      <c r="U840">
        <v>3</v>
      </c>
      <c r="V840">
        <v>1</v>
      </c>
      <c r="W840">
        <v>1</v>
      </c>
    </row>
    <row r="841" spans="1:23" ht="16.5" x14ac:dyDescent="0.3">
      <c r="A841" t="s">
        <v>896</v>
      </c>
      <c r="B841" s="1">
        <v>45414</v>
      </c>
      <c r="C841">
        <v>2024</v>
      </c>
      <c r="D841" t="s">
        <v>688</v>
      </c>
      <c r="E841" t="s">
        <v>885</v>
      </c>
      <c r="F841" t="s">
        <v>41</v>
      </c>
      <c r="G841" t="s">
        <v>45</v>
      </c>
      <c r="H841" t="s">
        <v>38</v>
      </c>
      <c r="I841" t="s">
        <v>29</v>
      </c>
      <c r="J841" t="s">
        <v>52</v>
      </c>
      <c r="K841" s="2">
        <v>5700</v>
      </c>
      <c r="L841" s="2">
        <v>74000</v>
      </c>
      <c r="M841">
        <v>36</v>
      </c>
      <c r="N841" s="3">
        <v>0.65700000000000003</v>
      </c>
      <c r="O841" t="s">
        <v>16</v>
      </c>
      <c r="Q841">
        <v>1</v>
      </c>
      <c r="R841">
        <v>0</v>
      </c>
      <c r="S841" s="2">
        <v>66500</v>
      </c>
      <c r="T841" s="4">
        <v>0.1031</v>
      </c>
      <c r="U841">
        <v>7</v>
      </c>
      <c r="V841">
        <v>1</v>
      </c>
      <c r="W841">
        <v>1</v>
      </c>
    </row>
    <row r="842" spans="1:23" ht="16.5" x14ac:dyDescent="0.3">
      <c r="A842" t="s">
        <v>897</v>
      </c>
      <c r="B842" s="1">
        <v>45415</v>
      </c>
      <c r="C842">
        <v>2024</v>
      </c>
      <c r="D842" t="s">
        <v>688</v>
      </c>
      <c r="E842" t="s">
        <v>885</v>
      </c>
      <c r="F842" t="s">
        <v>41</v>
      </c>
      <c r="G842" t="s">
        <v>45</v>
      </c>
      <c r="H842" t="s">
        <v>64</v>
      </c>
      <c r="I842" t="s">
        <v>29</v>
      </c>
      <c r="J842" t="s">
        <v>30</v>
      </c>
      <c r="K842" s="2">
        <v>4500</v>
      </c>
      <c r="L842" s="2">
        <v>101000</v>
      </c>
      <c r="M842">
        <v>36</v>
      </c>
      <c r="N842" s="3">
        <v>0.92500000000000004</v>
      </c>
      <c r="O842" t="s">
        <v>16</v>
      </c>
      <c r="Q842">
        <v>1</v>
      </c>
      <c r="R842">
        <v>0</v>
      </c>
      <c r="S842" s="2">
        <v>101000</v>
      </c>
      <c r="T842" s="4">
        <v>0.12559999999999999</v>
      </c>
      <c r="U842">
        <v>9</v>
      </c>
      <c r="V842">
        <v>1</v>
      </c>
      <c r="W842">
        <v>1</v>
      </c>
    </row>
    <row r="843" spans="1:23" ht="16.5" x14ac:dyDescent="0.3">
      <c r="A843" t="s">
        <v>898</v>
      </c>
      <c r="B843" s="1">
        <v>45415</v>
      </c>
      <c r="C843">
        <v>2024</v>
      </c>
      <c r="D843" t="s">
        <v>688</v>
      </c>
      <c r="E843" t="s">
        <v>885</v>
      </c>
      <c r="F843" t="s">
        <v>37</v>
      </c>
      <c r="G843" t="s">
        <v>45</v>
      </c>
      <c r="H843" t="s">
        <v>55</v>
      </c>
      <c r="I843" t="s">
        <v>42</v>
      </c>
      <c r="J843" t="s">
        <v>43</v>
      </c>
      <c r="K843" s="2">
        <v>6000</v>
      </c>
      <c r="L843" s="2">
        <v>11000</v>
      </c>
      <c r="M843">
        <v>60</v>
      </c>
      <c r="N843" s="3">
        <v>0.21299999999999999</v>
      </c>
      <c r="O843" t="s">
        <v>16</v>
      </c>
      <c r="Q843">
        <v>1</v>
      </c>
      <c r="R843">
        <v>0</v>
      </c>
      <c r="S843" s="2">
        <v>10000</v>
      </c>
      <c r="T843" s="4">
        <v>0.1593</v>
      </c>
      <c r="U843">
        <v>2</v>
      </c>
      <c r="V843">
        <v>1</v>
      </c>
      <c r="W843">
        <v>1</v>
      </c>
    </row>
    <row r="844" spans="1:23" ht="16.5" x14ac:dyDescent="0.3">
      <c r="A844" t="s">
        <v>899</v>
      </c>
      <c r="B844" s="1">
        <v>45415</v>
      </c>
      <c r="C844">
        <v>2024</v>
      </c>
      <c r="D844" t="s">
        <v>688</v>
      </c>
      <c r="E844" t="s">
        <v>885</v>
      </c>
      <c r="F844" t="s">
        <v>50</v>
      </c>
      <c r="G844" t="s">
        <v>51</v>
      </c>
      <c r="H844" t="s">
        <v>38</v>
      </c>
      <c r="I844" t="s">
        <v>39</v>
      </c>
      <c r="J844" t="s">
        <v>46</v>
      </c>
      <c r="K844" s="2">
        <v>5450</v>
      </c>
      <c r="L844" s="2">
        <v>211500</v>
      </c>
      <c r="M844">
        <v>240</v>
      </c>
      <c r="N844" s="3">
        <v>0.377</v>
      </c>
      <c r="O844" t="s">
        <v>16</v>
      </c>
      <c r="Q844">
        <v>1</v>
      </c>
      <c r="R844">
        <v>0</v>
      </c>
      <c r="S844" s="2">
        <v>211500</v>
      </c>
      <c r="T844" s="4">
        <v>4.0099999999999997E-2</v>
      </c>
      <c r="U844">
        <v>21</v>
      </c>
      <c r="V844">
        <v>0</v>
      </c>
      <c r="W844">
        <v>1</v>
      </c>
    </row>
    <row r="845" spans="1:23" ht="16.5" x14ac:dyDescent="0.3">
      <c r="A845" t="s">
        <v>900</v>
      </c>
      <c r="B845" s="1">
        <v>45415</v>
      </c>
      <c r="C845">
        <v>2024</v>
      </c>
      <c r="D845" t="s">
        <v>688</v>
      </c>
      <c r="E845" t="s">
        <v>885</v>
      </c>
      <c r="F845" t="s">
        <v>26</v>
      </c>
      <c r="G845" t="s">
        <v>51</v>
      </c>
      <c r="H845" t="s">
        <v>55</v>
      </c>
      <c r="I845" t="s">
        <v>29</v>
      </c>
      <c r="J845" t="s">
        <v>30</v>
      </c>
      <c r="K845" s="2">
        <v>6250</v>
      </c>
      <c r="L845" s="2">
        <v>19000</v>
      </c>
      <c r="M845">
        <v>60</v>
      </c>
      <c r="N845" s="3">
        <v>0.16200000000000001</v>
      </c>
      <c r="O845" t="s">
        <v>17</v>
      </c>
      <c r="P845" t="s">
        <v>60</v>
      </c>
      <c r="Q845">
        <v>0</v>
      </c>
      <c r="R845">
        <v>1</v>
      </c>
      <c r="S845" s="2">
        <v>0</v>
      </c>
      <c r="T845" s="4"/>
      <c r="U845">
        <v>8</v>
      </c>
      <c r="V845">
        <v>0</v>
      </c>
      <c r="W845">
        <v>1</v>
      </c>
    </row>
    <row r="846" spans="1:23" ht="16.5" x14ac:dyDescent="0.3">
      <c r="A846" t="s">
        <v>901</v>
      </c>
      <c r="B846" s="1">
        <v>45415</v>
      </c>
      <c r="C846">
        <v>2024</v>
      </c>
      <c r="D846" t="s">
        <v>688</v>
      </c>
      <c r="E846" t="s">
        <v>885</v>
      </c>
      <c r="F846" t="s">
        <v>26</v>
      </c>
      <c r="G846" t="s">
        <v>45</v>
      </c>
      <c r="H846" t="s">
        <v>64</v>
      </c>
      <c r="I846" t="s">
        <v>29</v>
      </c>
      <c r="J846" t="s">
        <v>30</v>
      </c>
      <c r="K846" s="2">
        <v>4900</v>
      </c>
      <c r="L846" s="2">
        <v>16000</v>
      </c>
      <c r="M846">
        <v>48</v>
      </c>
      <c r="N846" s="3">
        <v>0.30499999999999999</v>
      </c>
      <c r="O846" t="s">
        <v>16</v>
      </c>
      <c r="Q846">
        <v>1</v>
      </c>
      <c r="R846">
        <v>0</v>
      </c>
      <c r="S846" s="2">
        <v>16000</v>
      </c>
      <c r="T846" s="4">
        <v>9.6799999999999997E-2</v>
      </c>
      <c r="U846">
        <v>3</v>
      </c>
      <c r="V846">
        <v>1</v>
      </c>
      <c r="W846">
        <v>1</v>
      </c>
    </row>
    <row r="847" spans="1:23" ht="16.5" x14ac:dyDescent="0.3">
      <c r="A847" t="s">
        <v>902</v>
      </c>
      <c r="B847" s="1">
        <v>45415</v>
      </c>
      <c r="C847">
        <v>2024</v>
      </c>
      <c r="D847" t="s">
        <v>688</v>
      </c>
      <c r="E847" t="s">
        <v>885</v>
      </c>
      <c r="F847" t="s">
        <v>37</v>
      </c>
      <c r="G847" t="s">
        <v>45</v>
      </c>
      <c r="H847" t="s">
        <v>28</v>
      </c>
      <c r="I847" t="s">
        <v>29</v>
      </c>
      <c r="J847" t="s">
        <v>30</v>
      </c>
      <c r="K847" s="2">
        <v>4500</v>
      </c>
      <c r="L847" s="2">
        <v>26500</v>
      </c>
      <c r="M847">
        <v>60</v>
      </c>
      <c r="N847" s="3">
        <v>0.25700000000000001</v>
      </c>
      <c r="O847" t="s">
        <v>125</v>
      </c>
      <c r="Q847">
        <v>0</v>
      </c>
      <c r="R847">
        <v>0</v>
      </c>
      <c r="S847" s="2">
        <v>0</v>
      </c>
      <c r="T847" s="4"/>
      <c r="U847">
        <v>6</v>
      </c>
      <c r="V847">
        <v>0</v>
      </c>
      <c r="W847">
        <v>1</v>
      </c>
    </row>
    <row r="848" spans="1:23" ht="16.5" x14ac:dyDescent="0.3">
      <c r="A848" t="s">
        <v>903</v>
      </c>
      <c r="B848" s="1">
        <v>45416</v>
      </c>
      <c r="C848">
        <v>2024</v>
      </c>
      <c r="D848" t="s">
        <v>688</v>
      </c>
      <c r="E848" t="s">
        <v>885</v>
      </c>
      <c r="F848" t="s">
        <v>41</v>
      </c>
      <c r="G848" t="s">
        <v>33</v>
      </c>
      <c r="H848" t="s">
        <v>38</v>
      </c>
      <c r="I848" t="s">
        <v>42</v>
      </c>
      <c r="J848" t="s">
        <v>43</v>
      </c>
      <c r="K848" s="2">
        <v>11200</v>
      </c>
      <c r="L848" s="2">
        <v>47000</v>
      </c>
      <c r="M848">
        <v>60</v>
      </c>
      <c r="N848" s="3">
        <v>0.14099999999999999</v>
      </c>
      <c r="O848" t="s">
        <v>17</v>
      </c>
      <c r="P848" t="s">
        <v>31</v>
      </c>
      <c r="Q848">
        <v>0</v>
      </c>
      <c r="R848">
        <v>1</v>
      </c>
      <c r="S848" s="2">
        <v>0</v>
      </c>
      <c r="T848" s="4"/>
      <c r="U848">
        <v>4</v>
      </c>
      <c r="V848">
        <v>1</v>
      </c>
      <c r="W848">
        <v>1</v>
      </c>
    </row>
    <row r="849" spans="1:23" ht="16.5" x14ac:dyDescent="0.3">
      <c r="A849" t="s">
        <v>904</v>
      </c>
      <c r="B849" s="1">
        <v>45416</v>
      </c>
      <c r="C849">
        <v>2024</v>
      </c>
      <c r="D849" t="s">
        <v>688</v>
      </c>
      <c r="E849" t="s">
        <v>885</v>
      </c>
      <c r="F849" t="s">
        <v>41</v>
      </c>
      <c r="G849" t="s">
        <v>45</v>
      </c>
      <c r="H849" t="s">
        <v>38</v>
      </c>
      <c r="I849" t="s">
        <v>29</v>
      </c>
      <c r="J849" t="s">
        <v>43</v>
      </c>
      <c r="K849" s="2">
        <v>6350</v>
      </c>
      <c r="L849" s="2">
        <v>103500</v>
      </c>
      <c r="M849">
        <v>24</v>
      </c>
      <c r="N849" s="3">
        <v>0.82899999999999996</v>
      </c>
      <c r="O849" t="s">
        <v>17</v>
      </c>
      <c r="P849" t="s">
        <v>31</v>
      </c>
      <c r="Q849">
        <v>0</v>
      </c>
      <c r="R849">
        <v>1</v>
      </c>
      <c r="S849" s="2">
        <v>0</v>
      </c>
      <c r="T849" s="4"/>
      <c r="U849">
        <v>10</v>
      </c>
      <c r="V849">
        <v>1</v>
      </c>
      <c r="W849">
        <v>1</v>
      </c>
    </row>
    <row r="850" spans="1:23" ht="16.5" x14ac:dyDescent="0.3">
      <c r="A850" t="s">
        <v>905</v>
      </c>
      <c r="B850" s="1">
        <v>45416</v>
      </c>
      <c r="C850">
        <v>2024</v>
      </c>
      <c r="D850" t="s">
        <v>688</v>
      </c>
      <c r="E850" t="s">
        <v>885</v>
      </c>
      <c r="F850" t="s">
        <v>26</v>
      </c>
      <c r="G850" t="s">
        <v>51</v>
      </c>
      <c r="H850" t="s">
        <v>38</v>
      </c>
      <c r="I850" t="s">
        <v>39</v>
      </c>
      <c r="J850" t="s">
        <v>52</v>
      </c>
      <c r="K850" s="2">
        <v>4350</v>
      </c>
      <c r="L850" s="2">
        <v>21000</v>
      </c>
      <c r="M850">
        <v>48</v>
      </c>
      <c r="N850" s="3">
        <v>0.36299999999999999</v>
      </c>
      <c r="O850" t="s">
        <v>16</v>
      </c>
      <c r="Q850">
        <v>1</v>
      </c>
      <c r="R850">
        <v>0</v>
      </c>
      <c r="S850" s="2">
        <v>21000</v>
      </c>
      <c r="T850" s="4">
        <v>7.5800000000000006E-2</v>
      </c>
      <c r="U850">
        <v>5</v>
      </c>
      <c r="V850">
        <v>0</v>
      </c>
      <c r="W850">
        <v>1</v>
      </c>
    </row>
    <row r="851" spans="1:23" ht="16.5" x14ac:dyDescent="0.3">
      <c r="A851" t="s">
        <v>906</v>
      </c>
      <c r="B851" s="1">
        <v>45416</v>
      </c>
      <c r="C851">
        <v>2024</v>
      </c>
      <c r="D851" t="s">
        <v>688</v>
      </c>
      <c r="E851" t="s">
        <v>885</v>
      </c>
      <c r="F851" t="s">
        <v>50</v>
      </c>
      <c r="G851" t="s">
        <v>51</v>
      </c>
      <c r="H851" t="s">
        <v>38</v>
      </c>
      <c r="I851" t="s">
        <v>29</v>
      </c>
      <c r="J851" t="s">
        <v>43</v>
      </c>
      <c r="K851" s="2">
        <v>5550</v>
      </c>
      <c r="L851" s="2">
        <v>104000</v>
      </c>
      <c r="M851">
        <v>300</v>
      </c>
      <c r="N851" s="3">
        <v>0.30499999999999999</v>
      </c>
      <c r="O851" t="s">
        <v>17</v>
      </c>
      <c r="P851" t="s">
        <v>60</v>
      </c>
      <c r="Q851">
        <v>0</v>
      </c>
      <c r="R851">
        <v>1</v>
      </c>
      <c r="S851" s="2">
        <v>0</v>
      </c>
      <c r="T851" s="4"/>
      <c r="U851">
        <v>27</v>
      </c>
      <c r="V851">
        <v>0</v>
      </c>
      <c r="W851">
        <v>1</v>
      </c>
    </row>
    <row r="852" spans="1:23" ht="16.5" x14ac:dyDescent="0.3">
      <c r="A852" t="s">
        <v>907</v>
      </c>
      <c r="B852" s="1">
        <v>45417</v>
      </c>
      <c r="C852">
        <v>2024</v>
      </c>
      <c r="D852" t="s">
        <v>688</v>
      </c>
      <c r="E852" t="s">
        <v>885</v>
      </c>
      <c r="F852" t="s">
        <v>37</v>
      </c>
      <c r="G852" t="s">
        <v>45</v>
      </c>
      <c r="H852" t="s">
        <v>34</v>
      </c>
      <c r="I852" t="s">
        <v>29</v>
      </c>
      <c r="J852" t="s">
        <v>43</v>
      </c>
      <c r="K852" s="2">
        <v>4500</v>
      </c>
      <c r="L852" s="2">
        <v>15500</v>
      </c>
      <c r="M852">
        <v>24</v>
      </c>
      <c r="N852" s="3">
        <v>0.215</v>
      </c>
      <c r="O852" t="s">
        <v>17</v>
      </c>
      <c r="P852" t="s">
        <v>31</v>
      </c>
      <c r="Q852">
        <v>0</v>
      </c>
      <c r="R852">
        <v>1</v>
      </c>
      <c r="S852" s="2">
        <v>0</v>
      </c>
      <c r="T852" s="4"/>
      <c r="U852">
        <v>1</v>
      </c>
      <c r="V852">
        <v>1</v>
      </c>
      <c r="W852">
        <v>1</v>
      </c>
    </row>
    <row r="853" spans="1:23" ht="16.5" x14ac:dyDescent="0.3">
      <c r="A853" t="s">
        <v>908</v>
      </c>
      <c r="B853" s="1">
        <v>45417</v>
      </c>
      <c r="C853">
        <v>2024</v>
      </c>
      <c r="D853" t="s">
        <v>688</v>
      </c>
      <c r="E853" t="s">
        <v>885</v>
      </c>
      <c r="F853" t="s">
        <v>37</v>
      </c>
      <c r="G853" t="s">
        <v>33</v>
      </c>
      <c r="H853" t="s">
        <v>34</v>
      </c>
      <c r="I853" t="s">
        <v>39</v>
      </c>
      <c r="J853" t="s">
        <v>52</v>
      </c>
      <c r="K853" s="2">
        <v>3200</v>
      </c>
      <c r="L853" s="2">
        <v>10500</v>
      </c>
      <c r="M853">
        <v>48</v>
      </c>
      <c r="N853" s="3">
        <v>0.28299999999999997</v>
      </c>
      <c r="O853" t="s">
        <v>16</v>
      </c>
      <c r="Q853">
        <v>1</v>
      </c>
      <c r="R853">
        <v>0</v>
      </c>
      <c r="S853" s="2">
        <v>9500</v>
      </c>
      <c r="T853" s="4">
        <v>0.114</v>
      </c>
      <c r="U853">
        <v>1</v>
      </c>
      <c r="V853">
        <v>1</v>
      </c>
      <c r="W853">
        <v>1</v>
      </c>
    </row>
    <row r="854" spans="1:23" ht="16.5" x14ac:dyDescent="0.3">
      <c r="A854" t="s">
        <v>909</v>
      </c>
      <c r="B854" s="1">
        <v>45417</v>
      </c>
      <c r="C854">
        <v>2024</v>
      </c>
      <c r="D854" t="s">
        <v>688</v>
      </c>
      <c r="E854" t="s">
        <v>885</v>
      </c>
      <c r="F854" t="s">
        <v>26</v>
      </c>
      <c r="G854" t="s">
        <v>51</v>
      </c>
      <c r="H854" t="s">
        <v>38</v>
      </c>
      <c r="I854" t="s">
        <v>39</v>
      </c>
      <c r="J854" t="s">
        <v>46</v>
      </c>
      <c r="K854" s="2">
        <v>4300</v>
      </c>
      <c r="L854" s="2">
        <v>25500</v>
      </c>
      <c r="M854">
        <v>60</v>
      </c>
      <c r="N854" s="3">
        <v>0.28699999999999998</v>
      </c>
      <c r="O854" t="s">
        <v>16</v>
      </c>
      <c r="Q854">
        <v>1</v>
      </c>
      <c r="R854">
        <v>0</v>
      </c>
      <c r="S854" s="2">
        <v>25500</v>
      </c>
      <c r="T854" s="4">
        <v>6.7599999999999993E-2</v>
      </c>
      <c r="U854">
        <v>5</v>
      </c>
      <c r="V854">
        <v>0</v>
      </c>
      <c r="W854">
        <v>1</v>
      </c>
    </row>
    <row r="855" spans="1:23" ht="16.5" x14ac:dyDescent="0.3">
      <c r="A855" t="s">
        <v>910</v>
      </c>
      <c r="B855" s="1">
        <v>45418</v>
      </c>
      <c r="C855">
        <v>2024</v>
      </c>
      <c r="D855" t="s">
        <v>688</v>
      </c>
      <c r="E855" t="s">
        <v>885</v>
      </c>
      <c r="F855" t="s">
        <v>41</v>
      </c>
      <c r="G855" t="s">
        <v>51</v>
      </c>
      <c r="H855" t="s">
        <v>28</v>
      </c>
      <c r="I855" t="s">
        <v>29</v>
      </c>
      <c r="J855" t="s">
        <v>35</v>
      </c>
      <c r="K855" s="2">
        <v>8000</v>
      </c>
      <c r="L855" s="2">
        <v>108000</v>
      </c>
      <c r="M855">
        <v>12</v>
      </c>
      <c r="N855" s="3">
        <v>1.3839999999999999</v>
      </c>
      <c r="O855" t="s">
        <v>17</v>
      </c>
      <c r="P855" t="s">
        <v>53</v>
      </c>
      <c r="Q855">
        <v>0</v>
      </c>
      <c r="R855">
        <v>1</v>
      </c>
      <c r="S855" s="2">
        <v>0</v>
      </c>
      <c r="T855" s="4"/>
      <c r="U855">
        <v>10</v>
      </c>
      <c r="V855">
        <v>1</v>
      </c>
      <c r="W855">
        <v>1</v>
      </c>
    </row>
    <row r="856" spans="1:23" ht="16.5" x14ac:dyDescent="0.3">
      <c r="A856" t="s">
        <v>911</v>
      </c>
      <c r="B856" s="1">
        <v>45418</v>
      </c>
      <c r="C856">
        <v>2024</v>
      </c>
      <c r="D856" t="s">
        <v>688</v>
      </c>
      <c r="E856" t="s">
        <v>885</v>
      </c>
      <c r="F856" t="s">
        <v>37</v>
      </c>
      <c r="G856" t="s">
        <v>33</v>
      </c>
      <c r="H856" t="s">
        <v>38</v>
      </c>
      <c r="I856" t="s">
        <v>29</v>
      </c>
      <c r="J856" t="s">
        <v>35</v>
      </c>
      <c r="K856" s="2">
        <v>2050</v>
      </c>
      <c r="L856" s="2">
        <v>12500</v>
      </c>
      <c r="M856">
        <v>36</v>
      </c>
      <c r="N856" s="3">
        <v>0.42099999999999999</v>
      </c>
      <c r="O856" t="s">
        <v>17</v>
      </c>
      <c r="P856" t="s">
        <v>65</v>
      </c>
      <c r="Q856">
        <v>0</v>
      </c>
      <c r="R856">
        <v>1</v>
      </c>
      <c r="S856" s="2">
        <v>0</v>
      </c>
      <c r="T856" s="4"/>
      <c r="U856">
        <v>2</v>
      </c>
      <c r="V856">
        <v>1</v>
      </c>
      <c r="W856">
        <v>1</v>
      </c>
    </row>
    <row r="857" spans="1:23" ht="16.5" x14ac:dyDescent="0.3">
      <c r="A857" t="s">
        <v>912</v>
      </c>
      <c r="B857" s="1">
        <v>45418</v>
      </c>
      <c r="C857">
        <v>2024</v>
      </c>
      <c r="D857" t="s">
        <v>688</v>
      </c>
      <c r="E857" t="s">
        <v>885</v>
      </c>
      <c r="F857" t="s">
        <v>41</v>
      </c>
      <c r="G857" t="s">
        <v>33</v>
      </c>
      <c r="H857" t="s">
        <v>34</v>
      </c>
      <c r="I857" t="s">
        <v>42</v>
      </c>
      <c r="J857" t="s">
        <v>35</v>
      </c>
      <c r="K857" s="2">
        <v>5000</v>
      </c>
      <c r="L857" s="2">
        <v>58500</v>
      </c>
      <c r="M857">
        <v>60</v>
      </c>
      <c r="N857" s="3">
        <v>0.42799999999999999</v>
      </c>
      <c r="O857" t="s">
        <v>16</v>
      </c>
      <c r="Q857">
        <v>1</v>
      </c>
      <c r="R857">
        <v>0</v>
      </c>
      <c r="S857" s="2">
        <v>58500</v>
      </c>
      <c r="T857" s="4">
        <v>0.11020000000000001</v>
      </c>
      <c r="U857">
        <v>5</v>
      </c>
      <c r="V857">
        <v>1</v>
      </c>
      <c r="W857">
        <v>1</v>
      </c>
    </row>
    <row r="858" spans="1:23" ht="16.5" x14ac:dyDescent="0.3">
      <c r="A858" t="s">
        <v>913</v>
      </c>
      <c r="B858" s="1">
        <v>45418</v>
      </c>
      <c r="C858">
        <v>2024</v>
      </c>
      <c r="D858" t="s">
        <v>688</v>
      </c>
      <c r="E858" t="s">
        <v>885</v>
      </c>
      <c r="F858" t="s">
        <v>26</v>
      </c>
      <c r="G858" t="s">
        <v>33</v>
      </c>
      <c r="H858" t="s">
        <v>38</v>
      </c>
      <c r="I858" t="s">
        <v>39</v>
      </c>
      <c r="J858" t="s">
        <v>46</v>
      </c>
      <c r="K858" s="2">
        <v>6200</v>
      </c>
      <c r="L858" s="2">
        <v>26500</v>
      </c>
      <c r="M858">
        <v>60</v>
      </c>
      <c r="N858" s="3">
        <v>0.23699999999999999</v>
      </c>
      <c r="O858" t="s">
        <v>16</v>
      </c>
      <c r="Q858">
        <v>1</v>
      </c>
      <c r="R858">
        <v>0</v>
      </c>
      <c r="S858" s="2">
        <v>26500</v>
      </c>
      <c r="T858" s="4">
        <v>7.0499999999999993E-2</v>
      </c>
      <c r="U858">
        <v>4</v>
      </c>
      <c r="V858">
        <v>1</v>
      </c>
      <c r="W858">
        <v>1</v>
      </c>
    </row>
    <row r="859" spans="1:23" ht="16.5" x14ac:dyDescent="0.3">
      <c r="A859" t="s">
        <v>914</v>
      </c>
      <c r="B859" s="1">
        <v>45418</v>
      </c>
      <c r="C859">
        <v>2024</v>
      </c>
      <c r="D859" t="s">
        <v>688</v>
      </c>
      <c r="E859" t="s">
        <v>885</v>
      </c>
      <c r="F859" t="s">
        <v>26</v>
      </c>
      <c r="G859" t="s">
        <v>51</v>
      </c>
      <c r="H859" t="s">
        <v>55</v>
      </c>
      <c r="I859" t="s">
        <v>39</v>
      </c>
      <c r="J859" t="s">
        <v>52</v>
      </c>
      <c r="K859" s="2">
        <v>9150</v>
      </c>
      <c r="L859" s="2">
        <v>20500</v>
      </c>
      <c r="M859">
        <v>60</v>
      </c>
      <c r="N859" s="3">
        <v>0.17699999999999999</v>
      </c>
      <c r="O859" t="s">
        <v>16</v>
      </c>
      <c r="Q859">
        <v>1</v>
      </c>
      <c r="R859">
        <v>0</v>
      </c>
      <c r="S859" s="2">
        <v>16500</v>
      </c>
      <c r="T859" s="4">
        <v>7.0599999999999996E-2</v>
      </c>
      <c r="U859">
        <v>13</v>
      </c>
      <c r="V859">
        <v>0</v>
      </c>
      <c r="W859">
        <v>1</v>
      </c>
    </row>
    <row r="860" spans="1:23" ht="16.5" x14ac:dyDescent="0.3">
      <c r="A860" t="s">
        <v>915</v>
      </c>
      <c r="B860" s="1">
        <v>45418</v>
      </c>
      <c r="C860">
        <v>2024</v>
      </c>
      <c r="D860" t="s">
        <v>688</v>
      </c>
      <c r="E860" t="s">
        <v>885</v>
      </c>
      <c r="F860" t="s">
        <v>26</v>
      </c>
      <c r="G860" t="s">
        <v>33</v>
      </c>
      <c r="H860" t="s">
        <v>38</v>
      </c>
      <c r="I860" t="s">
        <v>42</v>
      </c>
      <c r="J860" t="s">
        <v>52</v>
      </c>
      <c r="K860" s="2">
        <v>7350</v>
      </c>
      <c r="L860" s="2">
        <v>32000</v>
      </c>
      <c r="M860">
        <v>60</v>
      </c>
      <c r="N860" s="3">
        <v>0.28100000000000003</v>
      </c>
      <c r="O860" t="s">
        <v>16</v>
      </c>
      <c r="Q860">
        <v>1</v>
      </c>
      <c r="R860">
        <v>0</v>
      </c>
      <c r="S860" s="2">
        <v>32000</v>
      </c>
      <c r="T860" s="4">
        <v>7.2499999999999995E-2</v>
      </c>
      <c r="U860">
        <v>3</v>
      </c>
      <c r="V860">
        <v>1</v>
      </c>
      <c r="W860">
        <v>1</v>
      </c>
    </row>
    <row r="861" spans="1:23" ht="16.5" x14ac:dyDescent="0.3">
      <c r="A861" t="s">
        <v>916</v>
      </c>
      <c r="B861" s="1">
        <v>45418</v>
      </c>
      <c r="C861">
        <v>2024</v>
      </c>
      <c r="D861" t="s">
        <v>688</v>
      </c>
      <c r="E861" t="s">
        <v>885</v>
      </c>
      <c r="F861" t="s">
        <v>37</v>
      </c>
      <c r="G861" t="s">
        <v>27</v>
      </c>
      <c r="H861" t="s">
        <v>55</v>
      </c>
      <c r="I861" t="s">
        <v>29</v>
      </c>
      <c r="J861" t="s">
        <v>46</v>
      </c>
      <c r="K861" s="2">
        <v>10000</v>
      </c>
      <c r="L861" s="2">
        <v>15000</v>
      </c>
      <c r="M861">
        <v>60</v>
      </c>
      <c r="N861" s="3">
        <v>9.2999999999999999E-2</v>
      </c>
      <c r="O861" t="s">
        <v>16</v>
      </c>
      <c r="Q861">
        <v>1</v>
      </c>
      <c r="R861">
        <v>0</v>
      </c>
      <c r="S861" s="2">
        <v>15000</v>
      </c>
      <c r="T861" s="4">
        <v>0.1082</v>
      </c>
      <c r="U861">
        <v>5</v>
      </c>
      <c r="V861">
        <v>0</v>
      </c>
      <c r="W861">
        <v>1</v>
      </c>
    </row>
    <row r="862" spans="1:23" ht="16.5" x14ac:dyDescent="0.3">
      <c r="A862" t="s">
        <v>917</v>
      </c>
      <c r="B862" s="1">
        <v>45418</v>
      </c>
      <c r="C862">
        <v>2024</v>
      </c>
      <c r="D862" t="s">
        <v>688</v>
      </c>
      <c r="E862" t="s">
        <v>885</v>
      </c>
      <c r="F862" t="s">
        <v>50</v>
      </c>
      <c r="G862" t="s">
        <v>45</v>
      </c>
      <c r="H862" t="s">
        <v>64</v>
      </c>
      <c r="I862" t="s">
        <v>29</v>
      </c>
      <c r="J862" t="s">
        <v>52</v>
      </c>
      <c r="K862" s="2">
        <v>5050</v>
      </c>
      <c r="L862" s="2">
        <v>258500</v>
      </c>
      <c r="M862">
        <v>240</v>
      </c>
      <c r="N862" s="3">
        <v>0.51100000000000001</v>
      </c>
      <c r="O862" t="s">
        <v>16</v>
      </c>
      <c r="Q862">
        <v>1</v>
      </c>
      <c r="R862">
        <v>0</v>
      </c>
      <c r="S862" s="2">
        <v>232500</v>
      </c>
      <c r="T862" s="4">
        <v>4.9299999999999997E-2</v>
      </c>
      <c r="U862">
        <v>12</v>
      </c>
      <c r="V862">
        <v>1</v>
      </c>
      <c r="W862">
        <v>1</v>
      </c>
    </row>
    <row r="863" spans="1:23" ht="16.5" x14ac:dyDescent="0.3">
      <c r="A863" t="s">
        <v>918</v>
      </c>
      <c r="B863" s="1">
        <v>45419</v>
      </c>
      <c r="C863">
        <v>2024</v>
      </c>
      <c r="D863" t="s">
        <v>688</v>
      </c>
      <c r="E863" t="s">
        <v>885</v>
      </c>
      <c r="F863" t="s">
        <v>26</v>
      </c>
      <c r="G863" t="s">
        <v>45</v>
      </c>
      <c r="H863" t="s">
        <v>28</v>
      </c>
      <c r="I863" t="s">
        <v>29</v>
      </c>
      <c r="J863" t="s">
        <v>52</v>
      </c>
      <c r="K863" s="2">
        <v>3250</v>
      </c>
      <c r="L863" s="2">
        <v>36000</v>
      </c>
      <c r="M863">
        <v>36</v>
      </c>
      <c r="N863" s="3">
        <v>0.56100000000000005</v>
      </c>
      <c r="O863" t="s">
        <v>16</v>
      </c>
      <c r="Q863">
        <v>1</v>
      </c>
      <c r="R863">
        <v>0</v>
      </c>
      <c r="S863" s="2">
        <v>36000</v>
      </c>
      <c r="T863" s="4">
        <v>6.8900000000000003E-2</v>
      </c>
      <c r="U863">
        <v>3</v>
      </c>
      <c r="V863">
        <v>1</v>
      </c>
      <c r="W863">
        <v>1</v>
      </c>
    </row>
    <row r="864" spans="1:23" ht="16.5" x14ac:dyDescent="0.3">
      <c r="A864" t="s">
        <v>919</v>
      </c>
      <c r="B864" s="1">
        <v>45419</v>
      </c>
      <c r="C864">
        <v>2024</v>
      </c>
      <c r="D864" t="s">
        <v>688</v>
      </c>
      <c r="E864" t="s">
        <v>885</v>
      </c>
      <c r="F864" t="s">
        <v>26</v>
      </c>
      <c r="G864" t="s">
        <v>33</v>
      </c>
      <c r="H864" t="s">
        <v>55</v>
      </c>
      <c r="I864" t="s">
        <v>29</v>
      </c>
      <c r="J864" t="s">
        <v>30</v>
      </c>
      <c r="K864" s="2">
        <v>4500</v>
      </c>
      <c r="L864" s="2">
        <v>25500</v>
      </c>
      <c r="M864">
        <v>36</v>
      </c>
      <c r="N864" s="3">
        <v>0.25600000000000001</v>
      </c>
      <c r="O864" t="s">
        <v>17</v>
      </c>
      <c r="P864" t="s">
        <v>60</v>
      </c>
      <c r="Q864">
        <v>0</v>
      </c>
      <c r="R864">
        <v>1</v>
      </c>
      <c r="S864" s="2">
        <v>0</v>
      </c>
      <c r="T864" s="4"/>
      <c r="U864">
        <v>7</v>
      </c>
      <c r="V864">
        <v>0</v>
      </c>
      <c r="W864">
        <v>1</v>
      </c>
    </row>
    <row r="865" spans="1:23" ht="16.5" x14ac:dyDescent="0.3">
      <c r="A865" t="s">
        <v>920</v>
      </c>
      <c r="B865" s="1">
        <v>45419</v>
      </c>
      <c r="C865">
        <v>2024</v>
      </c>
      <c r="D865" t="s">
        <v>688</v>
      </c>
      <c r="E865" t="s">
        <v>885</v>
      </c>
      <c r="F865" t="s">
        <v>37</v>
      </c>
      <c r="G865" t="s">
        <v>33</v>
      </c>
      <c r="H865" t="s">
        <v>55</v>
      </c>
      <c r="I865" t="s">
        <v>39</v>
      </c>
      <c r="J865" t="s">
        <v>43</v>
      </c>
      <c r="K865" s="2">
        <v>3800</v>
      </c>
      <c r="L865" s="2">
        <v>20000</v>
      </c>
      <c r="M865">
        <v>60</v>
      </c>
      <c r="N865" s="3">
        <v>0.22500000000000001</v>
      </c>
      <c r="O865" t="s">
        <v>17</v>
      </c>
      <c r="P865" t="s">
        <v>31</v>
      </c>
      <c r="Q865">
        <v>0</v>
      </c>
      <c r="R865">
        <v>1</v>
      </c>
      <c r="S865" s="2">
        <v>0</v>
      </c>
      <c r="T865" s="4"/>
      <c r="U865">
        <v>2</v>
      </c>
      <c r="V865">
        <v>1</v>
      </c>
      <c r="W865">
        <v>1</v>
      </c>
    </row>
    <row r="866" spans="1:23" ht="16.5" x14ac:dyDescent="0.3">
      <c r="A866" t="s">
        <v>921</v>
      </c>
      <c r="B866" s="1">
        <v>45419</v>
      </c>
      <c r="C866">
        <v>2024</v>
      </c>
      <c r="D866" t="s">
        <v>688</v>
      </c>
      <c r="E866" t="s">
        <v>885</v>
      </c>
      <c r="F866" t="s">
        <v>41</v>
      </c>
      <c r="G866" t="s">
        <v>51</v>
      </c>
      <c r="H866" t="s">
        <v>55</v>
      </c>
      <c r="I866" t="s">
        <v>29</v>
      </c>
      <c r="J866" t="s">
        <v>30</v>
      </c>
      <c r="K866" s="2">
        <v>5200</v>
      </c>
      <c r="L866" s="2">
        <v>58000</v>
      </c>
      <c r="M866">
        <v>60</v>
      </c>
      <c r="N866" s="3">
        <v>0.48299999999999998</v>
      </c>
      <c r="O866" t="s">
        <v>17</v>
      </c>
      <c r="P866" t="s">
        <v>31</v>
      </c>
      <c r="Q866">
        <v>0</v>
      </c>
      <c r="R866">
        <v>1</v>
      </c>
      <c r="S866" s="2">
        <v>0</v>
      </c>
      <c r="T866" s="4"/>
      <c r="U866">
        <v>9</v>
      </c>
      <c r="V866">
        <v>1</v>
      </c>
      <c r="W866">
        <v>1</v>
      </c>
    </row>
    <row r="867" spans="1:23" ht="16.5" x14ac:dyDescent="0.3">
      <c r="A867" t="s">
        <v>922</v>
      </c>
      <c r="B867" s="1">
        <v>45419</v>
      </c>
      <c r="C867">
        <v>2024</v>
      </c>
      <c r="D867" t="s">
        <v>688</v>
      </c>
      <c r="E867" t="s">
        <v>885</v>
      </c>
      <c r="F867" t="s">
        <v>41</v>
      </c>
      <c r="G867" t="s">
        <v>27</v>
      </c>
      <c r="H867" t="s">
        <v>64</v>
      </c>
      <c r="I867" t="s">
        <v>29</v>
      </c>
      <c r="J867" t="s">
        <v>43</v>
      </c>
      <c r="K867" s="2">
        <v>4300</v>
      </c>
      <c r="L867" s="2">
        <v>113500</v>
      </c>
      <c r="M867">
        <v>24</v>
      </c>
      <c r="N867" s="3">
        <v>1.27</v>
      </c>
      <c r="O867" t="s">
        <v>17</v>
      </c>
      <c r="P867" t="s">
        <v>31</v>
      </c>
      <c r="Q867">
        <v>0</v>
      </c>
      <c r="R867">
        <v>1</v>
      </c>
      <c r="S867" s="2">
        <v>0</v>
      </c>
      <c r="T867" s="4"/>
      <c r="U867">
        <v>19</v>
      </c>
      <c r="V867">
        <v>0</v>
      </c>
      <c r="W867">
        <v>1</v>
      </c>
    </row>
    <row r="868" spans="1:23" ht="16.5" x14ac:dyDescent="0.3">
      <c r="A868" t="s">
        <v>923</v>
      </c>
      <c r="B868" s="1">
        <v>45419</v>
      </c>
      <c r="C868">
        <v>2024</v>
      </c>
      <c r="D868" t="s">
        <v>688</v>
      </c>
      <c r="E868" t="s">
        <v>885</v>
      </c>
      <c r="F868" t="s">
        <v>37</v>
      </c>
      <c r="G868" t="s">
        <v>33</v>
      </c>
      <c r="H868" t="s">
        <v>38</v>
      </c>
      <c r="I868" t="s">
        <v>42</v>
      </c>
      <c r="J868" t="s">
        <v>43</v>
      </c>
      <c r="K868" s="2">
        <v>3900</v>
      </c>
      <c r="L868" s="2">
        <v>17000</v>
      </c>
      <c r="M868">
        <v>36</v>
      </c>
      <c r="N868" s="3">
        <v>0.32900000000000001</v>
      </c>
      <c r="O868" t="s">
        <v>17</v>
      </c>
      <c r="P868" t="s">
        <v>31</v>
      </c>
      <c r="Q868">
        <v>0</v>
      </c>
      <c r="R868">
        <v>1</v>
      </c>
      <c r="S868" s="2">
        <v>0</v>
      </c>
      <c r="T868" s="4"/>
      <c r="U868">
        <v>2</v>
      </c>
      <c r="V868">
        <v>1</v>
      </c>
      <c r="W868">
        <v>1</v>
      </c>
    </row>
    <row r="869" spans="1:23" ht="16.5" x14ac:dyDescent="0.3">
      <c r="A869" t="s">
        <v>924</v>
      </c>
      <c r="B869" s="1">
        <v>45419</v>
      </c>
      <c r="C869">
        <v>2024</v>
      </c>
      <c r="D869" t="s">
        <v>688</v>
      </c>
      <c r="E869" t="s">
        <v>885</v>
      </c>
      <c r="F869" t="s">
        <v>26</v>
      </c>
      <c r="G869" t="s">
        <v>51</v>
      </c>
      <c r="H869" t="s">
        <v>34</v>
      </c>
      <c r="I869" t="s">
        <v>39</v>
      </c>
      <c r="J869" t="s">
        <v>35</v>
      </c>
      <c r="K869" s="2">
        <v>3400</v>
      </c>
      <c r="L869" s="2">
        <v>24000</v>
      </c>
      <c r="M869">
        <v>36</v>
      </c>
      <c r="N869" s="3">
        <v>0.38</v>
      </c>
      <c r="O869" t="s">
        <v>16</v>
      </c>
      <c r="Q869">
        <v>1</v>
      </c>
      <c r="R869">
        <v>0</v>
      </c>
      <c r="S869" s="2">
        <v>24000</v>
      </c>
      <c r="T869" s="4">
        <v>8.1199999999999994E-2</v>
      </c>
      <c r="U869">
        <v>7</v>
      </c>
      <c r="V869">
        <v>0</v>
      </c>
      <c r="W869">
        <v>1</v>
      </c>
    </row>
    <row r="870" spans="1:23" ht="16.5" x14ac:dyDescent="0.3">
      <c r="A870" t="s">
        <v>925</v>
      </c>
      <c r="B870" s="1">
        <v>45419</v>
      </c>
      <c r="C870">
        <v>2024</v>
      </c>
      <c r="D870" t="s">
        <v>688</v>
      </c>
      <c r="E870" t="s">
        <v>885</v>
      </c>
      <c r="F870" t="s">
        <v>37</v>
      </c>
      <c r="G870" t="s">
        <v>27</v>
      </c>
      <c r="H870" t="s">
        <v>55</v>
      </c>
      <c r="I870" t="s">
        <v>39</v>
      </c>
      <c r="J870" t="s">
        <v>30</v>
      </c>
      <c r="K870" s="2">
        <v>4400</v>
      </c>
      <c r="L870" s="2">
        <v>17500</v>
      </c>
      <c r="M870">
        <v>60</v>
      </c>
      <c r="N870" s="3">
        <v>0.311</v>
      </c>
      <c r="O870" t="s">
        <v>17</v>
      </c>
      <c r="P870" t="s">
        <v>31</v>
      </c>
      <c r="Q870">
        <v>0</v>
      </c>
      <c r="R870">
        <v>1</v>
      </c>
      <c r="S870" s="2">
        <v>0</v>
      </c>
      <c r="T870" s="4"/>
      <c r="U870">
        <v>2</v>
      </c>
      <c r="V870">
        <v>1</v>
      </c>
      <c r="W870">
        <v>1</v>
      </c>
    </row>
    <row r="871" spans="1:23" ht="16.5" x14ac:dyDescent="0.3">
      <c r="A871" t="s">
        <v>926</v>
      </c>
      <c r="B871" s="1">
        <v>45419</v>
      </c>
      <c r="C871">
        <v>2024</v>
      </c>
      <c r="D871" t="s">
        <v>688</v>
      </c>
      <c r="E871" t="s">
        <v>885</v>
      </c>
      <c r="F871" t="s">
        <v>37</v>
      </c>
      <c r="G871" t="s">
        <v>33</v>
      </c>
      <c r="H871" t="s">
        <v>55</v>
      </c>
      <c r="I871" t="s">
        <v>39</v>
      </c>
      <c r="J871" t="s">
        <v>43</v>
      </c>
      <c r="K871" s="2">
        <v>4400</v>
      </c>
      <c r="L871" s="2">
        <v>14500</v>
      </c>
      <c r="M871">
        <v>12</v>
      </c>
      <c r="N871" s="3">
        <v>0.39900000000000002</v>
      </c>
      <c r="O871" t="s">
        <v>17</v>
      </c>
      <c r="P871" t="s">
        <v>31</v>
      </c>
      <c r="Q871">
        <v>0</v>
      </c>
      <c r="R871">
        <v>1</v>
      </c>
      <c r="S871" s="2">
        <v>0</v>
      </c>
      <c r="T871" s="4"/>
      <c r="U871">
        <v>2</v>
      </c>
      <c r="V871">
        <v>1</v>
      </c>
      <c r="W871">
        <v>1</v>
      </c>
    </row>
    <row r="872" spans="1:23" ht="16.5" x14ac:dyDescent="0.3">
      <c r="A872" t="s">
        <v>927</v>
      </c>
      <c r="B872" s="1">
        <v>45419</v>
      </c>
      <c r="C872">
        <v>2024</v>
      </c>
      <c r="D872" t="s">
        <v>688</v>
      </c>
      <c r="E872" t="s">
        <v>885</v>
      </c>
      <c r="F872" t="s">
        <v>50</v>
      </c>
      <c r="G872" t="s">
        <v>51</v>
      </c>
      <c r="H872" t="s">
        <v>38</v>
      </c>
      <c r="I872" t="s">
        <v>29</v>
      </c>
      <c r="J872" t="s">
        <v>46</v>
      </c>
      <c r="K872" s="2">
        <v>9800</v>
      </c>
      <c r="L872" s="2">
        <v>374000</v>
      </c>
      <c r="M872">
        <v>180</v>
      </c>
      <c r="N872" s="3">
        <v>0.44600000000000001</v>
      </c>
      <c r="O872" t="s">
        <v>16</v>
      </c>
      <c r="Q872">
        <v>1</v>
      </c>
      <c r="R872">
        <v>0</v>
      </c>
      <c r="S872" s="2">
        <v>374000</v>
      </c>
      <c r="T872" s="4">
        <v>4.3499999999999997E-2</v>
      </c>
      <c r="U872">
        <v>39</v>
      </c>
      <c r="V872">
        <v>0</v>
      </c>
      <c r="W872">
        <v>1</v>
      </c>
    </row>
    <row r="873" spans="1:23" ht="16.5" x14ac:dyDescent="0.3">
      <c r="A873" t="s">
        <v>928</v>
      </c>
      <c r="B873" s="1">
        <v>45420</v>
      </c>
      <c r="C873">
        <v>2024</v>
      </c>
      <c r="D873" t="s">
        <v>688</v>
      </c>
      <c r="E873" t="s">
        <v>885</v>
      </c>
      <c r="F873" t="s">
        <v>37</v>
      </c>
      <c r="G873" t="s">
        <v>45</v>
      </c>
      <c r="H873" t="s">
        <v>38</v>
      </c>
      <c r="I873" t="s">
        <v>29</v>
      </c>
      <c r="J873" t="s">
        <v>30</v>
      </c>
      <c r="K873" s="2">
        <v>2900</v>
      </c>
      <c r="L873" s="2">
        <v>13500</v>
      </c>
      <c r="M873">
        <v>60</v>
      </c>
      <c r="N873" s="3">
        <v>0.23899999999999999</v>
      </c>
      <c r="O873" t="s">
        <v>17</v>
      </c>
      <c r="P873" t="s">
        <v>31</v>
      </c>
      <c r="Q873">
        <v>0</v>
      </c>
      <c r="R873">
        <v>1</v>
      </c>
      <c r="S873" s="2">
        <v>0</v>
      </c>
      <c r="T873" s="4"/>
      <c r="U873">
        <v>2</v>
      </c>
      <c r="V873">
        <v>1</v>
      </c>
      <c r="W873">
        <v>1</v>
      </c>
    </row>
    <row r="874" spans="1:23" ht="16.5" x14ac:dyDescent="0.3">
      <c r="A874" t="s">
        <v>929</v>
      </c>
      <c r="B874" s="1">
        <v>45420</v>
      </c>
      <c r="C874">
        <v>2024</v>
      </c>
      <c r="D874" t="s">
        <v>688</v>
      </c>
      <c r="E874" t="s">
        <v>885</v>
      </c>
      <c r="F874" t="s">
        <v>50</v>
      </c>
      <c r="G874" t="s">
        <v>33</v>
      </c>
      <c r="H874" t="s">
        <v>34</v>
      </c>
      <c r="I874" t="s">
        <v>42</v>
      </c>
      <c r="J874" t="s">
        <v>46</v>
      </c>
      <c r="K874" s="2">
        <v>5650</v>
      </c>
      <c r="L874" s="2">
        <v>147500</v>
      </c>
      <c r="M874">
        <v>240</v>
      </c>
      <c r="N874" s="3">
        <v>0.34</v>
      </c>
      <c r="O874" t="s">
        <v>16</v>
      </c>
      <c r="Q874">
        <v>1</v>
      </c>
      <c r="R874">
        <v>0</v>
      </c>
      <c r="S874" s="2">
        <v>147500</v>
      </c>
      <c r="T874" s="4">
        <v>4.1000000000000002E-2</v>
      </c>
      <c r="U874">
        <v>4</v>
      </c>
      <c r="V874">
        <v>1</v>
      </c>
      <c r="W874">
        <v>1</v>
      </c>
    </row>
    <row r="875" spans="1:23" ht="16.5" x14ac:dyDescent="0.3">
      <c r="A875" t="s">
        <v>930</v>
      </c>
      <c r="B875" s="1">
        <v>45420</v>
      </c>
      <c r="C875">
        <v>2024</v>
      </c>
      <c r="D875" t="s">
        <v>688</v>
      </c>
      <c r="E875" t="s">
        <v>885</v>
      </c>
      <c r="F875" t="s">
        <v>37</v>
      </c>
      <c r="G875" t="s">
        <v>51</v>
      </c>
      <c r="H875" t="s">
        <v>55</v>
      </c>
      <c r="I875" t="s">
        <v>29</v>
      </c>
      <c r="J875" t="s">
        <v>30</v>
      </c>
      <c r="K875" s="2">
        <v>5400</v>
      </c>
      <c r="L875" s="2">
        <v>10500</v>
      </c>
      <c r="M875">
        <v>24</v>
      </c>
      <c r="N875" s="3">
        <v>0.20799999999999999</v>
      </c>
      <c r="O875" t="s">
        <v>16</v>
      </c>
      <c r="Q875">
        <v>1</v>
      </c>
      <c r="R875">
        <v>0</v>
      </c>
      <c r="S875" s="2">
        <v>10500</v>
      </c>
      <c r="T875" s="4">
        <v>0.1363</v>
      </c>
      <c r="U875">
        <v>8</v>
      </c>
      <c r="V875">
        <v>0</v>
      </c>
      <c r="W875">
        <v>1</v>
      </c>
    </row>
    <row r="876" spans="1:23" ht="16.5" x14ac:dyDescent="0.3">
      <c r="A876" t="s">
        <v>931</v>
      </c>
      <c r="B876" s="1">
        <v>45420</v>
      </c>
      <c r="C876">
        <v>2024</v>
      </c>
      <c r="D876" t="s">
        <v>688</v>
      </c>
      <c r="E876" t="s">
        <v>885</v>
      </c>
      <c r="F876" t="s">
        <v>50</v>
      </c>
      <c r="G876" t="s">
        <v>33</v>
      </c>
      <c r="H876" t="s">
        <v>64</v>
      </c>
      <c r="I876" t="s">
        <v>29</v>
      </c>
      <c r="J876" t="s">
        <v>43</v>
      </c>
      <c r="K876" s="2">
        <v>8850</v>
      </c>
      <c r="L876" s="2">
        <v>273500</v>
      </c>
      <c r="M876">
        <v>300</v>
      </c>
      <c r="N876" s="3">
        <v>0.36399999999999999</v>
      </c>
      <c r="O876" t="s">
        <v>16</v>
      </c>
      <c r="Q876">
        <v>1</v>
      </c>
      <c r="R876">
        <v>0</v>
      </c>
      <c r="S876" s="2">
        <v>246000</v>
      </c>
      <c r="T876" s="4">
        <v>9.4E-2</v>
      </c>
      <c r="U876">
        <v>6</v>
      </c>
      <c r="V876">
        <v>1</v>
      </c>
      <c r="W876">
        <v>1</v>
      </c>
    </row>
    <row r="877" spans="1:23" ht="16.5" x14ac:dyDescent="0.3">
      <c r="A877" t="s">
        <v>932</v>
      </c>
      <c r="B877" s="1">
        <v>45420</v>
      </c>
      <c r="C877">
        <v>2024</v>
      </c>
      <c r="D877" t="s">
        <v>688</v>
      </c>
      <c r="E877" t="s">
        <v>885</v>
      </c>
      <c r="F877" t="s">
        <v>26</v>
      </c>
      <c r="G877" t="s">
        <v>51</v>
      </c>
      <c r="H877" t="s">
        <v>38</v>
      </c>
      <c r="I877" t="s">
        <v>29</v>
      </c>
      <c r="J877" t="s">
        <v>35</v>
      </c>
      <c r="K877" s="2">
        <v>5300</v>
      </c>
      <c r="L877" s="2">
        <v>36500</v>
      </c>
      <c r="M877">
        <v>48</v>
      </c>
      <c r="N877" s="3">
        <v>0.36699999999999999</v>
      </c>
      <c r="O877" t="s">
        <v>16</v>
      </c>
      <c r="Q877">
        <v>1</v>
      </c>
      <c r="R877">
        <v>0</v>
      </c>
      <c r="S877" s="2">
        <v>36500</v>
      </c>
      <c r="T877" s="4">
        <v>7.9799999999999996E-2</v>
      </c>
      <c r="U877">
        <v>6</v>
      </c>
      <c r="V877">
        <v>0</v>
      </c>
      <c r="W877">
        <v>1</v>
      </c>
    </row>
    <row r="878" spans="1:23" ht="16.5" x14ac:dyDescent="0.3">
      <c r="A878" t="s">
        <v>933</v>
      </c>
      <c r="B878" s="1">
        <v>45420</v>
      </c>
      <c r="C878">
        <v>2024</v>
      </c>
      <c r="D878" t="s">
        <v>688</v>
      </c>
      <c r="E878" t="s">
        <v>885</v>
      </c>
      <c r="F878" t="s">
        <v>37</v>
      </c>
      <c r="G878" t="s">
        <v>51</v>
      </c>
      <c r="H878" t="s">
        <v>34</v>
      </c>
      <c r="I878" t="s">
        <v>39</v>
      </c>
      <c r="J878" t="s">
        <v>35</v>
      </c>
      <c r="K878" s="2">
        <v>4500</v>
      </c>
      <c r="L878" s="2">
        <v>25500</v>
      </c>
      <c r="M878">
        <v>24</v>
      </c>
      <c r="N878" s="3">
        <v>0.499</v>
      </c>
      <c r="O878" t="s">
        <v>16</v>
      </c>
      <c r="Q878">
        <v>1</v>
      </c>
      <c r="R878">
        <v>0</v>
      </c>
      <c r="S878" s="2">
        <v>25500</v>
      </c>
      <c r="T878" s="4">
        <v>0.12139999999999999</v>
      </c>
      <c r="U878">
        <v>7</v>
      </c>
      <c r="V878">
        <v>0</v>
      </c>
      <c r="W878">
        <v>1</v>
      </c>
    </row>
    <row r="879" spans="1:23" ht="16.5" x14ac:dyDescent="0.3">
      <c r="A879" t="s">
        <v>934</v>
      </c>
      <c r="B879" s="1">
        <v>45420</v>
      </c>
      <c r="C879">
        <v>2024</v>
      </c>
      <c r="D879" t="s">
        <v>688</v>
      </c>
      <c r="E879" t="s">
        <v>885</v>
      </c>
      <c r="F879" t="s">
        <v>41</v>
      </c>
      <c r="G879" t="s">
        <v>27</v>
      </c>
      <c r="H879" t="s">
        <v>38</v>
      </c>
      <c r="I879" t="s">
        <v>42</v>
      </c>
      <c r="J879" t="s">
        <v>43</v>
      </c>
      <c r="K879" s="2">
        <v>6350</v>
      </c>
      <c r="L879" s="2">
        <v>97000</v>
      </c>
      <c r="M879">
        <v>24</v>
      </c>
      <c r="N879" s="3">
        <v>0.80300000000000005</v>
      </c>
      <c r="O879" t="s">
        <v>17</v>
      </c>
      <c r="P879" t="s">
        <v>31</v>
      </c>
      <c r="Q879">
        <v>0</v>
      </c>
      <c r="R879">
        <v>1</v>
      </c>
      <c r="S879" s="2">
        <v>0</v>
      </c>
      <c r="T879" s="4"/>
      <c r="U879">
        <v>7</v>
      </c>
      <c r="V879">
        <v>1</v>
      </c>
      <c r="W879">
        <v>1</v>
      </c>
    </row>
    <row r="880" spans="1:23" ht="16.5" x14ac:dyDescent="0.3">
      <c r="A880" t="s">
        <v>935</v>
      </c>
      <c r="B880" s="1">
        <v>45420</v>
      </c>
      <c r="C880">
        <v>2024</v>
      </c>
      <c r="D880" t="s">
        <v>688</v>
      </c>
      <c r="E880" t="s">
        <v>885</v>
      </c>
      <c r="F880" t="s">
        <v>37</v>
      </c>
      <c r="G880" t="s">
        <v>27</v>
      </c>
      <c r="H880" t="s">
        <v>34</v>
      </c>
      <c r="I880" t="s">
        <v>39</v>
      </c>
      <c r="J880" t="s">
        <v>52</v>
      </c>
      <c r="K880" s="2">
        <v>4450</v>
      </c>
      <c r="L880" s="2">
        <v>11000</v>
      </c>
      <c r="M880">
        <v>48</v>
      </c>
      <c r="N880" s="3">
        <v>0.27600000000000002</v>
      </c>
      <c r="O880" t="s">
        <v>16</v>
      </c>
      <c r="Q880">
        <v>1</v>
      </c>
      <c r="R880">
        <v>0</v>
      </c>
      <c r="S880" s="2">
        <v>11000</v>
      </c>
      <c r="T880" s="4">
        <v>0.1186</v>
      </c>
      <c r="U880">
        <v>4</v>
      </c>
      <c r="V880">
        <v>0</v>
      </c>
      <c r="W880">
        <v>1</v>
      </c>
    </row>
    <row r="881" spans="1:23" ht="16.5" x14ac:dyDescent="0.3">
      <c r="A881" t="s">
        <v>936</v>
      </c>
      <c r="B881" s="1">
        <v>45421</v>
      </c>
      <c r="C881">
        <v>2024</v>
      </c>
      <c r="D881" t="s">
        <v>688</v>
      </c>
      <c r="E881" t="s">
        <v>885</v>
      </c>
      <c r="F881" t="s">
        <v>50</v>
      </c>
      <c r="G881" t="s">
        <v>45</v>
      </c>
      <c r="H881" t="s">
        <v>64</v>
      </c>
      <c r="I881" t="s">
        <v>42</v>
      </c>
      <c r="J881" t="s">
        <v>30</v>
      </c>
      <c r="K881" s="2">
        <v>3550</v>
      </c>
      <c r="L881" s="2">
        <v>458500</v>
      </c>
      <c r="M881">
        <v>240</v>
      </c>
      <c r="N881" s="3">
        <v>0.98799999999999999</v>
      </c>
      <c r="O881" t="s">
        <v>17</v>
      </c>
      <c r="P881" t="s">
        <v>53</v>
      </c>
      <c r="Q881">
        <v>0</v>
      </c>
      <c r="R881">
        <v>1</v>
      </c>
      <c r="S881" s="2">
        <v>0</v>
      </c>
      <c r="T881" s="4"/>
      <c r="U881">
        <v>5</v>
      </c>
      <c r="V881">
        <v>1</v>
      </c>
      <c r="W881">
        <v>1</v>
      </c>
    </row>
    <row r="882" spans="1:23" ht="16.5" x14ac:dyDescent="0.3">
      <c r="A882" t="s">
        <v>937</v>
      </c>
      <c r="B882" s="1">
        <v>45421</v>
      </c>
      <c r="C882">
        <v>2024</v>
      </c>
      <c r="D882" t="s">
        <v>688</v>
      </c>
      <c r="E882" t="s">
        <v>885</v>
      </c>
      <c r="F882" t="s">
        <v>37</v>
      </c>
      <c r="G882" t="s">
        <v>51</v>
      </c>
      <c r="H882" t="s">
        <v>55</v>
      </c>
      <c r="I882" t="s">
        <v>29</v>
      </c>
      <c r="J882" t="s">
        <v>46</v>
      </c>
      <c r="K882" s="2">
        <v>7100</v>
      </c>
      <c r="L882" s="2">
        <v>18500</v>
      </c>
      <c r="M882">
        <v>24</v>
      </c>
      <c r="N882" s="3">
        <v>0.27300000000000002</v>
      </c>
      <c r="O882" t="s">
        <v>16</v>
      </c>
      <c r="Q882">
        <v>1</v>
      </c>
      <c r="R882">
        <v>0</v>
      </c>
      <c r="S882" s="2">
        <v>15000</v>
      </c>
      <c r="T882" s="4">
        <v>0.108</v>
      </c>
      <c r="U882">
        <v>3</v>
      </c>
      <c r="V882">
        <v>1</v>
      </c>
      <c r="W882">
        <v>1</v>
      </c>
    </row>
    <row r="883" spans="1:23" ht="16.5" x14ac:dyDescent="0.3">
      <c r="A883" t="s">
        <v>938</v>
      </c>
      <c r="B883" s="1">
        <v>45421</v>
      </c>
      <c r="C883">
        <v>2024</v>
      </c>
      <c r="D883" t="s">
        <v>688</v>
      </c>
      <c r="E883" t="s">
        <v>885</v>
      </c>
      <c r="F883" t="s">
        <v>37</v>
      </c>
      <c r="G883" t="s">
        <v>45</v>
      </c>
      <c r="H883" t="s">
        <v>34</v>
      </c>
      <c r="I883" t="s">
        <v>39</v>
      </c>
      <c r="J883" t="s">
        <v>30</v>
      </c>
      <c r="K883" s="2">
        <v>4400</v>
      </c>
      <c r="L883" s="2">
        <v>25000</v>
      </c>
      <c r="M883">
        <v>48</v>
      </c>
      <c r="N883" s="3">
        <v>0.24</v>
      </c>
      <c r="O883" t="s">
        <v>17</v>
      </c>
      <c r="P883" t="s">
        <v>31</v>
      </c>
      <c r="Q883">
        <v>0</v>
      </c>
      <c r="R883">
        <v>1</v>
      </c>
      <c r="S883" s="2">
        <v>0</v>
      </c>
      <c r="T883" s="4"/>
      <c r="U883">
        <v>1</v>
      </c>
      <c r="V883">
        <v>1</v>
      </c>
      <c r="W883">
        <v>1</v>
      </c>
    </row>
    <row r="884" spans="1:23" ht="16.5" x14ac:dyDescent="0.3">
      <c r="A884" t="s">
        <v>939</v>
      </c>
      <c r="B884" s="1">
        <v>45421</v>
      </c>
      <c r="C884">
        <v>2024</v>
      </c>
      <c r="D884" t="s">
        <v>688</v>
      </c>
      <c r="E884" t="s">
        <v>885</v>
      </c>
      <c r="F884" t="s">
        <v>50</v>
      </c>
      <c r="G884" t="s">
        <v>45</v>
      </c>
      <c r="H884" t="s">
        <v>28</v>
      </c>
      <c r="I884" t="s">
        <v>29</v>
      </c>
      <c r="J884" t="s">
        <v>30</v>
      </c>
      <c r="K884" s="2">
        <v>8400</v>
      </c>
      <c r="L884" s="2">
        <v>156000</v>
      </c>
      <c r="M884">
        <v>240</v>
      </c>
      <c r="N884" s="3">
        <v>0.27700000000000002</v>
      </c>
      <c r="O884" t="s">
        <v>17</v>
      </c>
      <c r="P884" t="s">
        <v>60</v>
      </c>
      <c r="Q884">
        <v>0</v>
      </c>
      <c r="R884">
        <v>1</v>
      </c>
      <c r="S884" s="2">
        <v>0</v>
      </c>
      <c r="T884" s="4"/>
      <c r="U884">
        <v>17</v>
      </c>
      <c r="V884">
        <v>0</v>
      </c>
      <c r="W884">
        <v>1</v>
      </c>
    </row>
    <row r="885" spans="1:23" ht="16.5" x14ac:dyDescent="0.3">
      <c r="A885" t="s">
        <v>940</v>
      </c>
      <c r="B885" s="1">
        <v>45421</v>
      </c>
      <c r="C885">
        <v>2024</v>
      </c>
      <c r="D885" t="s">
        <v>688</v>
      </c>
      <c r="E885" t="s">
        <v>885</v>
      </c>
      <c r="F885" t="s">
        <v>41</v>
      </c>
      <c r="G885" t="s">
        <v>45</v>
      </c>
      <c r="H885" t="s">
        <v>28</v>
      </c>
      <c r="I885" t="s">
        <v>29</v>
      </c>
      <c r="J885" t="s">
        <v>52</v>
      </c>
      <c r="K885" s="2">
        <v>2700</v>
      </c>
      <c r="L885" s="2">
        <v>67500</v>
      </c>
      <c r="M885">
        <v>24</v>
      </c>
      <c r="N885" s="3">
        <v>1.357</v>
      </c>
      <c r="O885" t="s">
        <v>17</v>
      </c>
      <c r="P885" t="s">
        <v>53</v>
      </c>
      <c r="Q885">
        <v>0</v>
      </c>
      <c r="R885">
        <v>1</v>
      </c>
      <c r="S885" s="2">
        <v>0</v>
      </c>
      <c r="T885" s="4"/>
      <c r="U885">
        <v>8</v>
      </c>
      <c r="V885">
        <v>1</v>
      </c>
      <c r="W885">
        <v>1</v>
      </c>
    </row>
    <row r="886" spans="1:23" ht="16.5" x14ac:dyDescent="0.3">
      <c r="A886" t="s">
        <v>941</v>
      </c>
      <c r="B886" s="1">
        <v>45421</v>
      </c>
      <c r="C886">
        <v>2024</v>
      </c>
      <c r="D886" t="s">
        <v>688</v>
      </c>
      <c r="E886" t="s">
        <v>885</v>
      </c>
      <c r="F886" t="s">
        <v>37</v>
      </c>
      <c r="G886" t="s">
        <v>33</v>
      </c>
      <c r="H886" t="s">
        <v>34</v>
      </c>
      <c r="I886" t="s">
        <v>39</v>
      </c>
      <c r="J886" t="s">
        <v>30</v>
      </c>
      <c r="K886" s="2">
        <v>5050</v>
      </c>
      <c r="L886" s="2">
        <v>7500</v>
      </c>
      <c r="M886">
        <v>36</v>
      </c>
      <c r="N886" s="3">
        <v>0.26600000000000001</v>
      </c>
      <c r="O886" t="s">
        <v>16</v>
      </c>
      <c r="Q886">
        <v>1</v>
      </c>
      <c r="R886">
        <v>0</v>
      </c>
      <c r="S886" s="2">
        <v>6000</v>
      </c>
      <c r="T886" s="4">
        <v>0.1467</v>
      </c>
      <c r="U886">
        <v>1</v>
      </c>
      <c r="V886">
        <v>1</v>
      </c>
      <c r="W886">
        <v>1</v>
      </c>
    </row>
    <row r="887" spans="1:23" ht="16.5" x14ac:dyDescent="0.3">
      <c r="A887" t="s">
        <v>942</v>
      </c>
      <c r="B887" s="1">
        <v>45421</v>
      </c>
      <c r="C887">
        <v>2024</v>
      </c>
      <c r="D887" t="s">
        <v>688</v>
      </c>
      <c r="E887" t="s">
        <v>885</v>
      </c>
      <c r="F887" t="s">
        <v>37</v>
      </c>
      <c r="G887" t="s">
        <v>51</v>
      </c>
      <c r="H887" t="s">
        <v>38</v>
      </c>
      <c r="I887" t="s">
        <v>42</v>
      </c>
      <c r="J887" t="s">
        <v>30</v>
      </c>
      <c r="K887" s="2">
        <v>5150</v>
      </c>
      <c r="L887" s="2">
        <v>15000</v>
      </c>
      <c r="M887">
        <v>36</v>
      </c>
      <c r="N887" s="3">
        <v>0.19700000000000001</v>
      </c>
      <c r="O887" t="s">
        <v>17</v>
      </c>
      <c r="P887" t="s">
        <v>31</v>
      </c>
      <c r="Q887">
        <v>0</v>
      </c>
      <c r="R887">
        <v>1</v>
      </c>
      <c r="S887" s="2">
        <v>0</v>
      </c>
      <c r="T887" s="4"/>
      <c r="U887">
        <v>5</v>
      </c>
      <c r="V887">
        <v>0</v>
      </c>
      <c r="W887">
        <v>1</v>
      </c>
    </row>
    <row r="888" spans="1:23" ht="16.5" x14ac:dyDescent="0.3">
      <c r="A888" t="s">
        <v>943</v>
      </c>
      <c r="B888" s="1">
        <v>45421</v>
      </c>
      <c r="C888">
        <v>2024</v>
      </c>
      <c r="D888" t="s">
        <v>688</v>
      </c>
      <c r="E888" t="s">
        <v>885</v>
      </c>
      <c r="F888" t="s">
        <v>37</v>
      </c>
      <c r="G888" t="s">
        <v>51</v>
      </c>
      <c r="H888" t="s">
        <v>34</v>
      </c>
      <c r="I888" t="s">
        <v>29</v>
      </c>
      <c r="J888" t="s">
        <v>43</v>
      </c>
      <c r="K888" s="2">
        <v>3150</v>
      </c>
      <c r="L888" s="2">
        <v>18500</v>
      </c>
      <c r="M888">
        <v>36</v>
      </c>
      <c r="N888" s="3">
        <v>0.33900000000000002</v>
      </c>
      <c r="O888" t="s">
        <v>16</v>
      </c>
      <c r="Q888">
        <v>1</v>
      </c>
      <c r="R888">
        <v>0</v>
      </c>
      <c r="S888" s="2">
        <v>16500</v>
      </c>
      <c r="T888" s="4">
        <v>0.158</v>
      </c>
      <c r="U888">
        <v>8</v>
      </c>
      <c r="V888">
        <v>0</v>
      </c>
      <c r="W888">
        <v>1</v>
      </c>
    </row>
    <row r="889" spans="1:23" ht="16.5" x14ac:dyDescent="0.3">
      <c r="A889" t="s">
        <v>944</v>
      </c>
      <c r="B889" s="1">
        <v>45421</v>
      </c>
      <c r="C889">
        <v>2024</v>
      </c>
      <c r="D889" t="s">
        <v>688</v>
      </c>
      <c r="E889" t="s">
        <v>885</v>
      </c>
      <c r="F889" t="s">
        <v>50</v>
      </c>
      <c r="G889" t="s">
        <v>27</v>
      </c>
      <c r="H889" t="s">
        <v>28</v>
      </c>
      <c r="I889" t="s">
        <v>29</v>
      </c>
      <c r="J889" t="s">
        <v>30</v>
      </c>
      <c r="K889" s="2">
        <v>4450</v>
      </c>
      <c r="L889" s="2">
        <v>221500</v>
      </c>
      <c r="M889">
        <v>180</v>
      </c>
      <c r="N889" s="3">
        <v>0.59399999999999997</v>
      </c>
      <c r="O889" t="s">
        <v>125</v>
      </c>
      <c r="Q889">
        <v>0</v>
      </c>
      <c r="R889">
        <v>0</v>
      </c>
      <c r="S889" s="2">
        <v>0</v>
      </c>
      <c r="T889" s="4"/>
      <c r="U889">
        <v>12</v>
      </c>
      <c r="V889">
        <v>1</v>
      </c>
      <c r="W889">
        <v>1</v>
      </c>
    </row>
    <row r="890" spans="1:23" ht="16.5" x14ac:dyDescent="0.3">
      <c r="A890" t="s">
        <v>945</v>
      </c>
      <c r="B890" s="1">
        <v>45421</v>
      </c>
      <c r="C890">
        <v>2024</v>
      </c>
      <c r="D890" t="s">
        <v>688</v>
      </c>
      <c r="E890" t="s">
        <v>885</v>
      </c>
      <c r="F890" t="s">
        <v>37</v>
      </c>
      <c r="G890" t="s">
        <v>33</v>
      </c>
      <c r="H890" t="s">
        <v>55</v>
      </c>
      <c r="I890" t="s">
        <v>39</v>
      </c>
      <c r="J890" t="s">
        <v>35</v>
      </c>
      <c r="K890" s="2">
        <v>4950</v>
      </c>
      <c r="L890" s="2">
        <v>9000</v>
      </c>
      <c r="M890">
        <v>36</v>
      </c>
      <c r="N890" s="3">
        <v>0.191</v>
      </c>
      <c r="O890" t="s">
        <v>16</v>
      </c>
      <c r="Q890">
        <v>1</v>
      </c>
      <c r="R890">
        <v>0</v>
      </c>
      <c r="S890" s="2">
        <v>9000</v>
      </c>
      <c r="T890" s="4">
        <v>0.123</v>
      </c>
      <c r="U890">
        <v>1</v>
      </c>
      <c r="V890">
        <v>1</v>
      </c>
      <c r="W890">
        <v>1</v>
      </c>
    </row>
    <row r="891" spans="1:23" ht="16.5" x14ac:dyDescent="0.3">
      <c r="A891" t="s">
        <v>946</v>
      </c>
      <c r="B891" s="1">
        <v>45421</v>
      </c>
      <c r="C891">
        <v>2024</v>
      </c>
      <c r="D891" t="s">
        <v>688</v>
      </c>
      <c r="E891" t="s">
        <v>885</v>
      </c>
      <c r="F891" t="s">
        <v>26</v>
      </c>
      <c r="G891" t="s">
        <v>45</v>
      </c>
      <c r="H891" t="s">
        <v>38</v>
      </c>
      <c r="I891" t="s">
        <v>29</v>
      </c>
      <c r="J891" t="s">
        <v>30</v>
      </c>
      <c r="K891" s="2">
        <v>3450</v>
      </c>
      <c r="L891" s="2">
        <v>40000</v>
      </c>
      <c r="M891">
        <v>48</v>
      </c>
      <c r="N891" s="3">
        <v>0.40600000000000003</v>
      </c>
      <c r="O891" t="s">
        <v>16</v>
      </c>
      <c r="Q891">
        <v>1</v>
      </c>
      <c r="R891">
        <v>0</v>
      </c>
      <c r="S891" s="2">
        <v>32000</v>
      </c>
      <c r="T891" s="4">
        <v>9.7100000000000006E-2</v>
      </c>
      <c r="U891">
        <v>2</v>
      </c>
      <c r="V891">
        <v>1</v>
      </c>
      <c r="W891">
        <v>1</v>
      </c>
    </row>
    <row r="892" spans="1:23" ht="16.5" x14ac:dyDescent="0.3">
      <c r="A892" t="s">
        <v>947</v>
      </c>
      <c r="B892" s="1">
        <v>45422</v>
      </c>
      <c r="C892">
        <v>2024</v>
      </c>
      <c r="D892" t="s">
        <v>688</v>
      </c>
      <c r="E892" t="s">
        <v>885</v>
      </c>
      <c r="F892" t="s">
        <v>37</v>
      </c>
      <c r="G892" t="s">
        <v>51</v>
      </c>
      <c r="H892" t="s">
        <v>38</v>
      </c>
      <c r="I892" t="s">
        <v>42</v>
      </c>
      <c r="J892" t="s">
        <v>30</v>
      </c>
      <c r="K892" s="2">
        <v>6950</v>
      </c>
      <c r="L892" s="2">
        <v>15000</v>
      </c>
      <c r="M892">
        <v>12</v>
      </c>
      <c r="N892" s="3">
        <v>0.26700000000000002</v>
      </c>
      <c r="O892" t="s">
        <v>17</v>
      </c>
      <c r="P892" t="s">
        <v>31</v>
      </c>
      <c r="Q892">
        <v>0</v>
      </c>
      <c r="R892">
        <v>1</v>
      </c>
      <c r="S892" s="2">
        <v>0</v>
      </c>
      <c r="T892" s="4"/>
      <c r="U892">
        <v>6</v>
      </c>
      <c r="V892">
        <v>0</v>
      </c>
      <c r="W892">
        <v>1</v>
      </c>
    </row>
    <row r="893" spans="1:23" ht="16.5" x14ac:dyDescent="0.3">
      <c r="A893" t="s">
        <v>948</v>
      </c>
      <c r="B893" s="1">
        <v>45422</v>
      </c>
      <c r="C893">
        <v>2024</v>
      </c>
      <c r="D893" t="s">
        <v>688</v>
      </c>
      <c r="E893" t="s">
        <v>885</v>
      </c>
      <c r="F893" t="s">
        <v>41</v>
      </c>
      <c r="G893" t="s">
        <v>33</v>
      </c>
      <c r="H893" t="s">
        <v>64</v>
      </c>
      <c r="I893" t="s">
        <v>29</v>
      </c>
      <c r="J893" t="s">
        <v>43</v>
      </c>
      <c r="K893" s="2">
        <v>6150</v>
      </c>
      <c r="L893" s="2">
        <v>55500</v>
      </c>
      <c r="M893">
        <v>12</v>
      </c>
      <c r="N893" s="3">
        <v>0.88800000000000001</v>
      </c>
      <c r="O893" t="s">
        <v>17</v>
      </c>
      <c r="P893" t="s">
        <v>31</v>
      </c>
      <c r="Q893">
        <v>0</v>
      </c>
      <c r="R893">
        <v>1</v>
      </c>
      <c r="S893" s="2">
        <v>0</v>
      </c>
      <c r="T893" s="4"/>
      <c r="U893">
        <v>3</v>
      </c>
      <c r="V893">
        <v>1</v>
      </c>
      <c r="W893">
        <v>1</v>
      </c>
    </row>
    <row r="894" spans="1:23" ht="16.5" x14ac:dyDescent="0.3">
      <c r="A894" t="s">
        <v>949</v>
      </c>
      <c r="B894" s="1">
        <v>45422</v>
      </c>
      <c r="C894">
        <v>2024</v>
      </c>
      <c r="D894" t="s">
        <v>688</v>
      </c>
      <c r="E894" t="s">
        <v>885</v>
      </c>
      <c r="F894" t="s">
        <v>41</v>
      </c>
      <c r="G894" t="s">
        <v>27</v>
      </c>
      <c r="H894" t="s">
        <v>55</v>
      </c>
      <c r="I894" t="s">
        <v>29</v>
      </c>
      <c r="J894" t="s">
        <v>35</v>
      </c>
      <c r="K894" s="2">
        <v>7150</v>
      </c>
      <c r="L894" s="2">
        <v>44500</v>
      </c>
      <c r="M894">
        <v>24</v>
      </c>
      <c r="N894" s="3">
        <v>0.47299999999999998</v>
      </c>
      <c r="O894" t="s">
        <v>17</v>
      </c>
      <c r="P894" t="s">
        <v>60</v>
      </c>
      <c r="Q894">
        <v>0</v>
      </c>
      <c r="R894">
        <v>1</v>
      </c>
      <c r="S894" s="2">
        <v>0</v>
      </c>
      <c r="T894" s="4"/>
      <c r="U894">
        <v>11</v>
      </c>
      <c r="V894">
        <v>0</v>
      </c>
      <c r="W894">
        <v>1</v>
      </c>
    </row>
    <row r="895" spans="1:23" ht="16.5" x14ac:dyDescent="0.3">
      <c r="A895" t="s">
        <v>950</v>
      </c>
      <c r="B895" s="1">
        <v>45422</v>
      </c>
      <c r="C895">
        <v>2024</v>
      </c>
      <c r="D895" t="s">
        <v>688</v>
      </c>
      <c r="E895" t="s">
        <v>885</v>
      </c>
      <c r="F895" t="s">
        <v>50</v>
      </c>
      <c r="G895" t="s">
        <v>33</v>
      </c>
      <c r="H895" t="s">
        <v>55</v>
      </c>
      <c r="I895" t="s">
        <v>39</v>
      </c>
      <c r="J895" t="s">
        <v>30</v>
      </c>
      <c r="K895" s="2">
        <v>2700</v>
      </c>
      <c r="L895" s="2">
        <v>455000</v>
      </c>
      <c r="M895">
        <v>240</v>
      </c>
      <c r="N895" s="3">
        <v>1.2809999999999999</v>
      </c>
      <c r="O895" t="s">
        <v>17</v>
      </c>
      <c r="P895" t="s">
        <v>31</v>
      </c>
      <c r="Q895">
        <v>0</v>
      </c>
      <c r="R895">
        <v>1</v>
      </c>
      <c r="S895" s="2">
        <v>0</v>
      </c>
      <c r="T895" s="4"/>
      <c r="U895">
        <v>6</v>
      </c>
      <c r="V895">
        <v>1</v>
      </c>
      <c r="W895">
        <v>1</v>
      </c>
    </row>
    <row r="896" spans="1:23" ht="16.5" x14ac:dyDescent="0.3">
      <c r="A896" t="s">
        <v>951</v>
      </c>
      <c r="B896" s="1">
        <v>45422</v>
      </c>
      <c r="C896">
        <v>2024</v>
      </c>
      <c r="D896" t="s">
        <v>688</v>
      </c>
      <c r="E896" t="s">
        <v>885</v>
      </c>
      <c r="F896" t="s">
        <v>41</v>
      </c>
      <c r="G896" t="s">
        <v>33</v>
      </c>
      <c r="H896" t="s">
        <v>55</v>
      </c>
      <c r="I896" t="s">
        <v>29</v>
      </c>
      <c r="J896" t="s">
        <v>35</v>
      </c>
      <c r="K896" s="2">
        <v>3850</v>
      </c>
      <c r="L896" s="2">
        <v>61000</v>
      </c>
      <c r="M896">
        <v>24</v>
      </c>
      <c r="N896" s="3">
        <v>0.90600000000000003</v>
      </c>
      <c r="O896" t="s">
        <v>17</v>
      </c>
      <c r="P896" t="s">
        <v>53</v>
      </c>
      <c r="Q896">
        <v>0</v>
      </c>
      <c r="R896">
        <v>1</v>
      </c>
      <c r="S896" s="2">
        <v>0</v>
      </c>
      <c r="T896" s="4"/>
      <c r="U896">
        <v>7</v>
      </c>
      <c r="V896">
        <v>1</v>
      </c>
      <c r="W896">
        <v>1</v>
      </c>
    </row>
    <row r="897" spans="1:23" ht="16.5" x14ac:dyDescent="0.3">
      <c r="A897" t="s">
        <v>952</v>
      </c>
      <c r="B897" s="1">
        <v>45422</v>
      </c>
      <c r="C897">
        <v>2024</v>
      </c>
      <c r="D897" t="s">
        <v>688</v>
      </c>
      <c r="E897" t="s">
        <v>885</v>
      </c>
      <c r="F897" t="s">
        <v>37</v>
      </c>
      <c r="G897" t="s">
        <v>51</v>
      </c>
      <c r="H897" t="s">
        <v>55</v>
      </c>
      <c r="I897" t="s">
        <v>29</v>
      </c>
      <c r="J897" t="s">
        <v>30</v>
      </c>
      <c r="K897" s="2">
        <v>4150</v>
      </c>
      <c r="L897" s="2">
        <v>8500</v>
      </c>
      <c r="M897">
        <v>60</v>
      </c>
      <c r="N897" s="3">
        <v>0.21199999999999999</v>
      </c>
      <c r="O897" t="s">
        <v>17</v>
      </c>
      <c r="P897" t="s">
        <v>31</v>
      </c>
      <c r="Q897">
        <v>0</v>
      </c>
      <c r="R897">
        <v>1</v>
      </c>
      <c r="S897" s="2">
        <v>0</v>
      </c>
      <c r="T897" s="4"/>
      <c r="U897">
        <v>5</v>
      </c>
      <c r="V897">
        <v>0</v>
      </c>
      <c r="W897">
        <v>1</v>
      </c>
    </row>
    <row r="898" spans="1:23" ht="16.5" x14ac:dyDescent="0.3">
      <c r="A898" t="s">
        <v>953</v>
      </c>
      <c r="B898" s="1">
        <v>45422</v>
      </c>
      <c r="C898">
        <v>2024</v>
      </c>
      <c r="D898" t="s">
        <v>688</v>
      </c>
      <c r="E898" t="s">
        <v>885</v>
      </c>
      <c r="F898" t="s">
        <v>41</v>
      </c>
      <c r="G898" t="s">
        <v>51</v>
      </c>
      <c r="H898" t="s">
        <v>55</v>
      </c>
      <c r="I898" t="s">
        <v>42</v>
      </c>
      <c r="J898" t="s">
        <v>30</v>
      </c>
      <c r="K898" s="2">
        <v>7150</v>
      </c>
      <c r="L898" s="2">
        <v>171000</v>
      </c>
      <c r="M898">
        <v>24</v>
      </c>
      <c r="N898" s="3">
        <v>1.335</v>
      </c>
      <c r="O898" t="s">
        <v>17</v>
      </c>
      <c r="P898" t="s">
        <v>53</v>
      </c>
      <c r="Q898">
        <v>0</v>
      </c>
      <c r="R898">
        <v>1</v>
      </c>
      <c r="S898" s="2">
        <v>0</v>
      </c>
      <c r="T898" s="4"/>
      <c r="U898">
        <v>17</v>
      </c>
      <c r="V898">
        <v>0</v>
      </c>
      <c r="W898">
        <v>1</v>
      </c>
    </row>
    <row r="899" spans="1:23" ht="16.5" x14ac:dyDescent="0.3">
      <c r="A899" t="s">
        <v>954</v>
      </c>
      <c r="B899" s="1">
        <v>45423</v>
      </c>
      <c r="C899">
        <v>2024</v>
      </c>
      <c r="D899" t="s">
        <v>688</v>
      </c>
      <c r="E899" t="s">
        <v>885</v>
      </c>
      <c r="F899" t="s">
        <v>37</v>
      </c>
      <c r="G899" t="s">
        <v>33</v>
      </c>
      <c r="H899" t="s">
        <v>28</v>
      </c>
      <c r="I899" t="s">
        <v>42</v>
      </c>
      <c r="J899" t="s">
        <v>46</v>
      </c>
      <c r="K899" s="2">
        <v>6600</v>
      </c>
      <c r="L899" s="2">
        <v>7500</v>
      </c>
      <c r="M899">
        <v>24</v>
      </c>
      <c r="N899" s="3">
        <v>0.16</v>
      </c>
      <c r="O899" t="s">
        <v>16</v>
      </c>
      <c r="Q899">
        <v>1</v>
      </c>
      <c r="R899">
        <v>0</v>
      </c>
      <c r="S899" s="2">
        <v>7500</v>
      </c>
      <c r="T899" s="4">
        <v>0.1079</v>
      </c>
      <c r="U899">
        <v>2</v>
      </c>
      <c r="V899">
        <v>1</v>
      </c>
      <c r="W899">
        <v>1</v>
      </c>
    </row>
    <row r="900" spans="1:23" ht="16.5" x14ac:dyDescent="0.3">
      <c r="A900" t="s">
        <v>955</v>
      </c>
      <c r="B900" s="1">
        <v>45423</v>
      </c>
      <c r="C900">
        <v>2024</v>
      </c>
      <c r="D900" t="s">
        <v>688</v>
      </c>
      <c r="E900" t="s">
        <v>885</v>
      </c>
      <c r="F900" t="s">
        <v>37</v>
      </c>
      <c r="G900" t="s">
        <v>45</v>
      </c>
      <c r="H900" t="s">
        <v>64</v>
      </c>
      <c r="I900" t="s">
        <v>39</v>
      </c>
      <c r="J900" t="s">
        <v>35</v>
      </c>
      <c r="K900" s="2">
        <v>10250</v>
      </c>
      <c r="L900" s="2">
        <v>21500</v>
      </c>
      <c r="M900">
        <v>60</v>
      </c>
      <c r="N900" s="3">
        <v>0.22500000000000001</v>
      </c>
      <c r="O900" t="s">
        <v>16</v>
      </c>
      <c r="Q900">
        <v>1</v>
      </c>
      <c r="R900">
        <v>0</v>
      </c>
      <c r="S900" s="2">
        <v>21500</v>
      </c>
      <c r="T900" s="4">
        <v>0.12529999999999999</v>
      </c>
      <c r="U900">
        <v>3</v>
      </c>
      <c r="V900">
        <v>1</v>
      </c>
      <c r="W900">
        <v>1</v>
      </c>
    </row>
    <row r="901" spans="1:23" ht="16.5" x14ac:dyDescent="0.3">
      <c r="A901" t="s">
        <v>956</v>
      </c>
      <c r="B901" s="1">
        <v>45423</v>
      </c>
      <c r="C901">
        <v>2024</v>
      </c>
      <c r="D901" t="s">
        <v>688</v>
      </c>
      <c r="E901" t="s">
        <v>885</v>
      </c>
      <c r="F901" t="s">
        <v>26</v>
      </c>
      <c r="G901" t="s">
        <v>51</v>
      </c>
      <c r="H901" t="s">
        <v>64</v>
      </c>
      <c r="I901" t="s">
        <v>42</v>
      </c>
      <c r="J901" t="s">
        <v>43</v>
      </c>
      <c r="K901" s="2">
        <v>5450</v>
      </c>
      <c r="L901" s="2">
        <v>17000</v>
      </c>
      <c r="M901">
        <v>36</v>
      </c>
      <c r="N901" s="3">
        <v>0.311</v>
      </c>
      <c r="O901" t="s">
        <v>17</v>
      </c>
      <c r="P901" t="s">
        <v>48</v>
      </c>
      <c r="Q901">
        <v>0</v>
      </c>
      <c r="R901">
        <v>1</v>
      </c>
      <c r="S901" s="2">
        <v>0</v>
      </c>
      <c r="T901" s="4"/>
      <c r="U901">
        <v>7</v>
      </c>
      <c r="V901">
        <v>0</v>
      </c>
      <c r="W901">
        <v>1</v>
      </c>
    </row>
    <row r="902" spans="1:23" ht="16.5" x14ac:dyDescent="0.3">
      <c r="A902" t="s">
        <v>957</v>
      </c>
      <c r="B902" s="1">
        <v>45423</v>
      </c>
      <c r="C902">
        <v>2024</v>
      </c>
      <c r="D902" t="s">
        <v>688</v>
      </c>
      <c r="E902" t="s">
        <v>885</v>
      </c>
      <c r="F902" t="s">
        <v>37</v>
      </c>
      <c r="G902" t="s">
        <v>27</v>
      </c>
      <c r="H902" t="s">
        <v>28</v>
      </c>
      <c r="I902" t="s">
        <v>29</v>
      </c>
      <c r="J902" t="s">
        <v>35</v>
      </c>
      <c r="K902" s="2">
        <v>4100</v>
      </c>
      <c r="L902" s="2">
        <v>25000</v>
      </c>
      <c r="M902">
        <v>48</v>
      </c>
      <c r="N902" s="3">
        <v>0.31</v>
      </c>
      <c r="O902" t="s">
        <v>16</v>
      </c>
      <c r="Q902">
        <v>1</v>
      </c>
      <c r="R902">
        <v>0</v>
      </c>
      <c r="S902" s="2">
        <v>25000</v>
      </c>
      <c r="T902" s="4">
        <v>0.12659999999999999</v>
      </c>
      <c r="U902">
        <v>7</v>
      </c>
      <c r="V902">
        <v>0</v>
      </c>
      <c r="W902">
        <v>1</v>
      </c>
    </row>
    <row r="903" spans="1:23" ht="16.5" x14ac:dyDescent="0.3">
      <c r="A903" t="s">
        <v>958</v>
      </c>
      <c r="B903" s="1">
        <v>45423</v>
      </c>
      <c r="C903">
        <v>2024</v>
      </c>
      <c r="D903" t="s">
        <v>688</v>
      </c>
      <c r="E903" t="s">
        <v>885</v>
      </c>
      <c r="F903" t="s">
        <v>26</v>
      </c>
      <c r="G903" t="s">
        <v>27</v>
      </c>
      <c r="H903" t="s">
        <v>55</v>
      </c>
      <c r="I903" t="s">
        <v>42</v>
      </c>
      <c r="J903" t="s">
        <v>35</v>
      </c>
      <c r="K903" s="2">
        <v>5400</v>
      </c>
      <c r="L903" s="2">
        <v>24000</v>
      </c>
      <c r="M903">
        <v>60</v>
      </c>
      <c r="N903" s="3">
        <v>0.19800000000000001</v>
      </c>
      <c r="O903" t="s">
        <v>16</v>
      </c>
      <c r="Q903">
        <v>1</v>
      </c>
      <c r="R903">
        <v>0</v>
      </c>
      <c r="S903" s="2">
        <v>19000</v>
      </c>
      <c r="T903" s="4">
        <v>8.5199999999999998E-2</v>
      </c>
      <c r="U903">
        <v>7</v>
      </c>
      <c r="V903">
        <v>0</v>
      </c>
      <c r="W903">
        <v>1</v>
      </c>
    </row>
    <row r="904" spans="1:23" ht="16.5" x14ac:dyDescent="0.3">
      <c r="A904" t="s">
        <v>959</v>
      </c>
      <c r="B904" s="1">
        <v>45423</v>
      </c>
      <c r="C904">
        <v>2024</v>
      </c>
      <c r="D904" t="s">
        <v>688</v>
      </c>
      <c r="E904" t="s">
        <v>885</v>
      </c>
      <c r="F904" t="s">
        <v>37</v>
      </c>
      <c r="G904" t="s">
        <v>27</v>
      </c>
      <c r="H904" t="s">
        <v>55</v>
      </c>
      <c r="I904" t="s">
        <v>42</v>
      </c>
      <c r="J904" t="s">
        <v>52</v>
      </c>
      <c r="K904" s="2">
        <v>5500</v>
      </c>
      <c r="L904" s="2">
        <v>17000</v>
      </c>
      <c r="M904">
        <v>48</v>
      </c>
      <c r="N904" s="3">
        <v>0.32</v>
      </c>
      <c r="O904" t="s">
        <v>16</v>
      </c>
      <c r="Q904">
        <v>1</v>
      </c>
      <c r="R904">
        <v>0</v>
      </c>
      <c r="S904" s="2">
        <v>13500</v>
      </c>
      <c r="T904" s="4">
        <v>0.1129</v>
      </c>
      <c r="U904">
        <v>3</v>
      </c>
      <c r="V904">
        <v>1</v>
      </c>
      <c r="W904">
        <v>1</v>
      </c>
    </row>
    <row r="905" spans="1:23" ht="16.5" x14ac:dyDescent="0.3">
      <c r="A905" t="s">
        <v>960</v>
      </c>
      <c r="B905" s="1">
        <v>45423</v>
      </c>
      <c r="C905">
        <v>2024</v>
      </c>
      <c r="D905" t="s">
        <v>688</v>
      </c>
      <c r="E905" t="s">
        <v>885</v>
      </c>
      <c r="F905" t="s">
        <v>37</v>
      </c>
      <c r="G905" t="s">
        <v>45</v>
      </c>
      <c r="H905" t="s">
        <v>34</v>
      </c>
      <c r="I905" t="s">
        <v>42</v>
      </c>
      <c r="J905" t="s">
        <v>35</v>
      </c>
      <c r="K905" s="2">
        <v>8600</v>
      </c>
      <c r="L905" s="2">
        <v>10500</v>
      </c>
      <c r="M905">
        <v>48</v>
      </c>
      <c r="N905" s="3">
        <v>0.23</v>
      </c>
      <c r="O905" t="s">
        <v>16</v>
      </c>
      <c r="Q905">
        <v>1</v>
      </c>
      <c r="R905">
        <v>0</v>
      </c>
      <c r="S905" s="2">
        <v>10500</v>
      </c>
      <c r="T905" s="4">
        <v>0.12740000000000001</v>
      </c>
      <c r="U905">
        <v>2</v>
      </c>
      <c r="V905">
        <v>1</v>
      </c>
      <c r="W905">
        <v>1</v>
      </c>
    </row>
    <row r="906" spans="1:23" ht="16.5" x14ac:dyDescent="0.3">
      <c r="A906" t="s">
        <v>961</v>
      </c>
      <c r="B906" s="1">
        <v>45424</v>
      </c>
      <c r="C906">
        <v>2024</v>
      </c>
      <c r="D906" t="s">
        <v>688</v>
      </c>
      <c r="E906" t="s">
        <v>885</v>
      </c>
      <c r="F906" t="s">
        <v>41</v>
      </c>
      <c r="G906" t="s">
        <v>33</v>
      </c>
      <c r="H906" t="s">
        <v>55</v>
      </c>
      <c r="I906" t="s">
        <v>39</v>
      </c>
      <c r="J906" t="s">
        <v>35</v>
      </c>
      <c r="K906" s="2">
        <v>4800</v>
      </c>
      <c r="L906" s="2">
        <v>99000</v>
      </c>
      <c r="M906">
        <v>60</v>
      </c>
      <c r="N906" s="3">
        <v>0.501</v>
      </c>
      <c r="O906" t="s">
        <v>16</v>
      </c>
      <c r="Q906">
        <v>1</v>
      </c>
      <c r="R906">
        <v>0</v>
      </c>
      <c r="S906" s="2">
        <v>79000</v>
      </c>
      <c r="T906" s="4">
        <v>0.1043</v>
      </c>
      <c r="U906">
        <v>4</v>
      </c>
      <c r="V906">
        <v>1</v>
      </c>
      <c r="W906">
        <v>1</v>
      </c>
    </row>
    <row r="907" spans="1:23" ht="16.5" x14ac:dyDescent="0.3">
      <c r="A907" t="s">
        <v>962</v>
      </c>
      <c r="B907" s="1">
        <v>45424</v>
      </c>
      <c r="C907">
        <v>2024</v>
      </c>
      <c r="D907" t="s">
        <v>688</v>
      </c>
      <c r="E907" t="s">
        <v>885</v>
      </c>
      <c r="F907" t="s">
        <v>41</v>
      </c>
      <c r="G907" t="s">
        <v>45</v>
      </c>
      <c r="H907" t="s">
        <v>38</v>
      </c>
      <c r="I907" t="s">
        <v>42</v>
      </c>
      <c r="J907" t="s">
        <v>35</v>
      </c>
      <c r="K907" s="2">
        <v>4300</v>
      </c>
      <c r="L907" s="2">
        <v>112500</v>
      </c>
      <c r="M907">
        <v>36</v>
      </c>
      <c r="N907" s="3">
        <v>0.99399999999999999</v>
      </c>
      <c r="O907" t="s">
        <v>17</v>
      </c>
      <c r="P907" t="s">
        <v>53</v>
      </c>
      <c r="Q907">
        <v>0</v>
      </c>
      <c r="R907">
        <v>1</v>
      </c>
      <c r="S907" s="2">
        <v>0</v>
      </c>
      <c r="T907" s="4"/>
      <c r="U907">
        <v>4</v>
      </c>
      <c r="V907">
        <v>1</v>
      </c>
      <c r="W907">
        <v>1</v>
      </c>
    </row>
    <row r="908" spans="1:23" ht="16.5" x14ac:dyDescent="0.3">
      <c r="A908" t="s">
        <v>963</v>
      </c>
      <c r="B908" s="1">
        <v>45424</v>
      </c>
      <c r="C908">
        <v>2024</v>
      </c>
      <c r="D908" t="s">
        <v>688</v>
      </c>
      <c r="E908" t="s">
        <v>885</v>
      </c>
      <c r="F908" t="s">
        <v>26</v>
      </c>
      <c r="G908" t="s">
        <v>45</v>
      </c>
      <c r="H908" t="s">
        <v>64</v>
      </c>
      <c r="I908" t="s">
        <v>29</v>
      </c>
      <c r="J908" t="s">
        <v>52</v>
      </c>
      <c r="K908" s="2">
        <v>3700</v>
      </c>
      <c r="L908" s="2">
        <v>20000</v>
      </c>
      <c r="M908">
        <v>48</v>
      </c>
      <c r="N908" s="3">
        <v>0.20499999999999999</v>
      </c>
      <c r="O908" t="s">
        <v>16</v>
      </c>
      <c r="Q908">
        <v>1</v>
      </c>
      <c r="R908">
        <v>0</v>
      </c>
      <c r="S908" s="2">
        <v>16000</v>
      </c>
      <c r="T908" s="4">
        <v>7.6600000000000001E-2</v>
      </c>
      <c r="U908">
        <v>2</v>
      </c>
      <c r="V908">
        <v>1</v>
      </c>
      <c r="W908">
        <v>1</v>
      </c>
    </row>
    <row r="909" spans="1:23" ht="16.5" x14ac:dyDescent="0.3">
      <c r="A909" t="s">
        <v>964</v>
      </c>
      <c r="B909" s="1">
        <v>45424</v>
      </c>
      <c r="C909">
        <v>2024</v>
      </c>
      <c r="D909" t="s">
        <v>688</v>
      </c>
      <c r="E909" t="s">
        <v>885</v>
      </c>
      <c r="F909" t="s">
        <v>37</v>
      </c>
      <c r="G909" t="s">
        <v>45</v>
      </c>
      <c r="H909" t="s">
        <v>55</v>
      </c>
      <c r="I909" t="s">
        <v>29</v>
      </c>
      <c r="J909" t="s">
        <v>46</v>
      </c>
      <c r="K909" s="2">
        <v>8750</v>
      </c>
      <c r="L909" s="2">
        <v>13000</v>
      </c>
      <c r="M909">
        <v>12</v>
      </c>
      <c r="N909" s="3">
        <v>0.32600000000000001</v>
      </c>
      <c r="O909" t="s">
        <v>16</v>
      </c>
      <c r="Q909">
        <v>1</v>
      </c>
      <c r="R909">
        <v>0</v>
      </c>
      <c r="S909" s="2">
        <v>13000</v>
      </c>
      <c r="T909" s="4">
        <v>0.1056</v>
      </c>
      <c r="U909">
        <v>2</v>
      </c>
      <c r="V909">
        <v>1</v>
      </c>
      <c r="W909">
        <v>1</v>
      </c>
    </row>
    <row r="910" spans="1:23" ht="16.5" x14ac:dyDescent="0.3">
      <c r="A910" t="s">
        <v>965</v>
      </c>
      <c r="B910" s="1">
        <v>45425</v>
      </c>
      <c r="C910">
        <v>2024</v>
      </c>
      <c r="D910" t="s">
        <v>688</v>
      </c>
      <c r="E910" t="s">
        <v>885</v>
      </c>
      <c r="F910" t="s">
        <v>26</v>
      </c>
      <c r="G910" t="s">
        <v>45</v>
      </c>
      <c r="H910" t="s">
        <v>38</v>
      </c>
      <c r="I910" t="s">
        <v>42</v>
      </c>
      <c r="J910" t="s">
        <v>46</v>
      </c>
      <c r="K910" s="2">
        <v>11250</v>
      </c>
      <c r="L910" s="2">
        <v>36000</v>
      </c>
      <c r="M910">
        <v>36</v>
      </c>
      <c r="N910" s="3">
        <v>0.193</v>
      </c>
      <c r="O910" t="s">
        <v>16</v>
      </c>
      <c r="Q910">
        <v>1</v>
      </c>
      <c r="R910">
        <v>0</v>
      </c>
      <c r="S910" s="2">
        <v>36000</v>
      </c>
      <c r="T910" s="4">
        <v>6.3100000000000003E-2</v>
      </c>
      <c r="U910">
        <v>3</v>
      </c>
      <c r="V910">
        <v>1</v>
      </c>
      <c r="W910">
        <v>1</v>
      </c>
    </row>
    <row r="911" spans="1:23" ht="16.5" x14ac:dyDescent="0.3">
      <c r="A911" t="s">
        <v>966</v>
      </c>
      <c r="B911" s="1">
        <v>45425</v>
      </c>
      <c r="C911">
        <v>2024</v>
      </c>
      <c r="D911" t="s">
        <v>688</v>
      </c>
      <c r="E911" t="s">
        <v>885</v>
      </c>
      <c r="F911" t="s">
        <v>37</v>
      </c>
      <c r="G911" t="s">
        <v>45</v>
      </c>
      <c r="H911" t="s">
        <v>55</v>
      </c>
      <c r="I911" t="s">
        <v>39</v>
      </c>
      <c r="J911" t="s">
        <v>52</v>
      </c>
      <c r="K911" s="2">
        <v>6150</v>
      </c>
      <c r="L911" s="2">
        <v>3500</v>
      </c>
      <c r="M911">
        <v>24</v>
      </c>
      <c r="N911" s="3">
        <v>0.16900000000000001</v>
      </c>
      <c r="O911" t="s">
        <v>16</v>
      </c>
      <c r="Q911">
        <v>1</v>
      </c>
      <c r="R911">
        <v>0</v>
      </c>
      <c r="S911" s="2">
        <v>3000</v>
      </c>
      <c r="T911" s="4">
        <v>0.11310000000000001</v>
      </c>
      <c r="U911">
        <v>2</v>
      </c>
      <c r="V911">
        <v>1</v>
      </c>
      <c r="W911">
        <v>1</v>
      </c>
    </row>
    <row r="912" spans="1:23" ht="16.5" x14ac:dyDescent="0.3">
      <c r="A912" t="s">
        <v>967</v>
      </c>
      <c r="B912" s="1">
        <v>45425</v>
      </c>
      <c r="C912">
        <v>2024</v>
      </c>
      <c r="D912" t="s">
        <v>688</v>
      </c>
      <c r="E912" t="s">
        <v>885</v>
      </c>
      <c r="F912" t="s">
        <v>37</v>
      </c>
      <c r="G912" t="s">
        <v>45</v>
      </c>
      <c r="H912" t="s">
        <v>64</v>
      </c>
      <c r="I912" t="s">
        <v>39</v>
      </c>
      <c r="J912" t="s">
        <v>46</v>
      </c>
      <c r="K912" s="2">
        <v>2750</v>
      </c>
      <c r="L912" s="2">
        <v>13500</v>
      </c>
      <c r="M912">
        <v>12</v>
      </c>
      <c r="N912" s="3">
        <v>0.57599999999999996</v>
      </c>
      <c r="O912" t="s">
        <v>16</v>
      </c>
      <c r="Q912">
        <v>1</v>
      </c>
      <c r="R912">
        <v>0</v>
      </c>
      <c r="S912" s="2">
        <v>12000</v>
      </c>
      <c r="T912" s="4">
        <v>0.1111</v>
      </c>
      <c r="U912">
        <v>2</v>
      </c>
      <c r="V912">
        <v>1</v>
      </c>
      <c r="W912">
        <v>1</v>
      </c>
    </row>
    <row r="913" spans="1:23" ht="16.5" x14ac:dyDescent="0.3">
      <c r="A913" t="s">
        <v>968</v>
      </c>
      <c r="B913" s="1">
        <v>45425</v>
      </c>
      <c r="C913">
        <v>2024</v>
      </c>
      <c r="D913" t="s">
        <v>688</v>
      </c>
      <c r="E913" t="s">
        <v>885</v>
      </c>
      <c r="F913" t="s">
        <v>41</v>
      </c>
      <c r="G913" t="s">
        <v>51</v>
      </c>
      <c r="H913" t="s">
        <v>55</v>
      </c>
      <c r="I913" t="s">
        <v>29</v>
      </c>
      <c r="J913" t="s">
        <v>35</v>
      </c>
      <c r="K913" s="2">
        <v>6350</v>
      </c>
      <c r="L913" s="2">
        <v>69500</v>
      </c>
      <c r="M913">
        <v>36</v>
      </c>
      <c r="N913" s="3">
        <v>0.55600000000000005</v>
      </c>
      <c r="O913" t="s">
        <v>16</v>
      </c>
      <c r="Q913">
        <v>1</v>
      </c>
      <c r="R913">
        <v>0</v>
      </c>
      <c r="S913" s="2">
        <v>62500</v>
      </c>
      <c r="T913" s="4">
        <v>0.1053</v>
      </c>
      <c r="U913">
        <v>16</v>
      </c>
      <c r="V913">
        <v>0</v>
      </c>
      <c r="W913">
        <v>1</v>
      </c>
    </row>
    <row r="914" spans="1:23" ht="16.5" x14ac:dyDescent="0.3">
      <c r="A914" t="s">
        <v>969</v>
      </c>
      <c r="B914" s="1">
        <v>45425</v>
      </c>
      <c r="C914">
        <v>2024</v>
      </c>
      <c r="D914" t="s">
        <v>688</v>
      </c>
      <c r="E914" t="s">
        <v>885</v>
      </c>
      <c r="F914" t="s">
        <v>26</v>
      </c>
      <c r="G914" t="s">
        <v>45</v>
      </c>
      <c r="H914" t="s">
        <v>64</v>
      </c>
      <c r="I914" t="s">
        <v>29</v>
      </c>
      <c r="J914" t="s">
        <v>30</v>
      </c>
      <c r="K914" s="2">
        <v>6200</v>
      </c>
      <c r="L914" s="2">
        <v>36500</v>
      </c>
      <c r="M914">
        <v>48</v>
      </c>
      <c r="N914" s="3">
        <v>0.29199999999999998</v>
      </c>
      <c r="O914" t="s">
        <v>17</v>
      </c>
      <c r="P914" t="s">
        <v>31</v>
      </c>
      <c r="Q914">
        <v>0</v>
      </c>
      <c r="R914">
        <v>1</v>
      </c>
      <c r="S914" s="2">
        <v>0</v>
      </c>
      <c r="T914" s="4"/>
      <c r="U914">
        <v>3</v>
      </c>
      <c r="V914">
        <v>1</v>
      </c>
      <c r="W914">
        <v>1</v>
      </c>
    </row>
    <row r="915" spans="1:23" ht="16.5" x14ac:dyDescent="0.3">
      <c r="A915" t="s">
        <v>970</v>
      </c>
      <c r="B915" s="1">
        <v>45425</v>
      </c>
      <c r="C915">
        <v>2024</v>
      </c>
      <c r="D915" t="s">
        <v>688</v>
      </c>
      <c r="E915" t="s">
        <v>885</v>
      </c>
      <c r="F915" t="s">
        <v>41</v>
      </c>
      <c r="G915" t="s">
        <v>51</v>
      </c>
      <c r="H915" t="s">
        <v>38</v>
      </c>
      <c r="I915" t="s">
        <v>39</v>
      </c>
      <c r="J915" t="s">
        <v>35</v>
      </c>
      <c r="K915" s="2">
        <v>4950</v>
      </c>
      <c r="L915" s="2">
        <v>95500</v>
      </c>
      <c r="M915">
        <v>12</v>
      </c>
      <c r="N915" s="3">
        <v>1.93</v>
      </c>
      <c r="O915" t="s">
        <v>125</v>
      </c>
      <c r="Q915">
        <v>0</v>
      </c>
      <c r="R915">
        <v>0</v>
      </c>
      <c r="S915" s="2">
        <v>0</v>
      </c>
      <c r="T915" s="4"/>
      <c r="U915">
        <v>19</v>
      </c>
      <c r="V915">
        <v>0</v>
      </c>
      <c r="W915">
        <v>1</v>
      </c>
    </row>
    <row r="916" spans="1:23" ht="16.5" x14ac:dyDescent="0.3">
      <c r="A916" t="s">
        <v>971</v>
      </c>
      <c r="B916" s="1">
        <v>45426</v>
      </c>
      <c r="C916">
        <v>2024</v>
      </c>
      <c r="D916" t="s">
        <v>688</v>
      </c>
      <c r="E916" t="s">
        <v>885</v>
      </c>
      <c r="F916" t="s">
        <v>26</v>
      </c>
      <c r="G916" t="s">
        <v>51</v>
      </c>
      <c r="H916" t="s">
        <v>55</v>
      </c>
      <c r="I916" t="s">
        <v>29</v>
      </c>
      <c r="J916" t="s">
        <v>52</v>
      </c>
      <c r="K916" s="2">
        <v>5950</v>
      </c>
      <c r="L916" s="2">
        <v>28000</v>
      </c>
      <c r="M916">
        <v>36</v>
      </c>
      <c r="N916" s="3">
        <v>0.36599999999999999</v>
      </c>
      <c r="O916" t="s">
        <v>16</v>
      </c>
      <c r="Q916">
        <v>1</v>
      </c>
      <c r="R916">
        <v>0</v>
      </c>
      <c r="S916" s="2">
        <v>28000</v>
      </c>
      <c r="T916" s="4">
        <v>7.8399999999999997E-2</v>
      </c>
      <c r="U916">
        <v>7</v>
      </c>
      <c r="V916">
        <v>0</v>
      </c>
      <c r="W916">
        <v>1</v>
      </c>
    </row>
    <row r="917" spans="1:23" ht="16.5" x14ac:dyDescent="0.3">
      <c r="A917" t="s">
        <v>972</v>
      </c>
      <c r="B917" s="1">
        <v>45426</v>
      </c>
      <c r="C917">
        <v>2024</v>
      </c>
      <c r="D917" t="s">
        <v>688</v>
      </c>
      <c r="E917" t="s">
        <v>885</v>
      </c>
      <c r="F917" t="s">
        <v>26</v>
      </c>
      <c r="G917" t="s">
        <v>45</v>
      </c>
      <c r="H917" t="s">
        <v>28</v>
      </c>
      <c r="I917" t="s">
        <v>29</v>
      </c>
      <c r="J917" t="s">
        <v>52</v>
      </c>
      <c r="K917" s="2">
        <v>7600</v>
      </c>
      <c r="L917" s="2">
        <v>64500</v>
      </c>
      <c r="M917">
        <v>48</v>
      </c>
      <c r="N917" s="3">
        <v>0.30099999999999999</v>
      </c>
      <c r="O917" t="s">
        <v>17</v>
      </c>
      <c r="P917" t="s">
        <v>60</v>
      </c>
      <c r="Q917">
        <v>0</v>
      </c>
      <c r="R917">
        <v>1</v>
      </c>
      <c r="S917" s="2">
        <v>0</v>
      </c>
      <c r="T917" s="4"/>
      <c r="U917">
        <v>8</v>
      </c>
      <c r="V917">
        <v>0</v>
      </c>
      <c r="W917">
        <v>1</v>
      </c>
    </row>
    <row r="918" spans="1:23" ht="16.5" x14ac:dyDescent="0.3">
      <c r="A918" t="s">
        <v>973</v>
      </c>
      <c r="B918" s="1">
        <v>45426</v>
      </c>
      <c r="C918">
        <v>2024</v>
      </c>
      <c r="D918" t="s">
        <v>688</v>
      </c>
      <c r="E918" t="s">
        <v>885</v>
      </c>
      <c r="F918" t="s">
        <v>50</v>
      </c>
      <c r="G918" t="s">
        <v>45</v>
      </c>
      <c r="H918" t="s">
        <v>55</v>
      </c>
      <c r="I918" t="s">
        <v>39</v>
      </c>
      <c r="J918" t="s">
        <v>35</v>
      </c>
      <c r="K918" s="2">
        <v>4150</v>
      </c>
      <c r="L918" s="2">
        <v>164000</v>
      </c>
      <c r="M918">
        <v>240</v>
      </c>
      <c r="N918" s="3">
        <v>0.46899999999999997</v>
      </c>
      <c r="O918" t="s">
        <v>17</v>
      </c>
      <c r="P918" t="s">
        <v>53</v>
      </c>
      <c r="Q918">
        <v>0</v>
      </c>
      <c r="R918">
        <v>1</v>
      </c>
      <c r="S918" s="2">
        <v>0</v>
      </c>
      <c r="T918" s="4"/>
      <c r="U918">
        <v>6</v>
      </c>
      <c r="V918">
        <v>1</v>
      </c>
      <c r="W918">
        <v>1</v>
      </c>
    </row>
    <row r="919" spans="1:23" ht="16.5" x14ac:dyDescent="0.3">
      <c r="A919" t="s">
        <v>974</v>
      </c>
      <c r="B919" s="1">
        <v>45426</v>
      </c>
      <c r="C919">
        <v>2024</v>
      </c>
      <c r="D919" t="s">
        <v>688</v>
      </c>
      <c r="E919" t="s">
        <v>885</v>
      </c>
      <c r="F919" t="s">
        <v>37</v>
      </c>
      <c r="G919" t="s">
        <v>33</v>
      </c>
      <c r="H919" t="s">
        <v>55</v>
      </c>
      <c r="I919" t="s">
        <v>29</v>
      </c>
      <c r="J919" t="s">
        <v>35</v>
      </c>
      <c r="K919" s="2">
        <v>3050</v>
      </c>
      <c r="L919" s="2">
        <v>9500</v>
      </c>
      <c r="M919">
        <v>48</v>
      </c>
      <c r="N919" s="3">
        <v>0.217</v>
      </c>
      <c r="O919" t="s">
        <v>16</v>
      </c>
      <c r="Q919">
        <v>1</v>
      </c>
      <c r="R919">
        <v>0</v>
      </c>
      <c r="S919" s="2">
        <v>8500</v>
      </c>
      <c r="T919" s="4">
        <v>0.1239</v>
      </c>
      <c r="U919">
        <v>1</v>
      </c>
      <c r="V919">
        <v>1</v>
      </c>
      <c r="W919">
        <v>1</v>
      </c>
    </row>
    <row r="920" spans="1:23" ht="16.5" x14ac:dyDescent="0.3">
      <c r="A920" t="s">
        <v>975</v>
      </c>
      <c r="B920" s="1">
        <v>45426</v>
      </c>
      <c r="C920">
        <v>2024</v>
      </c>
      <c r="D920" t="s">
        <v>688</v>
      </c>
      <c r="E920" t="s">
        <v>885</v>
      </c>
      <c r="F920" t="s">
        <v>37</v>
      </c>
      <c r="G920" t="s">
        <v>33</v>
      </c>
      <c r="H920" t="s">
        <v>55</v>
      </c>
      <c r="I920" t="s">
        <v>29</v>
      </c>
      <c r="J920" t="s">
        <v>35</v>
      </c>
      <c r="K920" s="2">
        <v>4500</v>
      </c>
      <c r="L920" s="2">
        <v>13000</v>
      </c>
      <c r="M920">
        <v>12</v>
      </c>
      <c r="N920" s="3">
        <v>0.504</v>
      </c>
      <c r="O920" t="s">
        <v>16</v>
      </c>
      <c r="Q920">
        <v>1</v>
      </c>
      <c r="R920">
        <v>0</v>
      </c>
      <c r="S920" s="2">
        <v>10500</v>
      </c>
      <c r="T920" s="4">
        <v>0.12809999999999999</v>
      </c>
      <c r="U920">
        <v>1</v>
      </c>
      <c r="V920">
        <v>1</v>
      </c>
      <c r="W920">
        <v>1</v>
      </c>
    </row>
    <row r="921" spans="1:23" ht="16.5" x14ac:dyDescent="0.3">
      <c r="A921" t="s">
        <v>976</v>
      </c>
      <c r="B921" s="1">
        <v>45426</v>
      </c>
      <c r="C921">
        <v>2024</v>
      </c>
      <c r="D921" t="s">
        <v>688</v>
      </c>
      <c r="E921" t="s">
        <v>885</v>
      </c>
      <c r="F921" t="s">
        <v>26</v>
      </c>
      <c r="G921" t="s">
        <v>27</v>
      </c>
      <c r="H921" t="s">
        <v>38</v>
      </c>
      <c r="I921" t="s">
        <v>42</v>
      </c>
      <c r="J921" t="s">
        <v>35</v>
      </c>
      <c r="K921" s="2">
        <v>5400</v>
      </c>
      <c r="L921" s="2">
        <v>24000</v>
      </c>
      <c r="M921">
        <v>60</v>
      </c>
      <c r="N921" s="3">
        <v>0.3</v>
      </c>
      <c r="O921" t="s">
        <v>17</v>
      </c>
      <c r="P921" t="s">
        <v>48</v>
      </c>
      <c r="Q921">
        <v>0</v>
      </c>
      <c r="R921">
        <v>1</v>
      </c>
      <c r="S921" s="2">
        <v>0</v>
      </c>
      <c r="T921" s="4"/>
      <c r="U921">
        <v>4</v>
      </c>
      <c r="V921">
        <v>1</v>
      </c>
      <c r="W921">
        <v>1</v>
      </c>
    </row>
    <row r="922" spans="1:23" ht="16.5" x14ac:dyDescent="0.3">
      <c r="A922" t="s">
        <v>977</v>
      </c>
      <c r="B922" s="1">
        <v>45426</v>
      </c>
      <c r="C922">
        <v>2024</v>
      </c>
      <c r="D922" t="s">
        <v>688</v>
      </c>
      <c r="E922" t="s">
        <v>885</v>
      </c>
      <c r="F922" t="s">
        <v>50</v>
      </c>
      <c r="G922" t="s">
        <v>27</v>
      </c>
      <c r="H922" t="s">
        <v>64</v>
      </c>
      <c r="I922" t="s">
        <v>29</v>
      </c>
      <c r="J922" t="s">
        <v>52</v>
      </c>
      <c r="K922" s="2">
        <v>4650</v>
      </c>
      <c r="L922" s="2">
        <v>242500</v>
      </c>
      <c r="M922">
        <v>300</v>
      </c>
      <c r="N922" s="3">
        <v>0.51700000000000002</v>
      </c>
      <c r="O922" t="s">
        <v>16</v>
      </c>
      <c r="Q922">
        <v>1</v>
      </c>
      <c r="R922">
        <v>0</v>
      </c>
      <c r="S922" s="2">
        <v>242500</v>
      </c>
      <c r="T922" s="4">
        <v>4.87E-2</v>
      </c>
      <c r="U922">
        <v>7</v>
      </c>
      <c r="V922">
        <v>1</v>
      </c>
      <c r="W922">
        <v>1</v>
      </c>
    </row>
    <row r="923" spans="1:23" ht="16.5" x14ac:dyDescent="0.3">
      <c r="A923" t="s">
        <v>978</v>
      </c>
      <c r="B923" s="1">
        <v>45426</v>
      </c>
      <c r="C923">
        <v>2024</v>
      </c>
      <c r="D923" t="s">
        <v>688</v>
      </c>
      <c r="E923" t="s">
        <v>885</v>
      </c>
      <c r="F923" t="s">
        <v>37</v>
      </c>
      <c r="G923" t="s">
        <v>51</v>
      </c>
      <c r="H923" t="s">
        <v>38</v>
      </c>
      <c r="I923" t="s">
        <v>39</v>
      </c>
      <c r="J923" t="s">
        <v>30</v>
      </c>
      <c r="K923" s="2">
        <v>2850</v>
      </c>
      <c r="L923" s="2">
        <v>7500</v>
      </c>
      <c r="M923">
        <v>60</v>
      </c>
      <c r="N923" s="3">
        <v>0.20699999999999999</v>
      </c>
      <c r="O923" t="s">
        <v>16</v>
      </c>
      <c r="Q923">
        <v>1</v>
      </c>
      <c r="R923">
        <v>0</v>
      </c>
      <c r="S923" s="2">
        <v>6000</v>
      </c>
      <c r="T923" s="4">
        <v>0.14749999999999999</v>
      </c>
      <c r="U923">
        <v>8</v>
      </c>
      <c r="V923">
        <v>0</v>
      </c>
      <c r="W923">
        <v>1</v>
      </c>
    </row>
    <row r="924" spans="1:23" ht="16.5" x14ac:dyDescent="0.3">
      <c r="A924" t="s">
        <v>979</v>
      </c>
      <c r="B924" s="1">
        <v>45427</v>
      </c>
      <c r="C924">
        <v>2024</v>
      </c>
      <c r="D924" t="s">
        <v>688</v>
      </c>
      <c r="E924" t="s">
        <v>885</v>
      </c>
      <c r="F924" t="s">
        <v>37</v>
      </c>
      <c r="G924" t="s">
        <v>51</v>
      </c>
      <c r="H924" t="s">
        <v>38</v>
      </c>
      <c r="I924" t="s">
        <v>29</v>
      </c>
      <c r="J924" t="s">
        <v>52</v>
      </c>
      <c r="K924" s="2">
        <v>4950</v>
      </c>
      <c r="L924" s="2">
        <v>10500</v>
      </c>
      <c r="M924">
        <v>24</v>
      </c>
      <c r="N924" s="3">
        <v>0.247</v>
      </c>
      <c r="O924" t="s">
        <v>16</v>
      </c>
      <c r="Q924">
        <v>1</v>
      </c>
      <c r="R924">
        <v>0</v>
      </c>
      <c r="S924" s="2">
        <v>10500</v>
      </c>
      <c r="T924" s="4">
        <v>0.11559999999999999</v>
      </c>
      <c r="U924">
        <v>7</v>
      </c>
      <c r="V924">
        <v>0</v>
      </c>
      <c r="W924">
        <v>1</v>
      </c>
    </row>
    <row r="925" spans="1:23" ht="16.5" x14ac:dyDescent="0.3">
      <c r="A925" t="s">
        <v>980</v>
      </c>
      <c r="B925" s="1">
        <v>45427</v>
      </c>
      <c r="C925">
        <v>2024</v>
      </c>
      <c r="D925" t="s">
        <v>688</v>
      </c>
      <c r="E925" t="s">
        <v>885</v>
      </c>
      <c r="F925" t="s">
        <v>26</v>
      </c>
      <c r="G925" t="s">
        <v>51</v>
      </c>
      <c r="H925" t="s">
        <v>55</v>
      </c>
      <c r="I925" t="s">
        <v>39</v>
      </c>
      <c r="J925" t="s">
        <v>30</v>
      </c>
      <c r="K925" s="2">
        <v>3150</v>
      </c>
      <c r="L925" s="2">
        <v>31000</v>
      </c>
      <c r="M925">
        <v>48</v>
      </c>
      <c r="N925" s="3">
        <v>0.30199999999999999</v>
      </c>
      <c r="O925" t="s">
        <v>16</v>
      </c>
      <c r="Q925">
        <v>1</v>
      </c>
      <c r="R925">
        <v>0</v>
      </c>
      <c r="S925" s="2">
        <v>31000</v>
      </c>
      <c r="T925" s="4">
        <v>9.4799999999999995E-2</v>
      </c>
      <c r="U925">
        <v>5</v>
      </c>
      <c r="V925">
        <v>0</v>
      </c>
      <c r="W925">
        <v>1</v>
      </c>
    </row>
    <row r="926" spans="1:23" ht="16.5" x14ac:dyDescent="0.3">
      <c r="A926" t="s">
        <v>981</v>
      </c>
      <c r="B926" s="1">
        <v>45427</v>
      </c>
      <c r="C926">
        <v>2024</v>
      </c>
      <c r="D926" t="s">
        <v>688</v>
      </c>
      <c r="E926" t="s">
        <v>885</v>
      </c>
      <c r="F926" t="s">
        <v>26</v>
      </c>
      <c r="G926" t="s">
        <v>51</v>
      </c>
      <c r="H926" t="s">
        <v>64</v>
      </c>
      <c r="I926" t="s">
        <v>29</v>
      </c>
      <c r="J926" t="s">
        <v>30</v>
      </c>
      <c r="K926" s="2">
        <v>6550</v>
      </c>
      <c r="L926" s="2">
        <v>41500</v>
      </c>
      <c r="M926">
        <v>60</v>
      </c>
      <c r="N926" s="3">
        <v>0.26200000000000001</v>
      </c>
      <c r="O926" t="s">
        <v>16</v>
      </c>
      <c r="Q926">
        <v>1</v>
      </c>
      <c r="R926">
        <v>0</v>
      </c>
      <c r="S926" s="2">
        <v>37500</v>
      </c>
      <c r="T926" s="4">
        <v>9.4899999999999998E-2</v>
      </c>
      <c r="U926">
        <v>5</v>
      </c>
      <c r="V926">
        <v>0</v>
      </c>
      <c r="W926">
        <v>1</v>
      </c>
    </row>
    <row r="927" spans="1:23" ht="16.5" x14ac:dyDescent="0.3">
      <c r="A927" t="s">
        <v>982</v>
      </c>
      <c r="B927" s="1">
        <v>45427</v>
      </c>
      <c r="C927">
        <v>2024</v>
      </c>
      <c r="D927" t="s">
        <v>688</v>
      </c>
      <c r="E927" t="s">
        <v>885</v>
      </c>
      <c r="F927" t="s">
        <v>37</v>
      </c>
      <c r="G927" t="s">
        <v>51</v>
      </c>
      <c r="H927" t="s">
        <v>38</v>
      </c>
      <c r="I927" t="s">
        <v>39</v>
      </c>
      <c r="J927" t="s">
        <v>35</v>
      </c>
      <c r="K927" s="2">
        <v>3600</v>
      </c>
      <c r="L927" s="2">
        <v>5000</v>
      </c>
      <c r="M927">
        <v>24</v>
      </c>
      <c r="N927" s="3">
        <v>0.253</v>
      </c>
      <c r="O927" t="s">
        <v>16</v>
      </c>
      <c r="Q927">
        <v>1</v>
      </c>
      <c r="R927">
        <v>0</v>
      </c>
      <c r="S927" s="2">
        <v>4000</v>
      </c>
      <c r="T927" s="4">
        <v>0.12520000000000001</v>
      </c>
      <c r="U927">
        <v>5</v>
      </c>
      <c r="V927">
        <v>0</v>
      </c>
      <c r="W927">
        <v>1</v>
      </c>
    </row>
    <row r="928" spans="1:23" ht="16.5" x14ac:dyDescent="0.3">
      <c r="A928" t="s">
        <v>983</v>
      </c>
      <c r="B928" s="1">
        <v>45427</v>
      </c>
      <c r="C928">
        <v>2024</v>
      </c>
      <c r="D928" t="s">
        <v>688</v>
      </c>
      <c r="E928" t="s">
        <v>885</v>
      </c>
      <c r="F928" t="s">
        <v>26</v>
      </c>
      <c r="G928" t="s">
        <v>33</v>
      </c>
      <c r="H928" t="s">
        <v>64</v>
      </c>
      <c r="I928" t="s">
        <v>29</v>
      </c>
      <c r="J928" t="s">
        <v>46</v>
      </c>
      <c r="K928" s="2">
        <v>6100</v>
      </c>
      <c r="L928" s="2">
        <v>27500</v>
      </c>
      <c r="M928">
        <v>36</v>
      </c>
      <c r="N928" s="3">
        <v>0.22700000000000001</v>
      </c>
      <c r="O928" t="s">
        <v>16</v>
      </c>
      <c r="Q928">
        <v>1</v>
      </c>
      <c r="R928">
        <v>0</v>
      </c>
      <c r="S928" s="2">
        <v>27500</v>
      </c>
      <c r="T928" s="4">
        <v>5.9400000000000001E-2</v>
      </c>
      <c r="U928">
        <v>2</v>
      </c>
      <c r="V928">
        <v>1</v>
      </c>
      <c r="W928">
        <v>1</v>
      </c>
    </row>
    <row r="929" spans="1:23" ht="16.5" x14ac:dyDescent="0.3">
      <c r="A929" t="s">
        <v>984</v>
      </c>
      <c r="B929" s="1">
        <v>45427</v>
      </c>
      <c r="C929">
        <v>2024</v>
      </c>
      <c r="D929" t="s">
        <v>688</v>
      </c>
      <c r="E929" t="s">
        <v>885</v>
      </c>
      <c r="F929" t="s">
        <v>50</v>
      </c>
      <c r="G929" t="s">
        <v>51</v>
      </c>
      <c r="H929" t="s">
        <v>38</v>
      </c>
      <c r="I929" t="s">
        <v>39</v>
      </c>
      <c r="J929" t="s">
        <v>35</v>
      </c>
      <c r="K929" s="2">
        <v>6100</v>
      </c>
      <c r="L929" s="2">
        <v>197500</v>
      </c>
      <c r="M929">
        <v>300</v>
      </c>
      <c r="N929" s="3">
        <v>0.41</v>
      </c>
      <c r="O929" t="s">
        <v>16</v>
      </c>
      <c r="Q929">
        <v>1</v>
      </c>
      <c r="R929">
        <v>0</v>
      </c>
      <c r="S929" s="2">
        <v>197500</v>
      </c>
      <c r="T929" s="4">
        <v>5.3600000000000002E-2</v>
      </c>
      <c r="U929">
        <v>17</v>
      </c>
      <c r="V929">
        <v>0</v>
      </c>
      <c r="W929">
        <v>1</v>
      </c>
    </row>
    <row r="930" spans="1:23" ht="16.5" x14ac:dyDescent="0.3">
      <c r="A930" t="s">
        <v>985</v>
      </c>
      <c r="B930" s="1">
        <v>45427</v>
      </c>
      <c r="C930">
        <v>2024</v>
      </c>
      <c r="D930" t="s">
        <v>688</v>
      </c>
      <c r="E930" t="s">
        <v>885</v>
      </c>
      <c r="F930" t="s">
        <v>50</v>
      </c>
      <c r="G930" t="s">
        <v>45</v>
      </c>
      <c r="H930" t="s">
        <v>55</v>
      </c>
      <c r="I930" t="s">
        <v>29</v>
      </c>
      <c r="J930" t="s">
        <v>52</v>
      </c>
      <c r="K930" s="2">
        <v>4100</v>
      </c>
      <c r="L930" s="2">
        <v>648000</v>
      </c>
      <c r="M930">
        <v>240</v>
      </c>
      <c r="N930" s="3">
        <v>1.1659999999999999</v>
      </c>
      <c r="O930" t="s">
        <v>17</v>
      </c>
      <c r="P930" t="s">
        <v>53</v>
      </c>
      <c r="Q930">
        <v>0</v>
      </c>
      <c r="R930">
        <v>1</v>
      </c>
      <c r="S930" s="2">
        <v>0</v>
      </c>
      <c r="T930" s="4"/>
      <c r="U930">
        <v>9</v>
      </c>
      <c r="V930">
        <v>1</v>
      </c>
      <c r="W930">
        <v>1</v>
      </c>
    </row>
    <row r="931" spans="1:23" ht="16.5" x14ac:dyDescent="0.3">
      <c r="A931" t="s">
        <v>986</v>
      </c>
      <c r="B931" s="1">
        <v>45427</v>
      </c>
      <c r="C931">
        <v>2024</v>
      </c>
      <c r="D931" t="s">
        <v>688</v>
      </c>
      <c r="E931" t="s">
        <v>885</v>
      </c>
      <c r="F931" t="s">
        <v>50</v>
      </c>
      <c r="G931" t="s">
        <v>51</v>
      </c>
      <c r="H931" t="s">
        <v>38</v>
      </c>
      <c r="I931" t="s">
        <v>29</v>
      </c>
      <c r="J931" t="s">
        <v>35</v>
      </c>
      <c r="K931" s="2">
        <v>3500</v>
      </c>
      <c r="L931" s="2">
        <v>338500</v>
      </c>
      <c r="M931">
        <v>300</v>
      </c>
      <c r="N931" s="3">
        <v>0.754</v>
      </c>
      <c r="O931" t="s">
        <v>17</v>
      </c>
      <c r="P931" t="s">
        <v>53</v>
      </c>
      <c r="Q931">
        <v>0</v>
      </c>
      <c r="R931">
        <v>1</v>
      </c>
      <c r="S931" s="2">
        <v>0</v>
      </c>
      <c r="T931" s="4"/>
      <c r="U931">
        <v>23</v>
      </c>
      <c r="V931">
        <v>0</v>
      </c>
      <c r="W931">
        <v>1</v>
      </c>
    </row>
    <row r="932" spans="1:23" ht="16.5" x14ac:dyDescent="0.3">
      <c r="A932" t="s">
        <v>987</v>
      </c>
      <c r="B932" s="1">
        <v>45427</v>
      </c>
      <c r="C932">
        <v>2024</v>
      </c>
      <c r="D932" t="s">
        <v>688</v>
      </c>
      <c r="E932" t="s">
        <v>885</v>
      </c>
      <c r="F932" t="s">
        <v>37</v>
      </c>
      <c r="G932" t="s">
        <v>45</v>
      </c>
      <c r="H932" t="s">
        <v>64</v>
      </c>
      <c r="I932" t="s">
        <v>39</v>
      </c>
      <c r="J932" t="s">
        <v>52</v>
      </c>
      <c r="K932" s="2">
        <v>10300</v>
      </c>
      <c r="L932" s="2">
        <v>9000</v>
      </c>
      <c r="M932">
        <v>36</v>
      </c>
      <c r="N932" s="3">
        <v>0.186</v>
      </c>
      <c r="O932" t="s">
        <v>16</v>
      </c>
      <c r="Q932">
        <v>1</v>
      </c>
      <c r="R932">
        <v>0</v>
      </c>
      <c r="S932" s="2">
        <v>9000</v>
      </c>
      <c r="T932" s="4">
        <v>0.1177</v>
      </c>
      <c r="U932">
        <v>2</v>
      </c>
      <c r="V932">
        <v>1</v>
      </c>
      <c r="W932">
        <v>1</v>
      </c>
    </row>
    <row r="933" spans="1:23" ht="16.5" x14ac:dyDescent="0.3">
      <c r="A933" t="s">
        <v>988</v>
      </c>
      <c r="B933" s="1">
        <v>45427</v>
      </c>
      <c r="C933">
        <v>2024</v>
      </c>
      <c r="D933" t="s">
        <v>688</v>
      </c>
      <c r="E933" t="s">
        <v>885</v>
      </c>
      <c r="F933" t="s">
        <v>37</v>
      </c>
      <c r="G933" t="s">
        <v>51</v>
      </c>
      <c r="H933" t="s">
        <v>38</v>
      </c>
      <c r="I933" t="s">
        <v>39</v>
      </c>
      <c r="J933" t="s">
        <v>35</v>
      </c>
      <c r="K933" s="2">
        <v>5150</v>
      </c>
      <c r="L933" s="2">
        <v>4500</v>
      </c>
      <c r="M933">
        <v>12</v>
      </c>
      <c r="N933" s="3">
        <v>0.161</v>
      </c>
      <c r="O933" t="s">
        <v>16</v>
      </c>
      <c r="Q933">
        <v>1</v>
      </c>
      <c r="R933">
        <v>0</v>
      </c>
      <c r="S933" s="2">
        <v>3500</v>
      </c>
      <c r="T933" s="4">
        <v>0.123</v>
      </c>
      <c r="U933">
        <v>7</v>
      </c>
      <c r="V933">
        <v>0</v>
      </c>
      <c r="W933">
        <v>1</v>
      </c>
    </row>
    <row r="934" spans="1:23" ht="16.5" x14ac:dyDescent="0.3">
      <c r="A934" t="s">
        <v>989</v>
      </c>
      <c r="B934" s="1">
        <v>45427</v>
      </c>
      <c r="C934">
        <v>2024</v>
      </c>
      <c r="D934" t="s">
        <v>688</v>
      </c>
      <c r="E934" t="s">
        <v>885</v>
      </c>
      <c r="F934" t="s">
        <v>50</v>
      </c>
      <c r="G934" t="s">
        <v>33</v>
      </c>
      <c r="H934" t="s">
        <v>64</v>
      </c>
      <c r="I934" t="s">
        <v>29</v>
      </c>
      <c r="J934" t="s">
        <v>30</v>
      </c>
      <c r="K934" s="2">
        <v>6900</v>
      </c>
      <c r="L934" s="2">
        <v>252500</v>
      </c>
      <c r="M934">
        <v>240</v>
      </c>
      <c r="N934" s="3">
        <v>0.437</v>
      </c>
      <c r="O934" t="s">
        <v>16</v>
      </c>
      <c r="Q934">
        <v>1</v>
      </c>
      <c r="R934">
        <v>0</v>
      </c>
      <c r="S934" s="2">
        <v>252500</v>
      </c>
      <c r="T934" s="4">
        <v>7.51E-2</v>
      </c>
      <c r="U934">
        <v>9</v>
      </c>
      <c r="V934">
        <v>1</v>
      </c>
      <c r="W934">
        <v>1</v>
      </c>
    </row>
    <row r="935" spans="1:23" ht="16.5" x14ac:dyDescent="0.3">
      <c r="A935" t="s">
        <v>990</v>
      </c>
      <c r="B935" s="1">
        <v>45427</v>
      </c>
      <c r="C935">
        <v>2024</v>
      </c>
      <c r="D935" t="s">
        <v>688</v>
      </c>
      <c r="E935" t="s">
        <v>885</v>
      </c>
      <c r="F935" t="s">
        <v>37</v>
      </c>
      <c r="G935" t="s">
        <v>45</v>
      </c>
      <c r="H935" t="s">
        <v>38</v>
      </c>
      <c r="I935" t="s">
        <v>39</v>
      </c>
      <c r="J935" t="s">
        <v>43</v>
      </c>
      <c r="K935" s="2">
        <v>9750</v>
      </c>
      <c r="L935" s="2">
        <v>10000</v>
      </c>
      <c r="M935">
        <v>36</v>
      </c>
      <c r="N935" s="3">
        <v>0.26</v>
      </c>
      <c r="O935" t="s">
        <v>16</v>
      </c>
      <c r="Q935">
        <v>1</v>
      </c>
      <c r="R935">
        <v>0</v>
      </c>
      <c r="S935" s="2">
        <v>10000</v>
      </c>
      <c r="T935" s="4">
        <v>0.15909999999999999</v>
      </c>
      <c r="U935">
        <v>2</v>
      </c>
      <c r="V935">
        <v>1</v>
      </c>
      <c r="W935">
        <v>1</v>
      </c>
    </row>
    <row r="936" spans="1:23" ht="16.5" x14ac:dyDescent="0.3">
      <c r="A936" t="s">
        <v>991</v>
      </c>
      <c r="B936" s="1">
        <v>45428</v>
      </c>
      <c r="C936">
        <v>2024</v>
      </c>
      <c r="D936" t="s">
        <v>688</v>
      </c>
      <c r="E936" t="s">
        <v>885</v>
      </c>
      <c r="F936" t="s">
        <v>41</v>
      </c>
      <c r="G936" t="s">
        <v>45</v>
      </c>
      <c r="H936" t="s">
        <v>55</v>
      </c>
      <c r="I936" t="s">
        <v>42</v>
      </c>
      <c r="J936" t="s">
        <v>52</v>
      </c>
      <c r="K936" s="2">
        <v>5250</v>
      </c>
      <c r="L936" s="2">
        <v>56000</v>
      </c>
      <c r="M936">
        <v>60</v>
      </c>
      <c r="N936" s="3">
        <v>0.34699999999999998</v>
      </c>
      <c r="O936" t="s">
        <v>16</v>
      </c>
      <c r="Q936">
        <v>1</v>
      </c>
      <c r="R936">
        <v>0</v>
      </c>
      <c r="S936" s="2">
        <v>56000</v>
      </c>
      <c r="T936" s="4">
        <v>9.8799999999999999E-2</v>
      </c>
      <c r="U936">
        <v>4</v>
      </c>
      <c r="V936">
        <v>1</v>
      </c>
      <c r="W936">
        <v>1</v>
      </c>
    </row>
    <row r="937" spans="1:23" ht="16.5" x14ac:dyDescent="0.3">
      <c r="A937" t="s">
        <v>992</v>
      </c>
      <c r="B937" s="1">
        <v>45428</v>
      </c>
      <c r="C937">
        <v>2024</v>
      </c>
      <c r="D937" t="s">
        <v>688</v>
      </c>
      <c r="E937" t="s">
        <v>885</v>
      </c>
      <c r="F937" t="s">
        <v>26</v>
      </c>
      <c r="G937" t="s">
        <v>51</v>
      </c>
      <c r="H937" t="s">
        <v>55</v>
      </c>
      <c r="I937" t="s">
        <v>39</v>
      </c>
      <c r="J937" t="s">
        <v>46</v>
      </c>
      <c r="K937" s="2">
        <v>6850</v>
      </c>
      <c r="L937" s="2">
        <v>18000</v>
      </c>
      <c r="M937">
        <v>60</v>
      </c>
      <c r="N937" s="3">
        <v>0.188</v>
      </c>
      <c r="O937" t="s">
        <v>16</v>
      </c>
      <c r="Q937">
        <v>1</v>
      </c>
      <c r="R937">
        <v>0</v>
      </c>
      <c r="S937" s="2">
        <v>18000</v>
      </c>
      <c r="T937" s="4">
        <v>6.9400000000000003E-2</v>
      </c>
      <c r="U937">
        <v>5</v>
      </c>
      <c r="V937">
        <v>0</v>
      </c>
      <c r="W937">
        <v>1</v>
      </c>
    </row>
    <row r="938" spans="1:23" ht="16.5" x14ac:dyDescent="0.3">
      <c r="A938" t="s">
        <v>993</v>
      </c>
      <c r="B938" s="1">
        <v>45428</v>
      </c>
      <c r="C938">
        <v>2024</v>
      </c>
      <c r="D938" t="s">
        <v>688</v>
      </c>
      <c r="E938" t="s">
        <v>885</v>
      </c>
      <c r="F938" t="s">
        <v>26</v>
      </c>
      <c r="G938" t="s">
        <v>51</v>
      </c>
      <c r="H938" t="s">
        <v>55</v>
      </c>
      <c r="I938" t="s">
        <v>39</v>
      </c>
      <c r="J938" t="s">
        <v>43</v>
      </c>
      <c r="K938" s="2">
        <v>4200</v>
      </c>
      <c r="L938" s="2">
        <v>28000</v>
      </c>
      <c r="M938">
        <v>36</v>
      </c>
      <c r="N938" s="3">
        <v>0.378</v>
      </c>
      <c r="O938" t="s">
        <v>16</v>
      </c>
      <c r="Q938">
        <v>1</v>
      </c>
      <c r="R938">
        <v>0</v>
      </c>
      <c r="S938" s="2">
        <v>22500</v>
      </c>
      <c r="T938" s="4">
        <v>0.11749999999999999</v>
      </c>
      <c r="U938">
        <v>9</v>
      </c>
      <c r="V938">
        <v>0</v>
      </c>
      <c r="W938">
        <v>1</v>
      </c>
    </row>
    <row r="939" spans="1:23" ht="16.5" x14ac:dyDescent="0.3">
      <c r="A939" t="s">
        <v>994</v>
      </c>
      <c r="B939" s="1">
        <v>45428</v>
      </c>
      <c r="C939">
        <v>2024</v>
      </c>
      <c r="D939" t="s">
        <v>688</v>
      </c>
      <c r="E939" t="s">
        <v>885</v>
      </c>
      <c r="F939" t="s">
        <v>26</v>
      </c>
      <c r="G939" t="s">
        <v>45</v>
      </c>
      <c r="H939" t="s">
        <v>38</v>
      </c>
      <c r="I939" t="s">
        <v>29</v>
      </c>
      <c r="J939" t="s">
        <v>30</v>
      </c>
      <c r="K939" s="2">
        <v>5350</v>
      </c>
      <c r="L939" s="2">
        <v>13500</v>
      </c>
      <c r="M939">
        <v>60</v>
      </c>
      <c r="N939" s="3">
        <v>0.24099999999999999</v>
      </c>
      <c r="O939" t="s">
        <v>17</v>
      </c>
      <c r="P939" t="s">
        <v>31</v>
      </c>
      <c r="Q939">
        <v>0</v>
      </c>
      <c r="R939">
        <v>1</v>
      </c>
      <c r="S939" s="2">
        <v>0</v>
      </c>
      <c r="T939" s="4"/>
      <c r="U939">
        <v>4</v>
      </c>
      <c r="V939">
        <v>1</v>
      </c>
      <c r="W939">
        <v>1</v>
      </c>
    </row>
    <row r="940" spans="1:23" ht="16.5" x14ac:dyDescent="0.3">
      <c r="A940" t="s">
        <v>995</v>
      </c>
      <c r="B940" s="1">
        <v>45428</v>
      </c>
      <c r="C940">
        <v>2024</v>
      </c>
      <c r="D940" t="s">
        <v>688</v>
      </c>
      <c r="E940" t="s">
        <v>885</v>
      </c>
      <c r="F940" t="s">
        <v>41</v>
      </c>
      <c r="G940" t="s">
        <v>51</v>
      </c>
      <c r="H940" t="s">
        <v>64</v>
      </c>
      <c r="I940" t="s">
        <v>29</v>
      </c>
      <c r="J940" t="s">
        <v>35</v>
      </c>
      <c r="K940" s="2">
        <v>2650</v>
      </c>
      <c r="L940" s="2">
        <v>89500</v>
      </c>
      <c r="M940">
        <v>60</v>
      </c>
      <c r="N940" s="3">
        <v>0.84599999999999997</v>
      </c>
      <c r="O940" t="s">
        <v>125</v>
      </c>
      <c r="Q940">
        <v>0</v>
      </c>
      <c r="R940">
        <v>0</v>
      </c>
      <c r="S940" s="2">
        <v>0</v>
      </c>
      <c r="T940" s="4"/>
      <c r="U940">
        <v>23</v>
      </c>
      <c r="V940">
        <v>0</v>
      </c>
      <c r="W940">
        <v>1</v>
      </c>
    </row>
    <row r="941" spans="1:23" ht="16.5" x14ac:dyDescent="0.3">
      <c r="A941" t="s">
        <v>996</v>
      </c>
      <c r="B941" s="1">
        <v>45428</v>
      </c>
      <c r="C941">
        <v>2024</v>
      </c>
      <c r="D941" t="s">
        <v>688</v>
      </c>
      <c r="E941" t="s">
        <v>885</v>
      </c>
      <c r="F941" t="s">
        <v>41</v>
      </c>
      <c r="G941" t="s">
        <v>33</v>
      </c>
      <c r="H941" t="s">
        <v>64</v>
      </c>
      <c r="I941" t="s">
        <v>42</v>
      </c>
      <c r="J941" t="s">
        <v>35</v>
      </c>
      <c r="K941" s="2">
        <v>7500</v>
      </c>
      <c r="L941" s="2">
        <v>72500</v>
      </c>
      <c r="M941">
        <v>60</v>
      </c>
      <c r="N941" s="3">
        <v>0.39600000000000002</v>
      </c>
      <c r="O941" t="s">
        <v>16</v>
      </c>
      <c r="Q941">
        <v>1</v>
      </c>
      <c r="R941">
        <v>0</v>
      </c>
      <c r="S941" s="2">
        <v>72500</v>
      </c>
      <c r="T941" s="4">
        <v>0.1066</v>
      </c>
      <c r="U941">
        <v>12</v>
      </c>
      <c r="V941">
        <v>0</v>
      </c>
      <c r="W941">
        <v>1</v>
      </c>
    </row>
    <row r="942" spans="1:23" ht="16.5" x14ac:dyDescent="0.3">
      <c r="A942" t="s">
        <v>997</v>
      </c>
      <c r="B942" s="1">
        <v>45428</v>
      </c>
      <c r="C942">
        <v>2024</v>
      </c>
      <c r="D942" t="s">
        <v>688</v>
      </c>
      <c r="E942" t="s">
        <v>885</v>
      </c>
      <c r="F942" t="s">
        <v>37</v>
      </c>
      <c r="G942" t="s">
        <v>33</v>
      </c>
      <c r="H942" t="s">
        <v>55</v>
      </c>
      <c r="I942" t="s">
        <v>39</v>
      </c>
      <c r="J942" t="s">
        <v>30</v>
      </c>
      <c r="K942" s="2">
        <v>5550</v>
      </c>
      <c r="L942" s="2">
        <v>3000</v>
      </c>
      <c r="M942">
        <v>24</v>
      </c>
      <c r="N942" s="3">
        <v>0.23</v>
      </c>
      <c r="O942" t="s">
        <v>16</v>
      </c>
      <c r="Q942">
        <v>1</v>
      </c>
      <c r="R942">
        <v>0</v>
      </c>
      <c r="S942" s="2">
        <v>3000</v>
      </c>
      <c r="T942" s="4">
        <v>0.13789999999999999</v>
      </c>
      <c r="U942">
        <v>2</v>
      </c>
      <c r="V942">
        <v>1</v>
      </c>
      <c r="W942">
        <v>1</v>
      </c>
    </row>
    <row r="943" spans="1:23" ht="16.5" x14ac:dyDescent="0.3">
      <c r="A943" t="s">
        <v>998</v>
      </c>
      <c r="B943" s="1">
        <v>45428</v>
      </c>
      <c r="C943">
        <v>2024</v>
      </c>
      <c r="D943" t="s">
        <v>688</v>
      </c>
      <c r="E943" t="s">
        <v>885</v>
      </c>
      <c r="F943" t="s">
        <v>41</v>
      </c>
      <c r="G943" t="s">
        <v>51</v>
      </c>
      <c r="H943" t="s">
        <v>55</v>
      </c>
      <c r="I943" t="s">
        <v>29</v>
      </c>
      <c r="J943" t="s">
        <v>35</v>
      </c>
      <c r="K943" s="2">
        <v>6800</v>
      </c>
      <c r="L943" s="2">
        <v>77500</v>
      </c>
      <c r="M943">
        <v>24</v>
      </c>
      <c r="N943" s="3">
        <v>0.6</v>
      </c>
      <c r="O943" t="s">
        <v>16</v>
      </c>
      <c r="Q943">
        <v>1</v>
      </c>
      <c r="R943">
        <v>0</v>
      </c>
      <c r="S943" s="2">
        <v>77500</v>
      </c>
      <c r="T943" s="4">
        <v>0.1036</v>
      </c>
      <c r="U943">
        <v>10</v>
      </c>
      <c r="V943">
        <v>1</v>
      </c>
      <c r="W943">
        <v>1</v>
      </c>
    </row>
    <row r="944" spans="1:23" ht="16.5" x14ac:dyDescent="0.3">
      <c r="A944" t="s">
        <v>999</v>
      </c>
      <c r="B944" s="1">
        <v>45428</v>
      </c>
      <c r="C944">
        <v>2024</v>
      </c>
      <c r="D944" t="s">
        <v>688</v>
      </c>
      <c r="E944" t="s">
        <v>885</v>
      </c>
      <c r="F944" t="s">
        <v>26</v>
      </c>
      <c r="G944" t="s">
        <v>51</v>
      </c>
      <c r="H944" t="s">
        <v>38</v>
      </c>
      <c r="I944" t="s">
        <v>29</v>
      </c>
      <c r="J944" t="s">
        <v>35</v>
      </c>
      <c r="K944" s="2">
        <v>3500</v>
      </c>
      <c r="L944" s="2">
        <v>25000</v>
      </c>
      <c r="M944">
        <v>36</v>
      </c>
      <c r="N944" s="3">
        <v>0.39100000000000001</v>
      </c>
      <c r="O944" t="s">
        <v>16</v>
      </c>
      <c r="Q944">
        <v>1</v>
      </c>
      <c r="R944">
        <v>0</v>
      </c>
      <c r="S944" s="2">
        <v>25000</v>
      </c>
      <c r="T944" s="4">
        <v>8.1900000000000001E-2</v>
      </c>
      <c r="U944">
        <v>9</v>
      </c>
      <c r="V944">
        <v>0</v>
      </c>
      <c r="W944">
        <v>1</v>
      </c>
    </row>
    <row r="945" spans="1:23" ht="16.5" x14ac:dyDescent="0.3">
      <c r="A945" t="s">
        <v>1000</v>
      </c>
      <c r="B945" s="1">
        <v>45429</v>
      </c>
      <c r="C945">
        <v>2024</v>
      </c>
      <c r="D945" t="s">
        <v>688</v>
      </c>
      <c r="E945" t="s">
        <v>885</v>
      </c>
      <c r="F945" t="s">
        <v>37</v>
      </c>
      <c r="G945" t="s">
        <v>51</v>
      </c>
      <c r="H945" t="s">
        <v>34</v>
      </c>
      <c r="I945" t="s">
        <v>39</v>
      </c>
      <c r="J945" t="s">
        <v>43</v>
      </c>
      <c r="K945" s="2">
        <v>6150</v>
      </c>
      <c r="L945" s="2">
        <v>13000</v>
      </c>
      <c r="M945">
        <v>48</v>
      </c>
      <c r="N945" s="3">
        <v>0.113</v>
      </c>
      <c r="O945" t="s">
        <v>17</v>
      </c>
      <c r="P945" t="s">
        <v>31</v>
      </c>
      <c r="Q945">
        <v>0</v>
      </c>
      <c r="R945">
        <v>1</v>
      </c>
      <c r="S945" s="2">
        <v>0</v>
      </c>
      <c r="T945" s="4"/>
      <c r="U945">
        <v>5</v>
      </c>
      <c r="V945">
        <v>0</v>
      </c>
      <c r="W945">
        <v>1</v>
      </c>
    </row>
    <row r="946" spans="1:23" ht="16.5" x14ac:dyDescent="0.3">
      <c r="A946" t="s">
        <v>1001</v>
      </c>
      <c r="B946" s="1">
        <v>45429</v>
      </c>
      <c r="C946">
        <v>2024</v>
      </c>
      <c r="D946" t="s">
        <v>688</v>
      </c>
      <c r="E946" t="s">
        <v>885</v>
      </c>
      <c r="F946" t="s">
        <v>26</v>
      </c>
      <c r="G946" t="s">
        <v>45</v>
      </c>
      <c r="H946" t="s">
        <v>55</v>
      </c>
      <c r="I946" t="s">
        <v>39</v>
      </c>
      <c r="J946" t="s">
        <v>30</v>
      </c>
      <c r="K946" s="2">
        <v>10000</v>
      </c>
      <c r="L946" s="2">
        <v>25000</v>
      </c>
      <c r="M946">
        <v>48</v>
      </c>
      <c r="N946" s="3">
        <v>0.189</v>
      </c>
      <c r="O946" t="s">
        <v>17</v>
      </c>
      <c r="P946" t="s">
        <v>31</v>
      </c>
      <c r="Q946">
        <v>0</v>
      </c>
      <c r="R946">
        <v>1</v>
      </c>
      <c r="S946" s="2">
        <v>0</v>
      </c>
      <c r="T946" s="4"/>
      <c r="U946">
        <v>3</v>
      </c>
      <c r="V946">
        <v>1</v>
      </c>
      <c r="W946">
        <v>1</v>
      </c>
    </row>
    <row r="947" spans="1:23" ht="16.5" x14ac:dyDescent="0.3">
      <c r="A947" t="s">
        <v>1002</v>
      </c>
      <c r="B947" s="1">
        <v>45429</v>
      </c>
      <c r="C947">
        <v>2024</v>
      </c>
      <c r="D947" t="s">
        <v>688</v>
      </c>
      <c r="E947" t="s">
        <v>885</v>
      </c>
      <c r="F947" t="s">
        <v>37</v>
      </c>
      <c r="G947" t="s">
        <v>33</v>
      </c>
      <c r="H947" t="s">
        <v>55</v>
      </c>
      <c r="I947" t="s">
        <v>29</v>
      </c>
      <c r="J947" t="s">
        <v>52</v>
      </c>
      <c r="K947" s="2">
        <v>6650</v>
      </c>
      <c r="L947" s="2">
        <v>10000</v>
      </c>
      <c r="M947">
        <v>48</v>
      </c>
      <c r="N947" s="3">
        <v>0.245</v>
      </c>
      <c r="O947" t="s">
        <v>16</v>
      </c>
      <c r="Q947">
        <v>1</v>
      </c>
      <c r="R947">
        <v>0</v>
      </c>
      <c r="S947" s="2">
        <v>10000</v>
      </c>
      <c r="T947" s="4">
        <v>0.11459999999999999</v>
      </c>
      <c r="U947">
        <v>2</v>
      </c>
      <c r="V947">
        <v>1</v>
      </c>
      <c r="W947">
        <v>1</v>
      </c>
    </row>
    <row r="948" spans="1:23" ht="16.5" x14ac:dyDescent="0.3">
      <c r="A948" t="s">
        <v>1003</v>
      </c>
      <c r="B948" s="1">
        <v>45429</v>
      </c>
      <c r="C948">
        <v>2024</v>
      </c>
      <c r="D948" t="s">
        <v>688</v>
      </c>
      <c r="E948" t="s">
        <v>885</v>
      </c>
      <c r="F948" t="s">
        <v>37</v>
      </c>
      <c r="G948" t="s">
        <v>27</v>
      </c>
      <c r="H948" t="s">
        <v>34</v>
      </c>
      <c r="I948" t="s">
        <v>39</v>
      </c>
      <c r="J948" t="s">
        <v>52</v>
      </c>
      <c r="K948" s="2">
        <v>6400</v>
      </c>
      <c r="L948" s="2">
        <v>8500</v>
      </c>
      <c r="M948">
        <v>48</v>
      </c>
      <c r="N948" s="3">
        <v>0.17899999999999999</v>
      </c>
      <c r="O948" t="s">
        <v>17</v>
      </c>
      <c r="P948" t="s">
        <v>60</v>
      </c>
      <c r="Q948">
        <v>0</v>
      </c>
      <c r="R948">
        <v>1</v>
      </c>
      <c r="S948" s="2">
        <v>0</v>
      </c>
      <c r="T948" s="4"/>
      <c r="U948">
        <v>7</v>
      </c>
      <c r="V948">
        <v>0</v>
      </c>
      <c r="W948">
        <v>1</v>
      </c>
    </row>
    <row r="949" spans="1:23" ht="16.5" x14ac:dyDescent="0.3">
      <c r="A949" t="s">
        <v>1004</v>
      </c>
      <c r="B949" s="1">
        <v>45429</v>
      </c>
      <c r="C949">
        <v>2024</v>
      </c>
      <c r="D949" t="s">
        <v>688</v>
      </c>
      <c r="E949" t="s">
        <v>885</v>
      </c>
      <c r="F949" t="s">
        <v>26</v>
      </c>
      <c r="G949" t="s">
        <v>51</v>
      </c>
      <c r="H949" t="s">
        <v>38</v>
      </c>
      <c r="I949" t="s">
        <v>29</v>
      </c>
      <c r="J949" t="s">
        <v>35</v>
      </c>
      <c r="K949" s="2">
        <v>8050</v>
      </c>
      <c r="L949" s="2">
        <v>50000</v>
      </c>
      <c r="M949">
        <v>60</v>
      </c>
      <c r="N949" s="3">
        <v>0.223</v>
      </c>
      <c r="O949" t="s">
        <v>16</v>
      </c>
      <c r="Q949">
        <v>1</v>
      </c>
      <c r="R949">
        <v>0</v>
      </c>
      <c r="S949" s="2">
        <v>40000</v>
      </c>
      <c r="T949" s="4">
        <v>7.8399999999999997E-2</v>
      </c>
      <c r="U949">
        <v>5</v>
      </c>
      <c r="V949">
        <v>0</v>
      </c>
      <c r="W949">
        <v>1</v>
      </c>
    </row>
    <row r="950" spans="1:23" ht="16.5" x14ac:dyDescent="0.3">
      <c r="A950" t="s">
        <v>1005</v>
      </c>
      <c r="B950" s="1">
        <v>45429</v>
      </c>
      <c r="C950">
        <v>2024</v>
      </c>
      <c r="D950" t="s">
        <v>688</v>
      </c>
      <c r="E950" t="s">
        <v>885</v>
      </c>
      <c r="F950" t="s">
        <v>26</v>
      </c>
      <c r="G950" t="s">
        <v>45</v>
      </c>
      <c r="H950" t="s">
        <v>38</v>
      </c>
      <c r="I950" t="s">
        <v>42</v>
      </c>
      <c r="J950" t="s">
        <v>43</v>
      </c>
      <c r="K950" s="2">
        <v>5800</v>
      </c>
      <c r="L950" s="2">
        <v>27000</v>
      </c>
      <c r="M950">
        <v>36</v>
      </c>
      <c r="N950" s="3">
        <v>0.28399999999999997</v>
      </c>
      <c r="O950" t="s">
        <v>16</v>
      </c>
      <c r="Q950">
        <v>1</v>
      </c>
      <c r="R950">
        <v>0</v>
      </c>
      <c r="S950" s="2">
        <v>24500</v>
      </c>
      <c r="T950" s="4">
        <v>0.11899999999999999</v>
      </c>
      <c r="U950">
        <v>2</v>
      </c>
      <c r="V950">
        <v>1</v>
      </c>
      <c r="W950">
        <v>1</v>
      </c>
    </row>
    <row r="951" spans="1:23" ht="16.5" x14ac:dyDescent="0.3">
      <c r="A951" t="s">
        <v>1006</v>
      </c>
      <c r="B951" s="1">
        <v>45429</v>
      </c>
      <c r="C951">
        <v>2024</v>
      </c>
      <c r="D951" t="s">
        <v>688</v>
      </c>
      <c r="E951" t="s">
        <v>885</v>
      </c>
      <c r="F951" t="s">
        <v>37</v>
      </c>
      <c r="G951" t="s">
        <v>51</v>
      </c>
      <c r="H951" t="s">
        <v>38</v>
      </c>
      <c r="I951" t="s">
        <v>39</v>
      </c>
      <c r="J951" t="s">
        <v>30</v>
      </c>
      <c r="K951" s="2">
        <v>14450</v>
      </c>
      <c r="L951" s="2">
        <v>24500</v>
      </c>
      <c r="M951">
        <v>24</v>
      </c>
      <c r="N951" s="3">
        <v>0.221</v>
      </c>
      <c r="O951" t="s">
        <v>16</v>
      </c>
      <c r="Q951">
        <v>1</v>
      </c>
      <c r="R951">
        <v>0</v>
      </c>
      <c r="S951" s="2">
        <v>24500</v>
      </c>
      <c r="T951" s="4">
        <v>0.14199999999999999</v>
      </c>
      <c r="U951">
        <v>4</v>
      </c>
      <c r="V951">
        <v>0</v>
      </c>
      <c r="W951">
        <v>1</v>
      </c>
    </row>
    <row r="952" spans="1:23" ht="16.5" x14ac:dyDescent="0.3">
      <c r="A952" t="s">
        <v>1007</v>
      </c>
      <c r="B952" s="1">
        <v>45430</v>
      </c>
      <c r="C952">
        <v>2024</v>
      </c>
      <c r="D952" t="s">
        <v>688</v>
      </c>
      <c r="E952" t="s">
        <v>885</v>
      </c>
      <c r="F952" t="s">
        <v>26</v>
      </c>
      <c r="G952" t="s">
        <v>33</v>
      </c>
      <c r="H952" t="s">
        <v>55</v>
      </c>
      <c r="I952" t="s">
        <v>29</v>
      </c>
      <c r="J952" t="s">
        <v>52</v>
      </c>
      <c r="K952" s="2">
        <v>3100</v>
      </c>
      <c r="L952" s="2">
        <v>75500</v>
      </c>
      <c r="M952">
        <v>60</v>
      </c>
      <c r="N952" s="3">
        <v>0.64200000000000002</v>
      </c>
      <c r="O952" t="s">
        <v>16</v>
      </c>
      <c r="Q952">
        <v>1</v>
      </c>
      <c r="R952">
        <v>0</v>
      </c>
      <c r="S952" s="2">
        <v>75500</v>
      </c>
      <c r="T952" s="4">
        <v>7.0699999999999999E-2</v>
      </c>
      <c r="U952">
        <v>2</v>
      </c>
      <c r="V952">
        <v>1</v>
      </c>
      <c r="W952">
        <v>1</v>
      </c>
    </row>
    <row r="953" spans="1:23" ht="16.5" x14ac:dyDescent="0.3">
      <c r="A953" t="s">
        <v>1008</v>
      </c>
      <c r="B953" s="1">
        <v>45430</v>
      </c>
      <c r="C953">
        <v>2024</v>
      </c>
      <c r="D953" t="s">
        <v>688</v>
      </c>
      <c r="E953" t="s">
        <v>885</v>
      </c>
      <c r="F953" t="s">
        <v>41</v>
      </c>
      <c r="G953" t="s">
        <v>51</v>
      </c>
      <c r="H953" t="s">
        <v>38</v>
      </c>
      <c r="I953" t="s">
        <v>42</v>
      </c>
      <c r="J953" t="s">
        <v>46</v>
      </c>
      <c r="K953" s="2">
        <v>6250</v>
      </c>
      <c r="L953" s="2">
        <v>69000</v>
      </c>
      <c r="M953">
        <v>60</v>
      </c>
      <c r="N953" s="3">
        <v>0.40300000000000002</v>
      </c>
      <c r="O953" t="s">
        <v>16</v>
      </c>
      <c r="Q953">
        <v>1</v>
      </c>
      <c r="R953">
        <v>0</v>
      </c>
      <c r="S953" s="2">
        <v>69000</v>
      </c>
      <c r="T953" s="4">
        <v>8.8400000000000006E-2</v>
      </c>
      <c r="U953">
        <v>14</v>
      </c>
      <c r="V953">
        <v>0</v>
      </c>
      <c r="W953">
        <v>1</v>
      </c>
    </row>
    <row r="954" spans="1:23" ht="16.5" x14ac:dyDescent="0.3">
      <c r="A954" t="s">
        <v>1009</v>
      </c>
      <c r="B954" s="1">
        <v>45430</v>
      </c>
      <c r="C954">
        <v>2024</v>
      </c>
      <c r="D954" t="s">
        <v>688</v>
      </c>
      <c r="E954" t="s">
        <v>885</v>
      </c>
      <c r="F954" t="s">
        <v>37</v>
      </c>
      <c r="G954" t="s">
        <v>51</v>
      </c>
      <c r="H954" t="s">
        <v>28</v>
      </c>
      <c r="I954" t="s">
        <v>29</v>
      </c>
      <c r="J954" t="s">
        <v>35</v>
      </c>
      <c r="K954" s="2">
        <v>6300</v>
      </c>
      <c r="L954" s="2">
        <v>18500</v>
      </c>
      <c r="M954">
        <v>60</v>
      </c>
      <c r="N954" s="3">
        <v>0.29199999999999998</v>
      </c>
      <c r="O954" t="s">
        <v>16</v>
      </c>
      <c r="Q954">
        <v>1</v>
      </c>
      <c r="R954">
        <v>0</v>
      </c>
      <c r="S954" s="2">
        <v>18500</v>
      </c>
      <c r="T954" s="4">
        <v>0.122</v>
      </c>
      <c r="U954">
        <v>7</v>
      </c>
      <c r="V954">
        <v>0</v>
      </c>
      <c r="W954">
        <v>1</v>
      </c>
    </row>
    <row r="955" spans="1:23" ht="16.5" x14ac:dyDescent="0.3">
      <c r="A955" t="s">
        <v>1010</v>
      </c>
      <c r="B955" s="1">
        <v>45430</v>
      </c>
      <c r="C955">
        <v>2024</v>
      </c>
      <c r="D955" t="s">
        <v>688</v>
      </c>
      <c r="E955" t="s">
        <v>885</v>
      </c>
      <c r="F955" t="s">
        <v>41</v>
      </c>
      <c r="G955" t="s">
        <v>51</v>
      </c>
      <c r="H955" t="s">
        <v>34</v>
      </c>
      <c r="I955" t="s">
        <v>39</v>
      </c>
      <c r="J955" t="s">
        <v>35</v>
      </c>
      <c r="K955" s="2">
        <v>7300</v>
      </c>
      <c r="L955" s="2">
        <v>128000</v>
      </c>
      <c r="M955">
        <v>12</v>
      </c>
      <c r="N955" s="3">
        <v>1.643</v>
      </c>
      <c r="O955" t="s">
        <v>17</v>
      </c>
      <c r="P955" t="s">
        <v>53</v>
      </c>
      <c r="Q955">
        <v>0</v>
      </c>
      <c r="R955">
        <v>1</v>
      </c>
      <c r="S955" s="2">
        <v>0</v>
      </c>
      <c r="T955" s="4"/>
      <c r="U955">
        <v>16</v>
      </c>
      <c r="V955">
        <v>0</v>
      </c>
      <c r="W955">
        <v>1</v>
      </c>
    </row>
    <row r="956" spans="1:23" ht="16.5" x14ac:dyDescent="0.3">
      <c r="A956" t="s">
        <v>1011</v>
      </c>
      <c r="B956" s="1">
        <v>45430</v>
      </c>
      <c r="C956">
        <v>2024</v>
      </c>
      <c r="D956" t="s">
        <v>688</v>
      </c>
      <c r="E956" t="s">
        <v>885</v>
      </c>
      <c r="F956" t="s">
        <v>26</v>
      </c>
      <c r="G956" t="s">
        <v>45</v>
      </c>
      <c r="H956" t="s">
        <v>64</v>
      </c>
      <c r="I956" t="s">
        <v>29</v>
      </c>
      <c r="J956" t="s">
        <v>52</v>
      </c>
      <c r="K956" s="2">
        <v>11550</v>
      </c>
      <c r="L956" s="2">
        <v>33000</v>
      </c>
      <c r="M956">
        <v>48</v>
      </c>
      <c r="N956" s="3">
        <v>0.25600000000000001</v>
      </c>
      <c r="O956" t="s">
        <v>16</v>
      </c>
      <c r="Q956">
        <v>1</v>
      </c>
      <c r="R956">
        <v>0</v>
      </c>
      <c r="S956" s="2">
        <v>33000</v>
      </c>
      <c r="T956" s="4">
        <v>7.6700000000000004E-2</v>
      </c>
      <c r="U956">
        <v>2</v>
      </c>
      <c r="V956">
        <v>1</v>
      </c>
      <c r="W956">
        <v>1</v>
      </c>
    </row>
    <row r="957" spans="1:23" ht="16.5" x14ac:dyDescent="0.3">
      <c r="A957" t="s">
        <v>1012</v>
      </c>
      <c r="B957" s="1">
        <v>45430</v>
      </c>
      <c r="C957">
        <v>2024</v>
      </c>
      <c r="D957" t="s">
        <v>688</v>
      </c>
      <c r="E957" t="s">
        <v>885</v>
      </c>
      <c r="F957" t="s">
        <v>26</v>
      </c>
      <c r="G957" t="s">
        <v>33</v>
      </c>
      <c r="H957" t="s">
        <v>38</v>
      </c>
      <c r="I957" t="s">
        <v>29</v>
      </c>
      <c r="J957" t="s">
        <v>52</v>
      </c>
      <c r="K957" s="2">
        <v>3350</v>
      </c>
      <c r="L957" s="2">
        <v>16500</v>
      </c>
      <c r="M957">
        <v>36</v>
      </c>
      <c r="N957" s="3">
        <v>0.32700000000000001</v>
      </c>
      <c r="O957" t="s">
        <v>16</v>
      </c>
      <c r="Q957">
        <v>1</v>
      </c>
      <c r="R957">
        <v>0</v>
      </c>
      <c r="S957" s="2">
        <v>16500</v>
      </c>
      <c r="T957" s="4">
        <v>7.2499999999999995E-2</v>
      </c>
      <c r="U957">
        <v>3</v>
      </c>
      <c r="V957">
        <v>1</v>
      </c>
      <c r="W957">
        <v>1</v>
      </c>
    </row>
    <row r="958" spans="1:23" ht="16.5" x14ac:dyDescent="0.3">
      <c r="A958" t="s">
        <v>1013</v>
      </c>
      <c r="B958" s="1">
        <v>45430</v>
      </c>
      <c r="C958">
        <v>2024</v>
      </c>
      <c r="D958" t="s">
        <v>688</v>
      </c>
      <c r="E958" t="s">
        <v>885</v>
      </c>
      <c r="F958" t="s">
        <v>50</v>
      </c>
      <c r="G958" t="s">
        <v>51</v>
      </c>
      <c r="H958" t="s">
        <v>38</v>
      </c>
      <c r="I958" t="s">
        <v>29</v>
      </c>
      <c r="J958" t="s">
        <v>43</v>
      </c>
      <c r="K958" s="2">
        <v>3950</v>
      </c>
      <c r="L958" s="2">
        <v>186500</v>
      </c>
      <c r="M958">
        <v>240</v>
      </c>
      <c r="N958" s="3">
        <v>0.55200000000000005</v>
      </c>
      <c r="O958" t="s">
        <v>17</v>
      </c>
      <c r="P958" t="s">
        <v>31</v>
      </c>
      <c r="Q958">
        <v>0</v>
      </c>
      <c r="R958">
        <v>1</v>
      </c>
      <c r="S958" s="2">
        <v>0</v>
      </c>
      <c r="T958" s="4"/>
      <c r="U958">
        <v>14</v>
      </c>
      <c r="V958">
        <v>1</v>
      </c>
      <c r="W958">
        <v>1</v>
      </c>
    </row>
    <row r="959" spans="1:23" ht="16.5" x14ac:dyDescent="0.3">
      <c r="A959" t="s">
        <v>1014</v>
      </c>
      <c r="B959" s="1">
        <v>45431</v>
      </c>
      <c r="C959">
        <v>2024</v>
      </c>
      <c r="D959" t="s">
        <v>688</v>
      </c>
      <c r="E959" t="s">
        <v>885</v>
      </c>
      <c r="F959" t="s">
        <v>37</v>
      </c>
      <c r="G959" t="s">
        <v>51</v>
      </c>
      <c r="H959" t="s">
        <v>34</v>
      </c>
      <c r="I959" t="s">
        <v>39</v>
      </c>
      <c r="J959" t="s">
        <v>35</v>
      </c>
      <c r="K959" s="2">
        <v>8850</v>
      </c>
      <c r="L959" s="2">
        <v>12000</v>
      </c>
      <c r="M959">
        <v>36</v>
      </c>
      <c r="N959" s="3">
        <v>0.111</v>
      </c>
      <c r="O959" t="s">
        <v>16</v>
      </c>
      <c r="Q959">
        <v>1</v>
      </c>
      <c r="R959">
        <v>0</v>
      </c>
      <c r="S959" s="2">
        <v>11000</v>
      </c>
      <c r="T959" s="4">
        <v>0.1242</v>
      </c>
      <c r="U959">
        <v>4</v>
      </c>
      <c r="V959">
        <v>0</v>
      </c>
      <c r="W959">
        <v>1</v>
      </c>
    </row>
    <row r="960" spans="1:23" ht="16.5" x14ac:dyDescent="0.3">
      <c r="A960" t="s">
        <v>1015</v>
      </c>
      <c r="B960" s="1">
        <v>45431</v>
      </c>
      <c r="C960">
        <v>2024</v>
      </c>
      <c r="D960" t="s">
        <v>688</v>
      </c>
      <c r="E960" t="s">
        <v>885</v>
      </c>
      <c r="F960" t="s">
        <v>37</v>
      </c>
      <c r="G960" t="s">
        <v>51</v>
      </c>
      <c r="H960" t="s">
        <v>55</v>
      </c>
      <c r="I960" t="s">
        <v>29</v>
      </c>
      <c r="J960" t="s">
        <v>30</v>
      </c>
      <c r="K960" s="2">
        <v>4900</v>
      </c>
      <c r="L960" s="2">
        <v>11500</v>
      </c>
      <c r="M960">
        <v>60</v>
      </c>
      <c r="N960" s="3">
        <v>0.16800000000000001</v>
      </c>
      <c r="O960" t="s">
        <v>16</v>
      </c>
      <c r="Q960">
        <v>1</v>
      </c>
      <c r="R960">
        <v>0</v>
      </c>
      <c r="S960" s="2">
        <v>9000</v>
      </c>
      <c r="T960" s="4">
        <v>0.14360000000000001</v>
      </c>
      <c r="U960">
        <v>4</v>
      </c>
      <c r="V960">
        <v>0</v>
      </c>
      <c r="W960">
        <v>1</v>
      </c>
    </row>
    <row r="961" spans="1:23" ht="16.5" x14ac:dyDescent="0.3">
      <c r="A961" t="s">
        <v>1016</v>
      </c>
      <c r="B961" s="1">
        <v>45431</v>
      </c>
      <c r="C961">
        <v>2024</v>
      </c>
      <c r="D961" t="s">
        <v>688</v>
      </c>
      <c r="E961" t="s">
        <v>885</v>
      </c>
      <c r="F961" t="s">
        <v>26</v>
      </c>
      <c r="G961" t="s">
        <v>33</v>
      </c>
      <c r="H961" t="s">
        <v>34</v>
      </c>
      <c r="I961" t="s">
        <v>29</v>
      </c>
      <c r="J961" t="s">
        <v>46</v>
      </c>
      <c r="K961" s="2">
        <v>3850</v>
      </c>
      <c r="L961" s="2">
        <v>20500</v>
      </c>
      <c r="M961">
        <v>36</v>
      </c>
      <c r="N961" s="3">
        <v>0.40500000000000003</v>
      </c>
      <c r="O961" t="s">
        <v>16</v>
      </c>
      <c r="Q961">
        <v>1</v>
      </c>
      <c r="R961">
        <v>0</v>
      </c>
      <c r="S961" s="2">
        <v>16500</v>
      </c>
      <c r="T961" s="4">
        <v>5.9900000000000002E-2</v>
      </c>
      <c r="U961">
        <v>2</v>
      </c>
      <c r="V961">
        <v>1</v>
      </c>
      <c r="W961">
        <v>1</v>
      </c>
    </row>
    <row r="962" spans="1:23" ht="16.5" x14ac:dyDescent="0.3">
      <c r="A962" t="s">
        <v>1017</v>
      </c>
      <c r="B962" s="1">
        <v>45431</v>
      </c>
      <c r="C962">
        <v>2024</v>
      </c>
      <c r="D962" t="s">
        <v>688</v>
      </c>
      <c r="E962" t="s">
        <v>885</v>
      </c>
      <c r="F962" t="s">
        <v>41</v>
      </c>
      <c r="G962" t="s">
        <v>51</v>
      </c>
      <c r="H962" t="s">
        <v>55</v>
      </c>
      <c r="I962" t="s">
        <v>42</v>
      </c>
      <c r="J962" t="s">
        <v>35</v>
      </c>
      <c r="K962" s="2">
        <v>5000</v>
      </c>
      <c r="L962" s="2">
        <v>92000</v>
      </c>
      <c r="M962">
        <v>36</v>
      </c>
      <c r="N962" s="3">
        <v>0.71</v>
      </c>
      <c r="O962" t="s">
        <v>17</v>
      </c>
      <c r="P962" t="s">
        <v>53</v>
      </c>
      <c r="Q962">
        <v>0</v>
      </c>
      <c r="R962">
        <v>1</v>
      </c>
      <c r="S962" s="2">
        <v>0</v>
      </c>
      <c r="T962" s="4"/>
      <c r="U962">
        <v>15</v>
      </c>
      <c r="V962">
        <v>0</v>
      </c>
      <c r="W962">
        <v>1</v>
      </c>
    </row>
    <row r="963" spans="1:23" ht="16.5" x14ac:dyDescent="0.3">
      <c r="A963" t="s">
        <v>1018</v>
      </c>
      <c r="B963" s="1">
        <v>45431</v>
      </c>
      <c r="C963">
        <v>2024</v>
      </c>
      <c r="D963" t="s">
        <v>688</v>
      </c>
      <c r="E963" t="s">
        <v>885</v>
      </c>
      <c r="F963" t="s">
        <v>37</v>
      </c>
      <c r="G963" t="s">
        <v>45</v>
      </c>
      <c r="H963" t="s">
        <v>38</v>
      </c>
      <c r="I963" t="s">
        <v>29</v>
      </c>
      <c r="J963" t="s">
        <v>46</v>
      </c>
      <c r="K963" s="2">
        <v>4900</v>
      </c>
      <c r="L963" s="2">
        <v>17500</v>
      </c>
      <c r="M963">
        <v>24</v>
      </c>
      <c r="N963" s="3">
        <v>0.252</v>
      </c>
      <c r="O963" t="s">
        <v>16</v>
      </c>
      <c r="Q963">
        <v>1</v>
      </c>
      <c r="R963">
        <v>0</v>
      </c>
      <c r="S963" s="2">
        <v>17500</v>
      </c>
      <c r="T963" s="4">
        <v>0.1091</v>
      </c>
      <c r="U963">
        <v>2</v>
      </c>
      <c r="V963">
        <v>1</v>
      </c>
      <c r="W963">
        <v>1</v>
      </c>
    </row>
    <row r="964" spans="1:23" ht="16.5" x14ac:dyDescent="0.3">
      <c r="A964" t="s">
        <v>1019</v>
      </c>
      <c r="B964" s="1">
        <v>45432</v>
      </c>
      <c r="C964">
        <v>2024</v>
      </c>
      <c r="D964" t="s">
        <v>688</v>
      </c>
      <c r="E964" t="s">
        <v>885</v>
      </c>
      <c r="F964" t="s">
        <v>26</v>
      </c>
      <c r="G964" t="s">
        <v>33</v>
      </c>
      <c r="H964" t="s">
        <v>34</v>
      </c>
      <c r="I964" t="s">
        <v>29</v>
      </c>
      <c r="J964" t="s">
        <v>35</v>
      </c>
      <c r="K964" s="2">
        <v>4500</v>
      </c>
      <c r="L964" s="2">
        <v>24000</v>
      </c>
      <c r="M964">
        <v>48</v>
      </c>
      <c r="N964" s="3">
        <v>0.31900000000000001</v>
      </c>
      <c r="O964" t="s">
        <v>16</v>
      </c>
      <c r="Q964">
        <v>1</v>
      </c>
      <c r="R964">
        <v>0</v>
      </c>
      <c r="S964" s="2">
        <v>24000</v>
      </c>
      <c r="T964" s="4">
        <v>7.8299999999999995E-2</v>
      </c>
      <c r="U964">
        <v>2</v>
      </c>
      <c r="V964">
        <v>1</v>
      </c>
      <c r="W964">
        <v>1</v>
      </c>
    </row>
    <row r="965" spans="1:23" ht="16.5" x14ac:dyDescent="0.3">
      <c r="A965" t="s">
        <v>1020</v>
      </c>
      <c r="B965" s="1">
        <v>45432</v>
      </c>
      <c r="C965">
        <v>2024</v>
      </c>
      <c r="D965" t="s">
        <v>688</v>
      </c>
      <c r="E965" t="s">
        <v>885</v>
      </c>
      <c r="F965" t="s">
        <v>37</v>
      </c>
      <c r="G965" t="s">
        <v>27</v>
      </c>
      <c r="H965" t="s">
        <v>38</v>
      </c>
      <c r="I965" t="s">
        <v>39</v>
      </c>
      <c r="J965" t="s">
        <v>35</v>
      </c>
      <c r="K965" s="2">
        <v>5350</v>
      </c>
      <c r="L965" s="2">
        <v>6000</v>
      </c>
      <c r="M965">
        <v>36</v>
      </c>
      <c r="N965" s="3">
        <v>0.24</v>
      </c>
      <c r="O965" t="s">
        <v>16</v>
      </c>
      <c r="Q965">
        <v>1</v>
      </c>
      <c r="R965">
        <v>0</v>
      </c>
      <c r="S965" s="2">
        <v>6000</v>
      </c>
      <c r="T965" s="4">
        <v>0.1244</v>
      </c>
      <c r="U965">
        <v>5</v>
      </c>
      <c r="V965">
        <v>0</v>
      </c>
      <c r="W965">
        <v>1</v>
      </c>
    </row>
    <row r="966" spans="1:23" ht="16.5" x14ac:dyDescent="0.3">
      <c r="A966" t="s">
        <v>1021</v>
      </c>
      <c r="B966" s="1">
        <v>45432</v>
      </c>
      <c r="C966">
        <v>2024</v>
      </c>
      <c r="D966" t="s">
        <v>688</v>
      </c>
      <c r="E966" t="s">
        <v>885</v>
      </c>
      <c r="F966" t="s">
        <v>37</v>
      </c>
      <c r="G966" t="s">
        <v>51</v>
      </c>
      <c r="H966" t="s">
        <v>38</v>
      </c>
      <c r="I966" t="s">
        <v>29</v>
      </c>
      <c r="J966" t="s">
        <v>35</v>
      </c>
      <c r="K966" s="2">
        <v>2850</v>
      </c>
      <c r="L966" s="2">
        <v>18500</v>
      </c>
      <c r="M966">
        <v>36</v>
      </c>
      <c r="N966" s="3">
        <v>0.42099999999999999</v>
      </c>
      <c r="O966" t="s">
        <v>16</v>
      </c>
      <c r="Q966">
        <v>1</v>
      </c>
      <c r="R966">
        <v>0</v>
      </c>
      <c r="S966" s="2">
        <v>18500</v>
      </c>
      <c r="T966" s="4">
        <v>0.12839999999999999</v>
      </c>
      <c r="U966">
        <v>7</v>
      </c>
      <c r="V966">
        <v>0</v>
      </c>
      <c r="W966">
        <v>1</v>
      </c>
    </row>
    <row r="967" spans="1:23" ht="16.5" x14ac:dyDescent="0.3">
      <c r="A967" t="s">
        <v>1022</v>
      </c>
      <c r="B967" s="1">
        <v>45432</v>
      </c>
      <c r="C967">
        <v>2024</v>
      </c>
      <c r="D967" t="s">
        <v>688</v>
      </c>
      <c r="E967" t="s">
        <v>885</v>
      </c>
      <c r="F967" t="s">
        <v>50</v>
      </c>
      <c r="G967" t="s">
        <v>45</v>
      </c>
      <c r="H967" t="s">
        <v>34</v>
      </c>
      <c r="I967" t="s">
        <v>29</v>
      </c>
      <c r="J967" t="s">
        <v>35</v>
      </c>
      <c r="K967" s="2">
        <v>12650</v>
      </c>
      <c r="L967" s="2">
        <v>410500</v>
      </c>
      <c r="M967">
        <v>300</v>
      </c>
      <c r="N967" s="3">
        <v>0.253</v>
      </c>
      <c r="O967" t="s">
        <v>16</v>
      </c>
      <c r="Q967">
        <v>1</v>
      </c>
      <c r="R967">
        <v>0</v>
      </c>
      <c r="S967" s="2">
        <v>410500</v>
      </c>
      <c r="T967" s="4">
        <v>5.8599999999999999E-2</v>
      </c>
      <c r="U967">
        <v>10</v>
      </c>
      <c r="V967">
        <v>1</v>
      </c>
      <c r="W967">
        <v>1</v>
      </c>
    </row>
    <row r="968" spans="1:23" ht="16.5" x14ac:dyDescent="0.3">
      <c r="A968" t="s">
        <v>1023</v>
      </c>
      <c r="B968" s="1">
        <v>45432</v>
      </c>
      <c r="C968">
        <v>2024</v>
      </c>
      <c r="D968" t="s">
        <v>688</v>
      </c>
      <c r="E968" t="s">
        <v>885</v>
      </c>
      <c r="F968" t="s">
        <v>37</v>
      </c>
      <c r="G968" t="s">
        <v>27</v>
      </c>
      <c r="H968" t="s">
        <v>34</v>
      </c>
      <c r="I968" t="s">
        <v>39</v>
      </c>
      <c r="J968" t="s">
        <v>52</v>
      </c>
      <c r="K968" s="2">
        <v>3750</v>
      </c>
      <c r="L968" s="2">
        <v>7500</v>
      </c>
      <c r="M968">
        <v>48</v>
      </c>
      <c r="N968" s="3">
        <v>0.183</v>
      </c>
      <c r="O968" t="s">
        <v>16</v>
      </c>
      <c r="Q968">
        <v>1</v>
      </c>
      <c r="R968">
        <v>0</v>
      </c>
      <c r="S968" s="2">
        <v>7500</v>
      </c>
      <c r="T968" s="4">
        <v>0.1138</v>
      </c>
      <c r="U968">
        <v>3</v>
      </c>
      <c r="V968">
        <v>1</v>
      </c>
      <c r="W968">
        <v>1</v>
      </c>
    </row>
    <row r="969" spans="1:23" ht="16.5" x14ac:dyDescent="0.3">
      <c r="A969" t="s">
        <v>1024</v>
      </c>
      <c r="B969" s="1">
        <v>45433</v>
      </c>
      <c r="C969">
        <v>2024</v>
      </c>
      <c r="D969" t="s">
        <v>688</v>
      </c>
      <c r="E969" t="s">
        <v>885</v>
      </c>
      <c r="F969" t="s">
        <v>41</v>
      </c>
      <c r="G969" t="s">
        <v>51</v>
      </c>
      <c r="H969" t="s">
        <v>38</v>
      </c>
      <c r="I969" t="s">
        <v>29</v>
      </c>
      <c r="J969" t="s">
        <v>52</v>
      </c>
      <c r="K969" s="2">
        <v>4800</v>
      </c>
      <c r="L969" s="2">
        <v>30000</v>
      </c>
      <c r="M969">
        <v>12</v>
      </c>
      <c r="N969" s="3">
        <v>0.627</v>
      </c>
      <c r="O969" t="s">
        <v>16</v>
      </c>
      <c r="Q969">
        <v>1</v>
      </c>
      <c r="R969">
        <v>0</v>
      </c>
      <c r="S969" s="2">
        <v>30000</v>
      </c>
      <c r="T969" s="4">
        <v>9.3200000000000005E-2</v>
      </c>
      <c r="U969">
        <v>14</v>
      </c>
      <c r="V969">
        <v>0</v>
      </c>
      <c r="W969">
        <v>1</v>
      </c>
    </row>
    <row r="970" spans="1:23" ht="16.5" x14ac:dyDescent="0.3">
      <c r="A970" t="s">
        <v>1025</v>
      </c>
      <c r="B970" s="1">
        <v>45433</v>
      </c>
      <c r="C970">
        <v>2024</v>
      </c>
      <c r="D970" t="s">
        <v>688</v>
      </c>
      <c r="E970" t="s">
        <v>885</v>
      </c>
      <c r="F970" t="s">
        <v>37</v>
      </c>
      <c r="G970" t="s">
        <v>45</v>
      </c>
      <c r="H970" t="s">
        <v>55</v>
      </c>
      <c r="I970" t="s">
        <v>42</v>
      </c>
      <c r="J970" t="s">
        <v>35</v>
      </c>
      <c r="K970" s="2">
        <v>4250</v>
      </c>
      <c r="L970" s="2">
        <v>11000</v>
      </c>
      <c r="M970">
        <v>36</v>
      </c>
      <c r="N970" s="3">
        <v>0.30599999999999999</v>
      </c>
      <c r="O970" t="s">
        <v>125</v>
      </c>
      <c r="Q970">
        <v>0</v>
      </c>
      <c r="R970">
        <v>0</v>
      </c>
      <c r="S970" s="2">
        <v>0</v>
      </c>
      <c r="T970" s="4"/>
      <c r="U970">
        <v>2</v>
      </c>
      <c r="V970">
        <v>1</v>
      </c>
      <c r="W970">
        <v>1</v>
      </c>
    </row>
    <row r="971" spans="1:23" ht="16.5" x14ac:dyDescent="0.3">
      <c r="A971" t="s">
        <v>1026</v>
      </c>
      <c r="B971" s="1">
        <v>45433</v>
      </c>
      <c r="C971">
        <v>2024</v>
      </c>
      <c r="D971" t="s">
        <v>688</v>
      </c>
      <c r="E971" t="s">
        <v>885</v>
      </c>
      <c r="F971" t="s">
        <v>37</v>
      </c>
      <c r="G971" t="s">
        <v>27</v>
      </c>
      <c r="H971" t="s">
        <v>34</v>
      </c>
      <c r="I971" t="s">
        <v>29</v>
      </c>
      <c r="J971" t="s">
        <v>52</v>
      </c>
      <c r="K971" s="2">
        <v>7800</v>
      </c>
      <c r="L971" s="2">
        <v>15500</v>
      </c>
      <c r="M971">
        <v>60</v>
      </c>
      <c r="N971" s="3">
        <v>0.184</v>
      </c>
      <c r="O971" t="s">
        <v>16</v>
      </c>
      <c r="Q971">
        <v>1</v>
      </c>
      <c r="R971">
        <v>0</v>
      </c>
      <c r="S971" s="2">
        <v>14000</v>
      </c>
      <c r="T971" s="4">
        <v>0.1128</v>
      </c>
      <c r="U971">
        <v>4</v>
      </c>
      <c r="V971">
        <v>0</v>
      </c>
      <c r="W971">
        <v>1</v>
      </c>
    </row>
    <row r="972" spans="1:23" ht="16.5" x14ac:dyDescent="0.3">
      <c r="A972" t="s">
        <v>1027</v>
      </c>
      <c r="B972" s="1">
        <v>45433</v>
      </c>
      <c r="C972">
        <v>2024</v>
      </c>
      <c r="D972" t="s">
        <v>688</v>
      </c>
      <c r="E972" t="s">
        <v>885</v>
      </c>
      <c r="F972" t="s">
        <v>26</v>
      </c>
      <c r="G972" t="s">
        <v>45</v>
      </c>
      <c r="H972" t="s">
        <v>38</v>
      </c>
      <c r="I972" t="s">
        <v>39</v>
      </c>
      <c r="J972" t="s">
        <v>30</v>
      </c>
      <c r="K972" s="2">
        <v>6150</v>
      </c>
      <c r="L972" s="2">
        <v>38500</v>
      </c>
      <c r="M972">
        <v>36</v>
      </c>
      <c r="N972" s="3">
        <v>0.309</v>
      </c>
      <c r="O972" t="s">
        <v>17</v>
      </c>
      <c r="P972" t="s">
        <v>31</v>
      </c>
      <c r="Q972">
        <v>0</v>
      </c>
      <c r="R972">
        <v>1</v>
      </c>
      <c r="S972" s="2">
        <v>0</v>
      </c>
      <c r="T972" s="4"/>
      <c r="U972">
        <v>3</v>
      </c>
      <c r="V972">
        <v>1</v>
      </c>
      <c r="W972">
        <v>1</v>
      </c>
    </row>
    <row r="973" spans="1:23" ht="16.5" x14ac:dyDescent="0.3">
      <c r="A973" t="s">
        <v>1028</v>
      </c>
      <c r="B973" s="1">
        <v>45433</v>
      </c>
      <c r="C973">
        <v>2024</v>
      </c>
      <c r="D973" t="s">
        <v>688</v>
      </c>
      <c r="E973" t="s">
        <v>885</v>
      </c>
      <c r="F973" t="s">
        <v>26</v>
      </c>
      <c r="G973" t="s">
        <v>27</v>
      </c>
      <c r="H973" t="s">
        <v>64</v>
      </c>
      <c r="I973" t="s">
        <v>39</v>
      </c>
      <c r="J973" t="s">
        <v>35</v>
      </c>
      <c r="K973" s="2">
        <v>4900</v>
      </c>
      <c r="L973" s="2">
        <v>36500</v>
      </c>
      <c r="M973">
        <v>36</v>
      </c>
      <c r="N973" s="3">
        <v>0.4</v>
      </c>
      <c r="O973" t="s">
        <v>17</v>
      </c>
      <c r="P973" t="s">
        <v>60</v>
      </c>
      <c r="Q973">
        <v>0</v>
      </c>
      <c r="R973">
        <v>1</v>
      </c>
      <c r="S973" s="2">
        <v>0</v>
      </c>
      <c r="T973" s="4"/>
      <c r="U973">
        <v>12</v>
      </c>
      <c r="V973">
        <v>0</v>
      </c>
      <c r="W973">
        <v>1</v>
      </c>
    </row>
    <row r="974" spans="1:23" ht="16.5" x14ac:dyDescent="0.3">
      <c r="A974" t="s">
        <v>1029</v>
      </c>
      <c r="B974" s="1">
        <v>45433</v>
      </c>
      <c r="C974">
        <v>2024</v>
      </c>
      <c r="D974" t="s">
        <v>688</v>
      </c>
      <c r="E974" t="s">
        <v>885</v>
      </c>
      <c r="F974" t="s">
        <v>37</v>
      </c>
      <c r="G974" t="s">
        <v>51</v>
      </c>
      <c r="H974" t="s">
        <v>55</v>
      </c>
      <c r="I974" t="s">
        <v>39</v>
      </c>
      <c r="J974" t="s">
        <v>30</v>
      </c>
      <c r="K974" s="2">
        <v>4150</v>
      </c>
      <c r="L974" s="2">
        <v>11500</v>
      </c>
      <c r="M974">
        <v>12</v>
      </c>
      <c r="N974" s="3">
        <v>0.313</v>
      </c>
      <c r="O974" t="s">
        <v>16</v>
      </c>
      <c r="Q974">
        <v>1</v>
      </c>
      <c r="R974">
        <v>0</v>
      </c>
      <c r="S974" s="2">
        <v>11500</v>
      </c>
      <c r="T974" s="4">
        <v>0.14319999999999999</v>
      </c>
      <c r="U974">
        <v>2</v>
      </c>
      <c r="V974">
        <v>1</v>
      </c>
      <c r="W974">
        <v>1</v>
      </c>
    </row>
    <row r="975" spans="1:23" ht="16.5" x14ac:dyDescent="0.3">
      <c r="A975" t="s">
        <v>1030</v>
      </c>
      <c r="B975" s="1">
        <v>45433</v>
      </c>
      <c r="C975">
        <v>2024</v>
      </c>
      <c r="D975" t="s">
        <v>688</v>
      </c>
      <c r="E975" t="s">
        <v>885</v>
      </c>
      <c r="F975" t="s">
        <v>26</v>
      </c>
      <c r="G975" t="s">
        <v>45</v>
      </c>
      <c r="H975" t="s">
        <v>38</v>
      </c>
      <c r="I975" t="s">
        <v>39</v>
      </c>
      <c r="J975" t="s">
        <v>30</v>
      </c>
      <c r="K975" s="2">
        <v>4500</v>
      </c>
      <c r="L975" s="2">
        <v>16500</v>
      </c>
      <c r="M975">
        <v>60</v>
      </c>
      <c r="N975" s="3">
        <v>0.28299999999999997</v>
      </c>
      <c r="O975" t="s">
        <v>17</v>
      </c>
      <c r="P975" t="s">
        <v>31</v>
      </c>
      <c r="Q975">
        <v>0</v>
      </c>
      <c r="R975">
        <v>1</v>
      </c>
      <c r="S975" s="2">
        <v>0</v>
      </c>
      <c r="T975" s="4"/>
      <c r="U975">
        <v>5</v>
      </c>
      <c r="V975">
        <v>0</v>
      </c>
      <c r="W975">
        <v>1</v>
      </c>
    </row>
    <row r="976" spans="1:23" ht="16.5" x14ac:dyDescent="0.3">
      <c r="A976" t="s">
        <v>1031</v>
      </c>
      <c r="B976" s="1">
        <v>45433</v>
      </c>
      <c r="C976">
        <v>2024</v>
      </c>
      <c r="D976" t="s">
        <v>688</v>
      </c>
      <c r="E976" t="s">
        <v>885</v>
      </c>
      <c r="F976" t="s">
        <v>37</v>
      </c>
      <c r="G976" t="s">
        <v>27</v>
      </c>
      <c r="H976" t="s">
        <v>38</v>
      </c>
      <c r="I976" t="s">
        <v>29</v>
      </c>
      <c r="J976" t="s">
        <v>52</v>
      </c>
      <c r="K976" s="2">
        <v>7350</v>
      </c>
      <c r="L976" s="2">
        <v>12000</v>
      </c>
      <c r="M976">
        <v>12</v>
      </c>
      <c r="N976" s="3">
        <v>0.309</v>
      </c>
      <c r="O976" t="s">
        <v>17</v>
      </c>
      <c r="P976" t="s">
        <v>60</v>
      </c>
      <c r="Q976">
        <v>0</v>
      </c>
      <c r="R976">
        <v>1</v>
      </c>
      <c r="S976" s="2">
        <v>0</v>
      </c>
      <c r="T976" s="4"/>
      <c r="U976">
        <v>7</v>
      </c>
      <c r="V976">
        <v>0</v>
      </c>
      <c r="W976">
        <v>1</v>
      </c>
    </row>
    <row r="977" spans="1:23" ht="16.5" x14ac:dyDescent="0.3">
      <c r="A977" t="s">
        <v>1032</v>
      </c>
      <c r="B977" s="1">
        <v>45433</v>
      </c>
      <c r="C977">
        <v>2024</v>
      </c>
      <c r="D977" t="s">
        <v>688</v>
      </c>
      <c r="E977" t="s">
        <v>885</v>
      </c>
      <c r="F977" t="s">
        <v>26</v>
      </c>
      <c r="G977" t="s">
        <v>45</v>
      </c>
      <c r="H977" t="s">
        <v>55</v>
      </c>
      <c r="I977" t="s">
        <v>29</v>
      </c>
      <c r="J977" t="s">
        <v>46</v>
      </c>
      <c r="K977" s="2">
        <v>3250</v>
      </c>
      <c r="L977" s="2">
        <v>34500</v>
      </c>
      <c r="M977">
        <v>60</v>
      </c>
      <c r="N977" s="3">
        <v>0.42799999999999999</v>
      </c>
      <c r="O977" t="s">
        <v>16</v>
      </c>
      <c r="Q977">
        <v>1</v>
      </c>
      <c r="R977">
        <v>0</v>
      </c>
      <c r="S977" s="2">
        <v>27500</v>
      </c>
      <c r="T977" s="4">
        <v>6.7400000000000002E-2</v>
      </c>
      <c r="U977">
        <v>2</v>
      </c>
      <c r="V977">
        <v>1</v>
      </c>
      <c r="W977">
        <v>1</v>
      </c>
    </row>
    <row r="978" spans="1:23" ht="16.5" x14ac:dyDescent="0.3">
      <c r="A978" t="s">
        <v>1033</v>
      </c>
      <c r="B978" s="1">
        <v>45433</v>
      </c>
      <c r="C978">
        <v>2024</v>
      </c>
      <c r="D978" t="s">
        <v>688</v>
      </c>
      <c r="E978" t="s">
        <v>885</v>
      </c>
      <c r="F978" t="s">
        <v>37</v>
      </c>
      <c r="G978" t="s">
        <v>27</v>
      </c>
      <c r="H978" t="s">
        <v>28</v>
      </c>
      <c r="I978" t="s">
        <v>29</v>
      </c>
      <c r="J978" t="s">
        <v>30</v>
      </c>
      <c r="K978" s="2">
        <v>3150</v>
      </c>
      <c r="L978" s="2">
        <v>21000</v>
      </c>
      <c r="M978">
        <v>48</v>
      </c>
      <c r="N978" s="3">
        <v>0.33400000000000002</v>
      </c>
      <c r="O978" t="s">
        <v>16</v>
      </c>
      <c r="Q978">
        <v>1</v>
      </c>
      <c r="R978">
        <v>0</v>
      </c>
      <c r="S978" s="2">
        <v>19000</v>
      </c>
      <c r="T978" s="4">
        <v>0.13969999999999999</v>
      </c>
      <c r="U978">
        <v>6</v>
      </c>
      <c r="V978">
        <v>0</v>
      </c>
      <c r="W978">
        <v>1</v>
      </c>
    </row>
    <row r="979" spans="1:23" ht="16.5" x14ac:dyDescent="0.3">
      <c r="A979" t="s">
        <v>1034</v>
      </c>
      <c r="B979" s="1">
        <v>45433</v>
      </c>
      <c r="C979">
        <v>2024</v>
      </c>
      <c r="D979" t="s">
        <v>688</v>
      </c>
      <c r="E979" t="s">
        <v>885</v>
      </c>
      <c r="F979" t="s">
        <v>26</v>
      </c>
      <c r="G979" t="s">
        <v>27</v>
      </c>
      <c r="H979" t="s">
        <v>34</v>
      </c>
      <c r="I979" t="s">
        <v>29</v>
      </c>
      <c r="J979" t="s">
        <v>43</v>
      </c>
      <c r="K979" s="2">
        <v>4350</v>
      </c>
      <c r="L979" s="2">
        <v>21000</v>
      </c>
      <c r="M979">
        <v>48</v>
      </c>
      <c r="N979" s="3">
        <v>0.23799999999999999</v>
      </c>
      <c r="O979" t="s">
        <v>17</v>
      </c>
      <c r="P979" t="s">
        <v>65</v>
      </c>
      <c r="Q979">
        <v>0</v>
      </c>
      <c r="R979">
        <v>1</v>
      </c>
      <c r="S979" s="2">
        <v>0</v>
      </c>
      <c r="T979" s="4"/>
      <c r="U979">
        <v>5</v>
      </c>
      <c r="V979">
        <v>0</v>
      </c>
      <c r="W979">
        <v>1</v>
      </c>
    </row>
    <row r="980" spans="1:23" ht="16.5" x14ac:dyDescent="0.3">
      <c r="A980" t="s">
        <v>1035</v>
      </c>
      <c r="B980" s="1">
        <v>45433</v>
      </c>
      <c r="C980">
        <v>2024</v>
      </c>
      <c r="D980" t="s">
        <v>688</v>
      </c>
      <c r="E980" t="s">
        <v>885</v>
      </c>
      <c r="F980" t="s">
        <v>41</v>
      </c>
      <c r="G980" t="s">
        <v>45</v>
      </c>
      <c r="H980" t="s">
        <v>34</v>
      </c>
      <c r="I980" t="s">
        <v>29</v>
      </c>
      <c r="J980" t="s">
        <v>43</v>
      </c>
      <c r="K980" s="2">
        <v>8500</v>
      </c>
      <c r="L980" s="2">
        <v>89500</v>
      </c>
      <c r="M980">
        <v>24</v>
      </c>
      <c r="N980" s="3">
        <v>0.73499999999999999</v>
      </c>
      <c r="O980" t="s">
        <v>17</v>
      </c>
      <c r="P980" t="s">
        <v>53</v>
      </c>
      <c r="Q980">
        <v>0</v>
      </c>
      <c r="R980">
        <v>1</v>
      </c>
      <c r="S980" s="2">
        <v>0</v>
      </c>
      <c r="T980" s="4"/>
      <c r="U980">
        <v>5</v>
      </c>
      <c r="V980">
        <v>1</v>
      </c>
      <c r="W980">
        <v>1</v>
      </c>
    </row>
    <row r="981" spans="1:23" ht="16.5" x14ac:dyDescent="0.3">
      <c r="A981" t="s">
        <v>1036</v>
      </c>
      <c r="B981" s="1">
        <v>45434</v>
      </c>
      <c r="C981">
        <v>2024</v>
      </c>
      <c r="D981" t="s">
        <v>688</v>
      </c>
      <c r="E981" t="s">
        <v>885</v>
      </c>
      <c r="F981" t="s">
        <v>41</v>
      </c>
      <c r="G981" t="s">
        <v>45</v>
      </c>
      <c r="H981" t="s">
        <v>38</v>
      </c>
      <c r="I981" t="s">
        <v>42</v>
      </c>
      <c r="J981" t="s">
        <v>35</v>
      </c>
      <c r="K981" s="2">
        <v>6250</v>
      </c>
      <c r="L981" s="2">
        <v>145000</v>
      </c>
      <c r="M981">
        <v>24</v>
      </c>
      <c r="N981" s="3">
        <v>1.141</v>
      </c>
      <c r="O981" t="s">
        <v>17</v>
      </c>
      <c r="P981" t="s">
        <v>53</v>
      </c>
      <c r="Q981">
        <v>0</v>
      </c>
      <c r="R981">
        <v>1</v>
      </c>
      <c r="S981" s="2">
        <v>0</v>
      </c>
      <c r="T981" s="4"/>
      <c r="U981">
        <v>5</v>
      </c>
      <c r="V981">
        <v>1</v>
      </c>
      <c r="W981">
        <v>1</v>
      </c>
    </row>
    <row r="982" spans="1:23" ht="16.5" x14ac:dyDescent="0.3">
      <c r="A982" t="s">
        <v>1037</v>
      </c>
      <c r="B982" s="1">
        <v>45434</v>
      </c>
      <c r="C982">
        <v>2024</v>
      </c>
      <c r="D982" t="s">
        <v>688</v>
      </c>
      <c r="E982" t="s">
        <v>885</v>
      </c>
      <c r="F982" t="s">
        <v>41</v>
      </c>
      <c r="G982" t="s">
        <v>33</v>
      </c>
      <c r="H982" t="s">
        <v>38</v>
      </c>
      <c r="I982" t="s">
        <v>42</v>
      </c>
      <c r="J982" t="s">
        <v>46</v>
      </c>
      <c r="K982" s="2">
        <v>5650</v>
      </c>
      <c r="L982" s="2">
        <v>213000</v>
      </c>
      <c r="M982">
        <v>36</v>
      </c>
      <c r="N982" s="3">
        <v>1.452</v>
      </c>
      <c r="O982" t="s">
        <v>16</v>
      </c>
      <c r="Q982">
        <v>1</v>
      </c>
      <c r="R982">
        <v>0</v>
      </c>
      <c r="S982" s="2">
        <v>170500</v>
      </c>
      <c r="T982" s="4">
        <v>9.7500000000000003E-2</v>
      </c>
      <c r="U982">
        <v>6</v>
      </c>
      <c r="V982">
        <v>1</v>
      </c>
      <c r="W982">
        <v>1</v>
      </c>
    </row>
    <row r="983" spans="1:23" ht="16.5" x14ac:dyDescent="0.3">
      <c r="A983" t="s">
        <v>1038</v>
      </c>
      <c r="B983" s="1">
        <v>45434</v>
      </c>
      <c r="C983">
        <v>2024</v>
      </c>
      <c r="D983" t="s">
        <v>688</v>
      </c>
      <c r="E983" t="s">
        <v>885</v>
      </c>
      <c r="F983" t="s">
        <v>37</v>
      </c>
      <c r="G983" t="s">
        <v>45</v>
      </c>
      <c r="H983" t="s">
        <v>55</v>
      </c>
      <c r="I983" t="s">
        <v>39</v>
      </c>
      <c r="J983" t="s">
        <v>46</v>
      </c>
      <c r="K983" s="2">
        <v>2700</v>
      </c>
      <c r="L983" s="2">
        <v>7500</v>
      </c>
      <c r="M983">
        <v>60</v>
      </c>
      <c r="N983" s="3">
        <v>0.218</v>
      </c>
      <c r="O983" t="s">
        <v>16</v>
      </c>
      <c r="Q983">
        <v>1</v>
      </c>
      <c r="R983">
        <v>0</v>
      </c>
      <c r="S983" s="2">
        <v>7000</v>
      </c>
      <c r="T983" s="4">
        <v>0.1096</v>
      </c>
      <c r="U983">
        <v>2</v>
      </c>
      <c r="V983">
        <v>1</v>
      </c>
      <c r="W983">
        <v>1</v>
      </c>
    </row>
    <row r="984" spans="1:23" ht="16.5" x14ac:dyDescent="0.3">
      <c r="A984" t="s">
        <v>1039</v>
      </c>
      <c r="B984" s="1">
        <v>45434</v>
      </c>
      <c r="C984">
        <v>2024</v>
      </c>
      <c r="D984" t="s">
        <v>688</v>
      </c>
      <c r="E984" t="s">
        <v>885</v>
      </c>
      <c r="F984" t="s">
        <v>26</v>
      </c>
      <c r="G984" t="s">
        <v>45</v>
      </c>
      <c r="H984" t="s">
        <v>34</v>
      </c>
      <c r="I984" t="s">
        <v>39</v>
      </c>
      <c r="J984" t="s">
        <v>35</v>
      </c>
      <c r="K984" s="2">
        <v>5100</v>
      </c>
      <c r="L984" s="2">
        <v>27500</v>
      </c>
      <c r="M984">
        <v>48</v>
      </c>
      <c r="N984" s="3">
        <v>0.36899999999999999</v>
      </c>
      <c r="O984" t="s">
        <v>125</v>
      </c>
      <c r="Q984">
        <v>0</v>
      </c>
      <c r="R984">
        <v>0</v>
      </c>
      <c r="S984" s="2">
        <v>0</v>
      </c>
      <c r="T984" s="4"/>
      <c r="U984">
        <v>3</v>
      </c>
      <c r="V984">
        <v>1</v>
      </c>
      <c r="W984">
        <v>1</v>
      </c>
    </row>
    <row r="985" spans="1:23" ht="16.5" x14ac:dyDescent="0.3">
      <c r="A985" t="s">
        <v>1040</v>
      </c>
      <c r="B985" s="1">
        <v>45434</v>
      </c>
      <c r="C985">
        <v>2024</v>
      </c>
      <c r="D985" t="s">
        <v>688</v>
      </c>
      <c r="E985" t="s">
        <v>885</v>
      </c>
      <c r="F985" t="s">
        <v>26</v>
      </c>
      <c r="G985" t="s">
        <v>51</v>
      </c>
      <c r="H985" t="s">
        <v>34</v>
      </c>
      <c r="I985" t="s">
        <v>29</v>
      </c>
      <c r="J985" t="s">
        <v>43</v>
      </c>
      <c r="K985" s="2">
        <v>4900</v>
      </c>
      <c r="L985" s="2">
        <v>32500</v>
      </c>
      <c r="M985">
        <v>60</v>
      </c>
      <c r="N985" s="3">
        <v>0.24399999999999999</v>
      </c>
      <c r="O985" t="s">
        <v>17</v>
      </c>
      <c r="P985" t="s">
        <v>31</v>
      </c>
      <c r="Q985">
        <v>0</v>
      </c>
      <c r="R985">
        <v>1</v>
      </c>
      <c r="S985" s="2">
        <v>0</v>
      </c>
      <c r="T985" s="4"/>
      <c r="U985">
        <v>8</v>
      </c>
      <c r="V985">
        <v>0</v>
      </c>
      <c r="W985">
        <v>1</v>
      </c>
    </row>
    <row r="986" spans="1:23" ht="16.5" x14ac:dyDescent="0.3">
      <c r="A986" t="s">
        <v>1041</v>
      </c>
      <c r="B986" s="1">
        <v>45434</v>
      </c>
      <c r="C986">
        <v>2024</v>
      </c>
      <c r="D986" t="s">
        <v>688</v>
      </c>
      <c r="E986" t="s">
        <v>885</v>
      </c>
      <c r="F986" t="s">
        <v>26</v>
      </c>
      <c r="G986" t="s">
        <v>51</v>
      </c>
      <c r="H986" t="s">
        <v>38</v>
      </c>
      <c r="I986" t="s">
        <v>29</v>
      </c>
      <c r="J986" t="s">
        <v>43</v>
      </c>
      <c r="K986" s="2">
        <v>4900</v>
      </c>
      <c r="L986" s="2">
        <v>25500</v>
      </c>
      <c r="M986">
        <v>48</v>
      </c>
      <c r="N986" s="3">
        <v>0.24299999999999999</v>
      </c>
      <c r="O986" t="s">
        <v>17</v>
      </c>
      <c r="P986" t="s">
        <v>60</v>
      </c>
      <c r="Q986">
        <v>0</v>
      </c>
      <c r="R986">
        <v>1</v>
      </c>
      <c r="S986" s="2">
        <v>0</v>
      </c>
      <c r="T986" s="4"/>
      <c r="U986">
        <v>9</v>
      </c>
      <c r="V986">
        <v>0</v>
      </c>
      <c r="W986">
        <v>1</v>
      </c>
    </row>
    <row r="987" spans="1:23" ht="16.5" x14ac:dyDescent="0.3">
      <c r="A987" t="s">
        <v>1042</v>
      </c>
      <c r="B987" s="1">
        <v>45434</v>
      </c>
      <c r="C987">
        <v>2024</v>
      </c>
      <c r="D987" t="s">
        <v>688</v>
      </c>
      <c r="E987" t="s">
        <v>885</v>
      </c>
      <c r="F987" t="s">
        <v>37</v>
      </c>
      <c r="G987" t="s">
        <v>27</v>
      </c>
      <c r="H987" t="s">
        <v>28</v>
      </c>
      <c r="I987" t="s">
        <v>29</v>
      </c>
      <c r="J987" t="s">
        <v>35</v>
      </c>
      <c r="K987" s="2">
        <v>9600</v>
      </c>
      <c r="L987" s="2">
        <v>10000</v>
      </c>
      <c r="M987">
        <v>48</v>
      </c>
      <c r="N987" s="3">
        <v>0.217</v>
      </c>
      <c r="O987" t="s">
        <v>16</v>
      </c>
      <c r="Q987">
        <v>1</v>
      </c>
      <c r="R987">
        <v>0</v>
      </c>
      <c r="S987" s="2">
        <v>8000</v>
      </c>
      <c r="T987" s="4">
        <v>0.1193</v>
      </c>
      <c r="U987">
        <v>2</v>
      </c>
      <c r="V987">
        <v>1</v>
      </c>
      <c r="W987">
        <v>1</v>
      </c>
    </row>
    <row r="988" spans="1:23" ht="16.5" x14ac:dyDescent="0.3">
      <c r="A988" t="s">
        <v>1043</v>
      </c>
      <c r="B988" s="1">
        <v>45434</v>
      </c>
      <c r="C988">
        <v>2024</v>
      </c>
      <c r="D988" t="s">
        <v>688</v>
      </c>
      <c r="E988" t="s">
        <v>885</v>
      </c>
      <c r="F988" t="s">
        <v>50</v>
      </c>
      <c r="G988" t="s">
        <v>51</v>
      </c>
      <c r="H988" t="s">
        <v>55</v>
      </c>
      <c r="I988" t="s">
        <v>39</v>
      </c>
      <c r="J988" t="s">
        <v>43</v>
      </c>
      <c r="K988" s="2">
        <v>1850</v>
      </c>
      <c r="L988" s="2">
        <v>392500</v>
      </c>
      <c r="M988">
        <v>300</v>
      </c>
      <c r="N988" s="3">
        <v>1.4590000000000001</v>
      </c>
      <c r="O988" t="s">
        <v>17</v>
      </c>
      <c r="P988" t="s">
        <v>31</v>
      </c>
      <c r="Q988">
        <v>0</v>
      </c>
      <c r="R988">
        <v>1</v>
      </c>
      <c r="S988" s="2">
        <v>0</v>
      </c>
      <c r="T988" s="4"/>
      <c r="U988">
        <v>13</v>
      </c>
      <c r="V988">
        <v>1</v>
      </c>
      <c r="W988">
        <v>1</v>
      </c>
    </row>
    <row r="989" spans="1:23" ht="16.5" x14ac:dyDescent="0.3">
      <c r="A989" t="s">
        <v>1044</v>
      </c>
      <c r="B989" s="1">
        <v>45435</v>
      </c>
      <c r="C989">
        <v>2024</v>
      </c>
      <c r="D989" t="s">
        <v>688</v>
      </c>
      <c r="E989" t="s">
        <v>885</v>
      </c>
      <c r="F989" t="s">
        <v>41</v>
      </c>
      <c r="G989" t="s">
        <v>27</v>
      </c>
      <c r="H989" t="s">
        <v>55</v>
      </c>
      <c r="I989" t="s">
        <v>39</v>
      </c>
      <c r="J989" t="s">
        <v>52</v>
      </c>
      <c r="K989" s="2">
        <v>9550</v>
      </c>
      <c r="L989" s="2">
        <v>107500</v>
      </c>
      <c r="M989">
        <v>60</v>
      </c>
      <c r="N989" s="3">
        <v>0.46200000000000002</v>
      </c>
      <c r="O989" t="s">
        <v>16</v>
      </c>
      <c r="Q989">
        <v>1</v>
      </c>
      <c r="R989">
        <v>0</v>
      </c>
      <c r="S989" s="2">
        <v>107500</v>
      </c>
      <c r="T989" s="4">
        <v>0.1017</v>
      </c>
      <c r="U989">
        <v>10</v>
      </c>
      <c r="V989">
        <v>1</v>
      </c>
      <c r="W989">
        <v>1</v>
      </c>
    </row>
    <row r="990" spans="1:23" ht="16.5" x14ac:dyDescent="0.3">
      <c r="A990" t="s">
        <v>1045</v>
      </c>
      <c r="B990" s="1">
        <v>45435</v>
      </c>
      <c r="C990">
        <v>2024</v>
      </c>
      <c r="D990" t="s">
        <v>688</v>
      </c>
      <c r="E990" t="s">
        <v>885</v>
      </c>
      <c r="F990" t="s">
        <v>37</v>
      </c>
      <c r="G990" t="s">
        <v>51</v>
      </c>
      <c r="H990" t="s">
        <v>55</v>
      </c>
      <c r="I990" t="s">
        <v>39</v>
      </c>
      <c r="J990" t="s">
        <v>46</v>
      </c>
      <c r="K990" s="2">
        <v>11300</v>
      </c>
      <c r="L990" s="2">
        <v>18000</v>
      </c>
      <c r="M990">
        <v>24</v>
      </c>
      <c r="N990" s="3">
        <v>0.254</v>
      </c>
      <c r="O990" t="s">
        <v>16</v>
      </c>
      <c r="Q990">
        <v>1</v>
      </c>
      <c r="R990">
        <v>0</v>
      </c>
      <c r="S990" s="2">
        <v>18000</v>
      </c>
      <c r="T990" s="4">
        <v>0.10929999999999999</v>
      </c>
      <c r="U990">
        <v>4</v>
      </c>
      <c r="V990">
        <v>0</v>
      </c>
      <c r="W990">
        <v>1</v>
      </c>
    </row>
    <row r="991" spans="1:23" ht="16.5" x14ac:dyDescent="0.3">
      <c r="A991" t="s">
        <v>1046</v>
      </c>
      <c r="B991" s="1">
        <v>45435</v>
      </c>
      <c r="C991">
        <v>2024</v>
      </c>
      <c r="D991" t="s">
        <v>688</v>
      </c>
      <c r="E991" t="s">
        <v>885</v>
      </c>
      <c r="F991" t="s">
        <v>37</v>
      </c>
      <c r="G991" t="s">
        <v>51</v>
      </c>
      <c r="H991" t="s">
        <v>64</v>
      </c>
      <c r="I991" t="s">
        <v>29</v>
      </c>
      <c r="J991" t="s">
        <v>35</v>
      </c>
      <c r="K991" s="2">
        <v>5850</v>
      </c>
      <c r="L991" s="2">
        <v>11500</v>
      </c>
      <c r="M991">
        <v>12</v>
      </c>
      <c r="N991" s="3">
        <v>0.28299999999999997</v>
      </c>
      <c r="O991" t="s">
        <v>16</v>
      </c>
      <c r="Q991">
        <v>1</v>
      </c>
      <c r="R991">
        <v>0</v>
      </c>
      <c r="S991" s="2">
        <v>9000</v>
      </c>
      <c r="T991" s="4">
        <v>0.12590000000000001</v>
      </c>
      <c r="U991">
        <v>7</v>
      </c>
      <c r="V991">
        <v>0</v>
      </c>
      <c r="W991">
        <v>1</v>
      </c>
    </row>
    <row r="992" spans="1:23" ht="16.5" x14ac:dyDescent="0.3">
      <c r="A992" t="s">
        <v>1047</v>
      </c>
      <c r="B992" s="1">
        <v>45435</v>
      </c>
      <c r="C992">
        <v>2024</v>
      </c>
      <c r="D992" t="s">
        <v>688</v>
      </c>
      <c r="E992" t="s">
        <v>885</v>
      </c>
      <c r="F992" t="s">
        <v>26</v>
      </c>
      <c r="G992" t="s">
        <v>45</v>
      </c>
      <c r="H992" t="s">
        <v>55</v>
      </c>
      <c r="I992" t="s">
        <v>39</v>
      </c>
      <c r="J992" t="s">
        <v>52</v>
      </c>
      <c r="K992" s="2">
        <v>5600</v>
      </c>
      <c r="L992" s="2">
        <v>46500</v>
      </c>
      <c r="M992">
        <v>36</v>
      </c>
      <c r="N992" s="3">
        <v>0.34200000000000003</v>
      </c>
      <c r="O992" t="s">
        <v>17</v>
      </c>
      <c r="P992" t="s">
        <v>60</v>
      </c>
      <c r="Q992">
        <v>0</v>
      </c>
      <c r="R992">
        <v>1</v>
      </c>
      <c r="S992" s="2">
        <v>0</v>
      </c>
      <c r="T992" s="4"/>
      <c r="U992">
        <v>7</v>
      </c>
      <c r="V992">
        <v>0</v>
      </c>
      <c r="W992">
        <v>1</v>
      </c>
    </row>
    <row r="993" spans="1:23" ht="16.5" x14ac:dyDescent="0.3">
      <c r="A993" t="s">
        <v>1048</v>
      </c>
      <c r="B993" s="1">
        <v>45435</v>
      </c>
      <c r="C993">
        <v>2024</v>
      </c>
      <c r="D993" t="s">
        <v>688</v>
      </c>
      <c r="E993" t="s">
        <v>885</v>
      </c>
      <c r="F993" t="s">
        <v>37</v>
      </c>
      <c r="G993" t="s">
        <v>27</v>
      </c>
      <c r="H993" t="s">
        <v>34</v>
      </c>
      <c r="I993" t="s">
        <v>39</v>
      </c>
      <c r="J993" t="s">
        <v>52</v>
      </c>
      <c r="K993" s="2">
        <v>4100</v>
      </c>
      <c r="L993" s="2">
        <v>10500</v>
      </c>
      <c r="M993">
        <v>48</v>
      </c>
      <c r="N993" s="3">
        <v>0.183</v>
      </c>
      <c r="O993" t="s">
        <v>17</v>
      </c>
      <c r="P993" t="s">
        <v>60</v>
      </c>
      <c r="Q993">
        <v>0</v>
      </c>
      <c r="R993">
        <v>1</v>
      </c>
      <c r="S993" s="2">
        <v>0</v>
      </c>
      <c r="T993" s="4"/>
      <c r="U993">
        <v>7</v>
      </c>
      <c r="V993">
        <v>0</v>
      </c>
      <c r="W993">
        <v>1</v>
      </c>
    </row>
    <row r="994" spans="1:23" ht="16.5" x14ac:dyDescent="0.3">
      <c r="A994" t="s">
        <v>1049</v>
      </c>
      <c r="B994" s="1">
        <v>45435</v>
      </c>
      <c r="C994">
        <v>2024</v>
      </c>
      <c r="D994" t="s">
        <v>688</v>
      </c>
      <c r="E994" t="s">
        <v>885</v>
      </c>
      <c r="F994" t="s">
        <v>37</v>
      </c>
      <c r="G994" t="s">
        <v>51</v>
      </c>
      <c r="H994" t="s">
        <v>34</v>
      </c>
      <c r="I994" t="s">
        <v>29</v>
      </c>
      <c r="J994" t="s">
        <v>52</v>
      </c>
      <c r="K994" s="2">
        <v>8500</v>
      </c>
      <c r="L994" s="2">
        <v>16000</v>
      </c>
      <c r="M994">
        <v>24</v>
      </c>
      <c r="N994" s="3">
        <v>0.33100000000000002</v>
      </c>
      <c r="O994" t="s">
        <v>16</v>
      </c>
      <c r="Q994">
        <v>1</v>
      </c>
      <c r="R994">
        <v>0</v>
      </c>
      <c r="S994" s="2">
        <v>16000</v>
      </c>
      <c r="T994" s="4">
        <v>0.11219999999999999</v>
      </c>
      <c r="U994">
        <v>6</v>
      </c>
      <c r="V994">
        <v>0</v>
      </c>
      <c r="W994">
        <v>1</v>
      </c>
    </row>
    <row r="995" spans="1:23" ht="16.5" x14ac:dyDescent="0.3">
      <c r="A995" t="s">
        <v>1050</v>
      </c>
      <c r="B995" s="1">
        <v>45435</v>
      </c>
      <c r="C995">
        <v>2024</v>
      </c>
      <c r="D995" t="s">
        <v>688</v>
      </c>
      <c r="E995" t="s">
        <v>885</v>
      </c>
      <c r="F995" t="s">
        <v>37</v>
      </c>
      <c r="G995" t="s">
        <v>51</v>
      </c>
      <c r="H995" t="s">
        <v>55</v>
      </c>
      <c r="I995" t="s">
        <v>29</v>
      </c>
      <c r="J995" t="s">
        <v>43</v>
      </c>
      <c r="K995" s="2">
        <v>5850</v>
      </c>
      <c r="L995" s="2">
        <v>21000</v>
      </c>
      <c r="M995">
        <v>48</v>
      </c>
      <c r="N995" s="3">
        <v>0.154</v>
      </c>
      <c r="O995" t="s">
        <v>17</v>
      </c>
      <c r="P995" t="s">
        <v>31</v>
      </c>
      <c r="Q995">
        <v>0</v>
      </c>
      <c r="R995">
        <v>1</v>
      </c>
      <c r="S995" s="2">
        <v>0</v>
      </c>
      <c r="T995" s="4"/>
      <c r="U995">
        <v>6</v>
      </c>
      <c r="V995">
        <v>0</v>
      </c>
      <c r="W995">
        <v>1</v>
      </c>
    </row>
    <row r="996" spans="1:23" ht="16.5" x14ac:dyDescent="0.3">
      <c r="A996" t="s">
        <v>1051</v>
      </c>
      <c r="B996" s="1">
        <v>45435</v>
      </c>
      <c r="C996">
        <v>2024</v>
      </c>
      <c r="D996" t="s">
        <v>688</v>
      </c>
      <c r="E996" t="s">
        <v>885</v>
      </c>
      <c r="F996" t="s">
        <v>37</v>
      </c>
      <c r="G996" t="s">
        <v>33</v>
      </c>
      <c r="H996" t="s">
        <v>64</v>
      </c>
      <c r="I996" t="s">
        <v>29</v>
      </c>
      <c r="J996" t="s">
        <v>35</v>
      </c>
      <c r="K996" s="2">
        <v>3100</v>
      </c>
      <c r="L996" s="2">
        <v>6500</v>
      </c>
      <c r="M996">
        <v>48</v>
      </c>
      <c r="N996" s="3">
        <v>0.28000000000000003</v>
      </c>
      <c r="O996" t="s">
        <v>16</v>
      </c>
      <c r="Q996">
        <v>1</v>
      </c>
      <c r="R996">
        <v>0</v>
      </c>
      <c r="S996" s="2">
        <v>6500</v>
      </c>
      <c r="T996" s="4">
        <v>0.1216</v>
      </c>
      <c r="U996">
        <v>3</v>
      </c>
      <c r="V996">
        <v>1</v>
      </c>
      <c r="W996">
        <v>1</v>
      </c>
    </row>
    <row r="997" spans="1:23" ht="16.5" x14ac:dyDescent="0.3">
      <c r="A997" t="s">
        <v>1052</v>
      </c>
      <c r="B997" s="1">
        <v>45435</v>
      </c>
      <c r="C997">
        <v>2024</v>
      </c>
      <c r="D997" t="s">
        <v>688</v>
      </c>
      <c r="E997" t="s">
        <v>885</v>
      </c>
      <c r="F997" t="s">
        <v>37</v>
      </c>
      <c r="G997" t="s">
        <v>33</v>
      </c>
      <c r="H997" t="s">
        <v>38</v>
      </c>
      <c r="I997" t="s">
        <v>29</v>
      </c>
      <c r="J997" t="s">
        <v>35</v>
      </c>
      <c r="K997" s="2">
        <v>3850</v>
      </c>
      <c r="L997" s="2">
        <v>14000</v>
      </c>
      <c r="M997">
        <v>12</v>
      </c>
      <c r="N997" s="3">
        <v>0.56599999999999995</v>
      </c>
      <c r="O997" t="s">
        <v>125</v>
      </c>
      <c r="Q997">
        <v>0</v>
      </c>
      <c r="R997">
        <v>0</v>
      </c>
      <c r="S997" s="2">
        <v>0</v>
      </c>
      <c r="T997" s="4"/>
      <c r="U997">
        <v>3</v>
      </c>
      <c r="V997">
        <v>1</v>
      </c>
      <c r="W997">
        <v>1</v>
      </c>
    </row>
    <row r="998" spans="1:23" ht="16.5" x14ac:dyDescent="0.3">
      <c r="A998" t="s">
        <v>1053</v>
      </c>
      <c r="B998" s="1">
        <v>45435</v>
      </c>
      <c r="C998">
        <v>2024</v>
      </c>
      <c r="D998" t="s">
        <v>688</v>
      </c>
      <c r="E998" t="s">
        <v>885</v>
      </c>
      <c r="F998" t="s">
        <v>37</v>
      </c>
      <c r="G998" t="s">
        <v>27</v>
      </c>
      <c r="H998" t="s">
        <v>64</v>
      </c>
      <c r="I998" t="s">
        <v>29</v>
      </c>
      <c r="J998" t="s">
        <v>35</v>
      </c>
      <c r="K998" s="2">
        <v>5000</v>
      </c>
      <c r="L998" s="2">
        <v>8500</v>
      </c>
      <c r="M998">
        <v>48</v>
      </c>
      <c r="N998" s="3">
        <v>0.16300000000000001</v>
      </c>
      <c r="O998" t="s">
        <v>16</v>
      </c>
      <c r="Q998">
        <v>1</v>
      </c>
      <c r="R998">
        <v>0</v>
      </c>
      <c r="S998" s="2">
        <v>8500</v>
      </c>
      <c r="T998" s="4">
        <v>0.125</v>
      </c>
      <c r="U998">
        <v>2</v>
      </c>
      <c r="V998">
        <v>1</v>
      </c>
      <c r="W998">
        <v>1</v>
      </c>
    </row>
    <row r="999" spans="1:23" ht="16.5" x14ac:dyDescent="0.3">
      <c r="A999" t="s">
        <v>1054</v>
      </c>
      <c r="B999" s="1">
        <v>45436</v>
      </c>
      <c r="C999">
        <v>2024</v>
      </c>
      <c r="D999" t="s">
        <v>688</v>
      </c>
      <c r="E999" t="s">
        <v>885</v>
      </c>
      <c r="F999" t="s">
        <v>50</v>
      </c>
      <c r="G999" t="s">
        <v>45</v>
      </c>
      <c r="H999" t="s">
        <v>34</v>
      </c>
      <c r="I999" t="s">
        <v>39</v>
      </c>
      <c r="J999" t="s">
        <v>43</v>
      </c>
      <c r="K999" s="2">
        <v>4400</v>
      </c>
      <c r="L999" s="2">
        <v>488000</v>
      </c>
      <c r="M999">
        <v>240</v>
      </c>
      <c r="N999" s="3">
        <v>0.81</v>
      </c>
      <c r="O999" t="s">
        <v>17</v>
      </c>
      <c r="P999" t="s">
        <v>31</v>
      </c>
      <c r="Q999">
        <v>0</v>
      </c>
      <c r="R999">
        <v>1</v>
      </c>
      <c r="S999" s="2">
        <v>0</v>
      </c>
      <c r="T999" s="4"/>
      <c r="U999">
        <v>11</v>
      </c>
      <c r="V999">
        <v>1</v>
      </c>
      <c r="W999">
        <v>1</v>
      </c>
    </row>
    <row r="1000" spans="1:23" ht="16.5" x14ac:dyDescent="0.3">
      <c r="A1000" t="s">
        <v>1055</v>
      </c>
      <c r="B1000" s="1">
        <v>45436</v>
      </c>
      <c r="C1000">
        <v>2024</v>
      </c>
      <c r="D1000" t="s">
        <v>688</v>
      </c>
      <c r="E1000" t="s">
        <v>885</v>
      </c>
      <c r="F1000" t="s">
        <v>37</v>
      </c>
      <c r="G1000" t="s">
        <v>45</v>
      </c>
      <c r="H1000" t="s">
        <v>38</v>
      </c>
      <c r="I1000" t="s">
        <v>29</v>
      </c>
      <c r="J1000" t="s">
        <v>35</v>
      </c>
      <c r="K1000" s="2">
        <v>3500</v>
      </c>
      <c r="L1000" s="2">
        <v>14500</v>
      </c>
      <c r="M1000">
        <v>12</v>
      </c>
      <c r="N1000" s="3">
        <v>0.48499999999999999</v>
      </c>
      <c r="O1000" t="s">
        <v>16</v>
      </c>
      <c r="Q1000">
        <v>1</v>
      </c>
      <c r="R1000">
        <v>0</v>
      </c>
      <c r="S1000" s="2">
        <v>14500</v>
      </c>
      <c r="T1000" s="4">
        <v>0.122</v>
      </c>
      <c r="U1000">
        <v>2</v>
      </c>
      <c r="V1000">
        <v>1</v>
      </c>
      <c r="W1000">
        <v>1</v>
      </c>
    </row>
    <row r="1001" spans="1:23" ht="16.5" x14ac:dyDescent="0.3">
      <c r="A1001" t="s">
        <v>1056</v>
      </c>
      <c r="B1001" s="1">
        <v>45436</v>
      </c>
      <c r="C1001">
        <v>2024</v>
      </c>
      <c r="D1001" t="s">
        <v>688</v>
      </c>
      <c r="E1001" t="s">
        <v>885</v>
      </c>
      <c r="F1001" t="s">
        <v>41</v>
      </c>
      <c r="G1001" t="s">
        <v>45</v>
      </c>
      <c r="H1001" t="s">
        <v>38</v>
      </c>
      <c r="I1001" t="s">
        <v>29</v>
      </c>
      <c r="J1001" t="s">
        <v>43</v>
      </c>
      <c r="K1001" s="2">
        <v>3250</v>
      </c>
      <c r="L1001" s="2">
        <v>86000</v>
      </c>
      <c r="M1001">
        <v>24</v>
      </c>
      <c r="N1001" s="3">
        <v>1.4650000000000001</v>
      </c>
      <c r="O1001" t="s">
        <v>17</v>
      </c>
      <c r="P1001" t="s">
        <v>31</v>
      </c>
      <c r="Q1001">
        <v>0</v>
      </c>
      <c r="R1001">
        <v>1</v>
      </c>
      <c r="S1001" s="2">
        <v>0</v>
      </c>
      <c r="T1001" s="4"/>
      <c r="U1001">
        <v>6</v>
      </c>
      <c r="V1001">
        <v>1</v>
      </c>
      <c r="W1001">
        <v>1</v>
      </c>
    </row>
    <row r="1002" spans="1:23" ht="16.5" x14ac:dyDescent="0.3">
      <c r="A1002" t="s">
        <v>1057</v>
      </c>
      <c r="B1002" s="1">
        <v>45436</v>
      </c>
      <c r="C1002">
        <v>2024</v>
      </c>
      <c r="D1002" t="s">
        <v>688</v>
      </c>
      <c r="E1002" t="s">
        <v>885</v>
      </c>
      <c r="F1002" t="s">
        <v>37</v>
      </c>
      <c r="G1002" t="s">
        <v>33</v>
      </c>
      <c r="H1002" t="s">
        <v>34</v>
      </c>
      <c r="I1002" t="s">
        <v>29</v>
      </c>
      <c r="J1002" t="s">
        <v>30</v>
      </c>
      <c r="K1002" s="2">
        <v>11350</v>
      </c>
      <c r="L1002" s="2">
        <v>9000</v>
      </c>
      <c r="M1002">
        <v>36</v>
      </c>
      <c r="N1002" s="3">
        <v>0.25700000000000001</v>
      </c>
      <c r="O1002" t="s">
        <v>17</v>
      </c>
      <c r="P1002" t="s">
        <v>31</v>
      </c>
      <c r="Q1002">
        <v>0</v>
      </c>
      <c r="R1002">
        <v>1</v>
      </c>
      <c r="S1002" s="2">
        <v>0</v>
      </c>
      <c r="T1002" s="4"/>
      <c r="U1002">
        <v>2</v>
      </c>
      <c r="V1002">
        <v>1</v>
      </c>
      <c r="W1002">
        <v>1</v>
      </c>
    </row>
    <row r="1003" spans="1:23" ht="16.5" x14ac:dyDescent="0.3">
      <c r="A1003" t="s">
        <v>1058</v>
      </c>
      <c r="B1003" s="1">
        <v>45436</v>
      </c>
      <c r="C1003">
        <v>2024</v>
      </c>
      <c r="D1003" t="s">
        <v>688</v>
      </c>
      <c r="E1003" t="s">
        <v>885</v>
      </c>
      <c r="F1003" t="s">
        <v>50</v>
      </c>
      <c r="G1003" t="s">
        <v>51</v>
      </c>
      <c r="H1003" t="s">
        <v>55</v>
      </c>
      <c r="I1003" t="s">
        <v>29</v>
      </c>
      <c r="J1003" t="s">
        <v>35</v>
      </c>
      <c r="K1003" s="2">
        <v>5750</v>
      </c>
      <c r="L1003" s="2">
        <v>471000</v>
      </c>
      <c r="M1003">
        <v>240</v>
      </c>
      <c r="N1003" s="3">
        <v>0.76700000000000002</v>
      </c>
      <c r="O1003" t="s">
        <v>17</v>
      </c>
      <c r="P1003" t="s">
        <v>53</v>
      </c>
      <c r="Q1003">
        <v>0</v>
      </c>
      <c r="R1003">
        <v>1</v>
      </c>
      <c r="S1003" s="2">
        <v>0</v>
      </c>
      <c r="T1003" s="4"/>
      <c r="U1003">
        <v>13</v>
      </c>
      <c r="V1003">
        <v>1</v>
      </c>
      <c r="W1003">
        <v>1</v>
      </c>
    </row>
    <row r="1004" spans="1:23" ht="16.5" x14ac:dyDescent="0.3">
      <c r="A1004" t="s">
        <v>1059</v>
      </c>
      <c r="B1004" s="1">
        <v>45437</v>
      </c>
      <c r="C1004">
        <v>2024</v>
      </c>
      <c r="D1004" t="s">
        <v>688</v>
      </c>
      <c r="E1004" t="s">
        <v>885</v>
      </c>
      <c r="F1004" t="s">
        <v>26</v>
      </c>
      <c r="G1004" t="s">
        <v>33</v>
      </c>
      <c r="H1004" t="s">
        <v>34</v>
      </c>
      <c r="I1004" t="s">
        <v>29</v>
      </c>
      <c r="J1004" t="s">
        <v>46</v>
      </c>
      <c r="K1004" s="2">
        <v>6400</v>
      </c>
      <c r="L1004" s="2">
        <v>10500</v>
      </c>
      <c r="M1004">
        <v>48</v>
      </c>
      <c r="N1004" s="3">
        <v>0.221</v>
      </c>
      <c r="O1004" t="s">
        <v>16</v>
      </c>
      <c r="Q1004">
        <v>1</v>
      </c>
      <c r="R1004">
        <v>0</v>
      </c>
      <c r="S1004" s="2">
        <v>10500</v>
      </c>
      <c r="T1004" s="4">
        <v>6.93E-2</v>
      </c>
      <c r="U1004">
        <v>2</v>
      </c>
      <c r="V1004">
        <v>1</v>
      </c>
      <c r="W1004">
        <v>1</v>
      </c>
    </row>
    <row r="1005" spans="1:23" ht="16.5" x14ac:dyDescent="0.3">
      <c r="A1005" t="s">
        <v>1060</v>
      </c>
      <c r="B1005" s="1">
        <v>45438</v>
      </c>
      <c r="C1005">
        <v>2024</v>
      </c>
      <c r="D1005" t="s">
        <v>688</v>
      </c>
      <c r="E1005" t="s">
        <v>885</v>
      </c>
      <c r="F1005" t="s">
        <v>37</v>
      </c>
      <c r="G1005" t="s">
        <v>27</v>
      </c>
      <c r="H1005" t="s">
        <v>34</v>
      </c>
      <c r="I1005" t="s">
        <v>39</v>
      </c>
      <c r="J1005" t="s">
        <v>30</v>
      </c>
      <c r="K1005" s="2">
        <v>7850</v>
      </c>
      <c r="L1005" s="2">
        <v>10000</v>
      </c>
      <c r="M1005">
        <v>36</v>
      </c>
      <c r="N1005" s="3">
        <v>0.13900000000000001</v>
      </c>
      <c r="O1005" t="s">
        <v>17</v>
      </c>
      <c r="P1005" t="s">
        <v>48</v>
      </c>
      <c r="Q1005">
        <v>0</v>
      </c>
      <c r="R1005">
        <v>1</v>
      </c>
      <c r="S1005" s="2">
        <v>0</v>
      </c>
      <c r="T1005" s="4"/>
      <c r="U1005">
        <v>3</v>
      </c>
      <c r="V1005">
        <v>1</v>
      </c>
      <c r="W1005">
        <v>1</v>
      </c>
    </row>
    <row r="1006" spans="1:23" ht="16.5" x14ac:dyDescent="0.3">
      <c r="A1006" t="s">
        <v>1061</v>
      </c>
      <c r="B1006" s="1">
        <v>45438</v>
      </c>
      <c r="C1006">
        <v>2024</v>
      </c>
      <c r="D1006" t="s">
        <v>688</v>
      </c>
      <c r="E1006" t="s">
        <v>885</v>
      </c>
      <c r="F1006" t="s">
        <v>37</v>
      </c>
      <c r="G1006" t="s">
        <v>33</v>
      </c>
      <c r="H1006" t="s">
        <v>55</v>
      </c>
      <c r="I1006" t="s">
        <v>29</v>
      </c>
      <c r="J1006" t="s">
        <v>35</v>
      </c>
      <c r="K1006" s="2">
        <v>5250</v>
      </c>
      <c r="L1006" s="2">
        <v>8000</v>
      </c>
      <c r="M1006">
        <v>24</v>
      </c>
      <c r="N1006" s="3">
        <v>0.20499999999999999</v>
      </c>
      <c r="O1006" t="s">
        <v>16</v>
      </c>
      <c r="Q1006">
        <v>1</v>
      </c>
      <c r="R1006">
        <v>0</v>
      </c>
      <c r="S1006" s="2">
        <v>8000</v>
      </c>
      <c r="T1006" s="4">
        <v>0.1222</v>
      </c>
      <c r="U1006">
        <v>2</v>
      </c>
      <c r="V1006">
        <v>1</v>
      </c>
      <c r="W1006">
        <v>1</v>
      </c>
    </row>
    <row r="1007" spans="1:23" ht="16.5" x14ac:dyDescent="0.3">
      <c r="A1007" t="s">
        <v>1062</v>
      </c>
      <c r="B1007" s="1">
        <v>45438</v>
      </c>
      <c r="C1007">
        <v>2024</v>
      </c>
      <c r="D1007" t="s">
        <v>688</v>
      </c>
      <c r="E1007" t="s">
        <v>885</v>
      </c>
      <c r="F1007" t="s">
        <v>50</v>
      </c>
      <c r="G1007" t="s">
        <v>51</v>
      </c>
      <c r="H1007" t="s">
        <v>38</v>
      </c>
      <c r="I1007" t="s">
        <v>29</v>
      </c>
      <c r="J1007" t="s">
        <v>43</v>
      </c>
      <c r="K1007" s="2">
        <v>6400</v>
      </c>
      <c r="L1007" s="2">
        <v>124000</v>
      </c>
      <c r="M1007">
        <v>180</v>
      </c>
      <c r="N1007" s="3">
        <v>0.21199999999999999</v>
      </c>
      <c r="O1007" t="s">
        <v>16</v>
      </c>
      <c r="Q1007">
        <v>1</v>
      </c>
      <c r="R1007">
        <v>0</v>
      </c>
      <c r="S1007" s="2">
        <v>124000</v>
      </c>
      <c r="T1007" s="4">
        <v>9.4299999999999995E-2</v>
      </c>
      <c r="U1007">
        <v>26</v>
      </c>
      <c r="V1007">
        <v>0</v>
      </c>
      <c r="W1007">
        <v>1</v>
      </c>
    </row>
    <row r="1008" spans="1:23" ht="16.5" x14ac:dyDescent="0.3">
      <c r="A1008" t="s">
        <v>1063</v>
      </c>
      <c r="B1008" s="1">
        <v>45438</v>
      </c>
      <c r="C1008">
        <v>2024</v>
      </c>
      <c r="D1008" t="s">
        <v>688</v>
      </c>
      <c r="E1008" t="s">
        <v>885</v>
      </c>
      <c r="F1008" t="s">
        <v>50</v>
      </c>
      <c r="G1008" t="s">
        <v>51</v>
      </c>
      <c r="H1008" t="s">
        <v>38</v>
      </c>
      <c r="I1008" t="s">
        <v>42</v>
      </c>
      <c r="J1008" t="s">
        <v>52</v>
      </c>
      <c r="K1008" s="2">
        <v>10300</v>
      </c>
      <c r="L1008" s="2">
        <v>226000</v>
      </c>
      <c r="M1008">
        <v>240</v>
      </c>
      <c r="N1008" s="3">
        <v>0.33</v>
      </c>
      <c r="O1008" t="s">
        <v>16</v>
      </c>
      <c r="Q1008">
        <v>1</v>
      </c>
      <c r="R1008">
        <v>0</v>
      </c>
      <c r="S1008" s="2">
        <v>181000</v>
      </c>
      <c r="T1008" s="4">
        <v>4.7100000000000003E-2</v>
      </c>
      <c r="U1008">
        <v>35</v>
      </c>
      <c r="V1008">
        <v>0</v>
      </c>
      <c r="W1008">
        <v>1</v>
      </c>
    </row>
    <row r="1009" spans="1:23" ht="16.5" x14ac:dyDescent="0.3">
      <c r="A1009" t="s">
        <v>1064</v>
      </c>
      <c r="B1009" s="1">
        <v>45439</v>
      </c>
      <c r="C1009">
        <v>2024</v>
      </c>
      <c r="D1009" t="s">
        <v>688</v>
      </c>
      <c r="E1009" t="s">
        <v>885</v>
      </c>
      <c r="F1009" t="s">
        <v>37</v>
      </c>
      <c r="G1009" t="s">
        <v>51</v>
      </c>
      <c r="H1009" t="s">
        <v>64</v>
      </c>
      <c r="I1009" t="s">
        <v>29</v>
      </c>
      <c r="J1009" t="s">
        <v>43</v>
      </c>
      <c r="K1009" s="2">
        <v>5950</v>
      </c>
      <c r="L1009" s="2">
        <v>8500</v>
      </c>
      <c r="M1009">
        <v>48</v>
      </c>
      <c r="N1009" s="3">
        <v>0.26200000000000001</v>
      </c>
      <c r="O1009" t="s">
        <v>17</v>
      </c>
      <c r="P1009" t="s">
        <v>31</v>
      </c>
      <c r="Q1009">
        <v>0</v>
      </c>
      <c r="R1009">
        <v>1</v>
      </c>
      <c r="S1009" s="2">
        <v>0</v>
      </c>
      <c r="T1009" s="4"/>
      <c r="U1009">
        <v>4</v>
      </c>
      <c r="V1009">
        <v>0</v>
      </c>
      <c r="W1009">
        <v>1</v>
      </c>
    </row>
    <row r="1010" spans="1:23" ht="16.5" x14ac:dyDescent="0.3">
      <c r="A1010" t="s">
        <v>1065</v>
      </c>
      <c r="B1010" s="1">
        <v>45439</v>
      </c>
      <c r="C1010">
        <v>2024</v>
      </c>
      <c r="D1010" t="s">
        <v>688</v>
      </c>
      <c r="E1010" t="s">
        <v>885</v>
      </c>
      <c r="F1010" t="s">
        <v>26</v>
      </c>
      <c r="G1010" t="s">
        <v>45</v>
      </c>
      <c r="H1010" t="s">
        <v>34</v>
      </c>
      <c r="I1010" t="s">
        <v>29</v>
      </c>
      <c r="J1010" t="s">
        <v>30</v>
      </c>
      <c r="K1010" s="2">
        <v>6500</v>
      </c>
      <c r="L1010" s="2">
        <v>38500</v>
      </c>
      <c r="M1010">
        <v>60</v>
      </c>
      <c r="N1010" s="3">
        <v>0.18099999999999999</v>
      </c>
      <c r="O1010" t="s">
        <v>17</v>
      </c>
      <c r="P1010" t="s">
        <v>31</v>
      </c>
      <c r="Q1010">
        <v>0</v>
      </c>
      <c r="R1010">
        <v>1</v>
      </c>
      <c r="S1010" s="2">
        <v>0</v>
      </c>
      <c r="T1010" s="4"/>
      <c r="U1010">
        <v>3</v>
      </c>
      <c r="V1010">
        <v>1</v>
      </c>
      <c r="W1010">
        <v>1</v>
      </c>
    </row>
    <row r="1011" spans="1:23" ht="16.5" x14ac:dyDescent="0.3">
      <c r="A1011" t="s">
        <v>1066</v>
      </c>
      <c r="B1011" s="1">
        <v>45439</v>
      </c>
      <c r="C1011">
        <v>2024</v>
      </c>
      <c r="D1011" t="s">
        <v>688</v>
      </c>
      <c r="E1011" t="s">
        <v>885</v>
      </c>
      <c r="F1011" t="s">
        <v>26</v>
      </c>
      <c r="G1011" t="s">
        <v>51</v>
      </c>
      <c r="H1011" t="s">
        <v>55</v>
      </c>
      <c r="I1011" t="s">
        <v>29</v>
      </c>
      <c r="J1011" t="s">
        <v>35</v>
      </c>
      <c r="K1011" s="2">
        <v>2650</v>
      </c>
      <c r="L1011" s="2">
        <v>15500</v>
      </c>
      <c r="M1011">
        <v>60</v>
      </c>
      <c r="N1011" s="3">
        <v>0.32500000000000001</v>
      </c>
      <c r="O1011" t="s">
        <v>125</v>
      </c>
      <c r="Q1011">
        <v>0</v>
      </c>
      <c r="R1011">
        <v>0</v>
      </c>
      <c r="S1011" s="2">
        <v>0</v>
      </c>
      <c r="T1011" s="4"/>
      <c r="U1011">
        <v>8</v>
      </c>
      <c r="V1011">
        <v>0</v>
      </c>
      <c r="W1011">
        <v>1</v>
      </c>
    </row>
    <row r="1012" spans="1:23" ht="16.5" x14ac:dyDescent="0.3">
      <c r="A1012" t="s">
        <v>1067</v>
      </c>
      <c r="B1012" s="1">
        <v>45439</v>
      </c>
      <c r="C1012">
        <v>2024</v>
      </c>
      <c r="D1012" t="s">
        <v>688</v>
      </c>
      <c r="E1012" t="s">
        <v>885</v>
      </c>
      <c r="F1012" t="s">
        <v>26</v>
      </c>
      <c r="G1012" t="s">
        <v>51</v>
      </c>
      <c r="H1012" t="s">
        <v>55</v>
      </c>
      <c r="I1012" t="s">
        <v>29</v>
      </c>
      <c r="J1012" t="s">
        <v>35</v>
      </c>
      <c r="K1012" s="2">
        <v>3350</v>
      </c>
      <c r="L1012" s="2">
        <v>25000</v>
      </c>
      <c r="M1012">
        <v>48</v>
      </c>
      <c r="N1012" s="3">
        <v>0.27100000000000002</v>
      </c>
      <c r="O1012" t="s">
        <v>17</v>
      </c>
      <c r="P1012" t="s">
        <v>31</v>
      </c>
      <c r="Q1012">
        <v>0</v>
      </c>
      <c r="R1012">
        <v>1</v>
      </c>
      <c r="S1012" s="2">
        <v>0</v>
      </c>
      <c r="T1012" s="4"/>
      <c r="U1012">
        <v>8</v>
      </c>
      <c r="V1012">
        <v>0</v>
      </c>
      <c r="W1012">
        <v>1</v>
      </c>
    </row>
    <row r="1013" spans="1:23" ht="16.5" x14ac:dyDescent="0.3">
      <c r="A1013" t="s">
        <v>1068</v>
      </c>
      <c r="B1013" s="1">
        <v>45439</v>
      </c>
      <c r="C1013">
        <v>2024</v>
      </c>
      <c r="D1013" t="s">
        <v>688</v>
      </c>
      <c r="E1013" t="s">
        <v>885</v>
      </c>
      <c r="F1013" t="s">
        <v>50</v>
      </c>
      <c r="G1013" t="s">
        <v>33</v>
      </c>
      <c r="H1013" t="s">
        <v>64</v>
      </c>
      <c r="I1013" t="s">
        <v>39</v>
      </c>
      <c r="J1013" t="s">
        <v>35</v>
      </c>
      <c r="K1013" s="2">
        <v>5600</v>
      </c>
      <c r="L1013" s="2">
        <v>206500</v>
      </c>
      <c r="M1013">
        <v>300</v>
      </c>
      <c r="N1013" s="3">
        <v>0.28899999999999998</v>
      </c>
      <c r="O1013" t="s">
        <v>17</v>
      </c>
      <c r="P1013" t="s">
        <v>65</v>
      </c>
      <c r="Q1013">
        <v>0</v>
      </c>
      <c r="R1013">
        <v>1</v>
      </c>
      <c r="S1013" s="2">
        <v>0</v>
      </c>
      <c r="T1013" s="4"/>
      <c r="U1013">
        <v>6</v>
      </c>
      <c r="V1013">
        <v>1</v>
      </c>
      <c r="W1013">
        <v>1</v>
      </c>
    </row>
    <row r="1014" spans="1:23" ht="16.5" x14ac:dyDescent="0.3">
      <c r="A1014" t="s">
        <v>1069</v>
      </c>
      <c r="B1014" s="1">
        <v>45439</v>
      </c>
      <c r="C1014">
        <v>2024</v>
      </c>
      <c r="D1014" t="s">
        <v>688</v>
      </c>
      <c r="E1014" t="s">
        <v>885</v>
      </c>
      <c r="F1014" t="s">
        <v>26</v>
      </c>
      <c r="G1014" t="s">
        <v>51</v>
      </c>
      <c r="H1014" t="s">
        <v>55</v>
      </c>
      <c r="I1014" t="s">
        <v>39</v>
      </c>
      <c r="J1014" t="s">
        <v>30</v>
      </c>
      <c r="K1014" s="2">
        <v>4800</v>
      </c>
      <c r="L1014" s="2">
        <v>26000</v>
      </c>
      <c r="M1014">
        <v>60</v>
      </c>
      <c r="N1014" s="3">
        <v>0.17899999999999999</v>
      </c>
      <c r="O1014" t="s">
        <v>16</v>
      </c>
      <c r="Q1014">
        <v>1</v>
      </c>
      <c r="R1014">
        <v>0</v>
      </c>
      <c r="S1014" s="2">
        <v>26000</v>
      </c>
      <c r="T1014" s="4">
        <v>9.7100000000000006E-2</v>
      </c>
      <c r="U1014">
        <v>8</v>
      </c>
      <c r="V1014">
        <v>0</v>
      </c>
      <c r="W1014">
        <v>1</v>
      </c>
    </row>
    <row r="1015" spans="1:23" ht="16.5" x14ac:dyDescent="0.3">
      <c r="A1015" t="s">
        <v>1070</v>
      </c>
      <c r="B1015" s="1">
        <v>45440</v>
      </c>
      <c r="C1015">
        <v>2024</v>
      </c>
      <c r="D1015" t="s">
        <v>688</v>
      </c>
      <c r="E1015" t="s">
        <v>885</v>
      </c>
      <c r="F1015" t="s">
        <v>26</v>
      </c>
      <c r="G1015" t="s">
        <v>51</v>
      </c>
      <c r="H1015" t="s">
        <v>38</v>
      </c>
      <c r="I1015" t="s">
        <v>29</v>
      </c>
      <c r="J1015" t="s">
        <v>43</v>
      </c>
      <c r="K1015" s="2">
        <v>4650</v>
      </c>
      <c r="L1015" s="2">
        <v>30500</v>
      </c>
      <c r="M1015">
        <v>48</v>
      </c>
      <c r="N1015" s="3">
        <v>0.314</v>
      </c>
      <c r="O1015" t="s">
        <v>17</v>
      </c>
      <c r="P1015" t="s">
        <v>31</v>
      </c>
      <c r="Q1015">
        <v>0</v>
      </c>
      <c r="R1015">
        <v>1</v>
      </c>
      <c r="S1015" s="2">
        <v>0</v>
      </c>
      <c r="T1015" s="4"/>
      <c r="U1015">
        <v>5</v>
      </c>
      <c r="V1015">
        <v>0</v>
      </c>
      <c r="W1015">
        <v>1</v>
      </c>
    </row>
    <row r="1016" spans="1:23" ht="16.5" x14ac:dyDescent="0.3">
      <c r="A1016" t="s">
        <v>1071</v>
      </c>
      <c r="B1016" s="1">
        <v>45440</v>
      </c>
      <c r="C1016">
        <v>2024</v>
      </c>
      <c r="D1016" t="s">
        <v>688</v>
      </c>
      <c r="E1016" t="s">
        <v>885</v>
      </c>
      <c r="F1016" t="s">
        <v>37</v>
      </c>
      <c r="G1016" t="s">
        <v>45</v>
      </c>
      <c r="H1016" t="s">
        <v>34</v>
      </c>
      <c r="I1016" t="s">
        <v>29</v>
      </c>
      <c r="J1016" t="s">
        <v>30</v>
      </c>
      <c r="K1016" s="2">
        <v>5750</v>
      </c>
      <c r="L1016" s="2">
        <v>6000</v>
      </c>
      <c r="M1016">
        <v>60</v>
      </c>
      <c r="N1016" s="3">
        <v>9.9000000000000005E-2</v>
      </c>
      <c r="O1016" t="s">
        <v>17</v>
      </c>
      <c r="P1016" t="s">
        <v>31</v>
      </c>
      <c r="Q1016">
        <v>0</v>
      </c>
      <c r="R1016">
        <v>1</v>
      </c>
      <c r="S1016" s="2">
        <v>0</v>
      </c>
      <c r="T1016" s="4"/>
      <c r="U1016">
        <v>1</v>
      </c>
      <c r="V1016">
        <v>1</v>
      </c>
      <c r="W1016">
        <v>1</v>
      </c>
    </row>
    <row r="1017" spans="1:23" ht="16.5" x14ac:dyDescent="0.3">
      <c r="A1017" t="s">
        <v>1072</v>
      </c>
      <c r="B1017" s="1">
        <v>45440</v>
      </c>
      <c r="C1017">
        <v>2024</v>
      </c>
      <c r="D1017" t="s">
        <v>688</v>
      </c>
      <c r="E1017" t="s">
        <v>885</v>
      </c>
      <c r="F1017" t="s">
        <v>26</v>
      </c>
      <c r="G1017" t="s">
        <v>27</v>
      </c>
      <c r="H1017" t="s">
        <v>38</v>
      </c>
      <c r="I1017" t="s">
        <v>29</v>
      </c>
      <c r="J1017" t="s">
        <v>52</v>
      </c>
      <c r="K1017" s="2">
        <v>5650</v>
      </c>
      <c r="L1017" s="2">
        <v>23500</v>
      </c>
      <c r="M1017">
        <v>36</v>
      </c>
      <c r="N1017" s="3">
        <v>0.35199999999999998</v>
      </c>
      <c r="O1017" t="s">
        <v>16</v>
      </c>
      <c r="Q1017">
        <v>1</v>
      </c>
      <c r="R1017">
        <v>0</v>
      </c>
      <c r="S1017" s="2">
        <v>23500</v>
      </c>
      <c r="T1017" s="4">
        <v>7.3999999999999996E-2</v>
      </c>
      <c r="U1017">
        <v>4</v>
      </c>
      <c r="V1017">
        <v>1</v>
      </c>
      <c r="W1017">
        <v>1</v>
      </c>
    </row>
    <row r="1018" spans="1:23" ht="16.5" x14ac:dyDescent="0.3">
      <c r="A1018" t="s">
        <v>1073</v>
      </c>
      <c r="B1018" s="1">
        <v>45440</v>
      </c>
      <c r="C1018">
        <v>2024</v>
      </c>
      <c r="D1018" t="s">
        <v>688</v>
      </c>
      <c r="E1018" t="s">
        <v>885</v>
      </c>
      <c r="F1018" t="s">
        <v>37</v>
      </c>
      <c r="G1018" t="s">
        <v>33</v>
      </c>
      <c r="H1018" t="s">
        <v>28</v>
      </c>
      <c r="I1018" t="s">
        <v>42</v>
      </c>
      <c r="J1018" t="s">
        <v>43</v>
      </c>
      <c r="K1018" s="2">
        <v>3000</v>
      </c>
      <c r="L1018" s="2">
        <v>20000</v>
      </c>
      <c r="M1018">
        <v>24</v>
      </c>
      <c r="N1018" s="3">
        <v>0.42099999999999999</v>
      </c>
      <c r="O1018" t="s">
        <v>17</v>
      </c>
      <c r="P1018" t="s">
        <v>31</v>
      </c>
      <c r="Q1018">
        <v>0</v>
      </c>
      <c r="R1018">
        <v>1</v>
      </c>
      <c r="S1018" s="2">
        <v>0</v>
      </c>
      <c r="T1018" s="4"/>
      <c r="U1018">
        <v>2</v>
      </c>
      <c r="V1018">
        <v>1</v>
      </c>
      <c r="W1018">
        <v>1</v>
      </c>
    </row>
    <row r="1019" spans="1:23" ht="16.5" x14ac:dyDescent="0.3">
      <c r="A1019" t="s">
        <v>1074</v>
      </c>
      <c r="B1019" s="1">
        <v>45440</v>
      </c>
      <c r="C1019">
        <v>2024</v>
      </c>
      <c r="D1019" t="s">
        <v>688</v>
      </c>
      <c r="E1019" t="s">
        <v>885</v>
      </c>
      <c r="F1019" t="s">
        <v>41</v>
      </c>
      <c r="G1019" t="s">
        <v>51</v>
      </c>
      <c r="H1019" t="s">
        <v>28</v>
      </c>
      <c r="I1019" t="s">
        <v>39</v>
      </c>
      <c r="J1019" t="s">
        <v>30</v>
      </c>
      <c r="K1019" s="2">
        <v>2800</v>
      </c>
      <c r="L1019" s="2">
        <v>111500</v>
      </c>
      <c r="M1019">
        <v>24</v>
      </c>
      <c r="N1019" s="3">
        <v>2.0630000000000002</v>
      </c>
      <c r="O1019" t="s">
        <v>17</v>
      </c>
      <c r="P1019" t="s">
        <v>53</v>
      </c>
      <c r="Q1019">
        <v>0</v>
      </c>
      <c r="R1019">
        <v>1</v>
      </c>
      <c r="S1019" s="2">
        <v>0</v>
      </c>
      <c r="T1019" s="4"/>
      <c r="U1019">
        <v>14</v>
      </c>
      <c r="V1019">
        <v>0</v>
      </c>
      <c r="W1019">
        <v>1</v>
      </c>
    </row>
    <row r="1020" spans="1:23" ht="16.5" x14ac:dyDescent="0.3">
      <c r="A1020" t="s">
        <v>1075</v>
      </c>
      <c r="B1020" s="1">
        <v>45440</v>
      </c>
      <c r="C1020">
        <v>2024</v>
      </c>
      <c r="D1020" t="s">
        <v>688</v>
      </c>
      <c r="E1020" t="s">
        <v>885</v>
      </c>
      <c r="F1020" t="s">
        <v>37</v>
      </c>
      <c r="G1020" t="s">
        <v>51</v>
      </c>
      <c r="H1020" t="s">
        <v>28</v>
      </c>
      <c r="I1020" t="s">
        <v>29</v>
      </c>
      <c r="J1020" t="s">
        <v>30</v>
      </c>
      <c r="K1020" s="2">
        <v>5300</v>
      </c>
      <c r="L1020" s="2">
        <v>9500</v>
      </c>
      <c r="M1020">
        <v>60</v>
      </c>
      <c r="N1020" s="3">
        <v>0.23100000000000001</v>
      </c>
      <c r="O1020" t="s">
        <v>125</v>
      </c>
      <c r="Q1020">
        <v>0</v>
      </c>
      <c r="R1020">
        <v>0</v>
      </c>
      <c r="S1020" s="2">
        <v>0</v>
      </c>
      <c r="T1020" s="4"/>
      <c r="U1020">
        <v>5</v>
      </c>
      <c r="V1020">
        <v>0</v>
      </c>
      <c r="W1020">
        <v>1</v>
      </c>
    </row>
    <row r="1021" spans="1:23" ht="16.5" x14ac:dyDescent="0.3">
      <c r="A1021" t="s">
        <v>1076</v>
      </c>
      <c r="B1021" s="1">
        <v>45441</v>
      </c>
      <c r="C1021">
        <v>2024</v>
      </c>
      <c r="D1021" t="s">
        <v>688</v>
      </c>
      <c r="E1021" t="s">
        <v>885</v>
      </c>
      <c r="F1021" t="s">
        <v>37</v>
      </c>
      <c r="G1021" t="s">
        <v>51</v>
      </c>
      <c r="H1021" t="s">
        <v>34</v>
      </c>
      <c r="I1021" t="s">
        <v>39</v>
      </c>
      <c r="J1021" t="s">
        <v>30</v>
      </c>
      <c r="K1021" s="2">
        <v>3100</v>
      </c>
      <c r="L1021" s="2">
        <v>14500</v>
      </c>
      <c r="M1021">
        <v>48</v>
      </c>
      <c r="N1021" s="3">
        <v>0.23200000000000001</v>
      </c>
      <c r="O1021" t="s">
        <v>17</v>
      </c>
      <c r="P1021" t="s">
        <v>65</v>
      </c>
      <c r="Q1021">
        <v>0</v>
      </c>
      <c r="R1021">
        <v>1</v>
      </c>
      <c r="S1021" s="2">
        <v>0</v>
      </c>
      <c r="T1021" s="4"/>
      <c r="U1021">
        <v>3</v>
      </c>
      <c r="V1021">
        <v>1</v>
      </c>
      <c r="W1021">
        <v>1</v>
      </c>
    </row>
    <row r="1022" spans="1:23" ht="16.5" x14ac:dyDescent="0.3">
      <c r="A1022" t="s">
        <v>1077</v>
      </c>
      <c r="B1022" s="1">
        <v>45441</v>
      </c>
      <c r="C1022">
        <v>2024</v>
      </c>
      <c r="D1022" t="s">
        <v>688</v>
      </c>
      <c r="E1022" t="s">
        <v>885</v>
      </c>
      <c r="F1022" t="s">
        <v>41</v>
      </c>
      <c r="G1022" t="s">
        <v>33</v>
      </c>
      <c r="H1022" t="s">
        <v>55</v>
      </c>
      <c r="I1022" t="s">
        <v>29</v>
      </c>
      <c r="J1022" t="s">
        <v>30</v>
      </c>
      <c r="K1022" s="2">
        <v>2200</v>
      </c>
      <c r="L1022" s="2">
        <v>73000</v>
      </c>
      <c r="M1022">
        <v>24</v>
      </c>
      <c r="N1022" s="3">
        <v>1.659</v>
      </c>
      <c r="O1022" t="s">
        <v>125</v>
      </c>
      <c r="Q1022">
        <v>0</v>
      </c>
      <c r="R1022">
        <v>0</v>
      </c>
      <c r="S1022" s="2">
        <v>0</v>
      </c>
      <c r="T1022" s="4"/>
      <c r="U1022">
        <v>4</v>
      </c>
      <c r="V1022">
        <v>1</v>
      </c>
      <c r="W1022">
        <v>1</v>
      </c>
    </row>
    <row r="1023" spans="1:23" ht="16.5" x14ac:dyDescent="0.3">
      <c r="A1023" t="s">
        <v>1078</v>
      </c>
      <c r="B1023" s="1">
        <v>45441</v>
      </c>
      <c r="C1023">
        <v>2024</v>
      </c>
      <c r="D1023" t="s">
        <v>688</v>
      </c>
      <c r="E1023" t="s">
        <v>885</v>
      </c>
      <c r="F1023" t="s">
        <v>26</v>
      </c>
      <c r="G1023" t="s">
        <v>45</v>
      </c>
      <c r="H1023" t="s">
        <v>38</v>
      </c>
      <c r="I1023" t="s">
        <v>29</v>
      </c>
      <c r="J1023" t="s">
        <v>35</v>
      </c>
      <c r="K1023" s="2">
        <v>4550</v>
      </c>
      <c r="L1023" s="2">
        <v>24000</v>
      </c>
      <c r="M1023">
        <v>60</v>
      </c>
      <c r="N1023" s="3">
        <v>0.16300000000000001</v>
      </c>
      <c r="O1023" t="s">
        <v>16</v>
      </c>
      <c r="Q1023">
        <v>1</v>
      </c>
      <c r="R1023">
        <v>0</v>
      </c>
      <c r="S1023" s="2">
        <v>24000</v>
      </c>
      <c r="T1023" s="4">
        <v>8.6199999999999999E-2</v>
      </c>
      <c r="U1023">
        <v>3</v>
      </c>
      <c r="V1023">
        <v>1</v>
      </c>
      <c r="W1023">
        <v>1</v>
      </c>
    </row>
    <row r="1024" spans="1:23" ht="16.5" x14ac:dyDescent="0.3">
      <c r="A1024" t="s">
        <v>1079</v>
      </c>
      <c r="B1024" s="1">
        <v>45441</v>
      </c>
      <c r="C1024">
        <v>2024</v>
      </c>
      <c r="D1024" t="s">
        <v>688</v>
      </c>
      <c r="E1024" t="s">
        <v>885</v>
      </c>
      <c r="F1024" t="s">
        <v>37</v>
      </c>
      <c r="G1024" t="s">
        <v>51</v>
      </c>
      <c r="H1024" t="s">
        <v>38</v>
      </c>
      <c r="I1024" t="s">
        <v>29</v>
      </c>
      <c r="J1024" t="s">
        <v>30</v>
      </c>
      <c r="K1024" s="2">
        <v>1850</v>
      </c>
      <c r="L1024" s="2">
        <v>9000</v>
      </c>
      <c r="M1024">
        <v>48</v>
      </c>
      <c r="N1024" s="3">
        <v>0.33</v>
      </c>
      <c r="O1024" t="s">
        <v>16</v>
      </c>
      <c r="Q1024">
        <v>1</v>
      </c>
      <c r="R1024">
        <v>0</v>
      </c>
      <c r="S1024" s="2">
        <v>9000</v>
      </c>
      <c r="T1024" s="4">
        <v>0.14430000000000001</v>
      </c>
      <c r="U1024">
        <v>5</v>
      </c>
      <c r="V1024">
        <v>0</v>
      </c>
      <c r="W1024">
        <v>1</v>
      </c>
    </row>
    <row r="1025" spans="1:23" ht="16.5" x14ac:dyDescent="0.3">
      <c r="A1025" t="s">
        <v>1080</v>
      </c>
      <c r="B1025" s="1">
        <v>45441</v>
      </c>
      <c r="C1025">
        <v>2024</v>
      </c>
      <c r="D1025" t="s">
        <v>688</v>
      </c>
      <c r="E1025" t="s">
        <v>885</v>
      </c>
      <c r="F1025" t="s">
        <v>41</v>
      </c>
      <c r="G1025" t="s">
        <v>45</v>
      </c>
      <c r="H1025" t="s">
        <v>28</v>
      </c>
      <c r="I1025" t="s">
        <v>29</v>
      </c>
      <c r="J1025" t="s">
        <v>30</v>
      </c>
      <c r="K1025" s="2">
        <v>4800</v>
      </c>
      <c r="L1025" s="2">
        <v>80500</v>
      </c>
      <c r="M1025">
        <v>24</v>
      </c>
      <c r="N1025" s="3">
        <v>0.88400000000000001</v>
      </c>
      <c r="O1025" t="s">
        <v>17</v>
      </c>
      <c r="P1025" t="s">
        <v>31</v>
      </c>
      <c r="Q1025">
        <v>0</v>
      </c>
      <c r="R1025">
        <v>1</v>
      </c>
      <c r="S1025" s="2">
        <v>0</v>
      </c>
      <c r="T1025" s="4"/>
      <c r="U1025">
        <v>6</v>
      </c>
      <c r="V1025">
        <v>1</v>
      </c>
      <c r="W1025">
        <v>1</v>
      </c>
    </row>
    <row r="1026" spans="1:23" ht="16.5" x14ac:dyDescent="0.3">
      <c r="A1026" t="s">
        <v>1081</v>
      </c>
      <c r="B1026" s="1">
        <v>45441</v>
      </c>
      <c r="C1026">
        <v>2024</v>
      </c>
      <c r="D1026" t="s">
        <v>688</v>
      </c>
      <c r="E1026" t="s">
        <v>885</v>
      </c>
      <c r="F1026" t="s">
        <v>41</v>
      </c>
      <c r="G1026" t="s">
        <v>33</v>
      </c>
      <c r="H1026" t="s">
        <v>38</v>
      </c>
      <c r="I1026" t="s">
        <v>29</v>
      </c>
      <c r="J1026" t="s">
        <v>46</v>
      </c>
      <c r="K1026" s="2">
        <v>3600</v>
      </c>
      <c r="L1026" s="2">
        <v>108500</v>
      </c>
      <c r="M1026">
        <v>12</v>
      </c>
      <c r="N1026" s="3">
        <v>2.8330000000000002</v>
      </c>
      <c r="O1026" t="s">
        <v>17</v>
      </c>
      <c r="P1026" t="s">
        <v>53</v>
      </c>
      <c r="Q1026">
        <v>0</v>
      </c>
      <c r="R1026">
        <v>1</v>
      </c>
      <c r="S1026" s="2">
        <v>0</v>
      </c>
      <c r="T1026" s="4"/>
      <c r="U1026">
        <v>5</v>
      </c>
      <c r="V1026">
        <v>1</v>
      </c>
      <c r="W1026">
        <v>1</v>
      </c>
    </row>
    <row r="1027" spans="1:23" ht="16.5" x14ac:dyDescent="0.3">
      <c r="A1027" t="s">
        <v>1082</v>
      </c>
      <c r="B1027" s="1">
        <v>45441</v>
      </c>
      <c r="C1027">
        <v>2024</v>
      </c>
      <c r="D1027" t="s">
        <v>688</v>
      </c>
      <c r="E1027" t="s">
        <v>885</v>
      </c>
      <c r="F1027" t="s">
        <v>41</v>
      </c>
      <c r="G1027" t="s">
        <v>45</v>
      </c>
      <c r="H1027" t="s">
        <v>38</v>
      </c>
      <c r="I1027" t="s">
        <v>29</v>
      </c>
      <c r="J1027" t="s">
        <v>35</v>
      </c>
      <c r="K1027" s="2">
        <v>7800</v>
      </c>
      <c r="L1027" s="2">
        <v>88000</v>
      </c>
      <c r="M1027">
        <v>60</v>
      </c>
      <c r="N1027" s="3">
        <v>0.46200000000000002</v>
      </c>
      <c r="O1027" t="s">
        <v>17</v>
      </c>
      <c r="P1027" t="s">
        <v>60</v>
      </c>
      <c r="Q1027">
        <v>0</v>
      </c>
      <c r="R1027">
        <v>1</v>
      </c>
      <c r="S1027" s="2">
        <v>0</v>
      </c>
      <c r="T1027" s="4"/>
      <c r="U1027">
        <v>6</v>
      </c>
      <c r="V1027">
        <v>1</v>
      </c>
      <c r="W1027">
        <v>1</v>
      </c>
    </row>
    <row r="1028" spans="1:23" ht="16.5" x14ac:dyDescent="0.3">
      <c r="A1028" t="s">
        <v>1083</v>
      </c>
      <c r="B1028" s="1">
        <v>45442</v>
      </c>
      <c r="C1028">
        <v>2024</v>
      </c>
      <c r="D1028" t="s">
        <v>688</v>
      </c>
      <c r="E1028" t="s">
        <v>885</v>
      </c>
      <c r="F1028" t="s">
        <v>50</v>
      </c>
      <c r="G1028" t="s">
        <v>51</v>
      </c>
      <c r="H1028" t="s">
        <v>28</v>
      </c>
      <c r="I1028" t="s">
        <v>42</v>
      </c>
      <c r="J1028" t="s">
        <v>30</v>
      </c>
      <c r="K1028" s="2">
        <v>6600</v>
      </c>
      <c r="L1028" s="2">
        <v>345000</v>
      </c>
      <c r="M1028">
        <v>300</v>
      </c>
      <c r="N1028" s="3">
        <v>0.42899999999999999</v>
      </c>
      <c r="O1028" t="s">
        <v>16</v>
      </c>
      <c r="Q1028">
        <v>1</v>
      </c>
      <c r="R1028">
        <v>0</v>
      </c>
      <c r="S1028" s="2">
        <v>276000</v>
      </c>
      <c r="T1028" s="4">
        <v>7.0000000000000007E-2</v>
      </c>
      <c r="U1028">
        <v>18</v>
      </c>
      <c r="V1028">
        <v>0</v>
      </c>
      <c r="W1028">
        <v>1</v>
      </c>
    </row>
    <row r="1029" spans="1:23" ht="16.5" x14ac:dyDescent="0.3">
      <c r="A1029" t="s">
        <v>1084</v>
      </c>
      <c r="B1029" s="1">
        <v>45442</v>
      </c>
      <c r="C1029">
        <v>2024</v>
      </c>
      <c r="D1029" t="s">
        <v>688</v>
      </c>
      <c r="E1029" t="s">
        <v>885</v>
      </c>
      <c r="F1029" t="s">
        <v>50</v>
      </c>
      <c r="G1029" t="s">
        <v>33</v>
      </c>
      <c r="H1029" t="s">
        <v>38</v>
      </c>
      <c r="I1029" t="s">
        <v>39</v>
      </c>
      <c r="J1029" t="s">
        <v>30</v>
      </c>
      <c r="K1029" s="2">
        <v>5250</v>
      </c>
      <c r="L1029" s="2">
        <v>206000</v>
      </c>
      <c r="M1029">
        <v>180</v>
      </c>
      <c r="N1029" s="3">
        <v>0.5</v>
      </c>
      <c r="O1029" t="s">
        <v>17</v>
      </c>
      <c r="P1029" t="s">
        <v>31</v>
      </c>
      <c r="Q1029">
        <v>0</v>
      </c>
      <c r="R1029">
        <v>1</v>
      </c>
      <c r="S1029" s="2">
        <v>0</v>
      </c>
      <c r="T1029" s="4"/>
      <c r="U1029">
        <v>6</v>
      </c>
      <c r="V1029">
        <v>1</v>
      </c>
      <c r="W1029">
        <v>1</v>
      </c>
    </row>
    <row r="1030" spans="1:23" ht="16.5" x14ac:dyDescent="0.3">
      <c r="A1030" t="s">
        <v>1085</v>
      </c>
      <c r="B1030" s="1">
        <v>45442</v>
      </c>
      <c r="C1030">
        <v>2024</v>
      </c>
      <c r="D1030" t="s">
        <v>688</v>
      </c>
      <c r="E1030" t="s">
        <v>885</v>
      </c>
      <c r="F1030" t="s">
        <v>37</v>
      </c>
      <c r="G1030" t="s">
        <v>51</v>
      </c>
      <c r="H1030" t="s">
        <v>34</v>
      </c>
      <c r="I1030" t="s">
        <v>39</v>
      </c>
      <c r="J1030" t="s">
        <v>35</v>
      </c>
      <c r="K1030" s="2">
        <v>6850</v>
      </c>
      <c r="L1030" s="2">
        <v>6000</v>
      </c>
      <c r="M1030">
        <v>60</v>
      </c>
      <c r="N1030" s="3">
        <v>0.252</v>
      </c>
      <c r="O1030" t="s">
        <v>16</v>
      </c>
      <c r="Q1030">
        <v>1</v>
      </c>
      <c r="R1030">
        <v>0</v>
      </c>
      <c r="S1030" s="2">
        <v>6000</v>
      </c>
      <c r="T1030" s="4">
        <v>0.1273</v>
      </c>
      <c r="U1030">
        <v>5</v>
      </c>
      <c r="V1030">
        <v>0</v>
      </c>
      <c r="W1030">
        <v>1</v>
      </c>
    </row>
    <row r="1031" spans="1:23" ht="16.5" x14ac:dyDescent="0.3">
      <c r="A1031" t="s">
        <v>1086</v>
      </c>
      <c r="B1031" s="1">
        <v>45442</v>
      </c>
      <c r="C1031">
        <v>2024</v>
      </c>
      <c r="D1031" t="s">
        <v>688</v>
      </c>
      <c r="E1031" t="s">
        <v>885</v>
      </c>
      <c r="F1031" t="s">
        <v>37</v>
      </c>
      <c r="G1031" t="s">
        <v>45</v>
      </c>
      <c r="H1031" t="s">
        <v>34</v>
      </c>
      <c r="I1031" t="s">
        <v>29</v>
      </c>
      <c r="J1031" t="s">
        <v>52</v>
      </c>
      <c r="K1031" s="2">
        <v>10000</v>
      </c>
      <c r="L1031" s="2">
        <v>14000</v>
      </c>
      <c r="M1031">
        <v>24</v>
      </c>
      <c r="N1031" s="3">
        <v>0.20300000000000001</v>
      </c>
      <c r="O1031" t="s">
        <v>16</v>
      </c>
      <c r="Q1031">
        <v>1</v>
      </c>
      <c r="R1031">
        <v>0</v>
      </c>
      <c r="S1031" s="2">
        <v>14000</v>
      </c>
      <c r="T1031" s="4">
        <v>0.1186</v>
      </c>
      <c r="U1031">
        <v>2</v>
      </c>
      <c r="V1031">
        <v>1</v>
      </c>
      <c r="W1031">
        <v>1</v>
      </c>
    </row>
    <row r="1032" spans="1:23" ht="16.5" x14ac:dyDescent="0.3">
      <c r="A1032" t="s">
        <v>1087</v>
      </c>
      <c r="B1032" s="1">
        <v>45442</v>
      </c>
      <c r="C1032">
        <v>2024</v>
      </c>
      <c r="D1032" t="s">
        <v>688</v>
      </c>
      <c r="E1032" t="s">
        <v>885</v>
      </c>
      <c r="F1032" t="s">
        <v>50</v>
      </c>
      <c r="G1032" t="s">
        <v>45</v>
      </c>
      <c r="H1032" t="s">
        <v>64</v>
      </c>
      <c r="I1032" t="s">
        <v>39</v>
      </c>
      <c r="J1032" t="s">
        <v>43</v>
      </c>
      <c r="K1032" s="2">
        <v>3900</v>
      </c>
      <c r="L1032" s="2">
        <v>268000</v>
      </c>
      <c r="M1032">
        <v>300</v>
      </c>
      <c r="N1032" s="3">
        <v>0.57699999999999996</v>
      </c>
      <c r="O1032" t="s">
        <v>17</v>
      </c>
      <c r="P1032" t="s">
        <v>31</v>
      </c>
      <c r="Q1032">
        <v>0</v>
      </c>
      <c r="R1032">
        <v>1</v>
      </c>
      <c r="S1032" s="2">
        <v>0</v>
      </c>
      <c r="T1032" s="4"/>
      <c r="U1032">
        <v>10</v>
      </c>
      <c r="V1032">
        <v>1</v>
      </c>
      <c r="W1032">
        <v>1</v>
      </c>
    </row>
    <row r="1033" spans="1:23" ht="16.5" x14ac:dyDescent="0.3">
      <c r="A1033" t="s">
        <v>1088</v>
      </c>
      <c r="B1033" s="1">
        <v>45442</v>
      </c>
      <c r="C1033">
        <v>2024</v>
      </c>
      <c r="D1033" t="s">
        <v>688</v>
      </c>
      <c r="E1033" t="s">
        <v>885</v>
      </c>
      <c r="F1033" t="s">
        <v>37</v>
      </c>
      <c r="G1033" t="s">
        <v>27</v>
      </c>
      <c r="H1033" t="s">
        <v>34</v>
      </c>
      <c r="I1033" t="s">
        <v>29</v>
      </c>
      <c r="J1033" t="s">
        <v>30</v>
      </c>
      <c r="K1033" s="2">
        <v>1650</v>
      </c>
      <c r="L1033" s="2">
        <v>19500</v>
      </c>
      <c r="M1033">
        <v>60</v>
      </c>
      <c r="N1033" s="3">
        <v>0.42199999999999999</v>
      </c>
      <c r="O1033" t="s">
        <v>17</v>
      </c>
      <c r="P1033" t="s">
        <v>31</v>
      </c>
      <c r="Q1033">
        <v>0</v>
      </c>
      <c r="R1033">
        <v>1</v>
      </c>
      <c r="S1033" s="2">
        <v>0</v>
      </c>
      <c r="T1033" s="4"/>
      <c r="U1033">
        <v>7</v>
      </c>
      <c r="V1033">
        <v>0</v>
      </c>
      <c r="W1033">
        <v>1</v>
      </c>
    </row>
    <row r="1034" spans="1:23" ht="16.5" x14ac:dyDescent="0.3">
      <c r="A1034" t="s">
        <v>1089</v>
      </c>
      <c r="B1034" s="1">
        <v>45442</v>
      </c>
      <c r="C1034">
        <v>2024</v>
      </c>
      <c r="D1034" t="s">
        <v>688</v>
      </c>
      <c r="E1034" t="s">
        <v>885</v>
      </c>
      <c r="F1034" t="s">
        <v>41</v>
      </c>
      <c r="G1034" t="s">
        <v>51</v>
      </c>
      <c r="H1034" t="s">
        <v>28</v>
      </c>
      <c r="I1034" t="s">
        <v>29</v>
      </c>
      <c r="J1034" t="s">
        <v>46</v>
      </c>
      <c r="K1034" s="2">
        <v>4850</v>
      </c>
      <c r="L1034" s="2">
        <v>44000</v>
      </c>
      <c r="M1034">
        <v>24</v>
      </c>
      <c r="N1034" s="3">
        <v>0.48099999999999998</v>
      </c>
      <c r="O1034" t="s">
        <v>16</v>
      </c>
      <c r="Q1034">
        <v>1</v>
      </c>
      <c r="R1034">
        <v>0</v>
      </c>
      <c r="S1034" s="2">
        <v>44000</v>
      </c>
      <c r="T1034" s="4">
        <v>9.4200000000000006E-2</v>
      </c>
      <c r="U1034">
        <v>13</v>
      </c>
      <c r="V1034">
        <v>0</v>
      </c>
      <c r="W1034">
        <v>1</v>
      </c>
    </row>
    <row r="1035" spans="1:23" ht="16.5" x14ac:dyDescent="0.3">
      <c r="A1035" t="s">
        <v>1090</v>
      </c>
      <c r="B1035" s="1">
        <v>45443</v>
      </c>
      <c r="C1035">
        <v>2024</v>
      </c>
      <c r="D1035" t="s">
        <v>688</v>
      </c>
      <c r="E1035" t="s">
        <v>885</v>
      </c>
      <c r="F1035" t="s">
        <v>37</v>
      </c>
      <c r="G1035" t="s">
        <v>51</v>
      </c>
      <c r="H1035" t="s">
        <v>55</v>
      </c>
      <c r="I1035" t="s">
        <v>39</v>
      </c>
      <c r="J1035" t="s">
        <v>52</v>
      </c>
      <c r="K1035" s="2">
        <v>4900</v>
      </c>
      <c r="L1035" s="2">
        <v>18500</v>
      </c>
      <c r="M1035">
        <v>48</v>
      </c>
      <c r="N1035" s="3">
        <v>0.34399999999999997</v>
      </c>
      <c r="O1035" t="s">
        <v>125</v>
      </c>
      <c r="Q1035">
        <v>0</v>
      </c>
      <c r="R1035">
        <v>0</v>
      </c>
      <c r="S1035" s="2">
        <v>0</v>
      </c>
      <c r="T1035" s="4"/>
      <c r="U1035">
        <v>5</v>
      </c>
      <c r="V1035">
        <v>0</v>
      </c>
      <c r="W1035">
        <v>1</v>
      </c>
    </row>
    <row r="1036" spans="1:23" ht="16.5" x14ac:dyDescent="0.3">
      <c r="A1036" t="s">
        <v>1091</v>
      </c>
      <c r="B1036" s="1">
        <v>45443</v>
      </c>
      <c r="C1036">
        <v>2024</v>
      </c>
      <c r="D1036" t="s">
        <v>688</v>
      </c>
      <c r="E1036" t="s">
        <v>885</v>
      </c>
      <c r="F1036" t="s">
        <v>37</v>
      </c>
      <c r="G1036" t="s">
        <v>45</v>
      </c>
      <c r="H1036" t="s">
        <v>64</v>
      </c>
      <c r="I1036" t="s">
        <v>42</v>
      </c>
      <c r="J1036" t="s">
        <v>52</v>
      </c>
      <c r="K1036" s="2">
        <v>8450</v>
      </c>
      <c r="L1036" s="2">
        <v>9500</v>
      </c>
      <c r="M1036">
        <v>24</v>
      </c>
      <c r="N1036" s="3">
        <v>0.129</v>
      </c>
      <c r="O1036" t="s">
        <v>16</v>
      </c>
      <c r="Q1036">
        <v>1</v>
      </c>
      <c r="R1036">
        <v>0</v>
      </c>
      <c r="S1036" s="2">
        <v>8500</v>
      </c>
      <c r="T1036" s="4">
        <v>0.1132</v>
      </c>
      <c r="U1036">
        <v>2</v>
      </c>
      <c r="V1036">
        <v>1</v>
      </c>
      <c r="W1036">
        <v>1</v>
      </c>
    </row>
    <row r="1037" spans="1:23" ht="16.5" x14ac:dyDescent="0.3">
      <c r="A1037" t="s">
        <v>1092</v>
      </c>
      <c r="B1037" s="1">
        <v>45443</v>
      </c>
      <c r="C1037">
        <v>2024</v>
      </c>
      <c r="D1037" t="s">
        <v>688</v>
      </c>
      <c r="E1037" t="s">
        <v>885</v>
      </c>
      <c r="F1037" t="s">
        <v>26</v>
      </c>
      <c r="G1037" t="s">
        <v>27</v>
      </c>
      <c r="H1037" t="s">
        <v>38</v>
      </c>
      <c r="I1037" t="s">
        <v>29</v>
      </c>
      <c r="J1037" t="s">
        <v>30</v>
      </c>
      <c r="K1037" s="2">
        <v>4900</v>
      </c>
      <c r="L1037" s="2">
        <v>18000</v>
      </c>
      <c r="M1037">
        <v>60</v>
      </c>
      <c r="N1037" s="3">
        <v>0.245</v>
      </c>
      <c r="O1037" t="s">
        <v>16</v>
      </c>
      <c r="Q1037">
        <v>1</v>
      </c>
      <c r="R1037">
        <v>0</v>
      </c>
      <c r="S1037" s="2">
        <v>14500</v>
      </c>
      <c r="T1037" s="4">
        <v>9.4700000000000006E-2</v>
      </c>
      <c r="U1037">
        <v>6</v>
      </c>
      <c r="V1037">
        <v>0</v>
      </c>
      <c r="W1037">
        <v>1</v>
      </c>
    </row>
    <row r="1038" spans="1:23" ht="16.5" x14ac:dyDescent="0.3">
      <c r="A1038" t="s">
        <v>1093</v>
      </c>
      <c r="B1038" s="1">
        <v>45443</v>
      </c>
      <c r="C1038">
        <v>2024</v>
      </c>
      <c r="D1038" t="s">
        <v>688</v>
      </c>
      <c r="E1038" t="s">
        <v>885</v>
      </c>
      <c r="F1038" t="s">
        <v>41</v>
      </c>
      <c r="G1038" t="s">
        <v>33</v>
      </c>
      <c r="H1038" t="s">
        <v>55</v>
      </c>
      <c r="I1038" t="s">
        <v>39</v>
      </c>
      <c r="J1038" t="s">
        <v>35</v>
      </c>
      <c r="K1038" s="2">
        <v>4950</v>
      </c>
      <c r="L1038" s="2">
        <v>164000</v>
      </c>
      <c r="M1038">
        <v>24</v>
      </c>
      <c r="N1038" s="3">
        <v>1.625</v>
      </c>
      <c r="O1038" t="s">
        <v>16</v>
      </c>
      <c r="Q1038">
        <v>1</v>
      </c>
      <c r="R1038">
        <v>0</v>
      </c>
      <c r="S1038" s="2">
        <v>131000</v>
      </c>
      <c r="T1038" s="4">
        <v>0.1079</v>
      </c>
      <c r="U1038">
        <v>5</v>
      </c>
      <c r="V1038">
        <v>1</v>
      </c>
      <c r="W1038">
        <v>1</v>
      </c>
    </row>
    <row r="1039" spans="1:23" ht="16.5" x14ac:dyDescent="0.3">
      <c r="A1039" t="s">
        <v>1094</v>
      </c>
      <c r="B1039" s="1">
        <v>45443</v>
      </c>
      <c r="C1039">
        <v>2024</v>
      </c>
      <c r="D1039" t="s">
        <v>688</v>
      </c>
      <c r="E1039" t="s">
        <v>885</v>
      </c>
      <c r="F1039" t="s">
        <v>26</v>
      </c>
      <c r="G1039" t="s">
        <v>45</v>
      </c>
      <c r="H1039" t="s">
        <v>38</v>
      </c>
      <c r="I1039" t="s">
        <v>42</v>
      </c>
      <c r="J1039" t="s">
        <v>35</v>
      </c>
      <c r="K1039" s="2">
        <v>6950</v>
      </c>
      <c r="L1039" s="2">
        <v>44000</v>
      </c>
      <c r="M1039">
        <v>60</v>
      </c>
      <c r="N1039" s="3">
        <v>0.33200000000000002</v>
      </c>
      <c r="O1039" t="s">
        <v>16</v>
      </c>
      <c r="Q1039">
        <v>1</v>
      </c>
      <c r="R1039">
        <v>0</v>
      </c>
      <c r="S1039" s="2">
        <v>39500</v>
      </c>
      <c r="T1039" s="4">
        <v>8.2900000000000001E-2</v>
      </c>
      <c r="U1039">
        <v>4</v>
      </c>
      <c r="V1039">
        <v>1</v>
      </c>
      <c r="W1039">
        <v>1</v>
      </c>
    </row>
    <row r="1040" spans="1:23" ht="16.5" x14ac:dyDescent="0.3">
      <c r="A1040" t="s">
        <v>1095</v>
      </c>
      <c r="B1040" s="1">
        <v>45444</v>
      </c>
      <c r="C1040">
        <v>2024</v>
      </c>
      <c r="D1040" t="s">
        <v>688</v>
      </c>
      <c r="E1040" t="s">
        <v>1096</v>
      </c>
      <c r="F1040" t="s">
        <v>37</v>
      </c>
      <c r="G1040" t="s">
        <v>51</v>
      </c>
      <c r="H1040" t="s">
        <v>55</v>
      </c>
      <c r="I1040" t="s">
        <v>29</v>
      </c>
      <c r="J1040" t="s">
        <v>35</v>
      </c>
      <c r="K1040" s="2">
        <v>5950</v>
      </c>
      <c r="L1040" s="2">
        <v>9000</v>
      </c>
      <c r="M1040">
        <v>36</v>
      </c>
      <c r="N1040" s="3">
        <v>0.20599999999999999</v>
      </c>
      <c r="O1040" t="s">
        <v>16</v>
      </c>
      <c r="Q1040">
        <v>1</v>
      </c>
      <c r="R1040">
        <v>0</v>
      </c>
      <c r="S1040" s="2">
        <v>9000</v>
      </c>
      <c r="T1040" s="4">
        <v>0.121</v>
      </c>
      <c r="U1040">
        <v>3</v>
      </c>
      <c r="V1040">
        <v>1</v>
      </c>
      <c r="W1040">
        <v>1</v>
      </c>
    </row>
    <row r="1041" spans="1:23" ht="16.5" x14ac:dyDescent="0.3">
      <c r="A1041" t="s">
        <v>1097</v>
      </c>
      <c r="B1041" s="1">
        <v>45444</v>
      </c>
      <c r="C1041">
        <v>2024</v>
      </c>
      <c r="D1041" t="s">
        <v>688</v>
      </c>
      <c r="E1041" t="s">
        <v>1096</v>
      </c>
      <c r="F1041" t="s">
        <v>37</v>
      </c>
      <c r="G1041" t="s">
        <v>27</v>
      </c>
      <c r="H1041" t="s">
        <v>38</v>
      </c>
      <c r="I1041" t="s">
        <v>29</v>
      </c>
      <c r="J1041" t="s">
        <v>30</v>
      </c>
      <c r="K1041" s="2">
        <v>3350</v>
      </c>
      <c r="L1041" s="2">
        <v>19500</v>
      </c>
      <c r="M1041">
        <v>48</v>
      </c>
      <c r="N1041" s="3">
        <v>0.31900000000000001</v>
      </c>
      <c r="O1041" t="s">
        <v>16</v>
      </c>
      <c r="Q1041">
        <v>1</v>
      </c>
      <c r="R1041">
        <v>0</v>
      </c>
      <c r="S1041" s="2">
        <v>19500</v>
      </c>
      <c r="T1041" s="4">
        <v>0.1459</v>
      </c>
      <c r="U1041">
        <v>6</v>
      </c>
      <c r="V1041">
        <v>0</v>
      </c>
      <c r="W1041">
        <v>1</v>
      </c>
    </row>
    <row r="1042" spans="1:23" ht="16.5" x14ac:dyDescent="0.3">
      <c r="A1042" t="s">
        <v>1098</v>
      </c>
      <c r="B1042" s="1">
        <v>45444</v>
      </c>
      <c r="C1042">
        <v>2024</v>
      </c>
      <c r="D1042" t="s">
        <v>688</v>
      </c>
      <c r="E1042" t="s">
        <v>1096</v>
      </c>
      <c r="F1042" t="s">
        <v>37</v>
      </c>
      <c r="G1042" t="s">
        <v>51</v>
      </c>
      <c r="H1042" t="s">
        <v>55</v>
      </c>
      <c r="I1042" t="s">
        <v>39</v>
      </c>
      <c r="J1042" t="s">
        <v>30</v>
      </c>
      <c r="K1042" s="2">
        <v>6500</v>
      </c>
      <c r="L1042" s="2">
        <v>14000</v>
      </c>
      <c r="M1042">
        <v>12</v>
      </c>
      <c r="N1042" s="3">
        <v>0.34300000000000003</v>
      </c>
      <c r="O1042" t="s">
        <v>17</v>
      </c>
      <c r="P1042" t="s">
        <v>31</v>
      </c>
      <c r="Q1042">
        <v>0</v>
      </c>
      <c r="R1042">
        <v>1</v>
      </c>
      <c r="S1042" s="2">
        <v>0</v>
      </c>
      <c r="T1042" s="4"/>
      <c r="U1042">
        <v>5</v>
      </c>
      <c r="V1042">
        <v>0</v>
      </c>
      <c r="W1042">
        <v>1</v>
      </c>
    </row>
    <row r="1043" spans="1:23" ht="16.5" x14ac:dyDescent="0.3">
      <c r="A1043" t="s">
        <v>1099</v>
      </c>
      <c r="B1043" s="1">
        <v>45444</v>
      </c>
      <c r="C1043">
        <v>2024</v>
      </c>
      <c r="D1043" t="s">
        <v>688</v>
      </c>
      <c r="E1043" t="s">
        <v>1096</v>
      </c>
      <c r="F1043" t="s">
        <v>37</v>
      </c>
      <c r="G1043" t="s">
        <v>51</v>
      </c>
      <c r="H1043" t="s">
        <v>64</v>
      </c>
      <c r="I1043" t="s">
        <v>42</v>
      </c>
      <c r="J1043" t="s">
        <v>35</v>
      </c>
      <c r="K1043" s="2">
        <v>6750</v>
      </c>
      <c r="L1043" s="2">
        <v>12500</v>
      </c>
      <c r="M1043">
        <v>36</v>
      </c>
      <c r="N1043" s="3">
        <v>0.309</v>
      </c>
      <c r="O1043" t="s">
        <v>16</v>
      </c>
      <c r="Q1043">
        <v>1</v>
      </c>
      <c r="R1043">
        <v>0</v>
      </c>
      <c r="S1043" s="2">
        <v>12500</v>
      </c>
      <c r="T1043" s="4">
        <v>0.12820000000000001</v>
      </c>
      <c r="U1043">
        <v>8</v>
      </c>
      <c r="V1043">
        <v>0</v>
      </c>
      <c r="W1043">
        <v>1</v>
      </c>
    </row>
    <row r="1044" spans="1:23" ht="16.5" x14ac:dyDescent="0.3">
      <c r="A1044" t="s">
        <v>1100</v>
      </c>
      <c r="B1044" s="1">
        <v>45444</v>
      </c>
      <c r="C1044">
        <v>2024</v>
      </c>
      <c r="D1044" t="s">
        <v>688</v>
      </c>
      <c r="E1044" t="s">
        <v>1096</v>
      </c>
      <c r="F1044" t="s">
        <v>37</v>
      </c>
      <c r="G1044" t="s">
        <v>33</v>
      </c>
      <c r="H1044" t="s">
        <v>38</v>
      </c>
      <c r="I1044" t="s">
        <v>39</v>
      </c>
      <c r="J1044" t="s">
        <v>43</v>
      </c>
      <c r="K1044" s="2">
        <v>3250</v>
      </c>
      <c r="L1044" s="2">
        <v>26500</v>
      </c>
      <c r="M1044">
        <v>36</v>
      </c>
      <c r="N1044" s="3">
        <v>0.34200000000000003</v>
      </c>
      <c r="O1044" t="s">
        <v>17</v>
      </c>
      <c r="P1044" t="s">
        <v>31</v>
      </c>
      <c r="Q1044">
        <v>0</v>
      </c>
      <c r="R1044">
        <v>1</v>
      </c>
      <c r="S1044" s="2">
        <v>0</v>
      </c>
      <c r="T1044" s="4"/>
      <c r="U1044">
        <v>1</v>
      </c>
      <c r="V1044">
        <v>1</v>
      </c>
      <c r="W1044">
        <v>1</v>
      </c>
    </row>
    <row r="1045" spans="1:23" ht="16.5" x14ac:dyDescent="0.3">
      <c r="A1045" t="s">
        <v>1101</v>
      </c>
      <c r="B1045" s="1">
        <v>45445</v>
      </c>
      <c r="C1045">
        <v>2024</v>
      </c>
      <c r="D1045" t="s">
        <v>688</v>
      </c>
      <c r="E1045" t="s">
        <v>1096</v>
      </c>
      <c r="F1045" t="s">
        <v>37</v>
      </c>
      <c r="G1045" t="s">
        <v>51</v>
      </c>
      <c r="H1045" t="s">
        <v>28</v>
      </c>
      <c r="I1045" t="s">
        <v>29</v>
      </c>
      <c r="J1045" t="s">
        <v>35</v>
      </c>
      <c r="K1045" s="2">
        <v>4150</v>
      </c>
      <c r="L1045" s="2">
        <v>10500</v>
      </c>
      <c r="M1045">
        <v>60</v>
      </c>
      <c r="N1045" s="3">
        <v>0.16400000000000001</v>
      </c>
      <c r="O1045" t="s">
        <v>16</v>
      </c>
      <c r="Q1045">
        <v>1</v>
      </c>
      <c r="R1045">
        <v>0</v>
      </c>
      <c r="S1045" s="2">
        <v>10500</v>
      </c>
      <c r="T1045" s="4">
        <v>0.1239</v>
      </c>
      <c r="U1045">
        <v>5</v>
      </c>
      <c r="V1045">
        <v>0</v>
      </c>
      <c r="W1045">
        <v>1</v>
      </c>
    </row>
    <row r="1046" spans="1:23" ht="16.5" x14ac:dyDescent="0.3">
      <c r="A1046" t="s">
        <v>1102</v>
      </c>
      <c r="B1046" s="1">
        <v>45446</v>
      </c>
      <c r="C1046">
        <v>2024</v>
      </c>
      <c r="D1046" t="s">
        <v>688</v>
      </c>
      <c r="E1046" t="s">
        <v>1096</v>
      </c>
      <c r="F1046" t="s">
        <v>26</v>
      </c>
      <c r="G1046" t="s">
        <v>27</v>
      </c>
      <c r="H1046" t="s">
        <v>38</v>
      </c>
      <c r="I1046" t="s">
        <v>29</v>
      </c>
      <c r="J1046" t="s">
        <v>46</v>
      </c>
      <c r="K1046" s="2">
        <v>5300</v>
      </c>
      <c r="L1046" s="2">
        <v>26500</v>
      </c>
      <c r="M1046">
        <v>60</v>
      </c>
      <c r="N1046" s="3">
        <v>0.20100000000000001</v>
      </c>
      <c r="O1046" t="s">
        <v>16</v>
      </c>
      <c r="Q1046">
        <v>1</v>
      </c>
      <c r="R1046">
        <v>0</v>
      </c>
      <c r="S1046" s="2">
        <v>26500</v>
      </c>
      <c r="T1046" s="4">
        <v>6.1499999999999999E-2</v>
      </c>
      <c r="U1046">
        <v>5</v>
      </c>
      <c r="V1046">
        <v>0</v>
      </c>
      <c r="W1046">
        <v>1</v>
      </c>
    </row>
    <row r="1047" spans="1:23" ht="16.5" x14ac:dyDescent="0.3">
      <c r="A1047" t="s">
        <v>1103</v>
      </c>
      <c r="B1047" s="1">
        <v>45446</v>
      </c>
      <c r="C1047">
        <v>2024</v>
      </c>
      <c r="D1047" t="s">
        <v>688</v>
      </c>
      <c r="E1047" t="s">
        <v>1096</v>
      </c>
      <c r="F1047" t="s">
        <v>26</v>
      </c>
      <c r="G1047" t="s">
        <v>51</v>
      </c>
      <c r="H1047" t="s">
        <v>55</v>
      </c>
      <c r="I1047" t="s">
        <v>39</v>
      </c>
      <c r="J1047" t="s">
        <v>46</v>
      </c>
      <c r="K1047" s="2">
        <v>13150</v>
      </c>
      <c r="L1047" s="2">
        <v>37000</v>
      </c>
      <c r="M1047">
        <v>48</v>
      </c>
      <c r="N1047" s="3">
        <v>0.29599999999999999</v>
      </c>
      <c r="O1047" t="s">
        <v>17</v>
      </c>
      <c r="P1047" t="s">
        <v>60</v>
      </c>
      <c r="Q1047">
        <v>0</v>
      </c>
      <c r="R1047">
        <v>1</v>
      </c>
      <c r="S1047" s="2">
        <v>0</v>
      </c>
      <c r="T1047" s="4"/>
      <c r="U1047">
        <v>10</v>
      </c>
      <c r="V1047">
        <v>0</v>
      </c>
      <c r="W1047">
        <v>1</v>
      </c>
    </row>
    <row r="1048" spans="1:23" ht="16.5" x14ac:dyDescent="0.3">
      <c r="A1048" t="s">
        <v>1104</v>
      </c>
      <c r="B1048" s="1">
        <v>45446</v>
      </c>
      <c r="C1048">
        <v>2024</v>
      </c>
      <c r="D1048" t="s">
        <v>688</v>
      </c>
      <c r="E1048" t="s">
        <v>1096</v>
      </c>
      <c r="F1048" t="s">
        <v>50</v>
      </c>
      <c r="G1048" t="s">
        <v>45</v>
      </c>
      <c r="H1048" t="s">
        <v>55</v>
      </c>
      <c r="I1048" t="s">
        <v>39</v>
      </c>
      <c r="J1048" t="s">
        <v>46</v>
      </c>
      <c r="K1048" s="2">
        <v>3150</v>
      </c>
      <c r="L1048" s="2">
        <v>206500</v>
      </c>
      <c r="M1048">
        <v>180</v>
      </c>
      <c r="N1048" s="3">
        <v>0.71199999999999997</v>
      </c>
      <c r="O1048" t="s">
        <v>16</v>
      </c>
      <c r="Q1048">
        <v>1</v>
      </c>
      <c r="R1048">
        <v>0</v>
      </c>
      <c r="S1048" s="2">
        <v>165000</v>
      </c>
      <c r="T1048" s="4">
        <v>4.3999999999999997E-2</v>
      </c>
      <c r="U1048">
        <v>9</v>
      </c>
      <c r="V1048">
        <v>1</v>
      </c>
      <c r="W1048">
        <v>1</v>
      </c>
    </row>
    <row r="1049" spans="1:23" ht="16.5" x14ac:dyDescent="0.3">
      <c r="A1049" t="s">
        <v>1105</v>
      </c>
      <c r="B1049" s="1">
        <v>45446</v>
      </c>
      <c r="C1049">
        <v>2024</v>
      </c>
      <c r="D1049" t="s">
        <v>688</v>
      </c>
      <c r="E1049" t="s">
        <v>1096</v>
      </c>
      <c r="F1049" t="s">
        <v>37</v>
      </c>
      <c r="G1049" t="s">
        <v>27</v>
      </c>
      <c r="H1049" t="s">
        <v>55</v>
      </c>
      <c r="I1049" t="s">
        <v>29</v>
      </c>
      <c r="J1049" t="s">
        <v>52</v>
      </c>
      <c r="K1049" s="2">
        <v>2400</v>
      </c>
      <c r="L1049" s="2">
        <v>13000</v>
      </c>
      <c r="M1049">
        <v>12</v>
      </c>
      <c r="N1049" s="3">
        <v>0.57699999999999996</v>
      </c>
      <c r="O1049" t="s">
        <v>17</v>
      </c>
      <c r="P1049" t="s">
        <v>60</v>
      </c>
      <c r="Q1049">
        <v>0</v>
      </c>
      <c r="R1049">
        <v>1</v>
      </c>
      <c r="S1049" s="2">
        <v>0</v>
      </c>
      <c r="T1049" s="4"/>
      <c r="U1049">
        <v>7</v>
      </c>
      <c r="V1049">
        <v>0</v>
      </c>
      <c r="W1049">
        <v>1</v>
      </c>
    </row>
    <row r="1050" spans="1:23" ht="16.5" x14ac:dyDescent="0.3">
      <c r="A1050" t="s">
        <v>1106</v>
      </c>
      <c r="B1050" s="1">
        <v>45446</v>
      </c>
      <c r="C1050">
        <v>2024</v>
      </c>
      <c r="D1050" t="s">
        <v>688</v>
      </c>
      <c r="E1050" t="s">
        <v>1096</v>
      </c>
      <c r="F1050" t="s">
        <v>41</v>
      </c>
      <c r="G1050" t="s">
        <v>45</v>
      </c>
      <c r="H1050" t="s">
        <v>38</v>
      </c>
      <c r="I1050" t="s">
        <v>29</v>
      </c>
      <c r="J1050" t="s">
        <v>43</v>
      </c>
      <c r="K1050" s="2">
        <v>9250</v>
      </c>
      <c r="L1050" s="2">
        <v>62500</v>
      </c>
      <c r="M1050">
        <v>24</v>
      </c>
      <c r="N1050" s="3">
        <v>0.55600000000000005</v>
      </c>
      <c r="O1050" t="s">
        <v>16</v>
      </c>
      <c r="Q1050">
        <v>1</v>
      </c>
      <c r="R1050">
        <v>0</v>
      </c>
      <c r="S1050" s="2">
        <v>62500</v>
      </c>
      <c r="T1050" s="4">
        <v>0.14499999999999999</v>
      </c>
      <c r="U1050">
        <v>4</v>
      </c>
      <c r="V1050">
        <v>1</v>
      </c>
      <c r="W1050">
        <v>1</v>
      </c>
    </row>
    <row r="1051" spans="1:23" ht="16.5" x14ac:dyDescent="0.3">
      <c r="A1051" t="s">
        <v>1107</v>
      </c>
      <c r="B1051" s="1">
        <v>45446</v>
      </c>
      <c r="C1051">
        <v>2024</v>
      </c>
      <c r="D1051" t="s">
        <v>688</v>
      </c>
      <c r="E1051" t="s">
        <v>1096</v>
      </c>
      <c r="F1051" t="s">
        <v>26</v>
      </c>
      <c r="G1051" t="s">
        <v>33</v>
      </c>
      <c r="H1051" t="s">
        <v>34</v>
      </c>
      <c r="I1051" t="s">
        <v>29</v>
      </c>
      <c r="J1051" t="s">
        <v>35</v>
      </c>
      <c r="K1051" s="2">
        <v>13300</v>
      </c>
      <c r="L1051" s="2">
        <v>11000</v>
      </c>
      <c r="M1051">
        <v>36</v>
      </c>
      <c r="N1051" s="3">
        <v>0.125</v>
      </c>
      <c r="O1051" t="s">
        <v>16</v>
      </c>
      <c r="Q1051">
        <v>1</v>
      </c>
      <c r="R1051">
        <v>0</v>
      </c>
      <c r="S1051" s="2">
        <v>9000</v>
      </c>
      <c r="T1051" s="4">
        <v>7.4499999999999997E-2</v>
      </c>
      <c r="U1051">
        <v>2</v>
      </c>
      <c r="V1051">
        <v>1</v>
      </c>
      <c r="W1051">
        <v>1</v>
      </c>
    </row>
    <row r="1052" spans="1:23" ht="16.5" x14ac:dyDescent="0.3">
      <c r="A1052" t="s">
        <v>1108</v>
      </c>
      <c r="B1052" s="1">
        <v>45446</v>
      </c>
      <c r="C1052">
        <v>2024</v>
      </c>
      <c r="D1052" t="s">
        <v>688</v>
      </c>
      <c r="E1052" t="s">
        <v>1096</v>
      </c>
      <c r="F1052" t="s">
        <v>26</v>
      </c>
      <c r="G1052" t="s">
        <v>45</v>
      </c>
      <c r="H1052" t="s">
        <v>38</v>
      </c>
      <c r="I1052" t="s">
        <v>39</v>
      </c>
      <c r="J1052" t="s">
        <v>30</v>
      </c>
      <c r="K1052" s="2">
        <v>4200</v>
      </c>
      <c r="L1052" s="2">
        <v>52000</v>
      </c>
      <c r="M1052">
        <v>48</v>
      </c>
      <c r="N1052" s="3">
        <v>0.45900000000000002</v>
      </c>
      <c r="O1052" t="s">
        <v>17</v>
      </c>
      <c r="P1052" t="s">
        <v>31</v>
      </c>
      <c r="Q1052">
        <v>0</v>
      </c>
      <c r="R1052">
        <v>1</v>
      </c>
      <c r="S1052" s="2">
        <v>0</v>
      </c>
      <c r="T1052" s="4"/>
      <c r="U1052">
        <v>2</v>
      </c>
      <c r="V1052">
        <v>1</v>
      </c>
      <c r="W1052">
        <v>1</v>
      </c>
    </row>
    <row r="1053" spans="1:23" ht="16.5" x14ac:dyDescent="0.3">
      <c r="A1053" t="s">
        <v>1109</v>
      </c>
      <c r="B1053" s="1">
        <v>45447</v>
      </c>
      <c r="C1053">
        <v>2024</v>
      </c>
      <c r="D1053" t="s">
        <v>688</v>
      </c>
      <c r="E1053" t="s">
        <v>1096</v>
      </c>
      <c r="F1053" t="s">
        <v>26</v>
      </c>
      <c r="G1053" t="s">
        <v>51</v>
      </c>
      <c r="H1053" t="s">
        <v>34</v>
      </c>
      <c r="I1053" t="s">
        <v>29</v>
      </c>
      <c r="J1053" t="s">
        <v>30</v>
      </c>
      <c r="K1053" s="2">
        <v>3500</v>
      </c>
      <c r="L1053" s="2">
        <v>39000</v>
      </c>
      <c r="M1053">
        <v>48</v>
      </c>
      <c r="N1053" s="3">
        <v>0.40400000000000003</v>
      </c>
      <c r="O1053" t="s">
        <v>16</v>
      </c>
      <c r="Q1053">
        <v>1</v>
      </c>
      <c r="R1053">
        <v>0</v>
      </c>
      <c r="S1053" s="2">
        <v>39000</v>
      </c>
      <c r="T1053" s="4">
        <v>9.6500000000000002E-2</v>
      </c>
      <c r="U1053">
        <v>8</v>
      </c>
      <c r="V1053">
        <v>0</v>
      </c>
      <c r="W1053">
        <v>1</v>
      </c>
    </row>
    <row r="1054" spans="1:23" ht="16.5" x14ac:dyDescent="0.3">
      <c r="A1054" t="s">
        <v>1110</v>
      </c>
      <c r="B1054" s="1">
        <v>45447</v>
      </c>
      <c r="C1054">
        <v>2024</v>
      </c>
      <c r="D1054" t="s">
        <v>688</v>
      </c>
      <c r="E1054" t="s">
        <v>1096</v>
      </c>
      <c r="F1054" t="s">
        <v>37</v>
      </c>
      <c r="G1054" t="s">
        <v>27</v>
      </c>
      <c r="H1054" t="s">
        <v>38</v>
      </c>
      <c r="I1054" t="s">
        <v>39</v>
      </c>
      <c r="J1054" t="s">
        <v>35</v>
      </c>
      <c r="K1054" s="2">
        <v>4600</v>
      </c>
      <c r="L1054" s="2">
        <v>5500</v>
      </c>
      <c r="M1054">
        <v>12</v>
      </c>
      <c r="N1054" s="3">
        <v>0.216</v>
      </c>
      <c r="O1054" t="s">
        <v>16</v>
      </c>
      <c r="Q1054">
        <v>1</v>
      </c>
      <c r="R1054">
        <v>0</v>
      </c>
      <c r="S1054" s="2">
        <v>5500</v>
      </c>
      <c r="T1054" s="4">
        <v>0.128</v>
      </c>
      <c r="U1054">
        <v>4</v>
      </c>
      <c r="V1054">
        <v>0</v>
      </c>
      <c r="W1054">
        <v>1</v>
      </c>
    </row>
    <row r="1055" spans="1:23" ht="16.5" x14ac:dyDescent="0.3">
      <c r="A1055" t="s">
        <v>1111</v>
      </c>
      <c r="B1055" s="1">
        <v>45447</v>
      </c>
      <c r="C1055">
        <v>2024</v>
      </c>
      <c r="D1055" t="s">
        <v>688</v>
      </c>
      <c r="E1055" t="s">
        <v>1096</v>
      </c>
      <c r="F1055" t="s">
        <v>37</v>
      </c>
      <c r="G1055" t="s">
        <v>27</v>
      </c>
      <c r="H1055" t="s">
        <v>28</v>
      </c>
      <c r="I1055" t="s">
        <v>29</v>
      </c>
      <c r="J1055" t="s">
        <v>46</v>
      </c>
      <c r="K1055" s="2">
        <v>6600</v>
      </c>
      <c r="L1055" s="2">
        <v>18000</v>
      </c>
      <c r="M1055">
        <v>60</v>
      </c>
      <c r="N1055" s="3">
        <v>0.16</v>
      </c>
      <c r="O1055" t="s">
        <v>16</v>
      </c>
      <c r="Q1055">
        <v>1</v>
      </c>
      <c r="R1055">
        <v>0</v>
      </c>
      <c r="S1055" s="2">
        <v>18000</v>
      </c>
      <c r="T1055" s="4">
        <v>0.1096</v>
      </c>
      <c r="U1055">
        <v>6</v>
      </c>
      <c r="V1055">
        <v>0</v>
      </c>
      <c r="W1055">
        <v>1</v>
      </c>
    </row>
    <row r="1056" spans="1:23" ht="16.5" x14ac:dyDescent="0.3">
      <c r="A1056" t="s">
        <v>1112</v>
      </c>
      <c r="B1056" s="1">
        <v>45447</v>
      </c>
      <c r="C1056">
        <v>2024</v>
      </c>
      <c r="D1056" t="s">
        <v>688</v>
      </c>
      <c r="E1056" t="s">
        <v>1096</v>
      </c>
      <c r="F1056" t="s">
        <v>37</v>
      </c>
      <c r="G1056" t="s">
        <v>51</v>
      </c>
      <c r="H1056" t="s">
        <v>55</v>
      </c>
      <c r="I1056" t="s">
        <v>42</v>
      </c>
      <c r="J1056" t="s">
        <v>46</v>
      </c>
      <c r="K1056" s="2">
        <v>8700</v>
      </c>
      <c r="L1056" s="2">
        <v>11500</v>
      </c>
      <c r="M1056">
        <v>24</v>
      </c>
      <c r="N1056" s="3">
        <v>0.23200000000000001</v>
      </c>
      <c r="O1056" t="s">
        <v>16</v>
      </c>
      <c r="Q1056">
        <v>1</v>
      </c>
      <c r="R1056">
        <v>0</v>
      </c>
      <c r="S1056" s="2">
        <v>11500</v>
      </c>
      <c r="T1056" s="4">
        <v>0.1106</v>
      </c>
      <c r="U1056">
        <v>11</v>
      </c>
      <c r="V1056">
        <v>0</v>
      </c>
      <c r="W1056">
        <v>1</v>
      </c>
    </row>
    <row r="1057" spans="1:23" ht="16.5" x14ac:dyDescent="0.3">
      <c r="A1057" t="s">
        <v>1113</v>
      </c>
      <c r="B1057" s="1">
        <v>45447</v>
      </c>
      <c r="C1057">
        <v>2024</v>
      </c>
      <c r="D1057" t="s">
        <v>688</v>
      </c>
      <c r="E1057" t="s">
        <v>1096</v>
      </c>
      <c r="F1057" t="s">
        <v>50</v>
      </c>
      <c r="G1057" t="s">
        <v>51</v>
      </c>
      <c r="H1057" t="s">
        <v>38</v>
      </c>
      <c r="I1057" t="s">
        <v>39</v>
      </c>
      <c r="J1057" t="s">
        <v>46</v>
      </c>
      <c r="K1057" s="2">
        <v>4600</v>
      </c>
      <c r="L1057" s="2">
        <v>275000</v>
      </c>
      <c r="M1057">
        <v>300</v>
      </c>
      <c r="N1057" s="3">
        <v>0.39700000000000002</v>
      </c>
      <c r="O1057" t="s">
        <v>16</v>
      </c>
      <c r="Q1057">
        <v>1</v>
      </c>
      <c r="R1057">
        <v>0</v>
      </c>
      <c r="S1057" s="2">
        <v>247500</v>
      </c>
      <c r="T1057" s="4">
        <v>4.7E-2</v>
      </c>
      <c r="U1057">
        <v>44</v>
      </c>
      <c r="V1057">
        <v>0</v>
      </c>
      <c r="W1057">
        <v>1</v>
      </c>
    </row>
    <row r="1058" spans="1:23" ht="16.5" x14ac:dyDescent="0.3">
      <c r="A1058" t="s">
        <v>1114</v>
      </c>
      <c r="B1058" s="1">
        <v>45447</v>
      </c>
      <c r="C1058">
        <v>2024</v>
      </c>
      <c r="D1058" t="s">
        <v>688</v>
      </c>
      <c r="E1058" t="s">
        <v>1096</v>
      </c>
      <c r="F1058" t="s">
        <v>26</v>
      </c>
      <c r="G1058" t="s">
        <v>33</v>
      </c>
      <c r="H1058" t="s">
        <v>55</v>
      </c>
      <c r="I1058" t="s">
        <v>29</v>
      </c>
      <c r="J1058" t="s">
        <v>35</v>
      </c>
      <c r="K1058" s="2">
        <v>4200</v>
      </c>
      <c r="L1058" s="2">
        <v>15500</v>
      </c>
      <c r="M1058">
        <v>36</v>
      </c>
      <c r="N1058" s="3">
        <v>0.28100000000000003</v>
      </c>
      <c r="O1058" t="s">
        <v>16</v>
      </c>
      <c r="Q1058">
        <v>1</v>
      </c>
      <c r="R1058">
        <v>0</v>
      </c>
      <c r="S1058" s="2">
        <v>15500</v>
      </c>
      <c r="T1058" s="4">
        <v>7.5800000000000006E-2</v>
      </c>
      <c r="U1058">
        <v>2</v>
      </c>
      <c r="V1058">
        <v>1</v>
      </c>
      <c r="W1058">
        <v>1</v>
      </c>
    </row>
    <row r="1059" spans="1:23" ht="16.5" x14ac:dyDescent="0.3">
      <c r="A1059" t="s">
        <v>1115</v>
      </c>
      <c r="B1059" s="1">
        <v>45447</v>
      </c>
      <c r="C1059">
        <v>2024</v>
      </c>
      <c r="D1059" t="s">
        <v>688</v>
      </c>
      <c r="E1059" t="s">
        <v>1096</v>
      </c>
      <c r="F1059" t="s">
        <v>41</v>
      </c>
      <c r="G1059" t="s">
        <v>51</v>
      </c>
      <c r="H1059" t="s">
        <v>38</v>
      </c>
      <c r="I1059" t="s">
        <v>29</v>
      </c>
      <c r="J1059" t="s">
        <v>35</v>
      </c>
      <c r="K1059" s="2">
        <v>4150</v>
      </c>
      <c r="L1059" s="2">
        <v>53000</v>
      </c>
      <c r="M1059">
        <v>36</v>
      </c>
      <c r="N1059" s="3">
        <v>0.52900000000000003</v>
      </c>
      <c r="O1059" t="s">
        <v>16</v>
      </c>
      <c r="Q1059">
        <v>1</v>
      </c>
      <c r="R1059">
        <v>0</v>
      </c>
      <c r="S1059" s="2">
        <v>42500</v>
      </c>
      <c r="T1059" s="4">
        <v>0.1072</v>
      </c>
      <c r="U1059">
        <v>14</v>
      </c>
      <c r="V1059">
        <v>0</v>
      </c>
      <c r="W1059">
        <v>1</v>
      </c>
    </row>
    <row r="1060" spans="1:23" ht="16.5" x14ac:dyDescent="0.3">
      <c r="A1060" t="s">
        <v>1116</v>
      </c>
      <c r="B1060" s="1">
        <v>45448</v>
      </c>
      <c r="C1060">
        <v>2024</v>
      </c>
      <c r="D1060" t="s">
        <v>688</v>
      </c>
      <c r="E1060" t="s">
        <v>1096</v>
      </c>
      <c r="F1060" t="s">
        <v>26</v>
      </c>
      <c r="G1060" t="s">
        <v>27</v>
      </c>
      <c r="H1060" t="s">
        <v>55</v>
      </c>
      <c r="I1060" t="s">
        <v>29</v>
      </c>
      <c r="J1060" t="s">
        <v>52</v>
      </c>
      <c r="K1060" s="2">
        <v>3250</v>
      </c>
      <c r="L1060" s="2">
        <v>28500</v>
      </c>
      <c r="M1060">
        <v>36</v>
      </c>
      <c r="N1060" s="3">
        <v>0.46500000000000002</v>
      </c>
      <c r="O1060" t="s">
        <v>17</v>
      </c>
      <c r="P1060" t="s">
        <v>53</v>
      </c>
      <c r="Q1060">
        <v>0</v>
      </c>
      <c r="R1060">
        <v>1</v>
      </c>
      <c r="S1060" s="2">
        <v>0</v>
      </c>
      <c r="T1060" s="4"/>
      <c r="U1060">
        <v>5</v>
      </c>
      <c r="V1060">
        <v>0</v>
      </c>
      <c r="W1060">
        <v>1</v>
      </c>
    </row>
    <row r="1061" spans="1:23" ht="16.5" x14ac:dyDescent="0.3">
      <c r="A1061" t="s">
        <v>1117</v>
      </c>
      <c r="B1061" s="1">
        <v>45448</v>
      </c>
      <c r="C1061">
        <v>2024</v>
      </c>
      <c r="D1061" t="s">
        <v>688</v>
      </c>
      <c r="E1061" t="s">
        <v>1096</v>
      </c>
      <c r="F1061" t="s">
        <v>37</v>
      </c>
      <c r="G1061" t="s">
        <v>51</v>
      </c>
      <c r="H1061" t="s">
        <v>34</v>
      </c>
      <c r="I1061" t="s">
        <v>29</v>
      </c>
      <c r="J1061" t="s">
        <v>46</v>
      </c>
      <c r="K1061" s="2">
        <v>6050</v>
      </c>
      <c r="L1061" s="2">
        <v>8000</v>
      </c>
      <c r="M1061">
        <v>24</v>
      </c>
      <c r="N1061" s="3">
        <v>0.28899999999999998</v>
      </c>
      <c r="O1061" t="s">
        <v>16</v>
      </c>
      <c r="Q1061">
        <v>1</v>
      </c>
      <c r="R1061">
        <v>0</v>
      </c>
      <c r="S1061" s="2">
        <v>8000</v>
      </c>
      <c r="T1061" s="4">
        <v>0.1069</v>
      </c>
      <c r="U1061">
        <v>7</v>
      </c>
      <c r="V1061">
        <v>0</v>
      </c>
      <c r="W1061">
        <v>1</v>
      </c>
    </row>
    <row r="1062" spans="1:23" ht="16.5" x14ac:dyDescent="0.3">
      <c r="A1062" t="s">
        <v>1118</v>
      </c>
      <c r="B1062" s="1">
        <v>45448</v>
      </c>
      <c r="C1062">
        <v>2024</v>
      </c>
      <c r="D1062" t="s">
        <v>688</v>
      </c>
      <c r="E1062" t="s">
        <v>1096</v>
      </c>
      <c r="F1062" t="s">
        <v>41</v>
      </c>
      <c r="G1062" t="s">
        <v>45</v>
      </c>
      <c r="H1062" t="s">
        <v>34</v>
      </c>
      <c r="I1062" t="s">
        <v>29</v>
      </c>
      <c r="J1062" t="s">
        <v>30</v>
      </c>
      <c r="K1062" s="2">
        <v>4350</v>
      </c>
      <c r="L1062" s="2">
        <v>241000</v>
      </c>
      <c r="M1062">
        <v>24</v>
      </c>
      <c r="N1062" s="3">
        <v>2.6560000000000001</v>
      </c>
      <c r="O1062" t="s">
        <v>17</v>
      </c>
      <c r="P1062" t="s">
        <v>31</v>
      </c>
      <c r="Q1062">
        <v>0</v>
      </c>
      <c r="R1062">
        <v>1</v>
      </c>
      <c r="S1062" s="2">
        <v>0</v>
      </c>
      <c r="T1062" s="4"/>
      <c r="U1062">
        <v>3</v>
      </c>
      <c r="V1062">
        <v>1</v>
      </c>
      <c r="W1062">
        <v>1</v>
      </c>
    </row>
    <row r="1063" spans="1:23" ht="16.5" x14ac:dyDescent="0.3">
      <c r="A1063" t="s">
        <v>1119</v>
      </c>
      <c r="B1063" s="1">
        <v>45448</v>
      </c>
      <c r="C1063">
        <v>2024</v>
      </c>
      <c r="D1063" t="s">
        <v>688</v>
      </c>
      <c r="E1063" t="s">
        <v>1096</v>
      </c>
      <c r="F1063" t="s">
        <v>26</v>
      </c>
      <c r="G1063" t="s">
        <v>27</v>
      </c>
      <c r="H1063" t="s">
        <v>34</v>
      </c>
      <c r="I1063" t="s">
        <v>39</v>
      </c>
      <c r="J1063" t="s">
        <v>35</v>
      </c>
      <c r="K1063" s="2">
        <v>6450</v>
      </c>
      <c r="L1063" s="2">
        <v>34500</v>
      </c>
      <c r="M1063">
        <v>48</v>
      </c>
      <c r="N1063" s="3">
        <v>0.25700000000000001</v>
      </c>
      <c r="O1063" t="s">
        <v>16</v>
      </c>
      <c r="Q1063">
        <v>1</v>
      </c>
      <c r="R1063">
        <v>0</v>
      </c>
      <c r="S1063" s="2">
        <v>34500</v>
      </c>
      <c r="T1063" s="4">
        <v>8.1100000000000005E-2</v>
      </c>
      <c r="U1063">
        <v>5</v>
      </c>
      <c r="V1063">
        <v>0</v>
      </c>
      <c r="W1063">
        <v>1</v>
      </c>
    </row>
    <row r="1064" spans="1:23" ht="16.5" x14ac:dyDescent="0.3">
      <c r="A1064" t="s">
        <v>1120</v>
      </c>
      <c r="B1064" s="1">
        <v>45448</v>
      </c>
      <c r="C1064">
        <v>2024</v>
      </c>
      <c r="D1064" t="s">
        <v>688</v>
      </c>
      <c r="E1064" t="s">
        <v>1096</v>
      </c>
      <c r="F1064" t="s">
        <v>37</v>
      </c>
      <c r="G1064" t="s">
        <v>51</v>
      </c>
      <c r="H1064" t="s">
        <v>38</v>
      </c>
      <c r="I1064" t="s">
        <v>42</v>
      </c>
      <c r="J1064" t="s">
        <v>46</v>
      </c>
      <c r="K1064" s="2">
        <v>5450</v>
      </c>
      <c r="L1064" s="2">
        <v>7500</v>
      </c>
      <c r="M1064">
        <v>60</v>
      </c>
      <c r="N1064" s="3">
        <v>0.17299999999999999</v>
      </c>
      <c r="O1064" t="s">
        <v>16</v>
      </c>
      <c r="Q1064">
        <v>1</v>
      </c>
      <c r="R1064">
        <v>0</v>
      </c>
      <c r="S1064" s="2">
        <v>7500</v>
      </c>
      <c r="T1064" s="4">
        <v>0.1104</v>
      </c>
      <c r="U1064">
        <v>7</v>
      </c>
      <c r="V1064">
        <v>0</v>
      </c>
      <c r="W1064">
        <v>1</v>
      </c>
    </row>
    <row r="1065" spans="1:23" ht="16.5" x14ac:dyDescent="0.3">
      <c r="A1065" t="s">
        <v>1121</v>
      </c>
      <c r="B1065" s="1">
        <v>45448</v>
      </c>
      <c r="C1065">
        <v>2024</v>
      </c>
      <c r="D1065" t="s">
        <v>688</v>
      </c>
      <c r="E1065" t="s">
        <v>1096</v>
      </c>
      <c r="F1065" t="s">
        <v>37</v>
      </c>
      <c r="G1065" t="s">
        <v>33</v>
      </c>
      <c r="H1065" t="s">
        <v>38</v>
      </c>
      <c r="I1065" t="s">
        <v>39</v>
      </c>
      <c r="J1065" t="s">
        <v>35</v>
      </c>
      <c r="K1065" s="2">
        <v>11500</v>
      </c>
      <c r="L1065" s="2">
        <v>15500</v>
      </c>
      <c r="M1065">
        <v>24</v>
      </c>
      <c r="N1065" s="3">
        <v>0.224</v>
      </c>
      <c r="O1065" t="s">
        <v>16</v>
      </c>
      <c r="Q1065">
        <v>1</v>
      </c>
      <c r="R1065">
        <v>0</v>
      </c>
      <c r="S1065" s="2">
        <v>15500</v>
      </c>
      <c r="T1065" s="4">
        <v>0.1285</v>
      </c>
      <c r="U1065">
        <v>2</v>
      </c>
      <c r="V1065">
        <v>1</v>
      </c>
      <c r="W1065">
        <v>1</v>
      </c>
    </row>
    <row r="1066" spans="1:23" ht="16.5" x14ac:dyDescent="0.3">
      <c r="A1066" t="s">
        <v>1122</v>
      </c>
      <c r="B1066" s="1">
        <v>45448</v>
      </c>
      <c r="C1066">
        <v>2024</v>
      </c>
      <c r="D1066" t="s">
        <v>688</v>
      </c>
      <c r="E1066" t="s">
        <v>1096</v>
      </c>
      <c r="F1066" t="s">
        <v>26</v>
      </c>
      <c r="G1066" t="s">
        <v>33</v>
      </c>
      <c r="H1066" t="s">
        <v>28</v>
      </c>
      <c r="I1066" t="s">
        <v>29</v>
      </c>
      <c r="J1066" t="s">
        <v>30</v>
      </c>
      <c r="K1066" s="2">
        <v>3400</v>
      </c>
      <c r="L1066" s="2">
        <v>70500</v>
      </c>
      <c r="M1066">
        <v>48</v>
      </c>
      <c r="N1066" s="3">
        <v>0.59399999999999997</v>
      </c>
      <c r="O1066" t="s">
        <v>17</v>
      </c>
      <c r="P1066" t="s">
        <v>31</v>
      </c>
      <c r="Q1066">
        <v>0</v>
      </c>
      <c r="R1066">
        <v>1</v>
      </c>
      <c r="S1066" s="2">
        <v>0</v>
      </c>
      <c r="T1066" s="4"/>
      <c r="U1066">
        <v>2</v>
      </c>
      <c r="V1066">
        <v>1</v>
      </c>
      <c r="W1066">
        <v>1</v>
      </c>
    </row>
    <row r="1067" spans="1:23" ht="16.5" x14ac:dyDescent="0.3">
      <c r="A1067" t="s">
        <v>1123</v>
      </c>
      <c r="B1067" s="1">
        <v>45448</v>
      </c>
      <c r="C1067">
        <v>2024</v>
      </c>
      <c r="D1067" t="s">
        <v>688</v>
      </c>
      <c r="E1067" t="s">
        <v>1096</v>
      </c>
      <c r="F1067" t="s">
        <v>37</v>
      </c>
      <c r="G1067" t="s">
        <v>33</v>
      </c>
      <c r="H1067" t="s">
        <v>38</v>
      </c>
      <c r="I1067" t="s">
        <v>42</v>
      </c>
      <c r="J1067" t="s">
        <v>52</v>
      </c>
      <c r="K1067" s="2">
        <v>5150</v>
      </c>
      <c r="L1067" s="2">
        <v>7000</v>
      </c>
      <c r="M1067">
        <v>60</v>
      </c>
      <c r="N1067" s="3">
        <v>0.107</v>
      </c>
      <c r="O1067" t="s">
        <v>16</v>
      </c>
      <c r="Q1067">
        <v>1</v>
      </c>
      <c r="R1067">
        <v>0</v>
      </c>
      <c r="S1067" s="2">
        <v>5500</v>
      </c>
      <c r="T1067" s="4">
        <v>0.1157</v>
      </c>
      <c r="U1067">
        <v>4</v>
      </c>
      <c r="V1067">
        <v>0</v>
      </c>
      <c r="W1067">
        <v>1</v>
      </c>
    </row>
    <row r="1068" spans="1:23" ht="16.5" x14ac:dyDescent="0.3">
      <c r="A1068" t="s">
        <v>1124</v>
      </c>
      <c r="B1068" s="1">
        <v>45448</v>
      </c>
      <c r="C1068">
        <v>2024</v>
      </c>
      <c r="D1068" t="s">
        <v>688</v>
      </c>
      <c r="E1068" t="s">
        <v>1096</v>
      </c>
      <c r="F1068" t="s">
        <v>41</v>
      </c>
      <c r="G1068" t="s">
        <v>51</v>
      </c>
      <c r="H1068" t="s">
        <v>64</v>
      </c>
      <c r="I1068" t="s">
        <v>42</v>
      </c>
      <c r="J1068" t="s">
        <v>30</v>
      </c>
      <c r="K1068" s="2">
        <v>8100</v>
      </c>
      <c r="L1068" s="2">
        <v>57000</v>
      </c>
      <c r="M1068">
        <v>60</v>
      </c>
      <c r="N1068" s="3">
        <v>0.22</v>
      </c>
      <c r="O1068" t="s">
        <v>16</v>
      </c>
      <c r="Q1068">
        <v>1</v>
      </c>
      <c r="R1068">
        <v>0</v>
      </c>
      <c r="S1068" s="2">
        <v>51500</v>
      </c>
      <c r="T1068" s="4">
        <v>0.12039999999999999</v>
      </c>
      <c r="U1068">
        <v>14</v>
      </c>
      <c r="V1068">
        <v>0</v>
      </c>
      <c r="W1068">
        <v>1</v>
      </c>
    </row>
    <row r="1069" spans="1:23" ht="16.5" x14ac:dyDescent="0.3">
      <c r="A1069" t="s">
        <v>1125</v>
      </c>
      <c r="B1069" s="1">
        <v>45448</v>
      </c>
      <c r="C1069">
        <v>2024</v>
      </c>
      <c r="D1069" t="s">
        <v>688</v>
      </c>
      <c r="E1069" t="s">
        <v>1096</v>
      </c>
      <c r="F1069" t="s">
        <v>26</v>
      </c>
      <c r="G1069" t="s">
        <v>27</v>
      </c>
      <c r="H1069" t="s">
        <v>38</v>
      </c>
      <c r="I1069" t="s">
        <v>39</v>
      </c>
      <c r="J1069" t="s">
        <v>52</v>
      </c>
      <c r="K1069" s="2">
        <v>8500</v>
      </c>
      <c r="L1069" s="2">
        <v>22500</v>
      </c>
      <c r="M1069">
        <v>36</v>
      </c>
      <c r="N1069" s="3">
        <v>0.22700000000000001</v>
      </c>
      <c r="O1069" t="s">
        <v>16</v>
      </c>
      <c r="Q1069">
        <v>1</v>
      </c>
      <c r="R1069">
        <v>0</v>
      </c>
      <c r="S1069" s="2">
        <v>22500</v>
      </c>
      <c r="T1069" s="4">
        <v>7.22E-2</v>
      </c>
      <c r="U1069">
        <v>4</v>
      </c>
      <c r="V1069">
        <v>1</v>
      </c>
      <c r="W1069">
        <v>1</v>
      </c>
    </row>
    <row r="1070" spans="1:23" ht="16.5" x14ac:dyDescent="0.3">
      <c r="A1070" t="s">
        <v>1126</v>
      </c>
      <c r="B1070" s="1">
        <v>45449</v>
      </c>
      <c r="C1070">
        <v>2024</v>
      </c>
      <c r="D1070" t="s">
        <v>688</v>
      </c>
      <c r="E1070" t="s">
        <v>1096</v>
      </c>
      <c r="F1070" t="s">
        <v>37</v>
      </c>
      <c r="G1070" t="s">
        <v>51</v>
      </c>
      <c r="H1070" t="s">
        <v>34</v>
      </c>
      <c r="I1070" t="s">
        <v>42</v>
      </c>
      <c r="J1070" t="s">
        <v>30</v>
      </c>
      <c r="K1070" s="2">
        <v>10350</v>
      </c>
      <c r="L1070" s="2">
        <v>4500</v>
      </c>
      <c r="M1070">
        <v>12</v>
      </c>
      <c r="N1070" s="3">
        <v>0.127</v>
      </c>
      <c r="O1070" t="s">
        <v>16</v>
      </c>
      <c r="Q1070">
        <v>1</v>
      </c>
      <c r="R1070">
        <v>0</v>
      </c>
      <c r="S1070" s="2">
        <v>4500</v>
      </c>
      <c r="T1070" s="4">
        <v>0.14019999999999999</v>
      </c>
      <c r="U1070">
        <v>6</v>
      </c>
      <c r="V1070">
        <v>0</v>
      </c>
      <c r="W1070">
        <v>1</v>
      </c>
    </row>
    <row r="1071" spans="1:23" ht="16.5" x14ac:dyDescent="0.3">
      <c r="A1071" t="s">
        <v>1127</v>
      </c>
      <c r="B1071" s="1">
        <v>45449</v>
      </c>
      <c r="C1071">
        <v>2024</v>
      </c>
      <c r="D1071" t="s">
        <v>688</v>
      </c>
      <c r="E1071" t="s">
        <v>1096</v>
      </c>
      <c r="F1071" t="s">
        <v>26</v>
      </c>
      <c r="G1071" t="s">
        <v>45</v>
      </c>
      <c r="H1071" t="s">
        <v>55</v>
      </c>
      <c r="I1071" t="s">
        <v>29</v>
      </c>
      <c r="J1071" t="s">
        <v>46</v>
      </c>
      <c r="K1071" s="2">
        <v>4250</v>
      </c>
      <c r="L1071" s="2">
        <v>26500</v>
      </c>
      <c r="M1071">
        <v>48</v>
      </c>
      <c r="N1071" s="3">
        <v>0.29299999999999998</v>
      </c>
      <c r="O1071" t="s">
        <v>16</v>
      </c>
      <c r="Q1071">
        <v>1</v>
      </c>
      <c r="R1071">
        <v>0</v>
      </c>
      <c r="S1071" s="2">
        <v>24000</v>
      </c>
      <c r="T1071" s="4">
        <v>6.6000000000000003E-2</v>
      </c>
      <c r="U1071">
        <v>3</v>
      </c>
      <c r="V1071">
        <v>1</v>
      </c>
      <c r="W1071">
        <v>1</v>
      </c>
    </row>
    <row r="1072" spans="1:23" ht="16.5" x14ac:dyDescent="0.3">
      <c r="A1072" t="s">
        <v>1128</v>
      </c>
      <c r="B1072" s="1">
        <v>45449</v>
      </c>
      <c r="C1072">
        <v>2024</v>
      </c>
      <c r="D1072" t="s">
        <v>688</v>
      </c>
      <c r="E1072" t="s">
        <v>1096</v>
      </c>
      <c r="F1072" t="s">
        <v>41</v>
      </c>
      <c r="G1072" t="s">
        <v>51</v>
      </c>
      <c r="H1072" t="s">
        <v>34</v>
      </c>
      <c r="I1072" t="s">
        <v>39</v>
      </c>
      <c r="J1072" t="s">
        <v>52</v>
      </c>
      <c r="K1072" s="2">
        <v>2750</v>
      </c>
      <c r="L1072" s="2">
        <v>58500</v>
      </c>
      <c r="M1072">
        <v>36</v>
      </c>
      <c r="N1072" s="3">
        <v>0.89300000000000002</v>
      </c>
      <c r="O1072" t="s">
        <v>17</v>
      </c>
      <c r="P1072" t="s">
        <v>53</v>
      </c>
      <c r="Q1072">
        <v>0</v>
      </c>
      <c r="R1072">
        <v>1</v>
      </c>
      <c r="S1072" s="2">
        <v>0</v>
      </c>
      <c r="T1072" s="4"/>
      <c r="U1072">
        <v>18</v>
      </c>
      <c r="V1072">
        <v>0</v>
      </c>
      <c r="W1072">
        <v>1</v>
      </c>
    </row>
    <row r="1073" spans="1:23" ht="16.5" x14ac:dyDescent="0.3">
      <c r="A1073" t="s">
        <v>1129</v>
      </c>
      <c r="B1073" s="1">
        <v>45449</v>
      </c>
      <c r="C1073">
        <v>2024</v>
      </c>
      <c r="D1073" t="s">
        <v>688</v>
      </c>
      <c r="E1073" t="s">
        <v>1096</v>
      </c>
      <c r="F1073" t="s">
        <v>37</v>
      </c>
      <c r="G1073" t="s">
        <v>45</v>
      </c>
      <c r="H1073" t="s">
        <v>64</v>
      </c>
      <c r="I1073" t="s">
        <v>29</v>
      </c>
      <c r="J1073" t="s">
        <v>35</v>
      </c>
      <c r="K1073" s="2">
        <v>5250</v>
      </c>
      <c r="L1073" s="2">
        <v>23500</v>
      </c>
      <c r="M1073">
        <v>12</v>
      </c>
      <c r="N1073" s="3">
        <v>0.52500000000000002</v>
      </c>
      <c r="O1073" t="s">
        <v>16</v>
      </c>
      <c r="Q1073">
        <v>1</v>
      </c>
      <c r="R1073">
        <v>0</v>
      </c>
      <c r="S1073" s="2">
        <v>23500</v>
      </c>
      <c r="T1073" s="4">
        <v>0.1273</v>
      </c>
      <c r="U1073">
        <v>2</v>
      </c>
      <c r="V1073">
        <v>1</v>
      </c>
      <c r="W1073">
        <v>1</v>
      </c>
    </row>
    <row r="1074" spans="1:23" ht="16.5" x14ac:dyDescent="0.3">
      <c r="A1074" t="s">
        <v>1130</v>
      </c>
      <c r="B1074" s="1">
        <v>45450</v>
      </c>
      <c r="C1074">
        <v>2024</v>
      </c>
      <c r="D1074" t="s">
        <v>688</v>
      </c>
      <c r="E1074" t="s">
        <v>1096</v>
      </c>
      <c r="F1074" t="s">
        <v>41</v>
      </c>
      <c r="G1074" t="s">
        <v>51</v>
      </c>
      <c r="H1074" t="s">
        <v>55</v>
      </c>
      <c r="I1074" t="s">
        <v>39</v>
      </c>
      <c r="J1074" t="s">
        <v>35</v>
      </c>
      <c r="K1074" s="2">
        <v>3450</v>
      </c>
      <c r="L1074" s="2">
        <v>66000</v>
      </c>
      <c r="M1074">
        <v>36</v>
      </c>
      <c r="N1074" s="3">
        <v>0.82799999999999996</v>
      </c>
      <c r="O1074" t="s">
        <v>17</v>
      </c>
      <c r="P1074" t="s">
        <v>53</v>
      </c>
      <c r="Q1074">
        <v>0</v>
      </c>
      <c r="R1074">
        <v>1</v>
      </c>
      <c r="S1074" s="2">
        <v>0</v>
      </c>
      <c r="T1074" s="4"/>
      <c r="U1074">
        <v>10</v>
      </c>
      <c r="V1074">
        <v>1</v>
      </c>
      <c r="W1074">
        <v>1</v>
      </c>
    </row>
    <row r="1075" spans="1:23" ht="16.5" x14ac:dyDescent="0.3">
      <c r="A1075" t="s">
        <v>1131</v>
      </c>
      <c r="B1075" s="1">
        <v>45450</v>
      </c>
      <c r="C1075">
        <v>2024</v>
      </c>
      <c r="D1075" t="s">
        <v>688</v>
      </c>
      <c r="E1075" t="s">
        <v>1096</v>
      </c>
      <c r="F1075" t="s">
        <v>37</v>
      </c>
      <c r="G1075" t="s">
        <v>51</v>
      </c>
      <c r="H1075" t="s">
        <v>34</v>
      </c>
      <c r="I1075" t="s">
        <v>29</v>
      </c>
      <c r="J1075" t="s">
        <v>35</v>
      </c>
      <c r="K1075" s="2">
        <v>5600</v>
      </c>
      <c r="L1075" s="2">
        <v>11000</v>
      </c>
      <c r="M1075">
        <v>60</v>
      </c>
      <c r="N1075" s="3">
        <v>0.22500000000000001</v>
      </c>
      <c r="O1075" t="s">
        <v>125</v>
      </c>
      <c r="Q1075">
        <v>0</v>
      </c>
      <c r="R1075">
        <v>0</v>
      </c>
      <c r="S1075" s="2">
        <v>0</v>
      </c>
      <c r="T1075" s="4"/>
      <c r="U1075">
        <v>6</v>
      </c>
      <c r="V1075">
        <v>0</v>
      </c>
      <c r="W1075">
        <v>1</v>
      </c>
    </row>
    <row r="1076" spans="1:23" ht="16.5" x14ac:dyDescent="0.3">
      <c r="A1076" t="s">
        <v>1132</v>
      </c>
      <c r="B1076" s="1">
        <v>45450</v>
      </c>
      <c r="C1076">
        <v>2024</v>
      </c>
      <c r="D1076" t="s">
        <v>688</v>
      </c>
      <c r="E1076" t="s">
        <v>1096</v>
      </c>
      <c r="F1076" t="s">
        <v>41</v>
      </c>
      <c r="G1076" t="s">
        <v>45</v>
      </c>
      <c r="H1076" t="s">
        <v>38</v>
      </c>
      <c r="I1076" t="s">
        <v>39</v>
      </c>
      <c r="J1076" t="s">
        <v>52</v>
      </c>
      <c r="K1076" s="2">
        <v>7650</v>
      </c>
      <c r="L1076" s="2">
        <v>160500</v>
      </c>
      <c r="M1076">
        <v>12</v>
      </c>
      <c r="N1076" s="3">
        <v>1.895</v>
      </c>
      <c r="O1076" t="s">
        <v>17</v>
      </c>
      <c r="P1076" t="s">
        <v>53</v>
      </c>
      <c r="Q1076">
        <v>0</v>
      </c>
      <c r="R1076">
        <v>1</v>
      </c>
      <c r="S1076" s="2">
        <v>0</v>
      </c>
      <c r="T1076" s="4"/>
      <c r="U1076">
        <v>10</v>
      </c>
      <c r="V1076">
        <v>1</v>
      </c>
      <c r="W1076">
        <v>1</v>
      </c>
    </row>
    <row r="1077" spans="1:23" ht="16.5" x14ac:dyDescent="0.3">
      <c r="A1077" t="s">
        <v>1133</v>
      </c>
      <c r="B1077" s="1">
        <v>45450</v>
      </c>
      <c r="C1077">
        <v>2024</v>
      </c>
      <c r="D1077" t="s">
        <v>688</v>
      </c>
      <c r="E1077" t="s">
        <v>1096</v>
      </c>
      <c r="F1077" t="s">
        <v>50</v>
      </c>
      <c r="G1077" t="s">
        <v>45</v>
      </c>
      <c r="H1077" t="s">
        <v>38</v>
      </c>
      <c r="I1077" t="s">
        <v>39</v>
      </c>
      <c r="J1077" t="s">
        <v>52</v>
      </c>
      <c r="K1077" s="2">
        <v>5150</v>
      </c>
      <c r="L1077" s="2">
        <v>452500</v>
      </c>
      <c r="M1077">
        <v>300</v>
      </c>
      <c r="N1077" s="3">
        <v>0.71199999999999997</v>
      </c>
      <c r="O1077" t="s">
        <v>17</v>
      </c>
      <c r="P1077" t="s">
        <v>53</v>
      </c>
      <c r="Q1077">
        <v>0</v>
      </c>
      <c r="R1077">
        <v>1</v>
      </c>
      <c r="S1077" s="2">
        <v>0</v>
      </c>
      <c r="T1077" s="4"/>
      <c r="U1077">
        <v>6</v>
      </c>
      <c r="V1077">
        <v>1</v>
      </c>
      <c r="W1077">
        <v>1</v>
      </c>
    </row>
    <row r="1078" spans="1:23" ht="16.5" x14ac:dyDescent="0.3">
      <c r="A1078" t="s">
        <v>1134</v>
      </c>
      <c r="B1078" s="1">
        <v>45450</v>
      </c>
      <c r="C1078">
        <v>2024</v>
      </c>
      <c r="D1078" t="s">
        <v>688</v>
      </c>
      <c r="E1078" t="s">
        <v>1096</v>
      </c>
      <c r="F1078" t="s">
        <v>26</v>
      </c>
      <c r="G1078" t="s">
        <v>27</v>
      </c>
      <c r="H1078" t="s">
        <v>34</v>
      </c>
      <c r="I1078" t="s">
        <v>39</v>
      </c>
      <c r="J1078" t="s">
        <v>52</v>
      </c>
      <c r="K1078" s="2">
        <v>3550</v>
      </c>
      <c r="L1078" s="2">
        <v>44000</v>
      </c>
      <c r="M1078">
        <v>60</v>
      </c>
      <c r="N1078" s="3">
        <v>0.376</v>
      </c>
      <c r="O1078" t="s">
        <v>16</v>
      </c>
      <c r="Q1078">
        <v>1</v>
      </c>
      <c r="R1078">
        <v>0</v>
      </c>
      <c r="S1078" s="2">
        <v>44000</v>
      </c>
      <c r="T1078" s="4">
        <v>7.6100000000000001E-2</v>
      </c>
      <c r="U1078">
        <v>3</v>
      </c>
      <c r="V1078">
        <v>1</v>
      </c>
      <c r="W1078">
        <v>1</v>
      </c>
    </row>
    <row r="1079" spans="1:23" ht="16.5" x14ac:dyDescent="0.3">
      <c r="A1079" t="s">
        <v>1135</v>
      </c>
      <c r="B1079" s="1">
        <v>45451</v>
      </c>
      <c r="C1079">
        <v>2024</v>
      </c>
      <c r="D1079" t="s">
        <v>688</v>
      </c>
      <c r="E1079" t="s">
        <v>1096</v>
      </c>
      <c r="F1079" t="s">
        <v>26</v>
      </c>
      <c r="G1079" t="s">
        <v>33</v>
      </c>
      <c r="H1079" t="s">
        <v>38</v>
      </c>
      <c r="I1079" t="s">
        <v>42</v>
      </c>
      <c r="J1079" t="s">
        <v>43</v>
      </c>
      <c r="K1079" s="2">
        <v>2450</v>
      </c>
      <c r="L1079" s="2">
        <v>17000</v>
      </c>
      <c r="M1079">
        <v>60</v>
      </c>
      <c r="N1079" s="3">
        <v>0.35599999999999998</v>
      </c>
      <c r="O1079" t="s">
        <v>125</v>
      </c>
      <c r="Q1079">
        <v>0</v>
      </c>
      <c r="R1079">
        <v>0</v>
      </c>
      <c r="S1079" s="2">
        <v>0</v>
      </c>
      <c r="T1079" s="4"/>
      <c r="U1079">
        <v>3</v>
      </c>
      <c r="V1079">
        <v>1</v>
      </c>
      <c r="W1079">
        <v>1</v>
      </c>
    </row>
    <row r="1080" spans="1:23" ht="16.5" x14ac:dyDescent="0.3">
      <c r="A1080" t="s">
        <v>1136</v>
      </c>
      <c r="B1080" s="1">
        <v>45451</v>
      </c>
      <c r="C1080">
        <v>2024</v>
      </c>
      <c r="D1080" t="s">
        <v>688</v>
      </c>
      <c r="E1080" t="s">
        <v>1096</v>
      </c>
      <c r="F1080" t="s">
        <v>41</v>
      </c>
      <c r="G1080" t="s">
        <v>51</v>
      </c>
      <c r="H1080" t="s">
        <v>38</v>
      </c>
      <c r="I1080" t="s">
        <v>29</v>
      </c>
      <c r="J1080" t="s">
        <v>46</v>
      </c>
      <c r="K1080" s="2">
        <v>5600</v>
      </c>
      <c r="L1080" s="2">
        <v>73000</v>
      </c>
      <c r="M1080">
        <v>12</v>
      </c>
      <c r="N1080" s="3">
        <v>1.216</v>
      </c>
      <c r="O1080" t="s">
        <v>17</v>
      </c>
      <c r="P1080" t="s">
        <v>60</v>
      </c>
      <c r="Q1080">
        <v>0</v>
      </c>
      <c r="R1080">
        <v>1</v>
      </c>
      <c r="S1080" s="2">
        <v>0</v>
      </c>
      <c r="T1080" s="4"/>
      <c r="U1080">
        <v>22</v>
      </c>
      <c r="V1080">
        <v>0</v>
      </c>
      <c r="W1080">
        <v>1</v>
      </c>
    </row>
    <row r="1081" spans="1:23" ht="16.5" x14ac:dyDescent="0.3">
      <c r="A1081" t="s">
        <v>1137</v>
      </c>
      <c r="B1081" s="1">
        <v>45451</v>
      </c>
      <c r="C1081">
        <v>2024</v>
      </c>
      <c r="D1081" t="s">
        <v>688</v>
      </c>
      <c r="E1081" t="s">
        <v>1096</v>
      </c>
      <c r="F1081" t="s">
        <v>50</v>
      </c>
      <c r="G1081" t="s">
        <v>51</v>
      </c>
      <c r="H1081" t="s">
        <v>34</v>
      </c>
      <c r="I1081" t="s">
        <v>42</v>
      </c>
      <c r="J1081" t="s">
        <v>52</v>
      </c>
      <c r="K1081" s="2">
        <v>3900</v>
      </c>
      <c r="L1081" s="2">
        <v>549000</v>
      </c>
      <c r="M1081">
        <v>240</v>
      </c>
      <c r="N1081" s="3">
        <v>1.028</v>
      </c>
      <c r="O1081" t="s">
        <v>125</v>
      </c>
      <c r="Q1081">
        <v>0</v>
      </c>
      <c r="R1081">
        <v>0</v>
      </c>
      <c r="S1081" s="2">
        <v>0</v>
      </c>
      <c r="T1081" s="4"/>
      <c r="U1081">
        <v>19</v>
      </c>
      <c r="V1081">
        <v>0</v>
      </c>
      <c r="W1081">
        <v>1</v>
      </c>
    </row>
    <row r="1082" spans="1:23" ht="16.5" x14ac:dyDescent="0.3">
      <c r="A1082" t="s">
        <v>1138</v>
      </c>
      <c r="B1082" s="1">
        <v>45452</v>
      </c>
      <c r="C1082">
        <v>2024</v>
      </c>
      <c r="D1082" t="s">
        <v>688</v>
      </c>
      <c r="E1082" t="s">
        <v>1096</v>
      </c>
      <c r="F1082" t="s">
        <v>50</v>
      </c>
      <c r="G1082" t="s">
        <v>51</v>
      </c>
      <c r="H1082" t="s">
        <v>34</v>
      </c>
      <c r="I1082" t="s">
        <v>39</v>
      </c>
      <c r="J1082" t="s">
        <v>52</v>
      </c>
      <c r="K1082" s="2">
        <v>5400</v>
      </c>
      <c r="L1082" s="2">
        <v>140500</v>
      </c>
      <c r="M1082">
        <v>240</v>
      </c>
      <c r="N1082" s="3">
        <v>0.24</v>
      </c>
      <c r="O1082" t="s">
        <v>16</v>
      </c>
      <c r="Q1082">
        <v>1</v>
      </c>
      <c r="R1082">
        <v>0</v>
      </c>
      <c r="S1082" s="2">
        <v>140500</v>
      </c>
      <c r="T1082" s="4">
        <v>4.99E-2</v>
      </c>
      <c r="U1082">
        <v>21</v>
      </c>
      <c r="V1082">
        <v>0</v>
      </c>
      <c r="W1082">
        <v>1</v>
      </c>
    </row>
    <row r="1083" spans="1:23" ht="16.5" x14ac:dyDescent="0.3">
      <c r="A1083" t="s">
        <v>1139</v>
      </c>
      <c r="B1083" s="1">
        <v>45452</v>
      </c>
      <c r="C1083">
        <v>2024</v>
      </c>
      <c r="D1083" t="s">
        <v>688</v>
      </c>
      <c r="E1083" t="s">
        <v>1096</v>
      </c>
      <c r="F1083" t="s">
        <v>50</v>
      </c>
      <c r="G1083" t="s">
        <v>45</v>
      </c>
      <c r="H1083" t="s">
        <v>38</v>
      </c>
      <c r="I1083" t="s">
        <v>39</v>
      </c>
      <c r="J1083" t="s">
        <v>30</v>
      </c>
      <c r="K1083" s="2">
        <v>6100</v>
      </c>
      <c r="L1083" s="2">
        <v>383500</v>
      </c>
      <c r="M1083">
        <v>180</v>
      </c>
      <c r="N1083" s="3">
        <v>0.71699999999999997</v>
      </c>
      <c r="O1083" t="s">
        <v>17</v>
      </c>
      <c r="P1083" t="s">
        <v>31</v>
      </c>
      <c r="Q1083">
        <v>0</v>
      </c>
      <c r="R1083">
        <v>1</v>
      </c>
      <c r="S1083" s="2">
        <v>0</v>
      </c>
      <c r="T1083" s="4"/>
      <c r="U1083">
        <v>15</v>
      </c>
      <c r="V1083">
        <v>1</v>
      </c>
      <c r="W1083">
        <v>1</v>
      </c>
    </row>
    <row r="1084" spans="1:23" ht="16.5" x14ac:dyDescent="0.3">
      <c r="A1084" t="s">
        <v>1140</v>
      </c>
      <c r="B1084" s="1">
        <v>45453</v>
      </c>
      <c r="C1084">
        <v>2024</v>
      </c>
      <c r="D1084" t="s">
        <v>688</v>
      </c>
      <c r="E1084" t="s">
        <v>1096</v>
      </c>
      <c r="F1084" t="s">
        <v>41</v>
      </c>
      <c r="G1084" t="s">
        <v>33</v>
      </c>
      <c r="H1084" t="s">
        <v>38</v>
      </c>
      <c r="I1084" t="s">
        <v>29</v>
      </c>
      <c r="J1084" t="s">
        <v>43</v>
      </c>
      <c r="K1084" s="2">
        <v>11000</v>
      </c>
      <c r="L1084" s="2">
        <v>40000</v>
      </c>
      <c r="M1084">
        <v>24</v>
      </c>
      <c r="N1084" s="3">
        <v>0.35399999999999998</v>
      </c>
      <c r="O1084" t="s">
        <v>16</v>
      </c>
      <c r="Q1084">
        <v>1</v>
      </c>
      <c r="R1084">
        <v>0</v>
      </c>
      <c r="S1084" s="2">
        <v>40000</v>
      </c>
      <c r="T1084" s="4">
        <v>0.14230000000000001</v>
      </c>
      <c r="U1084">
        <v>7</v>
      </c>
      <c r="V1084">
        <v>1</v>
      </c>
      <c r="W1084">
        <v>1</v>
      </c>
    </row>
    <row r="1085" spans="1:23" ht="16.5" x14ac:dyDescent="0.3">
      <c r="A1085" t="s">
        <v>1141</v>
      </c>
      <c r="B1085" s="1">
        <v>45453</v>
      </c>
      <c r="C1085">
        <v>2024</v>
      </c>
      <c r="D1085" t="s">
        <v>688</v>
      </c>
      <c r="E1085" t="s">
        <v>1096</v>
      </c>
      <c r="F1085" t="s">
        <v>50</v>
      </c>
      <c r="G1085" t="s">
        <v>45</v>
      </c>
      <c r="H1085" t="s">
        <v>38</v>
      </c>
      <c r="I1085" t="s">
        <v>29</v>
      </c>
      <c r="J1085" t="s">
        <v>46</v>
      </c>
      <c r="K1085" s="2">
        <v>2150</v>
      </c>
      <c r="L1085" s="2">
        <v>263500</v>
      </c>
      <c r="M1085">
        <v>180</v>
      </c>
      <c r="N1085" s="3">
        <v>1.135</v>
      </c>
      <c r="O1085" t="s">
        <v>16</v>
      </c>
      <c r="Q1085">
        <v>1</v>
      </c>
      <c r="R1085">
        <v>0</v>
      </c>
      <c r="S1085" s="2">
        <v>237000</v>
      </c>
      <c r="T1085" s="4">
        <v>4.3700000000000003E-2</v>
      </c>
      <c r="U1085">
        <v>8</v>
      </c>
      <c r="V1085">
        <v>1</v>
      </c>
      <c r="W1085">
        <v>1</v>
      </c>
    </row>
    <row r="1086" spans="1:23" ht="16.5" x14ac:dyDescent="0.3">
      <c r="A1086" t="s">
        <v>1142</v>
      </c>
      <c r="B1086" s="1">
        <v>45453</v>
      </c>
      <c r="C1086">
        <v>2024</v>
      </c>
      <c r="D1086" t="s">
        <v>688</v>
      </c>
      <c r="E1086" t="s">
        <v>1096</v>
      </c>
      <c r="F1086" t="s">
        <v>41</v>
      </c>
      <c r="G1086" t="s">
        <v>45</v>
      </c>
      <c r="H1086" t="s">
        <v>55</v>
      </c>
      <c r="I1086" t="s">
        <v>29</v>
      </c>
      <c r="J1086" t="s">
        <v>35</v>
      </c>
      <c r="K1086" s="2">
        <v>3650</v>
      </c>
      <c r="L1086" s="2">
        <v>90500</v>
      </c>
      <c r="M1086">
        <v>60</v>
      </c>
      <c r="N1086" s="3">
        <v>0.65200000000000002</v>
      </c>
      <c r="O1086" t="s">
        <v>125</v>
      </c>
      <c r="Q1086">
        <v>0</v>
      </c>
      <c r="R1086">
        <v>0</v>
      </c>
      <c r="S1086" s="2">
        <v>0</v>
      </c>
      <c r="T1086" s="4"/>
      <c r="U1086">
        <v>6</v>
      </c>
      <c r="V1086">
        <v>1</v>
      </c>
      <c r="W1086">
        <v>1</v>
      </c>
    </row>
    <row r="1087" spans="1:23" ht="16.5" x14ac:dyDescent="0.3">
      <c r="A1087" t="s">
        <v>1143</v>
      </c>
      <c r="B1087" s="1">
        <v>45453</v>
      </c>
      <c r="C1087">
        <v>2024</v>
      </c>
      <c r="D1087" t="s">
        <v>688</v>
      </c>
      <c r="E1087" t="s">
        <v>1096</v>
      </c>
      <c r="F1087" t="s">
        <v>37</v>
      </c>
      <c r="G1087" t="s">
        <v>51</v>
      </c>
      <c r="H1087" t="s">
        <v>55</v>
      </c>
      <c r="I1087" t="s">
        <v>29</v>
      </c>
      <c r="J1087" t="s">
        <v>35</v>
      </c>
      <c r="K1087" s="2">
        <v>9650</v>
      </c>
      <c r="L1087" s="2">
        <v>13500</v>
      </c>
      <c r="M1087">
        <v>60</v>
      </c>
      <c r="N1087" s="3">
        <v>0.25</v>
      </c>
      <c r="O1087" t="s">
        <v>16</v>
      </c>
      <c r="Q1087">
        <v>1</v>
      </c>
      <c r="R1087">
        <v>0</v>
      </c>
      <c r="S1087" s="2">
        <v>13500</v>
      </c>
      <c r="T1087" s="4">
        <v>0.1239</v>
      </c>
      <c r="U1087">
        <v>10</v>
      </c>
      <c r="V1087">
        <v>0</v>
      </c>
      <c r="W1087">
        <v>1</v>
      </c>
    </row>
    <row r="1088" spans="1:23" ht="16.5" x14ac:dyDescent="0.3">
      <c r="A1088" t="s">
        <v>1144</v>
      </c>
      <c r="B1088" s="1">
        <v>45453</v>
      </c>
      <c r="C1088">
        <v>2024</v>
      </c>
      <c r="D1088" t="s">
        <v>688</v>
      </c>
      <c r="E1088" t="s">
        <v>1096</v>
      </c>
      <c r="F1088" t="s">
        <v>37</v>
      </c>
      <c r="G1088" t="s">
        <v>33</v>
      </c>
      <c r="H1088" t="s">
        <v>55</v>
      </c>
      <c r="I1088" t="s">
        <v>42</v>
      </c>
      <c r="J1088" t="s">
        <v>43</v>
      </c>
      <c r="K1088" s="2">
        <v>8050</v>
      </c>
      <c r="L1088" s="2">
        <v>14000</v>
      </c>
      <c r="M1088">
        <v>12</v>
      </c>
      <c r="N1088" s="3">
        <v>0.371</v>
      </c>
      <c r="O1088" t="s">
        <v>17</v>
      </c>
      <c r="P1088" t="s">
        <v>31</v>
      </c>
      <c r="Q1088">
        <v>0</v>
      </c>
      <c r="R1088">
        <v>1</v>
      </c>
      <c r="S1088" s="2">
        <v>0</v>
      </c>
      <c r="T1088" s="4"/>
      <c r="U1088">
        <v>2</v>
      </c>
      <c r="V1088">
        <v>1</v>
      </c>
      <c r="W1088">
        <v>1</v>
      </c>
    </row>
    <row r="1089" spans="1:23" ht="16.5" x14ac:dyDescent="0.3">
      <c r="A1089" t="s">
        <v>1145</v>
      </c>
      <c r="B1089" s="1">
        <v>45453</v>
      </c>
      <c r="C1089">
        <v>2024</v>
      </c>
      <c r="D1089" t="s">
        <v>688</v>
      </c>
      <c r="E1089" t="s">
        <v>1096</v>
      </c>
      <c r="F1089" t="s">
        <v>50</v>
      </c>
      <c r="G1089" t="s">
        <v>45</v>
      </c>
      <c r="H1089" t="s">
        <v>34</v>
      </c>
      <c r="I1089" t="s">
        <v>39</v>
      </c>
      <c r="J1089" t="s">
        <v>30</v>
      </c>
      <c r="K1089" s="2">
        <v>8850</v>
      </c>
      <c r="L1089" s="2">
        <v>248500</v>
      </c>
      <c r="M1089">
        <v>180</v>
      </c>
      <c r="N1089" s="3">
        <v>0.44800000000000001</v>
      </c>
      <c r="O1089" t="s">
        <v>16</v>
      </c>
      <c r="Q1089">
        <v>1</v>
      </c>
      <c r="R1089">
        <v>0</v>
      </c>
      <c r="S1089" s="2">
        <v>248500</v>
      </c>
      <c r="T1089" s="4">
        <v>7.6899999999999996E-2</v>
      </c>
      <c r="U1089">
        <v>13</v>
      </c>
      <c r="V1089">
        <v>1</v>
      </c>
      <c r="W1089">
        <v>1</v>
      </c>
    </row>
    <row r="1090" spans="1:23" ht="16.5" x14ac:dyDescent="0.3">
      <c r="A1090" t="s">
        <v>1146</v>
      </c>
      <c r="B1090" s="1">
        <v>45453</v>
      </c>
      <c r="C1090">
        <v>2024</v>
      </c>
      <c r="D1090" t="s">
        <v>688</v>
      </c>
      <c r="E1090" t="s">
        <v>1096</v>
      </c>
      <c r="F1090" t="s">
        <v>37</v>
      </c>
      <c r="G1090" t="s">
        <v>45</v>
      </c>
      <c r="H1090" t="s">
        <v>38</v>
      </c>
      <c r="I1090" t="s">
        <v>29</v>
      </c>
      <c r="J1090" t="s">
        <v>35</v>
      </c>
      <c r="K1090" s="2">
        <v>1750</v>
      </c>
      <c r="L1090" s="2">
        <v>11500</v>
      </c>
      <c r="M1090">
        <v>60</v>
      </c>
      <c r="N1090" s="3">
        <v>0.23</v>
      </c>
      <c r="O1090" t="s">
        <v>16</v>
      </c>
      <c r="Q1090">
        <v>1</v>
      </c>
      <c r="R1090">
        <v>0</v>
      </c>
      <c r="S1090" s="2">
        <v>11500</v>
      </c>
      <c r="T1090" s="4">
        <v>0.1208</v>
      </c>
      <c r="U1090">
        <v>2</v>
      </c>
      <c r="V1090">
        <v>1</v>
      </c>
      <c r="W1090">
        <v>1</v>
      </c>
    </row>
    <row r="1091" spans="1:23" ht="16.5" x14ac:dyDescent="0.3">
      <c r="A1091" t="s">
        <v>1147</v>
      </c>
      <c r="B1091" s="1">
        <v>45453</v>
      </c>
      <c r="C1091">
        <v>2024</v>
      </c>
      <c r="D1091" t="s">
        <v>688</v>
      </c>
      <c r="E1091" t="s">
        <v>1096</v>
      </c>
      <c r="F1091" t="s">
        <v>50</v>
      </c>
      <c r="G1091" t="s">
        <v>51</v>
      </c>
      <c r="H1091" t="s">
        <v>28</v>
      </c>
      <c r="I1091" t="s">
        <v>29</v>
      </c>
      <c r="J1091" t="s">
        <v>52</v>
      </c>
      <c r="K1091" s="2">
        <v>6400</v>
      </c>
      <c r="L1091" s="2">
        <v>389500</v>
      </c>
      <c r="M1091">
        <v>240</v>
      </c>
      <c r="N1091" s="3">
        <v>0.60399999999999998</v>
      </c>
      <c r="O1091" t="s">
        <v>17</v>
      </c>
      <c r="P1091" t="s">
        <v>53</v>
      </c>
      <c r="Q1091">
        <v>0</v>
      </c>
      <c r="R1091">
        <v>1</v>
      </c>
      <c r="S1091" s="2">
        <v>0</v>
      </c>
      <c r="T1091" s="4"/>
      <c r="U1091">
        <v>15</v>
      </c>
      <c r="V1091">
        <v>1</v>
      </c>
      <c r="W1091">
        <v>1</v>
      </c>
    </row>
    <row r="1092" spans="1:23" ht="16.5" x14ac:dyDescent="0.3">
      <c r="A1092" t="s">
        <v>1148</v>
      </c>
      <c r="B1092" s="1">
        <v>45453</v>
      </c>
      <c r="C1092">
        <v>2024</v>
      </c>
      <c r="D1092" t="s">
        <v>688</v>
      </c>
      <c r="E1092" t="s">
        <v>1096</v>
      </c>
      <c r="F1092" t="s">
        <v>37</v>
      </c>
      <c r="G1092" t="s">
        <v>33</v>
      </c>
      <c r="H1092" t="s">
        <v>55</v>
      </c>
      <c r="I1092" t="s">
        <v>39</v>
      </c>
      <c r="J1092" t="s">
        <v>35</v>
      </c>
      <c r="K1092" s="2">
        <v>5400</v>
      </c>
      <c r="L1092" s="2">
        <v>8000</v>
      </c>
      <c r="M1092">
        <v>24</v>
      </c>
      <c r="N1092" s="3">
        <v>0.18099999999999999</v>
      </c>
      <c r="O1092" t="s">
        <v>16</v>
      </c>
      <c r="Q1092">
        <v>1</v>
      </c>
      <c r="R1092">
        <v>0</v>
      </c>
      <c r="S1092" s="2">
        <v>8000</v>
      </c>
      <c r="T1092" s="4">
        <v>0.1197</v>
      </c>
      <c r="U1092">
        <v>1</v>
      </c>
      <c r="V1092">
        <v>1</v>
      </c>
      <c r="W1092">
        <v>1</v>
      </c>
    </row>
    <row r="1093" spans="1:23" ht="16.5" x14ac:dyDescent="0.3">
      <c r="A1093" t="s">
        <v>1149</v>
      </c>
      <c r="B1093" s="1">
        <v>45453</v>
      </c>
      <c r="C1093">
        <v>2024</v>
      </c>
      <c r="D1093" t="s">
        <v>688</v>
      </c>
      <c r="E1093" t="s">
        <v>1096</v>
      </c>
      <c r="F1093" t="s">
        <v>37</v>
      </c>
      <c r="G1093" t="s">
        <v>51</v>
      </c>
      <c r="H1093" t="s">
        <v>64</v>
      </c>
      <c r="I1093" t="s">
        <v>39</v>
      </c>
      <c r="J1093" t="s">
        <v>35</v>
      </c>
      <c r="K1093" s="2">
        <v>9800</v>
      </c>
      <c r="L1093" s="2">
        <v>4500</v>
      </c>
      <c r="M1093">
        <v>24</v>
      </c>
      <c r="N1093" s="3">
        <v>0.25</v>
      </c>
      <c r="O1093" t="s">
        <v>17</v>
      </c>
      <c r="P1093" t="s">
        <v>65</v>
      </c>
      <c r="Q1093">
        <v>0</v>
      </c>
      <c r="R1093">
        <v>1</v>
      </c>
      <c r="S1093" s="2">
        <v>0</v>
      </c>
      <c r="T1093" s="4"/>
      <c r="U1093">
        <v>5</v>
      </c>
      <c r="V1093">
        <v>0</v>
      </c>
      <c r="W1093">
        <v>1</v>
      </c>
    </row>
    <row r="1094" spans="1:23" ht="16.5" x14ac:dyDescent="0.3">
      <c r="A1094" t="s">
        <v>1150</v>
      </c>
      <c r="B1094" s="1">
        <v>45454</v>
      </c>
      <c r="C1094">
        <v>2024</v>
      </c>
      <c r="D1094" t="s">
        <v>688</v>
      </c>
      <c r="E1094" t="s">
        <v>1096</v>
      </c>
      <c r="F1094" t="s">
        <v>26</v>
      </c>
      <c r="G1094" t="s">
        <v>33</v>
      </c>
      <c r="H1094" t="s">
        <v>38</v>
      </c>
      <c r="I1094" t="s">
        <v>29</v>
      </c>
      <c r="J1094" t="s">
        <v>43</v>
      </c>
      <c r="K1094" s="2">
        <v>3900</v>
      </c>
      <c r="L1094" s="2">
        <v>14500</v>
      </c>
      <c r="M1094">
        <v>60</v>
      </c>
      <c r="N1094" s="3">
        <v>0.317</v>
      </c>
      <c r="O1094" t="s">
        <v>17</v>
      </c>
      <c r="P1094" t="s">
        <v>31</v>
      </c>
      <c r="Q1094">
        <v>0</v>
      </c>
      <c r="R1094">
        <v>1</v>
      </c>
      <c r="S1094" s="2">
        <v>0</v>
      </c>
      <c r="T1094" s="4"/>
      <c r="U1094">
        <v>2</v>
      </c>
      <c r="V1094">
        <v>1</v>
      </c>
      <c r="W1094">
        <v>1</v>
      </c>
    </row>
    <row r="1095" spans="1:23" ht="16.5" x14ac:dyDescent="0.3">
      <c r="A1095" t="s">
        <v>1151</v>
      </c>
      <c r="B1095" s="1">
        <v>45454</v>
      </c>
      <c r="C1095">
        <v>2024</v>
      </c>
      <c r="D1095" t="s">
        <v>688</v>
      </c>
      <c r="E1095" t="s">
        <v>1096</v>
      </c>
      <c r="F1095" t="s">
        <v>50</v>
      </c>
      <c r="G1095" t="s">
        <v>51</v>
      </c>
      <c r="H1095" t="s">
        <v>64</v>
      </c>
      <c r="I1095" t="s">
        <v>39</v>
      </c>
      <c r="J1095" t="s">
        <v>30</v>
      </c>
      <c r="K1095" s="2">
        <v>6050</v>
      </c>
      <c r="L1095" s="2">
        <v>208500</v>
      </c>
      <c r="M1095">
        <v>240</v>
      </c>
      <c r="N1095" s="3">
        <v>0.42399999999999999</v>
      </c>
      <c r="O1095" t="s">
        <v>17</v>
      </c>
      <c r="P1095" t="s">
        <v>31</v>
      </c>
      <c r="Q1095">
        <v>0</v>
      </c>
      <c r="R1095">
        <v>1</v>
      </c>
      <c r="S1095" s="2">
        <v>0</v>
      </c>
      <c r="T1095" s="4"/>
      <c r="U1095">
        <v>14</v>
      </c>
      <c r="V1095">
        <v>1</v>
      </c>
      <c r="W1095">
        <v>1</v>
      </c>
    </row>
    <row r="1096" spans="1:23" ht="16.5" x14ac:dyDescent="0.3">
      <c r="A1096" t="s">
        <v>1152</v>
      </c>
      <c r="B1096" s="1">
        <v>45454</v>
      </c>
      <c r="C1096">
        <v>2024</v>
      </c>
      <c r="D1096" t="s">
        <v>688</v>
      </c>
      <c r="E1096" t="s">
        <v>1096</v>
      </c>
      <c r="F1096" t="s">
        <v>50</v>
      </c>
      <c r="G1096" t="s">
        <v>45</v>
      </c>
      <c r="H1096" t="s">
        <v>34</v>
      </c>
      <c r="I1096" t="s">
        <v>42</v>
      </c>
      <c r="J1096" t="s">
        <v>43</v>
      </c>
      <c r="K1096" s="2">
        <v>11250</v>
      </c>
      <c r="L1096" s="2">
        <v>340500</v>
      </c>
      <c r="M1096">
        <v>300</v>
      </c>
      <c r="N1096" s="3">
        <v>0.41099999999999998</v>
      </c>
      <c r="O1096" t="s">
        <v>17</v>
      </c>
      <c r="P1096" t="s">
        <v>31</v>
      </c>
      <c r="Q1096">
        <v>0</v>
      </c>
      <c r="R1096">
        <v>1</v>
      </c>
      <c r="S1096" s="2">
        <v>0</v>
      </c>
      <c r="T1096" s="4"/>
      <c r="U1096">
        <v>18</v>
      </c>
      <c r="V1096">
        <v>0</v>
      </c>
      <c r="W1096">
        <v>1</v>
      </c>
    </row>
    <row r="1097" spans="1:23" ht="16.5" x14ac:dyDescent="0.3">
      <c r="A1097" t="s">
        <v>1153</v>
      </c>
      <c r="B1097" s="1">
        <v>45455</v>
      </c>
      <c r="C1097">
        <v>2024</v>
      </c>
      <c r="D1097" t="s">
        <v>688</v>
      </c>
      <c r="E1097" t="s">
        <v>1096</v>
      </c>
      <c r="F1097" t="s">
        <v>26</v>
      </c>
      <c r="G1097" t="s">
        <v>51</v>
      </c>
      <c r="H1097" t="s">
        <v>28</v>
      </c>
      <c r="I1097" t="s">
        <v>39</v>
      </c>
      <c r="J1097" t="s">
        <v>30</v>
      </c>
      <c r="K1097" s="2">
        <v>5450</v>
      </c>
      <c r="L1097" s="2">
        <v>27500</v>
      </c>
      <c r="M1097">
        <v>36</v>
      </c>
      <c r="N1097" s="3">
        <v>0.4</v>
      </c>
      <c r="O1097" t="s">
        <v>17</v>
      </c>
      <c r="P1097" t="s">
        <v>31</v>
      </c>
      <c r="Q1097">
        <v>0</v>
      </c>
      <c r="R1097">
        <v>1</v>
      </c>
      <c r="S1097" s="2">
        <v>0</v>
      </c>
      <c r="T1097" s="4"/>
      <c r="U1097">
        <v>5</v>
      </c>
      <c r="V1097">
        <v>0</v>
      </c>
      <c r="W1097">
        <v>1</v>
      </c>
    </row>
    <row r="1098" spans="1:23" ht="16.5" x14ac:dyDescent="0.3">
      <c r="A1098" t="s">
        <v>1154</v>
      </c>
      <c r="B1098" s="1">
        <v>45455</v>
      </c>
      <c r="C1098">
        <v>2024</v>
      </c>
      <c r="D1098" t="s">
        <v>688</v>
      </c>
      <c r="E1098" t="s">
        <v>1096</v>
      </c>
      <c r="F1098" t="s">
        <v>50</v>
      </c>
      <c r="G1098" t="s">
        <v>33</v>
      </c>
      <c r="H1098" t="s">
        <v>28</v>
      </c>
      <c r="I1098" t="s">
        <v>29</v>
      </c>
      <c r="J1098" t="s">
        <v>30</v>
      </c>
      <c r="K1098" s="2">
        <v>3700</v>
      </c>
      <c r="L1098" s="2">
        <v>174000</v>
      </c>
      <c r="M1098">
        <v>180</v>
      </c>
      <c r="N1098" s="3">
        <v>0.42799999999999999</v>
      </c>
      <c r="O1098" t="s">
        <v>17</v>
      </c>
      <c r="P1098" t="s">
        <v>48</v>
      </c>
      <c r="Q1098">
        <v>0</v>
      </c>
      <c r="R1098">
        <v>1</v>
      </c>
      <c r="S1098" s="2">
        <v>0</v>
      </c>
      <c r="T1098" s="4"/>
      <c r="U1098">
        <v>7</v>
      </c>
      <c r="V1098">
        <v>1</v>
      </c>
      <c r="W1098">
        <v>1</v>
      </c>
    </row>
    <row r="1099" spans="1:23" ht="16.5" x14ac:dyDescent="0.3">
      <c r="A1099" t="s">
        <v>1155</v>
      </c>
      <c r="B1099" s="1">
        <v>45455</v>
      </c>
      <c r="C1099">
        <v>2024</v>
      </c>
      <c r="D1099" t="s">
        <v>688</v>
      </c>
      <c r="E1099" t="s">
        <v>1096</v>
      </c>
      <c r="F1099" t="s">
        <v>37</v>
      </c>
      <c r="G1099" t="s">
        <v>27</v>
      </c>
      <c r="H1099" t="s">
        <v>38</v>
      </c>
      <c r="I1099" t="s">
        <v>29</v>
      </c>
      <c r="J1099" t="s">
        <v>52</v>
      </c>
      <c r="K1099" s="2">
        <v>5900</v>
      </c>
      <c r="L1099" s="2">
        <v>13000</v>
      </c>
      <c r="M1099">
        <v>48</v>
      </c>
      <c r="N1099" s="3">
        <v>0.24</v>
      </c>
      <c r="O1099" t="s">
        <v>16</v>
      </c>
      <c r="Q1099">
        <v>1</v>
      </c>
      <c r="R1099">
        <v>0</v>
      </c>
      <c r="S1099" s="2">
        <v>13000</v>
      </c>
      <c r="T1099" s="4">
        <v>0.11169999999999999</v>
      </c>
      <c r="U1099">
        <v>3</v>
      </c>
      <c r="V1099">
        <v>1</v>
      </c>
      <c r="W1099">
        <v>1</v>
      </c>
    </row>
    <row r="1100" spans="1:23" ht="16.5" x14ac:dyDescent="0.3">
      <c r="A1100" t="s">
        <v>1156</v>
      </c>
      <c r="B1100" s="1">
        <v>45456</v>
      </c>
      <c r="C1100">
        <v>2024</v>
      </c>
      <c r="D1100" t="s">
        <v>688</v>
      </c>
      <c r="E1100" t="s">
        <v>1096</v>
      </c>
      <c r="F1100" t="s">
        <v>37</v>
      </c>
      <c r="G1100" t="s">
        <v>27</v>
      </c>
      <c r="H1100" t="s">
        <v>34</v>
      </c>
      <c r="I1100" t="s">
        <v>42</v>
      </c>
      <c r="J1100" t="s">
        <v>35</v>
      </c>
      <c r="K1100" s="2">
        <v>5250</v>
      </c>
      <c r="L1100" s="2">
        <v>12500</v>
      </c>
      <c r="M1100">
        <v>36</v>
      </c>
      <c r="N1100" s="3">
        <v>0.28199999999999997</v>
      </c>
      <c r="O1100" t="s">
        <v>16</v>
      </c>
      <c r="Q1100">
        <v>1</v>
      </c>
      <c r="R1100">
        <v>0</v>
      </c>
      <c r="S1100" s="2">
        <v>12500</v>
      </c>
      <c r="T1100" s="4">
        <v>0.128</v>
      </c>
      <c r="U1100">
        <v>8</v>
      </c>
      <c r="V1100">
        <v>0</v>
      </c>
      <c r="W1100">
        <v>1</v>
      </c>
    </row>
    <row r="1101" spans="1:23" ht="16.5" x14ac:dyDescent="0.3">
      <c r="A1101" t="s">
        <v>1157</v>
      </c>
      <c r="B1101" s="1">
        <v>45456</v>
      </c>
      <c r="C1101">
        <v>2024</v>
      </c>
      <c r="D1101" t="s">
        <v>688</v>
      </c>
      <c r="E1101" t="s">
        <v>1096</v>
      </c>
      <c r="F1101" t="s">
        <v>26</v>
      </c>
      <c r="G1101" t="s">
        <v>51</v>
      </c>
      <c r="H1101" t="s">
        <v>34</v>
      </c>
      <c r="I1101" t="s">
        <v>29</v>
      </c>
      <c r="J1101" t="s">
        <v>35</v>
      </c>
      <c r="K1101" s="2">
        <v>2700</v>
      </c>
      <c r="L1101" s="2">
        <v>13000</v>
      </c>
      <c r="M1101">
        <v>60</v>
      </c>
      <c r="N1101" s="3">
        <v>0.156</v>
      </c>
      <c r="O1101" t="s">
        <v>16</v>
      </c>
      <c r="Q1101">
        <v>1</v>
      </c>
      <c r="R1101">
        <v>0</v>
      </c>
      <c r="S1101" s="2">
        <v>13000</v>
      </c>
      <c r="T1101" s="4">
        <v>7.9600000000000004E-2</v>
      </c>
      <c r="U1101">
        <v>9</v>
      </c>
      <c r="V1101">
        <v>0</v>
      </c>
      <c r="W1101">
        <v>1</v>
      </c>
    </row>
    <row r="1102" spans="1:23" ht="16.5" x14ac:dyDescent="0.3">
      <c r="A1102" t="s">
        <v>1158</v>
      </c>
      <c r="B1102" s="1">
        <v>45456</v>
      </c>
      <c r="C1102">
        <v>2024</v>
      </c>
      <c r="D1102" t="s">
        <v>688</v>
      </c>
      <c r="E1102" t="s">
        <v>1096</v>
      </c>
      <c r="F1102" t="s">
        <v>37</v>
      </c>
      <c r="G1102" t="s">
        <v>51</v>
      </c>
      <c r="H1102" t="s">
        <v>55</v>
      </c>
      <c r="I1102" t="s">
        <v>29</v>
      </c>
      <c r="J1102" t="s">
        <v>43</v>
      </c>
      <c r="K1102" s="2">
        <v>8350</v>
      </c>
      <c r="L1102" s="2">
        <v>14500</v>
      </c>
      <c r="M1102">
        <v>60</v>
      </c>
      <c r="N1102" s="3">
        <v>0.14399999999999999</v>
      </c>
      <c r="O1102" t="s">
        <v>17</v>
      </c>
      <c r="P1102" t="s">
        <v>31</v>
      </c>
      <c r="Q1102">
        <v>0</v>
      </c>
      <c r="R1102">
        <v>1</v>
      </c>
      <c r="S1102" s="2">
        <v>0</v>
      </c>
      <c r="T1102" s="4"/>
      <c r="U1102">
        <v>4</v>
      </c>
      <c r="V1102">
        <v>0</v>
      </c>
      <c r="W1102">
        <v>1</v>
      </c>
    </row>
    <row r="1103" spans="1:23" ht="16.5" x14ac:dyDescent="0.3">
      <c r="A1103" t="s">
        <v>1159</v>
      </c>
      <c r="B1103" s="1">
        <v>45456</v>
      </c>
      <c r="C1103">
        <v>2024</v>
      </c>
      <c r="D1103" t="s">
        <v>688</v>
      </c>
      <c r="E1103" t="s">
        <v>1096</v>
      </c>
      <c r="F1103" t="s">
        <v>41</v>
      </c>
      <c r="G1103" t="s">
        <v>27</v>
      </c>
      <c r="H1103" t="s">
        <v>28</v>
      </c>
      <c r="I1103" t="s">
        <v>42</v>
      </c>
      <c r="J1103" t="s">
        <v>35</v>
      </c>
      <c r="K1103" s="2">
        <v>3850</v>
      </c>
      <c r="L1103" s="2">
        <v>102000</v>
      </c>
      <c r="M1103">
        <v>36</v>
      </c>
      <c r="N1103" s="3">
        <v>0.92100000000000004</v>
      </c>
      <c r="O1103" t="s">
        <v>16</v>
      </c>
      <c r="Q1103">
        <v>1</v>
      </c>
      <c r="R1103">
        <v>0</v>
      </c>
      <c r="S1103" s="2">
        <v>92000</v>
      </c>
      <c r="T1103" s="4">
        <v>0.112</v>
      </c>
      <c r="U1103">
        <v>10</v>
      </c>
      <c r="V1103">
        <v>1</v>
      </c>
      <c r="W1103">
        <v>1</v>
      </c>
    </row>
    <row r="1104" spans="1:23" ht="16.5" x14ac:dyDescent="0.3">
      <c r="A1104" t="s">
        <v>1160</v>
      </c>
      <c r="B1104" s="1">
        <v>45456</v>
      </c>
      <c r="C1104">
        <v>2024</v>
      </c>
      <c r="D1104" t="s">
        <v>688</v>
      </c>
      <c r="E1104" t="s">
        <v>1096</v>
      </c>
      <c r="F1104" t="s">
        <v>37</v>
      </c>
      <c r="G1104" t="s">
        <v>45</v>
      </c>
      <c r="H1104" t="s">
        <v>34</v>
      </c>
      <c r="I1104" t="s">
        <v>39</v>
      </c>
      <c r="J1104" t="s">
        <v>30</v>
      </c>
      <c r="K1104" s="2">
        <v>6600</v>
      </c>
      <c r="L1104" s="2">
        <v>21000</v>
      </c>
      <c r="M1104">
        <v>48</v>
      </c>
      <c r="N1104" s="3">
        <v>0.151</v>
      </c>
      <c r="O1104" t="s">
        <v>17</v>
      </c>
      <c r="P1104" t="s">
        <v>31</v>
      </c>
      <c r="Q1104">
        <v>0</v>
      </c>
      <c r="R1104">
        <v>1</v>
      </c>
      <c r="S1104" s="2">
        <v>0</v>
      </c>
      <c r="T1104" s="4"/>
      <c r="U1104">
        <v>2</v>
      </c>
      <c r="V1104">
        <v>1</v>
      </c>
      <c r="W1104">
        <v>1</v>
      </c>
    </row>
    <row r="1105" spans="1:23" ht="16.5" x14ac:dyDescent="0.3">
      <c r="A1105" t="s">
        <v>1161</v>
      </c>
      <c r="B1105" s="1">
        <v>45457</v>
      </c>
      <c r="C1105">
        <v>2024</v>
      </c>
      <c r="D1105" t="s">
        <v>688</v>
      </c>
      <c r="E1105" t="s">
        <v>1096</v>
      </c>
      <c r="F1105" t="s">
        <v>37</v>
      </c>
      <c r="G1105" t="s">
        <v>51</v>
      </c>
      <c r="H1105" t="s">
        <v>55</v>
      </c>
      <c r="I1105" t="s">
        <v>39</v>
      </c>
      <c r="J1105" t="s">
        <v>52</v>
      </c>
      <c r="K1105" s="2">
        <v>6500</v>
      </c>
      <c r="L1105" s="2">
        <v>27500</v>
      </c>
      <c r="M1105">
        <v>12</v>
      </c>
      <c r="N1105" s="3">
        <v>0.51800000000000002</v>
      </c>
      <c r="O1105" t="s">
        <v>16</v>
      </c>
      <c r="Q1105">
        <v>1</v>
      </c>
      <c r="R1105">
        <v>0</v>
      </c>
      <c r="S1105" s="2">
        <v>25000</v>
      </c>
      <c r="T1105" s="4">
        <v>0.11600000000000001</v>
      </c>
      <c r="U1105">
        <v>8</v>
      </c>
      <c r="V1105">
        <v>0</v>
      </c>
      <c r="W1105">
        <v>1</v>
      </c>
    </row>
    <row r="1106" spans="1:23" ht="16.5" x14ac:dyDescent="0.3">
      <c r="A1106" t="s">
        <v>1162</v>
      </c>
      <c r="B1106" s="1">
        <v>45457</v>
      </c>
      <c r="C1106">
        <v>2024</v>
      </c>
      <c r="D1106" t="s">
        <v>688</v>
      </c>
      <c r="E1106" t="s">
        <v>1096</v>
      </c>
      <c r="F1106" t="s">
        <v>50</v>
      </c>
      <c r="G1106" t="s">
        <v>45</v>
      </c>
      <c r="H1106" t="s">
        <v>38</v>
      </c>
      <c r="I1106" t="s">
        <v>29</v>
      </c>
      <c r="J1106" t="s">
        <v>35</v>
      </c>
      <c r="K1106" s="2">
        <v>5150</v>
      </c>
      <c r="L1106" s="2">
        <v>235500</v>
      </c>
      <c r="M1106">
        <v>300</v>
      </c>
      <c r="N1106" s="3">
        <v>0.50900000000000001</v>
      </c>
      <c r="O1106" t="s">
        <v>17</v>
      </c>
      <c r="P1106" t="s">
        <v>53</v>
      </c>
      <c r="Q1106">
        <v>0</v>
      </c>
      <c r="R1106">
        <v>1</v>
      </c>
      <c r="S1106" s="2">
        <v>0</v>
      </c>
      <c r="T1106" s="4"/>
      <c r="U1106">
        <v>8</v>
      </c>
      <c r="V1106">
        <v>1</v>
      </c>
      <c r="W1106">
        <v>1</v>
      </c>
    </row>
    <row r="1107" spans="1:23" ht="16.5" x14ac:dyDescent="0.3">
      <c r="A1107" t="s">
        <v>1163</v>
      </c>
      <c r="B1107" s="1">
        <v>45457</v>
      </c>
      <c r="C1107">
        <v>2024</v>
      </c>
      <c r="D1107" t="s">
        <v>688</v>
      </c>
      <c r="E1107" t="s">
        <v>1096</v>
      </c>
      <c r="F1107" t="s">
        <v>37</v>
      </c>
      <c r="G1107" t="s">
        <v>33</v>
      </c>
      <c r="H1107" t="s">
        <v>64</v>
      </c>
      <c r="I1107" t="s">
        <v>29</v>
      </c>
      <c r="J1107" t="s">
        <v>35</v>
      </c>
      <c r="K1107" s="2">
        <v>5750</v>
      </c>
      <c r="L1107" s="2">
        <v>9500</v>
      </c>
      <c r="M1107">
        <v>24</v>
      </c>
      <c r="N1107" s="3">
        <v>0.159</v>
      </c>
      <c r="O1107" t="s">
        <v>17</v>
      </c>
      <c r="P1107" t="s">
        <v>60</v>
      </c>
      <c r="Q1107">
        <v>0</v>
      </c>
      <c r="R1107">
        <v>1</v>
      </c>
      <c r="S1107" s="2">
        <v>0</v>
      </c>
      <c r="T1107" s="4"/>
      <c r="U1107">
        <v>4</v>
      </c>
      <c r="V1107">
        <v>0</v>
      </c>
      <c r="W1107">
        <v>1</v>
      </c>
    </row>
    <row r="1108" spans="1:23" ht="16.5" x14ac:dyDescent="0.3">
      <c r="A1108" t="s">
        <v>1164</v>
      </c>
      <c r="B1108" s="1">
        <v>45457</v>
      </c>
      <c r="C1108">
        <v>2024</v>
      </c>
      <c r="D1108" t="s">
        <v>688</v>
      </c>
      <c r="E1108" t="s">
        <v>1096</v>
      </c>
      <c r="F1108" t="s">
        <v>37</v>
      </c>
      <c r="G1108" t="s">
        <v>51</v>
      </c>
      <c r="H1108" t="s">
        <v>38</v>
      </c>
      <c r="I1108" t="s">
        <v>39</v>
      </c>
      <c r="J1108" t="s">
        <v>52</v>
      </c>
      <c r="K1108" s="2">
        <v>4850</v>
      </c>
      <c r="L1108" s="2">
        <v>7500</v>
      </c>
      <c r="M1108">
        <v>48</v>
      </c>
      <c r="N1108" s="3">
        <v>0.184</v>
      </c>
      <c r="O1108" t="s">
        <v>16</v>
      </c>
      <c r="Q1108">
        <v>1</v>
      </c>
      <c r="R1108">
        <v>0</v>
      </c>
      <c r="S1108" s="2">
        <v>7500</v>
      </c>
      <c r="T1108" s="4">
        <v>0.1115</v>
      </c>
      <c r="U1108">
        <v>5</v>
      </c>
      <c r="V1108">
        <v>0</v>
      </c>
      <c r="W1108">
        <v>1</v>
      </c>
    </row>
    <row r="1109" spans="1:23" ht="16.5" x14ac:dyDescent="0.3">
      <c r="A1109" t="s">
        <v>1165</v>
      </c>
      <c r="B1109" s="1">
        <v>45457</v>
      </c>
      <c r="C1109">
        <v>2024</v>
      </c>
      <c r="D1109" t="s">
        <v>688</v>
      </c>
      <c r="E1109" t="s">
        <v>1096</v>
      </c>
      <c r="F1109" t="s">
        <v>37</v>
      </c>
      <c r="G1109" t="s">
        <v>45</v>
      </c>
      <c r="H1109" t="s">
        <v>38</v>
      </c>
      <c r="I1109" t="s">
        <v>39</v>
      </c>
      <c r="J1109" t="s">
        <v>35</v>
      </c>
      <c r="K1109" s="2">
        <v>5800</v>
      </c>
      <c r="L1109" s="2">
        <v>21500</v>
      </c>
      <c r="M1109">
        <v>12</v>
      </c>
      <c r="N1109" s="3">
        <v>0.52100000000000002</v>
      </c>
      <c r="O1109" t="s">
        <v>16</v>
      </c>
      <c r="Q1109">
        <v>1</v>
      </c>
      <c r="R1109">
        <v>0</v>
      </c>
      <c r="S1109" s="2">
        <v>19500</v>
      </c>
      <c r="T1109" s="4">
        <v>0.12379999999999999</v>
      </c>
      <c r="U1109">
        <v>2</v>
      </c>
      <c r="V1109">
        <v>1</v>
      </c>
      <c r="W1109">
        <v>1</v>
      </c>
    </row>
    <row r="1110" spans="1:23" ht="16.5" x14ac:dyDescent="0.3">
      <c r="A1110" t="s">
        <v>1166</v>
      </c>
      <c r="B1110" s="1">
        <v>45457</v>
      </c>
      <c r="C1110">
        <v>2024</v>
      </c>
      <c r="D1110" t="s">
        <v>688</v>
      </c>
      <c r="E1110" t="s">
        <v>1096</v>
      </c>
      <c r="F1110" t="s">
        <v>37</v>
      </c>
      <c r="G1110" t="s">
        <v>27</v>
      </c>
      <c r="H1110" t="s">
        <v>64</v>
      </c>
      <c r="I1110" t="s">
        <v>42</v>
      </c>
      <c r="J1110" t="s">
        <v>52</v>
      </c>
      <c r="K1110" s="2">
        <v>15650</v>
      </c>
      <c r="L1110" s="2">
        <v>47000</v>
      </c>
      <c r="M1110">
        <v>60</v>
      </c>
      <c r="N1110" s="3">
        <v>0.26500000000000001</v>
      </c>
      <c r="O1110" t="s">
        <v>16</v>
      </c>
      <c r="Q1110">
        <v>1</v>
      </c>
      <c r="R1110">
        <v>0</v>
      </c>
      <c r="S1110" s="2">
        <v>47000</v>
      </c>
      <c r="T1110" s="4">
        <v>0.11210000000000001</v>
      </c>
      <c r="U1110">
        <v>3</v>
      </c>
      <c r="V1110">
        <v>1</v>
      </c>
      <c r="W1110">
        <v>1</v>
      </c>
    </row>
    <row r="1111" spans="1:23" ht="16.5" x14ac:dyDescent="0.3">
      <c r="A1111" t="s">
        <v>1167</v>
      </c>
      <c r="B1111" s="1">
        <v>45457</v>
      </c>
      <c r="C1111">
        <v>2024</v>
      </c>
      <c r="D1111" t="s">
        <v>688</v>
      </c>
      <c r="E1111" t="s">
        <v>1096</v>
      </c>
      <c r="F1111" t="s">
        <v>50</v>
      </c>
      <c r="G1111" t="s">
        <v>45</v>
      </c>
      <c r="H1111" t="s">
        <v>38</v>
      </c>
      <c r="I1111" t="s">
        <v>42</v>
      </c>
      <c r="J1111" t="s">
        <v>35</v>
      </c>
      <c r="K1111" s="2">
        <v>3900</v>
      </c>
      <c r="L1111" s="2">
        <v>280000</v>
      </c>
      <c r="M1111">
        <v>300</v>
      </c>
      <c r="N1111" s="3">
        <v>0.48799999999999999</v>
      </c>
      <c r="O1111" t="s">
        <v>16</v>
      </c>
      <c r="Q1111">
        <v>1</v>
      </c>
      <c r="R1111">
        <v>0</v>
      </c>
      <c r="S1111" s="2">
        <v>280000</v>
      </c>
      <c r="T1111" s="4">
        <v>5.74E-2</v>
      </c>
      <c r="U1111">
        <v>6</v>
      </c>
      <c r="V1111">
        <v>1</v>
      </c>
      <c r="W1111">
        <v>1</v>
      </c>
    </row>
    <row r="1112" spans="1:23" ht="16.5" x14ac:dyDescent="0.3">
      <c r="A1112" t="s">
        <v>1168</v>
      </c>
      <c r="B1112" s="1">
        <v>45458</v>
      </c>
      <c r="C1112">
        <v>2024</v>
      </c>
      <c r="D1112" t="s">
        <v>688</v>
      </c>
      <c r="E1112" t="s">
        <v>1096</v>
      </c>
      <c r="F1112" t="s">
        <v>41</v>
      </c>
      <c r="G1112" t="s">
        <v>51</v>
      </c>
      <c r="H1112" t="s">
        <v>38</v>
      </c>
      <c r="I1112" t="s">
        <v>39</v>
      </c>
      <c r="J1112" t="s">
        <v>43</v>
      </c>
      <c r="K1112" s="2">
        <v>3700</v>
      </c>
      <c r="L1112" s="2">
        <v>35000</v>
      </c>
      <c r="M1112">
        <v>60</v>
      </c>
      <c r="N1112" s="3">
        <v>0.33</v>
      </c>
      <c r="O1112" t="s">
        <v>17</v>
      </c>
      <c r="P1112" t="s">
        <v>65</v>
      </c>
      <c r="Q1112">
        <v>0</v>
      </c>
      <c r="R1112">
        <v>1</v>
      </c>
      <c r="S1112" s="2">
        <v>0</v>
      </c>
      <c r="T1112" s="4"/>
      <c r="U1112">
        <v>12</v>
      </c>
      <c r="V1112">
        <v>0</v>
      </c>
      <c r="W1112">
        <v>1</v>
      </c>
    </row>
    <row r="1113" spans="1:23" ht="16.5" x14ac:dyDescent="0.3">
      <c r="A1113" t="s">
        <v>1169</v>
      </c>
      <c r="B1113" s="1">
        <v>45458</v>
      </c>
      <c r="C1113">
        <v>2024</v>
      </c>
      <c r="D1113" t="s">
        <v>688</v>
      </c>
      <c r="E1113" t="s">
        <v>1096</v>
      </c>
      <c r="F1113" t="s">
        <v>37</v>
      </c>
      <c r="G1113" t="s">
        <v>27</v>
      </c>
      <c r="H1113" t="s">
        <v>55</v>
      </c>
      <c r="I1113" t="s">
        <v>29</v>
      </c>
      <c r="J1113" t="s">
        <v>35</v>
      </c>
      <c r="K1113" s="2">
        <v>4200</v>
      </c>
      <c r="L1113" s="2">
        <v>9000</v>
      </c>
      <c r="M1113">
        <v>60</v>
      </c>
      <c r="N1113" s="3">
        <v>0.26100000000000001</v>
      </c>
      <c r="O1113" t="s">
        <v>16</v>
      </c>
      <c r="Q1113">
        <v>1</v>
      </c>
      <c r="R1113">
        <v>0</v>
      </c>
      <c r="S1113" s="2">
        <v>7000</v>
      </c>
      <c r="T1113" s="4">
        <v>0.1283</v>
      </c>
      <c r="U1113">
        <v>4</v>
      </c>
      <c r="V1113">
        <v>0</v>
      </c>
      <c r="W1113">
        <v>1</v>
      </c>
    </row>
    <row r="1114" spans="1:23" ht="16.5" x14ac:dyDescent="0.3">
      <c r="A1114" t="s">
        <v>1170</v>
      </c>
      <c r="B1114" s="1">
        <v>45458</v>
      </c>
      <c r="C1114">
        <v>2024</v>
      </c>
      <c r="D1114" t="s">
        <v>688</v>
      </c>
      <c r="E1114" t="s">
        <v>1096</v>
      </c>
      <c r="F1114" t="s">
        <v>37</v>
      </c>
      <c r="G1114" t="s">
        <v>33</v>
      </c>
      <c r="H1114" t="s">
        <v>38</v>
      </c>
      <c r="I1114" t="s">
        <v>29</v>
      </c>
      <c r="J1114" t="s">
        <v>35</v>
      </c>
      <c r="K1114" s="2">
        <v>3200</v>
      </c>
      <c r="L1114" s="2">
        <v>21500</v>
      </c>
      <c r="M1114">
        <v>48</v>
      </c>
      <c r="N1114" s="3">
        <v>0.40100000000000002</v>
      </c>
      <c r="O1114" t="s">
        <v>17</v>
      </c>
      <c r="P1114" t="s">
        <v>31</v>
      </c>
      <c r="Q1114">
        <v>0</v>
      </c>
      <c r="R1114">
        <v>1</v>
      </c>
      <c r="S1114" s="2">
        <v>0</v>
      </c>
      <c r="T1114" s="4"/>
      <c r="U1114">
        <v>2</v>
      </c>
      <c r="V1114">
        <v>1</v>
      </c>
      <c r="W1114">
        <v>1</v>
      </c>
    </row>
    <row r="1115" spans="1:23" ht="16.5" x14ac:dyDescent="0.3">
      <c r="A1115" t="s">
        <v>1171</v>
      </c>
      <c r="B1115" s="1">
        <v>45458</v>
      </c>
      <c r="C1115">
        <v>2024</v>
      </c>
      <c r="D1115" t="s">
        <v>688</v>
      </c>
      <c r="E1115" t="s">
        <v>1096</v>
      </c>
      <c r="F1115" t="s">
        <v>41</v>
      </c>
      <c r="G1115" t="s">
        <v>27</v>
      </c>
      <c r="H1115" t="s">
        <v>34</v>
      </c>
      <c r="I1115" t="s">
        <v>39</v>
      </c>
      <c r="J1115" t="s">
        <v>35</v>
      </c>
      <c r="K1115" s="2">
        <v>3200</v>
      </c>
      <c r="L1115" s="2">
        <v>140000</v>
      </c>
      <c r="M1115">
        <v>60</v>
      </c>
      <c r="N1115" s="3">
        <v>1.1060000000000001</v>
      </c>
      <c r="O1115" t="s">
        <v>17</v>
      </c>
      <c r="P1115" t="s">
        <v>53</v>
      </c>
      <c r="Q1115">
        <v>0</v>
      </c>
      <c r="R1115">
        <v>1</v>
      </c>
      <c r="S1115" s="2">
        <v>0</v>
      </c>
      <c r="T1115" s="4"/>
      <c r="U1115">
        <v>9</v>
      </c>
      <c r="V1115">
        <v>1</v>
      </c>
      <c r="W1115">
        <v>1</v>
      </c>
    </row>
    <row r="1116" spans="1:23" ht="16.5" x14ac:dyDescent="0.3">
      <c r="A1116" t="s">
        <v>1172</v>
      </c>
      <c r="B1116" s="1">
        <v>45459</v>
      </c>
      <c r="C1116">
        <v>2024</v>
      </c>
      <c r="D1116" t="s">
        <v>688</v>
      </c>
      <c r="E1116" t="s">
        <v>1096</v>
      </c>
      <c r="F1116" t="s">
        <v>26</v>
      </c>
      <c r="G1116" t="s">
        <v>27</v>
      </c>
      <c r="H1116" t="s">
        <v>64</v>
      </c>
      <c r="I1116" t="s">
        <v>42</v>
      </c>
      <c r="J1116" t="s">
        <v>46</v>
      </c>
      <c r="K1116" s="2">
        <v>7500</v>
      </c>
      <c r="L1116" s="2">
        <v>18500</v>
      </c>
      <c r="M1116">
        <v>36</v>
      </c>
      <c r="N1116" s="3">
        <v>0.23599999999999999</v>
      </c>
      <c r="O1116" t="s">
        <v>17</v>
      </c>
      <c r="P1116" t="s">
        <v>60</v>
      </c>
      <c r="Q1116">
        <v>0</v>
      </c>
      <c r="R1116">
        <v>1</v>
      </c>
      <c r="S1116" s="2">
        <v>0</v>
      </c>
      <c r="T1116" s="4"/>
      <c r="U1116">
        <v>9</v>
      </c>
      <c r="V1116">
        <v>0</v>
      </c>
      <c r="W1116">
        <v>1</v>
      </c>
    </row>
    <row r="1117" spans="1:23" ht="16.5" x14ac:dyDescent="0.3">
      <c r="A1117" t="s">
        <v>1173</v>
      </c>
      <c r="B1117" s="1">
        <v>45460</v>
      </c>
      <c r="C1117">
        <v>2024</v>
      </c>
      <c r="D1117" t="s">
        <v>688</v>
      </c>
      <c r="E1117" t="s">
        <v>1096</v>
      </c>
      <c r="F1117" t="s">
        <v>26</v>
      </c>
      <c r="G1117" t="s">
        <v>33</v>
      </c>
      <c r="H1117" t="s">
        <v>28</v>
      </c>
      <c r="I1117" t="s">
        <v>42</v>
      </c>
      <c r="J1117" t="s">
        <v>30</v>
      </c>
      <c r="K1117" s="2">
        <v>9250</v>
      </c>
      <c r="L1117" s="2">
        <v>30500</v>
      </c>
      <c r="M1117">
        <v>36</v>
      </c>
      <c r="N1117" s="3">
        <v>0.193</v>
      </c>
      <c r="O1117" t="s">
        <v>16</v>
      </c>
      <c r="Q1117">
        <v>1</v>
      </c>
      <c r="R1117">
        <v>0</v>
      </c>
      <c r="S1117" s="2">
        <v>30500</v>
      </c>
      <c r="T1117" s="4">
        <v>9.8400000000000001E-2</v>
      </c>
      <c r="U1117">
        <v>3</v>
      </c>
      <c r="V1117">
        <v>1</v>
      </c>
      <c r="W1117">
        <v>1</v>
      </c>
    </row>
    <row r="1118" spans="1:23" ht="16.5" x14ac:dyDescent="0.3">
      <c r="A1118" t="s">
        <v>1174</v>
      </c>
      <c r="B1118" s="1">
        <v>45460</v>
      </c>
      <c r="C1118">
        <v>2024</v>
      </c>
      <c r="D1118" t="s">
        <v>688</v>
      </c>
      <c r="E1118" t="s">
        <v>1096</v>
      </c>
      <c r="F1118" t="s">
        <v>37</v>
      </c>
      <c r="G1118" t="s">
        <v>51</v>
      </c>
      <c r="H1118" t="s">
        <v>34</v>
      </c>
      <c r="I1118" t="s">
        <v>42</v>
      </c>
      <c r="J1118" t="s">
        <v>35</v>
      </c>
      <c r="K1118" s="2">
        <v>7700</v>
      </c>
      <c r="L1118" s="2">
        <v>6500</v>
      </c>
      <c r="M1118">
        <v>12</v>
      </c>
      <c r="N1118" s="3">
        <v>0.315</v>
      </c>
      <c r="O1118" t="s">
        <v>16</v>
      </c>
      <c r="Q1118">
        <v>1</v>
      </c>
      <c r="R1118">
        <v>0</v>
      </c>
      <c r="S1118" s="2">
        <v>6500</v>
      </c>
      <c r="T1118" s="4">
        <v>0.126</v>
      </c>
      <c r="U1118">
        <v>5</v>
      </c>
      <c r="V1118">
        <v>0</v>
      </c>
      <c r="W1118">
        <v>1</v>
      </c>
    </row>
    <row r="1119" spans="1:23" ht="16.5" x14ac:dyDescent="0.3">
      <c r="A1119" t="s">
        <v>1175</v>
      </c>
      <c r="B1119" s="1">
        <v>45460</v>
      </c>
      <c r="C1119">
        <v>2024</v>
      </c>
      <c r="D1119" t="s">
        <v>688</v>
      </c>
      <c r="E1119" t="s">
        <v>1096</v>
      </c>
      <c r="F1119" t="s">
        <v>37</v>
      </c>
      <c r="G1119" t="s">
        <v>33</v>
      </c>
      <c r="H1119" t="s">
        <v>38</v>
      </c>
      <c r="I1119" t="s">
        <v>39</v>
      </c>
      <c r="J1119" t="s">
        <v>35</v>
      </c>
      <c r="K1119" s="2">
        <v>8500</v>
      </c>
      <c r="L1119" s="2">
        <v>27500</v>
      </c>
      <c r="M1119">
        <v>60</v>
      </c>
      <c r="N1119" s="3">
        <v>0.153</v>
      </c>
      <c r="O1119" t="s">
        <v>16</v>
      </c>
      <c r="Q1119">
        <v>1</v>
      </c>
      <c r="R1119">
        <v>0</v>
      </c>
      <c r="S1119" s="2">
        <v>27500</v>
      </c>
      <c r="T1119" s="4">
        <v>0.1221</v>
      </c>
      <c r="U1119">
        <v>2</v>
      </c>
      <c r="V1119">
        <v>1</v>
      </c>
      <c r="W1119">
        <v>1</v>
      </c>
    </row>
    <row r="1120" spans="1:23" ht="16.5" x14ac:dyDescent="0.3">
      <c r="A1120" t="s">
        <v>1176</v>
      </c>
      <c r="B1120" s="1">
        <v>45460</v>
      </c>
      <c r="C1120">
        <v>2024</v>
      </c>
      <c r="D1120" t="s">
        <v>688</v>
      </c>
      <c r="E1120" t="s">
        <v>1096</v>
      </c>
      <c r="F1120" t="s">
        <v>37</v>
      </c>
      <c r="G1120" t="s">
        <v>45</v>
      </c>
      <c r="H1120" t="s">
        <v>55</v>
      </c>
      <c r="I1120" t="s">
        <v>29</v>
      </c>
      <c r="J1120" t="s">
        <v>35</v>
      </c>
      <c r="K1120" s="2">
        <v>2350</v>
      </c>
      <c r="L1120" s="2">
        <v>21000</v>
      </c>
      <c r="M1120">
        <v>24</v>
      </c>
      <c r="N1120" s="3">
        <v>0.58899999999999997</v>
      </c>
      <c r="O1120" t="s">
        <v>17</v>
      </c>
      <c r="P1120" t="s">
        <v>60</v>
      </c>
      <c r="Q1120">
        <v>0</v>
      </c>
      <c r="R1120">
        <v>1</v>
      </c>
      <c r="S1120" s="2">
        <v>0</v>
      </c>
      <c r="T1120" s="4"/>
      <c r="U1120">
        <v>6</v>
      </c>
      <c r="V1120">
        <v>0</v>
      </c>
      <c r="W1120">
        <v>1</v>
      </c>
    </row>
    <row r="1121" spans="1:23" ht="16.5" x14ac:dyDescent="0.3">
      <c r="A1121" t="s">
        <v>1177</v>
      </c>
      <c r="B1121" s="1">
        <v>45460</v>
      </c>
      <c r="C1121">
        <v>2024</v>
      </c>
      <c r="D1121" t="s">
        <v>688</v>
      </c>
      <c r="E1121" t="s">
        <v>1096</v>
      </c>
      <c r="F1121" t="s">
        <v>37</v>
      </c>
      <c r="G1121" t="s">
        <v>33</v>
      </c>
      <c r="H1121" t="s">
        <v>34</v>
      </c>
      <c r="I1121" t="s">
        <v>42</v>
      </c>
      <c r="J1121" t="s">
        <v>30</v>
      </c>
      <c r="K1121" s="2">
        <v>6100</v>
      </c>
      <c r="L1121" s="2">
        <v>7500</v>
      </c>
      <c r="M1121">
        <v>60</v>
      </c>
      <c r="N1121" s="3">
        <v>0.14099999999999999</v>
      </c>
      <c r="O1121" t="s">
        <v>17</v>
      </c>
      <c r="P1121" t="s">
        <v>31</v>
      </c>
      <c r="Q1121">
        <v>0</v>
      </c>
      <c r="R1121">
        <v>1</v>
      </c>
      <c r="S1121" s="2">
        <v>0</v>
      </c>
      <c r="T1121" s="4"/>
      <c r="U1121">
        <v>2</v>
      </c>
      <c r="V1121">
        <v>1</v>
      </c>
      <c r="W1121">
        <v>1</v>
      </c>
    </row>
    <row r="1122" spans="1:23" ht="16.5" x14ac:dyDescent="0.3">
      <c r="A1122" t="s">
        <v>1178</v>
      </c>
      <c r="B1122" s="1">
        <v>45460</v>
      </c>
      <c r="C1122">
        <v>2024</v>
      </c>
      <c r="D1122" t="s">
        <v>688</v>
      </c>
      <c r="E1122" t="s">
        <v>1096</v>
      </c>
      <c r="F1122" t="s">
        <v>37</v>
      </c>
      <c r="G1122" t="s">
        <v>33</v>
      </c>
      <c r="H1122" t="s">
        <v>38</v>
      </c>
      <c r="I1122" t="s">
        <v>39</v>
      </c>
      <c r="J1122" t="s">
        <v>30</v>
      </c>
      <c r="K1122" s="2">
        <v>5500</v>
      </c>
      <c r="L1122" s="2">
        <v>6000</v>
      </c>
      <c r="M1122">
        <v>60</v>
      </c>
      <c r="N1122" s="3">
        <v>9.2999999999999999E-2</v>
      </c>
      <c r="O1122" t="s">
        <v>17</v>
      </c>
      <c r="P1122" t="s">
        <v>65</v>
      </c>
      <c r="Q1122">
        <v>0</v>
      </c>
      <c r="R1122">
        <v>1</v>
      </c>
      <c r="S1122" s="2">
        <v>0</v>
      </c>
      <c r="T1122" s="4"/>
      <c r="U1122">
        <v>2</v>
      </c>
      <c r="V1122">
        <v>1</v>
      </c>
      <c r="W1122">
        <v>1</v>
      </c>
    </row>
    <row r="1123" spans="1:23" ht="16.5" x14ac:dyDescent="0.3">
      <c r="A1123" t="s">
        <v>1179</v>
      </c>
      <c r="B1123" s="1">
        <v>45460</v>
      </c>
      <c r="C1123">
        <v>2024</v>
      </c>
      <c r="D1123" t="s">
        <v>688</v>
      </c>
      <c r="E1123" t="s">
        <v>1096</v>
      </c>
      <c r="F1123" t="s">
        <v>37</v>
      </c>
      <c r="G1123" t="s">
        <v>27</v>
      </c>
      <c r="H1123" t="s">
        <v>38</v>
      </c>
      <c r="I1123" t="s">
        <v>29</v>
      </c>
      <c r="J1123" t="s">
        <v>30</v>
      </c>
      <c r="K1123" s="2">
        <v>5550</v>
      </c>
      <c r="L1123" s="2">
        <v>12500</v>
      </c>
      <c r="M1123">
        <v>12</v>
      </c>
      <c r="N1123" s="3">
        <v>0.30499999999999999</v>
      </c>
      <c r="O1123" t="s">
        <v>17</v>
      </c>
      <c r="P1123" t="s">
        <v>31</v>
      </c>
      <c r="Q1123">
        <v>0</v>
      </c>
      <c r="R1123">
        <v>1</v>
      </c>
      <c r="S1123" s="2">
        <v>0</v>
      </c>
      <c r="T1123" s="4"/>
      <c r="U1123">
        <v>3</v>
      </c>
      <c r="V1123">
        <v>1</v>
      </c>
      <c r="W1123">
        <v>1</v>
      </c>
    </row>
    <row r="1124" spans="1:23" ht="16.5" x14ac:dyDescent="0.3">
      <c r="A1124" t="s">
        <v>1180</v>
      </c>
      <c r="B1124" s="1">
        <v>45460</v>
      </c>
      <c r="C1124">
        <v>2024</v>
      </c>
      <c r="D1124" t="s">
        <v>688</v>
      </c>
      <c r="E1124" t="s">
        <v>1096</v>
      </c>
      <c r="F1124" t="s">
        <v>37</v>
      </c>
      <c r="G1124" t="s">
        <v>33</v>
      </c>
      <c r="H1124" t="s">
        <v>38</v>
      </c>
      <c r="I1124" t="s">
        <v>39</v>
      </c>
      <c r="J1124" t="s">
        <v>43</v>
      </c>
      <c r="K1124" s="2">
        <v>2300</v>
      </c>
      <c r="L1124" s="2">
        <v>20000</v>
      </c>
      <c r="M1124">
        <v>60</v>
      </c>
      <c r="N1124" s="3">
        <v>0.26700000000000002</v>
      </c>
      <c r="O1124" t="s">
        <v>17</v>
      </c>
      <c r="P1124" t="s">
        <v>31</v>
      </c>
      <c r="Q1124">
        <v>0</v>
      </c>
      <c r="R1124">
        <v>1</v>
      </c>
      <c r="S1124" s="2">
        <v>0</v>
      </c>
      <c r="T1124" s="4"/>
      <c r="U1124">
        <v>2</v>
      </c>
      <c r="V1124">
        <v>1</v>
      </c>
      <c r="W1124">
        <v>1</v>
      </c>
    </row>
    <row r="1125" spans="1:23" ht="16.5" x14ac:dyDescent="0.3">
      <c r="A1125" t="s">
        <v>1181</v>
      </c>
      <c r="B1125" s="1">
        <v>45460</v>
      </c>
      <c r="C1125">
        <v>2024</v>
      </c>
      <c r="D1125" t="s">
        <v>688</v>
      </c>
      <c r="E1125" t="s">
        <v>1096</v>
      </c>
      <c r="F1125" t="s">
        <v>37</v>
      </c>
      <c r="G1125" t="s">
        <v>45</v>
      </c>
      <c r="H1125" t="s">
        <v>34</v>
      </c>
      <c r="I1125" t="s">
        <v>29</v>
      </c>
      <c r="J1125" t="s">
        <v>52</v>
      </c>
      <c r="K1125" s="2">
        <v>4850</v>
      </c>
      <c r="L1125" s="2">
        <v>11000</v>
      </c>
      <c r="M1125">
        <v>12</v>
      </c>
      <c r="N1125" s="3">
        <v>0.39</v>
      </c>
      <c r="O1125" t="s">
        <v>16</v>
      </c>
      <c r="Q1125">
        <v>1</v>
      </c>
      <c r="R1125">
        <v>0</v>
      </c>
      <c r="S1125" s="2">
        <v>11000</v>
      </c>
      <c r="T1125" s="4">
        <v>0.1201</v>
      </c>
      <c r="U1125">
        <v>2</v>
      </c>
      <c r="V1125">
        <v>1</v>
      </c>
      <c r="W1125">
        <v>1</v>
      </c>
    </row>
    <row r="1126" spans="1:23" ht="16.5" x14ac:dyDescent="0.3">
      <c r="A1126" t="s">
        <v>1182</v>
      </c>
      <c r="B1126" s="1">
        <v>45460</v>
      </c>
      <c r="C1126">
        <v>2024</v>
      </c>
      <c r="D1126" t="s">
        <v>688</v>
      </c>
      <c r="E1126" t="s">
        <v>1096</v>
      </c>
      <c r="F1126" t="s">
        <v>37</v>
      </c>
      <c r="G1126" t="s">
        <v>27</v>
      </c>
      <c r="H1126" t="s">
        <v>38</v>
      </c>
      <c r="I1126" t="s">
        <v>42</v>
      </c>
      <c r="J1126" t="s">
        <v>52</v>
      </c>
      <c r="K1126" s="2">
        <v>10100</v>
      </c>
      <c r="L1126" s="2">
        <v>7000</v>
      </c>
      <c r="M1126">
        <v>36</v>
      </c>
      <c r="N1126" s="3">
        <v>0.126</v>
      </c>
      <c r="O1126" t="s">
        <v>16</v>
      </c>
      <c r="Q1126">
        <v>1</v>
      </c>
      <c r="R1126">
        <v>0</v>
      </c>
      <c r="S1126" s="2">
        <v>7000</v>
      </c>
      <c r="T1126" s="4">
        <v>0.1133</v>
      </c>
      <c r="U1126">
        <v>5</v>
      </c>
      <c r="V1126">
        <v>0</v>
      </c>
      <c r="W1126">
        <v>1</v>
      </c>
    </row>
    <row r="1127" spans="1:23" ht="16.5" x14ac:dyDescent="0.3">
      <c r="A1127" t="s">
        <v>1183</v>
      </c>
      <c r="B1127" s="1">
        <v>45460</v>
      </c>
      <c r="C1127">
        <v>2024</v>
      </c>
      <c r="D1127" t="s">
        <v>688</v>
      </c>
      <c r="E1127" t="s">
        <v>1096</v>
      </c>
      <c r="F1127" t="s">
        <v>37</v>
      </c>
      <c r="G1127" t="s">
        <v>51</v>
      </c>
      <c r="H1127" t="s">
        <v>34</v>
      </c>
      <c r="I1127" t="s">
        <v>39</v>
      </c>
      <c r="J1127" t="s">
        <v>30</v>
      </c>
      <c r="K1127" s="2">
        <v>4450</v>
      </c>
      <c r="L1127" s="2">
        <v>19000</v>
      </c>
      <c r="M1127">
        <v>60</v>
      </c>
      <c r="N1127" s="3">
        <v>0.16300000000000001</v>
      </c>
      <c r="O1127" t="s">
        <v>17</v>
      </c>
      <c r="P1127" t="s">
        <v>31</v>
      </c>
      <c r="Q1127">
        <v>0</v>
      </c>
      <c r="R1127">
        <v>1</v>
      </c>
      <c r="S1127" s="2">
        <v>0</v>
      </c>
      <c r="T1127" s="4"/>
      <c r="U1127">
        <v>5</v>
      </c>
      <c r="V1127">
        <v>0</v>
      </c>
      <c r="W1127">
        <v>1</v>
      </c>
    </row>
    <row r="1128" spans="1:23" ht="16.5" x14ac:dyDescent="0.3">
      <c r="A1128" t="s">
        <v>1184</v>
      </c>
      <c r="B1128" s="1">
        <v>45460</v>
      </c>
      <c r="C1128">
        <v>2024</v>
      </c>
      <c r="D1128" t="s">
        <v>688</v>
      </c>
      <c r="E1128" t="s">
        <v>1096</v>
      </c>
      <c r="F1128" t="s">
        <v>37</v>
      </c>
      <c r="G1128" t="s">
        <v>51</v>
      </c>
      <c r="H1128" t="s">
        <v>55</v>
      </c>
      <c r="I1128" t="s">
        <v>29</v>
      </c>
      <c r="J1128" t="s">
        <v>46</v>
      </c>
      <c r="K1128" s="2">
        <v>3650</v>
      </c>
      <c r="L1128" s="2">
        <v>7500</v>
      </c>
      <c r="M1128">
        <v>24</v>
      </c>
      <c r="N1128" s="3">
        <v>0.29099999999999998</v>
      </c>
      <c r="O1128" t="s">
        <v>17</v>
      </c>
      <c r="P1128" t="s">
        <v>65</v>
      </c>
      <c r="Q1128">
        <v>0</v>
      </c>
      <c r="R1128">
        <v>1</v>
      </c>
      <c r="S1128" s="2">
        <v>0</v>
      </c>
      <c r="T1128" s="4"/>
      <c r="U1128">
        <v>3</v>
      </c>
      <c r="V1128">
        <v>1</v>
      </c>
      <c r="W1128">
        <v>1</v>
      </c>
    </row>
    <row r="1129" spans="1:23" ht="16.5" x14ac:dyDescent="0.3">
      <c r="A1129" t="s">
        <v>1185</v>
      </c>
      <c r="B1129" s="1">
        <v>45461</v>
      </c>
      <c r="C1129">
        <v>2024</v>
      </c>
      <c r="D1129" t="s">
        <v>688</v>
      </c>
      <c r="E1129" t="s">
        <v>1096</v>
      </c>
      <c r="F1129" t="s">
        <v>50</v>
      </c>
      <c r="G1129" t="s">
        <v>33</v>
      </c>
      <c r="H1129" t="s">
        <v>34</v>
      </c>
      <c r="I1129" t="s">
        <v>39</v>
      </c>
      <c r="J1129" t="s">
        <v>52</v>
      </c>
      <c r="K1129" s="2">
        <v>3800</v>
      </c>
      <c r="L1129" s="2">
        <v>295000</v>
      </c>
      <c r="M1129">
        <v>180</v>
      </c>
      <c r="N1129" s="3">
        <v>0.84199999999999997</v>
      </c>
      <c r="O1129" t="s">
        <v>17</v>
      </c>
      <c r="P1129" t="s">
        <v>53</v>
      </c>
      <c r="Q1129">
        <v>0</v>
      </c>
      <c r="R1129">
        <v>1</v>
      </c>
      <c r="S1129" s="2">
        <v>0</v>
      </c>
      <c r="T1129" s="4"/>
      <c r="U1129">
        <v>13</v>
      </c>
      <c r="V1129">
        <v>1</v>
      </c>
      <c r="W1129">
        <v>1</v>
      </c>
    </row>
    <row r="1130" spans="1:23" ht="16.5" x14ac:dyDescent="0.3">
      <c r="A1130" t="s">
        <v>1186</v>
      </c>
      <c r="B1130" s="1">
        <v>45461</v>
      </c>
      <c r="C1130">
        <v>2024</v>
      </c>
      <c r="D1130" t="s">
        <v>688</v>
      </c>
      <c r="E1130" t="s">
        <v>1096</v>
      </c>
      <c r="F1130" t="s">
        <v>26</v>
      </c>
      <c r="G1130" t="s">
        <v>51</v>
      </c>
      <c r="H1130" t="s">
        <v>34</v>
      </c>
      <c r="I1130" t="s">
        <v>29</v>
      </c>
      <c r="J1130" t="s">
        <v>30</v>
      </c>
      <c r="K1130" s="2">
        <v>4750</v>
      </c>
      <c r="L1130" s="2">
        <v>41500</v>
      </c>
      <c r="M1130">
        <v>36</v>
      </c>
      <c r="N1130" s="3">
        <v>0.35499999999999998</v>
      </c>
      <c r="O1130" t="s">
        <v>17</v>
      </c>
      <c r="P1130" t="s">
        <v>31</v>
      </c>
      <c r="Q1130">
        <v>0</v>
      </c>
      <c r="R1130">
        <v>1</v>
      </c>
      <c r="S1130" s="2">
        <v>0</v>
      </c>
      <c r="T1130" s="4"/>
      <c r="U1130">
        <v>6</v>
      </c>
      <c r="V1130">
        <v>0</v>
      </c>
      <c r="W1130">
        <v>1</v>
      </c>
    </row>
    <row r="1131" spans="1:23" ht="16.5" x14ac:dyDescent="0.3">
      <c r="A1131" t="s">
        <v>1187</v>
      </c>
      <c r="B1131" s="1">
        <v>45461</v>
      </c>
      <c r="C1131">
        <v>2024</v>
      </c>
      <c r="D1131" t="s">
        <v>688</v>
      </c>
      <c r="E1131" t="s">
        <v>1096</v>
      </c>
      <c r="F1131" t="s">
        <v>41</v>
      </c>
      <c r="G1131" t="s">
        <v>45</v>
      </c>
      <c r="H1131" t="s">
        <v>38</v>
      </c>
      <c r="I1131" t="s">
        <v>39</v>
      </c>
      <c r="J1131" t="s">
        <v>52</v>
      </c>
      <c r="K1131" s="2">
        <v>8700</v>
      </c>
      <c r="L1131" s="2">
        <v>203500</v>
      </c>
      <c r="M1131">
        <v>60</v>
      </c>
      <c r="N1131" s="3">
        <v>0.74299999999999999</v>
      </c>
      <c r="O1131" t="s">
        <v>16</v>
      </c>
      <c r="Q1131">
        <v>1</v>
      </c>
      <c r="R1131">
        <v>0</v>
      </c>
      <c r="S1131" s="2">
        <v>203500</v>
      </c>
      <c r="T1131" s="4">
        <v>0.1031</v>
      </c>
      <c r="U1131">
        <v>7</v>
      </c>
      <c r="V1131">
        <v>1</v>
      </c>
      <c r="W1131">
        <v>1</v>
      </c>
    </row>
    <row r="1132" spans="1:23" ht="16.5" x14ac:dyDescent="0.3">
      <c r="A1132" t="s">
        <v>1188</v>
      </c>
      <c r="B1132" s="1">
        <v>45461</v>
      </c>
      <c r="C1132">
        <v>2024</v>
      </c>
      <c r="D1132" t="s">
        <v>688</v>
      </c>
      <c r="E1132" t="s">
        <v>1096</v>
      </c>
      <c r="F1132" t="s">
        <v>50</v>
      </c>
      <c r="G1132" t="s">
        <v>33</v>
      </c>
      <c r="H1132" t="s">
        <v>38</v>
      </c>
      <c r="I1132" t="s">
        <v>39</v>
      </c>
      <c r="J1132" t="s">
        <v>52</v>
      </c>
      <c r="K1132" s="2">
        <v>10750</v>
      </c>
      <c r="L1132" s="2">
        <v>339000</v>
      </c>
      <c r="M1132">
        <v>180</v>
      </c>
      <c r="N1132" s="3">
        <v>0.35099999999999998</v>
      </c>
      <c r="O1132" t="s">
        <v>16</v>
      </c>
      <c r="Q1132">
        <v>1</v>
      </c>
      <c r="R1132">
        <v>0</v>
      </c>
      <c r="S1132" s="2">
        <v>339000</v>
      </c>
      <c r="T1132" s="4">
        <v>4.9299999999999997E-2</v>
      </c>
      <c r="U1132">
        <v>10</v>
      </c>
      <c r="V1132">
        <v>1</v>
      </c>
      <c r="W1132">
        <v>1</v>
      </c>
    </row>
    <row r="1133" spans="1:23" ht="16.5" x14ac:dyDescent="0.3">
      <c r="A1133" t="s">
        <v>1189</v>
      </c>
      <c r="B1133" s="1">
        <v>45461</v>
      </c>
      <c r="C1133">
        <v>2024</v>
      </c>
      <c r="D1133" t="s">
        <v>688</v>
      </c>
      <c r="E1133" t="s">
        <v>1096</v>
      </c>
      <c r="F1133" t="s">
        <v>26</v>
      </c>
      <c r="G1133" t="s">
        <v>51</v>
      </c>
      <c r="H1133" t="s">
        <v>64</v>
      </c>
      <c r="I1133" t="s">
        <v>42</v>
      </c>
      <c r="J1133" t="s">
        <v>52</v>
      </c>
      <c r="K1133" s="2">
        <v>12100</v>
      </c>
      <c r="L1133" s="2">
        <v>45000</v>
      </c>
      <c r="M1133">
        <v>48</v>
      </c>
      <c r="N1133" s="3">
        <v>0.16800000000000001</v>
      </c>
      <c r="O1133" t="s">
        <v>16</v>
      </c>
      <c r="Q1133">
        <v>1</v>
      </c>
      <c r="R1133">
        <v>0</v>
      </c>
      <c r="S1133" s="2">
        <v>40500</v>
      </c>
      <c r="T1133" s="4">
        <v>7.2599999999999998E-2</v>
      </c>
      <c r="U1133">
        <v>4</v>
      </c>
      <c r="V1133">
        <v>1</v>
      </c>
      <c r="W1133">
        <v>1</v>
      </c>
    </row>
    <row r="1134" spans="1:23" ht="16.5" x14ac:dyDescent="0.3">
      <c r="A1134" t="s">
        <v>1190</v>
      </c>
      <c r="B1134" s="1">
        <v>45461</v>
      </c>
      <c r="C1134">
        <v>2024</v>
      </c>
      <c r="D1134" t="s">
        <v>688</v>
      </c>
      <c r="E1134" t="s">
        <v>1096</v>
      </c>
      <c r="F1134" t="s">
        <v>50</v>
      </c>
      <c r="G1134" t="s">
        <v>51</v>
      </c>
      <c r="H1134" t="s">
        <v>55</v>
      </c>
      <c r="I1134" t="s">
        <v>39</v>
      </c>
      <c r="J1134" t="s">
        <v>35</v>
      </c>
      <c r="K1134" s="2">
        <v>9600</v>
      </c>
      <c r="L1134" s="2">
        <v>212500</v>
      </c>
      <c r="M1134">
        <v>180</v>
      </c>
      <c r="N1134" s="3">
        <v>0.371</v>
      </c>
      <c r="O1134" t="s">
        <v>17</v>
      </c>
      <c r="P1134" t="s">
        <v>65</v>
      </c>
      <c r="Q1134">
        <v>0</v>
      </c>
      <c r="R1134">
        <v>1</v>
      </c>
      <c r="S1134" s="2">
        <v>0</v>
      </c>
      <c r="T1134" s="4"/>
      <c r="U1134">
        <v>8</v>
      </c>
      <c r="V1134">
        <v>1</v>
      </c>
      <c r="W1134">
        <v>1</v>
      </c>
    </row>
    <row r="1135" spans="1:23" ht="16.5" x14ac:dyDescent="0.3">
      <c r="A1135" t="s">
        <v>1191</v>
      </c>
      <c r="B1135" s="1">
        <v>45461</v>
      </c>
      <c r="C1135">
        <v>2024</v>
      </c>
      <c r="D1135" t="s">
        <v>688</v>
      </c>
      <c r="E1135" t="s">
        <v>1096</v>
      </c>
      <c r="F1135" t="s">
        <v>26</v>
      </c>
      <c r="G1135" t="s">
        <v>51</v>
      </c>
      <c r="H1135" t="s">
        <v>34</v>
      </c>
      <c r="I1135" t="s">
        <v>39</v>
      </c>
      <c r="J1135" t="s">
        <v>43</v>
      </c>
      <c r="K1135" s="2">
        <v>5300</v>
      </c>
      <c r="L1135" s="2">
        <v>28000</v>
      </c>
      <c r="M1135">
        <v>60</v>
      </c>
      <c r="N1135" s="3">
        <v>0.23100000000000001</v>
      </c>
      <c r="O1135" t="s">
        <v>17</v>
      </c>
      <c r="P1135" t="s">
        <v>31</v>
      </c>
      <c r="Q1135">
        <v>0</v>
      </c>
      <c r="R1135">
        <v>1</v>
      </c>
      <c r="S1135" s="2">
        <v>0</v>
      </c>
      <c r="T1135" s="4"/>
      <c r="U1135">
        <v>5</v>
      </c>
      <c r="V1135">
        <v>0</v>
      </c>
      <c r="W1135">
        <v>1</v>
      </c>
    </row>
    <row r="1136" spans="1:23" ht="16.5" x14ac:dyDescent="0.3">
      <c r="A1136" t="s">
        <v>1192</v>
      </c>
      <c r="B1136" s="1">
        <v>45461</v>
      </c>
      <c r="C1136">
        <v>2024</v>
      </c>
      <c r="D1136" t="s">
        <v>688</v>
      </c>
      <c r="E1136" t="s">
        <v>1096</v>
      </c>
      <c r="F1136" t="s">
        <v>37</v>
      </c>
      <c r="G1136" t="s">
        <v>51</v>
      </c>
      <c r="H1136" t="s">
        <v>28</v>
      </c>
      <c r="I1136" t="s">
        <v>29</v>
      </c>
      <c r="J1136" t="s">
        <v>30</v>
      </c>
      <c r="K1136" s="2">
        <v>6900</v>
      </c>
      <c r="L1136" s="2">
        <v>6500</v>
      </c>
      <c r="M1136">
        <v>36</v>
      </c>
      <c r="N1136" s="3">
        <v>9.4E-2</v>
      </c>
      <c r="O1136" t="s">
        <v>16</v>
      </c>
      <c r="Q1136">
        <v>1</v>
      </c>
      <c r="R1136">
        <v>0</v>
      </c>
      <c r="S1136" s="2">
        <v>6500</v>
      </c>
      <c r="T1136" s="4">
        <v>0.14000000000000001</v>
      </c>
      <c r="U1136">
        <v>5</v>
      </c>
      <c r="V1136">
        <v>0</v>
      </c>
      <c r="W1136">
        <v>1</v>
      </c>
    </row>
    <row r="1137" spans="1:23" ht="16.5" x14ac:dyDescent="0.3">
      <c r="A1137" t="s">
        <v>1193</v>
      </c>
      <c r="B1137" s="1">
        <v>45462</v>
      </c>
      <c r="C1137">
        <v>2024</v>
      </c>
      <c r="D1137" t="s">
        <v>688</v>
      </c>
      <c r="E1137" t="s">
        <v>1096</v>
      </c>
      <c r="F1137" t="s">
        <v>26</v>
      </c>
      <c r="G1137" t="s">
        <v>45</v>
      </c>
      <c r="H1137" t="s">
        <v>55</v>
      </c>
      <c r="I1137" t="s">
        <v>39</v>
      </c>
      <c r="J1137" t="s">
        <v>35</v>
      </c>
      <c r="K1137" s="2">
        <v>7250</v>
      </c>
      <c r="L1137" s="2">
        <v>25500</v>
      </c>
      <c r="M1137">
        <v>60</v>
      </c>
      <c r="N1137" s="3">
        <v>0.312</v>
      </c>
      <c r="O1137" t="s">
        <v>16</v>
      </c>
      <c r="Q1137">
        <v>1</v>
      </c>
      <c r="R1137">
        <v>0</v>
      </c>
      <c r="S1137" s="2">
        <v>23000</v>
      </c>
      <c r="T1137" s="4">
        <v>8.3099999999999993E-2</v>
      </c>
      <c r="U1137">
        <v>2</v>
      </c>
      <c r="V1137">
        <v>1</v>
      </c>
      <c r="W1137">
        <v>1</v>
      </c>
    </row>
    <row r="1138" spans="1:23" ht="16.5" x14ac:dyDescent="0.3">
      <c r="A1138" t="s">
        <v>1194</v>
      </c>
      <c r="B1138" s="1">
        <v>45462</v>
      </c>
      <c r="C1138">
        <v>2024</v>
      </c>
      <c r="D1138" t="s">
        <v>688</v>
      </c>
      <c r="E1138" t="s">
        <v>1096</v>
      </c>
      <c r="F1138" t="s">
        <v>41</v>
      </c>
      <c r="G1138" t="s">
        <v>33</v>
      </c>
      <c r="H1138" t="s">
        <v>55</v>
      </c>
      <c r="I1138" t="s">
        <v>39</v>
      </c>
      <c r="J1138" t="s">
        <v>52</v>
      </c>
      <c r="K1138" s="2">
        <v>6600</v>
      </c>
      <c r="L1138" s="2">
        <v>107000</v>
      </c>
      <c r="M1138">
        <v>12</v>
      </c>
      <c r="N1138" s="3">
        <v>1.58</v>
      </c>
      <c r="O1138" t="s">
        <v>17</v>
      </c>
      <c r="P1138" t="s">
        <v>53</v>
      </c>
      <c r="Q1138">
        <v>0</v>
      </c>
      <c r="R1138">
        <v>1</v>
      </c>
      <c r="S1138" s="2">
        <v>0</v>
      </c>
      <c r="T1138" s="4"/>
      <c r="U1138">
        <v>5</v>
      </c>
      <c r="V1138">
        <v>1</v>
      </c>
      <c r="W1138">
        <v>1</v>
      </c>
    </row>
    <row r="1139" spans="1:23" ht="16.5" x14ac:dyDescent="0.3">
      <c r="A1139" t="s">
        <v>1195</v>
      </c>
      <c r="B1139" s="1">
        <v>45463</v>
      </c>
      <c r="C1139">
        <v>2024</v>
      </c>
      <c r="D1139" t="s">
        <v>688</v>
      </c>
      <c r="E1139" t="s">
        <v>1096</v>
      </c>
      <c r="F1139" t="s">
        <v>26</v>
      </c>
      <c r="G1139" t="s">
        <v>45</v>
      </c>
      <c r="H1139" t="s">
        <v>38</v>
      </c>
      <c r="I1139" t="s">
        <v>29</v>
      </c>
      <c r="J1139" t="s">
        <v>46</v>
      </c>
      <c r="K1139" s="2">
        <v>9900</v>
      </c>
      <c r="L1139" s="2">
        <v>30500</v>
      </c>
      <c r="M1139">
        <v>36</v>
      </c>
      <c r="N1139" s="3">
        <v>0.27800000000000002</v>
      </c>
      <c r="O1139" t="s">
        <v>16</v>
      </c>
      <c r="Q1139">
        <v>1</v>
      </c>
      <c r="R1139">
        <v>0</v>
      </c>
      <c r="S1139" s="2">
        <v>27500</v>
      </c>
      <c r="T1139" s="4">
        <v>7.5499999999999998E-2</v>
      </c>
      <c r="U1139">
        <v>2</v>
      </c>
      <c r="V1139">
        <v>1</v>
      </c>
      <c r="W1139">
        <v>1</v>
      </c>
    </row>
    <row r="1140" spans="1:23" ht="16.5" x14ac:dyDescent="0.3">
      <c r="A1140" t="s">
        <v>1196</v>
      </c>
      <c r="B1140" s="1">
        <v>45463</v>
      </c>
      <c r="C1140">
        <v>2024</v>
      </c>
      <c r="D1140" t="s">
        <v>688</v>
      </c>
      <c r="E1140" t="s">
        <v>1096</v>
      </c>
      <c r="F1140" t="s">
        <v>37</v>
      </c>
      <c r="G1140" t="s">
        <v>45</v>
      </c>
      <c r="H1140" t="s">
        <v>64</v>
      </c>
      <c r="I1140" t="s">
        <v>39</v>
      </c>
      <c r="J1140" t="s">
        <v>46</v>
      </c>
      <c r="K1140" s="2">
        <v>5800</v>
      </c>
      <c r="L1140" s="2">
        <v>13000</v>
      </c>
      <c r="M1140">
        <v>36</v>
      </c>
      <c r="N1140" s="3">
        <v>0.193</v>
      </c>
      <c r="O1140" t="s">
        <v>17</v>
      </c>
      <c r="P1140" t="s">
        <v>60</v>
      </c>
      <c r="Q1140">
        <v>0</v>
      </c>
      <c r="R1140">
        <v>1</v>
      </c>
      <c r="S1140" s="2">
        <v>0</v>
      </c>
      <c r="T1140" s="4"/>
      <c r="U1140">
        <v>6</v>
      </c>
      <c r="V1140">
        <v>0</v>
      </c>
      <c r="W1140">
        <v>1</v>
      </c>
    </row>
    <row r="1141" spans="1:23" ht="16.5" x14ac:dyDescent="0.3">
      <c r="A1141" t="s">
        <v>1197</v>
      </c>
      <c r="B1141" s="1">
        <v>45463</v>
      </c>
      <c r="C1141">
        <v>2024</v>
      </c>
      <c r="D1141" t="s">
        <v>688</v>
      </c>
      <c r="E1141" t="s">
        <v>1096</v>
      </c>
      <c r="F1141" t="s">
        <v>41</v>
      </c>
      <c r="G1141" t="s">
        <v>51</v>
      </c>
      <c r="H1141" t="s">
        <v>64</v>
      </c>
      <c r="I1141" t="s">
        <v>39</v>
      </c>
      <c r="J1141" t="s">
        <v>30</v>
      </c>
      <c r="K1141" s="2">
        <v>4550</v>
      </c>
      <c r="L1141" s="2">
        <v>73000</v>
      </c>
      <c r="M1141">
        <v>60</v>
      </c>
      <c r="N1141" s="3">
        <v>0.53500000000000003</v>
      </c>
      <c r="O1141" t="s">
        <v>17</v>
      </c>
      <c r="P1141" t="s">
        <v>53</v>
      </c>
      <c r="Q1141">
        <v>0</v>
      </c>
      <c r="R1141">
        <v>1</v>
      </c>
      <c r="S1141" s="2">
        <v>0</v>
      </c>
      <c r="T1141" s="4"/>
      <c r="U1141">
        <v>22</v>
      </c>
      <c r="V1141">
        <v>0</v>
      </c>
      <c r="W1141">
        <v>1</v>
      </c>
    </row>
    <row r="1142" spans="1:23" ht="16.5" x14ac:dyDescent="0.3">
      <c r="A1142" t="s">
        <v>1198</v>
      </c>
      <c r="B1142" s="1">
        <v>45463</v>
      </c>
      <c r="C1142">
        <v>2024</v>
      </c>
      <c r="D1142" t="s">
        <v>688</v>
      </c>
      <c r="E1142" t="s">
        <v>1096</v>
      </c>
      <c r="F1142" t="s">
        <v>26</v>
      </c>
      <c r="G1142" t="s">
        <v>33</v>
      </c>
      <c r="H1142" t="s">
        <v>38</v>
      </c>
      <c r="I1142" t="s">
        <v>39</v>
      </c>
      <c r="J1142" t="s">
        <v>30</v>
      </c>
      <c r="K1142" s="2">
        <v>5350</v>
      </c>
      <c r="L1142" s="2">
        <v>26000</v>
      </c>
      <c r="M1142">
        <v>36</v>
      </c>
      <c r="N1142" s="3">
        <v>0.245</v>
      </c>
      <c r="O1142" t="s">
        <v>16</v>
      </c>
      <c r="Q1142">
        <v>1</v>
      </c>
      <c r="R1142">
        <v>0</v>
      </c>
      <c r="S1142" s="2">
        <v>26000</v>
      </c>
      <c r="T1142" s="4">
        <v>9.8199999999999996E-2</v>
      </c>
      <c r="U1142">
        <v>3</v>
      </c>
      <c r="V1142">
        <v>1</v>
      </c>
      <c r="W1142">
        <v>1</v>
      </c>
    </row>
    <row r="1143" spans="1:23" ht="16.5" x14ac:dyDescent="0.3">
      <c r="A1143" t="s">
        <v>1199</v>
      </c>
      <c r="B1143" s="1">
        <v>45463</v>
      </c>
      <c r="C1143">
        <v>2024</v>
      </c>
      <c r="D1143" t="s">
        <v>688</v>
      </c>
      <c r="E1143" t="s">
        <v>1096</v>
      </c>
      <c r="F1143" t="s">
        <v>26</v>
      </c>
      <c r="G1143" t="s">
        <v>51</v>
      </c>
      <c r="H1143" t="s">
        <v>55</v>
      </c>
      <c r="I1143" t="s">
        <v>29</v>
      </c>
      <c r="J1143" t="s">
        <v>46</v>
      </c>
      <c r="K1143" s="2">
        <v>6800</v>
      </c>
      <c r="L1143" s="2">
        <v>18000</v>
      </c>
      <c r="M1143">
        <v>36</v>
      </c>
      <c r="N1143" s="3">
        <v>0.23499999999999999</v>
      </c>
      <c r="O1143" t="s">
        <v>16</v>
      </c>
      <c r="Q1143">
        <v>1</v>
      </c>
      <c r="R1143">
        <v>0</v>
      </c>
      <c r="S1143" s="2">
        <v>18000</v>
      </c>
      <c r="T1143" s="4">
        <v>6.2600000000000003E-2</v>
      </c>
      <c r="U1143">
        <v>8</v>
      </c>
      <c r="V1143">
        <v>0</v>
      </c>
      <c r="W1143">
        <v>1</v>
      </c>
    </row>
    <row r="1144" spans="1:23" ht="16.5" x14ac:dyDescent="0.3">
      <c r="A1144" t="s">
        <v>1200</v>
      </c>
      <c r="B1144" s="1">
        <v>45463</v>
      </c>
      <c r="C1144">
        <v>2024</v>
      </c>
      <c r="D1144" t="s">
        <v>688</v>
      </c>
      <c r="E1144" t="s">
        <v>1096</v>
      </c>
      <c r="F1144" t="s">
        <v>26</v>
      </c>
      <c r="G1144" t="s">
        <v>51</v>
      </c>
      <c r="H1144" t="s">
        <v>34</v>
      </c>
      <c r="I1144" t="s">
        <v>29</v>
      </c>
      <c r="J1144" t="s">
        <v>43</v>
      </c>
      <c r="K1144" s="2">
        <v>4700</v>
      </c>
      <c r="L1144" s="2">
        <v>39500</v>
      </c>
      <c r="M1144">
        <v>60</v>
      </c>
      <c r="N1144" s="3">
        <v>0.41399999999999998</v>
      </c>
      <c r="O1144" t="s">
        <v>17</v>
      </c>
      <c r="P1144" t="s">
        <v>31</v>
      </c>
      <c r="Q1144">
        <v>0</v>
      </c>
      <c r="R1144">
        <v>1</v>
      </c>
      <c r="S1144" s="2">
        <v>0</v>
      </c>
      <c r="T1144" s="4"/>
      <c r="U1144">
        <v>5</v>
      </c>
      <c r="V1144">
        <v>0</v>
      </c>
      <c r="W1144">
        <v>1</v>
      </c>
    </row>
    <row r="1145" spans="1:23" ht="16.5" x14ac:dyDescent="0.3">
      <c r="A1145" t="s">
        <v>1201</v>
      </c>
      <c r="B1145" s="1">
        <v>45463</v>
      </c>
      <c r="C1145">
        <v>2024</v>
      </c>
      <c r="D1145" t="s">
        <v>688</v>
      </c>
      <c r="E1145" t="s">
        <v>1096</v>
      </c>
      <c r="F1145" t="s">
        <v>37</v>
      </c>
      <c r="G1145" t="s">
        <v>45</v>
      </c>
      <c r="H1145" t="s">
        <v>38</v>
      </c>
      <c r="I1145" t="s">
        <v>29</v>
      </c>
      <c r="J1145" t="s">
        <v>52</v>
      </c>
      <c r="K1145" s="2">
        <v>5050</v>
      </c>
      <c r="L1145" s="2">
        <v>18000</v>
      </c>
      <c r="M1145">
        <v>60</v>
      </c>
      <c r="N1145" s="3">
        <v>0.24299999999999999</v>
      </c>
      <c r="O1145" t="s">
        <v>16</v>
      </c>
      <c r="Q1145">
        <v>1</v>
      </c>
      <c r="R1145">
        <v>0</v>
      </c>
      <c r="S1145" s="2">
        <v>18000</v>
      </c>
      <c r="T1145" s="4">
        <v>0.1201</v>
      </c>
      <c r="U1145">
        <v>2</v>
      </c>
      <c r="V1145">
        <v>1</v>
      </c>
      <c r="W1145">
        <v>1</v>
      </c>
    </row>
    <row r="1146" spans="1:23" ht="16.5" x14ac:dyDescent="0.3">
      <c r="A1146" t="s">
        <v>1202</v>
      </c>
      <c r="B1146" s="1">
        <v>45463</v>
      </c>
      <c r="C1146">
        <v>2024</v>
      </c>
      <c r="D1146" t="s">
        <v>688</v>
      </c>
      <c r="E1146" t="s">
        <v>1096</v>
      </c>
      <c r="F1146" t="s">
        <v>50</v>
      </c>
      <c r="G1146" t="s">
        <v>45</v>
      </c>
      <c r="H1146" t="s">
        <v>38</v>
      </c>
      <c r="I1146" t="s">
        <v>39</v>
      </c>
      <c r="J1146" t="s">
        <v>52</v>
      </c>
      <c r="K1146" s="2">
        <v>5150</v>
      </c>
      <c r="L1146" s="2">
        <v>228000</v>
      </c>
      <c r="M1146">
        <v>300</v>
      </c>
      <c r="N1146" s="3">
        <v>0.308</v>
      </c>
      <c r="O1146" t="s">
        <v>16</v>
      </c>
      <c r="Q1146">
        <v>1</v>
      </c>
      <c r="R1146">
        <v>0</v>
      </c>
      <c r="S1146" s="2">
        <v>228000</v>
      </c>
      <c r="T1146" s="4">
        <v>4.8899999999999999E-2</v>
      </c>
      <c r="U1146">
        <v>6</v>
      </c>
      <c r="V1146">
        <v>1</v>
      </c>
      <c r="W1146">
        <v>1</v>
      </c>
    </row>
    <row r="1147" spans="1:23" ht="16.5" x14ac:dyDescent="0.3">
      <c r="A1147" t="s">
        <v>1203</v>
      </c>
      <c r="B1147" s="1">
        <v>45463</v>
      </c>
      <c r="C1147">
        <v>2024</v>
      </c>
      <c r="D1147" t="s">
        <v>688</v>
      </c>
      <c r="E1147" t="s">
        <v>1096</v>
      </c>
      <c r="F1147" t="s">
        <v>37</v>
      </c>
      <c r="G1147" t="s">
        <v>51</v>
      </c>
      <c r="H1147" t="s">
        <v>38</v>
      </c>
      <c r="I1147" t="s">
        <v>29</v>
      </c>
      <c r="J1147" t="s">
        <v>43</v>
      </c>
      <c r="K1147" s="2">
        <v>4000</v>
      </c>
      <c r="L1147" s="2">
        <v>15500</v>
      </c>
      <c r="M1147">
        <v>24</v>
      </c>
      <c r="N1147" s="3">
        <v>0.33400000000000002</v>
      </c>
      <c r="O1147" t="s">
        <v>16</v>
      </c>
      <c r="Q1147">
        <v>1</v>
      </c>
      <c r="R1147">
        <v>0</v>
      </c>
      <c r="S1147" s="2">
        <v>14000</v>
      </c>
      <c r="T1147" s="4">
        <v>0.16089999999999999</v>
      </c>
      <c r="U1147">
        <v>9</v>
      </c>
      <c r="V1147">
        <v>0</v>
      </c>
      <c r="W1147">
        <v>1</v>
      </c>
    </row>
    <row r="1148" spans="1:23" ht="16.5" x14ac:dyDescent="0.3">
      <c r="A1148" t="s">
        <v>1204</v>
      </c>
      <c r="B1148" s="1">
        <v>45463</v>
      </c>
      <c r="C1148">
        <v>2024</v>
      </c>
      <c r="D1148" t="s">
        <v>688</v>
      </c>
      <c r="E1148" t="s">
        <v>1096</v>
      </c>
      <c r="F1148" t="s">
        <v>37</v>
      </c>
      <c r="G1148" t="s">
        <v>45</v>
      </c>
      <c r="H1148" t="s">
        <v>55</v>
      </c>
      <c r="I1148" t="s">
        <v>42</v>
      </c>
      <c r="J1148" t="s">
        <v>46</v>
      </c>
      <c r="K1148" s="2">
        <v>9050</v>
      </c>
      <c r="L1148" s="2">
        <v>25500</v>
      </c>
      <c r="M1148">
        <v>36</v>
      </c>
      <c r="N1148" s="3">
        <v>0.251</v>
      </c>
      <c r="O1148" t="s">
        <v>16</v>
      </c>
      <c r="Q1148">
        <v>1</v>
      </c>
      <c r="R1148">
        <v>0</v>
      </c>
      <c r="S1148" s="2">
        <v>25500</v>
      </c>
      <c r="T1148" s="4">
        <v>0.1157</v>
      </c>
      <c r="U1148">
        <v>4</v>
      </c>
      <c r="V1148">
        <v>0</v>
      </c>
      <c r="W1148">
        <v>1</v>
      </c>
    </row>
    <row r="1149" spans="1:23" ht="16.5" x14ac:dyDescent="0.3">
      <c r="A1149" t="s">
        <v>1205</v>
      </c>
      <c r="B1149" s="1">
        <v>45464</v>
      </c>
      <c r="C1149">
        <v>2024</v>
      </c>
      <c r="D1149" t="s">
        <v>688</v>
      </c>
      <c r="E1149" t="s">
        <v>1096</v>
      </c>
      <c r="F1149" t="s">
        <v>50</v>
      </c>
      <c r="G1149" t="s">
        <v>51</v>
      </c>
      <c r="H1149" t="s">
        <v>34</v>
      </c>
      <c r="I1149" t="s">
        <v>29</v>
      </c>
      <c r="J1149" t="s">
        <v>35</v>
      </c>
      <c r="K1149" s="2">
        <v>4800</v>
      </c>
      <c r="L1149" s="2">
        <v>193000</v>
      </c>
      <c r="M1149">
        <v>240</v>
      </c>
      <c r="N1149" s="3">
        <v>0.33300000000000002</v>
      </c>
      <c r="O1149" t="s">
        <v>16</v>
      </c>
      <c r="Q1149">
        <v>1</v>
      </c>
      <c r="R1149">
        <v>0</v>
      </c>
      <c r="S1149" s="2">
        <v>154500</v>
      </c>
      <c r="T1149" s="4">
        <v>5.5899999999999998E-2</v>
      </c>
      <c r="U1149">
        <v>17</v>
      </c>
      <c r="V1149">
        <v>0</v>
      </c>
      <c r="W1149">
        <v>1</v>
      </c>
    </row>
    <row r="1150" spans="1:23" ht="16.5" x14ac:dyDescent="0.3">
      <c r="A1150" t="s">
        <v>1206</v>
      </c>
      <c r="B1150" s="1">
        <v>45464</v>
      </c>
      <c r="C1150">
        <v>2024</v>
      </c>
      <c r="D1150" t="s">
        <v>688</v>
      </c>
      <c r="E1150" t="s">
        <v>1096</v>
      </c>
      <c r="F1150" t="s">
        <v>37</v>
      </c>
      <c r="G1150" t="s">
        <v>51</v>
      </c>
      <c r="H1150" t="s">
        <v>55</v>
      </c>
      <c r="I1150" t="s">
        <v>29</v>
      </c>
      <c r="J1150" t="s">
        <v>30</v>
      </c>
      <c r="K1150" s="2">
        <v>3550</v>
      </c>
      <c r="L1150" s="2">
        <v>14500</v>
      </c>
      <c r="M1150">
        <v>60</v>
      </c>
      <c r="N1150" s="3">
        <v>0.23</v>
      </c>
      <c r="O1150" t="s">
        <v>16</v>
      </c>
      <c r="Q1150">
        <v>1</v>
      </c>
      <c r="R1150">
        <v>0</v>
      </c>
      <c r="S1150" s="2">
        <v>14500</v>
      </c>
      <c r="T1150" s="4">
        <v>0.13539999999999999</v>
      </c>
      <c r="U1150">
        <v>5</v>
      </c>
      <c r="V1150">
        <v>0</v>
      </c>
      <c r="W1150">
        <v>1</v>
      </c>
    </row>
    <row r="1151" spans="1:23" ht="16.5" x14ac:dyDescent="0.3">
      <c r="A1151" t="s">
        <v>1207</v>
      </c>
      <c r="B1151" s="1">
        <v>45464</v>
      </c>
      <c r="C1151">
        <v>2024</v>
      </c>
      <c r="D1151" t="s">
        <v>688</v>
      </c>
      <c r="E1151" t="s">
        <v>1096</v>
      </c>
      <c r="F1151" t="s">
        <v>37</v>
      </c>
      <c r="G1151" t="s">
        <v>51</v>
      </c>
      <c r="H1151" t="s">
        <v>38</v>
      </c>
      <c r="I1151" t="s">
        <v>29</v>
      </c>
      <c r="J1151" t="s">
        <v>43</v>
      </c>
      <c r="K1151" s="2">
        <v>5600</v>
      </c>
      <c r="L1151" s="2">
        <v>15000</v>
      </c>
      <c r="M1151">
        <v>24</v>
      </c>
      <c r="N1151" s="3">
        <v>0.18</v>
      </c>
      <c r="O1151" t="s">
        <v>16</v>
      </c>
      <c r="Q1151">
        <v>1</v>
      </c>
      <c r="R1151">
        <v>0</v>
      </c>
      <c r="S1151" s="2">
        <v>15000</v>
      </c>
      <c r="T1151" s="4">
        <v>0.1608</v>
      </c>
      <c r="U1151">
        <v>3</v>
      </c>
      <c r="V1151">
        <v>1</v>
      </c>
      <c r="W1151">
        <v>1</v>
      </c>
    </row>
    <row r="1152" spans="1:23" ht="16.5" x14ac:dyDescent="0.3">
      <c r="A1152" t="s">
        <v>1208</v>
      </c>
      <c r="B1152" s="1">
        <v>45464</v>
      </c>
      <c r="C1152">
        <v>2024</v>
      </c>
      <c r="D1152" t="s">
        <v>688</v>
      </c>
      <c r="E1152" t="s">
        <v>1096</v>
      </c>
      <c r="F1152" t="s">
        <v>37</v>
      </c>
      <c r="G1152" t="s">
        <v>51</v>
      </c>
      <c r="H1152" t="s">
        <v>55</v>
      </c>
      <c r="I1152" t="s">
        <v>42</v>
      </c>
      <c r="J1152" t="s">
        <v>46</v>
      </c>
      <c r="K1152" s="2">
        <v>5400</v>
      </c>
      <c r="L1152" s="2">
        <v>14500</v>
      </c>
      <c r="M1152">
        <v>24</v>
      </c>
      <c r="N1152" s="3">
        <v>0.29499999999999998</v>
      </c>
      <c r="O1152" t="s">
        <v>16</v>
      </c>
      <c r="Q1152">
        <v>1</v>
      </c>
      <c r="R1152">
        <v>0</v>
      </c>
      <c r="S1152" s="2">
        <v>14500</v>
      </c>
      <c r="T1152" s="4">
        <v>0.11020000000000001</v>
      </c>
      <c r="U1152">
        <v>6</v>
      </c>
      <c r="V1152">
        <v>0</v>
      </c>
      <c r="W1152">
        <v>1</v>
      </c>
    </row>
    <row r="1153" spans="1:23" ht="16.5" x14ac:dyDescent="0.3">
      <c r="A1153" t="s">
        <v>1209</v>
      </c>
      <c r="B1153" s="1">
        <v>45465</v>
      </c>
      <c r="C1153">
        <v>2024</v>
      </c>
      <c r="D1153" t="s">
        <v>688</v>
      </c>
      <c r="E1153" t="s">
        <v>1096</v>
      </c>
      <c r="F1153" t="s">
        <v>37</v>
      </c>
      <c r="G1153" t="s">
        <v>33</v>
      </c>
      <c r="H1153" t="s">
        <v>55</v>
      </c>
      <c r="I1153" t="s">
        <v>29</v>
      </c>
      <c r="J1153" t="s">
        <v>52</v>
      </c>
      <c r="K1153" s="2">
        <v>5800</v>
      </c>
      <c r="L1153" s="2">
        <v>7000</v>
      </c>
      <c r="M1153">
        <v>48</v>
      </c>
      <c r="N1153" s="3">
        <v>0.19500000000000001</v>
      </c>
      <c r="O1153" t="s">
        <v>16</v>
      </c>
      <c r="Q1153">
        <v>1</v>
      </c>
      <c r="R1153">
        <v>0</v>
      </c>
      <c r="S1153" s="2">
        <v>7000</v>
      </c>
      <c r="T1153" s="4">
        <v>0.1148</v>
      </c>
      <c r="U1153">
        <v>2</v>
      </c>
      <c r="V1153">
        <v>1</v>
      </c>
      <c r="W1153">
        <v>1</v>
      </c>
    </row>
    <row r="1154" spans="1:23" ht="16.5" x14ac:dyDescent="0.3">
      <c r="A1154" t="s">
        <v>1210</v>
      </c>
      <c r="B1154" s="1">
        <v>45465</v>
      </c>
      <c r="C1154">
        <v>2024</v>
      </c>
      <c r="D1154" t="s">
        <v>688</v>
      </c>
      <c r="E1154" t="s">
        <v>1096</v>
      </c>
      <c r="F1154" t="s">
        <v>37</v>
      </c>
      <c r="G1154" t="s">
        <v>51</v>
      </c>
      <c r="H1154" t="s">
        <v>28</v>
      </c>
      <c r="I1154" t="s">
        <v>29</v>
      </c>
      <c r="J1154" t="s">
        <v>30</v>
      </c>
      <c r="K1154" s="2">
        <v>2300</v>
      </c>
      <c r="L1154" s="2">
        <v>10500</v>
      </c>
      <c r="M1154">
        <v>36</v>
      </c>
      <c r="N1154" s="3">
        <v>0.26100000000000001</v>
      </c>
      <c r="O1154" t="s">
        <v>17</v>
      </c>
      <c r="P1154" t="s">
        <v>31</v>
      </c>
      <c r="Q1154">
        <v>0</v>
      </c>
      <c r="R1154">
        <v>1</v>
      </c>
      <c r="S1154" s="2">
        <v>0</v>
      </c>
      <c r="T1154" s="4"/>
      <c r="U1154">
        <v>4</v>
      </c>
      <c r="V1154">
        <v>0</v>
      </c>
      <c r="W1154">
        <v>1</v>
      </c>
    </row>
    <row r="1155" spans="1:23" ht="16.5" x14ac:dyDescent="0.3">
      <c r="A1155" t="s">
        <v>1211</v>
      </c>
      <c r="B1155" s="1">
        <v>45465</v>
      </c>
      <c r="C1155">
        <v>2024</v>
      </c>
      <c r="D1155" t="s">
        <v>688</v>
      </c>
      <c r="E1155" t="s">
        <v>1096</v>
      </c>
      <c r="F1155" t="s">
        <v>50</v>
      </c>
      <c r="G1155" t="s">
        <v>27</v>
      </c>
      <c r="H1155" t="s">
        <v>55</v>
      </c>
      <c r="I1155" t="s">
        <v>29</v>
      </c>
      <c r="J1155" t="s">
        <v>35</v>
      </c>
      <c r="K1155" s="2">
        <v>5300</v>
      </c>
      <c r="L1155" s="2">
        <v>168500</v>
      </c>
      <c r="M1155">
        <v>240</v>
      </c>
      <c r="N1155" s="3">
        <v>0.32900000000000001</v>
      </c>
      <c r="O1155" t="s">
        <v>16</v>
      </c>
      <c r="Q1155">
        <v>1</v>
      </c>
      <c r="R1155">
        <v>0</v>
      </c>
      <c r="S1155" s="2">
        <v>168500</v>
      </c>
      <c r="T1155" s="4">
        <v>5.6000000000000001E-2</v>
      </c>
      <c r="U1155">
        <v>14</v>
      </c>
      <c r="V1155">
        <v>1</v>
      </c>
      <c r="W1155">
        <v>1</v>
      </c>
    </row>
    <row r="1156" spans="1:23" ht="16.5" x14ac:dyDescent="0.3">
      <c r="A1156" t="s">
        <v>1212</v>
      </c>
      <c r="B1156" s="1">
        <v>45465</v>
      </c>
      <c r="C1156">
        <v>2024</v>
      </c>
      <c r="D1156" t="s">
        <v>688</v>
      </c>
      <c r="E1156" t="s">
        <v>1096</v>
      </c>
      <c r="F1156" t="s">
        <v>37</v>
      </c>
      <c r="G1156" t="s">
        <v>33</v>
      </c>
      <c r="H1156" t="s">
        <v>28</v>
      </c>
      <c r="I1156" t="s">
        <v>39</v>
      </c>
      <c r="J1156" t="s">
        <v>52</v>
      </c>
      <c r="K1156" s="2">
        <v>3000</v>
      </c>
      <c r="L1156" s="2">
        <v>8500</v>
      </c>
      <c r="M1156">
        <v>12</v>
      </c>
      <c r="N1156" s="3">
        <v>0.36199999999999999</v>
      </c>
      <c r="O1156" t="s">
        <v>16</v>
      </c>
      <c r="Q1156">
        <v>1</v>
      </c>
      <c r="R1156">
        <v>0</v>
      </c>
      <c r="S1156" s="2">
        <v>8500</v>
      </c>
      <c r="T1156" s="4">
        <v>0.11169999999999999</v>
      </c>
      <c r="U1156">
        <v>2</v>
      </c>
      <c r="V1156">
        <v>1</v>
      </c>
      <c r="W1156">
        <v>1</v>
      </c>
    </row>
    <row r="1157" spans="1:23" ht="16.5" x14ac:dyDescent="0.3">
      <c r="A1157" t="s">
        <v>1213</v>
      </c>
      <c r="B1157" s="1">
        <v>45466</v>
      </c>
      <c r="C1157">
        <v>2024</v>
      </c>
      <c r="D1157" t="s">
        <v>688</v>
      </c>
      <c r="E1157" t="s">
        <v>1096</v>
      </c>
      <c r="F1157" t="s">
        <v>41</v>
      </c>
      <c r="G1157" t="s">
        <v>45</v>
      </c>
      <c r="H1157" t="s">
        <v>38</v>
      </c>
      <c r="I1157" t="s">
        <v>39</v>
      </c>
      <c r="J1157" t="s">
        <v>52</v>
      </c>
      <c r="K1157" s="2">
        <v>9700</v>
      </c>
      <c r="L1157" s="2">
        <v>53500</v>
      </c>
      <c r="M1157">
        <v>60</v>
      </c>
      <c r="N1157" s="3">
        <v>0.35499999999999998</v>
      </c>
      <c r="O1157" t="s">
        <v>16</v>
      </c>
      <c r="Q1157">
        <v>1</v>
      </c>
      <c r="R1157">
        <v>0</v>
      </c>
      <c r="S1157" s="2">
        <v>53500</v>
      </c>
      <c r="T1157" s="4">
        <v>9.6199999999999994E-2</v>
      </c>
      <c r="U1157">
        <v>5</v>
      </c>
      <c r="V1157">
        <v>1</v>
      </c>
      <c r="W1157">
        <v>1</v>
      </c>
    </row>
    <row r="1158" spans="1:23" ht="16.5" x14ac:dyDescent="0.3">
      <c r="A1158" t="s">
        <v>1214</v>
      </c>
      <c r="B1158" s="1">
        <v>45466</v>
      </c>
      <c r="C1158">
        <v>2024</v>
      </c>
      <c r="D1158" t="s">
        <v>688</v>
      </c>
      <c r="E1158" t="s">
        <v>1096</v>
      </c>
      <c r="F1158" t="s">
        <v>26</v>
      </c>
      <c r="G1158" t="s">
        <v>51</v>
      </c>
      <c r="H1158" t="s">
        <v>55</v>
      </c>
      <c r="I1158" t="s">
        <v>39</v>
      </c>
      <c r="J1158" t="s">
        <v>30</v>
      </c>
      <c r="K1158" s="2">
        <v>4650</v>
      </c>
      <c r="L1158" s="2">
        <v>38500</v>
      </c>
      <c r="M1158">
        <v>60</v>
      </c>
      <c r="N1158" s="3">
        <v>0.33</v>
      </c>
      <c r="O1158" t="s">
        <v>16</v>
      </c>
      <c r="Q1158">
        <v>1</v>
      </c>
      <c r="R1158">
        <v>0</v>
      </c>
      <c r="S1158" s="2">
        <v>38500</v>
      </c>
      <c r="T1158" s="4">
        <v>9.8799999999999999E-2</v>
      </c>
      <c r="U1158">
        <v>8</v>
      </c>
      <c r="V1158">
        <v>0</v>
      </c>
      <c r="W1158">
        <v>1</v>
      </c>
    </row>
    <row r="1159" spans="1:23" ht="16.5" x14ac:dyDescent="0.3">
      <c r="A1159" t="s">
        <v>1215</v>
      </c>
      <c r="B1159" s="1">
        <v>45466</v>
      </c>
      <c r="C1159">
        <v>2024</v>
      </c>
      <c r="D1159" t="s">
        <v>688</v>
      </c>
      <c r="E1159" t="s">
        <v>1096</v>
      </c>
      <c r="F1159" t="s">
        <v>26</v>
      </c>
      <c r="G1159" t="s">
        <v>45</v>
      </c>
      <c r="H1159" t="s">
        <v>55</v>
      </c>
      <c r="I1159" t="s">
        <v>42</v>
      </c>
      <c r="J1159" t="s">
        <v>52</v>
      </c>
      <c r="K1159" s="2">
        <v>9150</v>
      </c>
      <c r="L1159" s="2">
        <v>33000</v>
      </c>
      <c r="M1159">
        <v>48</v>
      </c>
      <c r="N1159" s="3">
        <v>0.20699999999999999</v>
      </c>
      <c r="O1159" t="s">
        <v>17</v>
      </c>
      <c r="P1159" t="s">
        <v>60</v>
      </c>
      <c r="Q1159">
        <v>0</v>
      </c>
      <c r="R1159">
        <v>1</v>
      </c>
      <c r="S1159" s="2">
        <v>0</v>
      </c>
      <c r="T1159" s="4"/>
      <c r="U1159">
        <v>9</v>
      </c>
      <c r="V1159">
        <v>0</v>
      </c>
      <c r="W1159">
        <v>1</v>
      </c>
    </row>
    <row r="1160" spans="1:23" ht="16.5" x14ac:dyDescent="0.3">
      <c r="A1160" t="s">
        <v>1216</v>
      </c>
      <c r="B1160" s="1">
        <v>45466</v>
      </c>
      <c r="C1160">
        <v>2024</v>
      </c>
      <c r="D1160" t="s">
        <v>688</v>
      </c>
      <c r="E1160" t="s">
        <v>1096</v>
      </c>
      <c r="F1160" t="s">
        <v>26</v>
      </c>
      <c r="G1160" t="s">
        <v>51</v>
      </c>
      <c r="H1160" t="s">
        <v>38</v>
      </c>
      <c r="I1160" t="s">
        <v>39</v>
      </c>
      <c r="J1160" t="s">
        <v>35</v>
      </c>
      <c r="K1160" s="2">
        <v>5400</v>
      </c>
      <c r="L1160" s="2">
        <v>32500</v>
      </c>
      <c r="M1160">
        <v>60</v>
      </c>
      <c r="N1160" s="3">
        <v>0.23300000000000001</v>
      </c>
      <c r="O1160" t="s">
        <v>17</v>
      </c>
      <c r="P1160" t="s">
        <v>31</v>
      </c>
      <c r="Q1160">
        <v>0</v>
      </c>
      <c r="R1160">
        <v>1</v>
      </c>
      <c r="S1160" s="2">
        <v>0</v>
      </c>
      <c r="T1160" s="4"/>
      <c r="U1160">
        <v>5</v>
      </c>
      <c r="V1160">
        <v>0</v>
      </c>
      <c r="W1160">
        <v>1</v>
      </c>
    </row>
    <row r="1161" spans="1:23" ht="16.5" x14ac:dyDescent="0.3">
      <c r="A1161" t="s">
        <v>1217</v>
      </c>
      <c r="B1161" s="1">
        <v>45466</v>
      </c>
      <c r="C1161">
        <v>2024</v>
      </c>
      <c r="D1161" t="s">
        <v>688</v>
      </c>
      <c r="E1161" t="s">
        <v>1096</v>
      </c>
      <c r="F1161" t="s">
        <v>41</v>
      </c>
      <c r="G1161" t="s">
        <v>33</v>
      </c>
      <c r="H1161" t="s">
        <v>28</v>
      </c>
      <c r="I1161" t="s">
        <v>29</v>
      </c>
      <c r="J1161" t="s">
        <v>35</v>
      </c>
      <c r="K1161" s="2">
        <v>3950</v>
      </c>
      <c r="L1161" s="2">
        <v>126500</v>
      </c>
      <c r="M1161">
        <v>60</v>
      </c>
      <c r="N1161" s="3">
        <v>0.81200000000000006</v>
      </c>
      <c r="O1161" t="s">
        <v>125</v>
      </c>
      <c r="Q1161">
        <v>0</v>
      </c>
      <c r="R1161">
        <v>0</v>
      </c>
      <c r="S1161" s="2">
        <v>0</v>
      </c>
      <c r="T1161" s="4"/>
      <c r="U1161">
        <v>6</v>
      </c>
      <c r="V1161">
        <v>1</v>
      </c>
      <c r="W1161">
        <v>1</v>
      </c>
    </row>
    <row r="1162" spans="1:23" ht="16.5" x14ac:dyDescent="0.3">
      <c r="A1162" t="s">
        <v>1218</v>
      </c>
      <c r="B1162" s="1">
        <v>45467</v>
      </c>
      <c r="C1162">
        <v>2024</v>
      </c>
      <c r="D1162" t="s">
        <v>688</v>
      </c>
      <c r="E1162" t="s">
        <v>1096</v>
      </c>
      <c r="F1162" t="s">
        <v>26</v>
      </c>
      <c r="G1162" t="s">
        <v>51</v>
      </c>
      <c r="H1162" t="s">
        <v>55</v>
      </c>
      <c r="I1162" t="s">
        <v>39</v>
      </c>
      <c r="J1162" t="s">
        <v>52</v>
      </c>
      <c r="K1162" s="2">
        <v>3900</v>
      </c>
      <c r="L1162" s="2">
        <v>24500</v>
      </c>
      <c r="M1162">
        <v>36</v>
      </c>
      <c r="N1162" s="3">
        <v>0.33200000000000002</v>
      </c>
      <c r="O1162" t="s">
        <v>17</v>
      </c>
      <c r="P1162" t="s">
        <v>60</v>
      </c>
      <c r="Q1162">
        <v>0</v>
      </c>
      <c r="R1162">
        <v>1</v>
      </c>
      <c r="S1162" s="2">
        <v>0</v>
      </c>
      <c r="T1162" s="4"/>
      <c r="U1162">
        <v>13</v>
      </c>
      <c r="V1162">
        <v>0</v>
      </c>
      <c r="W1162">
        <v>1</v>
      </c>
    </row>
    <row r="1163" spans="1:23" ht="16.5" x14ac:dyDescent="0.3">
      <c r="A1163" t="s">
        <v>1219</v>
      </c>
      <c r="B1163" s="1">
        <v>45467</v>
      </c>
      <c r="C1163">
        <v>2024</v>
      </c>
      <c r="D1163" t="s">
        <v>688</v>
      </c>
      <c r="E1163" t="s">
        <v>1096</v>
      </c>
      <c r="F1163" t="s">
        <v>37</v>
      </c>
      <c r="G1163" t="s">
        <v>27</v>
      </c>
      <c r="H1163" t="s">
        <v>38</v>
      </c>
      <c r="I1163" t="s">
        <v>42</v>
      </c>
      <c r="J1163" t="s">
        <v>52</v>
      </c>
      <c r="K1163" s="2">
        <v>11200</v>
      </c>
      <c r="L1163" s="2">
        <v>15000</v>
      </c>
      <c r="M1163">
        <v>60</v>
      </c>
      <c r="N1163" s="3">
        <v>8.3000000000000004E-2</v>
      </c>
      <c r="O1163" t="s">
        <v>16</v>
      </c>
      <c r="Q1163">
        <v>1</v>
      </c>
      <c r="R1163">
        <v>0</v>
      </c>
      <c r="S1163" s="2">
        <v>12000</v>
      </c>
      <c r="T1163" s="4">
        <v>0.11890000000000001</v>
      </c>
      <c r="U1163">
        <v>2</v>
      </c>
      <c r="V1163">
        <v>1</v>
      </c>
      <c r="W1163">
        <v>1</v>
      </c>
    </row>
    <row r="1164" spans="1:23" ht="16.5" x14ac:dyDescent="0.3">
      <c r="A1164" t="s">
        <v>1220</v>
      </c>
      <c r="B1164" s="1">
        <v>45467</v>
      </c>
      <c r="C1164">
        <v>2024</v>
      </c>
      <c r="D1164" t="s">
        <v>688</v>
      </c>
      <c r="E1164" t="s">
        <v>1096</v>
      </c>
      <c r="F1164" t="s">
        <v>37</v>
      </c>
      <c r="G1164" t="s">
        <v>51</v>
      </c>
      <c r="H1164" t="s">
        <v>38</v>
      </c>
      <c r="I1164" t="s">
        <v>29</v>
      </c>
      <c r="J1164" t="s">
        <v>30</v>
      </c>
      <c r="K1164" s="2">
        <v>3700</v>
      </c>
      <c r="L1164" s="2">
        <v>12500</v>
      </c>
      <c r="M1164">
        <v>48</v>
      </c>
      <c r="N1164" s="3">
        <v>0.20300000000000001</v>
      </c>
      <c r="O1164" t="s">
        <v>16</v>
      </c>
      <c r="Q1164">
        <v>1</v>
      </c>
      <c r="R1164">
        <v>0</v>
      </c>
      <c r="S1164" s="2">
        <v>11000</v>
      </c>
      <c r="T1164" s="4">
        <v>0.14180000000000001</v>
      </c>
      <c r="U1164">
        <v>6</v>
      </c>
      <c r="V1164">
        <v>0</v>
      </c>
      <c r="W1164">
        <v>1</v>
      </c>
    </row>
    <row r="1165" spans="1:23" ht="16.5" x14ac:dyDescent="0.3">
      <c r="A1165" t="s">
        <v>1221</v>
      </c>
      <c r="B1165" s="1">
        <v>45467</v>
      </c>
      <c r="C1165">
        <v>2024</v>
      </c>
      <c r="D1165" t="s">
        <v>688</v>
      </c>
      <c r="E1165" t="s">
        <v>1096</v>
      </c>
      <c r="F1165" t="s">
        <v>26</v>
      </c>
      <c r="G1165" t="s">
        <v>45</v>
      </c>
      <c r="H1165" t="s">
        <v>34</v>
      </c>
      <c r="I1165" t="s">
        <v>29</v>
      </c>
      <c r="J1165" t="s">
        <v>52</v>
      </c>
      <c r="K1165" s="2">
        <v>2750</v>
      </c>
      <c r="L1165" s="2">
        <v>35500</v>
      </c>
      <c r="M1165">
        <v>60</v>
      </c>
      <c r="N1165" s="3">
        <v>0.32900000000000001</v>
      </c>
      <c r="O1165" t="s">
        <v>16</v>
      </c>
      <c r="Q1165">
        <v>1</v>
      </c>
      <c r="R1165">
        <v>0</v>
      </c>
      <c r="S1165" s="2">
        <v>28500</v>
      </c>
      <c r="T1165" s="4">
        <v>7.0499999999999993E-2</v>
      </c>
      <c r="U1165">
        <v>5</v>
      </c>
      <c r="V1165">
        <v>0</v>
      </c>
      <c r="W1165">
        <v>1</v>
      </c>
    </row>
    <row r="1166" spans="1:23" ht="16.5" x14ac:dyDescent="0.3">
      <c r="A1166" t="s">
        <v>1222</v>
      </c>
      <c r="B1166" s="1">
        <v>45468</v>
      </c>
      <c r="C1166">
        <v>2024</v>
      </c>
      <c r="D1166" t="s">
        <v>688</v>
      </c>
      <c r="E1166" t="s">
        <v>1096</v>
      </c>
      <c r="F1166" t="s">
        <v>41</v>
      </c>
      <c r="G1166" t="s">
        <v>45</v>
      </c>
      <c r="H1166" t="s">
        <v>38</v>
      </c>
      <c r="I1166" t="s">
        <v>39</v>
      </c>
      <c r="J1166" t="s">
        <v>46</v>
      </c>
      <c r="K1166" s="2">
        <v>6950</v>
      </c>
      <c r="L1166" s="2">
        <v>65500</v>
      </c>
      <c r="M1166">
        <v>24</v>
      </c>
      <c r="N1166" s="3">
        <v>0.48799999999999999</v>
      </c>
      <c r="O1166" t="s">
        <v>16</v>
      </c>
      <c r="Q1166">
        <v>1</v>
      </c>
      <c r="R1166">
        <v>0</v>
      </c>
      <c r="S1166" s="2">
        <v>59000</v>
      </c>
      <c r="T1166" s="4">
        <v>9.3899999999999997E-2</v>
      </c>
      <c r="U1166">
        <v>7</v>
      </c>
      <c r="V1166">
        <v>1</v>
      </c>
      <c r="W1166">
        <v>1</v>
      </c>
    </row>
    <row r="1167" spans="1:23" ht="16.5" x14ac:dyDescent="0.3">
      <c r="A1167" t="s">
        <v>1223</v>
      </c>
      <c r="B1167" s="1">
        <v>45468</v>
      </c>
      <c r="C1167">
        <v>2024</v>
      </c>
      <c r="D1167" t="s">
        <v>688</v>
      </c>
      <c r="E1167" t="s">
        <v>1096</v>
      </c>
      <c r="F1167" t="s">
        <v>26</v>
      </c>
      <c r="G1167" t="s">
        <v>51</v>
      </c>
      <c r="H1167" t="s">
        <v>38</v>
      </c>
      <c r="I1167" t="s">
        <v>39</v>
      </c>
      <c r="J1167" t="s">
        <v>35</v>
      </c>
      <c r="K1167" s="2">
        <v>6050</v>
      </c>
      <c r="L1167" s="2">
        <v>19000</v>
      </c>
      <c r="M1167">
        <v>60</v>
      </c>
      <c r="N1167" s="3">
        <v>0.155</v>
      </c>
      <c r="O1167" t="s">
        <v>16</v>
      </c>
      <c r="Q1167">
        <v>1</v>
      </c>
      <c r="R1167">
        <v>0</v>
      </c>
      <c r="S1167" s="2">
        <v>19000</v>
      </c>
      <c r="T1167" s="4">
        <v>8.7099999999999997E-2</v>
      </c>
      <c r="U1167">
        <v>10</v>
      </c>
      <c r="V1167">
        <v>0</v>
      </c>
      <c r="W1167">
        <v>1</v>
      </c>
    </row>
    <row r="1168" spans="1:23" ht="16.5" x14ac:dyDescent="0.3">
      <c r="A1168" t="s">
        <v>1224</v>
      </c>
      <c r="B1168" s="1">
        <v>45468</v>
      </c>
      <c r="C1168">
        <v>2024</v>
      </c>
      <c r="D1168" t="s">
        <v>688</v>
      </c>
      <c r="E1168" t="s">
        <v>1096</v>
      </c>
      <c r="F1168" t="s">
        <v>26</v>
      </c>
      <c r="G1168" t="s">
        <v>33</v>
      </c>
      <c r="H1168" t="s">
        <v>28</v>
      </c>
      <c r="I1168" t="s">
        <v>39</v>
      </c>
      <c r="J1168" t="s">
        <v>46</v>
      </c>
      <c r="K1168" s="2">
        <v>8350</v>
      </c>
      <c r="L1168" s="2">
        <v>14000</v>
      </c>
      <c r="M1168">
        <v>36</v>
      </c>
      <c r="N1168" s="3">
        <v>0.13300000000000001</v>
      </c>
      <c r="O1168" t="s">
        <v>16</v>
      </c>
      <c r="Q1168">
        <v>1</v>
      </c>
      <c r="R1168">
        <v>0</v>
      </c>
      <c r="S1168" s="2">
        <v>11000</v>
      </c>
      <c r="T1168" s="4">
        <v>6.8000000000000005E-2</v>
      </c>
      <c r="U1168">
        <v>6</v>
      </c>
      <c r="V1168">
        <v>0</v>
      </c>
      <c r="W1168">
        <v>1</v>
      </c>
    </row>
    <row r="1169" spans="1:23" ht="16.5" x14ac:dyDescent="0.3">
      <c r="A1169" t="s">
        <v>1225</v>
      </c>
      <c r="B1169" s="1">
        <v>45468</v>
      </c>
      <c r="C1169">
        <v>2024</v>
      </c>
      <c r="D1169" t="s">
        <v>688</v>
      </c>
      <c r="E1169" t="s">
        <v>1096</v>
      </c>
      <c r="F1169" t="s">
        <v>50</v>
      </c>
      <c r="G1169" t="s">
        <v>51</v>
      </c>
      <c r="H1169" t="s">
        <v>55</v>
      </c>
      <c r="I1169" t="s">
        <v>29</v>
      </c>
      <c r="J1169" t="s">
        <v>30</v>
      </c>
      <c r="K1169" s="2">
        <v>5300</v>
      </c>
      <c r="L1169" s="2">
        <v>319000</v>
      </c>
      <c r="M1169">
        <v>240</v>
      </c>
      <c r="N1169" s="3">
        <v>0.48199999999999998</v>
      </c>
      <c r="O1169" t="s">
        <v>17</v>
      </c>
      <c r="P1169" t="s">
        <v>53</v>
      </c>
      <c r="Q1169">
        <v>0</v>
      </c>
      <c r="R1169">
        <v>1</v>
      </c>
      <c r="S1169" s="2">
        <v>0</v>
      </c>
      <c r="T1169" s="4"/>
      <c r="U1169">
        <v>22</v>
      </c>
      <c r="V1169">
        <v>0</v>
      </c>
      <c r="W1169">
        <v>1</v>
      </c>
    </row>
    <row r="1170" spans="1:23" ht="16.5" x14ac:dyDescent="0.3">
      <c r="A1170" t="s">
        <v>1226</v>
      </c>
      <c r="B1170" s="1">
        <v>45468</v>
      </c>
      <c r="C1170">
        <v>2024</v>
      </c>
      <c r="D1170" t="s">
        <v>688</v>
      </c>
      <c r="E1170" t="s">
        <v>1096</v>
      </c>
      <c r="F1170" t="s">
        <v>37</v>
      </c>
      <c r="G1170" t="s">
        <v>33</v>
      </c>
      <c r="H1170" t="s">
        <v>38</v>
      </c>
      <c r="I1170" t="s">
        <v>29</v>
      </c>
      <c r="J1170" t="s">
        <v>52</v>
      </c>
      <c r="K1170" s="2">
        <v>6100</v>
      </c>
      <c r="L1170" s="2">
        <v>7500</v>
      </c>
      <c r="M1170">
        <v>36</v>
      </c>
      <c r="N1170" s="3">
        <v>0.23</v>
      </c>
      <c r="O1170" t="s">
        <v>16</v>
      </c>
      <c r="Q1170">
        <v>1</v>
      </c>
      <c r="R1170">
        <v>0</v>
      </c>
      <c r="S1170" s="2">
        <v>7500</v>
      </c>
      <c r="T1170" s="4">
        <v>0.11119999999999999</v>
      </c>
      <c r="U1170">
        <v>4</v>
      </c>
      <c r="V1170">
        <v>0</v>
      </c>
      <c r="W1170">
        <v>1</v>
      </c>
    </row>
    <row r="1171" spans="1:23" ht="16.5" x14ac:dyDescent="0.3">
      <c r="A1171" t="s">
        <v>1227</v>
      </c>
      <c r="B1171" s="1">
        <v>45468</v>
      </c>
      <c r="C1171">
        <v>2024</v>
      </c>
      <c r="D1171" t="s">
        <v>688</v>
      </c>
      <c r="E1171" t="s">
        <v>1096</v>
      </c>
      <c r="F1171" t="s">
        <v>37</v>
      </c>
      <c r="G1171" t="s">
        <v>33</v>
      </c>
      <c r="H1171" t="s">
        <v>64</v>
      </c>
      <c r="I1171" t="s">
        <v>39</v>
      </c>
      <c r="J1171" t="s">
        <v>30</v>
      </c>
      <c r="K1171" s="2">
        <v>3700</v>
      </c>
      <c r="L1171" s="2">
        <v>14000</v>
      </c>
      <c r="M1171">
        <v>60</v>
      </c>
      <c r="N1171" s="3">
        <v>0.19500000000000001</v>
      </c>
      <c r="O1171" t="s">
        <v>17</v>
      </c>
      <c r="P1171" t="s">
        <v>31</v>
      </c>
      <c r="Q1171">
        <v>0</v>
      </c>
      <c r="R1171">
        <v>1</v>
      </c>
      <c r="S1171" s="2">
        <v>0</v>
      </c>
      <c r="T1171" s="4"/>
      <c r="U1171">
        <v>2</v>
      </c>
      <c r="V1171">
        <v>1</v>
      </c>
      <c r="W1171">
        <v>1</v>
      </c>
    </row>
    <row r="1172" spans="1:23" ht="16.5" x14ac:dyDescent="0.3">
      <c r="A1172" t="s">
        <v>1228</v>
      </c>
      <c r="B1172" s="1">
        <v>45469</v>
      </c>
      <c r="C1172">
        <v>2024</v>
      </c>
      <c r="D1172" t="s">
        <v>688</v>
      </c>
      <c r="E1172" t="s">
        <v>1096</v>
      </c>
      <c r="F1172" t="s">
        <v>41</v>
      </c>
      <c r="G1172" t="s">
        <v>45</v>
      </c>
      <c r="H1172" t="s">
        <v>38</v>
      </c>
      <c r="I1172" t="s">
        <v>29</v>
      </c>
      <c r="J1172" t="s">
        <v>30</v>
      </c>
      <c r="K1172" s="2">
        <v>4950</v>
      </c>
      <c r="L1172" s="2">
        <v>85500</v>
      </c>
      <c r="M1172">
        <v>36</v>
      </c>
      <c r="N1172" s="3">
        <v>0.73899999999999999</v>
      </c>
      <c r="O1172" t="s">
        <v>17</v>
      </c>
      <c r="P1172" t="s">
        <v>60</v>
      </c>
      <c r="Q1172">
        <v>0</v>
      </c>
      <c r="R1172">
        <v>1</v>
      </c>
      <c r="S1172" s="2">
        <v>0</v>
      </c>
      <c r="T1172" s="4"/>
      <c r="U1172">
        <v>13</v>
      </c>
      <c r="V1172">
        <v>0</v>
      </c>
      <c r="W1172">
        <v>1</v>
      </c>
    </row>
    <row r="1173" spans="1:23" ht="16.5" x14ac:dyDescent="0.3">
      <c r="A1173" t="s">
        <v>1229</v>
      </c>
      <c r="B1173" s="1">
        <v>45469</v>
      </c>
      <c r="C1173">
        <v>2024</v>
      </c>
      <c r="D1173" t="s">
        <v>688</v>
      </c>
      <c r="E1173" t="s">
        <v>1096</v>
      </c>
      <c r="F1173" t="s">
        <v>37</v>
      </c>
      <c r="G1173" t="s">
        <v>45</v>
      </c>
      <c r="H1173" t="s">
        <v>38</v>
      </c>
      <c r="I1173" t="s">
        <v>29</v>
      </c>
      <c r="J1173" t="s">
        <v>35</v>
      </c>
      <c r="K1173" s="2">
        <v>5200</v>
      </c>
      <c r="L1173" s="2">
        <v>15000</v>
      </c>
      <c r="M1173">
        <v>48</v>
      </c>
      <c r="N1173" s="3">
        <v>0.13</v>
      </c>
      <c r="O1173" t="s">
        <v>17</v>
      </c>
      <c r="P1173" t="s">
        <v>31</v>
      </c>
      <c r="Q1173">
        <v>0</v>
      </c>
      <c r="R1173">
        <v>1</v>
      </c>
      <c r="S1173" s="2">
        <v>0</v>
      </c>
      <c r="T1173" s="4"/>
      <c r="U1173">
        <v>3</v>
      </c>
      <c r="V1173">
        <v>1</v>
      </c>
      <c r="W1173">
        <v>1</v>
      </c>
    </row>
    <row r="1174" spans="1:23" ht="16.5" x14ac:dyDescent="0.3">
      <c r="A1174" t="s">
        <v>1230</v>
      </c>
      <c r="B1174" s="1">
        <v>45469</v>
      </c>
      <c r="C1174">
        <v>2024</v>
      </c>
      <c r="D1174" t="s">
        <v>688</v>
      </c>
      <c r="E1174" t="s">
        <v>1096</v>
      </c>
      <c r="F1174" t="s">
        <v>41</v>
      </c>
      <c r="G1174" t="s">
        <v>51</v>
      </c>
      <c r="H1174" t="s">
        <v>34</v>
      </c>
      <c r="I1174" t="s">
        <v>29</v>
      </c>
      <c r="J1174" t="s">
        <v>35</v>
      </c>
      <c r="K1174" s="2">
        <v>4200</v>
      </c>
      <c r="L1174" s="2">
        <v>57500</v>
      </c>
      <c r="M1174">
        <v>12</v>
      </c>
      <c r="N1174" s="3">
        <v>1.278</v>
      </c>
      <c r="O1174" t="s">
        <v>17</v>
      </c>
      <c r="P1174" t="s">
        <v>53</v>
      </c>
      <c r="Q1174">
        <v>0</v>
      </c>
      <c r="R1174">
        <v>1</v>
      </c>
      <c r="S1174" s="2">
        <v>0</v>
      </c>
      <c r="T1174" s="4"/>
      <c r="U1174">
        <v>16</v>
      </c>
      <c r="V1174">
        <v>0</v>
      </c>
      <c r="W1174">
        <v>1</v>
      </c>
    </row>
    <row r="1175" spans="1:23" ht="16.5" x14ac:dyDescent="0.3">
      <c r="A1175" t="s">
        <v>1231</v>
      </c>
      <c r="B1175" s="1">
        <v>45469</v>
      </c>
      <c r="C1175">
        <v>2024</v>
      </c>
      <c r="D1175" t="s">
        <v>688</v>
      </c>
      <c r="E1175" t="s">
        <v>1096</v>
      </c>
      <c r="F1175" t="s">
        <v>37</v>
      </c>
      <c r="G1175" t="s">
        <v>45</v>
      </c>
      <c r="H1175" t="s">
        <v>38</v>
      </c>
      <c r="I1175" t="s">
        <v>29</v>
      </c>
      <c r="J1175" t="s">
        <v>35</v>
      </c>
      <c r="K1175" s="2">
        <v>3450</v>
      </c>
      <c r="L1175" s="2">
        <v>13500</v>
      </c>
      <c r="M1175">
        <v>60</v>
      </c>
      <c r="N1175" s="3">
        <v>0.30399999999999999</v>
      </c>
      <c r="O1175" t="s">
        <v>16</v>
      </c>
      <c r="Q1175">
        <v>1</v>
      </c>
      <c r="R1175">
        <v>0</v>
      </c>
      <c r="S1175" s="2">
        <v>13500</v>
      </c>
      <c r="T1175" s="4">
        <v>0.12859999999999999</v>
      </c>
      <c r="U1175">
        <v>1</v>
      </c>
      <c r="V1175">
        <v>1</v>
      </c>
      <c r="W1175">
        <v>1</v>
      </c>
    </row>
    <row r="1176" spans="1:23" ht="16.5" x14ac:dyDescent="0.3">
      <c r="A1176" t="s">
        <v>1232</v>
      </c>
      <c r="B1176" s="1">
        <v>45469</v>
      </c>
      <c r="C1176">
        <v>2024</v>
      </c>
      <c r="D1176" t="s">
        <v>688</v>
      </c>
      <c r="E1176" t="s">
        <v>1096</v>
      </c>
      <c r="F1176" t="s">
        <v>50</v>
      </c>
      <c r="G1176" t="s">
        <v>51</v>
      </c>
      <c r="H1176" t="s">
        <v>55</v>
      </c>
      <c r="I1176" t="s">
        <v>39</v>
      </c>
      <c r="J1176" t="s">
        <v>35</v>
      </c>
      <c r="K1176" s="2">
        <v>4450</v>
      </c>
      <c r="L1176" s="2">
        <v>435500</v>
      </c>
      <c r="M1176">
        <v>240</v>
      </c>
      <c r="N1176" s="3">
        <v>0.78300000000000003</v>
      </c>
      <c r="O1176" t="s">
        <v>17</v>
      </c>
      <c r="P1176" t="s">
        <v>53</v>
      </c>
      <c r="Q1176">
        <v>0</v>
      </c>
      <c r="R1176">
        <v>1</v>
      </c>
      <c r="S1176" s="2">
        <v>0</v>
      </c>
      <c r="T1176" s="4"/>
      <c r="U1176">
        <v>30</v>
      </c>
      <c r="V1176">
        <v>0</v>
      </c>
      <c r="W1176">
        <v>1</v>
      </c>
    </row>
    <row r="1177" spans="1:23" ht="16.5" x14ac:dyDescent="0.3">
      <c r="A1177" t="s">
        <v>1233</v>
      </c>
      <c r="B1177" s="1">
        <v>45470</v>
      </c>
      <c r="C1177">
        <v>2024</v>
      </c>
      <c r="D1177" t="s">
        <v>688</v>
      </c>
      <c r="E1177" t="s">
        <v>1096</v>
      </c>
      <c r="F1177" t="s">
        <v>50</v>
      </c>
      <c r="G1177" t="s">
        <v>51</v>
      </c>
      <c r="H1177" t="s">
        <v>28</v>
      </c>
      <c r="I1177" t="s">
        <v>29</v>
      </c>
      <c r="J1177" t="s">
        <v>46</v>
      </c>
      <c r="K1177" s="2">
        <v>4700</v>
      </c>
      <c r="L1177" s="2">
        <v>139000</v>
      </c>
      <c r="M1177">
        <v>240</v>
      </c>
      <c r="N1177" s="3">
        <v>0.28799999999999998</v>
      </c>
      <c r="O1177" t="s">
        <v>16</v>
      </c>
      <c r="Q1177">
        <v>1</v>
      </c>
      <c r="R1177">
        <v>0</v>
      </c>
      <c r="S1177" s="2">
        <v>139000</v>
      </c>
      <c r="T1177" s="4">
        <v>4.0500000000000001E-2</v>
      </c>
      <c r="U1177">
        <v>15</v>
      </c>
      <c r="V1177">
        <v>1</v>
      </c>
      <c r="W1177">
        <v>1</v>
      </c>
    </row>
    <row r="1178" spans="1:23" ht="16.5" x14ac:dyDescent="0.3">
      <c r="A1178" t="s">
        <v>1234</v>
      </c>
      <c r="B1178" s="1">
        <v>45470</v>
      </c>
      <c r="C1178">
        <v>2024</v>
      </c>
      <c r="D1178" t="s">
        <v>688</v>
      </c>
      <c r="E1178" t="s">
        <v>1096</v>
      </c>
      <c r="F1178" t="s">
        <v>37</v>
      </c>
      <c r="G1178" t="s">
        <v>45</v>
      </c>
      <c r="H1178" t="s">
        <v>34</v>
      </c>
      <c r="I1178" t="s">
        <v>29</v>
      </c>
      <c r="J1178" t="s">
        <v>30</v>
      </c>
      <c r="K1178" s="2">
        <v>5100</v>
      </c>
      <c r="L1178" s="2">
        <v>10500</v>
      </c>
      <c r="M1178">
        <v>24</v>
      </c>
      <c r="N1178" s="3">
        <v>0.28199999999999997</v>
      </c>
      <c r="O1178" t="s">
        <v>17</v>
      </c>
      <c r="P1178" t="s">
        <v>48</v>
      </c>
      <c r="Q1178">
        <v>0</v>
      </c>
      <c r="R1178">
        <v>1</v>
      </c>
      <c r="S1178" s="2">
        <v>0</v>
      </c>
      <c r="T1178" s="4"/>
      <c r="U1178">
        <v>3</v>
      </c>
      <c r="V1178">
        <v>1</v>
      </c>
      <c r="W1178">
        <v>1</v>
      </c>
    </row>
    <row r="1179" spans="1:23" ht="16.5" x14ac:dyDescent="0.3">
      <c r="A1179" t="s">
        <v>1235</v>
      </c>
      <c r="B1179" s="1">
        <v>45470</v>
      </c>
      <c r="C1179">
        <v>2024</v>
      </c>
      <c r="D1179" t="s">
        <v>688</v>
      </c>
      <c r="E1179" t="s">
        <v>1096</v>
      </c>
      <c r="F1179" t="s">
        <v>37</v>
      </c>
      <c r="G1179" t="s">
        <v>51</v>
      </c>
      <c r="H1179" t="s">
        <v>34</v>
      </c>
      <c r="I1179" t="s">
        <v>29</v>
      </c>
      <c r="J1179" t="s">
        <v>35</v>
      </c>
      <c r="K1179" s="2">
        <v>5400</v>
      </c>
      <c r="L1179" s="2">
        <v>13500</v>
      </c>
      <c r="M1179">
        <v>24</v>
      </c>
      <c r="N1179" s="3">
        <v>0.34100000000000003</v>
      </c>
      <c r="O1179" t="s">
        <v>16</v>
      </c>
      <c r="Q1179">
        <v>1</v>
      </c>
      <c r="R1179">
        <v>0</v>
      </c>
      <c r="S1179" s="2">
        <v>13500</v>
      </c>
      <c r="T1179" s="4">
        <v>0.1258</v>
      </c>
      <c r="U1179">
        <v>3</v>
      </c>
      <c r="V1179">
        <v>1</v>
      </c>
      <c r="W1179">
        <v>1</v>
      </c>
    </row>
    <row r="1180" spans="1:23" ht="16.5" x14ac:dyDescent="0.3">
      <c r="A1180" t="s">
        <v>1236</v>
      </c>
      <c r="B1180" s="1">
        <v>45470</v>
      </c>
      <c r="C1180">
        <v>2024</v>
      </c>
      <c r="D1180" t="s">
        <v>688</v>
      </c>
      <c r="E1180" t="s">
        <v>1096</v>
      </c>
      <c r="F1180" t="s">
        <v>50</v>
      </c>
      <c r="G1180" t="s">
        <v>33</v>
      </c>
      <c r="H1180" t="s">
        <v>38</v>
      </c>
      <c r="I1180" t="s">
        <v>29</v>
      </c>
      <c r="J1180" t="s">
        <v>30</v>
      </c>
      <c r="K1180" s="2">
        <v>2700</v>
      </c>
      <c r="L1180" s="2">
        <v>504000</v>
      </c>
      <c r="M1180">
        <v>240</v>
      </c>
      <c r="N1180" s="3">
        <v>1.3240000000000001</v>
      </c>
      <c r="O1180" t="s">
        <v>17</v>
      </c>
      <c r="P1180" t="s">
        <v>31</v>
      </c>
      <c r="Q1180">
        <v>0</v>
      </c>
      <c r="R1180">
        <v>1</v>
      </c>
      <c r="S1180" s="2">
        <v>0</v>
      </c>
      <c r="T1180" s="4"/>
      <c r="U1180">
        <v>8</v>
      </c>
      <c r="V1180">
        <v>1</v>
      </c>
      <c r="W1180">
        <v>1</v>
      </c>
    </row>
    <row r="1181" spans="1:23" ht="16.5" x14ac:dyDescent="0.3">
      <c r="A1181" t="s">
        <v>1237</v>
      </c>
      <c r="B1181" s="1">
        <v>45470</v>
      </c>
      <c r="C1181">
        <v>2024</v>
      </c>
      <c r="D1181" t="s">
        <v>688</v>
      </c>
      <c r="E1181" t="s">
        <v>1096</v>
      </c>
      <c r="F1181" t="s">
        <v>37</v>
      </c>
      <c r="G1181" t="s">
        <v>45</v>
      </c>
      <c r="H1181" t="s">
        <v>55</v>
      </c>
      <c r="I1181" t="s">
        <v>29</v>
      </c>
      <c r="J1181" t="s">
        <v>52</v>
      </c>
      <c r="K1181" s="2">
        <v>3750</v>
      </c>
      <c r="L1181" s="2">
        <v>10000</v>
      </c>
      <c r="M1181">
        <v>60</v>
      </c>
      <c r="N1181" s="3">
        <v>0.30299999999999999</v>
      </c>
      <c r="O1181" t="s">
        <v>16</v>
      </c>
      <c r="Q1181">
        <v>1</v>
      </c>
      <c r="R1181">
        <v>0</v>
      </c>
      <c r="S1181" s="2">
        <v>10000</v>
      </c>
      <c r="T1181" s="4">
        <v>0.1115</v>
      </c>
      <c r="U1181">
        <v>2</v>
      </c>
      <c r="V1181">
        <v>1</v>
      </c>
      <c r="W1181">
        <v>1</v>
      </c>
    </row>
    <row r="1182" spans="1:23" ht="16.5" x14ac:dyDescent="0.3">
      <c r="A1182" t="s">
        <v>1238</v>
      </c>
      <c r="B1182" s="1">
        <v>45470</v>
      </c>
      <c r="C1182">
        <v>2024</v>
      </c>
      <c r="D1182" t="s">
        <v>688</v>
      </c>
      <c r="E1182" t="s">
        <v>1096</v>
      </c>
      <c r="F1182" t="s">
        <v>37</v>
      </c>
      <c r="G1182" t="s">
        <v>51</v>
      </c>
      <c r="H1182" t="s">
        <v>38</v>
      </c>
      <c r="I1182" t="s">
        <v>39</v>
      </c>
      <c r="J1182" t="s">
        <v>52</v>
      </c>
      <c r="K1182" s="2">
        <v>5600</v>
      </c>
      <c r="L1182" s="2">
        <v>24000</v>
      </c>
      <c r="M1182">
        <v>36</v>
      </c>
      <c r="N1182" s="3">
        <v>0.32100000000000001</v>
      </c>
      <c r="O1182" t="s">
        <v>16</v>
      </c>
      <c r="Q1182">
        <v>1</v>
      </c>
      <c r="R1182">
        <v>0</v>
      </c>
      <c r="S1182" s="2">
        <v>21500</v>
      </c>
      <c r="T1182" s="4">
        <v>0.1168</v>
      </c>
      <c r="U1182">
        <v>6</v>
      </c>
      <c r="V1182">
        <v>0</v>
      </c>
      <c r="W1182">
        <v>1</v>
      </c>
    </row>
    <row r="1183" spans="1:23" ht="16.5" x14ac:dyDescent="0.3">
      <c r="A1183" t="s">
        <v>1239</v>
      </c>
      <c r="B1183" s="1">
        <v>45470</v>
      </c>
      <c r="C1183">
        <v>2024</v>
      </c>
      <c r="D1183" t="s">
        <v>688</v>
      </c>
      <c r="E1183" t="s">
        <v>1096</v>
      </c>
      <c r="F1183" t="s">
        <v>37</v>
      </c>
      <c r="G1183" t="s">
        <v>27</v>
      </c>
      <c r="H1183" t="s">
        <v>64</v>
      </c>
      <c r="I1183" t="s">
        <v>39</v>
      </c>
      <c r="J1183" t="s">
        <v>35</v>
      </c>
      <c r="K1183" s="2">
        <v>8550</v>
      </c>
      <c r="L1183" s="2">
        <v>26500</v>
      </c>
      <c r="M1183">
        <v>36</v>
      </c>
      <c r="N1183" s="3">
        <v>0.17399999999999999</v>
      </c>
      <c r="O1183" t="s">
        <v>16</v>
      </c>
      <c r="Q1183">
        <v>1</v>
      </c>
      <c r="R1183">
        <v>0</v>
      </c>
      <c r="S1183" s="2">
        <v>26500</v>
      </c>
      <c r="T1183" s="4">
        <v>0.1222</v>
      </c>
      <c r="U1183">
        <v>3</v>
      </c>
      <c r="V1183">
        <v>1</v>
      </c>
      <c r="W1183">
        <v>1</v>
      </c>
    </row>
    <row r="1184" spans="1:23" ht="16.5" x14ac:dyDescent="0.3">
      <c r="A1184" t="s">
        <v>1240</v>
      </c>
      <c r="B1184" s="1">
        <v>45471</v>
      </c>
      <c r="C1184">
        <v>2024</v>
      </c>
      <c r="D1184" t="s">
        <v>688</v>
      </c>
      <c r="E1184" t="s">
        <v>1096</v>
      </c>
      <c r="F1184" t="s">
        <v>37</v>
      </c>
      <c r="G1184" t="s">
        <v>51</v>
      </c>
      <c r="H1184" t="s">
        <v>34</v>
      </c>
      <c r="I1184" t="s">
        <v>29</v>
      </c>
      <c r="J1184" t="s">
        <v>52</v>
      </c>
      <c r="K1184" s="2">
        <v>2400</v>
      </c>
      <c r="L1184" s="2">
        <v>13000</v>
      </c>
      <c r="M1184">
        <v>24</v>
      </c>
      <c r="N1184" s="3">
        <v>0.42399999999999999</v>
      </c>
      <c r="O1184" t="s">
        <v>16</v>
      </c>
      <c r="Q1184">
        <v>1</v>
      </c>
      <c r="R1184">
        <v>0</v>
      </c>
      <c r="S1184" s="2">
        <v>13000</v>
      </c>
      <c r="T1184" s="4">
        <v>0.10879999999999999</v>
      </c>
      <c r="U1184">
        <v>8</v>
      </c>
      <c r="V1184">
        <v>0</v>
      </c>
      <c r="W1184">
        <v>1</v>
      </c>
    </row>
    <row r="1185" spans="1:23" ht="16.5" x14ac:dyDescent="0.3">
      <c r="A1185" t="s">
        <v>1241</v>
      </c>
      <c r="B1185" s="1">
        <v>45471</v>
      </c>
      <c r="C1185">
        <v>2024</v>
      </c>
      <c r="D1185" t="s">
        <v>688</v>
      </c>
      <c r="E1185" t="s">
        <v>1096</v>
      </c>
      <c r="F1185" t="s">
        <v>50</v>
      </c>
      <c r="G1185" t="s">
        <v>51</v>
      </c>
      <c r="H1185" t="s">
        <v>34</v>
      </c>
      <c r="I1185" t="s">
        <v>39</v>
      </c>
      <c r="J1185" t="s">
        <v>35</v>
      </c>
      <c r="K1185" s="2">
        <v>7350</v>
      </c>
      <c r="L1185" s="2">
        <v>106500</v>
      </c>
      <c r="M1185">
        <v>180</v>
      </c>
      <c r="N1185" s="3">
        <v>0.191</v>
      </c>
      <c r="O1185" t="s">
        <v>17</v>
      </c>
      <c r="P1185" t="s">
        <v>31</v>
      </c>
      <c r="Q1185">
        <v>0</v>
      </c>
      <c r="R1185">
        <v>1</v>
      </c>
      <c r="S1185" s="2">
        <v>0</v>
      </c>
      <c r="T1185" s="4"/>
      <c r="U1185">
        <v>16</v>
      </c>
      <c r="V1185">
        <v>0</v>
      </c>
      <c r="W1185">
        <v>1</v>
      </c>
    </row>
    <row r="1186" spans="1:23" ht="16.5" x14ac:dyDescent="0.3">
      <c r="A1186" t="s">
        <v>1242</v>
      </c>
      <c r="B1186" s="1">
        <v>45471</v>
      </c>
      <c r="C1186">
        <v>2024</v>
      </c>
      <c r="D1186" t="s">
        <v>688</v>
      </c>
      <c r="E1186" t="s">
        <v>1096</v>
      </c>
      <c r="F1186" t="s">
        <v>50</v>
      </c>
      <c r="G1186" t="s">
        <v>51</v>
      </c>
      <c r="H1186" t="s">
        <v>28</v>
      </c>
      <c r="I1186" t="s">
        <v>29</v>
      </c>
      <c r="J1186" t="s">
        <v>43</v>
      </c>
      <c r="K1186" s="2">
        <v>12200</v>
      </c>
      <c r="L1186" s="2">
        <v>233500</v>
      </c>
      <c r="M1186">
        <v>300</v>
      </c>
      <c r="N1186" s="3">
        <v>0.34399999999999997</v>
      </c>
      <c r="O1186" t="s">
        <v>16</v>
      </c>
      <c r="Q1186">
        <v>1</v>
      </c>
      <c r="R1186">
        <v>0</v>
      </c>
      <c r="S1186" s="2">
        <v>210000</v>
      </c>
      <c r="T1186" s="4">
        <v>9.8400000000000001E-2</v>
      </c>
      <c r="U1186">
        <v>10</v>
      </c>
      <c r="V1186">
        <v>1</v>
      </c>
      <c r="W1186">
        <v>1</v>
      </c>
    </row>
    <row r="1187" spans="1:23" ht="16.5" x14ac:dyDescent="0.3">
      <c r="A1187" t="s">
        <v>1243</v>
      </c>
      <c r="B1187" s="1">
        <v>45471</v>
      </c>
      <c r="C1187">
        <v>2024</v>
      </c>
      <c r="D1187" t="s">
        <v>688</v>
      </c>
      <c r="E1187" t="s">
        <v>1096</v>
      </c>
      <c r="F1187" t="s">
        <v>26</v>
      </c>
      <c r="G1187" t="s">
        <v>33</v>
      </c>
      <c r="H1187" t="s">
        <v>34</v>
      </c>
      <c r="I1187" t="s">
        <v>42</v>
      </c>
      <c r="J1187" t="s">
        <v>52</v>
      </c>
      <c r="K1187" s="2">
        <v>5000</v>
      </c>
      <c r="L1187" s="2">
        <v>20500</v>
      </c>
      <c r="M1187">
        <v>60</v>
      </c>
      <c r="N1187" s="3">
        <v>0.16600000000000001</v>
      </c>
      <c r="O1187" t="s">
        <v>16</v>
      </c>
      <c r="Q1187">
        <v>1</v>
      </c>
      <c r="R1187">
        <v>0</v>
      </c>
      <c r="S1187" s="2">
        <v>20500</v>
      </c>
      <c r="T1187" s="4">
        <v>7.4399999999999994E-2</v>
      </c>
      <c r="U1187">
        <v>2</v>
      </c>
      <c r="V1187">
        <v>1</v>
      </c>
      <c r="W1187">
        <v>1</v>
      </c>
    </row>
    <row r="1188" spans="1:23" ht="16.5" x14ac:dyDescent="0.3">
      <c r="A1188" t="s">
        <v>1244</v>
      </c>
      <c r="B1188" s="1">
        <v>45471</v>
      </c>
      <c r="C1188">
        <v>2024</v>
      </c>
      <c r="D1188" t="s">
        <v>688</v>
      </c>
      <c r="E1188" t="s">
        <v>1096</v>
      </c>
      <c r="F1188" t="s">
        <v>37</v>
      </c>
      <c r="G1188" t="s">
        <v>33</v>
      </c>
      <c r="H1188" t="s">
        <v>55</v>
      </c>
      <c r="I1188" t="s">
        <v>42</v>
      </c>
      <c r="J1188" t="s">
        <v>30</v>
      </c>
      <c r="K1188" s="2">
        <v>11450</v>
      </c>
      <c r="L1188" s="2">
        <v>7500</v>
      </c>
      <c r="M1188">
        <v>60</v>
      </c>
      <c r="N1188" s="3">
        <v>0.19600000000000001</v>
      </c>
      <c r="O1188" t="s">
        <v>125</v>
      </c>
      <c r="Q1188">
        <v>0</v>
      </c>
      <c r="R1188">
        <v>0</v>
      </c>
      <c r="S1188" s="2">
        <v>0</v>
      </c>
      <c r="T1188" s="4"/>
      <c r="U1188">
        <v>2</v>
      </c>
      <c r="V1188">
        <v>1</v>
      </c>
      <c r="W1188">
        <v>1</v>
      </c>
    </row>
    <row r="1189" spans="1:23" ht="16.5" x14ac:dyDescent="0.3">
      <c r="A1189" t="s">
        <v>1245</v>
      </c>
      <c r="B1189" s="1">
        <v>45471</v>
      </c>
      <c r="C1189">
        <v>2024</v>
      </c>
      <c r="D1189" t="s">
        <v>688</v>
      </c>
      <c r="E1189" t="s">
        <v>1096</v>
      </c>
      <c r="F1189" t="s">
        <v>41</v>
      </c>
      <c r="G1189" t="s">
        <v>27</v>
      </c>
      <c r="H1189" t="s">
        <v>34</v>
      </c>
      <c r="I1189" t="s">
        <v>29</v>
      </c>
      <c r="J1189" t="s">
        <v>52</v>
      </c>
      <c r="K1189" s="2">
        <v>4150</v>
      </c>
      <c r="L1189" s="2">
        <v>256500</v>
      </c>
      <c r="M1189">
        <v>24</v>
      </c>
      <c r="N1189" s="3">
        <v>3.0529999999999999</v>
      </c>
      <c r="O1189" t="s">
        <v>17</v>
      </c>
      <c r="P1189" t="s">
        <v>53</v>
      </c>
      <c r="Q1189">
        <v>0</v>
      </c>
      <c r="R1189">
        <v>1</v>
      </c>
      <c r="S1189" s="2">
        <v>0</v>
      </c>
      <c r="T1189" s="4"/>
      <c r="U1189">
        <v>10</v>
      </c>
      <c r="V1189">
        <v>1</v>
      </c>
      <c r="W1189">
        <v>1</v>
      </c>
    </row>
    <row r="1190" spans="1:23" ht="16.5" x14ac:dyDescent="0.3">
      <c r="A1190" t="s">
        <v>1246</v>
      </c>
      <c r="B1190" s="1">
        <v>45472</v>
      </c>
      <c r="C1190">
        <v>2024</v>
      </c>
      <c r="D1190" t="s">
        <v>688</v>
      </c>
      <c r="E1190" t="s">
        <v>1096</v>
      </c>
      <c r="F1190" t="s">
        <v>37</v>
      </c>
      <c r="G1190" t="s">
        <v>45</v>
      </c>
      <c r="H1190" t="s">
        <v>38</v>
      </c>
      <c r="I1190" t="s">
        <v>39</v>
      </c>
      <c r="J1190" t="s">
        <v>52</v>
      </c>
      <c r="K1190" s="2">
        <v>10800</v>
      </c>
      <c r="L1190" s="2">
        <v>18500</v>
      </c>
      <c r="M1190">
        <v>60</v>
      </c>
      <c r="N1190" s="3">
        <v>0.221</v>
      </c>
      <c r="O1190" t="s">
        <v>17</v>
      </c>
      <c r="P1190" t="s">
        <v>60</v>
      </c>
      <c r="Q1190">
        <v>0</v>
      </c>
      <c r="R1190">
        <v>1</v>
      </c>
      <c r="S1190" s="2">
        <v>0</v>
      </c>
      <c r="T1190" s="4"/>
      <c r="U1190">
        <v>5</v>
      </c>
      <c r="V1190">
        <v>0</v>
      </c>
      <c r="W1190">
        <v>1</v>
      </c>
    </row>
    <row r="1191" spans="1:23" ht="16.5" x14ac:dyDescent="0.3">
      <c r="A1191" t="s">
        <v>1247</v>
      </c>
      <c r="B1191" s="1">
        <v>45472</v>
      </c>
      <c r="C1191">
        <v>2024</v>
      </c>
      <c r="D1191" t="s">
        <v>688</v>
      </c>
      <c r="E1191" t="s">
        <v>1096</v>
      </c>
      <c r="F1191" t="s">
        <v>50</v>
      </c>
      <c r="G1191" t="s">
        <v>45</v>
      </c>
      <c r="H1191" t="s">
        <v>64</v>
      </c>
      <c r="I1191" t="s">
        <v>39</v>
      </c>
      <c r="J1191" t="s">
        <v>52</v>
      </c>
      <c r="K1191" s="2">
        <v>3750</v>
      </c>
      <c r="L1191" s="2">
        <v>282500</v>
      </c>
      <c r="M1191">
        <v>240</v>
      </c>
      <c r="N1191" s="3">
        <v>0.623</v>
      </c>
      <c r="O1191" t="s">
        <v>16</v>
      </c>
      <c r="Q1191">
        <v>1</v>
      </c>
      <c r="R1191">
        <v>0</v>
      </c>
      <c r="S1191" s="2">
        <v>254000</v>
      </c>
      <c r="T1191" s="4">
        <v>5.1499999999999997E-2</v>
      </c>
      <c r="U1191">
        <v>6</v>
      </c>
      <c r="V1191">
        <v>1</v>
      </c>
      <c r="W1191">
        <v>1</v>
      </c>
    </row>
    <row r="1192" spans="1:23" ht="16.5" x14ac:dyDescent="0.3">
      <c r="A1192" t="s">
        <v>1248</v>
      </c>
      <c r="B1192" s="1">
        <v>45472</v>
      </c>
      <c r="C1192">
        <v>2024</v>
      </c>
      <c r="D1192" t="s">
        <v>688</v>
      </c>
      <c r="E1192" t="s">
        <v>1096</v>
      </c>
      <c r="F1192" t="s">
        <v>26</v>
      </c>
      <c r="G1192" t="s">
        <v>45</v>
      </c>
      <c r="H1192" t="s">
        <v>38</v>
      </c>
      <c r="I1192" t="s">
        <v>42</v>
      </c>
      <c r="J1192" t="s">
        <v>43</v>
      </c>
      <c r="K1192" s="2">
        <v>4350</v>
      </c>
      <c r="L1192" s="2">
        <v>26500</v>
      </c>
      <c r="M1192">
        <v>36</v>
      </c>
      <c r="N1192" s="3">
        <v>0.38500000000000001</v>
      </c>
      <c r="O1192" t="s">
        <v>17</v>
      </c>
      <c r="P1192" t="s">
        <v>31</v>
      </c>
      <c r="Q1192">
        <v>0</v>
      </c>
      <c r="R1192">
        <v>1</v>
      </c>
      <c r="S1192" s="2">
        <v>0</v>
      </c>
      <c r="T1192" s="4"/>
      <c r="U1192">
        <v>2</v>
      </c>
      <c r="V1192">
        <v>1</v>
      </c>
      <c r="W1192">
        <v>1</v>
      </c>
    </row>
    <row r="1193" spans="1:23" ht="16.5" x14ac:dyDescent="0.3">
      <c r="A1193" t="s">
        <v>1249</v>
      </c>
      <c r="B1193" s="1">
        <v>45473</v>
      </c>
      <c r="C1193">
        <v>2024</v>
      </c>
      <c r="D1193" t="s">
        <v>688</v>
      </c>
      <c r="E1193" t="s">
        <v>1096</v>
      </c>
      <c r="F1193" t="s">
        <v>50</v>
      </c>
      <c r="G1193" t="s">
        <v>51</v>
      </c>
      <c r="H1193" t="s">
        <v>28</v>
      </c>
      <c r="I1193" t="s">
        <v>39</v>
      </c>
      <c r="J1193" t="s">
        <v>52</v>
      </c>
      <c r="K1193" s="2">
        <v>2900</v>
      </c>
      <c r="L1193" s="2">
        <v>212000</v>
      </c>
      <c r="M1193">
        <v>180</v>
      </c>
      <c r="N1193" s="3">
        <v>0.82299999999999995</v>
      </c>
      <c r="O1193" t="s">
        <v>17</v>
      </c>
      <c r="P1193" t="s">
        <v>53</v>
      </c>
      <c r="Q1193">
        <v>0</v>
      </c>
      <c r="R1193">
        <v>1</v>
      </c>
      <c r="S1193" s="2">
        <v>0</v>
      </c>
      <c r="T1193" s="4"/>
      <c r="U1193">
        <v>18</v>
      </c>
      <c r="V1193">
        <v>0</v>
      </c>
      <c r="W1193">
        <v>1</v>
      </c>
    </row>
    <row r="1194" spans="1:23" ht="16.5" x14ac:dyDescent="0.3">
      <c r="A1194" t="s">
        <v>1250</v>
      </c>
      <c r="B1194" s="1">
        <v>45473</v>
      </c>
      <c r="C1194">
        <v>2024</v>
      </c>
      <c r="D1194" t="s">
        <v>688</v>
      </c>
      <c r="E1194" t="s">
        <v>1096</v>
      </c>
      <c r="F1194" t="s">
        <v>26</v>
      </c>
      <c r="G1194" t="s">
        <v>45</v>
      </c>
      <c r="H1194" t="s">
        <v>38</v>
      </c>
      <c r="I1194" t="s">
        <v>29</v>
      </c>
      <c r="J1194" t="s">
        <v>35</v>
      </c>
      <c r="K1194" s="2">
        <v>9350</v>
      </c>
      <c r="L1194" s="2">
        <v>32500</v>
      </c>
      <c r="M1194">
        <v>48</v>
      </c>
      <c r="N1194" s="3">
        <v>0.30099999999999999</v>
      </c>
      <c r="O1194" t="s">
        <v>16</v>
      </c>
      <c r="Q1194">
        <v>1</v>
      </c>
      <c r="R1194">
        <v>0</v>
      </c>
      <c r="S1194" s="2">
        <v>29000</v>
      </c>
      <c r="T1194" s="4">
        <v>8.1000000000000003E-2</v>
      </c>
      <c r="U1194">
        <v>2</v>
      </c>
      <c r="V1194">
        <v>1</v>
      </c>
      <c r="W1194">
        <v>1</v>
      </c>
    </row>
    <row r="1195" spans="1:23" ht="16.5" x14ac:dyDescent="0.3">
      <c r="A1195" t="s">
        <v>1251</v>
      </c>
      <c r="B1195" s="1">
        <v>45473</v>
      </c>
      <c r="C1195">
        <v>2024</v>
      </c>
      <c r="D1195" t="s">
        <v>688</v>
      </c>
      <c r="E1195" t="s">
        <v>1096</v>
      </c>
      <c r="F1195" t="s">
        <v>37</v>
      </c>
      <c r="G1195" t="s">
        <v>27</v>
      </c>
      <c r="H1195" t="s">
        <v>38</v>
      </c>
      <c r="I1195" t="s">
        <v>29</v>
      </c>
      <c r="J1195" t="s">
        <v>43</v>
      </c>
      <c r="K1195" s="2">
        <v>6750</v>
      </c>
      <c r="L1195" s="2">
        <v>8500</v>
      </c>
      <c r="M1195">
        <v>60</v>
      </c>
      <c r="N1195" s="3">
        <v>0.14000000000000001</v>
      </c>
      <c r="O1195" t="s">
        <v>17</v>
      </c>
      <c r="P1195" t="s">
        <v>65</v>
      </c>
      <c r="Q1195">
        <v>0</v>
      </c>
      <c r="R1195">
        <v>1</v>
      </c>
      <c r="S1195" s="2">
        <v>0</v>
      </c>
      <c r="T1195" s="4"/>
      <c r="U1195">
        <v>4</v>
      </c>
      <c r="V1195">
        <v>0</v>
      </c>
      <c r="W1195">
        <v>1</v>
      </c>
    </row>
    <row r="1196" spans="1:23" ht="16.5" x14ac:dyDescent="0.3">
      <c r="A1196" t="s">
        <v>1252</v>
      </c>
      <c r="B1196" s="1">
        <v>45473</v>
      </c>
      <c r="C1196">
        <v>2024</v>
      </c>
      <c r="D1196" t="s">
        <v>688</v>
      </c>
      <c r="E1196" t="s">
        <v>1096</v>
      </c>
      <c r="F1196" t="s">
        <v>37</v>
      </c>
      <c r="G1196" t="s">
        <v>33</v>
      </c>
      <c r="H1196" t="s">
        <v>55</v>
      </c>
      <c r="I1196" t="s">
        <v>29</v>
      </c>
      <c r="J1196" t="s">
        <v>46</v>
      </c>
      <c r="K1196" s="2">
        <v>2550</v>
      </c>
      <c r="L1196" s="2">
        <v>11000</v>
      </c>
      <c r="M1196">
        <v>36</v>
      </c>
      <c r="N1196" s="3">
        <v>0.38200000000000001</v>
      </c>
      <c r="O1196" t="s">
        <v>16</v>
      </c>
      <c r="Q1196">
        <v>1</v>
      </c>
      <c r="R1196">
        <v>0</v>
      </c>
      <c r="S1196" s="2">
        <v>11000</v>
      </c>
      <c r="T1196" s="4">
        <v>0.1143</v>
      </c>
      <c r="U1196">
        <v>2</v>
      </c>
      <c r="V1196">
        <v>1</v>
      </c>
      <c r="W1196">
        <v>1</v>
      </c>
    </row>
    <row r="1197" spans="1:23" ht="16.5" x14ac:dyDescent="0.3">
      <c r="A1197" t="s">
        <v>1253</v>
      </c>
      <c r="B1197" s="1">
        <v>45473</v>
      </c>
      <c r="C1197">
        <v>2024</v>
      </c>
      <c r="D1197" t="s">
        <v>688</v>
      </c>
      <c r="E1197" t="s">
        <v>1096</v>
      </c>
      <c r="F1197" t="s">
        <v>41</v>
      </c>
      <c r="G1197" t="s">
        <v>45</v>
      </c>
      <c r="H1197" t="s">
        <v>55</v>
      </c>
      <c r="I1197" t="s">
        <v>42</v>
      </c>
      <c r="J1197" t="s">
        <v>35</v>
      </c>
      <c r="K1197" s="2">
        <v>7400</v>
      </c>
      <c r="L1197" s="2">
        <v>86500</v>
      </c>
      <c r="M1197">
        <v>24</v>
      </c>
      <c r="N1197" s="3">
        <v>0.65600000000000003</v>
      </c>
      <c r="O1197" t="s">
        <v>17</v>
      </c>
      <c r="P1197" t="s">
        <v>60</v>
      </c>
      <c r="Q1197">
        <v>0</v>
      </c>
      <c r="R1197">
        <v>1</v>
      </c>
      <c r="S1197" s="2">
        <v>0</v>
      </c>
      <c r="T1197" s="4"/>
      <c r="U1197">
        <v>14</v>
      </c>
      <c r="V1197">
        <v>0</v>
      </c>
      <c r="W1197">
        <v>1</v>
      </c>
    </row>
    <row r="1198" spans="1:23" ht="16.5" x14ac:dyDescent="0.3">
      <c r="A1198" t="s">
        <v>1254</v>
      </c>
      <c r="B1198" s="1">
        <v>45474</v>
      </c>
      <c r="C1198">
        <v>2024</v>
      </c>
      <c r="D1198" t="s">
        <v>1255</v>
      </c>
      <c r="E1198" t="s">
        <v>1256</v>
      </c>
      <c r="F1198" t="s">
        <v>26</v>
      </c>
      <c r="G1198" t="s">
        <v>51</v>
      </c>
      <c r="H1198" t="s">
        <v>55</v>
      </c>
      <c r="I1198" t="s">
        <v>39</v>
      </c>
      <c r="J1198" t="s">
        <v>46</v>
      </c>
      <c r="K1198" s="2">
        <v>10000</v>
      </c>
      <c r="L1198" s="2">
        <v>49500</v>
      </c>
      <c r="M1198">
        <v>48</v>
      </c>
      <c r="N1198" s="3">
        <v>0.36399999999999999</v>
      </c>
      <c r="O1198" t="s">
        <v>125</v>
      </c>
      <c r="Q1198">
        <v>0</v>
      </c>
      <c r="R1198">
        <v>0</v>
      </c>
      <c r="S1198" s="2">
        <v>0</v>
      </c>
      <c r="T1198" s="4"/>
      <c r="U1198">
        <v>10</v>
      </c>
      <c r="V1198">
        <v>0</v>
      </c>
      <c r="W1198">
        <v>1</v>
      </c>
    </row>
    <row r="1199" spans="1:23" ht="16.5" x14ac:dyDescent="0.3">
      <c r="A1199" t="s">
        <v>1257</v>
      </c>
      <c r="B1199" s="1">
        <v>45474</v>
      </c>
      <c r="C1199">
        <v>2024</v>
      </c>
      <c r="D1199" t="s">
        <v>1255</v>
      </c>
      <c r="E1199" t="s">
        <v>1256</v>
      </c>
      <c r="F1199" t="s">
        <v>37</v>
      </c>
      <c r="G1199" t="s">
        <v>33</v>
      </c>
      <c r="H1199" t="s">
        <v>34</v>
      </c>
      <c r="I1199" t="s">
        <v>42</v>
      </c>
      <c r="J1199" t="s">
        <v>35</v>
      </c>
      <c r="K1199" s="2">
        <v>5750</v>
      </c>
      <c r="L1199" s="2">
        <v>16000</v>
      </c>
      <c r="M1199">
        <v>48</v>
      </c>
      <c r="N1199" s="3">
        <v>0.28000000000000003</v>
      </c>
      <c r="O1199" t="s">
        <v>16</v>
      </c>
      <c r="Q1199">
        <v>1</v>
      </c>
      <c r="R1199">
        <v>0</v>
      </c>
      <c r="S1199" s="2">
        <v>16000</v>
      </c>
      <c r="T1199" s="4">
        <v>0.1222</v>
      </c>
      <c r="U1199">
        <v>1</v>
      </c>
      <c r="V1199">
        <v>1</v>
      </c>
      <c r="W1199">
        <v>1</v>
      </c>
    </row>
    <row r="1200" spans="1:23" ht="16.5" x14ac:dyDescent="0.3">
      <c r="A1200" t="s">
        <v>1258</v>
      </c>
      <c r="B1200" s="1">
        <v>45474</v>
      </c>
      <c r="C1200">
        <v>2024</v>
      </c>
      <c r="D1200" t="s">
        <v>1255</v>
      </c>
      <c r="E1200" t="s">
        <v>1256</v>
      </c>
      <c r="F1200" t="s">
        <v>37</v>
      </c>
      <c r="G1200" t="s">
        <v>33</v>
      </c>
      <c r="H1200" t="s">
        <v>55</v>
      </c>
      <c r="I1200" t="s">
        <v>42</v>
      </c>
      <c r="J1200" t="s">
        <v>52</v>
      </c>
      <c r="K1200" s="2">
        <v>3550</v>
      </c>
      <c r="L1200" s="2">
        <v>9500</v>
      </c>
      <c r="M1200">
        <v>24</v>
      </c>
      <c r="N1200" s="3">
        <v>0.36099999999999999</v>
      </c>
      <c r="O1200" t="s">
        <v>16</v>
      </c>
      <c r="Q1200">
        <v>1</v>
      </c>
      <c r="R1200">
        <v>0</v>
      </c>
      <c r="S1200" s="2">
        <v>7500</v>
      </c>
      <c r="T1200" s="4">
        <v>0.11509999999999999</v>
      </c>
      <c r="U1200">
        <v>2</v>
      </c>
      <c r="V1200">
        <v>1</v>
      </c>
      <c r="W1200">
        <v>1</v>
      </c>
    </row>
    <row r="1201" spans="1:23" ht="16.5" x14ac:dyDescent="0.3">
      <c r="A1201" t="s">
        <v>1259</v>
      </c>
      <c r="B1201" s="1">
        <v>45474</v>
      </c>
      <c r="C1201">
        <v>2024</v>
      </c>
      <c r="D1201" t="s">
        <v>1255</v>
      </c>
      <c r="E1201" t="s">
        <v>1256</v>
      </c>
      <c r="F1201" t="s">
        <v>41</v>
      </c>
      <c r="G1201" t="s">
        <v>33</v>
      </c>
      <c r="H1201" t="s">
        <v>34</v>
      </c>
      <c r="I1201" t="s">
        <v>29</v>
      </c>
      <c r="J1201" t="s">
        <v>43</v>
      </c>
      <c r="K1201" s="2">
        <v>4600</v>
      </c>
      <c r="L1201" s="2">
        <v>83000</v>
      </c>
      <c r="M1201">
        <v>24</v>
      </c>
      <c r="N1201" s="3">
        <v>0.96599999999999997</v>
      </c>
      <c r="O1201" t="s">
        <v>17</v>
      </c>
      <c r="P1201" t="s">
        <v>31</v>
      </c>
      <c r="Q1201">
        <v>0</v>
      </c>
      <c r="R1201">
        <v>1</v>
      </c>
      <c r="S1201" s="2">
        <v>0</v>
      </c>
      <c r="T1201" s="4"/>
      <c r="U1201">
        <v>4</v>
      </c>
      <c r="V1201">
        <v>1</v>
      </c>
      <c r="W1201">
        <v>1</v>
      </c>
    </row>
    <row r="1202" spans="1:23" ht="16.5" x14ac:dyDescent="0.3">
      <c r="A1202" t="s">
        <v>1260</v>
      </c>
      <c r="B1202" s="1">
        <v>45475</v>
      </c>
      <c r="C1202">
        <v>2024</v>
      </c>
      <c r="D1202" t="s">
        <v>1255</v>
      </c>
      <c r="E1202" t="s">
        <v>1256</v>
      </c>
      <c r="F1202" t="s">
        <v>41</v>
      </c>
      <c r="G1202" t="s">
        <v>51</v>
      </c>
      <c r="H1202" t="s">
        <v>38</v>
      </c>
      <c r="I1202" t="s">
        <v>39</v>
      </c>
      <c r="J1202" t="s">
        <v>52</v>
      </c>
      <c r="K1202" s="2">
        <v>4000</v>
      </c>
      <c r="L1202" s="2">
        <v>89000</v>
      </c>
      <c r="M1202">
        <v>36</v>
      </c>
      <c r="N1202" s="3">
        <v>0.89300000000000002</v>
      </c>
      <c r="O1202" t="s">
        <v>17</v>
      </c>
      <c r="P1202" t="s">
        <v>53</v>
      </c>
      <c r="Q1202">
        <v>0</v>
      </c>
      <c r="R1202">
        <v>1</v>
      </c>
      <c r="S1202" s="2">
        <v>0</v>
      </c>
      <c r="T1202" s="4"/>
      <c r="U1202">
        <v>15</v>
      </c>
      <c r="V1202">
        <v>0</v>
      </c>
      <c r="W1202">
        <v>1</v>
      </c>
    </row>
    <row r="1203" spans="1:23" ht="16.5" x14ac:dyDescent="0.3">
      <c r="A1203" t="s">
        <v>1261</v>
      </c>
      <c r="B1203" s="1">
        <v>45475</v>
      </c>
      <c r="C1203">
        <v>2024</v>
      </c>
      <c r="D1203" t="s">
        <v>1255</v>
      </c>
      <c r="E1203" t="s">
        <v>1256</v>
      </c>
      <c r="F1203" t="s">
        <v>50</v>
      </c>
      <c r="G1203" t="s">
        <v>51</v>
      </c>
      <c r="H1203" t="s">
        <v>64</v>
      </c>
      <c r="I1203" t="s">
        <v>29</v>
      </c>
      <c r="J1203" t="s">
        <v>52</v>
      </c>
      <c r="K1203" s="2">
        <v>6500</v>
      </c>
      <c r="L1203" s="2">
        <v>447000</v>
      </c>
      <c r="M1203">
        <v>180</v>
      </c>
      <c r="N1203" s="3">
        <v>0.72299999999999998</v>
      </c>
      <c r="O1203" t="s">
        <v>17</v>
      </c>
      <c r="P1203" t="s">
        <v>53</v>
      </c>
      <c r="Q1203">
        <v>0</v>
      </c>
      <c r="R1203">
        <v>1</v>
      </c>
      <c r="S1203" s="2">
        <v>0</v>
      </c>
      <c r="T1203" s="4"/>
      <c r="U1203">
        <v>18</v>
      </c>
      <c r="V1203">
        <v>0</v>
      </c>
      <c r="W1203">
        <v>1</v>
      </c>
    </row>
    <row r="1204" spans="1:23" ht="16.5" x14ac:dyDescent="0.3">
      <c r="A1204" t="s">
        <v>1262</v>
      </c>
      <c r="B1204" s="1">
        <v>45475</v>
      </c>
      <c r="C1204">
        <v>2024</v>
      </c>
      <c r="D1204" t="s">
        <v>1255</v>
      </c>
      <c r="E1204" t="s">
        <v>1256</v>
      </c>
      <c r="F1204" t="s">
        <v>50</v>
      </c>
      <c r="G1204" t="s">
        <v>51</v>
      </c>
      <c r="H1204" t="s">
        <v>55</v>
      </c>
      <c r="I1204" t="s">
        <v>29</v>
      </c>
      <c r="J1204" t="s">
        <v>52</v>
      </c>
      <c r="K1204" s="2">
        <v>10100</v>
      </c>
      <c r="L1204" s="2">
        <v>137000</v>
      </c>
      <c r="M1204">
        <v>180</v>
      </c>
      <c r="N1204" s="3">
        <v>0.32400000000000001</v>
      </c>
      <c r="O1204" t="s">
        <v>16</v>
      </c>
      <c r="Q1204">
        <v>1</v>
      </c>
      <c r="R1204">
        <v>0</v>
      </c>
      <c r="S1204" s="2">
        <v>109500</v>
      </c>
      <c r="T1204" s="4">
        <v>5.2299999999999999E-2</v>
      </c>
      <c r="U1204">
        <v>25</v>
      </c>
      <c r="V1204">
        <v>0</v>
      </c>
      <c r="W1204">
        <v>1</v>
      </c>
    </row>
    <row r="1205" spans="1:23" ht="16.5" x14ac:dyDescent="0.3">
      <c r="A1205" t="s">
        <v>1263</v>
      </c>
      <c r="B1205" s="1">
        <v>45475</v>
      </c>
      <c r="C1205">
        <v>2024</v>
      </c>
      <c r="D1205" t="s">
        <v>1255</v>
      </c>
      <c r="E1205" t="s">
        <v>1256</v>
      </c>
      <c r="F1205" t="s">
        <v>37</v>
      </c>
      <c r="G1205" t="s">
        <v>51</v>
      </c>
      <c r="H1205" t="s">
        <v>55</v>
      </c>
      <c r="I1205" t="s">
        <v>29</v>
      </c>
      <c r="J1205" t="s">
        <v>30</v>
      </c>
      <c r="K1205" s="2">
        <v>2750</v>
      </c>
      <c r="L1205" s="2">
        <v>9000</v>
      </c>
      <c r="M1205">
        <v>48</v>
      </c>
      <c r="N1205" s="3">
        <v>0.307</v>
      </c>
      <c r="O1205" t="s">
        <v>16</v>
      </c>
      <c r="Q1205">
        <v>1</v>
      </c>
      <c r="R1205">
        <v>0</v>
      </c>
      <c r="S1205" s="2">
        <v>7000</v>
      </c>
      <c r="T1205" s="4">
        <v>0.1376</v>
      </c>
      <c r="U1205">
        <v>3</v>
      </c>
      <c r="V1205">
        <v>1</v>
      </c>
      <c r="W1205">
        <v>1</v>
      </c>
    </row>
    <row r="1206" spans="1:23" ht="16.5" x14ac:dyDescent="0.3">
      <c r="A1206" t="s">
        <v>1264</v>
      </c>
      <c r="B1206" s="1">
        <v>45475</v>
      </c>
      <c r="C1206">
        <v>2024</v>
      </c>
      <c r="D1206" t="s">
        <v>1255</v>
      </c>
      <c r="E1206" t="s">
        <v>1256</v>
      </c>
      <c r="F1206" t="s">
        <v>37</v>
      </c>
      <c r="G1206" t="s">
        <v>33</v>
      </c>
      <c r="H1206" t="s">
        <v>55</v>
      </c>
      <c r="I1206" t="s">
        <v>29</v>
      </c>
      <c r="J1206" t="s">
        <v>52</v>
      </c>
      <c r="K1206" s="2">
        <v>3450</v>
      </c>
      <c r="L1206" s="2">
        <v>12500</v>
      </c>
      <c r="M1206">
        <v>12</v>
      </c>
      <c r="N1206" s="3">
        <v>0.51200000000000001</v>
      </c>
      <c r="O1206" t="s">
        <v>16</v>
      </c>
      <c r="Q1206">
        <v>1</v>
      </c>
      <c r="R1206">
        <v>0</v>
      </c>
      <c r="S1206" s="2">
        <v>10000</v>
      </c>
      <c r="T1206" s="4">
        <v>0.1154</v>
      </c>
      <c r="U1206">
        <v>2</v>
      </c>
      <c r="V1206">
        <v>1</v>
      </c>
      <c r="W1206">
        <v>1</v>
      </c>
    </row>
    <row r="1207" spans="1:23" ht="16.5" x14ac:dyDescent="0.3">
      <c r="A1207" t="s">
        <v>1265</v>
      </c>
      <c r="B1207" s="1">
        <v>45475</v>
      </c>
      <c r="C1207">
        <v>2024</v>
      </c>
      <c r="D1207" t="s">
        <v>1255</v>
      </c>
      <c r="E1207" t="s">
        <v>1256</v>
      </c>
      <c r="F1207" t="s">
        <v>37</v>
      </c>
      <c r="G1207" t="s">
        <v>51</v>
      </c>
      <c r="H1207" t="s">
        <v>34</v>
      </c>
      <c r="I1207" t="s">
        <v>39</v>
      </c>
      <c r="J1207" t="s">
        <v>52</v>
      </c>
      <c r="K1207" s="2">
        <v>2550</v>
      </c>
      <c r="L1207" s="2">
        <v>15000</v>
      </c>
      <c r="M1207">
        <v>12</v>
      </c>
      <c r="N1207" s="3">
        <v>0.70699999999999996</v>
      </c>
      <c r="O1207" t="s">
        <v>17</v>
      </c>
      <c r="P1207" t="s">
        <v>53</v>
      </c>
      <c r="Q1207">
        <v>0</v>
      </c>
      <c r="R1207">
        <v>1</v>
      </c>
      <c r="S1207" s="2">
        <v>0</v>
      </c>
      <c r="T1207" s="4"/>
      <c r="U1207">
        <v>9</v>
      </c>
      <c r="V1207">
        <v>0</v>
      </c>
      <c r="W1207">
        <v>1</v>
      </c>
    </row>
    <row r="1208" spans="1:23" ht="16.5" x14ac:dyDescent="0.3">
      <c r="A1208" t="s">
        <v>1266</v>
      </c>
      <c r="B1208" s="1">
        <v>45475</v>
      </c>
      <c r="C1208">
        <v>2024</v>
      </c>
      <c r="D1208" t="s">
        <v>1255</v>
      </c>
      <c r="E1208" t="s">
        <v>1256</v>
      </c>
      <c r="F1208" t="s">
        <v>26</v>
      </c>
      <c r="G1208" t="s">
        <v>51</v>
      </c>
      <c r="H1208" t="s">
        <v>55</v>
      </c>
      <c r="I1208" t="s">
        <v>39</v>
      </c>
      <c r="J1208" t="s">
        <v>52</v>
      </c>
      <c r="K1208" s="2">
        <v>8600</v>
      </c>
      <c r="L1208" s="2">
        <v>22000</v>
      </c>
      <c r="M1208">
        <v>60</v>
      </c>
      <c r="N1208" s="3">
        <v>0.23499999999999999</v>
      </c>
      <c r="O1208" t="s">
        <v>16</v>
      </c>
      <c r="Q1208">
        <v>1</v>
      </c>
      <c r="R1208">
        <v>0</v>
      </c>
      <c r="S1208" s="2">
        <v>20000</v>
      </c>
      <c r="T1208" s="4">
        <v>7.1300000000000002E-2</v>
      </c>
      <c r="U1208">
        <v>6</v>
      </c>
      <c r="V1208">
        <v>0</v>
      </c>
      <c r="W1208">
        <v>1</v>
      </c>
    </row>
    <row r="1209" spans="1:23" ht="16.5" x14ac:dyDescent="0.3">
      <c r="A1209" t="s">
        <v>1267</v>
      </c>
      <c r="B1209" s="1">
        <v>45476</v>
      </c>
      <c r="C1209">
        <v>2024</v>
      </c>
      <c r="D1209" t="s">
        <v>1255</v>
      </c>
      <c r="E1209" t="s">
        <v>1256</v>
      </c>
      <c r="F1209" t="s">
        <v>37</v>
      </c>
      <c r="G1209" t="s">
        <v>33</v>
      </c>
      <c r="H1209" t="s">
        <v>34</v>
      </c>
      <c r="I1209" t="s">
        <v>42</v>
      </c>
      <c r="J1209" t="s">
        <v>46</v>
      </c>
      <c r="K1209" s="2">
        <v>5450</v>
      </c>
      <c r="L1209" s="2">
        <v>11500</v>
      </c>
      <c r="M1209">
        <v>24</v>
      </c>
      <c r="N1209" s="3">
        <v>0.24199999999999999</v>
      </c>
      <c r="O1209" t="s">
        <v>16</v>
      </c>
      <c r="Q1209">
        <v>1</v>
      </c>
      <c r="R1209">
        <v>0</v>
      </c>
      <c r="S1209" s="2">
        <v>11500</v>
      </c>
      <c r="T1209" s="4">
        <v>0.1114</v>
      </c>
      <c r="U1209">
        <v>1</v>
      </c>
      <c r="V1209">
        <v>1</v>
      </c>
      <c r="W1209">
        <v>1</v>
      </c>
    </row>
    <row r="1210" spans="1:23" ht="16.5" x14ac:dyDescent="0.3">
      <c r="A1210" t="s">
        <v>1268</v>
      </c>
      <c r="B1210" s="1">
        <v>45476</v>
      </c>
      <c r="C1210">
        <v>2024</v>
      </c>
      <c r="D1210" t="s">
        <v>1255</v>
      </c>
      <c r="E1210" t="s">
        <v>1256</v>
      </c>
      <c r="F1210" t="s">
        <v>26</v>
      </c>
      <c r="G1210" t="s">
        <v>51</v>
      </c>
      <c r="H1210" t="s">
        <v>28</v>
      </c>
      <c r="I1210" t="s">
        <v>39</v>
      </c>
      <c r="J1210" t="s">
        <v>52</v>
      </c>
      <c r="K1210" s="2">
        <v>6550</v>
      </c>
      <c r="L1210" s="2">
        <v>24000</v>
      </c>
      <c r="M1210">
        <v>36</v>
      </c>
      <c r="N1210" s="3">
        <v>0.20399999999999999</v>
      </c>
      <c r="O1210" t="s">
        <v>16</v>
      </c>
      <c r="Q1210">
        <v>1</v>
      </c>
      <c r="R1210">
        <v>0</v>
      </c>
      <c r="S1210" s="2">
        <v>24000</v>
      </c>
      <c r="T1210" s="4">
        <v>6.8400000000000002E-2</v>
      </c>
      <c r="U1210">
        <v>8</v>
      </c>
      <c r="V1210">
        <v>0</v>
      </c>
      <c r="W1210">
        <v>1</v>
      </c>
    </row>
    <row r="1211" spans="1:23" ht="16.5" x14ac:dyDescent="0.3">
      <c r="A1211" t="s">
        <v>1269</v>
      </c>
      <c r="B1211" s="1">
        <v>45476</v>
      </c>
      <c r="C1211">
        <v>2024</v>
      </c>
      <c r="D1211" t="s">
        <v>1255</v>
      </c>
      <c r="E1211" t="s">
        <v>1256</v>
      </c>
      <c r="F1211" t="s">
        <v>26</v>
      </c>
      <c r="G1211" t="s">
        <v>51</v>
      </c>
      <c r="H1211" t="s">
        <v>38</v>
      </c>
      <c r="I1211" t="s">
        <v>39</v>
      </c>
      <c r="J1211" t="s">
        <v>30</v>
      </c>
      <c r="K1211" s="2">
        <v>5100</v>
      </c>
      <c r="L1211" s="2">
        <v>28000</v>
      </c>
      <c r="M1211">
        <v>48</v>
      </c>
      <c r="N1211" s="3">
        <v>0.215</v>
      </c>
      <c r="O1211" t="s">
        <v>17</v>
      </c>
      <c r="P1211" t="s">
        <v>31</v>
      </c>
      <c r="Q1211">
        <v>0</v>
      </c>
      <c r="R1211">
        <v>1</v>
      </c>
      <c r="S1211" s="2">
        <v>0</v>
      </c>
      <c r="T1211" s="4"/>
      <c r="U1211">
        <v>4</v>
      </c>
      <c r="V1211">
        <v>1</v>
      </c>
      <c r="W1211">
        <v>1</v>
      </c>
    </row>
    <row r="1212" spans="1:23" ht="16.5" x14ac:dyDescent="0.3">
      <c r="A1212" t="s">
        <v>1270</v>
      </c>
      <c r="B1212" s="1">
        <v>45476</v>
      </c>
      <c r="C1212">
        <v>2024</v>
      </c>
      <c r="D1212" t="s">
        <v>1255</v>
      </c>
      <c r="E1212" t="s">
        <v>1256</v>
      </c>
      <c r="F1212" t="s">
        <v>41</v>
      </c>
      <c r="G1212" t="s">
        <v>45</v>
      </c>
      <c r="H1212" t="s">
        <v>55</v>
      </c>
      <c r="I1212" t="s">
        <v>29</v>
      </c>
      <c r="J1212" t="s">
        <v>30</v>
      </c>
      <c r="K1212" s="2">
        <v>8200</v>
      </c>
      <c r="L1212" s="2">
        <v>83500</v>
      </c>
      <c r="M1212">
        <v>36</v>
      </c>
      <c r="N1212" s="3">
        <v>0.432</v>
      </c>
      <c r="O1212" t="s">
        <v>17</v>
      </c>
      <c r="P1212" t="s">
        <v>60</v>
      </c>
      <c r="Q1212">
        <v>0</v>
      </c>
      <c r="R1212">
        <v>1</v>
      </c>
      <c r="S1212" s="2">
        <v>0</v>
      </c>
      <c r="T1212" s="4"/>
      <c r="U1212">
        <v>10</v>
      </c>
      <c r="V1212">
        <v>1</v>
      </c>
      <c r="W1212">
        <v>1</v>
      </c>
    </row>
    <row r="1213" spans="1:23" ht="16.5" x14ac:dyDescent="0.3">
      <c r="A1213" t="s">
        <v>1271</v>
      </c>
      <c r="B1213" s="1">
        <v>45476</v>
      </c>
      <c r="C1213">
        <v>2024</v>
      </c>
      <c r="D1213" t="s">
        <v>1255</v>
      </c>
      <c r="E1213" t="s">
        <v>1256</v>
      </c>
      <c r="F1213" t="s">
        <v>37</v>
      </c>
      <c r="G1213" t="s">
        <v>51</v>
      </c>
      <c r="H1213" t="s">
        <v>38</v>
      </c>
      <c r="I1213" t="s">
        <v>39</v>
      </c>
      <c r="J1213" t="s">
        <v>35</v>
      </c>
      <c r="K1213" s="2">
        <v>3100</v>
      </c>
      <c r="L1213" s="2">
        <v>9500</v>
      </c>
      <c r="M1213">
        <v>36</v>
      </c>
      <c r="N1213" s="3">
        <v>0.23</v>
      </c>
      <c r="O1213" t="s">
        <v>17</v>
      </c>
      <c r="P1213" t="s">
        <v>31</v>
      </c>
      <c r="Q1213">
        <v>0</v>
      </c>
      <c r="R1213">
        <v>1</v>
      </c>
      <c r="S1213" s="2">
        <v>0</v>
      </c>
      <c r="T1213" s="4"/>
      <c r="U1213">
        <v>6</v>
      </c>
      <c r="V1213">
        <v>0</v>
      </c>
      <c r="W1213">
        <v>1</v>
      </c>
    </row>
    <row r="1214" spans="1:23" ht="16.5" x14ac:dyDescent="0.3">
      <c r="A1214" t="s">
        <v>1272</v>
      </c>
      <c r="B1214" s="1">
        <v>45476</v>
      </c>
      <c r="C1214">
        <v>2024</v>
      </c>
      <c r="D1214" t="s">
        <v>1255</v>
      </c>
      <c r="E1214" t="s">
        <v>1256</v>
      </c>
      <c r="F1214" t="s">
        <v>37</v>
      </c>
      <c r="G1214" t="s">
        <v>51</v>
      </c>
      <c r="H1214" t="s">
        <v>55</v>
      </c>
      <c r="I1214" t="s">
        <v>29</v>
      </c>
      <c r="J1214" t="s">
        <v>46</v>
      </c>
      <c r="K1214" s="2">
        <v>5900</v>
      </c>
      <c r="L1214" s="2">
        <v>10500</v>
      </c>
      <c r="M1214">
        <v>60</v>
      </c>
      <c r="N1214" s="3">
        <v>0.223</v>
      </c>
      <c r="O1214" t="s">
        <v>16</v>
      </c>
      <c r="Q1214">
        <v>1</v>
      </c>
      <c r="R1214">
        <v>0</v>
      </c>
      <c r="S1214" s="2">
        <v>8500</v>
      </c>
      <c r="T1214" s="4">
        <v>0.1041</v>
      </c>
      <c r="U1214">
        <v>6</v>
      </c>
      <c r="V1214">
        <v>0</v>
      </c>
      <c r="W1214">
        <v>1</v>
      </c>
    </row>
    <row r="1215" spans="1:23" ht="16.5" x14ac:dyDescent="0.3">
      <c r="A1215" t="s">
        <v>1273</v>
      </c>
      <c r="B1215" s="1">
        <v>45476</v>
      </c>
      <c r="C1215">
        <v>2024</v>
      </c>
      <c r="D1215" t="s">
        <v>1255</v>
      </c>
      <c r="E1215" t="s">
        <v>1256</v>
      </c>
      <c r="F1215" t="s">
        <v>50</v>
      </c>
      <c r="G1215" t="s">
        <v>51</v>
      </c>
      <c r="H1215" t="s">
        <v>55</v>
      </c>
      <c r="I1215" t="s">
        <v>42</v>
      </c>
      <c r="J1215" t="s">
        <v>30</v>
      </c>
      <c r="K1215" s="2">
        <v>2500</v>
      </c>
      <c r="L1215" s="2">
        <v>417500</v>
      </c>
      <c r="M1215">
        <v>180</v>
      </c>
      <c r="N1215" s="3">
        <v>1.488</v>
      </c>
      <c r="O1215" t="s">
        <v>17</v>
      </c>
      <c r="P1215" t="s">
        <v>53</v>
      </c>
      <c r="Q1215">
        <v>0</v>
      </c>
      <c r="R1215">
        <v>1</v>
      </c>
      <c r="S1215" s="2">
        <v>0</v>
      </c>
      <c r="T1215" s="4"/>
      <c r="U1215">
        <v>30</v>
      </c>
      <c r="V1215">
        <v>0</v>
      </c>
      <c r="W1215">
        <v>1</v>
      </c>
    </row>
    <row r="1216" spans="1:23" ht="16.5" x14ac:dyDescent="0.3">
      <c r="A1216" t="s">
        <v>1274</v>
      </c>
      <c r="B1216" s="1">
        <v>45476</v>
      </c>
      <c r="C1216">
        <v>2024</v>
      </c>
      <c r="D1216" t="s">
        <v>1255</v>
      </c>
      <c r="E1216" t="s">
        <v>1256</v>
      </c>
      <c r="F1216" t="s">
        <v>37</v>
      </c>
      <c r="G1216" t="s">
        <v>51</v>
      </c>
      <c r="H1216" t="s">
        <v>38</v>
      </c>
      <c r="I1216" t="s">
        <v>39</v>
      </c>
      <c r="J1216" t="s">
        <v>30</v>
      </c>
      <c r="K1216" s="2">
        <v>4100</v>
      </c>
      <c r="L1216" s="2">
        <v>6000</v>
      </c>
      <c r="M1216">
        <v>12</v>
      </c>
      <c r="N1216" s="3">
        <v>0.29399999999999998</v>
      </c>
      <c r="O1216" t="s">
        <v>16</v>
      </c>
      <c r="Q1216">
        <v>1</v>
      </c>
      <c r="R1216">
        <v>0</v>
      </c>
      <c r="S1216" s="2">
        <v>6000</v>
      </c>
      <c r="T1216" s="4">
        <v>0.1358</v>
      </c>
      <c r="U1216">
        <v>8</v>
      </c>
      <c r="V1216">
        <v>0</v>
      </c>
      <c r="W1216">
        <v>1</v>
      </c>
    </row>
    <row r="1217" spans="1:23" ht="16.5" x14ac:dyDescent="0.3">
      <c r="A1217" t="s">
        <v>1275</v>
      </c>
      <c r="B1217" s="1">
        <v>45477</v>
      </c>
      <c r="C1217">
        <v>2024</v>
      </c>
      <c r="D1217" t="s">
        <v>1255</v>
      </c>
      <c r="E1217" t="s">
        <v>1256</v>
      </c>
      <c r="F1217" t="s">
        <v>41</v>
      </c>
      <c r="G1217" t="s">
        <v>45</v>
      </c>
      <c r="H1217" t="s">
        <v>55</v>
      </c>
      <c r="I1217" t="s">
        <v>42</v>
      </c>
      <c r="J1217" t="s">
        <v>30</v>
      </c>
      <c r="K1217" s="2">
        <v>5100</v>
      </c>
      <c r="L1217" s="2">
        <v>204500</v>
      </c>
      <c r="M1217">
        <v>60</v>
      </c>
      <c r="N1217" s="3">
        <v>1.008</v>
      </c>
      <c r="O1217" t="s">
        <v>125</v>
      </c>
      <c r="Q1217">
        <v>0</v>
      </c>
      <c r="R1217">
        <v>0</v>
      </c>
      <c r="S1217" s="2">
        <v>0</v>
      </c>
      <c r="T1217" s="4"/>
      <c r="U1217">
        <v>10</v>
      </c>
      <c r="V1217">
        <v>1</v>
      </c>
      <c r="W1217">
        <v>1</v>
      </c>
    </row>
    <row r="1218" spans="1:23" ht="16.5" x14ac:dyDescent="0.3">
      <c r="A1218" t="s">
        <v>1276</v>
      </c>
      <c r="B1218" s="1">
        <v>45477</v>
      </c>
      <c r="C1218">
        <v>2024</v>
      </c>
      <c r="D1218" t="s">
        <v>1255</v>
      </c>
      <c r="E1218" t="s">
        <v>1256</v>
      </c>
      <c r="F1218" t="s">
        <v>37</v>
      </c>
      <c r="G1218" t="s">
        <v>51</v>
      </c>
      <c r="H1218" t="s">
        <v>55</v>
      </c>
      <c r="I1218" t="s">
        <v>39</v>
      </c>
      <c r="J1218" t="s">
        <v>35</v>
      </c>
      <c r="K1218" s="2">
        <v>7500</v>
      </c>
      <c r="L1218" s="2">
        <v>21000</v>
      </c>
      <c r="M1218">
        <v>36</v>
      </c>
      <c r="N1218" s="3">
        <v>0.26700000000000002</v>
      </c>
      <c r="O1218" t="s">
        <v>16</v>
      </c>
      <c r="Q1218">
        <v>1</v>
      </c>
      <c r="R1218">
        <v>0</v>
      </c>
      <c r="S1218" s="2">
        <v>21000</v>
      </c>
      <c r="T1218" s="4">
        <v>0.1225</v>
      </c>
      <c r="U1218">
        <v>3</v>
      </c>
      <c r="V1218">
        <v>1</v>
      </c>
      <c r="W1218">
        <v>1</v>
      </c>
    </row>
    <row r="1219" spans="1:23" ht="16.5" x14ac:dyDescent="0.3">
      <c r="A1219" t="s">
        <v>1277</v>
      </c>
      <c r="B1219" s="1">
        <v>45477</v>
      </c>
      <c r="C1219">
        <v>2024</v>
      </c>
      <c r="D1219" t="s">
        <v>1255</v>
      </c>
      <c r="E1219" t="s">
        <v>1256</v>
      </c>
      <c r="F1219" t="s">
        <v>41</v>
      </c>
      <c r="G1219" t="s">
        <v>51</v>
      </c>
      <c r="H1219" t="s">
        <v>64</v>
      </c>
      <c r="I1219" t="s">
        <v>39</v>
      </c>
      <c r="J1219" t="s">
        <v>35</v>
      </c>
      <c r="K1219" s="2">
        <v>3700</v>
      </c>
      <c r="L1219" s="2">
        <v>106500</v>
      </c>
      <c r="M1219">
        <v>36</v>
      </c>
      <c r="N1219" s="3">
        <v>1.0620000000000001</v>
      </c>
      <c r="O1219" t="s">
        <v>17</v>
      </c>
      <c r="P1219" t="s">
        <v>60</v>
      </c>
      <c r="Q1219">
        <v>0</v>
      </c>
      <c r="R1219">
        <v>1</v>
      </c>
      <c r="S1219" s="2">
        <v>0</v>
      </c>
      <c r="T1219" s="4"/>
      <c r="U1219">
        <v>11</v>
      </c>
      <c r="V1219">
        <v>0</v>
      </c>
      <c r="W1219">
        <v>1</v>
      </c>
    </row>
    <row r="1220" spans="1:23" ht="16.5" x14ac:dyDescent="0.3">
      <c r="A1220" t="s">
        <v>1278</v>
      </c>
      <c r="B1220" s="1">
        <v>45478</v>
      </c>
      <c r="C1220">
        <v>2024</v>
      </c>
      <c r="D1220" t="s">
        <v>1255</v>
      </c>
      <c r="E1220" t="s">
        <v>1256</v>
      </c>
      <c r="F1220" t="s">
        <v>41</v>
      </c>
      <c r="G1220" t="s">
        <v>27</v>
      </c>
      <c r="H1220" t="s">
        <v>64</v>
      </c>
      <c r="I1220" t="s">
        <v>29</v>
      </c>
      <c r="J1220" t="s">
        <v>35</v>
      </c>
      <c r="K1220" s="2">
        <v>4800</v>
      </c>
      <c r="L1220" s="2">
        <v>29000</v>
      </c>
      <c r="M1220">
        <v>60</v>
      </c>
      <c r="N1220" s="3">
        <v>0.34399999999999997</v>
      </c>
      <c r="O1220" t="s">
        <v>17</v>
      </c>
      <c r="P1220" t="s">
        <v>65</v>
      </c>
      <c r="Q1220">
        <v>0</v>
      </c>
      <c r="R1220">
        <v>1</v>
      </c>
      <c r="S1220" s="2">
        <v>0</v>
      </c>
      <c r="T1220" s="4"/>
      <c r="U1220">
        <v>8</v>
      </c>
      <c r="V1220">
        <v>1</v>
      </c>
      <c r="W1220">
        <v>1</v>
      </c>
    </row>
    <row r="1221" spans="1:23" ht="16.5" x14ac:dyDescent="0.3">
      <c r="A1221" t="s">
        <v>1279</v>
      </c>
      <c r="B1221" s="1">
        <v>45478</v>
      </c>
      <c r="C1221">
        <v>2024</v>
      </c>
      <c r="D1221" t="s">
        <v>1255</v>
      </c>
      <c r="E1221" t="s">
        <v>1256</v>
      </c>
      <c r="F1221" t="s">
        <v>37</v>
      </c>
      <c r="G1221" t="s">
        <v>45</v>
      </c>
      <c r="H1221" t="s">
        <v>64</v>
      </c>
      <c r="I1221" t="s">
        <v>29</v>
      </c>
      <c r="J1221" t="s">
        <v>52</v>
      </c>
      <c r="K1221" s="2">
        <v>6250</v>
      </c>
      <c r="L1221" s="2">
        <v>12000</v>
      </c>
      <c r="M1221">
        <v>60</v>
      </c>
      <c r="N1221" s="3">
        <v>0.11600000000000001</v>
      </c>
      <c r="O1221" t="s">
        <v>17</v>
      </c>
      <c r="P1221" t="s">
        <v>60</v>
      </c>
      <c r="Q1221">
        <v>0</v>
      </c>
      <c r="R1221">
        <v>1</v>
      </c>
      <c r="S1221" s="2">
        <v>0</v>
      </c>
      <c r="T1221" s="4"/>
      <c r="U1221">
        <v>7</v>
      </c>
      <c r="V1221">
        <v>0</v>
      </c>
      <c r="W1221">
        <v>1</v>
      </c>
    </row>
    <row r="1222" spans="1:23" ht="16.5" x14ac:dyDescent="0.3">
      <c r="A1222" t="s">
        <v>1280</v>
      </c>
      <c r="B1222" s="1">
        <v>45478</v>
      </c>
      <c r="C1222">
        <v>2024</v>
      </c>
      <c r="D1222" t="s">
        <v>1255</v>
      </c>
      <c r="E1222" t="s">
        <v>1256</v>
      </c>
      <c r="F1222" t="s">
        <v>37</v>
      </c>
      <c r="G1222" t="s">
        <v>51</v>
      </c>
      <c r="H1222" t="s">
        <v>28</v>
      </c>
      <c r="I1222" t="s">
        <v>29</v>
      </c>
      <c r="J1222" t="s">
        <v>30</v>
      </c>
      <c r="K1222" s="2">
        <v>3350</v>
      </c>
      <c r="L1222" s="2">
        <v>20000</v>
      </c>
      <c r="M1222">
        <v>24</v>
      </c>
      <c r="N1222" s="3">
        <v>0.38900000000000001</v>
      </c>
      <c r="O1222" t="s">
        <v>17</v>
      </c>
      <c r="P1222" t="s">
        <v>31</v>
      </c>
      <c r="Q1222">
        <v>0</v>
      </c>
      <c r="R1222">
        <v>1</v>
      </c>
      <c r="S1222" s="2">
        <v>0</v>
      </c>
      <c r="T1222" s="4"/>
      <c r="U1222">
        <v>9</v>
      </c>
      <c r="V1222">
        <v>0</v>
      </c>
      <c r="W1222">
        <v>1</v>
      </c>
    </row>
    <row r="1223" spans="1:23" ht="16.5" x14ac:dyDescent="0.3">
      <c r="A1223" t="s">
        <v>1281</v>
      </c>
      <c r="B1223" s="1">
        <v>45479</v>
      </c>
      <c r="C1223">
        <v>2024</v>
      </c>
      <c r="D1223" t="s">
        <v>1255</v>
      </c>
      <c r="E1223" t="s">
        <v>1256</v>
      </c>
      <c r="F1223" t="s">
        <v>41</v>
      </c>
      <c r="G1223" t="s">
        <v>45</v>
      </c>
      <c r="H1223" t="s">
        <v>38</v>
      </c>
      <c r="I1223" t="s">
        <v>39</v>
      </c>
      <c r="J1223" t="s">
        <v>52</v>
      </c>
      <c r="K1223" s="2">
        <v>6500</v>
      </c>
      <c r="L1223" s="2">
        <v>121000</v>
      </c>
      <c r="M1223">
        <v>60</v>
      </c>
      <c r="N1223" s="3">
        <v>0.59099999999999997</v>
      </c>
      <c r="O1223" t="s">
        <v>16</v>
      </c>
      <c r="Q1223">
        <v>1</v>
      </c>
      <c r="R1223">
        <v>0</v>
      </c>
      <c r="S1223" s="2">
        <v>109000</v>
      </c>
      <c r="T1223" s="4">
        <v>9.8299999999999998E-2</v>
      </c>
      <c r="U1223">
        <v>10</v>
      </c>
      <c r="V1223">
        <v>1</v>
      </c>
      <c r="W1223">
        <v>1</v>
      </c>
    </row>
    <row r="1224" spans="1:23" ht="16.5" x14ac:dyDescent="0.3">
      <c r="A1224" t="s">
        <v>1282</v>
      </c>
      <c r="B1224" s="1">
        <v>45479</v>
      </c>
      <c r="C1224">
        <v>2024</v>
      </c>
      <c r="D1224" t="s">
        <v>1255</v>
      </c>
      <c r="E1224" t="s">
        <v>1256</v>
      </c>
      <c r="F1224" t="s">
        <v>37</v>
      </c>
      <c r="G1224" t="s">
        <v>45</v>
      </c>
      <c r="H1224" t="s">
        <v>64</v>
      </c>
      <c r="I1224" t="s">
        <v>39</v>
      </c>
      <c r="J1224" t="s">
        <v>46</v>
      </c>
      <c r="K1224" s="2">
        <v>9100</v>
      </c>
      <c r="L1224" s="2">
        <v>18000</v>
      </c>
      <c r="M1224">
        <v>36</v>
      </c>
      <c r="N1224" s="3">
        <v>0.17899999999999999</v>
      </c>
      <c r="O1224" t="s">
        <v>17</v>
      </c>
      <c r="P1224" t="s">
        <v>60</v>
      </c>
      <c r="Q1224">
        <v>0</v>
      </c>
      <c r="R1224">
        <v>1</v>
      </c>
      <c r="S1224" s="2">
        <v>0</v>
      </c>
      <c r="T1224" s="4"/>
      <c r="U1224">
        <v>6</v>
      </c>
      <c r="V1224">
        <v>0</v>
      </c>
      <c r="W1224">
        <v>1</v>
      </c>
    </row>
    <row r="1225" spans="1:23" ht="16.5" x14ac:dyDescent="0.3">
      <c r="A1225" t="s">
        <v>1283</v>
      </c>
      <c r="B1225" s="1">
        <v>45479</v>
      </c>
      <c r="C1225">
        <v>2024</v>
      </c>
      <c r="D1225" t="s">
        <v>1255</v>
      </c>
      <c r="E1225" t="s">
        <v>1256</v>
      </c>
      <c r="F1225" t="s">
        <v>41</v>
      </c>
      <c r="G1225" t="s">
        <v>45</v>
      </c>
      <c r="H1225" t="s">
        <v>38</v>
      </c>
      <c r="I1225" t="s">
        <v>39</v>
      </c>
      <c r="J1225" t="s">
        <v>35</v>
      </c>
      <c r="K1225" s="2">
        <v>4900</v>
      </c>
      <c r="L1225" s="2">
        <v>87000</v>
      </c>
      <c r="M1225">
        <v>12</v>
      </c>
      <c r="N1225" s="3">
        <v>1.7210000000000001</v>
      </c>
      <c r="O1225" t="s">
        <v>17</v>
      </c>
      <c r="P1225" t="s">
        <v>53</v>
      </c>
      <c r="Q1225">
        <v>0</v>
      </c>
      <c r="R1225">
        <v>1</v>
      </c>
      <c r="S1225" s="2">
        <v>0</v>
      </c>
      <c r="T1225" s="4"/>
      <c r="U1225">
        <v>8</v>
      </c>
      <c r="V1225">
        <v>1</v>
      </c>
      <c r="W1225">
        <v>1</v>
      </c>
    </row>
    <row r="1226" spans="1:23" ht="16.5" x14ac:dyDescent="0.3">
      <c r="A1226" t="s">
        <v>1284</v>
      </c>
      <c r="B1226" s="1">
        <v>45479</v>
      </c>
      <c r="C1226">
        <v>2024</v>
      </c>
      <c r="D1226" t="s">
        <v>1255</v>
      </c>
      <c r="E1226" t="s">
        <v>1256</v>
      </c>
      <c r="F1226" t="s">
        <v>37</v>
      </c>
      <c r="G1226" t="s">
        <v>51</v>
      </c>
      <c r="H1226" t="s">
        <v>38</v>
      </c>
      <c r="I1226" t="s">
        <v>39</v>
      </c>
      <c r="J1226" t="s">
        <v>46</v>
      </c>
      <c r="K1226" s="2">
        <v>5250</v>
      </c>
      <c r="L1226" s="2">
        <v>7500</v>
      </c>
      <c r="M1226">
        <v>48</v>
      </c>
      <c r="N1226" s="3">
        <v>0.24399999999999999</v>
      </c>
      <c r="O1226" t="s">
        <v>16</v>
      </c>
      <c r="Q1226">
        <v>1</v>
      </c>
      <c r="R1226">
        <v>0</v>
      </c>
      <c r="S1226" s="2">
        <v>7000</v>
      </c>
      <c r="T1226" s="4">
        <v>0.1096</v>
      </c>
      <c r="U1226">
        <v>3</v>
      </c>
      <c r="V1226">
        <v>1</v>
      </c>
      <c r="W1226">
        <v>1</v>
      </c>
    </row>
    <row r="1227" spans="1:23" ht="16.5" x14ac:dyDescent="0.3">
      <c r="A1227" t="s">
        <v>1285</v>
      </c>
      <c r="B1227" s="1">
        <v>45480</v>
      </c>
      <c r="C1227">
        <v>2024</v>
      </c>
      <c r="D1227" t="s">
        <v>1255</v>
      </c>
      <c r="E1227" t="s">
        <v>1256</v>
      </c>
      <c r="F1227" t="s">
        <v>37</v>
      </c>
      <c r="G1227" t="s">
        <v>33</v>
      </c>
      <c r="H1227" t="s">
        <v>28</v>
      </c>
      <c r="I1227" t="s">
        <v>29</v>
      </c>
      <c r="J1227" t="s">
        <v>30</v>
      </c>
      <c r="K1227" s="2">
        <v>4200</v>
      </c>
      <c r="L1227" s="2">
        <v>6000</v>
      </c>
      <c r="M1227">
        <v>60</v>
      </c>
      <c r="N1227" s="3">
        <v>0.20399999999999999</v>
      </c>
      <c r="O1227" t="s">
        <v>16</v>
      </c>
      <c r="Q1227">
        <v>1</v>
      </c>
      <c r="R1227">
        <v>0</v>
      </c>
      <c r="S1227" s="2">
        <v>6000</v>
      </c>
      <c r="T1227" s="4">
        <v>0.14069999999999999</v>
      </c>
      <c r="U1227">
        <v>2</v>
      </c>
      <c r="V1227">
        <v>1</v>
      </c>
      <c r="W1227">
        <v>1</v>
      </c>
    </row>
    <row r="1228" spans="1:23" ht="16.5" x14ac:dyDescent="0.3">
      <c r="A1228" t="s">
        <v>1286</v>
      </c>
      <c r="B1228" s="1">
        <v>45481</v>
      </c>
      <c r="C1228">
        <v>2024</v>
      </c>
      <c r="D1228" t="s">
        <v>1255</v>
      </c>
      <c r="E1228" t="s">
        <v>1256</v>
      </c>
      <c r="F1228" t="s">
        <v>37</v>
      </c>
      <c r="G1228" t="s">
        <v>51</v>
      </c>
      <c r="H1228" t="s">
        <v>34</v>
      </c>
      <c r="I1228" t="s">
        <v>42</v>
      </c>
      <c r="J1228" t="s">
        <v>30</v>
      </c>
      <c r="K1228" s="2">
        <v>8200</v>
      </c>
      <c r="L1228" s="2">
        <v>9500</v>
      </c>
      <c r="M1228">
        <v>60</v>
      </c>
      <c r="N1228" s="3">
        <v>7.8E-2</v>
      </c>
      <c r="O1228" t="s">
        <v>16</v>
      </c>
      <c r="Q1228">
        <v>1</v>
      </c>
      <c r="R1228">
        <v>0</v>
      </c>
      <c r="S1228" s="2">
        <v>9500</v>
      </c>
      <c r="T1228" s="4">
        <v>0.13950000000000001</v>
      </c>
      <c r="U1228">
        <v>2</v>
      </c>
      <c r="V1228">
        <v>1</v>
      </c>
      <c r="W1228">
        <v>1</v>
      </c>
    </row>
    <row r="1229" spans="1:23" ht="16.5" x14ac:dyDescent="0.3">
      <c r="A1229" t="s">
        <v>1287</v>
      </c>
      <c r="B1229" s="1">
        <v>45481</v>
      </c>
      <c r="C1229">
        <v>2024</v>
      </c>
      <c r="D1229" t="s">
        <v>1255</v>
      </c>
      <c r="E1229" t="s">
        <v>1256</v>
      </c>
      <c r="F1229" t="s">
        <v>37</v>
      </c>
      <c r="G1229" t="s">
        <v>27</v>
      </c>
      <c r="H1229" t="s">
        <v>55</v>
      </c>
      <c r="I1229" t="s">
        <v>29</v>
      </c>
      <c r="J1229" t="s">
        <v>43</v>
      </c>
      <c r="K1229" s="2">
        <v>4950</v>
      </c>
      <c r="L1229" s="2">
        <v>7500</v>
      </c>
      <c r="M1229">
        <v>48</v>
      </c>
      <c r="N1229" s="3">
        <v>0.11700000000000001</v>
      </c>
      <c r="O1229" t="s">
        <v>17</v>
      </c>
      <c r="P1229" t="s">
        <v>31</v>
      </c>
      <c r="Q1229">
        <v>0</v>
      </c>
      <c r="R1229">
        <v>1</v>
      </c>
      <c r="S1229" s="2">
        <v>0</v>
      </c>
      <c r="T1229" s="4"/>
      <c r="U1229">
        <v>4</v>
      </c>
      <c r="V1229">
        <v>0</v>
      </c>
      <c r="W1229">
        <v>1</v>
      </c>
    </row>
    <row r="1230" spans="1:23" ht="16.5" x14ac:dyDescent="0.3">
      <c r="A1230" t="s">
        <v>1288</v>
      </c>
      <c r="B1230" s="1">
        <v>45481</v>
      </c>
      <c r="C1230">
        <v>2024</v>
      </c>
      <c r="D1230" t="s">
        <v>1255</v>
      </c>
      <c r="E1230" t="s">
        <v>1256</v>
      </c>
      <c r="F1230" t="s">
        <v>50</v>
      </c>
      <c r="G1230" t="s">
        <v>45</v>
      </c>
      <c r="H1230" t="s">
        <v>55</v>
      </c>
      <c r="I1230" t="s">
        <v>29</v>
      </c>
      <c r="J1230" t="s">
        <v>30</v>
      </c>
      <c r="K1230" s="2">
        <v>3900</v>
      </c>
      <c r="L1230" s="2">
        <v>418000</v>
      </c>
      <c r="M1230">
        <v>240</v>
      </c>
      <c r="N1230" s="3">
        <v>0.86699999999999999</v>
      </c>
      <c r="O1230" t="s">
        <v>17</v>
      </c>
      <c r="P1230" t="s">
        <v>31</v>
      </c>
      <c r="Q1230">
        <v>0</v>
      </c>
      <c r="R1230">
        <v>1</v>
      </c>
      <c r="S1230" s="2">
        <v>0</v>
      </c>
      <c r="T1230" s="4"/>
      <c r="U1230">
        <v>11</v>
      </c>
      <c r="V1230">
        <v>1</v>
      </c>
      <c r="W1230">
        <v>1</v>
      </c>
    </row>
    <row r="1231" spans="1:23" ht="16.5" x14ac:dyDescent="0.3">
      <c r="A1231" t="s">
        <v>1289</v>
      </c>
      <c r="B1231" s="1">
        <v>45481</v>
      </c>
      <c r="C1231">
        <v>2024</v>
      </c>
      <c r="D1231" t="s">
        <v>1255</v>
      </c>
      <c r="E1231" t="s">
        <v>1256</v>
      </c>
      <c r="F1231" t="s">
        <v>26</v>
      </c>
      <c r="G1231" t="s">
        <v>27</v>
      </c>
      <c r="H1231" t="s">
        <v>38</v>
      </c>
      <c r="I1231" t="s">
        <v>29</v>
      </c>
      <c r="J1231" t="s">
        <v>35</v>
      </c>
      <c r="K1231" s="2">
        <v>8850</v>
      </c>
      <c r="L1231" s="2">
        <v>11000</v>
      </c>
      <c r="M1231">
        <v>36</v>
      </c>
      <c r="N1231" s="3">
        <v>0.24</v>
      </c>
      <c r="O1231" t="s">
        <v>16</v>
      </c>
      <c r="Q1231">
        <v>1</v>
      </c>
      <c r="R1231">
        <v>0</v>
      </c>
      <c r="S1231" s="2">
        <v>11000</v>
      </c>
      <c r="T1231" s="4">
        <v>8.8999999999999996E-2</v>
      </c>
      <c r="U1231">
        <v>6</v>
      </c>
      <c r="V1231">
        <v>0</v>
      </c>
      <c r="W1231">
        <v>1</v>
      </c>
    </row>
    <row r="1232" spans="1:23" ht="16.5" x14ac:dyDescent="0.3">
      <c r="A1232" t="s">
        <v>1290</v>
      </c>
      <c r="B1232" s="1">
        <v>45481</v>
      </c>
      <c r="C1232">
        <v>2024</v>
      </c>
      <c r="D1232" t="s">
        <v>1255</v>
      </c>
      <c r="E1232" t="s">
        <v>1256</v>
      </c>
      <c r="F1232" t="s">
        <v>26</v>
      </c>
      <c r="G1232" t="s">
        <v>51</v>
      </c>
      <c r="H1232" t="s">
        <v>34</v>
      </c>
      <c r="I1232" t="s">
        <v>39</v>
      </c>
      <c r="J1232" t="s">
        <v>35</v>
      </c>
      <c r="K1232" s="2">
        <v>5200</v>
      </c>
      <c r="L1232" s="2">
        <v>33500</v>
      </c>
      <c r="M1232">
        <v>36</v>
      </c>
      <c r="N1232" s="3">
        <v>0.308</v>
      </c>
      <c r="O1232" t="s">
        <v>16</v>
      </c>
      <c r="Q1232">
        <v>1</v>
      </c>
      <c r="R1232">
        <v>0</v>
      </c>
      <c r="S1232" s="2">
        <v>33500</v>
      </c>
      <c r="T1232" s="4">
        <v>8.0799999999999997E-2</v>
      </c>
      <c r="U1232">
        <v>4</v>
      </c>
      <c r="V1232">
        <v>1</v>
      </c>
      <c r="W1232">
        <v>1</v>
      </c>
    </row>
    <row r="1233" spans="1:23" ht="16.5" x14ac:dyDescent="0.3">
      <c r="A1233" t="s">
        <v>1291</v>
      </c>
      <c r="B1233" s="1">
        <v>45481</v>
      </c>
      <c r="C1233">
        <v>2024</v>
      </c>
      <c r="D1233" t="s">
        <v>1255</v>
      </c>
      <c r="E1233" t="s">
        <v>1256</v>
      </c>
      <c r="F1233" t="s">
        <v>26</v>
      </c>
      <c r="G1233" t="s">
        <v>33</v>
      </c>
      <c r="H1233" t="s">
        <v>55</v>
      </c>
      <c r="I1233" t="s">
        <v>39</v>
      </c>
      <c r="J1233" t="s">
        <v>52</v>
      </c>
      <c r="K1233" s="2">
        <v>4100</v>
      </c>
      <c r="L1233" s="2">
        <v>27000</v>
      </c>
      <c r="M1233">
        <v>36</v>
      </c>
      <c r="N1233" s="3">
        <v>0.42099999999999999</v>
      </c>
      <c r="O1233" t="s">
        <v>16</v>
      </c>
      <c r="Q1233">
        <v>1</v>
      </c>
      <c r="R1233">
        <v>0</v>
      </c>
      <c r="S1233" s="2">
        <v>27000</v>
      </c>
      <c r="T1233" s="4">
        <v>6.9400000000000003E-2</v>
      </c>
      <c r="U1233">
        <v>4</v>
      </c>
      <c r="V1233">
        <v>1</v>
      </c>
      <c r="W1233">
        <v>1</v>
      </c>
    </row>
    <row r="1234" spans="1:23" ht="16.5" x14ac:dyDescent="0.3">
      <c r="A1234" t="s">
        <v>1292</v>
      </c>
      <c r="B1234" s="1">
        <v>45481</v>
      </c>
      <c r="C1234">
        <v>2024</v>
      </c>
      <c r="D1234" t="s">
        <v>1255</v>
      </c>
      <c r="E1234" t="s">
        <v>1256</v>
      </c>
      <c r="F1234" t="s">
        <v>37</v>
      </c>
      <c r="G1234" t="s">
        <v>51</v>
      </c>
      <c r="H1234" t="s">
        <v>38</v>
      </c>
      <c r="I1234" t="s">
        <v>39</v>
      </c>
      <c r="J1234" t="s">
        <v>46</v>
      </c>
      <c r="K1234" s="2">
        <v>4350</v>
      </c>
      <c r="L1234" s="2">
        <v>14500</v>
      </c>
      <c r="M1234">
        <v>24</v>
      </c>
      <c r="N1234" s="3">
        <v>0.33400000000000002</v>
      </c>
      <c r="O1234" t="s">
        <v>16</v>
      </c>
      <c r="Q1234">
        <v>1</v>
      </c>
      <c r="R1234">
        <v>0</v>
      </c>
      <c r="S1234" s="2">
        <v>11500</v>
      </c>
      <c r="T1234" s="4">
        <v>0.106</v>
      </c>
      <c r="U1234">
        <v>5</v>
      </c>
      <c r="V1234">
        <v>0</v>
      </c>
      <c r="W1234">
        <v>1</v>
      </c>
    </row>
    <row r="1235" spans="1:23" ht="16.5" x14ac:dyDescent="0.3">
      <c r="A1235" t="s">
        <v>1293</v>
      </c>
      <c r="B1235" s="1">
        <v>45482</v>
      </c>
      <c r="C1235">
        <v>2024</v>
      </c>
      <c r="D1235" t="s">
        <v>1255</v>
      </c>
      <c r="E1235" t="s">
        <v>1256</v>
      </c>
      <c r="F1235" t="s">
        <v>37</v>
      </c>
      <c r="G1235" t="s">
        <v>45</v>
      </c>
      <c r="H1235" t="s">
        <v>38</v>
      </c>
      <c r="I1235" t="s">
        <v>29</v>
      </c>
      <c r="J1235" t="s">
        <v>30</v>
      </c>
      <c r="K1235" s="2">
        <v>7250</v>
      </c>
      <c r="L1235" s="2">
        <v>7000</v>
      </c>
      <c r="M1235">
        <v>24</v>
      </c>
      <c r="N1235" s="3">
        <v>0.187</v>
      </c>
      <c r="O1235" t="s">
        <v>17</v>
      </c>
      <c r="P1235" t="s">
        <v>31</v>
      </c>
      <c r="Q1235">
        <v>0</v>
      </c>
      <c r="R1235">
        <v>1</v>
      </c>
      <c r="S1235" s="2">
        <v>0</v>
      </c>
      <c r="T1235" s="4"/>
      <c r="U1235">
        <v>3</v>
      </c>
      <c r="V1235">
        <v>1</v>
      </c>
      <c r="W1235">
        <v>1</v>
      </c>
    </row>
    <row r="1236" spans="1:23" ht="16.5" x14ac:dyDescent="0.3">
      <c r="A1236" t="s">
        <v>1294</v>
      </c>
      <c r="B1236" s="1">
        <v>45482</v>
      </c>
      <c r="C1236">
        <v>2024</v>
      </c>
      <c r="D1236" t="s">
        <v>1255</v>
      </c>
      <c r="E1236" t="s">
        <v>1256</v>
      </c>
      <c r="F1236" t="s">
        <v>26</v>
      </c>
      <c r="G1236" t="s">
        <v>33</v>
      </c>
      <c r="H1236" t="s">
        <v>38</v>
      </c>
      <c r="I1236" t="s">
        <v>42</v>
      </c>
      <c r="J1236" t="s">
        <v>52</v>
      </c>
      <c r="K1236" s="2">
        <v>4200</v>
      </c>
      <c r="L1236" s="2">
        <v>33000</v>
      </c>
      <c r="M1236">
        <v>60</v>
      </c>
      <c r="N1236" s="3">
        <v>0.214</v>
      </c>
      <c r="O1236" t="s">
        <v>17</v>
      </c>
      <c r="P1236" t="s">
        <v>31</v>
      </c>
      <c r="Q1236">
        <v>0</v>
      </c>
      <c r="R1236">
        <v>1</v>
      </c>
      <c r="S1236" s="2">
        <v>0</v>
      </c>
      <c r="T1236" s="4"/>
      <c r="U1236">
        <v>2</v>
      </c>
      <c r="V1236">
        <v>1</v>
      </c>
      <c r="W1236">
        <v>1</v>
      </c>
    </row>
    <row r="1237" spans="1:23" ht="16.5" x14ac:dyDescent="0.3">
      <c r="A1237" t="s">
        <v>1295</v>
      </c>
      <c r="B1237" s="1">
        <v>45482</v>
      </c>
      <c r="C1237">
        <v>2024</v>
      </c>
      <c r="D1237" t="s">
        <v>1255</v>
      </c>
      <c r="E1237" t="s">
        <v>1256</v>
      </c>
      <c r="F1237" t="s">
        <v>37</v>
      </c>
      <c r="G1237" t="s">
        <v>33</v>
      </c>
      <c r="H1237" t="s">
        <v>64</v>
      </c>
      <c r="I1237" t="s">
        <v>29</v>
      </c>
      <c r="J1237" t="s">
        <v>52</v>
      </c>
      <c r="K1237" s="2">
        <v>8300</v>
      </c>
      <c r="L1237" s="2">
        <v>9000</v>
      </c>
      <c r="M1237">
        <v>36</v>
      </c>
      <c r="N1237" s="3">
        <v>0.14599999999999999</v>
      </c>
      <c r="O1237" t="s">
        <v>16</v>
      </c>
      <c r="Q1237">
        <v>1</v>
      </c>
      <c r="R1237">
        <v>0</v>
      </c>
      <c r="S1237" s="2">
        <v>8000</v>
      </c>
      <c r="T1237" s="4">
        <v>0.1144</v>
      </c>
      <c r="U1237">
        <v>1</v>
      </c>
      <c r="V1237">
        <v>1</v>
      </c>
      <c r="W1237">
        <v>1</v>
      </c>
    </row>
    <row r="1238" spans="1:23" ht="16.5" x14ac:dyDescent="0.3">
      <c r="A1238" t="s">
        <v>1296</v>
      </c>
      <c r="B1238" s="1">
        <v>45482</v>
      </c>
      <c r="C1238">
        <v>2024</v>
      </c>
      <c r="D1238" t="s">
        <v>1255</v>
      </c>
      <c r="E1238" t="s">
        <v>1256</v>
      </c>
      <c r="F1238" t="s">
        <v>26</v>
      </c>
      <c r="G1238" t="s">
        <v>27</v>
      </c>
      <c r="H1238" t="s">
        <v>38</v>
      </c>
      <c r="I1238" t="s">
        <v>29</v>
      </c>
      <c r="J1238" t="s">
        <v>52</v>
      </c>
      <c r="K1238" s="2">
        <v>4550</v>
      </c>
      <c r="L1238" s="2">
        <v>32500</v>
      </c>
      <c r="M1238">
        <v>60</v>
      </c>
      <c r="N1238" s="3">
        <v>0.37</v>
      </c>
      <c r="O1238" t="s">
        <v>17</v>
      </c>
      <c r="P1238" t="s">
        <v>60</v>
      </c>
      <c r="Q1238">
        <v>0</v>
      </c>
      <c r="R1238">
        <v>1</v>
      </c>
      <c r="S1238" s="2">
        <v>0</v>
      </c>
      <c r="T1238" s="4"/>
      <c r="U1238">
        <v>14</v>
      </c>
      <c r="V1238">
        <v>0</v>
      </c>
      <c r="W1238">
        <v>1</v>
      </c>
    </row>
    <row r="1239" spans="1:23" ht="16.5" x14ac:dyDescent="0.3">
      <c r="A1239" t="s">
        <v>1297</v>
      </c>
      <c r="B1239" s="1">
        <v>45483</v>
      </c>
      <c r="C1239">
        <v>2024</v>
      </c>
      <c r="D1239" t="s">
        <v>1255</v>
      </c>
      <c r="E1239" t="s">
        <v>1256</v>
      </c>
      <c r="F1239" t="s">
        <v>26</v>
      </c>
      <c r="G1239" t="s">
        <v>51</v>
      </c>
      <c r="H1239" t="s">
        <v>55</v>
      </c>
      <c r="I1239" t="s">
        <v>39</v>
      </c>
      <c r="J1239" t="s">
        <v>30</v>
      </c>
      <c r="K1239" s="2">
        <v>4550</v>
      </c>
      <c r="L1239" s="2">
        <v>30000</v>
      </c>
      <c r="M1239">
        <v>48</v>
      </c>
      <c r="N1239" s="3">
        <v>0.40200000000000002</v>
      </c>
      <c r="O1239" t="s">
        <v>16</v>
      </c>
      <c r="Q1239">
        <v>1</v>
      </c>
      <c r="R1239">
        <v>0</v>
      </c>
      <c r="S1239" s="2">
        <v>24000</v>
      </c>
      <c r="T1239" s="4">
        <v>9.1800000000000007E-2</v>
      </c>
      <c r="U1239">
        <v>11</v>
      </c>
      <c r="V1239">
        <v>0</v>
      </c>
      <c r="W1239">
        <v>1</v>
      </c>
    </row>
    <row r="1240" spans="1:23" ht="16.5" x14ac:dyDescent="0.3">
      <c r="A1240" t="s">
        <v>1298</v>
      </c>
      <c r="B1240" s="1">
        <v>45483</v>
      </c>
      <c r="C1240">
        <v>2024</v>
      </c>
      <c r="D1240" t="s">
        <v>1255</v>
      </c>
      <c r="E1240" t="s">
        <v>1256</v>
      </c>
      <c r="F1240" t="s">
        <v>41</v>
      </c>
      <c r="G1240" t="s">
        <v>45</v>
      </c>
      <c r="H1240" t="s">
        <v>28</v>
      </c>
      <c r="I1240" t="s">
        <v>39</v>
      </c>
      <c r="J1240" t="s">
        <v>30</v>
      </c>
      <c r="K1240" s="2">
        <v>7250</v>
      </c>
      <c r="L1240" s="2">
        <v>84500</v>
      </c>
      <c r="M1240">
        <v>60</v>
      </c>
      <c r="N1240" s="3">
        <v>0.36599999999999999</v>
      </c>
      <c r="O1240" t="s">
        <v>125</v>
      </c>
      <c r="Q1240">
        <v>0</v>
      </c>
      <c r="R1240">
        <v>0</v>
      </c>
      <c r="S1240" s="2">
        <v>0</v>
      </c>
      <c r="T1240" s="4"/>
      <c r="U1240">
        <v>4</v>
      </c>
      <c r="V1240">
        <v>1</v>
      </c>
      <c r="W1240">
        <v>1</v>
      </c>
    </row>
    <row r="1241" spans="1:23" ht="16.5" x14ac:dyDescent="0.3">
      <c r="A1241" t="s">
        <v>1299</v>
      </c>
      <c r="B1241" s="1">
        <v>45483</v>
      </c>
      <c r="C1241">
        <v>2024</v>
      </c>
      <c r="D1241" t="s">
        <v>1255</v>
      </c>
      <c r="E1241" t="s">
        <v>1256</v>
      </c>
      <c r="F1241" t="s">
        <v>37</v>
      </c>
      <c r="G1241" t="s">
        <v>51</v>
      </c>
      <c r="H1241" t="s">
        <v>34</v>
      </c>
      <c r="I1241" t="s">
        <v>29</v>
      </c>
      <c r="J1241" t="s">
        <v>52</v>
      </c>
      <c r="K1241" s="2">
        <v>3150</v>
      </c>
      <c r="L1241" s="2">
        <v>12000</v>
      </c>
      <c r="M1241">
        <v>24</v>
      </c>
      <c r="N1241" s="3">
        <v>0.40799999999999997</v>
      </c>
      <c r="O1241" t="s">
        <v>17</v>
      </c>
      <c r="P1241" t="s">
        <v>65</v>
      </c>
      <c r="Q1241">
        <v>0</v>
      </c>
      <c r="R1241">
        <v>1</v>
      </c>
      <c r="S1241" s="2">
        <v>0</v>
      </c>
      <c r="T1241" s="4"/>
      <c r="U1241">
        <v>3</v>
      </c>
      <c r="V1241">
        <v>1</v>
      </c>
      <c r="W1241">
        <v>1</v>
      </c>
    </row>
    <row r="1242" spans="1:23" ht="16.5" x14ac:dyDescent="0.3">
      <c r="A1242" t="s">
        <v>1300</v>
      </c>
      <c r="B1242" s="1">
        <v>45483</v>
      </c>
      <c r="C1242">
        <v>2024</v>
      </c>
      <c r="D1242" t="s">
        <v>1255</v>
      </c>
      <c r="E1242" t="s">
        <v>1256</v>
      </c>
      <c r="F1242" t="s">
        <v>37</v>
      </c>
      <c r="G1242" t="s">
        <v>45</v>
      </c>
      <c r="H1242" t="s">
        <v>55</v>
      </c>
      <c r="I1242" t="s">
        <v>29</v>
      </c>
      <c r="J1242" t="s">
        <v>46</v>
      </c>
      <c r="K1242" s="2">
        <v>6300</v>
      </c>
      <c r="L1242" s="2">
        <v>13000</v>
      </c>
      <c r="M1242">
        <v>60</v>
      </c>
      <c r="N1242" s="3">
        <v>0.192</v>
      </c>
      <c r="O1242" t="s">
        <v>16</v>
      </c>
      <c r="Q1242">
        <v>1</v>
      </c>
      <c r="R1242">
        <v>0</v>
      </c>
      <c r="S1242" s="2">
        <v>11500</v>
      </c>
      <c r="T1242" s="4">
        <v>0.10630000000000001</v>
      </c>
      <c r="U1242">
        <v>2</v>
      </c>
      <c r="V1242">
        <v>1</v>
      </c>
      <c r="W1242">
        <v>1</v>
      </c>
    </row>
    <row r="1243" spans="1:23" ht="16.5" x14ac:dyDescent="0.3">
      <c r="A1243" t="s">
        <v>1301</v>
      </c>
      <c r="B1243" s="1">
        <v>45483</v>
      </c>
      <c r="C1243">
        <v>2024</v>
      </c>
      <c r="D1243" t="s">
        <v>1255</v>
      </c>
      <c r="E1243" t="s">
        <v>1256</v>
      </c>
      <c r="F1243" t="s">
        <v>41</v>
      </c>
      <c r="G1243" t="s">
        <v>51</v>
      </c>
      <c r="H1243" t="s">
        <v>38</v>
      </c>
      <c r="I1243" t="s">
        <v>29</v>
      </c>
      <c r="J1243" t="s">
        <v>30</v>
      </c>
      <c r="K1243" s="2">
        <v>3600</v>
      </c>
      <c r="L1243" s="2">
        <v>84000</v>
      </c>
      <c r="M1243">
        <v>12</v>
      </c>
      <c r="N1243" s="3">
        <v>2.133</v>
      </c>
      <c r="O1243" t="s">
        <v>17</v>
      </c>
      <c r="P1243" t="s">
        <v>53</v>
      </c>
      <c r="Q1243">
        <v>0</v>
      </c>
      <c r="R1243">
        <v>1</v>
      </c>
      <c r="S1243" s="2">
        <v>0</v>
      </c>
      <c r="T1243" s="4"/>
      <c r="U1243">
        <v>14</v>
      </c>
      <c r="V1243">
        <v>0</v>
      </c>
      <c r="W1243">
        <v>1</v>
      </c>
    </row>
    <row r="1244" spans="1:23" ht="16.5" x14ac:dyDescent="0.3">
      <c r="A1244" t="s">
        <v>1302</v>
      </c>
      <c r="B1244" s="1">
        <v>45484</v>
      </c>
      <c r="C1244">
        <v>2024</v>
      </c>
      <c r="D1244" t="s">
        <v>1255</v>
      </c>
      <c r="E1244" t="s">
        <v>1256</v>
      </c>
      <c r="F1244" t="s">
        <v>41</v>
      </c>
      <c r="G1244" t="s">
        <v>45</v>
      </c>
      <c r="H1244" t="s">
        <v>55</v>
      </c>
      <c r="I1244" t="s">
        <v>29</v>
      </c>
      <c r="J1244" t="s">
        <v>35</v>
      </c>
      <c r="K1244" s="2">
        <v>3850</v>
      </c>
      <c r="L1244" s="2">
        <v>73500</v>
      </c>
      <c r="M1244">
        <v>24</v>
      </c>
      <c r="N1244" s="3">
        <v>1.1279999999999999</v>
      </c>
      <c r="O1244" t="s">
        <v>16</v>
      </c>
      <c r="Q1244">
        <v>1</v>
      </c>
      <c r="R1244">
        <v>0</v>
      </c>
      <c r="S1244" s="2">
        <v>66000</v>
      </c>
      <c r="T1244" s="4">
        <v>0.10879999999999999</v>
      </c>
      <c r="U1244">
        <v>6</v>
      </c>
      <c r="V1244">
        <v>1</v>
      </c>
      <c r="W1244">
        <v>1</v>
      </c>
    </row>
    <row r="1245" spans="1:23" ht="16.5" x14ac:dyDescent="0.3">
      <c r="A1245" t="s">
        <v>1303</v>
      </c>
      <c r="B1245" s="1">
        <v>45484</v>
      </c>
      <c r="C1245">
        <v>2024</v>
      </c>
      <c r="D1245" t="s">
        <v>1255</v>
      </c>
      <c r="E1245" t="s">
        <v>1256</v>
      </c>
      <c r="F1245" t="s">
        <v>41</v>
      </c>
      <c r="G1245" t="s">
        <v>45</v>
      </c>
      <c r="H1245" t="s">
        <v>34</v>
      </c>
      <c r="I1245" t="s">
        <v>42</v>
      </c>
      <c r="J1245" t="s">
        <v>52</v>
      </c>
      <c r="K1245" s="2">
        <v>11150</v>
      </c>
      <c r="L1245" s="2">
        <v>50500</v>
      </c>
      <c r="M1245">
        <v>12</v>
      </c>
      <c r="N1245" s="3">
        <v>0.626</v>
      </c>
      <c r="O1245" t="s">
        <v>17</v>
      </c>
      <c r="P1245" t="s">
        <v>60</v>
      </c>
      <c r="Q1245">
        <v>0</v>
      </c>
      <c r="R1245">
        <v>1</v>
      </c>
      <c r="S1245" s="2">
        <v>0</v>
      </c>
      <c r="T1245" s="4"/>
      <c r="U1245">
        <v>11</v>
      </c>
      <c r="V1245">
        <v>0</v>
      </c>
      <c r="W1245">
        <v>1</v>
      </c>
    </row>
    <row r="1246" spans="1:23" ht="16.5" x14ac:dyDescent="0.3">
      <c r="A1246" t="s">
        <v>1304</v>
      </c>
      <c r="B1246" s="1">
        <v>45484</v>
      </c>
      <c r="C1246">
        <v>2024</v>
      </c>
      <c r="D1246" t="s">
        <v>1255</v>
      </c>
      <c r="E1246" t="s">
        <v>1256</v>
      </c>
      <c r="F1246" t="s">
        <v>26</v>
      </c>
      <c r="G1246" t="s">
        <v>51</v>
      </c>
      <c r="H1246" t="s">
        <v>55</v>
      </c>
      <c r="I1246" t="s">
        <v>39</v>
      </c>
      <c r="J1246" t="s">
        <v>35</v>
      </c>
      <c r="K1246" s="2">
        <v>8350</v>
      </c>
      <c r="L1246" s="2">
        <v>33500</v>
      </c>
      <c r="M1246">
        <v>36</v>
      </c>
      <c r="N1246" s="3">
        <v>0.32900000000000001</v>
      </c>
      <c r="O1246" t="s">
        <v>16</v>
      </c>
      <c r="Q1246">
        <v>1</v>
      </c>
      <c r="R1246">
        <v>0</v>
      </c>
      <c r="S1246" s="2">
        <v>33500</v>
      </c>
      <c r="T1246" s="4">
        <v>7.4200000000000002E-2</v>
      </c>
      <c r="U1246">
        <v>5</v>
      </c>
      <c r="V1246">
        <v>0</v>
      </c>
      <c r="W1246">
        <v>1</v>
      </c>
    </row>
    <row r="1247" spans="1:23" ht="16.5" x14ac:dyDescent="0.3">
      <c r="A1247" t="s">
        <v>1305</v>
      </c>
      <c r="B1247" s="1">
        <v>45484</v>
      </c>
      <c r="C1247">
        <v>2024</v>
      </c>
      <c r="D1247" t="s">
        <v>1255</v>
      </c>
      <c r="E1247" t="s">
        <v>1256</v>
      </c>
      <c r="F1247" t="s">
        <v>50</v>
      </c>
      <c r="G1247" t="s">
        <v>45</v>
      </c>
      <c r="H1247" t="s">
        <v>55</v>
      </c>
      <c r="I1247" t="s">
        <v>29</v>
      </c>
      <c r="J1247" t="s">
        <v>46</v>
      </c>
      <c r="K1247" s="2">
        <v>6200</v>
      </c>
      <c r="L1247" s="2">
        <v>363000</v>
      </c>
      <c r="M1247">
        <v>180</v>
      </c>
      <c r="N1247" s="3">
        <v>0.53700000000000003</v>
      </c>
      <c r="O1247" t="s">
        <v>16</v>
      </c>
      <c r="Q1247">
        <v>1</v>
      </c>
      <c r="R1247">
        <v>0</v>
      </c>
      <c r="S1247" s="2">
        <v>326500</v>
      </c>
      <c r="T1247" s="4">
        <v>4.9700000000000001E-2</v>
      </c>
      <c r="U1247">
        <v>10</v>
      </c>
      <c r="V1247">
        <v>1</v>
      </c>
      <c r="W1247">
        <v>1</v>
      </c>
    </row>
    <row r="1248" spans="1:23" ht="16.5" x14ac:dyDescent="0.3">
      <c r="A1248" t="s">
        <v>1306</v>
      </c>
      <c r="B1248" s="1">
        <v>45485</v>
      </c>
      <c r="C1248">
        <v>2024</v>
      </c>
      <c r="D1248" t="s">
        <v>1255</v>
      </c>
      <c r="E1248" t="s">
        <v>1256</v>
      </c>
      <c r="F1248" t="s">
        <v>41</v>
      </c>
      <c r="G1248" t="s">
        <v>45</v>
      </c>
      <c r="H1248" t="s">
        <v>38</v>
      </c>
      <c r="I1248" t="s">
        <v>39</v>
      </c>
      <c r="J1248" t="s">
        <v>52</v>
      </c>
      <c r="K1248" s="2">
        <v>10750</v>
      </c>
      <c r="L1248" s="2">
        <v>157000</v>
      </c>
      <c r="M1248">
        <v>60</v>
      </c>
      <c r="N1248" s="3">
        <v>0.46500000000000002</v>
      </c>
      <c r="O1248" t="s">
        <v>16</v>
      </c>
      <c r="Q1248">
        <v>1</v>
      </c>
      <c r="R1248">
        <v>0</v>
      </c>
      <c r="S1248" s="2">
        <v>157000</v>
      </c>
      <c r="T1248" s="4">
        <v>9.3600000000000003E-2</v>
      </c>
      <c r="U1248">
        <v>5</v>
      </c>
      <c r="V1248">
        <v>1</v>
      </c>
      <c r="W1248">
        <v>1</v>
      </c>
    </row>
    <row r="1249" spans="1:23" ht="16.5" x14ac:dyDescent="0.3">
      <c r="A1249" t="s">
        <v>1307</v>
      </c>
      <c r="B1249" s="1">
        <v>45485</v>
      </c>
      <c r="C1249">
        <v>2024</v>
      </c>
      <c r="D1249" t="s">
        <v>1255</v>
      </c>
      <c r="E1249" t="s">
        <v>1256</v>
      </c>
      <c r="F1249" t="s">
        <v>37</v>
      </c>
      <c r="G1249" t="s">
        <v>51</v>
      </c>
      <c r="H1249" t="s">
        <v>64</v>
      </c>
      <c r="I1249" t="s">
        <v>29</v>
      </c>
      <c r="J1249" t="s">
        <v>30</v>
      </c>
      <c r="K1249" s="2">
        <v>4250</v>
      </c>
      <c r="L1249" s="2">
        <v>9500</v>
      </c>
      <c r="M1249">
        <v>48</v>
      </c>
      <c r="N1249" s="3">
        <v>0.20399999999999999</v>
      </c>
      <c r="O1249" t="s">
        <v>16</v>
      </c>
      <c r="Q1249">
        <v>1</v>
      </c>
      <c r="R1249">
        <v>0</v>
      </c>
      <c r="S1249" s="2">
        <v>7500</v>
      </c>
      <c r="T1249" s="4">
        <v>0.1419</v>
      </c>
      <c r="U1249">
        <v>8</v>
      </c>
      <c r="V1249">
        <v>0</v>
      </c>
      <c r="W1249">
        <v>1</v>
      </c>
    </row>
    <row r="1250" spans="1:23" ht="16.5" x14ac:dyDescent="0.3">
      <c r="A1250" t="s">
        <v>1308</v>
      </c>
      <c r="B1250" s="1">
        <v>45485</v>
      </c>
      <c r="C1250">
        <v>2024</v>
      </c>
      <c r="D1250" t="s">
        <v>1255</v>
      </c>
      <c r="E1250" t="s">
        <v>1256</v>
      </c>
      <c r="F1250" t="s">
        <v>50</v>
      </c>
      <c r="G1250" t="s">
        <v>45</v>
      </c>
      <c r="H1250" t="s">
        <v>38</v>
      </c>
      <c r="I1250" t="s">
        <v>39</v>
      </c>
      <c r="J1250" t="s">
        <v>35</v>
      </c>
      <c r="K1250" s="2">
        <v>7250</v>
      </c>
      <c r="L1250" s="2">
        <v>231000</v>
      </c>
      <c r="M1250">
        <v>180</v>
      </c>
      <c r="N1250" s="3">
        <v>0.437</v>
      </c>
      <c r="O1250" t="s">
        <v>16</v>
      </c>
      <c r="Q1250">
        <v>1</v>
      </c>
      <c r="R1250">
        <v>0</v>
      </c>
      <c r="S1250" s="2">
        <v>231000</v>
      </c>
      <c r="T1250" s="4">
        <v>6.0299999999999999E-2</v>
      </c>
      <c r="U1250">
        <v>12</v>
      </c>
      <c r="V1250">
        <v>1</v>
      </c>
      <c r="W1250">
        <v>1</v>
      </c>
    </row>
    <row r="1251" spans="1:23" ht="16.5" x14ac:dyDescent="0.3">
      <c r="A1251" t="s">
        <v>1309</v>
      </c>
      <c r="B1251" s="1">
        <v>45485</v>
      </c>
      <c r="C1251">
        <v>2024</v>
      </c>
      <c r="D1251" t="s">
        <v>1255</v>
      </c>
      <c r="E1251" t="s">
        <v>1256</v>
      </c>
      <c r="F1251" t="s">
        <v>41</v>
      </c>
      <c r="G1251" t="s">
        <v>51</v>
      </c>
      <c r="H1251" t="s">
        <v>55</v>
      </c>
      <c r="I1251" t="s">
        <v>39</v>
      </c>
      <c r="J1251" t="s">
        <v>52</v>
      </c>
      <c r="K1251" s="2">
        <v>5600</v>
      </c>
      <c r="L1251" s="2">
        <v>241500</v>
      </c>
      <c r="M1251">
        <v>12</v>
      </c>
      <c r="N1251" s="3">
        <v>3.847</v>
      </c>
      <c r="O1251" t="s">
        <v>17</v>
      </c>
      <c r="P1251" t="s">
        <v>53</v>
      </c>
      <c r="Q1251">
        <v>0</v>
      </c>
      <c r="R1251">
        <v>1</v>
      </c>
      <c r="S1251" s="2">
        <v>0</v>
      </c>
      <c r="T1251" s="4"/>
      <c r="U1251">
        <v>14</v>
      </c>
      <c r="V1251">
        <v>0</v>
      </c>
      <c r="W1251">
        <v>1</v>
      </c>
    </row>
    <row r="1252" spans="1:23" ht="16.5" x14ac:dyDescent="0.3">
      <c r="A1252" t="s">
        <v>1310</v>
      </c>
      <c r="B1252" s="1">
        <v>45485</v>
      </c>
      <c r="C1252">
        <v>2024</v>
      </c>
      <c r="D1252" t="s">
        <v>1255</v>
      </c>
      <c r="E1252" t="s">
        <v>1256</v>
      </c>
      <c r="F1252" t="s">
        <v>26</v>
      </c>
      <c r="G1252" t="s">
        <v>33</v>
      </c>
      <c r="H1252" t="s">
        <v>38</v>
      </c>
      <c r="I1252" t="s">
        <v>39</v>
      </c>
      <c r="J1252" t="s">
        <v>43</v>
      </c>
      <c r="K1252" s="2">
        <v>3400</v>
      </c>
      <c r="L1252" s="2">
        <v>11000</v>
      </c>
      <c r="M1252">
        <v>36</v>
      </c>
      <c r="N1252" s="3">
        <v>0.186</v>
      </c>
      <c r="O1252" t="s">
        <v>17</v>
      </c>
      <c r="P1252" t="s">
        <v>31</v>
      </c>
      <c r="Q1252">
        <v>0</v>
      </c>
      <c r="R1252">
        <v>1</v>
      </c>
      <c r="S1252" s="2">
        <v>0</v>
      </c>
      <c r="T1252" s="4"/>
      <c r="U1252">
        <v>2</v>
      </c>
      <c r="V1252">
        <v>1</v>
      </c>
      <c r="W1252">
        <v>1</v>
      </c>
    </row>
    <row r="1253" spans="1:23" ht="16.5" x14ac:dyDescent="0.3">
      <c r="A1253" t="s">
        <v>1311</v>
      </c>
      <c r="B1253" s="1">
        <v>45485</v>
      </c>
      <c r="C1253">
        <v>2024</v>
      </c>
      <c r="D1253" t="s">
        <v>1255</v>
      </c>
      <c r="E1253" t="s">
        <v>1256</v>
      </c>
      <c r="F1253" t="s">
        <v>50</v>
      </c>
      <c r="G1253" t="s">
        <v>51</v>
      </c>
      <c r="H1253" t="s">
        <v>38</v>
      </c>
      <c r="I1253" t="s">
        <v>29</v>
      </c>
      <c r="J1253" t="s">
        <v>52</v>
      </c>
      <c r="K1253" s="2">
        <v>6050</v>
      </c>
      <c r="L1253" s="2">
        <v>226000</v>
      </c>
      <c r="M1253">
        <v>300</v>
      </c>
      <c r="N1253" s="3">
        <v>0.46500000000000002</v>
      </c>
      <c r="O1253" t="s">
        <v>16</v>
      </c>
      <c r="Q1253">
        <v>1</v>
      </c>
      <c r="R1253">
        <v>0</v>
      </c>
      <c r="S1253" s="2">
        <v>226000</v>
      </c>
      <c r="T1253" s="4">
        <v>5.1999999999999998E-2</v>
      </c>
      <c r="U1253">
        <v>19</v>
      </c>
      <c r="V1253">
        <v>0</v>
      </c>
      <c r="W1253">
        <v>1</v>
      </c>
    </row>
    <row r="1254" spans="1:23" ht="16.5" x14ac:dyDescent="0.3">
      <c r="A1254" t="s">
        <v>1312</v>
      </c>
      <c r="B1254" s="1">
        <v>45486</v>
      </c>
      <c r="C1254">
        <v>2024</v>
      </c>
      <c r="D1254" t="s">
        <v>1255</v>
      </c>
      <c r="E1254" t="s">
        <v>1256</v>
      </c>
      <c r="F1254" t="s">
        <v>37</v>
      </c>
      <c r="G1254" t="s">
        <v>45</v>
      </c>
      <c r="H1254" t="s">
        <v>55</v>
      </c>
      <c r="I1254" t="s">
        <v>29</v>
      </c>
      <c r="J1254" t="s">
        <v>43</v>
      </c>
      <c r="K1254" s="2">
        <v>10300</v>
      </c>
      <c r="L1254" s="2">
        <v>7000</v>
      </c>
      <c r="M1254">
        <v>60</v>
      </c>
      <c r="N1254" s="3">
        <v>0.17899999999999999</v>
      </c>
      <c r="O1254" t="s">
        <v>17</v>
      </c>
      <c r="P1254" t="s">
        <v>31</v>
      </c>
      <c r="Q1254">
        <v>0</v>
      </c>
      <c r="R1254">
        <v>1</v>
      </c>
      <c r="S1254" s="2">
        <v>0</v>
      </c>
      <c r="T1254" s="4"/>
      <c r="U1254">
        <v>1</v>
      </c>
      <c r="V1254">
        <v>1</v>
      </c>
      <c r="W1254">
        <v>1</v>
      </c>
    </row>
    <row r="1255" spans="1:23" ht="16.5" x14ac:dyDescent="0.3">
      <c r="A1255" t="s">
        <v>1313</v>
      </c>
      <c r="B1255" s="1">
        <v>45486</v>
      </c>
      <c r="C1255">
        <v>2024</v>
      </c>
      <c r="D1255" t="s">
        <v>1255</v>
      </c>
      <c r="E1255" t="s">
        <v>1256</v>
      </c>
      <c r="F1255" t="s">
        <v>41</v>
      </c>
      <c r="G1255" t="s">
        <v>51</v>
      </c>
      <c r="H1255" t="s">
        <v>38</v>
      </c>
      <c r="I1255" t="s">
        <v>39</v>
      </c>
      <c r="J1255" t="s">
        <v>52</v>
      </c>
      <c r="K1255" s="2">
        <v>5250</v>
      </c>
      <c r="L1255" s="2">
        <v>106500</v>
      </c>
      <c r="M1255">
        <v>36</v>
      </c>
      <c r="N1255" s="3">
        <v>0.85</v>
      </c>
      <c r="O1255" t="s">
        <v>17</v>
      </c>
      <c r="P1255" t="s">
        <v>53</v>
      </c>
      <c r="Q1255">
        <v>0</v>
      </c>
      <c r="R1255">
        <v>1</v>
      </c>
      <c r="S1255" s="2">
        <v>0</v>
      </c>
      <c r="T1255" s="4"/>
      <c r="U1255">
        <v>7</v>
      </c>
      <c r="V1255">
        <v>1</v>
      </c>
      <c r="W1255">
        <v>1</v>
      </c>
    </row>
    <row r="1256" spans="1:23" ht="16.5" x14ac:dyDescent="0.3">
      <c r="A1256" t="s">
        <v>1314</v>
      </c>
      <c r="B1256" s="1">
        <v>45486</v>
      </c>
      <c r="C1256">
        <v>2024</v>
      </c>
      <c r="D1256" t="s">
        <v>1255</v>
      </c>
      <c r="E1256" t="s">
        <v>1256</v>
      </c>
      <c r="F1256" t="s">
        <v>50</v>
      </c>
      <c r="G1256" t="s">
        <v>33</v>
      </c>
      <c r="H1256" t="s">
        <v>28</v>
      </c>
      <c r="I1256" t="s">
        <v>29</v>
      </c>
      <c r="J1256" t="s">
        <v>52</v>
      </c>
      <c r="K1256" s="2">
        <v>3750</v>
      </c>
      <c r="L1256" s="2">
        <v>320500</v>
      </c>
      <c r="M1256">
        <v>180</v>
      </c>
      <c r="N1256" s="3">
        <v>0.86499999999999999</v>
      </c>
      <c r="O1256" t="s">
        <v>17</v>
      </c>
      <c r="P1256" t="s">
        <v>53</v>
      </c>
      <c r="Q1256">
        <v>0</v>
      </c>
      <c r="R1256">
        <v>1</v>
      </c>
      <c r="S1256" s="2">
        <v>0</v>
      </c>
      <c r="T1256" s="4"/>
      <c r="U1256">
        <v>6</v>
      </c>
      <c r="V1256">
        <v>1</v>
      </c>
      <c r="W1256">
        <v>1</v>
      </c>
    </row>
    <row r="1257" spans="1:23" ht="16.5" x14ac:dyDescent="0.3">
      <c r="A1257" t="s">
        <v>1315</v>
      </c>
      <c r="B1257" s="1">
        <v>45486</v>
      </c>
      <c r="C1257">
        <v>2024</v>
      </c>
      <c r="D1257" t="s">
        <v>1255</v>
      </c>
      <c r="E1257" t="s">
        <v>1256</v>
      </c>
      <c r="F1257" t="s">
        <v>37</v>
      </c>
      <c r="G1257" t="s">
        <v>45</v>
      </c>
      <c r="H1257" t="s">
        <v>55</v>
      </c>
      <c r="I1257" t="s">
        <v>29</v>
      </c>
      <c r="J1257" t="s">
        <v>43</v>
      </c>
      <c r="K1257" s="2">
        <v>5000</v>
      </c>
      <c r="L1257" s="2">
        <v>6000</v>
      </c>
      <c r="M1257">
        <v>48</v>
      </c>
      <c r="N1257" s="3">
        <v>0.188</v>
      </c>
      <c r="O1257" t="s">
        <v>17</v>
      </c>
      <c r="P1257" t="s">
        <v>31</v>
      </c>
      <c r="Q1257">
        <v>0</v>
      </c>
      <c r="R1257">
        <v>1</v>
      </c>
      <c r="S1257" s="2">
        <v>0</v>
      </c>
      <c r="T1257" s="4"/>
      <c r="U1257">
        <v>2</v>
      </c>
      <c r="V1257">
        <v>1</v>
      </c>
      <c r="W1257">
        <v>1</v>
      </c>
    </row>
    <row r="1258" spans="1:23" ht="16.5" x14ac:dyDescent="0.3">
      <c r="A1258" t="s">
        <v>1316</v>
      </c>
      <c r="B1258" s="1">
        <v>45487</v>
      </c>
      <c r="C1258">
        <v>2024</v>
      </c>
      <c r="D1258" t="s">
        <v>1255</v>
      </c>
      <c r="E1258" t="s">
        <v>1256</v>
      </c>
      <c r="F1258" t="s">
        <v>26</v>
      </c>
      <c r="G1258" t="s">
        <v>45</v>
      </c>
      <c r="H1258" t="s">
        <v>34</v>
      </c>
      <c r="I1258" t="s">
        <v>29</v>
      </c>
      <c r="J1258" t="s">
        <v>52</v>
      </c>
      <c r="K1258" s="2">
        <v>6150</v>
      </c>
      <c r="L1258" s="2">
        <v>14000</v>
      </c>
      <c r="M1258">
        <v>60</v>
      </c>
      <c r="N1258" s="3">
        <v>0.153</v>
      </c>
      <c r="O1258" t="s">
        <v>16</v>
      </c>
      <c r="Q1258">
        <v>1</v>
      </c>
      <c r="R1258">
        <v>0</v>
      </c>
      <c r="S1258" s="2">
        <v>14000</v>
      </c>
      <c r="T1258" s="4">
        <v>7.2800000000000004E-2</v>
      </c>
      <c r="U1258">
        <v>2</v>
      </c>
      <c r="V1258">
        <v>1</v>
      </c>
      <c r="W1258">
        <v>1</v>
      </c>
    </row>
    <row r="1259" spans="1:23" ht="16.5" x14ac:dyDescent="0.3">
      <c r="A1259" t="s">
        <v>1317</v>
      </c>
      <c r="B1259" s="1">
        <v>45487</v>
      </c>
      <c r="C1259">
        <v>2024</v>
      </c>
      <c r="D1259" t="s">
        <v>1255</v>
      </c>
      <c r="E1259" t="s">
        <v>1256</v>
      </c>
      <c r="F1259" t="s">
        <v>41</v>
      </c>
      <c r="G1259" t="s">
        <v>51</v>
      </c>
      <c r="H1259" t="s">
        <v>55</v>
      </c>
      <c r="I1259" t="s">
        <v>42</v>
      </c>
      <c r="J1259" t="s">
        <v>30</v>
      </c>
      <c r="K1259" s="2">
        <v>4250</v>
      </c>
      <c r="L1259" s="2">
        <v>58500</v>
      </c>
      <c r="M1259">
        <v>60</v>
      </c>
      <c r="N1259" s="3">
        <v>0.53900000000000003</v>
      </c>
      <c r="O1259" t="s">
        <v>16</v>
      </c>
      <c r="Q1259">
        <v>1</v>
      </c>
      <c r="R1259">
        <v>0</v>
      </c>
      <c r="S1259" s="2">
        <v>52500</v>
      </c>
      <c r="T1259" s="4">
        <v>0.12770000000000001</v>
      </c>
      <c r="U1259">
        <v>14</v>
      </c>
      <c r="V1259">
        <v>0</v>
      </c>
      <c r="W1259">
        <v>1</v>
      </c>
    </row>
    <row r="1260" spans="1:23" ht="16.5" x14ac:dyDescent="0.3">
      <c r="A1260" t="s">
        <v>1318</v>
      </c>
      <c r="B1260" s="1">
        <v>45488</v>
      </c>
      <c r="C1260">
        <v>2024</v>
      </c>
      <c r="D1260" t="s">
        <v>1255</v>
      </c>
      <c r="E1260" t="s">
        <v>1256</v>
      </c>
      <c r="F1260" t="s">
        <v>37</v>
      </c>
      <c r="G1260" t="s">
        <v>33</v>
      </c>
      <c r="H1260" t="s">
        <v>55</v>
      </c>
      <c r="I1260" t="s">
        <v>42</v>
      </c>
      <c r="J1260" t="s">
        <v>46</v>
      </c>
      <c r="K1260" s="2">
        <v>7250</v>
      </c>
      <c r="L1260" s="2">
        <v>10500</v>
      </c>
      <c r="M1260">
        <v>60</v>
      </c>
      <c r="N1260" s="3">
        <v>8.7999999999999995E-2</v>
      </c>
      <c r="O1260" t="s">
        <v>16</v>
      </c>
      <c r="Q1260">
        <v>1</v>
      </c>
      <c r="R1260">
        <v>0</v>
      </c>
      <c r="S1260" s="2">
        <v>10500</v>
      </c>
      <c r="T1260" s="4">
        <v>0.10920000000000001</v>
      </c>
      <c r="U1260">
        <v>1</v>
      </c>
      <c r="V1260">
        <v>1</v>
      </c>
      <c r="W1260">
        <v>1</v>
      </c>
    </row>
    <row r="1261" spans="1:23" ht="16.5" x14ac:dyDescent="0.3">
      <c r="A1261" t="s">
        <v>1319</v>
      </c>
      <c r="B1261" s="1">
        <v>45488</v>
      </c>
      <c r="C1261">
        <v>2024</v>
      </c>
      <c r="D1261" t="s">
        <v>1255</v>
      </c>
      <c r="E1261" t="s">
        <v>1256</v>
      </c>
      <c r="F1261" t="s">
        <v>37</v>
      </c>
      <c r="G1261" t="s">
        <v>51</v>
      </c>
      <c r="H1261" t="s">
        <v>34</v>
      </c>
      <c r="I1261" t="s">
        <v>29</v>
      </c>
      <c r="J1261" t="s">
        <v>35</v>
      </c>
      <c r="K1261" s="2">
        <v>7300</v>
      </c>
      <c r="L1261" s="2">
        <v>6000</v>
      </c>
      <c r="M1261">
        <v>60</v>
      </c>
      <c r="N1261" s="3">
        <v>0.16800000000000001</v>
      </c>
      <c r="O1261" t="s">
        <v>16</v>
      </c>
      <c r="Q1261">
        <v>1</v>
      </c>
      <c r="R1261">
        <v>0</v>
      </c>
      <c r="S1261" s="2">
        <v>6000</v>
      </c>
      <c r="T1261" s="4">
        <v>0.12470000000000001</v>
      </c>
      <c r="U1261">
        <v>5</v>
      </c>
      <c r="V1261">
        <v>0</v>
      </c>
      <c r="W1261">
        <v>1</v>
      </c>
    </row>
    <row r="1262" spans="1:23" ht="16.5" x14ac:dyDescent="0.3">
      <c r="A1262" t="s">
        <v>1320</v>
      </c>
      <c r="B1262" s="1">
        <v>45488</v>
      </c>
      <c r="C1262">
        <v>2024</v>
      </c>
      <c r="D1262" t="s">
        <v>1255</v>
      </c>
      <c r="E1262" t="s">
        <v>1256</v>
      </c>
      <c r="F1262" t="s">
        <v>37</v>
      </c>
      <c r="G1262" t="s">
        <v>51</v>
      </c>
      <c r="H1262" t="s">
        <v>38</v>
      </c>
      <c r="I1262" t="s">
        <v>39</v>
      </c>
      <c r="J1262" t="s">
        <v>46</v>
      </c>
      <c r="K1262" s="2">
        <v>5050</v>
      </c>
      <c r="L1262" s="2">
        <v>12000</v>
      </c>
      <c r="M1262">
        <v>48</v>
      </c>
      <c r="N1262" s="3">
        <v>0.30499999999999999</v>
      </c>
      <c r="O1262" t="s">
        <v>16</v>
      </c>
      <c r="Q1262">
        <v>1</v>
      </c>
      <c r="R1262">
        <v>0</v>
      </c>
      <c r="S1262" s="2">
        <v>12000</v>
      </c>
      <c r="T1262" s="4">
        <v>0.1103</v>
      </c>
      <c r="U1262">
        <v>7</v>
      </c>
      <c r="V1262">
        <v>0</v>
      </c>
      <c r="W1262">
        <v>1</v>
      </c>
    </row>
    <row r="1263" spans="1:23" ht="16.5" x14ac:dyDescent="0.3">
      <c r="A1263" t="s">
        <v>1321</v>
      </c>
      <c r="B1263" s="1">
        <v>45488</v>
      </c>
      <c r="C1263">
        <v>2024</v>
      </c>
      <c r="D1263" t="s">
        <v>1255</v>
      </c>
      <c r="E1263" t="s">
        <v>1256</v>
      </c>
      <c r="F1263" t="s">
        <v>41</v>
      </c>
      <c r="G1263" t="s">
        <v>45</v>
      </c>
      <c r="H1263" t="s">
        <v>55</v>
      </c>
      <c r="I1263" t="s">
        <v>29</v>
      </c>
      <c r="J1263" t="s">
        <v>35</v>
      </c>
      <c r="K1263" s="2">
        <v>3000</v>
      </c>
      <c r="L1263" s="2">
        <v>203500</v>
      </c>
      <c r="M1263">
        <v>24</v>
      </c>
      <c r="N1263" s="3">
        <v>3.2040000000000002</v>
      </c>
      <c r="O1263" t="s">
        <v>17</v>
      </c>
      <c r="P1263" t="s">
        <v>53</v>
      </c>
      <c r="Q1263">
        <v>0</v>
      </c>
      <c r="R1263">
        <v>1</v>
      </c>
      <c r="S1263" s="2">
        <v>0</v>
      </c>
      <c r="T1263" s="4"/>
      <c r="U1263">
        <v>6</v>
      </c>
      <c r="V1263">
        <v>1</v>
      </c>
      <c r="W1263">
        <v>1</v>
      </c>
    </row>
    <row r="1264" spans="1:23" ht="16.5" x14ac:dyDescent="0.3">
      <c r="A1264" t="s">
        <v>1322</v>
      </c>
      <c r="B1264" s="1">
        <v>45488</v>
      </c>
      <c r="C1264">
        <v>2024</v>
      </c>
      <c r="D1264" t="s">
        <v>1255</v>
      </c>
      <c r="E1264" t="s">
        <v>1256</v>
      </c>
      <c r="F1264" t="s">
        <v>26</v>
      </c>
      <c r="G1264" t="s">
        <v>33</v>
      </c>
      <c r="H1264" t="s">
        <v>38</v>
      </c>
      <c r="I1264" t="s">
        <v>39</v>
      </c>
      <c r="J1264" t="s">
        <v>52</v>
      </c>
      <c r="K1264" s="2">
        <v>3800</v>
      </c>
      <c r="L1264" s="2">
        <v>40000</v>
      </c>
      <c r="M1264">
        <v>36</v>
      </c>
      <c r="N1264" s="3">
        <v>0.51600000000000001</v>
      </c>
      <c r="O1264" t="s">
        <v>17</v>
      </c>
      <c r="P1264" t="s">
        <v>60</v>
      </c>
      <c r="Q1264">
        <v>0</v>
      </c>
      <c r="R1264">
        <v>1</v>
      </c>
      <c r="S1264" s="2">
        <v>0</v>
      </c>
      <c r="T1264" s="4"/>
      <c r="U1264">
        <v>6</v>
      </c>
      <c r="V1264">
        <v>0</v>
      </c>
      <c r="W1264">
        <v>1</v>
      </c>
    </row>
    <row r="1265" spans="1:23" ht="16.5" x14ac:dyDescent="0.3">
      <c r="A1265" t="s">
        <v>1323</v>
      </c>
      <c r="B1265" s="1">
        <v>45488</v>
      </c>
      <c r="C1265">
        <v>2024</v>
      </c>
      <c r="D1265" t="s">
        <v>1255</v>
      </c>
      <c r="E1265" t="s">
        <v>1256</v>
      </c>
      <c r="F1265" t="s">
        <v>26</v>
      </c>
      <c r="G1265" t="s">
        <v>45</v>
      </c>
      <c r="H1265" t="s">
        <v>38</v>
      </c>
      <c r="I1265" t="s">
        <v>39</v>
      </c>
      <c r="J1265" t="s">
        <v>30</v>
      </c>
      <c r="K1265" s="2">
        <v>4200</v>
      </c>
      <c r="L1265" s="2">
        <v>31500</v>
      </c>
      <c r="M1265">
        <v>48</v>
      </c>
      <c r="N1265" s="3">
        <v>0.34300000000000003</v>
      </c>
      <c r="O1265" t="s">
        <v>17</v>
      </c>
      <c r="P1265" t="s">
        <v>31</v>
      </c>
      <c r="Q1265">
        <v>0</v>
      </c>
      <c r="R1265">
        <v>1</v>
      </c>
      <c r="S1265" s="2">
        <v>0</v>
      </c>
      <c r="T1265" s="4"/>
      <c r="U1265">
        <v>2</v>
      </c>
      <c r="V1265">
        <v>1</v>
      </c>
      <c r="W1265">
        <v>1</v>
      </c>
    </row>
    <row r="1266" spans="1:23" ht="16.5" x14ac:dyDescent="0.3">
      <c r="A1266" t="s">
        <v>1324</v>
      </c>
      <c r="B1266" s="1">
        <v>45488</v>
      </c>
      <c r="C1266">
        <v>2024</v>
      </c>
      <c r="D1266" t="s">
        <v>1255</v>
      </c>
      <c r="E1266" t="s">
        <v>1256</v>
      </c>
      <c r="F1266" t="s">
        <v>41</v>
      </c>
      <c r="G1266" t="s">
        <v>33</v>
      </c>
      <c r="H1266" t="s">
        <v>34</v>
      </c>
      <c r="I1266" t="s">
        <v>29</v>
      </c>
      <c r="J1266" t="s">
        <v>52</v>
      </c>
      <c r="K1266" s="2">
        <v>3300</v>
      </c>
      <c r="L1266" s="2">
        <v>158000</v>
      </c>
      <c r="M1266">
        <v>60</v>
      </c>
      <c r="N1266" s="3">
        <v>1.1439999999999999</v>
      </c>
      <c r="O1266" t="s">
        <v>17</v>
      </c>
      <c r="P1266" t="s">
        <v>53</v>
      </c>
      <c r="Q1266">
        <v>0</v>
      </c>
      <c r="R1266">
        <v>1</v>
      </c>
      <c r="S1266" s="2">
        <v>0</v>
      </c>
      <c r="T1266" s="4"/>
      <c r="U1266">
        <v>6</v>
      </c>
      <c r="V1266">
        <v>1</v>
      </c>
      <c r="W1266">
        <v>1</v>
      </c>
    </row>
    <row r="1267" spans="1:23" ht="16.5" x14ac:dyDescent="0.3">
      <c r="A1267" t="s">
        <v>1325</v>
      </c>
      <c r="B1267" s="1">
        <v>45488</v>
      </c>
      <c r="C1267">
        <v>2024</v>
      </c>
      <c r="D1267" t="s">
        <v>1255</v>
      </c>
      <c r="E1267" t="s">
        <v>1256</v>
      </c>
      <c r="F1267" t="s">
        <v>37</v>
      </c>
      <c r="G1267" t="s">
        <v>51</v>
      </c>
      <c r="H1267" t="s">
        <v>55</v>
      </c>
      <c r="I1267" t="s">
        <v>42</v>
      </c>
      <c r="J1267" t="s">
        <v>30</v>
      </c>
      <c r="K1267" s="2">
        <v>9200</v>
      </c>
      <c r="L1267" s="2">
        <v>10500</v>
      </c>
      <c r="M1267">
        <v>60</v>
      </c>
      <c r="N1267" s="3">
        <v>0.26200000000000001</v>
      </c>
      <c r="O1267" t="s">
        <v>17</v>
      </c>
      <c r="P1267" t="s">
        <v>65</v>
      </c>
      <c r="Q1267">
        <v>0</v>
      </c>
      <c r="R1267">
        <v>1</v>
      </c>
      <c r="S1267" s="2">
        <v>0</v>
      </c>
      <c r="T1267" s="4"/>
      <c r="U1267">
        <v>3</v>
      </c>
      <c r="V1267">
        <v>1</v>
      </c>
      <c r="W1267">
        <v>1</v>
      </c>
    </row>
    <row r="1268" spans="1:23" ht="16.5" x14ac:dyDescent="0.3">
      <c r="A1268" t="s">
        <v>1326</v>
      </c>
      <c r="B1268" s="1">
        <v>45489</v>
      </c>
      <c r="C1268">
        <v>2024</v>
      </c>
      <c r="D1268" t="s">
        <v>1255</v>
      </c>
      <c r="E1268" t="s">
        <v>1256</v>
      </c>
      <c r="F1268" t="s">
        <v>26</v>
      </c>
      <c r="G1268" t="s">
        <v>33</v>
      </c>
      <c r="H1268" t="s">
        <v>34</v>
      </c>
      <c r="I1268" t="s">
        <v>29</v>
      </c>
      <c r="J1268" t="s">
        <v>35</v>
      </c>
      <c r="K1268" s="2">
        <v>3050</v>
      </c>
      <c r="L1268" s="2">
        <v>21500</v>
      </c>
      <c r="M1268">
        <v>48</v>
      </c>
      <c r="N1268" s="3">
        <v>0.378</v>
      </c>
      <c r="O1268" t="s">
        <v>16</v>
      </c>
      <c r="Q1268">
        <v>1</v>
      </c>
      <c r="R1268">
        <v>0</v>
      </c>
      <c r="S1268" s="2">
        <v>17000</v>
      </c>
      <c r="T1268" s="4">
        <v>8.1000000000000003E-2</v>
      </c>
      <c r="U1268">
        <v>3</v>
      </c>
      <c r="V1268">
        <v>1</v>
      </c>
      <c r="W1268">
        <v>1</v>
      </c>
    </row>
    <row r="1269" spans="1:23" ht="16.5" x14ac:dyDescent="0.3">
      <c r="A1269" t="s">
        <v>1327</v>
      </c>
      <c r="B1269" s="1">
        <v>45489</v>
      </c>
      <c r="C1269">
        <v>2024</v>
      </c>
      <c r="D1269" t="s">
        <v>1255</v>
      </c>
      <c r="E1269" t="s">
        <v>1256</v>
      </c>
      <c r="F1269" t="s">
        <v>37</v>
      </c>
      <c r="G1269" t="s">
        <v>51</v>
      </c>
      <c r="H1269" t="s">
        <v>38</v>
      </c>
      <c r="I1269" t="s">
        <v>29</v>
      </c>
      <c r="J1269" t="s">
        <v>52</v>
      </c>
      <c r="K1269" s="2">
        <v>9250</v>
      </c>
      <c r="L1269" s="2">
        <v>14000</v>
      </c>
      <c r="M1269">
        <v>12</v>
      </c>
      <c r="N1269" s="3">
        <v>0.32500000000000001</v>
      </c>
      <c r="O1269" t="s">
        <v>16</v>
      </c>
      <c r="Q1269">
        <v>1</v>
      </c>
      <c r="R1269">
        <v>0</v>
      </c>
      <c r="S1269" s="2">
        <v>12500</v>
      </c>
      <c r="T1269" s="4">
        <v>0.11749999999999999</v>
      </c>
      <c r="U1269">
        <v>3</v>
      </c>
      <c r="V1269">
        <v>1</v>
      </c>
      <c r="W1269">
        <v>1</v>
      </c>
    </row>
    <row r="1270" spans="1:23" ht="16.5" x14ac:dyDescent="0.3">
      <c r="A1270" t="s">
        <v>1328</v>
      </c>
      <c r="B1270" s="1">
        <v>45489</v>
      </c>
      <c r="C1270">
        <v>2024</v>
      </c>
      <c r="D1270" t="s">
        <v>1255</v>
      </c>
      <c r="E1270" t="s">
        <v>1256</v>
      </c>
      <c r="F1270" t="s">
        <v>37</v>
      </c>
      <c r="G1270" t="s">
        <v>51</v>
      </c>
      <c r="H1270" t="s">
        <v>55</v>
      </c>
      <c r="I1270" t="s">
        <v>42</v>
      </c>
      <c r="J1270" t="s">
        <v>43</v>
      </c>
      <c r="K1270" s="2">
        <v>8700</v>
      </c>
      <c r="L1270" s="2">
        <v>15500</v>
      </c>
      <c r="M1270">
        <v>24</v>
      </c>
      <c r="N1270" s="3">
        <v>0.19500000000000001</v>
      </c>
      <c r="O1270" t="s">
        <v>17</v>
      </c>
      <c r="P1270" t="s">
        <v>31</v>
      </c>
      <c r="Q1270">
        <v>0</v>
      </c>
      <c r="R1270">
        <v>1</v>
      </c>
      <c r="S1270" s="2">
        <v>0</v>
      </c>
      <c r="T1270" s="4"/>
      <c r="U1270">
        <v>8</v>
      </c>
      <c r="V1270">
        <v>0</v>
      </c>
      <c r="W1270">
        <v>1</v>
      </c>
    </row>
    <row r="1271" spans="1:23" ht="16.5" x14ac:dyDescent="0.3">
      <c r="A1271" t="s">
        <v>1329</v>
      </c>
      <c r="B1271" s="1">
        <v>45489</v>
      </c>
      <c r="C1271">
        <v>2024</v>
      </c>
      <c r="D1271" t="s">
        <v>1255</v>
      </c>
      <c r="E1271" t="s">
        <v>1256</v>
      </c>
      <c r="F1271" t="s">
        <v>37</v>
      </c>
      <c r="G1271" t="s">
        <v>45</v>
      </c>
      <c r="H1271" t="s">
        <v>38</v>
      </c>
      <c r="I1271" t="s">
        <v>39</v>
      </c>
      <c r="J1271" t="s">
        <v>35</v>
      </c>
      <c r="K1271" s="2">
        <v>8200</v>
      </c>
      <c r="L1271" s="2">
        <v>16000</v>
      </c>
      <c r="M1271">
        <v>24</v>
      </c>
      <c r="N1271" s="3">
        <v>0.19900000000000001</v>
      </c>
      <c r="O1271" t="s">
        <v>16</v>
      </c>
      <c r="Q1271">
        <v>1</v>
      </c>
      <c r="R1271">
        <v>0</v>
      </c>
      <c r="S1271" s="2">
        <v>14500</v>
      </c>
      <c r="T1271" s="4">
        <v>0.1265</v>
      </c>
      <c r="U1271">
        <v>2</v>
      </c>
      <c r="V1271">
        <v>1</v>
      </c>
      <c r="W1271">
        <v>1</v>
      </c>
    </row>
    <row r="1272" spans="1:23" ht="16.5" x14ac:dyDescent="0.3">
      <c r="A1272" t="s">
        <v>1330</v>
      </c>
      <c r="B1272" s="1">
        <v>45489</v>
      </c>
      <c r="C1272">
        <v>2024</v>
      </c>
      <c r="D1272" t="s">
        <v>1255</v>
      </c>
      <c r="E1272" t="s">
        <v>1256</v>
      </c>
      <c r="F1272" t="s">
        <v>26</v>
      </c>
      <c r="G1272" t="s">
        <v>45</v>
      </c>
      <c r="H1272" t="s">
        <v>55</v>
      </c>
      <c r="I1272" t="s">
        <v>29</v>
      </c>
      <c r="J1272" t="s">
        <v>30</v>
      </c>
      <c r="K1272" s="2">
        <v>6800</v>
      </c>
      <c r="L1272" s="2">
        <v>34500</v>
      </c>
      <c r="M1272">
        <v>60</v>
      </c>
      <c r="N1272" s="3">
        <v>0.33600000000000002</v>
      </c>
      <c r="O1272" t="s">
        <v>16</v>
      </c>
      <c r="Q1272">
        <v>1</v>
      </c>
      <c r="R1272">
        <v>0</v>
      </c>
      <c r="S1272" s="2">
        <v>34500</v>
      </c>
      <c r="T1272" s="4">
        <v>9.4700000000000006E-2</v>
      </c>
      <c r="U1272">
        <v>4</v>
      </c>
      <c r="V1272">
        <v>1</v>
      </c>
      <c r="W1272">
        <v>1</v>
      </c>
    </row>
    <row r="1273" spans="1:23" ht="16.5" x14ac:dyDescent="0.3">
      <c r="A1273" t="s">
        <v>1331</v>
      </c>
      <c r="B1273" s="1">
        <v>45490</v>
      </c>
      <c r="C1273">
        <v>2024</v>
      </c>
      <c r="D1273" t="s">
        <v>1255</v>
      </c>
      <c r="E1273" t="s">
        <v>1256</v>
      </c>
      <c r="F1273" t="s">
        <v>37</v>
      </c>
      <c r="G1273" t="s">
        <v>33</v>
      </c>
      <c r="H1273" t="s">
        <v>34</v>
      </c>
      <c r="I1273" t="s">
        <v>29</v>
      </c>
      <c r="J1273" t="s">
        <v>30</v>
      </c>
      <c r="K1273" s="2">
        <v>7450</v>
      </c>
      <c r="L1273" s="2">
        <v>9000</v>
      </c>
      <c r="M1273">
        <v>36</v>
      </c>
      <c r="N1273" s="3">
        <v>0.28000000000000003</v>
      </c>
      <c r="O1273" t="s">
        <v>17</v>
      </c>
      <c r="P1273" t="s">
        <v>65</v>
      </c>
      <c r="Q1273">
        <v>0</v>
      </c>
      <c r="R1273">
        <v>1</v>
      </c>
      <c r="S1273" s="2">
        <v>0</v>
      </c>
      <c r="T1273" s="4"/>
      <c r="U1273">
        <v>3</v>
      </c>
      <c r="V1273">
        <v>1</v>
      </c>
      <c r="W1273">
        <v>1</v>
      </c>
    </row>
    <row r="1274" spans="1:23" ht="16.5" x14ac:dyDescent="0.3">
      <c r="A1274" t="s">
        <v>1332</v>
      </c>
      <c r="B1274" s="1">
        <v>45490</v>
      </c>
      <c r="C1274">
        <v>2024</v>
      </c>
      <c r="D1274" t="s">
        <v>1255</v>
      </c>
      <c r="E1274" t="s">
        <v>1256</v>
      </c>
      <c r="F1274" t="s">
        <v>37</v>
      </c>
      <c r="G1274" t="s">
        <v>51</v>
      </c>
      <c r="H1274" t="s">
        <v>34</v>
      </c>
      <c r="I1274" t="s">
        <v>29</v>
      </c>
      <c r="J1274" t="s">
        <v>35</v>
      </c>
      <c r="K1274" s="2">
        <v>4550</v>
      </c>
      <c r="L1274" s="2">
        <v>16000</v>
      </c>
      <c r="M1274">
        <v>12</v>
      </c>
      <c r="N1274" s="3">
        <v>0.40300000000000002</v>
      </c>
      <c r="O1274" t="s">
        <v>16</v>
      </c>
      <c r="Q1274">
        <v>1</v>
      </c>
      <c r="R1274">
        <v>0</v>
      </c>
      <c r="S1274" s="2">
        <v>16000</v>
      </c>
      <c r="T1274" s="4">
        <v>0.12670000000000001</v>
      </c>
      <c r="U1274">
        <v>8</v>
      </c>
      <c r="V1274">
        <v>0</v>
      </c>
      <c r="W1274">
        <v>1</v>
      </c>
    </row>
    <row r="1275" spans="1:23" ht="16.5" x14ac:dyDescent="0.3">
      <c r="A1275" t="s">
        <v>1333</v>
      </c>
      <c r="B1275" s="1">
        <v>45490</v>
      </c>
      <c r="C1275">
        <v>2024</v>
      </c>
      <c r="D1275" t="s">
        <v>1255</v>
      </c>
      <c r="E1275" t="s">
        <v>1256</v>
      </c>
      <c r="F1275" t="s">
        <v>26</v>
      </c>
      <c r="G1275" t="s">
        <v>33</v>
      </c>
      <c r="H1275" t="s">
        <v>55</v>
      </c>
      <c r="I1275" t="s">
        <v>42</v>
      </c>
      <c r="J1275" t="s">
        <v>35</v>
      </c>
      <c r="K1275" s="2">
        <v>8550</v>
      </c>
      <c r="L1275" s="2">
        <v>17500</v>
      </c>
      <c r="M1275">
        <v>60</v>
      </c>
      <c r="N1275" s="3">
        <v>0.23699999999999999</v>
      </c>
      <c r="O1275" t="s">
        <v>17</v>
      </c>
      <c r="P1275" t="s">
        <v>48</v>
      </c>
      <c r="Q1275">
        <v>0</v>
      </c>
      <c r="R1275">
        <v>1</v>
      </c>
      <c r="S1275" s="2">
        <v>0</v>
      </c>
      <c r="T1275" s="4"/>
      <c r="U1275">
        <v>2</v>
      </c>
      <c r="V1275">
        <v>1</v>
      </c>
      <c r="W1275">
        <v>1</v>
      </c>
    </row>
    <row r="1276" spans="1:23" ht="16.5" x14ac:dyDescent="0.3">
      <c r="A1276" t="s">
        <v>1334</v>
      </c>
      <c r="B1276" s="1">
        <v>45490</v>
      </c>
      <c r="C1276">
        <v>2024</v>
      </c>
      <c r="D1276" t="s">
        <v>1255</v>
      </c>
      <c r="E1276" t="s">
        <v>1256</v>
      </c>
      <c r="F1276" t="s">
        <v>37</v>
      </c>
      <c r="G1276" t="s">
        <v>45</v>
      </c>
      <c r="H1276" t="s">
        <v>38</v>
      </c>
      <c r="I1276" t="s">
        <v>39</v>
      </c>
      <c r="J1276" t="s">
        <v>35</v>
      </c>
      <c r="K1276" s="2">
        <v>6050</v>
      </c>
      <c r="L1276" s="2">
        <v>32000</v>
      </c>
      <c r="M1276">
        <v>60</v>
      </c>
      <c r="N1276" s="3">
        <v>0.28000000000000003</v>
      </c>
      <c r="O1276" t="s">
        <v>17</v>
      </c>
      <c r="P1276" t="s">
        <v>48</v>
      </c>
      <c r="Q1276">
        <v>0</v>
      </c>
      <c r="R1276">
        <v>1</v>
      </c>
      <c r="S1276" s="2">
        <v>0</v>
      </c>
      <c r="T1276" s="4"/>
      <c r="U1276">
        <v>2</v>
      </c>
      <c r="V1276">
        <v>1</v>
      </c>
      <c r="W1276">
        <v>1</v>
      </c>
    </row>
    <row r="1277" spans="1:23" ht="16.5" x14ac:dyDescent="0.3">
      <c r="A1277" t="s">
        <v>1335</v>
      </c>
      <c r="B1277" s="1">
        <v>45490</v>
      </c>
      <c r="C1277">
        <v>2024</v>
      </c>
      <c r="D1277" t="s">
        <v>1255</v>
      </c>
      <c r="E1277" t="s">
        <v>1256</v>
      </c>
      <c r="F1277" t="s">
        <v>41</v>
      </c>
      <c r="G1277" t="s">
        <v>51</v>
      </c>
      <c r="H1277" t="s">
        <v>55</v>
      </c>
      <c r="I1277" t="s">
        <v>39</v>
      </c>
      <c r="J1277" t="s">
        <v>35</v>
      </c>
      <c r="K1277" s="2">
        <v>3300</v>
      </c>
      <c r="L1277" s="2">
        <v>83500</v>
      </c>
      <c r="M1277">
        <v>36</v>
      </c>
      <c r="N1277" s="3">
        <v>1.012</v>
      </c>
      <c r="O1277" t="s">
        <v>17</v>
      </c>
      <c r="P1277" t="s">
        <v>53</v>
      </c>
      <c r="Q1277">
        <v>0</v>
      </c>
      <c r="R1277">
        <v>1</v>
      </c>
      <c r="S1277" s="2">
        <v>0</v>
      </c>
      <c r="T1277" s="4"/>
      <c r="U1277">
        <v>13</v>
      </c>
      <c r="V1277">
        <v>0</v>
      </c>
      <c r="W1277">
        <v>1</v>
      </c>
    </row>
    <row r="1278" spans="1:23" ht="16.5" x14ac:dyDescent="0.3">
      <c r="A1278" t="s">
        <v>1336</v>
      </c>
      <c r="B1278" s="1">
        <v>45490</v>
      </c>
      <c r="C1278">
        <v>2024</v>
      </c>
      <c r="D1278" t="s">
        <v>1255</v>
      </c>
      <c r="E1278" t="s">
        <v>1256</v>
      </c>
      <c r="F1278" t="s">
        <v>37</v>
      </c>
      <c r="G1278" t="s">
        <v>51</v>
      </c>
      <c r="H1278" t="s">
        <v>34</v>
      </c>
      <c r="I1278" t="s">
        <v>29</v>
      </c>
      <c r="J1278" t="s">
        <v>52</v>
      </c>
      <c r="K1278" s="2">
        <v>4400</v>
      </c>
      <c r="L1278" s="2">
        <v>10500</v>
      </c>
      <c r="M1278">
        <v>12</v>
      </c>
      <c r="N1278" s="3">
        <v>0.32</v>
      </c>
      <c r="O1278" t="s">
        <v>16</v>
      </c>
      <c r="Q1278">
        <v>1</v>
      </c>
      <c r="R1278">
        <v>0</v>
      </c>
      <c r="S1278" s="2">
        <v>10500</v>
      </c>
      <c r="T1278" s="4">
        <v>0.11899999999999999</v>
      </c>
      <c r="U1278">
        <v>10</v>
      </c>
      <c r="V1278">
        <v>0</v>
      </c>
      <c r="W1278">
        <v>1</v>
      </c>
    </row>
    <row r="1279" spans="1:23" ht="16.5" x14ac:dyDescent="0.3">
      <c r="A1279" t="s">
        <v>1337</v>
      </c>
      <c r="B1279" s="1">
        <v>45490</v>
      </c>
      <c r="C1279">
        <v>2024</v>
      </c>
      <c r="D1279" t="s">
        <v>1255</v>
      </c>
      <c r="E1279" t="s">
        <v>1256</v>
      </c>
      <c r="F1279" t="s">
        <v>41</v>
      </c>
      <c r="G1279" t="s">
        <v>51</v>
      </c>
      <c r="H1279" t="s">
        <v>38</v>
      </c>
      <c r="I1279" t="s">
        <v>39</v>
      </c>
      <c r="J1279" t="s">
        <v>35</v>
      </c>
      <c r="K1279" s="2">
        <v>4000</v>
      </c>
      <c r="L1279" s="2">
        <v>63500</v>
      </c>
      <c r="M1279">
        <v>24</v>
      </c>
      <c r="N1279" s="3">
        <v>0.79900000000000004</v>
      </c>
      <c r="O1279" t="s">
        <v>16</v>
      </c>
      <c r="Q1279">
        <v>1</v>
      </c>
      <c r="R1279">
        <v>0</v>
      </c>
      <c r="S1279" s="2">
        <v>57000</v>
      </c>
      <c r="T1279" s="4">
        <v>0.10440000000000001</v>
      </c>
      <c r="U1279">
        <v>14</v>
      </c>
      <c r="V1279">
        <v>0</v>
      </c>
      <c r="W1279">
        <v>1</v>
      </c>
    </row>
    <row r="1280" spans="1:23" ht="16.5" x14ac:dyDescent="0.3">
      <c r="A1280" t="s">
        <v>1338</v>
      </c>
      <c r="B1280" s="1">
        <v>45491</v>
      </c>
      <c r="C1280">
        <v>2024</v>
      </c>
      <c r="D1280" t="s">
        <v>1255</v>
      </c>
      <c r="E1280" t="s">
        <v>1256</v>
      </c>
      <c r="F1280" t="s">
        <v>37</v>
      </c>
      <c r="G1280" t="s">
        <v>33</v>
      </c>
      <c r="H1280" t="s">
        <v>64</v>
      </c>
      <c r="I1280" t="s">
        <v>39</v>
      </c>
      <c r="J1280" t="s">
        <v>46</v>
      </c>
      <c r="K1280" s="2">
        <v>3050</v>
      </c>
      <c r="L1280" s="2">
        <v>14500</v>
      </c>
      <c r="M1280">
        <v>48</v>
      </c>
      <c r="N1280" s="3">
        <v>0.25700000000000001</v>
      </c>
      <c r="O1280" t="s">
        <v>16</v>
      </c>
      <c r="Q1280">
        <v>1</v>
      </c>
      <c r="R1280">
        <v>0</v>
      </c>
      <c r="S1280" s="2">
        <v>14500</v>
      </c>
      <c r="T1280" s="4">
        <v>0.10630000000000001</v>
      </c>
      <c r="U1280">
        <v>2</v>
      </c>
      <c r="V1280">
        <v>1</v>
      </c>
      <c r="W1280">
        <v>1</v>
      </c>
    </row>
    <row r="1281" spans="1:23" ht="16.5" x14ac:dyDescent="0.3">
      <c r="A1281" t="s">
        <v>1339</v>
      </c>
      <c r="B1281" s="1">
        <v>45491</v>
      </c>
      <c r="C1281">
        <v>2024</v>
      </c>
      <c r="D1281" t="s">
        <v>1255</v>
      </c>
      <c r="E1281" t="s">
        <v>1256</v>
      </c>
      <c r="F1281" t="s">
        <v>26</v>
      </c>
      <c r="G1281" t="s">
        <v>33</v>
      </c>
      <c r="H1281" t="s">
        <v>38</v>
      </c>
      <c r="I1281" t="s">
        <v>29</v>
      </c>
      <c r="J1281" t="s">
        <v>30</v>
      </c>
      <c r="K1281" s="2">
        <v>6500</v>
      </c>
      <c r="L1281" s="2">
        <v>36500</v>
      </c>
      <c r="M1281">
        <v>60</v>
      </c>
      <c r="N1281" s="3">
        <v>0.21099999999999999</v>
      </c>
      <c r="O1281" t="s">
        <v>17</v>
      </c>
      <c r="P1281" t="s">
        <v>31</v>
      </c>
      <c r="Q1281">
        <v>0</v>
      </c>
      <c r="R1281">
        <v>1</v>
      </c>
      <c r="S1281" s="2">
        <v>0</v>
      </c>
      <c r="T1281" s="4"/>
      <c r="U1281">
        <v>3</v>
      </c>
      <c r="V1281">
        <v>1</v>
      </c>
      <c r="W1281">
        <v>1</v>
      </c>
    </row>
    <row r="1282" spans="1:23" ht="16.5" x14ac:dyDescent="0.3">
      <c r="A1282" t="s">
        <v>1340</v>
      </c>
      <c r="B1282" s="1">
        <v>45491</v>
      </c>
      <c r="C1282">
        <v>2024</v>
      </c>
      <c r="D1282" t="s">
        <v>1255</v>
      </c>
      <c r="E1282" t="s">
        <v>1256</v>
      </c>
      <c r="F1282" t="s">
        <v>26</v>
      </c>
      <c r="G1282" t="s">
        <v>51</v>
      </c>
      <c r="H1282" t="s">
        <v>55</v>
      </c>
      <c r="I1282" t="s">
        <v>42</v>
      </c>
      <c r="J1282" t="s">
        <v>35</v>
      </c>
      <c r="K1282" s="2">
        <v>5000</v>
      </c>
      <c r="L1282" s="2">
        <v>31500</v>
      </c>
      <c r="M1282">
        <v>36</v>
      </c>
      <c r="N1282" s="3">
        <v>0.27100000000000002</v>
      </c>
      <c r="O1282" t="s">
        <v>17</v>
      </c>
      <c r="P1282" t="s">
        <v>31</v>
      </c>
      <c r="Q1282">
        <v>0</v>
      </c>
      <c r="R1282">
        <v>1</v>
      </c>
      <c r="S1282" s="2">
        <v>0</v>
      </c>
      <c r="T1282" s="4"/>
      <c r="U1282">
        <v>6</v>
      </c>
      <c r="V1282">
        <v>0</v>
      </c>
      <c r="W1282">
        <v>1</v>
      </c>
    </row>
    <row r="1283" spans="1:23" ht="16.5" x14ac:dyDescent="0.3">
      <c r="A1283" t="s">
        <v>1341</v>
      </c>
      <c r="B1283" s="1">
        <v>45491</v>
      </c>
      <c r="C1283">
        <v>2024</v>
      </c>
      <c r="D1283" t="s">
        <v>1255</v>
      </c>
      <c r="E1283" t="s">
        <v>1256</v>
      </c>
      <c r="F1283" t="s">
        <v>37</v>
      </c>
      <c r="G1283" t="s">
        <v>51</v>
      </c>
      <c r="H1283" t="s">
        <v>55</v>
      </c>
      <c r="I1283" t="s">
        <v>39</v>
      </c>
      <c r="J1283" t="s">
        <v>43</v>
      </c>
      <c r="K1283" s="2">
        <v>4850</v>
      </c>
      <c r="L1283" s="2">
        <v>11500</v>
      </c>
      <c r="M1283">
        <v>24</v>
      </c>
      <c r="N1283" s="3">
        <v>0.26100000000000001</v>
      </c>
      <c r="O1283" t="s">
        <v>17</v>
      </c>
      <c r="P1283" t="s">
        <v>65</v>
      </c>
      <c r="Q1283">
        <v>0</v>
      </c>
      <c r="R1283">
        <v>1</v>
      </c>
      <c r="S1283" s="2">
        <v>0</v>
      </c>
      <c r="T1283" s="4"/>
      <c r="U1283">
        <v>8</v>
      </c>
      <c r="V1283">
        <v>0</v>
      </c>
      <c r="W1283">
        <v>1</v>
      </c>
    </row>
    <row r="1284" spans="1:23" ht="16.5" x14ac:dyDescent="0.3">
      <c r="A1284" t="s">
        <v>1342</v>
      </c>
      <c r="B1284" s="1">
        <v>45491</v>
      </c>
      <c r="C1284">
        <v>2024</v>
      </c>
      <c r="D1284" t="s">
        <v>1255</v>
      </c>
      <c r="E1284" t="s">
        <v>1256</v>
      </c>
      <c r="F1284" t="s">
        <v>41</v>
      </c>
      <c r="G1284" t="s">
        <v>27</v>
      </c>
      <c r="H1284" t="s">
        <v>38</v>
      </c>
      <c r="I1284" t="s">
        <v>29</v>
      </c>
      <c r="J1284" t="s">
        <v>52</v>
      </c>
      <c r="K1284" s="2">
        <v>2600</v>
      </c>
      <c r="L1284" s="2">
        <v>93500</v>
      </c>
      <c r="M1284">
        <v>12</v>
      </c>
      <c r="N1284" s="3">
        <v>3.3069999999999999</v>
      </c>
      <c r="O1284" t="s">
        <v>17</v>
      </c>
      <c r="P1284" t="s">
        <v>53</v>
      </c>
      <c r="Q1284">
        <v>0</v>
      </c>
      <c r="R1284">
        <v>1</v>
      </c>
      <c r="S1284" s="2">
        <v>0</v>
      </c>
      <c r="T1284" s="4"/>
      <c r="U1284">
        <v>9</v>
      </c>
      <c r="V1284">
        <v>1</v>
      </c>
      <c r="W1284">
        <v>1</v>
      </c>
    </row>
    <row r="1285" spans="1:23" ht="16.5" x14ac:dyDescent="0.3">
      <c r="A1285" t="s">
        <v>1343</v>
      </c>
      <c r="B1285" s="1">
        <v>45491</v>
      </c>
      <c r="C1285">
        <v>2024</v>
      </c>
      <c r="D1285" t="s">
        <v>1255</v>
      </c>
      <c r="E1285" t="s">
        <v>1256</v>
      </c>
      <c r="F1285" t="s">
        <v>41</v>
      </c>
      <c r="G1285" t="s">
        <v>33</v>
      </c>
      <c r="H1285" t="s">
        <v>34</v>
      </c>
      <c r="I1285" t="s">
        <v>39</v>
      </c>
      <c r="J1285" t="s">
        <v>43</v>
      </c>
      <c r="K1285" s="2">
        <v>5600</v>
      </c>
      <c r="L1285" s="2">
        <v>82000</v>
      </c>
      <c r="M1285">
        <v>12</v>
      </c>
      <c r="N1285" s="3">
        <v>1.474</v>
      </c>
      <c r="O1285" t="s">
        <v>17</v>
      </c>
      <c r="P1285" t="s">
        <v>60</v>
      </c>
      <c r="Q1285">
        <v>0</v>
      </c>
      <c r="R1285">
        <v>1</v>
      </c>
      <c r="S1285" s="2">
        <v>0</v>
      </c>
      <c r="T1285" s="4"/>
      <c r="U1285">
        <v>7</v>
      </c>
      <c r="V1285">
        <v>1</v>
      </c>
      <c r="W1285">
        <v>1</v>
      </c>
    </row>
    <row r="1286" spans="1:23" ht="16.5" x14ac:dyDescent="0.3">
      <c r="A1286" t="s">
        <v>1344</v>
      </c>
      <c r="B1286" s="1">
        <v>45491</v>
      </c>
      <c r="C1286">
        <v>2024</v>
      </c>
      <c r="D1286" t="s">
        <v>1255</v>
      </c>
      <c r="E1286" t="s">
        <v>1256</v>
      </c>
      <c r="F1286" t="s">
        <v>50</v>
      </c>
      <c r="G1286" t="s">
        <v>51</v>
      </c>
      <c r="H1286" t="s">
        <v>28</v>
      </c>
      <c r="I1286" t="s">
        <v>29</v>
      </c>
      <c r="J1286" t="s">
        <v>43</v>
      </c>
      <c r="K1286" s="2">
        <v>4100</v>
      </c>
      <c r="L1286" s="2">
        <v>388500</v>
      </c>
      <c r="M1286">
        <v>300</v>
      </c>
      <c r="N1286" s="3">
        <v>0.68300000000000005</v>
      </c>
      <c r="O1286" t="s">
        <v>17</v>
      </c>
      <c r="P1286" t="s">
        <v>31</v>
      </c>
      <c r="Q1286">
        <v>0</v>
      </c>
      <c r="R1286">
        <v>1</v>
      </c>
      <c r="S1286" s="2">
        <v>0</v>
      </c>
      <c r="T1286" s="4"/>
      <c r="U1286">
        <v>23</v>
      </c>
      <c r="V1286">
        <v>0</v>
      </c>
      <c r="W1286">
        <v>1</v>
      </c>
    </row>
    <row r="1287" spans="1:23" ht="16.5" x14ac:dyDescent="0.3">
      <c r="A1287" t="s">
        <v>1345</v>
      </c>
      <c r="B1287" s="1">
        <v>45492</v>
      </c>
      <c r="C1287">
        <v>2024</v>
      </c>
      <c r="D1287" t="s">
        <v>1255</v>
      </c>
      <c r="E1287" t="s">
        <v>1256</v>
      </c>
      <c r="F1287" t="s">
        <v>26</v>
      </c>
      <c r="G1287" t="s">
        <v>33</v>
      </c>
      <c r="H1287" t="s">
        <v>28</v>
      </c>
      <c r="I1287" t="s">
        <v>39</v>
      </c>
      <c r="J1287" t="s">
        <v>46</v>
      </c>
      <c r="K1287" s="2">
        <v>7250</v>
      </c>
      <c r="L1287" s="2">
        <v>13500</v>
      </c>
      <c r="M1287">
        <v>36</v>
      </c>
      <c r="N1287" s="3">
        <v>0.27700000000000002</v>
      </c>
      <c r="O1287" t="s">
        <v>16</v>
      </c>
      <c r="Q1287">
        <v>1</v>
      </c>
      <c r="R1287">
        <v>0</v>
      </c>
      <c r="S1287" s="2">
        <v>13500</v>
      </c>
      <c r="T1287" s="4">
        <v>6.1800000000000001E-2</v>
      </c>
      <c r="U1287">
        <v>4</v>
      </c>
      <c r="V1287">
        <v>1</v>
      </c>
      <c r="W1287">
        <v>1</v>
      </c>
    </row>
    <row r="1288" spans="1:23" ht="16.5" x14ac:dyDescent="0.3">
      <c r="A1288" t="s">
        <v>1346</v>
      </c>
      <c r="B1288" s="1">
        <v>45492</v>
      </c>
      <c r="C1288">
        <v>2024</v>
      </c>
      <c r="D1288" t="s">
        <v>1255</v>
      </c>
      <c r="E1288" t="s">
        <v>1256</v>
      </c>
      <c r="F1288" t="s">
        <v>41</v>
      </c>
      <c r="G1288" t="s">
        <v>51</v>
      </c>
      <c r="H1288" t="s">
        <v>55</v>
      </c>
      <c r="I1288" t="s">
        <v>42</v>
      </c>
      <c r="J1288" t="s">
        <v>35</v>
      </c>
      <c r="K1288" s="2">
        <v>6950</v>
      </c>
      <c r="L1288" s="2">
        <v>57500</v>
      </c>
      <c r="M1288">
        <v>24</v>
      </c>
      <c r="N1288" s="3">
        <v>0.59</v>
      </c>
      <c r="O1288" t="s">
        <v>17</v>
      </c>
      <c r="P1288" t="s">
        <v>53</v>
      </c>
      <c r="Q1288">
        <v>0</v>
      </c>
      <c r="R1288">
        <v>1</v>
      </c>
      <c r="S1288" s="2">
        <v>0</v>
      </c>
      <c r="T1288" s="4"/>
      <c r="U1288">
        <v>14</v>
      </c>
      <c r="V1288">
        <v>0</v>
      </c>
      <c r="W1288">
        <v>1</v>
      </c>
    </row>
    <row r="1289" spans="1:23" ht="16.5" x14ac:dyDescent="0.3">
      <c r="A1289" t="s">
        <v>1347</v>
      </c>
      <c r="B1289" s="1">
        <v>45493</v>
      </c>
      <c r="C1289">
        <v>2024</v>
      </c>
      <c r="D1289" t="s">
        <v>1255</v>
      </c>
      <c r="E1289" t="s">
        <v>1256</v>
      </c>
      <c r="F1289" t="s">
        <v>41</v>
      </c>
      <c r="G1289" t="s">
        <v>51</v>
      </c>
      <c r="H1289" t="s">
        <v>38</v>
      </c>
      <c r="I1289" t="s">
        <v>29</v>
      </c>
      <c r="J1289" t="s">
        <v>35</v>
      </c>
      <c r="K1289" s="2">
        <v>3200</v>
      </c>
      <c r="L1289" s="2">
        <v>81000</v>
      </c>
      <c r="M1289">
        <v>12</v>
      </c>
      <c r="N1289" s="3">
        <v>2.3159999999999998</v>
      </c>
      <c r="O1289" t="s">
        <v>17</v>
      </c>
      <c r="P1289" t="s">
        <v>53</v>
      </c>
      <c r="Q1289">
        <v>0</v>
      </c>
      <c r="R1289">
        <v>1</v>
      </c>
      <c r="S1289" s="2">
        <v>0</v>
      </c>
      <c r="T1289" s="4"/>
      <c r="U1289">
        <v>17</v>
      </c>
      <c r="V1289">
        <v>0</v>
      </c>
      <c r="W1289">
        <v>1</v>
      </c>
    </row>
    <row r="1290" spans="1:23" ht="16.5" x14ac:dyDescent="0.3">
      <c r="A1290" t="s">
        <v>1348</v>
      </c>
      <c r="B1290" s="1">
        <v>45493</v>
      </c>
      <c r="C1290">
        <v>2024</v>
      </c>
      <c r="D1290" t="s">
        <v>1255</v>
      </c>
      <c r="E1290" t="s">
        <v>1256</v>
      </c>
      <c r="F1290" t="s">
        <v>41</v>
      </c>
      <c r="G1290" t="s">
        <v>45</v>
      </c>
      <c r="H1290" t="s">
        <v>38</v>
      </c>
      <c r="I1290" t="s">
        <v>29</v>
      </c>
      <c r="J1290" t="s">
        <v>43</v>
      </c>
      <c r="K1290" s="2">
        <v>6150</v>
      </c>
      <c r="L1290" s="2">
        <v>96000</v>
      </c>
      <c r="M1290">
        <v>24</v>
      </c>
      <c r="N1290" s="3">
        <v>0.92500000000000004</v>
      </c>
      <c r="O1290" t="s">
        <v>17</v>
      </c>
      <c r="P1290" t="s">
        <v>53</v>
      </c>
      <c r="Q1290">
        <v>0</v>
      </c>
      <c r="R1290">
        <v>1</v>
      </c>
      <c r="S1290" s="2">
        <v>0</v>
      </c>
      <c r="T1290" s="4"/>
      <c r="U1290">
        <v>8</v>
      </c>
      <c r="V1290">
        <v>1</v>
      </c>
      <c r="W1290">
        <v>1</v>
      </c>
    </row>
    <row r="1291" spans="1:23" ht="16.5" x14ac:dyDescent="0.3">
      <c r="A1291" t="s">
        <v>1349</v>
      </c>
      <c r="B1291" s="1">
        <v>45494</v>
      </c>
      <c r="C1291">
        <v>2024</v>
      </c>
      <c r="D1291" t="s">
        <v>1255</v>
      </c>
      <c r="E1291" t="s">
        <v>1256</v>
      </c>
      <c r="F1291" t="s">
        <v>26</v>
      </c>
      <c r="G1291" t="s">
        <v>27</v>
      </c>
      <c r="H1291" t="s">
        <v>38</v>
      </c>
      <c r="I1291" t="s">
        <v>29</v>
      </c>
      <c r="J1291" t="s">
        <v>30</v>
      </c>
      <c r="K1291" s="2">
        <v>11200</v>
      </c>
      <c r="L1291" s="2">
        <v>17000</v>
      </c>
      <c r="M1291">
        <v>60</v>
      </c>
      <c r="N1291" s="3">
        <v>0.27500000000000002</v>
      </c>
      <c r="O1291" t="s">
        <v>17</v>
      </c>
      <c r="P1291" t="s">
        <v>48</v>
      </c>
      <c r="Q1291">
        <v>0</v>
      </c>
      <c r="R1291">
        <v>1</v>
      </c>
      <c r="S1291" s="2">
        <v>0</v>
      </c>
      <c r="T1291" s="4"/>
      <c r="U1291">
        <v>4</v>
      </c>
      <c r="V1291">
        <v>1</v>
      </c>
      <c r="W1291">
        <v>1</v>
      </c>
    </row>
    <row r="1292" spans="1:23" ht="16.5" x14ac:dyDescent="0.3">
      <c r="A1292" t="s">
        <v>1350</v>
      </c>
      <c r="B1292" s="1">
        <v>45494</v>
      </c>
      <c r="C1292">
        <v>2024</v>
      </c>
      <c r="D1292" t="s">
        <v>1255</v>
      </c>
      <c r="E1292" t="s">
        <v>1256</v>
      </c>
      <c r="F1292" t="s">
        <v>41</v>
      </c>
      <c r="G1292" t="s">
        <v>27</v>
      </c>
      <c r="H1292" t="s">
        <v>55</v>
      </c>
      <c r="I1292" t="s">
        <v>39</v>
      </c>
      <c r="J1292" t="s">
        <v>30</v>
      </c>
      <c r="K1292" s="2">
        <v>4350</v>
      </c>
      <c r="L1292" s="2">
        <v>87500</v>
      </c>
      <c r="M1292">
        <v>24</v>
      </c>
      <c r="N1292" s="3">
        <v>1.1639999999999999</v>
      </c>
      <c r="O1292" t="s">
        <v>17</v>
      </c>
      <c r="P1292" t="s">
        <v>60</v>
      </c>
      <c r="Q1292">
        <v>0</v>
      </c>
      <c r="R1292">
        <v>1</v>
      </c>
      <c r="S1292" s="2">
        <v>0</v>
      </c>
      <c r="T1292" s="4"/>
      <c r="U1292">
        <v>21</v>
      </c>
      <c r="V1292">
        <v>0</v>
      </c>
      <c r="W1292">
        <v>1</v>
      </c>
    </row>
    <row r="1293" spans="1:23" ht="16.5" x14ac:dyDescent="0.3">
      <c r="A1293" t="s">
        <v>1351</v>
      </c>
      <c r="B1293" s="1">
        <v>45495</v>
      </c>
      <c r="C1293">
        <v>2024</v>
      </c>
      <c r="D1293" t="s">
        <v>1255</v>
      </c>
      <c r="E1293" t="s">
        <v>1256</v>
      </c>
      <c r="F1293" t="s">
        <v>26</v>
      </c>
      <c r="G1293" t="s">
        <v>51</v>
      </c>
      <c r="H1293" t="s">
        <v>34</v>
      </c>
      <c r="I1293" t="s">
        <v>42</v>
      </c>
      <c r="J1293" t="s">
        <v>52</v>
      </c>
      <c r="K1293" s="2">
        <v>5750</v>
      </c>
      <c r="L1293" s="2">
        <v>35500</v>
      </c>
      <c r="M1293">
        <v>60</v>
      </c>
      <c r="N1293" s="3">
        <v>0.29899999999999999</v>
      </c>
      <c r="O1293" t="s">
        <v>17</v>
      </c>
      <c r="P1293" t="s">
        <v>65</v>
      </c>
      <c r="Q1293">
        <v>0</v>
      </c>
      <c r="R1293">
        <v>1</v>
      </c>
      <c r="S1293" s="2">
        <v>0</v>
      </c>
      <c r="T1293" s="4"/>
      <c r="U1293">
        <v>9</v>
      </c>
      <c r="V1293">
        <v>0</v>
      </c>
      <c r="W1293">
        <v>1</v>
      </c>
    </row>
    <row r="1294" spans="1:23" ht="16.5" x14ac:dyDescent="0.3">
      <c r="A1294" t="s">
        <v>1352</v>
      </c>
      <c r="B1294" s="1">
        <v>45495</v>
      </c>
      <c r="C1294">
        <v>2024</v>
      </c>
      <c r="D1294" t="s">
        <v>1255</v>
      </c>
      <c r="E1294" t="s">
        <v>1256</v>
      </c>
      <c r="F1294" t="s">
        <v>37</v>
      </c>
      <c r="G1294" t="s">
        <v>33</v>
      </c>
      <c r="H1294" t="s">
        <v>55</v>
      </c>
      <c r="I1294" t="s">
        <v>39</v>
      </c>
      <c r="J1294" t="s">
        <v>35</v>
      </c>
      <c r="K1294" s="2">
        <v>7350</v>
      </c>
      <c r="L1294" s="2">
        <v>10500</v>
      </c>
      <c r="M1294">
        <v>36</v>
      </c>
      <c r="N1294" s="3">
        <v>0.155</v>
      </c>
      <c r="O1294" t="s">
        <v>17</v>
      </c>
      <c r="P1294" t="s">
        <v>60</v>
      </c>
      <c r="Q1294">
        <v>0</v>
      </c>
      <c r="R1294">
        <v>1</v>
      </c>
      <c r="S1294" s="2">
        <v>0</v>
      </c>
      <c r="T1294" s="4"/>
      <c r="U1294">
        <v>6</v>
      </c>
      <c r="V1294">
        <v>0</v>
      </c>
      <c r="W1294">
        <v>1</v>
      </c>
    </row>
    <row r="1295" spans="1:23" ht="16.5" x14ac:dyDescent="0.3">
      <c r="A1295" t="s">
        <v>1353</v>
      </c>
      <c r="B1295" s="1">
        <v>45495</v>
      </c>
      <c r="C1295">
        <v>2024</v>
      </c>
      <c r="D1295" t="s">
        <v>1255</v>
      </c>
      <c r="E1295" t="s">
        <v>1256</v>
      </c>
      <c r="F1295" t="s">
        <v>37</v>
      </c>
      <c r="G1295" t="s">
        <v>45</v>
      </c>
      <c r="H1295" t="s">
        <v>38</v>
      </c>
      <c r="I1295" t="s">
        <v>42</v>
      </c>
      <c r="J1295" t="s">
        <v>30</v>
      </c>
      <c r="K1295" s="2">
        <v>7050</v>
      </c>
      <c r="L1295" s="2">
        <v>22000</v>
      </c>
      <c r="M1295">
        <v>48</v>
      </c>
      <c r="N1295" s="3">
        <v>0.30499999999999999</v>
      </c>
      <c r="O1295" t="s">
        <v>17</v>
      </c>
      <c r="P1295" t="s">
        <v>31</v>
      </c>
      <c r="Q1295">
        <v>0</v>
      </c>
      <c r="R1295">
        <v>1</v>
      </c>
      <c r="S1295" s="2">
        <v>0</v>
      </c>
      <c r="T1295" s="4"/>
      <c r="U1295">
        <v>1</v>
      </c>
      <c r="V1295">
        <v>1</v>
      </c>
      <c r="W1295">
        <v>1</v>
      </c>
    </row>
    <row r="1296" spans="1:23" ht="16.5" x14ac:dyDescent="0.3">
      <c r="A1296" t="s">
        <v>1354</v>
      </c>
      <c r="B1296" s="1">
        <v>45495</v>
      </c>
      <c r="C1296">
        <v>2024</v>
      </c>
      <c r="D1296" t="s">
        <v>1255</v>
      </c>
      <c r="E1296" t="s">
        <v>1256</v>
      </c>
      <c r="F1296" t="s">
        <v>37</v>
      </c>
      <c r="G1296" t="s">
        <v>33</v>
      </c>
      <c r="H1296" t="s">
        <v>55</v>
      </c>
      <c r="I1296" t="s">
        <v>39</v>
      </c>
      <c r="J1296" t="s">
        <v>52</v>
      </c>
      <c r="K1296" s="2">
        <v>12550</v>
      </c>
      <c r="L1296" s="2">
        <v>17000</v>
      </c>
      <c r="M1296">
        <v>60</v>
      </c>
      <c r="N1296" s="3">
        <v>0.17199999999999999</v>
      </c>
      <c r="O1296" t="s">
        <v>16</v>
      </c>
      <c r="Q1296">
        <v>1</v>
      </c>
      <c r="R1296">
        <v>0</v>
      </c>
      <c r="S1296" s="2">
        <v>17000</v>
      </c>
      <c r="T1296" s="4">
        <v>0.1137</v>
      </c>
      <c r="U1296">
        <v>2</v>
      </c>
      <c r="V1296">
        <v>1</v>
      </c>
      <c r="W1296">
        <v>1</v>
      </c>
    </row>
    <row r="1297" spans="1:23" ht="16.5" x14ac:dyDescent="0.3">
      <c r="A1297" t="s">
        <v>1355</v>
      </c>
      <c r="B1297" s="1">
        <v>45495</v>
      </c>
      <c r="C1297">
        <v>2024</v>
      </c>
      <c r="D1297" t="s">
        <v>1255</v>
      </c>
      <c r="E1297" t="s">
        <v>1256</v>
      </c>
      <c r="F1297" t="s">
        <v>37</v>
      </c>
      <c r="G1297" t="s">
        <v>45</v>
      </c>
      <c r="H1297" t="s">
        <v>34</v>
      </c>
      <c r="I1297" t="s">
        <v>29</v>
      </c>
      <c r="J1297" t="s">
        <v>46</v>
      </c>
      <c r="K1297" s="2">
        <v>4450</v>
      </c>
      <c r="L1297" s="2">
        <v>9500</v>
      </c>
      <c r="M1297">
        <v>12</v>
      </c>
      <c r="N1297" s="3">
        <v>0.41299999999999998</v>
      </c>
      <c r="O1297" t="s">
        <v>17</v>
      </c>
      <c r="P1297" t="s">
        <v>65</v>
      </c>
      <c r="Q1297">
        <v>0</v>
      </c>
      <c r="R1297">
        <v>1</v>
      </c>
      <c r="S1297" s="2">
        <v>0</v>
      </c>
      <c r="T1297" s="4"/>
      <c r="U1297">
        <v>1</v>
      </c>
      <c r="V1297">
        <v>1</v>
      </c>
      <c r="W1297">
        <v>1</v>
      </c>
    </row>
    <row r="1298" spans="1:23" ht="16.5" x14ac:dyDescent="0.3">
      <c r="A1298" t="s">
        <v>1356</v>
      </c>
      <c r="B1298" s="1">
        <v>45495</v>
      </c>
      <c r="C1298">
        <v>2024</v>
      </c>
      <c r="D1298" t="s">
        <v>1255</v>
      </c>
      <c r="E1298" t="s">
        <v>1256</v>
      </c>
      <c r="F1298" t="s">
        <v>37</v>
      </c>
      <c r="G1298" t="s">
        <v>51</v>
      </c>
      <c r="H1298" t="s">
        <v>38</v>
      </c>
      <c r="I1298" t="s">
        <v>29</v>
      </c>
      <c r="J1298" t="s">
        <v>46</v>
      </c>
      <c r="K1298" s="2">
        <v>4750</v>
      </c>
      <c r="L1298" s="2">
        <v>11000</v>
      </c>
      <c r="M1298">
        <v>36</v>
      </c>
      <c r="N1298" s="3">
        <v>0.19500000000000001</v>
      </c>
      <c r="O1298" t="s">
        <v>16</v>
      </c>
      <c r="Q1298">
        <v>1</v>
      </c>
      <c r="R1298">
        <v>0</v>
      </c>
      <c r="S1298" s="2">
        <v>11000</v>
      </c>
      <c r="T1298" s="4">
        <v>0.1143</v>
      </c>
      <c r="U1298">
        <v>7</v>
      </c>
      <c r="V1298">
        <v>0</v>
      </c>
      <c r="W1298">
        <v>1</v>
      </c>
    </row>
    <row r="1299" spans="1:23" ht="16.5" x14ac:dyDescent="0.3">
      <c r="A1299" t="s">
        <v>1357</v>
      </c>
      <c r="B1299" s="1">
        <v>45495</v>
      </c>
      <c r="C1299">
        <v>2024</v>
      </c>
      <c r="D1299" t="s">
        <v>1255</v>
      </c>
      <c r="E1299" t="s">
        <v>1256</v>
      </c>
      <c r="F1299" t="s">
        <v>50</v>
      </c>
      <c r="G1299" t="s">
        <v>45</v>
      </c>
      <c r="H1299" t="s">
        <v>38</v>
      </c>
      <c r="I1299" t="s">
        <v>29</v>
      </c>
      <c r="J1299" t="s">
        <v>30</v>
      </c>
      <c r="K1299" s="2">
        <v>5900</v>
      </c>
      <c r="L1299" s="2">
        <v>157500</v>
      </c>
      <c r="M1299">
        <v>180</v>
      </c>
      <c r="N1299" s="3">
        <v>0.31900000000000001</v>
      </c>
      <c r="O1299" t="s">
        <v>16</v>
      </c>
      <c r="Q1299">
        <v>1</v>
      </c>
      <c r="R1299">
        <v>0</v>
      </c>
      <c r="S1299" s="2">
        <v>126000</v>
      </c>
      <c r="T1299" s="4">
        <v>7.3099999999999998E-2</v>
      </c>
      <c r="U1299">
        <v>11</v>
      </c>
      <c r="V1299">
        <v>1</v>
      </c>
      <c r="W1299">
        <v>1</v>
      </c>
    </row>
    <row r="1300" spans="1:23" ht="16.5" x14ac:dyDescent="0.3">
      <c r="A1300" t="s">
        <v>1358</v>
      </c>
      <c r="B1300" s="1">
        <v>45495</v>
      </c>
      <c r="C1300">
        <v>2024</v>
      </c>
      <c r="D1300" t="s">
        <v>1255</v>
      </c>
      <c r="E1300" t="s">
        <v>1256</v>
      </c>
      <c r="F1300" t="s">
        <v>37</v>
      </c>
      <c r="G1300" t="s">
        <v>51</v>
      </c>
      <c r="H1300" t="s">
        <v>55</v>
      </c>
      <c r="I1300" t="s">
        <v>29</v>
      </c>
      <c r="J1300" t="s">
        <v>35</v>
      </c>
      <c r="K1300" s="2">
        <v>5300</v>
      </c>
      <c r="L1300" s="2">
        <v>8000</v>
      </c>
      <c r="M1300">
        <v>24</v>
      </c>
      <c r="N1300" s="3">
        <v>0.27200000000000002</v>
      </c>
      <c r="O1300" t="s">
        <v>16</v>
      </c>
      <c r="Q1300">
        <v>1</v>
      </c>
      <c r="R1300">
        <v>0</v>
      </c>
      <c r="S1300" s="2">
        <v>7000</v>
      </c>
      <c r="T1300" s="4">
        <v>0.1273</v>
      </c>
      <c r="U1300">
        <v>6</v>
      </c>
      <c r="V1300">
        <v>0</v>
      </c>
      <c r="W1300">
        <v>1</v>
      </c>
    </row>
    <row r="1301" spans="1:23" ht="16.5" x14ac:dyDescent="0.3">
      <c r="A1301" t="s">
        <v>1359</v>
      </c>
      <c r="B1301" s="1">
        <v>45496</v>
      </c>
      <c r="C1301">
        <v>2024</v>
      </c>
      <c r="D1301" t="s">
        <v>1255</v>
      </c>
      <c r="E1301" t="s">
        <v>1256</v>
      </c>
      <c r="F1301" t="s">
        <v>50</v>
      </c>
      <c r="G1301" t="s">
        <v>33</v>
      </c>
      <c r="H1301" t="s">
        <v>34</v>
      </c>
      <c r="I1301" t="s">
        <v>42</v>
      </c>
      <c r="J1301" t="s">
        <v>52</v>
      </c>
      <c r="K1301" s="2">
        <v>3300</v>
      </c>
      <c r="L1301" s="2">
        <v>207500</v>
      </c>
      <c r="M1301">
        <v>240</v>
      </c>
      <c r="N1301" s="3">
        <v>0.64200000000000002</v>
      </c>
      <c r="O1301" t="s">
        <v>16</v>
      </c>
      <c r="Q1301">
        <v>1</v>
      </c>
      <c r="R1301">
        <v>0</v>
      </c>
      <c r="S1301" s="2">
        <v>187000</v>
      </c>
      <c r="T1301" s="4">
        <v>5.3699999999999998E-2</v>
      </c>
      <c r="U1301">
        <v>12</v>
      </c>
      <c r="V1301">
        <v>1</v>
      </c>
      <c r="W1301">
        <v>1</v>
      </c>
    </row>
    <row r="1302" spans="1:23" ht="16.5" x14ac:dyDescent="0.3">
      <c r="A1302" t="s">
        <v>1360</v>
      </c>
      <c r="B1302" s="1">
        <v>45496</v>
      </c>
      <c r="C1302">
        <v>2024</v>
      </c>
      <c r="D1302" t="s">
        <v>1255</v>
      </c>
      <c r="E1302" t="s">
        <v>1256</v>
      </c>
      <c r="F1302" t="s">
        <v>26</v>
      </c>
      <c r="G1302" t="s">
        <v>33</v>
      </c>
      <c r="H1302" t="s">
        <v>34</v>
      </c>
      <c r="I1302" t="s">
        <v>42</v>
      </c>
      <c r="J1302" t="s">
        <v>46</v>
      </c>
      <c r="K1302" s="2">
        <v>5100</v>
      </c>
      <c r="L1302" s="2">
        <v>22000</v>
      </c>
      <c r="M1302">
        <v>48</v>
      </c>
      <c r="N1302" s="3">
        <v>0.20100000000000001</v>
      </c>
      <c r="O1302" t="s">
        <v>16</v>
      </c>
      <c r="Q1302">
        <v>1</v>
      </c>
      <c r="R1302">
        <v>0</v>
      </c>
      <c r="S1302" s="2">
        <v>20000</v>
      </c>
      <c r="T1302" s="4">
        <v>6.9699999999999998E-2</v>
      </c>
      <c r="U1302">
        <v>2</v>
      </c>
      <c r="V1302">
        <v>1</v>
      </c>
      <c r="W1302">
        <v>1</v>
      </c>
    </row>
    <row r="1303" spans="1:23" ht="16.5" x14ac:dyDescent="0.3">
      <c r="A1303" t="s">
        <v>1361</v>
      </c>
      <c r="B1303" s="1">
        <v>45496</v>
      </c>
      <c r="C1303">
        <v>2024</v>
      </c>
      <c r="D1303" t="s">
        <v>1255</v>
      </c>
      <c r="E1303" t="s">
        <v>1256</v>
      </c>
      <c r="F1303" t="s">
        <v>41</v>
      </c>
      <c r="G1303" t="s">
        <v>45</v>
      </c>
      <c r="H1303" t="s">
        <v>64</v>
      </c>
      <c r="I1303" t="s">
        <v>29</v>
      </c>
      <c r="J1303" t="s">
        <v>43</v>
      </c>
      <c r="K1303" s="2">
        <v>4400</v>
      </c>
      <c r="L1303" s="2">
        <v>15000</v>
      </c>
      <c r="M1303">
        <v>36</v>
      </c>
      <c r="N1303" s="3">
        <v>0.247</v>
      </c>
      <c r="O1303" t="s">
        <v>16</v>
      </c>
      <c r="Q1303">
        <v>1</v>
      </c>
      <c r="R1303">
        <v>0</v>
      </c>
      <c r="S1303" s="2">
        <v>15000</v>
      </c>
      <c r="T1303" s="4">
        <v>0.14330000000000001</v>
      </c>
      <c r="U1303">
        <v>7</v>
      </c>
      <c r="V1303">
        <v>1</v>
      </c>
      <c r="W1303">
        <v>1</v>
      </c>
    </row>
    <row r="1304" spans="1:23" ht="16.5" x14ac:dyDescent="0.3">
      <c r="A1304" t="s">
        <v>1362</v>
      </c>
      <c r="B1304" s="1">
        <v>45496</v>
      </c>
      <c r="C1304">
        <v>2024</v>
      </c>
      <c r="D1304" t="s">
        <v>1255</v>
      </c>
      <c r="E1304" t="s">
        <v>1256</v>
      </c>
      <c r="F1304" t="s">
        <v>37</v>
      </c>
      <c r="G1304" t="s">
        <v>51</v>
      </c>
      <c r="H1304" t="s">
        <v>38</v>
      </c>
      <c r="I1304" t="s">
        <v>29</v>
      </c>
      <c r="J1304" t="s">
        <v>43</v>
      </c>
      <c r="K1304" s="2">
        <v>5850</v>
      </c>
      <c r="L1304" s="2">
        <v>26500</v>
      </c>
      <c r="M1304">
        <v>36</v>
      </c>
      <c r="N1304" s="3">
        <v>0.20200000000000001</v>
      </c>
      <c r="O1304" t="s">
        <v>17</v>
      </c>
      <c r="P1304" t="s">
        <v>31</v>
      </c>
      <c r="Q1304">
        <v>0</v>
      </c>
      <c r="R1304">
        <v>1</v>
      </c>
      <c r="S1304" s="2">
        <v>0</v>
      </c>
      <c r="T1304" s="4"/>
      <c r="U1304">
        <v>4</v>
      </c>
      <c r="V1304">
        <v>0</v>
      </c>
      <c r="W1304">
        <v>1</v>
      </c>
    </row>
    <row r="1305" spans="1:23" ht="16.5" x14ac:dyDescent="0.3">
      <c r="A1305" t="s">
        <v>1363</v>
      </c>
      <c r="B1305" s="1">
        <v>45496</v>
      </c>
      <c r="C1305">
        <v>2024</v>
      </c>
      <c r="D1305" t="s">
        <v>1255</v>
      </c>
      <c r="E1305" t="s">
        <v>1256</v>
      </c>
      <c r="F1305" t="s">
        <v>50</v>
      </c>
      <c r="G1305" t="s">
        <v>45</v>
      </c>
      <c r="H1305" t="s">
        <v>64</v>
      </c>
      <c r="I1305" t="s">
        <v>29</v>
      </c>
      <c r="J1305" t="s">
        <v>30</v>
      </c>
      <c r="K1305" s="2">
        <v>4100</v>
      </c>
      <c r="L1305" s="2">
        <v>219500</v>
      </c>
      <c r="M1305">
        <v>300</v>
      </c>
      <c r="N1305" s="3">
        <v>0.51400000000000001</v>
      </c>
      <c r="O1305" t="s">
        <v>17</v>
      </c>
      <c r="P1305" t="s">
        <v>60</v>
      </c>
      <c r="Q1305">
        <v>0</v>
      </c>
      <c r="R1305">
        <v>1</v>
      </c>
      <c r="S1305" s="2">
        <v>0</v>
      </c>
      <c r="T1305" s="4"/>
      <c r="U1305">
        <v>13</v>
      </c>
      <c r="V1305">
        <v>1</v>
      </c>
      <c r="W1305">
        <v>1</v>
      </c>
    </row>
    <row r="1306" spans="1:23" ht="16.5" x14ac:dyDescent="0.3">
      <c r="A1306" t="s">
        <v>1364</v>
      </c>
      <c r="B1306" s="1">
        <v>45497</v>
      </c>
      <c r="C1306">
        <v>2024</v>
      </c>
      <c r="D1306" t="s">
        <v>1255</v>
      </c>
      <c r="E1306" t="s">
        <v>1256</v>
      </c>
      <c r="F1306" t="s">
        <v>41</v>
      </c>
      <c r="G1306" t="s">
        <v>27</v>
      </c>
      <c r="H1306" t="s">
        <v>55</v>
      </c>
      <c r="I1306" t="s">
        <v>29</v>
      </c>
      <c r="J1306" t="s">
        <v>30</v>
      </c>
      <c r="K1306" s="2">
        <v>8650</v>
      </c>
      <c r="L1306" s="2">
        <v>49000</v>
      </c>
      <c r="M1306">
        <v>12</v>
      </c>
      <c r="N1306" s="3">
        <v>0.60699999999999998</v>
      </c>
      <c r="O1306" t="s">
        <v>16</v>
      </c>
      <c r="Q1306">
        <v>1</v>
      </c>
      <c r="R1306">
        <v>0</v>
      </c>
      <c r="S1306" s="2">
        <v>49000</v>
      </c>
      <c r="T1306" s="4">
        <v>0.12139999999999999</v>
      </c>
      <c r="U1306">
        <v>13</v>
      </c>
      <c r="V1306">
        <v>0</v>
      </c>
      <c r="W1306">
        <v>1</v>
      </c>
    </row>
    <row r="1307" spans="1:23" ht="16.5" x14ac:dyDescent="0.3">
      <c r="A1307" t="s">
        <v>1365</v>
      </c>
      <c r="B1307" s="1">
        <v>45497</v>
      </c>
      <c r="C1307">
        <v>2024</v>
      </c>
      <c r="D1307" t="s">
        <v>1255</v>
      </c>
      <c r="E1307" t="s">
        <v>1256</v>
      </c>
      <c r="F1307" t="s">
        <v>26</v>
      </c>
      <c r="G1307" t="s">
        <v>33</v>
      </c>
      <c r="H1307" t="s">
        <v>55</v>
      </c>
      <c r="I1307" t="s">
        <v>39</v>
      </c>
      <c r="J1307" t="s">
        <v>46</v>
      </c>
      <c r="K1307" s="2">
        <v>6650</v>
      </c>
      <c r="L1307" s="2">
        <v>43000</v>
      </c>
      <c r="M1307">
        <v>36</v>
      </c>
      <c r="N1307" s="3">
        <v>0.40300000000000002</v>
      </c>
      <c r="O1307" t="s">
        <v>16</v>
      </c>
      <c r="Q1307">
        <v>1</v>
      </c>
      <c r="R1307">
        <v>0</v>
      </c>
      <c r="S1307" s="2">
        <v>43000</v>
      </c>
      <c r="T1307" s="4">
        <v>6.54E-2</v>
      </c>
      <c r="U1307">
        <v>2</v>
      </c>
      <c r="V1307">
        <v>1</v>
      </c>
      <c r="W1307">
        <v>1</v>
      </c>
    </row>
    <row r="1308" spans="1:23" ht="16.5" x14ac:dyDescent="0.3">
      <c r="A1308" t="s">
        <v>1366</v>
      </c>
      <c r="B1308" s="1">
        <v>45498</v>
      </c>
      <c r="C1308">
        <v>2024</v>
      </c>
      <c r="D1308" t="s">
        <v>1255</v>
      </c>
      <c r="E1308" t="s">
        <v>1256</v>
      </c>
      <c r="F1308" t="s">
        <v>41</v>
      </c>
      <c r="G1308" t="s">
        <v>51</v>
      </c>
      <c r="H1308" t="s">
        <v>64</v>
      </c>
      <c r="I1308" t="s">
        <v>42</v>
      </c>
      <c r="J1308" t="s">
        <v>35</v>
      </c>
      <c r="K1308" s="2">
        <v>5850</v>
      </c>
      <c r="L1308" s="2">
        <v>81500</v>
      </c>
      <c r="M1308">
        <v>24</v>
      </c>
      <c r="N1308" s="3">
        <v>0.83899999999999997</v>
      </c>
      <c r="O1308" t="s">
        <v>17</v>
      </c>
      <c r="P1308" t="s">
        <v>53</v>
      </c>
      <c r="Q1308">
        <v>0</v>
      </c>
      <c r="R1308">
        <v>1</v>
      </c>
      <c r="S1308" s="2">
        <v>0</v>
      </c>
      <c r="T1308" s="4"/>
      <c r="U1308">
        <v>20</v>
      </c>
      <c r="V1308">
        <v>0</v>
      </c>
      <c r="W1308">
        <v>1</v>
      </c>
    </row>
    <row r="1309" spans="1:23" ht="16.5" x14ac:dyDescent="0.3">
      <c r="A1309" t="s">
        <v>1367</v>
      </c>
      <c r="B1309" s="1">
        <v>45498</v>
      </c>
      <c r="C1309">
        <v>2024</v>
      </c>
      <c r="D1309" t="s">
        <v>1255</v>
      </c>
      <c r="E1309" t="s">
        <v>1256</v>
      </c>
      <c r="F1309" t="s">
        <v>37</v>
      </c>
      <c r="G1309" t="s">
        <v>51</v>
      </c>
      <c r="H1309" t="s">
        <v>34</v>
      </c>
      <c r="I1309" t="s">
        <v>39</v>
      </c>
      <c r="J1309" t="s">
        <v>52</v>
      </c>
      <c r="K1309" s="2">
        <v>6200</v>
      </c>
      <c r="L1309" s="2">
        <v>12000</v>
      </c>
      <c r="M1309">
        <v>36</v>
      </c>
      <c r="N1309" s="3">
        <v>0.17899999999999999</v>
      </c>
      <c r="O1309" t="s">
        <v>16</v>
      </c>
      <c r="Q1309">
        <v>1</v>
      </c>
      <c r="R1309">
        <v>0</v>
      </c>
      <c r="S1309" s="2">
        <v>12000</v>
      </c>
      <c r="T1309" s="4">
        <v>0.11990000000000001</v>
      </c>
      <c r="U1309">
        <v>7</v>
      </c>
      <c r="V1309">
        <v>0</v>
      </c>
      <c r="W1309">
        <v>1</v>
      </c>
    </row>
    <row r="1310" spans="1:23" ht="16.5" x14ac:dyDescent="0.3">
      <c r="A1310" t="s">
        <v>1368</v>
      </c>
      <c r="B1310" s="1">
        <v>45498</v>
      </c>
      <c r="C1310">
        <v>2024</v>
      </c>
      <c r="D1310" t="s">
        <v>1255</v>
      </c>
      <c r="E1310" t="s">
        <v>1256</v>
      </c>
      <c r="F1310" t="s">
        <v>26</v>
      </c>
      <c r="G1310" t="s">
        <v>51</v>
      </c>
      <c r="H1310" t="s">
        <v>64</v>
      </c>
      <c r="I1310" t="s">
        <v>39</v>
      </c>
      <c r="J1310" t="s">
        <v>52</v>
      </c>
      <c r="K1310" s="2">
        <v>13350</v>
      </c>
      <c r="L1310" s="2">
        <v>44000</v>
      </c>
      <c r="M1310">
        <v>48</v>
      </c>
      <c r="N1310" s="3">
        <v>0.14299999999999999</v>
      </c>
      <c r="O1310" t="s">
        <v>16</v>
      </c>
      <c r="Q1310">
        <v>1</v>
      </c>
      <c r="R1310">
        <v>0</v>
      </c>
      <c r="S1310" s="2">
        <v>44000</v>
      </c>
      <c r="T1310" s="4">
        <v>7.6600000000000001E-2</v>
      </c>
      <c r="U1310">
        <v>15</v>
      </c>
      <c r="V1310">
        <v>0</v>
      </c>
      <c r="W1310">
        <v>1</v>
      </c>
    </row>
    <row r="1311" spans="1:23" ht="16.5" x14ac:dyDescent="0.3">
      <c r="A1311" t="s">
        <v>1369</v>
      </c>
      <c r="B1311" s="1">
        <v>45498</v>
      </c>
      <c r="C1311">
        <v>2024</v>
      </c>
      <c r="D1311" t="s">
        <v>1255</v>
      </c>
      <c r="E1311" t="s">
        <v>1256</v>
      </c>
      <c r="F1311" t="s">
        <v>50</v>
      </c>
      <c r="G1311" t="s">
        <v>45</v>
      </c>
      <c r="H1311" t="s">
        <v>55</v>
      </c>
      <c r="I1311" t="s">
        <v>39</v>
      </c>
      <c r="J1311" t="s">
        <v>52</v>
      </c>
      <c r="K1311" s="2">
        <v>7600</v>
      </c>
      <c r="L1311" s="2">
        <v>164500</v>
      </c>
      <c r="M1311">
        <v>300</v>
      </c>
      <c r="N1311" s="3">
        <v>0.22900000000000001</v>
      </c>
      <c r="O1311" t="s">
        <v>16</v>
      </c>
      <c r="Q1311">
        <v>1</v>
      </c>
      <c r="R1311">
        <v>0</v>
      </c>
      <c r="S1311" s="2">
        <v>148000</v>
      </c>
      <c r="T1311" s="4">
        <v>4.4900000000000002E-2</v>
      </c>
      <c r="U1311">
        <v>10</v>
      </c>
      <c r="V1311">
        <v>1</v>
      </c>
      <c r="W1311">
        <v>1</v>
      </c>
    </row>
    <row r="1312" spans="1:23" ht="16.5" x14ac:dyDescent="0.3">
      <c r="A1312" t="s">
        <v>1370</v>
      </c>
      <c r="B1312" s="1">
        <v>45498</v>
      </c>
      <c r="C1312">
        <v>2024</v>
      </c>
      <c r="D1312" t="s">
        <v>1255</v>
      </c>
      <c r="E1312" t="s">
        <v>1256</v>
      </c>
      <c r="F1312" t="s">
        <v>50</v>
      </c>
      <c r="G1312" t="s">
        <v>51</v>
      </c>
      <c r="H1312" t="s">
        <v>55</v>
      </c>
      <c r="I1312" t="s">
        <v>39</v>
      </c>
      <c r="J1312" t="s">
        <v>52</v>
      </c>
      <c r="K1312" s="2">
        <v>2250</v>
      </c>
      <c r="L1312" s="2">
        <v>363500</v>
      </c>
      <c r="M1312">
        <v>240</v>
      </c>
      <c r="N1312" s="3">
        <v>1.169</v>
      </c>
      <c r="O1312" t="s">
        <v>16</v>
      </c>
      <c r="Q1312">
        <v>1</v>
      </c>
      <c r="R1312">
        <v>0</v>
      </c>
      <c r="S1312" s="2">
        <v>363500</v>
      </c>
      <c r="T1312" s="4">
        <v>5.0700000000000002E-2</v>
      </c>
      <c r="U1312">
        <v>16</v>
      </c>
      <c r="V1312">
        <v>0</v>
      </c>
      <c r="W1312">
        <v>1</v>
      </c>
    </row>
    <row r="1313" spans="1:23" ht="16.5" x14ac:dyDescent="0.3">
      <c r="A1313" t="s">
        <v>1371</v>
      </c>
      <c r="B1313" s="1">
        <v>45498</v>
      </c>
      <c r="C1313">
        <v>2024</v>
      </c>
      <c r="D1313" t="s">
        <v>1255</v>
      </c>
      <c r="E1313" t="s">
        <v>1256</v>
      </c>
      <c r="F1313" t="s">
        <v>41</v>
      </c>
      <c r="G1313" t="s">
        <v>45</v>
      </c>
      <c r="H1313" t="s">
        <v>38</v>
      </c>
      <c r="I1313" t="s">
        <v>39</v>
      </c>
      <c r="J1313" t="s">
        <v>30</v>
      </c>
      <c r="K1313" s="2">
        <v>5850</v>
      </c>
      <c r="L1313" s="2">
        <v>86500</v>
      </c>
      <c r="M1313">
        <v>12</v>
      </c>
      <c r="N1313" s="3">
        <v>1.391</v>
      </c>
      <c r="O1313" t="s">
        <v>17</v>
      </c>
      <c r="P1313" t="s">
        <v>31</v>
      </c>
      <c r="Q1313">
        <v>0</v>
      </c>
      <c r="R1313">
        <v>1</v>
      </c>
      <c r="S1313" s="2">
        <v>0</v>
      </c>
      <c r="T1313" s="4"/>
      <c r="U1313">
        <v>4</v>
      </c>
      <c r="V1313">
        <v>1</v>
      </c>
      <c r="W1313">
        <v>1</v>
      </c>
    </row>
    <row r="1314" spans="1:23" ht="16.5" x14ac:dyDescent="0.3">
      <c r="A1314" t="s">
        <v>1372</v>
      </c>
      <c r="B1314" s="1">
        <v>45498</v>
      </c>
      <c r="C1314">
        <v>2024</v>
      </c>
      <c r="D1314" t="s">
        <v>1255</v>
      </c>
      <c r="E1314" t="s">
        <v>1256</v>
      </c>
      <c r="F1314" t="s">
        <v>41</v>
      </c>
      <c r="G1314" t="s">
        <v>33</v>
      </c>
      <c r="H1314" t="s">
        <v>55</v>
      </c>
      <c r="I1314" t="s">
        <v>39</v>
      </c>
      <c r="J1314" t="s">
        <v>46</v>
      </c>
      <c r="K1314" s="2">
        <v>8900</v>
      </c>
      <c r="L1314" s="2">
        <v>46500</v>
      </c>
      <c r="M1314">
        <v>60</v>
      </c>
      <c r="N1314" s="3">
        <v>0.28499999999999998</v>
      </c>
      <c r="O1314" t="s">
        <v>16</v>
      </c>
      <c r="Q1314">
        <v>1</v>
      </c>
      <c r="R1314">
        <v>0</v>
      </c>
      <c r="S1314" s="2">
        <v>46500</v>
      </c>
      <c r="T1314" s="4">
        <v>8.77E-2</v>
      </c>
      <c r="U1314">
        <v>3</v>
      </c>
      <c r="V1314">
        <v>1</v>
      </c>
      <c r="W1314">
        <v>1</v>
      </c>
    </row>
    <row r="1315" spans="1:23" ht="16.5" x14ac:dyDescent="0.3">
      <c r="A1315" t="s">
        <v>1373</v>
      </c>
      <c r="B1315" s="1">
        <v>45498</v>
      </c>
      <c r="C1315">
        <v>2024</v>
      </c>
      <c r="D1315" t="s">
        <v>1255</v>
      </c>
      <c r="E1315" t="s">
        <v>1256</v>
      </c>
      <c r="F1315" t="s">
        <v>41</v>
      </c>
      <c r="G1315" t="s">
        <v>51</v>
      </c>
      <c r="H1315" t="s">
        <v>38</v>
      </c>
      <c r="I1315" t="s">
        <v>39</v>
      </c>
      <c r="J1315" t="s">
        <v>35</v>
      </c>
      <c r="K1315" s="2">
        <v>17650</v>
      </c>
      <c r="L1315" s="2">
        <v>60000</v>
      </c>
      <c r="M1315">
        <v>60</v>
      </c>
      <c r="N1315" s="3">
        <v>0.161</v>
      </c>
      <c r="O1315" t="s">
        <v>16</v>
      </c>
      <c r="Q1315">
        <v>1</v>
      </c>
      <c r="R1315">
        <v>0</v>
      </c>
      <c r="S1315" s="2">
        <v>54000</v>
      </c>
      <c r="T1315" s="4">
        <v>0.1087</v>
      </c>
      <c r="U1315">
        <v>12</v>
      </c>
      <c r="V1315">
        <v>0</v>
      </c>
      <c r="W1315">
        <v>1</v>
      </c>
    </row>
    <row r="1316" spans="1:23" ht="16.5" x14ac:dyDescent="0.3">
      <c r="A1316" t="s">
        <v>1374</v>
      </c>
      <c r="B1316" s="1">
        <v>45498</v>
      </c>
      <c r="C1316">
        <v>2024</v>
      </c>
      <c r="D1316" t="s">
        <v>1255</v>
      </c>
      <c r="E1316" t="s">
        <v>1256</v>
      </c>
      <c r="F1316" t="s">
        <v>41</v>
      </c>
      <c r="G1316" t="s">
        <v>33</v>
      </c>
      <c r="H1316" t="s">
        <v>38</v>
      </c>
      <c r="I1316" t="s">
        <v>29</v>
      </c>
      <c r="J1316" t="s">
        <v>43</v>
      </c>
      <c r="K1316" s="2">
        <v>3000</v>
      </c>
      <c r="L1316" s="2">
        <v>83500</v>
      </c>
      <c r="M1316">
        <v>36</v>
      </c>
      <c r="N1316" s="3">
        <v>1.008</v>
      </c>
      <c r="O1316" t="s">
        <v>125</v>
      </c>
      <c r="Q1316">
        <v>0</v>
      </c>
      <c r="R1316">
        <v>0</v>
      </c>
      <c r="S1316" s="2">
        <v>0</v>
      </c>
      <c r="T1316" s="4"/>
      <c r="U1316">
        <v>6</v>
      </c>
      <c r="V1316">
        <v>1</v>
      </c>
      <c r="W1316">
        <v>1</v>
      </c>
    </row>
    <row r="1317" spans="1:23" ht="16.5" x14ac:dyDescent="0.3">
      <c r="A1317" t="s">
        <v>1375</v>
      </c>
      <c r="B1317" s="1">
        <v>45499</v>
      </c>
      <c r="C1317">
        <v>2024</v>
      </c>
      <c r="D1317" t="s">
        <v>1255</v>
      </c>
      <c r="E1317" t="s">
        <v>1256</v>
      </c>
      <c r="F1317" t="s">
        <v>26</v>
      </c>
      <c r="G1317" t="s">
        <v>33</v>
      </c>
      <c r="H1317" t="s">
        <v>55</v>
      </c>
      <c r="I1317" t="s">
        <v>39</v>
      </c>
      <c r="J1317" t="s">
        <v>30</v>
      </c>
      <c r="K1317" s="2">
        <v>5650</v>
      </c>
      <c r="L1317" s="2">
        <v>25500</v>
      </c>
      <c r="M1317">
        <v>36</v>
      </c>
      <c r="N1317" s="3">
        <v>0.214</v>
      </c>
      <c r="O1317" t="s">
        <v>16</v>
      </c>
      <c r="Q1317">
        <v>1</v>
      </c>
      <c r="R1317">
        <v>0</v>
      </c>
      <c r="S1317" s="2">
        <v>25500</v>
      </c>
      <c r="T1317" s="4">
        <v>9.8900000000000002E-2</v>
      </c>
      <c r="U1317">
        <v>3</v>
      </c>
      <c r="V1317">
        <v>1</v>
      </c>
      <c r="W1317">
        <v>1</v>
      </c>
    </row>
    <row r="1318" spans="1:23" ht="16.5" x14ac:dyDescent="0.3">
      <c r="A1318" t="s">
        <v>1376</v>
      </c>
      <c r="B1318" s="1">
        <v>45499</v>
      </c>
      <c r="C1318">
        <v>2024</v>
      </c>
      <c r="D1318" t="s">
        <v>1255</v>
      </c>
      <c r="E1318" t="s">
        <v>1256</v>
      </c>
      <c r="F1318" t="s">
        <v>37</v>
      </c>
      <c r="G1318" t="s">
        <v>45</v>
      </c>
      <c r="H1318" t="s">
        <v>34</v>
      </c>
      <c r="I1318" t="s">
        <v>29</v>
      </c>
      <c r="J1318" t="s">
        <v>30</v>
      </c>
      <c r="K1318" s="2">
        <v>8550</v>
      </c>
      <c r="L1318" s="2">
        <v>10000</v>
      </c>
      <c r="M1318">
        <v>36</v>
      </c>
      <c r="N1318" s="3">
        <v>0.246</v>
      </c>
      <c r="O1318" t="s">
        <v>17</v>
      </c>
      <c r="P1318" t="s">
        <v>31</v>
      </c>
      <c r="Q1318">
        <v>0</v>
      </c>
      <c r="R1318">
        <v>1</v>
      </c>
      <c r="S1318" s="2">
        <v>0</v>
      </c>
      <c r="T1318" s="4"/>
      <c r="U1318">
        <v>1</v>
      </c>
      <c r="V1318">
        <v>1</v>
      </c>
      <c r="W1318">
        <v>1</v>
      </c>
    </row>
    <row r="1319" spans="1:23" ht="16.5" x14ac:dyDescent="0.3">
      <c r="A1319" t="s">
        <v>1377</v>
      </c>
      <c r="B1319" s="1">
        <v>45499</v>
      </c>
      <c r="C1319">
        <v>2024</v>
      </c>
      <c r="D1319" t="s">
        <v>1255</v>
      </c>
      <c r="E1319" t="s">
        <v>1256</v>
      </c>
      <c r="F1319" t="s">
        <v>26</v>
      </c>
      <c r="G1319" t="s">
        <v>33</v>
      </c>
      <c r="H1319" t="s">
        <v>55</v>
      </c>
      <c r="I1319" t="s">
        <v>29</v>
      </c>
      <c r="J1319" t="s">
        <v>43</v>
      </c>
      <c r="K1319" s="2">
        <v>8450</v>
      </c>
      <c r="L1319" s="2">
        <v>19000</v>
      </c>
      <c r="M1319">
        <v>60</v>
      </c>
      <c r="N1319" s="3">
        <v>0.104</v>
      </c>
      <c r="O1319" t="s">
        <v>17</v>
      </c>
      <c r="P1319" t="s">
        <v>65</v>
      </c>
      <c r="Q1319">
        <v>0</v>
      </c>
      <c r="R1319">
        <v>1</v>
      </c>
      <c r="S1319" s="2">
        <v>0</v>
      </c>
      <c r="T1319" s="4"/>
      <c r="U1319">
        <v>4</v>
      </c>
      <c r="V1319">
        <v>1</v>
      </c>
      <c r="W1319">
        <v>1</v>
      </c>
    </row>
    <row r="1320" spans="1:23" ht="16.5" x14ac:dyDescent="0.3">
      <c r="A1320" t="s">
        <v>1378</v>
      </c>
      <c r="B1320" s="1">
        <v>45499</v>
      </c>
      <c r="C1320">
        <v>2024</v>
      </c>
      <c r="D1320" t="s">
        <v>1255</v>
      </c>
      <c r="E1320" t="s">
        <v>1256</v>
      </c>
      <c r="F1320" t="s">
        <v>37</v>
      </c>
      <c r="G1320" t="s">
        <v>27</v>
      </c>
      <c r="H1320" t="s">
        <v>55</v>
      </c>
      <c r="I1320" t="s">
        <v>29</v>
      </c>
      <c r="J1320" t="s">
        <v>35</v>
      </c>
      <c r="K1320" s="2">
        <v>5700</v>
      </c>
      <c r="L1320" s="2">
        <v>10500</v>
      </c>
      <c r="M1320">
        <v>24</v>
      </c>
      <c r="N1320" s="3">
        <v>0.3</v>
      </c>
      <c r="O1320" t="s">
        <v>16</v>
      </c>
      <c r="Q1320">
        <v>1</v>
      </c>
      <c r="R1320">
        <v>0</v>
      </c>
      <c r="S1320" s="2">
        <v>10500</v>
      </c>
      <c r="T1320" s="4">
        <v>0.12570000000000001</v>
      </c>
      <c r="U1320">
        <v>3</v>
      </c>
      <c r="V1320">
        <v>1</v>
      </c>
      <c r="W1320">
        <v>1</v>
      </c>
    </row>
    <row r="1321" spans="1:23" ht="16.5" x14ac:dyDescent="0.3">
      <c r="A1321" t="s">
        <v>1379</v>
      </c>
      <c r="B1321" s="1">
        <v>45499</v>
      </c>
      <c r="C1321">
        <v>2024</v>
      </c>
      <c r="D1321" t="s">
        <v>1255</v>
      </c>
      <c r="E1321" t="s">
        <v>1256</v>
      </c>
      <c r="F1321" t="s">
        <v>37</v>
      </c>
      <c r="G1321" t="s">
        <v>51</v>
      </c>
      <c r="H1321" t="s">
        <v>38</v>
      </c>
      <c r="I1321" t="s">
        <v>39</v>
      </c>
      <c r="J1321" t="s">
        <v>52</v>
      </c>
      <c r="K1321" s="2">
        <v>4400</v>
      </c>
      <c r="L1321" s="2">
        <v>8000</v>
      </c>
      <c r="M1321">
        <v>12</v>
      </c>
      <c r="N1321" s="3">
        <v>0.25600000000000001</v>
      </c>
      <c r="O1321" t="s">
        <v>16</v>
      </c>
      <c r="Q1321">
        <v>1</v>
      </c>
      <c r="R1321">
        <v>0</v>
      </c>
      <c r="S1321" s="2">
        <v>8000</v>
      </c>
      <c r="T1321" s="4">
        <v>0.1115</v>
      </c>
      <c r="U1321">
        <v>5</v>
      </c>
      <c r="V1321">
        <v>0</v>
      </c>
      <c r="W1321">
        <v>1</v>
      </c>
    </row>
    <row r="1322" spans="1:23" ht="16.5" x14ac:dyDescent="0.3">
      <c r="A1322" t="s">
        <v>1380</v>
      </c>
      <c r="B1322" s="1">
        <v>45499</v>
      </c>
      <c r="C1322">
        <v>2024</v>
      </c>
      <c r="D1322" t="s">
        <v>1255</v>
      </c>
      <c r="E1322" t="s">
        <v>1256</v>
      </c>
      <c r="F1322" t="s">
        <v>26</v>
      </c>
      <c r="G1322" t="s">
        <v>51</v>
      </c>
      <c r="H1322" t="s">
        <v>38</v>
      </c>
      <c r="I1322" t="s">
        <v>29</v>
      </c>
      <c r="J1322" t="s">
        <v>46</v>
      </c>
      <c r="K1322" s="2">
        <v>1700</v>
      </c>
      <c r="L1322" s="2">
        <v>50000</v>
      </c>
      <c r="M1322">
        <v>48</v>
      </c>
      <c r="N1322" s="3">
        <v>0.86899999999999999</v>
      </c>
      <c r="O1322" t="s">
        <v>16</v>
      </c>
      <c r="Q1322">
        <v>1</v>
      </c>
      <c r="R1322">
        <v>0</v>
      </c>
      <c r="S1322" s="2">
        <v>40000</v>
      </c>
      <c r="T1322" s="4">
        <v>6.8400000000000002E-2</v>
      </c>
      <c r="U1322">
        <v>6</v>
      </c>
      <c r="V1322">
        <v>0</v>
      </c>
      <c r="W1322">
        <v>1</v>
      </c>
    </row>
    <row r="1323" spans="1:23" ht="16.5" x14ac:dyDescent="0.3">
      <c r="A1323" t="s">
        <v>1381</v>
      </c>
      <c r="B1323" s="1">
        <v>45500</v>
      </c>
      <c r="C1323">
        <v>2024</v>
      </c>
      <c r="D1323" t="s">
        <v>1255</v>
      </c>
      <c r="E1323" t="s">
        <v>1256</v>
      </c>
      <c r="F1323" t="s">
        <v>26</v>
      </c>
      <c r="G1323" t="s">
        <v>33</v>
      </c>
      <c r="H1323" t="s">
        <v>34</v>
      </c>
      <c r="I1323" t="s">
        <v>39</v>
      </c>
      <c r="J1323" t="s">
        <v>46</v>
      </c>
      <c r="K1323" s="2">
        <v>4000</v>
      </c>
      <c r="L1323" s="2">
        <v>46500</v>
      </c>
      <c r="M1323">
        <v>36</v>
      </c>
      <c r="N1323" s="3">
        <v>0.45900000000000002</v>
      </c>
      <c r="O1323" t="s">
        <v>16</v>
      </c>
      <c r="Q1323">
        <v>1</v>
      </c>
      <c r="R1323">
        <v>0</v>
      </c>
      <c r="S1323" s="2">
        <v>37000</v>
      </c>
      <c r="T1323" s="4">
        <v>6.3200000000000006E-2</v>
      </c>
      <c r="U1323">
        <v>3</v>
      </c>
      <c r="V1323">
        <v>1</v>
      </c>
      <c r="W1323">
        <v>1</v>
      </c>
    </row>
    <row r="1324" spans="1:23" ht="16.5" x14ac:dyDescent="0.3">
      <c r="A1324" t="s">
        <v>1382</v>
      </c>
      <c r="B1324" s="1">
        <v>45500</v>
      </c>
      <c r="C1324">
        <v>2024</v>
      </c>
      <c r="D1324" t="s">
        <v>1255</v>
      </c>
      <c r="E1324" t="s">
        <v>1256</v>
      </c>
      <c r="F1324" t="s">
        <v>37</v>
      </c>
      <c r="G1324" t="s">
        <v>45</v>
      </c>
      <c r="H1324" t="s">
        <v>28</v>
      </c>
      <c r="I1324" t="s">
        <v>42</v>
      </c>
      <c r="J1324" t="s">
        <v>35</v>
      </c>
      <c r="K1324" s="2">
        <v>12000</v>
      </c>
      <c r="L1324" s="2">
        <v>10000</v>
      </c>
      <c r="M1324">
        <v>12</v>
      </c>
      <c r="N1324" s="3">
        <v>0.26200000000000001</v>
      </c>
      <c r="O1324" t="s">
        <v>125</v>
      </c>
      <c r="Q1324">
        <v>0</v>
      </c>
      <c r="R1324">
        <v>0</v>
      </c>
      <c r="S1324" s="2">
        <v>0</v>
      </c>
      <c r="T1324" s="4"/>
      <c r="U1324">
        <v>2</v>
      </c>
      <c r="V1324">
        <v>1</v>
      </c>
      <c r="W1324">
        <v>1</v>
      </c>
    </row>
    <row r="1325" spans="1:23" ht="16.5" x14ac:dyDescent="0.3">
      <c r="A1325" t="s">
        <v>1383</v>
      </c>
      <c r="B1325" s="1">
        <v>45501</v>
      </c>
      <c r="C1325">
        <v>2024</v>
      </c>
      <c r="D1325" t="s">
        <v>1255</v>
      </c>
      <c r="E1325" t="s">
        <v>1256</v>
      </c>
      <c r="F1325" t="s">
        <v>26</v>
      </c>
      <c r="G1325" t="s">
        <v>33</v>
      </c>
      <c r="H1325" t="s">
        <v>38</v>
      </c>
      <c r="I1325" t="s">
        <v>39</v>
      </c>
      <c r="J1325" t="s">
        <v>46</v>
      </c>
      <c r="K1325" s="2">
        <v>5600</v>
      </c>
      <c r="L1325" s="2">
        <v>18000</v>
      </c>
      <c r="M1325">
        <v>60</v>
      </c>
      <c r="N1325" s="3">
        <v>0.25600000000000001</v>
      </c>
      <c r="O1325" t="s">
        <v>16</v>
      </c>
      <c r="Q1325">
        <v>1</v>
      </c>
      <c r="R1325">
        <v>0</v>
      </c>
      <c r="S1325" s="2">
        <v>16000</v>
      </c>
      <c r="T1325" s="4">
        <v>6.9099999999999995E-2</v>
      </c>
      <c r="U1325">
        <v>2</v>
      </c>
      <c r="V1325">
        <v>1</v>
      </c>
      <c r="W1325">
        <v>1</v>
      </c>
    </row>
    <row r="1326" spans="1:23" ht="16.5" x14ac:dyDescent="0.3">
      <c r="A1326" t="s">
        <v>1384</v>
      </c>
      <c r="B1326" s="1">
        <v>45501</v>
      </c>
      <c r="C1326">
        <v>2024</v>
      </c>
      <c r="D1326" t="s">
        <v>1255</v>
      </c>
      <c r="E1326" t="s">
        <v>1256</v>
      </c>
      <c r="F1326" t="s">
        <v>41</v>
      </c>
      <c r="G1326" t="s">
        <v>27</v>
      </c>
      <c r="H1326" t="s">
        <v>34</v>
      </c>
      <c r="I1326" t="s">
        <v>29</v>
      </c>
      <c r="J1326" t="s">
        <v>46</v>
      </c>
      <c r="K1326" s="2">
        <v>5350</v>
      </c>
      <c r="L1326" s="2">
        <v>175500</v>
      </c>
      <c r="M1326">
        <v>24</v>
      </c>
      <c r="N1326" s="3">
        <v>1.7250000000000001</v>
      </c>
      <c r="O1326" t="s">
        <v>17</v>
      </c>
      <c r="P1326" t="s">
        <v>53</v>
      </c>
      <c r="Q1326">
        <v>0</v>
      </c>
      <c r="R1326">
        <v>1</v>
      </c>
      <c r="S1326" s="2">
        <v>0</v>
      </c>
      <c r="T1326" s="4"/>
      <c r="U1326">
        <v>5</v>
      </c>
      <c r="V1326">
        <v>1</v>
      </c>
      <c r="W1326">
        <v>1</v>
      </c>
    </row>
    <row r="1327" spans="1:23" ht="16.5" x14ac:dyDescent="0.3">
      <c r="A1327" t="s">
        <v>1385</v>
      </c>
      <c r="B1327" s="1">
        <v>45501</v>
      </c>
      <c r="C1327">
        <v>2024</v>
      </c>
      <c r="D1327" t="s">
        <v>1255</v>
      </c>
      <c r="E1327" t="s">
        <v>1256</v>
      </c>
      <c r="F1327" t="s">
        <v>50</v>
      </c>
      <c r="G1327" t="s">
        <v>45</v>
      </c>
      <c r="H1327" t="s">
        <v>55</v>
      </c>
      <c r="I1327" t="s">
        <v>42</v>
      </c>
      <c r="J1327" t="s">
        <v>52</v>
      </c>
      <c r="K1327" s="2">
        <v>8000</v>
      </c>
      <c r="L1327" s="2">
        <v>114500</v>
      </c>
      <c r="M1327">
        <v>300</v>
      </c>
      <c r="N1327" s="3">
        <v>0.14699999999999999</v>
      </c>
      <c r="O1327" t="s">
        <v>17</v>
      </c>
      <c r="P1327" t="s">
        <v>48</v>
      </c>
      <c r="Q1327">
        <v>0</v>
      </c>
      <c r="R1327">
        <v>1</v>
      </c>
      <c r="S1327" s="2">
        <v>0</v>
      </c>
      <c r="T1327" s="4"/>
      <c r="U1327">
        <v>8</v>
      </c>
      <c r="V1327">
        <v>1</v>
      </c>
      <c r="W1327">
        <v>1</v>
      </c>
    </row>
    <row r="1328" spans="1:23" ht="16.5" x14ac:dyDescent="0.3">
      <c r="A1328" t="s">
        <v>1386</v>
      </c>
      <c r="B1328" s="1">
        <v>45501</v>
      </c>
      <c r="C1328">
        <v>2024</v>
      </c>
      <c r="D1328" t="s">
        <v>1255</v>
      </c>
      <c r="E1328" t="s">
        <v>1256</v>
      </c>
      <c r="F1328" t="s">
        <v>26</v>
      </c>
      <c r="G1328" t="s">
        <v>45</v>
      </c>
      <c r="H1328" t="s">
        <v>64</v>
      </c>
      <c r="I1328" t="s">
        <v>39</v>
      </c>
      <c r="J1328" t="s">
        <v>46</v>
      </c>
      <c r="K1328" s="2">
        <v>4650</v>
      </c>
      <c r="L1328" s="2">
        <v>33500</v>
      </c>
      <c r="M1328">
        <v>48</v>
      </c>
      <c r="N1328" s="3">
        <v>0.32800000000000001</v>
      </c>
      <c r="O1328" t="s">
        <v>16</v>
      </c>
      <c r="Q1328">
        <v>1</v>
      </c>
      <c r="R1328">
        <v>0</v>
      </c>
      <c r="S1328" s="2">
        <v>33500</v>
      </c>
      <c r="T1328" s="4">
        <v>7.4099999999999999E-2</v>
      </c>
      <c r="U1328">
        <v>2</v>
      </c>
      <c r="V1328">
        <v>1</v>
      </c>
      <c r="W1328">
        <v>1</v>
      </c>
    </row>
    <row r="1329" spans="1:23" ht="16.5" x14ac:dyDescent="0.3">
      <c r="A1329" t="s">
        <v>1387</v>
      </c>
      <c r="B1329" s="1">
        <v>45501</v>
      </c>
      <c r="C1329">
        <v>2024</v>
      </c>
      <c r="D1329" t="s">
        <v>1255</v>
      </c>
      <c r="E1329" t="s">
        <v>1256</v>
      </c>
      <c r="F1329" t="s">
        <v>37</v>
      </c>
      <c r="G1329" t="s">
        <v>45</v>
      </c>
      <c r="H1329" t="s">
        <v>34</v>
      </c>
      <c r="I1329" t="s">
        <v>39</v>
      </c>
      <c r="J1329" t="s">
        <v>35</v>
      </c>
      <c r="K1329" s="2">
        <v>12650</v>
      </c>
      <c r="L1329" s="2">
        <v>14000</v>
      </c>
      <c r="M1329">
        <v>36</v>
      </c>
      <c r="N1329" s="3">
        <v>0.151</v>
      </c>
      <c r="O1329" t="s">
        <v>16</v>
      </c>
      <c r="Q1329">
        <v>1</v>
      </c>
      <c r="R1329">
        <v>0</v>
      </c>
      <c r="S1329" s="2">
        <v>14000</v>
      </c>
      <c r="T1329" s="4">
        <v>0.1239</v>
      </c>
      <c r="U1329">
        <v>2</v>
      </c>
      <c r="V1329">
        <v>1</v>
      </c>
      <c r="W1329">
        <v>1</v>
      </c>
    </row>
    <row r="1330" spans="1:23" ht="16.5" x14ac:dyDescent="0.3">
      <c r="A1330" t="s">
        <v>1388</v>
      </c>
      <c r="B1330" s="1">
        <v>45501</v>
      </c>
      <c r="C1330">
        <v>2024</v>
      </c>
      <c r="D1330" t="s">
        <v>1255</v>
      </c>
      <c r="E1330" t="s">
        <v>1256</v>
      </c>
      <c r="F1330" t="s">
        <v>50</v>
      </c>
      <c r="G1330" t="s">
        <v>51</v>
      </c>
      <c r="H1330" t="s">
        <v>38</v>
      </c>
      <c r="I1330" t="s">
        <v>29</v>
      </c>
      <c r="J1330" t="s">
        <v>35</v>
      </c>
      <c r="K1330" s="2">
        <v>6900</v>
      </c>
      <c r="L1330" s="2">
        <v>346000</v>
      </c>
      <c r="M1330">
        <v>180</v>
      </c>
      <c r="N1330" s="3">
        <v>0.53300000000000003</v>
      </c>
      <c r="O1330" t="s">
        <v>16</v>
      </c>
      <c r="Q1330">
        <v>1</v>
      </c>
      <c r="R1330">
        <v>0</v>
      </c>
      <c r="S1330" s="2">
        <v>311500</v>
      </c>
      <c r="T1330" s="4">
        <v>5.33E-2</v>
      </c>
      <c r="U1330">
        <v>40</v>
      </c>
      <c r="V1330">
        <v>0</v>
      </c>
      <c r="W1330">
        <v>1</v>
      </c>
    </row>
    <row r="1331" spans="1:23" ht="16.5" x14ac:dyDescent="0.3">
      <c r="A1331" t="s">
        <v>1389</v>
      </c>
      <c r="B1331" s="1">
        <v>45502</v>
      </c>
      <c r="C1331">
        <v>2024</v>
      </c>
      <c r="D1331" t="s">
        <v>1255</v>
      </c>
      <c r="E1331" t="s">
        <v>1256</v>
      </c>
      <c r="F1331" t="s">
        <v>26</v>
      </c>
      <c r="G1331" t="s">
        <v>51</v>
      </c>
      <c r="H1331" t="s">
        <v>38</v>
      </c>
      <c r="I1331" t="s">
        <v>39</v>
      </c>
      <c r="J1331" t="s">
        <v>35</v>
      </c>
      <c r="K1331" s="2">
        <v>10000</v>
      </c>
      <c r="L1331" s="2">
        <v>21500</v>
      </c>
      <c r="M1331">
        <v>36</v>
      </c>
      <c r="N1331" s="3">
        <v>0.14699999999999999</v>
      </c>
      <c r="O1331" t="s">
        <v>17</v>
      </c>
      <c r="P1331" t="s">
        <v>60</v>
      </c>
      <c r="Q1331">
        <v>0</v>
      </c>
      <c r="R1331">
        <v>1</v>
      </c>
      <c r="S1331" s="2">
        <v>0</v>
      </c>
      <c r="T1331" s="4"/>
      <c r="U1331">
        <v>16</v>
      </c>
      <c r="V1331">
        <v>0</v>
      </c>
      <c r="W1331">
        <v>1</v>
      </c>
    </row>
    <row r="1332" spans="1:23" ht="16.5" x14ac:dyDescent="0.3">
      <c r="A1332" t="s">
        <v>1390</v>
      </c>
      <c r="B1332" s="1">
        <v>45502</v>
      </c>
      <c r="C1332">
        <v>2024</v>
      </c>
      <c r="D1332" t="s">
        <v>1255</v>
      </c>
      <c r="E1332" t="s">
        <v>1256</v>
      </c>
      <c r="F1332" t="s">
        <v>37</v>
      </c>
      <c r="G1332" t="s">
        <v>51</v>
      </c>
      <c r="H1332" t="s">
        <v>55</v>
      </c>
      <c r="I1332" t="s">
        <v>29</v>
      </c>
      <c r="J1332" t="s">
        <v>35</v>
      </c>
      <c r="K1332" s="2">
        <v>4650</v>
      </c>
      <c r="L1332" s="2">
        <v>12500</v>
      </c>
      <c r="M1332">
        <v>48</v>
      </c>
      <c r="N1332" s="3">
        <v>0.124</v>
      </c>
      <c r="O1332" t="s">
        <v>16</v>
      </c>
      <c r="Q1332">
        <v>1</v>
      </c>
      <c r="R1332">
        <v>0</v>
      </c>
      <c r="S1332" s="2">
        <v>12500</v>
      </c>
      <c r="T1332" s="4">
        <v>0.12379999999999999</v>
      </c>
      <c r="U1332">
        <v>9</v>
      </c>
      <c r="V1332">
        <v>0</v>
      </c>
      <c r="W1332">
        <v>1</v>
      </c>
    </row>
    <row r="1333" spans="1:23" ht="16.5" x14ac:dyDescent="0.3">
      <c r="A1333" t="s">
        <v>1391</v>
      </c>
      <c r="B1333" s="1">
        <v>45502</v>
      </c>
      <c r="C1333">
        <v>2024</v>
      </c>
      <c r="D1333" t="s">
        <v>1255</v>
      </c>
      <c r="E1333" t="s">
        <v>1256</v>
      </c>
      <c r="F1333" t="s">
        <v>41</v>
      </c>
      <c r="G1333" t="s">
        <v>33</v>
      </c>
      <c r="H1333" t="s">
        <v>34</v>
      </c>
      <c r="I1333" t="s">
        <v>39</v>
      </c>
      <c r="J1333" t="s">
        <v>35</v>
      </c>
      <c r="K1333" s="2">
        <v>5150</v>
      </c>
      <c r="L1333" s="2">
        <v>83500</v>
      </c>
      <c r="M1333">
        <v>24</v>
      </c>
      <c r="N1333" s="3">
        <v>0.82699999999999996</v>
      </c>
      <c r="O1333" t="s">
        <v>17</v>
      </c>
      <c r="P1333" t="s">
        <v>60</v>
      </c>
      <c r="Q1333">
        <v>0</v>
      </c>
      <c r="R1333">
        <v>1</v>
      </c>
      <c r="S1333" s="2">
        <v>0</v>
      </c>
      <c r="T1333" s="4"/>
      <c r="U1333">
        <v>9</v>
      </c>
      <c r="V1333">
        <v>1</v>
      </c>
      <c r="W1333">
        <v>1</v>
      </c>
    </row>
    <row r="1334" spans="1:23" ht="16.5" x14ac:dyDescent="0.3">
      <c r="A1334" t="s">
        <v>1392</v>
      </c>
      <c r="B1334" s="1">
        <v>45502</v>
      </c>
      <c r="C1334">
        <v>2024</v>
      </c>
      <c r="D1334" t="s">
        <v>1255</v>
      </c>
      <c r="E1334" t="s">
        <v>1256</v>
      </c>
      <c r="F1334" t="s">
        <v>37</v>
      </c>
      <c r="G1334" t="s">
        <v>45</v>
      </c>
      <c r="H1334" t="s">
        <v>38</v>
      </c>
      <c r="I1334" t="s">
        <v>39</v>
      </c>
      <c r="J1334" t="s">
        <v>35</v>
      </c>
      <c r="K1334" s="2">
        <v>5050</v>
      </c>
      <c r="L1334" s="2">
        <v>16500</v>
      </c>
      <c r="M1334">
        <v>24</v>
      </c>
      <c r="N1334" s="3">
        <v>0.27300000000000002</v>
      </c>
      <c r="O1334" t="s">
        <v>16</v>
      </c>
      <c r="Q1334">
        <v>1</v>
      </c>
      <c r="R1334">
        <v>0</v>
      </c>
      <c r="S1334" s="2">
        <v>13000</v>
      </c>
      <c r="T1334" s="4">
        <v>0.13039999999999999</v>
      </c>
      <c r="U1334">
        <v>2</v>
      </c>
      <c r="V1334">
        <v>1</v>
      </c>
      <c r="W1334">
        <v>1</v>
      </c>
    </row>
    <row r="1335" spans="1:23" ht="16.5" x14ac:dyDescent="0.3">
      <c r="A1335" t="s">
        <v>1393</v>
      </c>
      <c r="B1335" s="1">
        <v>45503</v>
      </c>
      <c r="C1335">
        <v>2024</v>
      </c>
      <c r="D1335" t="s">
        <v>1255</v>
      </c>
      <c r="E1335" t="s">
        <v>1256</v>
      </c>
      <c r="F1335" t="s">
        <v>37</v>
      </c>
      <c r="G1335" t="s">
        <v>51</v>
      </c>
      <c r="H1335" t="s">
        <v>28</v>
      </c>
      <c r="I1335" t="s">
        <v>29</v>
      </c>
      <c r="J1335" t="s">
        <v>35</v>
      </c>
      <c r="K1335" s="2">
        <v>4500</v>
      </c>
      <c r="L1335" s="2">
        <v>7500</v>
      </c>
      <c r="M1335">
        <v>60</v>
      </c>
      <c r="N1335" s="3">
        <v>0.192</v>
      </c>
      <c r="O1335" t="s">
        <v>16</v>
      </c>
      <c r="Q1335">
        <v>1</v>
      </c>
      <c r="R1335">
        <v>0</v>
      </c>
      <c r="S1335" s="2">
        <v>6000</v>
      </c>
      <c r="T1335" s="4">
        <v>0.12570000000000001</v>
      </c>
      <c r="U1335">
        <v>8</v>
      </c>
      <c r="V1335">
        <v>0</v>
      </c>
      <c r="W1335">
        <v>1</v>
      </c>
    </row>
    <row r="1336" spans="1:23" ht="16.5" x14ac:dyDescent="0.3">
      <c r="A1336" t="s">
        <v>1394</v>
      </c>
      <c r="B1336" s="1">
        <v>45503</v>
      </c>
      <c r="C1336">
        <v>2024</v>
      </c>
      <c r="D1336" t="s">
        <v>1255</v>
      </c>
      <c r="E1336" t="s">
        <v>1256</v>
      </c>
      <c r="F1336" t="s">
        <v>26</v>
      </c>
      <c r="G1336" t="s">
        <v>33</v>
      </c>
      <c r="H1336" t="s">
        <v>64</v>
      </c>
      <c r="I1336" t="s">
        <v>39</v>
      </c>
      <c r="J1336" t="s">
        <v>30</v>
      </c>
      <c r="K1336" s="2">
        <v>14450</v>
      </c>
      <c r="L1336" s="2">
        <v>33500</v>
      </c>
      <c r="M1336">
        <v>60</v>
      </c>
      <c r="N1336" s="3">
        <v>0.16400000000000001</v>
      </c>
      <c r="O1336" t="s">
        <v>16</v>
      </c>
      <c r="Q1336">
        <v>1</v>
      </c>
      <c r="R1336">
        <v>0</v>
      </c>
      <c r="S1336" s="2">
        <v>33500</v>
      </c>
      <c r="T1336" s="4">
        <v>9.8199999999999996E-2</v>
      </c>
      <c r="U1336">
        <v>3</v>
      </c>
      <c r="V1336">
        <v>1</v>
      </c>
      <c r="W1336">
        <v>1</v>
      </c>
    </row>
    <row r="1337" spans="1:23" ht="16.5" x14ac:dyDescent="0.3">
      <c r="A1337" t="s">
        <v>1395</v>
      </c>
      <c r="B1337" s="1">
        <v>45503</v>
      </c>
      <c r="C1337">
        <v>2024</v>
      </c>
      <c r="D1337" t="s">
        <v>1255</v>
      </c>
      <c r="E1337" t="s">
        <v>1256</v>
      </c>
      <c r="F1337" t="s">
        <v>37</v>
      </c>
      <c r="G1337" t="s">
        <v>33</v>
      </c>
      <c r="H1337" t="s">
        <v>64</v>
      </c>
      <c r="I1337" t="s">
        <v>42</v>
      </c>
      <c r="J1337" t="s">
        <v>46</v>
      </c>
      <c r="K1337" s="2">
        <v>9150</v>
      </c>
      <c r="L1337" s="2">
        <v>12500</v>
      </c>
      <c r="M1337">
        <v>36</v>
      </c>
      <c r="N1337" s="3">
        <v>9.7000000000000003E-2</v>
      </c>
      <c r="O1337" t="s">
        <v>16</v>
      </c>
      <c r="Q1337">
        <v>1</v>
      </c>
      <c r="R1337">
        <v>0</v>
      </c>
      <c r="S1337" s="2">
        <v>10000</v>
      </c>
      <c r="T1337" s="4">
        <v>0.1123</v>
      </c>
      <c r="U1337">
        <v>1</v>
      </c>
      <c r="V1337">
        <v>1</v>
      </c>
      <c r="W1337">
        <v>1</v>
      </c>
    </row>
    <row r="1338" spans="1:23" ht="16.5" x14ac:dyDescent="0.3">
      <c r="A1338" t="s">
        <v>1396</v>
      </c>
      <c r="B1338" s="1">
        <v>45503</v>
      </c>
      <c r="C1338">
        <v>2024</v>
      </c>
      <c r="D1338" t="s">
        <v>1255</v>
      </c>
      <c r="E1338" t="s">
        <v>1256</v>
      </c>
      <c r="F1338" t="s">
        <v>26</v>
      </c>
      <c r="G1338" t="s">
        <v>51</v>
      </c>
      <c r="H1338" t="s">
        <v>55</v>
      </c>
      <c r="I1338" t="s">
        <v>42</v>
      </c>
      <c r="J1338" t="s">
        <v>35</v>
      </c>
      <c r="K1338" s="2">
        <v>8550</v>
      </c>
      <c r="L1338" s="2">
        <v>22000</v>
      </c>
      <c r="M1338">
        <v>60</v>
      </c>
      <c r="N1338" s="3">
        <v>0.245</v>
      </c>
      <c r="O1338" t="s">
        <v>17</v>
      </c>
      <c r="P1338" t="s">
        <v>48</v>
      </c>
      <c r="Q1338">
        <v>0</v>
      </c>
      <c r="R1338">
        <v>1</v>
      </c>
      <c r="S1338" s="2">
        <v>0</v>
      </c>
      <c r="T1338" s="4"/>
      <c r="U1338">
        <v>12</v>
      </c>
      <c r="V1338">
        <v>0</v>
      </c>
      <c r="W1338">
        <v>1</v>
      </c>
    </row>
    <row r="1339" spans="1:23" ht="16.5" x14ac:dyDescent="0.3">
      <c r="A1339" t="s">
        <v>1397</v>
      </c>
      <c r="B1339" s="1">
        <v>45503</v>
      </c>
      <c r="C1339">
        <v>2024</v>
      </c>
      <c r="D1339" t="s">
        <v>1255</v>
      </c>
      <c r="E1339" t="s">
        <v>1256</v>
      </c>
      <c r="F1339" t="s">
        <v>37</v>
      </c>
      <c r="G1339" t="s">
        <v>51</v>
      </c>
      <c r="H1339" t="s">
        <v>38</v>
      </c>
      <c r="I1339" t="s">
        <v>42</v>
      </c>
      <c r="J1339" t="s">
        <v>35</v>
      </c>
      <c r="K1339" s="2">
        <v>5350</v>
      </c>
      <c r="L1339" s="2">
        <v>21000</v>
      </c>
      <c r="M1339">
        <v>24</v>
      </c>
      <c r="N1339" s="3">
        <v>0.38700000000000001</v>
      </c>
      <c r="O1339" t="s">
        <v>17</v>
      </c>
      <c r="P1339" t="s">
        <v>31</v>
      </c>
      <c r="Q1339">
        <v>0</v>
      </c>
      <c r="R1339">
        <v>1</v>
      </c>
      <c r="S1339" s="2">
        <v>0</v>
      </c>
      <c r="T1339" s="4"/>
      <c r="U1339">
        <v>5</v>
      </c>
      <c r="V1339">
        <v>0</v>
      </c>
      <c r="W1339">
        <v>1</v>
      </c>
    </row>
    <row r="1340" spans="1:23" ht="16.5" x14ac:dyDescent="0.3">
      <c r="A1340" t="s">
        <v>1398</v>
      </c>
      <c r="B1340" s="1">
        <v>45503</v>
      </c>
      <c r="C1340">
        <v>2024</v>
      </c>
      <c r="D1340" t="s">
        <v>1255</v>
      </c>
      <c r="E1340" t="s">
        <v>1256</v>
      </c>
      <c r="F1340" t="s">
        <v>37</v>
      </c>
      <c r="G1340" t="s">
        <v>51</v>
      </c>
      <c r="H1340" t="s">
        <v>34</v>
      </c>
      <c r="I1340" t="s">
        <v>39</v>
      </c>
      <c r="J1340" t="s">
        <v>52</v>
      </c>
      <c r="K1340" s="2">
        <v>6550</v>
      </c>
      <c r="L1340" s="2">
        <v>25500</v>
      </c>
      <c r="M1340">
        <v>36</v>
      </c>
      <c r="N1340" s="3">
        <v>0.251</v>
      </c>
      <c r="O1340" t="s">
        <v>16</v>
      </c>
      <c r="Q1340">
        <v>1</v>
      </c>
      <c r="R1340">
        <v>0</v>
      </c>
      <c r="S1340" s="2">
        <v>25500</v>
      </c>
      <c r="T1340" s="4">
        <v>0.11550000000000001</v>
      </c>
      <c r="U1340">
        <v>7</v>
      </c>
      <c r="V1340">
        <v>0</v>
      </c>
      <c r="W1340">
        <v>1</v>
      </c>
    </row>
    <row r="1341" spans="1:23" ht="16.5" x14ac:dyDescent="0.3">
      <c r="A1341" t="s">
        <v>1399</v>
      </c>
      <c r="B1341" s="1">
        <v>45503</v>
      </c>
      <c r="C1341">
        <v>2024</v>
      </c>
      <c r="D1341" t="s">
        <v>1255</v>
      </c>
      <c r="E1341" t="s">
        <v>1256</v>
      </c>
      <c r="F1341" t="s">
        <v>26</v>
      </c>
      <c r="G1341" t="s">
        <v>45</v>
      </c>
      <c r="H1341" t="s">
        <v>55</v>
      </c>
      <c r="I1341" t="s">
        <v>29</v>
      </c>
      <c r="J1341" t="s">
        <v>43</v>
      </c>
      <c r="K1341" s="2">
        <v>5550</v>
      </c>
      <c r="L1341" s="2">
        <v>30000</v>
      </c>
      <c r="M1341">
        <v>48</v>
      </c>
      <c r="N1341" s="3">
        <v>0.36199999999999999</v>
      </c>
      <c r="O1341" t="s">
        <v>16</v>
      </c>
      <c r="Q1341">
        <v>1</v>
      </c>
      <c r="R1341">
        <v>0</v>
      </c>
      <c r="S1341" s="2">
        <v>30000</v>
      </c>
      <c r="T1341" s="4">
        <v>0.11509999999999999</v>
      </c>
      <c r="U1341">
        <v>3</v>
      </c>
      <c r="V1341">
        <v>1</v>
      </c>
      <c r="W1341">
        <v>1</v>
      </c>
    </row>
    <row r="1342" spans="1:23" ht="16.5" x14ac:dyDescent="0.3">
      <c r="A1342" t="s">
        <v>1400</v>
      </c>
      <c r="B1342" s="1">
        <v>45503</v>
      </c>
      <c r="C1342">
        <v>2024</v>
      </c>
      <c r="D1342" t="s">
        <v>1255</v>
      </c>
      <c r="E1342" t="s">
        <v>1256</v>
      </c>
      <c r="F1342" t="s">
        <v>26</v>
      </c>
      <c r="G1342" t="s">
        <v>51</v>
      </c>
      <c r="H1342" t="s">
        <v>64</v>
      </c>
      <c r="I1342" t="s">
        <v>39</v>
      </c>
      <c r="J1342" t="s">
        <v>46</v>
      </c>
      <c r="K1342" s="2">
        <v>5600</v>
      </c>
      <c r="L1342" s="2">
        <v>26000</v>
      </c>
      <c r="M1342">
        <v>36</v>
      </c>
      <c r="N1342" s="3">
        <v>0.27400000000000002</v>
      </c>
      <c r="O1342" t="s">
        <v>16</v>
      </c>
      <c r="Q1342">
        <v>1</v>
      </c>
      <c r="R1342">
        <v>0</v>
      </c>
      <c r="S1342" s="2">
        <v>26000</v>
      </c>
      <c r="T1342" s="4">
        <v>6.8400000000000002E-2</v>
      </c>
      <c r="U1342">
        <v>7</v>
      </c>
      <c r="V1342">
        <v>0</v>
      </c>
      <c r="W1342">
        <v>1</v>
      </c>
    </row>
    <row r="1343" spans="1:23" ht="16.5" x14ac:dyDescent="0.3">
      <c r="A1343" t="s">
        <v>1401</v>
      </c>
      <c r="B1343" s="1">
        <v>45503</v>
      </c>
      <c r="C1343">
        <v>2024</v>
      </c>
      <c r="D1343" t="s">
        <v>1255</v>
      </c>
      <c r="E1343" t="s">
        <v>1256</v>
      </c>
      <c r="F1343" t="s">
        <v>26</v>
      </c>
      <c r="G1343" t="s">
        <v>45</v>
      </c>
      <c r="H1343" t="s">
        <v>38</v>
      </c>
      <c r="I1343" t="s">
        <v>29</v>
      </c>
      <c r="J1343" t="s">
        <v>52</v>
      </c>
      <c r="K1343" s="2">
        <v>2200</v>
      </c>
      <c r="L1343" s="2">
        <v>18000</v>
      </c>
      <c r="M1343">
        <v>36</v>
      </c>
      <c r="N1343" s="3">
        <v>0.46100000000000002</v>
      </c>
      <c r="O1343" t="s">
        <v>16</v>
      </c>
      <c r="Q1343">
        <v>1</v>
      </c>
      <c r="R1343">
        <v>0</v>
      </c>
      <c r="S1343" s="2">
        <v>16000</v>
      </c>
      <c r="T1343" s="4">
        <v>7.2800000000000004E-2</v>
      </c>
      <c r="U1343">
        <v>3</v>
      </c>
      <c r="V1343">
        <v>1</v>
      </c>
      <c r="W1343">
        <v>1</v>
      </c>
    </row>
    <row r="1344" spans="1:23" ht="16.5" x14ac:dyDescent="0.3">
      <c r="A1344" t="s">
        <v>1402</v>
      </c>
      <c r="B1344" s="1">
        <v>45504</v>
      </c>
      <c r="C1344">
        <v>2024</v>
      </c>
      <c r="D1344" t="s">
        <v>1255</v>
      </c>
      <c r="E1344" t="s">
        <v>1256</v>
      </c>
      <c r="F1344" t="s">
        <v>37</v>
      </c>
      <c r="G1344" t="s">
        <v>27</v>
      </c>
      <c r="H1344" t="s">
        <v>55</v>
      </c>
      <c r="I1344" t="s">
        <v>42</v>
      </c>
      <c r="J1344" t="s">
        <v>30</v>
      </c>
      <c r="K1344" s="2">
        <v>3200</v>
      </c>
      <c r="L1344" s="2">
        <v>7000</v>
      </c>
      <c r="M1344">
        <v>36</v>
      </c>
      <c r="N1344" s="3">
        <v>0.23100000000000001</v>
      </c>
      <c r="O1344" t="s">
        <v>16</v>
      </c>
      <c r="Q1344">
        <v>1</v>
      </c>
      <c r="R1344">
        <v>0</v>
      </c>
      <c r="S1344" s="2">
        <v>5500</v>
      </c>
      <c r="T1344" s="4">
        <v>0.13539999999999999</v>
      </c>
      <c r="U1344">
        <v>3</v>
      </c>
      <c r="V1344">
        <v>1</v>
      </c>
      <c r="W1344">
        <v>1</v>
      </c>
    </row>
    <row r="1345" spans="1:23" ht="16.5" x14ac:dyDescent="0.3">
      <c r="A1345" t="s">
        <v>1403</v>
      </c>
      <c r="B1345" s="1">
        <v>45504</v>
      </c>
      <c r="C1345">
        <v>2024</v>
      </c>
      <c r="D1345" t="s">
        <v>1255</v>
      </c>
      <c r="E1345" t="s">
        <v>1256</v>
      </c>
      <c r="F1345" t="s">
        <v>37</v>
      </c>
      <c r="G1345" t="s">
        <v>51</v>
      </c>
      <c r="H1345" t="s">
        <v>64</v>
      </c>
      <c r="I1345" t="s">
        <v>29</v>
      </c>
      <c r="J1345" t="s">
        <v>30</v>
      </c>
      <c r="K1345" s="2">
        <v>5800</v>
      </c>
      <c r="L1345" s="2">
        <v>9500</v>
      </c>
      <c r="M1345">
        <v>12</v>
      </c>
      <c r="N1345" s="3">
        <v>0.20100000000000001</v>
      </c>
      <c r="O1345" t="s">
        <v>17</v>
      </c>
      <c r="P1345" t="s">
        <v>31</v>
      </c>
      <c r="Q1345">
        <v>0</v>
      </c>
      <c r="R1345">
        <v>1</v>
      </c>
      <c r="S1345" s="2">
        <v>0</v>
      </c>
      <c r="T1345" s="4"/>
      <c r="U1345">
        <v>3</v>
      </c>
      <c r="V1345">
        <v>1</v>
      </c>
      <c r="W1345">
        <v>1</v>
      </c>
    </row>
    <row r="1346" spans="1:23" ht="16.5" x14ac:dyDescent="0.3">
      <c r="A1346" t="s">
        <v>1404</v>
      </c>
      <c r="B1346" s="1">
        <v>45504</v>
      </c>
      <c r="C1346">
        <v>2024</v>
      </c>
      <c r="D1346" t="s">
        <v>1255</v>
      </c>
      <c r="E1346" t="s">
        <v>1256</v>
      </c>
      <c r="F1346" t="s">
        <v>26</v>
      </c>
      <c r="G1346" t="s">
        <v>45</v>
      </c>
      <c r="H1346" t="s">
        <v>55</v>
      </c>
      <c r="I1346" t="s">
        <v>29</v>
      </c>
      <c r="J1346" t="s">
        <v>35</v>
      </c>
      <c r="K1346" s="2">
        <v>6400</v>
      </c>
      <c r="L1346" s="2">
        <v>32000</v>
      </c>
      <c r="M1346">
        <v>36</v>
      </c>
      <c r="N1346" s="3">
        <v>0.27</v>
      </c>
      <c r="O1346" t="s">
        <v>17</v>
      </c>
      <c r="P1346" t="s">
        <v>31</v>
      </c>
      <c r="Q1346">
        <v>0</v>
      </c>
      <c r="R1346">
        <v>1</v>
      </c>
      <c r="S1346" s="2">
        <v>0</v>
      </c>
      <c r="T1346" s="4"/>
      <c r="U1346">
        <v>3</v>
      </c>
      <c r="V1346">
        <v>1</v>
      </c>
      <c r="W1346">
        <v>1</v>
      </c>
    </row>
    <row r="1347" spans="1:23" ht="16.5" x14ac:dyDescent="0.3">
      <c r="A1347" t="s">
        <v>1405</v>
      </c>
      <c r="B1347" s="1">
        <v>45504</v>
      </c>
      <c r="C1347">
        <v>2024</v>
      </c>
      <c r="D1347" t="s">
        <v>1255</v>
      </c>
      <c r="E1347" t="s">
        <v>1256</v>
      </c>
      <c r="F1347" t="s">
        <v>41</v>
      </c>
      <c r="G1347" t="s">
        <v>45</v>
      </c>
      <c r="H1347" t="s">
        <v>34</v>
      </c>
      <c r="I1347" t="s">
        <v>42</v>
      </c>
      <c r="J1347" t="s">
        <v>30</v>
      </c>
      <c r="K1347" s="2">
        <v>5300</v>
      </c>
      <c r="L1347" s="2">
        <v>116500</v>
      </c>
      <c r="M1347">
        <v>24</v>
      </c>
      <c r="N1347" s="3">
        <v>1.105</v>
      </c>
      <c r="O1347" t="s">
        <v>17</v>
      </c>
      <c r="P1347" t="s">
        <v>31</v>
      </c>
      <c r="Q1347">
        <v>0</v>
      </c>
      <c r="R1347">
        <v>1</v>
      </c>
      <c r="S1347" s="2">
        <v>0</v>
      </c>
      <c r="T1347" s="4"/>
      <c r="U1347">
        <v>10</v>
      </c>
      <c r="V1347">
        <v>1</v>
      </c>
      <c r="W1347">
        <v>1</v>
      </c>
    </row>
    <row r="1348" spans="1:23" ht="16.5" x14ac:dyDescent="0.3">
      <c r="A1348" t="s">
        <v>1406</v>
      </c>
      <c r="B1348" s="1">
        <v>45504</v>
      </c>
      <c r="C1348">
        <v>2024</v>
      </c>
      <c r="D1348" t="s">
        <v>1255</v>
      </c>
      <c r="E1348" t="s">
        <v>1256</v>
      </c>
      <c r="F1348" t="s">
        <v>37</v>
      </c>
      <c r="G1348" t="s">
        <v>51</v>
      </c>
      <c r="H1348" t="s">
        <v>38</v>
      </c>
      <c r="I1348" t="s">
        <v>39</v>
      </c>
      <c r="J1348" t="s">
        <v>52</v>
      </c>
      <c r="K1348" s="2">
        <v>8400</v>
      </c>
      <c r="L1348" s="2">
        <v>13500</v>
      </c>
      <c r="M1348">
        <v>48</v>
      </c>
      <c r="N1348" s="3">
        <v>0.21199999999999999</v>
      </c>
      <c r="O1348" t="s">
        <v>16</v>
      </c>
      <c r="Q1348">
        <v>1</v>
      </c>
      <c r="R1348">
        <v>0</v>
      </c>
      <c r="S1348" s="2">
        <v>12000</v>
      </c>
      <c r="T1348" s="4">
        <v>0.11609999999999999</v>
      </c>
      <c r="U1348">
        <v>4</v>
      </c>
      <c r="V1348">
        <v>0</v>
      </c>
      <c r="W1348">
        <v>1</v>
      </c>
    </row>
    <row r="1349" spans="1:23" ht="16.5" x14ac:dyDescent="0.3">
      <c r="A1349" t="s">
        <v>1407</v>
      </c>
      <c r="B1349" s="1">
        <v>45504</v>
      </c>
      <c r="C1349">
        <v>2024</v>
      </c>
      <c r="D1349" t="s">
        <v>1255</v>
      </c>
      <c r="E1349" t="s">
        <v>1256</v>
      </c>
      <c r="F1349" t="s">
        <v>37</v>
      </c>
      <c r="G1349" t="s">
        <v>51</v>
      </c>
      <c r="H1349" t="s">
        <v>55</v>
      </c>
      <c r="I1349" t="s">
        <v>29</v>
      </c>
      <c r="J1349" t="s">
        <v>52</v>
      </c>
      <c r="K1349" s="2">
        <v>7100</v>
      </c>
      <c r="L1349" s="2">
        <v>6500</v>
      </c>
      <c r="M1349">
        <v>24</v>
      </c>
      <c r="N1349" s="3">
        <v>0.27</v>
      </c>
      <c r="O1349" t="s">
        <v>16</v>
      </c>
      <c r="Q1349">
        <v>1</v>
      </c>
      <c r="R1349">
        <v>0</v>
      </c>
      <c r="S1349" s="2">
        <v>6000</v>
      </c>
      <c r="T1349" s="4">
        <v>0.1179</v>
      </c>
      <c r="U1349">
        <v>4</v>
      </c>
      <c r="V1349">
        <v>0</v>
      </c>
      <c r="W1349">
        <v>1</v>
      </c>
    </row>
    <row r="1350" spans="1:23" ht="16.5" x14ac:dyDescent="0.3">
      <c r="A1350" t="s">
        <v>1408</v>
      </c>
      <c r="B1350" s="1">
        <v>45504</v>
      </c>
      <c r="C1350">
        <v>2024</v>
      </c>
      <c r="D1350" t="s">
        <v>1255</v>
      </c>
      <c r="E1350" t="s">
        <v>1256</v>
      </c>
      <c r="F1350" t="s">
        <v>41</v>
      </c>
      <c r="G1350" t="s">
        <v>51</v>
      </c>
      <c r="H1350" t="s">
        <v>38</v>
      </c>
      <c r="I1350" t="s">
        <v>29</v>
      </c>
      <c r="J1350" t="s">
        <v>35</v>
      </c>
      <c r="K1350" s="2">
        <v>5850</v>
      </c>
      <c r="L1350" s="2">
        <v>77500</v>
      </c>
      <c r="M1350">
        <v>60</v>
      </c>
      <c r="N1350" s="3">
        <v>0.35899999999999999</v>
      </c>
      <c r="O1350" t="s">
        <v>16</v>
      </c>
      <c r="Q1350">
        <v>1</v>
      </c>
      <c r="R1350">
        <v>0</v>
      </c>
      <c r="S1350" s="2">
        <v>77500</v>
      </c>
      <c r="T1350" s="4">
        <v>0.1114</v>
      </c>
      <c r="U1350">
        <v>17</v>
      </c>
      <c r="V1350">
        <v>0</v>
      </c>
      <c r="W1350">
        <v>1</v>
      </c>
    </row>
    <row r="1351" spans="1:23" ht="16.5" x14ac:dyDescent="0.3">
      <c r="A1351" t="s">
        <v>1409</v>
      </c>
      <c r="B1351" s="1">
        <v>45504</v>
      </c>
      <c r="C1351">
        <v>2024</v>
      </c>
      <c r="D1351" t="s">
        <v>1255</v>
      </c>
      <c r="E1351" t="s">
        <v>1256</v>
      </c>
      <c r="F1351" t="s">
        <v>37</v>
      </c>
      <c r="G1351" t="s">
        <v>51</v>
      </c>
      <c r="H1351" t="s">
        <v>64</v>
      </c>
      <c r="I1351" t="s">
        <v>39</v>
      </c>
      <c r="J1351" t="s">
        <v>35</v>
      </c>
      <c r="K1351" s="2">
        <v>12550</v>
      </c>
      <c r="L1351" s="2">
        <v>10500</v>
      </c>
      <c r="M1351">
        <v>60</v>
      </c>
      <c r="N1351" s="3">
        <v>0.20499999999999999</v>
      </c>
      <c r="O1351" t="s">
        <v>16</v>
      </c>
      <c r="Q1351">
        <v>1</v>
      </c>
      <c r="R1351">
        <v>0</v>
      </c>
      <c r="S1351" s="2">
        <v>9500</v>
      </c>
      <c r="T1351" s="4">
        <v>0.126</v>
      </c>
      <c r="U1351">
        <v>3</v>
      </c>
      <c r="V1351">
        <v>1</v>
      </c>
      <c r="W1351">
        <v>1</v>
      </c>
    </row>
    <row r="1352" spans="1:23" ht="16.5" x14ac:dyDescent="0.3">
      <c r="A1352" t="s">
        <v>1410</v>
      </c>
      <c r="B1352" s="1">
        <v>45504</v>
      </c>
      <c r="C1352">
        <v>2024</v>
      </c>
      <c r="D1352" t="s">
        <v>1255</v>
      </c>
      <c r="E1352" t="s">
        <v>1256</v>
      </c>
      <c r="F1352" t="s">
        <v>37</v>
      </c>
      <c r="G1352" t="s">
        <v>51</v>
      </c>
      <c r="H1352" t="s">
        <v>34</v>
      </c>
      <c r="I1352" t="s">
        <v>29</v>
      </c>
      <c r="J1352" t="s">
        <v>52</v>
      </c>
      <c r="K1352" s="2">
        <v>5650</v>
      </c>
      <c r="L1352" s="2">
        <v>9000</v>
      </c>
      <c r="M1352">
        <v>60</v>
      </c>
      <c r="N1352" s="3">
        <v>0.183</v>
      </c>
      <c r="O1352" t="s">
        <v>16</v>
      </c>
      <c r="Q1352">
        <v>1</v>
      </c>
      <c r="R1352">
        <v>0</v>
      </c>
      <c r="S1352" s="2">
        <v>9000</v>
      </c>
      <c r="T1352" s="4">
        <v>0.1149</v>
      </c>
      <c r="U1352">
        <v>5</v>
      </c>
      <c r="V1352">
        <v>0</v>
      </c>
      <c r="W1352">
        <v>1</v>
      </c>
    </row>
    <row r="1353" spans="1:23" ht="16.5" x14ac:dyDescent="0.3">
      <c r="A1353" t="s">
        <v>1411</v>
      </c>
      <c r="B1353" s="1">
        <v>45504</v>
      </c>
      <c r="C1353">
        <v>2024</v>
      </c>
      <c r="D1353" t="s">
        <v>1255</v>
      </c>
      <c r="E1353" t="s">
        <v>1256</v>
      </c>
      <c r="F1353" t="s">
        <v>37</v>
      </c>
      <c r="G1353" t="s">
        <v>27</v>
      </c>
      <c r="H1353" t="s">
        <v>34</v>
      </c>
      <c r="I1353" t="s">
        <v>29</v>
      </c>
      <c r="J1353" t="s">
        <v>35</v>
      </c>
      <c r="K1353" s="2">
        <v>7900</v>
      </c>
      <c r="L1353" s="2">
        <v>17500</v>
      </c>
      <c r="M1353">
        <v>48</v>
      </c>
      <c r="N1353" s="3">
        <v>0.14499999999999999</v>
      </c>
      <c r="O1353" t="s">
        <v>16</v>
      </c>
      <c r="Q1353">
        <v>1</v>
      </c>
      <c r="R1353">
        <v>0</v>
      </c>
      <c r="S1353" s="2">
        <v>17500</v>
      </c>
      <c r="T1353" s="4">
        <v>0.1241</v>
      </c>
      <c r="U1353">
        <v>4</v>
      </c>
      <c r="V1353">
        <v>0</v>
      </c>
      <c r="W1353">
        <v>1</v>
      </c>
    </row>
    <row r="1354" spans="1:23" ht="16.5" x14ac:dyDescent="0.3">
      <c r="A1354" t="s">
        <v>1412</v>
      </c>
      <c r="B1354" s="1">
        <v>45504</v>
      </c>
      <c r="C1354">
        <v>2024</v>
      </c>
      <c r="D1354" t="s">
        <v>1255</v>
      </c>
      <c r="E1354" t="s">
        <v>1256</v>
      </c>
      <c r="F1354" t="s">
        <v>50</v>
      </c>
      <c r="G1354" t="s">
        <v>33</v>
      </c>
      <c r="H1354" t="s">
        <v>55</v>
      </c>
      <c r="I1354" t="s">
        <v>39</v>
      </c>
      <c r="J1354" t="s">
        <v>30</v>
      </c>
      <c r="K1354" s="2">
        <v>5150</v>
      </c>
      <c r="L1354" s="2">
        <v>431000</v>
      </c>
      <c r="M1354">
        <v>240</v>
      </c>
      <c r="N1354" s="3">
        <v>0.70099999999999996</v>
      </c>
      <c r="O1354" t="s">
        <v>17</v>
      </c>
      <c r="P1354" t="s">
        <v>31</v>
      </c>
      <c r="Q1354">
        <v>0</v>
      </c>
      <c r="R1354">
        <v>1</v>
      </c>
      <c r="S1354" s="2">
        <v>0</v>
      </c>
      <c r="T1354" s="4"/>
      <c r="U1354">
        <v>6</v>
      </c>
      <c r="V1354">
        <v>1</v>
      </c>
      <c r="W1354">
        <v>1</v>
      </c>
    </row>
    <row r="1355" spans="1:23" ht="16.5" x14ac:dyDescent="0.3">
      <c r="A1355" t="s">
        <v>1413</v>
      </c>
      <c r="B1355" s="1">
        <v>45504</v>
      </c>
      <c r="C1355">
        <v>2024</v>
      </c>
      <c r="D1355" t="s">
        <v>1255</v>
      </c>
      <c r="E1355" t="s">
        <v>1256</v>
      </c>
      <c r="F1355" t="s">
        <v>41</v>
      </c>
      <c r="G1355" t="s">
        <v>51</v>
      </c>
      <c r="H1355" t="s">
        <v>38</v>
      </c>
      <c r="I1355" t="s">
        <v>29</v>
      </c>
      <c r="J1355" t="s">
        <v>30</v>
      </c>
      <c r="K1355" s="2">
        <v>9500</v>
      </c>
      <c r="L1355" s="2">
        <v>105000</v>
      </c>
      <c r="M1355">
        <v>60</v>
      </c>
      <c r="N1355" s="3">
        <v>0.47399999999999998</v>
      </c>
      <c r="O1355" t="s">
        <v>16</v>
      </c>
      <c r="Q1355">
        <v>1</v>
      </c>
      <c r="R1355">
        <v>0</v>
      </c>
      <c r="S1355" s="2">
        <v>105000</v>
      </c>
      <c r="T1355" s="4">
        <v>0.11799999999999999</v>
      </c>
      <c r="U1355">
        <v>19</v>
      </c>
      <c r="V1355">
        <v>0</v>
      </c>
      <c r="W1355">
        <v>1</v>
      </c>
    </row>
    <row r="1356" spans="1:23" ht="16.5" x14ac:dyDescent="0.3">
      <c r="A1356" t="s">
        <v>1414</v>
      </c>
      <c r="B1356" s="1">
        <v>45505</v>
      </c>
      <c r="C1356">
        <v>2024</v>
      </c>
      <c r="D1356" t="s">
        <v>1255</v>
      </c>
      <c r="E1356" t="s">
        <v>1415</v>
      </c>
      <c r="F1356" t="s">
        <v>50</v>
      </c>
      <c r="G1356" t="s">
        <v>45</v>
      </c>
      <c r="H1356" t="s">
        <v>38</v>
      </c>
      <c r="I1356" t="s">
        <v>29</v>
      </c>
      <c r="J1356" t="s">
        <v>35</v>
      </c>
      <c r="K1356" s="2">
        <v>3900</v>
      </c>
      <c r="L1356" s="2">
        <v>124500</v>
      </c>
      <c r="M1356">
        <v>180</v>
      </c>
      <c r="N1356" s="3">
        <v>0.45500000000000002</v>
      </c>
      <c r="O1356" t="s">
        <v>16</v>
      </c>
      <c r="Q1356">
        <v>1</v>
      </c>
      <c r="R1356">
        <v>0</v>
      </c>
      <c r="S1356" s="2">
        <v>99500</v>
      </c>
      <c r="T1356" s="4">
        <v>5.8099999999999999E-2</v>
      </c>
      <c r="U1356">
        <v>5</v>
      </c>
      <c r="V1356">
        <v>1</v>
      </c>
      <c r="W1356">
        <v>1</v>
      </c>
    </row>
    <row r="1357" spans="1:23" ht="16.5" x14ac:dyDescent="0.3">
      <c r="A1357" t="s">
        <v>1416</v>
      </c>
      <c r="B1357" s="1">
        <v>45505</v>
      </c>
      <c r="C1357">
        <v>2024</v>
      </c>
      <c r="D1357" t="s">
        <v>1255</v>
      </c>
      <c r="E1357" t="s">
        <v>1415</v>
      </c>
      <c r="F1357" t="s">
        <v>37</v>
      </c>
      <c r="G1357" t="s">
        <v>51</v>
      </c>
      <c r="H1357" t="s">
        <v>34</v>
      </c>
      <c r="I1357" t="s">
        <v>29</v>
      </c>
      <c r="J1357" t="s">
        <v>35</v>
      </c>
      <c r="K1357" s="2">
        <v>4750</v>
      </c>
      <c r="L1357" s="2">
        <v>17500</v>
      </c>
      <c r="M1357">
        <v>48</v>
      </c>
      <c r="N1357" s="3">
        <v>0.252</v>
      </c>
      <c r="O1357" t="s">
        <v>16</v>
      </c>
      <c r="Q1357">
        <v>1</v>
      </c>
      <c r="R1357">
        <v>0</v>
      </c>
      <c r="S1357" s="2">
        <v>16000</v>
      </c>
      <c r="T1357" s="4">
        <v>0.1234</v>
      </c>
      <c r="U1357">
        <v>3</v>
      </c>
      <c r="V1357">
        <v>1</v>
      </c>
      <c r="W1357">
        <v>1</v>
      </c>
    </row>
    <row r="1358" spans="1:23" ht="16.5" x14ac:dyDescent="0.3">
      <c r="A1358" t="s">
        <v>1417</v>
      </c>
      <c r="B1358" s="1">
        <v>45505</v>
      </c>
      <c r="C1358">
        <v>2024</v>
      </c>
      <c r="D1358" t="s">
        <v>1255</v>
      </c>
      <c r="E1358" t="s">
        <v>1415</v>
      </c>
      <c r="F1358" t="s">
        <v>26</v>
      </c>
      <c r="G1358" t="s">
        <v>33</v>
      </c>
      <c r="H1358" t="s">
        <v>38</v>
      </c>
      <c r="I1358" t="s">
        <v>29</v>
      </c>
      <c r="J1358" t="s">
        <v>30</v>
      </c>
      <c r="K1358" s="2">
        <v>4200</v>
      </c>
      <c r="L1358" s="2">
        <v>50000</v>
      </c>
      <c r="M1358">
        <v>48</v>
      </c>
      <c r="N1358" s="3">
        <v>0.51600000000000001</v>
      </c>
      <c r="O1358" t="s">
        <v>17</v>
      </c>
      <c r="P1358" t="s">
        <v>31</v>
      </c>
      <c r="Q1358">
        <v>0</v>
      </c>
      <c r="R1358">
        <v>1</v>
      </c>
      <c r="S1358" s="2">
        <v>0</v>
      </c>
      <c r="T1358" s="4"/>
      <c r="U1358">
        <v>3</v>
      </c>
      <c r="V1358">
        <v>1</v>
      </c>
      <c r="W1358">
        <v>1</v>
      </c>
    </row>
    <row r="1359" spans="1:23" ht="16.5" x14ac:dyDescent="0.3">
      <c r="A1359" t="s">
        <v>1418</v>
      </c>
      <c r="B1359" s="1">
        <v>45505</v>
      </c>
      <c r="C1359">
        <v>2024</v>
      </c>
      <c r="D1359" t="s">
        <v>1255</v>
      </c>
      <c r="E1359" t="s">
        <v>1415</v>
      </c>
      <c r="F1359" t="s">
        <v>37</v>
      </c>
      <c r="G1359" t="s">
        <v>33</v>
      </c>
      <c r="H1359" t="s">
        <v>38</v>
      </c>
      <c r="I1359" t="s">
        <v>42</v>
      </c>
      <c r="J1359" t="s">
        <v>46</v>
      </c>
      <c r="K1359" s="2">
        <v>6100</v>
      </c>
      <c r="L1359" s="2">
        <v>11500</v>
      </c>
      <c r="M1359">
        <v>12</v>
      </c>
      <c r="N1359" s="3">
        <v>0.34300000000000003</v>
      </c>
      <c r="O1359" t="s">
        <v>16</v>
      </c>
      <c r="Q1359">
        <v>1</v>
      </c>
      <c r="R1359">
        <v>0</v>
      </c>
      <c r="S1359" s="2">
        <v>11500</v>
      </c>
      <c r="T1359" s="4">
        <v>0.1101</v>
      </c>
      <c r="U1359">
        <v>2</v>
      </c>
      <c r="V1359">
        <v>1</v>
      </c>
      <c r="W1359">
        <v>1</v>
      </c>
    </row>
    <row r="1360" spans="1:23" ht="16.5" x14ac:dyDescent="0.3">
      <c r="A1360" t="s">
        <v>1419</v>
      </c>
      <c r="B1360" s="1">
        <v>45505</v>
      </c>
      <c r="C1360">
        <v>2024</v>
      </c>
      <c r="D1360" t="s">
        <v>1255</v>
      </c>
      <c r="E1360" t="s">
        <v>1415</v>
      </c>
      <c r="F1360" t="s">
        <v>41</v>
      </c>
      <c r="G1360" t="s">
        <v>45</v>
      </c>
      <c r="H1360" t="s">
        <v>34</v>
      </c>
      <c r="I1360" t="s">
        <v>29</v>
      </c>
      <c r="J1360" t="s">
        <v>52</v>
      </c>
      <c r="K1360" s="2">
        <v>5800</v>
      </c>
      <c r="L1360" s="2">
        <v>39000</v>
      </c>
      <c r="M1360">
        <v>24</v>
      </c>
      <c r="N1360" s="3">
        <v>0.50900000000000001</v>
      </c>
      <c r="O1360" t="s">
        <v>16</v>
      </c>
      <c r="Q1360">
        <v>1</v>
      </c>
      <c r="R1360">
        <v>0</v>
      </c>
      <c r="S1360" s="2">
        <v>39000</v>
      </c>
      <c r="T1360" s="4">
        <v>9.5000000000000001E-2</v>
      </c>
      <c r="U1360">
        <v>7</v>
      </c>
      <c r="V1360">
        <v>1</v>
      </c>
      <c r="W1360">
        <v>1</v>
      </c>
    </row>
    <row r="1361" spans="1:23" ht="16.5" x14ac:dyDescent="0.3">
      <c r="A1361" t="s">
        <v>1420</v>
      </c>
      <c r="B1361" s="1">
        <v>45505</v>
      </c>
      <c r="C1361">
        <v>2024</v>
      </c>
      <c r="D1361" t="s">
        <v>1255</v>
      </c>
      <c r="E1361" t="s">
        <v>1415</v>
      </c>
      <c r="F1361" t="s">
        <v>37</v>
      </c>
      <c r="G1361" t="s">
        <v>33</v>
      </c>
      <c r="H1361" t="s">
        <v>55</v>
      </c>
      <c r="I1361" t="s">
        <v>42</v>
      </c>
      <c r="J1361" t="s">
        <v>35</v>
      </c>
      <c r="K1361" s="2">
        <v>10750</v>
      </c>
      <c r="L1361" s="2">
        <v>9000</v>
      </c>
      <c r="M1361">
        <v>12</v>
      </c>
      <c r="N1361" s="3">
        <v>0.27500000000000002</v>
      </c>
      <c r="O1361" t="s">
        <v>16</v>
      </c>
      <c r="Q1361">
        <v>1</v>
      </c>
      <c r="R1361">
        <v>0</v>
      </c>
      <c r="S1361" s="2">
        <v>9000</v>
      </c>
      <c r="T1361" s="4">
        <v>0.1263</v>
      </c>
      <c r="U1361">
        <v>2</v>
      </c>
      <c r="V1361">
        <v>1</v>
      </c>
      <c r="W1361">
        <v>1</v>
      </c>
    </row>
    <row r="1362" spans="1:23" ht="16.5" x14ac:dyDescent="0.3">
      <c r="A1362" t="s">
        <v>1421</v>
      </c>
      <c r="B1362" s="1">
        <v>45505</v>
      </c>
      <c r="C1362">
        <v>2024</v>
      </c>
      <c r="D1362" t="s">
        <v>1255</v>
      </c>
      <c r="E1362" t="s">
        <v>1415</v>
      </c>
      <c r="F1362" t="s">
        <v>41</v>
      </c>
      <c r="G1362" t="s">
        <v>27</v>
      </c>
      <c r="H1362" t="s">
        <v>55</v>
      </c>
      <c r="I1362" t="s">
        <v>29</v>
      </c>
      <c r="J1362" t="s">
        <v>43</v>
      </c>
      <c r="K1362" s="2">
        <v>10300</v>
      </c>
      <c r="L1362" s="2">
        <v>140000</v>
      </c>
      <c r="M1362">
        <v>12</v>
      </c>
      <c r="N1362" s="3">
        <v>1.248</v>
      </c>
      <c r="O1362" t="s">
        <v>17</v>
      </c>
      <c r="P1362" t="s">
        <v>60</v>
      </c>
      <c r="Q1362">
        <v>0</v>
      </c>
      <c r="R1362">
        <v>1</v>
      </c>
      <c r="S1362" s="2">
        <v>0</v>
      </c>
      <c r="T1362" s="4"/>
      <c r="U1362">
        <v>14</v>
      </c>
      <c r="V1362">
        <v>0</v>
      </c>
      <c r="W1362">
        <v>1</v>
      </c>
    </row>
    <row r="1363" spans="1:23" ht="16.5" x14ac:dyDescent="0.3">
      <c r="A1363" t="s">
        <v>1422</v>
      </c>
      <c r="B1363" s="1">
        <v>45505</v>
      </c>
      <c r="C1363">
        <v>2024</v>
      </c>
      <c r="D1363" t="s">
        <v>1255</v>
      </c>
      <c r="E1363" t="s">
        <v>1415</v>
      </c>
      <c r="F1363" t="s">
        <v>41</v>
      </c>
      <c r="G1363" t="s">
        <v>51</v>
      </c>
      <c r="H1363" t="s">
        <v>34</v>
      </c>
      <c r="I1363" t="s">
        <v>39</v>
      </c>
      <c r="J1363" t="s">
        <v>30</v>
      </c>
      <c r="K1363" s="2">
        <v>6500</v>
      </c>
      <c r="L1363" s="2">
        <v>50000</v>
      </c>
      <c r="M1363">
        <v>12</v>
      </c>
      <c r="N1363" s="3">
        <v>0.88500000000000001</v>
      </c>
      <c r="O1363" t="s">
        <v>17</v>
      </c>
      <c r="P1363" t="s">
        <v>31</v>
      </c>
      <c r="Q1363">
        <v>0</v>
      </c>
      <c r="R1363">
        <v>1</v>
      </c>
      <c r="S1363" s="2">
        <v>0</v>
      </c>
      <c r="T1363" s="4"/>
      <c r="U1363">
        <v>33</v>
      </c>
      <c r="V1363">
        <v>0</v>
      </c>
      <c r="W1363">
        <v>1</v>
      </c>
    </row>
    <row r="1364" spans="1:23" ht="16.5" x14ac:dyDescent="0.3">
      <c r="A1364" t="s">
        <v>1423</v>
      </c>
      <c r="B1364" s="1">
        <v>45506</v>
      </c>
      <c r="C1364">
        <v>2024</v>
      </c>
      <c r="D1364" t="s">
        <v>1255</v>
      </c>
      <c r="E1364" t="s">
        <v>1415</v>
      </c>
      <c r="F1364" t="s">
        <v>37</v>
      </c>
      <c r="G1364" t="s">
        <v>51</v>
      </c>
      <c r="H1364" t="s">
        <v>55</v>
      </c>
      <c r="I1364" t="s">
        <v>29</v>
      </c>
      <c r="J1364" t="s">
        <v>35</v>
      </c>
      <c r="K1364" s="2">
        <v>4400</v>
      </c>
      <c r="L1364" s="2">
        <v>8500</v>
      </c>
      <c r="M1364">
        <v>60</v>
      </c>
      <c r="N1364" s="3">
        <v>0.253</v>
      </c>
      <c r="O1364" t="s">
        <v>125</v>
      </c>
      <c r="Q1364">
        <v>0</v>
      </c>
      <c r="R1364">
        <v>0</v>
      </c>
      <c r="S1364" s="2">
        <v>0</v>
      </c>
      <c r="T1364" s="4"/>
      <c r="U1364">
        <v>10</v>
      </c>
      <c r="V1364">
        <v>0</v>
      </c>
      <c r="W1364">
        <v>1</v>
      </c>
    </row>
    <row r="1365" spans="1:23" ht="16.5" x14ac:dyDescent="0.3">
      <c r="A1365" t="s">
        <v>1424</v>
      </c>
      <c r="B1365" s="1">
        <v>45506</v>
      </c>
      <c r="C1365">
        <v>2024</v>
      </c>
      <c r="D1365" t="s">
        <v>1255</v>
      </c>
      <c r="E1365" t="s">
        <v>1415</v>
      </c>
      <c r="F1365" t="s">
        <v>26</v>
      </c>
      <c r="G1365" t="s">
        <v>33</v>
      </c>
      <c r="H1365" t="s">
        <v>64</v>
      </c>
      <c r="I1365" t="s">
        <v>39</v>
      </c>
      <c r="J1365" t="s">
        <v>46</v>
      </c>
      <c r="K1365" s="2">
        <v>7100</v>
      </c>
      <c r="L1365" s="2">
        <v>27500</v>
      </c>
      <c r="M1365">
        <v>48</v>
      </c>
      <c r="N1365" s="3">
        <v>0.26800000000000002</v>
      </c>
      <c r="O1365" t="s">
        <v>16</v>
      </c>
      <c r="Q1365">
        <v>1</v>
      </c>
      <c r="R1365">
        <v>0</v>
      </c>
      <c r="S1365" s="2">
        <v>27500</v>
      </c>
      <c r="T1365" s="4">
        <v>6.8699999999999997E-2</v>
      </c>
      <c r="U1365">
        <v>5</v>
      </c>
      <c r="V1365">
        <v>0</v>
      </c>
      <c r="W1365">
        <v>1</v>
      </c>
    </row>
    <row r="1366" spans="1:23" ht="16.5" x14ac:dyDescent="0.3">
      <c r="A1366" t="s">
        <v>1425</v>
      </c>
      <c r="B1366" s="1">
        <v>45506</v>
      </c>
      <c r="C1366">
        <v>2024</v>
      </c>
      <c r="D1366" t="s">
        <v>1255</v>
      </c>
      <c r="E1366" t="s">
        <v>1415</v>
      </c>
      <c r="F1366" t="s">
        <v>26</v>
      </c>
      <c r="G1366" t="s">
        <v>45</v>
      </c>
      <c r="H1366" t="s">
        <v>38</v>
      </c>
      <c r="I1366" t="s">
        <v>29</v>
      </c>
      <c r="J1366" t="s">
        <v>52</v>
      </c>
      <c r="K1366" s="2">
        <v>6400</v>
      </c>
      <c r="L1366" s="2">
        <v>28500</v>
      </c>
      <c r="M1366">
        <v>60</v>
      </c>
      <c r="N1366" s="3">
        <v>0.17199999999999999</v>
      </c>
      <c r="O1366" t="s">
        <v>17</v>
      </c>
      <c r="P1366" t="s">
        <v>48</v>
      </c>
      <c r="Q1366">
        <v>0</v>
      </c>
      <c r="R1366">
        <v>1</v>
      </c>
      <c r="S1366" s="2">
        <v>0</v>
      </c>
      <c r="T1366" s="4"/>
      <c r="U1366">
        <v>4</v>
      </c>
      <c r="V1366">
        <v>1</v>
      </c>
      <c r="W1366">
        <v>1</v>
      </c>
    </row>
    <row r="1367" spans="1:23" ht="16.5" x14ac:dyDescent="0.3">
      <c r="A1367" t="s">
        <v>1426</v>
      </c>
      <c r="B1367" s="1">
        <v>45506</v>
      </c>
      <c r="C1367">
        <v>2024</v>
      </c>
      <c r="D1367" t="s">
        <v>1255</v>
      </c>
      <c r="E1367" t="s">
        <v>1415</v>
      </c>
      <c r="F1367" t="s">
        <v>50</v>
      </c>
      <c r="G1367" t="s">
        <v>51</v>
      </c>
      <c r="H1367" t="s">
        <v>38</v>
      </c>
      <c r="I1367" t="s">
        <v>29</v>
      </c>
      <c r="J1367" t="s">
        <v>35</v>
      </c>
      <c r="K1367" s="2">
        <v>8850</v>
      </c>
      <c r="L1367" s="2">
        <v>310000</v>
      </c>
      <c r="M1367">
        <v>180</v>
      </c>
      <c r="N1367" s="3">
        <v>0.43099999999999999</v>
      </c>
      <c r="O1367" t="s">
        <v>16</v>
      </c>
      <c r="Q1367">
        <v>1</v>
      </c>
      <c r="R1367">
        <v>0</v>
      </c>
      <c r="S1367" s="2">
        <v>310000</v>
      </c>
      <c r="T1367" s="4">
        <v>5.8599999999999999E-2</v>
      </c>
      <c r="U1367">
        <v>27</v>
      </c>
      <c r="V1367">
        <v>0</v>
      </c>
      <c r="W1367">
        <v>1</v>
      </c>
    </row>
    <row r="1368" spans="1:23" ht="16.5" x14ac:dyDescent="0.3">
      <c r="A1368" t="s">
        <v>1427</v>
      </c>
      <c r="B1368" s="1">
        <v>45506</v>
      </c>
      <c r="C1368">
        <v>2024</v>
      </c>
      <c r="D1368" t="s">
        <v>1255</v>
      </c>
      <c r="E1368" t="s">
        <v>1415</v>
      </c>
      <c r="F1368" t="s">
        <v>26</v>
      </c>
      <c r="G1368" t="s">
        <v>33</v>
      </c>
      <c r="H1368" t="s">
        <v>38</v>
      </c>
      <c r="I1368" t="s">
        <v>39</v>
      </c>
      <c r="J1368" t="s">
        <v>43</v>
      </c>
      <c r="K1368" s="2">
        <v>4000</v>
      </c>
      <c r="L1368" s="2">
        <v>55500</v>
      </c>
      <c r="M1368">
        <v>60</v>
      </c>
      <c r="N1368" s="3">
        <v>0.442</v>
      </c>
      <c r="O1368" t="s">
        <v>17</v>
      </c>
      <c r="P1368" t="s">
        <v>31</v>
      </c>
      <c r="Q1368">
        <v>0</v>
      </c>
      <c r="R1368">
        <v>1</v>
      </c>
      <c r="S1368" s="2">
        <v>0</v>
      </c>
      <c r="T1368" s="4"/>
      <c r="U1368">
        <v>2</v>
      </c>
      <c r="V1368">
        <v>1</v>
      </c>
      <c r="W1368">
        <v>1</v>
      </c>
    </row>
    <row r="1369" spans="1:23" ht="16.5" x14ac:dyDescent="0.3">
      <c r="A1369" t="s">
        <v>1428</v>
      </c>
      <c r="B1369" s="1">
        <v>45507</v>
      </c>
      <c r="C1369">
        <v>2024</v>
      </c>
      <c r="D1369" t="s">
        <v>1255</v>
      </c>
      <c r="E1369" t="s">
        <v>1415</v>
      </c>
      <c r="F1369" t="s">
        <v>37</v>
      </c>
      <c r="G1369" t="s">
        <v>51</v>
      </c>
      <c r="H1369" t="s">
        <v>28</v>
      </c>
      <c r="I1369" t="s">
        <v>42</v>
      </c>
      <c r="J1369" t="s">
        <v>35</v>
      </c>
      <c r="K1369" s="2">
        <v>6150</v>
      </c>
      <c r="L1369" s="2">
        <v>12000</v>
      </c>
      <c r="M1369">
        <v>24</v>
      </c>
      <c r="N1369" s="3">
        <v>0.247</v>
      </c>
      <c r="O1369" t="s">
        <v>16</v>
      </c>
      <c r="Q1369">
        <v>1</v>
      </c>
      <c r="R1369">
        <v>0</v>
      </c>
      <c r="S1369" s="2">
        <v>12000</v>
      </c>
      <c r="T1369" s="4">
        <v>0.13139999999999999</v>
      </c>
      <c r="U1369">
        <v>5</v>
      </c>
      <c r="V1369">
        <v>0</v>
      </c>
      <c r="W1369">
        <v>1</v>
      </c>
    </row>
    <row r="1370" spans="1:23" ht="16.5" x14ac:dyDescent="0.3">
      <c r="A1370" t="s">
        <v>1429</v>
      </c>
      <c r="B1370" s="1">
        <v>45507</v>
      </c>
      <c r="C1370">
        <v>2024</v>
      </c>
      <c r="D1370" t="s">
        <v>1255</v>
      </c>
      <c r="E1370" t="s">
        <v>1415</v>
      </c>
      <c r="F1370" t="s">
        <v>26</v>
      </c>
      <c r="G1370" t="s">
        <v>45</v>
      </c>
      <c r="H1370" t="s">
        <v>38</v>
      </c>
      <c r="I1370" t="s">
        <v>29</v>
      </c>
      <c r="J1370" t="s">
        <v>46</v>
      </c>
      <c r="K1370" s="2">
        <v>6950</v>
      </c>
      <c r="L1370" s="2">
        <v>43000</v>
      </c>
      <c r="M1370">
        <v>60</v>
      </c>
      <c r="N1370" s="3">
        <v>0.17499999999999999</v>
      </c>
      <c r="O1370" t="s">
        <v>16</v>
      </c>
      <c r="Q1370">
        <v>1</v>
      </c>
      <c r="R1370">
        <v>0</v>
      </c>
      <c r="S1370" s="2">
        <v>43000</v>
      </c>
      <c r="T1370" s="4">
        <v>6.6199999999999995E-2</v>
      </c>
      <c r="U1370">
        <v>1</v>
      </c>
      <c r="V1370">
        <v>1</v>
      </c>
      <c r="W1370">
        <v>1</v>
      </c>
    </row>
    <row r="1371" spans="1:23" ht="16.5" x14ac:dyDescent="0.3">
      <c r="A1371" t="s">
        <v>1430</v>
      </c>
      <c r="B1371" s="1">
        <v>45508</v>
      </c>
      <c r="C1371">
        <v>2024</v>
      </c>
      <c r="D1371" t="s">
        <v>1255</v>
      </c>
      <c r="E1371" t="s">
        <v>1415</v>
      </c>
      <c r="F1371" t="s">
        <v>37</v>
      </c>
      <c r="G1371" t="s">
        <v>51</v>
      </c>
      <c r="H1371" t="s">
        <v>55</v>
      </c>
      <c r="I1371" t="s">
        <v>42</v>
      </c>
      <c r="J1371" t="s">
        <v>35</v>
      </c>
      <c r="K1371" s="2">
        <v>9750</v>
      </c>
      <c r="L1371" s="2">
        <v>6000</v>
      </c>
      <c r="M1371">
        <v>36</v>
      </c>
      <c r="N1371" s="3">
        <v>0.23699999999999999</v>
      </c>
      <c r="O1371" t="s">
        <v>17</v>
      </c>
      <c r="P1371" t="s">
        <v>31</v>
      </c>
      <c r="Q1371">
        <v>0</v>
      </c>
      <c r="R1371">
        <v>1</v>
      </c>
      <c r="S1371" s="2">
        <v>0</v>
      </c>
      <c r="T1371" s="4"/>
      <c r="U1371">
        <v>3</v>
      </c>
      <c r="V1371">
        <v>1</v>
      </c>
      <c r="W1371">
        <v>1</v>
      </c>
    </row>
    <row r="1372" spans="1:23" ht="16.5" x14ac:dyDescent="0.3">
      <c r="A1372" t="s">
        <v>1431</v>
      </c>
      <c r="B1372" s="1">
        <v>45508</v>
      </c>
      <c r="C1372">
        <v>2024</v>
      </c>
      <c r="D1372" t="s">
        <v>1255</v>
      </c>
      <c r="E1372" t="s">
        <v>1415</v>
      </c>
      <c r="F1372" t="s">
        <v>41</v>
      </c>
      <c r="G1372" t="s">
        <v>51</v>
      </c>
      <c r="H1372" t="s">
        <v>64</v>
      </c>
      <c r="I1372" t="s">
        <v>29</v>
      </c>
      <c r="J1372" t="s">
        <v>30</v>
      </c>
      <c r="K1372" s="2">
        <v>4150</v>
      </c>
      <c r="L1372" s="2">
        <v>69000</v>
      </c>
      <c r="M1372">
        <v>36</v>
      </c>
      <c r="N1372" s="3">
        <v>0.70699999999999996</v>
      </c>
      <c r="O1372" t="s">
        <v>17</v>
      </c>
      <c r="P1372" t="s">
        <v>31</v>
      </c>
      <c r="Q1372">
        <v>0</v>
      </c>
      <c r="R1372">
        <v>1</v>
      </c>
      <c r="S1372" s="2">
        <v>0</v>
      </c>
      <c r="T1372" s="4"/>
      <c r="U1372">
        <v>13</v>
      </c>
      <c r="V1372">
        <v>0</v>
      </c>
      <c r="W1372">
        <v>1</v>
      </c>
    </row>
    <row r="1373" spans="1:23" ht="16.5" x14ac:dyDescent="0.3">
      <c r="A1373" t="s">
        <v>1432</v>
      </c>
      <c r="B1373" s="1">
        <v>45508</v>
      </c>
      <c r="C1373">
        <v>2024</v>
      </c>
      <c r="D1373" t="s">
        <v>1255</v>
      </c>
      <c r="E1373" t="s">
        <v>1415</v>
      </c>
      <c r="F1373" t="s">
        <v>50</v>
      </c>
      <c r="G1373" t="s">
        <v>45</v>
      </c>
      <c r="H1373" t="s">
        <v>64</v>
      </c>
      <c r="I1373" t="s">
        <v>29</v>
      </c>
      <c r="J1373" t="s">
        <v>46</v>
      </c>
      <c r="K1373" s="2">
        <v>5450</v>
      </c>
      <c r="L1373" s="2">
        <v>209500</v>
      </c>
      <c r="M1373">
        <v>240</v>
      </c>
      <c r="N1373" s="3">
        <v>0.41699999999999998</v>
      </c>
      <c r="O1373" t="s">
        <v>16</v>
      </c>
      <c r="Q1373">
        <v>1</v>
      </c>
      <c r="R1373">
        <v>0</v>
      </c>
      <c r="S1373" s="2">
        <v>209500</v>
      </c>
      <c r="T1373" s="4">
        <v>4.6899999999999997E-2</v>
      </c>
      <c r="U1373">
        <v>10</v>
      </c>
      <c r="V1373">
        <v>1</v>
      </c>
      <c r="W1373">
        <v>1</v>
      </c>
    </row>
    <row r="1374" spans="1:23" ht="16.5" x14ac:dyDescent="0.3">
      <c r="A1374" t="s">
        <v>1433</v>
      </c>
      <c r="B1374" s="1">
        <v>45508</v>
      </c>
      <c r="C1374">
        <v>2024</v>
      </c>
      <c r="D1374" t="s">
        <v>1255</v>
      </c>
      <c r="E1374" t="s">
        <v>1415</v>
      </c>
      <c r="F1374" t="s">
        <v>37</v>
      </c>
      <c r="G1374" t="s">
        <v>45</v>
      </c>
      <c r="H1374" t="s">
        <v>55</v>
      </c>
      <c r="I1374" t="s">
        <v>29</v>
      </c>
      <c r="J1374" t="s">
        <v>35</v>
      </c>
      <c r="K1374" s="2">
        <v>8900</v>
      </c>
      <c r="L1374" s="2">
        <v>12000</v>
      </c>
      <c r="M1374">
        <v>60</v>
      </c>
      <c r="N1374" s="3">
        <v>0.121</v>
      </c>
      <c r="O1374" t="s">
        <v>17</v>
      </c>
      <c r="P1374" t="s">
        <v>60</v>
      </c>
      <c r="Q1374">
        <v>0</v>
      </c>
      <c r="R1374">
        <v>1</v>
      </c>
      <c r="S1374" s="2">
        <v>0</v>
      </c>
      <c r="T1374" s="4"/>
      <c r="U1374">
        <v>5</v>
      </c>
      <c r="V1374">
        <v>0</v>
      </c>
      <c r="W1374">
        <v>1</v>
      </c>
    </row>
    <row r="1375" spans="1:23" ht="16.5" x14ac:dyDescent="0.3">
      <c r="A1375" t="s">
        <v>1434</v>
      </c>
      <c r="B1375" s="1">
        <v>45508</v>
      </c>
      <c r="C1375">
        <v>2024</v>
      </c>
      <c r="D1375" t="s">
        <v>1255</v>
      </c>
      <c r="E1375" t="s">
        <v>1415</v>
      </c>
      <c r="F1375" t="s">
        <v>26</v>
      </c>
      <c r="G1375" t="s">
        <v>51</v>
      </c>
      <c r="H1375" t="s">
        <v>55</v>
      </c>
      <c r="I1375" t="s">
        <v>29</v>
      </c>
      <c r="J1375" t="s">
        <v>35</v>
      </c>
      <c r="K1375" s="2">
        <v>5150</v>
      </c>
      <c r="L1375" s="2">
        <v>32500</v>
      </c>
      <c r="M1375">
        <v>36</v>
      </c>
      <c r="N1375" s="3">
        <v>0.42899999999999999</v>
      </c>
      <c r="O1375" t="s">
        <v>17</v>
      </c>
      <c r="P1375" t="s">
        <v>31</v>
      </c>
      <c r="Q1375">
        <v>0</v>
      </c>
      <c r="R1375">
        <v>1</v>
      </c>
      <c r="S1375" s="2">
        <v>0</v>
      </c>
      <c r="T1375" s="4"/>
      <c r="U1375">
        <v>6</v>
      </c>
      <c r="V1375">
        <v>0</v>
      </c>
      <c r="W1375">
        <v>1</v>
      </c>
    </row>
    <row r="1376" spans="1:23" ht="16.5" x14ac:dyDescent="0.3">
      <c r="A1376" t="s">
        <v>1435</v>
      </c>
      <c r="B1376" s="1">
        <v>45509</v>
      </c>
      <c r="C1376">
        <v>2024</v>
      </c>
      <c r="D1376" t="s">
        <v>1255</v>
      </c>
      <c r="E1376" t="s">
        <v>1415</v>
      </c>
      <c r="F1376" t="s">
        <v>26</v>
      </c>
      <c r="G1376" t="s">
        <v>45</v>
      </c>
      <c r="H1376" t="s">
        <v>64</v>
      </c>
      <c r="I1376" t="s">
        <v>29</v>
      </c>
      <c r="J1376" t="s">
        <v>52</v>
      </c>
      <c r="K1376" s="2">
        <v>3250</v>
      </c>
      <c r="L1376" s="2">
        <v>19500</v>
      </c>
      <c r="M1376">
        <v>60</v>
      </c>
      <c r="N1376" s="3">
        <v>0.32700000000000001</v>
      </c>
      <c r="O1376" t="s">
        <v>16</v>
      </c>
      <c r="Q1376">
        <v>1</v>
      </c>
      <c r="R1376">
        <v>0</v>
      </c>
      <c r="S1376" s="2">
        <v>19500</v>
      </c>
      <c r="T1376" s="4">
        <v>6.3700000000000007E-2</v>
      </c>
      <c r="U1376">
        <v>2</v>
      </c>
      <c r="V1376">
        <v>1</v>
      </c>
      <c r="W1376">
        <v>1</v>
      </c>
    </row>
    <row r="1377" spans="1:23" ht="16.5" x14ac:dyDescent="0.3">
      <c r="A1377" t="s">
        <v>1436</v>
      </c>
      <c r="B1377" s="1">
        <v>45509</v>
      </c>
      <c r="C1377">
        <v>2024</v>
      </c>
      <c r="D1377" t="s">
        <v>1255</v>
      </c>
      <c r="E1377" t="s">
        <v>1415</v>
      </c>
      <c r="F1377" t="s">
        <v>50</v>
      </c>
      <c r="G1377" t="s">
        <v>27</v>
      </c>
      <c r="H1377" t="s">
        <v>55</v>
      </c>
      <c r="I1377" t="s">
        <v>39</v>
      </c>
      <c r="J1377" t="s">
        <v>46</v>
      </c>
      <c r="K1377" s="2">
        <v>9100</v>
      </c>
      <c r="L1377" s="2">
        <v>204000</v>
      </c>
      <c r="M1377">
        <v>300</v>
      </c>
      <c r="N1377" s="3">
        <v>0.32500000000000001</v>
      </c>
      <c r="O1377" t="s">
        <v>16</v>
      </c>
      <c r="Q1377">
        <v>1</v>
      </c>
      <c r="R1377">
        <v>0</v>
      </c>
      <c r="S1377" s="2">
        <v>183500</v>
      </c>
      <c r="T1377" s="4">
        <v>4.3999999999999997E-2</v>
      </c>
      <c r="U1377">
        <v>17</v>
      </c>
      <c r="V1377">
        <v>0</v>
      </c>
      <c r="W1377">
        <v>1</v>
      </c>
    </row>
    <row r="1378" spans="1:23" ht="16.5" x14ac:dyDescent="0.3">
      <c r="A1378" t="s">
        <v>1437</v>
      </c>
      <c r="B1378" s="1">
        <v>45509</v>
      </c>
      <c r="C1378">
        <v>2024</v>
      </c>
      <c r="D1378" t="s">
        <v>1255</v>
      </c>
      <c r="E1378" t="s">
        <v>1415</v>
      </c>
      <c r="F1378" t="s">
        <v>41</v>
      </c>
      <c r="G1378" t="s">
        <v>33</v>
      </c>
      <c r="H1378" t="s">
        <v>55</v>
      </c>
      <c r="I1378" t="s">
        <v>39</v>
      </c>
      <c r="J1378" t="s">
        <v>43</v>
      </c>
      <c r="K1378" s="2">
        <v>14250</v>
      </c>
      <c r="L1378" s="2">
        <v>41500</v>
      </c>
      <c r="M1378">
        <v>24</v>
      </c>
      <c r="N1378" s="3">
        <v>0.22900000000000001</v>
      </c>
      <c r="O1378" t="s">
        <v>17</v>
      </c>
      <c r="P1378" t="s">
        <v>31</v>
      </c>
      <c r="Q1378">
        <v>0</v>
      </c>
      <c r="R1378">
        <v>1</v>
      </c>
      <c r="S1378" s="2">
        <v>0</v>
      </c>
      <c r="T1378" s="4"/>
      <c r="U1378">
        <v>5</v>
      </c>
      <c r="V1378">
        <v>1</v>
      </c>
      <c r="W1378">
        <v>1</v>
      </c>
    </row>
    <row r="1379" spans="1:23" ht="16.5" x14ac:dyDescent="0.3">
      <c r="A1379" t="s">
        <v>1438</v>
      </c>
      <c r="B1379" s="1">
        <v>45509</v>
      </c>
      <c r="C1379">
        <v>2024</v>
      </c>
      <c r="D1379" t="s">
        <v>1255</v>
      </c>
      <c r="E1379" t="s">
        <v>1415</v>
      </c>
      <c r="F1379" t="s">
        <v>41</v>
      </c>
      <c r="G1379" t="s">
        <v>51</v>
      </c>
      <c r="H1379" t="s">
        <v>55</v>
      </c>
      <c r="I1379" t="s">
        <v>29</v>
      </c>
      <c r="J1379" t="s">
        <v>30</v>
      </c>
      <c r="K1379" s="2">
        <v>3300</v>
      </c>
      <c r="L1379" s="2">
        <v>156500</v>
      </c>
      <c r="M1379">
        <v>12</v>
      </c>
      <c r="N1379" s="3">
        <v>4.343</v>
      </c>
      <c r="O1379" t="s">
        <v>17</v>
      </c>
      <c r="P1379" t="s">
        <v>53</v>
      </c>
      <c r="Q1379">
        <v>0</v>
      </c>
      <c r="R1379">
        <v>1</v>
      </c>
      <c r="S1379" s="2">
        <v>0</v>
      </c>
      <c r="T1379" s="4"/>
      <c r="U1379">
        <v>20</v>
      </c>
      <c r="V1379">
        <v>0</v>
      </c>
      <c r="W1379">
        <v>1</v>
      </c>
    </row>
    <row r="1380" spans="1:23" ht="16.5" x14ac:dyDescent="0.3">
      <c r="A1380" t="s">
        <v>1439</v>
      </c>
      <c r="B1380" s="1">
        <v>45509</v>
      </c>
      <c r="C1380">
        <v>2024</v>
      </c>
      <c r="D1380" t="s">
        <v>1255</v>
      </c>
      <c r="E1380" t="s">
        <v>1415</v>
      </c>
      <c r="F1380" t="s">
        <v>37</v>
      </c>
      <c r="G1380" t="s">
        <v>45</v>
      </c>
      <c r="H1380" t="s">
        <v>38</v>
      </c>
      <c r="I1380" t="s">
        <v>29</v>
      </c>
      <c r="J1380" t="s">
        <v>35</v>
      </c>
      <c r="K1380" s="2">
        <v>6300</v>
      </c>
      <c r="L1380" s="2">
        <v>13000</v>
      </c>
      <c r="M1380">
        <v>60</v>
      </c>
      <c r="N1380" s="3">
        <v>0.1</v>
      </c>
      <c r="O1380" t="s">
        <v>16</v>
      </c>
      <c r="Q1380">
        <v>1</v>
      </c>
      <c r="R1380">
        <v>0</v>
      </c>
      <c r="S1380" s="2">
        <v>11500</v>
      </c>
      <c r="T1380" s="4">
        <v>0.1285</v>
      </c>
      <c r="U1380">
        <v>2</v>
      </c>
      <c r="V1380">
        <v>1</v>
      </c>
      <c r="W1380">
        <v>1</v>
      </c>
    </row>
    <row r="1381" spans="1:23" ht="16.5" x14ac:dyDescent="0.3">
      <c r="A1381" t="s">
        <v>1440</v>
      </c>
      <c r="B1381" s="1">
        <v>45509</v>
      </c>
      <c r="C1381">
        <v>2024</v>
      </c>
      <c r="D1381" t="s">
        <v>1255</v>
      </c>
      <c r="E1381" t="s">
        <v>1415</v>
      </c>
      <c r="F1381" t="s">
        <v>37</v>
      </c>
      <c r="G1381" t="s">
        <v>51</v>
      </c>
      <c r="H1381" t="s">
        <v>55</v>
      </c>
      <c r="I1381" t="s">
        <v>29</v>
      </c>
      <c r="J1381" t="s">
        <v>30</v>
      </c>
      <c r="K1381" s="2">
        <v>4150</v>
      </c>
      <c r="L1381" s="2">
        <v>10000</v>
      </c>
      <c r="M1381">
        <v>12</v>
      </c>
      <c r="N1381" s="3">
        <v>0.30199999999999999</v>
      </c>
      <c r="O1381" t="s">
        <v>17</v>
      </c>
      <c r="P1381" t="s">
        <v>31</v>
      </c>
      <c r="Q1381">
        <v>0</v>
      </c>
      <c r="R1381">
        <v>1</v>
      </c>
      <c r="S1381" s="2">
        <v>0</v>
      </c>
      <c r="T1381" s="4"/>
      <c r="U1381">
        <v>6</v>
      </c>
      <c r="V1381">
        <v>0</v>
      </c>
      <c r="W1381">
        <v>1</v>
      </c>
    </row>
    <row r="1382" spans="1:23" ht="16.5" x14ac:dyDescent="0.3">
      <c r="A1382" t="s">
        <v>1441</v>
      </c>
      <c r="B1382" s="1">
        <v>45509</v>
      </c>
      <c r="C1382">
        <v>2024</v>
      </c>
      <c r="D1382" t="s">
        <v>1255</v>
      </c>
      <c r="E1382" t="s">
        <v>1415</v>
      </c>
      <c r="F1382" t="s">
        <v>37</v>
      </c>
      <c r="G1382" t="s">
        <v>51</v>
      </c>
      <c r="H1382" t="s">
        <v>38</v>
      </c>
      <c r="I1382" t="s">
        <v>39</v>
      </c>
      <c r="J1382" t="s">
        <v>52</v>
      </c>
      <c r="K1382" s="2">
        <v>8650</v>
      </c>
      <c r="L1382" s="2">
        <v>8000</v>
      </c>
      <c r="M1382">
        <v>12</v>
      </c>
      <c r="N1382" s="3">
        <v>0.17299999999999999</v>
      </c>
      <c r="O1382" t="s">
        <v>16</v>
      </c>
      <c r="Q1382">
        <v>1</v>
      </c>
      <c r="R1382">
        <v>0</v>
      </c>
      <c r="S1382" s="2">
        <v>8000</v>
      </c>
      <c r="T1382" s="4">
        <v>0.11550000000000001</v>
      </c>
      <c r="U1382">
        <v>8</v>
      </c>
      <c r="V1382">
        <v>0</v>
      </c>
      <c r="W1382">
        <v>1</v>
      </c>
    </row>
    <row r="1383" spans="1:23" ht="16.5" x14ac:dyDescent="0.3">
      <c r="A1383" t="s">
        <v>1442</v>
      </c>
      <c r="B1383" s="1">
        <v>45510</v>
      </c>
      <c r="C1383">
        <v>2024</v>
      </c>
      <c r="D1383" t="s">
        <v>1255</v>
      </c>
      <c r="E1383" t="s">
        <v>1415</v>
      </c>
      <c r="F1383" t="s">
        <v>26</v>
      </c>
      <c r="G1383" t="s">
        <v>45</v>
      </c>
      <c r="H1383" t="s">
        <v>38</v>
      </c>
      <c r="I1383" t="s">
        <v>29</v>
      </c>
      <c r="J1383" t="s">
        <v>35</v>
      </c>
      <c r="K1383" s="2">
        <v>4450</v>
      </c>
      <c r="L1383" s="2">
        <v>21500</v>
      </c>
      <c r="M1383">
        <v>48</v>
      </c>
      <c r="N1383" s="3">
        <v>0.28499999999999998</v>
      </c>
      <c r="O1383" t="s">
        <v>16</v>
      </c>
      <c r="Q1383">
        <v>1</v>
      </c>
      <c r="R1383">
        <v>0</v>
      </c>
      <c r="S1383" s="2">
        <v>17000</v>
      </c>
      <c r="T1383" s="4">
        <v>7.6899999999999996E-2</v>
      </c>
      <c r="U1383">
        <v>2</v>
      </c>
      <c r="V1383">
        <v>1</v>
      </c>
      <c r="W1383">
        <v>1</v>
      </c>
    </row>
    <row r="1384" spans="1:23" ht="16.5" x14ac:dyDescent="0.3">
      <c r="A1384" t="s">
        <v>1443</v>
      </c>
      <c r="B1384" s="1">
        <v>45510</v>
      </c>
      <c r="C1384">
        <v>2024</v>
      </c>
      <c r="D1384" t="s">
        <v>1255</v>
      </c>
      <c r="E1384" t="s">
        <v>1415</v>
      </c>
      <c r="F1384" t="s">
        <v>26</v>
      </c>
      <c r="G1384" t="s">
        <v>27</v>
      </c>
      <c r="H1384" t="s">
        <v>38</v>
      </c>
      <c r="I1384" t="s">
        <v>29</v>
      </c>
      <c r="J1384" t="s">
        <v>52</v>
      </c>
      <c r="K1384" s="2">
        <v>7500</v>
      </c>
      <c r="L1384" s="2">
        <v>25500</v>
      </c>
      <c r="M1384">
        <v>36</v>
      </c>
      <c r="N1384" s="3">
        <v>0.29099999999999998</v>
      </c>
      <c r="O1384" t="s">
        <v>17</v>
      </c>
      <c r="P1384" t="s">
        <v>31</v>
      </c>
      <c r="Q1384">
        <v>0</v>
      </c>
      <c r="R1384">
        <v>1</v>
      </c>
      <c r="S1384" s="2">
        <v>0</v>
      </c>
      <c r="T1384" s="4"/>
      <c r="U1384">
        <v>5</v>
      </c>
      <c r="V1384">
        <v>0</v>
      </c>
      <c r="W1384">
        <v>1</v>
      </c>
    </row>
    <row r="1385" spans="1:23" ht="16.5" x14ac:dyDescent="0.3">
      <c r="A1385" t="s">
        <v>1444</v>
      </c>
      <c r="B1385" s="1">
        <v>45510</v>
      </c>
      <c r="C1385">
        <v>2024</v>
      </c>
      <c r="D1385" t="s">
        <v>1255</v>
      </c>
      <c r="E1385" t="s">
        <v>1415</v>
      </c>
      <c r="F1385" t="s">
        <v>41</v>
      </c>
      <c r="G1385" t="s">
        <v>51</v>
      </c>
      <c r="H1385" t="s">
        <v>28</v>
      </c>
      <c r="I1385" t="s">
        <v>29</v>
      </c>
      <c r="J1385" t="s">
        <v>52</v>
      </c>
      <c r="K1385" s="2">
        <v>4800</v>
      </c>
      <c r="L1385" s="2">
        <v>56500</v>
      </c>
      <c r="M1385">
        <v>12</v>
      </c>
      <c r="N1385" s="3">
        <v>1.2190000000000001</v>
      </c>
      <c r="O1385" t="s">
        <v>17</v>
      </c>
      <c r="P1385" t="s">
        <v>53</v>
      </c>
      <c r="Q1385">
        <v>0</v>
      </c>
      <c r="R1385">
        <v>1</v>
      </c>
      <c r="S1385" s="2">
        <v>0</v>
      </c>
      <c r="T1385" s="4"/>
      <c r="U1385">
        <v>17</v>
      </c>
      <c r="V1385">
        <v>0</v>
      </c>
      <c r="W1385">
        <v>1</v>
      </c>
    </row>
    <row r="1386" spans="1:23" ht="16.5" x14ac:dyDescent="0.3">
      <c r="A1386" t="s">
        <v>1445</v>
      </c>
      <c r="B1386" s="1">
        <v>45510</v>
      </c>
      <c r="C1386">
        <v>2024</v>
      </c>
      <c r="D1386" t="s">
        <v>1255</v>
      </c>
      <c r="E1386" t="s">
        <v>1415</v>
      </c>
      <c r="F1386" t="s">
        <v>41</v>
      </c>
      <c r="G1386" t="s">
        <v>51</v>
      </c>
      <c r="H1386" t="s">
        <v>38</v>
      </c>
      <c r="I1386" t="s">
        <v>39</v>
      </c>
      <c r="J1386" t="s">
        <v>52</v>
      </c>
      <c r="K1386" s="2">
        <v>5100</v>
      </c>
      <c r="L1386" s="2">
        <v>60000</v>
      </c>
      <c r="M1386">
        <v>60</v>
      </c>
      <c r="N1386" s="3">
        <v>0.34200000000000003</v>
      </c>
      <c r="O1386" t="s">
        <v>17</v>
      </c>
      <c r="P1386" t="s">
        <v>48</v>
      </c>
      <c r="Q1386">
        <v>0</v>
      </c>
      <c r="R1386">
        <v>1</v>
      </c>
      <c r="S1386" s="2">
        <v>0</v>
      </c>
      <c r="T1386" s="4"/>
      <c r="U1386">
        <v>17</v>
      </c>
      <c r="V1386">
        <v>0</v>
      </c>
      <c r="W1386">
        <v>1</v>
      </c>
    </row>
    <row r="1387" spans="1:23" ht="16.5" x14ac:dyDescent="0.3">
      <c r="A1387" t="s">
        <v>1446</v>
      </c>
      <c r="B1387" s="1">
        <v>45510</v>
      </c>
      <c r="C1387">
        <v>2024</v>
      </c>
      <c r="D1387" t="s">
        <v>1255</v>
      </c>
      <c r="E1387" t="s">
        <v>1415</v>
      </c>
      <c r="F1387" t="s">
        <v>50</v>
      </c>
      <c r="G1387" t="s">
        <v>51</v>
      </c>
      <c r="H1387" t="s">
        <v>55</v>
      </c>
      <c r="I1387" t="s">
        <v>29</v>
      </c>
      <c r="J1387" t="s">
        <v>35</v>
      </c>
      <c r="K1387" s="2">
        <v>19600</v>
      </c>
      <c r="L1387" s="2">
        <v>374500</v>
      </c>
      <c r="M1387">
        <v>240</v>
      </c>
      <c r="N1387" s="3">
        <v>0.30199999999999999</v>
      </c>
      <c r="O1387" t="s">
        <v>16</v>
      </c>
      <c r="Q1387">
        <v>1</v>
      </c>
      <c r="R1387">
        <v>0</v>
      </c>
      <c r="S1387" s="2">
        <v>374500</v>
      </c>
      <c r="T1387" s="4">
        <v>6.0600000000000001E-2</v>
      </c>
      <c r="U1387">
        <v>25</v>
      </c>
      <c r="V1387">
        <v>0</v>
      </c>
      <c r="W1387">
        <v>1</v>
      </c>
    </row>
    <row r="1388" spans="1:23" ht="16.5" x14ac:dyDescent="0.3">
      <c r="A1388" t="s">
        <v>1447</v>
      </c>
      <c r="B1388" s="1">
        <v>45510</v>
      </c>
      <c r="C1388">
        <v>2024</v>
      </c>
      <c r="D1388" t="s">
        <v>1255</v>
      </c>
      <c r="E1388" t="s">
        <v>1415</v>
      </c>
      <c r="F1388" t="s">
        <v>50</v>
      </c>
      <c r="G1388" t="s">
        <v>45</v>
      </c>
      <c r="H1388" t="s">
        <v>55</v>
      </c>
      <c r="I1388" t="s">
        <v>29</v>
      </c>
      <c r="J1388" t="s">
        <v>35</v>
      </c>
      <c r="K1388" s="2">
        <v>5600</v>
      </c>
      <c r="L1388" s="2">
        <v>311000</v>
      </c>
      <c r="M1388">
        <v>240</v>
      </c>
      <c r="N1388" s="3">
        <v>0.58399999999999996</v>
      </c>
      <c r="O1388" t="s">
        <v>17</v>
      </c>
      <c r="P1388" t="s">
        <v>53</v>
      </c>
      <c r="Q1388">
        <v>0</v>
      </c>
      <c r="R1388">
        <v>1</v>
      </c>
      <c r="S1388" s="2">
        <v>0</v>
      </c>
      <c r="T1388" s="4"/>
      <c r="U1388">
        <v>11</v>
      </c>
      <c r="V1388">
        <v>1</v>
      </c>
      <c r="W1388">
        <v>1</v>
      </c>
    </row>
    <row r="1389" spans="1:23" ht="16.5" x14ac:dyDescent="0.3">
      <c r="A1389" t="s">
        <v>1448</v>
      </c>
      <c r="B1389" s="1">
        <v>45510</v>
      </c>
      <c r="C1389">
        <v>2024</v>
      </c>
      <c r="D1389" t="s">
        <v>1255</v>
      </c>
      <c r="E1389" t="s">
        <v>1415</v>
      </c>
      <c r="F1389" t="s">
        <v>50</v>
      </c>
      <c r="G1389" t="s">
        <v>45</v>
      </c>
      <c r="H1389" t="s">
        <v>38</v>
      </c>
      <c r="I1389" t="s">
        <v>29</v>
      </c>
      <c r="J1389" t="s">
        <v>52</v>
      </c>
      <c r="K1389" s="2">
        <v>12350</v>
      </c>
      <c r="L1389" s="2">
        <v>171500</v>
      </c>
      <c r="M1389">
        <v>240</v>
      </c>
      <c r="N1389" s="3">
        <v>0.30399999999999999</v>
      </c>
      <c r="O1389" t="s">
        <v>16</v>
      </c>
      <c r="Q1389">
        <v>1</v>
      </c>
      <c r="R1389">
        <v>0</v>
      </c>
      <c r="S1389" s="2">
        <v>154500</v>
      </c>
      <c r="T1389" s="4">
        <v>5.0299999999999997E-2</v>
      </c>
      <c r="U1389">
        <v>11</v>
      </c>
      <c r="V1389">
        <v>1</v>
      </c>
      <c r="W1389">
        <v>1</v>
      </c>
    </row>
    <row r="1390" spans="1:23" ht="16.5" x14ac:dyDescent="0.3">
      <c r="A1390" t="s">
        <v>1449</v>
      </c>
      <c r="B1390" s="1">
        <v>45510</v>
      </c>
      <c r="C1390">
        <v>2024</v>
      </c>
      <c r="D1390" t="s">
        <v>1255</v>
      </c>
      <c r="E1390" t="s">
        <v>1415</v>
      </c>
      <c r="F1390" t="s">
        <v>41</v>
      </c>
      <c r="G1390" t="s">
        <v>51</v>
      </c>
      <c r="H1390" t="s">
        <v>38</v>
      </c>
      <c r="I1390" t="s">
        <v>29</v>
      </c>
      <c r="J1390" t="s">
        <v>30</v>
      </c>
      <c r="K1390" s="2">
        <v>2800</v>
      </c>
      <c r="L1390" s="2">
        <v>74000</v>
      </c>
      <c r="M1390">
        <v>36</v>
      </c>
      <c r="N1390" s="3">
        <v>1.0580000000000001</v>
      </c>
      <c r="O1390" t="s">
        <v>17</v>
      </c>
      <c r="P1390" t="s">
        <v>31</v>
      </c>
      <c r="Q1390">
        <v>0</v>
      </c>
      <c r="R1390">
        <v>1</v>
      </c>
      <c r="S1390" s="2">
        <v>0</v>
      </c>
      <c r="T1390" s="4"/>
      <c r="U1390">
        <v>15</v>
      </c>
      <c r="V1390">
        <v>0</v>
      </c>
      <c r="W1390">
        <v>1</v>
      </c>
    </row>
    <row r="1391" spans="1:23" ht="16.5" x14ac:dyDescent="0.3">
      <c r="A1391" t="s">
        <v>1450</v>
      </c>
      <c r="B1391" s="1">
        <v>45510</v>
      </c>
      <c r="C1391">
        <v>2024</v>
      </c>
      <c r="D1391" t="s">
        <v>1255</v>
      </c>
      <c r="E1391" t="s">
        <v>1415</v>
      </c>
      <c r="F1391" t="s">
        <v>26</v>
      </c>
      <c r="G1391" t="s">
        <v>51</v>
      </c>
      <c r="H1391" t="s">
        <v>38</v>
      </c>
      <c r="I1391" t="s">
        <v>39</v>
      </c>
      <c r="J1391" t="s">
        <v>35</v>
      </c>
      <c r="K1391" s="2">
        <v>2800</v>
      </c>
      <c r="L1391" s="2">
        <v>15500</v>
      </c>
      <c r="M1391">
        <v>36</v>
      </c>
      <c r="N1391" s="3">
        <v>0.312</v>
      </c>
      <c r="O1391" t="s">
        <v>17</v>
      </c>
      <c r="P1391" t="s">
        <v>65</v>
      </c>
      <c r="Q1391">
        <v>0</v>
      </c>
      <c r="R1391">
        <v>1</v>
      </c>
      <c r="S1391" s="2">
        <v>0</v>
      </c>
      <c r="T1391" s="4"/>
      <c r="U1391">
        <v>5</v>
      </c>
      <c r="V1391">
        <v>0</v>
      </c>
      <c r="W1391">
        <v>1</v>
      </c>
    </row>
    <row r="1392" spans="1:23" ht="16.5" x14ac:dyDescent="0.3">
      <c r="A1392" t="s">
        <v>1451</v>
      </c>
      <c r="B1392" s="1">
        <v>45511</v>
      </c>
      <c r="C1392">
        <v>2024</v>
      </c>
      <c r="D1392" t="s">
        <v>1255</v>
      </c>
      <c r="E1392" t="s">
        <v>1415</v>
      </c>
      <c r="F1392" t="s">
        <v>41</v>
      </c>
      <c r="G1392" t="s">
        <v>45</v>
      </c>
      <c r="H1392" t="s">
        <v>34</v>
      </c>
      <c r="I1392" t="s">
        <v>39</v>
      </c>
      <c r="J1392" t="s">
        <v>30</v>
      </c>
      <c r="K1392" s="2">
        <v>3450</v>
      </c>
      <c r="L1392" s="2">
        <v>68000</v>
      </c>
      <c r="M1392">
        <v>60</v>
      </c>
      <c r="N1392" s="3">
        <v>0.59299999999999997</v>
      </c>
      <c r="O1392" t="s">
        <v>17</v>
      </c>
      <c r="P1392" t="s">
        <v>53</v>
      </c>
      <c r="Q1392">
        <v>0</v>
      </c>
      <c r="R1392">
        <v>1</v>
      </c>
      <c r="S1392" s="2">
        <v>0</v>
      </c>
      <c r="T1392" s="4"/>
      <c r="U1392">
        <v>4</v>
      </c>
      <c r="V1392">
        <v>1</v>
      </c>
      <c r="W1392">
        <v>1</v>
      </c>
    </row>
    <row r="1393" spans="1:23" ht="16.5" x14ac:dyDescent="0.3">
      <c r="A1393" t="s">
        <v>1452</v>
      </c>
      <c r="B1393" s="1">
        <v>45511</v>
      </c>
      <c r="C1393">
        <v>2024</v>
      </c>
      <c r="D1393" t="s">
        <v>1255</v>
      </c>
      <c r="E1393" t="s">
        <v>1415</v>
      </c>
      <c r="F1393" t="s">
        <v>37</v>
      </c>
      <c r="G1393" t="s">
        <v>51</v>
      </c>
      <c r="H1393" t="s">
        <v>34</v>
      </c>
      <c r="I1393" t="s">
        <v>29</v>
      </c>
      <c r="J1393" t="s">
        <v>46</v>
      </c>
      <c r="K1393" s="2">
        <v>3850</v>
      </c>
      <c r="L1393" s="2">
        <v>37000</v>
      </c>
      <c r="M1393">
        <v>24</v>
      </c>
      <c r="N1393" s="3">
        <v>0.52200000000000002</v>
      </c>
      <c r="O1393" t="s">
        <v>16</v>
      </c>
      <c r="Q1393">
        <v>1</v>
      </c>
      <c r="R1393">
        <v>0</v>
      </c>
      <c r="S1393" s="2">
        <v>33500</v>
      </c>
      <c r="T1393" s="4">
        <v>9.8000000000000004E-2</v>
      </c>
      <c r="U1393">
        <v>6</v>
      </c>
      <c r="V1393">
        <v>0</v>
      </c>
      <c r="W1393">
        <v>1</v>
      </c>
    </row>
    <row r="1394" spans="1:23" ht="16.5" x14ac:dyDescent="0.3">
      <c r="A1394" t="s">
        <v>1453</v>
      </c>
      <c r="B1394" s="1">
        <v>45511</v>
      </c>
      <c r="C1394">
        <v>2024</v>
      </c>
      <c r="D1394" t="s">
        <v>1255</v>
      </c>
      <c r="E1394" t="s">
        <v>1415</v>
      </c>
      <c r="F1394" t="s">
        <v>26</v>
      </c>
      <c r="G1394" t="s">
        <v>51</v>
      </c>
      <c r="H1394" t="s">
        <v>55</v>
      </c>
      <c r="I1394" t="s">
        <v>39</v>
      </c>
      <c r="J1394" t="s">
        <v>52</v>
      </c>
      <c r="K1394" s="2">
        <v>2750</v>
      </c>
      <c r="L1394" s="2">
        <v>33000</v>
      </c>
      <c r="M1394">
        <v>60</v>
      </c>
      <c r="N1394" s="3">
        <v>0.42899999999999999</v>
      </c>
      <c r="O1394" t="s">
        <v>16</v>
      </c>
      <c r="Q1394">
        <v>1</v>
      </c>
      <c r="R1394">
        <v>0</v>
      </c>
      <c r="S1394" s="2">
        <v>33000</v>
      </c>
      <c r="T1394" s="4">
        <v>7.1999999999999995E-2</v>
      </c>
      <c r="U1394">
        <v>7</v>
      </c>
      <c r="V1394">
        <v>0</v>
      </c>
      <c r="W1394">
        <v>1</v>
      </c>
    </row>
    <row r="1395" spans="1:23" ht="16.5" x14ac:dyDescent="0.3">
      <c r="A1395" t="s">
        <v>1454</v>
      </c>
      <c r="B1395" s="1">
        <v>45511</v>
      </c>
      <c r="C1395">
        <v>2024</v>
      </c>
      <c r="D1395" t="s">
        <v>1255</v>
      </c>
      <c r="E1395" t="s">
        <v>1415</v>
      </c>
      <c r="F1395" t="s">
        <v>37</v>
      </c>
      <c r="G1395" t="s">
        <v>51</v>
      </c>
      <c r="H1395" t="s">
        <v>38</v>
      </c>
      <c r="I1395" t="s">
        <v>29</v>
      </c>
      <c r="J1395" t="s">
        <v>52</v>
      </c>
      <c r="K1395" s="2">
        <v>1600</v>
      </c>
      <c r="L1395" s="2">
        <v>20500</v>
      </c>
      <c r="M1395">
        <v>60</v>
      </c>
      <c r="N1395" s="3">
        <v>0.41</v>
      </c>
      <c r="O1395" t="s">
        <v>125</v>
      </c>
      <c r="Q1395">
        <v>0</v>
      </c>
      <c r="R1395">
        <v>0</v>
      </c>
      <c r="S1395" s="2">
        <v>0</v>
      </c>
      <c r="T1395" s="4"/>
      <c r="U1395">
        <v>4</v>
      </c>
      <c r="V1395">
        <v>0</v>
      </c>
      <c r="W1395">
        <v>1</v>
      </c>
    </row>
    <row r="1396" spans="1:23" ht="16.5" x14ac:dyDescent="0.3">
      <c r="A1396" t="s">
        <v>1455</v>
      </c>
      <c r="B1396" s="1">
        <v>45511</v>
      </c>
      <c r="C1396">
        <v>2024</v>
      </c>
      <c r="D1396" t="s">
        <v>1255</v>
      </c>
      <c r="E1396" t="s">
        <v>1415</v>
      </c>
      <c r="F1396" t="s">
        <v>37</v>
      </c>
      <c r="G1396" t="s">
        <v>33</v>
      </c>
      <c r="H1396" t="s">
        <v>34</v>
      </c>
      <c r="I1396" t="s">
        <v>29</v>
      </c>
      <c r="J1396" t="s">
        <v>43</v>
      </c>
      <c r="K1396" s="2">
        <v>3850</v>
      </c>
      <c r="L1396" s="2">
        <v>20500</v>
      </c>
      <c r="M1396">
        <v>12</v>
      </c>
      <c r="N1396" s="3">
        <v>0.52700000000000002</v>
      </c>
      <c r="O1396" t="s">
        <v>17</v>
      </c>
      <c r="P1396" t="s">
        <v>31</v>
      </c>
      <c r="Q1396">
        <v>0</v>
      </c>
      <c r="R1396">
        <v>1</v>
      </c>
      <c r="S1396" s="2">
        <v>0</v>
      </c>
      <c r="T1396" s="4"/>
      <c r="U1396">
        <v>2</v>
      </c>
      <c r="V1396">
        <v>1</v>
      </c>
      <c r="W1396">
        <v>1</v>
      </c>
    </row>
    <row r="1397" spans="1:23" ht="16.5" x14ac:dyDescent="0.3">
      <c r="A1397" t="s">
        <v>1456</v>
      </c>
      <c r="B1397" s="1">
        <v>45511</v>
      </c>
      <c r="C1397">
        <v>2024</v>
      </c>
      <c r="D1397" t="s">
        <v>1255</v>
      </c>
      <c r="E1397" t="s">
        <v>1415</v>
      </c>
      <c r="F1397" t="s">
        <v>26</v>
      </c>
      <c r="G1397" t="s">
        <v>45</v>
      </c>
      <c r="H1397" t="s">
        <v>38</v>
      </c>
      <c r="I1397" t="s">
        <v>39</v>
      </c>
      <c r="J1397" t="s">
        <v>30</v>
      </c>
      <c r="K1397" s="2">
        <v>7600</v>
      </c>
      <c r="L1397" s="2">
        <v>27000</v>
      </c>
      <c r="M1397">
        <v>48</v>
      </c>
      <c r="N1397" s="3">
        <v>0.157</v>
      </c>
      <c r="O1397" t="s">
        <v>125</v>
      </c>
      <c r="Q1397">
        <v>0</v>
      </c>
      <c r="R1397">
        <v>0</v>
      </c>
      <c r="S1397" s="2">
        <v>0</v>
      </c>
      <c r="T1397" s="4"/>
      <c r="U1397">
        <v>4</v>
      </c>
      <c r="V1397">
        <v>1</v>
      </c>
      <c r="W1397">
        <v>1</v>
      </c>
    </row>
    <row r="1398" spans="1:23" ht="16.5" x14ac:dyDescent="0.3">
      <c r="A1398" t="s">
        <v>1457</v>
      </c>
      <c r="B1398" s="1">
        <v>45511</v>
      </c>
      <c r="C1398">
        <v>2024</v>
      </c>
      <c r="D1398" t="s">
        <v>1255</v>
      </c>
      <c r="E1398" t="s">
        <v>1415</v>
      </c>
      <c r="F1398" t="s">
        <v>26</v>
      </c>
      <c r="G1398" t="s">
        <v>51</v>
      </c>
      <c r="H1398" t="s">
        <v>38</v>
      </c>
      <c r="I1398" t="s">
        <v>42</v>
      </c>
      <c r="J1398" t="s">
        <v>30</v>
      </c>
      <c r="K1398" s="2">
        <v>5300</v>
      </c>
      <c r="L1398" s="2">
        <v>18500</v>
      </c>
      <c r="M1398">
        <v>36</v>
      </c>
      <c r="N1398" s="3">
        <v>0.215</v>
      </c>
      <c r="O1398" t="s">
        <v>17</v>
      </c>
      <c r="P1398" t="s">
        <v>48</v>
      </c>
      <c r="Q1398">
        <v>0</v>
      </c>
      <c r="R1398">
        <v>1</v>
      </c>
      <c r="S1398" s="2">
        <v>0</v>
      </c>
      <c r="T1398" s="4"/>
      <c r="U1398">
        <v>6</v>
      </c>
      <c r="V1398">
        <v>0</v>
      </c>
      <c r="W1398">
        <v>1</v>
      </c>
    </row>
    <row r="1399" spans="1:23" ht="16.5" x14ac:dyDescent="0.3">
      <c r="A1399" t="s">
        <v>1458</v>
      </c>
      <c r="B1399" s="1">
        <v>45512</v>
      </c>
      <c r="C1399">
        <v>2024</v>
      </c>
      <c r="D1399" t="s">
        <v>1255</v>
      </c>
      <c r="E1399" t="s">
        <v>1415</v>
      </c>
      <c r="F1399" t="s">
        <v>37</v>
      </c>
      <c r="G1399" t="s">
        <v>51</v>
      </c>
      <c r="H1399" t="s">
        <v>38</v>
      </c>
      <c r="I1399" t="s">
        <v>29</v>
      </c>
      <c r="J1399" t="s">
        <v>46</v>
      </c>
      <c r="K1399" s="2">
        <v>4600</v>
      </c>
      <c r="L1399" s="2">
        <v>11500</v>
      </c>
      <c r="M1399">
        <v>36</v>
      </c>
      <c r="N1399" s="3">
        <v>0.316</v>
      </c>
      <c r="O1399" t="s">
        <v>16</v>
      </c>
      <c r="Q1399">
        <v>1</v>
      </c>
      <c r="R1399">
        <v>0</v>
      </c>
      <c r="S1399" s="2">
        <v>11500</v>
      </c>
      <c r="T1399" s="4">
        <v>0.1105</v>
      </c>
      <c r="U1399">
        <v>6</v>
      </c>
      <c r="V1399">
        <v>0</v>
      </c>
      <c r="W1399">
        <v>1</v>
      </c>
    </row>
    <row r="1400" spans="1:23" ht="16.5" x14ac:dyDescent="0.3">
      <c r="A1400" t="s">
        <v>1459</v>
      </c>
      <c r="B1400" s="1">
        <v>45512</v>
      </c>
      <c r="C1400">
        <v>2024</v>
      </c>
      <c r="D1400" t="s">
        <v>1255</v>
      </c>
      <c r="E1400" t="s">
        <v>1415</v>
      </c>
      <c r="F1400" t="s">
        <v>41</v>
      </c>
      <c r="G1400" t="s">
        <v>45</v>
      </c>
      <c r="H1400" t="s">
        <v>38</v>
      </c>
      <c r="I1400" t="s">
        <v>39</v>
      </c>
      <c r="J1400" t="s">
        <v>43</v>
      </c>
      <c r="K1400" s="2">
        <v>6150</v>
      </c>
      <c r="L1400" s="2">
        <v>90000</v>
      </c>
      <c r="M1400">
        <v>12</v>
      </c>
      <c r="N1400" s="3">
        <v>1.4</v>
      </c>
      <c r="O1400" t="s">
        <v>125</v>
      </c>
      <c r="Q1400">
        <v>0</v>
      </c>
      <c r="R1400">
        <v>0</v>
      </c>
      <c r="S1400" s="2">
        <v>0</v>
      </c>
      <c r="T1400" s="4"/>
      <c r="U1400">
        <v>11</v>
      </c>
      <c r="V1400">
        <v>0</v>
      </c>
      <c r="W1400">
        <v>1</v>
      </c>
    </row>
    <row r="1401" spans="1:23" ht="16.5" x14ac:dyDescent="0.3">
      <c r="A1401" t="s">
        <v>1460</v>
      </c>
      <c r="B1401" s="1">
        <v>45512</v>
      </c>
      <c r="C1401">
        <v>2024</v>
      </c>
      <c r="D1401" t="s">
        <v>1255</v>
      </c>
      <c r="E1401" t="s">
        <v>1415</v>
      </c>
      <c r="F1401" t="s">
        <v>37</v>
      </c>
      <c r="G1401" t="s">
        <v>27</v>
      </c>
      <c r="H1401" t="s">
        <v>38</v>
      </c>
      <c r="I1401" t="s">
        <v>39</v>
      </c>
      <c r="J1401" t="s">
        <v>46</v>
      </c>
      <c r="K1401" s="2">
        <v>4950</v>
      </c>
      <c r="L1401" s="2">
        <v>13000</v>
      </c>
      <c r="M1401">
        <v>24</v>
      </c>
      <c r="N1401" s="3">
        <v>0.24399999999999999</v>
      </c>
      <c r="O1401" t="s">
        <v>16</v>
      </c>
      <c r="Q1401">
        <v>1</v>
      </c>
      <c r="R1401">
        <v>0</v>
      </c>
      <c r="S1401" s="2">
        <v>10500</v>
      </c>
      <c r="T1401" s="4">
        <v>0.1052</v>
      </c>
      <c r="U1401">
        <v>7</v>
      </c>
      <c r="V1401">
        <v>0</v>
      </c>
      <c r="W1401">
        <v>1</v>
      </c>
    </row>
    <row r="1402" spans="1:23" ht="16.5" x14ac:dyDescent="0.3">
      <c r="A1402" t="s">
        <v>1461</v>
      </c>
      <c r="B1402" s="1">
        <v>45513</v>
      </c>
      <c r="C1402">
        <v>2024</v>
      </c>
      <c r="D1402" t="s">
        <v>1255</v>
      </c>
      <c r="E1402" t="s">
        <v>1415</v>
      </c>
      <c r="F1402" t="s">
        <v>26</v>
      </c>
      <c r="G1402" t="s">
        <v>51</v>
      </c>
      <c r="H1402" t="s">
        <v>64</v>
      </c>
      <c r="I1402" t="s">
        <v>39</v>
      </c>
      <c r="J1402" t="s">
        <v>30</v>
      </c>
      <c r="K1402" s="2">
        <v>6900</v>
      </c>
      <c r="L1402" s="2">
        <v>24500</v>
      </c>
      <c r="M1402">
        <v>36</v>
      </c>
      <c r="N1402" s="3">
        <v>0.161</v>
      </c>
      <c r="O1402" t="s">
        <v>17</v>
      </c>
      <c r="P1402" t="s">
        <v>31</v>
      </c>
      <c r="Q1402">
        <v>0</v>
      </c>
      <c r="R1402">
        <v>1</v>
      </c>
      <c r="S1402" s="2">
        <v>0</v>
      </c>
      <c r="T1402" s="4"/>
      <c r="U1402">
        <v>6</v>
      </c>
      <c r="V1402">
        <v>0</v>
      </c>
      <c r="W1402">
        <v>1</v>
      </c>
    </row>
    <row r="1403" spans="1:23" ht="16.5" x14ac:dyDescent="0.3">
      <c r="A1403" t="s">
        <v>1462</v>
      </c>
      <c r="B1403" s="1">
        <v>45513</v>
      </c>
      <c r="C1403">
        <v>2024</v>
      </c>
      <c r="D1403" t="s">
        <v>1255</v>
      </c>
      <c r="E1403" t="s">
        <v>1415</v>
      </c>
      <c r="F1403" t="s">
        <v>37</v>
      </c>
      <c r="G1403" t="s">
        <v>51</v>
      </c>
      <c r="H1403" t="s">
        <v>38</v>
      </c>
      <c r="I1403" t="s">
        <v>39</v>
      </c>
      <c r="J1403" t="s">
        <v>30</v>
      </c>
      <c r="K1403" s="2">
        <v>2800</v>
      </c>
      <c r="L1403" s="2">
        <v>3000</v>
      </c>
      <c r="M1403">
        <v>24</v>
      </c>
      <c r="N1403" s="3">
        <v>0.14599999999999999</v>
      </c>
      <c r="O1403" t="s">
        <v>17</v>
      </c>
      <c r="P1403" t="s">
        <v>60</v>
      </c>
      <c r="Q1403">
        <v>0</v>
      </c>
      <c r="R1403">
        <v>1</v>
      </c>
      <c r="S1403" s="2">
        <v>0</v>
      </c>
      <c r="T1403" s="4"/>
      <c r="U1403">
        <v>11</v>
      </c>
      <c r="V1403">
        <v>0</v>
      </c>
      <c r="W1403">
        <v>1</v>
      </c>
    </row>
    <row r="1404" spans="1:23" ht="16.5" x14ac:dyDescent="0.3">
      <c r="A1404" t="s">
        <v>1463</v>
      </c>
      <c r="B1404" s="1">
        <v>45513</v>
      </c>
      <c r="C1404">
        <v>2024</v>
      </c>
      <c r="D1404" t="s">
        <v>1255</v>
      </c>
      <c r="E1404" t="s">
        <v>1415</v>
      </c>
      <c r="F1404" t="s">
        <v>50</v>
      </c>
      <c r="G1404" t="s">
        <v>51</v>
      </c>
      <c r="H1404" t="s">
        <v>28</v>
      </c>
      <c r="I1404" t="s">
        <v>29</v>
      </c>
      <c r="J1404" t="s">
        <v>43</v>
      </c>
      <c r="K1404" s="2">
        <v>5150</v>
      </c>
      <c r="L1404" s="2">
        <v>398500</v>
      </c>
      <c r="M1404">
        <v>240</v>
      </c>
      <c r="N1404" s="3">
        <v>0.65500000000000003</v>
      </c>
      <c r="O1404" t="s">
        <v>17</v>
      </c>
      <c r="P1404" t="s">
        <v>31</v>
      </c>
      <c r="Q1404">
        <v>0</v>
      </c>
      <c r="R1404">
        <v>1</v>
      </c>
      <c r="S1404" s="2">
        <v>0</v>
      </c>
      <c r="T1404" s="4"/>
      <c r="U1404">
        <v>18</v>
      </c>
      <c r="V1404">
        <v>0</v>
      </c>
      <c r="W1404">
        <v>1</v>
      </c>
    </row>
    <row r="1405" spans="1:23" ht="16.5" x14ac:dyDescent="0.3">
      <c r="A1405" t="s">
        <v>1464</v>
      </c>
      <c r="B1405" s="1">
        <v>45513</v>
      </c>
      <c r="C1405">
        <v>2024</v>
      </c>
      <c r="D1405" t="s">
        <v>1255</v>
      </c>
      <c r="E1405" t="s">
        <v>1415</v>
      </c>
      <c r="F1405" t="s">
        <v>41</v>
      </c>
      <c r="G1405" t="s">
        <v>51</v>
      </c>
      <c r="H1405" t="s">
        <v>28</v>
      </c>
      <c r="I1405" t="s">
        <v>42</v>
      </c>
      <c r="J1405" t="s">
        <v>35</v>
      </c>
      <c r="K1405" s="2">
        <v>4650</v>
      </c>
      <c r="L1405" s="2">
        <v>155000</v>
      </c>
      <c r="M1405">
        <v>12</v>
      </c>
      <c r="N1405" s="3">
        <v>3.1269999999999998</v>
      </c>
      <c r="O1405" t="s">
        <v>17</v>
      </c>
      <c r="P1405" t="s">
        <v>53</v>
      </c>
      <c r="Q1405">
        <v>0</v>
      </c>
      <c r="R1405">
        <v>1</v>
      </c>
      <c r="S1405" s="2">
        <v>0</v>
      </c>
      <c r="T1405" s="4"/>
      <c r="U1405">
        <v>17</v>
      </c>
      <c r="V1405">
        <v>0</v>
      </c>
      <c r="W1405">
        <v>1</v>
      </c>
    </row>
    <row r="1406" spans="1:23" ht="16.5" x14ac:dyDescent="0.3">
      <c r="A1406" t="s">
        <v>1465</v>
      </c>
      <c r="B1406" s="1">
        <v>45513</v>
      </c>
      <c r="C1406">
        <v>2024</v>
      </c>
      <c r="D1406" t="s">
        <v>1255</v>
      </c>
      <c r="E1406" t="s">
        <v>1415</v>
      </c>
      <c r="F1406" t="s">
        <v>37</v>
      </c>
      <c r="G1406" t="s">
        <v>51</v>
      </c>
      <c r="H1406" t="s">
        <v>34</v>
      </c>
      <c r="I1406" t="s">
        <v>42</v>
      </c>
      <c r="J1406" t="s">
        <v>35</v>
      </c>
      <c r="K1406" s="2">
        <v>5150</v>
      </c>
      <c r="L1406" s="2">
        <v>5500</v>
      </c>
      <c r="M1406">
        <v>48</v>
      </c>
      <c r="N1406" s="3">
        <v>0.129</v>
      </c>
      <c r="O1406" t="s">
        <v>16</v>
      </c>
      <c r="Q1406">
        <v>1</v>
      </c>
      <c r="R1406">
        <v>0</v>
      </c>
      <c r="S1406" s="2">
        <v>4500</v>
      </c>
      <c r="T1406" s="4">
        <v>0.12970000000000001</v>
      </c>
      <c r="U1406">
        <v>9</v>
      </c>
      <c r="V1406">
        <v>0</v>
      </c>
      <c r="W1406">
        <v>1</v>
      </c>
    </row>
    <row r="1407" spans="1:23" ht="16.5" x14ac:dyDescent="0.3">
      <c r="A1407" t="s">
        <v>1466</v>
      </c>
      <c r="B1407" s="1">
        <v>45513</v>
      </c>
      <c r="C1407">
        <v>2024</v>
      </c>
      <c r="D1407" t="s">
        <v>1255</v>
      </c>
      <c r="E1407" t="s">
        <v>1415</v>
      </c>
      <c r="F1407" t="s">
        <v>37</v>
      </c>
      <c r="G1407" t="s">
        <v>27</v>
      </c>
      <c r="H1407" t="s">
        <v>64</v>
      </c>
      <c r="I1407" t="s">
        <v>42</v>
      </c>
      <c r="J1407" t="s">
        <v>43</v>
      </c>
      <c r="K1407" s="2">
        <v>10350</v>
      </c>
      <c r="L1407" s="2">
        <v>15000</v>
      </c>
      <c r="M1407">
        <v>60</v>
      </c>
      <c r="N1407" s="3">
        <v>0.17599999999999999</v>
      </c>
      <c r="O1407" t="s">
        <v>17</v>
      </c>
      <c r="P1407" t="s">
        <v>31</v>
      </c>
      <c r="Q1407">
        <v>0</v>
      </c>
      <c r="R1407">
        <v>1</v>
      </c>
      <c r="S1407" s="2">
        <v>0</v>
      </c>
      <c r="T1407" s="4"/>
      <c r="U1407">
        <v>5</v>
      </c>
      <c r="V1407">
        <v>0</v>
      </c>
      <c r="W1407">
        <v>1</v>
      </c>
    </row>
    <row r="1408" spans="1:23" ht="16.5" x14ac:dyDescent="0.3">
      <c r="A1408" t="s">
        <v>1467</v>
      </c>
      <c r="B1408" s="1">
        <v>45514</v>
      </c>
      <c r="C1408">
        <v>2024</v>
      </c>
      <c r="D1408" t="s">
        <v>1255</v>
      </c>
      <c r="E1408" t="s">
        <v>1415</v>
      </c>
      <c r="F1408" t="s">
        <v>37</v>
      </c>
      <c r="G1408" t="s">
        <v>33</v>
      </c>
      <c r="H1408" t="s">
        <v>64</v>
      </c>
      <c r="I1408" t="s">
        <v>42</v>
      </c>
      <c r="J1408" t="s">
        <v>30</v>
      </c>
      <c r="K1408" s="2">
        <v>10750</v>
      </c>
      <c r="L1408" s="2">
        <v>13500</v>
      </c>
      <c r="M1408">
        <v>60</v>
      </c>
      <c r="N1408" s="3">
        <v>0.253</v>
      </c>
      <c r="O1408" t="s">
        <v>16</v>
      </c>
      <c r="Q1408">
        <v>1</v>
      </c>
      <c r="R1408">
        <v>0</v>
      </c>
      <c r="S1408" s="2">
        <v>13500</v>
      </c>
      <c r="T1408" s="4">
        <v>0.1386</v>
      </c>
      <c r="U1408">
        <v>1</v>
      </c>
      <c r="V1408">
        <v>1</v>
      </c>
      <c r="W1408">
        <v>1</v>
      </c>
    </row>
    <row r="1409" spans="1:23" ht="16.5" x14ac:dyDescent="0.3">
      <c r="A1409" t="s">
        <v>1468</v>
      </c>
      <c r="B1409" s="1">
        <v>45514</v>
      </c>
      <c r="C1409">
        <v>2024</v>
      </c>
      <c r="D1409" t="s">
        <v>1255</v>
      </c>
      <c r="E1409" t="s">
        <v>1415</v>
      </c>
      <c r="F1409" t="s">
        <v>50</v>
      </c>
      <c r="G1409" t="s">
        <v>33</v>
      </c>
      <c r="H1409" t="s">
        <v>38</v>
      </c>
      <c r="I1409" t="s">
        <v>29</v>
      </c>
      <c r="J1409" t="s">
        <v>30</v>
      </c>
      <c r="K1409" s="2">
        <v>3100</v>
      </c>
      <c r="L1409" s="2">
        <v>395000</v>
      </c>
      <c r="M1409">
        <v>180</v>
      </c>
      <c r="N1409" s="3">
        <v>1.1040000000000001</v>
      </c>
      <c r="O1409" t="s">
        <v>17</v>
      </c>
      <c r="P1409" t="s">
        <v>31</v>
      </c>
      <c r="Q1409">
        <v>0</v>
      </c>
      <c r="R1409">
        <v>1</v>
      </c>
      <c r="S1409" s="2">
        <v>0</v>
      </c>
      <c r="T1409" s="4"/>
      <c r="U1409">
        <v>9</v>
      </c>
      <c r="V1409">
        <v>1</v>
      </c>
      <c r="W1409">
        <v>1</v>
      </c>
    </row>
    <row r="1410" spans="1:23" ht="16.5" x14ac:dyDescent="0.3">
      <c r="A1410" t="s">
        <v>1469</v>
      </c>
      <c r="B1410" s="1">
        <v>45514</v>
      </c>
      <c r="C1410">
        <v>2024</v>
      </c>
      <c r="D1410" t="s">
        <v>1255</v>
      </c>
      <c r="E1410" t="s">
        <v>1415</v>
      </c>
      <c r="F1410" t="s">
        <v>41</v>
      </c>
      <c r="G1410" t="s">
        <v>33</v>
      </c>
      <c r="H1410" t="s">
        <v>55</v>
      </c>
      <c r="I1410" t="s">
        <v>39</v>
      </c>
      <c r="J1410" t="s">
        <v>35</v>
      </c>
      <c r="K1410" s="2">
        <v>4000</v>
      </c>
      <c r="L1410" s="2">
        <v>84500</v>
      </c>
      <c r="M1410">
        <v>60</v>
      </c>
      <c r="N1410" s="3">
        <v>0.66600000000000004</v>
      </c>
      <c r="O1410" t="s">
        <v>16</v>
      </c>
      <c r="Q1410">
        <v>1</v>
      </c>
      <c r="R1410">
        <v>0</v>
      </c>
      <c r="S1410" s="2">
        <v>84500</v>
      </c>
      <c r="T1410" s="4">
        <v>0.10970000000000001</v>
      </c>
      <c r="U1410">
        <v>6</v>
      </c>
      <c r="V1410">
        <v>1</v>
      </c>
      <c r="W1410">
        <v>1</v>
      </c>
    </row>
    <row r="1411" spans="1:23" ht="16.5" x14ac:dyDescent="0.3">
      <c r="A1411" t="s">
        <v>1470</v>
      </c>
      <c r="B1411" s="1">
        <v>45514</v>
      </c>
      <c r="C1411">
        <v>2024</v>
      </c>
      <c r="D1411" t="s">
        <v>1255</v>
      </c>
      <c r="E1411" t="s">
        <v>1415</v>
      </c>
      <c r="F1411" t="s">
        <v>41</v>
      </c>
      <c r="G1411" t="s">
        <v>27</v>
      </c>
      <c r="H1411" t="s">
        <v>55</v>
      </c>
      <c r="I1411" t="s">
        <v>42</v>
      </c>
      <c r="J1411" t="s">
        <v>35</v>
      </c>
      <c r="K1411" s="2">
        <v>4000</v>
      </c>
      <c r="L1411" s="2">
        <v>70000</v>
      </c>
      <c r="M1411">
        <v>12</v>
      </c>
      <c r="N1411" s="3">
        <v>1.7090000000000001</v>
      </c>
      <c r="O1411" t="s">
        <v>17</v>
      </c>
      <c r="P1411" t="s">
        <v>53</v>
      </c>
      <c r="Q1411">
        <v>0</v>
      </c>
      <c r="R1411">
        <v>1</v>
      </c>
      <c r="S1411" s="2">
        <v>0</v>
      </c>
      <c r="T1411" s="4"/>
      <c r="U1411">
        <v>8</v>
      </c>
      <c r="V1411">
        <v>1</v>
      </c>
      <c r="W1411">
        <v>1</v>
      </c>
    </row>
    <row r="1412" spans="1:23" ht="16.5" x14ac:dyDescent="0.3">
      <c r="A1412" t="s">
        <v>1471</v>
      </c>
      <c r="B1412" s="1">
        <v>45515</v>
      </c>
      <c r="C1412">
        <v>2024</v>
      </c>
      <c r="D1412" t="s">
        <v>1255</v>
      </c>
      <c r="E1412" t="s">
        <v>1415</v>
      </c>
      <c r="F1412" t="s">
        <v>26</v>
      </c>
      <c r="G1412" t="s">
        <v>51</v>
      </c>
      <c r="H1412" t="s">
        <v>38</v>
      </c>
      <c r="I1412" t="s">
        <v>39</v>
      </c>
      <c r="J1412" t="s">
        <v>30</v>
      </c>
      <c r="K1412" s="2">
        <v>3800</v>
      </c>
      <c r="L1412" s="2">
        <v>23000</v>
      </c>
      <c r="M1412">
        <v>60</v>
      </c>
      <c r="N1412" s="3">
        <v>0.25900000000000001</v>
      </c>
      <c r="O1412" t="s">
        <v>16</v>
      </c>
      <c r="Q1412">
        <v>1</v>
      </c>
      <c r="R1412">
        <v>0</v>
      </c>
      <c r="S1412" s="2">
        <v>23000</v>
      </c>
      <c r="T1412" s="4">
        <v>9.7900000000000001E-2</v>
      </c>
      <c r="U1412">
        <v>8</v>
      </c>
      <c r="V1412">
        <v>0</v>
      </c>
      <c r="W1412">
        <v>1</v>
      </c>
    </row>
    <row r="1413" spans="1:23" ht="16.5" x14ac:dyDescent="0.3">
      <c r="A1413" t="s">
        <v>1472</v>
      </c>
      <c r="B1413" s="1">
        <v>45515</v>
      </c>
      <c r="C1413">
        <v>2024</v>
      </c>
      <c r="D1413" t="s">
        <v>1255</v>
      </c>
      <c r="E1413" t="s">
        <v>1415</v>
      </c>
      <c r="F1413" t="s">
        <v>37</v>
      </c>
      <c r="G1413" t="s">
        <v>27</v>
      </c>
      <c r="H1413" t="s">
        <v>28</v>
      </c>
      <c r="I1413" t="s">
        <v>42</v>
      </c>
      <c r="J1413" t="s">
        <v>52</v>
      </c>
      <c r="K1413" s="2">
        <v>11650</v>
      </c>
      <c r="L1413" s="2">
        <v>7000</v>
      </c>
      <c r="M1413">
        <v>60</v>
      </c>
      <c r="N1413" s="3">
        <v>0.17399999999999999</v>
      </c>
      <c r="O1413" t="s">
        <v>16</v>
      </c>
      <c r="Q1413">
        <v>1</v>
      </c>
      <c r="R1413">
        <v>0</v>
      </c>
      <c r="S1413" s="2">
        <v>7000</v>
      </c>
      <c r="T1413" s="4">
        <v>0.1119</v>
      </c>
      <c r="U1413">
        <v>2</v>
      </c>
      <c r="V1413">
        <v>1</v>
      </c>
      <c r="W1413">
        <v>1</v>
      </c>
    </row>
    <row r="1414" spans="1:23" ht="16.5" x14ac:dyDescent="0.3">
      <c r="A1414" t="s">
        <v>1473</v>
      </c>
      <c r="B1414" s="1">
        <v>45515</v>
      </c>
      <c r="C1414">
        <v>2024</v>
      </c>
      <c r="D1414" t="s">
        <v>1255</v>
      </c>
      <c r="E1414" t="s">
        <v>1415</v>
      </c>
      <c r="F1414" t="s">
        <v>41</v>
      </c>
      <c r="G1414" t="s">
        <v>27</v>
      </c>
      <c r="H1414" t="s">
        <v>28</v>
      </c>
      <c r="I1414" t="s">
        <v>29</v>
      </c>
      <c r="J1414" t="s">
        <v>52</v>
      </c>
      <c r="K1414" s="2">
        <v>5900</v>
      </c>
      <c r="L1414" s="2">
        <v>104000</v>
      </c>
      <c r="M1414">
        <v>24</v>
      </c>
      <c r="N1414" s="3">
        <v>0.98199999999999998</v>
      </c>
      <c r="O1414" t="s">
        <v>17</v>
      </c>
      <c r="P1414" t="s">
        <v>53</v>
      </c>
      <c r="Q1414">
        <v>0</v>
      </c>
      <c r="R1414">
        <v>1</v>
      </c>
      <c r="S1414" s="2">
        <v>0</v>
      </c>
      <c r="T1414" s="4"/>
      <c r="U1414">
        <v>14</v>
      </c>
      <c r="V1414">
        <v>0</v>
      </c>
      <c r="W1414">
        <v>1</v>
      </c>
    </row>
    <row r="1415" spans="1:23" ht="16.5" x14ac:dyDescent="0.3">
      <c r="A1415" t="s">
        <v>1474</v>
      </c>
      <c r="B1415" s="1">
        <v>45515</v>
      </c>
      <c r="C1415">
        <v>2024</v>
      </c>
      <c r="D1415" t="s">
        <v>1255</v>
      </c>
      <c r="E1415" t="s">
        <v>1415</v>
      </c>
      <c r="F1415" t="s">
        <v>41</v>
      </c>
      <c r="G1415" t="s">
        <v>51</v>
      </c>
      <c r="H1415" t="s">
        <v>38</v>
      </c>
      <c r="I1415" t="s">
        <v>39</v>
      </c>
      <c r="J1415" t="s">
        <v>35</v>
      </c>
      <c r="K1415" s="2">
        <v>2850</v>
      </c>
      <c r="L1415" s="2">
        <v>99500</v>
      </c>
      <c r="M1415">
        <v>12</v>
      </c>
      <c r="N1415" s="3">
        <v>3.2970000000000002</v>
      </c>
      <c r="O1415" t="s">
        <v>17</v>
      </c>
      <c r="P1415" t="s">
        <v>53</v>
      </c>
      <c r="Q1415">
        <v>0</v>
      </c>
      <c r="R1415">
        <v>1</v>
      </c>
      <c r="S1415" s="2">
        <v>0</v>
      </c>
      <c r="T1415" s="4"/>
      <c r="U1415">
        <v>15</v>
      </c>
      <c r="V1415">
        <v>0</v>
      </c>
      <c r="W1415">
        <v>1</v>
      </c>
    </row>
    <row r="1416" spans="1:23" ht="16.5" x14ac:dyDescent="0.3">
      <c r="A1416" t="s">
        <v>1475</v>
      </c>
      <c r="B1416" s="1">
        <v>45515</v>
      </c>
      <c r="C1416">
        <v>2024</v>
      </c>
      <c r="D1416" t="s">
        <v>1255</v>
      </c>
      <c r="E1416" t="s">
        <v>1415</v>
      </c>
      <c r="F1416" t="s">
        <v>26</v>
      </c>
      <c r="G1416" t="s">
        <v>51</v>
      </c>
      <c r="H1416" t="s">
        <v>55</v>
      </c>
      <c r="I1416" t="s">
        <v>42</v>
      </c>
      <c r="J1416" t="s">
        <v>30</v>
      </c>
      <c r="K1416" s="2">
        <v>6500</v>
      </c>
      <c r="L1416" s="2">
        <v>24000</v>
      </c>
      <c r="M1416">
        <v>48</v>
      </c>
      <c r="N1416" s="3">
        <v>0.30299999999999999</v>
      </c>
      <c r="O1416" t="s">
        <v>16</v>
      </c>
      <c r="Q1416">
        <v>1</v>
      </c>
      <c r="R1416">
        <v>0</v>
      </c>
      <c r="S1416" s="2">
        <v>24000</v>
      </c>
      <c r="T1416" s="4">
        <v>0.1007</v>
      </c>
      <c r="U1416">
        <v>7</v>
      </c>
      <c r="V1416">
        <v>0</v>
      </c>
      <c r="W1416">
        <v>1</v>
      </c>
    </row>
    <row r="1417" spans="1:23" ht="16.5" x14ac:dyDescent="0.3">
      <c r="A1417" t="s">
        <v>1476</v>
      </c>
      <c r="B1417" s="1">
        <v>45516</v>
      </c>
      <c r="C1417">
        <v>2024</v>
      </c>
      <c r="D1417" t="s">
        <v>1255</v>
      </c>
      <c r="E1417" t="s">
        <v>1415</v>
      </c>
      <c r="F1417" t="s">
        <v>37</v>
      </c>
      <c r="G1417" t="s">
        <v>27</v>
      </c>
      <c r="H1417" t="s">
        <v>38</v>
      </c>
      <c r="I1417" t="s">
        <v>29</v>
      </c>
      <c r="J1417" t="s">
        <v>35</v>
      </c>
      <c r="K1417" s="2">
        <v>4800</v>
      </c>
      <c r="L1417" s="2">
        <v>14000</v>
      </c>
      <c r="M1417">
        <v>60</v>
      </c>
      <c r="N1417" s="3">
        <v>0.16400000000000001</v>
      </c>
      <c r="O1417" t="s">
        <v>17</v>
      </c>
      <c r="P1417" t="s">
        <v>60</v>
      </c>
      <c r="Q1417">
        <v>0</v>
      </c>
      <c r="R1417">
        <v>1</v>
      </c>
      <c r="S1417" s="2">
        <v>0</v>
      </c>
      <c r="T1417" s="4"/>
      <c r="U1417">
        <v>6</v>
      </c>
      <c r="V1417">
        <v>0</v>
      </c>
      <c r="W1417">
        <v>1</v>
      </c>
    </row>
    <row r="1418" spans="1:23" ht="16.5" x14ac:dyDescent="0.3">
      <c r="A1418" t="s">
        <v>1477</v>
      </c>
      <c r="B1418" s="1">
        <v>45516</v>
      </c>
      <c r="C1418">
        <v>2024</v>
      </c>
      <c r="D1418" t="s">
        <v>1255</v>
      </c>
      <c r="E1418" t="s">
        <v>1415</v>
      </c>
      <c r="F1418" t="s">
        <v>37</v>
      </c>
      <c r="G1418" t="s">
        <v>51</v>
      </c>
      <c r="H1418" t="s">
        <v>64</v>
      </c>
      <c r="I1418" t="s">
        <v>29</v>
      </c>
      <c r="J1418" t="s">
        <v>46</v>
      </c>
      <c r="K1418" s="2">
        <v>6000</v>
      </c>
      <c r="L1418" s="2">
        <v>10000</v>
      </c>
      <c r="M1418">
        <v>48</v>
      </c>
      <c r="N1418" s="3">
        <v>0.25800000000000001</v>
      </c>
      <c r="O1418" t="s">
        <v>16</v>
      </c>
      <c r="Q1418">
        <v>1</v>
      </c>
      <c r="R1418">
        <v>0</v>
      </c>
      <c r="S1418" s="2">
        <v>9000</v>
      </c>
      <c r="T1418" s="4">
        <v>0.10920000000000001</v>
      </c>
      <c r="U1418">
        <v>5</v>
      </c>
      <c r="V1418">
        <v>0</v>
      </c>
      <c r="W1418">
        <v>1</v>
      </c>
    </row>
    <row r="1419" spans="1:23" ht="16.5" x14ac:dyDescent="0.3">
      <c r="A1419" t="s">
        <v>1478</v>
      </c>
      <c r="B1419" s="1">
        <v>45516</v>
      </c>
      <c r="C1419">
        <v>2024</v>
      </c>
      <c r="D1419" t="s">
        <v>1255</v>
      </c>
      <c r="E1419" t="s">
        <v>1415</v>
      </c>
      <c r="F1419" t="s">
        <v>37</v>
      </c>
      <c r="G1419" t="s">
        <v>51</v>
      </c>
      <c r="H1419" t="s">
        <v>55</v>
      </c>
      <c r="I1419" t="s">
        <v>29</v>
      </c>
      <c r="J1419" t="s">
        <v>35</v>
      </c>
      <c r="K1419" s="2">
        <v>6500</v>
      </c>
      <c r="L1419" s="2">
        <v>9000</v>
      </c>
      <c r="M1419">
        <v>12</v>
      </c>
      <c r="N1419" s="3">
        <v>0.219</v>
      </c>
      <c r="O1419" t="s">
        <v>16</v>
      </c>
      <c r="Q1419">
        <v>1</v>
      </c>
      <c r="R1419">
        <v>0</v>
      </c>
      <c r="S1419" s="2">
        <v>8000</v>
      </c>
      <c r="T1419" s="4">
        <v>0.1263</v>
      </c>
      <c r="U1419">
        <v>4</v>
      </c>
      <c r="V1419">
        <v>0</v>
      </c>
      <c r="W1419">
        <v>1</v>
      </c>
    </row>
    <row r="1420" spans="1:23" ht="16.5" x14ac:dyDescent="0.3">
      <c r="A1420" t="s">
        <v>1479</v>
      </c>
      <c r="B1420" s="1">
        <v>45516</v>
      </c>
      <c r="C1420">
        <v>2024</v>
      </c>
      <c r="D1420" t="s">
        <v>1255</v>
      </c>
      <c r="E1420" t="s">
        <v>1415</v>
      </c>
      <c r="F1420" t="s">
        <v>26</v>
      </c>
      <c r="G1420" t="s">
        <v>51</v>
      </c>
      <c r="H1420" t="s">
        <v>38</v>
      </c>
      <c r="I1420" t="s">
        <v>29</v>
      </c>
      <c r="J1420" t="s">
        <v>52</v>
      </c>
      <c r="K1420" s="2">
        <v>5750</v>
      </c>
      <c r="L1420" s="2">
        <v>27000</v>
      </c>
      <c r="M1420">
        <v>36</v>
      </c>
      <c r="N1420" s="3">
        <v>0.371</v>
      </c>
      <c r="O1420" t="s">
        <v>16</v>
      </c>
      <c r="Q1420">
        <v>1</v>
      </c>
      <c r="R1420">
        <v>0</v>
      </c>
      <c r="S1420" s="2">
        <v>27000</v>
      </c>
      <c r="T1420" s="4">
        <v>7.1800000000000003E-2</v>
      </c>
      <c r="U1420">
        <v>5</v>
      </c>
      <c r="V1420">
        <v>0</v>
      </c>
      <c r="W1420">
        <v>1</v>
      </c>
    </row>
    <row r="1421" spans="1:23" ht="16.5" x14ac:dyDescent="0.3">
      <c r="A1421" t="s">
        <v>1480</v>
      </c>
      <c r="B1421" s="1">
        <v>45516</v>
      </c>
      <c r="C1421">
        <v>2024</v>
      </c>
      <c r="D1421" t="s">
        <v>1255</v>
      </c>
      <c r="E1421" t="s">
        <v>1415</v>
      </c>
      <c r="F1421" t="s">
        <v>26</v>
      </c>
      <c r="G1421" t="s">
        <v>51</v>
      </c>
      <c r="H1421" t="s">
        <v>38</v>
      </c>
      <c r="I1421" t="s">
        <v>39</v>
      </c>
      <c r="J1421" t="s">
        <v>52</v>
      </c>
      <c r="K1421" s="2">
        <v>5850</v>
      </c>
      <c r="L1421" s="2">
        <v>25000</v>
      </c>
      <c r="M1421">
        <v>36</v>
      </c>
      <c r="N1421" s="3">
        <v>0.27300000000000002</v>
      </c>
      <c r="O1421" t="s">
        <v>16</v>
      </c>
      <c r="Q1421">
        <v>1</v>
      </c>
      <c r="R1421">
        <v>0</v>
      </c>
      <c r="S1421" s="2">
        <v>25000</v>
      </c>
      <c r="T1421" s="4">
        <v>7.2400000000000006E-2</v>
      </c>
      <c r="U1421">
        <v>4</v>
      </c>
      <c r="V1421">
        <v>1</v>
      </c>
      <c r="W1421">
        <v>1</v>
      </c>
    </row>
    <row r="1422" spans="1:23" ht="16.5" x14ac:dyDescent="0.3">
      <c r="A1422" t="s">
        <v>1481</v>
      </c>
      <c r="B1422" s="1">
        <v>45516</v>
      </c>
      <c r="C1422">
        <v>2024</v>
      </c>
      <c r="D1422" t="s">
        <v>1255</v>
      </c>
      <c r="E1422" t="s">
        <v>1415</v>
      </c>
      <c r="F1422" t="s">
        <v>37</v>
      </c>
      <c r="G1422" t="s">
        <v>45</v>
      </c>
      <c r="H1422" t="s">
        <v>64</v>
      </c>
      <c r="I1422" t="s">
        <v>29</v>
      </c>
      <c r="J1422" t="s">
        <v>43</v>
      </c>
      <c r="K1422" s="2">
        <v>9350</v>
      </c>
      <c r="L1422" s="2">
        <v>12500</v>
      </c>
      <c r="M1422">
        <v>60</v>
      </c>
      <c r="N1422" s="3">
        <v>0.20799999999999999</v>
      </c>
      <c r="O1422" t="s">
        <v>125</v>
      </c>
      <c r="Q1422">
        <v>0</v>
      </c>
      <c r="R1422">
        <v>0</v>
      </c>
      <c r="S1422" s="2">
        <v>0</v>
      </c>
      <c r="T1422" s="4"/>
      <c r="U1422">
        <v>3</v>
      </c>
      <c r="V1422">
        <v>1</v>
      </c>
      <c r="W1422">
        <v>1</v>
      </c>
    </row>
    <row r="1423" spans="1:23" ht="16.5" x14ac:dyDescent="0.3">
      <c r="A1423" t="s">
        <v>1482</v>
      </c>
      <c r="B1423" s="1">
        <v>45517</v>
      </c>
      <c r="C1423">
        <v>2024</v>
      </c>
      <c r="D1423" t="s">
        <v>1255</v>
      </c>
      <c r="E1423" t="s">
        <v>1415</v>
      </c>
      <c r="F1423" t="s">
        <v>50</v>
      </c>
      <c r="G1423" t="s">
        <v>51</v>
      </c>
      <c r="H1423" t="s">
        <v>55</v>
      </c>
      <c r="I1423" t="s">
        <v>29</v>
      </c>
      <c r="J1423" t="s">
        <v>46</v>
      </c>
      <c r="K1423" s="2">
        <v>3850</v>
      </c>
      <c r="L1423" s="2">
        <v>202000</v>
      </c>
      <c r="M1423">
        <v>240</v>
      </c>
      <c r="N1423" s="3">
        <v>0.52900000000000003</v>
      </c>
      <c r="O1423" t="s">
        <v>16</v>
      </c>
      <c r="Q1423">
        <v>1</v>
      </c>
      <c r="R1423">
        <v>0</v>
      </c>
      <c r="S1423" s="2">
        <v>202000</v>
      </c>
      <c r="T1423" s="4">
        <v>3.78E-2</v>
      </c>
      <c r="U1423">
        <v>28</v>
      </c>
      <c r="V1423">
        <v>0</v>
      </c>
      <c r="W1423">
        <v>1</v>
      </c>
    </row>
    <row r="1424" spans="1:23" ht="16.5" x14ac:dyDescent="0.3">
      <c r="A1424" t="s">
        <v>1483</v>
      </c>
      <c r="B1424" s="1">
        <v>45517</v>
      </c>
      <c r="C1424">
        <v>2024</v>
      </c>
      <c r="D1424" t="s">
        <v>1255</v>
      </c>
      <c r="E1424" t="s">
        <v>1415</v>
      </c>
      <c r="F1424" t="s">
        <v>26</v>
      </c>
      <c r="G1424" t="s">
        <v>45</v>
      </c>
      <c r="H1424" t="s">
        <v>64</v>
      </c>
      <c r="I1424" t="s">
        <v>29</v>
      </c>
      <c r="J1424" t="s">
        <v>43</v>
      </c>
      <c r="K1424" s="2">
        <v>10850</v>
      </c>
      <c r="L1424" s="2">
        <v>49500</v>
      </c>
      <c r="M1424">
        <v>60</v>
      </c>
      <c r="N1424" s="3">
        <v>0.14899999999999999</v>
      </c>
      <c r="O1424" t="s">
        <v>17</v>
      </c>
      <c r="P1424" t="s">
        <v>31</v>
      </c>
      <c r="Q1424">
        <v>0</v>
      </c>
      <c r="R1424">
        <v>1</v>
      </c>
      <c r="S1424" s="2">
        <v>0</v>
      </c>
      <c r="T1424" s="4"/>
      <c r="U1424">
        <v>3</v>
      </c>
      <c r="V1424">
        <v>1</v>
      </c>
      <c r="W1424">
        <v>1</v>
      </c>
    </row>
    <row r="1425" spans="1:23" ht="16.5" x14ac:dyDescent="0.3">
      <c r="A1425" t="s">
        <v>1484</v>
      </c>
      <c r="B1425" s="1">
        <v>45517</v>
      </c>
      <c r="C1425">
        <v>2024</v>
      </c>
      <c r="D1425" t="s">
        <v>1255</v>
      </c>
      <c r="E1425" t="s">
        <v>1415</v>
      </c>
      <c r="F1425" t="s">
        <v>37</v>
      </c>
      <c r="G1425" t="s">
        <v>45</v>
      </c>
      <c r="H1425" t="s">
        <v>55</v>
      </c>
      <c r="I1425" t="s">
        <v>39</v>
      </c>
      <c r="J1425" t="s">
        <v>43</v>
      </c>
      <c r="K1425" s="2">
        <v>5250</v>
      </c>
      <c r="L1425" s="2">
        <v>11500</v>
      </c>
      <c r="M1425">
        <v>24</v>
      </c>
      <c r="N1425" s="3">
        <v>0.17100000000000001</v>
      </c>
      <c r="O1425" t="s">
        <v>17</v>
      </c>
      <c r="P1425" t="s">
        <v>31</v>
      </c>
      <c r="Q1425">
        <v>0</v>
      </c>
      <c r="R1425">
        <v>1</v>
      </c>
      <c r="S1425" s="2">
        <v>0</v>
      </c>
      <c r="T1425" s="4"/>
      <c r="U1425">
        <v>2</v>
      </c>
      <c r="V1425">
        <v>1</v>
      </c>
      <c r="W1425">
        <v>1</v>
      </c>
    </row>
    <row r="1426" spans="1:23" ht="16.5" x14ac:dyDescent="0.3">
      <c r="A1426" t="s">
        <v>1485</v>
      </c>
      <c r="B1426" s="1">
        <v>45517</v>
      </c>
      <c r="C1426">
        <v>2024</v>
      </c>
      <c r="D1426" t="s">
        <v>1255</v>
      </c>
      <c r="E1426" t="s">
        <v>1415</v>
      </c>
      <c r="F1426" t="s">
        <v>37</v>
      </c>
      <c r="G1426" t="s">
        <v>33</v>
      </c>
      <c r="H1426" t="s">
        <v>55</v>
      </c>
      <c r="I1426" t="s">
        <v>39</v>
      </c>
      <c r="J1426" t="s">
        <v>30</v>
      </c>
      <c r="K1426" s="2">
        <v>3000</v>
      </c>
      <c r="L1426" s="2">
        <v>7500</v>
      </c>
      <c r="M1426">
        <v>60</v>
      </c>
      <c r="N1426" s="3">
        <v>0.29899999999999999</v>
      </c>
      <c r="O1426" t="s">
        <v>16</v>
      </c>
      <c r="Q1426">
        <v>1</v>
      </c>
      <c r="R1426">
        <v>0</v>
      </c>
      <c r="S1426" s="2">
        <v>7500</v>
      </c>
      <c r="T1426" s="4">
        <v>0.13689999999999999</v>
      </c>
      <c r="U1426">
        <v>2</v>
      </c>
      <c r="V1426">
        <v>1</v>
      </c>
      <c r="W1426">
        <v>1</v>
      </c>
    </row>
    <row r="1427" spans="1:23" ht="16.5" x14ac:dyDescent="0.3">
      <c r="A1427" t="s">
        <v>1486</v>
      </c>
      <c r="B1427" s="1">
        <v>45517</v>
      </c>
      <c r="C1427">
        <v>2024</v>
      </c>
      <c r="D1427" t="s">
        <v>1255</v>
      </c>
      <c r="E1427" t="s">
        <v>1415</v>
      </c>
      <c r="F1427" t="s">
        <v>41</v>
      </c>
      <c r="G1427" t="s">
        <v>33</v>
      </c>
      <c r="H1427" t="s">
        <v>38</v>
      </c>
      <c r="I1427" t="s">
        <v>42</v>
      </c>
      <c r="J1427" t="s">
        <v>35</v>
      </c>
      <c r="K1427" s="2">
        <v>7350</v>
      </c>
      <c r="L1427" s="2">
        <v>99000</v>
      </c>
      <c r="M1427">
        <v>60</v>
      </c>
      <c r="N1427" s="3">
        <v>0.47199999999999998</v>
      </c>
      <c r="O1427" t="s">
        <v>17</v>
      </c>
      <c r="P1427" t="s">
        <v>53</v>
      </c>
      <c r="Q1427">
        <v>0</v>
      </c>
      <c r="R1427">
        <v>1</v>
      </c>
      <c r="S1427" s="2">
        <v>0</v>
      </c>
      <c r="T1427" s="4"/>
      <c r="U1427">
        <v>4</v>
      </c>
      <c r="V1427">
        <v>1</v>
      </c>
      <c r="W1427">
        <v>1</v>
      </c>
    </row>
    <row r="1428" spans="1:23" ht="16.5" x14ac:dyDescent="0.3">
      <c r="A1428" t="s">
        <v>1487</v>
      </c>
      <c r="B1428" s="1">
        <v>45517</v>
      </c>
      <c r="C1428">
        <v>2024</v>
      </c>
      <c r="D1428" t="s">
        <v>1255</v>
      </c>
      <c r="E1428" t="s">
        <v>1415</v>
      </c>
      <c r="F1428" t="s">
        <v>41</v>
      </c>
      <c r="G1428" t="s">
        <v>51</v>
      </c>
      <c r="H1428" t="s">
        <v>55</v>
      </c>
      <c r="I1428" t="s">
        <v>29</v>
      </c>
      <c r="J1428" t="s">
        <v>46</v>
      </c>
      <c r="K1428" s="2">
        <v>8050</v>
      </c>
      <c r="L1428" s="2">
        <v>89500</v>
      </c>
      <c r="M1428">
        <v>36</v>
      </c>
      <c r="N1428" s="3">
        <v>0.55600000000000005</v>
      </c>
      <c r="O1428" t="s">
        <v>16</v>
      </c>
      <c r="Q1428">
        <v>1</v>
      </c>
      <c r="R1428">
        <v>0</v>
      </c>
      <c r="S1428" s="2">
        <v>89500</v>
      </c>
      <c r="T1428" s="4">
        <v>9.0499999999999997E-2</v>
      </c>
      <c r="U1428">
        <v>19</v>
      </c>
      <c r="V1428">
        <v>0</v>
      </c>
      <c r="W1428">
        <v>1</v>
      </c>
    </row>
    <row r="1429" spans="1:23" ht="16.5" x14ac:dyDescent="0.3">
      <c r="A1429" t="s">
        <v>1488</v>
      </c>
      <c r="B1429" s="1">
        <v>45517</v>
      </c>
      <c r="C1429">
        <v>2024</v>
      </c>
      <c r="D1429" t="s">
        <v>1255</v>
      </c>
      <c r="E1429" t="s">
        <v>1415</v>
      </c>
      <c r="F1429" t="s">
        <v>41</v>
      </c>
      <c r="G1429" t="s">
        <v>27</v>
      </c>
      <c r="H1429" t="s">
        <v>34</v>
      </c>
      <c r="I1429" t="s">
        <v>29</v>
      </c>
      <c r="J1429" t="s">
        <v>46</v>
      </c>
      <c r="K1429" s="2">
        <v>3000</v>
      </c>
      <c r="L1429" s="2">
        <v>148500</v>
      </c>
      <c r="M1429">
        <v>24</v>
      </c>
      <c r="N1429" s="3">
        <v>2.4119999999999999</v>
      </c>
      <c r="O1429" t="s">
        <v>17</v>
      </c>
      <c r="P1429" t="s">
        <v>53</v>
      </c>
      <c r="Q1429">
        <v>0</v>
      </c>
      <c r="R1429">
        <v>1</v>
      </c>
      <c r="S1429" s="2">
        <v>0</v>
      </c>
      <c r="T1429" s="4"/>
      <c r="U1429">
        <v>5</v>
      </c>
      <c r="V1429">
        <v>1</v>
      </c>
      <c r="W1429">
        <v>1</v>
      </c>
    </row>
    <row r="1430" spans="1:23" ht="16.5" x14ac:dyDescent="0.3">
      <c r="A1430" t="s">
        <v>1489</v>
      </c>
      <c r="B1430" s="1">
        <v>45517</v>
      </c>
      <c r="C1430">
        <v>2024</v>
      </c>
      <c r="D1430" t="s">
        <v>1255</v>
      </c>
      <c r="E1430" t="s">
        <v>1415</v>
      </c>
      <c r="F1430" t="s">
        <v>37</v>
      </c>
      <c r="G1430" t="s">
        <v>51</v>
      </c>
      <c r="H1430" t="s">
        <v>38</v>
      </c>
      <c r="I1430" t="s">
        <v>42</v>
      </c>
      <c r="J1430" t="s">
        <v>30</v>
      </c>
      <c r="K1430" s="2">
        <v>8250</v>
      </c>
      <c r="L1430" s="2">
        <v>18000</v>
      </c>
      <c r="M1430">
        <v>60</v>
      </c>
      <c r="N1430" s="3">
        <v>0.27100000000000002</v>
      </c>
      <c r="O1430" t="s">
        <v>17</v>
      </c>
      <c r="P1430" t="s">
        <v>31</v>
      </c>
      <c r="Q1430">
        <v>0</v>
      </c>
      <c r="R1430">
        <v>1</v>
      </c>
      <c r="S1430" s="2">
        <v>0</v>
      </c>
      <c r="T1430" s="4"/>
      <c r="U1430">
        <v>4</v>
      </c>
      <c r="V1430">
        <v>0</v>
      </c>
      <c r="W1430">
        <v>1</v>
      </c>
    </row>
    <row r="1431" spans="1:23" ht="16.5" x14ac:dyDescent="0.3">
      <c r="A1431" t="s">
        <v>1490</v>
      </c>
      <c r="B1431" s="1">
        <v>45517</v>
      </c>
      <c r="C1431">
        <v>2024</v>
      </c>
      <c r="D1431" t="s">
        <v>1255</v>
      </c>
      <c r="E1431" t="s">
        <v>1415</v>
      </c>
      <c r="F1431" t="s">
        <v>41</v>
      </c>
      <c r="G1431" t="s">
        <v>51</v>
      </c>
      <c r="H1431" t="s">
        <v>55</v>
      </c>
      <c r="I1431" t="s">
        <v>29</v>
      </c>
      <c r="J1431" t="s">
        <v>35</v>
      </c>
      <c r="K1431" s="2">
        <v>2250</v>
      </c>
      <c r="L1431" s="2">
        <v>32500</v>
      </c>
      <c r="M1431">
        <v>36</v>
      </c>
      <c r="N1431" s="3">
        <v>0.61199999999999999</v>
      </c>
      <c r="O1431" t="s">
        <v>17</v>
      </c>
      <c r="P1431" t="s">
        <v>53</v>
      </c>
      <c r="Q1431">
        <v>0</v>
      </c>
      <c r="R1431">
        <v>1</v>
      </c>
      <c r="S1431" s="2">
        <v>0</v>
      </c>
      <c r="T1431" s="4"/>
      <c r="U1431">
        <v>18</v>
      </c>
      <c r="V1431">
        <v>0</v>
      </c>
      <c r="W1431">
        <v>1</v>
      </c>
    </row>
    <row r="1432" spans="1:23" ht="16.5" x14ac:dyDescent="0.3">
      <c r="A1432" t="s">
        <v>1491</v>
      </c>
      <c r="B1432" s="1">
        <v>45517</v>
      </c>
      <c r="C1432">
        <v>2024</v>
      </c>
      <c r="D1432" t="s">
        <v>1255</v>
      </c>
      <c r="E1432" t="s">
        <v>1415</v>
      </c>
      <c r="F1432" t="s">
        <v>37</v>
      </c>
      <c r="G1432" t="s">
        <v>45</v>
      </c>
      <c r="H1432" t="s">
        <v>34</v>
      </c>
      <c r="I1432" t="s">
        <v>29</v>
      </c>
      <c r="J1432" t="s">
        <v>35</v>
      </c>
      <c r="K1432" s="2">
        <v>7200</v>
      </c>
      <c r="L1432" s="2">
        <v>7500</v>
      </c>
      <c r="M1432">
        <v>36</v>
      </c>
      <c r="N1432" s="3">
        <v>0.17699999999999999</v>
      </c>
      <c r="O1432" t="s">
        <v>16</v>
      </c>
      <c r="Q1432">
        <v>1</v>
      </c>
      <c r="R1432">
        <v>0</v>
      </c>
      <c r="S1432" s="2">
        <v>7000</v>
      </c>
      <c r="T1432" s="4">
        <v>0.125</v>
      </c>
      <c r="U1432">
        <v>3</v>
      </c>
      <c r="V1432">
        <v>1</v>
      </c>
      <c r="W1432">
        <v>1</v>
      </c>
    </row>
    <row r="1433" spans="1:23" ht="16.5" x14ac:dyDescent="0.3">
      <c r="A1433" t="s">
        <v>1492</v>
      </c>
      <c r="B1433" s="1">
        <v>45518</v>
      </c>
      <c r="C1433">
        <v>2024</v>
      </c>
      <c r="D1433" t="s">
        <v>1255</v>
      </c>
      <c r="E1433" t="s">
        <v>1415</v>
      </c>
      <c r="F1433" t="s">
        <v>37</v>
      </c>
      <c r="G1433" t="s">
        <v>51</v>
      </c>
      <c r="H1433" t="s">
        <v>34</v>
      </c>
      <c r="I1433" t="s">
        <v>29</v>
      </c>
      <c r="J1433" t="s">
        <v>30</v>
      </c>
      <c r="K1433" s="2">
        <v>2100</v>
      </c>
      <c r="L1433" s="2">
        <v>8000</v>
      </c>
      <c r="M1433">
        <v>48</v>
      </c>
      <c r="N1433" s="3">
        <v>0.30499999999999999</v>
      </c>
      <c r="O1433" t="s">
        <v>16</v>
      </c>
      <c r="Q1433">
        <v>1</v>
      </c>
      <c r="R1433">
        <v>0</v>
      </c>
      <c r="S1433" s="2">
        <v>7000</v>
      </c>
      <c r="T1433" s="4">
        <v>0.13689999999999999</v>
      </c>
      <c r="U1433">
        <v>6</v>
      </c>
      <c r="V1433">
        <v>0</v>
      </c>
      <c r="W1433">
        <v>1</v>
      </c>
    </row>
    <row r="1434" spans="1:23" ht="16.5" x14ac:dyDescent="0.3">
      <c r="A1434" t="s">
        <v>1493</v>
      </c>
      <c r="B1434" s="1">
        <v>45518</v>
      </c>
      <c r="C1434">
        <v>2024</v>
      </c>
      <c r="D1434" t="s">
        <v>1255</v>
      </c>
      <c r="E1434" t="s">
        <v>1415</v>
      </c>
      <c r="F1434" t="s">
        <v>26</v>
      </c>
      <c r="G1434" t="s">
        <v>51</v>
      </c>
      <c r="H1434" t="s">
        <v>64</v>
      </c>
      <c r="I1434" t="s">
        <v>42</v>
      </c>
      <c r="J1434" t="s">
        <v>30</v>
      </c>
      <c r="K1434" s="2">
        <v>7550</v>
      </c>
      <c r="L1434" s="2">
        <v>34500</v>
      </c>
      <c r="M1434">
        <v>60</v>
      </c>
      <c r="N1434" s="3">
        <v>0.153</v>
      </c>
      <c r="O1434" t="s">
        <v>16</v>
      </c>
      <c r="Q1434">
        <v>1</v>
      </c>
      <c r="R1434">
        <v>0</v>
      </c>
      <c r="S1434" s="2">
        <v>27500</v>
      </c>
      <c r="T1434" s="4">
        <v>9.8199999999999996E-2</v>
      </c>
      <c r="U1434">
        <v>10</v>
      </c>
      <c r="V1434">
        <v>0</v>
      </c>
      <c r="W1434">
        <v>1</v>
      </c>
    </row>
    <row r="1435" spans="1:23" ht="16.5" x14ac:dyDescent="0.3">
      <c r="A1435" t="s">
        <v>1494</v>
      </c>
      <c r="B1435" s="1">
        <v>45518</v>
      </c>
      <c r="C1435">
        <v>2024</v>
      </c>
      <c r="D1435" t="s">
        <v>1255</v>
      </c>
      <c r="E1435" t="s">
        <v>1415</v>
      </c>
      <c r="F1435" t="s">
        <v>26</v>
      </c>
      <c r="G1435" t="s">
        <v>27</v>
      </c>
      <c r="H1435" t="s">
        <v>28</v>
      </c>
      <c r="I1435" t="s">
        <v>39</v>
      </c>
      <c r="J1435" t="s">
        <v>43</v>
      </c>
      <c r="K1435" s="2">
        <v>6000</v>
      </c>
      <c r="L1435" s="2">
        <v>53500</v>
      </c>
      <c r="M1435">
        <v>48</v>
      </c>
      <c r="N1435" s="3">
        <v>0.44500000000000001</v>
      </c>
      <c r="O1435" t="s">
        <v>17</v>
      </c>
      <c r="P1435" t="s">
        <v>31</v>
      </c>
      <c r="Q1435">
        <v>0</v>
      </c>
      <c r="R1435">
        <v>1</v>
      </c>
      <c r="S1435" s="2">
        <v>0</v>
      </c>
      <c r="T1435" s="4"/>
      <c r="U1435">
        <v>4</v>
      </c>
      <c r="V1435">
        <v>1</v>
      </c>
      <c r="W1435">
        <v>1</v>
      </c>
    </row>
    <row r="1436" spans="1:23" ht="16.5" x14ac:dyDescent="0.3">
      <c r="A1436" t="s">
        <v>1495</v>
      </c>
      <c r="B1436" s="1">
        <v>45518</v>
      </c>
      <c r="C1436">
        <v>2024</v>
      </c>
      <c r="D1436" t="s">
        <v>1255</v>
      </c>
      <c r="E1436" t="s">
        <v>1415</v>
      </c>
      <c r="F1436" t="s">
        <v>37</v>
      </c>
      <c r="G1436" t="s">
        <v>51</v>
      </c>
      <c r="H1436" t="s">
        <v>38</v>
      </c>
      <c r="I1436" t="s">
        <v>39</v>
      </c>
      <c r="J1436" t="s">
        <v>46</v>
      </c>
      <c r="K1436" s="2">
        <v>2450</v>
      </c>
      <c r="L1436" s="2">
        <v>8000</v>
      </c>
      <c r="M1436">
        <v>24</v>
      </c>
      <c r="N1436" s="3">
        <v>0.34599999999999997</v>
      </c>
      <c r="O1436" t="s">
        <v>16</v>
      </c>
      <c r="Q1436">
        <v>1</v>
      </c>
      <c r="R1436">
        <v>0</v>
      </c>
      <c r="S1436" s="2">
        <v>8000</v>
      </c>
      <c r="T1436" s="4">
        <v>0.1094</v>
      </c>
      <c r="U1436">
        <v>5</v>
      </c>
      <c r="V1436">
        <v>0</v>
      </c>
      <c r="W1436">
        <v>1</v>
      </c>
    </row>
    <row r="1437" spans="1:23" ht="16.5" x14ac:dyDescent="0.3">
      <c r="A1437" t="s">
        <v>1496</v>
      </c>
      <c r="B1437" s="1">
        <v>45518</v>
      </c>
      <c r="C1437">
        <v>2024</v>
      </c>
      <c r="D1437" t="s">
        <v>1255</v>
      </c>
      <c r="E1437" t="s">
        <v>1415</v>
      </c>
      <c r="F1437" t="s">
        <v>37</v>
      </c>
      <c r="G1437" t="s">
        <v>27</v>
      </c>
      <c r="H1437" t="s">
        <v>55</v>
      </c>
      <c r="I1437" t="s">
        <v>29</v>
      </c>
      <c r="J1437" t="s">
        <v>30</v>
      </c>
      <c r="K1437" s="2">
        <v>3700</v>
      </c>
      <c r="L1437" s="2">
        <v>23500</v>
      </c>
      <c r="M1437">
        <v>24</v>
      </c>
      <c r="N1437" s="3">
        <v>0.51200000000000001</v>
      </c>
      <c r="O1437" t="s">
        <v>17</v>
      </c>
      <c r="P1437" t="s">
        <v>31</v>
      </c>
      <c r="Q1437">
        <v>0</v>
      </c>
      <c r="R1437">
        <v>1</v>
      </c>
      <c r="S1437" s="2">
        <v>0</v>
      </c>
      <c r="T1437" s="4"/>
      <c r="U1437">
        <v>2</v>
      </c>
      <c r="V1437">
        <v>1</v>
      </c>
      <c r="W1437">
        <v>1</v>
      </c>
    </row>
    <row r="1438" spans="1:23" ht="16.5" x14ac:dyDescent="0.3">
      <c r="A1438" t="s">
        <v>1497</v>
      </c>
      <c r="B1438" s="1">
        <v>45518</v>
      </c>
      <c r="C1438">
        <v>2024</v>
      </c>
      <c r="D1438" t="s">
        <v>1255</v>
      </c>
      <c r="E1438" t="s">
        <v>1415</v>
      </c>
      <c r="F1438" t="s">
        <v>26</v>
      </c>
      <c r="G1438" t="s">
        <v>33</v>
      </c>
      <c r="H1438" t="s">
        <v>38</v>
      </c>
      <c r="I1438" t="s">
        <v>29</v>
      </c>
      <c r="J1438" t="s">
        <v>30</v>
      </c>
      <c r="K1438" s="2">
        <v>2500</v>
      </c>
      <c r="L1438" s="2">
        <v>27500</v>
      </c>
      <c r="M1438">
        <v>48</v>
      </c>
      <c r="N1438" s="3">
        <v>0.32700000000000001</v>
      </c>
      <c r="O1438" t="s">
        <v>17</v>
      </c>
      <c r="P1438" t="s">
        <v>65</v>
      </c>
      <c r="Q1438">
        <v>0</v>
      </c>
      <c r="R1438">
        <v>1</v>
      </c>
      <c r="S1438" s="2">
        <v>0</v>
      </c>
      <c r="T1438" s="4"/>
      <c r="U1438">
        <v>2</v>
      </c>
      <c r="V1438">
        <v>1</v>
      </c>
      <c r="W1438">
        <v>1</v>
      </c>
    </row>
    <row r="1439" spans="1:23" ht="16.5" x14ac:dyDescent="0.3">
      <c r="A1439" t="s">
        <v>1498</v>
      </c>
      <c r="B1439" s="1">
        <v>45518</v>
      </c>
      <c r="C1439">
        <v>2024</v>
      </c>
      <c r="D1439" t="s">
        <v>1255</v>
      </c>
      <c r="E1439" t="s">
        <v>1415</v>
      </c>
      <c r="F1439" t="s">
        <v>37</v>
      </c>
      <c r="G1439" t="s">
        <v>45</v>
      </c>
      <c r="H1439" t="s">
        <v>64</v>
      </c>
      <c r="I1439" t="s">
        <v>42</v>
      </c>
      <c r="J1439" t="s">
        <v>43</v>
      </c>
      <c r="K1439" s="2">
        <v>2150</v>
      </c>
      <c r="L1439" s="2">
        <v>7500</v>
      </c>
      <c r="M1439">
        <v>12</v>
      </c>
      <c r="N1439" s="3">
        <v>0.54300000000000004</v>
      </c>
      <c r="O1439" t="s">
        <v>17</v>
      </c>
      <c r="P1439" t="s">
        <v>31</v>
      </c>
      <c r="Q1439">
        <v>0</v>
      </c>
      <c r="R1439">
        <v>1</v>
      </c>
      <c r="S1439" s="2">
        <v>0</v>
      </c>
      <c r="T1439" s="4"/>
      <c r="U1439">
        <v>1</v>
      </c>
      <c r="V1439">
        <v>1</v>
      </c>
      <c r="W1439">
        <v>1</v>
      </c>
    </row>
    <row r="1440" spans="1:23" ht="16.5" x14ac:dyDescent="0.3">
      <c r="A1440" t="s">
        <v>1499</v>
      </c>
      <c r="B1440" s="1">
        <v>45518</v>
      </c>
      <c r="C1440">
        <v>2024</v>
      </c>
      <c r="D1440" t="s">
        <v>1255</v>
      </c>
      <c r="E1440" t="s">
        <v>1415</v>
      </c>
      <c r="F1440" t="s">
        <v>37</v>
      </c>
      <c r="G1440" t="s">
        <v>45</v>
      </c>
      <c r="H1440" t="s">
        <v>55</v>
      </c>
      <c r="I1440" t="s">
        <v>39</v>
      </c>
      <c r="J1440" t="s">
        <v>46</v>
      </c>
      <c r="K1440" s="2">
        <v>6350</v>
      </c>
      <c r="L1440" s="2">
        <v>32000</v>
      </c>
      <c r="M1440">
        <v>24</v>
      </c>
      <c r="N1440" s="3">
        <v>0.29499999999999998</v>
      </c>
      <c r="O1440" t="s">
        <v>16</v>
      </c>
      <c r="Q1440">
        <v>1</v>
      </c>
      <c r="R1440">
        <v>0</v>
      </c>
      <c r="S1440" s="2">
        <v>32000</v>
      </c>
      <c r="T1440" s="4">
        <v>0.1053</v>
      </c>
      <c r="U1440">
        <v>3</v>
      </c>
      <c r="V1440">
        <v>1</v>
      </c>
      <c r="W1440">
        <v>1</v>
      </c>
    </row>
    <row r="1441" spans="1:23" ht="16.5" x14ac:dyDescent="0.3">
      <c r="A1441" t="s">
        <v>1500</v>
      </c>
      <c r="B1441" s="1">
        <v>45518</v>
      </c>
      <c r="C1441">
        <v>2024</v>
      </c>
      <c r="D1441" t="s">
        <v>1255</v>
      </c>
      <c r="E1441" t="s">
        <v>1415</v>
      </c>
      <c r="F1441" t="s">
        <v>37</v>
      </c>
      <c r="G1441" t="s">
        <v>27</v>
      </c>
      <c r="H1441" t="s">
        <v>38</v>
      </c>
      <c r="I1441" t="s">
        <v>39</v>
      </c>
      <c r="J1441" t="s">
        <v>35</v>
      </c>
      <c r="K1441" s="2">
        <v>3950</v>
      </c>
      <c r="L1441" s="2">
        <v>18000</v>
      </c>
      <c r="M1441">
        <v>24</v>
      </c>
      <c r="N1441" s="3">
        <v>0.41899999999999998</v>
      </c>
      <c r="O1441" t="s">
        <v>17</v>
      </c>
      <c r="P1441" t="s">
        <v>60</v>
      </c>
      <c r="Q1441">
        <v>0</v>
      </c>
      <c r="R1441">
        <v>1</v>
      </c>
      <c r="S1441" s="2">
        <v>0</v>
      </c>
      <c r="T1441" s="4"/>
      <c r="U1441">
        <v>6</v>
      </c>
      <c r="V1441">
        <v>0</v>
      </c>
      <c r="W1441">
        <v>1</v>
      </c>
    </row>
    <row r="1442" spans="1:23" ht="16.5" x14ac:dyDescent="0.3">
      <c r="A1442" t="s">
        <v>1501</v>
      </c>
      <c r="B1442" s="1">
        <v>45518</v>
      </c>
      <c r="C1442">
        <v>2024</v>
      </c>
      <c r="D1442" t="s">
        <v>1255</v>
      </c>
      <c r="E1442" t="s">
        <v>1415</v>
      </c>
      <c r="F1442" t="s">
        <v>37</v>
      </c>
      <c r="G1442" t="s">
        <v>27</v>
      </c>
      <c r="H1442" t="s">
        <v>38</v>
      </c>
      <c r="I1442" t="s">
        <v>29</v>
      </c>
      <c r="J1442" t="s">
        <v>35</v>
      </c>
      <c r="K1442" s="2">
        <v>3550</v>
      </c>
      <c r="L1442" s="2">
        <v>8000</v>
      </c>
      <c r="M1442">
        <v>12</v>
      </c>
      <c r="N1442" s="3">
        <v>0.42099999999999999</v>
      </c>
      <c r="O1442" t="s">
        <v>16</v>
      </c>
      <c r="Q1442">
        <v>1</v>
      </c>
      <c r="R1442">
        <v>0</v>
      </c>
      <c r="S1442" s="2">
        <v>8000</v>
      </c>
      <c r="T1442" s="4">
        <v>0.12379999999999999</v>
      </c>
      <c r="U1442">
        <v>5</v>
      </c>
      <c r="V1442">
        <v>0</v>
      </c>
      <c r="W1442">
        <v>1</v>
      </c>
    </row>
    <row r="1443" spans="1:23" ht="16.5" x14ac:dyDescent="0.3">
      <c r="A1443" t="s">
        <v>1502</v>
      </c>
      <c r="B1443" s="1">
        <v>45519</v>
      </c>
      <c r="C1443">
        <v>2024</v>
      </c>
      <c r="D1443" t="s">
        <v>1255</v>
      </c>
      <c r="E1443" t="s">
        <v>1415</v>
      </c>
      <c r="F1443" t="s">
        <v>41</v>
      </c>
      <c r="G1443" t="s">
        <v>51</v>
      </c>
      <c r="H1443" t="s">
        <v>55</v>
      </c>
      <c r="I1443" t="s">
        <v>29</v>
      </c>
      <c r="J1443" t="s">
        <v>35</v>
      </c>
      <c r="K1443" s="2">
        <v>7750</v>
      </c>
      <c r="L1443" s="2">
        <v>67000</v>
      </c>
      <c r="M1443">
        <v>12</v>
      </c>
      <c r="N1443" s="3">
        <v>0.88</v>
      </c>
      <c r="O1443" t="s">
        <v>16</v>
      </c>
      <c r="Q1443">
        <v>1</v>
      </c>
      <c r="R1443">
        <v>0</v>
      </c>
      <c r="S1443" s="2">
        <v>53500</v>
      </c>
      <c r="T1443" s="4">
        <v>0.1111</v>
      </c>
      <c r="U1443">
        <v>11</v>
      </c>
      <c r="V1443">
        <v>0</v>
      </c>
      <c r="W1443">
        <v>1</v>
      </c>
    </row>
    <row r="1444" spans="1:23" ht="16.5" x14ac:dyDescent="0.3">
      <c r="A1444" t="s">
        <v>1503</v>
      </c>
      <c r="B1444" s="1">
        <v>45519</v>
      </c>
      <c r="C1444">
        <v>2024</v>
      </c>
      <c r="D1444" t="s">
        <v>1255</v>
      </c>
      <c r="E1444" t="s">
        <v>1415</v>
      </c>
      <c r="F1444" t="s">
        <v>26</v>
      </c>
      <c r="G1444" t="s">
        <v>33</v>
      </c>
      <c r="H1444" t="s">
        <v>34</v>
      </c>
      <c r="I1444" t="s">
        <v>39</v>
      </c>
      <c r="J1444" t="s">
        <v>35</v>
      </c>
      <c r="K1444" s="2">
        <v>5000</v>
      </c>
      <c r="L1444" s="2">
        <v>8000</v>
      </c>
      <c r="M1444">
        <v>48</v>
      </c>
      <c r="N1444" s="3">
        <v>0.20699999999999999</v>
      </c>
      <c r="O1444" t="s">
        <v>16</v>
      </c>
      <c r="Q1444">
        <v>1</v>
      </c>
      <c r="R1444">
        <v>0</v>
      </c>
      <c r="S1444" s="2">
        <v>6500</v>
      </c>
      <c r="T1444" s="4">
        <v>7.8600000000000003E-2</v>
      </c>
      <c r="U1444">
        <v>3</v>
      </c>
      <c r="V1444">
        <v>1</v>
      </c>
      <c r="W1444">
        <v>1</v>
      </c>
    </row>
    <row r="1445" spans="1:23" ht="16.5" x14ac:dyDescent="0.3">
      <c r="A1445" t="s">
        <v>1504</v>
      </c>
      <c r="B1445" s="1">
        <v>45520</v>
      </c>
      <c r="C1445">
        <v>2024</v>
      </c>
      <c r="D1445" t="s">
        <v>1255</v>
      </c>
      <c r="E1445" t="s">
        <v>1415</v>
      </c>
      <c r="F1445" t="s">
        <v>41</v>
      </c>
      <c r="G1445" t="s">
        <v>33</v>
      </c>
      <c r="H1445" t="s">
        <v>34</v>
      </c>
      <c r="I1445" t="s">
        <v>29</v>
      </c>
      <c r="J1445" t="s">
        <v>30</v>
      </c>
      <c r="K1445" s="2">
        <v>4850</v>
      </c>
      <c r="L1445" s="2">
        <v>84000</v>
      </c>
      <c r="M1445">
        <v>36</v>
      </c>
      <c r="N1445" s="3">
        <v>0.78100000000000003</v>
      </c>
      <c r="O1445" t="s">
        <v>17</v>
      </c>
      <c r="P1445" t="s">
        <v>31</v>
      </c>
      <c r="Q1445">
        <v>0</v>
      </c>
      <c r="R1445">
        <v>1</v>
      </c>
      <c r="S1445" s="2">
        <v>0</v>
      </c>
      <c r="T1445" s="4"/>
      <c r="U1445">
        <v>7</v>
      </c>
      <c r="V1445">
        <v>1</v>
      </c>
      <c r="W1445">
        <v>1</v>
      </c>
    </row>
    <row r="1446" spans="1:23" ht="16.5" x14ac:dyDescent="0.3">
      <c r="A1446" t="s">
        <v>1505</v>
      </c>
      <c r="B1446" s="1">
        <v>45520</v>
      </c>
      <c r="C1446">
        <v>2024</v>
      </c>
      <c r="D1446" t="s">
        <v>1255</v>
      </c>
      <c r="E1446" t="s">
        <v>1415</v>
      </c>
      <c r="F1446" t="s">
        <v>26</v>
      </c>
      <c r="G1446" t="s">
        <v>27</v>
      </c>
      <c r="H1446" t="s">
        <v>38</v>
      </c>
      <c r="I1446" t="s">
        <v>29</v>
      </c>
      <c r="J1446" t="s">
        <v>43</v>
      </c>
      <c r="K1446" s="2">
        <v>5400</v>
      </c>
      <c r="L1446" s="2">
        <v>40500</v>
      </c>
      <c r="M1446">
        <v>48</v>
      </c>
      <c r="N1446" s="3">
        <v>0.255</v>
      </c>
      <c r="O1446" t="s">
        <v>17</v>
      </c>
      <c r="P1446" t="s">
        <v>31</v>
      </c>
      <c r="Q1446">
        <v>0</v>
      </c>
      <c r="R1446">
        <v>1</v>
      </c>
      <c r="S1446" s="2">
        <v>0</v>
      </c>
      <c r="T1446" s="4"/>
      <c r="U1446">
        <v>3</v>
      </c>
      <c r="V1446">
        <v>1</v>
      </c>
      <c r="W1446">
        <v>1</v>
      </c>
    </row>
    <row r="1447" spans="1:23" ht="16.5" x14ac:dyDescent="0.3">
      <c r="A1447" t="s">
        <v>1506</v>
      </c>
      <c r="B1447" s="1">
        <v>45520</v>
      </c>
      <c r="C1447">
        <v>2024</v>
      </c>
      <c r="D1447" t="s">
        <v>1255</v>
      </c>
      <c r="E1447" t="s">
        <v>1415</v>
      </c>
      <c r="F1447" t="s">
        <v>50</v>
      </c>
      <c r="G1447" t="s">
        <v>33</v>
      </c>
      <c r="H1447" t="s">
        <v>38</v>
      </c>
      <c r="I1447" t="s">
        <v>29</v>
      </c>
      <c r="J1447" t="s">
        <v>30</v>
      </c>
      <c r="K1447" s="2">
        <v>6900</v>
      </c>
      <c r="L1447" s="2">
        <v>279500</v>
      </c>
      <c r="M1447">
        <v>300</v>
      </c>
      <c r="N1447" s="3">
        <v>0.36599999999999999</v>
      </c>
      <c r="O1447" t="s">
        <v>17</v>
      </c>
      <c r="P1447" t="s">
        <v>31</v>
      </c>
      <c r="Q1447">
        <v>0</v>
      </c>
      <c r="R1447">
        <v>1</v>
      </c>
      <c r="S1447" s="2">
        <v>0</v>
      </c>
      <c r="T1447" s="4"/>
      <c r="U1447">
        <v>6</v>
      </c>
      <c r="V1447">
        <v>1</v>
      </c>
      <c r="W1447">
        <v>1</v>
      </c>
    </row>
    <row r="1448" spans="1:23" ht="16.5" x14ac:dyDescent="0.3">
      <c r="A1448" t="s">
        <v>1507</v>
      </c>
      <c r="B1448" s="1">
        <v>45520</v>
      </c>
      <c r="C1448">
        <v>2024</v>
      </c>
      <c r="D1448" t="s">
        <v>1255</v>
      </c>
      <c r="E1448" t="s">
        <v>1415</v>
      </c>
      <c r="F1448" t="s">
        <v>26</v>
      </c>
      <c r="G1448" t="s">
        <v>33</v>
      </c>
      <c r="H1448" t="s">
        <v>55</v>
      </c>
      <c r="I1448" t="s">
        <v>29</v>
      </c>
      <c r="J1448" t="s">
        <v>35</v>
      </c>
      <c r="K1448" s="2">
        <v>5550</v>
      </c>
      <c r="L1448" s="2">
        <v>76500</v>
      </c>
      <c r="M1448">
        <v>60</v>
      </c>
      <c r="N1448" s="3">
        <v>0.38900000000000001</v>
      </c>
      <c r="O1448" t="s">
        <v>17</v>
      </c>
      <c r="P1448" t="s">
        <v>60</v>
      </c>
      <c r="Q1448">
        <v>0</v>
      </c>
      <c r="R1448">
        <v>1</v>
      </c>
      <c r="S1448" s="2">
        <v>0</v>
      </c>
      <c r="T1448" s="4"/>
      <c r="U1448">
        <v>6</v>
      </c>
      <c r="V1448">
        <v>0</v>
      </c>
      <c r="W1448">
        <v>1</v>
      </c>
    </row>
    <row r="1449" spans="1:23" ht="16.5" x14ac:dyDescent="0.3">
      <c r="A1449" t="s">
        <v>1508</v>
      </c>
      <c r="B1449" s="1">
        <v>45520</v>
      </c>
      <c r="C1449">
        <v>2024</v>
      </c>
      <c r="D1449" t="s">
        <v>1255</v>
      </c>
      <c r="E1449" t="s">
        <v>1415</v>
      </c>
      <c r="F1449" t="s">
        <v>37</v>
      </c>
      <c r="G1449" t="s">
        <v>45</v>
      </c>
      <c r="H1449" t="s">
        <v>55</v>
      </c>
      <c r="I1449" t="s">
        <v>29</v>
      </c>
      <c r="J1449" t="s">
        <v>52</v>
      </c>
      <c r="K1449" s="2">
        <v>4450</v>
      </c>
      <c r="L1449" s="2">
        <v>8500</v>
      </c>
      <c r="M1449">
        <v>24</v>
      </c>
      <c r="N1449" s="3">
        <v>0.187</v>
      </c>
      <c r="O1449" t="s">
        <v>16</v>
      </c>
      <c r="Q1449">
        <v>1</v>
      </c>
      <c r="R1449">
        <v>0</v>
      </c>
      <c r="S1449" s="2">
        <v>7000</v>
      </c>
      <c r="T1449" s="4">
        <v>0.1186</v>
      </c>
      <c r="U1449">
        <v>2</v>
      </c>
      <c r="V1449">
        <v>1</v>
      </c>
      <c r="W1449">
        <v>1</v>
      </c>
    </row>
    <row r="1450" spans="1:23" ht="16.5" x14ac:dyDescent="0.3">
      <c r="A1450" t="s">
        <v>1509</v>
      </c>
      <c r="B1450" s="1">
        <v>45521</v>
      </c>
      <c r="C1450">
        <v>2024</v>
      </c>
      <c r="D1450" t="s">
        <v>1255</v>
      </c>
      <c r="E1450" t="s">
        <v>1415</v>
      </c>
      <c r="F1450" t="s">
        <v>50</v>
      </c>
      <c r="G1450" t="s">
        <v>33</v>
      </c>
      <c r="H1450" t="s">
        <v>64</v>
      </c>
      <c r="I1450" t="s">
        <v>42</v>
      </c>
      <c r="J1450" t="s">
        <v>43</v>
      </c>
      <c r="K1450" s="2">
        <v>4600</v>
      </c>
      <c r="L1450" s="2">
        <v>261000</v>
      </c>
      <c r="M1450">
        <v>240</v>
      </c>
      <c r="N1450" s="3">
        <v>0.54</v>
      </c>
      <c r="O1450" t="s">
        <v>16</v>
      </c>
      <c r="Q1450">
        <v>1</v>
      </c>
      <c r="R1450">
        <v>0</v>
      </c>
      <c r="S1450" s="2">
        <v>261000</v>
      </c>
      <c r="T1450" s="4">
        <v>9.3799999999999994E-2</v>
      </c>
      <c r="U1450">
        <v>6</v>
      </c>
      <c r="V1450">
        <v>1</v>
      </c>
      <c r="W1450">
        <v>1</v>
      </c>
    </row>
    <row r="1451" spans="1:23" ht="16.5" x14ac:dyDescent="0.3">
      <c r="A1451" t="s">
        <v>1510</v>
      </c>
      <c r="B1451" s="1">
        <v>45521</v>
      </c>
      <c r="C1451">
        <v>2024</v>
      </c>
      <c r="D1451" t="s">
        <v>1255</v>
      </c>
      <c r="E1451" t="s">
        <v>1415</v>
      </c>
      <c r="F1451" t="s">
        <v>41</v>
      </c>
      <c r="G1451" t="s">
        <v>51</v>
      </c>
      <c r="H1451" t="s">
        <v>28</v>
      </c>
      <c r="I1451" t="s">
        <v>29</v>
      </c>
      <c r="J1451" t="s">
        <v>30</v>
      </c>
      <c r="K1451" s="2">
        <v>3650</v>
      </c>
      <c r="L1451" s="2">
        <v>68500</v>
      </c>
      <c r="M1451">
        <v>24</v>
      </c>
      <c r="N1451" s="3">
        <v>1.02</v>
      </c>
      <c r="O1451" t="s">
        <v>16</v>
      </c>
      <c r="Q1451">
        <v>1</v>
      </c>
      <c r="R1451">
        <v>0</v>
      </c>
      <c r="S1451" s="2">
        <v>68500</v>
      </c>
      <c r="T1451" s="4">
        <v>0.1212</v>
      </c>
      <c r="U1451">
        <v>10</v>
      </c>
      <c r="V1451">
        <v>1</v>
      </c>
      <c r="W1451">
        <v>1</v>
      </c>
    </row>
    <row r="1452" spans="1:23" ht="16.5" x14ac:dyDescent="0.3">
      <c r="A1452" t="s">
        <v>1511</v>
      </c>
      <c r="B1452" s="1">
        <v>45521</v>
      </c>
      <c r="C1452">
        <v>2024</v>
      </c>
      <c r="D1452" t="s">
        <v>1255</v>
      </c>
      <c r="E1452" t="s">
        <v>1415</v>
      </c>
      <c r="F1452" t="s">
        <v>50</v>
      </c>
      <c r="G1452" t="s">
        <v>51</v>
      </c>
      <c r="H1452" t="s">
        <v>55</v>
      </c>
      <c r="I1452" t="s">
        <v>39</v>
      </c>
      <c r="J1452" t="s">
        <v>35</v>
      </c>
      <c r="K1452" s="2">
        <v>8150</v>
      </c>
      <c r="L1452" s="2">
        <v>649000</v>
      </c>
      <c r="M1452">
        <v>180</v>
      </c>
      <c r="N1452" s="3">
        <v>0.68200000000000005</v>
      </c>
      <c r="O1452" t="s">
        <v>16</v>
      </c>
      <c r="Q1452">
        <v>1</v>
      </c>
      <c r="R1452">
        <v>0</v>
      </c>
      <c r="S1452" s="2">
        <v>649000</v>
      </c>
      <c r="T1452" s="4">
        <v>5.74E-2</v>
      </c>
      <c r="U1452">
        <v>10</v>
      </c>
      <c r="V1452">
        <v>1</v>
      </c>
      <c r="W1452">
        <v>1</v>
      </c>
    </row>
    <row r="1453" spans="1:23" ht="16.5" x14ac:dyDescent="0.3">
      <c r="A1453" t="s">
        <v>1512</v>
      </c>
      <c r="B1453" s="1">
        <v>45521</v>
      </c>
      <c r="C1453">
        <v>2024</v>
      </c>
      <c r="D1453" t="s">
        <v>1255</v>
      </c>
      <c r="E1453" t="s">
        <v>1415</v>
      </c>
      <c r="F1453" t="s">
        <v>41</v>
      </c>
      <c r="G1453" t="s">
        <v>51</v>
      </c>
      <c r="H1453" t="s">
        <v>64</v>
      </c>
      <c r="I1453" t="s">
        <v>29</v>
      </c>
      <c r="J1453" t="s">
        <v>52</v>
      </c>
      <c r="K1453" s="2">
        <v>7250</v>
      </c>
      <c r="L1453" s="2">
        <v>105000</v>
      </c>
      <c r="M1453">
        <v>24</v>
      </c>
      <c r="N1453" s="3">
        <v>0.86199999999999999</v>
      </c>
      <c r="O1453" t="s">
        <v>16</v>
      </c>
      <c r="Q1453">
        <v>1</v>
      </c>
      <c r="R1453">
        <v>0</v>
      </c>
      <c r="S1453" s="2">
        <v>84000</v>
      </c>
      <c r="T1453" s="4">
        <v>9.7600000000000006E-2</v>
      </c>
      <c r="U1453">
        <v>20</v>
      </c>
      <c r="V1453">
        <v>0</v>
      </c>
      <c r="W1453">
        <v>1</v>
      </c>
    </row>
    <row r="1454" spans="1:23" ht="16.5" x14ac:dyDescent="0.3">
      <c r="A1454" t="s">
        <v>1513</v>
      </c>
      <c r="B1454" s="1">
        <v>45521</v>
      </c>
      <c r="C1454">
        <v>2024</v>
      </c>
      <c r="D1454" t="s">
        <v>1255</v>
      </c>
      <c r="E1454" t="s">
        <v>1415</v>
      </c>
      <c r="F1454" t="s">
        <v>37</v>
      </c>
      <c r="G1454" t="s">
        <v>51</v>
      </c>
      <c r="H1454" t="s">
        <v>64</v>
      </c>
      <c r="I1454" t="s">
        <v>39</v>
      </c>
      <c r="J1454" t="s">
        <v>30</v>
      </c>
      <c r="K1454" s="2">
        <v>1550</v>
      </c>
      <c r="L1454" s="2">
        <v>8500</v>
      </c>
      <c r="M1454">
        <v>60</v>
      </c>
      <c r="N1454" s="3">
        <v>0.189</v>
      </c>
      <c r="O1454" t="s">
        <v>17</v>
      </c>
      <c r="P1454" t="s">
        <v>31</v>
      </c>
      <c r="Q1454">
        <v>0</v>
      </c>
      <c r="R1454">
        <v>1</v>
      </c>
      <c r="S1454" s="2">
        <v>0</v>
      </c>
      <c r="T1454" s="4"/>
      <c r="U1454">
        <v>7</v>
      </c>
      <c r="V1454">
        <v>0</v>
      </c>
      <c r="W1454">
        <v>1</v>
      </c>
    </row>
    <row r="1455" spans="1:23" ht="16.5" x14ac:dyDescent="0.3">
      <c r="A1455" t="s">
        <v>1514</v>
      </c>
      <c r="B1455" s="1">
        <v>45521</v>
      </c>
      <c r="C1455">
        <v>2024</v>
      </c>
      <c r="D1455" t="s">
        <v>1255</v>
      </c>
      <c r="E1455" t="s">
        <v>1415</v>
      </c>
      <c r="F1455" t="s">
        <v>37</v>
      </c>
      <c r="G1455" t="s">
        <v>33</v>
      </c>
      <c r="H1455" t="s">
        <v>64</v>
      </c>
      <c r="I1455" t="s">
        <v>29</v>
      </c>
      <c r="J1455" t="s">
        <v>52</v>
      </c>
      <c r="K1455" s="2">
        <v>6250</v>
      </c>
      <c r="L1455" s="2">
        <v>17500</v>
      </c>
      <c r="M1455">
        <v>48</v>
      </c>
      <c r="N1455" s="3">
        <v>0.192</v>
      </c>
      <c r="O1455" t="s">
        <v>16</v>
      </c>
      <c r="Q1455">
        <v>1</v>
      </c>
      <c r="R1455">
        <v>0</v>
      </c>
      <c r="S1455" s="2">
        <v>14000</v>
      </c>
      <c r="T1455" s="4">
        <v>0.1129</v>
      </c>
      <c r="U1455">
        <v>2</v>
      </c>
      <c r="V1455">
        <v>1</v>
      </c>
      <c r="W1455">
        <v>1</v>
      </c>
    </row>
    <row r="1456" spans="1:23" ht="16.5" x14ac:dyDescent="0.3">
      <c r="A1456" t="s">
        <v>1515</v>
      </c>
      <c r="B1456" s="1">
        <v>45522</v>
      </c>
      <c r="C1456">
        <v>2024</v>
      </c>
      <c r="D1456" t="s">
        <v>1255</v>
      </c>
      <c r="E1456" t="s">
        <v>1415</v>
      </c>
      <c r="F1456" t="s">
        <v>50</v>
      </c>
      <c r="G1456" t="s">
        <v>33</v>
      </c>
      <c r="H1456" t="s">
        <v>38</v>
      </c>
      <c r="I1456" t="s">
        <v>39</v>
      </c>
      <c r="J1456" t="s">
        <v>52</v>
      </c>
      <c r="K1456" s="2">
        <v>4050</v>
      </c>
      <c r="L1456" s="2">
        <v>158000</v>
      </c>
      <c r="M1456">
        <v>300</v>
      </c>
      <c r="N1456" s="3">
        <v>0.30199999999999999</v>
      </c>
      <c r="O1456" t="s">
        <v>16</v>
      </c>
      <c r="Q1456">
        <v>1</v>
      </c>
      <c r="R1456">
        <v>0</v>
      </c>
      <c r="S1456" s="2">
        <v>158000</v>
      </c>
      <c r="T1456" s="4">
        <v>4.6699999999999998E-2</v>
      </c>
      <c r="U1456">
        <v>7</v>
      </c>
      <c r="V1456">
        <v>1</v>
      </c>
      <c r="W1456">
        <v>1</v>
      </c>
    </row>
    <row r="1457" spans="1:23" ht="16.5" x14ac:dyDescent="0.3">
      <c r="A1457" t="s">
        <v>1516</v>
      </c>
      <c r="B1457" s="1">
        <v>45522</v>
      </c>
      <c r="C1457">
        <v>2024</v>
      </c>
      <c r="D1457" t="s">
        <v>1255</v>
      </c>
      <c r="E1457" t="s">
        <v>1415</v>
      </c>
      <c r="F1457" t="s">
        <v>50</v>
      </c>
      <c r="G1457" t="s">
        <v>45</v>
      </c>
      <c r="H1457" t="s">
        <v>34</v>
      </c>
      <c r="I1457" t="s">
        <v>42</v>
      </c>
      <c r="J1457" t="s">
        <v>52</v>
      </c>
      <c r="K1457" s="2">
        <v>6900</v>
      </c>
      <c r="L1457" s="2">
        <v>250000</v>
      </c>
      <c r="M1457">
        <v>180</v>
      </c>
      <c r="N1457" s="3">
        <v>0.40899999999999997</v>
      </c>
      <c r="O1457" t="s">
        <v>17</v>
      </c>
      <c r="P1457" t="s">
        <v>60</v>
      </c>
      <c r="Q1457">
        <v>0</v>
      </c>
      <c r="R1457">
        <v>1</v>
      </c>
      <c r="S1457" s="2">
        <v>0</v>
      </c>
      <c r="T1457" s="4"/>
      <c r="U1457">
        <v>10</v>
      </c>
      <c r="V1457">
        <v>1</v>
      </c>
      <c r="W1457">
        <v>1</v>
      </c>
    </row>
    <row r="1458" spans="1:23" ht="16.5" x14ac:dyDescent="0.3">
      <c r="A1458" t="s">
        <v>1517</v>
      </c>
      <c r="B1458" s="1">
        <v>45522</v>
      </c>
      <c r="C1458">
        <v>2024</v>
      </c>
      <c r="D1458" t="s">
        <v>1255</v>
      </c>
      <c r="E1458" t="s">
        <v>1415</v>
      </c>
      <c r="F1458" t="s">
        <v>41</v>
      </c>
      <c r="G1458" t="s">
        <v>27</v>
      </c>
      <c r="H1458" t="s">
        <v>64</v>
      </c>
      <c r="I1458" t="s">
        <v>29</v>
      </c>
      <c r="J1458" t="s">
        <v>35</v>
      </c>
      <c r="K1458" s="2">
        <v>3100</v>
      </c>
      <c r="L1458" s="2">
        <v>61000</v>
      </c>
      <c r="M1458">
        <v>60</v>
      </c>
      <c r="N1458" s="3">
        <v>0.65400000000000003</v>
      </c>
      <c r="O1458" t="s">
        <v>17</v>
      </c>
      <c r="P1458" t="s">
        <v>53</v>
      </c>
      <c r="Q1458">
        <v>0</v>
      </c>
      <c r="R1458">
        <v>1</v>
      </c>
      <c r="S1458" s="2">
        <v>0</v>
      </c>
      <c r="T1458" s="4"/>
      <c r="U1458">
        <v>16</v>
      </c>
      <c r="V1458">
        <v>0</v>
      </c>
      <c r="W1458">
        <v>1</v>
      </c>
    </row>
    <row r="1459" spans="1:23" ht="16.5" x14ac:dyDescent="0.3">
      <c r="A1459" t="s">
        <v>1518</v>
      </c>
      <c r="B1459" s="1">
        <v>45522</v>
      </c>
      <c r="C1459">
        <v>2024</v>
      </c>
      <c r="D1459" t="s">
        <v>1255</v>
      </c>
      <c r="E1459" t="s">
        <v>1415</v>
      </c>
      <c r="F1459" t="s">
        <v>37</v>
      </c>
      <c r="G1459" t="s">
        <v>45</v>
      </c>
      <c r="H1459" t="s">
        <v>64</v>
      </c>
      <c r="I1459" t="s">
        <v>29</v>
      </c>
      <c r="J1459" t="s">
        <v>52</v>
      </c>
      <c r="K1459" s="2">
        <v>5100</v>
      </c>
      <c r="L1459" s="2">
        <v>9500</v>
      </c>
      <c r="M1459">
        <v>36</v>
      </c>
      <c r="N1459" s="3">
        <v>0.247</v>
      </c>
      <c r="O1459" t="s">
        <v>16</v>
      </c>
      <c r="Q1459">
        <v>1</v>
      </c>
      <c r="R1459">
        <v>0</v>
      </c>
      <c r="S1459" s="2">
        <v>9500</v>
      </c>
      <c r="T1459" s="4">
        <v>0.11840000000000001</v>
      </c>
      <c r="U1459">
        <v>2</v>
      </c>
      <c r="V1459">
        <v>1</v>
      </c>
      <c r="W1459">
        <v>1</v>
      </c>
    </row>
    <row r="1460" spans="1:23" ht="16.5" x14ac:dyDescent="0.3">
      <c r="A1460" t="s">
        <v>1519</v>
      </c>
      <c r="B1460" s="1">
        <v>45523</v>
      </c>
      <c r="C1460">
        <v>2024</v>
      </c>
      <c r="D1460" t="s">
        <v>1255</v>
      </c>
      <c r="E1460" t="s">
        <v>1415</v>
      </c>
      <c r="F1460" t="s">
        <v>41</v>
      </c>
      <c r="G1460" t="s">
        <v>51</v>
      </c>
      <c r="H1460" t="s">
        <v>28</v>
      </c>
      <c r="I1460" t="s">
        <v>42</v>
      </c>
      <c r="J1460" t="s">
        <v>52</v>
      </c>
      <c r="K1460" s="2">
        <v>6200</v>
      </c>
      <c r="L1460" s="2">
        <v>110500</v>
      </c>
      <c r="M1460">
        <v>12</v>
      </c>
      <c r="N1460" s="3">
        <v>1.704</v>
      </c>
      <c r="O1460" t="s">
        <v>17</v>
      </c>
      <c r="P1460" t="s">
        <v>53</v>
      </c>
      <c r="Q1460">
        <v>0</v>
      </c>
      <c r="R1460">
        <v>1</v>
      </c>
      <c r="S1460" s="2">
        <v>0</v>
      </c>
      <c r="T1460" s="4"/>
      <c r="U1460">
        <v>10</v>
      </c>
      <c r="V1460">
        <v>1</v>
      </c>
      <c r="W1460">
        <v>1</v>
      </c>
    </row>
    <row r="1461" spans="1:23" ht="16.5" x14ac:dyDescent="0.3">
      <c r="A1461" t="s">
        <v>1520</v>
      </c>
      <c r="B1461" s="1">
        <v>45523</v>
      </c>
      <c r="C1461">
        <v>2024</v>
      </c>
      <c r="D1461" t="s">
        <v>1255</v>
      </c>
      <c r="E1461" t="s">
        <v>1415</v>
      </c>
      <c r="F1461" t="s">
        <v>41</v>
      </c>
      <c r="G1461" t="s">
        <v>51</v>
      </c>
      <c r="H1461" t="s">
        <v>38</v>
      </c>
      <c r="I1461" t="s">
        <v>29</v>
      </c>
      <c r="J1461" t="s">
        <v>46</v>
      </c>
      <c r="K1461" s="2">
        <v>7000</v>
      </c>
      <c r="L1461" s="2">
        <v>95000</v>
      </c>
      <c r="M1461">
        <v>60</v>
      </c>
      <c r="N1461" s="3">
        <v>0.38700000000000001</v>
      </c>
      <c r="O1461" t="s">
        <v>16</v>
      </c>
      <c r="Q1461">
        <v>1</v>
      </c>
      <c r="R1461">
        <v>0</v>
      </c>
      <c r="S1461" s="2">
        <v>95000</v>
      </c>
      <c r="T1461" s="4">
        <v>9.1399999999999995E-2</v>
      </c>
      <c r="U1461">
        <v>19</v>
      </c>
      <c r="V1461">
        <v>0</v>
      </c>
      <c r="W1461">
        <v>1</v>
      </c>
    </row>
    <row r="1462" spans="1:23" ht="16.5" x14ac:dyDescent="0.3">
      <c r="A1462" t="s">
        <v>1521</v>
      </c>
      <c r="B1462" s="1">
        <v>45523</v>
      </c>
      <c r="C1462">
        <v>2024</v>
      </c>
      <c r="D1462" t="s">
        <v>1255</v>
      </c>
      <c r="E1462" t="s">
        <v>1415</v>
      </c>
      <c r="F1462" t="s">
        <v>37</v>
      </c>
      <c r="G1462" t="s">
        <v>45</v>
      </c>
      <c r="H1462" t="s">
        <v>34</v>
      </c>
      <c r="I1462" t="s">
        <v>29</v>
      </c>
      <c r="J1462" t="s">
        <v>35</v>
      </c>
      <c r="K1462" s="2">
        <v>4550</v>
      </c>
      <c r="L1462" s="2">
        <v>13000</v>
      </c>
      <c r="M1462">
        <v>60</v>
      </c>
      <c r="N1462" s="3">
        <v>0.182</v>
      </c>
      <c r="O1462" t="s">
        <v>17</v>
      </c>
      <c r="P1462" t="s">
        <v>31</v>
      </c>
      <c r="Q1462">
        <v>0</v>
      </c>
      <c r="R1462">
        <v>1</v>
      </c>
      <c r="S1462" s="2">
        <v>0</v>
      </c>
      <c r="T1462" s="4"/>
      <c r="U1462">
        <v>3</v>
      </c>
      <c r="V1462">
        <v>1</v>
      </c>
      <c r="W1462">
        <v>1</v>
      </c>
    </row>
    <row r="1463" spans="1:23" ht="16.5" x14ac:dyDescent="0.3">
      <c r="A1463" t="s">
        <v>1522</v>
      </c>
      <c r="B1463" s="1">
        <v>45523</v>
      </c>
      <c r="C1463">
        <v>2024</v>
      </c>
      <c r="D1463" t="s">
        <v>1255</v>
      </c>
      <c r="E1463" t="s">
        <v>1415</v>
      </c>
      <c r="F1463" t="s">
        <v>41</v>
      </c>
      <c r="G1463" t="s">
        <v>51</v>
      </c>
      <c r="H1463" t="s">
        <v>38</v>
      </c>
      <c r="I1463" t="s">
        <v>42</v>
      </c>
      <c r="J1463" t="s">
        <v>30</v>
      </c>
      <c r="K1463" s="2">
        <v>2500</v>
      </c>
      <c r="L1463" s="2">
        <v>52500</v>
      </c>
      <c r="M1463">
        <v>60</v>
      </c>
      <c r="N1463" s="3">
        <v>0.628</v>
      </c>
      <c r="O1463" t="s">
        <v>17</v>
      </c>
      <c r="P1463" t="s">
        <v>53</v>
      </c>
      <c r="Q1463">
        <v>0</v>
      </c>
      <c r="R1463">
        <v>1</v>
      </c>
      <c r="S1463" s="2">
        <v>0</v>
      </c>
      <c r="T1463" s="4"/>
      <c r="U1463">
        <v>21</v>
      </c>
      <c r="V1463">
        <v>0</v>
      </c>
      <c r="W1463">
        <v>1</v>
      </c>
    </row>
    <row r="1464" spans="1:23" ht="16.5" x14ac:dyDescent="0.3">
      <c r="A1464" t="s">
        <v>1523</v>
      </c>
      <c r="B1464" s="1">
        <v>45523</v>
      </c>
      <c r="C1464">
        <v>2024</v>
      </c>
      <c r="D1464" t="s">
        <v>1255</v>
      </c>
      <c r="E1464" t="s">
        <v>1415</v>
      </c>
      <c r="F1464" t="s">
        <v>26</v>
      </c>
      <c r="G1464" t="s">
        <v>27</v>
      </c>
      <c r="H1464" t="s">
        <v>34</v>
      </c>
      <c r="I1464" t="s">
        <v>39</v>
      </c>
      <c r="J1464" t="s">
        <v>30</v>
      </c>
      <c r="K1464" s="2">
        <v>5150</v>
      </c>
      <c r="L1464" s="2">
        <v>39000</v>
      </c>
      <c r="M1464">
        <v>48</v>
      </c>
      <c r="N1464" s="3">
        <v>0.28000000000000003</v>
      </c>
      <c r="O1464" t="s">
        <v>17</v>
      </c>
      <c r="P1464" t="s">
        <v>60</v>
      </c>
      <c r="Q1464">
        <v>0</v>
      </c>
      <c r="R1464">
        <v>1</v>
      </c>
      <c r="S1464" s="2">
        <v>0</v>
      </c>
      <c r="T1464" s="4"/>
      <c r="U1464">
        <v>9</v>
      </c>
      <c r="V1464">
        <v>0</v>
      </c>
      <c r="W1464">
        <v>1</v>
      </c>
    </row>
    <row r="1465" spans="1:23" ht="16.5" x14ac:dyDescent="0.3">
      <c r="A1465" t="s">
        <v>1524</v>
      </c>
      <c r="B1465" s="1">
        <v>45523</v>
      </c>
      <c r="C1465">
        <v>2024</v>
      </c>
      <c r="D1465" t="s">
        <v>1255</v>
      </c>
      <c r="E1465" t="s">
        <v>1415</v>
      </c>
      <c r="F1465" t="s">
        <v>50</v>
      </c>
      <c r="G1465" t="s">
        <v>33</v>
      </c>
      <c r="H1465" t="s">
        <v>55</v>
      </c>
      <c r="I1465" t="s">
        <v>42</v>
      </c>
      <c r="J1465" t="s">
        <v>52</v>
      </c>
      <c r="K1465" s="2">
        <v>2150</v>
      </c>
      <c r="L1465" s="2">
        <v>223000</v>
      </c>
      <c r="M1465">
        <v>240</v>
      </c>
      <c r="N1465" s="3">
        <v>0.92500000000000004</v>
      </c>
      <c r="O1465" t="s">
        <v>125</v>
      </c>
      <c r="Q1465">
        <v>0</v>
      </c>
      <c r="R1465">
        <v>0</v>
      </c>
      <c r="S1465" s="2">
        <v>0</v>
      </c>
      <c r="T1465" s="4"/>
      <c r="U1465">
        <v>11</v>
      </c>
      <c r="V1465">
        <v>1</v>
      </c>
      <c r="W1465">
        <v>1</v>
      </c>
    </row>
    <row r="1466" spans="1:23" ht="16.5" x14ac:dyDescent="0.3">
      <c r="A1466" t="s">
        <v>1525</v>
      </c>
      <c r="B1466" s="1">
        <v>45523</v>
      </c>
      <c r="C1466">
        <v>2024</v>
      </c>
      <c r="D1466" t="s">
        <v>1255</v>
      </c>
      <c r="E1466" t="s">
        <v>1415</v>
      </c>
      <c r="F1466" t="s">
        <v>41</v>
      </c>
      <c r="G1466" t="s">
        <v>45</v>
      </c>
      <c r="H1466" t="s">
        <v>28</v>
      </c>
      <c r="I1466" t="s">
        <v>42</v>
      </c>
      <c r="J1466" t="s">
        <v>35</v>
      </c>
      <c r="K1466" s="2">
        <v>6000</v>
      </c>
      <c r="L1466" s="2">
        <v>91500</v>
      </c>
      <c r="M1466">
        <v>36</v>
      </c>
      <c r="N1466" s="3">
        <v>0.58699999999999997</v>
      </c>
      <c r="O1466" t="s">
        <v>17</v>
      </c>
      <c r="P1466" t="s">
        <v>53</v>
      </c>
      <c r="Q1466">
        <v>0</v>
      </c>
      <c r="R1466">
        <v>1</v>
      </c>
      <c r="S1466" s="2">
        <v>0</v>
      </c>
      <c r="T1466" s="4"/>
      <c r="U1466">
        <v>14</v>
      </c>
      <c r="V1466">
        <v>0</v>
      </c>
      <c r="W1466">
        <v>1</v>
      </c>
    </row>
    <row r="1467" spans="1:23" ht="16.5" x14ac:dyDescent="0.3">
      <c r="A1467" t="s">
        <v>1526</v>
      </c>
      <c r="B1467" s="1">
        <v>45523</v>
      </c>
      <c r="C1467">
        <v>2024</v>
      </c>
      <c r="D1467" t="s">
        <v>1255</v>
      </c>
      <c r="E1467" t="s">
        <v>1415</v>
      </c>
      <c r="F1467" t="s">
        <v>26</v>
      </c>
      <c r="G1467" t="s">
        <v>27</v>
      </c>
      <c r="H1467" t="s">
        <v>55</v>
      </c>
      <c r="I1467" t="s">
        <v>29</v>
      </c>
      <c r="J1467" t="s">
        <v>35</v>
      </c>
      <c r="K1467" s="2">
        <v>7800</v>
      </c>
      <c r="L1467" s="2">
        <v>21500</v>
      </c>
      <c r="M1467">
        <v>36</v>
      </c>
      <c r="N1467" s="3">
        <v>0.224</v>
      </c>
      <c r="O1467" t="s">
        <v>16</v>
      </c>
      <c r="Q1467">
        <v>1</v>
      </c>
      <c r="R1467">
        <v>0</v>
      </c>
      <c r="S1467" s="2">
        <v>21500</v>
      </c>
      <c r="T1467" s="4">
        <v>7.9699999999999993E-2</v>
      </c>
      <c r="U1467">
        <v>6</v>
      </c>
      <c r="V1467">
        <v>0</v>
      </c>
      <c r="W1467">
        <v>1</v>
      </c>
    </row>
    <row r="1468" spans="1:23" ht="16.5" x14ac:dyDescent="0.3">
      <c r="A1468" t="s">
        <v>1527</v>
      </c>
      <c r="B1468" s="1">
        <v>45523</v>
      </c>
      <c r="C1468">
        <v>2024</v>
      </c>
      <c r="D1468" t="s">
        <v>1255</v>
      </c>
      <c r="E1468" t="s">
        <v>1415</v>
      </c>
      <c r="F1468" t="s">
        <v>37</v>
      </c>
      <c r="G1468" t="s">
        <v>51</v>
      </c>
      <c r="H1468" t="s">
        <v>34</v>
      </c>
      <c r="I1468" t="s">
        <v>29</v>
      </c>
      <c r="J1468" t="s">
        <v>35</v>
      </c>
      <c r="K1468" s="2">
        <v>5300</v>
      </c>
      <c r="L1468" s="2">
        <v>14500</v>
      </c>
      <c r="M1468">
        <v>48</v>
      </c>
      <c r="N1468" s="3">
        <v>0.13200000000000001</v>
      </c>
      <c r="O1468" t="s">
        <v>16</v>
      </c>
      <c r="Q1468">
        <v>1</v>
      </c>
      <c r="R1468">
        <v>0</v>
      </c>
      <c r="S1468" s="2">
        <v>14500</v>
      </c>
      <c r="T1468" s="4">
        <v>0.12470000000000001</v>
      </c>
      <c r="U1468">
        <v>2</v>
      </c>
      <c r="V1468">
        <v>1</v>
      </c>
      <c r="W1468">
        <v>1</v>
      </c>
    </row>
    <row r="1469" spans="1:23" ht="16.5" x14ac:dyDescent="0.3">
      <c r="A1469" t="s">
        <v>1528</v>
      </c>
      <c r="B1469" s="1">
        <v>45523</v>
      </c>
      <c r="C1469">
        <v>2024</v>
      </c>
      <c r="D1469" t="s">
        <v>1255</v>
      </c>
      <c r="E1469" t="s">
        <v>1415</v>
      </c>
      <c r="F1469" t="s">
        <v>26</v>
      </c>
      <c r="G1469" t="s">
        <v>45</v>
      </c>
      <c r="H1469" t="s">
        <v>64</v>
      </c>
      <c r="I1469" t="s">
        <v>29</v>
      </c>
      <c r="J1469" t="s">
        <v>52</v>
      </c>
      <c r="K1469" s="2">
        <v>5650</v>
      </c>
      <c r="L1469" s="2">
        <v>20000</v>
      </c>
      <c r="M1469">
        <v>60</v>
      </c>
      <c r="N1469" s="3">
        <v>0.253</v>
      </c>
      <c r="O1469" t="s">
        <v>16</v>
      </c>
      <c r="Q1469">
        <v>1</v>
      </c>
      <c r="R1469">
        <v>0</v>
      </c>
      <c r="S1469" s="2">
        <v>18000</v>
      </c>
      <c r="T1469" s="4">
        <v>7.0699999999999999E-2</v>
      </c>
      <c r="U1469">
        <v>2</v>
      </c>
      <c r="V1469">
        <v>1</v>
      </c>
      <c r="W1469">
        <v>1</v>
      </c>
    </row>
    <row r="1470" spans="1:23" ht="16.5" x14ac:dyDescent="0.3">
      <c r="A1470" t="s">
        <v>1529</v>
      </c>
      <c r="B1470" s="1">
        <v>45523</v>
      </c>
      <c r="C1470">
        <v>2024</v>
      </c>
      <c r="D1470" t="s">
        <v>1255</v>
      </c>
      <c r="E1470" t="s">
        <v>1415</v>
      </c>
      <c r="F1470" t="s">
        <v>37</v>
      </c>
      <c r="G1470" t="s">
        <v>51</v>
      </c>
      <c r="H1470" t="s">
        <v>38</v>
      </c>
      <c r="I1470" t="s">
        <v>29</v>
      </c>
      <c r="J1470" t="s">
        <v>30</v>
      </c>
      <c r="K1470" s="2">
        <v>2300</v>
      </c>
      <c r="L1470" s="2">
        <v>11000</v>
      </c>
      <c r="M1470">
        <v>24</v>
      </c>
      <c r="N1470" s="3">
        <v>0.28000000000000003</v>
      </c>
      <c r="O1470" t="s">
        <v>16</v>
      </c>
      <c r="Q1470">
        <v>1</v>
      </c>
      <c r="R1470">
        <v>0</v>
      </c>
      <c r="S1470" s="2">
        <v>9000</v>
      </c>
      <c r="T1470" s="4">
        <v>0.1391</v>
      </c>
      <c r="U1470">
        <v>2</v>
      </c>
      <c r="V1470">
        <v>1</v>
      </c>
      <c r="W1470">
        <v>1</v>
      </c>
    </row>
    <row r="1471" spans="1:23" ht="16.5" x14ac:dyDescent="0.3">
      <c r="A1471" t="s">
        <v>1530</v>
      </c>
      <c r="B1471" s="1">
        <v>45523</v>
      </c>
      <c r="C1471">
        <v>2024</v>
      </c>
      <c r="D1471" t="s">
        <v>1255</v>
      </c>
      <c r="E1471" t="s">
        <v>1415</v>
      </c>
      <c r="F1471" t="s">
        <v>37</v>
      </c>
      <c r="G1471" t="s">
        <v>51</v>
      </c>
      <c r="H1471" t="s">
        <v>34</v>
      </c>
      <c r="I1471" t="s">
        <v>29</v>
      </c>
      <c r="J1471" t="s">
        <v>46</v>
      </c>
      <c r="K1471" s="2">
        <v>8200</v>
      </c>
      <c r="L1471" s="2">
        <v>20500</v>
      </c>
      <c r="M1471">
        <v>24</v>
      </c>
      <c r="N1471" s="3">
        <v>0.35</v>
      </c>
      <c r="O1471" t="s">
        <v>16</v>
      </c>
      <c r="Q1471">
        <v>1</v>
      </c>
      <c r="R1471">
        <v>0</v>
      </c>
      <c r="S1471" s="2">
        <v>18500</v>
      </c>
      <c r="T1471" s="4">
        <v>0.1104</v>
      </c>
      <c r="U1471">
        <v>6</v>
      </c>
      <c r="V1471">
        <v>0</v>
      </c>
      <c r="W1471">
        <v>1</v>
      </c>
    </row>
    <row r="1472" spans="1:23" ht="16.5" x14ac:dyDescent="0.3">
      <c r="A1472" t="s">
        <v>1531</v>
      </c>
      <c r="B1472" s="1">
        <v>45523</v>
      </c>
      <c r="C1472">
        <v>2024</v>
      </c>
      <c r="D1472" t="s">
        <v>1255</v>
      </c>
      <c r="E1472" t="s">
        <v>1415</v>
      </c>
      <c r="F1472" t="s">
        <v>26</v>
      </c>
      <c r="G1472" t="s">
        <v>45</v>
      </c>
      <c r="H1472" t="s">
        <v>28</v>
      </c>
      <c r="I1472" t="s">
        <v>39</v>
      </c>
      <c r="J1472" t="s">
        <v>52</v>
      </c>
      <c r="K1472" s="2">
        <v>4000</v>
      </c>
      <c r="L1472" s="2">
        <v>9000</v>
      </c>
      <c r="M1472">
        <v>36</v>
      </c>
      <c r="N1472" s="3">
        <v>0.26900000000000002</v>
      </c>
      <c r="O1472" t="s">
        <v>16</v>
      </c>
      <c r="Q1472">
        <v>1</v>
      </c>
      <c r="R1472">
        <v>0</v>
      </c>
      <c r="S1472" s="2">
        <v>7000</v>
      </c>
      <c r="T1472" s="4">
        <v>7.5700000000000003E-2</v>
      </c>
      <c r="U1472">
        <v>3</v>
      </c>
      <c r="V1472">
        <v>1</v>
      </c>
      <c r="W1472">
        <v>1</v>
      </c>
    </row>
    <row r="1473" spans="1:23" ht="16.5" x14ac:dyDescent="0.3">
      <c r="A1473" t="s">
        <v>1532</v>
      </c>
      <c r="B1473" s="1">
        <v>45523</v>
      </c>
      <c r="C1473">
        <v>2024</v>
      </c>
      <c r="D1473" t="s">
        <v>1255</v>
      </c>
      <c r="E1473" t="s">
        <v>1415</v>
      </c>
      <c r="F1473" t="s">
        <v>41</v>
      </c>
      <c r="G1473" t="s">
        <v>33</v>
      </c>
      <c r="H1473" t="s">
        <v>28</v>
      </c>
      <c r="I1473" t="s">
        <v>39</v>
      </c>
      <c r="J1473" t="s">
        <v>35</v>
      </c>
      <c r="K1473" s="2">
        <v>5250</v>
      </c>
      <c r="L1473" s="2">
        <v>55000</v>
      </c>
      <c r="M1473">
        <v>12</v>
      </c>
      <c r="N1473" s="3">
        <v>0.97399999999999998</v>
      </c>
      <c r="O1473" t="s">
        <v>17</v>
      </c>
      <c r="P1473" t="s">
        <v>53</v>
      </c>
      <c r="Q1473">
        <v>0</v>
      </c>
      <c r="R1473">
        <v>1</v>
      </c>
      <c r="S1473" s="2">
        <v>0</v>
      </c>
      <c r="T1473" s="4"/>
      <c r="U1473">
        <v>3</v>
      </c>
      <c r="V1473">
        <v>1</v>
      </c>
      <c r="W1473">
        <v>1</v>
      </c>
    </row>
    <row r="1474" spans="1:23" ht="16.5" x14ac:dyDescent="0.3">
      <c r="A1474" t="s">
        <v>1533</v>
      </c>
      <c r="B1474" s="1">
        <v>45523</v>
      </c>
      <c r="C1474">
        <v>2024</v>
      </c>
      <c r="D1474" t="s">
        <v>1255</v>
      </c>
      <c r="E1474" t="s">
        <v>1415</v>
      </c>
      <c r="F1474" t="s">
        <v>41</v>
      </c>
      <c r="G1474" t="s">
        <v>27</v>
      </c>
      <c r="H1474" t="s">
        <v>55</v>
      </c>
      <c r="I1474" t="s">
        <v>39</v>
      </c>
      <c r="J1474" t="s">
        <v>52</v>
      </c>
      <c r="K1474" s="2">
        <v>5150</v>
      </c>
      <c r="L1474" s="2">
        <v>226500</v>
      </c>
      <c r="M1474">
        <v>24</v>
      </c>
      <c r="N1474" s="3">
        <v>2.081</v>
      </c>
      <c r="O1474" t="s">
        <v>17</v>
      </c>
      <c r="P1474" t="s">
        <v>53</v>
      </c>
      <c r="Q1474">
        <v>0</v>
      </c>
      <c r="R1474">
        <v>1</v>
      </c>
      <c r="S1474" s="2">
        <v>0</v>
      </c>
      <c r="T1474" s="4"/>
      <c r="U1474">
        <v>16</v>
      </c>
      <c r="V1474">
        <v>0</v>
      </c>
      <c r="W1474">
        <v>1</v>
      </c>
    </row>
    <row r="1475" spans="1:23" ht="16.5" x14ac:dyDescent="0.3">
      <c r="A1475" t="s">
        <v>1534</v>
      </c>
      <c r="B1475" s="1">
        <v>45523</v>
      </c>
      <c r="C1475">
        <v>2024</v>
      </c>
      <c r="D1475" t="s">
        <v>1255</v>
      </c>
      <c r="E1475" t="s">
        <v>1415</v>
      </c>
      <c r="F1475" t="s">
        <v>41</v>
      </c>
      <c r="G1475" t="s">
        <v>51</v>
      </c>
      <c r="H1475" t="s">
        <v>55</v>
      </c>
      <c r="I1475" t="s">
        <v>42</v>
      </c>
      <c r="J1475" t="s">
        <v>30</v>
      </c>
      <c r="K1475" s="2">
        <v>6350</v>
      </c>
      <c r="L1475" s="2">
        <v>72000</v>
      </c>
      <c r="M1475">
        <v>12</v>
      </c>
      <c r="N1475" s="3">
        <v>1.2090000000000001</v>
      </c>
      <c r="O1475" t="s">
        <v>17</v>
      </c>
      <c r="P1475" t="s">
        <v>31</v>
      </c>
      <c r="Q1475">
        <v>0</v>
      </c>
      <c r="R1475">
        <v>1</v>
      </c>
      <c r="S1475" s="2">
        <v>0</v>
      </c>
      <c r="T1475" s="4"/>
      <c r="U1475">
        <v>10</v>
      </c>
      <c r="V1475">
        <v>1</v>
      </c>
      <c r="W1475">
        <v>1</v>
      </c>
    </row>
    <row r="1476" spans="1:23" ht="16.5" x14ac:dyDescent="0.3">
      <c r="A1476" t="s">
        <v>1535</v>
      </c>
      <c r="B1476" s="1">
        <v>45524</v>
      </c>
      <c r="C1476">
        <v>2024</v>
      </c>
      <c r="D1476" t="s">
        <v>1255</v>
      </c>
      <c r="E1476" t="s">
        <v>1415</v>
      </c>
      <c r="F1476" t="s">
        <v>37</v>
      </c>
      <c r="G1476" t="s">
        <v>51</v>
      </c>
      <c r="H1476" t="s">
        <v>34</v>
      </c>
      <c r="I1476" t="s">
        <v>29</v>
      </c>
      <c r="J1476" t="s">
        <v>35</v>
      </c>
      <c r="K1476" s="2">
        <v>10450</v>
      </c>
      <c r="L1476" s="2">
        <v>8500</v>
      </c>
      <c r="M1476">
        <v>48</v>
      </c>
      <c r="N1476" s="3">
        <v>0.17699999999999999</v>
      </c>
      <c r="O1476" t="s">
        <v>17</v>
      </c>
      <c r="P1476" t="s">
        <v>31</v>
      </c>
      <c r="Q1476">
        <v>0</v>
      </c>
      <c r="R1476">
        <v>1</v>
      </c>
      <c r="S1476" s="2">
        <v>0</v>
      </c>
      <c r="T1476" s="4"/>
      <c r="U1476">
        <v>4</v>
      </c>
      <c r="V1476">
        <v>0</v>
      </c>
      <c r="W1476">
        <v>1</v>
      </c>
    </row>
    <row r="1477" spans="1:23" ht="16.5" x14ac:dyDescent="0.3">
      <c r="A1477" t="s">
        <v>1536</v>
      </c>
      <c r="B1477" s="1">
        <v>45524</v>
      </c>
      <c r="C1477">
        <v>2024</v>
      </c>
      <c r="D1477" t="s">
        <v>1255</v>
      </c>
      <c r="E1477" t="s">
        <v>1415</v>
      </c>
      <c r="F1477" t="s">
        <v>50</v>
      </c>
      <c r="G1477" t="s">
        <v>33</v>
      </c>
      <c r="H1477" t="s">
        <v>55</v>
      </c>
      <c r="I1477" t="s">
        <v>39</v>
      </c>
      <c r="J1477" t="s">
        <v>52</v>
      </c>
      <c r="K1477" s="2">
        <v>3350</v>
      </c>
      <c r="L1477" s="2">
        <v>221000</v>
      </c>
      <c r="M1477">
        <v>300</v>
      </c>
      <c r="N1477" s="3">
        <v>0.59499999999999997</v>
      </c>
      <c r="O1477" t="s">
        <v>16</v>
      </c>
      <c r="Q1477">
        <v>1</v>
      </c>
      <c r="R1477">
        <v>0</v>
      </c>
      <c r="S1477" s="2">
        <v>221000</v>
      </c>
      <c r="T1477" s="4">
        <v>5.2999999999999999E-2</v>
      </c>
      <c r="U1477">
        <v>5</v>
      </c>
      <c r="V1477">
        <v>1</v>
      </c>
      <c r="W1477">
        <v>1</v>
      </c>
    </row>
    <row r="1478" spans="1:23" ht="16.5" x14ac:dyDescent="0.3">
      <c r="A1478" t="s">
        <v>1537</v>
      </c>
      <c r="B1478" s="1">
        <v>45524</v>
      </c>
      <c r="C1478">
        <v>2024</v>
      </c>
      <c r="D1478" t="s">
        <v>1255</v>
      </c>
      <c r="E1478" t="s">
        <v>1415</v>
      </c>
      <c r="F1478" t="s">
        <v>41</v>
      </c>
      <c r="G1478" t="s">
        <v>27</v>
      </c>
      <c r="H1478" t="s">
        <v>34</v>
      </c>
      <c r="I1478" t="s">
        <v>42</v>
      </c>
      <c r="J1478" t="s">
        <v>30</v>
      </c>
      <c r="K1478" s="2">
        <v>3100</v>
      </c>
      <c r="L1478" s="2">
        <v>87000</v>
      </c>
      <c r="M1478">
        <v>12</v>
      </c>
      <c r="N1478" s="3">
        <v>2.5459999999999998</v>
      </c>
      <c r="O1478" t="s">
        <v>17</v>
      </c>
      <c r="P1478" t="s">
        <v>31</v>
      </c>
      <c r="Q1478">
        <v>0</v>
      </c>
      <c r="R1478">
        <v>1</v>
      </c>
      <c r="S1478" s="2">
        <v>0</v>
      </c>
      <c r="T1478" s="4"/>
      <c r="U1478">
        <v>11</v>
      </c>
      <c r="V1478">
        <v>0</v>
      </c>
      <c r="W1478">
        <v>1</v>
      </c>
    </row>
    <row r="1479" spans="1:23" ht="16.5" x14ac:dyDescent="0.3">
      <c r="A1479" t="s">
        <v>1538</v>
      </c>
      <c r="B1479" s="1">
        <v>45524</v>
      </c>
      <c r="C1479">
        <v>2024</v>
      </c>
      <c r="D1479" t="s">
        <v>1255</v>
      </c>
      <c r="E1479" t="s">
        <v>1415</v>
      </c>
      <c r="F1479" t="s">
        <v>37</v>
      </c>
      <c r="G1479" t="s">
        <v>45</v>
      </c>
      <c r="H1479" t="s">
        <v>38</v>
      </c>
      <c r="I1479" t="s">
        <v>42</v>
      </c>
      <c r="J1479" t="s">
        <v>35</v>
      </c>
      <c r="K1479" s="2">
        <v>5500</v>
      </c>
      <c r="L1479" s="2">
        <v>14000</v>
      </c>
      <c r="M1479">
        <v>24</v>
      </c>
      <c r="N1479" s="3">
        <v>0.33600000000000002</v>
      </c>
      <c r="O1479" t="s">
        <v>17</v>
      </c>
      <c r="P1479" t="s">
        <v>31</v>
      </c>
      <c r="Q1479">
        <v>0</v>
      </c>
      <c r="R1479">
        <v>1</v>
      </c>
      <c r="S1479" s="2">
        <v>0</v>
      </c>
      <c r="T1479" s="4"/>
      <c r="U1479">
        <v>1</v>
      </c>
      <c r="V1479">
        <v>1</v>
      </c>
      <c r="W1479">
        <v>1</v>
      </c>
    </row>
    <row r="1480" spans="1:23" ht="16.5" x14ac:dyDescent="0.3">
      <c r="A1480" t="s">
        <v>1539</v>
      </c>
      <c r="B1480" s="1">
        <v>45525</v>
      </c>
      <c r="C1480">
        <v>2024</v>
      </c>
      <c r="D1480" t="s">
        <v>1255</v>
      </c>
      <c r="E1480" t="s">
        <v>1415</v>
      </c>
      <c r="F1480" t="s">
        <v>50</v>
      </c>
      <c r="G1480" t="s">
        <v>45</v>
      </c>
      <c r="H1480" t="s">
        <v>34</v>
      </c>
      <c r="I1480" t="s">
        <v>29</v>
      </c>
      <c r="J1480" t="s">
        <v>35</v>
      </c>
      <c r="K1480" s="2">
        <v>6950</v>
      </c>
      <c r="L1480" s="2">
        <v>412500</v>
      </c>
      <c r="M1480">
        <v>300</v>
      </c>
      <c r="N1480" s="3">
        <v>0.498</v>
      </c>
      <c r="O1480" t="s">
        <v>17</v>
      </c>
      <c r="P1480" t="s">
        <v>53</v>
      </c>
      <c r="Q1480">
        <v>0</v>
      </c>
      <c r="R1480">
        <v>1</v>
      </c>
      <c r="S1480" s="2">
        <v>0</v>
      </c>
      <c r="T1480" s="4"/>
      <c r="U1480">
        <v>9</v>
      </c>
      <c r="V1480">
        <v>1</v>
      </c>
      <c r="W1480">
        <v>1</v>
      </c>
    </row>
    <row r="1481" spans="1:23" ht="16.5" x14ac:dyDescent="0.3">
      <c r="A1481" t="s">
        <v>1540</v>
      </c>
      <c r="B1481" s="1">
        <v>45525</v>
      </c>
      <c r="C1481">
        <v>2024</v>
      </c>
      <c r="D1481" t="s">
        <v>1255</v>
      </c>
      <c r="E1481" t="s">
        <v>1415</v>
      </c>
      <c r="F1481" t="s">
        <v>26</v>
      </c>
      <c r="G1481" t="s">
        <v>27</v>
      </c>
      <c r="H1481" t="s">
        <v>38</v>
      </c>
      <c r="I1481" t="s">
        <v>42</v>
      </c>
      <c r="J1481" t="s">
        <v>35</v>
      </c>
      <c r="K1481" s="2">
        <v>10300</v>
      </c>
      <c r="L1481" s="2">
        <v>22500</v>
      </c>
      <c r="M1481">
        <v>36</v>
      </c>
      <c r="N1481" s="3">
        <v>0.28199999999999997</v>
      </c>
      <c r="O1481" t="s">
        <v>16</v>
      </c>
      <c r="Q1481">
        <v>1</v>
      </c>
      <c r="R1481">
        <v>0</v>
      </c>
      <c r="S1481" s="2">
        <v>20000</v>
      </c>
      <c r="T1481" s="4">
        <v>8.5800000000000001E-2</v>
      </c>
      <c r="U1481">
        <v>5</v>
      </c>
      <c r="V1481">
        <v>0</v>
      </c>
      <c r="W1481">
        <v>1</v>
      </c>
    </row>
    <row r="1482" spans="1:23" ht="16.5" x14ac:dyDescent="0.3">
      <c r="A1482" t="s">
        <v>1541</v>
      </c>
      <c r="B1482" s="1">
        <v>45525</v>
      </c>
      <c r="C1482">
        <v>2024</v>
      </c>
      <c r="D1482" t="s">
        <v>1255</v>
      </c>
      <c r="E1482" t="s">
        <v>1415</v>
      </c>
      <c r="F1482" t="s">
        <v>50</v>
      </c>
      <c r="G1482" t="s">
        <v>51</v>
      </c>
      <c r="H1482" t="s">
        <v>55</v>
      </c>
      <c r="I1482" t="s">
        <v>39</v>
      </c>
      <c r="J1482" t="s">
        <v>35</v>
      </c>
      <c r="K1482" s="2">
        <v>5550</v>
      </c>
      <c r="L1482" s="2">
        <v>1069500</v>
      </c>
      <c r="M1482">
        <v>180</v>
      </c>
      <c r="N1482" s="3">
        <v>1.5960000000000001</v>
      </c>
      <c r="O1482" t="s">
        <v>17</v>
      </c>
      <c r="P1482" t="s">
        <v>53</v>
      </c>
      <c r="Q1482">
        <v>0</v>
      </c>
      <c r="R1482">
        <v>1</v>
      </c>
      <c r="S1482" s="2">
        <v>0</v>
      </c>
      <c r="T1482" s="4"/>
      <c r="U1482">
        <v>23</v>
      </c>
      <c r="V1482">
        <v>0</v>
      </c>
      <c r="W1482">
        <v>1</v>
      </c>
    </row>
    <row r="1483" spans="1:23" ht="16.5" x14ac:dyDescent="0.3">
      <c r="A1483" t="s">
        <v>1542</v>
      </c>
      <c r="B1483" s="1">
        <v>45525</v>
      </c>
      <c r="C1483">
        <v>2024</v>
      </c>
      <c r="D1483" t="s">
        <v>1255</v>
      </c>
      <c r="E1483" t="s">
        <v>1415</v>
      </c>
      <c r="F1483" t="s">
        <v>26</v>
      </c>
      <c r="G1483" t="s">
        <v>51</v>
      </c>
      <c r="H1483" t="s">
        <v>64</v>
      </c>
      <c r="I1483" t="s">
        <v>29</v>
      </c>
      <c r="J1483" t="s">
        <v>52</v>
      </c>
      <c r="K1483" s="2">
        <v>4500</v>
      </c>
      <c r="L1483" s="2">
        <v>28500</v>
      </c>
      <c r="M1483">
        <v>48</v>
      </c>
      <c r="N1483" s="3">
        <v>0.39100000000000001</v>
      </c>
      <c r="O1483" t="s">
        <v>17</v>
      </c>
      <c r="P1483" t="s">
        <v>65</v>
      </c>
      <c r="Q1483">
        <v>0</v>
      </c>
      <c r="R1483">
        <v>1</v>
      </c>
      <c r="S1483" s="2">
        <v>0</v>
      </c>
      <c r="T1483" s="4"/>
      <c r="U1483">
        <v>4</v>
      </c>
      <c r="V1483">
        <v>1</v>
      </c>
      <c r="W1483">
        <v>1</v>
      </c>
    </row>
    <row r="1484" spans="1:23" ht="16.5" x14ac:dyDescent="0.3">
      <c r="A1484" t="s">
        <v>1543</v>
      </c>
      <c r="B1484" s="1">
        <v>45525</v>
      </c>
      <c r="C1484">
        <v>2024</v>
      </c>
      <c r="D1484" t="s">
        <v>1255</v>
      </c>
      <c r="E1484" t="s">
        <v>1415</v>
      </c>
      <c r="F1484" t="s">
        <v>26</v>
      </c>
      <c r="G1484" t="s">
        <v>45</v>
      </c>
      <c r="H1484" t="s">
        <v>28</v>
      </c>
      <c r="I1484" t="s">
        <v>29</v>
      </c>
      <c r="J1484" t="s">
        <v>52</v>
      </c>
      <c r="K1484" s="2">
        <v>4550</v>
      </c>
      <c r="L1484" s="2">
        <v>38500</v>
      </c>
      <c r="M1484">
        <v>60</v>
      </c>
      <c r="N1484" s="3">
        <v>0.30499999999999999</v>
      </c>
      <c r="O1484" t="s">
        <v>16</v>
      </c>
      <c r="Q1484">
        <v>1</v>
      </c>
      <c r="R1484">
        <v>0</v>
      </c>
      <c r="S1484" s="2">
        <v>38500</v>
      </c>
      <c r="T1484" s="4">
        <v>7.5300000000000006E-2</v>
      </c>
      <c r="U1484">
        <v>2</v>
      </c>
      <c r="V1484">
        <v>1</v>
      </c>
      <c r="W1484">
        <v>1</v>
      </c>
    </row>
    <row r="1485" spans="1:23" ht="16.5" x14ac:dyDescent="0.3">
      <c r="A1485" t="s">
        <v>1544</v>
      </c>
      <c r="B1485" s="1">
        <v>45525</v>
      </c>
      <c r="C1485">
        <v>2024</v>
      </c>
      <c r="D1485" t="s">
        <v>1255</v>
      </c>
      <c r="E1485" t="s">
        <v>1415</v>
      </c>
      <c r="F1485" t="s">
        <v>26</v>
      </c>
      <c r="G1485" t="s">
        <v>27</v>
      </c>
      <c r="H1485" t="s">
        <v>28</v>
      </c>
      <c r="I1485" t="s">
        <v>42</v>
      </c>
      <c r="J1485" t="s">
        <v>52</v>
      </c>
      <c r="K1485" s="2">
        <v>12950</v>
      </c>
      <c r="L1485" s="2">
        <v>27500</v>
      </c>
      <c r="M1485">
        <v>48</v>
      </c>
      <c r="N1485" s="3">
        <v>0.27800000000000002</v>
      </c>
      <c r="O1485" t="s">
        <v>17</v>
      </c>
      <c r="P1485" t="s">
        <v>31</v>
      </c>
      <c r="Q1485">
        <v>0</v>
      </c>
      <c r="R1485">
        <v>1</v>
      </c>
      <c r="S1485" s="2">
        <v>0</v>
      </c>
      <c r="T1485" s="4"/>
      <c r="U1485">
        <v>6</v>
      </c>
      <c r="V1485">
        <v>0</v>
      </c>
      <c r="W1485">
        <v>1</v>
      </c>
    </row>
    <row r="1486" spans="1:23" ht="16.5" x14ac:dyDescent="0.3">
      <c r="A1486" t="s">
        <v>1545</v>
      </c>
      <c r="B1486" s="1">
        <v>45525</v>
      </c>
      <c r="C1486">
        <v>2024</v>
      </c>
      <c r="D1486" t="s">
        <v>1255</v>
      </c>
      <c r="E1486" t="s">
        <v>1415</v>
      </c>
      <c r="F1486" t="s">
        <v>41</v>
      </c>
      <c r="G1486" t="s">
        <v>33</v>
      </c>
      <c r="H1486" t="s">
        <v>38</v>
      </c>
      <c r="I1486" t="s">
        <v>42</v>
      </c>
      <c r="J1486" t="s">
        <v>35</v>
      </c>
      <c r="K1486" s="2">
        <v>6900</v>
      </c>
      <c r="L1486" s="2">
        <v>71500</v>
      </c>
      <c r="M1486">
        <v>60</v>
      </c>
      <c r="N1486" s="3">
        <v>0.434</v>
      </c>
      <c r="O1486" t="s">
        <v>16</v>
      </c>
      <c r="Q1486">
        <v>1</v>
      </c>
      <c r="R1486">
        <v>0</v>
      </c>
      <c r="S1486" s="2">
        <v>71500</v>
      </c>
      <c r="T1486" s="4">
        <v>0.1074</v>
      </c>
      <c r="U1486">
        <v>7</v>
      </c>
      <c r="V1486">
        <v>1</v>
      </c>
      <c r="W1486">
        <v>1</v>
      </c>
    </row>
    <row r="1487" spans="1:23" ht="16.5" x14ac:dyDescent="0.3">
      <c r="A1487" t="s">
        <v>1546</v>
      </c>
      <c r="B1487" s="1">
        <v>45525</v>
      </c>
      <c r="C1487">
        <v>2024</v>
      </c>
      <c r="D1487" t="s">
        <v>1255</v>
      </c>
      <c r="E1487" t="s">
        <v>1415</v>
      </c>
      <c r="F1487" t="s">
        <v>37</v>
      </c>
      <c r="G1487" t="s">
        <v>51</v>
      </c>
      <c r="H1487" t="s">
        <v>28</v>
      </c>
      <c r="I1487" t="s">
        <v>29</v>
      </c>
      <c r="J1487" t="s">
        <v>30</v>
      </c>
      <c r="K1487" s="2">
        <v>7850</v>
      </c>
      <c r="L1487" s="2">
        <v>9000</v>
      </c>
      <c r="M1487">
        <v>24</v>
      </c>
      <c r="N1487" s="3">
        <v>0.29699999999999999</v>
      </c>
      <c r="O1487" t="s">
        <v>17</v>
      </c>
      <c r="P1487" t="s">
        <v>31</v>
      </c>
      <c r="Q1487">
        <v>0</v>
      </c>
      <c r="R1487">
        <v>1</v>
      </c>
      <c r="S1487" s="2">
        <v>0</v>
      </c>
      <c r="T1487" s="4"/>
      <c r="U1487">
        <v>6</v>
      </c>
      <c r="V1487">
        <v>0</v>
      </c>
      <c r="W1487">
        <v>1</v>
      </c>
    </row>
    <row r="1488" spans="1:23" ht="16.5" x14ac:dyDescent="0.3">
      <c r="A1488" t="s">
        <v>1547</v>
      </c>
      <c r="B1488" s="1">
        <v>45525</v>
      </c>
      <c r="C1488">
        <v>2024</v>
      </c>
      <c r="D1488" t="s">
        <v>1255</v>
      </c>
      <c r="E1488" t="s">
        <v>1415</v>
      </c>
      <c r="F1488" t="s">
        <v>37</v>
      </c>
      <c r="G1488" t="s">
        <v>27</v>
      </c>
      <c r="H1488" t="s">
        <v>55</v>
      </c>
      <c r="I1488" t="s">
        <v>29</v>
      </c>
      <c r="J1488" t="s">
        <v>46</v>
      </c>
      <c r="K1488" s="2">
        <v>5450</v>
      </c>
      <c r="L1488" s="2">
        <v>6500</v>
      </c>
      <c r="M1488">
        <v>36</v>
      </c>
      <c r="N1488" s="3">
        <v>0.26100000000000001</v>
      </c>
      <c r="O1488" t="s">
        <v>17</v>
      </c>
      <c r="P1488" t="s">
        <v>60</v>
      </c>
      <c r="Q1488">
        <v>0</v>
      </c>
      <c r="R1488">
        <v>1</v>
      </c>
      <c r="S1488" s="2">
        <v>0</v>
      </c>
      <c r="T1488" s="4"/>
      <c r="U1488">
        <v>12</v>
      </c>
      <c r="V1488">
        <v>0</v>
      </c>
      <c r="W1488">
        <v>1</v>
      </c>
    </row>
    <row r="1489" spans="1:23" ht="16.5" x14ac:dyDescent="0.3">
      <c r="A1489" t="s">
        <v>1548</v>
      </c>
      <c r="B1489" s="1">
        <v>45525</v>
      </c>
      <c r="C1489">
        <v>2024</v>
      </c>
      <c r="D1489" t="s">
        <v>1255</v>
      </c>
      <c r="E1489" t="s">
        <v>1415</v>
      </c>
      <c r="F1489" t="s">
        <v>26</v>
      </c>
      <c r="G1489" t="s">
        <v>51</v>
      </c>
      <c r="H1489" t="s">
        <v>55</v>
      </c>
      <c r="I1489" t="s">
        <v>29</v>
      </c>
      <c r="J1489" t="s">
        <v>43</v>
      </c>
      <c r="K1489" s="2">
        <v>4800</v>
      </c>
      <c r="L1489" s="2">
        <v>16500</v>
      </c>
      <c r="M1489">
        <v>36</v>
      </c>
      <c r="N1489" s="3">
        <v>0.27</v>
      </c>
      <c r="O1489" t="s">
        <v>16</v>
      </c>
      <c r="Q1489">
        <v>1</v>
      </c>
      <c r="R1489">
        <v>0</v>
      </c>
      <c r="S1489" s="2">
        <v>15000</v>
      </c>
      <c r="T1489" s="4">
        <v>0.11849999999999999</v>
      </c>
      <c r="U1489">
        <v>3</v>
      </c>
      <c r="V1489">
        <v>1</v>
      </c>
      <c r="W1489">
        <v>1</v>
      </c>
    </row>
    <row r="1490" spans="1:23" ht="16.5" x14ac:dyDescent="0.3">
      <c r="A1490" t="s">
        <v>1549</v>
      </c>
      <c r="B1490" s="1">
        <v>45525</v>
      </c>
      <c r="C1490">
        <v>2024</v>
      </c>
      <c r="D1490" t="s">
        <v>1255</v>
      </c>
      <c r="E1490" t="s">
        <v>1415</v>
      </c>
      <c r="F1490" t="s">
        <v>37</v>
      </c>
      <c r="G1490" t="s">
        <v>45</v>
      </c>
      <c r="H1490" t="s">
        <v>34</v>
      </c>
      <c r="I1490" t="s">
        <v>42</v>
      </c>
      <c r="J1490" t="s">
        <v>35</v>
      </c>
      <c r="K1490" s="2">
        <v>9800</v>
      </c>
      <c r="L1490" s="2">
        <v>12500</v>
      </c>
      <c r="M1490">
        <v>12</v>
      </c>
      <c r="N1490" s="3">
        <v>0.17799999999999999</v>
      </c>
      <c r="O1490" t="s">
        <v>16</v>
      </c>
      <c r="Q1490">
        <v>1</v>
      </c>
      <c r="R1490">
        <v>0</v>
      </c>
      <c r="S1490" s="2">
        <v>11000</v>
      </c>
      <c r="T1490" s="4">
        <v>0.12479999999999999</v>
      </c>
      <c r="U1490">
        <v>2</v>
      </c>
      <c r="V1490">
        <v>1</v>
      </c>
      <c r="W1490">
        <v>1</v>
      </c>
    </row>
    <row r="1491" spans="1:23" ht="16.5" x14ac:dyDescent="0.3">
      <c r="A1491" t="s">
        <v>1550</v>
      </c>
      <c r="B1491" s="1">
        <v>45525</v>
      </c>
      <c r="C1491">
        <v>2024</v>
      </c>
      <c r="D1491" t="s">
        <v>1255</v>
      </c>
      <c r="E1491" t="s">
        <v>1415</v>
      </c>
      <c r="F1491" t="s">
        <v>26</v>
      </c>
      <c r="G1491" t="s">
        <v>33</v>
      </c>
      <c r="H1491" t="s">
        <v>34</v>
      </c>
      <c r="I1491" t="s">
        <v>29</v>
      </c>
      <c r="J1491" t="s">
        <v>52</v>
      </c>
      <c r="K1491" s="2">
        <v>5550</v>
      </c>
      <c r="L1491" s="2">
        <v>22000</v>
      </c>
      <c r="M1491">
        <v>60</v>
      </c>
      <c r="N1491" s="3">
        <v>0.24399999999999999</v>
      </c>
      <c r="O1491" t="s">
        <v>16</v>
      </c>
      <c r="Q1491">
        <v>1</v>
      </c>
      <c r="R1491">
        <v>0</v>
      </c>
      <c r="S1491" s="2">
        <v>20000</v>
      </c>
      <c r="T1491" s="4">
        <v>7.2300000000000003E-2</v>
      </c>
      <c r="U1491">
        <v>3</v>
      </c>
      <c r="V1491">
        <v>1</v>
      </c>
      <c r="W1491">
        <v>1</v>
      </c>
    </row>
    <row r="1492" spans="1:23" ht="16.5" x14ac:dyDescent="0.3">
      <c r="A1492" t="s">
        <v>1551</v>
      </c>
      <c r="B1492" s="1">
        <v>45525</v>
      </c>
      <c r="C1492">
        <v>2024</v>
      </c>
      <c r="D1492" t="s">
        <v>1255</v>
      </c>
      <c r="E1492" t="s">
        <v>1415</v>
      </c>
      <c r="F1492" t="s">
        <v>50</v>
      </c>
      <c r="G1492" t="s">
        <v>33</v>
      </c>
      <c r="H1492" t="s">
        <v>38</v>
      </c>
      <c r="I1492" t="s">
        <v>39</v>
      </c>
      <c r="J1492" t="s">
        <v>52</v>
      </c>
      <c r="K1492" s="2">
        <v>5550</v>
      </c>
      <c r="L1492" s="2">
        <v>419500</v>
      </c>
      <c r="M1492">
        <v>240</v>
      </c>
      <c r="N1492" s="3">
        <v>0.58399999999999996</v>
      </c>
      <c r="O1492" t="s">
        <v>16</v>
      </c>
      <c r="Q1492">
        <v>1</v>
      </c>
      <c r="R1492">
        <v>0</v>
      </c>
      <c r="S1492" s="2">
        <v>335500</v>
      </c>
      <c r="T1492" s="4">
        <v>5.28E-2</v>
      </c>
      <c r="U1492">
        <v>3</v>
      </c>
      <c r="V1492">
        <v>1</v>
      </c>
      <c r="W1492">
        <v>1</v>
      </c>
    </row>
    <row r="1493" spans="1:23" ht="16.5" x14ac:dyDescent="0.3">
      <c r="A1493" t="s">
        <v>1552</v>
      </c>
      <c r="B1493" s="1">
        <v>45526</v>
      </c>
      <c r="C1493">
        <v>2024</v>
      </c>
      <c r="D1493" t="s">
        <v>1255</v>
      </c>
      <c r="E1493" t="s">
        <v>1415</v>
      </c>
      <c r="F1493" t="s">
        <v>50</v>
      </c>
      <c r="G1493" t="s">
        <v>33</v>
      </c>
      <c r="H1493" t="s">
        <v>55</v>
      </c>
      <c r="I1493" t="s">
        <v>42</v>
      </c>
      <c r="J1493" t="s">
        <v>52</v>
      </c>
      <c r="K1493" s="2">
        <v>2550</v>
      </c>
      <c r="L1493" s="2">
        <v>321500</v>
      </c>
      <c r="M1493">
        <v>240</v>
      </c>
      <c r="N1493" s="3">
        <v>1.016</v>
      </c>
      <c r="O1493" t="s">
        <v>17</v>
      </c>
      <c r="P1493" t="s">
        <v>53</v>
      </c>
      <c r="Q1493">
        <v>0</v>
      </c>
      <c r="R1493">
        <v>1</v>
      </c>
      <c r="S1493" s="2">
        <v>0</v>
      </c>
      <c r="T1493" s="4"/>
      <c r="U1493">
        <v>17</v>
      </c>
      <c r="V1493">
        <v>0</v>
      </c>
      <c r="W1493">
        <v>1</v>
      </c>
    </row>
    <row r="1494" spans="1:23" ht="16.5" x14ac:dyDescent="0.3">
      <c r="A1494" t="s">
        <v>1553</v>
      </c>
      <c r="B1494" s="1">
        <v>45526</v>
      </c>
      <c r="C1494">
        <v>2024</v>
      </c>
      <c r="D1494" t="s">
        <v>1255</v>
      </c>
      <c r="E1494" t="s">
        <v>1415</v>
      </c>
      <c r="F1494" t="s">
        <v>37</v>
      </c>
      <c r="G1494" t="s">
        <v>51</v>
      </c>
      <c r="H1494" t="s">
        <v>55</v>
      </c>
      <c r="I1494" t="s">
        <v>42</v>
      </c>
      <c r="J1494" t="s">
        <v>35</v>
      </c>
      <c r="K1494" s="2">
        <v>11300</v>
      </c>
      <c r="L1494" s="2">
        <v>26500</v>
      </c>
      <c r="M1494">
        <v>48</v>
      </c>
      <c r="N1494" s="3">
        <v>0.19500000000000001</v>
      </c>
      <c r="O1494" t="s">
        <v>17</v>
      </c>
      <c r="P1494" t="s">
        <v>31</v>
      </c>
      <c r="Q1494">
        <v>0</v>
      </c>
      <c r="R1494">
        <v>1</v>
      </c>
      <c r="S1494" s="2">
        <v>0</v>
      </c>
      <c r="T1494" s="4"/>
      <c r="U1494">
        <v>4</v>
      </c>
      <c r="V1494">
        <v>0</v>
      </c>
      <c r="W1494">
        <v>1</v>
      </c>
    </row>
    <row r="1495" spans="1:23" ht="16.5" x14ac:dyDescent="0.3">
      <c r="A1495" t="s">
        <v>1554</v>
      </c>
      <c r="B1495" s="1">
        <v>45526</v>
      </c>
      <c r="C1495">
        <v>2024</v>
      </c>
      <c r="D1495" t="s">
        <v>1255</v>
      </c>
      <c r="E1495" t="s">
        <v>1415</v>
      </c>
      <c r="F1495" t="s">
        <v>50</v>
      </c>
      <c r="G1495" t="s">
        <v>45</v>
      </c>
      <c r="H1495" t="s">
        <v>38</v>
      </c>
      <c r="I1495" t="s">
        <v>39</v>
      </c>
      <c r="J1495" t="s">
        <v>35</v>
      </c>
      <c r="K1495" s="2">
        <v>6050</v>
      </c>
      <c r="L1495" s="2">
        <v>273000</v>
      </c>
      <c r="M1495">
        <v>240</v>
      </c>
      <c r="N1495" s="3">
        <v>0.39300000000000002</v>
      </c>
      <c r="O1495" t="s">
        <v>16</v>
      </c>
      <c r="Q1495">
        <v>1</v>
      </c>
      <c r="R1495">
        <v>0</v>
      </c>
      <c r="S1495" s="2">
        <v>245500</v>
      </c>
      <c r="T1495" s="4">
        <v>5.6099999999999997E-2</v>
      </c>
      <c r="U1495">
        <v>7</v>
      </c>
      <c r="V1495">
        <v>1</v>
      </c>
      <c r="W1495">
        <v>1</v>
      </c>
    </row>
    <row r="1496" spans="1:23" ht="16.5" x14ac:dyDescent="0.3">
      <c r="A1496" t="s">
        <v>1555</v>
      </c>
      <c r="B1496" s="1">
        <v>45526</v>
      </c>
      <c r="C1496">
        <v>2024</v>
      </c>
      <c r="D1496" t="s">
        <v>1255</v>
      </c>
      <c r="E1496" t="s">
        <v>1415</v>
      </c>
      <c r="F1496" t="s">
        <v>37</v>
      </c>
      <c r="G1496" t="s">
        <v>51</v>
      </c>
      <c r="H1496" t="s">
        <v>38</v>
      </c>
      <c r="I1496" t="s">
        <v>29</v>
      </c>
      <c r="J1496" t="s">
        <v>30</v>
      </c>
      <c r="K1496" s="2">
        <v>3200</v>
      </c>
      <c r="L1496" s="2">
        <v>18000</v>
      </c>
      <c r="M1496">
        <v>12</v>
      </c>
      <c r="N1496" s="3">
        <v>0.62</v>
      </c>
      <c r="O1496" t="s">
        <v>17</v>
      </c>
      <c r="P1496" t="s">
        <v>53</v>
      </c>
      <c r="Q1496">
        <v>0</v>
      </c>
      <c r="R1496">
        <v>1</v>
      </c>
      <c r="S1496" s="2">
        <v>0</v>
      </c>
      <c r="T1496" s="4"/>
      <c r="U1496">
        <v>5</v>
      </c>
      <c r="V1496">
        <v>0</v>
      </c>
      <c r="W1496">
        <v>1</v>
      </c>
    </row>
    <row r="1497" spans="1:23" ht="16.5" x14ac:dyDescent="0.3">
      <c r="A1497" t="s">
        <v>1556</v>
      </c>
      <c r="B1497" s="1">
        <v>45526</v>
      </c>
      <c r="C1497">
        <v>2024</v>
      </c>
      <c r="D1497" t="s">
        <v>1255</v>
      </c>
      <c r="E1497" t="s">
        <v>1415</v>
      </c>
      <c r="F1497" t="s">
        <v>37</v>
      </c>
      <c r="G1497" t="s">
        <v>27</v>
      </c>
      <c r="H1497" t="s">
        <v>34</v>
      </c>
      <c r="I1497" t="s">
        <v>42</v>
      </c>
      <c r="J1497" t="s">
        <v>35</v>
      </c>
      <c r="K1497" s="2">
        <v>5200</v>
      </c>
      <c r="L1497" s="2">
        <v>34500</v>
      </c>
      <c r="M1497">
        <v>48</v>
      </c>
      <c r="N1497" s="3">
        <v>0.36799999999999999</v>
      </c>
      <c r="O1497" t="s">
        <v>16</v>
      </c>
      <c r="Q1497">
        <v>1</v>
      </c>
      <c r="R1497">
        <v>0</v>
      </c>
      <c r="S1497" s="2">
        <v>27500</v>
      </c>
      <c r="T1497" s="4">
        <v>0.1242</v>
      </c>
      <c r="U1497">
        <v>3</v>
      </c>
      <c r="V1497">
        <v>1</v>
      </c>
      <c r="W1497">
        <v>1</v>
      </c>
    </row>
    <row r="1498" spans="1:23" ht="16.5" x14ac:dyDescent="0.3">
      <c r="A1498" t="s">
        <v>1557</v>
      </c>
      <c r="B1498" s="1">
        <v>45526</v>
      </c>
      <c r="C1498">
        <v>2024</v>
      </c>
      <c r="D1498" t="s">
        <v>1255</v>
      </c>
      <c r="E1498" t="s">
        <v>1415</v>
      </c>
      <c r="F1498" t="s">
        <v>37</v>
      </c>
      <c r="G1498" t="s">
        <v>27</v>
      </c>
      <c r="H1498" t="s">
        <v>38</v>
      </c>
      <c r="I1498" t="s">
        <v>39</v>
      </c>
      <c r="J1498" t="s">
        <v>52</v>
      </c>
      <c r="K1498" s="2">
        <v>6900</v>
      </c>
      <c r="L1498" s="2">
        <v>22000</v>
      </c>
      <c r="M1498">
        <v>48</v>
      </c>
      <c r="N1498" s="3">
        <v>0.27500000000000002</v>
      </c>
      <c r="O1498" t="s">
        <v>16</v>
      </c>
      <c r="Q1498">
        <v>1</v>
      </c>
      <c r="R1498">
        <v>0</v>
      </c>
      <c r="S1498" s="2">
        <v>22000</v>
      </c>
      <c r="T1498" s="4">
        <v>0.11650000000000001</v>
      </c>
      <c r="U1498">
        <v>3</v>
      </c>
      <c r="V1498">
        <v>1</v>
      </c>
      <c r="W1498">
        <v>1</v>
      </c>
    </row>
    <row r="1499" spans="1:23" ht="16.5" x14ac:dyDescent="0.3">
      <c r="A1499" t="s">
        <v>1558</v>
      </c>
      <c r="B1499" s="1">
        <v>45526</v>
      </c>
      <c r="C1499">
        <v>2024</v>
      </c>
      <c r="D1499" t="s">
        <v>1255</v>
      </c>
      <c r="E1499" t="s">
        <v>1415</v>
      </c>
      <c r="F1499" t="s">
        <v>37</v>
      </c>
      <c r="G1499" t="s">
        <v>51</v>
      </c>
      <c r="H1499" t="s">
        <v>64</v>
      </c>
      <c r="I1499" t="s">
        <v>29</v>
      </c>
      <c r="J1499" t="s">
        <v>30</v>
      </c>
      <c r="K1499" s="2">
        <v>4150</v>
      </c>
      <c r="L1499" s="2">
        <v>10000</v>
      </c>
      <c r="M1499">
        <v>12</v>
      </c>
      <c r="N1499" s="3">
        <v>0.38500000000000001</v>
      </c>
      <c r="O1499" t="s">
        <v>16</v>
      </c>
      <c r="Q1499">
        <v>1</v>
      </c>
      <c r="R1499">
        <v>0</v>
      </c>
      <c r="S1499" s="2">
        <v>10000</v>
      </c>
      <c r="T1499" s="4">
        <v>0.14000000000000001</v>
      </c>
      <c r="U1499">
        <v>5</v>
      </c>
      <c r="V1499">
        <v>0</v>
      </c>
      <c r="W1499">
        <v>1</v>
      </c>
    </row>
    <row r="1500" spans="1:23" ht="16.5" x14ac:dyDescent="0.3">
      <c r="A1500" t="s">
        <v>1559</v>
      </c>
      <c r="B1500" s="1">
        <v>45526</v>
      </c>
      <c r="C1500">
        <v>2024</v>
      </c>
      <c r="D1500" t="s">
        <v>1255</v>
      </c>
      <c r="E1500" t="s">
        <v>1415</v>
      </c>
      <c r="F1500" t="s">
        <v>26</v>
      </c>
      <c r="G1500" t="s">
        <v>45</v>
      </c>
      <c r="H1500" t="s">
        <v>38</v>
      </c>
      <c r="I1500" t="s">
        <v>29</v>
      </c>
      <c r="J1500" t="s">
        <v>35</v>
      </c>
      <c r="K1500" s="2">
        <v>6000</v>
      </c>
      <c r="L1500" s="2">
        <v>57500</v>
      </c>
      <c r="M1500">
        <v>60</v>
      </c>
      <c r="N1500" s="3">
        <v>0.28599999999999998</v>
      </c>
      <c r="O1500" t="s">
        <v>16</v>
      </c>
      <c r="Q1500">
        <v>1</v>
      </c>
      <c r="R1500">
        <v>0</v>
      </c>
      <c r="S1500" s="2">
        <v>52000</v>
      </c>
      <c r="T1500" s="4">
        <v>8.3199999999999996E-2</v>
      </c>
      <c r="U1500">
        <v>3</v>
      </c>
      <c r="V1500">
        <v>1</v>
      </c>
      <c r="W1500">
        <v>1</v>
      </c>
    </row>
    <row r="1501" spans="1:23" ht="16.5" x14ac:dyDescent="0.3">
      <c r="A1501" t="s">
        <v>1560</v>
      </c>
      <c r="B1501" s="1">
        <v>45526</v>
      </c>
      <c r="C1501">
        <v>2024</v>
      </c>
      <c r="D1501" t="s">
        <v>1255</v>
      </c>
      <c r="E1501" t="s">
        <v>1415</v>
      </c>
      <c r="F1501" t="s">
        <v>41</v>
      </c>
      <c r="G1501" t="s">
        <v>51</v>
      </c>
      <c r="H1501" t="s">
        <v>55</v>
      </c>
      <c r="I1501" t="s">
        <v>29</v>
      </c>
      <c r="J1501" t="s">
        <v>52</v>
      </c>
      <c r="K1501" s="2">
        <v>2000</v>
      </c>
      <c r="L1501" s="2">
        <v>123500</v>
      </c>
      <c r="M1501">
        <v>60</v>
      </c>
      <c r="N1501" s="3">
        <v>1.383</v>
      </c>
      <c r="O1501" t="s">
        <v>17</v>
      </c>
      <c r="P1501" t="s">
        <v>53</v>
      </c>
      <c r="Q1501">
        <v>0</v>
      </c>
      <c r="R1501">
        <v>1</v>
      </c>
      <c r="S1501" s="2">
        <v>0</v>
      </c>
      <c r="T1501" s="4"/>
      <c r="U1501">
        <v>16</v>
      </c>
      <c r="V1501">
        <v>0</v>
      </c>
      <c r="W1501">
        <v>1</v>
      </c>
    </row>
    <row r="1502" spans="1:23" ht="16.5" x14ac:dyDescent="0.3">
      <c r="A1502" t="s">
        <v>1561</v>
      </c>
      <c r="B1502" s="1">
        <v>45526</v>
      </c>
      <c r="C1502">
        <v>2024</v>
      </c>
      <c r="D1502" t="s">
        <v>1255</v>
      </c>
      <c r="E1502" t="s">
        <v>1415</v>
      </c>
      <c r="F1502" t="s">
        <v>50</v>
      </c>
      <c r="G1502" t="s">
        <v>51</v>
      </c>
      <c r="H1502" t="s">
        <v>34</v>
      </c>
      <c r="I1502" t="s">
        <v>29</v>
      </c>
      <c r="J1502" t="s">
        <v>30</v>
      </c>
      <c r="K1502" s="2">
        <v>4300</v>
      </c>
      <c r="L1502" s="2">
        <v>176500</v>
      </c>
      <c r="M1502">
        <v>300</v>
      </c>
      <c r="N1502" s="3">
        <v>0.317</v>
      </c>
      <c r="O1502" t="s">
        <v>17</v>
      </c>
      <c r="P1502" t="s">
        <v>31</v>
      </c>
      <c r="Q1502">
        <v>0</v>
      </c>
      <c r="R1502">
        <v>1</v>
      </c>
      <c r="S1502" s="2">
        <v>0</v>
      </c>
      <c r="T1502" s="4"/>
      <c r="U1502">
        <v>34</v>
      </c>
      <c r="V1502">
        <v>0</v>
      </c>
      <c r="W1502">
        <v>1</v>
      </c>
    </row>
    <row r="1503" spans="1:23" ht="16.5" x14ac:dyDescent="0.3">
      <c r="A1503" t="s">
        <v>1562</v>
      </c>
      <c r="B1503" s="1">
        <v>45526</v>
      </c>
      <c r="C1503">
        <v>2024</v>
      </c>
      <c r="D1503" t="s">
        <v>1255</v>
      </c>
      <c r="E1503" t="s">
        <v>1415</v>
      </c>
      <c r="F1503" t="s">
        <v>41</v>
      </c>
      <c r="G1503" t="s">
        <v>33</v>
      </c>
      <c r="H1503" t="s">
        <v>38</v>
      </c>
      <c r="I1503" t="s">
        <v>39</v>
      </c>
      <c r="J1503" t="s">
        <v>43</v>
      </c>
      <c r="K1503" s="2">
        <v>5000</v>
      </c>
      <c r="L1503" s="2">
        <v>44500</v>
      </c>
      <c r="M1503">
        <v>24</v>
      </c>
      <c r="N1503" s="3">
        <v>0.626</v>
      </c>
      <c r="O1503" t="s">
        <v>17</v>
      </c>
      <c r="P1503" t="s">
        <v>53</v>
      </c>
      <c r="Q1503">
        <v>0</v>
      </c>
      <c r="R1503">
        <v>1</v>
      </c>
      <c r="S1503" s="2">
        <v>0</v>
      </c>
      <c r="T1503" s="4"/>
      <c r="U1503">
        <v>7</v>
      </c>
      <c r="V1503">
        <v>1</v>
      </c>
      <c r="W1503">
        <v>1</v>
      </c>
    </row>
    <row r="1504" spans="1:23" ht="16.5" x14ac:dyDescent="0.3">
      <c r="A1504" t="s">
        <v>1563</v>
      </c>
      <c r="B1504" s="1">
        <v>45527</v>
      </c>
      <c r="C1504">
        <v>2024</v>
      </c>
      <c r="D1504" t="s">
        <v>1255</v>
      </c>
      <c r="E1504" t="s">
        <v>1415</v>
      </c>
      <c r="F1504" t="s">
        <v>50</v>
      </c>
      <c r="G1504" t="s">
        <v>51</v>
      </c>
      <c r="H1504" t="s">
        <v>38</v>
      </c>
      <c r="I1504" t="s">
        <v>42</v>
      </c>
      <c r="J1504" t="s">
        <v>35</v>
      </c>
      <c r="K1504" s="2">
        <v>5950</v>
      </c>
      <c r="L1504" s="2">
        <v>231000</v>
      </c>
      <c r="M1504">
        <v>180</v>
      </c>
      <c r="N1504" s="3">
        <v>0.436</v>
      </c>
      <c r="O1504" t="s">
        <v>17</v>
      </c>
      <c r="P1504" t="s">
        <v>65</v>
      </c>
      <c r="Q1504">
        <v>0</v>
      </c>
      <c r="R1504">
        <v>1</v>
      </c>
      <c r="S1504" s="2">
        <v>0</v>
      </c>
      <c r="T1504" s="4"/>
      <c r="U1504">
        <v>14</v>
      </c>
      <c r="V1504">
        <v>1</v>
      </c>
      <c r="W1504">
        <v>1</v>
      </c>
    </row>
    <row r="1505" spans="1:23" ht="16.5" x14ac:dyDescent="0.3">
      <c r="A1505" t="s">
        <v>1564</v>
      </c>
      <c r="B1505" s="1">
        <v>45527</v>
      </c>
      <c r="C1505">
        <v>2024</v>
      </c>
      <c r="D1505" t="s">
        <v>1255</v>
      </c>
      <c r="E1505" t="s">
        <v>1415</v>
      </c>
      <c r="F1505" t="s">
        <v>26</v>
      </c>
      <c r="G1505" t="s">
        <v>45</v>
      </c>
      <c r="H1505" t="s">
        <v>38</v>
      </c>
      <c r="I1505" t="s">
        <v>39</v>
      </c>
      <c r="J1505" t="s">
        <v>52</v>
      </c>
      <c r="K1505" s="2">
        <v>3150</v>
      </c>
      <c r="L1505" s="2">
        <v>36500</v>
      </c>
      <c r="M1505">
        <v>36</v>
      </c>
      <c r="N1505" s="3">
        <v>0.58599999999999997</v>
      </c>
      <c r="O1505" t="s">
        <v>16</v>
      </c>
      <c r="Q1505">
        <v>1</v>
      </c>
      <c r="R1505">
        <v>0</v>
      </c>
      <c r="S1505" s="2">
        <v>33000</v>
      </c>
      <c r="T1505" s="4">
        <v>7.3200000000000001E-2</v>
      </c>
      <c r="U1505">
        <v>3</v>
      </c>
      <c r="V1505">
        <v>1</v>
      </c>
      <c r="W1505">
        <v>1</v>
      </c>
    </row>
    <row r="1506" spans="1:23" ht="16.5" x14ac:dyDescent="0.3">
      <c r="A1506" t="s">
        <v>1565</v>
      </c>
      <c r="B1506" s="1">
        <v>45527</v>
      </c>
      <c r="C1506">
        <v>2024</v>
      </c>
      <c r="D1506" t="s">
        <v>1255</v>
      </c>
      <c r="E1506" t="s">
        <v>1415</v>
      </c>
      <c r="F1506" t="s">
        <v>41</v>
      </c>
      <c r="G1506" t="s">
        <v>33</v>
      </c>
      <c r="H1506" t="s">
        <v>55</v>
      </c>
      <c r="I1506" t="s">
        <v>29</v>
      </c>
      <c r="J1506" t="s">
        <v>52</v>
      </c>
      <c r="K1506" s="2">
        <v>4450</v>
      </c>
      <c r="L1506" s="2">
        <v>62500</v>
      </c>
      <c r="M1506">
        <v>36</v>
      </c>
      <c r="N1506" s="3">
        <v>0.54600000000000004</v>
      </c>
      <c r="O1506" t="s">
        <v>16</v>
      </c>
      <c r="Q1506">
        <v>1</v>
      </c>
      <c r="R1506">
        <v>0</v>
      </c>
      <c r="S1506" s="2">
        <v>62500</v>
      </c>
      <c r="T1506" s="4">
        <v>0.1027</v>
      </c>
      <c r="U1506">
        <v>4</v>
      </c>
      <c r="V1506">
        <v>1</v>
      </c>
      <c r="W1506">
        <v>1</v>
      </c>
    </row>
    <row r="1507" spans="1:23" ht="16.5" x14ac:dyDescent="0.3">
      <c r="A1507" t="s">
        <v>1566</v>
      </c>
      <c r="B1507" s="1">
        <v>45527</v>
      </c>
      <c r="C1507">
        <v>2024</v>
      </c>
      <c r="D1507" t="s">
        <v>1255</v>
      </c>
      <c r="E1507" t="s">
        <v>1415</v>
      </c>
      <c r="F1507" t="s">
        <v>50</v>
      </c>
      <c r="G1507" t="s">
        <v>51</v>
      </c>
      <c r="H1507" t="s">
        <v>34</v>
      </c>
      <c r="I1507" t="s">
        <v>29</v>
      </c>
      <c r="J1507" t="s">
        <v>30</v>
      </c>
      <c r="K1507" s="2">
        <v>3000</v>
      </c>
      <c r="L1507" s="2">
        <v>153000</v>
      </c>
      <c r="M1507">
        <v>240</v>
      </c>
      <c r="N1507" s="3">
        <v>0.39400000000000002</v>
      </c>
      <c r="O1507" t="s">
        <v>16</v>
      </c>
      <c r="Q1507">
        <v>1</v>
      </c>
      <c r="R1507">
        <v>0</v>
      </c>
      <c r="S1507" s="2">
        <v>153000</v>
      </c>
      <c r="T1507" s="4">
        <v>7.2800000000000004E-2</v>
      </c>
      <c r="U1507">
        <v>14</v>
      </c>
      <c r="V1507">
        <v>1</v>
      </c>
      <c r="W1507">
        <v>1</v>
      </c>
    </row>
    <row r="1508" spans="1:23" ht="16.5" x14ac:dyDescent="0.3">
      <c r="A1508" t="s">
        <v>1567</v>
      </c>
      <c r="B1508" s="1">
        <v>45527</v>
      </c>
      <c r="C1508">
        <v>2024</v>
      </c>
      <c r="D1508" t="s">
        <v>1255</v>
      </c>
      <c r="E1508" t="s">
        <v>1415</v>
      </c>
      <c r="F1508" t="s">
        <v>37</v>
      </c>
      <c r="G1508" t="s">
        <v>33</v>
      </c>
      <c r="H1508" t="s">
        <v>38</v>
      </c>
      <c r="I1508" t="s">
        <v>39</v>
      </c>
      <c r="J1508" t="s">
        <v>52</v>
      </c>
      <c r="K1508" s="2">
        <v>5650</v>
      </c>
      <c r="L1508" s="2">
        <v>35000</v>
      </c>
      <c r="M1508">
        <v>36</v>
      </c>
      <c r="N1508" s="3">
        <v>0.44900000000000001</v>
      </c>
      <c r="O1508" t="s">
        <v>16</v>
      </c>
      <c r="Q1508">
        <v>1</v>
      </c>
      <c r="R1508">
        <v>0</v>
      </c>
      <c r="S1508" s="2">
        <v>35000</v>
      </c>
      <c r="T1508" s="4">
        <v>0.1164</v>
      </c>
      <c r="U1508">
        <v>2</v>
      </c>
      <c r="V1508">
        <v>1</v>
      </c>
      <c r="W1508">
        <v>1</v>
      </c>
    </row>
    <row r="1509" spans="1:23" ht="16.5" x14ac:dyDescent="0.3">
      <c r="A1509" t="s">
        <v>1568</v>
      </c>
      <c r="B1509" s="1">
        <v>45527</v>
      </c>
      <c r="C1509">
        <v>2024</v>
      </c>
      <c r="D1509" t="s">
        <v>1255</v>
      </c>
      <c r="E1509" t="s">
        <v>1415</v>
      </c>
      <c r="F1509" t="s">
        <v>37</v>
      </c>
      <c r="G1509" t="s">
        <v>27</v>
      </c>
      <c r="H1509" t="s">
        <v>38</v>
      </c>
      <c r="I1509" t="s">
        <v>39</v>
      </c>
      <c r="J1509" t="s">
        <v>52</v>
      </c>
      <c r="K1509" s="2">
        <v>5450</v>
      </c>
      <c r="L1509" s="2">
        <v>13500</v>
      </c>
      <c r="M1509">
        <v>36</v>
      </c>
      <c r="N1509" s="3">
        <v>0.33200000000000002</v>
      </c>
      <c r="O1509" t="s">
        <v>16</v>
      </c>
      <c r="Q1509">
        <v>1</v>
      </c>
      <c r="R1509">
        <v>0</v>
      </c>
      <c r="S1509" s="2">
        <v>13500</v>
      </c>
      <c r="T1509" s="4">
        <v>0.1144</v>
      </c>
      <c r="U1509">
        <v>2</v>
      </c>
      <c r="V1509">
        <v>1</v>
      </c>
      <c r="W1509">
        <v>1</v>
      </c>
    </row>
    <row r="1510" spans="1:23" ht="16.5" x14ac:dyDescent="0.3">
      <c r="A1510" t="s">
        <v>1569</v>
      </c>
      <c r="B1510" s="1">
        <v>45527</v>
      </c>
      <c r="C1510">
        <v>2024</v>
      </c>
      <c r="D1510" t="s">
        <v>1255</v>
      </c>
      <c r="E1510" t="s">
        <v>1415</v>
      </c>
      <c r="F1510" t="s">
        <v>41</v>
      </c>
      <c r="G1510" t="s">
        <v>51</v>
      </c>
      <c r="H1510" t="s">
        <v>38</v>
      </c>
      <c r="I1510" t="s">
        <v>39</v>
      </c>
      <c r="J1510" t="s">
        <v>46</v>
      </c>
      <c r="K1510" s="2">
        <v>4750</v>
      </c>
      <c r="L1510" s="2">
        <v>136000</v>
      </c>
      <c r="M1510">
        <v>36</v>
      </c>
      <c r="N1510" s="3">
        <v>1.056</v>
      </c>
      <c r="O1510" t="s">
        <v>17</v>
      </c>
      <c r="P1510" t="s">
        <v>53</v>
      </c>
      <c r="Q1510">
        <v>0</v>
      </c>
      <c r="R1510">
        <v>1</v>
      </c>
      <c r="S1510" s="2">
        <v>0</v>
      </c>
      <c r="T1510" s="4"/>
      <c r="U1510">
        <v>25</v>
      </c>
      <c r="V1510">
        <v>0</v>
      </c>
      <c r="W1510">
        <v>1</v>
      </c>
    </row>
    <row r="1511" spans="1:23" ht="16.5" x14ac:dyDescent="0.3">
      <c r="A1511" t="s">
        <v>1570</v>
      </c>
      <c r="B1511" s="1">
        <v>45527</v>
      </c>
      <c r="C1511">
        <v>2024</v>
      </c>
      <c r="D1511" t="s">
        <v>1255</v>
      </c>
      <c r="E1511" t="s">
        <v>1415</v>
      </c>
      <c r="F1511" t="s">
        <v>26</v>
      </c>
      <c r="G1511" t="s">
        <v>51</v>
      </c>
      <c r="H1511" t="s">
        <v>38</v>
      </c>
      <c r="I1511" t="s">
        <v>39</v>
      </c>
      <c r="J1511" t="s">
        <v>52</v>
      </c>
      <c r="K1511" s="2">
        <v>5200</v>
      </c>
      <c r="L1511" s="2">
        <v>26000</v>
      </c>
      <c r="M1511">
        <v>48</v>
      </c>
      <c r="N1511" s="3">
        <v>0.35399999999999998</v>
      </c>
      <c r="O1511" t="s">
        <v>16</v>
      </c>
      <c r="Q1511">
        <v>1</v>
      </c>
      <c r="R1511">
        <v>0</v>
      </c>
      <c r="S1511" s="2">
        <v>23500</v>
      </c>
      <c r="T1511" s="4">
        <v>6.93E-2</v>
      </c>
      <c r="U1511">
        <v>8</v>
      </c>
      <c r="V1511">
        <v>0</v>
      </c>
      <c r="W1511">
        <v>1</v>
      </c>
    </row>
    <row r="1512" spans="1:23" ht="16.5" x14ac:dyDescent="0.3">
      <c r="A1512" t="s">
        <v>1571</v>
      </c>
      <c r="B1512" s="1">
        <v>45527</v>
      </c>
      <c r="C1512">
        <v>2024</v>
      </c>
      <c r="D1512" t="s">
        <v>1255</v>
      </c>
      <c r="E1512" t="s">
        <v>1415</v>
      </c>
      <c r="F1512" t="s">
        <v>50</v>
      </c>
      <c r="G1512" t="s">
        <v>45</v>
      </c>
      <c r="H1512" t="s">
        <v>64</v>
      </c>
      <c r="I1512" t="s">
        <v>29</v>
      </c>
      <c r="J1512" t="s">
        <v>52</v>
      </c>
      <c r="K1512" s="2">
        <v>5500</v>
      </c>
      <c r="L1512" s="2">
        <v>381500</v>
      </c>
      <c r="M1512">
        <v>180</v>
      </c>
      <c r="N1512" s="3">
        <v>0.66100000000000003</v>
      </c>
      <c r="O1512" t="s">
        <v>16</v>
      </c>
      <c r="Q1512">
        <v>1</v>
      </c>
      <c r="R1512">
        <v>0</v>
      </c>
      <c r="S1512" s="2">
        <v>305000</v>
      </c>
      <c r="T1512" s="4">
        <v>4.7300000000000002E-2</v>
      </c>
      <c r="U1512">
        <v>9</v>
      </c>
      <c r="V1512">
        <v>1</v>
      </c>
      <c r="W1512">
        <v>1</v>
      </c>
    </row>
    <row r="1513" spans="1:23" ht="16.5" x14ac:dyDescent="0.3">
      <c r="A1513" t="s">
        <v>1572</v>
      </c>
      <c r="B1513" s="1">
        <v>45527</v>
      </c>
      <c r="C1513">
        <v>2024</v>
      </c>
      <c r="D1513" t="s">
        <v>1255</v>
      </c>
      <c r="E1513" t="s">
        <v>1415</v>
      </c>
      <c r="F1513" t="s">
        <v>37</v>
      </c>
      <c r="G1513" t="s">
        <v>45</v>
      </c>
      <c r="H1513" t="s">
        <v>34</v>
      </c>
      <c r="I1513" t="s">
        <v>39</v>
      </c>
      <c r="J1513" t="s">
        <v>46</v>
      </c>
      <c r="K1513" s="2">
        <v>8950</v>
      </c>
      <c r="L1513" s="2">
        <v>13000</v>
      </c>
      <c r="M1513">
        <v>12</v>
      </c>
      <c r="N1513" s="3">
        <v>0.32600000000000001</v>
      </c>
      <c r="O1513" t="s">
        <v>16</v>
      </c>
      <c r="Q1513">
        <v>1</v>
      </c>
      <c r="R1513">
        <v>0</v>
      </c>
      <c r="S1513" s="2">
        <v>10500</v>
      </c>
      <c r="T1513" s="4">
        <v>0.1089</v>
      </c>
      <c r="U1513">
        <v>2</v>
      </c>
      <c r="V1513">
        <v>1</v>
      </c>
      <c r="W1513">
        <v>1</v>
      </c>
    </row>
    <row r="1514" spans="1:23" ht="16.5" x14ac:dyDescent="0.3">
      <c r="A1514" t="s">
        <v>1573</v>
      </c>
      <c r="B1514" s="1">
        <v>45528</v>
      </c>
      <c r="C1514">
        <v>2024</v>
      </c>
      <c r="D1514" t="s">
        <v>1255</v>
      </c>
      <c r="E1514" t="s">
        <v>1415</v>
      </c>
      <c r="F1514" t="s">
        <v>50</v>
      </c>
      <c r="G1514" t="s">
        <v>45</v>
      </c>
      <c r="H1514" t="s">
        <v>55</v>
      </c>
      <c r="I1514" t="s">
        <v>42</v>
      </c>
      <c r="J1514" t="s">
        <v>52</v>
      </c>
      <c r="K1514" s="2">
        <v>2150</v>
      </c>
      <c r="L1514" s="2">
        <v>524500</v>
      </c>
      <c r="M1514">
        <v>180</v>
      </c>
      <c r="N1514" s="3">
        <v>1.9790000000000001</v>
      </c>
      <c r="O1514" t="s">
        <v>17</v>
      </c>
      <c r="P1514" t="s">
        <v>53</v>
      </c>
      <c r="Q1514">
        <v>0</v>
      </c>
      <c r="R1514">
        <v>1</v>
      </c>
      <c r="S1514" s="2">
        <v>0</v>
      </c>
      <c r="T1514" s="4"/>
      <c r="U1514">
        <v>7</v>
      </c>
      <c r="V1514">
        <v>1</v>
      </c>
      <c r="W1514">
        <v>1</v>
      </c>
    </row>
    <row r="1515" spans="1:23" ht="16.5" x14ac:dyDescent="0.3">
      <c r="A1515" t="s">
        <v>1574</v>
      </c>
      <c r="B1515" s="1">
        <v>45528</v>
      </c>
      <c r="C1515">
        <v>2024</v>
      </c>
      <c r="D1515" t="s">
        <v>1255</v>
      </c>
      <c r="E1515" t="s">
        <v>1415</v>
      </c>
      <c r="F1515" t="s">
        <v>41</v>
      </c>
      <c r="G1515" t="s">
        <v>45</v>
      </c>
      <c r="H1515" t="s">
        <v>55</v>
      </c>
      <c r="I1515" t="s">
        <v>39</v>
      </c>
      <c r="J1515" t="s">
        <v>35</v>
      </c>
      <c r="K1515" s="2">
        <v>8050</v>
      </c>
      <c r="L1515" s="2">
        <v>69500</v>
      </c>
      <c r="M1515">
        <v>60</v>
      </c>
      <c r="N1515" s="3">
        <v>0.254</v>
      </c>
      <c r="O1515" t="s">
        <v>16</v>
      </c>
      <c r="Q1515">
        <v>1</v>
      </c>
      <c r="R1515">
        <v>0</v>
      </c>
      <c r="S1515" s="2">
        <v>62500</v>
      </c>
      <c r="T1515" s="4">
        <v>0.10340000000000001</v>
      </c>
      <c r="U1515">
        <v>8</v>
      </c>
      <c r="V1515">
        <v>1</v>
      </c>
      <c r="W1515">
        <v>1</v>
      </c>
    </row>
    <row r="1516" spans="1:23" ht="16.5" x14ac:dyDescent="0.3">
      <c r="A1516" t="s">
        <v>1575</v>
      </c>
      <c r="B1516" s="1">
        <v>45528</v>
      </c>
      <c r="C1516">
        <v>2024</v>
      </c>
      <c r="D1516" t="s">
        <v>1255</v>
      </c>
      <c r="E1516" t="s">
        <v>1415</v>
      </c>
      <c r="F1516" t="s">
        <v>37</v>
      </c>
      <c r="G1516" t="s">
        <v>51</v>
      </c>
      <c r="H1516" t="s">
        <v>64</v>
      </c>
      <c r="I1516" t="s">
        <v>29</v>
      </c>
      <c r="J1516" t="s">
        <v>30</v>
      </c>
      <c r="K1516" s="2">
        <v>2150</v>
      </c>
      <c r="L1516" s="2">
        <v>12500</v>
      </c>
      <c r="M1516">
        <v>60</v>
      </c>
      <c r="N1516" s="3">
        <v>0.375</v>
      </c>
      <c r="O1516" t="s">
        <v>16</v>
      </c>
      <c r="Q1516">
        <v>1</v>
      </c>
      <c r="R1516">
        <v>0</v>
      </c>
      <c r="S1516" s="2">
        <v>10000</v>
      </c>
      <c r="T1516" s="4">
        <v>0.13880000000000001</v>
      </c>
      <c r="U1516">
        <v>5</v>
      </c>
      <c r="V1516">
        <v>0</v>
      </c>
      <c r="W1516">
        <v>1</v>
      </c>
    </row>
    <row r="1517" spans="1:23" ht="16.5" x14ac:dyDescent="0.3">
      <c r="A1517" t="s">
        <v>1576</v>
      </c>
      <c r="B1517" s="1">
        <v>45529</v>
      </c>
      <c r="C1517">
        <v>2024</v>
      </c>
      <c r="D1517" t="s">
        <v>1255</v>
      </c>
      <c r="E1517" t="s">
        <v>1415</v>
      </c>
      <c r="F1517" t="s">
        <v>41</v>
      </c>
      <c r="G1517" t="s">
        <v>45</v>
      </c>
      <c r="H1517" t="s">
        <v>38</v>
      </c>
      <c r="I1517" t="s">
        <v>29</v>
      </c>
      <c r="J1517" t="s">
        <v>52</v>
      </c>
      <c r="K1517" s="2">
        <v>6500</v>
      </c>
      <c r="L1517" s="2">
        <v>69000</v>
      </c>
      <c r="M1517">
        <v>36</v>
      </c>
      <c r="N1517" s="3">
        <v>0.40300000000000002</v>
      </c>
      <c r="O1517" t="s">
        <v>16</v>
      </c>
      <c r="Q1517">
        <v>1</v>
      </c>
      <c r="R1517">
        <v>0</v>
      </c>
      <c r="S1517" s="2">
        <v>69000</v>
      </c>
      <c r="T1517" s="4">
        <v>0.1042</v>
      </c>
      <c r="U1517">
        <v>5</v>
      </c>
      <c r="V1517">
        <v>1</v>
      </c>
      <c r="W1517">
        <v>1</v>
      </c>
    </row>
    <row r="1518" spans="1:23" ht="16.5" x14ac:dyDescent="0.3">
      <c r="A1518" t="s">
        <v>1577</v>
      </c>
      <c r="B1518" s="1">
        <v>45529</v>
      </c>
      <c r="C1518">
        <v>2024</v>
      </c>
      <c r="D1518" t="s">
        <v>1255</v>
      </c>
      <c r="E1518" t="s">
        <v>1415</v>
      </c>
      <c r="F1518" t="s">
        <v>37</v>
      </c>
      <c r="G1518" t="s">
        <v>51</v>
      </c>
      <c r="H1518" t="s">
        <v>38</v>
      </c>
      <c r="I1518" t="s">
        <v>29</v>
      </c>
      <c r="J1518" t="s">
        <v>35</v>
      </c>
      <c r="K1518" s="2">
        <v>3450</v>
      </c>
      <c r="L1518" s="2">
        <v>17000</v>
      </c>
      <c r="M1518">
        <v>24</v>
      </c>
      <c r="N1518" s="3">
        <v>0.40500000000000003</v>
      </c>
      <c r="O1518" t="s">
        <v>16</v>
      </c>
      <c r="Q1518">
        <v>1</v>
      </c>
      <c r="R1518">
        <v>0</v>
      </c>
      <c r="S1518" s="2">
        <v>17000</v>
      </c>
      <c r="T1518" s="4">
        <v>0.12540000000000001</v>
      </c>
      <c r="U1518">
        <v>3</v>
      </c>
      <c r="V1518">
        <v>1</v>
      </c>
      <c r="W1518">
        <v>1</v>
      </c>
    </row>
    <row r="1519" spans="1:23" ht="16.5" x14ac:dyDescent="0.3">
      <c r="A1519" t="s">
        <v>1578</v>
      </c>
      <c r="B1519" s="1">
        <v>45529</v>
      </c>
      <c r="C1519">
        <v>2024</v>
      </c>
      <c r="D1519" t="s">
        <v>1255</v>
      </c>
      <c r="E1519" t="s">
        <v>1415</v>
      </c>
      <c r="F1519" t="s">
        <v>37</v>
      </c>
      <c r="G1519" t="s">
        <v>51</v>
      </c>
      <c r="H1519" t="s">
        <v>34</v>
      </c>
      <c r="I1519" t="s">
        <v>42</v>
      </c>
      <c r="J1519" t="s">
        <v>35</v>
      </c>
      <c r="K1519" s="2">
        <v>13000</v>
      </c>
      <c r="L1519" s="2">
        <v>6500</v>
      </c>
      <c r="M1519">
        <v>60</v>
      </c>
      <c r="N1519" s="3">
        <v>8.1000000000000003E-2</v>
      </c>
      <c r="O1519" t="s">
        <v>16</v>
      </c>
      <c r="Q1519">
        <v>1</v>
      </c>
      <c r="R1519">
        <v>0</v>
      </c>
      <c r="S1519" s="2">
        <v>6000</v>
      </c>
      <c r="T1519" s="4">
        <v>0.125</v>
      </c>
      <c r="U1519">
        <v>5</v>
      </c>
      <c r="V1519">
        <v>0</v>
      </c>
      <c r="W1519">
        <v>1</v>
      </c>
    </row>
    <row r="1520" spans="1:23" ht="16.5" x14ac:dyDescent="0.3">
      <c r="A1520" t="s">
        <v>1579</v>
      </c>
      <c r="B1520" s="1">
        <v>45529</v>
      </c>
      <c r="C1520">
        <v>2024</v>
      </c>
      <c r="D1520" t="s">
        <v>1255</v>
      </c>
      <c r="E1520" t="s">
        <v>1415</v>
      </c>
      <c r="F1520" t="s">
        <v>50</v>
      </c>
      <c r="G1520" t="s">
        <v>33</v>
      </c>
      <c r="H1520" t="s">
        <v>34</v>
      </c>
      <c r="I1520" t="s">
        <v>29</v>
      </c>
      <c r="J1520" t="s">
        <v>35</v>
      </c>
      <c r="K1520" s="2">
        <v>4700</v>
      </c>
      <c r="L1520" s="2">
        <v>319000</v>
      </c>
      <c r="M1520">
        <v>240</v>
      </c>
      <c r="N1520" s="3">
        <v>0.58399999999999996</v>
      </c>
      <c r="O1520" t="s">
        <v>16</v>
      </c>
      <c r="Q1520">
        <v>1</v>
      </c>
      <c r="R1520">
        <v>0</v>
      </c>
      <c r="S1520" s="2">
        <v>287000</v>
      </c>
      <c r="T1520" s="4">
        <v>5.6399999999999999E-2</v>
      </c>
      <c r="U1520">
        <v>6</v>
      </c>
      <c r="V1520">
        <v>1</v>
      </c>
      <c r="W1520">
        <v>1</v>
      </c>
    </row>
    <row r="1521" spans="1:23" ht="16.5" x14ac:dyDescent="0.3">
      <c r="A1521" t="s">
        <v>1580</v>
      </c>
      <c r="B1521" s="1">
        <v>45530</v>
      </c>
      <c r="C1521">
        <v>2024</v>
      </c>
      <c r="D1521" t="s">
        <v>1255</v>
      </c>
      <c r="E1521" t="s">
        <v>1415</v>
      </c>
      <c r="F1521" t="s">
        <v>26</v>
      </c>
      <c r="G1521" t="s">
        <v>45</v>
      </c>
      <c r="H1521" t="s">
        <v>64</v>
      </c>
      <c r="I1521" t="s">
        <v>39</v>
      </c>
      <c r="J1521" t="s">
        <v>30</v>
      </c>
      <c r="K1521" s="2">
        <v>3650</v>
      </c>
      <c r="L1521" s="2">
        <v>31500</v>
      </c>
      <c r="M1521">
        <v>60</v>
      </c>
      <c r="N1521" s="3">
        <v>0.28799999999999998</v>
      </c>
      <c r="O1521" t="s">
        <v>17</v>
      </c>
      <c r="P1521" t="s">
        <v>31</v>
      </c>
      <c r="Q1521">
        <v>0</v>
      </c>
      <c r="R1521">
        <v>1</v>
      </c>
      <c r="S1521" s="2">
        <v>0</v>
      </c>
      <c r="T1521" s="4"/>
      <c r="U1521">
        <v>7</v>
      </c>
      <c r="V1521">
        <v>0</v>
      </c>
      <c r="W1521">
        <v>1</v>
      </c>
    </row>
    <row r="1522" spans="1:23" ht="16.5" x14ac:dyDescent="0.3">
      <c r="A1522" t="s">
        <v>1581</v>
      </c>
      <c r="B1522" s="1">
        <v>45530</v>
      </c>
      <c r="C1522">
        <v>2024</v>
      </c>
      <c r="D1522" t="s">
        <v>1255</v>
      </c>
      <c r="E1522" t="s">
        <v>1415</v>
      </c>
      <c r="F1522" t="s">
        <v>26</v>
      </c>
      <c r="G1522" t="s">
        <v>51</v>
      </c>
      <c r="H1522" t="s">
        <v>34</v>
      </c>
      <c r="I1522" t="s">
        <v>29</v>
      </c>
      <c r="J1522" t="s">
        <v>52</v>
      </c>
      <c r="K1522" s="2">
        <v>6550</v>
      </c>
      <c r="L1522" s="2">
        <v>36000</v>
      </c>
      <c r="M1522">
        <v>60</v>
      </c>
      <c r="N1522" s="3">
        <v>0.35599999999999998</v>
      </c>
      <c r="O1522" t="s">
        <v>16</v>
      </c>
      <c r="Q1522">
        <v>1</v>
      </c>
      <c r="R1522">
        <v>0</v>
      </c>
      <c r="S1522" s="2">
        <v>36000</v>
      </c>
      <c r="T1522" s="4">
        <v>7.1300000000000002E-2</v>
      </c>
      <c r="U1522">
        <v>5</v>
      </c>
      <c r="V1522">
        <v>0</v>
      </c>
      <c r="W1522">
        <v>1</v>
      </c>
    </row>
    <row r="1523" spans="1:23" ht="16.5" x14ac:dyDescent="0.3">
      <c r="A1523" t="s">
        <v>1582</v>
      </c>
      <c r="B1523" s="1">
        <v>45530</v>
      </c>
      <c r="C1523">
        <v>2024</v>
      </c>
      <c r="D1523" t="s">
        <v>1255</v>
      </c>
      <c r="E1523" t="s">
        <v>1415</v>
      </c>
      <c r="F1523" t="s">
        <v>37</v>
      </c>
      <c r="G1523" t="s">
        <v>51</v>
      </c>
      <c r="H1523" t="s">
        <v>34</v>
      </c>
      <c r="I1523" t="s">
        <v>39</v>
      </c>
      <c r="J1523" t="s">
        <v>46</v>
      </c>
      <c r="K1523" s="2">
        <v>1900</v>
      </c>
      <c r="L1523" s="2">
        <v>6500</v>
      </c>
      <c r="M1523">
        <v>48</v>
      </c>
      <c r="N1523" s="3">
        <v>0.24099999999999999</v>
      </c>
      <c r="O1523" t="s">
        <v>16</v>
      </c>
      <c r="Q1523">
        <v>1</v>
      </c>
      <c r="R1523">
        <v>0</v>
      </c>
      <c r="S1523" s="2">
        <v>6500</v>
      </c>
      <c r="T1523" s="4">
        <v>0.1143</v>
      </c>
      <c r="U1523">
        <v>4</v>
      </c>
      <c r="V1523">
        <v>0</v>
      </c>
      <c r="W1523">
        <v>1</v>
      </c>
    </row>
    <row r="1524" spans="1:23" ht="16.5" x14ac:dyDescent="0.3">
      <c r="A1524" t="s">
        <v>1583</v>
      </c>
      <c r="B1524" s="1">
        <v>45530</v>
      </c>
      <c r="C1524">
        <v>2024</v>
      </c>
      <c r="D1524" t="s">
        <v>1255</v>
      </c>
      <c r="E1524" t="s">
        <v>1415</v>
      </c>
      <c r="F1524" t="s">
        <v>37</v>
      </c>
      <c r="G1524" t="s">
        <v>51</v>
      </c>
      <c r="H1524" t="s">
        <v>38</v>
      </c>
      <c r="I1524" t="s">
        <v>29</v>
      </c>
      <c r="J1524" t="s">
        <v>35</v>
      </c>
      <c r="K1524" s="2">
        <v>5250</v>
      </c>
      <c r="L1524" s="2">
        <v>14500</v>
      </c>
      <c r="M1524">
        <v>48</v>
      </c>
      <c r="N1524" s="3">
        <v>0.29599999999999999</v>
      </c>
      <c r="O1524" t="s">
        <v>16</v>
      </c>
      <c r="Q1524">
        <v>1</v>
      </c>
      <c r="R1524">
        <v>0</v>
      </c>
      <c r="S1524" s="2">
        <v>11500</v>
      </c>
      <c r="T1524" s="4">
        <v>0.127</v>
      </c>
      <c r="U1524">
        <v>4</v>
      </c>
      <c r="V1524">
        <v>0</v>
      </c>
      <c r="W1524">
        <v>1</v>
      </c>
    </row>
    <row r="1525" spans="1:23" ht="16.5" x14ac:dyDescent="0.3">
      <c r="A1525" t="s">
        <v>1584</v>
      </c>
      <c r="B1525" s="1">
        <v>45530</v>
      </c>
      <c r="C1525">
        <v>2024</v>
      </c>
      <c r="D1525" t="s">
        <v>1255</v>
      </c>
      <c r="E1525" t="s">
        <v>1415</v>
      </c>
      <c r="F1525" t="s">
        <v>41</v>
      </c>
      <c r="G1525" t="s">
        <v>51</v>
      </c>
      <c r="H1525" t="s">
        <v>55</v>
      </c>
      <c r="I1525" t="s">
        <v>42</v>
      </c>
      <c r="J1525" t="s">
        <v>46</v>
      </c>
      <c r="K1525" s="2">
        <v>4850</v>
      </c>
      <c r="L1525" s="2">
        <v>49500</v>
      </c>
      <c r="M1525">
        <v>24</v>
      </c>
      <c r="N1525" s="3">
        <v>0.63200000000000001</v>
      </c>
      <c r="O1525" t="s">
        <v>16</v>
      </c>
      <c r="Q1525">
        <v>1</v>
      </c>
      <c r="R1525">
        <v>0</v>
      </c>
      <c r="S1525" s="2">
        <v>49500</v>
      </c>
      <c r="T1525" s="4">
        <v>9.3399999999999997E-2</v>
      </c>
      <c r="U1525">
        <v>13</v>
      </c>
      <c r="V1525">
        <v>0</v>
      </c>
      <c r="W1525">
        <v>1</v>
      </c>
    </row>
    <row r="1526" spans="1:23" ht="16.5" x14ac:dyDescent="0.3">
      <c r="A1526" t="s">
        <v>1585</v>
      </c>
      <c r="B1526" s="1">
        <v>45530</v>
      </c>
      <c r="C1526">
        <v>2024</v>
      </c>
      <c r="D1526" t="s">
        <v>1255</v>
      </c>
      <c r="E1526" t="s">
        <v>1415</v>
      </c>
      <c r="F1526" t="s">
        <v>26</v>
      </c>
      <c r="G1526" t="s">
        <v>45</v>
      </c>
      <c r="H1526" t="s">
        <v>34</v>
      </c>
      <c r="I1526" t="s">
        <v>42</v>
      </c>
      <c r="J1526" t="s">
        <v>52</v>
      </c>
      <c r="K1526" s="2">
        <v>2600</v>
      </c>
      <c r="L1526" s="2">
        <v>38500</v>
      </c>
      <c r="M1526">
        <v>48</v>
      </c>
      <c r="N1526" s="3">
        <v>0.442</v>
      </c>
      <c r="O1526" t="s">
        <v>16</v>
      </c>
      <c r="Q1526">
        <v>1</v>
      </c>
      <c r="R1526">
        <v>0</v>
      </c>
      <c r="S1526" s="2">
        <v>38500</v>
      </c>
      <c r="T1526" s="4">
        <v>7.2800000000000004E-2</v>
      </c>
      <c r="U1526">
        <v>2</v>
      </c>
      <c r="V1526">
        <v>1</v>
      </c>
      <c r="W1526">
        <v>1</v>
      </c>
    </row>
    <row r="1527" spans="1:23" ht="16.5" x14ac:dyDescent="0.3">
      <c r="A1527" t="s">
        <v>1586</v>
      </c>
      <c r="B1527" s="1">
        <v>45530</v>
      </c>
      <c r="C1527">
        <v>2024</v>
      </c>
      <c r="D1527" t="s">
        <v>1255</v>
      </c>
      <c r="E1527" t="s">
        <v>1415</v>
      </c>
      <c r="F1527" t="s">
        <v>37</v>
      </c>
      <c r="G1527" t="s">
        <v>27</v>
      </c>
      <c r="H1527" t="s">
        <v>38</v>
      </c>
      <c r="I1527" t="s">
        <v>39</v>
      </c>
      <c r="J1527" t="s">
        <v>52</v>
      </c>
      <c r="K1527" s="2">
        <v>3850</v>
      </c>
      <c r="L1527" s="2">
        <v>19000</v>
      </c>
      <c r="M1527">
        <v>12</v>
      </c>
      <c r="N1527" s="3">
        <v>0.51400000000000001</v>
      </c>
      <c r="O1527" t="s">
        <v>17</v>
      </c>
      <c r="P1527" t="s">
        <v>60</v>
      </c>
      <c r="Q1527">
        <v>0</v>
      </c>
      <c r="R1527">
        <v>1</v>
      </c>
      <c r="S1527" s="2">
        <v>0</v>
      </c>
      <c r="T1527" s="4"/>
      <c r="U1527">
        <v>8</v>
      </c>
      <c r="V1527">
        <v>0</v>
      </c>
      <c r="W1527">
        <v>1</v>
      </c>
    </row>
    <row r="1528" spans="1:23" ht="16.5" x14ac:dyDescent="0.3">
      <c r="A1528" t="s">
        <v>1587</v>
      </c>
      <c r="B1528" s="1">
        <v>45530</v>
      </c>
      <c r="C1528">
        <v>2024</v>
      </c>
      <c r="D1528" t="s">
        <v>1255</v>
      </c>
      <c r="E1528" t="s">
        <v>1415</v>
      </c>
      <c r="F1528" t="s">
        <v>37</v>
      </c>
      <c r="G1528" t="s">
        <v>51</v>
      </c>
      <c r="H1528" t="s">
        <v>55</v>
      </c>
      <c r="I1528" t="s">
        <v>42</v>
      </c>
      <c r="J1528" t="s">
        <v>35</v>
      </c>
      <c r="K1528" s="2">
        <v>2450</v>
      </c>
      <c r="L1528" s="2">
        <v>14500</v>
      </c>
      <c r="M1528">
        <v>36</v>
      </c>
      <c r="N1528" s="3">
        <v>0.247</v>
      </c>
      <c r="O1528" t="s">
        <v>16</v>
      </c>
      <c r="Q1528">
        <v>1</v>
      </c>
      <c r="R1528">
        <v>0</v>
      </c>
      <c r="S1528" s="2">
        <v>14500</v>
      </c>
      <c r="T1528" s="4">
        <v>0.129</v>
      </c>
      <c r="U1528">
        <v>5</v>
      </c>
      <c r="V1528">
        <v>0</v>
      </c>
      <c r="W1528">
        <v>1</v>
      </c>
    </row>
    <row r="1529" spans="1:23" ht="16.5" x14ac:dyDescent="0.3">
      <c r="A1529" t="s">
        <v>1588</v>
      </c>
      <c r="B1529" s="1">
        <v>45530</v>
      </c>
      <c r="C1529">
        <v>2024</v>
      </c>
      <c r="D1529" t="s">
        <v>1255</v>
      </c>
      <c r="E1529" t="s">
        <v>1415</v>
      </c>
      <c r="F1529" t="s">
        <v>41</v>
      </c>
      <c r="G1529" t="s">
        <v>45</v>
      </c>
      <c r="H1529" t="s">
        <v>38</v>
      </c>
      <c r="I1529" t="s">
        <v>39</v>
      </c>
      <c r="J1529" t="s">
        <v>52</v>
      </c>
      <c r="K1529" s="2">
        <v>5200</v>
      </c>
      <c r="L1529" s="2">
        <v>76000</v>
      </c>
      <c r="M1529">
        <v>24</v>
      </c>
      <c r="N1529" s="3">
        <v>0.872</v>
      </c>
      <c r="O1529" t="s">
        <v>17</v>
      </c>
      <c r="P1529" t="s">
        <v>53</v>
      </c>
      <c r="Q1529">
        <v>0</v>
      </c>
      <c r="R1529">
        <v>1</v>
      </c>
      <c r="S1529" s="2">
        <v>0</v>
      </c>
      <c r="T1529" s="4"/>
      <c r="U1529">
        <v>5</v>
      </c>
      <c r="V1529">
        <v>1</v>
      </c>
      <c r="W1529">
        <v>1</v>
      </c>
    </row>
    <row r="1530" spans="1:23" ht="16.5" x14ac:dyDescent="0.3">
      <c r="A1530" t="s">
        <v>1589</v>
      </c>
      <c r="B1530" s="1">
        <v>45530</v>
      </c>
      <c r="C1530">
        <v>2024</v>
      </c>
      <c r="D1530" t="s">
        <v>1255</v>
      </c>
      <c r="E1530" t="s">
        <v>1415</v>
      </c>
      <c r="F1530" t="s">
        <v>50</v>
      </c>
      <c r="G1530" t="s">
        <v>27</v>
      </c>
      <c r="H1530" t="s">
        <v>38</v>
      </c>
      <c r="I1530" t="s">
        <v>39</v>
      </c>
      <c r="J1530" t="s">
        <v>46</v>
      </c>
      <c r="K1530" s="2">
        <v>4300</v>
      </c>
      <c r="L1530" s="2">
        <v>146500</v>
      </c>
      <c r="M1530">
        <v>300</v>
      </c>
      <c r="N1530" s="3">
        <v>0.438</v>
      </c>
      <c r="O1530" t="s">
        <v>17</v>
      </c>
      <c r="P1530" t="s">
        <v>60</v>
      </c>
      <c r="Q1530">
        <v>0</v>
      </c>
      <c r="R1530">
        <v>1</v>
      </c>
      <c r="S1530" s="2">
        <v>0</v>
      </c>
      <c r="T1530" s="4"/>
      <c r="U1530">
        <v>21</v>
      </c>
      <c r="V1530">
        <v>0</v>
      </c>
      <c r="W1530">
        <v>1</v>
      </c>
    </row>
    <row r="1531" spans="1:23" ht="16.5" x14ac:dyDescent="0.3">
      <c r="A1531" t="s">
        <v>1590</v>
      </c>
      <c r="B1531" s="1">
        <v>45530</v>
      </c>
      <c r="C1531">
        <v>2024</v>
      </c>
      <c r="D1531" t="s">
        <v>1255</v>
      </c>
      <c r="E1531" t="s">
        <v>1415</v>
      </c>
      <c r="F1531" t="s">
        <v>50</v>
      </c>
      <c r="G1531" t="s">
        <v>45</v>
      </c>
      <c r="H1531" t="s">
        <v>55</v>
      </c>
      <c r="I1531" t="s">
        <v>39</v>
      </c>
      <c r="J1531" t="s">
        <v>46</v>
      </c>
      <c r="K1531" s="2">
        <v>4350</v>
      </c>
      <c r="L1531" s="2">
        <v>262000</v>
      </c>
      <c r="M1531">
        <v>300</v>
      </c>
      <c r="N1531" s="3">
        <v>0.499</v>
      </c>
      <c r="O1531" t="s">
        <v>16</v>
      </c>
      <c r="Q1531">
        <v>1</v>
      </c>
      <c r="R1531">
        <v>0</v>
      </c>
      <c r="S1531" s="2">
        <v>236000</v>
      </c>
      <c r="T1531" s="4">
        <v>3.7400000000000003E-2</v>
      </c>
      <c r="U1531">
        <v>15</v>
      </c>
      <c r="V1531">
        <v>1</v>
      </c>
      <c r="W1531">
        <v>1</v>
      </c>
    </row>
    <row r="1532" spans="1:23" ht="16.5" x14ac:dyDescent="0.3">
      <c r="A1532" t="s">
        <v>1591</v>
      </c>
      <c r="B1532" s="1">
        <v>45531</v>
      </c>
      <c r="C1532">
        <v>2024</v>
      </c>
      <c r="D1532" t="s">
        <v>1255</v>
      </c>
      <c r="E1532" t="s">
        <v>1415</v>
      </c>
      <c r="F1532" t="s">
        <v>41</v>
      </c>
      <c r="G1532" t="s">
        <v>51</v>
      </c>
      <c r="H1532" t="s">
        <v>34</v>
      </c>
      <c r="I1532" t="s">
        <v>39</v>
      </c>
      <c r="J1532" t="s">
        <v>46</v>
      </c>
      <c r="K1532" s="2">
        <v>3850</v>
      </c>
      <c r="L1532" s="2">
        <v>103000</v>
      </c>
      <c r="M1532">
        <v>36</v>
      </c>
      <c r="N1532" s="3">
        <v>1.0680000000000001</v>
      </c>
      <c r="O1532" t="s">
        <v>16</v>
      </c>
      <c r="Q1532">
        <v>1</v>
      </c>
      <c r="R1532">
        <v>0</v>
      </c>
      <c r="S1532" s="2">
        <v>103000</v>
      </c>
      <c r="T1532" s="4">
        <v>8.5900000000000004E-2</v>
      </c>
      <c r="U1532">
        <v>15</v>
      </c>
      <c r="V1532">
        <v>0</v>
      </c>
      <c r="W1532">
        <v>1</v>
      </c>
    </row>
    <row r="1533" spans="1:23" ht="16.5" x14ac:dyDescent="0.3">
      <c r="A1533" t="s">
        <v>1592</v>
      </c>
      <c r="B1533" s="1">
        <v>45531</v>
      </c>
      <c r="C1533">
        <v>2024</v>
      </c>
      <c r="D1533" t="s">
        <v>1255</v>
      </c>
      <c r="E1533" t="s">
        <v>1415</v>
      </c>
      <c r="F1533" t="s">
        <v>50</v>
      </c>
      <c r="G1533" t="s">
        <v>51</v>
      </c>
      <c r="H1533" t="s">
        <v>28</v>
      </c>
      <c r="I1533" t="s">
        <v>39</v>
      </c>
      <c r="J1533" t="s">
        <v>52</v>
      </c>
      <c r="K1533" s="2">
        <v>5550</v>
      </c>
      <c r="L1533" s="2">
        <v>342500</v>
      </c>
      <c r="M1533">
        <v>240</v>
      </c>
      <c r="N1533" s="3">
        <v>0.63600000000000001</v>
      </c>
      <c r="O1533" t="s">
        <v>16</v>
      </c>
      <c r="Q1533">
        <v>1</v>
      </c>
      <c r="R1533">
        <v>0</v>
      </c>
      <c r="S1533" s="2">
        <v>308000</v>
      </c>
      <c r="T1533" s="4">
        <v>5.0299999999999997E-2</v>
      </c>
      <c r="U1533">
        <v>18</v>
      </c>
      <c r="V1533">
        <v>0</v>
      </c>
      <c r="W1533">
        <v>1</v>
      </c>
    </row>
    <row r="1534" spans="1:23" ht="16.5" x14ac:dyDescent="0.3">
      <c r="A1534" t="s">
        <v>1593</v>
      </c>
      <c r="B1534" s="1">
        <v>45531</v>
      </c>
      <c r="C1534">
        <v>2024</v>
      </c>
      <c r="D1534" t="s">
        <v>1255</v>
      </c>
      <c r="E1534" t="s">
        <v>1415</v>
      </c>
      <c r="F1534" t="s">
        <v>41</v>
      </c>
      <c r="G1534" t="s">
        <v>27</v>
      </c>
      <c r="H1534" t="s">
        <v>38</v>
      </c>
      <c r="I1534" t="s">
        <v>42</v>
      </c>
      <c r="J1534" t="s">
        <v>52</v>
      </c>
      <c r="K1534" s="2">
        <v>4700</v>
      </c>
      <c r="L1534" s="2">
        <v>129000</v>
      </c>
      <c r="M1534">
        <v>12</v>
      </c>
      <c r="N1534" s="3">
        <v>2.6379999999999999</v>
      </c>
      <c r="O1534" t="s">
        <v>17</v>
      </c>
      <c r="P1534" t="s">
        <v>60</v>
      </c>
      <c r="Q1534">
        <v>0</v>
      </c>
      <c r="R1534">
        <v>1</v>
      </c>
      <c r="S1534" s="2">
        <v>0</v>
      </c>
      <c r="T1534" s="4"/>
      <c r="U1534">
        <v>14</v>
      </c>
      <c r="V1534">
        <v>0</v>
      </c>
      <c r="W1534">
        <v>1</v>
      </c>
    </row>
    <row r="1535" spans="1:23" ht="16.5" x14ac:dyDescent="0.3">
      <c r="A1535" t="s">
        <v>1594</v>
      </c>
      <c r="B1535" s="1">
        <v>45531</v>
      </c>
      <c r="C1535">
        <v>2024</v>
      </c>
      <c r="D1535" t="s">
        <v>1255</v>
      </c>
      <c r="E1535" t="s">
        <v>1415</v>
      </c>
      <c r="F1535" t="s">
        <v>37</v>
      </c>
      <c r="G1535" t="s">
        <v>51</v>
      </c>
      <c r="H1535" t="s">
        <v>55</v>
      </c>
      <c r="I1535" t="s">
        <v>42</v>
      </c>
      <c r="J1535" t="s">
        <v>52</v>
      </c>
      <c r="K1535" s="2">
        <v>6050</v>
      </c>
      <c r="L1535" s="2">
        <v>6500</v>
      </c>
      <c r="M1535">
        <v>24</v>
      </c>
      <c r="N1535" s="3">
        <v>0.14799999999999999</v>
      </c>
      <c r="O1535" t="s">
        <v>16</v>
      </c>
      <c r="Q1535">
        <v>1</v>
      </c>
      <c r="R1535">
        <v>0</v>
      </c>
      <c r="S1535" s="2">
        <v>6000</v>
      </c>
      <c r="T1535" s="4">
        <v>0.11310000000000001</v>
      </c>
      <c r="U1535">
        <v>8</v>
      </c>
      <c r="V1535">
        <v>0</v>
      </c>
      <c r="W1535">
        <v>1</v>
      </c>
    </row>
    <row r="1536" spans="1:23" ht="16.5" x14ac:dyDescent="0.3">
      <c r="A1536" t="s">
        <v>1595</v>
      </c>
      <c r="B1536" s="1">
        <v>45531</v>
      </c>
      <c r="C1536">
        <v>2024</v>
      </c>
      <c r="D1536" t="s">
        <v>1255</v>
      </c>
      <c r="E1536" t="s">
        <v>1415</v>
      </c>
      <c r="F1536" t="s">
        <v>37</v>
      </c>
      <c r="G1536" t="s">
        <v>33</v>
      </c>
      <c r="H1536" t="s">
        <v>55</v>
      </c>
      <c r="I1536" t="s">
        <v>29</v>
      </c>
      <c r="J1536" t="s">
        <v>52</v>
      </c>
      <c r="K1536" s="2">
        <v>4850</v>
      </c>
      <c r="L1536" s="2">
        <v>7500</v>
      </c>
      <c r="M1536">
        <v>60</v>
      </c>
      <c r="N1536" s="3">
        <v>0.21199999999999999</v>
      </c>
      <c r="O1536" t="s">
        <v>16</v>
      </c>
      <c r="Q1536">
        <v>1</v>
      </c>
      <c r="R1536">
        <v>0</v>
      </c>
      <c r="S1536" s="2">
        <v>6000</v>
      </c>
      <c r="T1536" s="4">
        <v>0.11459999999999999</v>
      </c>
      <c r="U1536">
        <v>1</v>
      </c>
      <c r="V1536">
        <v>1</v>
      </c>
      <c r="W1536">
        <v>1</v>
      </c>
    </row>
    <row r="1537" spans="1:23" ht="16.5" x14ac:dyDescent="0.3">
      <c r="A1537" t="s">
        <v>1596</v>
      </c>
      <c r="B1537" s="1">
        <v>45531</v>
      </c>
      <c r="C1537">
        <v>2024</v>
      </c>
      <c r="D1537" t="s">
        <v>1255</v>
      </c>
      <c r="E1537" t="s">
        <v>1415</v>
      </c>
      <c r="F1537" t="s">
        <v>37</v>
      </c>
      <c r="G1537" t="s">
        <v>45</v>
      </c>
      <c r="H1537" t="s">
        <v>38</v>
      </c>
      <c r="I1537" t="s">
        <v>29</v>
      </c>
      <c r="J1537" t="s">
        <v>52</v>
      </c>
      <c r="K1537" s="2">
        <v>4900</v>
      </c>
      <c r="L1537" s="2">
        <v>9500</v>
      </c>
      <c r="M1537">
        <v>48</v>
      </c>
      <c r="N1537" s="3">
        <v>0.25</v>
      </c>
      <c r="O1537" t="s">
        <v>16</v>
      </c>
      <c r="Q1537">
        <v>1</v>
      </c>
      <c r="R1537">
        <v>0</v>
      </c>
      <c r="S1537" s="2">
        <v>8500</v>
      </c>
      <c r="T1537" s="4">
        <v>0.1167</v>
      </c>
      <c r="U1537">
        <v>2</v>
      </c>
      <c r="V1537">
        <v>1</v>
      </c>
      <c r="W1537">
        <v>1</v>
      </c>
    </row>
    <row r="1538" spans="1:23" ht="16.5" x14ac:dyDescent="0.3">
      <c r="A1538" t="s">
        <v>1597</v>
      </c>
      <c r="B1538" s="1">
        <v>45531</v>
      </c>
      <c r="C1538">
        <v>2024</v>
      </c>
      <c r="D1538" t="s">
        <v>1255</v>
      </c>
      <c r="E1538" t="s">
        <v>1415</v>
      </c>
      <c r="F1538" t="s">
        <v>26</v>
      </c>
      <c r="G1538" t="s">
        <v>51</v>
      </c>
      <c r="H1538" t="s">
        <v>38</v>
      </c>
      <c r="I1538" t="s">
        <v>39</v>
      </c>
      <c r="J1538" t="s">
        <v>30</v>
      </c>
      <c r="K1538" s="2">
        <v>6300</v>
      </c>
      <c r="L1538" s="2">
        <v>18000</v>
      </c>
      <c r="M1538">
        <v>36</v>
      </c>
      <c r="N1538" s="3">
        <v>0.186</v>
      </c>
      <c r="O1538" t="s">
        <v>16</v>
      </c>
      <c r="Q1538">
        <v>1</v>
      </c>
      <c r="R1538">
        <v>0</v>
      </c>
      <c r="S1538" s="2">
        <v>16000</v>
      </c>
      <c r="T1538" s="4">
        <v>9.6199999999999994E-2</v>
      </c>
      <c r="U1538">
        <v>8</v>
      </c>
      <c r="V1538">
        <v>0</v>
      </c>
      <c r="W1538">
        <v>1</v>
      </c>
    </row>
    <row r="1539" spans="1:23" ht="16.5" x14ac:dyDescent="0.3">
      <c r="A1539" t="s">
        <v>1598</v>
      </c>
      <c r="B1539" s="1">
        <v>45531</v>
      </c>
      <c r="C1539">
        <v>2024</v>
      </c>
      <c r="D1539" t="s">
        <v>1255</v>
      </c>
      <c r="E1539" t="s">
        <v>1415</v>
      </c>
      <c r="F1539" t="s">
        <v>26</v>
      </c>
      <c r="G1539" t="s">
        <v>45</v>
      </c>
      <c r="H1539" t="s">
        <v>38</v>
      </c>
      <c r="I1539" t="s">
        <v>29</v>
      </c>
      <c r="J1539" t="s">
        <v>35</v>
      </c>
      <c r="K1539" s="2">
        <v>6300</v>
      </c>
      <c r="L1539" s="2">
        <v>30000</v>
      </c>
      <c r="M1539">
        <v>48</v>
      </c>
      <c r="N1539" s="3">
        <v>0.28899999999999998</v>
      </c>
      <c r="O1539" t="s">
        <v>16</v>
      </c>
      <c r="Q1539">
        <v>1</v>
      </c>
      <c r="R1539">
        <v>0</v>
      </c>
      <c r="S1539" s="2">
        <v>27000</v>
      </c>
      <c r="T1539" s="4">
        <v>7.9699999999999993E-2</v>
      </c>
      <c r="U1539">
        <v>2</v>
      </c>
      <c r="V1539">
        <v>1</v>
      </c>
      <c r="W1539">
        <v>1</v>
      </c>
    </row>
    <row r="1540" spans="1:23" ht="16.5" x14ac:dyDescent="0.3">
      <c r="A1540" t="s">
        <v>1599</v>
      </c>
      <c r="B1540" s="1">
        <v>45532</v>
      </c>
      <c r="C1540">
        <v>2024</v>
      </c>
      <c r="D1540" t="s">
        <v>1255</v>
      </c>
      <c r="E1540" t="s">
        <v>1415</v>
      </c>
      <c r="F1540" t="s">
        <v>26</v>
      </c>
      <c r="G1540" t="s">
        <v>45</v>
      </c>
      <c r="H1540" t="s">
        <v>38</v>
      </c>
      <c r="I1540" t="s">
        <v>29</v>
      </c>
      <c r="J1540" t="s">
        <v>30</v>
      </c>
      <c r="K1540" s="2">
        <v>4050</v>
      </c>
      <c r="L1540" s="2">
        <v>20500</v>
      </c>
      <c r="M1540">
        <v>36</v>
      </c>
      <c r="N1540" s="3">
        <v>0.40200000000000002</v>
      </c>
      <c r="O1540" t="s">
        <v>17</v>
      </c>
      <c r="P1540" t="s">
        <v>31</v>
      </c>
      <c r="Q1540">
        <v>0</v>
      </c>
      <c r="R1540">
        <v>1</v>
      </c>
      <c r="S1540" s="2">
        <v>0</v>
      </c>
      <c r="T1540" s="4"/>
      <c r="U1540">
        <v>3</v>
      </c>
      <c r="V1540">
        <v>1</v>
      </c>
      <c r="W1540">
        <v>1</v>
      </c>
    </row>
    <row r="1541" spans="1:23" ht="16.5" x14ac:dyDescent="0.3">
      <c r="A1541" t="s">
        <v>1600</v>
      </c>
      <c r="B1541" s="1">
        <v>45532</v>
      </c>
      <c r="C1541">
        <v>2024</v>
      </c>
      <c r="D1541" t="s">
        <v>1255</v>
      </c>
      <c r="E1541" t="s">
        <v>1415</v>
      </c>
      <c r="F1541" t="s">
        <v>37</v>
      </c>
      <c r="G1541" t="s">
        <v>27</v>
      </c>
      <c r="H1541" t="s">
        <v>64</v>
      </c>
      <c r="I1541" t="s">
        <v>42</v>
      </c>
      <c r="J1541" t="s">
        <v>52</v>
      </c>
      <c r="K1541" s="2">
        <v>5000</v>
      </c>
      <c r="L1541" s="2">
        <v>5000</v>
      </c>
      <c r="M1541">
        <v>24</v>
      </c>
      <c r="N1541" s="3">
        <v>0.11799999999999999</v>
      </c>
      <c r="O1541" t="s">
        <v>16</v>
      </c>
      <c r="Q1541">
        <v>1</v>
      </c>
      <c r="R1541">
        <v>0</v>
      </c>
      <c r="S1541" s="2">
        <v>5000</v>
      </c>
      <c r="T1541" s="4">
        <v>0.107</v>
      </c>
      <c r="U1541">
        <v>3</v>
      </c>
      <c r="V1541">
        <v>1</v>
      </c>
      <c r="W1541">
        <v>1</v>
      </c>
    </row>
    <row r="1542" spans="1:23" ht="16.5" x14ac:dyDescent="0.3">
      <c r="A1542" t="s">
        <v>1601</v>
      </c>
      <c r="B1542" s="1">
        <v>45532</v>
      </c>
      <c r="C1542">
        <v>2024</v>
      </c>
      <c r="D1542" t="s">
        <v>1255</v>
      </c>
      <c r="E1542" t="s">
        <v>1415</v>
      </c>
      <c r="F1542" t="s">
        <v>41</v>
      </c>
      <c r="G1542" t="s">
        <v>45</v>
      </c>
      <c r="H1542" t="s">
        <v>38</v>
      </c>
      <c r="I1542" t="s">
        <v>29</v>
      </c>
      <c r="J1542" t="s">
        <v>35</v>
      </c>
      <c r="K1542" s="2">
        <v>4600</v>
      </c>
      <c r="L1542" s="2">
        <v>144000</v>
      </c>
      <c r="M1542">
        <v>36</v>
      </c>
      <c r="N1542" s="3">
        <v>1.1779999999999999</v>
      </c>
      <c r="O1542" t="s">
        <v>17</v>
      </c>
      <c r="P1542" t="s">
        <v>53</v>
      </c>
      <c r="Q1542">
        <v>0</v>
      </c>
      <c r="R1542">
        <v>1</v>
      </c>
      <c r="S1542" s="2">
        <v>0</v>
      </c>
      <c r="T1542" s="4"/>
      <c r="U1542">
        <v>7</v>
      </c>
      <c r="V1542">
        <v>1</v>
      </c>
      <c r="W1542">
        <v>1</v>
      </c>
    </row>
    <row r="1543" spans="1:23" ht="16.5" x14ac:dyDescent="0.3">
      <c r="A1543" t="s">
        <v>1602</v>
      </c>
      <c r="B1543" s="1">
        <v>45532</v>
      </c>
      <c r="C1543">
        <v>2024</v>
      </c>
      <c r="D1543" t="s">
        <v>1255</v>
      </c>
      <c r="E1543" t="s">
        <v>1415</v>
      </c>
      <c r="F1543" t="s">
        <v>37</v>
      </c>
      <c r="G1543" t="s">
        <v>51</v>
      </c>
      <c r="H1543" t="s">
        <v>55</v>
      </c>
      <c r="I1543" t="s">
        <v>29</v>
      </c>
      <c r="J1543" t="s">
        <v>52</v>
      </c>
      <c r="K1543" s="2">
        <v>17850</v>
      </c>
      <c r="L1543" s="2">
        <v>23000</v>
      </c>
      <c r="M1543">
        <v>12</v>
      </c>
      <c r="N1543" s="3">
        <v>0.182</v>
      </c>
      <c r="O1543" t="s">
        <v>16</v>
      </c>
      <c r="Q1543">
        <v>1</v>
      </c>
      <c r="R1543">
        <v>0</v>
      </c>
      <c r="S1543" s="2">
        <v>20500</v>
      </c>
      <c r="T1543" s="4">
        <v>0.11799999999999999</v>
      </c>
      <c r="U1543">
        <v>3</v>
      </c>
      <c r="V1543">
        <v>1</v>
      </c>
      <c r="W1543">
        <v>1</v>
      </c>
    </row>
    <row r="1544" spans="1:23" ht="16.5" x14ac:dyDescent="0.3">
      <c r="A1544" t="s">
        <v>1603</v>
      </c>
      <c r="B1544" s="1">
        <v>45532</v>
      </c>
      <c r="C1544">
        <v>2024</v>
      </c>
      <c r="D1544" t="s">
        <v>1255</v>
      </c>
      <c r="E1544" t="s">
        <v>1415</v>
      </c>
      <c r="F1544" t="s">
        <v>41</v>
      </c>
      <c r="G1544" t="s">
        <v>51</v>
      </c>
      <c r="H1544" t="s">
        <v>55</v>
      </c>
      <c r="I1544" t="s">
        <v>29</v>
      </c>
      <c r="J1544" t="s">
        <v>30</v>
      </c>
      <c r="K1544" s="2">
        <v>5000</v>
      </c>
      <c r="L1544" s="2">
        <v>60000</v>
      </c>
      <c r="M1544">
        <v>60</v>
      </c>
      <c r="N1544" s="3">
        <v>0.40200000000000002</v>
      </c>
      <c r="O1544" t="s">
        <v>16</v>
      </c>
      <c r="Q1544">
        <v>1</v>
      </c>
      <c r="R1544">
        <v>0</v>
      </c>
      <c r="S1544" s="2">
        <v>60000</v>
      </c>
      <c r="T1544" s="4">
        <v>0.12659999999999999</v>
      </c>
      <c r="U1544">
        <v>12</v>
      </c>
      <c r="V1544">
        <v>0</v>
      </c>
      <c r="W1544">
        <v>1</v>
      </c>
    </row>
    <row r="1545" spans="1:23" ht="16.5" x14ac:dyDescent="0.3">
      <c r="A1545" t="s">
        <v>1604</v>
      </c>
      <c r="B1545" s="1">
        <v>45532</v>
      </c>
      <c r="C1545">
        <v>2024</v>
      </c>
      <c r="D1545" t="s">
        <v>1255</v>
      </c>
      <c r="E1545" t="s">
        <v>1415</v>
      </c>
      <c r="F1545" t="s">
        <v>50</v>
      </c>
      <c r="G1545" t="s">
        <v>51</v>
      </c>
      <c r="H1545" t="s">
        <v>38</v>
      </c>
      <c r="I1545" t="s">
        <v>29</v>
      </c>
      <c r="J1545" t="s">
        <v>35</v>
      </c>
      <c r="K1545" s="2">
        <v>4200</v>
      </c>
      <c r="L1545" s="2">
        <v>150500</v>
      </c>
      <c r="M1545">
        <v>240</v>
      </c>
      <c r="N1545" s="3">
        <v>0.41499999999999998</v>
      </c>
      <c r="O1545" t="s">
        <v>16</v>
      </c>
      <c r="Q1545">
        <v>1</v>
      </c>
      <c r="R1545">
        <v>0</v>
      </c>
      <c r="S1545" s="2">
        <v>150500</v>
      </c>
      <c r="T1545" s="4">
        <v>5.8400000000000001E-2</v>
      </c>
      <c r="U1545">
        <v>16</v>
      </c>
      <c r="V1545">
        <v>0</v>
      </c>
      <c r="W1545">
        <v>1</v>
      </c>
    </row>
    <row r="1546" spans="1:23" ht="16.5" x14ac:dyDescent="0.3">
      <c r="A1546" t="s">
        <v>1605</v>
      </c>
      <c r="B1546" s="1">
        <v>45532</v>
      </c>
      <c r="C1546">
        <v>2024</v>
      </c>
      <c r="D1546" t="s">
        <v>1255</v>
      </c>
      <c r="E1546" t="s">
        <v>1415</v>
      </c>
      <c r="F1546" t="s">
        <v>41</v>
      </c>
      <c r="G1546" t="s">
        <v>45</v>
      </c>
      <c r="H1546" t="s">
        <v>55</v>
      </c>
      <c r="I1546" t="s">
        <v>39</v>
      </c>
      <c r="J1546" t="s">
        <v>52</v>
      </c>
      <c r="K1546" s="2">
        <v>3050</v>
      </c>
      <c r="L1546" s="2">
        <v>114000</v>
      </c>
      <c r="M1546">
        <v>60</v>
      </c>
      <c r="N1546" s="3">
        <v>0.90100000000000002</v>
      </c>
      <c r="O1546" t="s">
        <v>16</v>
      </c>
      <c r="Q1546">
        <v>1</v>
      </c>
      <c r="R1546">
        <v>0</v>
      </c>
      <c r="S1546" s="2">
        <v>102500</v>
      </c>
      <c r="T1546" s="4">
        <v>9.6500000000000002E-2</v>
      </c>
      <c r="U1546">
        <v>6</v>
      </c>
      <c r="V1546">
        <v>1</v>
      </c>
      <c r="W1546">
        <v>1</v>
      </c>
    </row>
    <row r="1547" spans="1:23" ht="16.5" x14ac:dyDescent="0.3">
      <c r="A1547" t="s">
        <v>1606</v>
      </c>
      <c r="B1547" s="1">
        <v>45532</v>
      </c>
      <c r="C1547">
        <v>2024</v>
      </c>
      <c r="D1547" t="s">
        <v>1255</v>
      </c>
      <c r="E1547" t="s">
        <v>1415</v>
      </c>
      <c r="F1547" t="s">
        <v>37</v>
      </c>
      <c r="G1547" t="s">
        <v>45</v>
      </c>
      <c r="H1547" t="s">
        <v>38</v>
      </c>
      <c r="I1547" t="s">
        <v>29</v>
      </c>
      <c r="J1547" t="s">
        <v>52</v>
      </c>
      <c r="K1547" s="2">
        <v>4500</v>
      </c>
      <c r="L1547" s="2">
        <v>14500</v>
      </c>
      <c r="M1547">
        <v>60</v>
      </c>
      <c r="N1547" s="3">
        <v>0.24399999999999999</v>
      </c>
      <c r="O1547" t="s">
        <v>17</v>
      </c>
      <c r="P1547" t="s">
        <v>31</v>
      </c>
      <c r="Q1547">
        <v>0</v>
      </c>
      <c r="R1547">
        <v>1</v>
      </c>
      <c r="S1547" s="2">
        <v>0</v>
      </c>
      <c r="T1547" s="4"/>
      <c r="U1547">
        <v>2</v>
      </c>
      <c r="V1547">
        <v>1</v>
      </c>
      <c r="W1547">
        <v>1</v>
      </c>
    </row>
    <row r="1548" spans="1:23" ht="16.5" x14ac:dyDescent="0.3">
      <c r="A1548" t="s">
        <v>1607</v>
      </c>
      <c r="B1548" s="1">
        <v>45532</v>
      </c>
      <c r="C1548">
        <v>2024</v>
      </c>
      <c r="D1548" t="s">
        <v>1255</v>
      </c>
      <c r="E1548" t="s">
        <v>1415</v>
      </c>
      <c r="F1548" t="s">
        <v>41</v>
      </c>
      <c r="G1548" t="s">
        <v>45</v>
      </c>
      <c r="H1548" t="s">
        <v>34</v>
      </c>
      <c r="I1548" t="s">
        <v>29</v>
      </c>
      <c r="J1548" t="s">
        <v>35</v>
      </c>
      <c r="K1548" s="2">
        <v>10050</v>
      </c>
      <c r="L1548" s="2">
        <v>138000</v>
      </c>
      <c r="M1548">
        <v>36</v>
      </c>
      <c r="N1548" s="3">
        <v>0.67500000000000004</v>
      </c>
      <c r="O1548" t="s">
        <v>16</v>
      </c>
      <c r="Q1548">
        <v>1</v>
      </c>
      <c r="R1548">
        <v>0</v>
      </c>
      <c r="S1548" s="2">
        <v>138000</v>
      </c>
      <c r="T1548" s="4">
        <v>0.10489999999999999</v>
      </c>
      <c r="U1548">
        <v>7</v>
      </c>
      <c r="V1548">
        <v>1</v>
      </c>
      <c r="W1548">
        <v>1</v>
      </c>
    </row>
    <row r="1549" spans="1:23" ht="16.5" x14ac:dyDescent="0.3">
      <c r="A1549" t="s">
        <v>1608</v>
      </c>
      <c r="B1549" s="1">
        <v>45533</v>
      </c>
      <c r="C1549">
        <v>2024</v>
      </c>
      <c r="D1549" t="s">
        <v>1255</v>
      </c>
      <c r="E1549" t="s">
        <v>1415</v>
      </c>
      <c r="F1549" t="s">
        <v>37</v>
      </c>
      <c r="G1549" t="s">
        <v>33</v>
      </c>
      <c r="H1549" t="s">
        <v>38</v>
      </c>
      <c r="I1549" t="s">
        <v>42</v>
      </c>
      <c r="J1549" t="s">
        <v>52</v>
      </c>
      <c r="K1549" s="2">
        <v>4150</v>
      </c>
      <c r="L1549" s="2">
        <v>28000</v>
      </c>
      <c r="M1549">
        <v>12</v>
      </c>
      <c r="N1549" s="3">
        <v>0.73699999999999999</v>
      </c>
      <c r="O1549" t="s">
        <v>16</v>
      </c>
      <c r="Q1549">
        <v>1</v>
      </c>
      <c r="R1549">
        <v>0</v>
      </c>
      <c r="S1549" s="2">
        <v>28000</v>
      </c>
      <c r="T1549" s="4">
        <v>0.1144</v>
      </c>
      <c r="U1549">
        <v>3</v>
      </c>
      <c r="V1549">
        <v>1</v>
      </c>
      <c r="W1549">
        <v>1</v>
      </c>
    </row>
    <row r="1550" spans="1:23" ht="16.5" x14ac:dyDescent="0.3">
      <c r="A1550" t="s">
        <v>1609</v>
      </c>
      <c r="B1550" s="1">
        <v>45533</v>
      </c>
      <c r="C1550">
        <v>2024</v>
      </c>
      <c r="D1550" t="s">
        <v>1255</v>
      </c>
      <c r="E1550" t="s">
        <v>1415</v>
      </c>
      <c r="F1550" t="s">
        <v>37</v>
      </c>
      <c r="G1550" t="s">
        <v>45</v>
      </c>
      <c r="H1550" t="s">
        <v>55</v>
      </c>
      <c r="I1550" t="s">
        <v>29</v>
      </c>
      <c r="J1550" t="s">
        <v>43</v>
      </c>
      <c r="K1550" s="2">
        <v>3800</v>
      </c>
      <c r="L1550" s="2">
        <v>11000</v>
      </c>
      <c r="M1550">
        <v>48</v>
      </c>
      <c r="N1550" s="3">
        <v>0.32500000000000001</v>
      </c>
      <c r="O1550" t="s">
        <v>17</v>
      </c>
      <c r="P1550" t="s">
        <v>31</v>
      </c>
      <c r="Q1550">
        <v>0</v>
      </c>
      <c r="R1550">
        <v>1</v>
      </c>
      <c r="S1550" s="2">
        <v>0</v>
      </c>
      <c r="T1550" s="4"/>
      <c r="U1550">
        <v>4</v>
      </c>
      <c r="V1550">
        <v>0</v>
      </c>
      <c r="W1550">
        <v>1</v>
      </c>
    </row>
    <row r="1551" spans="1:23" ht="16.5" x14ac:dyDescent="0.3">
      <c r="A1551" t="s">
        <v>1610</v>
      </c>
      <c r="B1551" s="1">
        <v>45533</v>
      </c>
      <c r="C1551">
        <v>2024</v>
      </c>
      <c r="D1551" t="s">
        <v>1255</v>
      </c>
      <c r="E1551" t="s">
        <v>1415</v>
      </c>
      <c r="F1551" t="s">
        <v>37</v>
      </c>
      <c r="G1551" t="s">
        <v>51</v>
      </c>
      <c r="H1551" t="s">
        <v>34</v>
      </c>
      <c r="I1551" t="s">
        <v>39</v>
      </c>
      <c r="J1551" t="s">
        <v>35</v>
      </c>
      <c r="K1551" s="2">
        <v>4900</v>
      </c>
      <c r="L1551" s="2">
        <v>9500</v>
      </c>
      <c r="M1551">
        <v>48</v>
      </c>
      <c r="N1551" s="3">
        <v>0.28699999999999998</v>
      </c>
      <c r="O1551" t="s">
        <v>16</v>
      </c>
      <c r="Q1551">
        <v>1</v>
      </c>
      <c r="R1551">
        <v>0</v>
      </c>
      <c r="S1551" s="2">
        <v>9500</v>
      </c>
      <c r="T1551" s="4">
        <v>0.12720000000000001</v>
      </c>
      <c r="U1551">
        <v>3</v>
      </c>
      <c r="V1551">
        <v>1</v>
      </c>
      <c r="W1551">
        <v>1</v>
      </c>
    </row>
    <row r="1552" spans="1:23" ht="16.5" x14ac:dyDescent="0.3">
      <c r="A1552" t="s">
        <v>1611</v>
      </c>
      <c r="B1552" s="1">
        <v>45533</v>
      </c>
      <c r="C1552">
        <v>2024</v>
      </c>
      <c r="D1552" t="s">
        <v>1255</v>
      </c>
      <c r="E1552" t="s">
        <v>1415</v>
      </c>
      <c r="F1552" t="s">
        <v>26</v>
      </c>
      <c r="G1552" t="s">
        <v>45</v>
      </c>
      <c r="H1552" t="s">
        <v>34</v>
      </c>
      <c r="I1552" t="s">
        <v>29</v>
      </c>
      <c r="J1552" t="s">
        <v>52</v>
      </c>
      <c r="K1552" s="2">
        <v>3650</v>
      </c>
      <c r="L1552" s="2">
        <v>22500</v>
      </c>
      <c r="M1552">
        <v>36</v>
      </c>
      <c r="N1552" s="3">
        <v>0.29599999999999999</v>
      </c>
      <c r="O1552" t="s">
        <v>16</v>
      </c>
      <c r="Q1552">
        <v>1</v>
      </c>
      <c r="R1552">
        <v>0</v>
      </c>
      <c r="S1552" s="2">
        <v>22500</v>
      </c>
      <c r="T1552" s="4">
        <v>7.9600000000000004E-2</v>
      </c>
      <c r="U1552">
        <v>3</v>
      </c>
      <c r="V1552">
        <v>1</v>
      </c>
      <c r="W1552">
        <v>1</v>
      </c>
    </row>
    <row r="1553" spans="1:23" ht="16.5" x14ac:dyDescent="0.3">
      <c r="A1553" t="s">
        <v>1612</v>
      </c>
      <c r="B1553" s="1">
        <v>45533</v>
      </c>
      <c r="C1553">
        <v>2024</v>
      </c>
      <c r="D1553" t="s">
        <v>1255</v>
      </c>
      <c r="E1553" t="s">
        <v>1415</v>
      </c>
      <c r="F1553" t="s">
        <v>37</v>
      </c>
      <c r="G1553" t="s">
        <v>45</v>
      </c>
      <c r="H1553" t="s">
        <v>34</v>
      </c>
      <c r="I1553" t="s">
        <v>29</v>
      </c>
      <c r="J1553" t="s">
        <v>30</v>
      </c>
      <c r="K1553" s="2">
        <v>4050</v>
      </c>
      <c r="L1553" s="2">
        <v>14000</v>
      </c>
      <c r="M1553">
        <v>60</v>
      </c>
      <c r="N1553" s="3">
        <v>0.224</v>
      </c>
      <c r="O1553" t="s">
        <v>16</v>
      </c>
      <c r="Q1553">
        <v>1</v>
      </c>
      <c r="R1553">
        <v>0</v>
      </c>
      <c r="S1553" s="2">
        <v>12500</v>
      </c>
      <c r="T1553" s="4">
        <v>0.13600000000000001</v>
      </c>
      <c r="U1553">
        <v>3</v>
      </c>
      <c r="V1553">
        <v>1</v>
      </c>
      <c r="W1553">
        <v>1</v>
      </c>
    </row>
    <row r="1554" spans="1:23" ht="16.5" x14ac:dyDescent="0.3">
      <c r="A1554" t="s">
        <v>1613</v>
      </c>
      <c r="B1554" s="1">
        <v>45533</v>
      </c>
      <c r="C1554">
        <v>2024</v>
      </c>
      <c r="D1554" t="s">
        <v>1255</v>
      </c>
      <c r="E1554" t="s">
        <v>1415</v>
      </c>
      <c r="F1554" t="s">
        <v>37</v>
      </c>
      <c r="G1554" t="s">
        <v>45</v>
      </c>
      <c r="H1554" t="s">
        <v>55</v>
      </c>
      <c r="I1554" t="s">
        <v>29</v>
      </c>
      <c r="J1554" t="s">
        <v>46</v>
      </c>
      <c r="K1554" s="2">
        <v>7100</v>
      </c>
      <c r="L1554" s="2">
        <v>15000</v>
      </c>
      <c r="M1554">
        <v>12</v>
      </c>
      <c r="N1554" s="3">
        <v>0.33800000000000002</v>
      </c>
      <c r="O1554" t="s">
        <v>16</v>
      </c>
      <c r="Q1554">
        <v>1</v>
      </c>
      <c r="R1554">
        <v>0</v>
      </c>
      <c r="S1554" s="2">
        <v>13500</v>
      </c>
      <c r="T1554" s="4">
        <v>0.11169999999999999</v>
      </c>
      <c r="U1554">
        <v>1</v>
      </c>
      <c r="V1554">
        <v>1</v>
      </c>
      <c r="W1554">
        <v>1</v>
      </c>
    </row>
    <row r="1555" spans="1:23" ht="16.5" x14ac:dyDescent="0.3">
      <c r="A1555" t="s">
        <v>1614</v>
      </c>
      <c r="B1555" s="1">
        <v>45533</v>
      </c>
      <c r="C1555">
        <v>2024</v>
      </c>
      <c r="D1555" t="s">
        <v>1255</v>
      </c>
      <c r="E1555" t="s">
        <v>1415</v>
      </c>
      <c r="F1555" t="s">
        <v>37</v>
      </c>
      <c r="G1555" t="s">
        <v>51</v>
      </c>
      <c r="H1555" t="s">
        <v>55</v>
      </c>
      <c r="I1555" t="s">
        <v>29</v>
      </c>
      <c r="J1555" t="s">
        <v>30</v>
      </c>
      <c r="K1555" s="2">
        <v>5750</v>
      </c>
      <c r="L1555" s="2">
        <v>5000</v>
      </c>
      <c r="M1555">
        <v>48</v>
      </c>
      <c r="N1555" s="3">
        <v>0.18099999999999999</v>
      </c>
      <c r="O1555" t="s">
        <v>16</v>
      </c>
      <c r="Q1555">
        <v>1</v>
      </c>
      <c r="R1555">
        <v>0</v>
      </c>
      <c r="S1555" s="2">
        <v>5000</v>
      </c>
      <c r="T1555" s="4">
        <v>0.13900000000000001</v>
      </c>
      <c r="U1555">
        <v>7</v>
      </c>
      <c r="V1555">
        <v>0</v>
      </c>
      <c r="W1555">
        <v>1</v>
      </c>
    </row>
    <row r="1556" spans="1:23" ht="16.5" x14ac:dyDescent="0.3">
      <c r="A1556" t="s">
        <v>1615</v>
      </c>
      <c r="B1556" s="1">
        <v>45533</v>
      </c>
      <c r="C1556">
        <v>2024</v>
      </c>
      <c r="D1556" t="s">
        <v>1255</v>
      </c>
      <c r="E1556" t="s">
        <v>1415</v>
      </c>
      <c r="F1556" t="s">
        <v>26</v>
      </c>
      <c r="G1556" t="s">
        <v>51</v>
      </c>
      <c r="H1556" t="s">
        <v>38</v>
      </c>
      <c r="I1556" t="s">
        <v>42</v>
      </c>
      <c r="J1556" t="s">
        <v>52</v>
      </c>
      <c r="K1556" s="2">
        <v>3500</v>
      </c>
      <c r="L1556" s="2">
        <v>19500</v>
      </c>
      <c r="M1556">
        <v>48</v>
      </c>
      <c r="N1556" s="3">
        <v>0.251</v>
      </c>
      <c r="O1556" t="s">
        <v>16</v>
      </c>
      <c r="Q1556">
        <v>1</v>
      </c>
      <c r="R1556">
        <v>0</v>
      </c>
      <c r="S1556" s="2">
        <v>19500</v>
      </c>
      <c r="T1556" s="4">
        <v>7.7200000000000005E-2</v>
      </c>
      <c r="U1556">
        <v>7</v>
      </c>
      <c r="V1556">
        <v>0</v>
      </c>
      <c r="W1556">
        <v>1</v>
      </c>
    </row>
    <row r="1557" spans="1:23" ht="16.5" x14ac:dyDescent="0.3">
      <c r="A1557" t="s">
        <v>1616</v>
      </c>
      <c r="B1557" s="1">
        <v>45534</v>
      </c>
      <c r="C1557">
        <v>2024</v>
      </c>
      <c r="D1557" t="s">
        <v>1255</v>
      </c>
      <c r="E1557" t="s">
        <v>1415</v>
      </c>
      <c r="F1557" t="s">
        <v>41</v>
      </c>
      <c r="G1557" t="s">
        <v>51</v>
      </c>
      <c r="H1557" t="s">
        <v>38</v>
      </c>
      <c r="I1557" t="s">
        <v>42</v>
      </c>
      <c r="J1557" t="s">
        <v>30</v>
      </c>
      <c r="K1557" s="2">
        <v>5800</v>
      </c>
      <c r="L1557" s="2">
        <v>66000</v>
      </c>
      <c r="M1557">
        <v>24</v>
      </c>
      <c r="N1557" s="3">
        <v>0.754</v>
      </c>
      <c r="O1557" t="s">
        <v>17</v>
      </c>
      <c r="P1557" t="s">
        <v>31</v>
      </c>
      <c r="Q1557">
        <v>0</v>
      </c>
      <c r="R1557">
        <v>1</v>
      </c>
      <c r="S1557" s="2">
        <v>0</v>
      </c>
      <c r="T1557" s="4"/>
      <c r="U1557">
        <v>18</v>
      </c>
      <c r="V1557">
        <v>0</v>
      </c>
      <c r="W1557">
        <v>1</v>
      </c>
    </row>
    <row r="1558" spans="1:23" ht="16.5" x14ac:dyDescent="0.3">
      <c r="A1558" t="s">
        <v>1617</v>
      </c>
      <c r="B1558" s="1">
        <v>45534</v>
      </c>
      <c r="C1558">
        <v>2024</v>
      </c>
      <c r="D1558" t="s">
        <v>1255</v>
      </c>
      <c r="E1558" t="s">
        <v>1415</v>
      </c>
      <c r="F1558" t="s">
        <v>37</v>
      </c>
      <c r="G1558" t="s">
        <v>51</v>
      </c>
      <c r="H1558" t="s">
        <v>28</v>
      </c>
      <c r="I1558" t="s">
        <v>39</v>
      </c>
      <c r="J1558" t="s">
        <v>35</v>
      </c>
      <c r="K1558" s="2">
        <v>6450</v>
      </c>
      <c r="L1558" s="2">
        <v>18000</v>
      </c>
      <c r="M1558">
        <v>48</v>
      </c>
      <c r="N1558" s="3">
        <v>0.25600000000000001</v>
      </c>
      <c r="O1558" t="s">
        <v>16</v>
      </c>
      <c r="Q1558">
        <v>1</v>
      </c>
      <c r="R1558">
        <v>0</v>
      </c>
      <c r="S1558" s="2">
        <v>18000</v>
      </c>
      <c r="T1558" s="4">
        <v>0.12470000000000001</v>
      </c>
      <c r="U1558">
        <v>5</v>
      </c>
      <c r="V1558">
        <v>0</v>
      </c>
      <c r="W1558">
        <v>1</v>
      </c>
    </row>
    <row r="1559" spans="1:23" ht="16.5" x14ac:dyDescent="0.3">
      <c r="A1559" t="s">
        <v>1618</v>
      </c>
      <c r="B1559" s="1">
        <v>45534</v>
      </c>
      <c r="C1559">
        <v>2024</v>
      </c>
      <c r="D1559" t="s">
        <v>1255</v>
      </c>
      <c r="E1559" t="s">
        <v>1415</v>
      </c>
      <c r="F1559" t="s">
        <v>41</v>
      </c>
      <c r="G1559" t="s">
        <v>51</v>
      </c>
      <c r="H1559" t="s">
        <v>38</v>
      </c>
      <c r="I1559" t="s">
        <v>29</v>
      </c>
      <c r="J1559" t="s">
        <v>52</v>
      </c>
      <c r="K1559" s="2">
        <v>9150</v>
      </c>
      <c r="L1559" s="2">
        <v>152000</v>
      </c>
      <c r="M1559">
        <v>60</v>
      </c>
      <c r="N1559" s="3">
        <v>0.40799999999999997</v>
      </c>
      <c r="O1559" t="s">
        <v>16</v>
      </c>
      <c r="Q1559">
        <v>1</v>
      </c>
      <c r="R1559">
        <v>0</v>
      </c>
      <c r="S1559" s="2">
        <v>152000</v>
      </c>
      <c r="T1559" s="4">
        <v>9.4E-2</v>
      </c>
      <c r="U1559">
        <v>9</v>
      </c>
      <c r="V1559">
        <v>1</v>
      </c>
      <c r="W1559">
        <v>1</v>
      </c>
    </row>
    <row r="1560" spans="1:23" ht="16.5" x14ac:dyDescent="0.3">
      <c r="A1560" t="s">
        <v>1619</v>
      </c>
      <c r="B1560" s="1">
        <v>45535</v>
      </c>
      <c r="C1560">
        <v>2024</v>
      </c>
      <c r="D1560" t="s">
        <v>1255</v>
      </c>
      <c r="E1560" t="s">
        <v>1415</v>
      </c>
      <c r="F1560" t="s">
        <v>26</v>
      </c>
      <c r="G1560" t="s">
        <v>33</v>
      </c>
      <c r="H1560" t="s">
        <v>38</v>
      </c>
      <c r="I1560" t="s">
        <v>29</v>
      </c>
      <c r="J1560" t="s">
        <v>52</v>
      </c>
      <c r="K1560" s="2">
        <v>6050</v>
      </c>
      <c r="L1560" s="2">
        <v>28500</v>
      </c>
      <c r="M1560">
        <v>48</v>
      </c>
      <c r="N1560" s="3">
        <v>0.247</v>
      </c>
      <c r="O1560" t="s">
        <v>16</v>
      </c>
      <c r="Q1560">
        <v>1</v>
      </c>
      <c r="R1560">
        <v>0</v>
      </c>
      <c r="S1560" s="2">
        <v>28500</v>
      </c>
      <c r="T1560" s="4">
        <v>7.1900000000000006E-2</v>
      </c>
      <c r="U1560">
        <v>2</v>
      </c>
      <c r="V1560">
        <v>1</v>
      </c>
      <c r="W1560">
        <v>1</v>
      </c>
    </row>
    <row r="1561" spans="1:23" ht="16.5" x14ac:dyDescent="0.3">
      <c r="A1561" t="s">
        <v>1620</v>
      </c>
      <c r="B1561" s="1">
        <v>45535</v>
      </c>
      <c r="C1561">
        <v>2024</v>
      </c>
      <c r="D1561" t="s">
        <v>1255</v>
      </c>
      <c r="E1561" t="s">
        <v>1415</v>
      </c>
      <c r="F1561" t="s">
        <v>41</v>
      </c>
      <c r="G1561" t="s">
        <v>51</v>
      </c>
      <c r="H1561" t="s">
        <v>55</v>
      </c>
      <c r="I1561" t="s">
        <v>29</v>
      </c>
      <c r="J1561" t="s">
        <v>43</v>
      </c>
      <c r="K1561" s="2">
        <v>2050</v>
      </c>
      <c r="L1561" s="2">
        <v>157500</v>
      </c>
      <c r="M1561">
        <v>24</v>
      </c>
      <c r="N1561" s="3">
        <v>3.6829999999999998</v>
      </c>
      <c r="O1561" t="s">
        <v>17</v>
      </c>
      <c r="P1561" t="s">
        <v>31</v>
      </c>
      <c r="Q1561">
        <v>0</v>
      </c>
      <c r="R1561">
        <v>1</v>
      </c>
      <c r="S1561" s="2">
        <v>0</v>
      </c>
      <c r="T1561" s="4"/>
      <c r="U1561">
        <v>9</v>
      </c>
      <c r="V1561">
        <v>1</v>
      </c>
      <c r="W1561">
        <v>1</v>
      </c>
    </row>
    <row r="1562" spans="1:23" ht="16.5" x14ac:dyDescent="0.3">
      <c r="A1562" t="s">
        <v>1621</v>
      </c>
      <c r="B1562" s="1">
        <v>45535</v>
      </c>
      <c r="C1562">
        <v>2024</v>
      </c>
      <c r="D1562" t="s">
        <v>1255</v>
      </c>
      <c r="E1562" t="s">
        <v>1415</v>
      </c>
      <c r="F1562" t="s">
        <v>26</v>
      </c>
      <c r="G1562" t="s">
        <v>51</v>
      </c>
      <c r="H1562" t="s">
        <v>28</v>
      </c>
      <c r="I1562" t="s">
        <v>29</v>
      </c>
      <c r="J1562" t="s">
        <v>30</v>
      </c>
      <c r="K1562" s="2">
        <v>16500</v>
      </c>
      <c r="L1562" s="2">
        <v>38000</v>
      </c>
      <c r="M1562">
        <v>48</v>
      </c>
      <c r="N1562" s="3">
        <v>0.26500000000000001</v>
      </c>
      <c r="O1562" t="s">
        <v>16</v>
      </c>
      <c r="Q1562">
        <v>1</v>
      </c>
      <c r="R1562">
        <v>0</v>
      </c>
      <c r="S1562" s="2">
        <v>34000</v>
      </c>
      <c r="T1562" s="4">
        <v>9.4600000000000004E-2</v>
      </c>
      <c r="U1562">
        <v>6</v>
      </c>
      <c r="V1562">
        <v>0</v>
      </c>
      <c r="W1562">
        <v>1</v>
      </c>
    </row>
    <row r="1563" spans="1:23" ht="16.5" x14ac:dyDescent="0.3">
      <c r="A1563" t="s">
        <v>1622</v>
      </c>
      <c r="B1563" s="1">
        <v>45536</v>
      </c>
      <c r="C1563">
        <v>2024</v>
      </c>
      <c r="D1563" t="s">
        <v>1255</v>
      </c>
      <c r="E1563" t="s">
        <v>1623</v>
      </c>
      <c r="F1563" t="s">
        <v>26</v>
      </c>
      <c r="G1563" t="s">
        <v>51</v>
      </c>
      <c r="H1563" t="s">
        <v>55</v>
      </c>
      <c r="I1563" t="s">
        <v>42</v>
      </c>
      <c r="J1563" t="s">
        <v>35</v>
      </c>
      <c r="K1563" s="2">
        <v>4400</v>
      </c>
      <c r="L1563" s="2">
        <v>22000</v>
      </c>
      <c r="M1563">
        <v>48</v>
      </c>
      <c r="N1563" s="3">
        <v>0.23799999999999999</v>
      </c>
      <c r="O1563" t="s">
        <v>16</v>
      </c>
      <c r="Q1563">
        <v>1</v>
      </c>
      <c r="R1563">
        <v>0</v>
      </c>
      <c r="S1563" s="2">
        <v>22000</v>
      </c>
      <c r="T1563" s="4">
        <v>8.1699999999999995E-2</v>
      </c>
      <c r="U1563">
        <v>5</v>
      </c>
      <c r="V1563">
        <v>0</v>
      </c>
      <c r="W1563">
        <v>1</v>
      </c>
    </row>
    <row r="1564" spans="1:23" ht="16.5" x14ac:dyDescent="0.3">
      <c r="A1564" t="s">
        <v>1624</v>
      </c>
      <c r="B1564" s="1">
        <v>45536</v>
      </c>
      <c r="C1564">
        <v>2024</v>
      </c>
      <c r="D1564" t="s">
        <v>1255</v>
      </c>
      <c r="E1564" t="s">
        <v>1623</v>
      </c>
      <c r="F1564" t="s">
        <v>37</v>
      </c>
      <c r="G1564" t="s">
        <v>33</v>
      </c>
      <c r="H1564" t="s">
        <v>28</v>
      </c>
      <c r="I1564" t="s">
        <v>42</v>
      </c>
      <c r="J1564" t="s">
        <v>30</v>
      </c>
      <c r="K1564" s="2">
        <v>7200</v>
      </c>
      <c r="L1564" s="2">
        <v>11000</v>
      </c>
      <c r="M1564">
        <v>60</v>
      </c>
      <c r="N1564" s="3">
        <v>0.27700000000000002</v>
      </c>
      <c r="O1564" t="s">
        <v>16</v>
      </c>
      <c r="Q1564">
        <v>1</v>
      </c>
      <c r="R1564">
        <v>0</v>
      </c>
      <c r="S1564" s="2">
        <v>11000</v>
      </c>
      <c r="T1564" s="4">
        <v>0.14130000000000001</v>
      </c>
      <c r="U1564">
        <v>2</v>
      </c>
      <c r="V1564">
        <v>1</v>
      </c>
      <c r="W1564">
        <v>1</v>
      </c>
    </row>
    <row r="1565" spans="1:23" ht="16.5" x14ac:dyDescent="0.3">
      <c r="A1565" t="s">
        <v>1625</v>
      </c>
      <c r="B1565" s="1">
        <v>45536</v>
      </c>
      <c r="C1565">
        <v>2024</v>
      </c>
      <c r="D1565" t="s">
        <v>1255</v>
      </c>
      <c r="E1565" t="s">
        <v>1623</v>
      </c>
      <c r="F1565" t="s">
        <v>26</v>
      </c>
      <c r="G1565" t="s">
        <v>51</v>
      </c>
      <c r="H1565" t="s">
        <v>38</v>
      </c>
      <c r="I1565" t="s">
        <v>39</v>
      </c>
      <c r="J1565" t="s">
        <v>52</v>
      </c>
      <c r="K1565" s="2">
        <v>6150</v>
      </c>
      <c r="L1565" s="2">
        <v>42500</v>
      </c>
      <c r="M1565">
        <v>48</v>
      </c>
      <c r="N1565" s="3">
        <v>0.41199999999999998</v>
      </c>
      <c r="O1565" t="s">
        <v>16</v>
      </c>
      <c r="Q1565">
        <v>1</v>
      </c>
      <c r="R1565">
        <v>0</v>
      </c>
      <c r="S1565" s="2">
        <v>42500</v>
      </c>
      <c r="T1565" s="4">
        <v>7.46E-2</v>
      </c>
      <c r="U1565">
        <v>7</v>
      </c>
      <c r="V1565">
        <v>0</v>
      </c>
      <c r="W1565">
        <v>1</v>
      </c>
    </row>
    <row r="1566" spans="1:23" ht="16.5" x14ac:dyDescent="0.3">
      <c r="A1566" t="s">
        <v>1626</v>
      </c>
      <c r="B1566" s="1">
        <v>45536</v>
      </c>
      <c r="C1566">
        <v>2024</v>
      </c>
      <c r="D1566" t="s">
        <v>1255</v>
      </c>
      <c r="E1566" t="s">
        <v>1623</v>
      </c>
      <c r="F1566" t="s">
        <v>50</v>
      </c>
      <c r="G1566" t="s">
        <v>27</v>
      </c>
      <c r="H1566" t="s">
        <v>34</v>
      </c>
      <c r="I1566" t="s">
        <v>29</v>
      </c>
      <c r="J1566" t="s">
        <v>35</v>
      </c>
      <c r="K1566" s="2">
        <v>8700</v>
      </c>
      <c r="L1566" s="2">
        <v>189500</v>
      </c>
      <c r="M1566">
        <v>240</v>
      </c>
      <c r="N1566" s="3">
        <v>0.253</v>
      </c>
      <c r="O1566" t="s">
        <v>17</v>
      </c>
      <c r="P1566" t="s">
        <v>60</v>
      </c>
      <c r="Q1566">
        <v>0</v>
      </c>
      <c r="R1566">
        <v>1</v>
      </c>
      <c r="S1566" s="2">
        <v>0</v>
      </c>
      <c r="T1566" s="4"/>
      <c r="U1566">
        <v>27</v>
      </c>
      <c r="V1566">
        <v>0</v>
      </c>
      <c r="W1566">
        <v>1</v>
      </c>
    </row>
    <row r="1567" spans="1:23" ht="16.5" x14ac:dyDescent="0.3">
      <c r="A1567" t="s">
        <v>1627</v>
      </c>
      <c r="B1567" s="1">
        <v>45537</v>
      </c>
      <c r="C1567">
        <v>2024</v>
      </c>
      <c r="D1567" t="s">
        <v>1255</v>
      </c>
      <c r="E1567" t="s">
        <v>1623</v>
      </c>
      <c r="F1567" t="s">
        <v>37</v>
      </c>
      <c r="G1567" t="s">
        <v>51</v>
      </c>
      <c r="H1567" t="s">
        <v>34</v>
      </c>
      <c r="I1567" t="s">
        <v>29</v>
      </c>
      <c r="J1567" t="s">
        <v>46</v>
      </c>
      <c r="K1567" s="2">
        <v>3900</v>
      </c>
      <c r="L1567" s="2">
        <v>12000</v>
      </c>
      <c r="M1567">
        <v>36</v>
      </c>
      <c r="N1567" s="3">
        <v>0.222</v>
      </c>
      <c r="O1567" t="s">
        <v>16</v>
      </c>
      <c r="Q1567">
        <v>1</v>
      </c>
      <c r="R1567">
        <v>0</v>
      </c>
      <c r="S1567" s="2">
        <v>12000</v>
      </c>
      <c r="T1567" s="4">
        <v>0.1099</v>
      </c>
      <c r="U1567">
        <v>5</v>
      </c>
      <c r="V1567">
        <v>0</v>
      </c>
      <c r="W1567">
        <v>1</v>
      </c>
    </row>
    <row r="1568" spans="1:23" ht="16.5" x14ac:dyDescent="0.3">
      <c r="A1568" t="s">
        <v>1628</v>
      </c>
      <c r="B1568" s="1">
        <v>45537</v>
      </c>
      <c r="C1568">
        <v>2024</v>
      </c>
      <c r="D1568" t="s">
        <v>1255</v>
      </c>
      <c r="E1568" t="s">
        <v>1623</v>
      </c>
      <c r="F1568" t="s">
        <v>37</v>
      </c>
      <c r="G1568" t="s">
        <v>51</v>
      </c>
      <c r="H1568" t="s">
        <v>64</v>
      </c>
      <c r="I1568" t="s">
        <v>29</v>
      </c>
      <c r="J1568" t="s">
        <v>35</v>
      </c>
      <c r="K1568" s="2">
        <v>10500</v>
      </c>
      <c r="L1568" s="2">
        <v>13000</v>
      </c>
      <c r="M1568">
        <v>24</v>
      </c>
      <c r="N1568" s="3">
        <v>0.20899999999999999</v>
      </c>
      <c r="O1568" t="s">
        <v>16</v>
      </c>
      <c r="Q1568">
        <v>1</v>
      </c>
      <c r="R1568">
        <v>0</v>
      </c>
      <c r="S1568" s="2">
        <v>13000</v>
      </c>
      <c r="T1568" s="4">
        <v>0.12429999999999999</v>
      </c>
      <c r="U1568">
        <v>4</v>
      </c>
      <c r="V1568">
        <v>0</v>
      </c>
      <c r="W1568">
        <v>1</v>
      </c>
    </row>
    <row r="1569" spans="1:23" ht="16.5" x14ac:dyDescent="0.3">
      <c r="A1569" t="s">
        <v>1629</v>
      </c>
      <c r="B1569" s="1">
        <v>45537</v>
      </c>
      <c r="C1569">
        <v>2024</v>
      </c>
      <c r="D1569" t="s">
        <v>1255</v>
      </c>
      <c r="E1569" t="s">
        <v>1623</v>
      </c>
      <c r="F1569" t="s">
        <v>41</v>
      </c>
      <c r="G1569" t="s">
        <v>51</v>
      </c>
      <c r="H1569" t="s">
        <v>64</v>
      </c>
      <c r="I1569" t="s">
        <v>29</v>
      </c>
      <c r="J1569" t="s">
        <v>35</v>
      </c>
      <c r="K1569" s="2">
        <v>4300</v>
      </c>
      <c r="L1569" s="2">
        <v>87500</v>
      </c>
      <c r="M1569">
        <v>24</v>
      </c>
      <c r="N1569" s="3">
        <v>1.117</v>
      </c>
      <c r="O1569" t="s">
        <v>17</v>
      </c>
      <c r="P1569" t="s">
        <v>53</v>
      </c>
      <c r="Q1569">
        <v>0</v>
      </c>
      <c r="R1569">
        <v>1</v>
      </c>
      <c r="S1569" s="2">
        <v>0</v>
      </c>
      <c r="T1569" s="4"/>
      <c r="U1569">
        <v>13</v>
      </c>
      <c r="V1569">
        <v>0</v>
      </c>
      <c r="W1569">
        <v>1</v>
      </c>
    </row>
    <row r="1570" spans="1:23" ht="16.5" x14ac:dyDescent="0.3">
      <c r="A1570" t="s">
        <v>1630</v>
      </c>
      <c r="B1570" s="1">
        <v>45537</v>
      </c>
      <c r="C1570">
        <v>2024</v>
      </c>
      <c r="D1570" t="s">
        <v>1255</v>
      </c>
      <c r="E1570" t="s">
        <v>1623</v>
      </c>
      <c r="F1570" t="s">
        <v>50</v>
      </c>
      <c r="G1570" t="s">
        <v>27</v>
      </c>
      <c r="H1570" t="s">
        <v>38</v>
      </c>
      <c r="I1570" t="s">
        <v>39</v>
      </c>
      <c r="J1570" t="s">
        <v>35</v>
      </c>
      <c r="K1570" s="2">
        <v>4950</v>
      </c>
      <c r="L1570" s="2">
        <v>362500</v>
      </c>
      <c r="M1570">
        <v>300</v>
      </c>
      <c r="N1570" s="3">
        <v>0.53900000000000003</v>
      </c>
      <c r="O1570" t="s">
        <v>16</v>
      </c>
      <c r="Q1570">
        <v>1</v>
      </c>
      <c r="R1570">
        <v>0</v>
      </c>
      <c r="S1570" s="2">
        <v>326000</v>
      </c>
      <c r="T1570" s="4">
        <v>5.3400000000000003E-2</v>
      </c>
      <c r="U1570">
        <v>9</v>
      </c>
      <c r="V1570">
        <v>1</v>
      </c>
      <c r="W1570">
        <v>1</v>
      </c>
    </row>
    <row r="1571" spans="1:23" ht="16.5" x14ac:dyDescent="0.3">
      <c r="A1571" t="s">
        <v>1631</v>
      </c>
      <c r="B1571" s="1">
        <v>45537</v>
      </c>
      <c r="C1571">
        <v>2024</v>
      </c>
      <c r="D1571" t="s">
        <v>1255</v>
      </c>
      <c r="E1571" t="s">
        <v>1623</v>
      </c>
      <c r="F1571" t="s">
        <v>26</v>
      </c>
      <c r="G1571" t="s">
        <v>45</v>
      </c>
      <c r="H1571" t="s">
        <v>55</v>
      </c>
      <c r="I1571" t="s">
        <v>39</v>
      </c>
      <c r="J1571" t="s">
        <v>52</v>
      </c>
      <c r="K1571" s="2">
        <v>2400</v>
      </c>
      <c r="L1571" s="2">
        <v>21000</v>
      </c>
      <c r="M1571">
        <v>60</v>
      </c>
      <c r="N1571" s="3">
        <v>0.36299999999999999</v>
      </c>
      <c r="O1571" t="s">
        <v>16</v>
      </c>
      <c r="Q1571">
        <v>1</v>
      </c>
      <c r="R1571">
        <v>0</v>
      </c>
      <c r="S1571" s="2">
        <v>19000</v>
      </c>
      <c r="T1571" s="4">
        <v>6.88E-2</v>
      </c>
      <c r="U1571">
        <v>3</v>
      </c>
      <c r="V1571">
        <v>1</v>
      </c>
      <c r="W1571">
        <v>1</v>
      </c>
    </row>
    <row r="1572" spans="1:23" ht="16.5" x14ac:dyDescent="0.3">
      <c r="A1572" t="s">
        <v>1632</v>
      </c>
      <c r="B1572" s="1">
        <v>45537</v>
      </c>
      <c r="C1572">
        <v>2024</v>
      </c>
      <c r="D1572" t="s">
        <v>1255</v>
      </c>
      <c r="E1572" t="s">
        <v>1623</v>
      </c>
      <c r="F1572" t="s">
        <v>37</v>
      </c>
      <c r="G1572" t="s">
        <v>51</v>
      </c>
      <c r="H1572" t="s">
        <v>55</v>
      </c>
      <c r="I1572" t="s">
        <v>29</v>
      </c>
      <c r="J1572" t="s">
        <v>43</v>
      </c>
      <c r="K1572" s="2">
        <v>2850</v>
      </c>
      <c r="L1572" s="2">
        <v>16500</v>
      </c>
      <c r="M1572">
        <v>60</v>
      </c>
      <c r="N1572" s="3">
        <v>0.27700000000000002</v>
      </c>
      <c r="O1572" t="s">
        <v>17</v>
      </c>
      <c r="P1572" t="s">
        <v>31</v>
      </c>
      <c r="Q1572">
        <v>0</v>
      </c>
      <c r="R1572">
        <v>1</v>
      </c>
      <c r="S1572" s="2">
        <v>0</v>
      </c>
      <c r="T1572" s="4"/>
      <c r="U1572">
        <v>6</v>
      </c>
      <c r="V1572">
        <v>0</v>
      </c>
      <c r="W1572">
        <v>1</v>
      </c>
    </row>
    <row r="1573" spans="1:23" ht="16.5" x14ac:dyDescent="0.3">
      <c r="A1573" t="s">
        <v>1633</v>
      </c>
      <c r="B1573" s="1">
        <v>45537</v>
      </c>
      <c r="C1573">
        <v>2024</v>
      </c>
      <c r="D1573" t="s">
        <v>1255</v>
      </c>
      <c r="E1573" t="s">
        <v>1623</v>
      </c>
      <c r="F1573" t="s">
        <v>50</v>
      </c>
      <c r="G1573" t="s">
        <v>45</v>
      </c>
      <c r="H1573" t="s">
        <v>34</v>
      </c>
      <c r="I1573" t="s">
        <v>42</v>
      </c>
      <c r="J1573" t="s">
        <v>52</v>
      </c>
      <c r="K1573" s="2">
        <v>5350</v>
      </c>
      <c r="L1573" s="2">
        <v>282000</v>
      </c>
      <c r="M1573">
        <v>180</v>
      </c>
      <c r="N1573" s="3">
        <v>0.61699999999999999</v>
      </c>
      <c r="O1573" t="s">
        <v>16</v>
      </c>
      <c r="Q1573">
        <v>1</v>
      </c>
      <c r="R1573">
        <v>0</v>
      </c>
      <c r="S1573" s="2">
        <v>225500</v>
      </c>
      <c r="T1573" s="4">
        <v>4.9399999999999999E-2</v>
      </c>
      <c r="U1573">
        <v>9</v>
      </c>
      <c r="V1573">
        <v>1</v>
      </c>
      <c r="W1573">
        <v>1</v>
      </c>
    </row>
    <row r="1574" spans="1:23" ht="16.5" x14ac:dyDescent="0.3">
      <c r="A1574" t="s">
        <v>1634</v>
      </c>
      <c r="B1574" s="1">
        <v>45537</v>
      </c>
      <c r="C1574">
        <v>2024</v>
      </c>
      <c r="D1574" t="s">
        <v>1255</v>
      </c>
      <c r="E1574" t="s">
        <v>1623</v>
      </c>
      <c r="F1574" t="s">
        <v>37</v>
      </c>
      <c r="G1574" t="s">
        <v>51</v>
      </c>
      <c r="H1574" t="s">
        <v>38</v>
      </c>
      <c r="I1574" t="s">
        <v>39</v>
      </c>
      <c r="J1574" t="s">
        <v>30</v>
      </c>
      <c r="K1574" s="2">
        <v>8600</v>
      </c>
      <c r="L1574" s="2">
        <v>7500</v>
      </c>
      <c r="M1574">
        <v>36</v>
      </c>
      <c r="N1574" s="3">
        <v>0.185</v>
      </c>
      <c r="O1574" t="s">
        <v>17</v>
      </c>
      <c r="P1574" t="s">
        <v>48</v>
      </c>
      <c r="Q1574">
        <v>0</v>
      </c>
      <c r="R1574">
        <v>1</v>
      </c>
      <c r="S1574" s="2">
        <v>0</v>
      </c>
      <c r="T1574" s="4"/>
      <c r="U1574">
        <v>8</v>
      </c>
      <c r="V1574">
        <v>0</v>
      </c>
      <c r="W1574">
        <v>1</v>
      </c>
    </row>
    <row r="1575" spans="1:23" ht="16.5" x14ac:dyDescent="0.3">
      <c r="A1575" t="s">
        <v>1635</v>
      </c>
      <c r="B1575" s="1">
        <v>45538</v>
      </c>
      <c r="C1575">
        <v>2024</v>
      </c>
      <c r="D1575" t="s">
        <v>1255</v>
      </c>
      <c r="E1575" t="s">
        <v>1623</v>
      </c>
      <c r="F1575" t="s">
        <v>37</v>
      </c>
      <c r="G1575" t="s">
        <v>33</v>
      </c>
      <c r="H1575" t="s">
        <v>38</v>
      </c>
      <c r="I1575" t="s">
        <v>39</v>
      </c>
      <c r="J1575" t="s">
        <v>52</v>
      </c>
      <c r="K1575" s="2">
        <v>11800</v>
      </c>
      <c r="L1575" s="2">
        <v>9000</v>
      </c>
      <c r="M1575">
        <v>60</v>
      </c>
      <c r="N1575" s="3">
        <v>0.113</v>
      </c>
      <c r="O1575" t="s">
        <v>16</v>
      </c>
      <c r="Q1575">
        <v>1</v>
      </c>
      <c r="R1575">
        <v>0</v>
      </c>
      <c r="S1575" s="2">
        <v>9000</v>
      </c>
      <c r="T1575" s="4">
        <v>0.1123</v>
      </c>
      <c r="U1575">
        <v>1</v>
      </c>
      <c r="V1575">
        <v>1</v>
      </c>
      <c r="W1575">
        <v>1</v>
      </c>
    </row>
    <row r="1576" spans="1:23" ht="16.5" x14ac:dyDescent="0.3">
      <c r="A1576" t="s">
        <v>1636</v>
      </c>
      <c r="B1576" s="1">
        <v>45538</v>
      </c>
      <c r="C1576">
        <v>2024</v>
      </c>
      <c r="D1576" t="s">
        <v>1255</v>
      </c>
      <c r="E1576" t="s">
        <v>1623</v>
      </c>
      <c r="F1576" t="s">
        <v>37</v>
      </c>
      <c r="G1576" t="s">
        <v>45</v>
      </c>
      <c r="H1576" t="s">
        <v>64</v>
      </c>
      <c r="I1576" t="s">
        <v>42</v>
      </c>
      <c r="J1576" t="s">
        <v>35</v>
      </c>
      <c r="K1576" s="2">
        <v>3950</v>
      </c>
      <c r="L1576" s="2">
        <v>12000</v>
      </c>
      <c r="M1576">
        <v>24</v>
      </c>
      <c r="N1576" s="3">
        <v>0.28399999999999997</v>
      </c>
      <c r="O1576" t="s">
        <v>16</v>
      </c>
      <c r="Q1576">
        <v>1</v>
      </c>
      <c r="R1576">
        <v>0</v>
      </c>
      <c r="S1576" s="2">
        <v>12000</v>
      </c>
      <c r="T1576" s="4">
        <v>0.13009999999999999</v>
      </c>
      <c r="U1576">
        <v>4</v>
      </c>
      <c r="V1576">
        <v>0</v>
      </c>
      <c r="W1576">
        <v>1</v>
      </c>
    </row>
    <row r="1577" spans="1:23" ht="16.5" x14ac:dyDescent="0.3">
      <c r="A1577" t="s">
        <v>1637</v>
      </c>
      <c r="B1577" s="1">
        <v>45538</v>
      </c>
      <c r="C1577">
        <v>2024</v>
      </c>
      <c r="D1577" t="s">
        <v>1255</v>
      </c>
      <c r="E1577" t="s">
        <v>1623</v>
      </c>
      <c r="F1577" t="s">
        <v>41</v>
      </c>
      <c r="G1577" t="s">
        <v>45</v>
      </c>
      <c r="H1577" t="s">
        <v>34</v>
      </c>
      <c r="I1577" t="s">
        <v>39</v>
      </c>
      <c r="J1577" t="s">
        <v>35</v>
      </c>
      <c r="K1577" s="2">
        <v>5800</v>
      </c>
      <c r="L1577" s="2">
        <v>57000</v>
      </c>
      <c r="M1577">
        <v>24</v>
      </c>
      <c r="N1577" s="3">
        <v>0.69099999999999995</v>
      </c>
      <c r="O1577" t="s">
        <v>125</v>
      </c>
      <c r="Q1577">
        <v>0</v>
      </c>
      <c r="R1577">
        <v>0</v>
      </c>
      <c r="S1577" s="2">
        <v>0</v>
      </c>
      <c r="T1577" s="4"/>
      <c r="U1577">
        <v>8</v>
      </c>
      <c r="V1577">
        <v>1</v>
      </c>
      <c r="W1577">
        <v>1</v>
      </c>
    </row>
    <row r="1578" spans="1:23" ht="16.5" x14ac:dyDescent="0.3">
      <c r="A1578" t="s">
        <v>1638</v>
      </c>
      <c r="B1578" s="1">
        <v>45538</v>
      </c>
      <c r="C1578">
        <v>2024</v>
      </c>
      <c r="D1578" t="s">
        <v>1255</v>
      </c>
      <c r="E1578" t="s">
        <v>1623</v>
      </c>
      <c r="F1578" t="s">
        <v>26</v>
      </c>
      <c r="G1578" t="s">
        <v>33</v>
      </c>
      <c r="H1578" t="s">
        <v>55</v>
      </c>
      <c r="I1578" t="s">
        <v>39</v>
      </c>
      <c r="J1578" t="s">
        <v>52</v>
      </c>
      <c r="K1578" s="2">
        <v>4700</v>
      </c>
      <c r="L1578" s="2">
        <v>22500</v>
      </c>
      <c r="M1578">
        <v>48</v>
      </c>
      <c r="N1578" s="3">
        <v>0.29699999999999999</v>
      </c>
      <c r="O1578" t="s">
        <v>16</v>
      </c>
      <c r="Q1578">
        <v>1</v>
      </c>
      <c r="R1578">
        <v>0</v>
      </c>
      <c r="S1578" s="2">
        <v>22500</v>
      </c>
      <c r="T1578" s="4">
        <v>7.2999999999999995E-2</v>
      </c>
      <c r="U1578">
        <v>3</v>
      </c>
      <c r="V1578">
        <v>1</v>
      </c>
      <c r="W1578">
        <v>1</v>
      </c>
    </row>
    <row r="1579" spans="1:23" ht="16.5" x14ac:dyDescent="0.3">
      <c r="A1579" t="s">
        <v>1639</v>
      </c>
      <c r="B1579" s="1">
        <v>45538</v>
      </c>
      <c r="C1579">
        <v>2024</v>
      </c>
      <c r="D1579" t="s">
        <v>1255</v>
      </c>
      <c r="E1579" t="s">
        <v>1623</v>
      </c>
      <c r="F1579" t="s">
        <v>26</v>
      </c>
      <c r="G1579" t="s">
        <v>45</v>
      </c>
      <c r="H1579" t="s">
        <v>34</v>
      </c>
      <c r="I1579" t="s">
        <v>29</v>
      </c>
      <c r="J1579" t="s">
        <v>30</v>
      </c>
      <c r="K1579" s="2">
        <v>7250</v>
      </c>
      <c r="L1579" s="2">
        <v>12000</v>
      </c>
      <c r="M1579">
        <v>48</v>
      </c>
      <c r="N1579" s="3">
        <v>0.251</v>
      </c>
      <c r="O1579" t="s">
        <v>16</v>
      </c>
      <c r="Q1579">
        <v>1</v>
      </c>
      <c r="R1579">
        <v>0</v>
      </c>
      <c r="S1579" s="2">
        <v>12000</v>
      </c>
      <c r="T1579" s="4">
        <v>9.9299999999999999E-2</v>
      </c>
      <c r="U1579">
        <v>5</v>
      </c>
      <c r="V1579">
        <v>0</v>
      </c>
      <c r="W1579">
        <v>1</v>
      </c>
    </row>
    <row r="1580" spans="1:23" ht="16.5" x14ac:dyDescent="0.3">
      <c r="A1580" t="s">
        <v>1640</v>
      </c>
      <c r="B1580" s="1">
        <v>45538</v>
      </c>
      <c r="C1580">
        <v>2024</v>
      </c>
      <c r="D1580" t="s">
        <v>1255</v>
      </c>
      <c r="E1580" t="s">
        <v>1623</v>
      </c>
      <c r="F1580" t="s">
        <v>41</v>
      </c>
      <c r="G1580" t="s">
        <v>27</v>
      </c>
      <c r="H1580" t="s">
        <v>55</v>
      </c>
      <c r="I1580" t="s">
        <v>29</v>
      </c>
      <c r="J1580" t="s">
        <v>35</v>
      </c>
      <c r="K1580" s="2">
        <v>6050</v>
      </c>
      <c r="L1580" s="2">
        <v>234500</v>
      </c>
      <c r="M1580">
        <v>36</v>
      </c>
      <c r="N1580" s="3">
        <v>1.431</v>
      </c>
      <c r="O1580" t="s">
        <v>17</v>
      </c>
      <c r="P1580" t="s">
        <v>53</v>
      </c>
      <c r="Q1580">
        <v>0</v>
      </c>
      <c r="R1580">
        <v>1</v>
      </c>
      <c r="S1580" s="2">
        <v>0</v>
      </c>
      <c r="T1580" s="4"/>
      <c r="U1580">
        <v>7</v>
      </c>
      <c r="V1580">
        <v>1</v>
      </c>
      <c r="W1580">
        <v>1</v>
      </c>
    </row>
    <row r="1581" spans="1:23" ht="16.5" x14ac:dyDescent="0.3">
      <c r="A1581" t="s">
        <v>1641</v>
      </c>
      <c r="B1581" s="1">
        <v>45539</v>
      </c>
      <c r="C1581">
        <v>2024</v>
      </c>
      <c r="D1581" t="s">
        <v>1255</v>
      </c>
      <c r="E1581" t="s">
        <v>1623</v>
      </c>
      <c r="F1581" t="s">
        <v>41</v>
      </c>
      <c r="G1581" t="s">
        <v>33</v>
      </c>
      <c r="H1581" t="s">
        <v>34</v>
      </c>
      <c r="I1581" t="s">
        <v>39</v>
      </c>
      <c r="J1581" t="s">
        <v>35</v>
      </c>
      <c r="K1581" s="2">
        <v>4950</v>
      </c>
      <c r="L1581" s="2">
        <v>127500</v>
      </c>
      <c r="M1581">
        <v>36</v>
      </c>
      <c r="N1581" s="3">
        <v>1.0169999999999999</v>
      </c>
      <c r="O1581" t="s">
        <v>16</v>
      </c>
      <c r="Q1581">
        <v>1</v>
      </c>
      <c r="R1581">
        <v>0</v>
      </c>
      <c r="S1581" s="2">
        <v>127500</v>
      </c>
      <c r="T1581" s="4">
        <v>0.10929999999999999</v>
      </c>
      <c r="U1581">
        <v>10</v>
      </c>
      <c r="V1581">
        <v>1</v>
      </c>
      <c r="W1581">
        <v>1</v>
      </c>
    </row>
    <row r="1582" spans="1:23" ht="16.5" x14ac:dyDescent="0.3">
      <c r="A1582" t="s">
        <v>1642</v>
      </c>
      <c r="B1582" s="1">
        <v>45539</v>
      </c>
      <c r="C1582">
        <v>2024</v>
      </c>
      <c r="D1582" t="s">
        <v>1255</v>
      </c>
      <c r="E1582" t="s">
        <v>1623</v>
      </c>
      <c r="F1582" t="s">
        <v>37</v>
      </c>
      <c r="G1582" t="s">
        <v>45</v>
      </c>
      <c r="H1582" t="s">
        <v>55</v>
      </c>
      <c r="I1582" t="s">
        <v>29</v>
      </c>
      <c r="J1582" t="s">
        <v>43</v>
      </c>
      <c r="K1582" s="2">
        <v>6650</v>
      </c>
      <c r="L1582" s="2">
        <v>11500</v>
      </c>
      <c r="M1582">
        <v>36</v>
      </c>
      <c r="N1582" s="3">
        <v>0.254</v>
      </c>
      <c r="O1582" t="s">
        <v>17</v>
      </c>
      <c r="P1582" t="s">
        <v>31</v>
      </c>
      <c r="Q1582">
        <v>0</v>
      </c>
      <c r="R1582">
        <v>1</v>
      </c>
      <c r="S1582" s="2">
        <v>0</v>
      </c>
      <c r="T1582" s="4"/>
      <c r="U1582">
        <v>2</v>
      </c>
      <c r="V1582">
        <v>1</v>
      </c>
      <c r="W1582">
        <v>1</v>
      </c>
    </row>
    <row r="1583" spans="1:23" ht="16.5" x14ac:dyDescent="0.3">
      <c r="A1583" t="s">
        <v>1643</v>
      </c>
      <c r="B1583" s="1">
        <v>45539</v>
      </c>
      <c r="C1583">
        <v>2024</v>
      </c>
      <c r="D1583" t="s">
        <v>1255</v>
      </c>
      <c r="E1583" t="s">
        <v>1623</v>
      </c>
      <c r="F1583" t="s">
        <v>26</v>
      </c>
      <c r="G1583" t="s">
        <v>27</v>
      </c>
      <c r="H1583" t="s">
        <v>34</v>
      </c>
      <c r="I1583" t="s">
        <v>29</v>
      </c>
      <c r="J1583" t="s">
        <v>30</v>
      </c>
      <c r="K1583" s="2">
        <v>4750</v>
      </c>
      <c r="L1583" s="2">
        <v>45500</v>
      </c>
      <c r="M1583">
        <v>48</v>
      </c>
      <c r="N1583" s="3">
        <v>0.43099999999999999</v>
      </c>
      <c r="O1583" t="s">
        <v>17</v>
      </c>
      <c r="P1583" t="s">
        <v>31</v>
      </c>
      <c r="Q1583">
        <v>0</v>
      </c>
      <c r="R1583">
        <v>1</v>
      </c>
      <c r="S1583" s="2">
        <v>0</v>
      </c>
      <c r="T1583" s="4"/>
      <c r="U1583">
        <v>7</v>
      </c>
      <c r="V1583">
        <v>0</v>
      </c>
      <c r="W1583">
        <v>1</v>
      </c>
    </row>
    <row r="1584" spans="1:23" ht="16.5" x14ac:dyDescent="0.3">
      <c r="A1584" t="s">
        <v>1644</v>
      </c>
      <c r="B1584" s="1">
        <v>45539</v>
      </c>
      <c r="C1584">
        <v>2024</v>
      </c>
      <c r="D1584" t="s">
        <v>1255</v>
      </c>
      <c r="E1584" t="s">
        <v>1623</v>
      </c>
      <c r="F1584" t="s">
        <v>50</v>
      </c>
      <c r="G1584" t="s">
        <v>27</v>
      </c>
      <c r="H1584" t="s">
        <v>34</v>
      </c>
      <c r="I1584" t="s">
        <v>29</v>
      </c>
      <c r="J1584" t="s">
        <v>52</v>
      </c>
      <c r="K1584" s="2">
        <v>5500</v>
      </c>
      <c r="L1584" s="2">
        <v>747000</v>
      </c>
      <c r="M1584">
        <v>240</v>
      </c>
      <c r="N1584" s="3">
        <v>1.0289999999999999</v>
      </c>
      <c r="O1584" t="s">
        <v>17</v>
      </c>
      <c r="P1584" t="s">
        <v>53</v>
      </c>
      <c r="Q1584">
        <v>0</v>
      </c>
      <c r="R1584">
        <v>1</v>
      </c>
      <c r="S1584" s="2">
        <v>0</v>
      </c>
      <c r="T1584" s="4"/>
      <c r="U1584">
        <v>15</v>
      </c>
      <c r="V1584">
        <v>1</v>
      </c>
      <c r="W1584">
        <v>1</v>
      </c>
    </row>
    <row r="1585" spans="1:23" ht="16.5" x14ac:dyDescent="0.3">
      <c r="A1585" t="s">
        <v>1645</v>
      </c>
      <c r="B1585" s="1">
        <v>45539</v>
      </c>
      <c r="C1585">
        <v>2024</v>
      </c>
      <c r="D1585" t="s">
        <v>1255</v>
      </c>
      <c r="E1585" t="s">
        <v>1623</v>
      </c>
      <c r="F1585" t="s">
        <v>26</v>
      </c>
      <c r="G1585" t="s">
        <v>33</v>
      </c>
      <c r="H1585" t="s">
        <v>64</v>
      </c>
      <c r="I1585" t="s">
        <v>29</v>
      </c>
      <c r="J1585" t="s">
        <v>30</v>
      </c>
      <c r="K1585" s="2">
        <v>10900</v>
      </c>
      <c r="L1585" s="2">
        <v>37000</v>
      </c>
      <c r="M1585">
        <v>48</v>
      </c>
      <c r="N1585" s="3">
        <v>0.157</v>
      </c>
      <c r="O1585" t="s">
        <v>16</v>
      </c>
      <c r="Q1585">
        <v>1</v>
      </c>
      <c r="R1585">
        <v>0</v>
      </c>
      <c r="S1585" s="2">
        <v>37000</v>
      </c>
      <c r="T1585" s="4">
        <v>9.74E-2</v>
      </c>
      <c r="U1585">
        <v>2</v>
      </c>
      <c r="V1585">
        <v>1</v>
      </c>
      <c r="W1585">
        <v>1</v>
      </c>
    </row>
    <row r="1586" spans="1:23" ht="16.5" x14ac:dyDescent="0.3">
      <c r="A1586" t="s">
        <v>1646</v>
      </c>
      <c r="B1586" s="1">
        <v>45539</v>
      </c>
      <c r="C1586">
        <v>2024</v>
      </c>
      <c r="D1586" t="s">
        <v>1255</v>
      </c>
      <c r="E1586" t="s">
        <v>1623</v>
      </c>
      <c r="F1586" t="s">
        <v>26</v>
      </c>
      <c r="G1586" t="s">
        <v>27</v>
      </c>
      <c r="H1586" t="s">
        <v>38</v>
      </c>
      <c r="I1586" t="s">
        <v>29</v>
      </c>
      <c r="J1586" t="s">
        <v>46</v>
      </c>
      <c r="K1586" s="2">
        <v>3150</v>
      </c>
      <c r="L1586" s="2">
        <v>45500</v>
      </c>
      <c r="M1586">
        <v>36</v>
      </c>
      <c r="N1586" s="3">
        <v>0.55700000000000005</v>
      </c>
      <c r="O1586" t="s">
        <v>17</v>
      </c>
      <c r="P1586" t="s">
        <v>60</v>
      </c>
      <c r="Q1586">
        <v>0</v>
      </c>
      <c r="R1586">
        <v>1</v>
      </c>
      <c r="S1586" s="2">
        <v>0</v>
      </c>
      <c r="T1586" s="4"/>
      <c r="U1586">
        <v>8</v>
      </c>
      <c r="V1586">
        <v>0</v>
      </c>
      <c r="W1586">
        <v>1</v>
      </c>
    </row>
    <row r="1587" spans="1:23" ht="16.5" x14ac:dyDescent="0.3">
      <c r="A1587" t="s">
        <v>1647</v>
      </c>
      <c r="B1587" s="1">
        <v>45540</v>
      </c>
      <c r="C1587">
        <v>2024</v>
      </c>
      <c r="D1587" t="s">
        <v>1255</v>
      </c>
      <c r="E1587" t="s">
        <v>1623</v>
      </c>
      <c r="F1587" t="s">
        <v>26</v>
      </c>
      <c r="G1587" t="s">
        <v>33</v>
      </c>
      <c r="H1587" t="s">
        <v>34</v>
      </c>
      <c r="I1587" t="s">
        <v>39</v>
      </c>
      <c r="J1587" t="s">
        <v>30</v>
      </c>
      <c r="K1587" s="2">
        <v>5000</v>
      </c>
      <c r="L1587" s="2">
        <v>23500</v>
      </c>
      <c r="M1587">
        <v>48</v>
      </c>
      <c r="N1587" s="3">
        <v>0.34</v>
      </c>
      <c r="O1587" t="s">
        <v>16</v>
      </c>
      <c r="Q1587">
        <v>1</v>
      </c>
      <c r="R1587">
        <v>0</v>
      </c>
      <c r="S1587" s="2">
        <v>21000</v>
      </c>
      <c r="T1587" s="4">
        <v>9.9900000000000003E-2</v>
      </c>
      <c r="U1587">
        <v>2</v>
      </c>
      <c r="V1587">
        <v>1</v>
      </c>
      <c r="W1587">
        <v>1</v>
      </c>
    </row>
    <row r="1588" spans="1:23" ht="16.5" x14ac:dyDescent="0.3">
      <c r="A1588" t="s">
        <v>1648</v>
      </c>
      <c r="B1588" s="1">
        <v>45540</v>
      </c>
      <c r="C1588">
        <v>2024</v>
      </c>
      <c r="D1588" t="s">
        <v>1255</v>
      </c>
      <c r="E1588" t="s">
        <v>1623</v>
      </c>
      <c r="F1588" t="s">
        <v>37</v>
      </c>
      <c r="G1588" t="s">
        <v>45</v>
      </c>
      <c r="H1588" t="s">
        <v>55</v>
      </c>
      <c r="I1588" t="s">
        <v>29</v>
      </c>
      <c r="J1588" t="s">
        <v>30</v>
      </c>
      <c r="K1588" s="2">
        <v>4500</v>
      </c>
      <c r="L1588" s="2">
        <v>7500</v>
      </c>
      <c r="M1588">
        <v>48</v>
      </c>
      <c r="N1588" s="3">
        <v>0.26500000000000001</v>
      </c>
      <c r="O1588" t="s">
        <v>17</v>
      </c>
      <c r="P1588" t="s">
        <v>31</v>
      </c>
      <c r="Q1588">
        <v>0</v>
      </c>
      <c r="R1588">
        <v>1</v>
      </c>
      <c r="S1588" s="2">
        <v>0</v>
      </c>
      <c r="T1588" s="4"/>
      <c r="U1588">
        <v>2</v>
      </c>
      <c r="V1588">
        <v>1</v>
      </c>
      <c r="W1588">
        <v>1</v>
      </c>
    </row>
    <row r="1589" spans="1:23" ht="16.5" x14ac:dyDescent="0.3">
      <c r="A1589" t="s">
        <v>1649</v>
      </c>
      <c r="B1589" s="1">
        <v>45540</v>
      </c>
      <c r="C1589">
        <v>2024</v>
      </c>
      <c r="D1589" t="s">
        <v>1255</v>
      </c>
      <c r="E1589" t="s">
        <v>1623</v>
      </c>
      <c r="F1589" t="s">
        <v>41</v>
      </c>
      <c r="G1589" t="s">
        <v>33</v>
      </c>
      <c r="H1589" t="s">
        <v>64</v>
      </c>
      <c r="I1589" t="s">
        <v>29</v>
      </c>
      <c r="J1589" t="s">
        <v>30</v>
      </c>
      <c r="K1589" s="2">
        <v>2750</v>
      </c>
      <c r="L1589" s="2">
        <v>75500</v>
      </c>
      <c r="M1589">
        <v>12</v>
      </c>
      <c r="N1589" s="3">
        <v>2.5009999999999999</v>
      </c>
      <c r="O1589" t="s">
        <v>17</v>
      </c>
      <c r="P1589" t="s">
        <v>31</v>
      </c>
      <c r="Q1589">
        <v>0</v>
      </c>
      <c r="R1589">
        <v>1</v>
      </c>
      <c r="S1589" s="2">
        <v>0</v>
      </c>
      <c r="T1589" s="4"/>
      <c r="U1589">
        <v>5</v>
      </c>
      <c r="V1589">
        <v>1</v>
      </c>
      <c r="W1589">
        <v>1</v>
      </c>
    </row>
    <row r="1590" spans="1:23" ht="16.5" x14ac:dyDescent="0.3">
      <c r="A1590" t="s">
        <v>1650</v>
      </c>
      <c r="B1590" s="1">
        <v>45540</v>
      </c>
      <c r="C1590">
        <v>2024</v>
      </c>
      <c r="D1590" t="s">
        <v>1255</v>
      </c>
      <c r="E1590" t="s">
        <v>1623</v>
      </c>
      <c r="F1590" t="s">
        <v>37</v>
      </c>
      <c r="G1590" t="s">
        <v>51</v>
      </c>
      <c r="H1590" t="s">
        <v>38</v>
      </c>
      <c r="I1590" t="s">
        <v>39</v>
      </c>
      <c r="J1590" t="s">
        <v>35</v>
      </c>
      <c r="K1590" s="2">
        <v>9400</v>
      </c>
      <c r="L1590" s="2">
        <v>13000</v>
      </c>
      <c r="M1590">
        <v>36</v>
      </c>
      <c r="N1590" s="3">
        <v>0.156</v>
      </c>
      <c r="O1590" t="s">
        <v>16</v>
      </c>
      <c r="Q1590">
        <v>1</v>
      </c>
      <c r="R1590">
        <v>0</v>
      </c>
      <c r="S1590" s="2">
        <v>13000</v>
      </c>
      <c r="T1590" s="4">
        <v>0.1278</v>
      </c>
      <c r="U1590">
        <v>5</v>
      </c>
      <c r="V1590">
        <v>0</v>
      </c>
      <c r="W1590">
        <v>1</v>
      </c>
    </row>
    <row r="1591" spans="1:23" ht="16.5" x14ac:dyDescent="0.3">
      <c r="A1591" t="s">
        <v>1651</v>
      </c>
      <c r="B1591" s="1">
        <v>45540</v>
      </c>
      <c r="C1591">
        <v>2024</v>
      </c>
      <c r="D1591" t="s">
        <v>1255</v>
      </c>
      <c r="E1591" t="s">
        <v>1623</v>
      </c>
      <c r="F1591" t="s">
        <v>50</v>
      </c>
      <c r="G1591" t="s">
        <v>51</v>
      </c>
      <c r="H1591" t="s">
        <v>55</v>
      </c>
      <c r="I1591" t="s">
        <v>29</v>
      </c>
      <c r="J1591" t="s">
        <v>43</v>
      </c>
      <c r="K1591" s="2">
        <v>10700</v>
      </c>
      <c r="L1591" s="2">
        <v>110500</v>
      </c>
      <c r="M1591">
        <v>300</v>
      </c>
      <c r="N1591" s="3">
        <v>0.122</v>
      </c>
      <c r="O1591" t="s">
        <v>17</v>
      </c>
      <c r="P1591" t="s">
        <v>31</v>
      </c>
      <c r="Q1591">
        <v>0</v>
      </c>
      <c r="R1591">
        <v>1</v>
      </c>
      <c r="S1591" s="2">
        <v>0</v>
      </c>
      <c r="T1591" s="4"/>
      <c r="U1591">
        <v>19</v>
      </c>
      <c r="V1591">
        <v>0</v>
      </c>
      <c r="W1591">
        <v>1</v>
      </c>
    </row>
    <row r="1592" spans="1:23" ht="16.5" x14ac:dyDescent="0.3">
      <c r="A1592" t="s">
        <v>1652</v>
      </c>
      <c r="B1592" s="1">
        <v>45540</v>
      </c>
      <c r="C1592">
        <v>2024</v>
      </c>
      <c r="D1592" t="s">
        <v>1255</v>
      </c>
      <c r="E1592" t="s">
        <v>1623</v>
      </c>
      <c r="F1592" t="s">
        <v>37</v>
      </c>
      <c r="G1592" t="s">
        <v>45</v>
      </c>
      <c r="H1592" t="s">
        <v>34</v>
      </c>
      <c r="I1592" t="s">
        <v>39</v>
      </c>
      <c r="J1592" t="s">
        <v>35</v>
      </c>
      <c r="K1592" s="2">
        <v>4200</v>
      </c>
      <c r="L1592" s="2">
        <v>10500</v>
      </c>
      <c r="M1592">
        <v>12</v>
      </c>
      <c r="N1592" s="3">
        <v>0.35199999999999998</v>
      </c>
      <c r="O1592" t="s">
        <v>17</v>
      </c>
      <c r="P1592" t="s">
        <v>65</v>
      </c>
      <c r="Q1592">
        <v>0</v>
      </c>
      <c r="R1592">
        <v>1</v>
      </c>
      <c r="S1592" s="2">
        <v>0</v>
      </c>
      <c r="T1592" s="4"/>
      <c r="U1592">
        <v>2</v>
      </c>
      <c r="V1592">
        <v>1</v>
      </c>
      <c r="W1592">
        <v>1</v>
      </c>
    </row>
    <row r="1593" spans="1:23" ht="16.5" x14ac:dyDescent="0.3">
      <c r="A1593" t="s">
        <v>1653</v>
      </c>
      <c r="B1593" s="1">
        <v>45540</v>
      </c>
      <c r="C1593">
        <v>2024</v>
      </c>
      <c r="D1593" t="s">
        <v>1255</v>
      </c>
      <c r="E1593" t="s">
        <v>1623</v>
      </c>
      <c r="F1593" t="s">
        <v>37</v>
      </c>
      <c r="G1593" t="s">
        <v>33</v>
      </c>
      <c r="H1593" t="s">
        <v>55</v>
      </c>
      <c r="I1593" t="s">
        <v>42</v>
      </c>
      <c r="J1593" t="s">
        <v>35</v>
      </c>
      <c r="K1593" s="2">
        <v>4850</v>
      </c>
      <c r="L1593" s="2">
        <v>14000</v>
      </c>
      <c r="M1593">
        <v>36</v>
      </c>
      <c r="N1593" s="3">
        <v>0.23300000000000001</v>
      </c>
      <c r="O1593" t="s">
        <v>17</v>
      </c>
      <c r="P1593" t="s">
        <v>65</v>
      </c>
      <c r="Q1593">
        <v>0</v>
      </c>
      <c r="R1593">
        <v>1</v>
      </c>
      <c r="S1593" s="2">
        <v>0</v>
      </c>
      <c r="T1593" s="4"/>
      <c r="U1593">
        <v>2</v>
      </c>
      <c r="V1593">
        <v>1</v>
      </c>
      <c r="W1593">
        <v>1</v>
      </c>
    </row>
    <row r="1594" spans="1:23" ht="16.5" x14ac:dyDescent="0.3">
      <c r="A1594" t="s">
        <v>1654</v>
      </c>
      <c r="B1594" s="1">
        <v>45540</v>
      </c>
      <c r="C1594">
        <v>2024</v>
      </c>
      <c r="D1594" t="s">
        <v>1255</v>
      </c>
      <c r="E1594" t="s">
        <v>1623</v>
      </c>
      <c r="F1594" t="s">
        <v>50</v>
      </c>
      <c r="G1594" t="s">
        <v>51</v>
      </c>
      <c r="H1594" t="s">
        <v>38</v>
      </c>
      <c r="I1594" t="s">
        <v>39</v>
      </c>
      <c r="J1594" t="s">
        <v>52</v>
      </c>
      <c r="K1594" s="2">
        <v>6300</v>
      </c>
      <c r="L1594" s="2">
        <v>171000</v>
      </c>
      <c r="M1594">
        <v>300</v>
      </c>
      <c r="N1594" s="3">
        <v>0.39600000000000002</v>
      </c>
      <c r="O1594" t="s">
        <v>16</v>
      </c>
      <c r="Q1594">
        <v>1</v>
      </c>
      <c r="R1594">
        <v>0</v>
      </c>
      <c r="S1594" s="2">
        <v>154000</v>
      </c>
      <c r="T1594" s="4">
        <v>4.9099999999999998E-2</v>
      </c>
      <c r="U1594">
        <v>14</v>
      </c>
      <c r="V1594">
        <v>1</v>
      </c>
      <c r="W1594">
        <v>1</v>
      </c>
    </row>
    <row r="1595" spans="1:23" ht="16.5" x14ac:dyDescent="0.3">
      <c r="A1595" t="s">
        <v>1655</v>
      </c>
      <c r="B1595" s="1">
        <v>45540</v>
      </c>
      <c r="C1595">
        <v>2024</v>
      </c>
      <c r="D1595" t="s">
        <v>1255</v>
      </c>
      <c r="E1595" t="s">
        <v>1623</v>
      </c>
      <c r="F1595" t="s">
        <v>41</v>
      </c>
      <c r="G1595" t="s">
        <v>33</v>
      </c>
      <c r="H1595" t="s">
        <v>38</v>
      </c>
      <c r="I1595" t="s">
        <v>39</v>
      </c>
      <c r="J1595" t="s">
        <v>30</v>
      </c>
      <c r="K1595" s="2">
        <v>6450</v>
      </c>
      <c r="L1595" s="2">
        <v>39500</v>
      </c>
      <c r="M1595">
        <v>12</v>
      </c>
      <c r="N1595" s="3">
        <v>0.70499999999999996</v>
      </c>
      <c r="O1595" t="s">
        <v>17</v>
      </c>
      <c r="P1595" t="s">
        <v>53</v>
      </c>
      <c r="Q1595">
        <v>0</v>
      </c>
      <c r="R1595">
        <v>1</v>
      </c>
      <c r="S1595" s="2">
        <v>0</v>
      </c>
      <c r="T1595" s="4"/>
      <c r="U1595">
        <v>6</v>
      </c>
      <c r="V1595">
        <v>1</v>
      </c>
      <c r="W1595">
        <v>1</v>
      </c>
    </row>
    <row r="1596" spans="1:23" ht="16.5" x14ac:dyDescent="0.3">
      <c r="A1596" t="s">
        <v>1656</v>
      </c>
      <c r="B1596" s="1">
        <v>45541</v>
      </c>
      <c r="C1596">
        <v>2024</v>
      </c>
      <c r="D1596" t="s">
        <v>1255</v>
      </c>
      <c r="E1596" t="s">
        <v>1623</v>
      </c>
      <c r="F1596" t="s">
        <v>50</v>
      </c>
      <c r="G1596" t="s">
        <v>45</v>
      </c>
      <c r="H1596" t="s">
        <v>38</v>
      </c>
      <c r="I1596" t="s">
        <v>29</v>
      </c>
      <c r="J1596" t="s">
        <v>30</v>
      </c>
      <c r="K1596" s="2">
        <v>9550</v>
      </c>
      <c r="L1596" s="2">
        <v>314500</v>
      </c>
      <c r="M1596">
        <v>180</v>
      </c>
      <c r="N1596" s="3">
        <v>0.34300000000000003</v>
      </c>
      <c r="O1596" t="s">
        <v>16</v>
      </c>
      <c r="Q1596">
        <v>1</v>
      </c>
      <c r="R1596">
        <v>0</v>
      </c>
      <c r="S1596" s="2">
        <v>314500</v>
      </c>
      <c r="T1596" s="4">
        <v>7.6100000000000001E-2</v>
      </c>
      <c r="U1596">
        <v>9</v>
      </c>
      <c r="V1596">
        <v>1</v>
      </c>
      <c r="W1596">
        <v>1</v>
      </c>
    </row>
    <row r="1597" spans="1:23" ht="16.5" x14ac:dyDescent="0.3">
      <c r="A1597" t="s">
        <v>1657</v>
      </c>
      <c r="B1597" s="1">
        <v>45541</v>
      </c>
      <c r="C1597">
        <v>2024</v>
      </c>
      <c r="D1597" t="s">
        <v>1255</v>
      </c>
      <c r="E1597" t="s">
        <v>1623</v>
      </c>
      <c r="F1597" t="s">
        <v>26</v>
      </c>
      <c r="G1597" t="s">
        <v>27</v>
      </c>
      <c r="H1597" t="s">
        <v>55</v>
      </c>
      <c r="I1597" t="s">
        <v>39</v>
      </c>
      <c r="J1597" t="s">
        <v>46</v>
      </c>
      <c r="K1597" s="2">
        <v>4100</v>
      </c>
      <c r="L1597" s="2">
        <v>27000</v>
      </c>
      <c r="M1597">
        <v>36</v>
      </c>
      <c r="N1597" s="3">
        <v>0.26400000000000001</v>
      </c>
      <c r="O1597" t="s">
        <v>16</v>
      </c>
      <c r="Q1597">
        <v>1</v>
      </c>
      <c r="R1597">
        <v>0</v>
      </c>
      <c r="S1597" s="2">
        <v>27000</v>
      </c>
      <c r="T1597" s="4">
        <v>6.8199999999999997E-2</v>
      </c>
      <c r="U1597">
        <v>3</v>
      </c>
      <c r="V1597">
        <v>1</v>
      </c>
      <c r="W1597">
        <v>1</v>
      </c>
    </row>
    <row r="1598" spans="1:23" ht="16.5" x14ac:dyDescent="0.3">
      <c r="A1598" t="s">
        <v>1658</v>
      </c>
      <c r="B1598" s="1">
        <v>45542</v>
      </c>
      <c r="C1598">
        <v>2024</v>
      </c>
      <c r="D1598" t="s">
        <v>1255</v>
      </c>
      <c r="E1598" t="s">
        <v>1623</v>
      </c>
      <c r="F1598" t="s">
        <v>37</v>
      </c>
      <c r="G1598" t="s">
        <v>45</v>
      </c>
      <c r="H1598" t="s">
        <v>55</v>
      </c>
      <c r="I1598" t="s">
        <v>42</v>
      </c>
      <c r="J1598" t="s">
        <v>52</v>
      </c>
      <c r="K1598" s="2">
        <v>6050</v>
      </c>
      <c r="L1598" s="2">
        <v>7500</v>
      </c>
      <c r="M1598">
        <v>36</v>
      </c>
      <c r="N1598" s="3">
        <v>0.129</v>
      </c>
      <c r="O1598" t="s">
        <v>16</v>
      </c>
      <c r="Q1598">
        <v>1</v>
      </c>
      <c r="R1598">
        <v>0</v>
      </c>
      <c r="S1598" s="2">
        <v>7500</v>
      </c>
      <c r="T1598" s="4">
        <v>0.1193</v>
      </c>
      <c r="U1598">
        <v>2</v>
      </c>
      <c r="V1598">
        <v>1</v>
      </c>
      <c r="W1598">
        <v>1</v>
      </c>
    </row>
    <row r="1599" spans="1:23" ht="16.5" x14ac:dyDescent="0.3">
      <c r="A1599" t="s">
        <v>1659</v>
      </c>
      <c r="B1599" s="1">
        <v>45542</v>
      </c>
      <c r="C1599">
        <v>2024</v>
      </c>
      <c r="D1599" t="s">
        <v>1255</v>
      </c>
      <c r="E1599" t="s">
        <v>1623</v>
      </c>
      <c r="F1599" t="s">
        <v>37</v>
      </c>
      <c r="G1599" t="s">
        <v>33</v>
      </c>
      <c r="H1599" t="s">
        <v>64</v>
      </c>
      <c r="I1599" t="s">
        <v>42</v>
      </c>
      <c r="J1599" t="s">
        <v>35</v>
      </c>
      <c r="K1599" s="2">
        <v>4600</v>
      </c>
      <c r="L1599" s="2">
        <v>17500</v>
      </c>
      <c r="M1599">
        <v>12</v>
      </c>
      <c r="N1599" s="3">
        <v>0.43</v>
      </c>
      <c r="O1599" t="s">
        <v>16</v>
      </c>
      <c r="Q1599">
        <v>1</v>
      </c>
      <c r="R1599">
        <v>0</v>
      </c>
      <c r="S1599" s="2">
        <v>14000</v>
      </c>
      <c r="T1599" s="4">
        <v>0.1211</v>
      </c>
      <c r="U1599">
        <v>2</v>
      </c>
      <c r="V1599">
        <v>1</v>
      </c>
      <c r="W1599">
        <v>1</v>
      </c>
    </row>
    <row r="1600" spans="1:23" ht="16.5" x14ac:dyDescent="0.3">
      <c r="A1600" t="s">
        <v>1660</v>
      </c>
      <c r="B1600" s="1">
        <v>45542</v>
      </c>
      <c r="C1600">
        <v>2024</v>
      </c>
      <c r="D1600" t="s">
        <v>1255</v>
      </c>
      <c r="E1600" t="s">
        <v>1623</v>
      </c>
      <c r="F1600" t="s">
        <v>37</v>
      </c>
      <c r="G1600" t="s">
        <v>33</v>
      </c>
      <c r="H1600" t="s">
        <v>55</v>
      </c>
      <c r="I1600" t="s">
        <v>29</v>
      </c>
      <c r="J1600" t="s">
        <v>52</v>
      </c>
      <c r="K1600" s="2">
        <v>3800</v>
      </c>
      <c r="L1600" s="2">
        <v>37000</v>
      </c>
      <c r="M1600">
        <v>24</v>
      </c>
      <c r="N1600" s="3">
        <v>0.68700000000000006</v>
      </c>
      <c r="O1600" t="s">
        <v>17</v>
      </c>
      <c r="P1600" t="s">
        <v>53</v>
      </c>
      <c r="Q1600">
        <v>0</v>
      </c>
      <c r="R1600">
        <v>1</v>
      </c>
      <c r="S1600" s="2">
        <v>0</v>
      </c>
      <c r="T1600" s="4"/>
      <c r="U1600">
        <v>1</v>
      </c>
      <c r="V1600">
        <v>1</v>
      </c>
      <c r="W1600">
        <v>1</v>
      </c>
    </row>
    <row r="1601" spans="1:23" ht="16.5" x14ac:dyDescent="0.3">
      <c r="A1601" t="s">
        <v>1661</v>
      </c>
      <c r="B1601" s="1">
        <v>45542</v>
      </c>
      <c r="C1601">
        <v>2024</v>
      </c>
      <c r="D1601" t="s">
        <v>1255</v>
      </c>
      <c r="E1601" t="s">
        <v>1623</v>
      </c>
      <c r="F1601" t="s">
        <v>37</v>
      </c>
      <c r="G1601" t="s">
        <v>45</v>
      </c>
      <c r="H1601" t="s">
        <v>34</v>
      </c>
      <c r="I1601" t="s">
        <v>39</v>
      </c>
      <c r="J1601" t="s">
        <v>35</v>
      </c>
      <c r="K1601" s="2">
        <v>6100</v>
      </c>
      <c r="L1601" s="2">
        <v>4500</v>
      </c>
      <c r="M1601">
        <v>12</v>
      </c>
      <c r="N1601" s="3">
        <v>0.125</v>
      </c>
      <c r="O1601" t="s">
        <v>16</v>
      </c>
      <c r="Q1601">
        <v>1</v>
      </c>
      <c r="R1601">
        <v>0</v>
      </c>
      <c r="S1601" s="2">
        <v>3500</v>
      </c>
      <c r="T1601" s="4">
        <v>0.1283</v>
      </c>
      <c r="U1601">
        <v>3</v>
      </c>
      <c r="V1601">
        <v>1</v>
      </c>
      <c r="W1601">
        <v>1</v>
      </c>
    </row>
    <row r="1602" spans="1:23" ht="16.5" x14ac:dyDescent="0.3">
      <c r="A1602" t="s">
        <v>1662</v>
      </c>
      <c r="B1602" s="1">
        <v>45542</v>
      </c>
      <c r="C1602">
        <v>2024</v>
      </c>
      <c r="D1602" t="s">
        <v>1255</v>
      </c>
      <c r="E1602" t="s">
        <v>1623</v>
      </c>
      <c r="F1602" t="s">
        <v>50</v>
      </c>
      <c r="G1602" t="s">
        <v>27</v>
      </c>
      <c r="H1602" t="s">
        <v>34</v>
      </c>
      <c r="I1602" t="s">
        <v>39</v>
      </c>
      <c r="J1602" t="s">
        <v>46</v>
      </c>
      <c r="K1602" s="2">
        <v>4700</v>
      </c>
      <c r="L1602" s="2">
        <v>146500</v>
      </c>
      <c r="M1602">
        <v>240</v>
      </c>
      <c r="N1602" s="3">
        <v>0.41299999999999998</v>
      </c>
      <c r="O1602" t="s">
        <v>16</v>
      </c>
      <c r="Q1602">
        <v>1</v>
      </c>
      <c r="R1602">
        <v>0</v>
      </c>
      <c r="S1602" s="2">
        <v>146500</v>
      </c>
      <c r="T1602" s="4">
        <v>3.8899999999999997E-2</v>
      </c>
      <c r="U1602">
        <v>16</v>
      </c>
      <c r="V1602">
        <v>0</v>
      </c>
      <c r="W1602">
        <v>1</v>
      </c>
    </row>
    <row r="1603" spans="1:23" ht="16.5" x14ac:dyDescent="0.3">
      <c r="A1603" t="s">
        <v>1663</v>
      </c>
      <c r="B1603" s="1">
        <v>45542</v>
      </c>
      <c r="C1603">
        <v>2024</v>
      </c>
      <c r="D1603" t="s">
        <v>1255</v>
      </c>
      <c r="E1603" t="s">
        <v>1623</v>
      </c>
      <c r="F1603" t="s">
        <v>41</v>
      </c>
      <c r="G1603" t="s">
        <v>45</v>
      </c>
      <c r="H1603" t="s">
        <v>55</v>
      </c>
      <c r="I1603" t="s">
        <v>29</v>
      </c>
      <c r="J1603" t="s">
        <v>43</v>
      </c>
      <c r="K1603" s="2">
        <v>3500</v>
      </c>
      <c r="L1603" s="2">
        <v>100000</v>
      </c>
      <c r="M1603">
        <v>12</v>
      </c>
      <c r="N1603" s="3">
        <v>2.5960000000000001</v>
      </c>
      <c r="O1603" t="s">
        <v>17</v>
      </c>
      <c r="P1603" t="s">
        <v>31</v>
      </c>
      <c r="Q1603">
        <v>0</v>
      </c>
      <c r="R1603">
        <v>1</v>
      </c>
      <c r="S1603" s="2">
        <v>0</v>
      </c>
      <c r="T1603" s="4"/>
      <c r="U1603">
        <v>6</v>
      </c>
      <c r="V1603">
        <v>1</v>
      </c>
      <c r="W1603">
        <v>1</v>
      </c>
    </row>
    <row r="1604" spans="1:23" ht="16.5" x14ac:dyDescent="0.3">
      <c r="A1604" t="s">
        <v>1664</v>
      </c>
      <c r="B1604" s="1">
        <v>45543</v>
      </c>
      <c r="C1604">
        <v>2024</v>
      </c>
      <c r="D1604" t="s">
        <v>1255</v>
      </c>
      <c r="E1604" t="s">
        <v>1623</v>
      </c>
      <c r="F1604" t="s">
        <v>41</v>
      </c>
      <c r="G1604" t="s">
        <v>33</v>
      </c>
      <c r="H1604" t="s">
        <v>64</v>
      </c>
      <c r="I1604" t="s">
        <v>39</v>
      </c>
      <c r="J1604" t="s">
        <v>30</v>
      </c>
      <c r="K1604" s="2">
        <v>5750</v>
      </c>
      <c r="L1604" s="2">
        <v>98500</v>
      </c>
      <c r="M1604">
        <v>12</v>
      </c>
      <c r="N1604" s="3">
        <v>1.607</v>
      </c>
      <c r="O1604" t="s">
        <v>17</v>
      </c>
      <c r="P1604" t="s">
        <v>53</v>
      </c>
      <c r="Q1604">
        <v>0</v>
      </c>
      <c r="R1604">
        <v>1</v>
      </c>
      <c r="S1604" s="2">
        <v>0</v>
      </c>
      <c r="T1604" s="4"/>
      <c r="U1604">
        <v>5</v>
      </c>
      <c r="V1604">
        <v>1</v>
      </c>
      <c r="W1604">
        <v>1</v>
      </c>
    </row>
    <row r="1605" spans="1:23" ht="16.5" x14ac:dyDescent="0.3">
      <c r="A1605" t="s">
        <v>1665</v>
      </c>
      <c r="B1605" s="1">
        <v>45543</v>
      </c>
      <c r="C1605">
        <v>2024</v>
      </c>
      <c r="D1605" t="s">
        <v>1255</v>
      </c>
      <c r="E1605" t="s">
        <v>1623</v>
      </c>
      <c r="F1605" t="s">
        <v>26</v>
      </c>
      <c r="G1605" t="s">
        <v>51</v>
      </c>
      <c r="H1605" t="s">
        <v>28</v>
      </c>
      <c r="I1605" t="s">
        <v>42</v>
      </c>
      <c r="J1605" t="s">
        <v>30</v>
      </c>
      <c r="K1605" s="2">
        <v>5300</v>
      </c>
      <c r="L1605" s="2">
        <v>18000</v>
      </c>
      <c r="M1605">
        <v>48</v>
      </c>
      <c r="N1605" s="3">
        <v>0.247</v>
      </c>
      <c r="O1605" t="s">
        <v>17</v>
      </c>
      <c r="P1605" t="s">
        <v>31</v>
      </c>
      <c r="Q1605">
        <v>0</v>
      </c>
      <c r="R1605">
        <v>1</v>
      </c>
      <c r="S1605" s="2">
        <v>0</v>
      </c>
      <c r="T1605" s="4"/>
      <c r="U1605">
        <v>5</v>
      </c>
      <c r="V1605">
        <v>0</v>
      </c>
      <c r="W1605">
        <v>1</v>
      </c>
    </row>
    <row r="1606" spans="1:23" ht="16.5" x14ac:dyDescent="0.3">
      <c r="A1606" t="s">
        <v>1666</v>
      </c>
      <c r="B1606" s="1">
        <v>45543</v>
      </c>
      <c r="C1606">
        <v>2024</v>
      </c>
      <c r="D1606" t="s">
        <v>1255</v>
      </c>
      <c r="E1606" t="s">
        <v>1623</v>
      </c>
      <c r="F1606" t="s">
        <v>26</v>
      </c>
      <c r="G1606" t="s">
        <v>45</v>
      </c>
      <c r="H1606" t="s">
        <v>28</v>
      </c>
      <c r="I1606" t="s">
        <v>39</v>
      </c>
      <c r="J1606" t="s">
        <v>52</v>
      </c>
      <c r="K1606" s="2">
        <v>8600</v>
      </c>
      <c r="L1606" s="2">
        <v>18000</v>
      </c>
      <c r="M1606">
        <v>48</v>
      </c>
      <c r="N1606" s="3">
        <v>0.106</v>
      </c>
      <c r="O1606" t="s">
        <v>16</v>
      </c>
      <c r="Q1606">
        <v>1</v>
      </c>
      <c r="R1606">
        <v>0</v>
      </c>
      <c r="S1606" s="2">
        <v>14500</v>
      </c>
      <c r="T1606" s="4">
        <v>7.0900000000000005E-2</v>
      </c>
      <c r="U1606">
        <v>2</v>
      </c>
      <c r="V1606">
        <v>1</v>
      </c>
      <c r="W1606">
        <v>1</v>
      </c>
    </row>
    <row r="1607" spans="1:23" ht="16.5" x14ac:dyDescent="0.3">
      <c r="A1607" t="s">
        <v>1667</v>
      </c>
      <c r="B1607" s="1">
        <v>45543</v>
      </c>
      <c r="C1607">
        <v>2024</v>
      </c>
      <c r="D1607" t="s">
        <v>1255</v>
      </c>
      <c r="E1607" t="s">
        <v>1623</v>
      </c>
      <c r="F1607" t="s">
        <v>50</v>
      </c>
      <c r="G1607" t="s">
        <v>27</v>
      </c>
      <c r="H1607" t="s">
        <v>38</v>
      </c>
      <c r="I1607" t="s">
        <v>39</v>
      </c>
      <c r="J1607" t="s">
        <v>35</v>
      </c>
      <c r="K1607" s="2">
        <v>8150</v>
      </c>
      <c r="L1607" s="2">
        <v>340000</v>
      </c>
      <c r="M1607">
        <v>240</v>
      </c>
      <c r="N1607" s="3">
        <v>0.42899999999999999</v>
      </c>
      <c r="O1607" t="s">
        <v>16</v>
      </c>
      <c r="Q1607">
        <v>1</v>
      </c>
      <c r="R1607">
        <v>0</v>
      </c>
      <c r="S1607" s="2">
        <v>340000</v>
      </c>
      <c r="T1607" s="4">
        <v>5.3999999999999999E-2</v>
      </c>
      <c r="U1607">
        <v>33</v>
      </c>
      <c r="V1607">
        <v>0</v>
      </c>
      <c r="W1607">
        <v>1</v>
      </c>
    </row>
    <row r="1608" spans="1:23" ht="16.5" x14ac:dyDescent="0.3">
      <c r="A1608" t="s">
        <v>1668</v>
      </c>
      <c r="B1608" s="1">
        <v>45543</v>
      </c>
      <c r="C1608">
        <v>2024</v>
      </c>
      <c r="D1608" t="s">
        <v>1255</v>
      </c>
      <c r="E1608" t="s">
        <v>1623</v>
      </c>
      <c r="F1608" t="s">
        <v>37</v>
      </c>
      <c r="G1608" t="s">
        <v>51</v>
      </c>
      <c r="H1608" t="s">
        <v>38</v>
      </c>
      <c r="I1608" t="s">
        <v>39</v>
      </c>
      <c r="J1608" t="s">
        <v>30</v>
      </c>
      <c r="K1608" s="2">
        <v>5950</v>
      </c>
      <c r="L1608" s="2">
        <v>23500</v>
      </c>
      <c r="M1608">
        <v>60</v>
      </c>
      <c r="N1608" s="3">
        <v>0.152</v>
      </c>
      <c r="O1608" t="s">
        <v>17</v>
      </c>
      <c r="P1608" t="s">
        <v>31</v>
      </c>
      <c r="Q1608">
        <v>0</v>
      </c>
      <c r="R1608">
        <v>1</v>
      </c>
      <c r="S1608" s="2">
        <v>0</v>
      </c>
      <c r="T1608" s="4"/>
      <c r="U1608">
        <v>8</v>
      </c>
      <c r="V1608">
        <v>0</v>
      </c>
      <c r="W1608">
        <v>1</v>
      </c>
    </row>
    <row r="1609" spans="1:23" ht="16.5" x14ac:dyDescent="0.3">
      <c r="A1609" t="s">
        <v>1669</v>
      </c>
      <c r="B1609" s="1">
        <v>45544</v>
      </c>
      <c r="C1609">
        <v>2024</v>
      </c>
      <c r="D1609" t="s">
        <v>1255</v>
      </c>
      <c r="E1609" t="s">
        <v>1623</v>
      </c>
      <c r="F1609" t="s">
        <v>37</v>
      </c>
      <c r="G1609" t="s">
        <v>51</v>
      </c>
      <c r="H1609" t="s">
        <v>55</v>
      </c>
      <c r="I1609" t="s">
        <v>42</v>
      </c>
      <c r="J1609" t="s">
        <v>43</v>
      </c>
      <c r="K1609" s="2">
        <v>8800</v>
      </c>
      <c r="L1609" s="2">
        <v>5500</v>
      </c>
      <c r="M1609">
        <v>24</v>
      </c>
      <c r="N1609" s="3">
        <v>0.23100000000000001</v>
      </c>
      <c r="O1609" t="s">
        <v>17</v>
      </c>
      <c r="P1609" t="s">
        <v>31</v>
      </c>
      <c r="Q1609">
        <v>0</v>
      </c>
      <c r="R1609">
        <v>1</v>
      </c>
      <c r="S1609" s="2">
        <v>0</v>
      </c>
      <c r="T1609" s="4"/>
      <c r="U1609">
        <v>4</v>
      </c>
      <c r="V1609">
        <v>0</v>
      </c>
      <c r="W1609">
        <v>1</v>
      </c>
    </row>
    <row r="1610" spans="1:23" ht="16.5" x14ac:dyDescent="0.3">
      <c r="A1610" t="s">
        <v>1670</v>
      </c>
      <c r="B1610" s="1">
        <v>45544</v>
      </c>
      <c r="C1610">
        <v>2024</v>
      </c>
      <c r="D1610" t="s">
        <v>1255</v>
      </c>
      <c r="E1610" t="s">
        <v>1623</v>
      </c>
      <c r="F1610" t="s">
        <v>50</v>
      </c>
      <c r="G1610" t="s">
        <v>27</v>
      </c>
      <c r="H1610" t="s">
        <v>34</v>
      </c>
      <c r="I1610" t="s">
        <v>39</v>
      </c>
      <c r="J1610" t="s">
        <v>52</v>
      </c>
      <c r="K1610" s="2">
        <v>3100</v>
      </c>
      <c r="L1610" s="2">
        <v>261000</v>
      </c>
      <c r="M1610">
        <v>300</v>
      </c>
      <c r="N1610" s="3">
        <v>0.64900000000000002</v>
      </c>
      <c r="O1610" t="s">
        <v>16</v>
      </c>
      <c r="Q1610">
        <v>1</v>
      </c>
      <c r="R1610">
        <v>0</v>
      </c>
      <c r="S1610" s="2">
        <v>261000</v>
      </c>
      <c r="T1610" s="4">
        <v>5.3400000000000003E-2</v>
      </c>
      <c r="U1610">
        <v>26</v>
      </c>
      <c r="V1610">
        <v>0</v>
      </c>
      <c r="W1610">
        <v>1</v>
      </c>
    </row>
    <row r="1611" spans="1:23" ht="16.5" x14ac:dyDescent="0.3">
      <c r="A1611" t="s">
        <v>1671</v>
      </c>
      <c r="B1611" s="1">
        <v>45544</v>
      </c>
      <c r="C1611">
        <v>2024</v>
      </c>
      <c r="D1611" t="s">
        <v>1255</v>
      </c>
      <c r="E1611" t="s">
        <v>1623</v>
      </c>
      <c r="F1611" t="s">
        <v>41</v>
      </c>
      <c r="G1611" t="s">
        <v>33</v>
      </c>
      <c r="H1611" t="s">
        <v>64</v>
      </c>
      <c r="I1611" t="s">
        <v>39</v>
      </c>
      <c r="J1611" t="s">
        <v>30</v>
      </c>
      <c r="K1611" s="2">
        <v>6350</v>
      </c>
      <c r="L1611" s="2">
        <v>95500</v>
      </c>
      <c r="M1611">
        <v>60</v>
      </c>
      <c r="N1611" s="3">
        <v>0.56100000000000005</v>
      </c>
      <c r="O1611" t="s">
        <v>16</v>
      </c>
      <c r="Q1611">
        <v>1</v>
      </c>
      <c r="R1611">
        <v>0</v>
      </c>
      <c r="S1611" s="2">
        <v>95500</v>
      </c>
      <c r="T1611" s="4">
        <v>0.12540000000000001</v>
      </c>
      <c r="U1611">
        <v>6</v>
      </c>
      <c r="V1611">
        <v>1</v>
      </c>
      <c r="W1611">
        <v>1</v>
      </c>
    </row>
    <row r="1612" spans="1:23" ht="16.5" x14ac:dyDescent="0.3">
      <c r="A1612" t="s">
        <v>1672</v>
      </c>
      <c r="B1612" s="1">
        <v>45544</v>
      </c>
      <c r="C1612">
        <v>2024</v>
      </c>
      <c r="D1612" t="s">
        <v>1255</v>
      </c>
      <c r="E1612" t="s">
        <v>1623</v>
      </c>
      <c r="F1612" t="s">
        <v>26</v>
      </c>
      <c r="G1612" t="s">
        <v>45</v>
      </c>
      <c r="H1612" t="s">
        <v>55</v>
      </c>
      <c r="I1612" t="s">
        <v>42</v>
      </c>
      <c r="J1612" t="s">
        <v>43</v>
      </c>
      <c r="K1612" s="2">
        <v>4650</v>
      </c>
      <c r="L1612" s="2">
        <v>12500</v>
      </c>
      <c r="M1612">
        <v>60</v>
      </c>
      <c r="N1612" s="3">
        <v>0.17699999999999999</v>
      </c>
      <c r="O1612" t="s">
        <v>17</v>
      </c>
      <c r="P1612" t="s">
        <v>48</v>
      </c>
      <c r="Q1612">
        <v>0</v>
      </c>
      <c r="R1612">
        <v>1</v>
      </c>
      <c r="S1612" s="2">
        <v>0</v>
      </c>
      <c r="T1612" s="4"/>
      <c r="U1612">
        <v>2</v>
      </c>
      <c r="V1612">
        <v>1</v>
      </c>
      <c r="W1612">
        <v>1</v>
      </c>
    </row>
    <row r="1613" spans="1:23" ht="16.5" x14ac:dyDescent="0.3">
      <c r="A1613" t="s">
        <v>1673</v>
      </c>
      <c r="B1613" s="1">
        <v>45544</v>
      </c>
      <c r="C1613">
        <v>2024</v>
      </c>
      <c r="D1613" t="s">
        <v>1255</v>
      </c>
      <c r="E1613" t="s">
        <v>1623</v>
      </c>
      <c r="F1613" t="s">
        <v>37</v>
      </c>
      <c r="G1613" t="s">
        <v>33</v>
      </c>
      <c r="H1613" t="s">
        <v>55</v>
      </c>
      <c r="I1613" t="s">
        <v>29</v>
      </c>
      <c r="J1613" t="s">
        <v>30</v>
      </c>
      <c r="K1613" s="2">
        <v>2400</v>
      </c>
      <c r="L1613" s="2">
        <v>8500</v>
      </c>
      <c r="M1613">
        <v>12</v>
      </c>
      <c r="N1613" s="3">
        <v>0.40799999999999997</v>
      </c>
      <c r="O1613" t="s">
        <v>125</v>
      </c>
      <c r="Q1613">
        <v>0</v>
      </c>
      <c r="R1613">
        <v>0</v>
      </c>
      <c r="S1613" s="2">
        <v>0</v>
      </c>
      <c r="T1613" s="4"/>
      <c r="U1613">
        <v>1</v>
      </c>
      <c r="V1613">
        <v>1</v>
      </c>
      <c r="W1613">
        <v>1</v>
      </c>
    </row>
    <row r="1614" spans="1:23" ht="16.5" x14ac:dyDescent="0.3">
      <c r="A1614" t="s">
        <v>1674</v>
      </c>
      <c r="B1614" s="1">
        <v>45544</v>
      </c>
      <c r="C1614">
        <v>2024</v>
      </c>
      <c r="D1614" t="s">
        <v>1255</v>
      </c>
      <c r="E1614" t="s">
        <v>1623</v>
      </c>
      <c r="F1614" t="s">
        <v>41</v>
      </c>
      <c r="G1614" t="s">
        <v>51</v>
      </c>
      <c r="H1614" t="s">
        <v>38</v>
      </c>
      <c r="I1614" t="s">
        <v>42</v>
      </c>
      <c r="J1614" t="s">
        <v>52</v>
      </c>
      <c r="K1614" s="2">
        <v>5300</v>
      </c>
      <c r="L1614" s="2">
        <v>51500</v>
      </c>
      <c r="M1614">
        <v>12</v>
      </c>
      <c r="N1614" s="3">
        <v>1.0069999999999999</v>
      </c>
      <c r="O1614" t="s">
        <v>16</v>
      </c>
      <c r="Q1614">
        <v>1</v>
      </c>
      <c r="R1614">
        <v>0</v>
      </c>
      <c r="S1614" s="2">
        <v>51500</v>
      </c>
      <c r="T1614" s="4">
        <v>9.5399999999999999E-2</v>
      </c>
      <c r="U1614">
        <v>10</v>
      </c>
      <c r="V1614">
        <v>1</v>
      </c>
      <c r="W1614">
        <v>1</v>
      </c>
    </row>
    <row r="1615" spans="1:23" ht="16.5" x14ac:dyDescent="0.3">
      <c r="A1615" t="s">
        <v>1675</v>
      </c>
      <c r="B1615" s="1">
        <v>45544</v>
      </c>
      <c r="C1615">
        <v>2024</v>
      </c>
      <c r="D1615" t="s">
        <v>1255</v>
      </c>
      <c r="E1615" t="s">
        <v>1623</v>
      </c>
      <c r="F1615" t="s">
        <v>50</v>
      </c>
      <c r="G1615" t="s">
        <v>45</v>
      </c>
      <c r="H1615" t="s">
        <v>34</v>
      </c>
      <c r="I1615" t="s">
        <v>39</v>
      </c>
      <c r="J1615" t="s">
        <v>30</v>
      </c>
      <c r="K1615" s="2">
        <v>2800</v>
      </c>
      <c r="L1615" s="2">
        <v>76000</v>
      </c>
      <c r="M1615">
        <v>180</v>
      </c>
      <c r="N1615" s="3">
        <v>0.44700000000000001</v>
      </c>
      <c r="O1615" t="s">
        <v>17</v>
      </c>
      <c r="P1615" t="s">
        <v>48</v>
      </c>
      <c r="Q1615">
        <v>0</v>
      </c>
      <c r="R1615">
        <v>1</v>
      </c>
      <c r="S1615" s="2">
        <v>0</v>
      </c>
      <c r="T1615" s="4"/>
      <c r="U1615">
        <v>8</v>
      </c>
      <c r="V1615">
        <v>1</v>
      </c>
      <c r="W1615">
        <v>1</v>
      </c>
    </row>
    <row r="1616" spans="1:23" ht="16.5" x14ac:dyDescent="0.3">
      <c r="A1616" t="s">
        <v>1676</v>
      </c>
      <c r="B1616" s="1">
        <v>45545</v>
      </c>
      <c r="C1616">
        <v>2024</v>
      </c>
      <c r="D1616" t="s">
        <v>1255</v>
      </c>
      <c r="E1616" t="s">
        <v>1623</v>
      </c>
      <c r="F1616" t="s">
        <v>37</v>
      </c>
      <c r="G1616" t="s">
        <v>33</v>
      </c>
      <c r="H1616" t="s">
        <v>38</v>
      </c>
      <c r="I1616" t="s">
        <v>29</v>
      </c>
      <c r="J1616" t="s">
        <v>30</v>
      </c>
      <c r="K1616" s="2">
        <v>5750</v>
      </c>
      <c r="L1616" s="2">
        <v>8000</v>
      </c>
      <c r="M1616">
        <v>24</v>
      </c>
      <c r="N1616" s="3">
        <v>0.29399999999999998</v>
      </c>
      <c r="O1616" t="s">
        <v>17</v>
      </c>
      <c r="P1616" t="s">
        <v>31</v>
      </c>
      <c r="Q1616">
        <v>0</v>
      </c>
      <c r="R1616">
        <v>1</v>
      </c>
      <c r="S1616" s="2">
        <v>0</v>
      </c>
      <c r="T1616" s="4"/>
      <c r="U1616">
        <v>2</v>
      </c>
      <c r="V1616">
        <v>1</v>
      </c>
      <c r="W1616">
        <v>1</v>
      </c>
    </row>
    <row r="1617" spans="1:23" ht="16.5" x14ac:dyDescent="0.3">
      <c r="A1617" t="s">
        <v>1677</v>
      </c>
      <c r="B1617" s="1">
        <v>45545</v>
      </c>
      <c r="C1617">
        <v>2024</v>
      </c>
      <c r="D1617" t="s">
        <v>1255</v>
      </c>
      <c r="E1617" t="s">
        <v>1623</v>
      </c>
      <c r="F1617" t="s">
        <v>26</v>
      </c>
      <c r="G1617" t="s">
        <v>45</v>
      </c>
      <c r="H1617" t="s">
        <v>55</v>
      </c>
      <c r="I1617" t="s">
        <v>42</v>
      </c>
      <c r="J1617" t="s">
        <v>35</v>
      </c>
      <c r="K1617" s="2">
        <v>4350</v>
      </c>
      <c r="L1617" s="2">
        <v>42500</v>
      </c>
      <c r="M1617">
        <v>60</v>
      </c>
      <c r="N1617" s="3">
        <v>0.42</v>
      </c>
      <c r="O1617" t="s">
        <v>16</v>
      </c>
      <c r="Q1617">
        <v>1</v>
      </c>
      <c r="R1617">
        <v>0</v>
      </c>
      <c r="S1617" s="2">
        <v>42500</v>
      </c>
      <c r="T1617" s="4">
        <v>7.9500000000000001E-2</v>
      </c>
      <c r="U1617">
        <v>3</v>
      </c>
      <c r="V1617">
        <v>1</v>
      </c>
      <c r="W1617">
        <v>1</v>
      </c>
    </row>
    <row r="1618" spans="1:23" ht="16.5" x14ac:dyDescent="0.3">
      <c r="A1618" t="s">
        <v>1678</v>
      </c>
      <c r="B1618" s="1">
        <v>45545</v>
      </c>
      <c r="C1618">
        <v>2024</v>
      </c>
      <c r="D1618" t="s">
        <v>1255</v>
      </c>
      <c r="E1618" t="s">
        <v>1623</v>
      </c>
      <c r="F1618" t="s">
        <v>50</v>
      </c>
      <c r="G1618" t="s">
        <v>51</v>
      </c>
      <c r="H1618" t="s">
        <v>34</v>
      </c>
      <c r="I1618" t="s">
        <v>42</v>
      </c>
      <c r="J1618" t="s">
        <v>35</v>
      </c>
      <c r="K1618" s="2">
        <v>3450</v>
      </c>
      <c r="L1618" s="2">
        <v>578000</v>
      </c>
      <c r="M1618">
        <v>300</v>
      </c>
      <c r="N1618" s="3">
        <v>1.0900000000000001</v>
      </c>
      <c r="O1618" t="s">
        <v>17</v>
      </c>
      <c r="P1618" t="s">
        <v>53</v>
      </c>
      <c r="Q1618">
        <v>0</v>
      </c>
      <c r="R1618">
        <v>1</v>
      </c>
      <c r="S1618" s="2">
        <v>0</v>
      </c>
      <c r="T1618" s="4"/>
      <c r="U1618">
        <v>29</v>
      </c>
      <c r="V1618">
        <v>0</v>
      </c>
      <c r="W1618">
        <v>1</v>
      </c>
    </row>
    <row r="1619" spans="1:23" ht="16.5" x14ac:dyDescent="0.3">
      <c r="A1619" t="s">
        <v>1679</v>
      </c>
      <c r="B1619" s="1">
        <v>45545</v>
      </c>
      <c r="C1619">
        <v>2024</v>
      </c>
      <c r="D1619" t="s">
        <v>1255</v>
      </c>
      <c r="E1619" t="s">
        <v>1623</v>
      </c>
      <c r="F1619" t="s">
        <v>50</v>
      </c>
      <c r="G1619" t="s">
        <v>51</v>
      </c>
      <c r="H1619" t="s">
        <v>38</v>
      </c>
      <c r="I1619" t="s">
        <v>29</v>
      </c>
      <c r="J1619" t="s">
        <v>52</v>
      </c>
      <c r="K1619" s="2">
        <v>6150</v>
      </c>
      <c r="L1619" s="2">
        <v>507500</v>
      </c>
      <c r="M1619">
        <v>180</v>
      </c>
      <c r="N1619" s="3">
        <v>0.72799999999999998</v>
      </c>
      <c r="O1619" t="s">
        <v>16</v>
      </c>
      <c r="Q1619">
        <v>1</v>
      </c>
      <c r="R1619">
        <v>0</v>
      </c>
      <c r="S1619" s="2">
        <v>406000</v>
      </c>
      <c r="T1619" s="4">
        <v>4.5100000000000001E-2</v>
      </c>
      <c r="U1619">
        <v>23</v>
      </c>
      <c r="V1619">
        <v>0</v>
      </c>
      <c r="W1619">
        <v>1</v>
      </c>
    </row>
    <row r="1620" spans="1:23" ht="16.5" x14ac:dyDescent="0.3">
      <c r="A1620" t="s">
        <v>1680</v>
      </c>
      <c r="B1620" s="1">
        <v>45545</v>
      </c>
      <c r="C1620">
        <v>2024</v>
      </c>
      <c r="D1620" t="s">
        <v>1255</v>
      </c>
      <c r="E1620" t="s">
        <v>1623</v>
      </c>
      <c r="F1620" t="s">
        <v>41</v>
      </c>
      <c r="G1620" t="s">
        <v>27</v>
      </c>
      <c r="H1620" t="s">
        <v>34</v>
      </c>
      <c r="I1620" t="s">
        <v>29</v>
      </c>
      <c r="J1620" t="s">
        <v>35</v>
      </c>
      <c r="K1620" s="2">
        <v>10300</v>
      </c>
      <c r="L1620" s="2">
        <v>56500</v>
      </c>
      <c r="M1620">
        <v>36</v>
      </c>
      <c r="N1620" s="3">
        <v>0.34300000000000003</v>
      </c>
      <c r="O1620" t="s">
        <v>16</v>
      </c>
      <c r="Q1620">
        <v>1</v>
      </c>
      <c r="R1620">
        <v>0</v>
      </c>
      <c r="S1620" s="2">
        <v>56500</v>
      </c>
      <c r="T1620" s="4">
        <v>0.1079</v>
      </c>
      <c r="U1620">
        <v>12</v>
      </c>
      <c r="V1620">
        <v>0</v>
      </c>
      <c r="W1620">
        <v>1</v>
      </c>
    </row>
    <row r="1621" spans="1:23" ht="16.5" x14ac:dyDescent="0.3">
      <c r="A1621" t="s">
        <v>1681</v>
      </c>
      <c r="B1621" s="1">
        <v>45545</v>
      </c>
      <c r="C1621">
        <v>2024</v>
      </c>
      <c r="D1621" t="s">
        <v>1255</v>
      </c>
      <c r="E1621" t="s">
        <v>1623</v>
      </c>
      <c r="F1621" t="s">
        <v>37</v>
      </c>
      <c r="G1621" t="s">
        <v>27</v>
      </c>
      <c r="H1621" t="s">
        <v>38</v>
      </c>
      <c r="I1621" t="s">
        <v>29</v>
      </c>
      <c r="J1621" t="s">
        <v>35</v>
      </c>
      <c r="K1621" s="2">
        <v>11450</v>
      </c>
      <c r="L1621" s="2">
        <v>7000</v>
      </c>
      <c r="M1621">
        <v>24</v>
      </c>
      <c r="N1621" s="3">
        <v>9.7000000000000003E-2</v>
      </c>
      <c r="O1621" t="s">
        <v>17</v>
      </c>
      <c r="P1621" t="s">
        <v>60</v>
      </c>
      <c r="Q1621">
        <v>0</v>
      </c>
      <c r="R1621">
        <v>1</v>
      </c>
      <c r="S1621" s="2">
        <v>0</v>
      </c>
      <c r="T1621" s="4"/>
      <c r="U1621">
        <v>10</v>
      </c>
      <c r="V1621">
        <v>0</v>
      </c>
      <c r="W1621">
        <v>1</v>
      </c>
    </row>
    <row r="1622" spans="1:23" ht="16.5" x14ac:dyDescent="0.3">
      <c r="A1622" t="s">
        <v>1682</v>
      </c>
      <c r="B1622" s="1">
        <v>45545</v>
      </c>
      <c r="C1622">
        <v>2024</v>
      </c>
      <c r="D1622" t="s">
        <v>1255</v>
      </c>
      <c r="E1622" t="s">
        <v>1623</v>
      </c>
      <c r="F1622" t="s">
        <v>37</v>
      </c>
      <c r="G1622" t="s">
        <v>51</v>
      </c>
      <c r="H1622" t="s">
        <v>55</v>
      </c>
      <c r="I1622" t="s">
        <v>29</v>
      </c>
      <c r="J1622" t="s">
        <v>35</v>
      </c>
      <c r="K1622" s="2">
        <v>5200</v>
      </c>
      <c r="L1622" s="2">
        <v>5500</v>
      </c>
      <c r="M1622">
        <v>48</v>
      </c>
      <c r="N1622" s="3">
        <v>0.154</v>
      </c>
      <c r="O1622" t="s">
        <v>17</v>
      </c>
      <c r="P1622" t="s">
        <v>31</v>
      </c>
      <c r="Q1622">
        <v>0</v>
      </c>
      <c r="R1622">
        <v>1</v>
      </c>
      <c r="S1622" s="2">
        <v>0</v>
      </c>
      <c r="T1622" s="4"/>
      <c r="U1622">
        <v>3</v>
      </c>
      <c r="V1622">
        <v>1</v>
      </c>
      <c r="W1622">
        <v>1</v>
      </c>
    </row>
    <row r="1623" spans="1:23" ht="16.5" x14ac:dyDescent="0.3">
      <c r="A1623" t="s">
        <v>1683</v>
      </c>
      <c r="B1623" s="1">
        <v>45545</v>
      </c>
      <c r="C1623">
        <v>2024</v>
      </c>
      <c r="D1623" t="s">
        <v>1255</v>
      </c>
      <c r="E1623" t="s">
        <v>1623</v>
      </c>
      <c r="F1623" t="s">
        <v>37</v>
      </c>
      <c r="G1623" t="s">
        <v>27</v>
      </c>
      <c r="H1623" t="s">
        <v>34</v>
      </c>
      <c r="I1623" t="s">
        <v>29</v>
      </c>
      <c r="J1623" t="s">
        <v>30</v>
      </c>
      <c r="K1623" s="2">
        <v>3300</v>
      </c>
      <c r="L1623" s="2">
        <v>5500</v>
      </c>
      <c r="M1623">
        <v>48</v>
      </c>
      <c r="N1623" s="3">
        <v>0.19500000000000001</v>
      </c>
      <c r="O1623" t="s">
        <v>16</v>
      </c>
      <c r="Q1623">
        <v>1</v>
      </c>
      <c r="R1623">
        <v>0</v>
      </c>
      <c r="S1623" s="2">
        <v>5500</v>
      </c>
      <c r="T1623" s="4">
        <v>0.1409</v>
      </c>
      <c r="U1623">
        <v>2</v>
      </c>
      <c r="V1623">
        <v>1</v>
      </c>
      <c r="W1623">
        <v>1</v>
      </c>
    </row>
    <row r="1624" spans="1:23" ht="16.5" x14ac:dyDescent="0.3">
      <c r="A1624" t="s">
        <v>1684</v>
      </c>
      <c r="B1624" s="1">
        <v>45545</v>
      </c>
      <c r="C1624">
        <v>2024</v>
      </c>
      <c r="D1624" t="s">
        <v>1255</v>
      </c>
      <c r="E1624" t="s">
        <v>1623</v>
      </c>
      <c r="F1624" t="s">
        <v>37</v>
      </c>
      <c r="G1624" t="s">
        <v>51</v>
      </c>
      <c r="H1624" t="s">
        <v>64</v>
      </c>
      <c r="I1624" t="s">
        <v>29</v>
      </c>
      <c r="J1624" t="s">
        <v>52</v>
      </c>
      <c r="K1624" s="2">
        <v>3150</v>
      </c>
      <c r="L1624" s="2">
        <v>13000</v>
      </c>
      <c r="M1624">
        <v>24</v>
      </c>
      <c r="N1624" s="3">
        <v>0.27500000000000002</v>
      </c>
      <c r="O1624" t="s">
        <v>16</v>
      </c>
      <c r="Q1624">
        <v>1</v>
      </c>
      <c r="R1624">
        <v>0</v>
      </c>
      <c r="S1624" s="2">
        <v>11500</v>
      </c>
      <c r="T1624" s="4">
        <v>0.1142</v>
      </c>
      <c r="U1624">
        <v>5</v>
      </c>
      <c r="V1624">
        <v>0</v>
      </c>
      <c r="W1624">
        <v>1</v>
      </c>
    </row>
    <row r="1625" spans="1:23" ht="16.5" x14ac:dyDescent="0.3">
      <c r="A1625" t="s">
        <v>1685</v>
      </c>
      <c r="B1625" s="1">
        <v>45545</v>
      </c>
      <c r="C1625">
        <v>2024</v>
      </c>
      <c r="D1625" t="s">
        <v>1255</v>
      </c>
      <c r="E1625" t="s">
        <v>1623</v>
      </c>
      <c r="F1625" t="s">
        <v>26</v>
      </c>
      <c r="G1625" t="s">
        <v>51</v>
      </c>
      <c r="H1625" t="s">
        <v>38</v>
      </c>
      <c r="I1625" t="s">
        <v>29</v>
      </c>
      <c r="J1625" t="s">
        <v>43</v>
      </c>
      <c r="K1625" s="2">
        <v>3800</v>
      </c>
      <c r="L1625" s="2">
        <v>52000</v>
      </c>
      <c r="M1625">
        <v>48</v>
      </c>
      <c r="N1625" s="3">
        <v>0.57599999999999996</v>
      </c>
      <c r="O1625" t="s">
        <v>17</v>
      </c>
      <c r="P1625" t="s">
        <v>31</v>
      </c>
      <c r="Q1625">
        <v>0</v>
      </c>
      <c r="R1625">
        <v>1</v>
      </c>
      <c r="S1625" s="2">
        <v>0</v>
      </c>
      <c r="T1625" s="4"/>
      <c r="U1625">
        <v>8</v>
      </c>
      <c r="V1625">
        <v>0</v>
      </c>
      <c r="W1625">
        <v>1</v>
      </c>
    </row>
    <row r="1626" spans="1:23" ht="16.5" x14ac:dyDescent="0.3">
      <c r="A1626" t="s">
        <v>1686</v>
      </c>
      <c r="B1626" s="1">
        <v>45545</v>
      </c>
      <c r="C1626">
        <v>2024</v>
      </c>
      <c r="D1626" t="s">
        <v>1255</v>
      </c>
      <c r="E1626" t="s">
        <v>1623</v>
      </c>
      <c r="F1626" t="s">
        <v>37</v>
      </c>
      <c r="G1626" t="s">
        <v>51</v>
      </c>
      <c r="H1626" t="s">
        <v>55</v>
      </c>
      <c r="I1626" t="s">
        <v>29</v>
      </c>
      <c r="J1626" t="s">
        <v>52</v>
      </c>
      <c r="K1626" s="2">
        <v>2750</v>
      </c>
      <c r="L1626" s="2">
        <v>21000</v>
      </c>
      <c r="M1626">
        <v>48</v>
      </c>
      <c r="N1626" s="3">
        <v>0.32200000000000001</v>
      </c>
      <c r="O1626" t="s">
        <v>16</v>
      </c>
      <c r="Q1626">
        <v>1</v>
      </c>
      <c r="R1626">
        <v>0</v>
      </c>
      <c r="S1626" s="2">
        <v>21000</v>
      </c>
      <c r="T1626" s="4">
        <v>0.1186</v>
      </c>
      <c r="U1626">
        <v>4</v>
      </c>
      <c r="V1626">
        <v>0</v>
      </c>
      <c r="W1626">
        <v>1</v>
      </c>
    </row>
    <row r="1627" spans="1:23" ht="16.5" x14ac:dyDescent="0.3">
      <c r="A1627" t="s">
        <v>1687</v>
      </c>
      <c r="B1627" s="1">
        <v>45545</v>
      </c>
      <c r="C1627">
        <v>2024</v>
      </c>
      <c r="D1627" t="s">
        <v>1255</v>
      </c>
      <c r="E1627" t="s">
        <v>1623</v>
      </c>
      <c r="F1627" t="s">
        <v>41</v>
      </c>
      <c r="G1627" t="s">
        <v>51</v>
      </c>
      <c r="H1627" t="s">
        <v>55</v>
      </c>
      <c r="I1627" t="s">
        <v>29</v>
      </c>
      <c r="J1627" t="s">
        <v>30</v>
      </c>
      <c r="K1627" s="2">
        <v>3050</v>
      </c>
      <c r="L1627" s="2">
        <v>77500</v>
      </c>
      <c r="M1627">
        <v>24</v>
      </c>
      <c r="N1627" s="3">
        <v>1.2629999999999999</v>
      </c>
      <c r="O1627" t="s">
        <v>17</v>
      </c>
      <c r="P1627" t="s">
        <v>31</v>
      </c>
      <c r="Q1627">
        <v>0</v>
      </c>
      <c r="R1627">
        <v>1</v>
      </c>
      <c r="S1627" s="2">
        <v>0</v>
      </c>
      <c r="T1627" s="4"/>
      <c r="U1627">
        <v>20</v>
      </c>
      <c r="V1627">
        <v>0</v>
      </c>
      <c r="W1627">
        <v>1</v>
      </c>
    </row>
    <row r="1628" spans="1:23" ht="16.5" x14ac:dyDescent="0.3">
      <c r="A1628" t="s">
        <v>1688</v>
      </c>
      <c r="B1628" s="1">
        <v>45546</v>
      </c>
      <c r="C1628">
        <v>2024</v>
      </c>
      <c r="D1628" t="s">
        <v>1255</v>
      </c>
      <c r="E1628" t="s">
        <v>1623</v>
      </c>
      <c r="F1628" t="s">
        <v>37</v>
      </c>
      <c r="G1628" t="s">
        <v>45</v>
      </c>
      <c r="H1628" t="s">
        <v>38</v>
      </c>
      <c r="I1628" t="s">
        <v>29</v>
      </c>
      <c r="J1628" t="s">
        <v>52</v>
      </c>
      <c r="K1628" s="2">
        <v>3100</v>
      </c>
      <c r="L1628" s="2">
        <v>19000</v>
      </c>
      <c r="M1628">
        <v>24</v>
      </c>
      <c r="N1628" s="3">
        <v>0.504</v>
      </c>
      <c r="O1628" t="s">
        <v>125</v>
      </c>
      <c r="Q1628">
        <v>0</v>
      </c>
      <c r="R1628">
        <v>0</v>
      </c>
      <c r="S1628" s="2">
        <v>0</v>
      </c>
      <c r="T1628" s="4"/>
      <c r="U1628">
        <v>5</v>
      </c>
      <c r="V1628">
        <v>0</v>
      </c>
      <c r="W1628">
        <v>1</v>
      </c>
    </row>
    <row r="1629" spans="1:23" ht="16.5" x14ac:dyDescent="0.3">
      <c r="A1629" t="s">
        <v>1689</v>
      </c>
      <c r="B1629" s="1">
        <v>45546</v>
      </c>
      <c r="C1629">
        <v>2024</v>
      </c>
      <c r="D1629" t="s">
        <v>1255</v>
      </c>
      <c r="E1629" t="s">
        <v>1623</v>
      </c>
      <c r="F1629" t="s">
        <v>37</v>
      </c>
      <c r="G1629" t="s">
        <v>33</v>
      </c>
      <c r="H1629" t="s">
        <v>64</v>
      </c>
      <c r="I1629" t="s">
        <v>42</v>
      </c>
      <c r="J1629" t="s">
        <v>30</v>
      </c>
      <c r="K1629" s="2">
        <v>3150</v>
      </c>
      <c r="L1629" s="2">
        <v>7500</v>
      </c>
      <c r="M1629">
        <v>24</v>
      </c>
      <c r="N1629" s="3">
        <v>0.28999999999999998</v>
      </c>
      <c r="O1629" t="s">
        <v>16</v>
      </c>
      <c r="Q1629">
        <v>1</v>
      </c>
      <c r="R1629">
        <v>0</v>
      </c>
      <c r="S1629" s="2">
        <v>7500</v>
      </c>
      <c r="T1629" s="4">
        <v>0.14030000000000001</v>
      </c>
      <c r="U1629">
        <v>2</v>
      </c>
      <c r="V1629">
        <v>1</v>
      </c>
      <c r="W1629">
        <v>1</v>
      </c>
    </row>
    <row r="1630" spans="1:23" ht="16.5" x14ac:dyDescent="0.3">
      <c r="A1630" t="s">
        <v>1690</v>
      </c>
      <c r="B1630" s="1">
        <v>45546</v>
      </c>
      <c r="C1630">
        <v>2024</v>
      </c>
      <c r="D1630" t="s">
        <v>1255</v>
      </c>
      <c r="E1630" t="s">
        <v>1623</v>
      </c>
      <c r="F1630" t="s">
        <v>37</v>
      </c>
      <c r="G1630" t="s">
        <v>27</v>
      </c>
      <c r="H1630" t="s">
        <v>38</v>
      </c>
      <c r="I1630" t="s">
        <v>39</v>
      </c>
      <c r="J1630" t="s">
        <v>46</v>
      </c>
      <c r="K1630" s="2">
        <v>5400</v>
      </c>
      <c r="L1630" s="2">
        <v>13000</v>
      </c>
      <c r="M1630">
        <v>24</v>
      </c>
      <c r="N1630" s="3">
        <v>0.30399999999999999</v>
      </c>
      <c r="O1630" t="s">
        <v>17</v>
      </c>
      <c r="P1630" t="s">
        <v>60</v>
      </c>
      <c r="Q1630">
        <v>0</v>
      </c>
      <c r="R1630">
        <v>1</v>
      </c>
      <c r="S1630" s="2">
        <v>0</v>
      </c>
      <c r="T1630" s="4"/>
      <c r="U1630">
        <v>6</v>
      </c>
      <c r="V1630">
        <v>0</v>
      </c>
      <c r="W1630">
        <v>1</v>
      </c>
    </row>
    <row r="1631" spans="1:23" ht="16.5" x14ac:dyDescent="0.3">
      <c r="A1631" t="s">
        <v>1691</v>
      </c>
      <c r="B1631" s="1">
        <v>45546</v>
      </c>
      <c r="C1631">
        <v>2024</v>
      </c>
      <c r="D1631" t="s">
        <v>1255</v>
      </c>
      <c r="E1631" t="s">
        <v>1623</v>
      </c>
      <c r="F1631" t="s">
        <v>41</v>
      </c>
      <c r="G1631" t="s">
        <v>27</v>
      </c>
      <c r="H1631" t="s">
        <v>34</v>
      </c>
      <c r="I1631" t="s">
        <v>42</v>
      </c>
      <c r="J1631" t="s">
        <v>52</v>
      </c>
      <c r="K1631" s="2">
        <v>5800</v>
      </c>
      <c r="L1631" s="2">
        <v>168500</v>
      </c>
      <c r="M1631">
        <v>24</v>
      </c>
      <c r="N1631" s="3">
        <v>1.5289999999999999</v>
      </c>
      <c r="O1631" t="s">
        <v>17</v>
      </c>
      <c r="P1631" t="s">
        <v>53</v>
      </c>
      <c r="Q1631">
        <v>0</v>
      </c>
      <c r="R1631">
        <v>1</v>
      </c>
      <c r="S1631" s="2">
        <v>0</v>
      </c>
      <c r="T1631" s="4"/>
      <c r="U1631">
        <v>7</v>
      </c>
      <c r="V1631">
        <v>1</v>
      </c>
      <c r="W1631">
        <v>1</v>
      </c>
    </row>
    <row r="1632" spans="1:23" ht="16.5" x14ac:dyDescent="0.3">
      <c r="A1632" t="s">
        <v>1692</v>
      </c>
      <c r="B1632" s="1">
        <v>45546</v>
      </c>
      <c r="C1632">
        <v>2024</v>
      </c>
      <c r="D1632" t="s">
        <v>1255</v>
      </c>
      <c r="E1632" t="s">
        <v>1623</v>
      </c>
      <c r="F1632" t="s">
        <v>41</v>
      </c>
      <c r="G1632" t="s">
        <v>51</v>
      </c>
      <c r="H1632" t="s">
        <v>38</v>
      </c>
      <c r="I1632" t="s">
        <v>42</v>
      </c>
      <c r="J1632" t="s">
        <v>52</v>
      </c>
      <c r="K1632" s="2">
        <v>5400</v>
      </c>
      <c r="L1632" s="2">
        <v>48500</v>
      </c>
      <c r="M1632">
        <v>36</v>
      </c>
      <c r="N1632" s="3">
        <v>0.47299999999999998</v>
      </c>
      <c r="O1632" t="s">
        <v>17</v>
      </c>
      <c r="P1632" t="s">
        <v>60</v>
      </c>
      <c r="Q1632">
        <v>0</v>
      </c>
      <c r="R1632">
        <v>1</v>
      </c>
      <c r="S1632" s="2">
        <v>0</v>
      </c>
      <c r="T1632" s="4"/>
      <c r="U1632">
        <v>26</v>
      </c>
      <c r="V1632">
        <v>0</v>
      </c>
      <c r="W1632">
        <v>1</v>
      </c>
    </row>
    <row r="1633" spans="1:23" ht="16.5" x14ac:dyDescent="0.3">
      <c r="A1633" t="s">
        <v>1693</v>
      </c>
      <c r="B1633" s="1">
        <v>45546</v>
      </c>
      <c r="C1633">
        <v>2024</v>
      </c>
      <c r="D1633" t="s">
        <v>1255</v>
      </c>
      <c r="E1633" t="s">
        <v>1623</v>
      </c>
      <c r="F1633" t="s">
        <v>26</v>
      </c>
      <c r="G1633" t="s">
        <v>45</v>
      </c>
      <c r="H1633" t="s">
        <v>38</v>
      </c>
      <c r="I1633" t="s">
        <v>29</v>
      </c>
      <c r="J1633" t="s">
        <v>43</v>
      </c>
      <c r="K1633" s="2">
        <v>7400</v>
      </c>
      <c r="L1633" s="2">
        <v>23000</v>
      </c>
      <c r="M1633">
        <v>48</v>
      </c>
      <c r="N1633" s="3">
        <v>0.23300000000000001</v>
      </c>
      <c r="O1633" t="s">
        <v>16</v>
      </c>
      <c r="Q1633">
        <v>1</v>
      </c>
      <c r="R1633">
        <v>0</v>
      </c>
      <c r="S1633" s="2">
        <v>23000</v>
      </c>
      <c r="T1633" s="4">
        <v>0.1166</v>
      </c>
      <c r="U1633">
        <v>3</v>
      </c>
      <c r="V1633">
        <v>1</v>
      </c>
      <c r="W1633">
        <v>1</v>
      </c>
    </row>
    <row r="1634" spans="1:23" ht="16.5" x14ac:dyDescent="0.3">
      <c r="A1634" t="s">
        <v>1694</v>
      </c>
      <c r="B1634" s="1">
        <v>45546</v>
      </c>
      <c r="C1634">
        <v>2024</v>
      </c>
      <c r="D1634" t="s">
        <v>1255</v>
      </c>
      <c r="E1634" t="s">
        <v>1623</v>
      </c>
      <c r="F1634" t="s">
        <v>37</v>
      </c>
      <c r="G1634" t="s">
        <v>51</v>
      </c>
      <c r="H1634" t="s">
        <v>34</v>
      </c>
      <c r="I1634" t="s">
        <v>29</v>
      </c>
      <c r="J1634" t="s">
        <v>46</v>
      </c>
      <c r="K1634" s="2">
        <v>5200</v>
      </c>
      <c r="L1634" s="2">
        <v>11500</v>
      </c>
      <c r="M1634">
        <v>24</v>
      </c>
      <c r="N1634" s="3">
        <v>0.31</v>
      </c>
      <c r="O1634" t="s">
        <v>16</v>
      </c>
      <c r="Q1634">
        <v>1</v>
      </c>
      <c r="R1634">
        <v>0</v>
      </c>
      <c r="S1634" s="2">
        <v>10500</v>
      </c>
      <c r="T1634" s="4">
        <v>0.10680000000000001</v>
      </c>
      <c r="U1634">
        <v>6</v>
      </c>
      <c r="V1634">
        <v>0</v>
      </c>
      <c r="W1634">
        <v>1</v>
      </c>
    </row>
    <row r="1635" spans="1:23" ht="16.5" x14ac:dyDescent="0.3">
      <c r="A1635" t="s">
        <v>1695</v>
      </c>
      <c r="B1635" s="1">
        <v>45546</v>
      </c>
      <c r="C1635">
        <v>2024</v>
      </c>
      <c r="D1635" t="s">
        <v>1255</v>
      </c>
      <c r="E1635" t="s">
        <v>1623</v>
      </c>
      <c r="F1635" t="s">
        <v>37</v>
      </c>
      <c r="G1635" t="s">
        <v>51</v>
      </c>
      <c r="H1635" t="s">
        <v>38</v>
      </c>
      <c r="I1635" t="s">
        <v>42</v>
      </c>
      <c r="J1635" t="s">
        <v>30</v>
      </c>
      <c r="K1635" s="2">
        <v>7000</v>
      </c>
      <c r="L1635" s="2">
        <v>6500</v>
      </c>
      <c r="M1635">
        <v>24</v>
      </c>
      <c r="N1635" s="3">
        <v>0.155</v>
      </c>
      <c r="O1635" t="s">
        <v>17</v>
      </c>
      <c r="P1635" t="s">
        <v>65</v>
      </c>
      <c r="Q1635">
        <v>0</v>
      </c>
      <c r="R1635">
        <v>1</v>
      </c>
      <c r="S1635" s="2">
        <v>0</v>
      </c>
      <c r="T1635" s="4"/>
      <c r="U1635">
        <v>4</v>
      </c>
      <c r="V1635">
        <v>0</v>
      </c>
      <c r="W1635">
        <v>1</v>
      </c>
    </row>
    <row r="1636" spans="1:23" ht="16.5" x14ac:dyDescent="0.3">
      <c r="A1636" t="s">
        <v>1696</v>
      </c>
      <c r="B1636" s="1">
        <v>45546</v>
      </c>
      <c r="C1636">
        <v>2024</v>
      </c>
      <c r="D1636" t="s">
        <v>1255</v>
      </c>
      <c r="E1636" t="s">
        <v>1623</v>
      </c>
      <c r="F1636" t="s">
        <v>26</v>
      </c>
      <c r="G1636" t="s">
        <v>51</v>
      </c>
      <c r="H1636" t="s">
        <v>55</v>
      </c>
      <c r="I1636" t="s">
        <v>29</v>
      </c>
      <c r="J1636" t="s">
        <v>46</v>
      </c>
      <c r="K1636" s="2">
        <v>4950</v>
      </c>
      <c r="L1636" s="2">
        <v>50500</v>
      </c>
      <c r="M1636">
        <v>48</v>
      </c>
      <c r="N1636" s="3">
        <v>0.374</v>
      </c>
      <c r="O1636" t="s">
        <v>16</v>
      </c>
      <c r="Q1636">
        <v>1</v>
      </c>
      <c r="R1636">
        <v>0</v>
      </c>
      <c r="S1636" s="2">
        <v>50500</v>
      </c>
      <c r="T1636" s="4">
        <v>6.9400000000000003E-2</v>
      </c>
      <c r="U1636">
        <v>6</v>
      </c>
      <c r="V1636">
        <v>0</v>
      </c>
      <c r="W1636">
        <v>1</v>
      </c>
    </row>
    <row r="1637" spans="1:23" ht="16.5" x14ac:dyDescent="0.3">
      <c r="A1637" t="s">
        <v>1697</v>
      </c>
      <c r="B1637" s="1">
        <v>45546</v>
      </c>
      <c r="C1637">
        <v>2024</v>
      </c>
      <c r="D1637" t="s">
        <v>1255</v>
      </c>
      <c r="E1637" t="s">
        <v>1623</v>
      </c>
      <c r="F1637" t="s">
        <v>26</v>
      </c>
      <c r="G1637" t="s">
        <v>51</v>
      </c>
      <c r="H1637" t="s">
        <v>34</v>
      </c>
      <c r="I1637" t="s">
        <v>29</v>
      </c>
      <c r="J1637" t="s">
        <v>35</v>
      </c>
      <c r="K1637" s="2">
        <v>5050</v>
      </c>
      <c r="L1637" s="2">
        <v>31000</v>
      </c>
      <c r="M1637">
        <v>36</v>
      </c>
      <c r="N1637" s="3">
        <v>0.38</v>
      </c>
      <c r="O1637" t="s">
        <v>16</v>
      </c>
      <c r="Q1637">
        <v>1</v>
      </c>
      <c r="R1637">
        <v>0</v>
      </c>
      <c r="S1637" s="2">
        <v>25000</v>
      </c>
      <c r="T1637" s="4">
        <v>7.8600000000000003E-2</v>
      </c>
      <c r="U1637">
        <v>6</v>
      </c>
      <c r="V1637">
        <v>0</v>
      </c>
      <c r="W1637">
        <v>1</v>
      </c>
    </row>
    <row r="1638" spans="1:23" ht="16.5" x14ac:dyDescent="0.3">
      <c r="A1638" t="s">
        <v>1698</v>
      </c>
      <c r="B1638" s="1">
        <v>45547</v>
      </c>
      <c r="C1638">
        <v>2024</v>
      </c>
      <c r="D1638" t="s">
        <v>1255</v>
      </c>
      <c r="E1638" t="s">
        <v>1623</v>
      </c>
      <c r="F1638" t="s">
        <v>37</v>
      </c>
      <c r="G1638" t="s">
        <v>27</v>
      </c>
      <c r="H1638" t="s">
        <v>64</v>
      </c>
      <c r="I1638" t="s">
        <v>29</v>
      </c>
      <c r="J1638" t="s">
        <v>30</v>
      </c>
      <c r="K1638" s="2">
        <v>10550</v>
      </c>
      <c r="L1638" s="2">
        <v>11500</v>
      </c>
      <c r="M1638">
        <v>48</v>
      </c>
      <c r="N1638" s="3">
        <v>0.23400000000000001</v>
      </c>
      <c r="O1638" t="s">
        <v>125</v>
      </c>
      <c r="Q1638">
        <v>0</v>
      </c>
      <c r="R1638">
        <v>0</v>
      </c>
      <c r="S1638" s="2">
        <v>0</v>
      </c>
      <c r="T1638" s="4"/>
      <c r="U1638">
        <v>4</v>
      </c>
      <c r="V1638">
        <v>0</v>
      </c>
      <c r="W1638">
        <v>1</v>
      </c>
    </row>
    <row r="1639" spans="1:23" ht="16.5" x14ac:dyDescent="0.3">
      <c r="A1639" t="s">
        <v>1699</v>
      </c>
      <c r="B1639" s="1">
        <v>45547</v>
      </c>
      <c r="C1639">
        <v>2024</v>
      </c>
      <c r="D1639" t="s">
        <v>1255</v>
      </c>
      <c r="E1639" t="s">
        <v>1623</v>
      </c>
      <c r="F1639" t="s">
        <v>41</v>
      </c>
      <c r="G1639" t="s">
        <v>45</v>
      </c>
      <c r="H1639" t="s">
        <v>28</v>
      </c>
      <c r="I1639" t="s">
        <v>42</v>
      </c>
      <c r="J1639" t="s">
        <v>52</v>
      </c>
      <c r="K1639" s="2">
        <v>8050</v>
      </c>
      <c r="L1639" s="2">
        <v>45500</v>
      </c>
      <c r="M1639">
        <v>36</v>
      </c>
      <c r="N1639" s="3">
        <v>0.27700000000000002</v>
      </c>
      <c r="O1639" t="s">
        <v>16</v>
      </c>
      <c r="Q1639">
        <v>1</v>
      </c>
      <c r="R1639">
        <v>0</v>
      </c>
      <c r="S1639" s="2">
        <v>45500</v>
      </c>
      <c r="T1639" s="4">
        <v>9.8799999999999999E-2</v>
      </c>
      <c r="U1639">
        <v>7</v>
      </c>
      <c r="V1639">
        <v>1</v>
      </c>
      <c r="W1639">
        <v>1</v>
      </c>
    </row>
    <row r="1640" spans="1:23" ht="16.5" x14ac:dyDescent="0.3">
      <c r="A1640" t="s">
        <v>1700</v>
      </c>
      <c r="B1640" s="1">
        <v>45547</v>
      </c>
      <c r="C1640">
        <v>2024</v>
      </c>
      <c r="D1640" t="s">
        <v>1255</v>
      </c>
      <c r="E1640" t="s">
        <v>1623</v>
      </c>
      <c r="F1640" t="s">
        <v>37</v>
      </c>
      <c r="G1640" t="s">
        <v>51</v>
      </c>
      <c r="H1640" t="s">
        <v>34</v>
      </c>
      <c r="I1640" t="s">
        <v>29</v>
      </c>
      <c r="J1640" t="s">
        <v>30</v>
      </c>
      <c r="K1640" s="2">
        <v>5750</v>
      </c>
      <c r="L1640" s="2">
        <v>13000</v>
      </c>
      <c r="M1640">
        <v>24</v>
      </c>
      <c r="N1640" s="3">
        <v>0.314</v>
      </c>
      <c r="O1640" t="s">
        <v>17</v>
      </c>
      <c r="P1640" t="s">
        <v>65</v>
      </c>
      <c r="Q1640">
        <v>0</v>
      </c>
      <c r="R1640">
        <v>1</v>
      </c>
      <c r="S1640" s="2">
        <v>0</v>
      </c>
      <c r="T1640" s="4"/>
      <c r="U1640">
        <v>10</v>
      </c>
      <c r="V1640">
        <v>0</v>
      </c>
      <c r="W1640">
        <v>1</v>
      </c>
    </row>
    <row r="1641" spans="1:23" ht="16.5" x14ac:dyDescent="0.3">
      <c r="A1641" t="s">
        <v>1701</v>
      </c>
      <c r="B1641" s="1">
        <v>45547</v>
      </c>
      <c r="C1641">
        <v>2024</v>
      </c>
      <c r="D1641" t="s">
        <v>1255</v>
      </c>
      <c r="E1641" t="s">
        <v>1623</v>
      </c>
      <c r="F1641" t="s">
        <v>26</v>
      </c>
      <c r="G1641" t="s">
        <v>51</v>
      </c>
      <c r="H1641" t="s">
        <v>38</v>
      </c>
      <c r="I1641" t="s">
        <v>39</v>
      </c>
      <c r="J1641" t="s">
        <v>30</v>
      </c>
      <c r="K1641" s="2">
        <v>7250</v>
      </c>
      <c r="L1641" s="2">
        <v>23000</v>
      </c>
      <c r="M1641">
        <v>60</v>
      </c>
      <c r="N1641" s="3">
        <v>0.16200000000000001</v>
      </c>
      <c r="O1641" t="s">
        <v>16</v>
      </c>
      <c r="Q1641">
        <v>1</v>
      </c>
      <c r="R1641">
        <v>0</v>
      </c>
      <c r="S1641" s="2">
        <v>20500</v>
      </c>
      <c r="T1641" s="4">
        <v>9.3600000000000003E-2</v>
      </c>
      <c r="U1641">
        <v>5</v>
      </c>
      <c r="V1641">
        <v>0</v>
      </c>
      <c r="W1641">
        <v>1</v>
      </c>
    </row>
    <row r="1642" spans="1:23" ht="16.5" x14ac:dyDescent="0.3">
      <c r="A1642" t="s">
        <v>1702</v>
      </c>
      <c r="B1642" s="1">
        <v>45547</v>
      </c>
      <c r="C1642">
        <v>2024</v>
      </c>
      <c r="D1642" t="s">
        <v>1255</v>
      </c>
      <c r="E1642" t="s">
        <v>1623</v>
      </c>
      <c r="F1642" t="s">
        <v>41</v>
      </c>
      <c r="G1642" t="s">
        <v>45</v>
      </c>
      <c r="H1642" t="s">
        <v>55</v>
      </c>
      <c r="I1642" t="s">
        <v>42</v>
      </c>
      <c r="J1642" t="s">
        <v>35</v>
      </c>
      <c r="K1642" s="2">
        <v>5200</v>
      </c>
      <c r="L1642" s="2">
        <v>47500</v>
      </c>
      <c r="M1642">
        <v>60</v>
      </c>
      <c r="N1642" s="3">
        <v>0.32800000000000001</v>
      </c>
      <c r="O1642" t="s">
        <v>16</v>
      </c>
      <c r="Q1642">
        <v>1</v>
      </c>
      <c r="R1642">
        <v>0</v>
      </c>
      <c r="S1642" s="2">
        <v>47500</v>
      </c>
      <c r="T1642" s="4">
        <v>0.10589999999999999</v>
      </c>
      <c r="U1642">
        <v>4</v>
      </c>
      <c r="V1642">
        <v>1</v>
      </c>
      <c r="W1642">
        <v>1</v>
      </c>
    </row>
    <row r="1643" spans="1:23" ht="16.5" x14ac:dyDescent="0.3">
      <c r="A1643" t="s">
        <v>1703</v>
      </c>
      <c r="B1643" s="1">
        <v>45547</v>
      </c>
      <c r="C1643">
        <v>2024</v>
      </c>
      <c r="D1643" t="s">
        <v>1255</v>
      </c>
      <c r="E1643" t="s">
        <v>1623</v>
      </c>
      <c r="F1643" t="s">
        <v>37</v>
      </c>
      <c r="G1643" t="s">
        <v>51</v>
      </c>
      <c r="H1643" t="s">
        <v>55</v>
      </c>
      <c r="I1643" t="s">
        <v>29</v>
      </c>
      <c r="J1643" t="s">
        <v>46</v>
      </c>
      <c r="K1643" s="2">
        <v>2450</v>
      </c>
      <c r="L1643" s="2">
        <v>15500</v>
      </c>
      <c r="M1643">
        <v>48</v>
      </c>
      <c r="N1643" s="3">
        <v>0.311</v>
      </c>
      <c r="O1643" t="s">
        <v>17</v>
      </c>
      <c r="P1643" t="s">
        <v>60</v>
      </c>
      <c r="Q1643">
        <v>0</v>
      </c>
      <c r="R1643">
        <v>1</v>
      </c>
      <c r="S1643" s="2">
        <v>0</v>
      </c>
      <c r="T1643" s="4"/>
      <c r="U1643">
        <v>9</v>
      </c>
      <c r="V1643">
        <v>0</v>
      </c>
      <c r="W1643">
        <v>1</v>
      </c>
    </row>
    <row r="1644" spans="1:23" ht="16.5" x14ac:dyDescent="0.3">
      <c r="A1644" t="s">
        <v>1704</v>
      </c>
      <c r="B1644" s="1">
        <v>45547</v>
      </c>
      <c r="C1644">
        <v>2024</v>
      </c>
      <c r="D1644" t="s">
        <v>1255</v>
      </c>
      <c r="E1644" t="s">
        <v>1623</v>
      </c>
      <c r="F1644" t="s">
        <v>26</v>
      </c>
      <c r="G1644" t="s">
        <v>51</v>
      </c>
      <c r="H1644" t="s">
        <v>34</v>
      </c>
      <c r="I1644" t="s">
        <v>29</v>
      </c>
      <c r="J1644" t="s">
        <v>43</v>
      </c>
      <c r="K1644" s="2">
        <v>4250</v>
      </c>
      <c r="L1644" s="2">
        <v>22000</v>
      </c>
      <c r="M1644">
        <v>36</v>
      </c>
      <c r="N1644" s="3">
        <v>0.38700000000000001</v>
      </c>
      <c r="O1644" t="s">
        <v>17</v>
      </c>
      <c r="P1644" t="s">
        <v>31</v>
      </c>
      <c r="Q1644">
        <v>0</v>
      </c>
      <c r="R1644">
        <v>1</v>
      </c>
      <c r="S1644" s="2">
        <v>0</v>
      </c>
      <c r="T1644" s="4"/>
      <c r="U1644">
        <v>7</v>
      </c>
      <c r="V1644">
        <v>0</v>
      </c>
      <c r="W1644">
        <v>1</v>
      </c>
    </row>
    <row r="1645" spans="1:23" ht="16.5" x14ac:dyDescent="0.3">
      <c r="A1645" t="s">
        <v>1705</v>
      </c>
      <c r="B1645" s="1">
        <v>45548</v>
      </c>
      <c r="C1645">
        <v>2024</v>
      </c>
      <c r="D1645" t="s">
        <v>1255</v>
      </c>
      <c r="E1645" t="s">
        <v>1623</v>
      </c>
      <c r="F1645" t="s">
        <v>50</v>
      </c>
      <c r="G1645" t="s">
        <v>51</v>
      </c>
      <c r="H1645" t="s">
        <v>38</v>
      </c>
      <c r="I1645" t="s">
        <v>42</v>
      </c>
      <c r="J1645" t="s">
        <v>35</v>
      </c>
      <c r="K1645" s="2">
        <v>7400</v>
      </c>
      <c r="L1645" s="2">
        <v>510000</v>
      </c>
      <c r="M1645">
        <v>240</v>
      </c>
      <c r="N1645" s="3">
        <v>0.68799999999999994</v>
      </c>
      <c r="O1645" t="s">
        <v>17</v>
      </c>
      <c r="P1645" t="s">
        <v>53</v>
      </c>
      <c r="Q1645">
        <v>0</v>
      </c>
      <c r="R1645">
        <v>1</v>
      </c>
      <c r="S1645" s="2">
        <v>0</v>
      </c>
      <c r="T1645" s="4"/>
      <c r="U1645">
        <v>18</v>
      </c>
      <c r="V1645">
        <v>0</v>
      </c>
      <c r="W1645">
        <v>1</v>
      </c>
    </row>
    <row r="1646" spans="1:23" ht="16.5" x14ac:dyDescent="0.3">
      <c r="A1646" t="s">
        <v>1706</v>
      </c>
      <c r="B1646" s="1">
        <v>45548</v>
      </c>
      <c r="C1646">
        <v>2024</v>
      </c>
      <c r="D1646" t="s">
        <v>1255</v>
      </c>
      <c r="E1646" t="s">
        <v>1623</v>
      </c>
      <c r="F1646" t="s">
        <v>50</v>
      </c>
      <c r="G1646" t="s">
        <v>27</v>
      </c>
      <c r="H1646" t="s">
        <v>34</v>
      </c>
      <c r="I1646" t="s">
        <v>29</v>
      </c>
      <c r="J1646" t="s">
        <v>43</v>
      </c>
      <c r="K1646" s="2">
        <v>2150</v>
      </c>
      <c r="L1646" s="2">
        <v>141500</v>
      </c>
      <c r="M1646">
        <v>240</v>
      </c>
      <c r="N1646" s="3">
        <v>0.57199999999999995</v>
      </c>
      <c r="O1646" t="s">
        <v>125</v>
      </c>
      <c r="Q1646">
        <v>0</v>
      </c>
      <c r="R1646">
        <v>0</v>
      </c>
      <c r="S1646" s="2">
        <v>0</v>
      </c>
      <c r="T1646" s="4"/>
      <c r="U1646">
        <v>12</v>
      </c>
      <c r="V1646">
        <v>1</v>
      </c>
      <c r="W1646">
        <v>1</v>
      </c>
    </row>
    <row r="1647" spans="1:23" ht="16.5" x14ac:dyDescent="0.3">
      <c r="A1647" t="s">
        <v>1707</v>
      </c>
      <c r="B1647" s="1">
        <v>45548</v>
      </c>
      <c r="C1647">
        <v>2024</v>
      </c>
      <c r="D1647" t="s">
        <v>1255</v>
      </c>
      <c r="E1647" t="s">
        <v>1623</v>
      </c>
      <c r="F1647" t="s">
        <v>37</v>
      </c>
      <c r="G1647" t="s">
        <v>45</v>
      </c>
      <c r="H1647" t="s">
        <v>38</v>
      </c>
      <c r="I1647" t="s">
        <v>39</v>
      </c>
      <c r="J1647" t="s">
        <v>52</v>
      </c>
      <c r="K1647" s="2">
        <v>6950</v>
      </c>
      <c r="L1647" s="2">
        <v>16000</v>
      </c>
      <c r="M1647">
        <v>12</v>
      </c>
      <c r="N1647" s="3">
        <v>0.27</v>
      </c>
      <c r="O1647" t="s">
        <v>16</v>
      </c>
      <c r="Q1647">
        <v>1</v>
      </c>
      <c r="R1647">
        <v>0</v>
      </c>
      <c r="S1647" s="2">
        <v>16000</v>
      </c>
      <c r="T1647" s="4">
        <v>0.1172</v>
      </c>
      <c r="U1647">
        <v>2</v>
      </c>
      <c r="V1647">
        <v>1</v>
      </c>
      <c r="W1647">
        <v>1</v>
      </c>
    </row>
    <row r="1648" spans="1:23" ht="16.5" x14ac:dyDescent="0.3">
      <c r="A1648" t="s">
        <v>1708</v>
      </c>
      <c r="B1648" s="1">
        <v>45548</v>
      </c>
      <c r="C1648">
        <v>2024</v>
      </c>
      <c r="D1648" t="s">
        <v>1255</v>
      </c>
      <c r="E1648" t="s">
        <v>1623</v>
      </c>
      <c r="F1648" t="s">
        <v>26</v>
      </c>
      <c r="G1648" t="s">
        <v>51</v>
      </c>
      <c r="H1648" t="s">
        <v>55</v>
      </c>
      <c r="I1648" t="s">
        <v>39</v>
      </c>
      <c r="J1648" t="s">
        <v>30</v>
      </c>
      <c r="K1648" s="2">
        <v>3450</v>
      </c>
      <c r="L1648" s="2">
        <v>24000</v>
      </c>
      <c r="M1648">
        <v>36</v>
      </c>
      <c r="N1648" s="3">
        <v>0.36</v>
      </c>
      <c r="O1648" t="s">
        <v>16</v>
      </c>
      <c r="Q1648">
        <v>1</v>
      </c>
      <c r="R1648">
        <v>0</v>
      </c>
      <c r="S1648" s="2">
        <v>24000</v>
      </c>
      <c r="T1648" s="4">
        <v>9.5100000000000004E-2</v>
      </c>
      <c r="U1648">
        <v>10</v>
      </c>
      <c r="V1648">
        <v>0</v>
      </c>
      <c r="W1648">
        <v>1</v>
      </c>
    </row>
    <row r="1649" spans="1:23" ht="16.5" x14ac:dyDescent="0.3">
      <c r="A1649" t="s">
        <v>1709</v>
      </c>
      <c r="B1649" s="1">
        <v>45548</v>
      </c>
      <c r="C1649">
        <v>2024</v>
      </c>
      <c r="D1649" t="s">
        <v>1255</v>
      </c>
      <c r="E1649" t="s">
        <v>1623</v>
      </c>
      <c r="F1649" t="s">
        <v>37</v>
      </c>
      <c r="G1649" t="s">
        <v>27</v>
      </c>
      <c r="H1649" t="s">
        <v>34</v>
      </c>
      <c r="I1649" t="s">
        <v>39</v>
      </c>
      <c r="J1649" t="s">
        <v>52</v>
      </c>
      <c r="K1649" s="2">
        <v>6550</v>
      </c>
      <c r="L1649" s="2">
        <v>6000</v>
      </c>
      <c r="M1649">
        <v>36</v>
      </c>
      <c r="N1649" s="3">
        <v>0.254</v>
      </c>
      <c r="O1649" t="s">
        <v>16</v>
      </c>
      <c r="Q1649">
        <v>1</v>
      </c>
      <c r="R1649">
        <v>0</v>
      </c>
      <c r="S1649" s="2">
        <v>6000</v>
      </c>
      <c r="T1649" s="4">
        <v>0.1166</v>
      </c>
      <c r="U1649">
        <v>6</v>
      </c>
      <c r="V1649">
        <v>0</v>
      </c>
      <c r="W1649">
        <v>1</v>
      </c>
    </row>
    <row r="1650" spans="1:23" ht="16.5" x14ac:dyDescent="0.3">
      <c r="A1650" t="s">
        <v>1710</v>
      </c>
      <c r="B1650" s="1">
        <v>45548</v>
      </c>
      <c r="C1650">
        <v>2024</v>
      </c>
      <c r="D1650" t="s">
        <v>1255</v>
      </c>
      <c r="E1650" t="s">
        <v>1623</v>
      </c>
      <c r="F1650" t="s">
        <v>41</v>
      </c>
      <c r="G1650" t="s">
        <v>51</v>
      </c>
      <c r="H1650" t="s">
        <v>64</v>
      </c>
      <c r="I1650" t="s">
        <v>29</v>
      </c>
      <c r="J1650" t="s">
        <v>52</v>
      </c>
      <c r="K1650" s="2">
        <v>2350</v>
      </c>
      <c r="L1650" s="2">
        <v>50500</v>
      </c>
      <c r="M1650">
        <v>60</v>
      </c>
      <c r="N1650" s="3">
        <v>0.52100000000000002</v>
      </c>
      <c r="O1650" t="s">
        <v>16</v>
      </c>
      <c r="Q1650">
        <v>1</v>
      </c>
      <c r="R1650">
        <v>0</v>
      </c>
      <c r="S1650" s="2">
        <v>45500</v>
      </c>
      <c r="T1650" s="4">
        <v>9.7199999999999995E-2</v>
      </c>
      <c r="U1650">
        <v>10</v>
      </c>
      <c r="V1650">
        <v>1</v>
      </c>
      <c r="W1650">
        <v>1</v>
      </c>
    </row>
    <row r="1651" spans="1:23" ht="16.5" x14ac:dyDescent="0.3">
      <c r="A1651" t="s">
        <v>1711</v>
      </c>
      <c r="B1651" s="1">
        <v>45548</v>
      </c>
      <c r="C1651">
        <v>2024</v>
      </c>
      <c r="D1651" t="s">
        <v>1255</v>
      </c>
      <c r="E1651" t="s">
        <v>1623</v>
      </c>
      <c r="F1651" t="s">
        <v>50</v>
      </c>
      <c r="G1651" t="s">
        <v>51</v>
      </c>
      <c r="H1651" t="s">
        <v>55</v>
      </c>
      <c r="I1651" t="s">
        <v>39</v>
      </c>
      <c r="J1651" t="s">
        <v>35</v>
      </c>
      <c r="K1651" s="2">
        <v>6050</v>
      </c>
      <c r="L1651" s="2">
        <v>162500</v>
      </c>
      <c r="M1651">
        <v>240</v>
      </c>
      <c r="N1651" s="3">
        <v>0.315</v>
      </c>
      <c r="O1651" t="s">
        <v>16</v>
      </c>
      <c r="Q1651">
        <v>1</v>
      </c>
      <c r="R1651">
        <v>0</v>
      </c>
      <c r="S1651" s="2">
        <v>162500</v>
      </c>
      <c r="T1651" s="4">
        <v>5.8599999999999999E-2</v>
      </c>
      <c r="U1651">
        <v>31</v>
      </c>
      <c r="V1651">
        <v>0</v>
      </c>
      <c r="W1651">
        <v>1</v>
      </c>
    </row>
    <row r="1652" spans="1:23" ht="16.5" x14ac:dyDescent="0.3">
      <c r="A1652" t="s">
        <v>1712</v>
      </c>
      <c r="B1652" s="1">
        <v>45549</v>
      </c>
      <c r="C1652">
        <v>2024</v>
      </c>
      <c r="D1652" t="s">
        <v>1255</v>
      </c>
      <c r="E1652" t="s">
        <v>1623</v>
      </c>
      <c r="F1652" t="s">
        <v>50</v>
      </c>
      <c r="G1652" t="s">
        <v>33</v>
      </c>
      <c r="H1652" t="s">
        <v>55</v>
      </c>
      <c r="I1652" t="s">
        <v>39</v>
      </c>
      <c r="J1652" t="s">
        <v>30</v>
      </c>
      <c r="K1652" s="2">
        <v>4950</v>
      </c>
      <c r="L1652" s="2">
        <v>246500</v>
      </c>
      <c r="M1652">
        <v>300</v>
      </c>
      <c r="N1652" s="3">
        <v>0.47499999999999998</v>
      </c>
      <c r="O1652" t="s">
        <v>16</v>
      </c>
      <c r="Q1652">
        <v>1</v>
      </c>
      <c r="R1652">
        <v>0</v>
      </c>
      <c r="S1652" s="2">
        <v>246500</v>
      </c>
      <c r="T1652" s="4">
        <v>7.5800000000000006E-2</v>
      </c>
      <c r="U1652">
        <v>12</v>
      </c>
      <c r="V1652">
        <v>1</v>
      </c>
      <c r="W1652">
        <v>1</v>
      </c>
    </row>
    <row r="1653" spans="1:23" ht="16.5" x14ac:dyDescent="0.3">
      <c r="A1653" t="s">
        <v>1713</v>
      </c>
      <c r="B1653" s="1">
        <v>45549</v>
      </c>
      <c r="C1653">
        <v>2024</v>
      </c>
      <c r="D1653" t="s">
        <v>1255</v>
      </c>
      <c r="E1653" t="s">
        <v>1623</v>
      </c>
      <c r="F1653" t="s">
        <v>37</v>
      </c>
      <c r="G1653" t="s">
        <v>51</v>
      </c>
      <c r="H1653" t="s">
        <v>64</v>
      </c>
      <c r="I1653" t="s">
        <v>39</v>
      </c>
      <c r="J1653" t="s">
        <v>30</v>
      </c>
      <c r="K1653" s="2">
        <v>21700</v>
      </c>
      <c r="L1653" s="2">
        <v>29500</v>
      </c>
      <c r="M1653">
        <v>48</v>
      </c>
      <c r="N1653" s="3">
        <v>9.4E-2</v>
      </c>
      <c r="O1653" t="s">
        <v>16</v>
      </c>
      <c r="Q1653">
        <v>1</v>
      </c>
      <c r="R1653">
        <v>0</v>
      </c>
      <c r="S1653" s="2">
        <v>23500</v>
      </c>
      <c r="T1653" s="4">
        <v>0.1429</v>
      </c>
      <c r="U1653">
        <v>4</v>
      </c>
      <c r="V1653">
        <v>0</v>
      </c>
      <c r="W1653">
        <v>1</v>
      </c>
    </row>
    <row r="1654" spans="1:23" ht="16.5" x14ac:dyDescent="0.3">
      <c r="A1654" t="s">
        <v>1714</v>
      </c>
      <c r="B1654" s="1">
        <v>45549</v>
      </c>
      <c r="C1654">
        <v>2024</v>
      </c>
      <c r="D1654" t="s">
        <v>1255</v>
      </c>
      <c r="E1654" t="s">
        <v>1623</v>
      </c>
      <c r="F1654" t="s">
        <v>50</v>
      </c>
      <c r="G1654" t="s">
        <v>33</v>
      </c>
      <c r="H1654" t="s">
        <v>64</v>
      </c>
      <c r="I1654" t="s">
        <v>29</v>
      </c>
      <c r="J1654" t="s">
        <v>43</v>
      </c>
      <c r="K1654" s="2">
        <v>2350</v>
      </c>
      <c r="L1654" s="2">
        <v>96000</v>
      </c>
      <c r="M1654">
        <v>180</v>
      </c>
      <c r="N1654" s="3">
        <v>0.51200000000000001</v>
      </c>
      <c r="O1654" t="s">
        <v>16</v>
      </c>
      <c r="Q1654">
        <v>1</v>
      </c>
      <c r="R1654">
        <v>0</v>
      </c>
      <c r="S1654" s="2">
        <v>96000</v>
      </c>
      <c r="T1654" s="4">
        <v>8.8999999999999996E-2</v>
      </c>
      <c r="U1654">
        <v>10</v>
      </c>
      <c r="V1654">
        <v>1</v>
      </c>
      <c r="W1654">
        <v>1</v>
      </c>
    </row>
    <row r="1655" spans="1:23" ht="16.5" x14ac:dyDescent="0.3">
      <c r="A1655" t="s">
        <v>1715</v>
      </c>
      <c r="B1655" s="1">
        <v>45549</v>
      </c>
      <c r="C1655">
        <v>2024</v>
      </c>
      <c r="D1655" t="s">
        <v>1255</v>
      </c>
      <c r="E1655" t="s">
        <v>1623</v>
      </c>
      <c r="F1655" t="s">
        <v>50</v>
      </c>
      <c r="G1655" t="s">
        <v>51</v>
      </c>
      <c r="H1655" t="s">
        <v>38</v>
      </c>
      <c r="I1655" t="s">
        <v>29</v>
      </c>
      <c r="J1655" t="s">
        <v>35</v>
      </c>
      <c r="K1655" s="2">
        <v>8950</v>
      </c>
      <c r="L1655" s="2">
        <v>214500</v>
      </c>
      <c r="M1655">
        <v>240</v>
      </c>
      <c r="N1655" s="3">
        <v>0.218</v>
      </c>
      <c r="O1655" t="s">
        <v>16</v>
      </c>
      <c r="Q1655">
        <v>1</v>
      </c>
      <c r="R1655">
        <v>0</v>
      </c>
      <c r="S1655" s="2">
        <v>171500</v>
      </c>
      <c r="T1655" s="4">
        <v>5.7799999999999997E-2</v>
      </c>
      <c r="U1655">
        <v>25</v>
      </c>
      <c r="V1655">
        <v>0</v>
      </c>
      <c r="W1655">
        <v>1</v>
      </c>
    </row>
    <row r="1656" spans="1:23" ht="16.5" x14ac:dyDescent="0.3">
      <c r="A1656" t="s">
        <v>1716</v>
      </c>
      <c r="B1656" s="1">
        <v>45549</v>
      </c>
      <c r="C1656">
        <v>2024</v>
      </c>
      <c r="D1656" t="s">
        <v>1255</v>
      </c>
      <c r="E1656" t="s">
        <v>1623</v>
      </c>
      <c r="F1656" t="s">
        <v>37</v>
      </c>
      <c r="G1656" t="s">
        <v>33</v>
      </c>
      <c r="H1656" t="s">
        <v>34</v>
      </c>
      <c r="I1656" t="s">
        <v>39</v>
      </c>
      <c r="J1656" t="s">
        <v>30</v>
      </c>
      <c r="K1656" s="2">
        <v>3350</v>
      </c>
      <c r="L1656" s="2">
        <v>16000</v>
      </c>
      <c r="M1656">
        <v>48</v>
      </c>
      <c r="N1656" s="3">
        <v>0.34200000000000003</v>
      </c>
      <c r="O1656" t="s">
        <v>17</v>
      </c>
      <c r="P1656" t="s">
        <v>31</v>
      </c>
      <c r="Q1656">
        <v>0</v>
      </c>
      <c r="R1656">
        <v>1</v>
      </c>
      <c r="S1656" s="2">
        <v>0</v>
      </c>
      <c r="T1656" s="4"/>
      <c r="U1656">
        <v>1</v>
      </c>
      <c r="V1656">
        <v>1</v>
      </c>
      <c r="W1656">
        <v>1</v>
      </c>
    </row>
    <row r="1657" spans="1:23" ht="16.5" x14ac:dyDescent="0.3">
      <c r="A1657" t="s">
        <v>1717</v>
      </c>
      <c r="B1657" s="1">
        <v>45549</v>
      </c>
      <c r="C1657">
        <v>2024</v>
      </c>
      <c r="D1657" t="s">
        <v>1255</v>
      </c>
      <c r="E1657" t="s">
        <v>1623</v>
      </c>
      <c r="F1657" t="s">
        <v>37</v>
      </c>
      <c r="G1657" t="s">
        <v>33</v>
      </c>
      <c r="H1657" t="s">
        <v>38</v>
      </c>
      <c r="I1657" t="s">
        <v>29</v>
      </c>
      <c r="J1657" t="s">
        <v>43</v>
      </c>
      <c r="K1657" s="2">
        <v>6000</v>
      </c>
      <c r="L1657" s="2">
        <v>15500</v>
      </c>
      <c r="M1657">
        <v>36</v>
      </c>
      <c r="N1657" s="3">
        <v>0.27200000000000002</v>
      </c>
      <c r="O1657" t="s">
        <v>17</v>
      </c>
      <c r="P1657" t="s">
        <v>31</v>
      </c>
      <c r="Q1657">
        <v>0</v>
      </c>
      <c r="R1657">
        <v>1</v>
      </c>
      <c r="S1657" s="2">
        <v>0</v>
      </c>
      <c r="T1657" s="4"/>
      <c r="U1657">
        <v>1</v>
      </c>
      <c r="V1657">
        <v>1</v>
      </c>
      <c r="W1657">
        <v>1</v>
      </c>
    </row>
    <row r="1658" spans="1:23" ht="16.5" x14ac:dyDescent="0.3">
      <c r="A1658" t="s">
        <v>1718</v>
      </c>
      <c r="B1658" s="1">
        <v>45549</v>
      </c>
      <c r="C1658">
        <v>2024</v>
      </c>
      <c r="D1658" t="s">
        <v>1255</v>
      </c>
      <c r="E1658" t="s">
        <v>1623</v>
      </c>
      <c r="F1658" t="s">
        <v>26</v>
      </c>
      <c r="G1658" t="s">
        <v>51</v>
      </c>
      <c r="H1658" t="s">
        <v>55</v>
      </c>
      <c r="I1658" t="s">
        <v>42</v>
      </c>
      <c r="J1658" t="s">
        <v>43</v>
      </c>
      <c r="K1658" s="2">
        <v>4250</v>
      </c>
      <c r="L1658" s="2">
        <v>43000</v>
      </c>
      <c r="M1658">
        <v>60</v>
      </c>
      <c r="N1658" s="3">
        <v>0.42799999999999999</v>
      </c>
      <c r="O1658" t="s">
        <v>17</v>
      </c>
      <c r="P1658" t="s">
        <v>31</v>
      </c>
      <c r="Q1658">
        <v>0</v>
      </c>
      <c r="R1658">
        <v>1</v>
      </c>
      <c r="S1658" s="2">
        <v>0</v>
      </c>
      <c r="T1658" s="4"/>
      <c r="U1658">
        <v>4</v>
      </c>
      <c r="V1658">
        <v>1</v>
      </c>
      <c r="W1658">
        <v>1</v>
      </c>
    </row>
    <row r="1659" spans="1:23" ht="16.5" x14ac:dyDescent="0.3">
      <c r="A1659" t="s">
        <v>1719</v>
      </c>
      <c r="B1659" s="1">
        <v>45550</v>
      </c>
      <c r="C1659">
        <v>2024</v>
      </c>
      <c r="D1659" t="s">
        <v>1255</v>
      </c>
      <c r="E1659" t="s">
        <v>1623</v>
      </c>
      <c r="F1659" t="s">
        <v>37</v>
      </c>
      <c r="G1659" t="s">
        <v>27</v>
      </c>
      <c r="H1659" t="s">
        <v>64</v>
      </c>
      <c r="I1659" t="s">
        <v>39</v>
      </c>
      <c r="J1659" t="s">
        <v>30</v>
      </c>
      <c r="K1659" s="2">
        <v>7250</v>
      </c>
      <c r="L1659" s="2">
        <v>7500</v>
      </c>
      <c r="M1659">
        <v>48</v>
      </c>
      <c r="N1659" s="3">
        <v>0.192</v>
      </c>
      <c r="O1659" t="s">
        <v>17</v>
      </c>
      <c r="P1659" t="s">
        <v>31</v>
      </c>
      <c r="Q1659">
        <v>0</v>
      </c>
      <c r="R1659">
        <v>1</v>
      </c>
      <c r="S1659" s="2">
        <v>0</v>
      </c>
      <c r="T1659" s="4"/>
      <c r="U1659">
        <v>10</v>
      </c>
      <c r="V1659">
        <v>0</v>
      </c>
      <c r="W1659">
        <v>1</v>
      </c>
    </row>
    <row r="1660" spans="1:23" ht="16.5" x14ac:dyDescent="0.3">
      <c r="A1660" t="s">
        <v>1720</v>
      </c>
      <c r="B1660" s="1">
        <v>45550</v>
      </c>
      <c r="C1660">
        <v>2024</v>
      </c>
      <c r="D1660" t="s">
        <v>1255</v>
      </c>
      <c r="E1660" t="s">
        <v>1623</v>
      </c>
      <c r="F1660" t="s">
        <v>37</v>
      </c>
      <c r="G1660" t="s">
        <v>33</v>
      </c>
      <c r="H1660" t="s">
        <v>38</v>
      </c>
      <c r="I1660" t="s">
        <v>39</v>
      </c>
      <c r="J1660" t="s">
        <v>30</v>
      </c>
      <c r="K1660" s="2">
        <v>6600</v>
      </c>
      <c r="L1660" s="2">
        <v>12000</v>
      </c>
      <c r="M1660">
        <v>48</v>
      </c>
      <c r="N1660" s="3">
        <v>0.24199999999999999</v>
      </c>
      <c r="O1660" t="s">
        <v>16</v>
      </c>
      <c r="Q1660">
        <v>1</v>
      </c>
      <c r="R1660">
        <v>0</v>
      </c>
      <c r="S1660" s="2">
        <v>12000</v>
      </c>
      <c r="T1660" s="4">
        <v>0.1414</v>
      </c>
      <c r="U1660">
        <v>1</v>
      </c>
      <c r="V1660">
        <v>1</v>
      </c>
      <c r="W1660">
        <v>1</v>
      </c>
    </row>
    <row r="1661" spans="1:23" ht="16.5" x14ac:dyDescent="0.3">
      <c r="A1661" t="s">
        <v>1721</v>
      </c>
      <c r="B1661" s="1">
        <v>45550</v>
      </c>
      <c r="C1661">
        <v>2024</v>
      </c>
      <c r="D1661" t="s">
        <v>1255</v>
      </c>
      <c r="E1661" t="s">
        <v>1623</v>
      </c>
      <c r="F1661" t="s">
        <v>37</v>
      </c>
      <c r="G1661" t="s">
        <v>45</v>
      </c>
      <c r="H1661" t="s">
        <v>38</v>
      </c>
      <c r="I1661" t="s">
        <v>29</v>
      </c>
      <c r="J1661" t="s">
        <v>30</v>
      </c>
      <c r="K1661" s="2">
        <v>4950</v>
      </c>
      <c r="L1661" s="2">
        <v>9500</v>
      </c>
      <c r="M1661">
        <v>24</v>
      </c>
      <c r="N1661" s="3">
        <v>0.221</v>
      </c>
      <c r="O1661" t="s">
        <v>17</v>
      </c>
      <c r="P1661" t="s">
        <v>31</v>
      </c>
      <c r="Q1661">
        <v>0</v>
      </c>
      <c r="R1661">
        <v>1</v>
      </c>
      <c r="S1661" s="2">
        <v>0</v>
      </c>
      <c r="T1661" s="4"/>
      <c r="U1661">
        <v>4</v>
      </c>
      <c r="V1661">
        <v>0</v>
      </c>
      <c r="W1661">
        <v>1</v>
      </c>
    </row>
    <row r="1662" spans="1:23" ht="16.5" x14ac:dyDescent="0.3">
      <c r="A1662" t="s">
        <v>1722</v>
      </c>
      <c r="B1662" s="1">
        <v>45551</v>
      </c>
      <c r="C1662">
        <v>2024</v>
      </c>
      <c r="D1662" t="s">
        <v>1255</v>
      </c>
      <c r="E1662" t="s">
        <v>1623</v>
      </c>
      <c r="F1662" t="s">
        <v>37</v>
      </c>
      <c r="G1662" t="s">
        <v>33</v>
      </c>
      <c r="H1662" t="s">
        <v>38</v>
      </c>
      <c r="I1662" t="s">
        <v>29</v>
      </c>
      <c r="J1662" t="s">
        <v>30</v>
      </c>
      <c r="K1662" s="2">
        <v>4300</v>
      </c>
      <c r="L1662" s="2">
        <v>20500</v>
      </c>
      <c r="M1662">
        <v>24</v>
      </c>
      <c r="N1662" s="3">
        <v>0.29699999999999999</v>
      </c>
      <c r="O1662" t="s">
        <v>16</v>
      </c>
      <c r="Q1662">
        <v>1</v>
      </c>
      <c r="R1662">
        <v>0</v>
      </c>
      <c r="S1662" s="2">
        <v>20500</v>
      </c>
      <c r="T1662" s="4">
        <v>0.13639999999999999</v>
      </c>
      <c r="U1662">
        <v>3</v>
      </c>
      <c r="V1662">
        <v>1</v>
      </c>
      <c r="W1662">
        <v>1</v>
      </c>
    </row>
    <row r="1663" spans="1:23" ht="16.5" x14ac:dyDescent="0.3">
      <c r="A1663" t="s">
        <v>1723</v>
      </c>
      <c r="B1663" s="1">
        <v>45551</v>
      </c>
      <c r="C1663">
        <v>2024</v>
      </c>
      <c r="D1663" t="s">
        <v>1255</v>
      </c>
      <c r="E1663" t="s">
        <v>1623</v>
      </c>
      <c r="F1663" t="s">
        <v>50</v>
      </c>
      <c r="G1663" t="s">
        <v>33</v>
      </c>
      <c r="H1663" t="s">
        <v>28</v>
      </c>
      <c r="I1663" t="s">
        <v>39</v>
      </c>
      <c r="J1663" t="s">
        <v>30</v>
      </c>
      <c r="K1663" s="2">
        <v>6750</v>
      </c>
      <c r="L1663" s="2">
        <v>375500</v>
      </c>
      <c r="M1663">
        <v>240</v>
      </c>
      <c r="N1663" s="3">
        <v>0.54</v>
      </c>
      <c r="O1663" t="s">
        <v>17</v>
      </c>
      <c r="P1663" t="s">
        <v>53</v>
      </c>
      <c r="Q1663">
        <v>0</v>
      </c>
      <c r="R1663">
        <v>1</v>
      </c>
      <c r="S1663" s="2">
        <v>0</v>
      </c>
      <c r="T1663" s="4"/>
      <c r="U1663">
        <v>6</v>
      </c>
      <c r="V1663">
        <v>1</v>
      </c>
      <c r="W1663">
        <v>1</v>
      </c>
    </row>
    <row r="1664" spans="1:23" ht="16.5" x14ac:dyDescent="0.3">
      <c r="A1664" t="s">
        <v>1724</v>
      </c>
      <c r="B1664" s="1">
        <v>45551</v>
      </c>
      <c r="C1664">
        <v>2024</v>
      </c>
      <c r="D1664" t="s">
        <v>1255</v>
      </c>
      <c r="E1664" t="s">
        <v>1623</v>
      </c>
      <c r="F1664" t="s">
        <v>37</v>
      </c>
      <c r="G1664" t="s">
        <v>45</v>
      </c>
      <c r="H1664" t="s">
        <v>55</v>
      </c>
      <c r="I1664" t="s">
        <v>29</v>
      </c>
      <c r="J1664" t="s">
        <v>30</v>
      </c>
      <c r="K1664" s="2">
        <v>4550</v>
      </c>
      <c r="L1664" s="2">
        <v>17500</v>
      </c>
      <c r="M1664">
        <v>48</v>
      </c>
      <c r="N1664" s="3">
        <v>0.23100000000000001</v>
      </c>
      <c r="O1664" t="s">
        <v>16</v>
      </c>
      <c r="Q1664">
        <v>1</v>
      </c>
      <c r="R1664">
        <v>0</v>
      </c>
      <c r="S1664" s="2">
        <v>17500</v>
      </c>
      <c r="T1664" s="4">
        <v>0.1358</v>
      </c>
      <c r="U1664">
        <v>2</v>
      </c>
      <c r="V1664">
        <v>1</v>
      </c>
      <c r="W1664">
        <v>1</v>
      </c>
    </row>
    <row r="1665" spans="1:23" ht="16.5" x14ac:dyDescent="0.3">
      <c r="A1665" t="s">
        <v>1725</v>
      </c>
      <c r="B1665" s="1">
        <v>45551</v>
      </c>
      <c r="C1665">
        <v>2024</v>
      </c>
      <c r="D1665" t="s">
        <v>1255</v>
      </c>
      <c r="E1665" t="s">
        <v>1623</v>
      </c>
      <c r="F1665" t="s">
        <v>41</v>
      </c>
      <c r="G1665" t="s">
        <v>51</v>
      </c>
      <c r="H1665" t="s">
        <v>55</v>
      </c>
      <c r="I1665" t="s">
        <v>39</v>
      </c>
      <c r="J1665" t="s">
        <v>35</v>
      </c>
      <c r="K1665" s="2">
        <v>5800</v>
      </c>
      <c r="L1665" s="2">
        <v>95500</v>
      </c>
      <c r="M1665">
        <v>12</v>
      </c>
      <c r="N1665" s="3">
        <v>1.5620000000000001</v>
      </c>
      <c r="O1665" t="s">
        <v>17</v>
      </c>
      <c r="P1665" t="s">
        <v>53</v>
      </c>
      <c r="Q1665">
        <v>0</v>
      </c>
      <c r="R1665">
        <v>1</v>
      </c>
      <c r="S1665" s="2">
        <v>0</v>
      </c>
      <c r="T1665" s="4"/>
      <c r="U1665">
        <v>19</v>
      </c>
      <c r="V1665">
        <v>0</v>
      </c>
      <c r="W1665">
        <v>1</v>
      </c>
    </row>
    <row r="1666" spans="1:23" ht="16.5" x14ac:dyDescent="0.3">
      <c r="A1666" t="s">
        <v>1726</v>
      </c>
      <c r="B1666" s="1">
        <v>45551</v>
      </c>
      <c r="C1666">
        <v>2024</v>
      </c>
      <c r="D1666" t="s">
        <v>1255</v>
      </c>
      <c r="E1666" t="s">
        <v>1623</v>
      </c>
      <c r="F1666" t="s">
        <v>50</v>
      </c>
      <c r="G1666" t="s">
        <v>45</v>
      </c>
      <c r="H1666" t="s">
        <v>38</v>
      </c>
      <c r="I1666" t="s">
        <v>29</v>
      </c>
      <c r="J1666" t="s">
        <v>52</v>
      </c>
      <c r="K1666" s="2">
        <v>4400</v>
      </c>
      <c r="L1666" s="2">
        <v>201000</v>
      </c>
      <c r="M1666">
        <v>300</v>
      </c>
      <c r="N1666" s="3">
        <v>0.39100000000000001</v>
      </c>
      <c r="O1666" t="s">
        <v>16</v>
      </c>
      <c r="Q1666">
        <v>1</v>
      </c>
      <c r="R1666">
        <v>0</v>
      </c>
      <c r="S1666" s="2">
        <v>201000</v>
      </c>
      <c r="T1666" s="4">
        <v>5.2600000000000001E-2</v>
      </c>
      <c r="U1666">
        <v>6</v>
      </c>
      <c r="V1666">
        <v>1</v>
      </c>
      <c r="W1666">
        <v>1</v>
      </c>
    </row>
    <row r="1667" spans="1:23" ht="16.5" x14ac:dyDescent="0.3">
      <c r="A1667" t="s">
        <v>1727</v>
      </c>
      <c r="B1667" s="1">
        <v>45551</v>
      </c>
      <c r="C1667">
        <v>2024</v>
      </c>
      <c r="D1667" t="s">
        <v>1255</v>
      </c>
      <c r="E1667" t="s">
        <v>1623</v>
      </c>
      <c r="F1667" t="s">
        <v>26</v>
      </c>
      <c r="G1667" t="s">
        <v>33</v>
      </c>
      <c r="H1667" t="s">
        <v>38</v>
      </c>
      <c r="I1667" t="s">
        <v>29</v>
      </c>
      <c r="J1667" t="s">
        <v>35</v>
      </c>
      <c r="K1667" s="2">
        <v>6150</v>
      </c>
      <c r="L1667" s="2">
        <v>32000</v>
      </c>
      <c r="M1667">
        <v>48</v>
      </c>
      <c r="N1667" s="3">
        <v>0.307</v>
      </c>
      <c r="O1667" t="s">
        <v>16</v>
      </c>
      <c r="Q1667">
        <v>1</v>
      </c>
      <c r="R1667">
        <v>0</v>
      </c>
      <c r="S1667" s="2">
        <v>32000</v>
      </c>
      <c r="T1667" s="4">
        <v>8.1199999999999994E-2</v>
      </c>
      <c r="U1667">
        <v>1</v>
      </c>
      <c r="V1667">
        <v>1</v>
      </c>
      <c r="W1667">
        <v>1</v>
      </c>
    </row>
    <row r="1668" spans="1:23" ht="16.5" x14ac:dyDescent="0.3">
      <c r="A1668" t="s">
        <v>1728</v>
      </c>
      <c r="B1668" s="1">
        <v>45551</v>
      </c>
      <c r="C1668">
        <v>2024</v>
      </c>
      <c r="D1668" t="s">
        <v>1255</v>
      </c>
      <c r="E1668" t="s">
        <v>1623</v>
      </c>
      <c r="F1668" t="s">
        <v>37</v>
      </c>
      <c r="G1668" t="s">
        <v>51</v>
      </c>
      <c r="H1668" t="s">
        <v>55</v>
      </c>
      <c r="I1668" t="s">
        <v>39</v>
      </c>
      <c r="J1668" t="s">
        <v>35</v>
      </c>
      <c r="K1668" s="2">
        <v>5450</v>
      </c>
      <c r="L1668" s="2">
        <v>11500</v>
      </c>
      <c r="M1668">
        <v>36</v>
      </c>
      <c r="N1668" s="3">
        <v>0.221</v>
      </c>
      <c r="O1668" t="s">
        <v>17</v>
      </c>
      <c r="P1668" t="s">
        <v>31</v>
      </c>
      <c r="Q1668">
        <v>0</v>
      </c>
      <c r="R1668">
        <v>1</v>
      </c>
      <c r="S1668" s="2">
        <v>0</v>
      </c>
      <c r="T1668" s="4"/>
      <c r="U1668">
        <v>4</v>
      </c>
      <c r="V1668">
        <v>0</v>
      </c>
      <c r="W1668">
        <v>1</v>
      </c>
    </row>
    <row r="1669" spans="1:23" ht="16.5" x14ac:dyDescent="0.3">
      <c r="A1669" t="s">
        <v>1729</v>
      </c>
      <c r="B1669" s="1">
        <v>45551</v>
      </c>
      <c r="C1669">
        <v>2024</v>
      </c>
      <c r="D1669" t="s">
        <v>1255</v>
      </c>
      <c r="E1669" t="s">
        <v>1623</v>
      </c>
      <c r="F1669" t="s">
        <v>50</v>
      </c>
      <c r="G1669" t="s">
        <v>45</v>
      </c>
      <c r="H1669" t="s">
        <v>34</v>
      </c>
      <c r="I1669" t="s">
        <v>39</v>
      </c>
      <c r="J1669" t="s">
        <v>30</v>
      </c>
      <c r="K1669" s="2">
        <v>5450</v>
      </c>
      <c r="L1669" s="2">
        <v>408000</v>
      </c>
      <c r="M1669">
        <v>300</v>
      </c>
      <c r="N1669" s="3">
        <v>0.57099999999999995</v>
      </c>
      <c r="O1669" t="s">
        <v>16</v>
      </c>
      <c r="Q1669">
        <v>1</v>
      </c>
      <c r="R1669">
        <v>0</v>
      </c>
      <c r="S1669" s="2">
        <v>408000</v>
      </c>
      <c r="T1669" s="4">
        <v>7.8299999999999995E-2</v>
      </c>
      <c r="U1669">
        <v>8</v>
      </c>
      <c r="V1669">
        <v>1</v>
      </c>
      <c r="W1669">
        <v>1</v>
      </c>
    </row>
    <row r="1670" spans="1:23" ht="16.5" x14ac:dyDescent="0.3">
      <c r="A1670" t="s">
        <v>1730</v>
      </c>
      <c r="B1670" s="1">
        <v>45551</v>
      </c>
      <c r="C1670">
        <v>2024</v>
      </c>
      <c r="D1670" t="s">
        <v>1255</v>
      </c>
      <c r="E1670" t="s">
        <v>1623</v>
      </c>
      <c r="F1670" t="s">
        <v>37</v>
      </c>
      <c r="G1670" t="s">
        <v>51</v>
      </c>
      <c r="H1670" t="s">
        <v>55</v>
      </c>
      <c r="I1670" t="s">
        <v>39</v>
      </c>
      <c r="J1670" t="s">
        <v>52</v>
      </c>
      <c r="K1670" s="2">
        <v>8100</v>
      </c>
      <c r="L1670" s="2">
        <v>26500</v>
      </c>
      <c r="M1670">
        <v>60</v>
      </c>
      <c r="N1670" s="3">
        <v>0.28299999999999997</v>
      </c>
      <c r="O1670" t="s">
        <v>125</v>
      </c>
      <c r="Q1670">
        <v>0</v>
      </c>
      <c r="R1670">
        <v>0</v>
      </c>
      <c r="S1670" s="2">
        <v>0</v>
      </c>
      <c r="T1670" s="4"/>
      <c r="U1670">
        <v>5</v>
      </c>
      <c r="V1670">
        <v>0</v>
      </c>
      <c r="W1670">
        <v>1</v>
      </c>
    </row>
    <row r="1671" spans="1:23" ht="16.5" x14ac:dyDescent="0.3">
      <c r="A1671" t="s">
        <v>1731</v>
      </c>
      <c r="B1671" s="1">
        <v>45551</v>
      </c>
      <c r="C1671">
        <v>2024</v>
      </c>
      <c r="D1671" t="s">
        <v>1255</v>
      </c>
      <c r="E1671" t="s">
        <v>1623</v>
      </c>
      <c r="F1671" t="s">
        <v>37</v>
      </c>
      <c r="G1671" t="s">
        <v>51</v>
      </c>
      <c r="H1671" t="s">
        <v>38</v>
      </c>
      <c r="I1671" t="s">
        <v>29</v>
      </c>
      <c r="J1671" t="s">
        <v>35</v>
      </c>
      <c r="K1671" s="2">
        <v>2150</v>
      </c>
      <c r="L1671" s="2">
        <v>10500</v>
      </c>
      <c r="M1671">
        <v>36</v>
      </c>
      <c r="N1671" s="3">
        <v>0.34200000000000003</v>
      </c>
      <c r="O1671" t="s">
        <v>16</v>
      </c>
      <c r="Q1671">
        <v>1</v>
      </c>
      <c r="R1671">
        <v>0</v>
      </c>
      <c r="S1671" s="2">
        <v>10500</v>
      </c>
      <c r="T1671" s="4">
        <v>0.122</v>
      </c>
      <c r="U1671">
        <v>5</v>
      </c>
      <c r="V1671">
        <v>0</v>
      </c>
      <c r="W1671">
        <v>1</v>
      </c>
    </row>
    <row r="1672" spans="1:23" ht="16.5" x14ac:dyDescent="0.3">
      <c r="A1672" t="s">
        <v>1732</v>
      </c>
      <c r="B1672" s="1">
        <v>45551</v>
      </c>
      <c r="C1672">
        <v>2024</v>
      </c>
      <c r="D1672" t="s">
        <v>1255</v>
      </c>
      <c r="E1672" t="s">
        <v>1623</v>
      </c>
      <c r="F1672" t="s">
        <v>26</v>
      </c>
      <c r="G1672" t="s">
        <v>45</v>
      </c>
      <c r="H1672" t="s">
        <v>55</v>
      </c>
      <c r="I1672" t="s">
        <v>29</v>
      </c>
      <c r="J1672" t="s">
        <v>30</v>
      </c>
      <c r="K1672" s="2">
        <v>3300</v>
      </c>
      <c r="L1672" s="2">
        <v>30500</v>
      </c>
      <c r="M1672">
        <v>36</v>
      </c>
      <c r="N1672" s="3">
        <v>0.48599999999999999</v>
      </c>
      <c r="O1672" t="s">
        <v>16</v>
      </c>
      <c r="Q1672">
        <v>1</v>
      </c>
      <c r="R1672">
        <v>0</v>
      </c>
      <c r="S1672" s="2">
        <v>27500</v>
      </c>
      <c r="T1672" s="4">
        <v>9.8000000000000004E-2</v>
      </c>
      <c r="U1672">
        <v>4</v>
      </c>
      <c r="V1672">
        <v>1</v>
      </c>
      <c r="W1672">
        <v>1</v>
      </c>
    </row>
    <row r="1673" spans="1:23" ht="16.5" x14ac:dyDescent="0.3">
      <c r="A1673" t="s">
        <v>1733</v>
      </c>
      <c r="B1673" s="1">
        <v>45552</v>
      </c>
      <c r="C1673">
        <v>2024</v>
      </c>
      <c r="D1673" t="s">
        <v>1255</v>
      </c>
      <c r="E1673" t="s">
        <v>1623</v>
      </c>
      <c r="F1673" t="s">
        <v>26</v>
      </c>
      <c r="G1673" t="s">
        <v>51</v>
      </c>
      <c r="H1673" t="s">
        <v>55</v>
      </c>
      <c r="I1673" t="s">
        <v>39</v>
      </c>
      <c r="J1673" t="s">
        <v>43</v>
      </c>
      <c r="K1673" s="2">
        <v>4550</v>
      </c>
      <c r="L1673" s="2">
        <v>27500</v>
      </c>
      <c r="M1673">
        <v>36</v>
      </c>
      <c r="N1673" s="3">
        <v>0.41599999999999998</v>
      </c>
      <c r="O1673" t="s">
        <v>17</v>
      </c>
      <c r="P1673" t="s">
        <v>31</v>
      </c>
      <c r="Q1673">
        <v>0</v>
      </c>
      <c r="R1673">
        <v>1</v>
      </c>
      <c r="S1673" s="2">
        <v>0</v>
      </c>
      <c r="T1673" s="4"/>
      <c r="U1673">
        <v>5</v>
      </c>
      <c r="V1673">
        <v>0</v>
      </c>
      <c r="W1673">
        <v>1</v>
      </c>
    </row>
    <row r="1674" spans="1:23" ht="16.5" x14ac:dyDescent="0.3">
      <c r="A1674" t="s">
        <v>1734</v>
      </c>
      <c r="B1674" s="1">
        <v>45552</v>
      </c>
      <c r="C1674">
        <v>2024</v>
      </c>
      <c r="D1674" t="s">
        <v>1255</v>
      </c>
      <c r="E1674" t="s">
        <v>1623</v>
      </c>
      <c r="F1674" t="s">
        <v>41</v>
      </c>
      <c r="G1674" t="s">
        <v>45</v>
      </c>
      <c r="H1674" t="s">
        <v>38</v>
      </c>
      <c r="I1674" t="s">
        <v>39</v>
      </c>
      <c r="J1674" t="s">
        <v>35</v>
      </c>
      <c r="K1674" s="2">
        <v>4950</v>
      </c>
      <c r="L1674" s="2">
        <v>49000</v>
      </c>
      <c r="M1674">
        <v>24</v>
      </c>
      <c r="N1674" s="3">
        <v>0.56100000000000005</v>
      </c>
      <c r="O1674" t="s">
        <v>17</v>
      </c>
      <c r="P1674" t="s">
        <v>60</v>
      </c>
      <c r="Q1674">
        <v>0</v>
      </c>
      <c r="R1674">
        <v>1</v>
      </c>
      <c r="S1674" s="2">
        <v>0</v>
      </c>
      <c r="T1674" s="4"/>
      <c r="U1674">
        <v>10</v>
      </c>
      <c r="V1674">
        <v>1</v>
      </c>
      <c r="W1674">
        <v>1</v>
      </c>
    </row>
    <row r="1675" spans="1:23" ht="16.5" x14ac:dyDescent="0.3">
      <c r="A1675" t="s">
        <v>1735</v>
      </c>
      <c r="B1675" s="1">
        <v>45552</v>
      </c>
      <c r="C1675">
        <v>2024</v>
      </c>
      <c r="D1675" t="s">
        <v>1255</v>
      </c>
      <c r="E1675" t="s">
        <v>1623</v>
      </c>
      <c r="F1675" t="s">
        <v>41</v>
      </c>
      <c r="G1675" t="s">
        <v>33</v>
      </c>
      <c r="H1675" t="s">
        <v>34</v>
      </c>
      <c r="I1675" t="s">
        <v>29</v>
      </c>
      <c r="J1675" t="s">
        <v>35</v>
      </c>
      <c r="K1675" s="2">
        <v>6900</v>
      </c>
      <c r="L1675" s="2">
        <v>142500</v>
      </c>
      <c r="M1675">
        <v>60</v>
      </c>
      <c r="N1675" s="3">
        <v>0.67400000000000004</v>
      </c>
      <c r="O1675" t="s">
        <v>17</v>
      </c>
      <c r="P1675" t="s">
        <v>53</v>
      </c>
      <c r="Q1675">
        <v>0</v>
      </c>
      <c r="R1675">
        <v>1</v>
      </c>
      <c r="S1675" s="2">
        <v>0</v>
      </c>
      <c r="T1675" s="4"/>
      <c r="U1675">
        <v>5</v>
      </c>
      <c r="V1675">
        <v>1</v>
      </c>
      <c r="W1675">
        <v>1</v>
      </c>
    </row>
    <row r="1676" spans="1:23" ht="16.5" x14ac:dyDescent="0.3">
      <c r="A1676" t="s">
        <v>1736</v>
      </c>
      <c r="B1676" s="1">
        <v>45552</v>
      </c>
      <c r="C1676">
        <v>2024</v>
      </c>
      <c r="D1676" t="s">
        <v>1255</v>
      </c>
      <c r="E1676" t="s">
        <v>1623</v>
      </c>
      <c r="F1676" t="s">
        <v>50</v>
      </c>
      <c r="G1676" t="s">
        <v>27</v>
      </c>
      <c r="H1676" t="s">
        <v>38</v>
      </c>
      <c r="I1676" t="s">
        <v>29</v>
      </c>
      <c r="J1676" t="s">
        <v>46</v>
      </c>
      <c r="K1676" s="2">
        <v>8150</v>
      </c>
      <c r="L1676" s="2">
        <v>462500</v>
      </c>
      <c r="M1676">
        <v>240</v>
      </c>
      <c r="N1676" s="3">
        <v>0.61799999999999999</v>
      </c>
      <c r="O1676" t="s">
        <v>16</v>
      </c>
      <c r="Q1676">
        <v>1</v>
      </c>
      <c r="R1676">
        <v>0</v>
      </c>
      <c r="S1676" s="2">
        <v>462500</v>
      </c>
      <c r="T1676" s="4">
        <v>4.4200000000000003E-2</v>
      </c>
      <c r="U1676">
        <v>11</v>
      </c>
      <c r="V1676">
        <v>1</v>
      </c>
      <c r="W1676">
        <v>1</v>
      </c>
    </row>
    <row r="1677" spans="1:23" ht="16.5" x14ac:dyDescent="0.3">
      <c r="A1677" t="s">
        <v>1737</v>
      </c>
      <c r="B1677" s="1">
        <v>45552</v>
      </c>
      <c r="C1677">
        <v>2024</v>
      </c>
      <c r="D1677" t="s">
        <v>1255</v>
      </c>
      <c r="E1677" t="s">
        <v>1623</v>
      </c>
      <c r="F1677" t="s">
        <v>50</v>
      </c>
      <c r="G1677" t="s">
        <v>45</v>
      </c>
      <c r="H1677" t="s">
        <v>64</v>
      </c>
      <c r="I1677" t="s">
        <v>42</v>
      </c>
      <c r="J1677" t="s">
        <v>30</v>
      </c>
      <c r="K1677" s="2">
        <v>3750</v>
      </c>
      <c r="L1677" s="2">
        <v>147500</v>
      </c>
      <c r="M1677">
        <v>180</v>
      </c>
      <c r="N1677" s="3">
        <v>0.48599999999999999</v>
      </c>
      <c r="O1677" t="s">
        <v>17</v>
      </c>
      <c r="P1677" t="s">
        <v>60</v>
      </c>
      <c r="Q1677">
        <v>0</v>
      </c>
      <c r="R1677">
        <v>1</v>
      </c>
      <c r="S1677" s="2">
        <v>0</v>
      </c>
      <c r="T1677" s="4"/>
      <c r="U1677">
        <v>16</v>
      </c>
      <c r="V1677">
        <v>0</v>
      </c>
      <c r="W1677">
        <v>1</v>
      </c>
    </row>
    <row r="1678" spans="1:23" ht="16.5" x14ac:dyDescent="0.3">
      <c r="A1678" t="s">
        <v>1738</v>
      </c>
      <c r="B1678" s="1">
        <v>45553</v>
      </c>
      <c r="C1678">
        <v>2024</v>
      </c>
      <c r="D1678" t="s">
        <v>1255</v>
      </c>
      <c r="E1678" t="s">
        <v>1623</v>
      </c>
      <c r="F1678" t="s">
        <v>50</v>
      </c>
      <c r="G1678" t="s">
        <v>51</v>
      </c>
      <c r="H1678" t="s">
        <v>38</v>
      </c>
      <c r="I1678" t="s">
        <v>29</v>
      </c>
      <c r="J1678" t="s">
        <v>35</v>
      </c>
      <c r="K1678" s="2">
        <v>4250</v>
      </c>
      <c r="L1678" s="2">
        <v>167000</v>
      </c>
      <c r="M1678">
        <v>240</v>
      </c>
      <c r="N1678" s="3">
        <v>0.42299999999999999</v>
      </c>
      <c r="O1678" t="s">
        <v>17</v>
      </c>
      <c r="P1678" t="s">
        <v>65</v>
      </c>
      <c r="Q1678">
        <v>0</v>
      </c>
      <c r="R1678">
        <v>1</v>
      </c>
      <c r="S1678" s="2">
        <v>0</v>
      </c>
      <c r="T1678" s="4"/>
      <c r="U1678">
        <v>12</v>
      </c>
      <c r="V1678">
        <v>1</v>
      </c>
      <c r="W1678">
        <v>1</v>
      </c>
    </row>
    <row r="1679" spans="1:23" ht="16.5" x14ac:dyDescent="0.3">
      <c r="A1679" t="s">
        <v>1739</v>
      </c>
      <c r="B1679" s="1">
        <v>45553</v>
      </c>
      <c r="C1679">
        <v>2024</v>
      </c>
      <c r="D1679" t="s">
        <v>1255</v>
      </c>
      <c r="E1679" t="s">
        <v>1623</v>
      </c>
      <c r="F1679" t="s">
        <v>26</v>
      </c>
      <c r="G1679" t="s">
        <v>51</v>
      </c>
      <c r="H1679" t="s">
        <v>55</v>
      </c>
      <c r="I1679" t="s">
        <v>29</v>
      </c>
      <c r="J1679" t="s">
        <v>46</v>
      </c>
      <c r="K1679" s="2">
        <v>9300</v>
      </c>
      <c r="L1679" s="2">
        <v>26000</v>
      </c>
      <c r="M1679">
        <v>48</v>
      </c>
      <c r="N1679" s="3">
        <v>0.30499999999999999</v>
      </c>
      <c r="O1679" t="s">
        <v>16</v>
      </c>
      <c r="Q1679">
        <v>1</v>
      </c>
      <c r="R1679">
        <v>0</v>
      </c>
      <c r="S1679" s="2">
        <v>23500</v>
      </c>
      <c r="T1679" s="4">
        <v>6.4000000000000001E-2</v>
      </c>
      <c r="U1679">
        <v>9</v>
      </c>
      <c r="V1679">
        <v>0</v>
      </c>
      <c r="W1679">
        <v>1</v>
      </c>
    </row>
    <row r="1680" spans="1:23" ht="16.5" x14ac:dyDescent="0.3">
      <c r="A1680" t="s">
        <v>1740</v>
      </c>
      <c r="B1680" s="1">
        <v>45553</v>
      </c>
      <c r="C1680">
        <v>2024</v>
      </c>
      <c r="D1680" t="s">
        <v>1255</v>
      </c>
      <c r="E1680" t="s">
        <v>1623</v>
      </c>
      <c r="F1680" t="s">
        <v>26</v>
      </c>
      <c r="G1680" t="s">
        <v>45</v>
      </c>
      <c r="H1680" t="s">
        <v>38</v>
      </c>
      <c r="I1680" t="s">
        <v>39</v>
      </c>
      <c r="J1680" t="s">
        <v>35</v>
      </c>
      <c r="K1680" s="2">
        <v>7750</v>
      </c>
      <c r="L1680" s="2">
        <v>34000</v>
      </c>
      <c r="M1680">
        <v>48</v>
      </c>
      <c r="N1680" s="3">
        <v>0.26700000000000002</v>
      </c>
      <c r="O1680" t="s">
        <v>16</v>
      </c>
      <c r="Q1680">
        <v>1</v>
      </c>
      <c r="R1680">
        <v>0</v>
      </c>
      <c r="S1680" s="2">
        <v>34000</v>
      </c>
      <c r="T1680" s="4">
        <v>8.3699999999999997E-2</v>
      </c>
      <c r="U1680">
        <v>3</v>
      </c>
      <c r="V1680">
        <v>1</v>
      </c>
      <c r="W1680">
        <v>1</v>
      </c>
    </row>
    <row r="1681" spans="1:23" ht="16.5" x14ac:dyDescent="0.3">
      <c r="A1681" t="s">
        <v>1741</v>
      </c>
      <c r="B1681" s="1">
        <v>45553</v>
      </c>
      <c r="C1681">
        <v>2024</v>
      </c>
      <c r="D1681" t="s">
        <v>1255</v>
      </c>
      <c r="E1681" t="s">
        <v>1623</v>
      </c>
      <c r="F1681" t="s">
        <v>26</v>
      </c>
      <c r="G1681" t="s">
        <v>51</v>
      </c>
      <c r="H1681" t="s">
        <v>34</v>
      </c>
      <c r="I1681" t="s">
        <v>29</v>
      </c>
      <c r="J1681" t="s">
        <v>30</v>
      </c>
      <c r="K1681" s="2">
        <v>6000</v>
      </c>
      <c r="L1681" s="2">
        <v>25000</v>
      </c>
      <c r="M1681">
        <v>60</v>
      </c>
      <c r="N1681" s="3">
        <v>0.20100000000000001</v>
      </c>
      <c r="O1681" t="s">
        <v>17</v>
      </c>
      <c r="P1681" t="s">
        <v>31</v>
      </c>
      <c r="Q1681">
        <v>0</v>
      </c>
      <c r="R1681">
        <v>1</v>
      </c>
      <c r="S1681" s="2">
        <v>0</v>
      </c>
      <c r="T1681" s="4"/>
      <c r="U1681">
        <v>5</v>
      </c>
      <c r="V1681">
        <v>0</v>
      </c>
      <c r="W1681">
        <v>1</v>
      </c>
    </row>
    <row r="1682" spans="1:23" ht="16.5" x14ac:dyDescent="0.3">
      <c r="A1682" t="s">
        <v>1742</v>
      </c>
      <c r="B1682" s="1">
        <v>45553</v>
      </c>
      <c r="C1682">
        <v>2024</v>
      </c>
      <c r="D1682" t="s">
        <v>1255</v>
      </c>
      <c r="E1682" t="s">
        <v>1623</v>
      </c>
      <c r="F1682" t="s">
        <v>41</v>
      </c>
      <c r="G1682" t="s">
        <v>33</v>
      </c>
      <c r="H1682" t="s">
        <v>34</v>
      </c>
      <c r="I1682" t="s">
        <v>39</v>
      </c>
      <c r="J1682" t="s">
        <v>35</v>
      </c>
      <c r="K1682" s="2">
        <v>2250</v>
      </c>
      <c r="L1682" s="2">
        <v>119000</v>
      </c>
      <c r="M1682">
        <v>12</v>
      </c>
      <c r="N1682" s="3">
        <v>4.859</v>
      </c>
      <c r="O1682" t="s">
        <v>17</v>
      </c>
      <c r="P1682" t="s">
        <v>53</v>
      </c>
      <c r="Q1682">
        <v>0</v>
      </c>
      <c r="R1682">
        <v>1</v>
      </c>
      <c r="S1682" s="2">
        <v>0</v>
      </c>
      <c r="T1682" s="4"/>
      <c r="U1682">
        <v>5</v>
      </c>
      <c r="V1682">
        <v>1</v>
      </c>
      <c r="W1682">
        <v>1</v>
      </c>
    </row>
    <row r="1683" spans="1:23" ht="16.5" x14ac:dyDescent="0.3">
      <c r="A1683" t="s">
        <v>1743</v>
      </c>
      <c r="B1683" s="1">
        <v>45553</v>
      </c>
      <c r="C1683">
        <v>2024</v>
      </c>
      <c r="D1683" t="s">
        <v>1255</v>
      </c>
      <c r="E1683" t="s">
        <v>1623</v>
      </c>
      <c r="F1683" t="s">
        <v>50</v>
      </c>
      <c r="G1683" t="s">
        <v>45</v>
      </c>
      <c r="H1683" t="s">
        <v>34</v>
      </c>
      <c r="I1683" t="s">
        <v>39</v>
      </c>
      <c r="J1683" t="s">
        <v>52</v>
      </c>
      <c r="K1683" s="2">
        <v>4100</v>
      </c>
      <c r="L1683" s="2">
        <v>312500</v>
      </c>
      <c r="M1683">
        <v>180</v>
      </c>
      <c r="N1683" s="3">
        <v>0.71299999999999997</v>
      </c>
      <c r="O1683" t="s">
        <v>17</v>
      </c>
      <c r="P1683" t="s">
        <v>53</v>
      </c>
      <c r="Q1683">
        <v>0</v>
      </c>
      <c r="R1683">
        <v>1</v>
      </c>
      <c r="S1683" s="2">
        <v>0</v>
      </c>
      <c r="T1683" s="4"/>
      <c r="U1683">
        <v>12</v>
      </c>
      <c r="V1683">
        <v>1</v>
      </c>
      <c r="W1683">
        <v>1</v>
      </c>
    </row>
    <row r="1684" spans="1:23" ht="16.5" x14ac:dyDescent="0.3">
      <c r="A1684" t="s">
        <v>1744</v>
      </c>
      <c r="B1684" s="1">
        <v>45553</v>
      </c>
      <c r="C1684">
        <v>2024</v>
      </c>
      <c r="D1684" t="s">
        <v>1255</v>
      </c>
      <c r="E1684" t="s">
        <v>1623</v>
      </c>
      <c r="F1684" t="s">
        <v>26</v>
      </c>
      <c r="G1684" t="s">
        <v>27</v>
      </c>
      <c r="H1684" t="s">
        <v>38</v>
      </c>
      <c r="I1684" t="s">
        <v>42</v>
      </c>
      <c r="J1684" t="s">
        <v>30</v>
      </c>
      <c r="K1684" s="2">
        <v>8200</v>
      </c>
      <c r="L1684" s="2">
        <v>46000</v>
      </c>
      <c r="M1684">
        <v>36</v>
      </c>
      <c r="N1684" s="3">
        <v>0.374</v>
      </c>
      <c r="O1684" t="s">
        <v>16</v>
      </c>
      <c r="Q1684">
        <v>1</v>
      </c>
      <c r="R1684">
        <v>0</v>
      </c>
      <c r="S1684" s="2">
        <v>41500</v>
      </c>
      <c r="T1684" s="4">
        <v>9.7500000000000003E-2</v>
      </c>
      <c r="U1684">
        <v>3</v>
      </c>
      <c r="V1684">
        <v>1</v>
      </c>
      <c r="W1684">
        <v>1</v>
      </c>
    </row>
    <row r="1685" spans="1:23" ht="16.5" x14ac:dyDescent="0.3">
      <c r="A1685" t="s">
        <v>1745</v>
      </c>
      <c r="B1685" s="1">
        <v>45554</v>
      </c>
      <c r="C1685">
        <v>2024</v>
      </c>
      <c r="D1685" t="s">
        <v>1255</v>
      </c>
      <c r="E1685" t="s">
        <v>1623</v>
      </c>
      <c r="F1685" t="s">
        <v>50</v>
      </c>
      <c r="G1685" t="s">
        <v>27</v>
      </c>
      <c r="H1685" t="s">
        <v>28</v>
      </c>
      <c r="I1685" t="s">
        <v>42</v>
      </c>
      <c r="J1685" t="s">
        <v>52</v>
      </c>
      <c r="K1685" s="2">
        <v>7000</v>
      </c>
      <c r="L1685" s="2">
        <v>114500</v>
      </c>
      <c r="M1685">
        <v>300</v>
      </c>
      <c r="N1685" s="3">
        <v>0.16600000000000001</v>
      </c>
      <c r="O1685" t="s">
        <v>16</v>
      </c>
      <c r="Q1685">
        <v>1</v>
      </c>
      <c r="R1685">
        <v>0</v>
      </c>
      <c r="S1685" s="2">
        <v>114500</v>
      </c>
      <c r="T1685" s="4">
        <v>5.16E-2</v>
      </c>
      <c r="U1685">
        <v>17</v>
      </c>
      <c r="V1685">
        <v>0</v>
      </c>
      <c r="W1685">
        <v>1</v>
      </c>
    </row>
    <row r="1686" spans="1:23" ht="16.5" x14ac:dyDescent="0.3">
      <c r="A1686" t="s">
        <v>1746</v>
      </c>
      <c r="B1686" s="1">
        <v>45554</v>
      </c>
      <c r="C1686">
        <v>2024</v>
      </c>
      <c r="D1686" t="s">
        <v>1255</v>
      </c>
      <c r="E1686" t="s">
        <v>1623</v>
      </c>
      <c r="F1686" t="s">
        <v>50</v>
      </c>
      <c r="G1686" t="s">
        <v>27</v>
      </c>
      <c r="H1686" t="s">
        <v>38</v>
      </c>
      <c r="I1686" t="s">
        <v>42</v>
      </c>
      <c r="J1686" t="s">
        <v>43</v>
      </c>
      <c r="K1686" s="2">
        <v>3200</v>
      </c>
      <c r="L1686" s="2">
        <v>164500</v>
      </c>
      <c r="M1686">
        <v>180</v>
      </c>
      <c r="N1686" s="3">
        <v>0.51400000000000001</v>
      </c>
      <c r="O1686" t="s">
        <v>17</v>
      </c>
      <c r="P1686" t="s">
        <v>60</v>
      </c>
      <c r="Q1686">
        <v>0</v>
      </c>
      <c r="R1686">
        <v>1</v>
      </c>
      <c r="S1686" s="2">
        <v>0</v>
      </c>
      <c r="T1686" s="4"/>
      <c r="U1686">
        <v>26</v>
      </c>
      <c r="V1686">
        <v>0</v>
      </c>
      <c r="W1686">
        <v>1</v>
      </c>
    </row>
    <row r="1687" spans="1:23" ht="16.5" x14ac:dyDescent="0.3">
      <c r="A1687" t="s">
        <v>1747</v>
      </c>
      <c r="B1687" s="1">
        <v>45554</v>
      </c>
      <c r="C1687">
        <v>2024</v>
      </c>
      <c r="D1687" t="s">
        <v>1255</v>
      </c>
      <c r="E1687" t="s">
        <v>1623</v>
      </c>
      <c r="F1687" t="s">
        <v>26</v>
      </c>
      <c r="G1687" t="s">
        <v>51</v>
      </c>
      <c r="H1687" t="s">
        <v>38</v>
      </c>
      <c r="I1687" t="s">
        <v>42</v>
      </c>
      <c r="J1687" t="s">
        <v>30</v>
      </c>
      <c r="K1687" s="2">
        <v>3150</v>
      </c>
      <c r="L1687" s="2">
        <v>32000</v>
      </c>
      <c r="M1687">
        <v>48</v>
      </c>
      <c r="N1687" s="3">
        <v>0.32600000000000001</v>
      </c>
      <c r="O1687" t="s">
        <v>16</v>
      </c>
      <c r="Q1687">
        <v>1</v>
      </c>
      <c r="R1687">
        <v>0</v>
      </c>
      <c r="S1687" s="2">
        <v>32000</v>
      </c>
      <c r="T1687" s="4">
        <v>9.9199999999999997E-2</v>
      </c>
      <c r="U1687">
        <v>9</v>
      </c>
      <c r="V1687">
        <v>0</v>
      </c>
      <c r="W1687">
        <v>1</v>
      </c>
    </row>
    <row r="1688" spans="1:23" ht="16.5" x14ac:dyDescent="0.3">
      <c r="A1688" t="s">
        <v>1748</v>
      </c>
      <c r="B1688" s="1">
        <v>45554</v>
      </c>
      <c r="C1688">
        <v>2024</v>
      </c>
      <c r="D1688" t="s">
        <v>1255</v>
      </c>
      <c r="E1688" t="s">
        <v>1623</v>
      </c>
      <c r="F1688" t="s">
        <v>37</v>
      </c>
      <c r="G1688" t="s">
        <v>45</v>
      </c>
      <c r="H1688" t="s">
        <v>38</v>
      </c>
      <c r="I1688" t="s">
        <v>29</v>
      </c>
      <c r="J1688" t="s">
        <v>35</v>
      </c>
      <c r="K1688" s="2">
        <v>8500</v>
      </c>
      <c r="L1688" s="2">
        <v>8000</v>
      </c>
      <c r="M1688">
        <v>36</v>
      </c>
      <c r="N1688" s="3">
        <v>0.124</v>
      </c>
      <c r="O1688" t="s">
        <v>16</v>
      </c>
      <c r="Q1688">
        <v>1</v>
      </c>
      <c r="R1688">
        <v>0</v>
      </c>
      <c r="S1688" s="2">
        <v>8000</v>
      </c>
      <c r="T1688" s="4">
        <v>0.12970000000000001</v>
      </c>
      <c r="U1688">
        <v>2</v>
      </c>
      <c r="V1688">
        <v>1</v>
      </c>
      <c r="W1688">
        <v>1</v>
      </c>
    </row>
    <row r="1689" spans="1:23" ht="16.5" x14ac:dyDescent="0.3">
      <c r="A1689" t="s">
        <v>1749</v>
      </c>
      <c r="B1689" s="1">
        <v>45554</v>
      </c>
      <c r="C1689">
        <v>2024</v>
      </c>
      <c r="D1689" t="s">
        <v>1255</v>
      </c>
      <c r="E1689" t="s">
        <v>1623</v>
      </c>
      <c r="F1689" t="s">
        <v>37</v>
      </c>
      <c r="G1689" t="s">
        <v>51</v>
      </c>
      <c r="H1689" t="s">
        <v>34</v>
      </c>
      <c r="I1689" t="s">
        <v>39</v>
      </c>
      <c r="J1689" t="s">
        <v>43</v>
      </c>
      <c r="K1689" s="2">
        <v>6050</v>
      </c>
      <c r="L1689" s="2">
        <v>22500</v>
      </c>
      <c r="M1689">
        <v>24</v>
      </c>
      <c r="N1689" s="3">
        <v>0.29799999999999999</v>
      </c>
      <c r="O1689" t="s">
        <v>17</v>
      </c>
      <c r="P1689" t="s">
        <v>31</v>
      </c>
      <c r="Q1689">
        <v>0</v>
      </c>
      <c r="R1689">
        <v>1</v>
      </c>
      <c r="S1689" s="2">
        <v>0</v>
      </c>
      <c r="T1689" s="4"/>
      <c r="U1689">
        <v>4</v>
      </c>
      <c r="V1689">
        <v>0</v>
      </c>
      <c r="W1689">
        <v>1</v>
      </c>
    </row>
    <row r="1690" spans="1:23" ht="16.5" x14ac:dyDescent="0.3">
      <c r="A1690" t="s">
        <v>1750</v>
      </c>
      <c r="B1690" s="1">
        <v>45554</v>
      </c>
      <c r="C1690">
        <v>2024</v>
      </c>
      <c r="D1690" t="s">
        <v>1255</v>
      </c>
      <c r="E1690" t="s">
        <v>1623</v>
      </c>
      <c r="F1690" t="s">
        <v>26</v>
      </c>
      <c r="G1690" t="s">
        <v>27</v>
      </c>
      <c r="H1690" t="s">
        <v>34</v>
      </c>
      <c r="I1690" t="s">
        <v>39</v>
      </c>
      <c r="J1690" t="s">
        <v>52</v>
      </c>
      <c r="K1690" s="2">
        <v>4200</v>
      </c>
      <c r="L1690" s="2">
        <v>22000</v>
      </c>
      <c r="M1690">
        <v>48</v>
      </c>
      <c r="N1690" s="3">
        <v>0.189</v>
      </c>
      <c r="O1690" t="s">
        <v>16</v>
      </c>
      <c r="Q1690">
        <v>1</v>
      </c>
      <c r="R1690">
        <v>0</v>
      </c>
      <c r="S1690" s="2">
        <v>22000</v>
      </c>
      <c r="T1690" s="4">
        <v>7.7100000000000002E-2</v>
      </c>
      <c r="U1690">
        <v>5</v>
      </c>
      <c r="V1690">
        <v>0</v>
      </c>
      <c r="W1690">
        <v>1</v>
      </c>
    </row>
    <row r="1691" spans="1:23" ht="16.5" x14ac:dyDescent="0.3">
      <c r="A1691" t="s">
        <v>1751</v>
      </c>
      <c r="B1691" s="1">
        <v>45554</v>
      </c>
      <c r="C1691">
        <v>2024</v>
      </c>
      <c r="D1691" t="s">
        <v>1255</v>
      </c>
      <c r="E1691" t="s">
        <v>1623</v>
      </c>
      <c r="F1691" t="s">
        <v>41</v>
      </c>
      <c r="G1691" t="s">
        <v>51</v>
      </c>
      <c r="H1691" t="s">
        <v>38</v>
      </c>
      <c r="I1691" t="s">
        <v>29</v>
      </c>
      <c r="J1691" t="s">
        <v>35</v>
      </c>
      <c r="K1691" s="2">
        <v>3800</v>
      </c>
      <c r="L1691" s="2">
        <v>67500</v>
      </c>
      <c r="M1691">
        <v>12</v>
      </c>
      <c r="N1691" s="3">
        <v>1.7030000000000001</v>
      </c>
      <c r="O1691" t="s">
        <v>125</v>
      </c>
      <c r="Q1691">
        <v>0</v>
      </c>
      <c r="R1691">
        <v>0</v>
      </c>
      <c r="S1691" s="2">
        <v>0</v>
      </c>
      <c r="T1691" s="4"/>
      <c r="U1691">
        <v>9</v>
      </c>
      <c r="V1691">
        <v>1</v>
      </c>
      <c r="W1691">
        <v>1</v>
      </c>
    </row>
    <row r="1692" spans="1:23" ht="16.5" x14ac:dyDescent="0.3">
      <c r="A1692" t="s">
        <v>1752</v>
      </c>
      <c r="B1692" s="1">
        <v>45554</v>
      </c>
      <c r="C1692">
        <v>2024</v>
      </c>
      <c r="D1692" t="s">
        <v>1255</v>
      </c>
      <c r="E1692" t="s">
        <v>1623</v>
      </c>
      <c r="F1692" t="s">
        <v>37</v>
      </c>
      <c r="G1692" t="s">
        <v>45</v>
      </c>
      <c r="H1692" t="s">
        <v>38</v>
      </c>
      <c r="I1692" t="s">
        <v>42</v>
      </c>
      <c r="J1692" t="s">
        <v>30</v>
      </c>
      <c r="K1692" s="2">
        <v>5450</v>
      </c>
      <c r="L1692" s="2">
        <v>14000</v>
      </c>
      <c r="M1692">
        <v>36</v>
      </c>
      <c r="N1692" s="3">
        <v>0.316</v>
      </c>
      <c r="O1692" t="s">
        <v>17</v>
      </c>
      <c r="P1692" t="s">
        <v>31</v>
      </c>
      <c r="Q1692">
        <v>0</v>
      </c>
      <c r="R1692">
        <v>1</v>
      </c>
      <c r="S1692" s="2">
        <v>0</v>
      </c>
      <c r="T1692" s="4"/>
      <c r="U1692">
        <v>2</v>
      </c>
      <c r="V1692">
        <v>1</v>
      </c>
      <c r="W1692">
        <v>1</v>
      </c>
    </row>
    <row r="1693" spans="1:23" ht="16.5" x14ac:dyDescent="0.3">
      <c r="A1693" t="s">
        <v>1753</v>
      </c>
      <c r="B1693" s="1">
        <v>45554</v>
      </c>
      <c r="C1693">
        <v>2024</v>
      </c>
      <c r="D1693" t="s">
        <v>1255</v>
      </c>
      <c r="E1693" t="s">
        <v>1623</v>
      </c>
      <c r="F1693" t="s">
        <v>26</v>
      </c>
      <c r="G1693" t="s">
        <v>51</v>
      </c>
      <c r="H1693" t="s">
        <v>34</v>
      </c>
      <c r="I1693" t="s">
        <v>29</v>
      </c>
      <c r="J1693" t="s">
        <v>52</v>
      </c>
      <c r="K1693" s="2">
        <v>5300</v>
      </c>
      <c r="L1693" s="2">
        <v>13500</v>
      </c>
      <c r="M1693">
        <v>48</v>
      </c>
      <c r="N1693" s="3">
        <v>0.187</v>
      </c>
      <c r="O1693" t="s">
        <v>16</v>
      </c>
      <c r="Q1693">
        <v>1</v>
      </c>
      <c r="R1693">
        <v>0</v>
      </c>
      <c r="S1693" s="2">
        <v>13500</v>
      </c>
      <c r="T1693" s="4">
        <v>7.5700000000000003E-2</v>
      </c>
      <c r="U1693">
        <v>10</v>
      </c>
      <c r="V1693">
        <v>0</v>
      </c>
      <c r="W1693">
        <v>1</v>
      </c>
    </row>
    <row r="1694" spans="1:23" ht="16.5" x14ac:dyDescent="0.3">
      <c r="A1694" t="s">
        <v>1754</v>
      </c>
      <c r="B1694" s="1">
        <v>45554</v>
      </c>
      <c r="C1694">
        <v>2024</v>
      </c>
      <c r="D1694" t="s">
        <v>1255</v>
      </c>
      <c r="E1694" t="s">
        <v>1623</v>
      </c>
      <c r="F1694" t="s">
        <v>37</v>
      </c>
      <c r="G1694" t="s">
        <v>51</v>
      </c>
      <c r="H1694" t="s">
        <v>28</v>
      </c>
      <c r="I1694" t="s">
        <v>39</v>
      </c>
      <c r="J1694" t="s">
        <v>35</v>
      </c>
      <c r="K1694" s="2">
        <v>3250</v>
      </c>
      <c r="L1694" s="2">
        <v>13500</v>
      </c>
      <c r="M1694">
        <v>48</v>
      </c>
      <c r="N1694" s="3">
        <v>0.308</v>
      </c>
      <c r="O1694" t="s">
        <v>16</v>
      </c>
      <c r="Q1694">
        <v>1</v>
      </c>
      <c r="R1694">
        <v>0</v>
      </c>
      <c r="S1694" s="2">
        <v>12000</v>
      </c>
      <c r="T1694" s="4">
        <v>0.129</v>
      </c>
      <c r="U1694">
        <v>5</v>
      </c>
      <c r="V1694">
        <v>0</v>
      </c>
      <c r="W1694">
        <v>1</v>
      </c>
    </row>
    <row r="1695" spans="1:23" ht="16.5" x14ac:dyDescent="0.3">
      <c r="A1695" t="s">
        <v>1755</v>
      </c>
      <c r="B1695" s="1">
        <v>45554</v>
      </c>
      <c r="C1695">
        <v>2024</v>
      </c>
      <c r="D1695" t="s">
        <v>1255</v>
      </c>
      <c r="E1695" t="s">
        <v>1623</v>
      </c>
      <c r="F1695" t="s">
        <v>41</v>
      </c>
      <c r="G1695" t="s">
        <v>51</v>
      </c>
      <c r="H1695" t="s">
        <v>34</v>
      </c>
      <c r="I1695" t="s">
        <v>29</v>
      </c>
      <c r="J1695" t="s">
        <v>46</v>
      </c>
      <c r="K1695" s="2">
        <v>4000</v>
      </c>
      <c r="L1695" s="2">
        <v>114500</v>
      </c>
      <c r="M1695">
        <v>12</v>
      </c>
      <c r="N1695" s="3">
        <v>2.7570000000000001</v>
      </c>
      <c r="O1695" t="s">
        <v>17</v>
      </c>
      <c r="P1695" t="s">
        <v>53</v>
      </c>
      <c r="Q1695">
        <v>0</v>
      </c>
      <c r="R1695">
        <v>1</v>
      </c>
      <c r="S1695" s="2">
        <v>0</v>
      </c>
      <c r="T1695" s="4"/>
      <c r="U1695">
        <v>5</v>
      </c>
      <c r="V1695">
        <v>1</v>
      </c>
      <c r="W1695">
        <v>1</v>
      </c>
    </row>
    <row r="1696" spans="1:23" ht="16.5" x14ac:dyDescent="0.3">
      <c r="A1696" t="s">
        <v>1756</v>
      </c>
      <c r="B1696" s="1">
        <v>45554</v>
      </c>
      <c r="C1696">
        <v>2024</v>
      </c>
      <c r="D1696" t="s">
        <v>1255</v>
      </c>
      <c r="E1696" t="s">
        <v>1623</v>
      </c>
      <c r="F1696" t="s">
        <v>37</v>
      </c>
      <c r="G1696" t="s">
        <v>27</v>
      </c>
      <c r="H1696" t="s">
        <v>38</v>
      </c>
      <c r="I1696" t="s">
        <v>29</v>
      </c>
      <c r="J1696" t="s">
        <v>46</v>
      </c>
      <c r="K1696" s="2">
        <v>5600</v>
      </c>
      <c r="L1696" s="2">
        <v>17500</v>
      </c>
      <c r="M1696">
        <v>48</v>
      </c>
      <c r="N1696" s="3">
        <v>0.21</v>
      </c>
      <c r="O1696" t="s">
        <v>16</v>
      </c>
      <c r="Q1696">
        <v>1</v>
      </c>
      <c r="R1696">
        <v>0</v>
      </c>
      <c r="S1696" s="2">
        <v>17500</v>
      </c>
      <c r="T1696" s="4">
        <v>0.1066</v>
      </c>
      <c r="U1696">
        <v>3</v>
      </c>
      <c r="V1696">
        <v>1</v>
      </c>
      <c r="W1696">
        <v>1</v>
      </c>
    </row>
    <row r="1697" spans="1:23" ht="16.5" x14ac:dyDescent="0.3">
      <c r="A1697" t="s">
        <v>1757</v>
      </c>
      <c r="B1697" s="1">
        <v>45554</v>
      </c>
      <c r="C1697">
        <v>2024</v>
      </c>
      <c r="D1697" t="s">
        <v>1255</v>
      </c>
      <c r="E1697" t="s">
        <v>1623</v>
      </c>
      <c r="F1697" t="s">
        <v>37</v>
      </c>
      <c r="G1697" t="s">
        <v>45</v>
      </c>
      <c r="H1697" t="s">
        <v>55</v>
      </c>
      <c r="I1697" t="s">
        <v>39</v>
      </c>
      <c r="J1697" t="s">
        <v>52</v>
      </c>
      <c r="K1697" s="2">
        <v>9750</v>
      </c>
      <c r="L1697" s="2">
        <v>7500</v>
      </c>
      <c r="M1697">
        <v>24</v>
      </c>
      <c r="N1697" s="3">
        <v>0.221</v>
      </c>
      <c r="O1697" t="s">
        <v>16</v>
      </c>
      <c r="Q1697">
        <v>1</v>
      </c>
      <c r="R1697">
        <v>0</v>
      </c>
      <c r="S1697" s="2">
        <v>7000</v>
      </c>
      <c r="T1697" s="4">
        <v>0.1148</v>
      </c>
      <c r="U1697">
        <v>1</v>
      </c>
      <c r="V1697">
        <v>1</v>
      </c>
      <c r="W1697">
        <v>1</v>
      </c>
    </row>
    <row r="1698" spans="1:23" ht="16.5" x14ac:dyDescent="0.3">
      <c r="A1698" t="s">
        <v>1758</v>
      </c>
      <c r="B1698" s="1">
        <v>45554</v>
      </c>
      <c r="C1698">
        <v>2024</v>
      </c>
      <c r="D1698" t="s">
        <v>1255</v>
      </c>
      <c r="E1698" t="s">
        <v>1623</v>
      </c>
      <c r="F1698" t="s">
        <v>41</v>
      </c>
      <c r="G1698" t="s">
        <v>51</v>
      </c>
      <c r="H1698" t="s">
        <v>38</v>
      </c>
      <c r="I1698" t="s">
        <v>29</v>
      </c>
      <c r="J1698" t="s">
        <v>35</v>
      </c>
      <c r="K1698" s="2">
        <v>2800</v>
      </c>
      <c r="L1698" s="2">
        <v>152500</v>
      </c>
      <c r="M1698">
        <v>12</v>
      </c>
      <c r="N1698" s="3">
        <v>5.0129999999999999</v>
      </c>
      <c r="O1698" t="s">
        <v>17</v>
      </c>
      <c r="P1698" t="s">
        <v>53</v>
      </c>
      <c r="Q1698">
        <v>0</v>
      </c>
      <c r="R1698">
        <v>1</v>
      </c>
      <c r="S1698" s="2">
        <v>0</v>
      </c>
      <c r="T1698" s="4"/>
      <c r="U1698">
        <v>21</v>
      </c>
      <c r="V1698">
        <v>0</v>
      </c>
      <c r="W1698">
        <v>1</v>
      </c>
    </row>
    <row r="1699" spans="1:23" ht="16.5" x14ac:dyDescent="0.3">
      <c r="A1699" t="s">
        <v>1759</v>
      </c>
      <c r="B1699" s="1">
        <v>45554</v>
      </c>
      <c r="C1699">
        <v>2024</v>
      </c>
      <c r="D1699" t="s">
        <v>1255</v>
      </c>
      <c r="E1699" t="s">
        <v>1623</v>
      </c>
      <c r="F1699" t="s">
        <v>37</v>
      </c>
      <c r="G1699" t="s">
        <v>27</v>
      </c>
      <c r="H1699" t="s">
        <v>34</v>
      </c>
      <c r="I1699" t="s">
        <v>29</v>
      </c>
      <c r="J1699" t="s">
        <v>30</v>
      </c>
      <c r="K1699" s="2">
        <v>5550</v>
      </c>
      <c r="L1699" s="2">
        <v>10000</v>
      </c>
      <c r="M1699">
        <v>48</v>
      </c>
      <c r="N1699" s="3">
        <v>0.26600000000000001</v>
      </c>
      <c r="O1699" t="s">
        <v>16</v>
      </c>
      <c r="Q1699">
        <v>1</v>
      </c>
      <c r="R1699">
        <v>0</v>
      </c>
      <c r="S1699" s="2">
        <v>10000</v>
      </c>
      <c r="T1699" s="4">
        <v>0.14399999999999999</v>
      </c>
      <c r="U1699">
        <v>3</v>
      </c>
      <c r="V1699">
        <v>1</v>
      </c>
      <c r="W1699">
        <v>1</v>
      </c>
    </row>
    <row r="1700" spans="1:23" ht="16.5" x14ac:dyDescent="0.3">
      <c r="A1700" t="s">
        <v>1760</v>
      </c>
      <c r="B1700" s="1">
        <v>45555</v>
      </c>
      <c r="C1700">
        <v>2024</v>
      </c>
      <c r="D1700" t="s">
        <v>1255</v>
      </c>
      <c r="E1700" t="s">
        <v>1623</v>
      </c>
      <c r="F1700" t="s">
        <v>37</v>
      </c>
      <c r="G1700" t="s">
        <v>45</v>
      </c>
      <c r="H1700" t="s">
        <v>38</v>
      </c>
      <c r="I1700" t="s">
        <v>29</v>
      </c>
      <c r="J1700" t="s">
        <v>35</v>
      </c>
      <c r="K1700" s="2">
        <v>4850</v>
      </c>
      <c r="L1700" s="2">
        <v>14000</v>
      </c>
      <c r="M1700">
        <v>36</v>
      </c>
      <c r="N1700" s="3">
        <v>0.17599999999999999</v>
      </c>
      <c r="O1700" t="s">
        <v>16</v>
      </c>
      <c r="Q1700">
        <v>1</v>
      </c>
      <c r="R1700">
        <v>0</v>
      </c>
      <c r="S1700" s="2">
        <v>11000</v>
      </c>
      <c r="T1700" s="4">
        <v>0.1215</v>
      </c>
      <c r="U1700">
        <v>1</v>
      </c>
      <c r="V1700">
        <v>1</v>
      </c>
      <c r="W1700">
        <v>1</v>
      </c>
    </row>
    <row r="1701" spans="1:23" ht="16.5" x14ac:dyDescent="0.3">
      <c r="A1701" t="s">
        <v>1761</v>
      </c>
      <c r="B1701" s="1">
        <v>45555</v>
      </c>
      <c r="C1701">
        <v>2024</v>
      </c>
      <c r="D1701" t="s">
        <v>1255</v>
      </c>
      <c r="E1701" t="s">
        <v>1623</v>
      </c>
      <c r="F1701" t="s">
        <v>37</v>
      </c>
      <c r="G1701" t="s">
        <v>51</v>
      </c>
      <c r="H1701" t="s">
        <v>34</v>
      </c>
      <c r="I1701" t="s">
        <v>29</v>
      </c>
      <c r="J1701" t="s">
        <v>52</v>
      </c>
      <c r="K1701" s="2">
        <v>3450</v>
      </c>
      <c r="L1701" s="2">
        <v>9500</v>
      </c>
      <c r="M1701">
        <v>24</v>
      </c>
      <c r="N1701" s="3">
        <v>0.33900000000000002</v>
      </c>
      <c r="O1701" t="s">
        <v>16</v>
      </c>
      <c r="Q1701">
        <v>1</v>
      </c>
      <c r="R1701">
        <v>0</v>
      </c>
      <c r="S1701" s="2">
        <v>7500</v>
      </c>
      <c r="T1701" s="4">
        <v>0.1152</v>
      </c>
      <c r="U1701">
        <v>3</v>
      </c>
      <c r="V1701">
        <v>1</v>
      </c>
      <c r="W1701">
        <v>1</v>
      </c>
    </row>
    <row r="1702" spans="1:23" ht="16.5" x14ac:dyDescent="0.3">
      <c r="A1702" t="s">
        <v>1762</v>
      </c>
      <c r="B1702" s="1">
        <v>45555</v>
      </c>
      <c r="C1702">
        <v>2024</v>
      </c>
      <c r="D1702" t="s">
        <v>1255</v>
      </c>
      <c r="E1702" t="s">
        <v>1623</v>
      </c>
      <c r="F1702" t="s">
        <v>26</v>
      </c>
      <c r="G1702" t="s">
        <v>51</v>
      </c>
      <c r="H1702" t="s">
        <v>34</v>
      </c>
      <c r="I1702" t="s">
        <v>39</v>
      </c>
      <c r="J1702" t="s">
        <v>52</v>
      </c>
      <c r="K1702" s="2">
        <v>4700</v>
      </c>
      <c r="L1702" s="2">
        <v>18500</v>
      </c>
      <c r="M1702">
        <v>60</v>
      </c>
      <c r="N1702" s="3">
        <v>0.26900000000000002</v>
      </c>
      <c r="O1702" t="s">
        <v>17</v>
      </c>
      <c r="P1702" t="s">
        <v>31</v>
      </c>
      <c r="Q1702">
        <v>0</v>
      </c>
      <c r="R1702">
        <v>1</v>
      </c>
      <c r="S1702" s="2">
        <v>0</v>
      </c>
      <c r="T1702" s="4"/>
      <c r="U1702">
        <v>10</v>
      </c>
      <c r="V1702">
        <v>0</v>
      </c>
      <c r="W1702">
        <v>1</v>
      </c>
    </row>
    <row r="1703" spans="1:23" ht="16.5" x14ac:dyDescent="0.3">
      <c r="A1703" t="s">
        <v>1763</v>
      </c>
      <c r="B1703" s="1">
        <v>45555</v>
      </c>
      <c r="C1703">
        <v>2024</v>
      </c>
      <c r="D1703" t="s">
        <v>1255</v>
      </c>
      <c r="E1703" t="s">
        <v>1623</v>
      </c>
      <c r="F1703" t="s">
        <v>41</v>
      </c>
      <c r="G1703" t="s">
        <v>33</v>
      </c>
      <c r="H1703" t="s">
        <v>38</v>
      </c>
      <c r="I1703" t="s">
        <v>39</v>
      </c>
      <c r="J1703" t="s">
        <v>35</v>
      </c>
      <c r="K1703" s="2">
        <v>10400</v>
      </c>
      <c r="L1703" s="2">
        <v>93000</v>
      </c>
      <c r="M1703">
        <v>12</v>
      </c>
      <c r="N1703" s="3">
        <v>1.0109999999999999</v>
      </c>
      <c r="O1703" t="s">
        <v>17</v>
      </c>
      <c r="P1703" t="s">
        <v>53</v>
      </c>
      <c r="Q1703">
        <v>0</v>
      </c>
      <c r="R1703">
        <v>1</v>
      </c>
      <c r="S1703" s="2">
        <v>0</v>
      </c>
      <c r="T1703" s="4"/>
      <c r="U1703">
        <v>5</v>
      </c>
      <c r="V1703">
        <v>1</v>
      </c>
      <c r="W1703">
        <v>1</v>
      </c>
    </row>
    <row r="1704" spans="1:23" ht="16.5" x14ac:dyDescent="0.3">
      <c r="A1704" t="s">
        <v>1764</v>
      </c>
      <c r="B1704" s="1">
        <v>45555</v>
      </c>
      <c r="C1704">
        <v>2024</v>
      </c>
      <c r="D1704" t="s">
        <v>1255</v>
      </c>
      <c r="E1704" t="s">
        <v>1623</v>
      </c>
      <c r="F1704" t="s">
        <v>41</v>
      </c>
      <c r="G1704" t="s">
        <v>27</v>
      </c>
      <c r="H1704" t="s">
        <v>55</v>
      </c>
      <c r="I1704" t="s">
        <v>39</v>
      </c>
      <c r="J1704" t="s">
        <v>52</v>
      </c>
      <c r="K1704" s="2">
        <v>5300</v>
      </c>
      <c r="L1704" s="2">
        <v>80500</v>
      </c>
      <c r="M1704">
        <v>60</v>
      </c>
      <c r="N1704" s="3">
        <v>0.53700000000000003</v>
      </c>
      <c r="O1704" t="s">
        <v>17</v>
      </c>
      <c r="P1704" t="s">
        <v>60</v>
      </c>
      <c r="Q1704">
        <v>0</v>
      </c>
      <c r="R1704">
        <v>1</v>
      </c>
      <c r="S1704" s="2">
        <v>0</v>
      </c>
      <c r="T1704" s="4"/>
      <c r="U1704">
        <v>17</v>
      </c>
      <c r="V1704">
        <v>0</v>
      </c>
      <c r="W1704">
        <v>1</v>
      </c>
    </row>
    <row r="1705" spans="1:23" ht="16.5" x14ac:dyDescent="0.3">
      <c r="A1705" t="s">
        <v>1765</v>
      </c>
      <c r="B1705" s="1">
        <v>45555</v>
      </c>
      <c r="C1705">
        <v>2024</v>
      </c>
      <c r="D1705" t="s">
        <v>1255</v>
      </c>
      <c r="E1705" t="s">
        <v>1623</v>
      </c>
      <c r="F1705" t="s">
        <v>26</v>
      </c>
      <c r="G1705" t="s">
        <v>51</v>
      </c>
      <c r="H1705" t="s">
        <v>38</v>
      </c>
      <c r="I1705" t="s">
        <v>39</v>
      </c>
      <c r="J1705" t="s">
        <v>30</v>
      </c>
      <c r="K1705" s="2">
        <v>5850</v>
      </c>
      <c r="L1705" s="2">
        <v>36000</v>
      </c>
      <c r="M1705">
        <v>60</v>
      </c>
      <c r="N1705" s="3">
        <v>0.224</v>
      </c>
      <c r="O1705" t="s">
        <v>16</v>
      </c>
      <c r="Q1705">
        <v>1</v>
      </c>
      <c r="R1705">
        <v>0</v>
      </c>
      <c r="S1705" s="2">
        <v>36000</v>
      </c>
      <c r="T1705" s="4">
        <v>9.3399999999999997E-2</v>
      </c>
      <c r="U1705">
        <v>9</v>
      </c>
      <c r="V1705">
        <v>0</v>
      </c>
      <c r="W1705">
        <v>1</v>
      </c>
    </row>
    <row r="1706" spans="1:23" ht="16.5" x14ac:dyDescent="0.3">
      <c r="A1706" t="s">
        <v>1766</v>
      </c>
      <c r="B1706" s="1">
        <v>45555</v>
      </c>
      <c r="C1706">
        <v>2024</v>
      </c>
      <c r="D1706" t="s">
        <v>1255</v>
      </c>
      <c r="E1706" t="s">
        <v>1623</v>
      </c>
      <c r="F1706" t="s">
        <v>41</v>
      </c>
      <c r="G1706" t="s">
        <v>51</v>
      </c>
      <c r="H1706" t="s">
        <v>64</v>
      </c>
      <c r="I1706" t="s">
        <v>39</v>
      </c>
      <c r="J1706" t="s">
        <v>43</v>
      </c>
      <c r="K1706" s="2">
        <v>5100</v>
      </c>
      <c r="L1706" s="2">
        <v>123000</v>
      </c>
      <c r="M1706">
        <v>12</v>
      </c>
      <c r="N1706" s="3">
        <v>2.198</v>
      </c>
      <c r="O1706" t="s">
        <v>17</v>
      </c>
      <c r="P1706" t="s">
        <v>53</v>
      </c>
      <c r="Q1706">
        <v>0</v>
      </c>
      <c r="R1706">
        <v>1</v>
      </c>
      <c r="S1706" s="2">
        <v>0</v>
      </c>
      <c r="T1706" s="4"/>
      <c r="U1706">
        <v>18</v>
      </c>
      <c r="V1706">
        <v>0</v>
      </c>
      <c r="W1706">
        <v>1</v>
      </c>
    </row>
    <row r="1707" spans="1:23" ht="16.5" x14ac:dyDescent="0.3">
      <c r="A1707" t="s">
        <v>1767</v>
      </c>
      <c r="B1707" s="1">
        <v>45555</v>
      </c>
      <c r="C1707">
        <v>2024</v>
      </c>
      <c r="D1707" t="s">
        <v>1255</v>
      </c>
      <c r="E1707" t="s">
        <v>1623</v>
      </c>
      <c r="F1707" t="s">
        <v>50</v>
      </c>
      <c r="G1707" t="s">
        <v>27</v>
      </c>
      <c r="H1707" t="s">
        <v>64</v>
      </c>
      <c r="I1707" t="s">
        <v>39</v>
      </c>
      <c r="J1707" t="s">
        <v>52</v>
      </c>
      <c r="K1707" s="2">
        <v>5050</v>
      </c>
      <c r="L1707" s="2">
        <v>318000</v>
      </c>
      <c r="M1707">
        <v>180</v>
      </c>
      <c r="N1707" s="3">
        <v>0.67100000000000004</v>
      </c>
      <c r="O1707" t="s">
        <v>17</v>
      </c>
      <c r="P1707" t="s">
        <v>53</v>
      </c>
      <c r="Q1707">
        <v>0</v>
      </c>
      <c r="R1707">
        <v>1</v>
      </c>
      <c r="S1707" s="2">
        <v>0</v>
      </c>
      <c r="T1707" s="4"/>
      <c r="U1707">
        <v>15</v>
      </c>
      <c r="V1707">
        <v>1</v>
      </c>
      <c r="W1707">
        <v>1</v>
      </c>
    </row>
    <row r="1708" spans="1:23" ht="16.5" x14ac:dyDescent="0.3">
      <c r="A1708" t="s">
        <v>1768</v>
      </c>
      <c r="B1708" s="1">
        <v>45555</v>
      </c>
      <c r="C1708">
        <v>2024</v>
      </c>
      <c r="D1708" t="s">
        <v>1255</v>
      </c>
      <c r="E1708" t="s">
        <v>1623</v>
      </c>
      <c r="F1708" t="s">
        <v>37</v>
      </c>
      <c r="G1708" t="s">
        <v>45</v>
      </c>
      <c r="H1708" t="s">
        <v>34</v>
      </c>
      <c r="I1708" t="s">
        <v>39</v>
      </c>
      <c r="J1708" t="s">
        <v>35</v>
      </c>
      <c r="K1708" s="2">
        <v>4150</v>
      </c>
      <c r="L1708" s="2">
        <v>6000</v>
      </c>
      <c r="M1708">
        <v>48</v>
      </c>
      <c r="N1708" s="3">
        <v>0.27100000000000002</v>
      </c>
      <c r="O1708" t="s">
        <v>16</v>
      </c>
      <c r="Q1708">
        <v>1</v>
      </c>
      <c r="R1708">
        <v>0</v>
      </c>
      <c r="S1708" s="2">
        <v>5000</v>
      </c>
      <c r="T1708" s="4">
        <v>0.13070000000000001</v>
      </c>
      <c r="U1708">
        <v>2</v>
      </c>
      <c r="V1708">
        <v>1</v>
      </c>
      <c r="W1708">
        <v>1</v>
      </c>
    </row>
    <row r="1709" spans="1:23" ht="16.5" x14ac:dyDescent="0.3">
      <c r="A1709" t="s">
        <v>1769</v>
      </c>
      <c r="B1709" s="1">
        <v>45555</v>
      </c>
      <c r="C1709">
        <v>2024</v>
      </c>
      <c r="D1709" t="s">
        <v>1255</v>
      </c>
      <c r="E1709" t="s">
        <v>1623</v>
      </c>
      <c r="F1709" t="s">
        <v>37</v>
      </c>
      <c r="G1709" t="s">
        <v>27</v>
      </c>
      <c r="H1709" t="s">
        <v>34</v>
      </c>
      <c r="I1709" t="s">
        <v>39</v>
      </c>
      <c r="J1709" t="s">
        <v>52</v>
      </c>
      <c r="K1709" s="2">
        <v>6950</v>
      </c>
      <c r="L1709" s="2">
        <v>7000</v>
      </c>
      <c r="M1709">
        <v>36</v>
      </c>
      <c r="N1709" s="3">
        <v>0.26</v>
      </c>
      <c r="O1709" t="s">
        <v>16</v>
      </c>
      <c r="Q1709">
        <v>1</v>
      </c>
      <c r="R1709">
        <v>0</v>
      </c>
      <c r="S1709" s="2">
        <v>7000</v>
      </c>
      <c r="T1709" s="4">
        <v>0.1128</v>
      </c>
      <c r="U1709">
        <v>3</v>
      </c>
      <c r="V1709">
        <v>1</v>
      </c>
      <c r="W1709">
        <v>1</v>
      </c>
    </row>
    <row r="1710" spans="1:23" ht="16.5" x14ac:dyDescent="0.3">
      <c r="A1710" t="s">
        <v>1770</v>
      </c>
      <c r="B1710" s="1">
        <v>45555</v>
      </c>
      <c r="C1710">
        <v>2024</v>
      </c>
      <c r="D1710" t="s">
        <v>1255</v>
      </c>
      <c r="E1710" t="s">
        <v>1623</v>
      </c>
      <c r="F1710" t="s">
        <v>50</v>
      </c>
      <c r="G1710" t="s">
        <v>27</v>
      </c>
      <c r="H1710" t="s">
        <v>38</v>
      </c>
      <c r="I1710" t="s">
        <v>39</v>
      </c>
      <c r="J1710" t="s">
        <v>35</v>
      </c>
      <c r="K1710" s="2">
        <v>11100</v>
      </c>
      <c r="L1710" s="2">
        <v>201000</v>
      </c>
      <c r="M1710">
        <v>180</v>
      </c>
      <c r="N1710" s="3">
        <v>0.224</v>
      </c>
      <c r="O1710" t="s">
        <v>16</v>
      </c>
      <c r="Q1710">
        <v>1</v>
      </c>
      <c r="R1710">
        <v>0</v>
      </c>
      <c r="S1710" s="2">
        <v>201000</v>
      </c>
      <c r="T1710" s="4">
        <v>5.5500000000000001E-2</v>
      </c>
      <c r="U1710">
        <v>15</v>
      </c>
      <c r="V1710">
        <v>1</v>
      </c>
      <c r="W1710">
        <v>1</v>
      </c>
    </row>
    <row r="1711" spans="1:23" ht="16.5" x14ac:dyDescent="0.3">
      <c r="A1711" t="s">
        <v>1771</v>
      </c>
      <c r="B1711" s="1">
        <v>45555</v>
      </c>
      <c r="C1711">
        <v>2024</v>
      </c>
      <c r="D1711" t="s">
        <v>1255</v>
      </c>
      <c r="E1711" t="s">
        <v>1623</v>
      </c>
      <c r="F1711" t="s">
        <v>26</v>
      </c>
      <c r="G1711" t="s">
        <v>45</v>
      </c>
      <c r="H1711" t="s">
        <v>64</v>
      </c>
      <c r="I1711" t="s">
        <v>29</v>
      </c>
      <c r="J1711" t="s">
        <v>30</v>
      </c>
      <c r="K1711" s="2">
        <v>2800</v>
      </c>
      <c r="L1711" s="2">
        <v>24500</v>
      </c>
      <c r="M1711">
        <v>60</v>
      </c>
      <c r="N1711" s="3">
        <v>0.29499999999999998</v>
      </c>
      <c r="O1711" t="s">
        <v>17</v>
      </c>
      <c r="P1711" t="s">
        <v>31</v>
      </c>
      <c r="Q1711">
        <v>0</v>
      </c>
      <c r="R1711">
        <v>1</v>
      </c>
      <c r="S1711" s="2">
        <v>0</v>
      </c>
      <c r="T1711" s="4"/>
      <c r="U1711">
        <v>3</v>
      </c>
      <c r="V1711">
        <v>1</v>
      </c>
      <c r="W1711">
        <v>1</v>
      </c>
    </row>
    <row r="1712" spans="1:23" ht="16.5" x14ac:dyDescent="0.3">
      <c r="A1712" t="s">
        <v>1772</v>
      </c>
      <c r="B1712" s="1">
        <v>45556</v>
      </c>
      <c r="C1712">
        <v>2024</v>
      </c>
      <c r="D1712" t="s">
        <v>1255</v>
      </c>
      <c r="E1712" t="s">
        <v>1623</v>
      </c>
      <c r="F1712" t="s">
        <v>50</v>
      </c>
      <c r="G1712" t="s">
        <v>51</v>
      </c>
      <c r="H1712" t="s">
        <v>34</v>
      </c>
      <c r="I1712" t="s">
        <v>29</v>
      </c>
      <c r="J1712" t="s">
        <v>43</v>
      </c>
      <c r="K1712" s="2">
        <v>6800</v>
      </c>
      <c r="L1712" s="2">
        <v>317000</v>
      </c>
      <c r="M1712">
        <v>180</v>
      </c>
      <c r="N1712" s="3">
        <v>0.60699999999999998</v>
      </c>
      <c r="O1712" t="s">
        <v>17</v>
      </c>
      <c r="P1712" t="s">
        <v>31</v>
      </c>
      <c r="Q1712">
        <v>0</v>
      </c>
      <c r="R1712">
        <v>1</v>
      </c>
      <c r="S1712" s="2">
        <v>0</v>
      </c>
      <c r="T1712" s="4"/>
      <c r="U1712">
        <v>12</v>
      </c>
      <c r="V1712">
        <v>1</v>
      </c>
      <c r="W1712">
        <v>1</v>
      </c>
    </row>
    <row r="1713" spans="1:23" ht="16.5" x14ac:dyDescent="0.3">
      <c r="A1713" t="s">
        <v>1773</v>
      </c>
      <c r="B1713" s="1">
        <v>45556</v>
      </c>
      <c r="C1713">
        <v>2024</v>
      </c>
      <c r="D1713" t="s">
        <v>1255</v>
      </c>
      <c r="E1713" t="s">
        <v>1623</v>
      </c>
      <c r="F1713" t="s">
        <v>37</v>
      </c>
      <c r="G1713" t="s">
        <v>51</v>
      </c>
      <c r="H1713" t="s">
        <v>55</v>
      </c>
      <c r="I1713" t="s">
        <v>42</v>
      </c>
      <c r="J1713" t="s">
        <v>35</v>
      </c>
      <c r="K1713" s="2">
        <v>6850</v>
      </c>
      <c r="L1713" s="2">
        <v>13500</v>
      </c>
      <c r="M1713">
        <v>24</v>
      </c>
      <c r="N1713" s="3">
        <v>0.22800000000000001</v>
      </c>
      <c r="O1713" t="s">
        <v>16</v>
      </c>
      <c r="Q1713">
        <v>1</v>
      </c>
      <c r="R1713">
        <v>0</v>
      </c>
      <c r="S1713" s="2">
        <v>13500</v>
      </c>
      <c r="T1713" s="4">
        <v>0.12659999999999999</v>
      </c>
      <c r="U1713">
        <v>4</v>
      </c>
      <c r="V1713">
        <v>0</v>
      </c>
      <c r="W1713">
        <v>1</v>
      </c>
    </row>
    <row r="1714" spans="1:23" ht="16.5" x14ac:dyDescent="0.3">
      <c r="A1714" t="s">
        <v>1774</v>
      </c>
      <c r="B1714" s="1">
        <v>45556</v>
      </c>
      <c r="C1714">
        <v>2024</v>
      </c>
      <c r="D1714" t="s">
        <v>1255</v>
      </c>
      <c r="E1714" t="s">
        <v>1623</v>
      </c>
      <c r="F1714" t="s">
        <v>41</v>
      </c>
      <c r="G1714" t="s">
        <v>45</v>
      </c>
      <c r="H1714" t="s">
        <v>34</v>
      </c>
      <c r="I1714" t="s">
        <v>29</v>
      </c>
      <c r="J1714" t="s">
        <v>30</v>
      </c>
      <c r="K1714" s="2">
        <v>7800</v>
      </c>
      <c r="L1714" s="2">
        <v>66500</v>
      </c>
      <c r="M1714">
        <v>12</v>
      </c>
      <c r="N1714" s="3">
        <v>0.89800000000000002</v>
      </c>
      <c r="O1714" t="s">
        <v>17</v>
      </c>
      <c r="P1714" t="s">
        <v>31</v>
      </c>
      <c r="Q1714">
        <v>0</v>
      </c>
      <c r="R1714">
        <v>1</v>
      </c>
      <c r="S1714" s="2">
        <v>0</v>
      </c>
      <c r="T1714" s="4"/>
      <c r="U1714">
        <v>8</v>
      </c>
      <c r="V1714">
        <v>1</v>
      </c>
      <c r="W1714">
        <v>1</v>
      </c>
    </row>
    <row r="1715" spans="1:23" ht="16.5" x14ac:dyDescent="0.3">
      <c r="A1715" t="s">
        <v>1775</v>
      </c>
      <c r="B1715" s="1">
        <v>45556</v>
      </c>
      <c r="C1715">
        <v>2024</v>
      </c>
      <c r="D1715" t="s">
        <v>1255</v>
      </c>
      <c r="E1715" t="s">
        <v>1623</v>
      </c>
      <c r="F1715" t="s">
        <v>41</v>
      </c>
      <c r="G1715" t="s">
        <v>45</v>
      </c>
      <c r="H1715" t="s">
        <v>28</v>
      </c>
      <c r="I1715" t="s">
        <v>39</v>
      </c>
      <c r="J1715" t="s">
        <v>30</v>
      </c>
      <c r="K1715" s="2">
        <v>5150</v>
      </c>
      <c r="L1715" s="2">
        <v>46000</v>
      </c>
      <c r="M1715">
        <v>36</v>
      </c>
      <c r="N1715" s="3">
        <v>0.43</v>
      </c>
      <c r="O1715" t="s">
        <v>17</v>
      </c>
      <c r="P1715" t="s">
        <v>31</v>
      </c>
      <c r="Q1715">
        <v>0</v>
      </c>
      <c r="R1715">
        <v>1</v>
      </c>
      <c r="S1715" s="2">
        <v>0</v>
      </c>
      <c r="T1715" s="4"/>
      <c r="U1715">
        <v>8</v>
      </c>
      <c r="V1715">
        <v>1</v>
      </c>
      <c r="W1715">
        <v>1</v>
      </c>
    </row>
    <row r="1716" spans="1:23" ht="16.5" x14ac:dyDescent="0.3">
      <c r="A1716" t="s">
        <v>1776</v>
      </c>
      <c r="B1716" s="1">
        <v>45557</v>
      </c>
      <c r="C1716">
        <v>2024</v>
      </c>
      <c r="D1716" t="s">
        <v>1255</v>
      </c>
      <c r="E1716" t="s">
        <v>1623</v>
      </c>
      <c r="F1716" t="s">
        <v>37</v>
      </c>
      <c r="G1716" t="s">
        <v>51</v>
      </c>
      <c r="H1716" t="s">
        <v>28</v>
      </c>
      <c r="I1716" t="s">
        <v>42</v>
      </c>
      <c r="J1716" t="s">
        <v>35</v>
      </c>
      <c r="K1716" s="2">
        <v>8850</v>
      </c>
      <c r="L1716" s="2">
        <v>8000</v>
      </c>
      <c r="M1716">
        <v>48</v>
      </c>
      <c r="N1716" s="3">
        <v>0.154</v>
      </c>
      <c r="O1716" t="s">
        <v>16</v>
      </c>
      <c r="Q1716">
        <v>1</v>
      </c>
      <c r="R1716">
        <v>0</v>
      </c>
      <c r="S1716" s="2">
        <v>7000</v>
      </c>
      <c r="T1716" s="4">
        <v>0.1308</v>
      </c>
      <c r="U1716">
        <v>3</v>
      </c>
      <c r="V1716">
        <v>1</v>
      </c>
      <c r="W1716">
        <v>1</v>
      </c>
    </row>
    <row r="1717" spans="1:23" ht="16.5" x14ac:dyDescent="0.3">
      <c r="A1717" t="s">
        <v>1777</v>
      </c>
      <c r="B1717" s="1">
        <v>45557</v>
      </c>
      <c r="C1717">
        <v>2024</v>
      </c>
      <c r="D1717" t="s">
        <v>1255</v>
      </c>
      <c r="E1717" t="s">
        <v>1623</v>
      </c>
      <c r="F1717" t="s">
        <v>50</v>
      </c>
      <c r="G1717" t="s">
        <v>51</v>
      </c>
      <c r="H1717" t="s">
        <v>38</v>
      </c>
      <c r="I1717" t="s">
        <v>39</v>
      </c>
      <c r="J1717" t="s">
        <v>52</v>
      </c>
      <c r="K1717" s="2">
        <v>2500</v>
      </c>
      <c r="L1717" s="2">
        <v>171500</v>
      </c>
      <c r="M1717">
        <v>240</v>
      </c>
      <c r="N1717" s="3">
        <v>0.624</v>
      </c>
      <c r="O1717" t="s">
        <v>16</v>
      </c>
      <c r="Q1717">
        <v>1</v>
      </c>
      <c r="R1717">
        <v>0</v>
      </c>
      <c r="S1717" s="2">
        <v>154500</v>
      </c>
      <c r="T1717" s="4">
        <v>4.8599999999999997E-2</v>
      </c>
      <c r="U1717">
        <v>16</v>
      </c>
      <c r="V1717">
        <v>0</v>
      </c>
      <c r="W1717">
        <v>1</v>
      </c>
    </row>
    <row r="1718" spans="1:23" ht="16.5" x14ac:dyDescent="0.3">
      <c r="A1718" t="s">
        <v>1778</v>
      </c>
      <c r="B1718" s="1">
        <v>45558</v>
      </c>
      <c r="C1718">
        <v>2024</v>
      </c>
      <c r="D1718" t="s">
        <v>1255</v>
      </c>
      <c r="E1718" t="s">
        <v>1623</v>
      </c>
      <c r="F1718" t="s">
        <v>37</v>
      </c>
      <c r="G1718" t="s">
        <v>51</v>
      </c>
      <c r="H1718" t="s">
        <v>38</v>
      </c>
      <c r="I1718" t="s">
        <v>29</v>
      </c>
      <c r="J1718" t="s">
        <v>35</v>
      </c>
      <c r="K1718" s="2">
        <v>17900</v>
      </c>
      <c r="L1718" s="2">
        <v>5000</v>
      </c>
      <c r="M1718">
        <v>60</v>
      </c>
      <c r="N1718" s="3">
        <v>0.16500000000000001</v>
      </c>
      <c r="O1718" t="s">
        <v>16</v>
      </c>
      <c r="Q1718">
        <v>1</v>
      </c>
      <c r="R1718">
        <v>0</v>
      </c>
      <c r="S1718" s="2">
        <v>5000</v>
      </c>
      <c r="T1718" s="4">
        <v>0.1229</v>
      </c>
      <c r="U1718">
        <v>3</v>
      </c>
      <c r="V1718">
        <v>1</v>
      </c>
      <c r="W1718">
        <v>1</v>
      </c>
    </row>
    <row r="1719" spans="1:23" ht="16.5" x14ac:dyDescent="0.3">
      <c r="A1719" t="s">
        <v>1779</v>
      </c>
      <c r="B1719" s="1">
        <v>45558</v>
      </c>
      <c r="C1719">
        <v>2024</v>
      </c>
      <c r="D1719" t="s">
        <v>1255</v>
      </c>
      <c r="E1719" t="s">
        <v>1623</v>
      </c>
      <c r="F1719" t="s">
        <v>37</v>
      </c>
      <c r="G1719" t="s">
        <v>45</v>
      </c>
      <c r="H1719" t="s">
        <v>38</v>
      </c>
      <c r="I1719" t="s">
        <v>29</v>
      </c>
      <c r="J1719" t="s">
        <v>30</v>
      </c>
      <c r="K1719" s="2">
        <v>7100</v>
      </c>
      <c r="L1719" s="2">
        <v>9000</v>
      </c>
      <c r="M1719">
        <v>36</v>
      </c>
      <c r="N1719" s="3">
        <v>0.19600000000000001</v>
      </c>
      <c r="O1719" t="s">
        <v>17</v>
      </c>
      <c r="P1719" t="s">
        <v>65</v>
      </c>
      <c r="Q1719">
        <v>0</v>
      </c>
      <c r="R1719">
        <v>1</v>
      </c>
      <c r="S1719" s="2">
        <v>0</v>
      </c>
      <c r="T1719" s="4"/>
      <c r="U1719">
        <v>1</v>
      </c>
      <c r="V1719">
        <v>1</v>
      </c>
      <c r="W1719">
        <v>1</v>
      </c>
    </row>
    <row r="1720" spans="1:23" ht="16.5" x14ac:dyDescent="0.3">
      <c r="A1720" t="s">
        <v>1780</v>
      </c>
      <c r="B1720" s="1">
        <v>45558</v>
      </c>
      <c r="C1720">
        <v>2024</v>
      </c>
      <c r="D1720" t="s">
        <v>1255</v>
      </c>
      <c r="E1720" t="s">
        <v>1623</v>
      </c>
      <c r="F1720" t="s">
        <v>37</v>
      </c>
      <c r="G1720" t="s">
        <v>27</v>
      </c>
      <c r="H1720" t="s">
        <v>28</v>
      </c>
      <c r="I1720" t="s">
        <v>42</v>
      </c>
      <c r="J1720" t="s">
        <v>52</v>
      </c>
      <c r="K1720" s="2">
        <v>4750</v>
      </c>
      <c r="L1720" s="2">
        <v>8500</v>
      </c>
      <c r="M1720">
        <v>36</v>
      </c>
      <c r="N1720" s="3">
        <v>0.20399999999999999</v>
      </c>
      <c r="O1720" t="s">
        <v>17</v>
      </c>
      <c r="P1720" t="s">
        <v>65</v>
      </c>
      <c r="Q1720">
        <v>0</v>
      </c>
      <c r="R1720">
        <v>1</v>
      </c>
      <c r="S1720" s="2">
        <v>0</v>
      </c>
      <c r="T1720" s="4"/>
      <c r="U1720">
        <v>4</v>
      </c>
      <c r="V1720">
        <v>0</v>
      </c>
      <c r="W1720">
        <v>1</v>
      </c>
    </row>
    <row r="1721" spans="1:23" ht="16.5" x14ac:dyDescent="0.3">
      <c r="A1721" t="s">
        <v>1781</v>
      </c>
      <c r="B1721" s="1">
        <v>45558</v>
      </c>
      <c r="C1721">
        <v>2024</v>
      </c>
      <c r="D1721" t="s">
        <v>1255</v>
      </c>
      <c r="E1721" t="s">
        <v>1623</v>
      </c>
      <c r="F1721" t="s">
        <v>37</v>
      </c>
      <c r="G1721" t="s">
        <v>51</v>
      </c>
      <c r="H1721" t="s">
        <v>38</v>
      </c>
      <c r="I1721" t="s">
        <v>39</v>
      </c>
      <c r="J1721" t="s">
        <v>30</v>
      </c>
      <c r="K1721" s="2">
        <v>5350</v>
      </c>
      <c r="L1721" s="2">
        <v>7500</v>
      </c>
      <c r="M1721">
        <v>36</v>
      </c>
      <c r="N1721" s="3">
        <v>0.17</v>
      </c>
      <c r="O1721" t="s">
        <v>16</v>
      </c>
      <c r="Q1721">
        <v>1</v>
      </c>
      <c r="R1721">
        <v>0</v>
      </c>
      <c r="S1721" s="2">
        <v>7500</v>
      </c>
      <c r="T1721" s="4">
        <v>0.14019999999999999</v>
      </c>
      <c r="U1721">
        <v>6</v>
      </c>
      <c r="V1721">
        <v>0</v>
      </c>
      <c r="W1721">
        <v>1</v>
      </c>
    </row>
    <row r="1722" spans="1:23" ht="16.5" x14ac:dyDescent="0.3">
      <c r="A1722" t="s">
        <v>1782</v>
      </c>
      <c r="B1722" s="1">
        <v>45558</v>
      </c>
      <c r="C1722">
        <v>2024</v>
      </c>
      <c r="D1722" t="s">
        <v>1255</v>
      </c>
      <c r="E1722" t="s">
        <v>1623</v>
      </c>
      <c r="F1722" t="s">
        <v>37</v>
      </c>
      <c r="G1722" t="s">
        <v>51</v>
      </c>
      <c r="H1722" t="s">
        <v>34</v>
      </c>
      <c r="I1722" t="s">
        <v>29</v>
      </c>
      <c r="J1722" t="s">
        <v>35</v>
      </c>
      <c r="K1722" s="2">
        <v>4400</v>
      </c>
      <c r="L1722" s="2">
        <v>17500</v>
      </c>
      <c r="M1722">
        <v>48</v>
      </c>
      <c r="N1722" s="3">
        <v>0.27700000000000002</v>
      </c>
      <c r="O1722" t="s">
        <v>16</v>
      </c>
      <c r="Q1722">
        <v>1</v>
      </c>
      <c r="R1722">
        <v>0</v>
      </c>
      <c r="S1722" s="2">
        <v>17500</v>
      </c>
      <c r="T1722" s="4">
        <v>0.1258</v>
      </c>
      <c r="U1722">
        <v>13</v>
      </c>
      <c r="V1722">
        <v>0</v>
      </c>
      <c r="W1722">
        <v>1</v>
      </c>
    </row>
    <row r="1723" spans="1:23" ht="16.5" x14ac:dyDescent="0.3">
      <c r="A1723" t="s">
        <v>1783</v>
      </c>
      <c r="B1723" s="1">
        <v>45558</v>
      </c>
      <c r="C1723">
        <v>2024</v>
      </c>
      <c r="D1723" t="s">
        <v>1255</v>
      </c>
      <c r="E1723" t="s">
        <v>1623</v>
      </c>
      <c r="F1723" t="s">
        <v>41</v>
      </c>
      <c r="G1723" t="s">
        <v>33</v>
      </c>
      <c r="H1723" t="s">
        <v>34</v>
      </c>
      <c r="I1723" t="s">
        <v>39</v>
      </c>
      <c r="J1723" t="s">
        <v>30</v>
      </c>
      <c r="K1723" s="2">
        <v>3250</v>
      </c>
      <c r="L1723" s="2">
        <v>44500</v>
      </c>
      <c r="M1723">
        <v>60</v>
      </c>
      <c r="N1723" s="3">
        <v>0.35</v>
      </c>
      <c r="O1723" t="s">
        <v>17</v>
      </c>
      <c r="P1723" t="s">
        <v>31</v>
      </c>
      <c r="Q1723">
        <v>0</v>
      </c>
      <c r="R1723">
        <v>1</v>
      </c>
      <c r="S1723" s="2">
        <v>0</v>
      </c>
      <c r="T1723" s="4"/>
      <c r="U1723">
        <v>6</v>
      </c>
      <c r="V1723">
        <v>1</v>
      </c>
      <c r="W1723">
        <v>1</v>
      </c>
    </row>
    <row r="1724" spans="1:23" ht="16.5" x14ac:dyDescent="0.3">
      <c r="A1724" t="s">
        <v>1784</v>
      </c>
      <c r="B1724" s="1">
        <v>45558</v>
      </c>
      <c r="C1724">
        <v>2024</v>
      </c>
      <c r="D1724" t="s">
        <v>1255</v>
      </c>
      <c r="E1724" t="s">
        <v>1623</v>
      </c>
      <c r="F1724" t="s">
        <v>26</v>
      </c>
      <c r="G1724" t="s">
        <v>33</v>
      </c>
      <c r="H1724" t="s">
        <v>64</v>
      </c>
      <c r="I1724" t="s">
        <v>39</v>
      </c>
      <c r="J1724" t="s">
        <v>35</v>
      </c>
      <c r="K1724" s="2">
        <v>7650</v>
      </c>
      <c r="L1724" s="2">
        <v>28500</v>
      </c>
      <c r="M1724">
        <v>36</v>
      </c>
      <c r="N1724" s="3">
        <v>0.184</v>
      </c>
      <c r="O1724" t="s">
        <v>16</v>
      </c>
      <c r="Q1724">
        <v>1</v>
      </c>
      <c r="R1724">
        <v>0</v>
      </c>
      <c r="S1724" s="2">
        <v>28500</v>
      </c>
      <c r="T1724" s="4">
        <v>8.4000000000000005E-2</v>
      </c>
      <c r="U1724">
        <v>2</v>
      </c>
      <c r="V1724">
        <v>1</v>
      </c>
      <c r="W1724">
        <v>1</v>
      </c>
    </row>
    <row r="1725" spans="1:23" ht="16.5" x14ac:dyDescent="0.3">
      <c r="A1725" t="s">
        <v>1785</v>
      </c>
      <c r="B1725" s="1">
        <v>45558</v>
      </c>
      <c r="C1725">
        <v>2024</v>
      </c>
      <c r="D1725" t="s">
        <v>1255</v>
      </c>
      <c r="E1725" t="s">
        <v>1623</v>
      </c>
      <c r="F1725" t="s">
        <v>50</v>
      </c>
      <c r="G1725" t="s">
        <v>51</v>
      </c>
      <c r="H1725" t="s">
        <v>38</v>
      </c>
      <c r="I1725" t="s">
        <v>29</v>
      </c>
      <c r="J1725" t="s">
        <v>52</v>
      </c>
      <c r="K1725" s="2">
        <v>7600</v>
      </c>
      <c r="L1725" s="2">
        <v>116000</v>
      </c>
      <c r="M1725">
        <v>300</v>
      </c>
      <c r="N1725" s="3">
        <v>0.215</v>
      </c>
      <c r="O1725" t="s">
        <v>16</v>
      </c>
      <c r="Q1725">
        <v>1</v>
      </c>
      <c r="R1725">
        <v>0</v>
      </c>
      <c r="S1725" s="2">
        <v>104500</v>
      </c>
      <c r="T1725" s="4">
        <v>4.7500000000000001E-2</v>
      </c>
      <c r="U1725">
        <v>26</v>
      </c>
      <c r="V1725">
        <v>0</v>
      </c>
      <c r="W1725">
        <v>1</v>
      </c>
    </row>
    <row r="1726" spans="1:23" ht="16.5" x14ac:dyDescent="0.3">
      <c r="A1726" t="s">
        <v>1786</v>
      </c>
      <c r="B1726" s="1">
        <v>45558</v>
      </c>
      <c r="C1726">
        <v>2024</v>
      </c>
      <c r="D1726" t="s">
        <v>1255</v>
      </c>
      <c r="E1726" t="s">
        <v>1623</v>
      </c>
      <c r="F1726" t="s">
        <v>41</v>
      </c>
      <c r="G1726" t="s">
        <v>51</v>
      </c>
      <c r="H1726" t="s">
        <v>38</v>
      </c>
      <c r="I1726" t="s">
        <v>42</v>
      </c>
      <c r="J1726" t="s">
        <v>52</v>
      </c>
      <c r="K1726" s="2">
        <v>3550</v>
      </c>
      <c r="L1726" s="2">
        <v>116500</v>
      </c>
      <c r="M1726">
        <v>36</v>
      </c>
      <c r="N1726" s="3">
        <v>1.262</v>
      </c>
      <c r="O1726" t="s">
        <v>17</v>
      </c>
      <c r="P1726" t="s">
        <v>53</v>
      </c>
      <c r="Q1726">
        <v>0</v>
      </c>
      <c r="R1726">
        <v>1</v>
      </c>
      <c r="S1726" s="2">
        <v>0</v>
      </c>
      <c r="T1726" s="4"/>
      <c r="U1726">
        <v>32</v>
      </c>
      <c r="V1726">
        <v>0</v>
      </c>
      <c r="W1726">
        <v>1</v>
      </c>
    </row>
    <row r="1727" spans="1:23" ht="16.5" x14ac:dyDescent="0.3">
      <c r="A1727" t="s">
        <v>1787</v>
      </c>
      <c r="B1727" s="1">
        <v>45558</v>
      </c>
      <c r="C1727">
        <v>2024</v>
      </c>
      <c r="D1727" t="s">
        <v>1255</v>
      </c>
      <c r="E1727" t="s">
        <v>1623</v>
      </c>
      <c r="F1727" t="s">
        <v>41</v>
      </c>
      <c r="G1727" t="s">
        <v>51</v>
      </c>
      <c r="H1727" t="s">
        <v>34</v>
      </c>
      <c r="I1727" t="s">
        <v>39</v>
      </c>
      <c r="J1727" t="s">
        <v>46</v>
      </c>
      <c r="K1727" s="2">
        <v>4400</v>
      </c>
      <c r="L1727" s="2">
        <v>78500</v>
      </c>
      <c r="M1727">
        <v>60</v>
      </c>
      <c r="N1727" s="3">
        <v>0.53300000000000003</v>
      </c>
      <c r="O1727" t="s">
        <v>16</v>
      </c>
      <c r="Q1727">
        <v>1</v>
      </c>
      <c r="R1727">
        <v>0</v>
      </c>
      <c r="S1727" s="2">
        <v>78500</v>
      </c>
      <c r="T1727" s="4">
        <v>9.5600000000000004E-2</v>
      </c>
      <c r="U1727">
        <v>8</v>
      </c>
      <c r="V1727">
        <v>1</v>
      </c>
      <c r="W1727">
        <v>1</v>
      </c>
    </row>
    <row r="1728" spans="1:23" ht="16.5" x14ac:dyDescent="0.3">
      <c r="A1728" t="s">
        <v>1788</v>
      </c>
      <c r="B1728" s="1">
        <v>45559</v>
      </c>
      <c r="C1728">
        <v>2024</v>
      </c>
      <c r="D1728" t="s">
        <v>1255</v>
      </c>
      <c r="E1728" t="s">
        <v>1623</v>
      </c>
      <c r="F1728" t="s">
        <v>37</v>
      </c>
      <c r="G1728" t="s">
        <v>45</v>
      </c>
      <c r="H1728" t="s">
        <v>38</v>
      </c>
      <c r="I1728" t="s">
        <v>39</v>
      </c>
      <c r="J1728" t="s">
        <v>35</v>
      </c>
      <c r="K1728" s="2">
        <v>4550</v>
      </c>
      <c r="L1728" s="2">
        <v>15500</v>
      </c>
      <c r="M1728">
        <v>48</v>
      </c>
      <c r="N1728" s="3">
        <v>0.14599999999999999</v>
      </c>
      <c r="O1728" t="s">
        <v>17</v>
      </c>
      <c r="P1728" t="s">
        <v>31</v>
      </c>
      <c r="Q1728">
        <v>0</v>
      </c>
      <c r="R1728">
        <v>1</v>
      </c>
      <c r="S1728" s="2">
        <v>0</v>
      </c>
      <c r="T1728" s="4"/>
      <c r="U1728">
        <v>2</v>
      </c>
      <c r="V1728">
        <v>1</v>
      </c>
      <c r="W1728">
        <v>1</v>
      </c>
    </row>
    <row r="1729" spans="1:23" ht="16.5" x14ac:dyDescent="0.3">
      <c r="A1729" t="s">
        <v>1789</v>
      </c>
      <c r="B1729" s="1">
        <v>45559</v>
      </c>
      <c r="C1729">
        <v>2024</v>
      </c>
      <c r="D1729" t="s">
        <v>1255</v>
      </c>
      <c r="E1729" t="s">
        <v>1623</v>
      </c>
      <c r="F1729" t="s">
        <v>37</v>
      </c>
      <c r="G1729" t="s">
        <v>45</v>
      </c>
      <c r="H1729" t="s">
        <v>55</v>
      </c>
      <c r="I1729" t="s">
        <v>29</v>
      </c>
      <c r="J1729" t="s">
        <v>35</v>
      </c>
      <c r="K1729" s="2">
        <v>4050</v>
      </c>
      <c r="L1729" s="2">
        <v>17000</v>
      </c>
      <c r="M1729">
        <v>24</v>
      </c>
      <c r="N1729" s="3">
        <v>0.44400000000000001</v>
      </c>
      <c r="O1729" t="s">
        <v>16</v>
      </c>
      <c r="Q1729">
        <v>1</v>
      </c>
      <c r="R1729">
        <v>0</v>
      </c>
      <c r="S1729" s="2">
        <v>17000</v>
      </c>
      <c r="T1729" s="4">
        <v>0.12740000000000001</v>
      </c>
      <c r="U1729">
        <v>3</v>
      </c>
      <c r="V1729">
        <v>1</v>
      </c>
      <c r="W1729">
        <v>1</v>
      </c>
    </row>
    <row r="1730" spans="1:23" ht="16.5" x14ac:dyDescent="0.3">
      <c r="A1730" t="s">
        <v>1790</v>
      </c>
      <c r="B1730" s="1">
        <v>45559</v>
      </c>
      <c r="C1730">
        <v>2024</v>
      </c>
      <c r="D1730" t="s">
        <v>1255</v>
      </c>
      <c r="E1730" t="s">
        <v>1623</v>
      </c>
      <c r="F1730" t="s">
        <v>50</v>
      </c>
      <c r="G1730" t="s">
        <v>51</v>
      </c>
      <c r="H1730" t="s">
        <v>55</v>
      </c>
      <c r="I1730" t="s">
        <v>29</v>
      </c>
      <c r="J1730" t="s">
        <v>35</v>
      </c>
      <c r="K1730" s="2">
        <v>5050</v>
      </c>
      <c r="L1730" s="2">
        <v>253500</v>
      </c>
      <c r="M1730">
        <v>180</v>
      </c>
      <c r="N1730" s="3">
        <v>0.57399999999999995</v>
      </c>
      <c r="O1730" t="s">
        <v>16</v>
      </c>
      <c r="Q1730">
        <v>1</v>
      </c>
      <c r="R1730">
        <v>0</v>
      </c>
      <c r="S1730" s="2">
        <v>228000</v>
      </c>
      <c r="T1730" s="4">
        <v>5.6800000000000003E-2</v>
      </c>
      <c r="U1730">
        <v>13</v>
      </c>
      <c r="V1730">
        <v>1</v>
      </c>
      <c r="W1730">
        <v>1</v>
      </c>
    </row>
    <row r="1731" spans="1:23" ht="16.5" x14ac:dyDescent="0.3">
      <c r="A1731" t="s">
        <v>1791</v>
      </c>
      <c r="B1731" s="1">
        <v>45559</v>
      </c>
      <c r="C1731">
        <v>2024</v>
      </c>
      <c r="D1731" t="s">
        <v>1255</v>
      </c>
      <c r="E1731" t="s">
        <v>1623</v>
      </c>
      <c r="F1731" t="s">
        <v>26</v>
      </c>
      <c r="G1731" t="s">
        <v>45</v>
      </c>
      <c r="H1731" t="s">
        <v>38</v>
      </c>
      <c r="I1731" t="s">
        <v>29</v>
      </c>
      <c r="J1731" t="s">
        <v>52</v>
      </c>
      <c r="K1731" s="2">
        <v>5900</v>
      </c>
      <c r="L1731" s="2">
        <v>18000</v>
      </c>
      <c r="M1731">
        <v>48</v>
      </c>
      <c r="N1731" s="3">
        <v>0.19500000000000001</v>
      </c>
      <c r="O1731" t="s">
        <v>16</v>
      </c>
      <c r="Q1731">
        <v>1</v>
      </c>
      <c r="R1731">
        <v>0</v>
      </c>
      <c r="S1731" s="2">
        <v>18000</v>
      </c>
      <c r="T1731" s="4">
        <v>7.8100000000000003E-2</v>
      </c>
      <c r="U1731">
        <v>2</v>
      </c>
      <c r="V1731">
        <v>1</v>
      </c>
      <c r="W1731">
        <v>1</v>
      </c>
    </row>
    <row r="1732" spans="1:23" ht="16.5" x14ac:dyDescent="0.3">
      <c r="A1732" t="s">
        <v>1792</v>
      </c>
      <c r="B1732" s="1">
        <v>45559</v>
      </c>
      <c r="C1732">
        <v>2024</v>
      </c>
      <c r="D1732" t="s">
        <v>1255</v>
      </c>
      <c r="E1732" t="s">
        <v>1623</v>
      </c>
      <c r="F1732" t="s">
        <v>50</v>
      </c>
      <c r="G1732" t="s">
        <v>51</v>
      </c>
      <c r="H1732" t="s">
        <v>38</v>
      </c>
      <c r="I1732" t="s">
        <v>42</v>
      </c>
      <c r="J1732" t="s">
        <v>46</v>
      </c>
      <c r="K1732" s="2">
        <v>3800</v>
      </c>
      <c r="L1732" s="2">
        <v>318000</v>
      </c>
      <c r="M1732">
        <v>240</v>
      </c>
      <c r="N1732" s="3">
        <v>0.73199999999999998</v>
      </c>
      <c r="O1732" t="s">
        <v>16</v>
      </c>
      <c r="Q1732">
        <v>1</v>
      </c>
      <c r="R1732">
        <v>0</v>
      </c>
      <c r="S1732" s="2">
        <v>254500</v>
      </c>
      <c r="T1732" s="4">
        <v>4.4699999999999997E-2</v>
      </c>
      <c r="U1732">
        <v>21</v>
      </c>
      <c r="V1732">
        <v>0</v>
      </c>
      <c r="W1732">
        <v>1</v>
      </c>
    </row>
    <row r="1733" spans="1:23" ht="16.5" x14ac:dyDescent="0.3">
      <c r="A1733" t="s">
        <v>1793</v>
      </c>
      <c r="B1733" s="1">
        <v>45560</v>
      </c>
      <c r="C1733">
        <v>2024</v>
      </c>
      <c r="D1733" t="s">
        <v>1255</v>
      </c>
      <c r="E1733" t="s">
        <v>1623</v>
      </c>
      <c r="F1733" t="s">
        <v>37</v>
      </c>
      <c r="G1733" t="s">
        <v>33</v>
      </c>
      <c r="H1733" t="s">
        <v>28</v>
      </c>
      <c r="I1733" t="s">
        <v>39</v>
      </c>
      <c r="J1733" t="s">
        <v>52</v>
      </c>
      <c r="K1733" s="2">
        <v>7900</v>
      </c>
      <c r="L1733" s="2">
        <v>10000</v>
      </c>
      <c r="M1733">
        <v>60</v>
      </c>
      <c r="N1733" s="3">
        <v>0.155</v>
      </c>
      <c r="O1733" t="s">
        <v>16</v>
      </c>
      <c r="Q1733">
        <v>1</v>
      </c>
      <c r="R1733">
        <v>0</v>
      </c>
      <c r="S1733" s="2">
        <v>10000</v>
      </c>
      <c r="T1733" s="4">
        <v>0.115</v>
      </c>
      <c r="U1733">
        <v>1</v>
      </c>
      <c r="V1733">
        <v>1</v>
      </c>
      <c r="W1733">
        <v>1</v>
      </c>
    </row>
    <row r="1734" spans="1:23" ht="16.5" x14ac:dyDescent="0.3">
      <c r="A1734" t="s">
        <v>1794</v>
      </c>
      <c r="B1734" s="1">
        <v>45560</v>
      </c>
      <c r="C1734">
        <v>2024</v>
      </c>
      <c r="D1734" t="s">
        <v>1255</v>
      </c>
      <c r="E1734" t="s">
        <v>1623</v>
      </c>
      <c r="F1734" t="s">
        <v>50</v>
      </c>
      <c r="G1734" t="s">
        <v>27</v>
      </c>
      <c r="H1734" t="s">
        <v>64</v>
      </c>
      <c r="I1734" t="s">
        <v>39</v>
      </c>
      <c r="J1734" t="s">
        <v>43</v>
      </c>
      <c r="K1734" s="2">
        <v>2000</v>
      </c>
      <c r="L1734" s="2">
        <v>151500</v>
      </c>
      <c r="M1734">
        <v>240</v>
      </c>
      <c r="N1734" s="3">
        <v>0.64100000000000001</v>
      </c>
      <c r="O1734" t="s">
        <v>16</v>
      </c>
      <c r="Q1734">
        <v>1</v>
      </c>
      <c r="R1734">
        <v>0</v>
      </c>
      <c r="S1734" s="2">
        <v>151500</v>
      </c>
      <c r="T1734" s="4">
        <v>9.5500000000000002E-2</v>
      </c>
      <c r="U1734">
        <v>9</v>
      </c>
      <c r="V1734">
        <v>1</v>
      </c>
      <c r="W1734">
        <v>1</v>
      </c>
    </row>
    <row r="1735" spans="1:23" ht="16.5" x14ac:dyDescent="0.3">
      <c r="A1735" t="s">
        <v>1795</v>
      </c>
      <c r="B1735" s="1">
        <v>45560</v>
      </c>
      <c r="C1735">
        <v>2024</v>
      </c>
      <c r="D1735" t="s">
        <v>1255</v>
      </c>
      <c r="E1735" t="s">
        <v>1623</v>
      </c>
      <c r="F1735" t="s">
        <v>37</v>
      </c>
      <c r="G1735" t="s">
        <v>51</v>
      </c>
      <c r="H1735" t="s">
        <v>28</v>
      </c>
      <c r="I1735" t="s">
        <v>42</v>
      </c>
      <c r="J1735" t="s">
        <v>35</v>
      </c>
      <c r="K1735" s="2">
        <v>12900</v>
      </c>
      <c r="L1735" s="2">
        <v>8500</v>
      </c>
      <c r="M1735">
        <v>24</v>
      </c>
      <c r="N1735" s="3">
        <v>0.20899999999999999</v>
      </c>
      <c r="O1735" t="s">
        <v>16</v>
      </c>
      <c r="Q1735">
        <v>1</v>
      </c>
      <c r="R1735">
        <v>0</v>
      </c>
      <c r="S1735" s="2">
        <v>8500</v>
      </c>
      <c r="T1735" s="4">
        <v>0.13020000000000001</v>
      </c>
      <c r="U1735">
        <v>8</v>
      </c>
      <c r="V1735">
        <v>0</v>
      </c>
      <c r="W1735">
        <v>1</v>
      </c>
    </row>
    <row r="1736" spans="1:23" ht="16.5" x14ac:dyDescent="0.3">
      <c r="A1736" t="s">
        <v>1796</v>
      </c>
      <c r="B1736" s="1">
        <v>45561</v>
      </c>
      <c r="C1736">
        <v>2024</v>
      </c>
      <c r="D1736" t="s">
        <v>1255</v>
      </c>
      <c r="E1736" t="s">
        <v>1623</v>
      </c>
      <c r="F1736" t="s">
        <v>41</v>
      </c>
      <c r="G1736" t="s">
        <v>27</v>
      </c>
      <c r="H1736" t="s">
        <v>28</v>
      </c>
      <c r="I1736" t="s">
        <v>39</v>
      </c>
      <c r="J1736" t="s">
        <v>35</v>
      </c>
      <c r="K1736" s="2">
        <v>6200</v>
      </c>
      <c r="L1736" s="2">
        <v>30000</v>
      </c>
      <c r="M1736">
        <v>36</v>
      </c>
      <c r="N1736" s="3">
        <v>0.251</v>
      </c>
      <c r="O1736" t="s">
        <v>16</v>
      </c>
      <c r="Q1736">
        <v>1</v>
      </c>
      <c r="R1736">
        <v>0</v>
      </c>
      <c r="S1736" s="2">
        <v>30000</v>
      </c>
      <c r="T1736" s="4">
        <v>0.10970000000000001</v>
      </c>
      <c r="U1736">
        <v>13</v>
      </c>
      <c r="V1736">
        <v>0</v>
      </c>
      <c r="W1736">
        <v>1</v>
      </c>
    </row>
    <row r="1737" spans="1:23" ht="16.5" x14ac:dyDescent="0.3">
      <c r="A1737" t="s">
        <v>1797</v>
      </c>
      <c r="B1737" s="1">
        <v>45561</v>
      </c>
      <c r="C1737">
        <v>2024</v>
      </c>
      <c r="D1737" t="s">
        <v>1255</v>
      </c>
      <c r="E1737" t="s">
        <v>1623</v>
      </c>
      <c r="F1737" t="s">
        <v>37</v>
      </c>
      <c r="G1737" t="s">
        <v>51</v>
      </c>
      <c r="H1737" t="s">
        <v>28</v>
      </c>
      <c r="I1737" t="s">
        <v>29</v>
      </c>
      <c r="J1737" t="s">
        <v>30</v>
      </c>
      <c r="K1737" s="2">
        <v>5750</v>
      </c>
      <c r="L1737" s="2">
        <v>10000</v>
      </c>
      <c r="M1737">
        <v>12</v>
      </c>
      <c r="N1737" s="3">
        <v>0.23300000000000001</v>
      </c>
      <c r="O1737" t="s">
        <v>16</v>
      </c>
      <c r="Q1737">
        <v>1</v>
      </c>
      <c r="R1737">
        <v>0</v>
      </c>
      <c r="S1737" s="2">
        <v>8000</v>
      </c>
      <c r="T1737" s="4">
        <v>0.14000000000000001</v>
      </c>
      <c r="U1737">
        <v>3</v>
      </c>
      <c r="V1737">
        <v>1</v>
      </c>
      <c r="W1737">
        <v>1</v>
      </c>
    </row>
    <row r="1738" spans="1:23" ht="16.5" x14ac:dyDescent="0.3">
      <c r="A1738" t="s">
        <v>1798</v>
      </c>
      <c r="B1738" s="1">
        <v>45561</v>
      </c>
      <c r="C1738">
        <v>2024</v>
      </c>
      <c r="D1738" t="s">
        <v>1255</v>
      </c>
      <c r="E1738" t="s">
        <v>1623</v>
      </c>
      <c r="F1738" t="s">
        <v>26</v>
      </c>
      <c r="G1738" t="s">
        <v>27</v>
      </c>
      <c r="H1738" t="s">
        <v>34</v>
      </c>
      <c r="I1738" t="s">
        <v>29</v>
      </c>
      <c r="J1738" t="s">
        <v>43</v>
      </c>
      <c r="K1738" s="2">
        <v>6950</v>
      </c>
      <c r="L1738" s="2">
        <v>31500</v>
      </c>
      <c r="M1738">
        <v>60</v>
      </c>
      <c r="N1738" s="3">
        <v>0.17799999999999999</v>
      </c>
      <c r="O1738" t="s">
        <v>17</v>
      </c>
      <c r="P1738" t="s">
        <v>31</v>
      </c>
      <c r="Q1738">
        <v>0</v>
      </c>
      <c r="R1738">
        <v>1</v>
      </c>
      <c r="S1738" s="2">
        <v>0</v>
      </c>
      <c r="T1738" s="4"/>
      <c r="U1738">
        <v>6</v>
      </c>
      <c r="V1738">
        <v>0</v>
      </c>
      <c r="W1738">
        <v>1</v>
      </c>
    </row>
    <row r="1739" spans="1:23" ht="16.5" x14ac:dyDescent="0.3">
      <c r="A1739" t="s">
        <v>1799</v>
      </c>
      <c r="B1739" s="1">
        <v>45561</v>
      </c>
      <c r="C1739">
        <v>2024</v>
      </c>
      <c r="D1739" t="s">
        <v>1255</v>
      </c>
      <c r="E1739" t="s">
        <v>1623</v>
      </c>
      <c r="F1739" t="s">
        <v>26</v>
      </c>
      <c r="G1739" t="s">
        <v>27</v>
      </c>
      <c r="H1739" t="s">
        <v>34</v>
      </c>
      <c r="I1739" t="s">
        <v>29</v>
      </c>
      <c r="J1739" t="s">
        <v>35</v>
      </c>
      <c r="K1739" s="2">
        <v>2600</v>
      </c>
      <c r="L1739" s="2">
        <v>46500</v>
      </c>
      <c r="M1739">
        <v>36</v>
      </c>
      <c r="N1739" s="3">
        <v>0.68200000000000005</v>
      </c>
      <c r="O1739" t="s">
        <v>17</v>
      </c>
      <c r="P1739" t="s">
        <v>53</v>
      </c>
      <c r="Q1739">
        <v>0</v>
      </c>
      <c r="R1739">
        <v>1</v>
      </c>
      <c r="S1739" s="2">
        <v>0</v>
      </c>
      <c r="T1739" s="4"/>
      <c r="U1739">
        <v>7</v>
      </c>
      <c r="V1739">
        <v>0</v>
      </c>
      <c r="W1739">
        <v>1</v>
      </c>
    </row>
    <row r="1740" spans="1:23" ht="16.5" x14ac:dyDescent="0.3">
      <c r="A1740" t="s">
        <v>1800</v>
      </c>
      <c r="B1740" s="1">
        <v>45561</v>
      </c>
      <c r="C1740">
        <v>2024</v>
      </c>
      <c r="D1740" t="s">
        <v>1255</v>
      </c>
      <c r="E1740" t="s">
        <v>1623</v>
      </c>
      <c r="F1740" t="s">
        <v>37</v>
      </c>
      <c r="G1740" t="s">
        <v>33</v>
      </c>
      <c r="H1740" t="s">
        <v>55</v>
      </c>
      <c r="I1740" t="s">
        <v>42</v>
      </c>
      <c r="J1740" t="s">
        <v>52</v>
      </c>
      <c r="K1740" s="2">
        <v>3800</v>
      </c>
      <c r="L1740" s="2">
        <v>9500</v>
      </c>
      <c r="M1740">
        <v>48</v>
      </c>
      <c r="N1740" s="3">
        <v>0.161</v>
      </c>
      <c r="O1740" t="s">
        <v>16</v>
      </c>
      <c r="Q1740">
        <v>1</v>
      </c>
      <c r="R1740">
        <v>0</v>
      </c>
      <c r="S1740" s="2">
        <v>9500</v>
      </c>
      <c r="T1740" s="4">
        <v>0.114</v>
      </c>
      <c r="U1740">
        <v>2</v>
      </c>
      <c r="V1740">
        <v>1</v>
      </c>
      <c r="W1740">
        <v>1</v>
      </c>
    </row>
    <row r="1741" spans="1:23" ht="16.5" x14ac:dyDescent="0.3">
      <c r="A1741" t="s">
        <v>1801</v>
      </c>
      <c r="B1741" s="1">
        <v>45561</v>
      </c>
      <c r="C1741">
        <v>2024</v>
      </c>
      <c r="D1741" t="s">
        <v>1255</v>
      </c>
      <c r="E1741" t="s">
        <v>1623</v>
      </c>
      <c r="F1741" t="s">
        <v>37</v>
      </c>
      <c r="G1741" t="s">
        <v>45</v>
      </c>
      <c r="H1741" t="s">
        <v>38</v>
      </c>
      <c r="I1741" t="s">
        <v>39</v>
      </c>
      <c r="J1741" t="s">
        <v>35</v>
      </c>
      <c r="K1741" s="2">
        <v>4650</v>
      </c>
      <c r="L1741" s="2">
        <v>8500</v>
      </c>
      <c r="M1741">
        <v>24</v>
      </c>
      <c r="N1741" s="3">
        <v>0.222</v>
      </c>
      <c r="O1741" t="s">
        <v>16</v>
      </c>
      <c r="Q1741">
        <v>1</v>
      </c>
      <c r="R1741">
        <v>0</v>
      </c>
      <c r="S1741" s="2">
        <v>8500</v>
      </c>
      <c r="T1741" s="4">
        <v>0.12609999999999999</v>
      </c>
      <c r="U1741">
        <v>2</v>
      </c>
      <c r="V1741">
        <v>1</v>
      </c>
      <c r="W1741">
        <v>1</v>
      </c>
    </row>
    <row r="1742" spans="1:23" ht="16.5" x14ac:dyDescent="0.3">
      <c r="A1742" t="s">
        <v>1802</v>
      </c>
      <c r="B1742" s="1">
        <v>45561</v>
      </c>
      <c r="C1742">
        <v>2024</v>
      </c>
      <c r="D1742" t="s">
        <v>1255</v>
      </c>
      <c r="E1742" t="s">
        <v>1623</v>
      </c>
      <c r="F1742" t="s">
        <v>26</v>
      </c>
      <c r="G1742" t="s">
        <v>27</v>
      </c>
      <c r="H1742" t="s">
        <v>64</v>
      </c>
      <c r="I1742" t="s">
        <v>29</v>
      </c>
      <c r="J1742" t="s">
        <v>43</v>
      </c>
      <c r="K1742" s="2">
        <v>7000</v>
      </c>
      <c r="L1742" s="2">
        <v>14500</v>
      </c>
      <c r="M1742">
        <v>36</v>
      </c>
      <c r="N1742" s="3">
        <v>0.30099999999999999</v>
      </c>
      <c r="O1742" t="s">
        <v>125</v>
      </c>
      <c r="Q1742">
        <v>0</v>
      </c>
      <c r="R1742">
        <v>0</v>
      </c>
      <c r="S1742" s="2">
        <v>0</v>
      </c>
      <c r="T1742" s="4"/>
      <c r="U1742">
        <v>11</v>
      </c>
      <c r="V1742">
        <v>0</v>
      </c>
      <c r="W1742">
        <v>1</v>
      </c>
    </row>
    <row r="1743" spans="1:23" ht="16.5" x14ac:dyDescent="0.3">
      <c r="A1743" t="s">
        <v>1803</v>
      </c>
      <c r="B1743" s="1">
        <v>45561</v>
      </c>
      <c r="C1743">
        <v>2024</v>
      </c>
      <c r="D1743" t="s">
        <v>1255</v>
      </c>
      <c r="E1743" t="s">
        <v>1623</v>
      </c>
      <c r="F1743" t="s">
        <v>50</v>
      </c>
      <c r="G1743" t="s">
        <v>33</v>
      </c>
      <c r="H1743" t="s">
        <v>55</v>
      </c>
      <c r="I1743" t="s">
        <v>42</v>
      </c>
      <c r="J1743" t="s">
        <v>30</v>
      </c>
      <c r="K1743" s="2">
        <v>4100</v>
      </c>
      <c r="L1743" s="2">
        <v>207500</v>
      </c>
      <c r="M1743">
        <v>180</v>
      </c>
      <c r="N1743" s="3">
        <v>0.48599999999999999</v>
      </c>
      <c r="O1743" t="s">
        <v>16</v>
      </c>
      <c r="Q1743">
        <v>1</v>
      </c>
      <c r="R1743">
        <v>0</v>
      </c>
      <c r="S1743" s="2">
        <v>207500</v>
      </c>
      <c r="T1743" s="4">
        <v>7.5300000000000006E-2</v>
      </c>
      <c r="U1743">
        <v>7</v>
      </c>
      <c r="V1743">
        <v>1</v>
      </c>
      <c r="W1743">
        <v>1</v>
      </c>
    </row>
    <row r="1744" spans="1:23" ht="16.5" x14ac:dyDescent="0.3">
      <c r="A1744" t="s">
        <v>1804</v>
      </c>
      <c r="B1744" s="1">
        <v>45562</v>
      </c>
      <c r="C1744">
        <v>2024</v>
      </c>
      <c r="D1744" t="s">
        <v>1255</v>
      </c>
      <c r="E1744" t="s">
        <v>1623</v>
      </c>
      <c r="F1744" t="s">
        <v>50</v>
      </c>
      <c r="G1744" t="s">
        <v>45</v>
      </c>
      <c r="H1744" t="s">
        <v>38</v>
      </c>
      <c r="I1744" t="s">
        <v>29</v>
      </c>
      <c r="J1744" t="s">
        <v>52</v>
      </c>
      <c r="K1744" s="2">
        <v>3600</v>
      </c>
      <c r="L1744" s="2">
        <v>138000</v>
      </c>
      <c r="M1744">
        <v>180</v>
      </c>
      <c r="N1744" s="3">
        <v>0.39400000000000002</v>
      </c>
      <c r="O1744" t="s">
        <v>17</v>
      </c>
      <c r="P1744" t="s">
        <v>60</v>
      </c>
      <c r="Q1744">
        <v>0</v>
      </c>
      <c r="R1744">
        <v>1</v>
      </c>
      <c r="S1744" s="2">
        <v>0</v>
      </c>
      <c r="T1744" s="4"/>
      <c r="U1744">
        <v>13</v>
      </c>
      <c r="V1744">
        <v>1</v>
      </c>
      <c r="W1744">
        <v>1</v>
      </c>
    </row>
    <row r="1745" spans="1:23" ht="16.5" x14ac:dyDescent="0.3">
      <c r="A1745" t="s">
        <v>1805</v>
      </c>
      <c r="B1745" s="1">
        <v>45562</v>
      </c>
      <c r="C1745">
        <v>2024</v>
      </c>
      <c r="D1745" t="s">
        <v>1255</v>
      </c>
      <c r="E1745" t="s">
        <v>1623</v>
      </c>
      <c r="F1745" t="s">
        <v>37</v>
      </c>
      <c r="G1745" t="s">
        <v>51</v>
      </c>
      <c r="H1745" t="s">
        <v>28</v>
      </c>
      <c r="I1745" t="s">
        <v>39</v>
      </c>
      <c r="J1745" t="s">
        <v>35</v>
      </c>
      <c r="K1745" s="2">
        <v>6700</v>
      </c>
      <c r="L1745" s="2">
        <v>8000</v>
      </c>
      <c r="M1745">
        <v>24</v>
      </c>
      <c r="N1745" s="3">
        <v>0.20100000000000001</v>
      </c>
      <c r="O1745" t="s">
        <v>16</v>
      </c>
      <c r="Q1745">
        <v>1</v>
      </c>
      <c r="R1745">
        <v>0</v>
      </c>
      <c r="S1745" s="2">
        <v>8000</v>
      </c>
      <c r="T1745" s="4">
        <v>0.13139999999999999</v>
      </c>
      <c r="U1745">
        <v>9</v>
      </c>
      <c r="V1745">
        <v>0</v>
      </c>
      <c r="W1745">
        <v>1</v>
      </c>
    </row>
    <row r="1746" spans="1:23" ht="16.5" x14ac:dyDescent="0.3">
      <c r="A1746" t="s">
        <v>1806</v>
      </c>
      <c r="B1746" s="1">
        <v>45562</v>
      </c>
      <c r="C1746">
        <v>2024</v>
      </c>
      <c r="D1746" t="s">
        <v>1255</v>
      </c>
      <c r="E1746" t="s">
        <v>1623</v>
      </c>
      <c r="F1746" t="s">
        <v>37</v>
      </c>
      <c r="G1746" t="s">
        <v>33</v>
      </c>
      <c r="H1746" t="s">
        <v>55</v>
      </c>
      <c r="I1746" t="s">
        <v>39</v>
      </c>
      <c r="J1746" t="s">
        <v>35</v>
      </c>
      <c r="K1746" s="2">
        <v>4250</v>
      </c>
      <c r="L1746" s="2">
        <v>21000</v>
      </c>
      <c r="M1746">
        <v>60</v>
      </c>
      <c r="N1746" s="3">
        <v>0.17100000000000001</v>
      </c>
      <c r="O1746" t="s">
        <v>16</v>
      </c>
      <c r="Q1746">
        <v>1</v>
      </c>
      <c r="R1746">
        <v>0</v>
      </c>
      <c r="S1746" s="2">
        <v>21000</v>
      </c>
      <c r="T1746" s="4">
        <v>0.12670000000000001</v>
      </c>
      <c r="U1746">
        <v>2</v>
      </c>
      <c r="V1746">
        <v>1</v>
      </c>
      <c r="W1746">
        <v>1</v>
      </c>
    </row>
    <row r="1747" spans="1:23" ht="16.5" x14ac:dyDescent="0.3">
      <c r="A1747" t="s">
        <v>1807</v>
      </c>
      <c r="B1747" s="1">
        <v>45562</v>
      </c>
      <c r="C1747">
        <v>2024</v>
      </c>
      <c r="D1747" t="s">
        <v>1255</v>
      </c>
      <c r="E1747" t="s">
        <v>1623</v>
      </c>
      <c r="F1747" t="s">
        <v>26</v>
      </c>
      <c r="G1747" t="s">
        <v>51</v>
      </c>
      <c r="H1747" t="s">
        <v>55</v>
      </c>
      <c r="I1747" t="s">
        <v>42</v>
      </c>
      <c r="J1747" t="s">
        <v>52</v>
      </c>
      <c r="K1747" s="2">
        <v>5650</v>
      </c>
      <c r="L1747" s="2">
        <v>13000</v>
      </c>
      <c r="M1747">
        <v>36</v>
      </c>
      <c r="N1747" s="3">
        <v>0.29399999999999998</v>
      </c>
      <c r="O1747" t="s">
        <v>16</v>
      </c>
      <c r="Q1747">
        <v>1</v>
      </c>
      <c r="R1747">
        <v>0</v>
      </c>
      <c r="S1747" s="2">
        <v>13000</v>
      </c>
      <c r="T1747" s="4">
        <v>7.5999999999999998E-2</v>
      </c>
      <c r="U1747">
        <v>6</v>
      </c>
      <c r="V1747">
        <v>0</v>
      </c>
      <c r="W1747">
        <v>1</v>
      </c>
    </row>
    <row r="1748" spans="1:23" ht="16.5" x14ac:dyDescent="0.3">
      <c r="A1748" t="s">
        <v>1808</v>
      </c>
      <c r="B1748" s="1">
        <v>45562</v>
      </c>
      <c r="C1748">
        <v>2024</v>
      </c>
      <c r="D1748" t="s">
        <v>1255</v>
      </c>
      <c r="E1748" t="s">
        <v>1623</v>
      </c>
      <c r="F1748" t="s">
        <v>37</v>
      </c>
      <c r="G1748" t="s">
        <v>51</v>
      </c>
      <c r="H1748" t="s">
        <v>34</v>
      </c>
      <c r="I1748" t="s">
        <v>42</v>
      </c>
      <c r="J1748" t="s">
        <v>35</v>
      </c>
      <c r="K1748" s="2">
        <v>6050</v>
      </c>
      <c r="L1748" s="2">
        <v>11000</v>
      </c>
      <c r="M1748">
        <v>60</v>
      </c>
      <c r="N1748" s="3">
        <v>9.9000000000000005E-2</v>
      </c>
      <c r="O1748" t="s">
        <v>17</v>
      </c>
      <c r="P1748" t="s">
        <v>65</v>
      </c>
      <c r="Q1748">
        <v>0</v>
      </c>
      <c r="R1748">
        <v>1</v>
      </c>
      <c r="S1748" s="2">
        <v>0</v>
      </c>
      <c r="T1748" s="4"/>
      <c r="U1748">
        <v>5</v>
      </c>
      <c r="V1748">
        <v>0</v>
      </c>
      <c r="W1748">
        <v>1</v>
      </c>
    </row>
    <row r="1749" spans="1:23" ht="16.5" x14ac:dyDescent="0.3">
      <c r="A1749" t="s">
        <v>1809</v>
      </c>
      <c r="B1749" s="1">
        <v>45562</v>
      </c>
      <c r="C1749">
        <v>2024</v>
      </c>
      <c r="D1749" t="s">
        <v>1255</v>
      </c>
      <c r="E1749" t="s">
        <v>1623</v>
      </c>
      <c r="F1749" t="s">
        <v>26</v>
      </c>
      <c r="G1749" t="s">
        <v>51</v>
      </c>
      <c r="H1749" t="s">
        <v>64</v>
      </c>
      <c r="I1749" t="s">
        <v>39</v>
      </c>
      <c r="J1749" t="s">
        <v>30</v>
      </c>
      <c r="K1749" s="2">
        <v>9200</v>
      </c>
      <c r="L1749" s="2">
        <v>28000</v>
      </c>
      <c r="M1749">
        <v>48</v>
      </c>
      <c r="N1749" s="3">
        <v>0.25800000000000001</v>
      </c>
      <c r="O1749" t="s">
        <v>16</v>
      </c>
      <c r="Q1749">
        <v>1</v>
      </c>
      <c r="R1749">
        <v>0</v>
      </c>
      <c r="S1749" s="2">
        <v>28000</v>
      </c>
      <c r="T1749" s="4">
        <v>9.4200000000000006E-2</v>
      </c>
      <c r="U1749">
        <v>5</v>
      </c>
      <c r="V1749">
        <v>0</v>
      </c>
      <c r="W1749">
        <v>1</v>
      </c>
    </row>
    <row r="1750" spans="1:23" ht="16.5" x14ac:dyDescent="0.3">
      <c r="A1750" t="s">
        <v>1810</v>
      </c>
      <c r="B1750" s="1">
        <v>45562</v>
      </c>
      <c r="C1750">
        <v>2024</v>
      </c>
      <c r="D1750" t="s">
        <v>1255</v>
      </c>
      <c r="E1750" t="s">
        <v>1623</v>
      </c>
      <c r="F1750" t="s">
        <v>37</v>
      </c>
      <c r="G1750" t="s">
        <v>51</v>
      </c>
      <c r="H1750" t="s">
        <v>34</v>
      </c>
      <c r="I1750" t="s">
        <v>39</v>
      </c>
      <c r="J1750" t="s">
        <v>35</v>
      </c>
      <c r="K1750" s="2">
        <v>1850</v>
      </c>
      <c r="L1750" s="2">
        <v>19500</v>
      </c>
      <c r="M1750">
        <v>12</v>
      </c>
      <c r="N1750" s="3">
        <v>1.0029999999999999</v>
      </c>
      <c r="O1750" t="s">
        <v>16</v>
      </c>
      <c r="Q1750">
        <v>1</v>
      </c>
      <c r="R1750">
        <v>0</v>
      </c>
      <c r="S1750" s="2">
        <v>19500</v>
      </c>
      <c r="T1750" s="4">
        <v>0.12330000000000001</v>
      </c>
      <c r="U1750">
        <v>4</v>
      </c>
      <c r="V1750">
        <v>0</v>
      </c>
      <c r="W1750">
        <v>1</v>
      </c>
    </row>
    <row r="1751" spans="1:23" ht="16.5" x14ac:dyDescent="0.3">
      <c r="A1751" t="s">
        <v>1811</v>
      </c>
      <c r="B1751" s="1">
        <v>45562</v>
      </c>
      <c r="C1751">
        <v>2024</v>
      </c>
      <c r="D1751" t="s">
        <v>1255</v>
      </c>
      <c r="E1751" t="s">
        <v>1623</v>
      </c>
      <c r="F1751" t="s">
        <v>41</v>
      </c>
      <c r="G1751" t="s">
        <v>27</v>
      </c>
      <c r="H1751" t="s">
        <v>28</v>
      </c>
      <c r="I1751" t="s">
        <v>39</v>
      </c>
      <c r="J1751" t="s">
        <v>30</v>
      </c>
      <c r="K1751" s="2">
        <v>7050</v>
      </c>
      <c r="L1751" s="2">
        <v>247000</v>
      </c>
      <c r="M1751">
        <v>24</v>
      </c>
      <c r="N1751" s="3">
        <v>1.754</v>
      </c>
      <c r="O1751" t="s">
        <v>17</v>
      </c>
      <c r="P1751" t="s">
        <v>31</v>
      </c>
      <c r="Q1751">
        <v>0</v>
      </c>
      <c r="R1751">
        <v>1</v>
      </c>
      <c r="S1751" s="2">
        <v>0</v>
      </c>
      <c r="T1751" s="4"/>
      <c r="U1751">
        <v>7</v>
      </c>
      <c r="V1751">
        <v>1</v>
      </c>
      <c r="W1751">
        <v>1</v>
      </c>
    </row>
    <row r="1752" spans="1:23" ht="16.5" x14ac:dyDescent="0.3">
      <c r="A1752" t="s">
        <v>1812</v>
      </c>
      <c r="B1752" s="1">
        <v>45563</v>
      </c>
      <c r="C1752">
        <v>2024</v>
      </c>
      <c r="D1752" t="s">
        <v>1255</v>
      </c>
      <c r="E1752" t="s">
        <v>1623</v>
      </c>
      <c r="F1752" t="s">
        <v>37</v>
      </c>
      <c r="G1752" t="s">
        <v>51</v>
      </c>
      <c r="H1752" t="s">
        <v>38</v>
      </c>
      <c r="I1752" t="s">
        <v>39</v>
      </c>
      <c r="J1752" t="s">
        <v>46</v>
      </c>
      <c r="K1752" s="2">
        <v>4600</v>
      </c>
      <c r="L1752" s="2">
        <v>9500</v>
      </c>
      <c r="M1752">
        <v>24</v>
      </c>
      <c r="N1752" s="3">
        <v>0.33600000000000002</v>
      </c>
      <c r="O1752" t="s">
        <v>16</v>
      </c>
      <c r="Q1752">
        <v>1</v>
      </c>
      <c r="R1752">
        <v>0</v>
      </c>
      <c r="S1752" s="2">
        <v>9500</v>
      </c>
      <c r="T1752" s="4">
        <v>0.1085</v>
      </c>
      <c r="U1752">
        <v>5</v>
      </c>
      <c r="V1752">
        <v>0</v>
      </c>
      <c r="W1752">
        <v>1</v>
      </c>
    </row>
    <row r="1753" spans="1:23" ht="16.5" x14ac:dyDescent="0.3">
      <c r="A1753" t="s">
        <v>1813</v>
      </c>
      <c r="B1753" s="1">
        <v>45563</v>
      </c>
      <c r="C1753">
        <v>2024</v>
      </c>
      <c r="D1753" t="s">
        <v>1255</v>
      </c>
      <c r="E1753" t="s">
        <v>1623</v>
      </c>
      <c r="F1753" t="s">
        <v>37</v>
      </c>
      <c r="G1753" t="s">
        <v>45</v>
      </c>
      <c r="H1753" t="s">
        <v>55</v>
      </c>
      <c r="I1753" t="s">
        <v>42</v>
      </c>
      <c r="J1753" t="s">
        <v>35</v>
      </c>
      <c r="K1753" s="2">
        <v>6900</v>
      </c>
      <c r="L1753" s="2">
        <v>16000</v>
      </c>
      <c r="M1753">
        <v>60</v>
      </c>
      <c r="N1753" s="3">
        <v>0.222</v>
      </c>
      <c r="O1753" t="s">
        <v>16</v>
      </c>
      <c r="Q1753">
        <v>1</v>
      </c>
      <c r="R1753">
        <v>0</v>
      </c>
      <c r="S1753" s="2">
        <v>14500</v>
      </c>
      <c r="T1753" s="4">
        <v>0.1222</v>
      </c>
      <c r="U1753">
        <v>3</v>
      </c>
      <c r="V1753">
        <v>1</v>
      </c>
      <c r="W1753">
        <v>1</v>
      </c>
    </row>
    <row r="1754" spans="1:23" ht="16.5" x14ac:dyDescent="0.3">
      <c r="A1754" t="s">
        <v>1814</v>
      </c>
      <c r="B1754" s="1">
        <v>45563</v>
      </c>
      <c r="C1754">
        <v>2024</v>
      </c>
      <c r="D1754" t="s">
        <v>1255</v>
      </c>
      <c r="E1754" t="s">
        <v>1623</v>
      </c>
      <c r="F1754" t="s">
        <v>50</v>
      </c>
      <c r="G1754" t="s">
        <v>45</v>
      </c>
      <c r="H1754" t="s">
        <v>28</v>
      </c>
      <c r="I1754" t="s">
        <v>39</v>
      </c>
      <c r="J1754" t="s">
        <v>35</v>
      </c>
      <c r="K1754" s="2">
        <v>5300</v>
      </c>
      <c r="L1754" s="2">
        <v>350000</v>
      </c>
      <c r="M1754">
        <v>300</v>
      </c>
      <c r="N1754" s="3">
        <v>0.57099999999999995</v>
      </c>
      <c r="O1754" t="s">
        <v>16</v>
      </c>
      <c r="Q1754">
        <v>1</v>
      </c>
      <c r="R1754">
        <v>0</v>
      </c>
      <c r="S1754" s="2">
        <v>350000</v>
      </c>
      <c r="T1754" s="4">
        <v>5.5500000000000001E-2</v>
      </c>
      <c r="U1754">
        <v>12</v>
      </c>
      <c r="V1754">
        <v>1</v>
      </c>
      <c r="W1754">
        <v>1</v>
      </c>
    </row>
    <row r="1755" spans="1:23" ht="16.5" x14ac:dyDescent="0.3">
      <c r="A1755" t="s">
        <v>1815</v>
      </c>
      <c r="B1755" s="1">
        <v>45563</v>
      </c>
      <c r="C1755">
        <v>2024</v>
      </c>
      <c r="D1755" t="s">
        <v>1255</v>
      </c>
      <c r="E1755" t="s">
        <v>1623</v>
      </c>
      <c r="F1755" t="s">
        <v>26</v>
      </c>
      <c r="G1755" t="s">
        <v>33</v>
      </c>
      <c r="H1755" t="s">
        <v>55</v>
      </c>
      <c r="I1755" t="s">
        <v>42</v>
      </c>
      <c r="J1755" t="s">
        <v>52</v>
      </c>
      <c r="K1755" s="2">
        <v>4300</v>
      </c>
      <c r="L1755" s="2">
        <v>43000</v>
      </c>
      <c r="M1755">
        <v>60</v>
      </c>
      <c r="N1755" s="3">
        <v>0.25900000000000001</v>
      </c>
      <c r="O1755" t="s">
        <v>17</v>
      </c>
      <c r="P1755" t="s">
        <v>65</v>
      </c>
      <c r="Q1755">
        <v>0</v>
      </c>
      <c r="R1755">
        <v>1</v>
      </c>
      <c r="S1755" s="2">
        <v>0</v>
      </c>
      <c r="T1755" s="4"/>
      <c r="U1755">
        <v>2</v>
      </c>
      <c r="V1755">
        <v>1</v>
      </c>
      <c r="W1755">
        <v>1</v>
      </c>
    </row>
    <row r="1756" spans="1:23" ht="16.5" x14ac:dyDescent="0.3">
      <c r="A1756" t="s">
        <v>1816</v>
      </c>
      <c r="B1756" s="1">
        <v>45563</v>
      </c>
      <c r="C1756">
        <v>2024</v>
      </c>
      <c r="D1756" t="s">
        <v>1255</v>
      </c>
      <c r="E1756" t="s">
        <v>1623</v>
      </c>
      <c r="F1756" t="s">
        <v>41</v>
      </c>
      <c r="G1756" t="s">
        <v>33</v>
      </c>
      <c r="H1756" t="s">
        <v>55</v>
      </c>
      <c r="I1756" t="s">
        <v>42</v>
      </c>
      <c r="J1756" t="s">
        <v>43</v>
      </c>
      <c r="K1756" s="2">
        <v>9250</v>
      </c>
      <c r="L1756" s="2">
        <v>118500</v>
      </c>
      <c r="M1756">
        <v>36</v>
      </c>
      <c r="N1756" s="3">
        <v>0.51500000000000001</v>
      </c>
      <c r="O1756" t="s">
        <v>125</v>
      </c>
      <c r="Q1756">
        <v>0</v>
      </c>
      <c r="R1756">
        <v>0</v>
      </c>
      <c r="S1756" s="2">
        <v>0</v>
      </c>
      <c r="T1756" s="4"/>
      <c r="U1756">
        <v>4</v>
      </c>
      <c r="V1756">
        <v>1</v>
      </c>
      <c r="W1756">
        <v>1</v>
      </c>
    </row>
    <row r="1757" spans="1:23" ht="16.5" x14ac:dyDescent="0.3">
      <c r="A1757" t="s">
        <v>1817</v>
      </c>
      <c r="B1757" s="1">
        <v>45563</v>
      </c>
      <c r="C1757">
        <v>2024</v>
      </c>
      <c r="D1757" t="s">
        <v>1255</v>
      </c>
      <c r="E1757" t="s">
        <v>1623</v>
      </c>
      <c r="F1757" t="s">
        <v>37</v>
      </c>
      <c r="G1757" t="s">
        <v>33</v>
      </c>
      <c r="H1757" t="s">
        <v>55</v>
      </c>
      <c r="I1757" t="s">
        <v>39</v>
      </c>
      <c r="J1757" t="s">
        <v>30</v>
      </c>
      <c r="K1757" s="2">
        <v>5250</v>
      </c>
      <c r="L1757" s="2">
        <v>23000</v>
      </c>
      <c r="M1757">
        <v>36</v>
      </c>
      <c r="N1757" s="3">
        <v>0.316</v>
      </c>
      <c r="O1757" t="s">
        <v>17</v>
      </c>
      <c r="P1757" t="s">
        <v>31</v>
      </c>
      <c r="Q1757">
        <v>0</v>
      </c>
      <c r="R1757">
        <v>1</v>
      </c>
      <c r="S1757" s="2">
        <v>0</v>
      </c>
      <c r="T1757" s="4"/>
      <c r="U1757">
        <v>2</v>
      </c>
      <c r="V1757">
        <v>1</v>
      </c>
      <c r="W1757">
        <v>1</v>
      </c>
    </row>
    <row r="1758" spans="1:23" ht="16.5" x14ac:dyDescent="0.3">
      <c r="A1758" t="s">
        <v>1818</v>
      </c>
      <c r="B1758" s="1">
        <v>45564</v>
      </c>
      <c r="C1758">
        <v>2024</v>
      </c>
      <c r="D1758" t="s">
        <v>1255</v>
      </c>
      <c r="E1758" t="s">
        <v>1623</v>
      </c>
      <c r="F1758" t="s">
        <v>37</v>
      </c>
      <c r="G1758" t="s">
        <v>33</v>
      </c>
      <c r="H1758" t="s">
        <v>55</v>
      </c>
      <c r="I1758" t="s">
        <v>29</v>
      </c>
      <c r="J1758" t="s">
        <v>52</v>
      </c>
      <c r="K1758" s="2">
        <v>2550</v>
      </c>
      <c r="L1758" s="2">
        <v>26500</v>
      </c>
      <c r="M1758">
        <v>48</v>
      </c>
      <c r="N1758" s="3">
        <v>0.42199999999999999</v>
      </c>
      <c r="O1758" t="s">
        <v>16</v>
      </c>
      <c r="Q1758">
        <v>1</v>
      </c>
      <c r="R1758">
        <v>0</v>
      </c>
      <c r="S1758" s="2">
        <v>21000</v>
      </c>
      <c r="T1758" s="4">
        <v>0.1162</v>
      </c>
      <c r="U1758">
        <v>1</v>
      </c>
      <c r="V1758">
        <v>1</v>
      </c>
      <c r="W1758">
        <v>1</v>
      </c>
    </row>
    <row r="1759" spans="1:23" ht="16.5" x14ac:dyDescent="0.3">
      <c r="A1759" t="s">
        <v>1819</v>
      </c>
      <c r="B1759" s="1">
        <v>45564</v>
      </c>
      <c r="C1759">
        <v>2024</v>
      </c>
      <c r="D1759" t="s">
        <v>1255</v>
      </c>
      <c r="E1759" t="s">
        <v>1623</v>
      </c>
      <c r="F1759" t="s">
        <v>26</v>
      </c>
      <c r="G1759" t="s">
        <v>45</v>
      </c>
      <c r="H1759" t="s">
        <v>38</v>
      </c>
      <c r="I1759" t="s">
        <v>39</v>
      </c>
      <c r="J1759" t="s">
        <v>35</v>
      </c>
      <c r="K1759" s="2">
        <v>8000</v>
      </c>
      <c r="L1759" s="2">
        <v>47500</v>
      </c>
      <c r="M1759">
        <v>60</v>
      </c>
      <c r="N1759" s="3">
        <v>0.191</v>
      </c>
      <c r="O1759" t="s">
        <v>16</v>
      </c>
      <c r="Q1759">
        <v>1</v>
      </c>
      <c r="R1759">
        <v>0</v>
      </c>
      <c r="S1759" s="2">
        <v>38000</v>
      </c>
      <c r="T1759" s="4">
        <v>7.8E-2</v>
      </c>
      <c r="U1759">
        <v>3</v>
      </c>
      <c r="V1759">
        <v>1</v>
      </c>
      <c r="W1759">
        <v>1</v>
      </c>
    </row>
    <row r="1760" spans="1:23" ht="16.5" x14ac:dyDescent="0.3">
      <c r="A1760" t="s">
        <v>1820</v>
      </c>
      <c r="B1760" s="1">
        <v>45564</v>
      </c>
      <c r="C1760">
        <v>2024</v>
      </c>
      <c r="D1760" t="s">
        <v>1255</v>
      </c>
      <c r="E1760" t="s">
        <v>1623</v>
      </c>
      <c r="F1760" t="s">
        <v>37</v>
      </c>
      <c r="G1760" t="s">
        <v>45</v>
      </c>
      <c r="H1760" t="s">
        <v>55</v>
      </c>
      <c r="I1760" t="s">
        <v>39</v>
      </c>
      <c r="J1760" t="s">
        <v>35</v>
      </c>
      <c r="K1760" s="2">
        <v>3800</v>
      </c>
      <c r="L1760" s="2">
        <v>19500</v>
      </c>
      <c r="M1760">
        <v>48</v>
      </c>
      <c r="N1760" s="3">
        <v>0.34100000000000003</v>
      </c>
      <c r="O1760" t="s">
        <v>16</v>
      </c>
      <c r="Q1760">
        <v>1</v>
      </c>
      <c r="R1760">
        <v>0</v>
      </c>
      <c r="S1760" s="2">
        <v>17500</v>
      </c>
      <c r="T1760" s="4">
        <v>0.1236</v>
      </c>
      <c r="U1760">
        <v>2</v>
      </c>
      <c r="V1760">
        <v>1</v>
      </c>
      <c r="W1760">
        <v>1</v>
      </c>
    </row>
    <row r="1761" spans="1:23" ht="16.5" x14ac:dyDescent="0.3">
      <c r="A1761" t="s">
        <v>1821</v>
      </c>
      <c r="B1761" s="1">
        <v>45564</v>
      </c>
      <c r="C1761">
        <v>2024</v>
      </c>
      <c r="D1761" t="s">
        <v>1255</v>
      </c>
      <c r="E1761" t="s">
        <v>1623</v>
      </c>
      <c r="F1761" t="s">
        <v>41</v>
      </c>
      <c r="G1761" t="s">
        <v>27</v>
      </c>
      <c r="H1761" t="s">
        <v>38</v>
      </c>
      <c r="I1761" t="s">
        <v>39</v>
      </c>
      <c r="J1761" t="s">
        <v>30</v>
      </c>
      <c r="K1761" s="2">
        <v>5100</v>
      </c>
      <c r="L1761" s="2">
        <v>143500</v>
      </c>
      <c r="M1761">
        <v>24</v>
      </c>
      <c r="N1761" s="3">
        <v>1.419</v>
      </c>
      <c r="O1761" t="s">
        <v>17</v>
      </c>
      <c r="P1761" t="s">
        <v>53</v>
      </c>
      <c r="Q1761">
        <v>0</v>
      </c>
      <c r="R1761">
        <v>1</v>
      </c>
      <c r="S1761" s="2">
        <v>0</v>
      </c>
      <c r="T1761" s="4"/>
      <c r="U1761">
        <v>11</v>
      </c>
      <c r="V1761">
        <v>0</v>
      </c>
      <c r="W1761">
        <v>1</v>
      </c>
    </row>
    <row r="1762" spans="1:23" ht="16.5" x14ac:dyDescent="0.3">
      <c r="A1762" t="s">
        <v>1822</v>
      </c>
      <c r="B1762" s="1">
        <v>45565</v>
      </c>
      <c r="C1762">
        <v>2024</v>
      </c>
      <c r="D1762" t="s">
        <v>1255</v>
      </c>
      <c r="E1762" t="s">
        <v>1623</v>
      </c>
      <c r="F1762" t="s">
        <v>26</v>
      </c>
      <c r="G1762" t="s">
        <v>33</v>
      </c>
      <c r="H1762" t="s">
        <v>34</v>
      </c>
      <c r="I1762" t="s">
        <v>42</v>
      </c>
      <c r="J1762" t="s">
        <v>35</v>
      </c>
      <c r="K1762" s="2">
        <v>10750</v>
      </c>
      <c r="L1762" s="2">
        <v>35500</v>
      </c>
      <c r="M1762">
        <v>48</v>
      </c>
      <c r="N1762" s="3">
        <v>0.27</v>
      </c>
      <c r="O1762" t="s">
        <v>16</v>
      </c>
      <c r="Q1762">
        <v>1</v>
      </c>
      <c r="R1762">
        <v>0</v>
      </c>
      <c r="S1762" s="2">
        <v>28500</v>
      </c>
      <c r="T1762" s="4">
        <v>7.9100000000000004E-2</v>
      </c>
      <c r="U1762">
        <v>4</v>
      </c>
      <c r="V1762">
        <v>1</v>
      </c>
      <c r="W1762">
        <v>1</v>
      </c>
    </row>
    <row r="1763" spans="1:23" ht="16.5" x14ac:dyDescent="0.3">
      <c r="A1763" t="s">
        <v>1823</v>
      </c>
      <c r="B1763" s="1">
        <v>45565</v>
      </c>
      <c r="C1763">
        <v>2024</v>
      </c>
      <c r="D1763" t="s">
        <v>1255</v>
      </c>
      <c r="E1763" t="s">
        <v>1623</v>
      </c>
      <c r="F1763" t="s">
        <v>37</v>
      </c>
      <c r="G1763" t="s">
        <v>27</v>
      </c>
      <c r="H1763" t="s">
        <v>34</v>
      </c>
      <c r="I1763" t="s">
        <v>29</v>
      </c>
      <c r="J1763" t="s">
        <v>35</v>
      </c>
      <c r="K1763" s="2">
        <v>10300</v>
      </c>
      <c r="L1763" s="2">
        <v>17000</v>
      </c>
      <c r="M1763">
        <v>24</v>
      </c>
      <c r="N1763" s="3">
        <v>0.13300000000000001</v>
      </c>
      <c r="O1763" t="s">
        <v>16</v>
      </c>
      <c r="Q1763">
        <v>1</v>
      </c>
      <c r="R1763">
        <v>0</v>
      </c>
      <c r="S1763" s="2">
        <v>13500</v>
      </c>
      <c r="T1763" s="4">
        <v>0.1202</v>
      </c>
      <c r="U1763">
        <v>4</v>
      </c>
      <c r="V1763">
        <v>0</v>
      </c>
      <c r="W1763">
        <v>1</v>
      </c>
    </row>
    <row r="1764" spans="1:23" ht="16.5" x14ac:dyDescent="0.3">
      <c r="A1764" t="s">
        <v>1824</v>
      </c>
      <c r="B1764" s="1">
        <v>45565</v>
      </c>
      <c r="C1764">
        <v>2024</v>
      </c>
      <c r="D1764" t="s">
        <v>1255</v>
      </c>
      <c r="E1764" t="s">
        <v>1623</v>
      </c>
      <c r="F1764" t="s">
        <v>37</v>
      </c>
      <c r="G1764" t="s">
        <v>51</v>
      </c>
      <c r="H1764" t="s">
        <v>34</v>
      </c>
      <c r="I1764" t="s">
        <v>29</v>
      </c>
      <c r="J1764" t="s">
        <v>35</v>
      </c>
      <c r="K1764" s="2">
        <v>7700</v>
      </c>
      <c r="L1764" s="2">
        <v>14500</v>
      </c>
      <c r="M1764">
        <v>60</v>
      </c>
      <c r="N1764" s="3">
        <v>0.13200000000000001</v>
      </c>
      <c r="O1764" t="s">
        <v>16</v>
      </c>
      <c r="Q1764">
        <v>1</v>
      </c>
      <c r="R1764">
        <v>0</v>
      </c>
      <c r="S1764" s="2">
        <v>11500</v>
      </c>
      <c r="T1764" s="4">
        <v>0.1295</v>
      </c>
      <c r="U1764">
        <v>2</v>
      </c>
      <c r="V1764">
        <v>1</v>
      </c>
      <c r="W1764">
        <v>1</v>
      </c>
    </row>
    <row r="1765" spans="1:23" ht="16.5" x14ac:dyDescent="0.3">
      <c r="A1765" t="s">
        <v>1825</v>
      </c>
      <c r="B1765" s="1">
        <v>45565</v>
      </c>
      <c r="C1765">
        <v>2024</v>
      </c>
      <c r="D1765" t="s">
        <v>1255</v>
      </c>
      <c r="E1765" t="s">
        <v>1623</v>
      </c>
      <c r="F1765" t="s">
        <v>26</v>
      </c>
      <c r="G1765" t="s">
        <v>51</v>
      </c>
      <c r="H1765" t="s">
        <v>38</v>
      </c>
      <c r="I1765" t="s">
        <v>39</v>
      </c>
      <c r="J1765" t="s">
        <v>52</v>
      </c>
      <c r="K1765" s="2">
        <v>6450</v>
      </c>
      <c r="L1765" s="2">
        <v>43000</v>
      </c>
      <c r="M1765">
        <v>60</v>
      </c>
      <c r="N1765" s="3">
        <v>0.27100000000000002</v>
      </c>
      <c r="O1765" t="s">
        <v>16</v>
      </c>
      <c r="Q1765">
        <v>1</v>
      </c>
      <c r="R1765">
        <v>0</v>
      </c>
      <c r="S1765" s="2">
        <v>38500</v>
      </c>
      <c r="T1765" s="4">
        <v>6.8900000000000003E-2</v>
      </c>
      <c r="U1765">
        <v>11</v>
      </c>
      <c r="V1765">
        <v>0</v>
      </c>
      <c r="W1765">
        <v>1</v>
      </c>
    </row>
    <row r="1766" spans="1:23" ht="16.5" x14ac:dyDescent="0.3">
      <c r="A1766" t="s">
        <v>1826</v>
      </c>
      <c r="B1766" s="1">
        <v>45565</v>
      </c>
      <c r="C1766">
        <v>2024</v>
      </c>
      <c r="D1766" t="s">
        <v>1255</v>
      </c>
      <c r="E1766" t="s">
        <v>1623</v>
      </c>
      <c r="F1766" t="s">
        <v>37</v>
      </c>
      <c r="G1766" t="s">
        <v>27</v>
      </c>
      <c r="H1766" t="s">
        <v>64</v>
      </c>
      <c r="I1766" t="s">
        <v>29</v>
      </c>
      <c r="J1766" t="s">
        <v>46</v>
      </c>
      <c r="K1766" s="2">
        <v>2500</v>
      </c>
      <c r="L1766" s="2">
        <v>15500</v>
      </c>
      <c r="M1766">
        <v>24</v>
      </c>
      <c r="N1766" s="3">
        <v>0.46600000000000003</v>
      </c>
      <c r="O1766" t="s">
        <v>16</v>
      </c>
      <c r="Q1766">
        <v>1</v>
      </c>
      <c r="R1766">
        <v>0</v>
      </c>
      <c r="S1766" s="2">
        <v>14000</v>
      </c>
      <c r="T1766" s="4">
        <v>0.1067</v>
      </c>
      <c r="U1766">
        <v>7</v>
      </c>
      <c r="V1766">
        <v>0</v>
      </c>
      <c r="W1766">
        <v>1</v>
      </c>
    </row>
    <row r="1767" spans="1:23" ht="16.5" x14ac:dyDescent="0.3">
      <c r="A1767" t="s">
        <v>1827</v>
      </c>
      <c r="B1767" s="1">
        <v>45565</v>
      </c>
      <c r="C1767">
        <v>2024</v>
      </c>
      <c r="D1767" t="s">
        <v>1255</v>
      </c>
      <c r="E1767" t="s">
        <v>1623</v>
      </c>
      <c r="F1767" t="s">
        <v>37</v>
      </c>
      <c r="G1767" t="s">
        <v>27</v>
      </c>
      <c r="H1767" t="s">
        <v>64</v>
      </c>
      <c r="I1767" t="s">
        <v>39</v>
      </c>
      <c r="J1767" t="s">
        <v>43</v>
      </c>
      <c r="K1767" s="2">
        <v>4550</v>
      </c>
      <c r="L1767" s="2">
        <v>13000</v>
      </c>
      <c r="M1767">
        <v>12</v>
      </c>
      <c r="N1767" s="3">
        <v>0.45800000000000002</v>
      </c>
      <c r="O1767" t="s">
        <v>17</v>
      </c>
      <c r="P1767" t="s">
        <v>31</v>
      </c>
      <c r="Q1767">
        <v>0</v>
      </c>
      <c r="R1767">
        <v>1</v>
      </c>
      <c r="S1767" s="2">
        <v>0</v>
      </c>
      <c r="T1767" s="4"/>
      <c r="U1767">
        <v>5</v>
      </c>
      <c r="V1767">
        <v>0</v>
      </c>
      <c r="W1767">
        <v>1</v>
      </c>
    </row>
    <row r="1768" spans="1:23" ht="16.5" x14ac:dyDescent="0.3">
      <c r="A1768" t="s">
        <v>1828</v>
      </c>
      <c r="B1768" s="1">
        <v>45565</v>
      </c>
      <c r="C1768">
        <v>2024</v>
      </c>
      <c r="D1768" t="s">
        <v>1255</v>
      </c>
      <c r="E1768" t="s">
        <v>1623</v>
      </c>
      <c r="F1768" t="s">
        <v>41</v>
      </c>
      <c r="G1768" t="s">
        <v>51</v>
      </c>
      <c r="H1768" t="s">
        <v>38</v>
      </c>
      <c r="I1768" t="s">
        <v>29</v>
      </c>
      <c r="J1768" t="s">
        <v>52</v>
      </c>
      <c r="K1768" s="2">
        <v>4450</v>
      </c>
      <c r="L1768" s="2">
        <v>48500</v>
      </c>
      <c r="M1768">
        <v>36</v>
      </c>
      <c r="N1768" s="3">
        <v>0.46100000000000002</v>
      </c>
      <c r="O1768" t="s">
        <v>16</v>
      </c>
      <c r="Q1768">
        <v>1</v>
      </c>
      <c r="R1768">
        <v>0</v>
      </c>
      <c r="S1768" s="2">
        <v>39000</v>
      </c>
      <c r="T1768" s="4">
        <v>9.9400000000000002E-2</v>
      </c>
      <c r="U1768">
        <v>18</v>
      </c>
      <c r="V1768">
        <v>0</v>
      </c>
      <c r="W1768">
        <v>1</v>
      </c>
    </row>
    <row r="1769" spans="1:23" ht="16.5" x14ac:dyDescent="0.3">
      <c r="A1769" t="s">
        <v>1829</v>
      </c>
      <c r="B1769" s="1">
        <v>45565</v>
      </c>
      <c r="C1769">
        <v>2024</v>
      </c>
      <c r="D1769" t="s">
        <v>1255</v>
      </c>
      <c r="E1769" t="s">
        <v>1623</v>
      </c>
      <c r="F1769" t="s">
        <v>41</v>
      </c>
      <c r="G1769" t="s">
        <v>45</v>
      </c>
      <c r="H1769" t="s">
        <v>55</v>
      </c>
      <c r="I1769" t="s">
        <v>42</v>
      </c>
      <c r="J1769" t="s">
        <v>35</v>
      </c>
      <c r="K1769" s="2">
        <v>7150</v>
      </c>
      <c r="L1769" s="2">
        <v>56500</v>
      </c>
      <c r="M1769">
        <v>24</v>
      </c>
      <c r="N1769" s="3">
        <v>0.46100000000000002</v>
      </c>
      <c r="O1769" t="s">
        <v>16</v>
      </c>
      <c r="Q1769">
        <v>1</v>
      </c>
      <c r="R1769">
        <v>0</v>
      </c>
      <c r="S1769" s="2">
        <v>45000</v>
      </c>
      <c r="T1769" s="4">
        <v>0.1114</v>
      </c>
      <c r="U1769">
        <v>12</v>
      </c>
      <c r="V1769">
        <v>0</v>
      </c>
      <c r="W1769">
        <v>1</v>
      </c>
    </row>
    <row r="1770" spans="1:23" ht="16.5" x14ac:dyDescent="0.3">
      <c r="A1770" t="s">
        <v>1830</v>
      </c>
      <c r="B1770" s="1">
        <v>45565</v>
      </c>
      <c r="C1770">
        <v>2024</v>
      </c>
      <c r="D1770" t="s">
        <v>1255</v>
      </c>
      <c r="E1770" t="s">
        <v>1623</v>
      </c>
      <c r="F1770" t="s">
        <v>41</v>
      </c>
      <c r="G1770" t="s">
        <v>51</v>
      </c>
      <c r="H1770" t="s">
        <v>28</v>
      </c>
      <c r="I1770" t="s">
        <v>39</v>
      </c>
      <c r="J1770" t="s">
        <v>43</v>
      </c>
      <c r="K1770" s="2">
        <v>2550</v>
      </c>
      <c r="L1770" s="2">
        <v>59000</v>
      </c>
      <c r="M1770">
        <v>60</v>
      </c>
      <c r="N1770" s="3">
        <v>0.57699999999999996</v>
      </c>
      <c r="O1770" t="s">
        <v>16</v>
      </c>
      <c r="Q1770">
        <v>1</v>
      </c>
      <c r="R1770">
        <v>0</v>
      </c>
      <c r="S1770" s="2">
        <v>53000</v>
      </c>
      <c r="T1770" s="4">
        <v>0.1401</v>
      </c>
      <c r="U1770">
        <v>19</v>
      </c>
      <c r="V1770">
        <v>0</v>
      </c>
      <c r="W1770">
        <v>1</v>
      </c>
    </row>
    <row r="1771" spans="1:23" ht="16.5" x14ac:dyDescent="0.3">
      <c r="A1771" t="s">
        <v>1831</v>
      </c>
      <c r="B1771" s="1">
        <v>45566</v>
      </c>
      <c r="C1771">
        <v>2024</v>
      </c>
      <c r="D1771" t="s">
        <v>1832</v>
      </c>
      <c r="E1771" t="s">
        <v>1833</v>
      </c>
      <c r="F1771" t="s">
        <v>41</v>
      </c>
      <c r="G1771" t="s">
        <v>51</v>
      </c>
      <c r="H1771" t="s">
        <v>38</v>
      </c>
      <c r="I1771" t="s">
        <v>39</v>
      </c>
      <c r="J1771" t="s">
        <v>43</v>
      </c>
      <c r="K1771" s="2">
        <v>5250</v>
      </c>
      <c r="L1771" s="2">
        <v>145500</v>
      </c>
      <c r="M1771">
        <v>12</v>
      </c>
      <c r="N1771" s="3">
        <v>2.5169999999999999</v>
      </c>
      <c r="O1771" t="s">
        <v>17</v>
      </c>
      <c r="P1771" t="s">
        <v>60</v>
      </c>
      <c r="Q1771">
        <v>0</v>
      </c>
      <c r="R1771">
        <v>1</v>
      </c>
      <c r="S1771" s="2">
        <v>0</v>
      </c>
      <c r="T1771" s="4"/>
      <c r="U1771">
        <v>14</v>
      </c>
      <c r="V1771">
        <v>0</v>
      </c>
      <c r="W1771">
        <v>1</v>
      </c>
    </row>
    <row r="1772" spans="1:23" ht="16.5" x14ac:dyDescent="0.3">
      <c r="A1772" t="s">
        <v>1834</v>
      </c>
      <c r="B1772" s="1">
        <v>45566</v>
      </c>
      <c r="C1772">
        <v>2024</v>
      </c>
      <c r="D1772" t="s">
        <v>1832</v>
      </c>
      <c r="E1772" t="s">
        <v>1833</v>
      </c>
      <c r="F1772" t="s">
        <v>37</v>
      </c>
      <c r="G1772" t="s">
        <v>27</v>
      </c>
      <c r="H1772" t="s">
        <v>38</v>
      </c>
      <c r="I1772" t="s">
        <v>29</v>
      </c>
      <c r="J1772" t="s">
        <v>46</v>
      </c>
      <c r="K1772" s="2">
        <v>19500</v>
      </c>
      <c r="L1772" s="2">
        <v>5500</v>
      </c>
      <c r="M1772">
        <v>12</v>
      </c>
      <c r="N1772" s="3">
        <v>0.224</v>
      </c>
      <c r="O1772" t="s">
        <v>16</v>
      </c>
      <c r="Q1772">
        <v>1</v>
      </c>
      <c r="R1772">
        <v>0</v>
      </c>
      <c r="S1772" s="2">
        <v>5000</v>
      </c>
      <c r="T1772" s="4">
        <v>0.11070000000000001</v>
      </c>
      <c r="U1772">
        <v>2</v>
      </c>
      <c r="V1772">
        <v>1</v>
      </c>
      <c r="W1772">
        <v>1</v>
      </c>
    </row>
    <row r="1773" spans="1:23" ht="16.5" x14ac:dyDescent="0.3">
      <c r="A1773" t="s">
        <v>1835</v>
      </c>
      <c r="B1773" s="1">
        <v>45567</v>
      </c>
      <c r="C1773">
        <v>2024</v>
      </c>
      <c r="D1773" t="s">
        <v>1832</v>
      </c>
      <c r="E1773" t="s">
        <v>1833</v>
      </c>
      <c r="F1773" t="s">
        <v>37</v>
      </c>
      <c r="G1773" t="s">
        <v>51</v>
      </c>
      <c r="H1773" t="s">
        <v>38</v>
      </c>
      <c r="I1773" t="s">
        <v>29</v>
      </c>
      <c r="J1773" t="s">
        <v>35</v>
      </c>
      <c r="K1773" s="2">
        <v>5850</v>
      </c>
      <c r="L1773" s="2">
        <v>15000</v>
      </c>
      <c r="M1773">
        <v>36</v>
      </c>
      <c r="N1773" s="3">
        <v>0.248</v>
      </c>
      <c r="O1773" t="s">
        <v>16</v>
      </c>
      <c r="Q1773">
        <v>1</v>
      </c>
      <c r="R1773">
        <v>0</v>
      </c>
      <c r="S1773" s="2">
        <v>15000</v>
      </c>
      <c r="T1773" s="4">
        <v>0.1265</v>
      </c>
      <c r="U1773">
        <v>4</v>
      </c>
      <c r="V1773">
        <v>0</v>
      </c>
      <c r="W1773">
        <v>1</v>
      </c>
    </row>
    <row r="1774" spans="1:23" ht="16.5" x14ac:dyDescent="0.3">
      <c r="A1774" t="s">
        <v>1836</v>
      </c>
      <c r="B1774" s="1">
        <v>45567</v>
      </c>
      <c r="C1774">
        <v>2024</v>
      </c>
      <c r="D1774" t="s">
        <v>1832</v>
      </c>
      <c r="E1774" t="s">
        <v>1833</v>
      </c>
      <c r="F1774" t="s">
        <v>26</v>
      </c>
      <c r="G1774" t="s">
        <v>27</v>
      </c>
      <c r="H1774" t="s">
        <v>28</v>
      </c>
      <c r="I1774" t="s">
        <v>42</v>
      </c>
      <c r="J1774" t="s">
        <v>52</v>
      </c>
      <c r="K1774" s="2">
        <v>8300</v>
      </c>
      <c r="L1774" s="2">
        <v>22000</v>
      </c>
      <c r="M1774">
        <v>48</v>
      </c>
      <c r="N1774" s="3">
        <v>0.246</v>
      </c>
      <c r="O1774" t="s">
        <v>16</v>
      </c>
      <c r="Q1774">
        <v>1</v>
      </c>
      <c r="R1774">
        <v>0</v>
      </c>
      <c r="S1774" s="2">
        <v>22000</v>
      </c>
      <c r="T1774" s="4">
        <v>6.7699999999999996E-2</v>
      </c>
      <c r="U1774">
        <v>5</v>
      </c>
      <c r="V1774">
        <v>0</v>
      </c>
      <c r="W1774">
        <v>1</v>
      </c>
    </row>
    <row r="1775" spans="1:23" ht="16.5" x14ac:dyDescent="0.3">
      <c r="A1775" t="s">
        <v>1837</v>
      </c>
      <c r="B1775" s="1">
        <v>45567</v>
      </c>
      <c r="C1775">
        <v>2024</v>
      </c>
      <c r="D1775" t="s">
        <v>1832</v>
      </c>
      <c r="E1775" t="s">
        <v>1833</v>
      </c>
      <c r="F1775" t="s">
        <v>26</v>
      </c>
      <c r="G1775" t="s">
        <v>27</v>
      </c>
      <c r="H1775" t="s">
        <v>34</v>
      </c>
      <c r="I1775" t="s">
        <v>29</v>
      </c>
      <c r="J1775" t="s">
        <v>43</v>
      </c>
      <c r="K1775" s="2">
        <v>3250</v>
      </c>
      <c r="L1775" s="2">
        <v>30500</v>
      </c>
      <c r="M1775">
        <v>48</v>
      </c>
      <c r="N1775" s="3">
        <v>0.44900000000000001</v>
      </c>
      <c r="O1775" t="s">
        <v>17</v>
      </c>
      <c r="P1775" t="s">
        <v>65</v>
      </c>
      <c r="Q1775">
        <v>0</v>
      </c>
      <c r="R1775">
        <v>1</v>
      </c>
      <c r="S1775" s="2">
        <v>0</v>
      </c>
      <c r="T1775" s="4"/>
      <c r="U1775">
        <v>7</v>
      </c>
      <c r="V1775">
        <v>0</v>
      </c>
      <c r="W1775">
        <v>1</v>
      </c>
    </row>
    <row r="1776" spans="1:23" ht="16.5" x14ac:dyDescent="0.3">
      <c r="A1776" t="s">
        <v>1838</v>
      </c>
      <c r="B1776" s="1">
        <v>45567</v>
      </c>
      <c r="C1776">
        <v>2024</v>
      </c>
      <c r="D1776" t="s">
        <v>1832</v>
      </c>
      <c r="E1776" t="s">
        <v>1833</v>
      </c>
      <c r="F1776" t="s">
        <v>26</v>
      </c>
      <c r="G1776" t="s">
        <v>51</v>
      </c>
      <c r="H1776" t="s">
        <v>64</v>
      </c>
      <c r="I1776" t="s">
        <v>29</v>
      </c>
      <c r="J1776" t="s">
        <v>43</v>
      </c>
      <c r="K1776" s="2">
        <v>4350</v>
      </c>
      <c r="L1776" s="2">
        <v>31500</v>
      </c>
      <c r="M1776">
        <v>36</v>
      </c>
      <c r="N1776" s="3">
        <v>0.35699999999999998</v>
      </c>
      <c r="O1776" t="s">
        <v>17</v>
      </c>
      <c r="P1776" t="s">
        <v>60</v>
      </c>
      <c r="Q1776">
        <v>0</v>
      </c>
      <c r="R1776">
        <v>1</v>
      </c>
      <c r="S1776" s="2">
        <v>0</v>
      </c>
      <c r="T1776" s="4"/>
      <c r="U1776">
        <v>10</v>
      </c>
      <c r="V1776">
        <v>0</v>
      </c>
      <c r="W1776">
        <v>1</v>
      </c>
    </row>
    <row r="1777" spans="1:23" ht="16.5" x14ac:dyDescent="0.3">
      <c r="A1777" t="s">
        <v>1839</v>
      </c>
      <c r="B1777" s="1">
        <v>45567</v>
      </c>
      <c r="C1777">
        <v>2024</v>
      </c>
      <c r="D1777" t="s">
        <v>1832</v>
      </c>
      <c r="E1777" t="s">
        <v>1833</v>
      </c>
      <c r="F1777" t="s">
        <v>37</v>
      </c>
      <c r="G1777" t="s">
        <v>51</v>
      </c>
      <c r="H1777" t="s">
        <v>55</v>
      </c>
      <c r="I1777" t="s">
        <v>39</v>
      </c>
      <c r="J1777" t="s">
        <v>30</v>
      </c>
      <c r="K1777" s="2">
        <v>6100</v>
      </c>
      <c r="L1777" s="2">
        <v>24500</v>
      </c>
      <c r="M1777">
        <v>12</v>
      </c>
      <c r="N1777" s="3">
        <v>0.43099999999999999</v>
      </c>
      <c r="O1777" t="s">
        <v>16</v>
      </c>
      <c r="Q1777">
        <v>1</v>
      </c>
      <c r="R1777">
        <v>0</v>
      </c>
      <c r="S1777" s="2">
        <v>19500</v>
      </c>
      <c r="T1777" s="4">
        <v>0.13650000000000001</v>
      </c>
      <c r="U1777">
        <v>5</v>
      </c>
      <c r="V1777">
        <v>0</v>
      </c>
      <c r="W1777">
        <v>1</v>
      </c>
    </row>
    <row r="1778" spans="1:23" ht="16.5" x14ac:dyDescent="0.3">
      <c r="A1778" t="s">
        <v>1840</v>
      </c>
      <c r="B1778" s="1">
        <v>45567</v>
      </c>
      <c r="C1778">
        <v>2024</v>
      </c>
      <c r="D1778" t="s">
        <v>1832</v>
      </c>
      <c r="E1778" t="s">
        <v>1833</v>
      </c>
      <c r="F1778" t="s">
        <v>50</v>
      </c>
      <c r="G1778" t="s">
        <v>27</v>
      </c>
      <c r="H1778" t="s">
        <v>38</v>
      </c>
      <c r="I1778" t="s">
        <v>29</v>
      </c>
      <c r="J1778" t="s">
        <v>35</v>
      </c>
      <c r="K1778" s="2">
        <v>3550</v>
      </c>
      <c r="L1778" s="2">
        <v>167000</v>
      </c>
      <c r="M1778">
        <v>240</v>
      </c>
      <c r="N1778" s="3">
        <v>0.54700000000000004</v>
      </c>
      <c r="O1778" t="s">
        <v>16</v>
      </c>
      <c r="Q1778">
        <v>1</v>
      </c>
      <c r="R1778">
        <v>0</v>
      </c>
      <c r="S1778" s="2">
        <v>150500</v>
      </c>
      <c r="T1778" s="4">
        <v>5.74E-2</v>
      </c>
      <c r="U1778">
        <v>36</v>
      </c>
      <c r="V1778">
        <v>0</v>
      </c>
      <c r="W1778">
        <v>1</v>
      </c>
    </row>
    <row r="1779" spans="1:23" ht="16.5" x14ac:dyDescent="0.3">
      <c r="A1779" t="s">
        <v>1841</v>
      </c>
      <c r="B1779" s="1">
        <v>45567</v>
      </c>
      <c r="C1779">
        <v>2024</v>
      </c>
      <c r="D1779" t="s">
        <v>1832</v>
      </c>
      <c r="E1779" t="s">
        <v>1833</v>
      </c>
      <c r="F1779" t="s">
        <v>41</v>
      </c>
      <c r="G1779" t="s">
        <v>51</v>
      </c>
      <c r="H1779" t="s">
        <v>55</v>
      </c>
      <c r="I1779" t="s">
        <v>39</v>
      </c>
      <c r="J1779" t="s">
        <v>35</v>
      </c>
      <c r="K1779" s="2">
        <v>3050</v>
      </c>
      <c r="L1779" s="2">
        <v>88000</v>
      </c>
      <c r="M1779">
        <v>12</v>
      </c>
      <c r="N1779" s="3">
        <v>2.754</v>
      </c>
      <c r="O1779" t="s">
        <v>17</v>
      </c>
      <c r="P1779" t="s">
        <v>53</v>
      </c>
      <c r="Q1779">
        <v>0</v>
      </c>
      <c r="R1779">
        <v>1</v>
      </c>
      <c r="S1779" s="2">
        <v>0</v>
      </c>
      <c r="T1779" s="4"/>
      <c r="U1779">
        <v>15</v>
      </c>
      <c r="V1779">
        <v>0</v>
      </c>
      <c r="W1779">
        <v>1</v>
      </c>
    </row>
    <row r="1780" spans="1:23" ht="16.5" x14ac:dyDescent="0.3">
      <c r="A1780" t="s">
        <v>1842</v>
      </c>
      <c r="B1780" s="1">
        <v>45568</v>
      </c>
      <c r="C1780">
        <v>2024</v>
      </c>
      <c r="D1780" t="s">
        <v>1832</v>
      </c>
      <c r="E1780" t="s">
        <v>1833</v>
      </c>
      <c r="F1780" t="s">
        <v>37</v>
      </c>
      <c r="G1780" t="s">
        <v>33</v>
      </c>
      <c r="H1780" t="s">
        <v>38</v>
      </c>
      <c r="I1780" t="s">
        <v>29</v>
      </c>
      <c r="J1780" t="s">
        <v>30</v>
      </c>
      <c r="K1780" s="2">
        <v>3150</v>
      </c>
      <c r="L1780" s="2">
        <v>13500</v>
      </c>
      <c r="M1780">
        <v>36</v>
      </c>
      <c r="N1780" s="3">
        <v>0.23</v>
      </c>
      <c r="O1780" t="s">
        <v>17</v>
      </c>
      <c r="P1780" t="s">
        <v>31</v>
      </c>
      <c r="Q1780">
        <v>0</v>
      </c>
      <c r="R1780">
        <v>1</v>
      </c>
      <c r="S1780" s="2">
        <v>0</v>
      </c>
      <c r="T1780" s="4"/>
      <c r="U1780">
        <v>3</v>
      </c>
      <c r="V1780">
        <v>1</v>
      </c>
      <c r="W1780">
        <v>1</v>
      </c>
    </row>
    <row r="1781" spans="1:23" ht="16.5" x14ac:dyDescent="0.3">
      <c r="A1781" t="s">
        <v>1843</v>
      </c>
      <c r="B1781" s="1">
        <v>45568</v>
      </c>
      <c r="C1781">
        <v>2024</v>
      </c>
      <c r="D1781" t="s">
        <v>1832</v>
      </c>
      <c r="E1781" t="s">
        <v>1833</v>
      </c>
      <c r="F1781" t="s">
        <v>26</v>
      </c>
      <c r="G1781" t="s">
        <v>33</v>
      </c>
      <c r="H1781" t="s">
        <v>34</v>
      </c>
      <c r="I1781" t="s">
        <v>39</v>
      </c>
      <c r="J1781" t="s">
        <v>52</v>
      </c>
      <c r="K1781" s="2">
        <v>5600</v>
      </c>
      <c r="L1781" s="2">
        <v>16500</v>
      </c>
      <c r="M1781">
        <v>60</v>
      </c>
      <c r="N1781" s="3">
        <v>0.249</v>
      </c>
      <c r="O1781" t="s">
        <v>16</v>
      </c>
      <c r="Q1781">
        <v>1</v>
      </c>
      <c r="R1781">
        <v>0</v>
      </c>
      <c r="S1781" s="2">
        <v>13000</v>
      </c>
      <c r="T1781" s="4">
        <v>7.1300000000000002E-2</v>
      </c>
      <c r="U1781">
        <v>4</v>
      </c>
      <c r="V1781">
        <v>1</v>
      </c>
      <c r="W1781">
        <v>1</v>
      </c>
    </row>
    <row r="1782" spans="1:23" ht="16.5" x14ac:dyDescent="0.3">
      <c r="A1782" t="s">
        <v>1844</v>
      </c>
      <c r="B1782" s="1">
        <v>45568</v>
      </c>
      <c r="C1782">
        <v>2024</v>
      </c>
      <c r="D1782" t="s">
        <v>1832</v>
      </c>
      <c r="E1782" t="s">
        <v>1833</v>
      </c>
      <c r="F1782" t="s">
        <v>37</v>
      </c>
      <c r="G1782" t="s">
        <v>51</v>
      </c>
      <c r="H1782" t="s">
        <v>55</v>
      </c>
      <c r="I1782" t="s">
        <v>29</v>
      </c>
      <c r="J1782" t="s">
        <v>52</v>
      </c>
      <c r="K1782" s="2">
        <v>5050</v>
      </c>
      <c r="L1782" s="2">
        <v>12500</v>
      </c>
      <c r="M1782">
        <v>12</v>
      </c>
      <c r="N1782" s="3">
        <v>0.40300000000000002</v>
      </c>
      <c r="O1782" t="s">
        <v>16</v>
      </c>
      <c r="Q1782">
        <v>1</v>
      </c>
      <c r="R1782">
        <v>0</v>
      </c>
      <c r="S1782" s="2">
        <v>12500</v>
      </c>
      <c r="T1782" s="4">
        <v>0.1164</v>
      </c>
      <c r="U1782">
        <v>3</v>
      </c>
      <c r="V1782">
        <v>1</v>
      </c>
      <c r="W1782">
        <v>1</v>
      </c>
    </row>
    <row r="1783" spans="1:23" ht="16.5" x14ac:dyDescent="0.3">
      <c r="A1783" t="s">
        <v>1845</v>
      </c>
      <c r="B1783" s="1">
        <v>45568</v>
      </c>
      <c r="C1783">
        <v>2024</v>
      </c>
      <c r="D1783" t="s">
        <v>1832</v>
      </c>
      <c r="E1783" t="s">
        <v>1833</v>
      </c>
      <c r="F1783" t="s">
        <v>26</v>
      </c>
      <c r="G1783" t="s">
        <v>27</v>
      </c>
      <c r="H1783" t="s">
        <v>38</v>
      </c>
      <c r="I1783" t="s">
        <v>39</v>
      </c>
      <c r="J1783" t="s">
        <v>46</v>
      </c>
      <c r="K1783" s="2">
        <v>5350</v>
      </c>
      <c r="L1783" s="2">
        <v>39000</v>
      </c>
      <c r="M1783">
        <v>48</v>
      </c>
      <c r="N1783" s="3">
        <v>0.27100000000000002</v>
      </c>
      <c r="O1783" t="s">
        <v>17</v>
      </c>
      <c r="P1783" t="s">
        <v>60</v>
      </c>
      <c r="Q1783">
        <v>0</v>
      </c>
      <c r="R1783">
        <v>1</v>
      </c>
      <c r="S1783" s="2">
        <v>0</v>
      </c>
      <c r="T1783" s="4"/>
      <c r="U1783">
        <v>10</v>
      </c>
      <c r="V1783">
        <v>0</v>
      </c>
      <c r="W1783">
        <v>1</v>
      </c>
    </row>
    <row r="1784" spans="1:23" ht="16.5" x14ac:dyDescent="0.3">
      <c r="A1784" t="s">
        <v>1846</v>
      </c>
      <c r="B1784" s="1">
        <v>45568</v>
      </c>
      <c r="C1784">
        <v>2024</v>
      </c>
      <c r="D1784" t="s">
        <v>1832</v>
      </c>
      <c r="E1784" t="s">
        <v>1833</v>
      </c>
      <c r="F1784" t="s">
        <v>26</v>
      </c>
      <c r="G1784" t="s">
        <v>45</v>
      </c>
      <c r="H1784" t="s">
        <v>38</v>
      </c>
      <c r="I1784" t="s">
        <v>39</v>
      </c>
      <c r="J1784" t="s">
        <v>35</v>
      </c>
      <c r="K1784" s="2">
        <v>6950</v>
      </c>
      <c r="L1784" s="2">
        <v>18000</v>
      </c>
      <c r="M1784">
        <v>36</v>
      </c>
      <c r="N1784" s="3">
        <v>0.317</v>
      </c>
      <c r="O1784" t="s">
        <v>17</v>
      </c>
      <c r="P1784" t="s">
        <v>65</v>
      </c>
      <c r="Q1784">
        <v>0</v>
      </c>
      <c r="R1784">
        <v>1</v>
      </c>
      <c r="S1784" s="2">
        <v>0</v>
      </c>
      <c r="T1784" s="4"/>
      <c r="U1784">
        <v>2</v>
      </c>
      <c r="V1784">
        <v>1</v>
      </c>
      <c r="W1784">
        <v>1</v>
      </c>
    </row>
    <row r="1785" spans="1:23" ht="16.5" x14ac:dyDescent="0.3">
      <c r="A1785" t="s">
        <v>1847</v>
      </c>
      <c r="B1785" s="1">
        <v>45568</v>
      </c>
      <c r="C1785">
        <v>2024</v>
      </c>
      <c r="D1785" t="s">
        <v>1832</v>
      </c>
      <c r="E1785" t="s">
        <v>1833</v>
      </c>
      <c r="F1785" t="s">
        <v>26</v>
      </c>
      <c r="G1785" t="s">
        <v>33</v>
      </c>
      <c r="H1785" t="s">
        <v>38</v>
      </c>
      <c r="I1785" t="s">
        <v>39</v>
      </c>
      <c r="J1785" t="s">
        <v>35</v>
      </c>
      <c r="K1785" s="2">
        <v>7150</v>
      </c>
      <c r="L1785" s="2">
        <v>34000</v>
      </c>
      <c r="M1785">
        <v>48</v>
      </c>
      <c r="N1785" s="3">
        <v>0.26100000000000001</v>
      </c>
      <c r="O1785" t="s">
        <v>17</v>
      </c>
      <c r="P1785" t="s">
        <v>31</v>
      </c>
      <c r="Q1785">
        <v>0</v>
      </c>
      <c r="R1785">
        <v>1</v>
      </c>
      <c r="S1785" s="2">
        <v>0</v>
      </c>
      <c r="T1785" s="4"/>
      <c r="U1785">
        <v>3</v>
      </c>
      <c r="V1785">
        <v>1</v>
      </c>
      <c r="W1785">
        <v>1</v>
      </c>
    </row>
    <row r="1786" spans="1:23" ht="16.5" x14ac:dyDescent="0.3">
      <c r="A1786" t="s">
        <v>1848</v>
      </c>
      <c r="B1786" s="1">
        <v>45568</v>
      </c>
      <c r="C1786">
        <v>2024</v>
      </c>
      <c r="D1786" t="s">
        <v>1832</v>
      </c>
      <c r="E1786" t="s">
        <v>1833</v>
      </c>
      <c r="F1786" t="s">
        <v>50</v>
      </c>
      <c r="G1786" t="s">
        <v>51</v>
      </c>
      <c r="H1786" t="s">
        <v>64</v>
      </c>
      <c r="I1786" t="s">
        <v>42</v>
      </c>
      <c r="J1786" t="s">
        <v>35</v>
      </c>
      <c r="K1786" s="2">
        <v>4650</v>
      </c>
      <c r="L1786" s="2">
        <v>438000</v>
      </c>
      <c r="M1786">
        <v>300</v>
      </c>
      <c r="N1786" s="3">
        <v>0.73299999999999998</v>
      </c>
      <c r="O1786" t="s">
        <v>16</v>
      </c>
      <c r="Q1786">
        <v>1</v>
      </c>
      <c r="R1786">
        <v>0</v>
      </c>
      <c r="S1786" s="2">
        <v>350500</v>
      </c>
      <c r="T1786" s="4">
        <v>5.8099999999999999E-2</v>
      </c>
      <c r="U1786">
        <v>12</v>
      </c>
      <c r="V1786">
        <v>1</v>
      </c>
      <c r="W1786">
        <v>1</v>
      </c>
    </row>
    <row r="1787" spans="1:23" ht="16.5" x14ac:dyDescent="0.3">
      <c r="A1787" t="s">
        <v>1849</v>
      </c>
      <c r="B1787" s="1">
        <v>45568</v>
      </c>
      <c r="C1787">
        <v>2024</v>
      </c>
      <c r="D1787" t="s">
        <v>1832</v>
      </c>
      <c r="E1787" t="s">
        <v>1833</v>
      </c>
      <c r="F1787" t="s">
        <v>37</v>
      </c>
      <c r="G1787" t="s">
        <v>33</v>
      </c>
      <c r="H1787" t="s">
        <v>38</v>
      </c>
      <c r="I1787" t="s">
        <v>39</v>
      </c>
      <c r="J1787" t="s">
        <v>30</v>
      </c>
      <c r="K1787" s="2">
        <v>4650</v>
      </c>
      <c r="L1787" s="2">
        <v>6500</v>
      </c>
      <c r="M1787">
        <v>12</v>
      </c>
      <c r="N1787" s="3">
        <v>0.29099999999999998</v>
      </c>
      <c r="O1787" t="s">
        <v>17</v>
      </c>
      <c r="P1787" t="s">
        <v>31</v>
      </c>
      <c r="Q1787">
        <v>0</v>
      </c>
      <c r="R1787">
        <v>1</v>
      </c>
      <c r="S1787" s="2">
        <v>0</v>
      </c>
      <c r="T1787" s="4"/>
      <c r="U1787">
        <v>1</v>
      </c>
      <c r="V1787">
        <v>1</v>
      </c>
      <c r="W1787">
        <v>1</v>
      </c>
    </row>
    <row r="1788" spans="1:23" ht="16.5" x14ac:dyDescent="0.3">
      <c r="A1788" t="s">
        <v>1850</v>
      </c>
      <c r="B1788" s="1">
        <v>45569</v>
      </c>
      <c r="C1788">
        <v>2024</v>
      </c>
      <c r="D1788" t="s">
        <v>1832</v>
      </c>
      <c r="E1788" t="s">
        <v>1833</v>
      </c>
      <c r="F1788" t="s">
        <v>26</v>
      </c>
      <c r="G1788" t="s">
        <v>27</v>
      </c>
      <c r="H1788" t="s">
        <v>55</v>
      </c>
      <c r="I1788" t="s">
        <v>29</v>
      </c>
      <c r="J1788" t="s">
        <v>30</v>
      </c>
      <c r="K1788" s="2">
        <v>4550</v>
      </c>
      <c r="L1788" s="2">
        <v>38000</v>
      </c>
      <c r="M1788">
        <v>48</v>
      </c>
      <c r="N1788" s="3">
        <v>0.35299999999999998</v>
      </c>
      <c r="O1788" t="s">
        <v>125</v>
      </c>
      <c r="Q1788">
        <v>0</v>
      </c>
      <c r="R1788">
        <v>0</v>
      </c>
      <c r="S1788" s="2">
        <v>0</v>
      </c>
      <c r="T1788" s="4"/>
      <c r="U1788">
        <v>7</v>
      </c>
      <c r="V1788">
        <v>0</v>
      </c>
      <c r="W1788">
        <v>1</v>
      </c>
    </row>
    <row r="1789" spans="1:23" ht="16.5" x14ac:dyDescent="0.3">
      <c r="A1789" t="s">
        <v>1851</v>
      </c>
      <c r="B1789" s="1">
        <v>45569</v>
      </c>
      <c r="C1789">
        <v>2024</v>
      </c>
      <c r="D1789" t="s">
        <v>1832</v>
      </c>
      <c r="E1789" t="s">
        <v>1833</v>
      </c>
      <c r="F1789" t="s">
        <v>41</v>
      </c>
      <c r="G1789" t="s">
        <v>45</v>
      </c>
      <c r="H1789" t="s">
        <v>38</v>
      </c>
      <c r="I1789" t="s">
        <v>42</v>
      </c>
      <c r="J1789" t="s">
        <v>52</v>
      </c>
      <c r="K1789" s="2">
        <v>11550</v>
      </c>
      <c r="L1789" s="2">
        <v>95000</v>
      </c>
      <c r="M1789">
        <v>12</v>
      </c>
      <c r="N1789" s="3">
        <v>0.78500000000000003</v>
      </c>
      <c r="O1789" t="s">
        <v>17</v>
      </c>
      <c r="P1789" t="s">
        <v>53</v>
      </c>
      <c r="Q1789">
        <v>0</v>
      </c>
      <c r="R1789">
        <v>1</v>
      </c>
      <c r="S1789" s="2">
        <v>0</v>
      </c>
      <c r="T1789" s="4"/>
      <c r="U1789">
        <v>6</v>
      </c>
      <c r="V1789">
        <v>1</v>
      </c>
      <c r="W1789">
        <v>1</v>
      </c>
    </row>
    <row r="1790" spans="1:23" ht="16.5" x14ac:dyDescent="0.3">
      <c r="A1790" t="s">
        <v>1852</v>
      </c>
      <c r="B1790" s="1">
        <v>45569</v>
      </c>
      <c r="C1790">
        <v>2024</v>
      </c>
      <c r="D1790" t="s">
        <v>1832</v>
      </c>
      <c r="E1790" t="s">
        <v>1833</v>
      </c>
      <c r="F1790" t="s">
        <v>37</v>
      </c>
      <c r="G1790" t="s">
        <v>51</v>
      </c>
      <c r="H1790" t="s">
        <v>38</v>
      </c>
      <c r="I1790" t="s">
        <v>42</v>
      </c>
      <c r="J1790" t="s">
        <v>30</v>
      </c>
      <c r="K1790" s="2">
        <v>3900</v>
      </c>
      <c r="L1790" s="2">
        <v>6500</v>
      </c>
      <c r="M1790">
        <v>60</v>
      </c>
      <c r="N1790" s="3">
        <v>0.23899999999999999</v>
      </c>
      <c r="O1790" t="s">
        <v>125</v>
      </c>
      <c r="Q1790">
        <v>0</v>
      </c>
      <c r="R1790">
        <v>0</v>
      </c>
      <c r="S1790" s="2">
        <v>0</v>
      </c>
      <c r="T1790" s="4"/>
      <c r="U1790">
        <v>4</v>
      </c>
      <c r="V1790">
        <v>0</v>
      </c>
      <c r="W1790">
        <v>1</v>
      </c>
    </row>
    <row r="1791" spans="1:23" ht="16.5" x14ac:dyDescent="0.3">
      <c r="A1791" t="s">
        <v>1853</v>
      </c>
      <c r="B1791" s="1">
        <v>45569</v>
      </c>
      <c r="C1791">
        <v>2024</v>
      </c>
      <c r="D1791" t="s">
        <v>1832</v>
      </c>
      <c r="E1791" t="s">
        <v>1833</v>
      </c>
      <c r="F1791" t="s">
        <v>37</v>
      </c>
      <c r="G1791" t="s">
        <v>51</v>
      </c>
      <c r="H1791" t="s">
        <v>38</v>
      </c>
      <c r="I1791" t="s">
        <v>39</v>
      </c>
      <c r="J1791" t="s">
        <v>52</v>
      </c>
      <c r="K1791" s="2">
        <v>3650</v>
      </c>
      <c r="L1791" s="2">
        <v>19000</v>
      </c>
      <c r="M1791">
        <v>24</v>
      </c>
      <c r="N1791" s="3">
        <v>0.36799999999999999</v>
      </c>
      <c r="O1791" t="s">
        <v>17</v>
      </c>
      <c r="P1791" t="s">
        <v>31</v>
      </c>
      <c r="Q1791">
        <v>0</v>
      </c>
      <c r="R1791">
        <v>1</v>
      </c>
      <c r="S1791" s="2">
        <v>0</v>
      </c>
      <c r="T1791" s="4"/>
      <c r="U1791">
        <v>7</v>
      </c>
      <c r="V1791">
        <v>0</v>
      </c>
      <c r="W1791">
        <v>1</v>
      </c>
    </row>
    <row r="1792" spans="1:23" ht="16.5" x14ac:dyDescent="0.3">
      <c r="A1792" t="s">
        <v>1854</v>
      </c>
      <c r="B1792" s="1">
        <v>45569</v>
      </c>
      <c r="C1792">
        <v>2024</v>
      </c>
      <c r="D1792" t="s">
        <v>1832</v>
      </c>
      <c r="E1792" t="s">
        <v>1833</v>
      </c>
      <c r="F1792" t="s">
        <v>37</v>
      </c>
      <c r="G1792" t="s">
        <v>45</v>
      </c>
      <c r="H1792" t="s">
        <v>28</v>
      </c>
      <c r="I1792" t="s">
        <v>29</v>
      </c>
      <c r="J1792" t="s">
        <v>46</v>
      </c>
      <c r="K1792" s="2">
        <v>3900</v>
      </c>
      <c r="L1792" s="2">
        <v>8500</v>
      </c>
      <c r="M1792">
        <v>12</v>
      </c>
      <c r="N1792" s="3">
        <v>0.27100000000000002</v>
      </c>
      <c r="O1792" t="s">
        <v>16</v>
      </c>
      <c r="Q1792">
        <v>1</v>
      </c>
      <c r="R1792">
        <v>0</v>
      </c>
      <c r="S1792" s="2">
        <v>7000</v>
      </c>
      <c r="T1792" s="4">
        <v>0.11219999999999999</v>
      </c>
      <c r="U1792">
        <v>2</v>
      </c>
      <c r="V1792">
        <v>1</v>
      </c>
      <c r="W1792">
        <v>1</v>
      </c>
    </row>
    <row r="1793" spans="1:23" ht="16.5" x14ac:dyDescent="0.3">
      <c r="A1793" t="s">
        <v>1855</v>
      </c>
      <c r="B1793" s="1">
        <v>45569</v>
      </c>
      <c r="C1793">
        <v>2024</v>
      </c>
      <c r="D1793" t="s">
        <v>1832</v>
      </c>
      <c r="E1793" t="s">
        <v>1833</v>
      </c>
      <c r="F1793" t="s">
        <v>37</v>
      </c>
      <c r="G1793" t="s">
        <v>45</v>
      </c>
      <c r="H1793" t="s">
        <v>55</v>
      </c>
      <c r="I1793" t="s">
        <v>39</v>
      </c>
      <c r="J1793" t="s">
        <v>46</v>
      </c>
      <c r="K1793" s="2">
        <v>9550</v>
      </c>
      <c r="L1793" s="2">
        <v>7500</v>
      </c>
      <c r="M1793">
        <v>36</v>
      </c>
      <c r="N1793" s="3">
        <v>0.20399999999999999</v>
      </c>
      <c r="O1793" t="s">
        <v>16</v>
      </c>
      <c r="Q1793">
        <v>1</v>
      </c>
      <c r="R1793">
        <v>0</v>
      </c>
      <c r="S1793" s="2">
        <v>7500</v>
      </c>
      <c r="T1793" s="4">
        <v>0.1069</v>
      </c>
      <c r="U1793">
        <v>2</v>
      </c>
      <c r="V1793">
        <v>1</v>
      </c>
      <c r="W1793">
        <v>1</v>
      </c>
    </row>
    <row r="1794" spans="1:23" ht="16.5" x14ac:dyDescent="0.3">
      <c r="A1794" t="s">
        <v>1856</v>
      </c>
      <c r="B1794" s="1">
        <v>45569</v>
      </c>
      <c r="C1794">
        <v>2024</v>
      </c>
      <c r="D1794" t="s">
        <v>1832</v>
      </c>
      <c r="E1794" t="s">
        <v>1833</v>
      </c>
      <c r="F1794" t="s">
        <v>26</v>
      </c>
      <c r="G1794" t="s">
        <v>51</v>
      </c>
      <c r="H1794" t="s">
        <v>55</v>
      </c>
      <c r="I1794" t="s">
        <v>39</v>
      </c>
      <c r="J1794" t="s">
        <v>30</v>
      </c>
      <c r="K1794" s="2">
        <v>2300</v>
      </c>
      <c r="L1794" s="2">
        <v>17000</v>
      </c>
      <c r="M1794">
        <v>60</v>
      </c>
      <c r="N1794" s="3">
        <v>0.314</v>
      </c>
      <c r="O1794" t="s">
        <v>17</v>
      </c>
      <c r="P1794" t="s">
        <v>48</v>
      </c>
      <c r="Q1794">
        <v>0</v>
      </c>
      <c r="R1794">
        <v>1</v>
      </c>
      <c r="S1794" s="2">
        <v>0</v>
      </c>
      <c r="T1794" s="4"/>
      <c r="U1794">
        <v>8</v>
      </c>
      <c r="V1794">
        <v>0</v>
      </c>
      <c r="W1794">
        <v>1</v>
      </c>
    </row>
    <row r="1795" spans="1:23" ht="16.5" x14ac:dyDescent="0.3">
      <c r="A1795" t="s">
        <v>1857</v>
      </c>
      <c r="B1795" s="1">
        <v>45569</v>
      </c>
      <c r="C1795">
        <v>2024</v>
      </c>
      <c r="D1795" t="s">
        <v>1832</v>
      </c>
      <c r="E1795" t="s">
        <v>1833</v>
      </c>
      <c r="F1795" t="s">
        <v>50</v>
      </c>
      <c r="G1795" t="s">
        <v>51</v>
      </c>
      <c r="H1795" t="s">
        <v>38</v>
      </c>
      <c r="I1795" t="s">
        <v>29</v>
      </c>
      <c r="J1795" t="s">
        <v>43</v>
      </c>
      <c r="K1795" s="2">
        <v>12800</v>
      </c>
      <c r="L1795" s="2">
        <v>189000</v>
      </c>
      <c r="M1795">
        <v>300</v>
      </c>
      <c r="N1795" s="3">
        <v>0.32500000000000001</v>
      </c>
      <c r="O1795" t="s">
        <v>17</v>
      </c>
      <c r="P1795" t="s">
        <v>31</v>
      </c>
      <c r="Q1795">
        <v>0</v>
      </c>
      <c r="R1795">
        <v>1</v>
      </c>
      <c r="S1795" s="2">
        <v>0</v>
      </c>
      <c r="T1795" s="4"/>
      <c r="U1795">
        <v>11</v>
      </c>
      <c r="V1795">
        <v>1</v>
      </c>
      <c r="W1795">
        <v>1</v>
      </c>
    </row>
    <row r="1796" spans="1:23" ht="16.5" x14ac:dyDescent="0.3">
      <c r="A1796" t="s">
        <v>1858</v>
      </c>
      <c r="B1796" s="1">
        <v>45569</v>
      </c>
      <c r="C1796">
        <v>2024</v>
      </c>
      <c r="D1796" t="s">
        <v>1832</v>
      </c>
      <c r="E1796" t="s">
        <v>1833</v>
      </c>
      <c r="F1796" t="s">
        <v>26</v>
      </c>
      <c r="G1796" t="s">
        <v>45</v>
      </c>
      <c r="H1796" t="s">
        <v>38</v>
      </c>
      <c r="I1796" t="s">
        <v>39</v>
      </c>
      <c r="J1796" t="s">
        <v>30</v>
      </c>
      <c r="K1796" s="2">
        <v>5100</v>
      </c>
      <c r="L1796" s="2">
        <v>56000</v>
      </c>
      <c r="M1796">
        <v>36</v>
      </c>
      <c r="N1796" s="3">
        <v>0.438</v>
      </c>
      <c r="O1796" t="s">
        <v>17</v>
      </c>
      <c r="P1796" t="s">
        <v>31</v>
      </c>
      <c r="Q1796">
        <v>0</v>
      </c>
      <c r="R1796">
        <v>1</v>
      </c>
      <c r="S1796" s="2">
        <v>0</v>
      </c>
      <c r="T1796" s="4"/>
      <c r="U1796">
        <v>3</v>
      </c>
      <c r="V1796">
        <v>1</v>
      </c>
      <c r="W1796">
        <v>1</v>
      </c>
    </row>
    <row r="1797" spans="1:23" ht="16.5" x14ac:dyDescent="0.3">
      <c r="A1797" t="s">
        <v>1859</v>
      </c>
      <c r="B1797" s="1">
        <v>45570</v>
      </c>
      <c r="C1797">
        <v>2024</v>
      </c>
      <c r="D1797" t="s">
        <v>1832</v>
      </c>
      <c r="E1797" t="s">
        <v>1833</v>
      </c>
      <c r="F1797" t="s">
        <v>37</v>
      </c>
      <c r="G1797" t="s">
        <v>51</v>
      </c>
      <c r="H1797" t="s">
        <v>38</v>
      </c>
      <c r="I1797" t="s">
        <v>29</v>
      </c>
      <c r="J1797" t="s">
        <v>30</v>
      </c>
      <c r="K1797" s="2">
        <v>6800</v>
      </c>
      <c r="L1797" s="2">
        <v>14500</v>
      </c>
      <c r="M1797">
        <v>60</v>
      </c>
      <c r="N1797" s="3">
        <v>0.188</v>
      </c>
      <c r="O1797" t="s">
        <v>16</v>
      </c>
      <c r="Q1797">
        <v>1</v>
      </c>
      <c r="R1797">
        <v>0</v>
      </c>
      <c r="S1797" s="2">
        <v>14500</v>
      </c>
      <c r="T1797" s="4">
        <v>0.1353</v>
      </c>
      <c r="U1797">
        <v>5</v>
      </c>
      <c r="V1797">
        <v>0</v>
      </c>
      <c r="W1797">
        <v>1</v>
      </c>
    </row>
    <row r="1798" spans="1:23" ht="16.5" x14ac:dyDescent="0.3">
      <c r="A1798" t="s">
        <v>1860</v>
      </c>
      <c r="B1798" s="1">
        <v>45570</v>
      </c>
      <c r="C1798">
        <v>2024</v>
      </c>
      <c r="D1798" t="s">
        <v>1832</v>
      </c>
      <c r="E1798" t="s">
        <v>1833</v>
      </c>
      <c r="F1798" t="s">
        <v>37</v>
      </c>
      <c r="G1798" t="s">
        <v>51</v>
      </c>
      <c r="H1798" t="s">
        <v>28</v>
      </c>
      <c r="I1798" t="s">
        <v>42</v>
      </c>
      <c r="J1798" t="s">
        <v>35</v>
      </c>
      <c r="K1798" s="2">
        <v>6100</v>
      </c>
      <c r="L1798" s="2">
        <v>7000</v>
      </c>
      <c r="M1798">
        <v>48</v>
      </c>
      <c r="N1798" s="3">
        <v>0.17699999999999999</v>
      </c>
      <c r="O1798" t="s">
        <v>125</v>
      </c>
      <c r="Q1798">
        <v>0</v>
      </c>
      <c r="R1798">
        <v>0</v>
      </c>
      <c r="S1798" s="2">
        <v>0</v>
      </c>
      <c r="T1798" s="4"/>
      <c r="U1798">
        <v>8</v>
      </c>
      <c r="V1798">
        <v>0</v>
      </c>
      <c r="W1798">
        <v>1</v>
      </c>
    </row>
    <row r="1799" spans="1:23" ht="16.5" x14ac:dyDescent="0.3">
      <c r="A1799" t="s">
        <v>1861</v>
      </c>
      <c r="B1799" s="1">
        <v>45571</v>
      </c>
      <c r="C1799">
        <v>2024</v>
      </c>
      <c r="D1799" t="s">
        <v>1832</v>
      </c>
      <c r="E1799" t="s">
        <v>1833</v>
      </c>
      <c r="F1799" t="s">
        <v>37</v>
      </c>
      <c r="G1799" t="s">
        <v>33</v>
      </c>
      <c r="H1799" t="s">
        <v>55</v>
      </c>
      <c r="I1799" t="s">
        <v>29</v>
      </c>
      <c r="J1799" t="s">
        <v>35</v>
      </c>
      <c r="K1799" s="2">
        <v>5250</v>
      </c>
      <c r="L1799" s="2">
        <v>9500</v>
      </c>
      <c r="M1799">
        <v>48</v>
      </c>
      <c r="N1799" s="3">
        <v>0.13700000000000001</v>
      </c>
      <c r="O1799" t="s">
        <v>16</v>
      </c>
      <c r="Q1799">
        <v>1</v>
      </c>
      <c r="R1799">
        <v>0</v>
      </c>
      <c r="S1799" s="2">
        <v>9500</v>
      </c>
      <c r="T1799" s="4">
        <v>0.1196</v>
      </c>
      <c r="U1799">
        <v>1</v>
      </c>
      <c r="V1799">
        <v>1</v>
      </c>
      <c r="W1799">
        <v>1</v>
      </c>
    </row>
    <row r="1800" spans="1:23" ht="16.5" x14ac:dyDescent="0.3">
      <c r="A1800" t="s">
        <v>1862</v>
      </c>
      <c r="B1800" s="1">
        <v>45571</v>
      </c>
      <c r="C1800">
        <v>2024</v>
      </c>
      <c r="D1800" t="s">
        <v>1832</v>
      </c>
      <c r="E1800" t="s">
        <v>1833</v>
      </c>
      <c r="F1800" t="s">
        <v>37</v>
      </c>
      <c r="G1800" t="s">
        <v>45</v>
      </c>
      <c r="H1800" t="s">
        <v>64</v>
      </c>
      <c r="I1800" t="s">
        <v>39</v>
      </c>
      <c r="J1800" t="s">
        <v>43</v>
      </c>
      <c r="K1800" s="2">
        <v>3750</v>
      </c>
      <c r="L1800" s="2">
        <v>14500</v>
      </c>
      <c r="M1800">
        <v>24</v>
      </c>
      <c r="N1800" s="3">
        <v>0.39800000000000002</v>
      </c>
      <c r="O1800" t="s">
        <v>17</v>
      </c>
      <c r="P1800" t="s">
        <v>31</v>
      </c>
      <c r="Q1800">
        <v>0</v>
      </c>
      <c r="R1800">
        <v>1</v>
      </c>
      <c r="S1800" s="2">
        <v>0</v>
      </c>
      <c r="T1800" s="4"/>
      <c r="U1800">
        <v>2</v>
      </c>
      <c r="V1800">
        <v>1</v>
      </c>
      <c r="W1800">
        <v>1</v>
      </c>
    </row>
    <row r="1801" spans="1:23" ht="16.5" x14ac:dyDescent="0.3">
      <c r="A1801" t="s">
        <v>1863</v>
      </c>
      <c r="B1801" s="1">
        <v>45571</v>
      </c>
      <c r="C1801">
        <v>2024</v>
      </c>
      <c r="D1801" t="s">
        <v>1832</v>
      </c>
      <c r="E1801" t="s">
        <v>1833</v>
      </c>
      <c r="F1801" t="s">
        <v>37</v>
      </c>
      <c r="G1801" t="s">
        <v>33</v>
      </c>
      <c r="H1801" t="s">
        <v>38</v>
      </c>
      <c r="I1801" t="s">
        <v>29</v>
      </c>
      <c r="J1801" t="s">
        <v>35</v>
      </c>
      <c r="K1801" s="2">
        <v>2500</v>
      </c>
      <c r="L1801" s="2">
        <v>13500</v>
      </c>
      <c r="M1801">
        <v>36</v>
      </c>
      <c r="N1801" s="3">
        <v>0.308</v>
      </c>
      <c r="O1801" t="s">
        <v>17</v>
      </c>
      <c r="P1801" t="s">
        <v>31</v>
      </c>
      <c r="Q1801">
        <v>0</v>
      </c>
      <c r="R1801">
        <v>1</v>
      </c>
      <c r="S1801" s="2">
        <v>0</v>
      </c>
      <c r="T1801" s="4"/>
      <c r="U1801">
        <v>1</v>
      </c>
      <c r="V1801">
        <v>1</v>
      </c>
      <c r="W1801">
        <v>1</v>
      </c>
    </row>
    <row r="1802" spans="1:23" ht="16.5" x14ac:dyDescent="0.3">
      <c r="A1802" t="s">
        <v>1864</v>
      </c>
      <c r="B1802" s="1">
        <v>45571</v>
      </c>
      <c r="C1802">
        <v>2024</v>
      </c>
      <c r="D1802" t="s">
        <v>1832</v>
      </c>
      <c r="E1802" t="s">
        <v>1833</v>
      </c>
      <c r="F1802" t="s">
        <v>41</v>
      </c>
      <c r="G1802" t="s">
        <v>51</v>
      </c>
      <c r="H1802" t="s">
        <v>38</v>
      </c>
      <c r="I1802" t="s">
        <v>29</v>
      </c>
      <c r="J1802" t="s">
        <v>35</v>
      </c>
      <c r="K1802" s="2">
        <v>6900</v>
      </c>
      <c r="L1802" s="2">
        <v>91000</v>
      </c>
      <c r="M1802">
        <v>12</v>
      </c>
      <c r="N1802" s="3">
        <v>1.339</v>
      </c>
      <c r="O1802" t="s">
        <v>17</v>
      </c>
      <c r="P1802" t="s">
        <v>53</v>
      </c>
      <c r="Q1802">
        <v>0</v>
      </c>
      <c r="R1802">
        <v>1</v>
      </c>
      <c r="S1802" s="2">
        <v>0</v>
      </c>
      <c r="T1802" s="4"/>
      <c r="U1802">
        <v>16</v>
      </c>
      <c r="V1802">
        <v>0</v>
      </c>
      <c r="W1802">
        <v>1</v>
      </c>
    </row>
    <row r="1803" spans="1:23" ht="16.5" x14ac:dyDescent="0.3">
      <c r="A1803" t="s">
        <v>1865</v>
      </c>
      <c r="B1803" s="1">
        <v>45571</v>
      </c>
      <c r="C1803">
        <v>2024</v>
      </c>
      <c r="D1803" t="s">
        <v>1832</v>
      </c>
      <c r="E1803" t="s">
        <v>1833</v>
      </c>
      <c r="F1803" t="s">
        <v>41</v>
      </c>
      <c r="G1803" t="s">
        <v>33</v>
      </c>
      <c r="H1803" t="s">
        <v>38</v>
      </c>
      <c r="I1803" t="s">
        <v>29</v>
      </c>
      <c r="J1803" t="s">
        <v>35</v>
      </c>
      <c r="K1803" s="2">
        <v>7500</v>
      </c>
      <c r="L1803" s="2">
        <v>99000</v>
      </c>
      <c r="M1803">
        <v>36</v>
      </c>
      <c r="N1803" s="3">
        <v>0.63</v>
      </c>
      <c r="O1803" t="s">
        <v>16</v>
      </c>
      <c r="Q1803">
        <v>1</v>
      </c>
      <c r="R1803">
        <v>0</v>
      </c>
      <c r="S1803" s="2">
        <v>89000</v>
      </c>
      <c r="T1803" s="4">
        <v>0.1072</v>
      </c>
      <c r="U1803">
        <v>12</v>
      </c>
      <c r="V1803">
        <v>0</v>
      </c>
      <c r="W1803">
        <v>1</v>
      </c>
    </row>
    <row r="1804" spans="1:23" ht="16.5" x14ac:dyDescent="0.3">
      <c r="A1804" t="s">
        <v>1866</v>
      </c>
      <c r="B1804" s="1">
        <v>45571</v>
      </c>
      <c r="C1804">
        <v>2024</v>
      </c>
      <c r="D1804" t="s">
        <v>1832</v>
      </c>
      <c r="E1804" t="s">
        <v>1833</v>
      </c>
      <c r="F1804" t="s">
        <v>37</v>
      </c>
      <c r="G1804" t="s">
        <v>51</v>
      </c>
      <c r="H1804" t="s">
        <v>38</v>
      </c>
      <c r="I1804" t="s">
        <v>39</v>
      </c>
      <c r="J1804" t="s">
        <v>43</v>
      </c>
      <c r="K1804" s="2">
        <v>3500</v>
      </c>
      <c r="L1804" s="2">
        <v>7500</v>
      </c>
      <c r="M1804">
        <v>60</v>
      </c>
      <c r="N1804" s="3">
        <v>0.26500000000000001</v>
      </c>
      <c r="O1804" t="s">
        <v>17</v>
      </c>
      <c r="P1804" t="s">
        <v>48</v>
      </c>
      <c r="Q1804">
        <v>0</v>
      </c>
      <c r="R1804">
        <v>1</v>
      </c>
      <c r="S1804" s="2">
        <v>0</v>
      </c>
      <c r="T1804" s="4"/>
      <c r="U1804">
        <v>7</v>
      </c>
      <c r="V1804">
        <v>0</v>
      </c>
      <c r="W1804">
        <v>1</v>
      </c>
    </row>
    <row r="1805" spans="1:23" ht="16.5" x14ac:dyDescent="0.3">
      <c r="A1805" t="s">
        <v>1867</v>
      </c>
      <c r="B1805" s="1">
        <v>45571</v>
      </c>
      <c r="C1805">
        <v>2024</v>
      </c>
      <c r="D1805" t="s">
        <v>1832</v>
      </c>
      <c r="E1805" t="s">
        <v>1833</v>
      </c>
      <c r="F1805" t="s">
        <v>37</v>
      </c>
      <c r="G1805" t="s">
        <v>45</v>
      </c>
      <c r="H1805" t="s">
        <v>55</v>
      </c>
      <c r="I1805" t="s">
        <v>29</v>
      </c>
      <c r="J1805" t="s">
        <v>30</v>
      </c>
      <c r="K1805" s="2">
        <v>7800</v>
      </c>
      <c r="L1805" s="2">
        <v>5500</v>
      </c>
      <c r="M1805">
        <v>12</v>
      </c>
      <c r="N1805" s="3">
        <v>0.17199999999999999</v>
      </c>
      <c r="O1805" t="s">
        <v>17</v>
      </c>
      <c r="P1805" t="s">
        <v>31</v>
      </c>
      <c r="Q1805">
        <v>0</v>
      </c>
      <c r="R1805">
        <v>1</v>
      </c>
      <c r="S1805" s="2">
        <v>0</v>
      </c>
      <c r="T1805" s="4"/>
      <c r="U1805">
        <v>3</v>
      </c>
      <c r="V1805">
        <v>1</v>
      </c>
      <c r="W1805">
        <v>1</v>
      </c>
    </row>
    <row r="1806" spans="1:23" ht="16.5" x14ac:dyDescent="0.3">
      <c r="A1806" t="s">
        <v>1868</v>
      </c>
      <c r="B1806" s="1">
        <v>45572</v>
      </c>
      <c r="C1806">
        <v>2024</v>
      </c>
      <c r="D1806" t="s">
        <v>1832</v>
      </c>
      <c r="E1806" t="s">
        <v>1833</v>
      </c>
      <c r="F1806" t="s">
        <v>41</v>
      </c>
      <c r="G1806" t="s">
        <v>33</v>
      </c>
      <c r="H1806" t="s">
        <v>55</v>
      </c>
      <c r="I1806" t="s">
        <v>39</v>
      </c>
      <c r="J1806" t="s">
        <v>35</v>
      </c>
      <c r="K1806" s="2">
        <v>3950</v>
      </c>
      <c r="L1806" s="2">
        <v>83000</v>
      </c>
      <c r="M1806">
        <v>12</v>
      </c>
      <c r="N1806" s="3">
        <v>1.9730000000000001</v>
      </c>
      <c r="O1806" t="s">
        <v>17</v>
      </c>
      <c r="P1806" t="s">
        <v>53</v>
      </c>
      <c r="Q1806">
        <v>0</v>
      </c>
      <c r="R1806">
        <v>1</v>
      </c>
      <c r="S1806" s="2">
        <v>0</v>
      </c>
      <c r="T1806" s="4"/>
      <c r="U1806">
        <v>5</v>
      </c>
      <c r="V1806">
        <v>1</v>
      </c>
      <c r="W1806">
        <v>1</v>
      </c>
    </row>
    <row r="1807" spans="1:23" ht="16.5" x14ac:dyDescent="0.3">
      <c r="A1807" t="s">
        <v>1869</v>
      </c>
      <c r="B1807" s="1">
        <v>45572</v>
      </c>
      <c r="C1807">
        <v>2024</v>
      </c>
      <c r="D1807" t="s">
        <v>1832</v>
      </c>
      <c r="E1807" t="s">
        <v>1833</v>
      </c>
      <c r="F1807" t="s">
        <v>26</v>
      </c>
      <c r="G1807" t="s">
        <v>27</v>
      </c>
      <c r="H1807" t="s">
        <v>38</v>
      </c>
      <c r="I1807" t="s">
        <v>42</v>
      </c>
      <c r="J1807" t="s">
        <v>35</v>
      </c>
      <c r="K1807" s="2">
        <v>11300</v>
      </c>
      <c r="L1807" s="2">
        <v>26500</v>
      </c>
      <c r="M1807">
        <v>48</v>
      </c>
      <c r="N1807" s="3">
        <v>0.21299999999999999</v>
      </c>
      <c r="O1807" t="s">
        <v>16</v>
      </c>
      <c r="Q1807">
        <v>1</v>
      </c>
      <c r="R1807">
        <v>0</v>
      </c>
      <c r="S1807" s="2">
        <v>26500</v>
      </c>
      <c r="T1807" s="4">
        <v>8.3099999999999993E-2</v>
      </c>
      <c r="U1807">
        <v>3</v>
      </c>
      <c r="V1807">
        <v>1</v>
      </c>
      <c r="W1807">
        <v>1</v>
      </c>
    </row>
    <row r="1808" spans="1:23" ht="16.5" x14ac:dyDescent="0.3">
      <c r="A1808" t="s">
        <v>1870</v>
      </c>
      <c r="B1808" s="1">
        <v>45572</v>
      </c>
      <c r="C1808">
        <v>2024</v>
      </c>
      <c r="D1808" t="s">
        <v>1832</v>
      </c>
      <c r="E1808" t="s">
        <v>1833</v>
      </c>
      <c r="F1808" t="s">
        <v>26</v>
      </c>
      <c r="G1808" t="s">
        <v>51</v>
      </c>
      <c r="H1808" t="s">
        <v>55</v>
      </c>
      <c r="I1808" t="s">
        <v>39</v>
      </c>
      <c r="J1808" t="s">
        <v>52</v>
      </c>
      <c r="K1808" s="2">
        <v>3350</v>
      </c>
      <c r="L1808" s="2">
        <v>25500</v>
      </c>
      <c r="M1808">
        <v>36</v>
      </c>
      <c r="N1808" s="3">
        <v>0.35299999999999998</v>
      </c>
      <c r="O1808" t="s">
        <v>16</v>
      </c>
      <c r="Q1808">
        <v>1</v>
      </c>
      <c r="R1808">
        <v>0</v>
      </c>
      <c r="S1808" s="2">
        <v>23000</v>
      </c>
      <c r="T1808" s="4">
        <v>7.3899999999999993E-2</v>
      </c>
      <c r="U1808">
        <v>4</v>
      </c>
      <c r="V1808">
        <v>1</v>
      </c>
      <c r="W1808">
        <v>1</v>
      </c>
    </row>
    <row r="1809" spans="1:23" ht="16.5" x14ac:dyDescent="0.3">
      <c r="A1809" t="s">
        <v>1871</v>
      </c>
      <c r="B1809" s="1">
        <v>45572</v>
      </c>
      <c r="C1809">
        <v>2024</v>
      </c>
      <c r="D1809" t="s">
        <v>1832</v>
      </c>
      <c r="E1809" t="s">
        <v>1833</v>
      </c>
      <c r="F1809" t="s">
        <v>37</v>
      </c>
      <c r="G1809" t="s">
        <v>51</v>
      </c>
      <c r="H1809" t="s">
        <v>34</v>
      </c>
      <c r="I1809" t="s">
        <v>42</v>
      </c>
      <c r="J1809" t="s">
        <v>43</v>
      </c>
      <c r="K1809" s="2">
        <v>12600</v>
      </c>
      <c r="L1809" s="2">
        <v>9000</v>
      </c>
      <c r="M1809">
        <v>60</v>
      </c>
      <c r="N1809" s="3">
        <v>9.1999999999999998E-2</v>
      </c>
      <c r="O1809" t="s">
        <v>17</v>
      </c>
      <c r="P1809" t="s">
        <v>65</v>
      </c>
      <c r="Q1809">
        <v>0</v>
      </c>
      <c r="R1809">
        <v>1</v>
      </c>
      <c r="S1809" s="2">
        <v>0</v>
      </c>
      <c r="T1809" s="4"/>
      <c r="U1809">
        <v>3</v>
      </c>
      <c r="V1809">
        <v>1</v>
      </c>
      <c r="W1809">
        <v>1</v>
      </c>
    </row>
    <row r="1810" spans="1:23" ht="16.5" x14ac:dyDescent="0.3">
      <c r="A1810" t="s">
        <v>1872</v>
      </c>
      <c r="B1810" s="1">
        <v>45572</v>
      </c>
      <c r="C1810">
        <v>2024</v>
      </c>
      <c r="D1810" t="s">
        <v>1832</v>
      </c>
      <c r="E1810" t="s">
        <v>1833</v>
      </c>
      <c r="F1810" t="s">
        <v>37</v>
      </c>
      <c r="G1810" t="s">
        <v>45</v>
      </c>
      <c r="H1810" t="s">
        <v>34</v>
      </c>
      <c r="I1810" t="s">
        <v>29</v>
      </c>
      <c r="J1810" t="s">
        <v>52</v>
      </c>
      <c r="K1810" s="2">
        <v>10300</v>
      </c>
      <c r="L1810" s="2">
        <v>16500</v>
      </c>
      <c r="M1810">
        <v>36</v>
      </c>
      <c r="N1810" s="3">
        <v>0.221</v>
      </c>
      <c r="O1810" t="s">
        <v>16</v>
      </c>
      <c r="Q1810">
        <v>1</v>
      </c>
      <c r="R1810">
        <v>0</v>
      </c>
      <c r="S1810" s="2">
        <v>16500</v>
      </c>
      <c r="T1810" s="4">
        <v>0.1198</v>
      </c>
      <c r="U1810">
        <v>2</v>
      </c>
      <c r="V1810">
        <v>1</v>
      </c>
      <c r="W1810">
        <v>1</v>
      </c>
    </row>
    <row r="1811" spans="1:23" ht="16.5" x14ac:dyDescent="0.3">
      <c r="A1811" t="s">
        <v>1873</v>
      </c>
      <c r="B1811" s="1">
        <v>45572</v>
      </c>
      <c r="C1811">
        <v>2024</v>
      </c>
      <c r="D1811" t="s">
        <v>1832</v>
      </c>
      <c r="E1811" t="s">
        <v>1833</v>
      </c>
      <c r="F1811" t="s">
        <v>41</v>
      </c>
      <c r="G1811" t="s">
        <v>51</v>
      </c>
      <c r="H1811" t="s">
        <v>38</v>
      </c>
      <c r="I1811" t="s">
        <v>39</v>
      </c>
      <c r="J1811" t="s">
        <v>52</v>
      </c>
      <c r="K1811" s="2">
        <v>10050</v>
      </c>
      <c r="L1811" s="2">
        <v>97000</v>
      </c>
      <c r="M1811">
        <v>12</v>
      </c>
      <c r="N1811" s="3">
        <v>0.90500000000000003</v>
      </c>
      <c r="O1811" t="s">
        <v>17</v>
      </c>
      <c r="P1811" t="s">
        <v>53</v>
      </c>
      <c r="Q1811">
        <v>0</v>
      </c>
      <c r="R1811">
        <v>1</v>
      </c>
      <c r="S1811" s="2">
        <v>0</v>
      </c>
      <c r="T1811" s="4"/>
      <c r="U1811">
        <v>14</v>
      </c>
      <c r="V1811">
        <v>0</v>
      </c>
      <c r="W1811">
        <v>1</v>
      </c>
    </row>
    <row r="1812" spans="1:23" ht="16.5" x14ac:dyDescent="0.3">
      <c r="A1812" t="s">
        <v>1874</v>
      </c>
      <c r="B1812" s="1">
        <v>45572</v>
      </c>
      <c r="C1812">
        <v>2024</v>
      </c>
      <c r="D1812" t="s">
        <v>1832</v>
      </c>
      <c r="E1812" t="s">
        <v>1833</v>
      </c>
      <c r="F1812" t="s">
        <v>37</v>
      </c>
      <c r="G1812" t="s">
        <v>33</v>
      </c>
      <c r="H1812" t="s">
        <v>38</v>
      </c>
      <c r="I1812" t="s">
        <v>39</v>
      </c>
      <c r="J1812" t="s">
        <v>52</v>
      </c>
      <c r="K1812" s="2">
        <v>5450</v>
      </c>
      <c r="L1812" s="2">
        <v>12500</v>
      </c>
      <c r="M1812">
        <v>60</v>
      </c>
      <c r="N1812" s="3">
        <v>0.18099999999999999</v>
      </c>
      <c r="O1812" t="s">
        <v>16</v>
      </c>
      <c r="Q1812">
        <v>1</v>
      </c>
      <c r="R1812">
        <v>0</v>
      </c>
      <c r="S1812" s="2">
        <v>12500</v>
      </c>
      <c r="T1812" s="4">
        <v>0.1153</v>
      </c>
      <c r="U1812">
        <v>2</v>
      </c>
      <c r="V1812">
        <v>1</v>
      </c>
      <c r="W1812">
        <v>1</v>
      </c>
    </row>
    <row r="1813" spans="1:23" ht="16.5" x14ac:dyDescent="0.3">
      <c r="A1813" t="s">
        <v>1875</v>
      </c>
      <c r="B1813" s="1">
        <v>45572</v>
      </c>
      <c r="C1813">
        <v>2024</v>
      </c>
      <c r="D1813" t="s">
        <v>1832</v>
      </c>
      <c r="E1813" t="s">
        <v>1833</v>
      </c>
      <c r="F1813" t="s">
        <v>41</v>
      </c>
      <c r="G1813" t="s">
        <v>51</v>
      </c>
      <c r="H1813" t="s">
        <v>38</v>
      </c>
      <c r="I1813" t="s">
        <v>29</v>
      </c>
      <c r="J1813" t="s">
        <v>35</v>
      </c>
      <c r="K1813" s="2">
        <v>8300</v>
      </c>
      <c r="L1813" s="2">
        <v>135500</v>
      </c>
      <c r="M1813">
        <v>24</v>
      </c>
      <c r="N1813" s="3">
        <v>0.96099999999999997</v>
      </c>
      <c r="O1813" t="s">
        <v>17</v>
      </c>
      <c r="P1813" t="s">
        <v>53</v>
      </c>
      <c r="Q1813">
        <v>0</v>
      </c>
      <c r="R1813">
        <v>1</v>
      </c>
      <c r="S1813" s="2">
        <v>0</v>
      </c>
      <c r="T1813" s="4"/>
      <c r="U1813">
        <v>27</v>
      </c>
      <c r="V1813">
        <v>0</v>
      </c>
      <c r="W1813">
        <v>1</v>
      </c>
    </row>
    <row r="1814" spans="1:23" ht="16.5" x14ac:dyDescent="0.3">
      <c r="A1814" t="s">
        <v>1876</v>
      </c>
      <c r="B1814" s="1">
        <v>45572</v>
      </c>
      <c r="C1814">
        <v>2024</v>
      </c>
      <c r="D1814" t="s">
        <v>1832</v>
      </c>
      <c r="E1814" t="s">
        <v>1833</v>
      </c>
      <c r="F1814" t="s">
        <v>37</v>
      </c>
      <c r="G1814" t="s">
        <v>51</v>
      </c>
      <c r="H1814" t="s">
        <v>38</v>
      </c>
      <c r="I1814" t="s">
        <v>29</v>
      </c>
      <c r="J1814" t="s">
        <v>35</v>
      </c>
      <c r="K1814" s="2">
        <v>8950</v>
      </c>
      <c r="L1814" s="2">
        <v>10000</v>
      </c>
      <c r="M1814">
        <v>12</v>
      </c>
      <c r="N1814" s="3">
        <v>0.26400000000000001</v>
      </c>
      <c r="O1814" t="s">
        <v>16</v>
      </c>
      <c r="Q1814">
        <v>1</v>
      </c>
      <c r="R1814">
        <v>0</v>
      </c>
      <c r="S1814" s="2">
        <v>10000</v>
      </c>
      <c r="T1814" s="4">
        <v>0.12759999999999999</v>
      </c>
      <c r="U1814">
        <v>3</v>
      </c>
      <c r="V1814">
        <v>1</v>
      </c>
      <c r="W1814">
        <v>1</v>
      </c>
    </row>
    <row r="1815" spans="1:23" ht="16.5" x14ac:dyDescent="0.3">
      <c r="A1815" t="s">
        <v>1877</v>
      </c>
      <c r="B1815" s="1">
        <v>45572</v>
      </c>
      <c r="C1815">
        <v>2024</v>
      </c>
      <c r="D1815" t="s">
        <v>1832</v>
      </c>
      <c r="E1815" t="s">
        <v>1833</v>
      </c>
      <c r="F1815" t="s">
        <v>26</v>
      </c>
      <c r="G1815" t="s">
        <v>51</v>
      </c>
      <c r="H1815" t="s">
        <v>55</v>
      </c>
      <c r="I1815" t="s">
        <v>42</v>
      </c>
      <c r="J1815" t="s">
        <v>35</v>
      </c>
      <c r="K1815" s="2">
        <v>3250</v>
      </c>
      <c r="L1815" s="2">
        <v>43000</v>
      </c>
      <c r="M1815">
        <v>48</v>
      </c>
      <c r="N1815" s="3">
        <v>0.53800000000000003</v>
      </c>
      <c r="O1815" t="s">
        <v>17</v>
      </c>
      <c r="P1815" t="s">
        <v>53</v>
      </c>
      <c r="Q1815">
        <v>0</v>
      </c>
      <c r="R1815">
        <v>1</v>
      </c>
      <c r="S1815" s="2">
        <v>0</v>
      </c>
      <c r="T1815" s="4"/>
      <c r="U1815">
        <v>5</v>
      </c>
      <c r="V1815">
        <v>0</v>
      </c>
      <c r="W1815">
        <v>1</v>
      </c>
    </row>
    <row r="1816" spans="1:23" ht="16.5" x14ac:dyDescent="0.3">
      <c r="A1816" t="s">
        <v>1878</v>
      </c>
      <c r="B1816" s="1">
        <v>45572</v>
      </c>
      <c r="C1816">
        <v>2024</v>
      </c>
      <c r="D1816" t="s">
        <v>1832</v>
      </c>
      <c r="E1816" t="s">
        <v>1833</v>
      </c>
      <c r="F1816" t="s">
        <v>41</v>
      </c>
      <c r="G1816" t="s">
        <v>51</v>
      </c>
      <c r="H1816" t="s">
        <v>38</v>
      </c>
      <c r="I1816" t="s">
        <v>39</v>
      </c>
      <c r="J1816" t="s">
        <v>35</v>
      </c>
      <c r="K1816" s="2">
        <v>6250</v>
      </c>
      <c r="L1816" s="2">
        <v>214500</v>
      </c>
      <c r="M1816">
        <v>12</v>
      </c>
      <c r="N1816" s="3">
        <v>3.2250000000000001</v>
      </c>
      <c r="O1816" t="s">
        <v>17</v>
      </c>
      <c r="P1816" t="s">
        <v>53</v>
      </c>
      <c r="Q1816">
        <v>0</v>
      </c>
      <c r="R1816">
        <v>1</v>
      </c>
      <c r="S1816" s="2">
        <v>0</v>
      </c>
      <c r="T1816" s="4"/>
      <c r="U1816">
        <v>15</v>
      </c>
      <c r="V1816">
        <v>0</v>
      </c>
      <c r="W1816">
        <v>1</v>
      </c>
    </row>
    <row r="1817" spans="1:23" ht="16.5" x14ac:dyDescent="0.3">
      <c r="A1817" t="s">
        <v>1879</v>
      </c>
      <c r="B1817" s="1">
        <v>45573</v>
      </c>
      <c r="C1817">
        <v>2024</v>
      </c>
      <c r="D1817" t="s">
        <v>1832</v>
      </c>
      <c r="E1817" t="s">
        <v>1833</v>
      </c>
      <c r="F1817" t="s">
        <v>26</v>
      </c>
      <c r="G1817" t="s">
        <v>33</v>
      </c>
      <c r="H1817" t="s">
        <v>34</v>
      </c>
      <c r="I1817" t="s">
        <v>42</v>
      </c>
      <c r="J1817" t="s">
        <v>46</v>
      </c>
      <c r="K1817" s="2">
        <v>11300</v>
      </c>
      <c r="L1817" s="2">
        <v>29000</v>
      </c>
      <c r="M1817">
        <v>48</v>
      </c>
      <c r="N1817" s="3">
        <v>0.25800000000000001</v>
      </c>
      <c r="O1817" t="s">
        <v>16</v>
      </c>
      <c r="Q1817">
        <v>1</v>
      </c>
      <c r="R1817">
        <v>0</v>
      </c>
      <c r="S1817" s="2">
        <v>23000</v>
      </c>
      <c r="T1817" s="4">
        <v>6.6699999999999995E-2</v>
      </c>
      <c r="U1817">
        <v>2</v>
      </c>
      <c r="V1817">
        <v>1</v>
      </c>
      <c r="W1817">
        <v>1</v>
      </c>
    </row>
    <row r="1818" spans="1:23" ht="16.5" x14ac:dyDescent="0.3">
      <c r="A1818" t="s">
        <v>1880</v>
      </c>
      <c r="B1818" s="1">
        <v>45573</v>
      </c>
      <c r="C1818">
        <v>2024</v>
      </c>
      <c r="D1818" t="s">
        <v>1832</v>
      </c>
      <c r="E1818" t="s">
        <v>1833</v>
      </c>
      <c r="F1818" t="s">
        <v>37</v>
      </c>
      <c r="G1818" t="s">
        <v>51</v>
      </c>
      <c r="H1818" t="s">
        <v>55</v>
      </c>
      <c r="I1818" t="s">
        <v>39</v>
      </c>
      <c r="J1818" t="s">
        <v>52</v>
      </c>
      <c r="K1818" s="2">
        <v>4850</v>
      </c>
      <c r="L1818" s="2">
        <v>18000</v>
      </c>
      <c r="M1818">
        <v>60</v>
      </c>
      <c r="N1818" s="3">
        <v>0.14099999999999999</v>
      </c>
      <c r="O1818" t="s">
        <v>16</v>
      </c>
      <c r="Q1818">
        <v>1</v>
      </c>
      <c r="R1818">
        <v>0</v>
      </c>
      <c r="S1818" s="2">
        <v>14500</v>
      </c>
      <c r="T1818" s="4">
        <v>0.1166</v>
      </c>
      <c r="U1818">
        <v>3</v>
      </c>
      <c r="V1818">
        <v>1</v>
      </c>
      <c r="W1818">
        <v>1</v>
      </c>
    </row>
    <row r="1819" spans="1:23" ht="16.5" x14ac:dyDescent="0.3">
      <c r="A1819" t="s">
        <v>1881</v>
      </c>
      <c r="B1819" s="1">
        <v>45573</v>
      </c>
      <c r="C1819">
        <v>2024</v>
      </c>
      <c r="D1819" t="s">
        <v>1832</v>
      </c>
      <c r="E1819" t="s">
        <v>1833</v>
      </c>
      <c r="F1819" t="s">
        <v>37</v>
      </c>
      <c r="G1819" t="s">
        <v>51</v>
      </c>
      <c r="H1819" t="s">
        <v>38</v>
      </c>
      <c r="I1819" t="s">
        <v>42</v>
      </c>
      <c r="J1819" t="s">
        <v>35</v>
      </c>
      <c r="K1819" s="2">
        <v>7800</v>
      </c>
      <c r="L1819" s="2">
        <v>6000</v>
      </c>
      <c r="M1819">
        <v>24</v>
      </c>
      <c r="N1819" s="3">
        <v>0.245</v>
      </c>
      <c r="O1819" t="s">
        <v>17</v>
      </c>
      <c r="P1819" t="s">
        <v>31</v>
      </c>
      <c r="Q1819">
        <v>0</v>
      </c>
      <c r="R1819">
        <v>1</v>
      </c>
      <c r="S1819" s="2">
        <v>0</v>
      </c>
      <c r="T1819" s="4"/>
      <c r="U1819">
        <v>5</v>
      </c>
      <c r="V1819">
        <v>0</v>
      </c>
      <c r="W1819">
        <v>1</v>
      </c>
    </row>
    <row r="1820" spans="1:23" ht="16.5" x14ac:dyDescent="0.3">
      <c r="A1820" t="s">
        <v>1882</v>
      </c>
      <c r="B1820" s="1">
        <v>45573</v>
      </c>
      <c r="C1820">
        <v>2024</v>
      </c>
      <c r="D1820" t="s">
        <v>1832</v>
      </c>
      <c r="E1820" t="s">
        <v>1833</v>
      </c>
      <c r="F1820" t="s">
        <v>26</v>
      </c>
      <c r="G1820" t="s">
        <v>27</v>
      </c>
      <c r="H1820" t="s">
        <v>55</v>
      </c>
      <c r="I1820" t="s">
        <v>29</v>
      </c>
      <c r="J1820" t="s">
        <v>46</v>
      </c>
      <c r="K1820" s="2">
        <v>1250</v>
      </c>
      <c r="L1820" s="2">
        <v>22000</v>
      </c>
      <c r="M1820">
        <v>48</v>
      </c>
      <c r="N1820" s="3">
        <v>0.65300000000000002</v>
      </c>
      <c r="O1820" t="s">
        <v>16</v>
      </c>
      <c r="Q1820">
        <v>1</v>
      </c>
      <c r="R1820">
        <v>0</v>
      </c>
      <c r="S1820" s="2">
        <v>17500</v>
      </c>
      <c r="T1820" s="4">
        <v>6.2199999999999998E-2</v>
      </c>
      <c r="U1820">
        <v>8</v>
      </c>
      <c r="V1820">
        <v>0</v>
      </c>
      <c r="W1820">
        <v>1</v>
      </c>
    </row>
    <row r="1821" spans="1:23" ht="16.5" x14ac:dyDescent="0.3">
      <c r="A1821" t="s">
        <v>1883</v>
      </c>
      <c r="B1821" s="1">
        <v>45573</v>
      </c>
      <c r="C1821">
        <v>2024</v>
      </c>
      <c r="D1821" t="s">
        <v>1832</v>
      </c>
      <c r="E1821" t="s">
        <v>1833</v>
      </c>
      <c r="F1821" t="s">
        <v>26</v>
      </c>
      <c r="G1821" t="s">
        <v>51</v>
      </c>
      <c r="H1821" t="s">
        <v>34</v>
      </c>
      <c r="I1821" t="s">
        <v>39</v>
      </c>
      <c r="J1821" t="s">
        <v>30</v>
      </c>
      <c r="K1821" s="2">
        <v>4250</v>
      </c>
      <c r="L1821" s="2">
        <v>22500</v>
      </c>
      <c r="M1821">
        <v>48</v>
      </c>
      <c r="N1821" s="3">
        <v>0.29099999999999998</v>
      </c>
      <c r="O1821" t="s">
        <v>16</v>
      </c>
      <c r="Q1821">
        <v>1</v>
      </c>
      <c r="R1821">
        <v>0</v>
      </c>
      <c r="S1821" s="2">
        <v>18000</v>
      </c>
      <c r="T1821" s="4">
        <v>8.8700000000000001E-2</v>
      </c>
      <c r="U1821">
        <v>10</v>
      </c>
      <c r="V1821">
        <v>0</v>
      </c>
      <c r="W1821">
        <v>1</v>
      </c>
    </row>
    <row r="1822" spans="1:23" ht="16.5" x14ac:dyDescent="0.3">
      <c r="A1822" t="s">
        <v>1884</v>
      </c>
      <c r="B1822" s="1">
        <v>45573</v>
      </c>
      <c r="C1822">
        <v>2024</v>
      </c>
      <c r="D1822" t="s">
        <v>1832</v>
      </c>
      <c r="E1822" t="s">
        <v>1833</v>
      </c>
      <c r="F1822" t="s">
        <v>26</v>
      </c>
      <c r="G1822" t="s">
        <v>51</v>
      </c>
      <c r="H1822" t="s">
        <v>34</v>
      </c>
      <c r="I1822" t="s">
        <v>39</v>
      </c>
      <c r="J1822" t="s">
        <v>43</v>
      </c>
      <c r="K1822" s="2">
        <v>4750</v>
      </c>
      <c r="L1822" s="2">
        <v>27000</v>
      </c>
      <c r="M1822">
        <v>60</v>
      </c>
      <c r="N1822" s="3">
        <v>0.21199999999999999</v>
      </c>
      <c r="O1822" t="s">
        <v>17</v>
      </c>
      <c r="P1822" t="s">
        <v>48</v>
      </c>
      <c r="Q1822">
        <v>0</v>
      </c>
      <c r="R1822">
        <v>1</v>
      </c>
      <c r="S1822" s="2">
        <v>0</v>
      </c>
      <c r="T1822" s="4"/>
      <c r="U1822">
        <v>5</v>
      </c>
      <c r="V1822">
        <v>0</v>
      </c>
      <c r="W1822">
        <v>1</v>
      </c>
    </row>
    <row r="1823" spans="1:23" ht="16.5" x14ac:dyDescent="0.3">
      <c r="A1823" t="s">
        <v>1885</v>
      </c>
      <c r="B1823" s="1">
        <v>45573</v>
      </c>
      <c r="C1823">
        <v>2024</v>
      </c>
      <c r="D1823" t="s">
        <v>1832</v>
      </c>
      <c r="E1823" t="s">
        <v>1833</v>
      </c>
      <c r="F1823" t="s">
        <v>50</v>
      </c>
      <c r="G1823" t="s">
        <v>51</v>
      </c>
      <c r="H1823" t="s">
        <v>38</v>
      </c>
      <c r="I1823" t="s">
        <v>29</v>
      </c>
      <c r="J1823" t="s">
        <v>30</v>
      </c>
      <c r="K1823" s="2">
        <v>4900</v>
      </c>
      <c r="L1823" s="2">
        <v>241500</v>
      </c>
      <c r="M1823">
        <v>240</v>
      </c>
      <c r="N1823" s="3">
        <v>0.436</v>
      </c>
      <c r="O1823" t="s">
        <v>17</v>
      </c>
      <c r="P1823" t="s">
        <v>31</v>
      </c>
      <c r="Q1823">
        <v>0</v>
      </c>
      <c r="R1823">
        <v>1</v>
      </c>
      <c r="S1823" s="2">
        <v>0</v>
      </c>
      <c r="T1823" s="4"/>
      <c r="U1823">
        <v>27</v>
      </c>
      <c r="V1823">
        <v>0</v>
      </c>
      <c r="W1823">
        <v>1</v>
      </c>
    </row>
    <row r="1824" spans="1:23" ht="16.5" x14ac:dyDescent="0.3">
      <c r="A1824" t="s">
        <v>1886</v>
      </c>
      <c r="B1824" s="1">
        <v>45574</v>
      </c>
      <c r="C1824">
        <v>2024</v>
      </c>
      <c r="D1824" t="s">
        <v>1832</v>
      </c>
      <c r="E1824" t="s">
        <v>1833</v>
      </c>
      <c r="F1824" t="s">
        <v>26</v>
      </c>
      <c r="G1824" t="s">
        <v>51</v>
      </c>
      <c r="H1824" t="s">
        <v>64</v>
      </c>
      <c r="I1824" t="s">
        <v>29</v>
      </c>
      <c r="J1824" t="s">
        <v>52</v>
      </c>
      <c r="K1824" s="2">
        <v>13450</v>
      </c>
      <c r="L1824" s="2">
        <v>17500</v>
      </c>
      <c r="M1824">
        <v>36</v>
      </c>
      <c r="N1824" s="3">
        <v>0.28499999999999998</v>
      </c>
      <c r="O1824" t="s">
        <v>16</v>
      </c>
      <c r="Q1824">
        <v>1</v>
      </c>
      <c r="R1824">
        <v>0</v>
      </c>
      <c r="S1824" s="2">
        <v>16000</v>
      </c>
      <c r="T1824" s="4">
        <v>6.9099999999999995E-2</v>
      </c>
      <c r="U1824">
        <v>3</v>
      </c>
      <c r="V1824">
        <v>1</v>
      </c>
      <c r="W1824">
        <v>1</v>
      </c>
    </row>
    <row r="1825" spans="1:23" ht="16.5" x14ac:dyDescent="0.3">
      <c r="A1825" t="s">
        <v>1887</v>
      </c>
      <c r="B1825" s="1">
        <v>45574</v>
      </c>
      <c r="C1825">
        <v>2024</v>
      </c>
      <c r="D1825" t="s">
        <v>1832</v>
      </c>
      <c r="E1825" t="s">
        <v>1833</v>
      </c>
      <c r="F1825" t="s">
        <v>37</v>
      </c>
      <c r="G1825" t="s">
        <v>51</v>
      </c>
      <c r="H1825" t="s">
        <v>55</v>
      </c>
      <c r="I1825" t="s">
        <v>29</v>
      </c>
      <c r="J1825" t="s">
        <v>30</v>
      </c>
      <c r="K1825" s="2">
        <v>4400</v>
      </c>
      <c r="L1825" s="2">
        <v>7000</v>
      </c>
      <c r="M1825">
        <v>36</v>
      </c>
      <c r="N1825" s="3">
        <v>0.188</v>
      </c>
      <c r="O1825" t="s">
        <v>17</v>
      </c>
      <c r="P1825" t="s">
        <v>48</v>
      </c>
      <c r="Q1825">
        <v>0</v>
      </c>
      <c r="R1825">
        <v>1</v>
      </c>
      <c r="S1825" s="2">
        <v>0</v>
      </c>
      <c r="T1825" s="4"/>
      <c r="U1825">
        <v>3</v>
      </c>
      <c r="V1825">
        <v>1</v>
      </c>
      <c r="W1825">
        <v>1</v>
      </c>
    </row>
    <row r="1826" spans="1:23" ht="16.5" x14ac:dyDescent="0.3">
      <c r="A1826" t="s">
        <v>1888</v>
      </c>
      <c r="B1826" s="1">
        <v>45574</v>
      </c>
      <c r="C1826">
        <v>2024</v>
      </c>
      <c r="D1826" t="s">
        <v>1832</v>
      </c>
      <c r="E1826" t="s">
        <v>1833</v>
      </c>
      <c r="F1826" t="s">
        <v>37</v>
      </c>
      <c r="G1826" t="s">
        <v>33</v>
      </c>
      <c r="H1826" t="s">
        <v>64</v>
      </c>
      <c r="I1826" t="s">
        <v>42</v>
      </c>
      <c r="J1826" t="s">
        <v>43</v>
      </c>
      <c r="K1826" s="2">
        <v>9050</v>
      </c>
      <c r="L1826" s="2">
        <v>17500</v>
      </c>
      <c r="M1826">
        <v>36</v>
      </c>
      <c r="N1826" s="3">
        <v>0.28199999999999997</v>
      </c>
      <c r="O1826" t="s">
        <v>17</v>
      </c>
      <c r="P1826" t="s">
        <v>60</v>
      </c>
      <c r="Q1826">
        <v>0</v>
      </c>
      <c r="R1826">
        <v>1</v>
      </c>
      <c r="S1826" s="2">
        <v>0</v>
      </c>
      <c r="T1826" s="4"/>
      <c r="U1826">
        <v>5</v>
      </c>
      <c r="V1826">
        <v>0</v>
      </c>
      <c r="W1826">
        <v>1</v>
      </c>
    </row>
    <row r="1827" spans="1:23" ht="16.5" x14ac:dyDescent="0.3">
      <c r="A1827" t="s">
        <v>1889</v>
      </c>
      <c r="B1827" s="1">
        <v>45574</v>
      </c>
      <c r="C1827">
        <v>2024</v>
      </c>
      <c r="D1827" t="s">
        <v>1832</v>
      </c>
      <c r="E1827" t="s">
        <v>1833</v>
      </c>
      <c r="F1827" t="s">
        <v>37</v>
      </c>
      <c r="G1827" t="s">
        <v>33</v>
      </c>
      <c r="H1827" t="s">
        <v>55</v>
      </c>
      <c r="I1827" t="s">
        <v>29</v>
      </c>
      <c r="J1827" t="s">
        <v>30</v>
      </c>
      <c r="K1827" s="2">
        <v>3400</v>
      </c>
      <c r="L1827" s="2">
        <v>8500</v>
      </c>
      <c r="M1827">
        <v>12</v>
      </c>
      <c r="N1827" s="3">
        <v>0.45800000000000002</v>
      </c>
      <c r="O1827" t="s">
        <v>17</v>
      </c>
      <c r="P1827" t="s">
        <v>53</v>
      </c>
      <c r="Q1827">
        <v>0</v>
      </c>
      <c r="R1827">
        <v>1</v>
      </c>
      <c r="S1827" s="2">
        <v>0</v>
      </c>
      <c r="T1827" s="4"/>
      <c r="U1827">
        <v>1</v>
      </c>
      <c r="V1827">
        <v>1</v>
      </c>
      <c r="W1827">
        <v>1</v>
      </c>
    </row>
    <row r="1828" spans="1:23" ht="16.5" x14ac:dyDescent="0.3">
      <c r="A1828" t="s">
        <v>1890</v>
      </c>
      <c r="B1828" s="1">
        <v>45574</v>
      </c>
      <c r="C1828">
        <v>2024</v>
      </c>
      <c r="D1828" t="s">
        <v>1832</v>
      </c>
      <c r="E1828" t="s">
        <v>1833</v>
      </c>
      <c r="F1828" t="s">
        <v>50</v>
      </c>
      <c r="G1828" t="s">
        <v>51</v>
      </c>
      <c r="H1828" t="s">
        <v>55</v>
      </c>
      <c r="I1828" t="s">
        <v>29</v>
      </c>
      <c r="J1828" t="s">
        <v>35</v>
      </c>
      <c r="K1828" s="2">
        <v>7650</v>
      </c>
      <c r="L1828" s="2">
        <v>232000</v>
      </c>
      <c r="M1828">
        <v>240</v>
      </c>
      <c r="N1828" s="3">
        <v>0.315</v>
      </c>
      <c r="O1828" t="s">
        <v>125</v>
      </c>
      <c r="Q1828">
        <v>0</v>
      </c>
      <c r="R1828">
        <v>0</v>
      </c>
      <c r="S1828" s="2">
        <v>0</v>
      </c>
      <c r="T1828" s="4"/>
      <c r="U1828">
        <v>13</v>
      </c>
      <c r="V1828">
        <v>1</v>
      </c>
      <c r="W1828">
        <v>1</v>
      </c>
    </row>
    <row r="1829" spans="1:23" ht="16.5" x14ac:dyDescent="0.3">
      <c r="A1829" t="s">
        <v>1891</v>
      </c>
      <c r="B1829" s="1">
        <v>45574</v>
      </c>
      <c r="C1829">
        <v>2024</v>
      </c>
      <c r="D1829" t="s">
        <v>1832</v>
      </c>
      <c r="E1829" t="s">
        <v>1833</v>
      </c>
      <c r="F1829" t="s">
        <v>26</v>
      </c>
      <c r="G1829" t="s">
        <v>51</v>
      </c>
      <c r="H1829" t="s">
        <v>38</v>
      </c>
      <c r="I1829" t="s">
        <v>39</v>
      </c>
      <c r="J1829" t="s">
        <v>46</v>
      </c>
      <c r="K1829" s="2">
        <v>5400</v>
      </c>
      <c r="L1829" s="2">
        <v>35500</v>
      </c>
      <c r="M1829">
        <v>60</v>
      </c>
      <c r="N1829" s="3">
        <v>0.30399999999999999</v>
      </c>
      <c r="O1829" t="s">
        <v>16</v>
      </c>
      <c r="Q1829">
        <v>1</v>
      </c>
      <c r="R1829">
        <v>0</v>
      </c>
      <c r="S1829" s="2">
        <v>35500</v>
      </c>
      <c r="T1829" s="4">
        <v>6.9199999999999998E-2</v>
      </c>
      <c r="U1829">
        <v>5</v>
      </c>
      <c r="V1829">
        <v>0</v>
      </c>
      <c r="W1829">
        <v>1</v>
      </c>
    </row>
    <row r="1830" spans="1:23" ht="16.5" x14ac:dyDescent="0.3">
      <c r="A1830" t="s">
        <v>1892</v>
      </c>
      <c r="B1830" s="1">
        <v>45574</v>
      </c>
      <c r="C1830">
        <v>2024</v>
      </c>
      <c r="D1830" t="s">
        <v>1832</v>
      </c>
      <c r="E1830" t="s">
        <v>1833</v>
      </c>
      <c r="F1830" t="s">
        <v>26</v>
      </c>
      <c r="G1830" t="s">
        <v>51</v>
      </c>
      <c r="H1830" t="s">
        <v>38</v>
      </c>
      <c r="I1830" t="s">
        <v>29</v>
      </c>
      <c r="J1830" t="s">
        <v>35</v>
      </c>
      <c r="K1830" s="2">
        <v>4550</v>
      </c>
      <c r="L1830" s="2">
        <v>20500</v>
      </c>
      <c r="M1830">
        <v>36</v>
      </c>
      <c r="N1830" s="3">
        <v>0.27900000000000003</v>
      </c>
      <c r="O1830" t="s">
        <v>16</v>
      </c>
      <c r="Q1830">
        <v>1</v>
      </c>
      <c r="R1830">
        <v>0</v>
      </c>
      <c r="S1830" s="2">
        <v>18500</v>
      </c>
      <c r="T1830" s="4">
        <v>8.3599999999999994E-2</v>
      </c>
      <c r="U1830">
        <v>5</v>
      </c>
      <c r="V1830">
        <v>0</v>
      </c>
      <c r="W1830">
        <v>1</v>
      </c>
    </row>
    <row r="1831" spans="1:23" ht="16.5" x14ac:dyDescent="0.3">
      <c r="A1831" t="s">
        <v>1893</v>
      </c>
      <c r="B1831" s="1">
        <v>45574</v>
      </c>
      <c r="C1831">
        <v>2024</v>
      </c>
      <c r="D1831" t="s">
        <v>1832</v>
      </c>
      <c r="E1831" t="s">
        <v>1833</v>
      </c>
      <c r="F1831" t="s">
        <v>50</v>
      </c>
      <c r="G1831" t="s">
        <v>51</v>
      </c>
      <c r="H1831" t="s">
        <v>38</v>
      </c>
      <c r="I1831" t="s">
        <v>29</v>
      </c>
      <c r="J1831" t="s">
        <v>43</v>
      </c>
      <c r="K1831" s="2">
        <v>3700</v>
      </c>
      <c r="L1831" s="2">
        <v>246500</v>
      </c>
      <c r="M1831">
        <v>240</v>
      </c>
      <c r="N1831" s="3">
        <v>0.50900000000000001</v>
      </c>
      <c r="O1831" t="s">
        <v>17</v>
      </c>
      <c r="P1831" t="s">
        <v>31</v>
      </c>
      <c r="Q1831">
        <v>0</v>
      </c>
      <c r="R1831">
        <v>1</v>
      </c>
      <c r="S1831" s="2">
        <v>0</v>
      </c>
      <c r="T1831" s="4"/>
      <c r="U1831">
        <v>21</v>
      </c>
      <c r="V1831">
        <v>0</v>
      </c>
      <c r="W1831">
        <v>1</v>
      </c>
    </row>
    <row r="1832" spans="1:23" ht="16.5" x14ac:dyDescent="0.3">
      <c r="A1832" t="s">
        <v>1894</v>
      </c>
      <c r="B1832" s="1">
        <v>45574</v>
      </c>
      <c r="C1832">
        <v>2024</v>
      </c>
      <c r="D1832" t="s">
        <v>1832</v>
      </c>
      <c r="E1832" t="s">
        <v>1833</v>
      </c>
      <c r="F1832" t="s">
        <v>26</v>
      </c>
      <c r="G1832" t="s">
        <v>45</v>
      </c>
      <c r="H1832" t="s">
        <v>55</v>
      </c>
      <c r="I1832" t="s">
        <v>39</v>
      </c>
      <c r="J1832" t="s">
        <v>35</v>
      </c>
      <c r="K1832" s="2">
        <v>4200</v>
      </c>
      <c r="L1832" s="2">
        <v>43000</v>
      </c>
      <c r="M1832">
        <v>48</v>
      </c>
      <c r="N1832" s="3">
        <v>0.317</v>
      </c>
      <c r="O1832" t="s">
        <v>16</v>
      </c>
      <c r="Q1832">
        <v>1</v>
      </c>
      <c r="R1832">
        <v>0</v>
      </c>
      <c r="S1832" s="2">
        <v>43000</v>
      </c>
      <c r="T1832" s="4">
        <v>8.3099999999999993E-2</v>
      </c>
      <c r="U1832">
        <v>4</v>
      </c>
      <c r="V1832">
        <v>1</v>
      </c>
      <c r="W1832">
        <v>1</v>
      </c>
    </row>
    <row r="1833" spans="1:23" ht="16.5" x14ac:dyDescent="0.3">
      <c r="A1833" t="s">
        <v>1895</v>
      </c>
      <c r="B1833" s="1">
        <v>45574</v>
      </c>
      <c r="C1833">
        <v>2024</v>
      </c>
      <c r="D1833" t="s">
        <v>1832</v>
      </c>
      <c r="E1833" t="s">
        <v>1833</v>
      </c>
      <c r="F1833" t="s">
        <v>26</v>
      </c>
      <c r="G1833" t="s">
        <v>51</v>
      </c>
      <c r="H1833" t="s">
        <v>38</v>
      </c>
      <c r="I1833" t="s">
        <v>39</v>
      </c>
      <c r="J1833" t="s">
        <v>52</v>
      </c>
      <c r="K1833" s="2">
        <v>3100</v>
      </c>
      <c r="L1833" s="2">
        <v>31000</v>
      </c>
      <c r="M1833">
        <v>36</v>
      </c>
      <c r="N1833" s="3">
        <v>0.376</v>
      </c>
      <c r="O1833" t="s">
        <v>16</v>
      </c>
      <c r="Q1833">
        <v>1</v>
      </c>
      <c r="R1833">
        <v>0</v>
      </c>
      <c r="S1833" s="2">
        <v>25000</v>
      </c>
      <c r="T1833" s="4">
        <v>7.0400000000000004E-2</v>
      </c>
      <c r="U1833">
        <v>9</v>
      </c>
      <c r="V1833">
        <v>0</v>
      </c>
      <c r="W1833">
        <v>1</v>
      </c>
    </row>
    <row r="1834" spans="1:23" ht="16.5" x14ac:dyDescent="0.3">
      <c r="A1834" t="s">
        <v>1896</v>
      </c>
      <c r="B1834" s="1">
        <v>45574</v>
      </c>
      <c r="C1834">
        <v>2024</v>
      </c>
      <c r="D1834" t="s">
        <v>1832</v>
      </c>
      <c r="E1834" t="s">
        <v>1833</v>
      </c>
      <c r="F1834" t="s">
        <v>50</v>
      </c>
      <c r="G1834" t="s">
        <v>51</v>
      </c>
      <c r="H1834" t="s">
        <v>55</v>
      </c>
      <c r="I1834" t="s">
        <v>42</v>
      </c>
      <c r="J1834" t="s">
        <v>52</v>
      </c>
      <c r="K1834" s="2">
        <v>9500</v>
      </c>
      <c r="L1834" s="2">
        <v>178500</v>
      </c>
      <c r="M1834">
        <v>300</v>
      </c>
      <c r="N1834" s="3">
        <v>0.35499999999999998</v>
      </c>
      <c r="O1834" t="s">
        <v>17</v>
      </c>
      <c r="P1834" t="s">
        <v>48</v>
      </c>
      <c r="Q1834">
        <v>0</v>
      </c>
      <c r="R1834">
        <v>1</v>
      </c>
      <c r="S1834" s="2">
        <v>0</v>
      </c>
      <c r="T1834" s="4"/>
      <c r="U1834">
        <v>17</v>
      </c>
      <c r="V1834">
        <v>0</v>
      </c>
      <c r="W1834">
        <v>1</v>
      </c>
    </row>
    <row r="1835" spans="1:23" ht="16.5" x14ac:dyDescent="0.3">
      <c r="A1835" t="s">
        <v>1897</v>
      </c>
      <c r="B1835" s="1">
        <v>45574</v>
      </c>
      <c r="C1835">
        <v>2024</v>
      </c>
      <c r="D1835" t="s">
        <v>1832</v>
      </c>
      <c r="E1835" t="s">
        <v>1833</v>
      </c>
      <c r="F1835" t="s">
        <v>26</v>
      </c>
      <c r="G1835" t="s">
        <v>51</v>
      </c>
      <c r="H1835" t="s">
        <v>38</v>
      </c>
      <c r="I1835" t="s">
        <v>39</v>
      </c>
      <c r="J1835" t="s">
        <v>30</v>
      </c>
      <c r="K1835" s="2">
        <v>4450</v>
      </c>
      <c r="L1835" s="2">
        <v>13000</v>
      </c>
      <c r="M1835">
        <v>48</v>
      </c>
      <c r="N1835" s="3">
        <v>0.27</v>
      </c>
      <c r="O1835" t="s">
        <v>16</v>
      </c>
      <c r="Q1835">
        <v>1</v>
      </c>
      <c r="R1835">
        <v>0</v>
      </c>
      <c r="S1835" s="2">
        <v>11500</v>
      </c>
      <c r="T1835" s="4">
        <v>9.64E-2</v>
      </c>
      <c r="U1835">
        <v>5</v>
      </c>
      <c r="V1835">
        <v>0</v>
      </c>
      <c r="W1835">
        <v>1</v>
      </c>
    </row>
    <row r="1836" spans="1:23" ht="16.5" x14ac:dyDescent="0.3">
      <c r="A1836" t="s">
        <v>1898</v>
      </c>
      <c r="B1836" s="1">
        <v>45575</v>
      </c>
      <c r="C1836">
        <v>2024</v>
      </c>
      <c r="D1836" t="s">
        <v>1832</v>
      </c>
      <c r="E1836" t="s">
        <v>1833</v>
      </c>
      <c r="F1836" t="s">
        <v>26</v>
      </c>
      <c r="G1836" t="s">
        <v>51</v>
      </c>
      <c r="H1836" t="s">
        <v>64</v>
      </c>
      <c r="I1836" t="s">
        <v>42</v>
      </c>
      <c r="J1836" t="s">
        <v>46</v>
      </c>
      <c r="K1836" s="2">
        <v>3950</v>
      </c>
      <c r="L1836" s="2">
        <v>17500</v>
      </c>
      <c r="M1836">
        <v>60</v>
      </c>
      <c r="N1836" s="3">
        <v>0.21</v>
      </c>
      <c r="O1836" t="s">
        <v>17</v>
      </c>
      <c r="P1836" t="s">
        <v>48</v>
      </c>
      <c r="Q1836">
        <v>0</v>
      </c>
      <c r="R1836">
        <v>1</v>
      </c>
      <c r="S1836" s="2">
        <v>0</v>
      </c>
      <c r="T1836" s="4"/>
      <c r="U1836">
        <v>3</v>
      </c>
      <c r="V1836">
        <v>1</v>
      </c>
      <c r="W1836">
        <v>1</v>
      </c>
    </row>
    <row r="1837" spans="1:23" ht="16.5" x14ac:dyDescent="0.3">
      <c r="A1837" t="s">
        <v>1899</v>
      </c>
      <c r="B1837" s="1">
        <v>45575</v>
      </c>
      <c r="C1837">
        <v>2024</v>
      </c>
      <c r="D1837" t="s">
        <v>1832</v>
      </c>
      <c r="E1837" t="s">
        <v>1833</v>
      </c>
      <c r="F1837" t="s">
        <v>41</v>
      </c>
      <c r="G1837" t="s">
        <v>45</v>
      </c>
      <c r="H1837" t="s">
        <v>34</v>
      </c>
      <c r="I1837" t="s">
        <v>39</v>
      </c>
      <c r="J1837" t="s">
        <v>30</v>
      </c>
      <c r="K1837" s="2">
        <v>5300</v>
      </c>
      <c r="L1837" s="2">
        <v>170000</v>
      </c>
      <c r="M1837">
        <v>24</v>
      </c>
      <c r="N1837" s="3">
        <v>1.546</v>
      </c>
      <c r="O1837" t="s">
        <v>17</v>
      </c>
      <c r="P1837" t="s">
        <v>53</v>
      </c>
      <c r="Q1837">
        <v>0</v>
      </c>
      <c r="R1837">
        <v>1</v>
      </c>
      <c r="S1837" s="2">
        <v>0</v>
      </c>
      <c r="T1837" s="4"/>
      <c r="U1837">
        <v>6</v>
      </c>
      <c r="V1837">
        <v>1</v>
      </c>
      <c r="W1837">
        <v>1</v>
      </c>
    </row>
    <row r="1838" spans="1:23" ht="16.5" x14ac:dyDescent="0.3">
      <c r="A1838" t="s">
        <v>1900</v>
      </c>
      <c r="B1838" s="1">
        <v>45575</v>
      </c>
      <c r="C1838">
        <v>2024</v>
      </c>
      <c r="D1838" t="s">
        <v>1832</v>
      </c>
      <c r="E1838" t="s">
        <v>1833</v>
      </c>
      <c r="F1838" t="s">
        <v>50</v>
      </c>
      <c r="G1838" t="s">
        <v>33</v>
      </c>
      <c r="H1838" t="s">
        <v>38</v>
      </c>
      <c r="I1838" t="s">
        <v>42</v>
      </c>
      <c r="J1838" t="s">
        <v>30</v>
      </c>
      <c r="K1838" s="2">
        <v>5850</v>
      </c>
      <c r="L1838" s="2">
        <v>186500</v>
      </c>
      <c r="M1838">
        <v>240</v>
      </c>
      <c r="N1838" s="3">
        <v>0.41399999999999998</v>
      </c>
      <c r="O1838" t="s">
        <v>125</v>
      </c>
      <c r="Q1838">
        <v>0</v>
      </c>
      <c r="R1838">
        <v>0</v>
      </c>
      <c r="S1838" s="2">
        <v>0</v>
      </c>
      <c r="T1838" s="4"/>
      <c r="U1838">
        <v>8</v>
      </c>
      <c r="V1838">
        <v>1</v>
      </c>
      <c r="W1838">
        <v>1</v>
      </c>
    </row>
    <row r="1839" spans="1:23" ht="16.5" x14ac:dyDescent="0.3">
      <c r="A1839" t="s">
        <v>1901</v>
      </c>
      <c r="B1839" s="1">
        <v>45575</v>
      </c>
      <c r="C1839">
        <v>2024</v>
      </c>
      <c r="D1839" t="s">
        <v>1832</v>
      </c>
      <c r="E1839" t="s">
        <v>1833</v>
      </c>
      <c r="F1839" t="s">
        <v>37</v>
      </c>
      <c r="G1839" t="s">
        <v>33</v>
      </c>
      <c r="H1839" t="s">
        <v>64</v>
      </c>
      <c r="I1839" t="s">
        <v>29</v>
      </c>
      <c r="J1839" t="s">
        <v>43</v>
      </c>
      <c r="K1839" s="2">
        <v>4600</v>
      </c>
      <c r="L1839" s="2">
        <v>12500</v>
      </c>
      <c r="M1839">
        <v>12</v>
      </c>
      <c r="N1839" s="3">
        <v>0.46300000000000002</v>
      </c>
      <c r="O1839" t="s">
        <v>17</v>
      </c>
      <c r="P1839" t="s">
        <v>31</v>
      </c>
      <c r="Q1839">
        <v>0</v>
      </c>
      <c r="R1839">
        <v>1</v>
      </c>
      <c r="S1839" s="2">
        <v>0</v>
      </c>
      <c r="T1839" s="4"/>
      <c r="U1839">
        <v>3</v>
      </c>
      <c r="V1839">
        <v>1</v>
      </c>
      <c r="W1839">
        <v>1</v>
      </c>
    </row>
    <row r="1840" spans="1:23" ht="16.5" x14ac:dyDescent="0.3">
      <c r="A1840" t="s">
        <v>1902</v>
      </c>
      <c r="B1840" s="1">
        <v>45575</v>
      </c>
      <c r="C1840">
        <v>2024</v>
      </c>
      <c r="D1840" t="s">
        <v>1832</v>
      </c>
      <c r="E1840" t="s">
        <v>1833</v>
      </c>
      <c r="F1840" t="s">
        <v>37</v>
      </c>
      <c r="G1840" t="s">
        <v>51</v>
      </c>
      <c r="H1840" t="s">
        <v>34</v>
      </c>
      <c r="I1840" t="s">
        <v>29</v>
      </c>
      <c r="J1840" t="s">
        <v>35</v>
      </c>
      <c r="K1840" s="2">
        <v>7950</v>
      </c>
      <c r="L1840" s="2">
        <v>15500</v>
      </c>
      <c r="M1840">
        <v>60</v>
      </c>
      <c r="N1840" s="3">
        <v>0.24199999999999999</v>
      </c>
      <c r="O1840" t="s">
        <v>17</v>
      </c>
      <c r="P1840" t="s">
        <v>60</v>
      </c>
      <c r="Q1840">
        <v>0</v>
      </c>
      <c r="R1840">
        <v>1</v>
      </c>
      <c r="S1840" s="2">
        <v>0</v>
      </c>
      <c r="T1840" s="4"/>
      <c r="U1840">
        <v>9</v>
      </c>
      <c r="V1840">
        <v>0</v>
      </c>
      <c r="W1840">
        <v>1</v>
      </c>
    </row>
    <row r="1841" spans="1:23" ht="16.5" x14ac:dyDescent="0.3">
      <c r="A1841" t="s">
        <v>1903</v>
      </c>
      <c r="B1841" s="1">
        <v>45575</v>
      </c>
      <c r="C1841">
        <v>2024</v>
      </c>
      <c r="D1841" t="s">
        <v>1832</v>
      </c>
      <c r="E1841" t="s">
        <v>1833</v>
      </c>
      <c r="F1841" t="s">
        <v>41</v>
      </c>
      <c r="G1841" t="s">
        <v>51</v>
      </c>
      <c r="H1841" t="s">
        <v>55</v>
      </c>
      <c r="I1841" t="s">
        <v>42</v>
      </c>
      <c r="J1841" t="s">
        <v>52</v>
      </c>
      <c r="K1841" s="2">
        <v>5650</v>
      </c>
      <c r="L1841" s="2">
        <v>87000</v>
      </c>
      <c r="M1841">
        <v>24</v>
      </c>
      <c r="N1841" s="3">
        <v>0.878</v>
      </c>
      <c r="O1841" t="s">
        <v>16</v>
      </c>
      <c r="Q1841">
        <v>1</v>
      </c>
      <c r="R1841">
        <v>0</v>
      </c>
      <c r="S1841" s="2">
        <v>87000</v>
      </c>
      <c r="T1841" s="4">
        <v>9.7900000000000001E-2</v>
      </c>
      <c r="U1841">
        <v>13</v>
      </c>
      <c r="V1841">
        <v>0</v>
      </c>
      <c r="W1841">
        <v>1</v>
      </c>
    </row>
    <row r="1842" spans="1:23" ht="16.5" x14ac:dyDescent="0.3">
      <c r="A1842" t="s">
        <v>1904</v>
      </c>
      <c r="B1842" s="1">
        <v>45576</v>
      </c>
      <c r="C1842">
        <v>2024</v>
      </c>
      <c r="D1842" t="s">
        <v>1832</v>
      </c>
      <c r="E1842" t="s">
        <v>1833</v>
      </c>
      <c r="F1842" t="s">
        <v>50</v>
      </c>
      <c r="G1842" t="s">
        <v>51</v>
      </c>
      <c r="H1842" t="s">
        <v>34</v>
      </c>
      <c r="I1842" t="s">
        <v>39</v>
      </c>
      <c r="J1842" t="s">
        <v>52</v>
      </c>
      <c r="K1842" s="2">
        <v>9350</v>
      </c>
      <c r="L1842" s="2">
        <v>264500</v>
      </c>
      <c r="M1842">
        <v>180</v>
      </c>
      <c r="N1842" s="3">
        <v>0.32600000000000001</v>
      </c>
      <c r="O1842" t="s">
        <v>17</v>
      </c>
      <c r="P1842" t="s">
        <v>31</v>
      </c>
      <c r="Q1842">
        <v>0</v>
      </c>
      <c r="R1842">
        <v>1</v>
      </c>
      <c r="S1842" s="2">
        <v>0</v>
      </c>
      <c r="T1842" s="4"/>
      <c r="U1842">
        <v>33</v>
      </c>
      <c r="V1842">
        <v>0</v>
      </c>
      <c r="W1842">
        <v>1</v>
      </c>
    </row>
    <row r="1843" spans="1:23" ht="16.5" x14ac:dyDescent="0.3">
      <c r="A1843" t="s">
        <v>1905</v>
      </c>
      <c r="B1843" s="1">
        <v>45576</v>
      </c>
      <c r="C1843">
        <v>2024</v>
      </c>
      <c r="D1843" t="s">
        <v>1832</v>
      </c>
      <c r="E1843" t="s">
        <v>1833</v>
      </c>
      <c r="F1843" t="s">
        <v>41</v>
      </c>
      <c r="G1843" t="s">
        <v>45</v>
      </c>
      <c r="H1843" t="s">
        <v>34</v>
      </c>
      <c r="I1843" t="s">
        <v>29</v>
      </c>
      <c r="J1843" t="s">
        <v>52</v>
      </c>
      <c r="K1843" s="2">
        <v>5600</v>
      </c>
      <c r="L1843" s="2">
        <v>142500</v>
      </c>
      <c r="M1843">
        <v>60</v>
      </c>
      <c r="N1843" s="3">
        <v>0.66900000000000004</v>
      </c>
      <c r="O1843" t="s">
        <v>17</v>
      </c>
      <c r="P1843" t="s">
        <v>60</v>
      </c>
      <c r="Q1843">
        <v>0</v>
      </c>
      <c r="R1843">
        <v>1</v>
      </c>
      <c r="S1843" s="2">
        <v>0</v>
      </c>
      <c r="T1843" s="4"/>
      <c r="U1843">
        <v>13</v>
      </c>
      <c r="V1843">
        <v>0</v>
      </c>
      <c r="W1843">
        <v>1</v>
      </c>
    </row>
    <row r="1844" spans="1:23" ht="16.5" x14ac:dyDescent="0.3">
      <c r="A1844" t="s">
        <v>1906</v>
      </c>
      <c r="B1844" s="1">
        <v>45576</v>
      </c>
      <c r="C1844">
        <v>2024</v>
      </c>
      <c r="D1844" t="s">
        <v>1832</v>
      </c>
      <c r="E1844" t="s">
        <v>1833</v>
      </c>
      <c r="F1844" t="s">
        <v>37</v>
      </c>
      <c r="G1844" t="s">
        <v>51</v>
      </c>
      <c r="H1844" t="s">
        <v>34</v>
      </c>
      <c r="I1844" t="s">
        <v>39</v>
      </c>
      <c r="J1844" t="s">
        <v>46</v>
      </c>
      <c r="K1844" s="2">
        <v>3150</v>
      </c>
      <c r="L1844" s="2">
        <v>10000</v>
      </c>
      <c r="M1844">
        <v>24</v>
      </c>
      <c r="N1844" s="3">
        <v>0.23</v>
      </c>
      <c r="O1844" t="s">
        <v>16</v>
      </c>
      <c r="Q1844">
        <v>1</v>
      </c>
      <c r="R1844">
        <v>0</v>
      </c>
      <c r="S1844" s="2">
        <v>8000</v>
      </c>
      <c r="T1844" s="4">
        <v>0.1041</v>
      </c>
      <c r="U1844">
        <v>6</v>
      </c>
      <c r="V1844">
        <v>0</v>
      </c>
      <c r="W1844">
        <v>1</v>
      </c>
    </row>
    <row r="1845" spans="1:23" ht="16.5" x14ac:dyDescent="0.3">
      <c r="A1845" t="s">
        <v>1907</v>
      </c>
      <c r="B1845" s="1">
        <v>45576</v>
      </c>
      <c r="C1845">
        <v>2024</v>
      </c>
      <c r="D1845" t="s">
        <v>1832</v>
      </c>
      <c r="E1845" t="s">
        <v>1833</v>
      </c>
      <c r="F1845" t="s">
        <v>37</v>
      </c>
      <c r="G1845" t="s">
        <v>45</v>
      </c>
      <c r="H1845" t="s">
        <v>38</v>
      </c>
      <c r="I1845" t="s">
        <v>39</v>
      </c>
      <c r="J1845" t="s">
        <v>46</v>
      </c>
      <c r="K1845" s="2">
        <v>5550</v>
      </c>
      <c r="L1845" s="2">
        <v>8500</v>
      </c>
      <c r="M1845">
        <v>60</v>
      </c>
      <c r="N1845" s="3">
        <v>0.20200000000000001</v>
      </c>
      <c r="O1845" t="s">
        <v>125</v>
      </c>
      <c r="Q1845">
        <v>0</v>
      </c>
      <c r="R1845">
        <v>0</v>
      </c>
      <c r="S1845" s="2">
        <v>0</v>
      </c>
      <c r="T1845" s="4"/>
      <c r="U1845">
        <v>6</v>
      </c>
      <c r="V1845">
        <v>0</v>
      </c>
      <c r="W1845">
        <v>1</v>
      </c>
    </row>
    <row r="1846" spans="1:23" ht="16.5" x14ac:dyDescent="0.3">
      <c r="A1846" t="s">
        <v>1908</v>
      </c>
      <c r="B1846" s="1">
        <v>45576</v>
      </c>
      <c r="C1846">
        <v>2024</v>
      </c>
      <c r="D1846" t="s">
        <v>1832</v>
      </c>
      <c r="E1846" t="s">
        <v>1833</v>
      </c>
      <c r="F1846" t="s">
        <v>37</v>
      </c>
      <c r="G1846" t="s">
        <v>51</v>
      </c>
      <c r="H1846" t="s">
        <v>34</v>
      </c>
      <c r="I1846" t="s">
        <v>42</v>
      </c>
      <c r="J1846" t="s">
        <v>30</v>
      </c>
      <c r="K1846" s="2">
        <v>7900</v>
      </c>
      <c r="L1846" s="2">
        <v>8500</v>
      </c>
      <c r="M1846">
        <v>36</v>
      </c>
      <c r="N1846" s="3">
        <v>0.221</v>
      </c>
      <c r="O1846" t="s">
        <v>17</v>
      </c>
      <c r="P1846" t="s">
        <v>65</v>
      </c>
      <c r="Q1846">
        <v>0</v>
      </c>
      <c r="R1846">
        <v>1</v>
      </c>
      <c r="S1846" s="2">
        <v>0</v>
      </c>
      <c r="T1846" s="4"/>
      <c r="U1846">
        <v>5</v>
      </c>
      <c r="V1846">
        <v>0</v>
      </c>
      <c r="W1846">
        <v>1</v>
      </c>
    </row>
    <row r="1847" spans="1:23" ht="16.5" x14ac:dyDescent="0.3">
      <c r="A1847" t="s">
        <v>1909</v>
      </c>
      <c r="B1847" s="1">
        <v>45576</v>
      </c>
      <c r="C1847">
        <v>2024</v>
      </c>
      <c r="D1847" t="s">
        <v>1832</v>
      </c>
      <c r="E1847" t="s">
        <v>1833</v>
      </c>
      <c r="F1847" t="s">
        <v>41</v>
      </c>
      <c r="G1847" t="s">
        <v>45</v>
      </c>
      <c r="H1847" t="s">
        <v>28</v>
      </c>
      <c r="I1847" t="s">
        <v>29</v>
      </c>
      <c r="J1847" t="s">
        <v>52</v>
      </c>
      <c r="K1847" s="2">
        <v>5800</v>
      </c>
      <c r="L1847" s="2">
        <v>78500</v>
      </c>
      <c r="M1847">
        <v>36</v>
      </c>
      <c r="N1847" s="3">
        <v>0.56000000000000005</v>
      </c>
      <c r="O1847" t="s">
        <v>16</v>
      </c>
      <c r="Q1847">
        <v>1</v>
      </c>
      <c r="R1847">
        <v>0</v>
      </c>
      <c r="S1847" s="2">
        <v>78500</v>
      </c>
      <c r="T1847" s="4">
        <v>0.1019</v>
      </c>
      <c r="U1847">
        <v>5</v>
      </c>
      <c r="V1847">
        <v>1</v>
      </c>
      <c r="W1847">
        <v>1</v>
      </c>
    </row>
    <row r="1848" spans="1:23" ht="16.5" x14ac:dyDescent="0.3">
      <c r="A1848" t="s">
        <v>1910</v>
      </c>
      <c r="B1848" s="1">
        <v>45576</v>
      </c>
      <c r="C1848">
        <v>2024</v>
      </c>
      <c r="D1848" t="s">
        <v>1832</v>
      </c>
      <c r="E1848" t="s">
        <v>1833</v>
      </c>
      <c r="F1848" t="s">
        <v>41</v>
      </c>
      <c r="G1848" t="s">
        <v>27</v>
      </c>
      <c r="H1848" t="s">
        <v>64</v>
      </c>
      <c r="I1848" t="s">
        <v>39</v>
      </c>
      <c r="J1848" t="s">
        <v>35</v>
      </c>
      <c r="K1848" s="2">
        <v>4350</v>
      </c>
      <c r="L1848" s="2">
        <v>135500</v>
      </c>
      <c r="M1848">
        <v>12</v>
      </c>
      <c r="N1848" s="3">
        <v>2.887</v>
      </c>
      <c r="O1848" t="s">
        <v>17</v>
      </c>
      <c r="P1848" t="s">
        <v>53</v>
      </c>
      <c r="Q1848">
        <v>0</v>
      </c>
      <c r="R1848">
        <v>1</v>
      </c>
      <c r="S1848" s="2">
        <v>0</v>
      </c>
      <c r="T1848" s="4"/>
      <c r="U1848">
        <v>14</v>
      </c>
      <c r="V1848">
        <v>0</v>
      </c>
      <c r="W1848">
        <v>1</v>
      </c>
    </row>
    <row r="1849" spans="1:23" ht="16.5" x14ac:dyDescent="0.3">
      <c r="A1849" t="s">
        <v>1911</v>
      </c>
      <c r="B1849" s="1">
        <v>45577</v>
      </c>
      <c r="C1849">
        <v>2024</v>
      </c>
      <c r="D1849" t="s">
        <v>1832</v>
      </c>
      <c r="E1849" t="s">
        <v>1833</v>
      </c>
      <c r="F1849" t="s">
        <v>37</v>
      </c>
      <c r="G1849" t="s">
        <v>51</v>
      </c>
      <c r="H1849" t="s">
        <v>55</v>
      </c>
      <c r="I1849" t="s">
        <v>42</v>
      </c>
      <c r="J1849" t="s">
        <v>35</v>
      </c>
      <c r="K1849" s="2">
        <v>5950</v>
      </c>
      <c r="L1849" s="2">
        <v>7000</v>
      </c>
      <c r="M1849">
        <v>12</v>
      </c>
      <c r="N1849" s="3">
        <v>0.18</v>
      </c>
      <c r="O1849" t="s">
        <v>17</v>
      </c>
      <c r="P1849" t="s">
        <v>65</v>
      </c>
      <c r="Q1849">
        <v>0</v>
      </c>
      <c r="R1849">
        <v>1</v>
      </c>
      <c r="S1849" s="2">
        <v>0</v>
      </c>
      <c r="T1849" s="4"/>
      <c r="U1849">
        <v>5</v>
      </c>
      <c r="V1849">
        <v>0</v>
      </c>
      <c r="W1849">
        <v>1</v>
      </c>
    </row>
    <row r="1850" spans="1:23" ht="16.5" x14ac:dyDescent="0.3">
      <c r="A1850" t="s">
        <v>1912</v>
      </c>
      <c r="B1850" s="1">
        <v>45577</v>
      </c>
      <c r="C1850">
        <v>2024</v>
      </c>
      <c r="D1850" t="s">
        <v>1832</v>
      </c>
      <c r="E1850" t="s">
        <v>1833</v>
      </c>
      <c r="F1850" t="s">
        <v>37</v>
      </c>
      <c r="G1850" t="s">
        <v>51</v>
      </c>
      <c r="H1850" t="s">
        <v>34</v>
      </c>
      <c r="I1850" t="s">
        <v>42</v>
      </c>
      <c r="J1850" t="s">
        <v>35</v>
      </c>
      <c r="K1850" s="2">
        <v>3850</v>
      </c>
      <c r="L1850" s="2">
        <v>7500</v>
      </c>
      <c r="M1850">
        <v>60</v>
      </c>
      <c r="N1850" s="3">
        <v>0.23</v>
      </c>
      <c r="O1850" t="s">
        <v>17</v>
      </c>
      <c r="P1850" t="s">
        <v>31</v>
      </c>
      <c r="Q1850">
        <v>0</v>
      </c>
      <c r="R1850">
        <v>1</v>
      </c>
      <c r="S1850" s="2">
        <v>0</v>
      </c>
      <c r="T1850" s="4"/>
      <c r="U1850">
        <v>7</v>
      </c>
      <c r="V1850">
        <v>0</v>
      </c>
      <c r="W1850">
        <v>1</v>
      </c>
    </row>
    <row r="1851" spans="1:23" ht="16.5" x14ac:dyDescent="0.3">
      <c r="A1851" t="s">
        <v>1913</v>
      </c>
      <c r="B1851" s="1">
        <v>45578</v>
      </c>
      <c r="C1851">
        <v>2024</v>
      </c>
      <c r="D1851" t="s">
        <v>1832</v>
      </c>
      <c r="E1851" t="s">
        <v>1833</v>
      </c>
      <c r="F1851" t="s">
        <v>26</v>
      </c>
      <c r="G1851" t="s">
        <v>27</v>
      </c>
      <c r="H1851" t="s">
        <v>55</v>
      </c>
      <c r="I1851" t="s">
        <v>29</v>
      </c>
      <c r="J1851" t="s">
        <v>30</v>
      </c>
      <c r="K1851" s="2">
        <v>4100</v>
      </c>
      <c r="L1851" s="2">
        <v>15500</v>
      </c>
      <c r="M1851">
        <v>36</v>
      </c>
      <c r="N1851" s="3">
        <v>0.33300000000000002</v>
      </c>
      <c r="O1851" t="s">
        <v>17</v>
      </c>
      <c r="P1851" t="s">
        <v>60</v>
      </c>
      <c r="Q1851">
        <v>0</v>
      </c>
      <c r="R1851">
        <v>1</v>
      </c>
      <c r="S1851" s="2">
        <v>0</v>
      </c>
      <c r="T1851" s="4"/>
      <c r="U1851">
        <v>7</v>
      </c>
      <c r="V1851">
        <v>0</v>
      </c>
      <c r="W1851">
        <v>1</v>
      </c>
    </row>
    <row r="1852" spans="1:23" ht="16.5" x14ac:dyDescent="0.3">
      <c r="A1852" t="s">
        <v>1914</v>
      </c>
      <c r="B1852" s="1">
        <v>45578</v>
      </c>
      <c r="C1852">
        <v>2024</v>
      </c>
      <c r="D1852" t="s">
        <v>1832</v>
      </c>
      <c r="E1852" t="s">
        <v>1833</v>
      </c>
      <c r="F1852" t="s">
        <v>37</v>
      </c>
      <c r="G1852" t="s">
        <v>51</v>
      </c>
      <c r="H1852" t="s">
        <v>55</v>
      </c>
      <c r="I1852" t="s">
        <v>29</v>
      </c>
      <c r="J1852" t="s">
        <v>35</v>
      </c>
      <c r="K1852" s="2">
        <v>6450</v>
      </c>
      <c r="L1852" s="2">
        <v>4500</v>
      </c>
      <c r="M1852">
        <v>48</v>
      </c>
      <c r="N1852" s="3">
        <v>0.156</v>
      </c>
      <c r="O1852" t="s">
        <v>17</v>
      </c>
      <c r="P1852" t="s">
        <v>65</v>
      </c>
      <c r="Q1852">
        <v>0</v>
      </c>
      <c r="R1852">
        <v>1</v>
      </c>
      <c r="S1852" s="2">
        <v>0</v>
      </c>
      <c r="T1852" s="4"/>
      <c r="U1852">
        <v>3</v>
      </c>
      <c r="V1852">
        <v>1</v>
      </c>
      <c r="W1852">
        <v>1</v>
      </c>
    </row>
    <row r="1853" spans="1:23" ht="16.5" x14ac:dyDescent="0.3">
      <c r="A1853" t="s">
        <v>1915</v>
      </c>
      <c r="B1853" s="1">
        <v>45578</v>
      </c>
      <c r="C1853">
        <v>2024</v>
      </c>
      <c r="D1853" t="s">
        <v>1832</v>
      </c>
      <c r="E1853" t="s">
        <v>1833</v>
      </c>
      <c r="F1853" t="s">
        <v>37</v>
      </c>
      <c r="G1853" t="s">
        <v>33</v>
      </c>
      <c r="H1853" t="s">
        <v>34</v>
      </c>
      <c r="I1853" t="s">
        <v>29</v>
      </c>
      <c r="J1853" t="s">
        <v>35</v>
      </c>
      <c r="K1853" s="2">
        <v>11650</v>
      </c>
      <c r="L1853" s="2">
        <v>11500</v>
      </c>
      <c r="M1853">
        <v>48</v>
      </c>
      <c r="N1853" s="3">
        <v>0.23699999999999999</v>
      </c>
      <c r="O1853" t="s">
        <v>17</v>
      </c>
      <c r="P1853" t="s">
        <v>48</v>
      </c>
      <c r="Q1853">
        <v>0</v>
      </c>
      <c r="R1853">
        <v>1</v>
      </c>
      <c r="S1853" s="2">
        <v>0</v>
      </c>
      <c r="T1853" s="4"/>
      <c r="U1853">
        <v>2</v>
      </c>
      <c r="V1853">
        <v>1</v>
      </c>
      <c r="W1853">
        <v>1</v>
      </c>
    </row>
    <row r="1854" spans="1:23" ht="16.5" x14ac:dyDescent="0.3">
      <c r="A1854" t="s">
        <v>1916</v>
      </c>
      <c r="B1854" s="1">
        <v>45578</v>
      </c>
      <c r="C1854">
        <v>2024</v>
      </c>
      <c r="D1854" t="s">
        <v>1832</v>
      </c>
      <c r="E1854" t="s">
        <v>1833</v>
      </c>
      <c r="F1854" t="s">
        <v>37</v>
      </c>
      <c r="G1854" t="s">
        <v>27</v>
      </c>
      <c r="H1854" t="s">
        <v>55</v>
      </c>
      <c r="I1854" t="s">
        <v>29</v>
      </c>
      <c r="J1854" t="s">
        <v>30</v>
      </c>
      <c r="K1854" s="2">
        <v>4800</v>
      </c>
      <c r="L1854" s="2">
        <v>9000</v>
      </c>
      <c r="M1854">
        <v>60</v>
      </c>
      <c r="N1854" s="3">
        <v>0.26</v>
      </c>
      <c r="O1854" t="s">
        <v>16</v>
      </c>
      <c r="Q1854">
        <v>1</v>
      </c>
      <c r="R1854">
        <v>0</v>
      </c>
      <c r="S1854" s="2">
        <v>9000</v>
      </c>
      <c r="T1854" s="4">
        <v>0.14199999999999999</v>
      </c>
      <c r="U1854">
        <v>3</v>
      </c>
      <c r="V1854">
        <v>1</v>
      </c>
      <c r="W1854">
        <v>1</v>
      </c>
    </row>
    <row r="1855" spans="1:23" ht="16.5" x14ac:dyDescent="0.3">
      <c r="A1855" t="s">
        <v>1917</v>
      </c>
      <c r="B1855" s="1">
        <v>45578</v>
      </c>
      <c r="C1855">
        <v>2024</v>
      </c>
      <c r="D1855" t="s">
        <v>1832</v>
      </c>
      <c r="E1855" t="s">
        <v>1833</v>
      </c>
      <c r="F1855" t="s">
        <v>37</v>
      </c>
      <c r="G1855" t="s">
        <v>33</v>
      </c>
      <c r="H1855" t="s">
        <v>34</v>
      </c>
      <c r="I1855" t="s">
        <v>29</v>
      </c>
      <c r="J1855" t="s">
        <v>35</v>
      </c>
      <c r="K1855" s="2">
        <v>5000</v>
      </c>
      <c r="L1855" s="2">
        <v>10000</v>
      </c>
      <c r="M1855">
        <v>24</v>
      </c>
      <c r="N1855" s="3">
        <v>0.17899999999999999</v>
      </c>
      <c r="O1855" t="s">
        <v>17</v>
      </c>
      <c r="P1855" t="s">
        <v>65</v>
      </c>
      <c r="Q1855">
        <v>0</v>
      </c>
      <c r="R1855">
        <v>1</v>
      </c>
      <c r="S1855" s="2">
        <v>0</v>
      </c>
      <c r="T1855" s="4"/>
      <c r="U1855">
        <v>1</v>
      </c>
      <c r="V1855">
        <v>1</v>
      </c>
      <c r="W1855">
        <v>1</v>
      </c>
    </row>
    <row r="1856" spans="1:23" ht="16.5" x14ac:dyDescent="0.3">
      <c r="A1856" t="s">
        <v>1918</v>
      </c>
      <c r="B1856" s="1">
        <v>45578</v>
      </c>
      <c r="C1856">
        <v>2024</v>
      </c>
      <c r="D1856" t="s">
        <v>1832</v>
      </c>
      <c r="E1856" t="s">
        <v>1833</v>
      </c>
      <c r="F1856" t="s">
        <v>26</v>
      </c>
      <c r="G1856" t="s">
        <v>45</v>
      </c>
      <c r="H1856" t="s">
        <v>38</v>
      </c>
      <c r="I1856" t="s">
        <v>29</v>
      </c>
      <c r="J1856" t="s">
        <v>30</v>
      </c>
      <c r="K1856" s="2">
        <v>2550</v>
      </c>
      <c r="L1856" s="2">
        <v>48500</v>
      </c>
      <c r="M1856">
        <v>60</v>
      </c>
      <c r="N1856" s="3">
        <v>0.53500000000000003</v>
      </c>
      <c r="O1856" t="s">
        <v>17</v>
      </c>
      <c r="P1856" t="s">
        <v>53</v>
      </c>
      <c r="Q1856">
        <v>0</v>
      </c>
      <c r="R1856">
        <v>1</v>
      </c>
      <c r="S1856" s="2">
        <v>0</v>
      </c>
      <c r="T1856" s="4"/>
      <c r="U1856">
        <v>4</v>
      </c>
      <c r="V1856">
        <v>1</v>
      </c>
      <c r="W1856">
        <v>1</v>
      </c>
    </row>
    <row r="1857" spans="1:23" ht="16.5" x14ac:dyDescent="0.3">
      <c r="A1857" t="s">
        <v>1919</v>
      </c>
      <c r="B1857" s="1">
        <v>45578</v>
      </c>
      <c r="C1857">
        <v>2024</v>
      </c>
      <c r="D1857" t="s">
        <v>1832</v>
      </c>
      <c r="E1857" t="s">
        <v>1833</v>
      </c>
      <c r="F1857" t="s">
        <v>50</v>
      </c>
      <c r="G1857" t="s">
        <v>45</v>
      </c>
      <c r="H1857" t="s">
        <v>28</v>
      </c>
      <c r="I1857" t="s">
        <v>39</v>
      </c>
      <c r="J1857" t="s">
        <v>35</v>
      </c>
      <c r="K1857" s="2">
        <v>4700</v>
      </c>
      <c r="L1857" s="2">
        <v>406000</v>
      </c>
      <c r="M1857">
        <v>180</v>
      </c>
      <c r="N1857" s="3">
        <v>0.84899999999999998</v>
      </c>
      <c r="O1857" t="s">
        <v>16</v>
      </c>
      <c r="Q1857">
        <v>1</v>
      </c>
      <c r="R1857">
        <v>0</v>
      </c>
      <c r="S1857" s="2">
        <v>406000</v>
      </c>
      <c r="T1857" s="4">
        <v>6.2300000000000001E-2</v>
      </c>
      <c r="U1857">
        <v>7</v>
      </c>
      <c r="V1857">
        <v>1</v>
      </c>
      <c r="W1857">
        <v>1</v>
      </c>
    </row>
    <row r="1858" spans="1:23" ht="16.5" x14ac:dyDescent="0.3">
      <c r="A1858" t="s">
        <v>1920</v>
      </c>
      <c r="B1858" s="1">
        <v>45578</v>
      </c>
      <c r="C1858">
        <v>2024</v>
      </c>
      <c r="D1858" t="s">
        <v>1832</v>
      </c>
      <c r="E1858" t="s">
        <v>1833</v>
      </c>
      <c r="F1858" t="s">
        <v>26</v>
      </c>
      <c r="G1858" t="s">
        <v>51</v>
      </c>
      <c r="H1858" t="s">
        <v>34</v>
      </c>
      <c r="I1858" t="s">
        <v>42</v>
      </c>
      <c r="J1858" t="s">
        <v>52</v>
      </c>
      <c r="K1858" s="2">
        <v>5200</v>
      </c>
      <c r="L1858" s="2">
        <v>30000</v>
      </c>
      <c r="M1858">
        <v>60</v>
      </c>
      <c r="N1858" s="3">
        <v>0.26500000000000001</v>
      </c>
      <c r="O1858" t="s">
        <v>125</v>
      </c>
      <c r="Q1858">
        <v>0</v>
      </c>
      <c r="R1858">
        <v>0</v>
      </c>
      <c r="S1858" s="2">
        <v>0</v>
      </c>
      <c r="T1858" s="4"/>
      <c r="U1858">
        <v>18</v>
      </c>
      <c r="V1858">
        <v>0</v>
      </c>
      <c r="W1858">
        <v>1</v>
      </c>
    </row>
    <row r="1859" spans="1:23" ht="16.5" x14ac:dyDescent="0.3">
      <c r="A1859" t="s">
        <v>1921</v>
      </c>
      <c r="B1859" s="1">
        <v>45579</v>
      </c>
      <c r="C1859">
        <v>2024</v>
      </c>
      <c r="D1859" t="s">
        <v>1832</v>
      </c>
      <c r="E1859" t="s">
        <v>1833</v>
      </c>
      <c r="F1859" t="s">
        <v>37</v>
      </c>
      <c r="G1859" t="s">
        <v>51</v>
      </c>
      <c r="H1859" t="s">
        <v>38</v>
      </c>
      <c r="I1859" t="s">
        <v>39</v>
      </c>
      <c r="J1859" t="s">
        <v>52</v>
      </c>
      <c r="K1859" s="2">
        <v>7000</v>
      </c>
      <c r="L1859" s="2">
        <v>8500</v>
      </c>
      <c r="M1859">
        <v>48</v>
      </c>
      <c r="N1859" s="3">
        <v>0.185</v>
      </c>
      <c r="O1859" t="s">
        <v>16</v>
      </c>
      <c r="Q1859">
        <v>1</v>
      </c>
      <c r="R1859">
        <v>0</v>
      </c>
      <c r="S1859" s="2">
        <v>7000</v>
      </c>
      <c r="T1859" s="4">
        <v>0.11650000000000001</v>
      </c>
      <c r="U1859">
        <v>4</v>
      </c>
      <c r="V1859">
        <v>0</v>
      </c>
      <c r="W1859">
        <v>1</v>
      </c>
    </row>
    <row r="1860" spans="1:23" ht="16.5" x14ac:dyDescent="0.3">
      <c r="A1860" t="s">
        <v>1922</v>
      </c>
      <c r="B1860" s="1">
        <v>45579</v>
      </c>
      <c r="C1860">
        <v>2024</v>
      </c>
      <c r="D1860" t="s">
        <v>1832</v>
      </c>
      <c r="E1860" t="s">
        <v>1833</v>
      </c>
      <c r="F1860" t="s">
        <v>41</v>
      </c>
      <c r="G1860" t="s">
        <v>51</v>
      </c>
      <c r="H1860" t="s">
        <v>34</v>
      </c>
      <c r="I1860" t="s">
        <v>29</v>
      </c>
      <c r="J1860" t="s">
        <v>52</v>
      </c>
      <c r="K1860" s="2">
        <v>10250</v>
      </c>
      <c r="L1860" s="2">
        <v>47000</v>
      </c>
      <c r="M1860">
        <v>60</v>
      </c>
      <c r="N1860" s="3">
        <v>0.20300000000000001</v>
      </c>
      <c r="O1860" t="s">
        <v>17</v>
      </c>
      <c r="P1860" t="s">
        <v>31</v>
      </c>
      <c r="Q1860">
        <v>0</v>
      </c>
      <c r="R1860">
        <v>1</v>
      </c>
      <c r="S1860" s="2">
        <v>0</v>
      </c>
      <c r="T1860" s="4"/>
      <c r="U1860">
        <v>11</v>
      </c>
      <c r="V1860">
        <v>0</v>
      </c>
      <c r="W1860">
        <v>1</v>
      </c>
    </row>
    <row r="1861" spans="1:23" ht="16.5" x14ac:dyDescent="0.3">
      <c r="A1861" t="s">
        <v>1923</v>
      </c>
      <c r="B1861" s="1">
        <v>45579</v>
      </c>
      <c r="C1861">
        <v>2024</v>
      </c>
      <c r="D1861" t="s">
        <v>1832</v>
      </c>
      <c r="E1861" t="s">
        <v>1833</v>
      </c>
      <c r="F1861" t="s">
        <v>37</v>
      </c>
      <c r="G1861" t="s">
        <v>45</v>
      </c>
      <c r="H1861" t="s">
        <v>55</v>
      </c>
      <c r="I1861" t="s">
        <v>42</v>
      </c>
      <c r="J1861" t="s">
        <v>35</v>
      </c>
      <c r="K1861" s="2">
        <v>5400</v>
      </c>
      <c r="L1861" s="2">
        <v>9000</v>
      </c>
      <c r="M1861">
        <v>24</v>
      </c>
      <c r="N1861" s="3">
        <v>0.20499999999999999</v>
      </c>
      <c r="O1861" t="s">
        <v>16</v>
      </c>
      <c r="Q1861">
        <v>1</v>
      </c>
      <c r="R1861">
        <v>0</v>
      </c>
      <c r="S1861" s="2">
        <v>9000</v>
      </c>
      <c r="T1861" s="4">
        <v>0.12690000000000001</v>
      </c>
      <c r="U1861">
        <v>3</v>
      </c>
      <c r="V1861">
        <v>1</v>
      </c>
      <c r="W1861">
        <v>1</v>
      </c>
    </row>
    <row r="1862" spans="1:23" ht="16.5" x14ac:dyDescent="0.3">
      <c r="A1862" t="s">
        <v>1924</v>
      </c>
      <c r="B1862" s="1">
        <v>45579</v>
      </c>
      <c r="C1862">
        <v>2024</v>
      </c>
      <c r="D1862" t="s">
        <v>1832</v>
      </c>
      <c r="E1862" t="s">
        <v>1833</v>
      </c>
      <c r="F1862" t="s">
        <v>37</v>
      </c>
      <c r="G1862" t="s">
        <v>51</v>
      </c>
      <c r="H1862" t="s">
        <v>55</v>
      </c>
      <c r="I1862" t="s">
        <v>29</v>
      </c>
      <c r="J1862" t="s">
        <v>35</v>
      </c>
      <c r="K1862" s="2">
        <v>8550</v>
      </c>
      <c r="L1862" s="2">
        <v>12000</v>
      </c>
      <c r="M1862">
        <v>36</v>
      </c>
      <c r="N1862" s="3">
        <v>0.14699999999999999</v>
      </c>
      <c r="O1862" t="s">
        <v>16</v>
      </c>
      <c r="Q1862">
        <v>1</v>
      </c>
      <c r="R1862">
        <v>0</v>
      </c>
      <c r="S1862" s="2">
        <v>12000</v>
      </c>
      <c r="T1862" s="4">
        <v>0.127</v>
      </c>
      <c r="U1862">
        <v>9</v>
      </c>
      <c r="V1862">
        <v>0</v>
      </c>
      <c r="W1862">
        <v>1</v>
      </c>
    </row>
    <row r="1863" spans="1:23" ht="16.5" x14ac:dyDescent="0.3">
      <c r="A1863" t="s">
        <v>1925</v>
      </c>
      <c r="B1863" s="1">
        <v>45579</v>
      </c>
      <c r="C1863">
        <v>2024</v>
      </c>
      <c r="D1863" t="s">
        <v>1832</v>
      </c>
      <c r="E1863" t="s">
        <v>1833</v>
      </c>
      <c r="F1863" t="s">
        <v>41</v>
      </c>
      <c r="G1863" t="s">
        <v>33</v>
      </c>
      <c r="H1863" t="s">
        <v>38</v>
      </c>
      <c r="I1863" t="s">
        <v>39</v>
      </c>
      <c r="J1863" t="s">
        <v>52</v>
      </c>
      <c r="K1863" s="2">
        <v>10200</v>
      </c>
      <c r="L1863" s="2">
        <v>68500</v>
      </c>
      <c r="M1863">
        <v>24</v>
      </c>
      <c r="N1863" s="3">
        <v>0.36199999999999999</v>
      </c>
      <c r="O1863" t="s">
        <v>16</v>
      </c>
      <c r="Q1863">
        <v>1</v>
      </c>
      <c r="R1863">
        <v>0</v>
      </c>
      <c r="S1863" s="2">
        <v>68500</v>
      </c>
      <c r="T1863" s="4">
        <v>0.10299999999999999</v>
      </c>
      <c r="U1863">
        <v>6</v>
      </c>
      <c r="V1863">
        <v>1</v>
      </c>
      <c r="W1863">
        <v>1</v>
      </c>
    </row>
    <row r="1864" spans="1:23" ht="16.5" x14ac:dyDescent="0.3">
      <c r="A1864" t="s">
        <v>1926</v>
      </c>
      <c r="B1864" s="1">
        <v>45579</v>
      </c>
      <c r="C1864">
        <v>2024</v>
      </c>
      <c r="D1864" t="s">
        <v>1832</v>
      </c>
      <c r="E1864" t="s">
        <v>1833</v>
      </c>
      <c r="F1864" t="s">
        <v>50</v>
      </c>
      <c r="G1864" t="s">
        <v>27</v>
      </c>
      <c r="H1864" t="s">
        <v>64</v>
      </c>
      <c r="I1864" t="s">
        <v>39</v>
      </c>
      <c r="J1864" t="s">
        <v>52</v>
      </c>
      <c r="K1864" s="2">
        <v>6450</v>
      </c>
      <c r="L1864" s="2">
        <v>65000</v>
      </c>
      <c r="M1864">
        <v>180</v>
      </c>
      <c r="N1864" s="3">
        <v>0.13500000000000001</v>
      </c>
      <c r="O1864" t="s">
        <v>17</v>
      </c>
      <c r="P1864" t="s">
        <v>60</v>
      </c>
      <c r="Q1864">
        <v>0</v>
      </c>
      <c r="R1864">
        <v>1</v>
      </c>
      <c r="S1864" s="2">
        <v>0</v>
      </c>
      <c r="T1864" s="4"/>
      <c r="U1864">
        <v>16</v>
      </c>
      <c r="V1864">
        <v>0</v>
      </c>
      <c r="W1864">
        <v>1</v>
      </c>
    </row>
    <row r="1865" spans="1:23" ht="16.5" x14ac:dyDescent="0.3">
      <c r="A1865" t="s">
        <v>1927</v>
      </c>
      <c r="B1865" s="1">
        <v>45579</v>
      </c>
      <c r="C1865">
        <v>2024</v>
      </c>
      <c r="D1865" t="s">
        <v>1832</v>
      </c>
      <c r="E1865" t="s">
        <v>1833</v>
      </c>
      <c r="F1865" t="s">
        <v>26</v>
      </c>
      <c r="G1865" t="s">
        <v>51</v>
      </c>
      <c r="H1865" t="s">
        <v>28</v>
      </c>
      <c r="I1865" t="s">
        <v>29</v>
      </c>
      <c r="J1865" t="s">
        <v>52</v>
      </c>
      <c r="K1865" s="2">
        <v>9900</v>
      </c>
      <c r="L1865" s="2">
        <v>22500</v>
      </c>
      <c r="M1865">
        <v>48</v>
      </c>
      <c r="N1865" s="3">
        <v>0.215</v>
      </c>
      <c r="O1865" t="s">
        <v>16</v>
      </c>
      <c r="Q1865">
        <v>1</v>
      </c>
      <c r="R1865">
        <v>0</v>
      </c>
      <c r="S1865" s="2">
        <v>22500</v>
      </c>
      <c r="T1865" s="4">
        <v>7.2700000000000001E-2</v>
      </c>
      <c r="U1865">
        <v>7</v>
      </c>
      <c r="V1865">
        <v>0</v>
      </c>
      <c r="W1865">
        <v>1</v>
      </c>
    </row>
    <row r="1866" spans="1:23" ht="16.5" x14ac:dyDescent="0.3">
      <c r="A1866" t="s">
        <v>1928</v>
      </c>
      <c r="B1866" s="1">
        <v>45579</v>
      </c>
      <c r="C1866">
        <v>2024</v>
      </c>
      <c r="D1866" t="s">
        <v>1832</v>
      </c>
      <c r="E1866" t="s">
        <v>1833</v>
      </c>
      <c r="F1866" t="s">
        <v>37</v>
      </c>
      <c r="G1866" t="s">
        <v>45</v>
      </c>
      <c r="H1866" t="s">
        <v>55</v>
      </c>
      <c r="I1866" t="s">
        <v>39</v>
      </c>
      <c r="J1866" t="s">
        <v>30</v>
      </c>
      <c r="K1866" s="2">
        <v>6850</v>
      </c>
      <c r="L1866" s="2">
        <v>9500</v>
      </c>
      <c r="M1866">
        <v>36</v>
      </c>
      <c r="N1866" s="3">
        <v>0.28000000000000003</v>
      </c>
      <c r="O1866" t="s">
        <v>17</v>
      </c>
      <c r="P1866" t="s">
        <v>31</v>
      </c>
      <c r="Q1866">
        <v>0</v>
      </c>
      <c r="R1866">
        <v>1</v>
      </c>
      <c r="S1866" s="2">
        <v>0</v>
      </c>
      <c r="T1866" s="4"/>
      <c r="U1866">
        <v>2</v>
      </c>
      <c r="V1866">
        <v>1</v>
      </c>
      <c r="W1866">
        <v>1</v>
      </c>
    </row>
    <row r="1867" spans="1:23" ht="16.5" x14ac:dyDescent="0.3">
      <c r="A1867" t="s">
        <v>1929</v>
      </c>
      <c r="B1867" s="1">
        <v>45579</v>
      </c>
      <c r="C1867">
        <v>2024</v>
      </c>
      <c r="D1867" t="s">
        <v>1832</v>
      </c>
      <c r="E1867" t="s">
        <v>1833</v>
      </c>
      <c r="F1867" t="s">
        <v>26</v>
      </c>
      <c r="G1867" t="s">
        <v>51</v>
      </c>
      <c r="H1867" t="s">
        <v>64</v>
      </c>
      <c r="I1867" t="s">
        <v>42</v>
      </c>
      <c r="J1867" t="s">
        <v>35</v>
      </c>
      <c r="K1867" s="2">
        <v>7050</v>
      </c>
      <c r="L1867" s="2">
        <v>25000</v>
      </c>
      <c r="M1867">
        <v>60</v>
      </c>
      <c r="N1867" s="3">
        <v>0.188</v>
      </c>
      <c r="O1867" t="s">
        <v>16</v>
      </c>
      <c r="Q1867">
        <v>1</v>
      </c>
      <c r="R1867">
        <v>0</v>
      </c>
      <c r="S1867" s="2">
        <v>25000</v>
      </c>
      <c r="T1867" s="4">
        <v>7.8700000000000006E-2</v>
      </c>
      <c r="U1867">
        <v>5</v>
      </c>
      <c r="V1867">
        <v>0</v>
      </c>
      <c r="W1867">
        <v>1</v>
      </c>
    </row>
    <row r="1868" spans="1:23" ht="16.5" x14ac:dyDescent="0.3">
      <c r="A1868" t="s">
        <v>1930</v>
      </c>
      <c r="B1868" s="1">
        <v>45579</v>
      </c>
      <c r="C1868">
        <v>2024</v>
      </c>
      <c r="D1868" t="s">
        <v>1832</v>
      </c>
      <c r="E1868" t="s">
        <v>1833</v>
      </c>
      <c r="F1868" t="s">
        <v>37</v>
      </c>
      <c r="G1868" t="s">
        <v>45</v>
      </c>
      <c r="H1868" t="s">
        <v>34</v>
      </c>
      <c r="I1868" t="s">
        <v>39</v>
      </c>
      <c r="J1868" t="s">
        <v>52</v>
      </c>
      <c r="K1868" s="2">
        <v>5400</v>
      </c>
      <c r="L1868" s="2">
        <v>10500</v>
      </c>
      <c r="M1868">
        <v>60</v>
      </c>
      <c r="N1868" s="3">
        <v>0.215</v>
      </c>
      <c r="O1868" t="s">
        <v>16</v>
      </c>
      <c r="Q1868">
        <v>1</v>
      </c>
      <c r="R1868">
        <v>0</v>
      </c>
      <c r="S1868" s="2">
        <v>10500</v>
      </c>
      <c r="T1868" s="4">
        <v>0.1149</v>
      </c>
      <c r="U1868">
        <v>3</v>
      </c>
      <c r="V1868">
        <v>1</v>
      </c>
      <c r="W1868">
        <v>1</v>
      </c>
    </row>
    <row r="1869" spans="1:23" ht="16.5" x14ac:dyDescent="0.3">
      <c r="A1869" t="s">
        <v>1931</v>
      </c>
      <c r="B1869" s="1">
        <v>45580</v>
      </c>
      <c r="C1869">
        <v>2024</v>
      </c>
      <c r="D1869" t="s">
        <v>1832</v>
      </c>
      <c r="E1869" t="s">
        <v>1833</v>
      </c>
      <c r="F1869" t="s">
        <v>41</v>
      </c>
      <c r="G1869" t="s">
        <v>33</v>
      </c>
      <c r="H1869" t="s">
        <v>55</v>
      </c>
      <c r="I1869" t="s">
        <v>42</v>
      </c>
      <c r="J1869" t="s">
        <v>52</v>
      </c>
      <c r="K1869" s="2">
        <v>6800</v>
      </c>
      <c r="L1869" s="2">
        <v>77500</v>
      </c>
      <c r="M1869">
        <v>60</v>
      </c>
      <c r="N1869" s="3">
        <v>0.35199999999999998</v>
      </c>
      <c r="O1869" t="s">
        <v>16</v>
      </c>
      <c r="Q1869">
        <v>1</v>
      </c>
      <c r="R1869">
        <v>0</v>
      </c>
      <c r="S1869" s="2">
        <v>77500</v>
      </c>
      <c r="T1869" s="4">
        <v>9.4100000000000003E-2</v>
      </c>
      <c r="U1869">
        <v>4</v>
      </c>
      <c r="V1869">
        <v>1</v>
      </c>
      <c r="W1869">
        <v>1</v>
      </c>
    </row>
    <row r="1870" spans="1:23" ht="16.5" x14ac:dyDescent="0.3">
      <c r="A1870" t="s">
        <v>1932</v>
      </c>
      <c r="B1870" s="1">
        <v>45580</v>
      </c>
      <c r="C1870">
        <v>2024</v>
      </c>
      <c r="D1870" t="s">
        <v>1832</v>
      </c>
      <c r="E1870" t="s">
        <v>1833</v>
      </c>
      <c r="F1870" t="s">
        <v>41</v>
      </c>
      <c r="G1870" t="s">
        <v>51</v>
      </c>
      <c r="H1870" t="s">
        <v>38</v>
      </c>
      <c r="I1870" t="s">
        <v>29</v>
      </c>
      <c r="J1870" t="s">
        <v>46</v>
      </c>
      <c r="K1870" s="2">
        <v>3250</v>
      </c>
      <c r="L1870" s="2">
        <v>84500</v>
      </c>
      <c r="M1870">
        <v>24</v>
      </c>
      <c r="N1870" s="3">
        <v>1.3919999999999999</v>
      </c>
      <c r="O1870" t="s">
        <v>17</v>
      </c>
      <c r="P1870" t="s">
        <v>53</v>
      </c>
      <c r="Q1870">
        <v>0</v>
      </c>
      <c r="R1870">
        <v>1</v>
      </c>
      <c r="S1870" s="2">
        <v>0</v>
      </c>
      <c r="T1870" s="4"/>
      <c r="U1870">
        <v>18</v>
      </c>
      <c r="V1870">
        <v>0</v>
      </c>
      <c r="W1870">
        <v>1</v>
      </c>
    </row>
    <row r="1871" spans="1:23" ht="16.5" x14ac:dyDescent="0.3">
      <c r="A1871" t="s">
        <v>1933</v>
      </c>
      <c r="B1871" s="1">
        <v>45580</v>
      </c>
      <c r="C1871">
        <v>2024</v>
      </c>
      <c r="D1871" t="s">
        <v>1832</v>
      </c>
      <c r="E1871" t="s">
        <v>1833</v>
      </c>
      <c r="F1871" t="s">
        <v>37</v>
      </c>
      <c r="G1871" t="s">
        <v>51</v>
      </c>
      <c r="H1871" t="s">
        <v>55</v>
      </c>
      <c r="I1871" t="s">
        <v>29</v>
      </c>
      <c r="J1871" t="s">
        <v>52</v>
      </c>
      <c r="K1871" s="2">
        <v>6400</v>
      </c>
      <c r="L1871" s="2">
        <v>21500</v>
      </c>
      <c r="M1871">
        <v>12</v>
      </c>
      <c r="N1871" s="3">
        <v>0.41199999999999998</v>
      </c>
      <c r="O1871" t="s">
        <v>16</v>
      </c>
      <c r="Q1871">
        <v>1</v>
      </c>
      <c r="R1871">
        <v>0</v>
      </c>
      <c r="S1871" s="2">
        <v>21500</v>
      </c>
      <c r="T1871" s="4">
        <v>0.1111</v>
      </c>
      <c r="U1871">
        <v>5</v>
      </c>
      <c r="V1871">
        <v>0</v>
      </c>
      <c r="W1871">
        <v>1</v>
      </c>
    </row>
    <row r="1872" spans="1:23" ht="16.5" x14ac:dyDescent="0.3">
      <c r="A1872" t="s">
        <v>1934</v>
      </c>
      <c r="B1872" s="1">
        <v>45580</v>
      </c>
      <c r="C1872">
        <v>2024</v>
      </c>
      <c r="D1872" t="s">
        <v>1832</v>
      </c>
      <c r="E1872" t="s">
        <v>1833</v>
      </c>
      <c r="F1872" t="s">
        <v>50</v>
      </c>
      <c r="G1872" t="s">
        <v>45</v>
      </c>
      <c r="H1872" t="s">
        <v>64</v>
      </c>
      <c r="I1872" t="s">
        <v>42</v>
      </c>
      <c r="J1872" t="s">
        <v>35</v>
      </c>
      <c r="K1872" s="2">
        <v>10700</v>
      </c>
      <c r="L1872" s="2">
        <v>283000</v>
      </c>
      <c r="M1872">
        <v>240</v>
      </c>
      <c r="N1872" s="3">
        <v>0.36199999999999999</v>
      </c>
      <c r="O1872" t="s">
        <v>16</v>
      </c>
      <c r="Q1872">
        <v>1</v>
      </c>
      <c r="R1872">
        <v>0</v>
      </c>
      <c r="S1872" s="2">
        <v>226500</v>
      </c>
      <c r="T1872" s="4">
        <v>6.2899999999999998E-2</v>
      </c>
      <c r="U1872">
        <v>8</v>
      </c>
      <c r="V1872">
        <v>1</v>
      </c>
      <c r="W1872">
        <v>1</v>
      </c>
    </row>
    <row r="1873" spans="1:23" ht="16.5" x14ac:dyDescent="0.3">
      <c r="A1873" t="s">
        <v>1935</v>
      </c>
      <c r="B1873" s="1">
        <v>45580</v>
      </c>
      <c r="C1873">
        <v>2024</v>
      </c>
      <c r="D1873" t="s">
        <v>1832</v>
      </c>
      <c r="E1873" t="s">
        <v>1833</v>
      </c>
      <c r="F1873" t="s">
        <v>37</v>
      </c>
      <c r="G1873" t="s">
        <v>45</v>
      </c>
      <c r="H1873" t="s">
        <v>28</v>
      </c>
      <c r="I1873" t="s">
        <v>29</v>
      </c>
      <c r="J1873" t="s">
        <v>35</v>
      </c>
      <c r="K1873" s="2">
        <v>7750</v>
      </c>
      <c r="L1873" s="2">
        <v>11500</v>
      </c>
      <c r="M1873">
        <v>48</v>
      </c>
      <c r="N1873" s="3">
        <v>0.22700000000000001</v>
      </c>
      <c r="O1873" t="s">
        <v>16</v>
      </c>
      <c r="Q1873">
        <v>1</v>
      </c>
      <c r="R1873">
        <v>0</v>
      </c>
      <c r="S1873" s="2">
        <v>11500</v>
      </c>
      <c r="T1873" s="4">
        <v>0.13159999999999999</v>
      </c>
      <c r="U1873">
        <v>3</v>
      </c>
      <c r="V1873">
        <v>1</v>
      </c>
      <c r="W1873">
        <v>1</v>
      </c>
    </row>
    <row r="1874" spans="1:23" ht="16.5" x14ac:dyDescent="0.3">
      <c r="A1874" t="s">
        <v>1936</v>
      </c>
      <c r="B1874" s="1">
        <v>45580</v>
      </c>
      <c r="C1874">
        <v>2024</v>
      </c>
      <c r="D1874" t="s">
        <v>1832</v>
      </c>
      <c r="E1874" t="s">
        <v>1833</v>
      </c>
      <c r="F1874" t="s">
        <v>50</v>
      </c>
      <c r="G1874" t="s">
        <v>45</v>
      </c>
      <c r="H1874" t="s">
        <v>38</v>
      </c>
      <c r="I1874" t="s">
        <v>39</v>
      </c>
      <c r="J1874" t="s">
        <v>35</v>
      </c>
      <c r="K1874" s="2">
        <v>2900</v>
      </c>
      <c r="L1874" s="2">
        <v>172500</v>
      </c>
      <c r="M1874">
        <v>180</v>
      </c>
      <c r="N1874" s="3">
        <v>0.56899999999999995</v>
      </c>
      <c r="O1874" t="s">
        <v>17</v>
      </c>
      <c r="P1874" t="s">
        <v>60</v>
      </c>
      <c r="Q1874">
        <v>0</v>
      </c>
      <c r="R1874">
        <v>1</v>
      </c>
      <c r="S1874" s="2">
        <v>0</v>
      </c>
      <c r="T1874" s="4"/>
      <c r="U1874">
        <v>13</v>
      </c>
      <c r="V1874">
        <v>1</v>
      </c>
      <c r="W1874">
        <v>1</v>
      </c>
    </row>
    <row r="1875" spans="1:23" ht="16.5" x14ac:dyDescent="0.3">
      <c r="A1875" t="s">
        <v>1937</v>
      </c>
      <c r="B1875" s="1">
        <v>45580</v>
      </c>
      <c r="C1875">
        <v>2024</v>
      </c>
      <c r="D1875" t="s">
        <v>1832</v>
      </c>
      <c r="E1875" t="s">
        <v>1833</v>
      </c>
      <c r="F1875" t="s">
        <v>26</v>
      </c>
      <c r="G1875" t="s">
        <v>33</v>
      </c>
      <c r="H1875" t="s">
        <v>28</v>
      </c>
      <c r="I1875" t="s">
        <v>29</v>
      </c>
      <c r="J1875" t="s">
        <v>35</v>
      </c>
      <c r="K1875" s="2">
        <v>3600</v>
      </c>
      <c r="L1875" s="2">
        <v>36000</v>
      </c>
      <c r="M1875">
        <v>48</v>
      </c>
      <c r="N1875" s="3">
        <v>0.44600000000000001</v>
      </c>
      <c r="O1875" t="s">
        <v>17</v>
      </c>
      <c r="P1875" t="s">
        <v>60</v>
      </c>
      <c r="Q1875">
        <v>0</v>
      </c>
      <c r="R1875">
        <v>1</v>
      </c>
      <c r="S1875" s="2">
        <v>0</v>
      </c>
      <c r="T1875" s="4"/>
      <c r="U1875">
        <v>8</v>
      </c>
      <c r="V1875">
        <v>0</v>
      </c>
      <c r="W1875">
        <v>1</v>
      </c>
    </row>
    <row r="1876" spans="1:23" ht="16.5" x14ac:dyDescent="0.3">
      <c r="A1876" t="s">
        <v>1938</v>
      </c>
      <c r="B1876" s="1">
        <v>45580</v>
      </c>
      <c r="C1876">
        <v>2024</v>
      </c>
      <c r="D1876" t="s">
        <v>1832</v>
      </c>
      <c r="E1876" t="s">
        <v>1833</v>
      </c>
      <c r="F1876" t="s">
        <v>37</v>
      </c>
      <c r="G1876" t="s">
        <v>33</v>
      </c>
      <c r="H1876" t="s">
        <v>55</v>
      </c>
      <c r="I1876" t="s">
        <v>39</v>
      </c>
      <c r="J1876" t="s">
        <v>52</v>
      </c>
      <c r="K1876" s="2">
        <v>7300</v>
      </c>
      <c r="L1876" s="2">
        <v>7000</v>
      </c>
      <c r="M1876">
        <v>24</v>
      </c>
      <c r="N1876" s="3">
        <v>0.22800000000000001</v>
      </c>
      <c r="O1876" t="s">
        <v>16</v>
      </c>
      <c r="Q1876">
        <v>1</v>
      </c>
      <c r="R1876">
        <v>0</v>
      </c>
      <c r="S1876" s="2">
        <v>5500</v>
      </c>
      <c r="T1876" s="4">
        <v>0.11360000000000001</v>
      </c>
      <c r="U1876">
        <v>2</v>
      </c>
      <c r="V1876">
        <v>1</v>
      </c>
      <c r="W1876">
        <v>1</v>
      </c>
    </row>
    <row r="1877" spans="1:23" ht="16.5" x14ac:dyDescent="0.3">
      <c r="A1877" t="s">
        <v>1939</v>
      </c>
      <c r="B1877" s="1">
        <v>45580</v>
      </c>
      <c r="C1877">
        <v>2024</v>
      </c>
      <c r="D1877" t="s">
        <v>1832</v>
      </c>
      <c r="E1877" t="s">
        <v>1833</v>
      </c>
      <c r="F1877" t="s">
        <v>41</v>
      </c>
      <c r="G1877" t="s">
        <v>27</v>
      </c>
      <c r="H1877" t="s">
        <v>34</v>
      </c>
      <c r="I1877" t="s">
        <v>39</v>
      </c>
      <c r="J1877" t="s">
        <v>30</v>
      </c>
      <c r="K1877" s="2">
        <v>5900</v>
      </c>
      <c r="L1877" s="2">
        <v>118000</v>
      </c>
      <c r="M1877">
        <v>60</v>
      </c>
      <c r="N1877" s="3">
        <v>0.50700000000000001</v>
      </c>
      <c r="O1877" t="s">
        <v>17</v>
      </c>
      <c r="P1877" t="s">
        <v>31</v>
      </c>
      <c r="Q1877">
        <v>0</v>
      </c>
      <c r="R1877">
        <v>1</v>
      </c>
      <c r="S1877" s="2">
        <v>0</v>
      </c>
      <c r="T1877" s="4"/>
      <c r="U1877">
        <v>15</v>
      </c>
      <c r="V1877">
        <v>0</v>
      </c>
      <c r="W1877">
        <v>1</v>
      </c>
    </row>
    <row r="1878" spans="1:23" ht="16.5" x14ac:dyDescent="0.3">
      <c r="A1878" t="s">
        <v>1940</v>
      </c>
      <c r="B1878" s="1">
        <v>45581</v>
      </c>
      <c r="C1878">
        <v>2024</v>
      </c>
      <c r="D1878" t="s">
        <v>1832</v>
      </c>
      <c r="E1878" t="s">
        <v>1833</v>
      </c>
      <c r="F1878" t="s">
        <v>50</v>
      </c>
      <c r="G1878" t="s">
        <v>51</v>
      </c>
      <c r="H1878" t="s">
        <v>38</v>
      </c>
      <c r="I1878" t="s">
        <v>39</v>
      </c>
      <c r="J1878" t="s">
        <v>43</v>
      </c>
      <c r="K1878" s="2">
        <v>8200</v>
      </c>
      <c r="L1878" s="2">
        <v>378500</v>
      </c>
      <c r="M1878">
        <v>240</v>
      </c>
      <c r="N1878" s="3">
        <v>0.41399999999999998</v>
      </c>
      <c r="O1878" t="s">
        <v>16</v>
      </c>
      <c r="Q1878">
        <v>1</v>
      </c>
      <c r="R1878">
        <v>0</v>
      </c>
      <c r="S1878" s="2">
        <v>378500</v>
      </c>
      <c r="T1878" s="4">
        <v>9.6100000000000005E-2</v>
      </c>
      <c r="U1878">
        <v>20</v>
      </c>
      <c r="V1878">
        <v>0</v>
      </c>
      <c r="W1878">
        <v>1</v>
      </c>
    </row>
    <row r="1879" spans="1:23" ht="16.5" x14ac:dyDescent="0.3">
      <c r="A1879" t="s">
        <v>1941</v>
      </c>
      <c r="B1879" s="1">
        <v>45581</v>
      </c>
      <c r="C1879">
        <v>2024</v>
      </c>
      <c r="D1879" t="s">
        <v>1832</v>
      </c>
      <c r="E1879" t="s">
        <v>1833</v>
      </c>
      <c r="F1879" t="s">
        <v>37</v>
      </c>
      <c r="G1879" t="s">
        <v>27</v>
      </c>
      <c r="H1879" t="s">
        <v>34</v>
      </c>
      <c r="I1879" t="s">
        <v>29</v>
      </c>
      <c r="J1879" t="s">
        <v>30</v>
      </c>
      <c r="K1879" s="2">
        <v>3100</v>
      </c>
      <c r="L1879" s="2">
        <v>8500</v>
      </c>
      <c r="M1879">
        <v>60</v>
      </c>
      <c r="N1879" s="3">
        <v>0.152</v>
      </c>
      <c r="O1879" t="s">
        <v>17</v>
      </c>
      <c r="P1879" t="s">
        <v>31</v>
      </c>
      <c r="Q1879">
        <v>0</v>
      </c>
      <c r="R1879">
        <v>1</v>
      </c>
      <c r="S1879" s="2">
        <v>0</v>
      </c>
      <c r="T1879" s="4"/>
      <c r="U1879">
        <v>3</v>
      </c>
      <c r="V1879">
        <v>1</v>
      </c>
      <c r="W1879">
        <v>1</v>
      </c>
    </row>
    <row r="1880" spans="1:23" ht="16.5" x14ac:dyDescent="0.3">
      <c r="A1880" t="s">
        <v>1942</v>
      </c>
      <c r="B1880" s="1">
        <v>45581</v>
      </c>
      <c r="C1880">
        <v>2024</v>
      </c>
      <c r="D1880" t="s">
        <v>1832</v>
      </c>
      <c r="E1880" t="s">
        <v>1833</v>
      </c>
      <c r="F1880" t="s">
        <v>26</v>
      </c>
      <c r="G1880" t="s">
        <v>51</v>
      </c>
      <c r="H1880" t="s">
        <v>38</v>
      </c>
      <c r="I1880" t="s">
        <v>29</v>
      </c>
      <c r="J1880" t="s">
        <v>35</v>
      </c>
      <c r="K1880" s="2">
        <v>6400</v>
      </c>
      <c r="L1880" s="2">
        <v>20500</v>
      </c>
      <c r="M1880">
        <v>48</v>
      </c>
      <c r="N1880" s="3">
        <v>0.25700000000000001</v>
      </c>
      <c r="O1880" t="s">
        <v>17</v>
      </c>
      <c r="P1880" t="s">
        <v>60</v>
      </c>
      <c r="Q1880">
        <v>0</v>
      </c>
      <c r="R1880">
        <v>1</v>
      </c>
      <c r="S1880" s="2">
        <v>0</v>
      </c>
      <c r="T1880" s="4"/>
      <c r="U1880">
        <v>12</v>
      </c>
      <c r="V1880">
        <v>0</v>
      </c>
      <c r="W1880">
        <v>1</v>
      </c>
    </row>
    <row r="1881" spans="1:23" ht="16.5" x14ac:dyDescent="0.3">
      <c r="A1881" t="s">
        <v>1943</v>
      </c>
      <c r="B1881" s="1">
        <v>45581</v>
      </c>
      <c r="C1881">
        <v>2024</v>
      </c>
      <c r="D1881" t="s">
        <v>1832</v>
      </c>
      <c r="E1881" t="s">
        <v>1833</v>
      </c>
      <c r="F1881" t="s">
        <v>26</v>
      </c>
      <c r="G1881" t="s">
        <v>45</v>
      </c>
      <c r="H1881" t="s">
        <v>38</v>
      </c>
      <c r="I1881" t="s">
        <v>29</v>
      </c>
      <c r="J1881" t="s">
        <v>43</v>
      </c>
      <c r="K1881" s="2">
        <v>2600</v>
      </c>
      <c r="L1881" s="2">
        <v>40000</v>
      </c>
      <c r="M1881">
        <v>60</v>
      </c>
      <c r="N1881" s="3">
        <v>0.38300000000000001</v>
      </c>
      <c r="O1881" t="s">
        <v>17</v>
      </c>
      <c r="P1881" t="s">
        <v>31</v>
      </c>
      <c r="Q1881">
        <v>0</v>
      </c>
      <c r="R1881">
        <v>1</v>
      </c>
      <c r="S1881" s="2">
        <v>0</v>
      </c>
      <c r="T1881" s="4"/>
      <c r="U1881">
        <v>5</v>
      </c>
      <c r="V1881">
        <v>0</v>
      </c>
      <c r="W1881">
        <v>1</v>
      </c>
    </row>
    <row r="1882" spans="1:23" ht="16.5" x14ac:dyDescent="0.3">
      <c r="A1882" t="s">
        <v>1944</v>
      </c>
      <c r="B1882" s="1">
        <v>45581</v>
      </c>
      <c r="C1882">
        <v>2024</v>
      </c>
      <c r="D1882" t="s">
        <v>1832</v>
      </c>
      <c r="E1882" t="s">
        <v>1833</v>
      </c>
      <c r="F1882" t="s">
        <v>37</v>
      </c>
      <c r="G1882" t="s">
        <v>51</v>
      </c>
      <c r="H1882" t="s">
        <v>55</v>
      </c>
      <c r="I1882" t="s">
        <v>29</v>
      </c>
      <c r="J1882" t="s">
        <v>30</v>
      </c>
      <c r="K1882" s="2">
        <v>4950</v>
      </c>
      <c r="L1882" s="2">
        <v>12000</v>
      </c>
      <c r="M1882">
        <v>48</v>
      </c>
      <c r="N1882" s="3">
        <v>0.153</v>
      </c>
      <c r="O1882" t="s">
        <v>17</v>
      </c>
      <c r="P1882" t="s">
        <v>31</v>
      </c>
      <c r="Q1882">
        <v>0</v>
      </c>
      <c r="R1882">
        <v>1</v>
      </c>
      <c r="S1882" s="2">
        <v>0</v>
      </c>
      <c r="T1882" s="4"/>
      <c r="U1882">
        <v>6</v>
      </c>
      <c r="V1882">
        <v>0</v>
      </c>
      <c r="W1882">
        <v>1</v>
      </c>
    </row>
    <row r="1883" spans="1:23" ht="16.5" x14ac:dyDescent="0.3">
      <c r="A1883" t="s">
        <v>1945</v>
      </c>
      <c r="B1883" s="1">
        <v>45581</v>
      </c>
      <c r="C1883">
        <v>2024</v>
      </c>
      <c r="D1883" t="s">
        <v>1832</v>
      </c>
      <c r="E1883" t="s">
        <v>1833</v>
      </c>
      <c r="F1883" t="s">
        <v>26</v>
      </c>
      <c r="G1883" t="s">
        <v>45</v>
      </c>
      <c r="H1883" t="s">
        <v>55</v>
      </c>
      <c r="I1883" t="s">
        <v>29</v>
      </c>
      <c r="J1883" t="s">
        <v>35</v>
      </c>
      <c r="K1883" s="2">
        <v>9850</v>
      </c>
      <c r="L1883" s="2">
        <v>34500</v>
      </c>
      <c r="M1883">
        <v>36</v>
      </c>
      <c r="N1883" s="3">
        <v>0.33700000000000002</v>
      </c>
      <c r="O1883" t="s">
        <v>17</v>
      </c>
      <c r="P1883" t="s">
        <v>31</v>
      </c>
      <c r="Q1883">
        <v>0</v>
      </c>
      <c r="R1883">
        <v>1</v>
      </c>
      <c r="S1883" s="2">
        <v>0</v>
      </c>
      <c r="T1883" s="4"/>
      <c r="U1883">
        <v>3</v>
      </c>
      <c r="V1883">
        <v>1</v>
      </c>
      <c r="W1883">
        <v>1</v>
      </c>
    </row>
    <row r="1884" spans="1:23" ht="16.5" x14ac:dyDescent="0.3">
      <c r="A1884" t="s">
        <v>1946</v>
      </c>
      <c r="B1884" s="1">
        <v>45581</v>
      </c>
      <c r="C1884">
        <v>2024</v>
      </c>
      <c r="D1884" t="s">
        <v>1832</v>
      </c>
      <c r="E1884" t="s">
        <v>1833</v>
      </c>
      <c r="F1884" t="s">
        <v>26</v>
      </c>
      <c r="G1884" t="s">
        <v>51</v>
      </c>
      <c r="H1884" t="s">
        <v>64</v>
      </c>
      <c r="I1884" t="s">
        <v>42</v>
      </c>
      <c r="J1884" t="s">
        <v>35</v>
      </c>
      <c r="K1884" s="2">
        <v>4850</v>
      </c>
      <c r="L1884" s="2">
        <v>27000</v>
      </c>
      <c r="M1884">
        <v>60</v>
      </c>
      <c r="N1884" s="3">
        <v>0.35099999999999998</v>
      </c>
      <c r="O1884" t="s">
        <v>17</v>
      </c>
      <c r="P1884" t="s">
        <v>31</v>
      </c>
      <c r="Q1884">
        <v>0</v>
      </c>
      <c r="R1884">
        <v>1</v>
      </c>
      <c r="S1884" s="2">
        <v>0</v>
      </c>
      <c r="T1884" s="4"/>
      <c r="U1884">
        <v>8</v>
      </c>
      <c r="V1884">
        <v>0</v>
      </c>
      <c r="W1884">
        <v>1</v>
      </c>
    </row>
    <row r="1885" spans="1:23" ht="16.5" x14ac:dyDescent="0.3">
      <c r="A1885" t="s">
        <v>1947</v>
      </c>
      <c r="B1885" s="1">
        <v>45581</v>
      </c>
      <c r="C1885">
        <v>2024</v>
      </c>
      <c r="D1885" t="s">
        <v>1832</v>
      </c>
      <c r="E1885" t="s">
        <v>1833</v>
      </c>
      <c r="F1885" t="s">
        <v>50</v>
      </c>
      <c r="G1885" t="s">
        <v>45</v>
      </c>
      <c r="H1885" t="s">
        <v>38</v>
      </c>
      <c r="I1885" t="s">
        <v>39</v>
      </c>
      <c r="J1885" t="s">
        <v>35</v>
      </c>
      <c r="K1885" s="2">
        <v>2600</v>
      </c>
      <c r="L1885" s="2">
        <v>338000</v>
      </c>
      <c r="M1885">
        <v>180</v>
      </c>
      <c r="N1885" s="3">
        <v>1.1319999999999999</v>
      </c>
      <c r="O1885" t="s">
        <v>17</v>
      </c>
      <c r="P1885" t="s">
        <v>53</v>
      </c>
      <c r="Q1885">
        <v>0</v>
      </c>
      <c r="R1885">
        <v>1</v>
      </c>
      <c r="S1885" s="2">
        <v>0</v>
      </c>
      <c r="T1885" s="4"/>
      <c r="U1885">
        <v>7</v>
      </c>
      <c r="V1885">
        <v>1</v>
      </c>
      <c r="W1885">
        <v>1</v>
      </c>
    </row>
    <row r="1886" spans="1:23" ht="16.5" x14ac:dyDescent="0.3">
      <c r="A1886" t="s">
        <v>1948</v>
      </c>
      <c r="B1886" s="1">
        <v>45581</v>
      </c>
      <c r="C1886">
        <v>2024</v>
      </c>
      <c r="D1886" t="s">
        <v>1832</v>
      </c>
      <c r="E1886" t="s">
        <v>1833</v>
      </c>
      <c r="F1886" t="s">
        <v>37</v>
      </c>
      <c r="G1886" t="s">
        <v>51</v>
      </c>
      <c r="H1886" t="s">
        <v>28</v>
      </c>
      <c r="I1886" t="s">
        <v>29</v>
      </c>
      <c r="J1886" t="s">
        <v>46</v>
      </c>
      <c r="K1886" s="2">
        <v>2950</v>
      </c>
      <c r="L1886" s="2">
        <v>10000</v>
      </c>
      <c r="M1886">
        <v>48</v>
      </c>
      <c r="N1886" s="3">
        <v>0.152</v>
      </c>
      <c r="O1886" t="s">
        <v>17</v>
      </c>
      <c r="P1886" t="s">
        <v>65</v>
      </c>
      <c r="Q1886">
        <v>0</v>
      </c>
      <c r="R1886">
        <v>1</v>
      </c>
      <c r="S1886" s="2">
        <v>0</v>
      </c>
      <c r="T1886" s="4"/>
      <c r="U1886">
        <v>4</v>
      </c>
      <c r="V1886">
        <v>0</v>
      </c>
      <c r="W1886">
        <v>1</v>
      </c>
    </row>
    <row r="1887" spans="1:23" ht="16.5" x14ac:dyDescent="0.3">
      <c r="A1887" t="s">
        <v>1949</v>
      </c>
      <c r="B1887" s="1">
        <v>45581</v>
      </c>
      <c r="C1887">
        <v>2024</v>
      </c>
      <c r="D1887" t="s">
        <v>1832</v>
      </c>
      <c r="E1887" t="s">
        <v>1833</v>
      </c>
      <c r="F1887" t="s">
        <v>37</v>
      </c>
      <c r="G1887" t="s">
        <v>45</v>
      </c>
      <c r="H1887" t="s">
        <v>34</v>
      </c>
      <c r="I1887" t="s">
        <v>29</v>
      </c>
      <c r="J1887" t="s">
        <v>30</v>
      </c>
      <c r="K1887" s="2">
        <v>4650</v>
      </c>
      <c r="L1887" s="2">
        <v>8000</v>
      </c>
      <c r="M1887">
        <v>60</v>
      </c>
      <c r="N1887" s="3">
        <v>0.182</v>
      </c>
      <c r="O1887" t="s">
        <v>16</v>
      </c>
      <c r="Q1887">
        <v>1</v>
      </c>
      <c r="R1887">
        <v>0</v>
      </c>
      <c r="S1887" s="2">
        <v>8000</v>
      </c>
      <c r="T1887" s="4">
        <v>0.13930000000000001</v>
      </c>
      <c r="U1887">
        <v>2</v>
      </c>
      <c r="V1887">
        <v>1</v>
      </c>
      <c r="W1887">
        <v>1</v>
      </c>
    </row>
    <row r="1888" spans="1:23" ht="16.5" x14ac:dyDescent="0.3">
      <c r="A1888" t="s">
        <v>1950</v>
      </c>
      <c r="B1888" s="1">
        <v>45581</v>
      </c>
      <c r="C1888">
        <v>2024</v>
      </c>
      <c r="D1888" t="s">
        <v>1832</v>
      </c>
      <c r="E1888" t="s">
        <v>1833</v>
      </c>
      <c r="F1888" t="s">
        <v>41</v>
      </c>
      <c r="G1888" t="s">
        <v>51</v>
      </c>
      <c r="H1888" t="s">
        <v>34</v>
      </c>
      <c r="I1888" t="s">
        <v>39</v>
      </c>
      <c r="J1888" t="s">
        <v>52</v>
      </c>
      <c r="K1888" s="2">
        <v>9850</v>
      </c>
      <c r="L1888" s="2">
        <v>93000</v>
      </c>
      <c r="M1888">
        <v>36</v>
      </c>
      <c r="N1888" s="3">
        <v>0.39600000000000002</v>
      </c>
      <c r="O1888" t="s">
        <v>16</v>
      </c>
      <c r="Q1888">
        <v>1</v>
      </c>
      <c r="R1888">
        <v>0</v>
      </c>
      <c r="S1888" s="2">
        <v>93000</v>
      </c>
      <c r="T1888" s="4">
        <v>0.10050000000000001</v>
      </c>
      <c r="U1888">
        <v>13</v>
      </c>
      <c r="V1888">
        <v>0</v>
      </c>
      <c r="W1888">
        <v>1</v>
      </c>
    </row>
    <row r="1889" spans="1:23" ht="16.5" x14ac:dyDescent="0.3">
      <c r="A1889" t="s">
        <v>1951</v>
      </c>
      <c r="B1889" s="1">
        <v>45581</v>
      </c>
      <c r="C1889">
        <v>2024</v>
      </c>
      <c r="D1889" t="s">
        <v>1832</v>
      </c>
      <c r="E1889" t="s">
        <v>1833</v>
      </c>
      <c r="F1889" t="s">
        <v>37</v>
      </c>
      <c r="G1889" t="s">
        <v>45</v>
      </c>
      <c r="H1889" t="s">
        <v>55</v>
      </c>
      <c r="I1889" t="s">
        <v>29</v>
      </c>
      <c r="J1889" t="s">
        <v>52</v>
      </c>
      <c r="K1889" s="2">
        <v>5450</v>
      </c>
      <c r="L1889" s="2">
        <v>18500</v>
      </c>
      <c r="M1889">
        <v>12</v>
      </c>
      <c r="N1889" s="3">
        <v>0.51600000000000001</v>
      </c>
      <c r="O1889" t="s">
        <v>16</v>
      </c>
      <c r="Q1889">
        <v>1</v>
      </c>
      <c r="R1889">
        <v>0</v>
      </c>
      <c r="S1889" s="2">
        <v>18500</v>
      </c>
      <c r="T1889" s="4">
        <v>0.1149</v>
      </c>
      <c r="U1889">
        <v>1</v>
      </c>
      <c r="V1889">
        <v>1</v>
      </c>
      <c r="W1889">
        <v>1</v>
      </c>
    </row>
    <row r="1890" spans="1:23" ht="16.5" x14ac:dyDescent="0.3">
      <c r="A1890" t="s">
        <v>1952</v>
      </c>
      <c r="B1890" s="1">
        <v>45581</v>
      </c>
      <c r="C1890">
        <v>2024</v>
      </c>
      <c r="D1890" t="s">
        <v>1832</v>
      </c>
      <c r="E1890" t="s">
        <v>1833</v>
      </c>
      <c r="F1890" t="s">
        <v>37</v>
      </c>
      <c r="G1890" t="s">
        <v>51</v>
      </c>
      <c r="H1890" t="s">
        <v>28</v>
      </c>
      <c r="I1890" t="s">
        <v>29</v>
      </c>
      <c r="J1890" t="s">
        <v>52</v>
      </c>
      <c r="K1890" s="2">
        <v>6150</v>
      </c>
      <c r="L1890" s="2">
        <v>19500</v>
      </c>
      <c r="M1890">
        <v>48</v>
      </c>
      <c r="N1890" s="3">
        <v>0.33200000000000002</v>
      </c>
      <c r="O1890" t="s">
        <v>125</v>
      </c>
      <c r="Q1890">
        <v>0</v>
      </c>
      <c r="R1890">
        <v>0</v>
      </c>
      <c r="S1890" s="2">
        <v>0</v>
      </c>
      <c r="T1890" s="4"/>
      <c r="U1890">
        <v>3</v>
      </c>
      <c r="V1890">
        <v>1</v>
      </c>
      <c r="W1890">
        <v>1</v>
      </c>
    </row>
    <row r="1891" spans="1:23" ht="16.5" x14ac:dyDescent="0.3">
      <c r="A1891" t="s">
        <v>1953</v>
      </c>
      <c r="B1891" s="1">
        <v>45582</v>
      </c>
      <c r="C1891">
        <v>2024</v>
      </c>
      <c r="D1891" t="s">
        <v>1832</v>
      </c>
      <c r="E1891" t="s">
        <v>1833</v>
      </c>
      <c r="F1891" t="s">
        <v>37</v>
      </c>
      <c r="G1891" t="s">
        <v>33</v>
      </c>
      <c r="H1891" t="s">
        <v>55</v>
      </c>
      <c r="I1891" t="s">
        <v>39</v>
      </c>
      <c r="J1891" t="s">
        <v>30</v>
      </c>
      <c r="K1891" s="2">
        <v>3800</v>
      </c>
      <c r="L1891" s="2">
        <v>6000</v>
      </c>
      <c r="M1891">
        <v>36</v>
      </c>
      <c r="N1891" s="3">
        <v>0.16400000000000001</v>
      </c>
      <c r="O1891" t="s">
        <v>17</v>
      </c>
      <c r="P1891" t="s">
        <v>31</v>
      </c>
      <c r="Q1891">
        <v>0</v>
      </c>
      <c r="R1891">
        <v>1</v>
      </c>
      <c r="S1891" s="2">
        <v>0</v>
      </c>
      <c r="T1891" s="4"/>
      <c r="U1891">
        <v>2</v>
      </c>
      <c r="V1891">
        <v>1</v>
      </c>
      <c r="W1891">
        <v>1</v>
      </c>
    </row>
    <row r="1892" spans="1:23" ht="16.5" x14ac:dyDescent="0.3">
      <c r="A1892" t="s">
        <v>1954</v>
      </c>
      <c r="B1892" s="1">
        <v>45582</v>
      </c>
      <c r="C1892">
        <v>2024</v>
      </c>
      <c r="D1892" t="s">
        <v>1832</v>
      </c>
      <c r="E1892" t="s">
        <v>1833</v>
      </c>
      <c r="F1892" t="s">
        <v>26</v>
      </c>
      <c r="G1892" t="s">
        <v>45</v>
      </c>
      <c r="H1892" t="s">
        <v>38</v>
      </c>
      <c r="I1892" t="s">
        <v>39</v>
      </c>
      <c r="J1892" t="s">
        <v>35</v>
      </c>
      <c r="K1892" s="2">
        <v>5200</v>
      </c>
      <c r="L1892" s="2">
        <v>37500</v>
      </c>
      <c r="M1892">
        <v>48</v>
      </c>
      <c r="N1892" s="3">
        <v>0.27</v>
      </c>
      <c r="O1892" t="s">
        <v>16</v>
      </c>
      <c r="Q1892">
        <v>1</v>
      </c>
      <c r="R1892">
        <v>0</v>
      </c>
      <c r="S1892" s="2">
        <v>34000</v>
      </c>
      <c r="T1892" s="4">
        <v>8.2299999999999998E-2</v>
      </c>
      <c r="U1892">
        <v>3</v>
      </c>
      <c r="V1892">
        <v>1</v>
      </c>
      <c r="W1892">
        <v>1</v>
      </c>
    </row>
    <row r="1893" spans="1:23" ht="16.5" x14ac:dyDescent="0.3">
      <c r="A1893" t="s">
        <v>1955</v>
      </c>
      <c r="B1893" s="1">
        <v>45582</v>
      </c>
      <c r="C1893">
        <v>2024</v>
      </c>
      <c r="D1893" t="s">
        <v>1832</v>
      </c>
      <c r="E1893" t="s">
        <v>1833</v>
      </c>
      <c r="F1893" t="s">
        <v>37</v>
      </c>
      <c r="G1893" t="s">
        <v>51</v>
      </c>
      <c r="H1893" t="s">
        <v>64</v>
      </c>
      <c r="I1893" t="s">
        <v>42</v>
      </c>
      <c r="J1893" t="s">
        <v>30</v>
      </c>
      <c r="K1893" s="2">
        <v>5950</v>
      </c>
      <c r="L1893" s="2">
        <v>4500</v>
      </c>
      <c r="M1893">
        <v>12</v>
      </c>
      <c r="N1893" s="3">
        <v>0.19600000000000001</v>
      </c>
      <c r="O1893" t="s">
        <v>16</v>
      </c>
      <c r="Q1893">
        <v>1</v>
      </c>
      <c r="R1893">
        <v>0</v>
      </c>
      <c r="S1893" s="2">
        <v>4000</v>
      </c>
      <c r="T1893" s="4">
        <v>0.1411</v>
      </c>
      <c r="U1893">
        <v>3</v>
      </c>
      <c r="V1893">
        <v>1</v>
      </c>
      <c r="W1893">
        <v>1</v>
      </c>
    </row>
    <row r="1894" spans="1:23" ht="16.5" x14ac:dyDescent="0.3">
      <c r="A1894" t="s">
        <v>1956</v>
      </c>
      <c r="B1894" s="1">
        <v>45582</v>
      </c>
      <c r="C1894">
        <v>2024</v>
      </c>
      <c r="D1894" t="s">
        <v>1832</v>
      </c>
      <c r="E1894" t="s">
        <v>1833</v>
      </c>
      <c r="F1894" t="s">
        <v>50</v>
      </c>
      <c r="G1894" t="s">
        <v>33</v>
      </c>
      <c r="H1894" t="s">
        <v>55</v>
      </c>
      <c r="I1894" t="s">
        <v>29</v>
      </c>
      <c r="J1894" t="s">
        <v>35</v>
      </c>
      <c r="K1894" s="2">
        <v>2250</v>
      </c>
      <c r="L1894" s="2">
        <v>370500</v>
      </c>
      <c r="M1894">
        <v>240</v>
      </c>
      <c r="N1894" s="3">
        <v>1.319</v>
      </c>
      <c r="O1894" t="s">
        <v>17</v>
      </c>
      <c r="P1894" t="s">
        <v>53</v>
      </c>
      <c r="Q1894">
        <v>0</v>
      </c>
      <c r="R1894">
        <v>1</v>
      </c>
      <c r="S1894" s="2">
        <v>0</v>
      </c>
      <c r="T1894" s="4"/>
      <c r="U1894">
        <v>5</v>
      </c>
      <c r="V1894">
        <v>1</v>
      </c>
      <c r="W1894">
        <v>1</v>
      </c>
    </row>
    <row r="1895" spans="1:23" ht="16.5" x14ac:dyDescent="0.3">
      <c r="A1895" t="s">
        <v>1957</v>
      </c>
      <c r="B1895" s="1">
        <v>45582</v>
      </c>
      <c r="C1895">
        <v>2024</v>
      </c>
      <c r="D1895" t="s">
        <v>1832</v>
      </c>
      <c r="E1895" t="s">
        <v>1833</v>
      </c>
      <c r="F1895" t="s">
        <v>26</v>
      </c>
      <c r="G1895" t="s">
        <v>51</v>
      </c>
      <c r="H1895" t="s">
        <v>34</v>
      </c>
      <c r="I1895" t="s">
        <v>42</v>
      </c>
      <c r="J1895" t="s">
        <v>52</v>
      </c>
      <c r="K1895" s="2">
        <v>7000</v>
      </c>
      <c r="L1895" s="2">
        <v>21500</v>
      </c>
      <c r="M1895">
        <v>60</v>
      </c>
      <c r="N1895" s="3">
        <v>0.311</v>
      </c>
      <c r="O1895" t="s">
        <v>16</v>
      </c>
      <c r="Q1895">
        <v>1</v>
      </c>
      <c r="R1895">
        <v>0</v>
      </c>
      <c r="S1895" s="2">
        <v>19500</v>
      </c>
      <c r="T1895" s="4">
        <v>7.3800000000000004E-2</v>
      </c>
      <c r="U1895">
        <v>6</v>
      </c>
      <c r="V1895">
        <v>0</v>
      </c>
      <c r="W1895">
        <v>1</v>
      </c>
    </row>
    <row r="1896" spans="1:23" ht="16.5" x14ac:dyDescent="0.3">
      <c r="A1896" t="s">
        <v>1958</v>
      </c>
      <c r="B1896" s="1">
        <v>45582</v>
      </c>
      <c r="C1896">
        <v>2024</v>
      </c>
      <c r="D1896" t="s">
        <v>1832</v>
      </c>
      <c r="E1896" t="s">
        <v>1833</v>
      </c>
      <c r="F1896" t="s">
        <v>37</v>
      </c>
      <c r="G1896" t="s">
        <v>45</v>
      </c>
      <c r="H1896" t="s">
        <v>38</v>
      </c>
      <c r="I1896" t="s">
        <v>29</v>
      </c>
      <c r="J1896" t="s">
        <v>43</v>
      </c>
      <c r="K1896" s="2">
        <v>4850</v>
      </c>
      <c r="L1896" s="2">
        <v>12500</v>
      </c>
      <c r="M1896">
        <v>48</v>
      </c>
      <c r="N1896" s="3">
        <v>0.127</v>
      </c>
      <c r="O1896" t="s">
        <v>17</v>
      </c>
      <c r="P1896" t="s">
        <v>48</v>
      </c>
      <c r="Q1896">
        <v>0</v>
      </c>
      <c r="R1896">
        <v>1</v>
      </c>
      <c r="S1896" s="2">
        <v>0</v>
      </c>
      <c r="T1896" s="4"/>
      <c r="U1896">
        <v>3</v>
      </c>
      <c r="V1896">
        <v>1</v>
      </c>
      <c r="W1896">
        <v>1</v>
      </c>
    </row>
    <row r="1897" spans="1:23" ht="16.5" x14ac:dyDescent="0.3">
      <c r="A1897" t="s">
        <v>1959</v>
      </c>
      <c r="B1897" s="1">
        <v>45582</v>
      </c>
      <c r="C1897">
        <v>2024</v>
      </c>
      <c r="D1897" t="s">
        <v>1832</v>
      </c>
      <c r="E1897" t="s">
        <v>1833</v>
      </c>
      <c r="F1897" t="s">
        <v>41</v>
      </c>
      <c r="G1897" t="s">
        <v>27</v>
      </c>
      <c r="H1897" t="s">
        <v>55</v>
      </c>
      <c r="I1897" t="s">
        <v>39</v>
      </c>
      <c r="J1897" t="s">
        <v>30</v>
      </c>
      <c r="K1897" s="2">
        <v>8250</v>
      </c>
      <c r="L1897" s="2">
        <v>99000</v>
      </c>
      <c r="M1897">
        <v>12</v>
      </c>
      <c r="N1897" s="3">
        <v>1.2769999999999999</v>
      </c>
      <c r="O1897" t="s">
        <v>17</v>
      </c>
      <c r="P1897" t="s">
        <v>31</v>
      </c>
      <c r="Q1897">
        <v>0</v>
      </c>
      <c r="R1897">
        <v>1</v>
      </c>
      <c r="S1897" s="2">
        <v>0</v>
      </c>
      <c r="T1897" s="4"/>
      <c r="U1897">
        <v>9</v>
      </c>
      <c r="V1897">
        <v>1</v>
      </c>
      <c r="W1897">
        <v>1</v>
      </c>
    </row>
    <row r="1898" spans="1:23" ht="16.5" x14ac:dyDescent="0.3">
      <c r="A1898" t="s">
        <v>1960</v>
      </c>
      <c r="B1898" s="1">
        <v>45583</v>
      </c>
      <c r="C1898">
        <v>2024</v>
      </c>
      <c r="D1898" t="s">
        <v>1832</v>
      </c>
      <c r="E1898" t="s">
        <v>1833</v>
      </c>
      <c r="F1898" t="s">
        <v>37</v>
      </c>
      <c r="G1898" t="s">
        <v>27</v>
      </c>
      <c r="H1898" t="s">
        <v>55</v>
      </c>
      <c r="I1898" t="s">
        <v>42</v>
      </c>
      <c r="J1898" t="s">
        <v>52</v>
      </c>
      <c r="K1898" s="2">
        <v>8200</v>
      </c>
      <c r="L1898" s="2">
        <v>16000</v>
      </c>
      <c r="M1898">
        <v>48</v>
      </c>
      <c r="N1898" s="3">
        <v>0.184</v>
      </c>
      <c r="O1898" t="s">
        <v>16</v>
      </c>
      <c r="Q1898">
        <v>1</v>
      </c>
      <c r="R1898">
        <v>0</v>
      </c>
      <c r="S1898" s="2">
        <v>13000</v>
      </c>
      <c r="T1898" s="4">
        <v>0.1191</v>
      </c>
      <c r="U1898">
        <v>3</v>
      </c>
      <c r="V1898">
        <v>1</v>
      </c>
      <c r="W1898">
        <v>1</v>
      </c>
    </row>
    <row r="1899" spans="1:23" ht="16.5" x14ac:dyDescent="0.3">
      <c r="A1899" t="s">
        <v>1961</v>
      </c>
      <c r="B1899" s="1">
        <v>45583</v>
      </c>
      <c r="C1899">
        <v>2024</v>
      </c>
      <c r="D1899" t="s">
        <v>1832</v>
      </c>
      <c r="E1899" t="s">
        <v>1833</v>
      </c>
      <c r="F1899" t="s">
        <v>37</v>
      </c>
      <c r="G1899" t="s">
        <v>33</v>
      </c>
      <c r="H1899" t="s">
        <v>55</v>
      </c>
      <c r="I1899" t="s">
        <v>29</v>
      </c>
      <c r="J1899" t="s">
        <v>35</v>
      </c>
      <c r="K1899" s="2">
        <v>7750</v>
      </c>
      <c r="L1899" s="2">
        <v>10500</v>
      </c>
      <c r="M1899">
        <v>60</v>
      </c>
      <c r="N1899" s="3">
        <v>0.27600000000000002</v>
      </c>
      <c r="O1899" t="s">
        <v>17</v>
      </c>
      <c r="P1899" t="s">
        <v>60</v>
      </c>
      <c r="Q1899">
        <v>0</v>
      </c>
      <c r="R1899">
        <v>1</v>
      </c>
      <c r="S1899" s="2">
        <v>0</v>
      </c>
      <c r="T1899" s="4"/>
      <c r="U1899">
        <v>5</v>
      </c>
      <c r="V1899">
        <v>0</v>
      </c>
      <c r="W1899">
        <v>1</v>
      </c>
    </row>
    <row r="1900" spans="1:23" ht="16.5" x14ac:dyDescent="0.3">
      <c r="A1900" t="s">
        <v>1962</v>
      </c>
      <c r="B1900" s="1">
        <v>45583</v>
      </c>
      <c r="C1900">
        <v>2024</v>
      </c>
      <c r="D1900" t="s">
        <v>1832</v>
      </c>
      <c r="E1900" t="s">
        <v>1833</v>
      </c>
      <c r="F1900" t="s">
        <v>50</v>
      </c>
      <c r="G1900" t="s">
        <v>27</v>
      </c>
      <c r="H1900" t="s">
        <v>55</v>
      </c>
      <c r="I1900" t="s">
        <v>29</v>
      </c>
      <c r="J1900" t="s">
        <v>30</v>
      </c>
      <c r="K1900" s="2">
        <v>6350</v>
      </c>
      <c r="L1900" s="2">
        <v>192000</v>
      </c>
      <c r="M1900">
        <v>180</v>
      </c>
      <c r="N1900" s="3">
        <v>0.45300000000000001</v>
      </c>
      <c r="O1900" t="s">
        <v>17</v>
      </c>
      <c r="P1900" t="s">
        <v>31</v>
      </c>
      <c r="Q1900">
        <v>0</v>
      </c>
      <c r="R1900">
        <v>1</v>
      </c>
      <c r="S1900" s="2">
        <v>0</v>
      </c>
      <c r="T1900" s="4"/>
      <c r="U1900">
        <v>15</v>
      </c>
      <c r="V1900">
        <v>1</v>
      </c>
      <c r="W1900">
        <v>1</v>
      </c>
    </row>
    <row r="1901" spans="1:23" ht="16.5" x14ac:dyDescent="0.3">
      <c r="A1901" t="s">
        <v>1963</v>
      </c>
      <c r="B1901" s="1">
        <v>45583</v>
      </c>
      <c r="C1901">
        <v>2024</v>
      </c>
      <c r="D1901" t="s">
        <v>1832</v>
      </c>
      <c r="E1901" t="s">
        <v>1833</v>
      </c>
      <c r="F1901" t="s">
        <v>50</v>
      </c>
      <c r="G1901" t="s">
        <v>27</v>
      </c>
      <c r="H1901" t="s">
        <v>55</v>
      </c>
      <c r="I1901" t="s">
        <v>29</v>
      </c>
      <c r="J1901" t="s">
        <v>30</v>
      </c>
      <c r="K1901" s="2">
        <v>4750</v>
      </c>
      <c r="L1901" s="2">
        <v>243500</v>
      </c>
      <c r="M1901">
        <v>180</v>
      </c>
      <c r="N1901" s="3">
        <v>0.50900000000000001</v>
      </c>
      <c r="O1901" t="s">
        <v>16</v>
      </c>
      <c r="Q1901">
        <v>1</v>
      </c>
      <c r="R1901">
        <v>0</v>
      </c>
      <c r="S1901" s="2">
        <v>243500</v>
      </c>
      <c r="T1901" s="4">
        <v>7.1900000000000006E-2</v>
      </c>
      <c r="U1901">
        <v>17</v>
      </c>
      <c r="V1901">
        <v>0</v>
      </c>
      <c r="W1901">
        <v>1</v>
      </c>
    </row>
    <row r="1902" spans="1:23" ht="16.5" x14ac:dyDescent="0.3">
      <c r="A1902" t="s">
        <v>1964</v>
      </c>
      <c r="B1902" s="1">
        <v>45584</v>
      </c>
      <c r="C1902">
        <v>2024</v>
      </c>
      <c r="D1902" t="s">
        <v>1832</v>
      </c>
      <c r="E1902" t="s">
        <v>1833</v>
      </c>
      <c r="F1902" t="s">
        <v>26</v>
      </c>
      <c r="G1902" t="s">
        <v>27</v>
      </c>
      <c r="H1902" t="s">
        <v>38</v>
      </c>
      <c r="I1902" t="s">
        <v>39</v>
      </c>
      <c r="J1902" t="s">
        <v>52</v>
      </c>
      <c r="K1902" s="2">
        <v>7700</v>
      </c>
      <c r="L1902" s="2">
        <v>32500</v>
      </c>
      <c r="M1902">
        <v>60</v>
      </c>
      <c r="N1902" s="3">
        <v>0.14799999999999999</v>
      </c>
      <c r="O1902" t="s">
        <v>17</v>
      </c>
      <c r="P1902" t="s">
        <v>60</v>
      </c>
      <c r="Q1902">
        <v>0</v>
      </c>
      <c r="R1902">
        <v>1</v>
      </c>
      <c r="S1902" s="2">
        <v>0</v>
      </c>
      <c r="T1902" s="4"/>
      <c r="U1902">
        <v>8</v>
      </c>
      <c r="V1902">
        <v>0</v>
      </c>
      <c r="W1902">
        <v>1</v>
      </c>
    </row>
    <row r="1903" spans="1:23" ht="16.5" x14ac:dyDescent="0.3">
      <c r="A1903" t="s">
        <v>1965</v>
      </c>
      <c r="B1903" s="1">
        <v>45584</v>
      </c>
      <c r="C1903">
        <v>2024</v>
      </c>
      <c r="D1903" t="s">
        <v>1832</v>
      </c>
      <c r="E1903" t="s">
        <v>1833</v>
      </c>
      <c r="F1903" t="s">
        <v>41</v>
      </c>
      <c r="G1903" t="s">
        <v>33</v>
      </c>
      <c r="H1903" t="s">
        <v>34</v>
      </c>
      <c r="I1903" t="s">
        <v>39</v>
      </c>
      <c r="J1903" t="s">
        <v>30</v>
      </c>
      <c r="K1903" s="2">
        <v>6300</v>
      </c>
      <c r="L1903" s="2">
        <v>90500</v>
      </c>
      <c r="M1903">
        <v>24</v>
      </c>
      <c r="N1903" s="3">
        <v>0.85</v>
      </c>
      <c r="O1903" t="s">
        <v>17</v>
      </c>
      <c r="P1903" t="s">
        <v>31</v>
      </c>
      <c r="Q1903">
        <v>0</v>
      </c>
      <c r="R1903">
        <v>1</v>
      </c>
      <c r="S1903" s="2">
        <v>0</v>
      </c>
      <c r="T1903" s="4"/>
      <c r="U1903">
        <v>6</v>
      </c>
      <c r="V1903">
        <v>1</v>
      </c>
      <c r="W1903">
        <v>1</v>
      </c>
    </row>
    <row r="1904" spans="1:23" ht="16.5" x14ac:dyDescent="0.3">
      <c r="A1904" t="s">
        <v>1966</v>
      </c>
      <c r="B1904" s="1">
        <v>45584</v>
      </c>
      <c r="C1904">
        <v>2024</v>
      </c>
      <c r="D1904" t="s">
        <v>1832</v>
      </c>
      <c r="E1904" t="s">
        <v>1833</v>
      </c>
      <c r="F1904" t="s">
        <v>37</v>
      </c>
      <c r="G1904" t="s">
        <v>51</v>
      </c>
      <c r="H1904" t="s">
        <v>34</v>
      </c>
      <c r="I1904" t="s">
        <v>29</v>
      </c>
      <c r="J1904" t="s">
        <v>35</v>
      </c>
      <c r="K1904" s="2">
        <v>6200</v>
      </c>
      <c r="L1904" s="2">
        <v>18000</v>
      </c>
      <c r="M1904">
        <v>48</v>
      </c>
      <c r="N1904" s="3">
        <v>0.25900000000000001</v>
      </c>
      <c r="O1904" t="s">
        <v>16</v>
      </c>
      <c r="Q1904">
        <v>1</v>
      </c>
      <c r="R1904">
        <v>0</v>
      </c>
      <c r="S1904" s="2">
        <v>16000</v>
      </c>
      <c r="T1904" s="4">
        <v>0.12330000000000001</v>
      </c>
      <c r="U1904">
        <v>3</v>
      </c>
      <c r="V1904">
        <v>1</v>
      </c>
      <c r="W1904">
        <v>1</v>
      </c>
    </row>
    <row r="1905" spans="1:23" ht="16.5" x14ac:dyDescent="0.3">
      <c r="A1905" t="s">
        <v>1967</v>
      </c>
      <c r="B1905" s="1">
        <v>45584</v>
      </c>
      <c r="C1905">
        <v>2024</v>
      </c>
      <c r="D1905" t="s">
        <v>1832</v>
      </c>
      <c r="E1905" t="s">
        <v>1833</v>
      </c>
      <c r="F1905" t="s">
        <v>37</v>
      </c>
      <c r="G1905" t="s">
        <v>27</v>
      </c>
      <c r="H1905" t="s">
        <v>28</v>
      </c>
      <c r="I1905" t="s">
        <v>29</v>
      </c>
      <c r="J1905" t="s">
        <v>52</v>
      </c>
      <c r="K1905" s="2">
        <v>2850</v>
      </c>
      <c r="L1905" s="2">
        <v>11000</v>
      </c>
      <c r="M1905">
        <v>12</v>
      </c>
      <c r="N1905" s="3">
        <v>0.55900000000000005</v>
      </c>
      <c r="O1905" t="s">
        <v>16</v>
      </c>
      <c r="Q1905">
        <v>1</v>
      </c>
      <c r="R1905">
        <v>0</v>
      </c>
      <c r="S1905" s="2">
        <v>11000</v>
      </c>
      <c r="T1905" s="4">
        <v>0.1145</v>
      </c>
      <c r="U1905">
        <v>4</v>
      </c>
      <c r="V1905">
        <v>0</v>
      </c>
      <c r="W1905">
        <v>1</v>
      </c>
    </row>
    <row r="1906" spans="1:23" ht="16.5" x14ac:dyDescent="0.3">
      <c r="A1906" t="s">
        <v>1968</v>
      </c>
      <c r="B1906" s="1">
        <v>45584</v>
      </c>
      <c r="C1906">
        <v>2024</v>
      </c>
      <c r="D1906" t="s">
        <v>1832</v>
      </c>
      <c r="E1906" t="s">
        <v>1833</v>
      </c>
      <c r="F1906" t="s">
        <v>37</v>
      </c>
      <c r="G1906" t="s">
        <v>51</v>
      </c>
      <c r="H1906" t="s">
        <v>38</v>
      </c>
      <c r="I1906" t="s">
        <v>29</v>
      </c>
      <c r="J1906" t="s">
        <v>46</v>
      </c>
      <c r="K1906" s="2">
        <v>7250</v>
      </c>
      <c r="L1906" s="2">
        <v>8000</v>
      </c>
      <c r="M1906">
        <v>60</v>
      </c>
      <c r="N1906" s="3">
        <v>0.12</v>
      </c>
      <c r="O1906" t="s">
        <v>16</v>
      </c>
      <c r="Q1906">
        <v>1</v>
      </c>
      <c r="R1906">
        <v>0</v>
      </c>
      <c r="S1906" s="2">
        <v>8000</v>
      </c>
      <c r="T1906" s="4">
        <v>0.1076</v>
      </c>
      <c r="U1906">
        <v>5</v>
      </c>
      <c r="V1906">
        <v>0</v>
      </c>
      <c r="W1906">
        <v>1</v>
      </c>
    </row>
    <row r="1907" spans="1:23" ht="16.5" x14ac:dyDescent="0.3">
      <c r="A1907" t="s">
        <v>1969</v>
      </c>
      <c r="B1907" s="1">
        <v>45584</v>
      </c>
      <c r="C1907">
        <v>2024</v>
      </c>
      <c r="D1907" t="s">
        <v>1832</v>
      </c>
      <c r="E1907" t="s">
        <v>1833</v>
      </c>
      <c r="F1907" t="s">
        <v>26</v>
      </c>
      <c r="G1907" t="s">
        <v>51</v>
      </c>
      <c r="H1907" t="s">
        <v>38</v>
      </c>
      <c r="I1907" t="s">
        <v>29</v>
      </c>
      <c r="J1907" t="s">
        <v>35</v>
      </c>
      <c r="K1907" s="2">
        <v>7650</v>
      </c>
      <c r="L1907" s="2">
        <v>24000</v>
      </c>
      <c r="M1907">
        <v>48</v>
      </c>
      <c r="N1907" s="3">
        <v>0.24299999999999999</v>
      </c>
      <c r="O1907" t="s">
        <v>17</v>
      </c>
      <c r="P1907" t="s">
        <v>65</v>
      </c>
      <c r="Q1907">
        <v>0</v>
      </c>
      <c r="R1907">
        <v>1</v>
      </c>
      <c r="S1907" s="2">
        <v>0</v>
      </c>
      <c r="T1907" s="4"/>
      <c r="U1907">
        <v>4</v>
      </c>
      <c r="V1907">
        <v>1</v>
      </c>
      <c r="W1907">
        <v>1</v>
      </c>
    </row>
    <row r="1908" spans="1:23" ht="16.5" x14ac:dyDescent="0.3">
      <c r="A1908" t="s">
        <v>1970</v>
      </c>
      <c r="B1908" s="1">
        <v>45585</v>
      </c>
      <c r="C1908">
        <v>2024</v>
      </c>
      <c r="D1908" t="s">
        <v>1832</v>
      </c>
      <c r="E1908" t="s">
        <v>1833</v>
      </c>
      <c r="F1908" t="s">
        <v>41</v>
      </c>
      <c r="G1908" t="s">
        <v>51</v>
      </c>
      <c r="H1908" t="s">
        <v>64</v>
      </c>
      <c r="I1908" t="s">
        <v>39</v>
      </c>
      <c r="J1908" t="s">
        <v>30</v>
      </c>
      <c r="K1908" s="2">
        <v>2800</v>
      </c>
      <c r="L1908" s="2">
        <v>100500</v>
      </c>
      <c r="M1908">
        <v>60</v>
      </c>
      <c r="N1908" s="3">
        <v>0.89900000000000002</v>
      </c>
      <c r="O1908" t="s">
        <v>17</v>
      </c>
      <c r="P1908" t="s">
        <v>31</v>
      </c>
      <c r="Q1908">
        <v>0</v>
      </c>
      <c r="R1908">
        <v>1</v>
      </c>
      <c r="S1908" s="2">
        <v>0</v>
      </c>
      <c r="T1908" s="4"/>
      <c r="U1908">
        <v>11</v>
      </c>
      <c r="V1908">
        <v>0</v>
      </c>
      <c r="W1908">
        <v>1</v>
      </c>
    </row>
    <row r="1909" spans="1:23" ht="16.5" x14ac:dyDescent="0.3">
      <c r="A1909" t="s">
        <v>1971</v>
      </c>
      <c r="B1909" s="1">
        <v>45585</v>
      </c>
      <c r="C1909">
        <v>2024</v>
      </c>
      <c r="D1909" t="s">
        <v>1832</v>
      </c>
      <c r="E1909" t="s">
        <v>1833</v>
      </c>
      <c r="F1909" t="s">
        <v>41</v>
      </c>
      <c r="G1909" t="s">
        <v>27</v>
      </c>
      <c r="H1909" t="s">
        <v>55</v>
      </c>
      <c r="I1909" t="s">
        <v>39</v>
      </c>
      <c r="J1909" t="s">
        <v>43</v>
      </c>
      <c r="K1909" s="2">
        <v>8400</v>
      </c>
      <c r="L1909" s="2">
        <v>143000</v>
      </c>
      <c r="M1909">
        <v>60</v>
      </c>
      <c r="N1909" s="3">
        <v>0.59599999999999997</v>
      </c>
      <c r="O1909" t="s">
        <v>17</v>
      </c>
      <c r="P1909" t="s">
        <v>60</v>
      </c>
      <c r="Q1909">
        <v>0</v>
      </c>
      <c r="R1909">
        <v>1</v>
      </c>
      <c r="S1909" s="2">
        <v>0</v>
      </c>
      <c r="T1909" s="4"/>
      <c r="U1909">
        <v>18</v>
      </c>
      <c r="V1909">
        <v>0</v>
      </c>
      <c r="W1909">
        <v>1</v>
      </c>
    </row>
    <row r="1910" spans="1:23" ht="16.5" x14ac:dyDescent="0.3">
      <c r="A1910" t="s">
        <v>1972</v>
      </c>
      <c r="B1910" s="1">
        <v>45585</v>
      </c>
      <c r="C1910">
        <v>2024</v>
      </c>
      <c r="D1910" t="s">
        <v>1832</v>
      </c>
      <c r="E1910" t="s">
        <v>1833</v>
      </c>
      <c r="F1910" t="s">
        <v>37</v>
      </c>
      <c r="G1910" t="s">
        <v>51</v>
      </c>
      <c r="H1910" t="s">
        <v>38</v>
      </c>
      <c r="I1910" t="s">
        <v>42</v>
      </c>
      <c r="J1910" t="s">
        <v>30</v>
      </c>
      <c r="K1910" s="2">
        <v>6050</v>
      </c>
      <c r="L1910" s="2">
        <v>7500</v>
      </c>
      <c r="M1910">
        <v>12</v>
      </c>
      <c r="N1910" s="3">
        <v>0.249</v>
      </c>
      <c r="O1910" t="s">
        <v>16</v>
      </c>
      <c r="Q1910">
        <v>1</v>
      </c>
      <c r="R1910">
        <v>0</v>
      </c>
      <c r="S1910" s="2">
        <v>7500</v>
      </c>
      <c r="T1910" s="4">
        <v>0.1376</v>
      </c>
      <c r="U1910">
        <v>5</v>
      </c>
      <c r="V1910">
        <v>0</v>
      </c>
      <c r="W1910">
        <v>1</v>
      </c>
    </row>
    <row r="1911" spans="1:23" ht="16.5" x14ac:dyDescent="0.3">
      <c r="A1911" t="s">
        <v>1973</v>
      </c>
      <c r="B1911" s="1">
        <v>45585</v>
      </c>
      <c r="C1911">
        <v>2024</v>
      </c>
      <c r="D1911" t="s">
        <v>1832</v>
      </c>
      <c r="E1911" t="s">
        <v>1833</v>
      </c>
      <c r="F1911" t="s">
        <v>26</v>
      </c>
      <c r="G1911" t="s">
        <v>51</v>
      </c>
      <c r="H1911" t="s">
        <v>38</v>
      </c>
      <c r="I1911" t="s">
        <v>29</v>
      </c>
      <c r="J1911" t="s">
        <v>35</v>
      </c>
      <c r="K1911" s="2">
        <v>5150</v>
      </c>
      <c r="L1911" s="2">
        <v>7000</v>
      </c>
      <c r="M1911">
        <v>36</v>
      </c>
      <c r="N1911" s="3">
        <v>0.16800000000000001</v>
      </c>
      <c r="O1911" t="s">
        <v>16</v>
      </c>
      <c r="Q1911">
        <v>1</v>
      </c>
      <c r="R1911">
        <v>0</v>
      </c>
      <c r="S1911" s="2">
        <v>7000</v>
      </c>
      <c r="T1911" s="4">
        <v>7.7100000000000002E-2</v>
      </c>
      <c r="U1911">
        <v>3</v>
      </c>
      <c r="V1911">
        <v>1</v>
      </c>
      <c r="W1911">
        <v>1</v>
      </c>
    </row>
    <row r="1912" spans="1:23" ht="16.5" x14ac:dyDescent="0.3">
      <c r="A1912" t="s">
        <v>1974</v>
      </c>
      <c r="B1912" s="1">
        <v>45585</v>
      </c>
      <c r="C1912">
        <v>2024</v>
      </c>
      <c r="D1912" t="s">
        <v>1832</v>
      </c>
      <c r="E1912" t="s">
        <v>1833</v>
      </c>
      <c r="F1912" t="s">
        <v>41</v>
      </c>
      <c r="G1912" t="s">
        <v>33</v>
      </c>
      <c r="H1912" t="s">
        <v>34</v>
      </c>
      <c r="I1912" t="s">
        <v>39</v>
      </c>
      <c r="J1912" t="s">
        <v>35</v>
      </c>
      <c r="K1912" s="2">
        <v>3850</v>
      </c>
      <c r="L1912" s="2">
        <v>45000</v>
      </c>
      <c r="M1912">
        <v>60</v>
      </c>
      <c r="N1912" s="3">
        <v>0.44</v>
      </c>
      <c r="O1912" t="s">
        <v>16</v>
      </c>
      <c r="Q1912">
        <v>1</v>
      </c>
      <c r="R1912">
        <v>0</v>
      </c>
      <c r="S1912" s="2">
        <v>45000</v>
      </c>
      <c r="T1912" s="4">
        <v>0.1095</v>
      </c>
      <c r="U1912">
        <v>4</v>
      </c>
      <c r="V1912">
        <v>1</v>
      </c>
      <c r="W1912">
        <v>1</v>
      </c>
    </row>
    <row r="1913" spans="1:23" ht="16.5" x14ac:dyDescent="0.3">
      <c r="A1913" t="s">
        <v>1975</v>
      </c>
      <c r="B1913" s="1">
        <v>45585</v>
      </c>
      <c r="C1913">
        <v>2024</v>
      </c>
      <c r="D1913" t="s">
        <v>1832</v>
      </c>
      <c r="E1913" t="s">
        <v>1833</v>
      </c>
      <c r="F1913" t="s">
        <v>41</v>
      </c>
      <c r="G1913" t="s">
        <v>51</v>
      </c>
      <c r="H1913" t="s">
        <v>28</v>
      </c>
      <c r="I1913" t="s">
        <v>39</v>
      </c>
      <c r="J1913" t="s">
        <v>46</v>
      </c>
      <c r="K1913" s="2">
        <v>5500</v>
      </c>
      <c r="L1913" s="2">
        <v>102500</v>
      </c>
      <c r="M1913">
        <v>12</v>
      </c>
      <c r="N1913" s="3">
        <v>1.7949999999999999</v>
      </c>
      <c r="O1913" t="s">
        <v>17</v>
      </c>
      <c r="P1913" t="s">
        <v>53</v>
      </c>
      <c r="Q1913">
        <v>0</v>
      </c>
      <c r="R1913">
        <v>1</v>
      </c>
      <c r="S1913" s="2">
        <v>0</v>
      </c>
      <c r="T1913" s="4"/>
      <c r="U1913">
        <v>13</v>
      </c>
      <c r="V1913">
        <v>0</v>
      </c>
      <c r="W1913">
        <v>1</v>
      </c>
    </row>
    <row r="1914" spans="1:23" ht="16.5" x14ac:dyDescent="0.3">
      <c r="A1914" t="s">
        <v>1976</v>
      </c>
      <c r="B1914" s="1">
        <v>45585</v>
      </c>
      <c r="C1914">
        <v>2024</v>
      </c>
      <c r="D1914" t="s">
        <v>1832</v>
      </c>
      <c r="E1914" t="s">
        <v>1833</v>
      </c>
      <c r="F1914" t="s">
        <v>50</v>
      </c>
      <c r="G1914" t="s">
        <v>45</v>
      </c>
      <c r="H1914" t="s">
        <v>28</v>
      </c>
      <c r="I1914" t="s">
        <v>39</v>
      </c>
      <c r="J1914" t="s">
        <v>46</v>
      </c>
      <c r="K1914" s="2">
        <v>5250</v>
      </c>
      <c r="L1914" s="2">
        <v>155000</v>
      </c>
      <c r="M1914">
        <v>240</v>
      </c>
      <c r="N1914" s="3">
        <v>0.41499999999999998</v>
      </c>
      <c r="O1914" t="s">
        <v>16</v>
      </c>
      <c r="Q1914">
        <v>1</v>
      </c>
      <c r="R1914">
        <v>0</v>
      </c>
      <c r="S1914" s="2">
        <v>155000</v>
      </c>
      <c r="T1914" s="4">
        <v>3.8399999999999997E-2</v>
      </c>
      <c r="U1914">
        <v>8</v>
      </c>
      <c r="V1914">
        <v>1</v>
      </c>
      <c r="W1914">
        <v>1</v>
      </c>
    </row>
    <row r="1915" spans="1:23" ht="16.5" x14ac:dyDescent="0.3">
      <c r="A1915" t="s">
        <v>1977</v>
      </c>
      <c r="B1915" s="1">
        <v>45586</v>
      </c>
      <c r="C1915">
        <v>2024</v>
      </c>
      <c r="D1915" t="s">
        <v>1832</v>
      </c>
      <c r="E1915" t="s">
        <v>1833</v>
      </c>
      <c r="F1915" t="s">
        <v>41</v>
      </c>
      <c r="G1915" t="s">
        <v>45</v>
      </c>
      <c r="H1915" t="s">
        <v>34</v>
      </c>
      <c r="I1915" t="s">
        <v>39</v>
      </c>
      <c r="J1915" t="s">
        <v>35</v>
      </c>
      <c r="K1915" s="2">
        <v>3800</v>
      </c>
      <c r="L1915" s="2">
        <v>84500</v>
      </c>
      <c r="M1915">
        <v>12</v>
      </c>
      <c r="N1915" s="3">
        <v>2.1459999999999999</v>
      </c>
      <c r="O1915" t="s">
        <v>17</v>
      </c>
      <c r="P1915" t="s">
        <v>53</v>
      </c>
      <c r="Q1915">
        <v>0</v>
      </c>
      <c r="R1915">
        <v>1</v>
      </c>
      <c r="S1915" s="2">
        <v>0</v>
      </c>
      <c r="T1915" s="4"/>
      <c r="U1915">
        <v>7</v>
      </c>
      <c r="V1915">
        <v>1</v>
      </c>
      <c r="W1915">
        <v>1</v>
      </c>
    </row>
    <row r="1916" spans="1:23" ht="16.5" x14ac:dyDescent="0.3">
      <c r="A1916" t="s">
        <v>1978</v>
      </c>
      <c r="B1916" s="1">
        <v>45586</v>
      </c>
      <c r="C1916">
        <v>2024</v>
      </c>
      <c r="D1916" t="s">
        <v>1832</v>
      </c>
      <c r="E1916" t="s">
        <v>1833</v>
      </c>
      <c r="F1916" t="s">
        <v>37</v>
      </c>
      <c r="G1916" t="s">
        <v>45</v>
      </c>
      <c r="H1916" t="s">
        <v>38</v>
      </c>
      <c r="I1916" t="s">
        <v>29</v>
      </c>
      <c r="J1916" t="s">
        <v>52</v>
      </c>
      <c r="K1916" s="2">
        <v>5550</v>
      </c>
      <c r="L1916" s="2">
        <v>24500</v>
      </c>
      <c r="M1916">
        <v>24</v>
      </c>
      <c r="N1916" s="3">
        <v>0.45200000000000001</v>
      </c>
      <c r="O1916" t="s">
        <v>17</v>
      </c>
      <c r="P1916" t="s">
        <v>60</v>
      </c>
      <c r="Q1916">
        <v>0</v>
      </c>
      <c r="R1916">
        <v>1</v>
      </c>
      <c r="S1916" s="2">
        <v>0</v>
      </c>
      <c r="T1916" s="4"/>
      <c r="U1916">
        <v>5</v>
      </c>
      <c r="V1916">
        <v>0</v>
      </c>
      <c r="W1916">
        <v>1</v>
      </c>
    </row>
    <row r="1917" spans="1:23" ht="16.5" x14ac:dyDescent="0.3">
      <c r="A1917" t="s">
        <v>1979</v>
      </c>
      <c r="B1917" s="1">
        <v>45586</v>
      </c>
      <c r="C1917">
        <v>2024</v>
      </c>
      <c r="D1917" t="s">
        <v>1832</v>
      </c>
      <c r="E1917" t="s">
        <v>1833</v>
      </c>
      <c r="F1917" t="s">
        <v>50</v>
      </c>
      <c r="G1917" t="s">
        <v>51</v>
      </c>
      <c r="H1917" t="s">
        <v>55</v>
      </c>
      <c r="I1917" t="s">
        <v>29</v>
      </c>
      <c r="J1917" t="s">
        <v>52</v>
      </c>
      <c r="K1917" s="2">
        <v>7650</v>
      </c>
      <c r="L1917" s="2">
        <v>214500</v>
      </c>
      <c r="M1917">
        <v>240</v>
      </c>
      <c r="N1917" s="3">
        <v>0.40500000000000003</v>
      </c>
      <c r="O1917" t="s">
        <v>16</v>
      </c>
      <c r="Q1917">
        <v>1</v>
      </c>
      <c r="R1917">
        <v>0</v>
      </c>
      <c r="S1917" s="2">
        <v>214500</v>
      </c>
      <c r="T1917" s="4">
        <v>5.2499999999999998E-2</v>
      </c>
      <c r="U1917">
        <v>17</v>
      </c>
      <c r="V1917">
        <v>0</v>
      </c>
      <c r="W1917">
        <v>1</v>
      </c>
    </row>
    <row r="1918" spans="1:23" ht="16.5" x14ac:dyDescent="0.3">
      <c r="A1918" t="s">
        <v>1980</v>
      </c>
      <c r="B1918" s="1">
        <v>45586</v>
      </c>
      <c r="C1918">
        <v>2024</v>
      </c>
      <c r="D1918" t="s">
        <v>1832</v>
      </c>
      <c r="E1918" t="s">
        <v>1833</v>
      </c>
      <c r="F1918" t="s">
        <v>41</v>
      </c>
      <c r="G1918" t="s">
        <v>51</v>
      </c>
      <c r="H1918" t="s">
        <v>34</v>
      </c>
      <c r="I1918" t="s">
        <v>42</v>
      </c>
      <c r="J1918" t="s">
        <v>35</v>
      </c>
      <c r="K1918" s="2">
        <v>8100</v>
      </c>
      <c r="L1918" s="2">
        <v>210500</v>
      </c>
      <c r="M1918">
        <v>36</v>
      </c>
      <c r="N1918" s="3">
        <v>1.0009999999999999</v>
      </c>
      <c r="O1918" t="s">
        <v>16</v>
      </c>
      <c r="Q1918">
        <v>1</v>
      </c>
      <c r="R1918">
        <v>0</v>
      </c>
      <c r="S1918" s="2">
        <v>210500</v>
      </c>
      <c r="T1918" s="4">
        <v>0.1099</v>
      </c>
      <c r="U1918">
        <v>24</v>
      </c>
      <c r="V1918">
        <v>0</v>
      </c>
      <c r="W1918">
        <v>1</v>
      </c>
    </row>
    <row r="1919" spans="1:23" ht="16.5" x14ac:dyDescent="0.3">
      <c r="A1919" t="s">
        <v>1981</v>
      </c>
      <c r="B1919" s="1">
        <v>45586</v>
      </c>
      <c r="C1919">
        <v>2024</v>
      </c>
      <c r="D1919" t="s">
        <v>1832</v>
      </c>
      <c r="E1919" t="s">
        <v>1833</v>
      </c>
      <c r="F1919" t="s">
        <v>50</v>
      </c>
      <c r="G1919" t="s">
        <v>45</v>
      </c>
      <c r="H1919" t="s">
        <v>34</v>
      </c>
      <c r="I1919" t="s">
        <v>42</v>
      </c>
      <c r="J1919" t="s">
        <v>35</v>
      </c>
      <c r="K1919" s="2">
        <v>2450</v>
      </c>
      <c r="L1919" s="2">
        <v>215500</v>
      </c>
      <c r="M1919">
        <v>240</v>
      </c>
      <c r="N1919" s="3">
        <v>0.71599999999999997</v>
      </c>
      <c r="O1919" t="s">
        <v>16</v>
      </c>
      <c r="Q1919">
        <v>1</v>
      </c>
      <c r="R1919">
        <v>0</v>
      </c>
      <c r="S1919" s="2">
        <v>215500</v>
      </c>
      <c r="T1919" s="4">
        <v>5.9900000000000002E-2</v>
      </c>
      <c r="U1919">
        <v>9</v>
      </c>
      <c r="V1919">
        <v>1</v>
      </c>
      <c r="W1919">
        <v>1</v>
      </c>
    </row>
    <row r="1920" spans="1:23" ht="16.5" x14ac:dyDescent="0.3">
      <c r="A1920" t="s">
        <v>1982</v>
      </c>
      <c r="B1920" s="1">
        <v>45586</v>
      </c>
      <c r="C1920">
        <v>2024</v>
      </c>
      <c r="D1920" t="s">
        <v>1832</v>
      </c>
      <c r="E1920" t="s">
        <v>1833</v>
      </c>
      <c r="F1920" t="s">
        <v>37</v>
      </c>
      <c r="G1920" t="s">
        <v>51</v>
      </c>
      <c r="H1920" t="s">
        <v>55</v>
      </c>
      <c r="I1920" t="s">
        <v>29</v>
      </c>
      <c r="J1920" t="s">
        <v>30</v>
      </c>
      <c r="K1920" s="2">
        <v>7400</v>
      </c>
      <c r="L1920" s="2">
        <v>12000</v>
      </c>
      <c r="M1920">
        <v>12</v>
      </c>
      <c r="N1920" s="3">
        <v>0.318</v>
      </c>
      <c r="O1920" t="s">
        <v>16</v>
      </c>
      <c r="Q1920">
        <v>1</v>
      </c>
      <c r="R1920">
        <v>0</v>
      </c>
      <c r="S1920" s="2">
        <v>12000</v>
      </c>
      <c r="T1920" s="4">
        <v>0.13900000000000001</v>
      </c>
      <c r="U1920">
        <v>3</v>
      </c>
      <c r="V1920">
        <v>1</v>
      </c>
      <c r="W1920">
        <v>1</v>
      </c>
    </row>
    <row r="1921" spans="1:23" ht="16.5" x14ac:dyDescent="0.3">
      <c r="A1921" t="s">
        <v>1983</v>
      </c>
      <c r="B1921" s="1">
        <v>45586</v>
      </c>
      <c r="C1921">
        <v>2024</v>
      </c>
      <c r="D1921" t="s">
        <v>1832</v>
      </c>
      <c r="E1921" t="s">
        <v>1833</v>
      </c>
      <c r="F1921" t="s">
        <v>37</v>
      </c>
      <c r="G1921" t="s">
        <v>33</v>
      </c>
      <c r="H1921" t="s">
        <v>55</v>
      </c>
      <c r="I1921" t="s">
        <v>29</v>
      </c>
      <c r="J1921" t="s">
        <v>52</v>
      </c>
      <c r="K1921" s="2">
        <v>3750</v>
      </c>
      <c r="L1921" s="2">
        <v>3000</v>
      </c>
      <c r="M1921">
        <v>60</v>
      </c>
      <c r="N1921" s="3">
        <v>0.17</v>
      </c>
      <c r="O1921" t="s">
        <v>16</v>
      </c>
      <c r="Q1921">
        <v>1</v>
      </c>
      <c r="R1921">
        <v>0</v>
      </c>
      <c r="S1921" s="2">
        <v>3000</v>
      </c>
      <c r="T1921" s="4">
        <v>0.109</v>
      </c>
      <c r="U1921">
        <v>2</v>
      </c>
      <c r="V1921">
        <v>1</v>
      </c>
      <c r="W1921">
        <v>1</v>
      </c>
    </row>
    <row r="1922" spans="1:23" ht="16.5" x14ac:dyDescent="0.3">
      <c r="A1922" t="s">
        <v>1984</v>
      </c>
      <c r="B1922" s="1">
        <v>45586</v>
      </c>
      <c r="C1922">
        <v>2024</v>
      </c>
      <c r="D1922" t="s">
        <v>1832</v>
      </c>
      <c r="E1922" t="s">
        <v>1833</v>
      </c>
      <c r="F1922" t="s">
        <v>26</v>
      </c>
      <c r="G1922" t="s">
        <v>51</v>
      </c>
      <c r="H1922" t="s">
        <v>38</v>
      </c>
      <c r="I1922" t="s">
        <v>39</v>
      </c>
      <c r="J1922" t="s">
        <v>35</v>
      </c>
      <c r="K1922" s="2">
        <v>5500</v>
      </c>
      <c r="L1922" s="2">
        <v>47000</v>
      </c>
      <c r="M1922">
        <v>36</v>
      </c>
      <c r="N1922" s="3">
        <v>0.40300000000000002</v>
      </c>
      <c r="O1922" t="s">
        <v>16</v>
      </c>
      <c r="Q1922">
        <v>1</v>
      </c>
      <c r="R1922">
        <v>0</v>
      </c>
      <c r="S1922" s="2">
        <v>47000</v>
      </c>
      <c r="T1922" s="4">
        <v>8.3199999999999996E-2</v>
      </c>
      <c r="U1922">
        <v>5</v>
      </c>
      <c r="V1922">
        <v>0</v>
      </c>
      <c r="W1922">
        <v>1</v>
      </c>
    </row>
    <row r="1923" spans="1:23" ht="16.5" x14ac:dyDescent="0.3">
      <c r="A1923" t="s">
        <v>1985</v>
      </c>
      <c r="B1923" s="1">
        <v>45586</v>
      </c>
      <c r="C1923">
        <v>2024</v>
      </c>
      <c r="D1923" t="s">
        <v>1832</v>
      </c>
      <c r="E1923" t="s">
        <v>1833</v>
      </c>
      <c r="F1923" t="s">
        <v>26</v>
      </c>
      <c r="G1923" t="s">
        <v>51</v>
      </c>
      <c r="H1923" t="s">
        <v>34</v>
      </c>
      <c r="I1923" t="s">
        <v>39</v>
      </c>
      <c r="J1923" t="s">
        <v>35</v>
      </c>
      <c r="K1923" s="2">
        <v>9500</v>
      </c>
      <c r="L1923" s="2">
        <v>11500</v>
      </c>
      <c r="M1923">
        <v>48</v>
      </c>
      <c r="N1923" s="3">
        <v>0.21299999999999999</v>
      </c>
      <c r="O1923" t="s">
        <v>16</v>
      </c>
      <c r="Q1923">
        <v>1</v>
      </c>
      <c r="R1923">
        <v>0</v>
      </c>
      <c r="S1923" s="2">
        <v>9000</v>
      </c>
      <c r="T1923" s="4">
        <v>8.2699999999999996E-2</v>
      </c>
      <c r="U1923">
        <v>13</v>
      </c>
      <c r="V1923">
        <v>0</v>
      </c>
      <c r="W1923">
        <v>1</v>
      </c>
    </row>
    <row r="1924" spans="1:23" ht="16.5" x14ac:dyDescent="0.3">
      <c r="A1924" t="s">
        <v>1986</v>
      </c>
      <c r="B1924" s="1">
        <v>45586</v>
      </c>
      <c r="C1924">
        <v>2024</v>
      </c>
      <c r="D1924" t="s">
        <v>1832</v>
      </c>
      <c r="E1924" t="s">
        <v>1833</v>
      </c>
      <c r="F1924" t="s">
        <v>41</v>
      </c>
      <c r="G1924" t="s">
        <v>27</v>
      </c>
      <c r="H1924" t="s">
        <v>34</v>
      </c>
      <c r="I1924" t="s">
        <v>42</v>
      </c>
      <c r="J1924" t="s">
        <v>35</v>
      </c>
      <c r="K1924" s="2">
        <v>5100</v>
      </c>
      <c r="L1924" s="2">
        <v>93500</v>
      </c>
      <c r="M1924">
        <v>24</v>
      </c>
      <c r="N1924" s="3">
        <v>0.93100000000000005</v>
      </c>
      <c r="O1924" t="s">
        <v>16</v>
      </c>
      <c r="Q1924">
        <v>1</v>
      </c>
      <c r="R1924">
        <v>0</v>
      </c>
      <c r="S1924" s="2">
        <v>84000</v>
      </c>
      <c r="T1924" s="4">
        <v>0.10780000000000001</v>
      </c>
      <c r="U1924">
        <v>18</v>
      </c>
      <c r="V1924">
        <v>0</v>
      </c>
      <c r="W1924">
        <v>1</v>
      </c>
    </row>
    <row r="1925" spans="1:23" ht="16.5" x14ac:dyDescent="0.3">
      <c r="A1925" t="s">
        <v>1987</v>
      </c>
      <c r="B1925" s="1">
        <v>45586</v>
      </c>
      <c r="C1925">
        <v>2024</v>
      </c>
      <c r="D1925" t="s">
        <v>1832</v>
      </c>
      <c r="E1925" t="s">
        <v>1833</v>
      </c>
      <c r="F1925" t="s">
        <v>41</v>
      </c>
      <c r="G1925" t="s">
        <v>51</v>
      </c>
      <c r="H1925" t="s">
        <v>64</v>
      </c>
      <c r="I1925" t="s">
        <v>39</v>
      </c>
      <c r="J1925" t="s">
        <v>35</v>
      </c>
      <c r="K1925" s="2">
        <v>9750</v>
      </c>
      <c r="L1925" s="2">
        <v>86000</v>
      </c>
      <c r="M1925">
        <v>60</v>
      </c>
      <c r="N1925" s="3">
        <v>0.249</v>
      </c>
      <c r="O1925" t="s">
        <v>16</v>
      </c>
      <c r="Q1925">
        <v>1</v>
      </c>
      <c r="R1925">
        <v>0</v>
      </c>
      <c r="S1925" s="2">
        <v>86000</v>
      </c>
      <c r="T1925" s="4">
        <v>0.1095</v>
      </c>
      <c r="U1925">
        <v>12</v>
      </c>
      <c r="V1925">
        <v>0</v>
      </c>
      <c r="W1925">
        <v>1</v>
      </c>
    </row>
    <row r="1926" spans="1:23" ht="16.5" x14ac:dyDescent="0.3">
      <c r="A1926" t="s">
        <v>1988</v>
      </c>
      <c r="B1926" s="1">
        <v>45586</v>
      </c>
      <c r="C1926">
        <v>2024</v>
      </c>
      <c r="D1926" t="s">
        <v>1832</v>
      </c>
      <c r="E1926" t="s">
        <v>1833</v>
      </c>
      <c r="F1926" t="s">
        <v>37</v>
      </c>
      <c r="G1926" t="s">
        <v>51</v>
      </c>
      <c r="H1926" t="s">
        <v>55</v>
      </c>
      <c r="I1926" t="s">
        <v>39</v>
      </c>
      <c r="J1926" t="s">
        <v>52</v>
      </c>
      <c r="K1926" s="2">
        <v>8050</v>
      </c>
      <c r="L1926" s="2">
        <v>18000</v>
      </c>
      <c r="M1926">
        <v>48</v>
      </c>
      <c r="N1926" s="3">
        <v>0.26800000000000002</v>
      </c>
      <c r="O1926" t="s">
        <v>16</v>
      </c>
      <c r="Q1926">
        <v>1</v>
      </c>
      <c r="R1926">
        <v>0</v>
      </c>
      <c r="S1926" s="2">
        <v>18000</v>
      </c>
      <c r="T1926" s="4">
        <v>0.1134</v>
      </c>
      <c r="U1926">
        <v>4</v>
      </c>
      <c r="V1926">
        <v>0</v>
      </c>
      <c r="W1926">
        <v>1</v>
      </c>
    </row>
    <row r="1927" spans="1:23" ht="16.5" x14ac:dyDescent="0.3">
      <c r="A1927" t="s">
        <v>1989</v>
      </c>
      <c r="B1927" s="1">
        <v>45587</v>
      </c>
      <c r="C1927">
        <v>2024</v>
      </c>
      <c r="D1927" t="s">
        <v>1832</v>
      </c>
      <c r="E1927" t="s">
        <v>1833</v>
      </c>
      <c r="F1927" t="s">
        <v>37</v>
      </c>
      <c r="G1927" t="s">
        <v>45</v>
      </c>
      <c r="H1927" t="s">
        <v>34</v>
      </c>
      <c r="I1927" t="s">
        <v>39</v>
      </c>
      <c r="J1927" t="s">
        <v>35</v>
      </c>
      <c r="K1927" s="2">
        <v>4250</v>
      </c>
      <c r="L1927" s="2">
        <v>9500</v>
      </c>
      <c r="M1927">
        <v>36</v>
      </c>
      <c r="N1927" s="3">
        <v>0.23499999999999999</v>
      </c>
      <c r="O1927" t="s">
        <v>16</v>
      </c>
      <c r="Q1927">
        <v>1</v>
      </c>
      <c r="R1927">
        <v>0</v>
      </c>
      <c r="S1927" s="2">
        <v>8500</v>
      </c>
      <c r="T1927" s="4">
        <v>0.12</v>
      </c>
      <c r="U1927">
        <v>1</v>
      </c>
      <c r="V1927">
        <v>1</v>
      </c>
      <c r="W1927">
        <v>1</v>
      </c>
    </row>
    <row r="1928" spans="1:23" ht="16.5" x14ac:dyDescent="0.3">
      <c r="A1928" t="s">
        <v>1990</v>
      </c>
      <c r="B1928" s="1">
        <v>45587</v>
      </c>
      <c r="C1928">
        <v>2024</v>
      </c>
      <c r="D1928" t="s">
        <v>1832</v>
      </c>
      <c r="E1928" t="s">
        <v>1833</v>
      </c>
      <c r="F1928" t="s">
        <v>50</v>
      </c>
      <c r="G1928" t="s">
        <v>45</v>
      </c>
      <c r="H1928" t="s">
        <v>34</v>
      </c>
      <c r="I1928" t="s">
        <v>39</v>
      </c>
      <c r="J1928" t="s">
        <v>35</v>
      </c>
      <c r="K1928" s="2">
        <v>14700</v>
      </c>
      <c r="L1928" s="2">
        <v>174000</v>
      </c>
      <c r="M1928">
        <v>240</v>
      </c>
      <c r="N1928" s="3">
        <v>0.14899999999999999</v>
      </c>
      <c r="O1928" t="s">
        <v>16</v>
      </c>
      <c r="Q1928">
        <v>1</v>
      </c>
      <c r="R1928">
        <v>0</v>
      </c>
      <c r="S1928" s="2">
        <v>174000</v>
      </c>
      <c r="T1928" s="4">
        <v>6.54E-2</v>
      </c>
      <c r="U1928">
        <v>7</v>
      </c>
      <c r="V1928">
        <v>1</v>
      </c>
      <c r="W1928">
        <v>1</v>
      </c>
    </row>
    <row r="1929" spans="1:23" ht="16.5" x14ac:dyDescent="0.3">
      <c r="A1929" t="s">
        <v>1991</v>
      </c>
      <c r="B1929" s="1">
        <v>45587</v>
      </c>
      <c r="C1929">
        <v>2024</v>
      </c>
      <c r="D1929" t="s">
        <v>1832</v>
      </c>
      <c r="E1929" t="s">
        <v>1833</v>
      </c>
      <c r="F1929" t="s">
        <v>26</v>
      </c>
      <c r="G1929" t="s">
        <v>33</v>
      </c>
      <c r="H1929" t="s">
        <v>55</v>
      </c>
      <c r="I1929" t="s">
        <v>29</v>
      </c>
      <c r="J1929" t="s">
        <v>30</v>
      </c>
      <c r="K1929" s="2">
        <v>4150</v>
      </c>
      <c r="L1929" s="2">
        <v>51000</v>
      </c>
      <c r="M1929">
        <v>60</v>
      </c>
      <c r="N1929" s="3">
        <v>0.46700000000000003</v>
      </c>
      <c r="O1929" t="s">
        <v>125</v>
      </c>
      <c r="Q1929">
        <v>0</v>
      </c>
      <c r="R1929">
        <v>0</v>
      </c>
      <c r="S1929" s="2">
        <v>0</v>
      </c>
      <c r="T1929" s="4"/>
      <c r="U1929">
        <v>5</v>
      </c>
      <c r="V1929">
        <v>0</v>
      </c>
      <c r="W1929">
        <v>1</v>
      </c>
    </row>
    <row r="1930" spans="1:23" ht="16.5" x14ac:dyDescent="0.3">
      <c r="A1930" t="s">
        <v>1992</v>
      </c>
      <c r="B1930" s="1">
        <v>45587</v>
      </c>
      <c r="C1930">
        <v>2024</v>
      </c>
      <c r="D1930" t="s">
        <v>1832</v>
      </c>
      <c r="E1930" t="s">
        <v>1833</v>
      </c>
      <c r="F1930" t="s">
        <v>41</v>
      </c>
      <c r="G1930" t="s">
        <v>33</v>
      </c>
      <c r="H1930" t="s">
        <v>55</v>
      </c>
      <c r="I1930" t="s">
        <v>29</v>
      </c>
      <c r="J1930" t="s">
        <v>52</v>
      </c>
      <c r="K1930" s="2">
        <v>11950</v>
      </c>
      <c r="L1930" s="2">
        <v>85500</v>
      </c>
      <c r="M1930">
        <v>60</v>
      </c>
      <c r="N1930" s="3">
        <v>0.255</v>
      </c>
      <c r="O1930" t="s">
        <v>16</v>
      </c>
      <c r="Q1930">
        <v>1</v>
      </c>
      <c r="R1930">
        <v>0</v>
      </c>
      <c r="S1930" s="2">
        <v>68500</v>
      </c>
      <c r="T1930" s="4">
        <v>9.8199999999999996E-2</v>
      </c>
      <c r="U1930">
        <v>4</v>
      </c>
      <c r="V1930">
        <v>1</v>
      </c>
      <c r="W1930">
        <v>1</v>
      </c>
    </row>
    <row r="1931" spans="1:23" ht="16.5" x14ac:dyDescent="0.3">
      <c r="A1931" t="s">
        <v>1993</v>
      </c>
      <c r="B1931" s="1">
        <v>45587</v>
      </c>
      <c r="C1931">
        <v>2024</v>
      </c>
      <c r="D1931" t="s">
        <v>1832</v>
      </c>
      <c r="E1931" t="s">
        <v>1833</v>
      </c>
      <c r="F1931" t="s">
        <v>37</v>
      </c>
      <c r="G1931" t="s">
        <v>51</v>
      </c>
      <c r="H1931" t="s">
        <v>55</v>
      </c>
      <c r="I1931" t="s">
        <v>39</v>
      </c>
      <c r="J1931" t="s">
        <v>35</v>
      </c>
      <c r="K1931" s="2">
        <v>3800</v>
      </c>
      <c r="L1931" s="2">
        <v>12500</v>
      </c>
      <c r="M1931">
        <v>48</v>
      </c>
      <c r="N1931" s="3">
        <v>0.317</v>
      </c>
      <c r="O1931" t="s">
        <v>16</v>
      </c>
      <c r="Q1931">
        <v>1</v>
      </c>
      <c r="R1931">
        <v>0</v>
      </c>
      <c r="S1931" s="2">
        <v>11000</v>
      </c>
      <c r="T1931" s="4">
        <v>0.1229</v>
      </c>
      <c r="U1931">
        <v>6</v>
      </c>
      <c r="V1931">
        <v>0</v>
      </c>
      <c r="W1931">
        <v>1</v>
      </c>
    </row>
    <row r="1932" spans="1:23" ht="16.5" x14ac:dyDescent="0.3">
      <c r="A1932" t="s">
        <v>1994</v>
      </c>
      <c r="B1932" s="1">
        <v>45587</v>
      </c>
      <c r="C1932">
        <v>2024</v>
      </c>
      <c r="D1932" t="s">
        <v>1832</v>
      </c>
      <c r="E1932" t="s">
        <v>1833</v>
      </c>
      <c r="F1932" t="s">
        <v>26</v>
      </c>
      <c r="G1932" t="s">
        <v>27</v>
      </c>
      <c r="H1932" t="s">
        <v>34</v>
      </c>
      <c r="I1932" t="s">
        <v>29</v>
      </c>
      <c r="J1932" t="s">
        <v>52</v>
      </c>
      <c r="K1932" s="2">
        <v>2450</v>
      </c>
      <c r="L1932" s="2">
        <v>48000</v>
      </c>
      <c r="M1932">
        <v>60</v>
      </c>
      <c r="N1932" s="3">
        <v>0.504</v>
      </c>
      <c r="O1932" t="s">
        <v>125</v>
      </c>
      <c r="Q1932">
        <v>0</v>
      </c>
      <c r="R1932">
        <v>0</v>
      </c>
      <c r="S1932" s="2">
        <v>0</v>
      </c>
      <c r="T1932" s="4"/>
      <c r="U1932">
        <v>7</v>
      </c>
      <c r="V1932">
        <v>0</v>
      </c>
      <c r="W1932">
        <v>1</v>
      </c>
    </row>
    <row r="1933" spans="1:23" ht="16.5" x14ac:dyDescent="0.3">
      <c r="A1933" t="s">
        <v>1995</v>
      </c>
      <c r="B1933" s="1">
        <v>45587</v>
      </c>
      <c r="C1933">
        <v>2024</v>
      </c>
      <c r="D1933" t="s">
        <v>1832</v>
      </c>
      <c r="E1933" t="s">
        <v>1833</v>
      </c>
      <c r="F1933" t="s">
        <v>37</v>
      </c>
      <c r="G1933" t="s">
        <v>33</v>
      </c>
      <c r="H1933" t="s">
        <v>34</v>
      </c>
      <c r="I1933" t="s">
        <v>42</v>
      </c>
      <c r="J1933" t="s">
        <v>30</v>
      </c>
      <c r="K1933" s="2">
        <v>10100</v>
      </c>
      <c r="L1933" s="2">
        <v>14000</v>
      </c>
      <c r="M1933">
        <v>12</v>
      </c>
      <c r="N1933" s="3">
        <v>0.26900000000000002</v>
      </c>
      <c r="O1933" t="s">
        <v>17</v>
      </c>
      <c r="P1933" t="s">
        <v>31</v>
      </c>
      <c r="Q1933">
        <v>0</v>
      </c>
      <c r="R1933">
        <v>1</v>
      </c>
      <c r="S1933" s="2">
        <v>0</v>
      </c>
      <c r="T1933" s="4"/>
      <c r="U1933">
        <v>1</v>
      </c>
      <c r="V1933">
        <v>1</v>
      </c>
      <c r="W1933">
        <v>1</v>
      </c>
    </row>
    <row r="1934" spans="1:23" ht="16.5" x14ac:dyDescent="0.3">
      <c r="A1934" t="s">
        <v>1996</v>
      </c>
      <c r="B1934" s="1">
        <v>45587</v>
      </c>
      <c r="C1934">
        <v>2024</v>
      </c>
      <c r="D1934" t="s">
        <v>1832</v>
      </c>
      <c r="E1934" t="s">
        <v>1833</v>
      </c>
      <c r="F1934" t="s">
        <v>26</v>
      </c>
      <c r="G1934" t="s">
        <v>33</v>
      </c>
      <c r="H1934" t="s">
        <v>34</v>
      </c>
      <c r="I1934" t="s">
        <v>29</v>
      </c>
      <c r="J1934" t="s">
        <v>35</v>
      </c>
      <c r="K1934" s="2">
        <v>5100</v>
      </c>
      <c r="L1934" s="2">
        <v>56500</v>
      </c>
      <c r="M1934">
        <v>36</v>
      </c>
      <c r="N1934" s="3">
        <v>0.41099999999999998</v>
      </c>
      <c r="O1934" t="s">
        <v>16</v>
      </c>
      <c r="Q1934">
        <v>1</v>
      </c>
      <c r="R1934">
        <v>0</v>
      </c>
      <c r="S1934" s="2">
        <v>56500</v>
      </c>
      <c r="T1934" s="4">
        <v>8.0699999999999994E-2</v>
      </c>
      <c r="U1934">
        <v>2</v>
      </c>
      <c r="V1934">
        <v>1</v>
      </c>
      <c r="W1934">
        <v>1</v>
      </c>
    </row>
    <row r="1935" spans="1:23" ht="16.5" x14ac:dyDescent="0.3">
      <c r="A1935" t="s">
        <v>1997</v>
      </c>
      <c r="B1935" s="1">
        <v>45587</v>
      </c>
      <c r="C1935">
        <v>2024</v>
      </c>
      <c r="D1935" t="s">
        <v>1832</v>
      </c>
      <c r="E1935" t="s">
        <v>1833</v>
      </c>
      <c r="F1935" t="s">
        <v>37</v>
      </c>
      <c r="G1935" t="s">
        <v>27</v>
      </c>
      <c r="H1935" t="s">
        <v>38</v>
      </c>
      <c r="I1935" t="s">
        <v>29</v>
      </c>
      <c r="J1935" t="s">
        <v>43</v>
      </c>
      <c r="K1935" s="2">
        <v>5250</v>
      </c>
      <c r="L1935" s="2">
        <v>18000</v>
      </c>
      <c r="M1935">
        <v>48</v>
      </c>
      <c r="N1935" s="3">
        <v>0.24099999999999999</v>
      </c>
      <c r="O1935" t="s">
        <v>17</v>
      </c>
      <c r="P1935" t="s">
        <v>31</v>
      </c>
      <c r="Q1935">
        <v>0</v>
      </c>
      <c r="R1935">
        <v>1</v>
      </c>
      <c r="S1935" s="2">
        <v>0</v>
      </c>
      <c r="T1935" s="4"/>
      <c r="U1935">
        <v>4</v>
      </c>
      <c r="V1935">
        <v>0</v>
      </c>
      <c r="W1935">
        <v>1</v>
      </c>
    </row>
    <row r="1936" spans="1:23" ht="16.5" x14ac:dyDescent="0.3">
      <c r="A1936" t="s">
        <v>1998</v>
      </c>
      <c r="B1936" s="1">
        <v>45588</v>
      </c>
      <c r="C1936">
        <v>2024</v>
      </c>
      <c r="D1936" t="s">
        <v>1832</v>
      </c>
      <c r="E1936" t="s">
        <v>1833</v>
      </c>
      <c r="F1936" t="s">
        <v>37</v>
      </c>
      <c r="G1936" t="s">
        <v>45</v>
      </c>
      <c r="H1936" t="s">
        <v>55</v>
      </c>
      <c r="I1936" t="s">
        <v>39</v>
      </c>
      <c r="J1936" t="s">
        <v>43</v>
      </c>
      <c r="K1936" s="2">
        <v>3400</v>
      </c>
      <c r="L1936" s="2">
        <v>11500</v>
      </c>
      <c r="M1936">
        <v>36</v>
      </c>
      <c r="N1936" s="3">
        <v>0.313</v>
      </c>
      <c r="O1936" t="s">
        <v>16</v>
      </c>
      <c r="Q1936">
        <v>1</v>
      </c>
      <c r="R1936">
        <v>0</v>
      </c>
      <c r="S1936" s="2">
        <v>11500</v>
      </c>
      <c r="T1936" s="4">
        <v>0.15870000000000001</v>
      </c>
      <c r="U1936">
        <v>2</v>
      </c>
      <c r="V1936">
        <v>1</v>
      </c>
      <c r="W1936">
        <v>1</v>
      </c>
    </row>
    <row r="1937" spans="1:23" ht="16.5" x14ac:dyDescent="0.3">
      <c r="A1937" t="s">
        <v>1999</v>
      </c>
      <c r="B1937" s="1">
        <v>45588</v>
      </c>
      <c r="C1937">
        <v>2024</v>
      </c>
      <c r="D1937" t="s">
        <v>1832</v>
      </c>
      <c r="E1937" t="s">
        <v>1833</v>
      </c>
      <c r="F1937" t="s">
        <v>50</v>
      </c>
      <c r="G1937" t="s">
        <v>45</v>
      </c>
      <c r="H1937" t="s">
        <v>64</v>
      </c>
      <c r="I1937" t="s">
        <v>42</v>
      </c>
      <c r="J1937" t="s">
        <v>35</v>
      </c>
      <c r="K1937" s="2">
        <v>5450</v>
      </c>
      <c r="L1937" s="2">
        <v>370000</v>
      </c>
      <c r="M1937">
        <v>180</v>
      </c>
      <c r="N1937" s="3">
        <v>0.747</v>
      </c>
      <c r="O1937" t="s">
        <v>17</v>
      </c>
      <c r="P1937" t="s">
        <v>53</v>
      </c>
      <c r="Q1937">
        <v>0</v>
      </c>
      <c r="R1937">
        <v>1</v>
      </c>
      <c r="S1937" s="2">
        <v>0</v>
      </c>
      <c r="T1937" s="4"/>
      <c r="U1937">
        <v>7</v>
      </c>
      <c r="V1937">
        <v>1</v>
      </c>
      <c r="W1937">
        <v>1</v>
      </c>
    </row>
    <row r="1938" spans="1:23" ht="16.5" x14ac:dyDescent="0.3">
      <c r="A1938" t="s">
        <v>2000</v>
      </c>
      <c r="B1938" s="1">
        <v>45588</v>
      </c>
      <c r="C1938">
        <v>2024</v>
      </c>
      <c r="D1938" t="s">
        <v>1832</v>
      </c>
      <c r="E1938" t="s">
        <v>1833</v>
      </c>
      <c r="F1938" t="s">
        <v>26</v>
      </c>
      <c r="G1938" t="s">
        <v>33</v>
      </c>
      <c r="H1938" t="s">
        <v>55</v>
      </c>
      <c r="I1938" t="s">
        <v>42</v>
      </c>
      <c r="J1938" t="s">
        <v>35</v>
      </c>
      <c r="K1938" s="2">
        <v>10250</v>
      </c>
      <c r="L1938" s="2">
        <v>18500</v>
      </c>
      <c r="M1938">
        <v>60</v>
      </c>
      <c r="N1938" s="3">
        <v>0.19700000000000001</v>
      </c>
      <c r="O1938" t="s">
        <v>16</v>
      </c>
      <c r="Q1938">
        <v>1</v>
      </c>
      <c r="R1938">
        <v>0</v>
      </c>
      <c r="S1938" s="2">
        <v>18500</v>
      </c>
      <c r="T1938" s="4">
        <v>8.5599999999999996E-2</v>
      </c>
      <c r="U1938">
        <v>5</v>
      </c>
      <c r="V1938">
        <v>0</v>
      </c>
      <c r="W1938">
        <v>1</v>
      </c>
    </row>
    <row r="1939" spans="1:23" ht="16.5" x14ac:dyDescent="0.3">
      <c r="A1939" t="s">
        <v>2001</v>
      </c>
      <c r="B1939" s="1">
        <v>45588</v>
      </c>
      <c r="C1939">
        <v>2024</v>
      </c>
      <c r="D1939" t="s">
        <v>1832</v>
      </c>
      <c r="E1939" t="s">
        <v>1833</v>
      </c>
      <c r="F1939" t="s">
        <v>26</v>
      </c>
      <c r="G1939" t="s">
        <v>51</v>
      </c>
      <c r="H1939" t="s">
        <v>38</v>
      </c>
      <c r="I1939" t="s">
        <v>39</v>
      </c>
      <c r="J1939" t="s">
        <v>52</v>
      </c>
      <c r="K1939" s="2">
        <v>5900</v>
      </c>
      <c r="L1939" s="2">
        <v>16000</v>
      </c>
      <c r="M1939">
        <v>60</v>
      </c>
      <c r="N1939" s="3">
        <v>0.29399999999999998</v>
      </c>
      <c r="O1939" t="s">
        <v>16</v>
      </c>
      <c r="Q1939">
        <v>1</v>
      </c>
      <c r="R1939">
        <v>0</v>
      </c>
      <c r="S1939" s="2">
        <v>16000</v>
      </c>
      <c r="T1939" s="4">
        <v>7.1900000000000006E-2</v>
      </c>
      <c r="U1939">
        <v>8</v>
      </c>
      <c r="V1939">
        <v>0</v>
      </c>
      <c r="W1939">
        <v>1</v>
      </c>
    </row>
    <row r="1940" spans="1:23" ht="16.5" x14ac:dyDescent="0.3">
      <c r="A1940" t="s">
        <v>2002</v>
      </c>
      <c r="B1940" s="1">
        <v>45588</v>
      </c>
      <c r="C1940">
        <v>2024</v>
      </c>
      <c r="D1940" t="s">
        <v>1832</v>
      </c>
      <c r="E1940" t="s">
        <v>1833</v>
      </c>
      <c r="F1940" t="s">
        <v>41</v>
      </c>
      <c r="G1940" t="s">
        <v>51</v>
      </c>
      <c r="H1940" t="s">
        <v>55</v>
      </c>
      <c r="I1940" t="s">
        <v>39</v>
      </c>
      <c r="J1940" t="s">
        <v>46</v>
      </c>
      <c r="K1940" s="2">
        <v>8900</v>
      </c>
      <c r="L1940" s="2">
        <v>86500</v>
      </c>
      <c r="M1940">
        <v>12</v>
      </c>
      <c r="N1940" s="3">
        <v>1.028</v>
      </c>
      <c r="O1940" t="s">
        <v>17</v>
      </c>
      <c r="P1940" t="s">
        <v>53</v>
      </c>
      <c r="Q1940">
        <v>0</v>
      </c>
      <c r="R1940">
        <v>1</v>
      </c>
      <c r="S1940" s="2">
        <v>0</v>
      </c>
      <c r="T1940" s="4"/>
      <c r="U1940">
        <v>16</v>
      </c>
      <c r="V1940">
        <v>0</v>
      </c>
      <c r="W1940">
        <v>1</v>
      </c>
    </row>
    <row r="1941" spans="1:23" ht="16.5" x14ac:dyDescent="0.3">
      <c r="A1941" t="s">
        <v>2003</v>
      </c>
      <c r="B1941" s="1">
        <v>45588</v>
      </c>
      <c r="C1941">
        <v>2024</v>
      </c>
      <c r="D1941" t="s">
        <v>1832</v>
      </c>
      <c r="E1941" t="s">
        <v>1833</v>
      </c>
      <c r="F1941" t="s">
        <v>37</v>
      </c>
      <c r="G1941" t="s">
        <v>33</v>
      </c>
      <c r="H1941" t="s">
        <v>38</v>
      </c>
      <c r="I1941" t="s">
        <v>39</v>
      </c>
      <c r="J1941" t="s">
        <v>35</v>
      </c>
      <c r="K1941" s="2">
        <v>5600</v>
      </c>
      <c r="L1941" s="2">
        <v>17000</v>
      </c>
      <c r="M1941">
        <v>36</v>
      </c>
      <c r="N1941" s="3">
        <v>0.28499999999999998</v>
      </c>
      <c r="O1941" t="s">
        <v>16</v>
      </c>
      <c r="Q1941">
        <v>1</v>
      </c>
      <c r="R1941">
        <v>0</v>
      </c>
      <c r="S1941" s="2">
        <v>15500</v>
      </c>
      <c r="T1941" s="4">
        <v>0.123</v>
      </c>
      <c r="U1941">
        <v>2</v>
      </c>
      <c r="V1941">
        <v>1</v>
      </c>
      <c r="W1941">
        <v>1</v>
      </c>
    </row>
    <row r="1942" spans="1:23" ht="16.5" x14ac:dyDescent="0.3">
      <c r="A1942" t="s">
        <v>2004</v>
      </c>
      <c r="B1942" s="1">
        <v>45588</v>
      </c>
      <c r="C1942">
        <v>2024</v>
      </c>
      <c r="D1942" t="s">
        <v>1832</v>
      </c>
      <c r="E1942" t="s">
        <v>1833</v>
      </c>
      <c r="F1942" t="s">
        <v>26</v>
      </c>
      <c r="G1942" t="s">
        <v>45</v>
      </c>
      <c r="H1942" t="s">
        <v>28</v>
      </c>
      <c r="I1942" t="s">
        <v>29</v>
      </c>
      <c r="J1942" t="s">
        <v>52</v>
      </c>
      <c r="K1942" s="2">
        <v>5650</v>
      </c>
      <c r="L1942" s="2">
        <v>17000</v>
      </c>
      <c r="M1942">
        <v>36</v>
      </c>
      <c r="N1942" s="3">
        <v>0.29499999999999998</v>
      </c>
      <c r="O1942" t="s">
        <v>16</v>
      </c>
      <c r="Q1942">
        <v>1</v>
      </c>
      <c r="R1942">
        <v>0</v>
      </c>
      <c r="S1942" s="2">
        <v>13500</v>
      </c>
      <c r="T1942" s="4">
        <v>7.8899999999999998E-2</v>
      </c>
      <c r="U1942">
        <v>2</v>
      </c>
      <c r="V1942">
        <v>1</v>
      </c>
      <c r="W1942">
        <v>1</v>
      </c>
    </row>
    <row r="1943" spans="1:23" ht="16.5" x14ac:dyDescent="0.3">
      <c r="A1943" t="s">
        <v>2005</v>
      </c>
      <c r="B1943" s="1">
        <v>45588</v>
      </c>
      <c r="C1943">
        <v>2024</v>
      </c>
      <c r="D1943" t="s">
        <v>1832</v>
      </c>
      <c r="E1943" t="s">
        <v>1833</v>
      </c>
      <c r="F1943" t="s">
        <v>37</v>
      </c>
      <c r="G1943" t="s">
        <v>27</v>
      </c>
      <c r="H1943" t="s">
        <v>38</v>
      </c>
      <c r="I1943" t="s">
        <v>39</v>
      </c>
      <c r="J1943" t="s">
        <v>30</v>
      </c>
      <c r="K1943" s="2">
        <v>5250</v>
      </c>
      <c r="L1943" s="2">
        <v>13000</v>
      </c>
      <c r="M1943">
        <v>60</v>
      </c>
      <c r="N1943" s="3">
        <v>0.16200000000000001</v>
      </c>
      <c r="O1943" t="s">
        <v>16</v>
      </c>
      <c r="Q1943">
        <v>1</v>
      </c>
      <c r="R1943">
        <v>0</v>
      </c>
      <c r="S1943" s="2">
        <v>11500</v>
      </c>
      <c r="T1943" s="4">
        <v>0.13719999999999999</v>
      </c>
      <c r="U1943">
        <v>2</v>
      </c>
      <c r="V1943">
        <v>1</v>
      </c>
      <c r="W1943">
        <v>1</v>
      </c>
    </row>
    <row r="1944" spans="1:23" ht="16.5" x14ac:dyDescent="0.3">
      <c r="A1944" t="s">
        <v>2006</v>
      </c>
      <c r="B1944" s="1">
        <v>45588</v>
      </c>
      <c r="C1944">
        <v>2024</v>
      </c>
      <c r="D1944" t="s">
        <v>1832</v>
      </c>
      <c r="E1944" t="s">
        <v>1833</v>
      </c>
      <c r="F1944" t="s">
        <v>37</v>
      </c>
      <c r="G1944" t="s">
        <v>51</v>
      </c>
      <c r="H1944" t="s">
        <v>55</v>
      </c>
      <c r="I1944" t="s">
        <v>39</v>
      </c>
      <c r="J1944" t="s">
        <v>30</v>
      </c>
      <c r="K1944" s="2">
        <v>3400</v>
      </c>
      <c r="L1944" s="2">
        <v>4500</v>
      </c>
      <c r="M1944">
        <v>12</v>
      </c>
      <c r="N1944" s="3">
        <v>0.20100000000000001</v>
      </c>
      <c r="O1944" t="s">
        <v>16</v>
      </c>
      <c r="Q1944">
        <v>1</v>
      </c>
      <c r="R1944">
        <v>0</v>
      </c>
      <c r="S1944" s="2">
        <v>4500</v>
      </c>
      <c r="T1944" s="4">
        <v>0.1414</v>
      </c>
      <c r="U1944">
        <v>11</v>
      </c>
      <c r="V1944">
        <v>0</v>
      </c>
      <c r="W1944">
        <v>1</v>
      </c>
    </row>
    <row r="1945" spans="1:23" ht="16.5" x14ac:dyDescent="0.3">
      <c r="A1945" t="s">
        <v>2007</v>
      </c>
      <c r="B1945" s="1">
        <v>45589</v>
      </c>
      <c r="C1945">
        <v>2024</v>
      </c>
      <c r="D1945" t="s">
        <v>1832</v>
      </c>
      <c r="E1945" t="s">
        <v>1833</v>
      </c>
      <c r="F1945" t="s">
        <v>26</v>
      </c>
      <c r="G1945" t="s">
        <v>33</v>
      </c>
      <c r="H1945" t="s">
        <v>55</v>
      </c>
      <c r="I1945" t="s">
        <v>29</v>
      </c>
      <c r="J1945" t="s">
        <v>35</v>
      </c>
      <c r="K1945" s="2">
        <v>4550</v>
      </c>
      <c r="L1945" s="2">
        <v>21500</v>
      </c>
      <c r="M1945">
        <v>36</v>
      </c>
      <c r="N1945" s="3">
        <v>0.21</v>
      </c>
      <c r="O1945" t="s">
        <v>16</v>
      </c>
      <c r="Q1945">
        <v>1</v>
      </c>
      <c r="R1945">
        <v>0</v>
      </c>
      <c r="S1945" s="2">
        <v>17000</v>
      </c>
      <c r="T1945" s="4">
        <v>8.3599999999999994E-2</v>
      </c>
      <c r="U1945">
        <v>5</v>
      </c>
      <c r="V1945">
        <v>0</v>
      </c>
      <c r="W1945">
        <v>1</v>
      </c>
    </row>
    <row r="1946" spans="1:23" ht="16.5" x14ac:dyDescent="0.3">
      <c r="A1946" t="s">
        <v>2008</v>
      </c>
      <c r="B1946" s="1">
        <v>45589</v>
      </c>
      <c r="C1946">
        <v>2024</v>
      </c>
      <c r="D1946" t="s">
        <v>1832</v>
      </c>
      <c r="E1946" t="s">
        <v>1833</v>
      </c>
      <c r="F1946" t="s">
        <v>41</v>
      </c>
      <c r="G1946" t="s">
        <v>27</v>
      </c>
      <c r="H1946" t="s">
        <v>64</v>
      </c>
      <c r="I1946" t="s">
        <v>29</v>
      </c>
      <c r="J1946" t="s">
        <v>35</v>
      </c>
      <c r="K1946" s="2">
        <v>7350</v>
      </c>
      <c r="L1946" s="2">
        <v>111000</v>
      </c>
      <c r="M1946">
        <v>12</v>
      </c>
      <c r="N1946" s="3">
        <v>1.4039999999999999</v>
      </c>
      <c r="O1946" t="s">
        <v>125</v>
      </c>
      <c r="Q1946">
        <v>0</v>
      </c>
      <c r="R1946">
        <v>0</v>
      </c>
      <c r="S1946" s="2">
        <v>0</v>
      </c>
      <c r="T1946" s="4"/>
      <c r="U1946">
        <v>7</v>
      </c>
      <c r="V1946">
        <v>1</v>
      </c>
      <c r="W1946">
        <v>1</v>
      </c>
    </row>
    <row r="1947" spans="1:23" ht="16.5" x14ac:dyDescent="0.3">
      <c r="A1947" t="s">
        <v>2009</v>
      </c>
      <c r="B1947" s="1">
        <v>45589</v>
      </c>
      <c r="C1947">
        <v>2024</v>
      </c>
      <c r="D1947" t="s">
        <v>1832</v>
      </c>
      <c r="E1947" t="s">
        <v>1833</v>
      </c>
      <c r="F1947" t="s">
        <v>41</v>
      </c>
      <c r="G1947" t="s">
        <v>27</v>
      </c>
      <c r="H1947" t="s">
        <v>34</v>
      </c>
      <c r="I1947" t="s">
        <v>39</v>
      </c>
      <c r="J1947" t="s">
        <v>35</v>
      </c>
      <c r="K1947" s="2">
        <v>3450</v>
      </c>
      <c r="L1947" s="2">
        <v>129500</v>
      </c>
      <c r="M1947">
        <v>60</v>
      </c>
      <c r="N1947" s="3">
        <v>1.0029999999999999</v>
      </c>
      <c r="O1947" t="s">
        <v>17</v>
      </c>
      <c r="P1947" t="s">
        <v>53</v>
      </c>
      <c r="Q1947">
        <v>0</v>
      </c>
      <c r="R1947">
        <v>1</v>
      </c>
      <c r="S1947" s="2">
        <v>0</v>
      </c>
      <c r="T1947" s="4"/>
      <c r="U1947">
        <v>11</v>
      </c>
      <c r="V1947">
        <v>0</v>
      </c>
      <c r="W1947">
        <v>1</v>
      </c>
    </row>
    <row r="1948" spans="1:23" ht="16.5" x14ac:dyDescent="0.3">
      <c r="A1948" t="s">
        <v>2010</v>
      </c>
      <c r="B1948" s="1">
        <v>45589</v>
      </c>
      <c r="C1948">
        <v>2024</v>
      </c>
      <c r="D1948" t="s">
        <v>1832</v>
      </c>
      <c r="E1948" t="s">
        <v>1833</v>
      </c>
      <c r="F1948" t="s">
        <v>41</v>
      </c>
      <c r="G1948" t="s">
        <v>33</v>
      </c>
      <c r="H1948" t="s">
        <v>64</v>
      </c>
      <c r="I1948" t="s">
        <v>39</v>
      </c>
      <c r="J1948" t="s">
        <v>35</v>
      </c>
      <c r="K1948" s="2">
        <v>6950</v>
      </c>
      <c r="L1948" s="2">
        <v>152000</v>
      </c>
      <c r="M1948">
        <v>36</v>
      </c>
      <c r="N1948" s="3">
        <v>0.93799999999999994</v>
      </c>
      <c r="O1948" t="s">
        <v>17</v>
      </c>
      <c r="P1948" t="s">
        <v>53</v>
      </c>
      <c r="Q1948">
        <v>0</v>
      </c>
      <c r="R1948">
        <v>1</v>
      </c>
      <c r="S1948" s="2">
        <v>0</v>
      </c>
      <c r="T1948" s="4"/>
      <c r="U1948">
        <v>3</v>
      </c>
      <c r="V1948">
        <v>1</v>
      </c>
      <c r="W1948">
        <v>1</v>
      </c>
    </row>
    <row r="1949" spans="1:23" ht="16.5" x14ac:dyDescent="0.3">
      <c r="A1949" t="s">
        <v>2011</v>
      </c>
      <c r="B1949" s="1">
        <v>45589</v>
      </c>
      <c r="C1949">
        <v>2024</v>
      </c>
      <c r="D1949" t="s">
        <v>1832</v>
      </c>
      <c r="E1949" t="s">
        <v>1833</v>
      </c>
      <c r="F1949" t="s">
        <v>37</v>
      </c>
      <c r="G1949" t="s">
        <v>45</v>
      </c>
      <c r="H1949" t="s">
        <v>34</v>
      </c>
      <c r="I1949" t="s">
        <v>42</v>
      </c>
      <c r="J1949" t="s">
        <v>52</v>
      </c>
      <c r="K1949" s="2">
        <v>3850</v>
      </c>
      <c r="L1949" s="2">
        <v>9000</v>
      </c>
      <c r="M1949">
        <v>60</v>
      </c>
      <c r="N1949" s="3">
        <v>0.14799999999999999</v>
      </c>
      <c r="O1949" t="s">
        <v>16</v>
      </c>
      <c r="Q1949">
        <v>1</v>
      </c>
      <c r="R1949">
        <v>0</v>
      </c>
      <c r="S1949" s="2">
        <v>9000</v>
      </c>
      <c r="T1949" s="4">
        <v>0.1133</v>
      </c>
      <c r="U1949">
        <v>2</v>
      </c>
      <c r="V1949">
        <v>1</v>
      </c>
      <c r="W1949">
        <v>1</v>
      </c>
    </row>
    <row r="1950" spans="1:23" ht="16.5" x14ac:dyDescent="0.3">
      <c r="A1950" t="s">
        <v>2012</v>
      </c>
      <c r="B1950" s="1">
        <v>45590</v>
      </c>
      <c r="C1950">
        <v>2024</v>
      </c>
      <c r="D1950" t="s">
        <v>1832</v>
      </c>
      <c r="E1950" t="s">
        <v>1833</v>
      </c>
      <c r="F1950" t="s">
        <v>26</v>
      </c>
      <c r="G1950" t="s">
        <v>45</v>
      </c>
      <c r="H1950" t="s">
        <v>38</v>
      </c>
      <c r="I1950" t="s">
        <v>29</v>
      </c>
      <c r="J1950" t="s">
        <v>52</v>
      </c>
      <c r="K1950" s="2">
        <v>4250</v>
      </c>
      <c r="L1950" s="2">
        <v>56000</v>
      </c>
      <c r="M1950">
        <v>36</v>
      </c>
      <c r="N1950" s="3">
        <v>0.48899999999999999</v>
      </c>
      <c r="O1950" t="s">
        <v>17</v>
      </c>
      <c r="P1950" t="s">
        <v>60</v>
      </c>
      <c r="Q1950">
        <v>0</v>
      </c>
      <c r="R1950">
        <v>1</v>
      </c>
      <c r="S1950" s="2">
        <v>0</v>
      </c>
      <c r="T1950" s="4"/>
      <c r="U1950">
        <v>7</v>
      </c>
      <c r="V1950">
        <v>0</v>
      </c>
      <c r="W1950">
        <v>1</v>
      </c>
    </row>
    <row r="1951" spans="1:23" ht="16.5" x14ac:dyDescent="0.3">
      <c r="A1951" t="s">
        <v>2013</v>
      </c>
      <c r="B1951" s="1">
        <v>45590</v>
      </c>
      <c r="C1951">
        <v>2024</v>
      </c>
      <c r="D1951" t="s">
        <v>1832</v>
      </c>
      <c r="E1951" t="s">
        <v>1833</v>
      </c>
      <c r="F1951" t="s">
        <v>37</v>
      </c>
      <c r="G1951" t="s">
        <v>51</v>
      </c>
      <c r="H1951" t="s">
        <v>55</v>
      </c>
      <c r="I1951" t="s">
        <v>29</v>
      </c>
      <c r="J1951" t="s">
        <v>35</v>
      </c>
      <c r="K1951" s="2">
        <v>4450</v>
      </c>
      <c r="L1951" s="2">
        <v>7000</v>
      </c>
      <c r="M1951">
        <v>48</v>
      </c>
      <c r="N1951" s="3">
        <v>0.214</v>
      </c>
      <c r="O1951" t="s">
        <v>16</v>
      </c>
      <c r="Q1951">
        <v>1</v>
      </c>
      <c r="R1951">
        <v>0</v>
      </c>
      <c r="S1951" s="2">
        <v>6500</v>
      </c>
      <c r="T1951" s="4">
        <v>0.129</v>
      </c>
      <c r="U1951">
        <v>4</v>
      </c>
      <c r="V1951">
        <v>0</v>
      </c>
      <c r="W1951">
        <v>1</v>
      </c>
    </row>
    <row r="1952" spans="1:23" ht="16.5" x14ac:dyDescent="0.3">
      <c r="A1952" t="s">
        <v>2014</v>
      </c>
      <c r="B1952" s="1">
        <v>45590</v>
      </c>
      <c r="C1952">
        <v>2024</v>
      </c>
      <c r="D1952" t="s">
        <v>1832</v>
      </c>
      <c r="E1952" t="s">
        <v>1833</v>
      </c>
      <c r="F1952" t="s">
        <v>50</v>
      </c>
      <c r="G1952" t="s">
        <v>51</v>
      </c>
      <c r="H1952" t="s">
        <v>55</v>
      </c>
      <c r="I1952" t="s">
        <v>39</v>
      </c>
      <c r="J1952" t="s">
        <v>30</v>
      </c>
      <c r="K1952" s="2">
        <v>9250</v>
      </c>
      <c r="L1952" s="2">
        <v>279500</v>
      </c>
      <c r="M1952">
        <v>300</v>
      </c>
      <c r="N1952" s="3">
        <v>0.39700000000000002</v>
      </c>
      <c r="O1952" t="s">
        <v>16</v>
      </c>
      <c r="Q1952">
        <v>1</v>
      </c>
      <c r="R1952">
        <v>0</v>
      </c>
      <c r="S1952" s="2">
        <v>279500</v>
      </c>
      <c r="T1952" s="4">
        <v>7.2700000000000001E-2</v>
      </c>
      <c r="U1952">
        <v>19</v>
      </c>
      <c r="V1952">
        <v>0</v>
      </c>
      <c r="W1952">
        <v>1</v>
      </c>
    </row>
    <row r="1953" spans="1:23" ht="16.5" x14ac:dyDescent="0.3">
      <c r="A1953" t="s">
        <v>2015</v>
      </c>
      <c r="B1953" s="1">
        <v>45590</v>
      </c>
      <c r="C1953">
        <v>2024</v>
      </c>
      <c r="D1953" t="s">
        <v>1832</v>
      </c>
      <c r="E1953" t="s">
        <v>1833</v>
      </c>
      <c r="F1953" t="s">
        <v>37</v>
      </c>
      <c r="G1953" t="s">
        <v>27</v>
      </c>
      <c r="H1953" t="s">
        <v>34</v>
      </c>
      <c r="I1953" t="s">
        <v>42</v>
      </c>
      <c r="J1953" t="s">
        <v>30</v>
      </c>
      <c r="K1953" s="2">
        <v>3200</v>
      </c>
      <c r="L1953" s="2">
        <v>15500</v>
      </c>
      <c r="M1953">
        <v>12</v>
      </c>
      <c r="N1953" s="3">
        <v>0.56000000000000005</v>
      </c>
      <c r="O1953" t="s">
        <v>17</v>
      </c>
      <c r="P1953" t="s">
        <v>60</v>
      </c>
      <c r="Q1953">
        <v>0</v>
      </c>
      <c r="R1953">
        <v>1</v>
      </c>
      <c r="S1953" s="2">
        <v>0</v>
      </c>
      <c r="T1953" s="4"/>
      <c r="U1953">
        <v>9</v>
      </c>
      <c r="V1953">
        <v>0</v>
      </c>
      <c r="W1953">
        <v>1</v>
      </c>
    </row>
    <row r="1954" spans="1:23" ht="16.5" x14ac:dyDescent="0.3">
      <c r="A1954" t="s">
        <v>2016</v>
      </c>
      <c r="B1954" s="1">
        <v>45590</v>
      </c>
      <c r="C1954">
        <v>2024</v>
      </c>
      <c r="D1954" t="s">
        <v>1832</v>
      </c>
      <c r="E1954" t="s">
        <v>1833</v>
      </c>
      <c r="F1954" t="s">
        <v>37</v>
      </c>
      <c r="G1954" t="s">
        <v>45</v>
      </c>
      <c r="H1954" t="s">
        <v>34</v>
      </c>
      <c r="I1954" t="s">
        <v>42</v>
      </c>
      <c r="J1954" t="s">
        <v>30</v>
      </c>
      <c r="K1954" s="2">
        <v>7850</v>
      </c>
      <c r="L1954" s="2">
        <v>12000</v>
      </c>
      <c r="M1954">
        <v>48</v>
      </c>
      <c r="N1954" s="3">
        <v>0.17299999999999999</v>
      </c>
      <c r="O1954" t="s">
        <v>17</v>
      </c>
      <c r="P1954" t="s">
        <v>60</v>
      </c>
      <c r="Q1954">
        <v>0</v>
      </c>
      <c r="R1954">
        <v>1</v>
      </c>
      <c r="S1954" s="2">
        <v>0</v>
      </c>
      <c r="T1954" s="4"/>
      <c r="U1954">
        <v>7</v>
      </c>
      <c r="V1954">
        <v>0</v>
      </c>
      <c r="W1954">
        <v>1</v>
      </c>
    </row>
    <row r="1955" spans="1:23" ht="16.5" x14ac:dyDescent="0.3">
      <c r="A1955" t="s">
        <v>2017</v>
      </c>
      <c r="B1955" s="1">
        <v>45590</v>
      </c>
      <c r="C1955">
        <v>2024</v>
      </c>
      <c r="D1955" t="s">
        <v>1832</v>
      </c>
      <c r="E1955" t="s">
        <v>1833</v>
      </c>
      <c r="F1955" t="s">
        <v>41</v>
      </c>
      <c r="G1955" t="s">
        <v>27</v>
      </c>
      <c r="H1955" t="s">
        <v>55</v>
      </c>
      <c r="I1955" t="s">
        <v>39</v>
      </c>
      <c r="J1955" t="s">
        <v>35</v>
      </c>
      <c r="K1955" s="2">
        <v>3000</v>
      </c>
      <c r="L1955" s="2">
        <v>48000</v>
      </c>
      <c r="M1955">
        <v>60</v>
      </c>
      <c r="N1955" s="3">
        <v>0.505</v>
      </c>
      <c r="O1955" t="s">
        <v>16</v>
      </c>
      <c r="Q1955">
        <v>1</v>
      </c>
      <c r="R1955">
        <v>0</v>
      </c>
      <c r="S1955" s="2">
        <v>38500</v>
      </c>
      <c r="T1955" s="4">
        <v>0.1067</v>
      </c>
      <c r="U1955">
        <v>13</v>
      </c>
      <c r="V1955">
        <v>0</v>
      </c>
      <c r="W1955">
        <v>1</v>
      </c>
    </row>
    <row r="1956" spans="1:23" ht="16.5" x14ac:dyDescent="0.3">
      <c r="A1956" t="s">
        <v>2018</v>
      </c>
      <c r="B1956" s="1">
        <v>45590</v>
      </c>
      <c r="C1956">
        <v>2024</v>
      </c>
      <c r="D1956" t="s">
        <v>1832</v>
      </c>
      <c r="E1956" t="s">
        <v>1833</v>
      </c>
      <c r="F1956" t="s">
        <v>26</v>
      </c>
      <c r="G1956" t="s">
        <v>51</v>
      </c>
      <c r="H1956" t="s">
        <v>38</v>
      </c>
      <c r="I1956" t="s">
        <v>39</v>
      </c>
      <c r="J1956" t="s">
        <v>46</v>
      </c>
      <c r="K1956" s="2">
        <v>4300</v>
      </c>
      <c r="L1956" s="2">
        <v>64000</v>
      </c>
      <c r="M1956">
        <v>60</v>
      </c>
      <c r="N1956" s="3">
        <v>0.373</v>
      </c>
      <c r="O1956" t="s">
        <v>16</v>
      </c>
      <c r="Q1956">
        <v>1</v>
      </c>
      <c r="R1956">
        <v>0</v>
      </c>
      <c r="S1956" s="2">
        <v>51000</v>
      </c>
      <c r="T1956" s="4">
        <v>6.3100000000000003E-2</v>
      </c>
      <c r="U1956">
        <v>10</v>
      </c>
      <c r="V1956">
        <v>0</v>
      </c>
      <c r="W1956">
        <v>1</v>
      </c>
    </row>
    <row r="1957" spans="1:23" ht="16.5" x14ac:dyDescent="0.3">
      <c r="A1957" t="s">
        <v>2019</v>
      </c>
      <c r="B1957" s="1">
        <v>45590</v>
      </c>
      <c r="C1957">
        <v>2024</v>
      </c>
      <c r="D1957" t="s">
        <v>1832</v>
      </c>
      <c r="E1957" t="s">
        <v>1833</v>
      </c>
      <c r="F1957" t="s">
        <v>41</v>
      </c>
      <c r="G1957" t="s">
        <v>33</v>
      </c>
      <c r="H1957" t="s">
        <v>64</v>
      </c>
      <c r="I1957" t="s">
        <v>42</v>
      </c>
      <c r="J1957" t="s">
        <v>35</v>
      </c>
      <c r="K1957" s="2">
        <v>4750</v>
      </c>
      <c r="L1957" s="2">
        <v>56500</v>
      </c>
      <c r="M1957">
        <v>60</v>
      </c>
      <c r="N1957" s="3">
        <v>0.33600000000000002</v>
      </c>
      <c r="O1957" t="s">
        <v>16</v>
      </c>
      <c r="Q1957">
        <v>1</v>
      </c>
      <c r="R1957">
        <v>0</v>
      </c>
      <c r="S1957" s="2">
        <v>45000</v>
      </c>
      <c r="T1957" s="4">
        <v>0.11210000000000001</v>
      </c>
      <c r="U1957">
        <v>5</v>
      </c>
      <c r="V1957">
        <v>1</v>
      </c>
      <c r="W1957">
        <v>1</v>
      </c>
    </row>
    <row r="1958" spans="1:23" ht="16.5" x14ac:dyDescent="0.3">
      <c r="A1958" t="s">
        <v>2020</v>
      </c>
      <c r="B1958" s="1">
        <v>45590</v>
      </c>
      <c r="C1958">
        <v>2024</v>
      </c>
      <c r="D1958" t="s">
        <v>1832</v>
      </c>
      <c r="E1958" t="s">
        <v>1833</v>
      </c>
      <c r="F1958" t="s">
        <v>26</v>
      </c>
      <c r="G1958" t="s">
        <v>51</v>
      </c>
      <c r="H1958" t="s">
        <v>28</v>
      </c>
      <c r="I1958" t="s">
        <v>29</v>
      </c>
      <c r="J1958" t="s">
        <v>30</v>
      </c>
      <c r="K1958" s="2">
        <v>3600</v>
      </c>
      <c r="L1958" s="2">
        <v>13500</v>
      </c>
      <c r="M1958">
        <v>60</v>
      </c>
      <c r="N1958" s="3">
        <v>0.26200000000000001</v>
      </c>
      <c r="O1958" t="s">
        <v>17</v>
      </c>
      <c r="P1958" t="s">
        <v>31</v>
      </c>
      <c r="Q1958">
        <v>0</v>
      </c>
      <c r="R1958">
        <v>1</v>
      </c>
      <c r="S1958" s="2">
        <v>0</v>
      </c>
      <c r="T1958" s="4"/>
      <c r="U1958">
        <v>5</v>
      </c>
      <c r="V1958">
        <v>0</v>
      </c>
      <c r="W1958">
        <v>1</v>
      </c>
    </row>
    <row r="1959" spans="1:23" ht="16.5" x14ac:dyDescent="0.3">
      <c r="A1959" t="s">
        <v>2021</v>
      </c>
      <c r="B1959" s="1">
        <v>45590</v>
      </c>
      <c r="C1959">
        <v>2024</v>
      </c>
      <c r="D1959" t="s">
        <v>1832</v>
      </c>
      <c r="E1959" t="s">
        <v>1833</v>
      </c>
      <c r="F1959" t="s">
        <v>37</v>
      </c>
      <c r="G1959" t="s">
        <v>33</v>
      </c>
      <c r="H1959" t="s">
        <v>38</v>
      </c>
      <c r="I1959" t="s">
        <v>39</v>
      </c>
      <c r="J1959" t="s">
        <v>35</v>
      </c>
      <c r="K1959" s="2">
        <v>4850</v>
      </c>
      <c r="L1959" s="2">
        <v>15000</v>
      </c>
      <c r="M1959">
        <v>24</v>
      </c>
      <c r="N1959" s="3">
        <v>0.30599999999999999</v>
      </c>
      <c r="O1959" t="s">
        <v>16</v>
      </c>
      <c r="Q1959">
        <v>1</v>
      </c>
      <c r="R1959">
        <v>0</v>
      </c>
      <c r="S1959" s="2">
        <v>15000</v>
      </c>
      <c r="T1959" s="4">
        <v>0.1225</v>
      </c>
      <c r="U1959">
        <v>2</v>
      </c>
      <c r="V1959">
        <v>1</v>
      </c>
      <c r="W1959">
        <v>1</v>
      </c>
    </row>
    <row r="1960" spans="1:23" ht="16.5" x14ac:dyDescent="0.3">
      <c r="A1960" t="s">
        <v>2022</v>
      </c>
      <c r="B1960" s="1">
        <v>45591</v>
      </c>
      <c r="C1960">
        <v>2024</v>
      </c>
      <c r="D1960" t="s">
        <v>1832</v>
      </c>
      <c r="E1960" t="s">
        <v>1833</v>
      </c>
      <c r="F1960" t="s">
        <v>26</v>
      </c>
      <c r="G1960" t="s">
        <v>51</v>
      </c>
      <c r="H1960" t="s">
        <v>38</v>
      </c>
      <c r="I1960" t="s">
        <v>39</v>
      </c>
      <c r="J1960" t="s">
        <v>46</v>
      </c>
      <c r="K1960" s="2">
        <v>2900</v>
      </c>
      <c r="L1960" s="2">
        <v>8500</v>
      </c>
      <c r="M1960">
        <v>60</v>
      </c>
      <c r="N1960" s="3">
        <v>0.20200000000000001</v>
      </c>
      <c r="O1960" t="s">
        <v>16</v>
      </c>
      <c r="Q1960">
        <v>1</v>
      </c>
      <c r="R1960">
        <v>0</v>
      </c>
      <c r="S1960" s="2">
        <v>8500</v>
      </c>
      <c r="T1960" s="4">
        <v>6.7299999999999999E-2</v>
      </c>
      <c r="U1960">
        <v>10</v>
      </c>
      <c r="V1960">
        <v>0</v>
      </c>
      <c r="W1960">
        <v>1</v>
      </c>
    </row>
    <row r="1961" spans="1:23" ht="16.5" x14ac:dyDescent="0.3">
      <c r="A1961" t="s">
        <v>2023</v>
      </c>
      <c r="B1961" s="1">
        <v>45591</v>
      </c>
      <c r="C1961">
        <v>2024</v>
      </c>
      <c r="D1961" t="s">
        <v>1832</v>
      </c>
      <c r="E1961" t="s">
        <v>1833</v>
      </c>
      <c r="F1961" t="s">
        <v>37</v>
      </c>
      <c r="G1961" t="s">
        <v>45</v>
      </c>
      <c r="H1961" t="s">
        <v>55</v>
      </c>
      <c r="I1961" t="s">
        <v>29</v>
      </c>
      <c r="J1961" t="s">
        <v>35</v>
      </c>
      <c r="K1961" s="2">
        <v>6450</v>
      </c>
      <c r="L1961" s="2">
        <v>18500</v>
      </c>
      <c r="M1961">
        <v>60</v>
      </c>
      <c r="N1961" s="3">
        <v>0.17</v>
      </c>
      <c r="O1961" t="s">
        <v>16</v>
      </c>
      <c r="Q1961">
        <v>1</v>
      </c>
      <c r="R1961">
        <v>0</v>
      </c>
      <c r="S1961" s="2">
        <v>18500</v>
      </c>
      <c r="T1961" s="4">
        <v>0.1188</v>
      </c>
      <c r="U1961">
        <v>3</v>
      </c>
      <c r="V1961">
        <v>1</v>
      </c>
      <c r="W1961">
        <v>1</v>
      </c>
    </row>
    <row r="1962" spans="1:23" ht="16.5" x14ac:dyDescent="0.3">
      <c r="A1962" t="s">
        <v>2024</v>
      </c>
      <c r="B1962" s="1">
        <v>45591</v>
      </c>
      <c r="C1962">
        <v>2024</v>
      </c>
      <c r="D1962" t="s">
        <v>1832</v>
      </c>
      <c r="E1962" t="s">
        <v>1833</v>
      </c>
      <c r="F1962" t="s">
        <v>41</v>
      </c>
      <c r="G1962" t="s">
        <v>27</v>
      </c>
      <c r="H1962" t="s">
        <v>38</v>
      </c>
      <c r="I1962" t="s">
        <v>42</v>
      </c>
      <c r="J1962" t="s">
        <v>35</v>
      </c>
      <c r="K1962" s="2">
        <v>7300</v>
      </c>
      <c r="L1962" s="2">
        <v>85000</v>
      </c>
      <c r="M1962">
        <v>36</v>
      </c>
      <c r="N1962" s="3">
        <v>0.61399999999999999</v>
      </c>
      <c r="O1962" t="s">
        <v>16</v>
      </c>
      <c r="Q1962">
        <v>1</v>
      </c>
      <c r="R1962">
        <v>0</v>
      </c>
      <c r="S1962" s="2">
        <v>85000</v>
      </c>
      <c r="T1962" s="4">
        <v>0.10539999999999999</v>
      </c>
      <c r="U1962">
        <v>8</v>
      </c>
      <c r="V1962">
        <v>1</v>
      </c>
      <c r="W1962">
        <v>1</v>
      </c>
    </row>
    <row r="1963" spans="1:23" ht="16.5" x14ac:dyDescent="0.3">
      <c r="A1963" t="s">
        <v>2025</v>
      </c>
      <c r="B1963" s="1">
        <v>45591</v>
      </c>
      <c r="C1963">
        <v>2024</v>
      </c>
      <c r="D1963" t="s">
        <v>1832</v>
      </c>
      <c r="E1963" t="s">
        <v>1833</v>
      </c>
      <c r="F1963" t="s">
        <v>50</v>
      </c>
      <c r="G1963" t="s">
        <v>51</v>
      </c>
      <c r="H1963" t="s">
        <v>38</v>
      </c>
      <c r="I1963" t="s">
        <v>29</v>
      </c>
      <c r="J1963" t="s">
        <v>46</v>
      </c>
      <c r="K1963" s="2">
        <v>5050</v>
      </c>
      <c r="L1963" s="2">
        <v>226000</v>
      </c>
      <c r="M1963">
        <v>240</v>
      </c>
      <c r="N1963" s="3">
        <v>0.47399999999999998</v>
      </c>
      <c r="O1963" t="s">
        <v>16</v>
      </c>
      <c r="Q1963">
        <v>1</v>
      </c>
      <c r="R1963">
        <v>0</v>
      </c>
      <c r="S1963" s="2">
        <v>226000</v>
      </c>
      <c r="T1963" s="4">
        <v>4.1200000000000001E-2</v>
      </c>
      <c r="U1963">
        <v>20</v>
      </c>
      <c r="V1963">
        <v>0</v>
      </c>
      <c r="W1963">
        <v>1</v>
      </c>
    </row>
    <row r="1964" spans="1:23" ht="16.5" x14ac:dyDescent="0.3">
      <c r="A1964" t="s">
        <v>2026</v>
      </c>
      <c r="B1964" s="1">
        <v>45591</v>
      </c>
      <c r="C1964">
        <v>2024</v>
      </c>
      <c r="D1964" t="s">
        <v>1832</v>
      </c>
      <c r="E1964" t="s">
        <v>1833</v>
      </c>
      <c r="F1964" t="s">
        <v>26</v>
      </c>
      <c r="G1964" t="s">
        <v>27</v>
      </c>
      <c r="H1964" t="s">
        <v>55</v>
      </c>
      <c r="I1964" t="s">
        <v>42</v>
      </c>
      <c r="J1964" t="s">
        <v>46</v>
      </c>
      <c r="K1964" s="2">
        <v>6850</v>
      </c>
      <c r="L1964" s="2">
        <v>25500</v>
      </c>
      <c r="M1964">
        <v>36</v>
      </c>
      <c r="N1964" s="3">
        <v>0.24299999999999999</v>
      </c>
      <c r="O1964" t="s">
        <v>16</v>
      </c>
      <c r="Q1964">
        <v>1</v>
      </c>
      <c r="R1964">
        <v>0</v>
      </c>
      <c r="S1964" s="2">
        <v>25500</v>
      </c>
      <c r="T1964" s="4">
        <v>6.7100000000000007E-2</v>
      </c>
      <c r="U1964">
        <v>4</v>
      </c>
      <c r="V1964">
        <v>1</v>
      </c>
      <c r="W1964">
        <v>1</v>
      </c>
    </row>
    <row r="1965" spans="1:23" ht="16.5" x14ac:dyDescent="0.3">
      <c r="A1965" t="s">
        <v>2027</v>
      </c>
      <c r="B1965" s="1">
        <v>45591</v>
      </c>
      <c r="C1965">
        <v>2024</v>
      </c>
      <c r="D1965" t="s">
        <v>1832</v>
      </c>
      <c r="E1965" t="s">
        <v>1833</v>
      </c>
      <c r="F1965" t="s">
        <v>37</v>
      </c>
      <c r="G1965" t="s">
        <v>45</v>
      </c>
      <c r="H1965" t="s">
        <v>34</v>
      </c>
      <c r="I1965" t="s">
        <v>29</v>
      </c>
      <c r="J1965" t="s">
        <v>35</v>
      </c>
      <c r="K1965" s="2">
        <v>3300</v>
      </c>
      <c r="L1965" s="2">
        <v>6500</v>
      </c>
      <c r="M1965">
        <v>48</v>
      </c>
      <c r="N1965" s="3">
        <v>0.249</v>
      </c>
      <c r="O1965" t="s">
        <v>16</v>
      </c>
      <c r="Q1965">
        <v>1</v>
      </c>
      <c r="R1965">
        <v>0</v>
      </c>
      <c r="S1965" s="2">
        <v>6000</v>
      </c>
      <c r="T1965" s="4">
        <v>0.1283</v>
      </c>
      <c r="U1965">
        <v>2</v>
      </c>
      <c r="V1965">
        <v>1</v>
      </c>
      <c r="W1965">
        <v>1</v>
      </c>
    </row>
    <row r="1966" spans="1:23" ht="16.5" x14ac:dyDescent="0.3">
      <c r="A1966" t="s">
        <v>2028</v>
      </c>
      <c r="B1966" s="1">
        <v>45591</v>
      </c>
      <c r="C1966">
        <v>2024</v>
      </c>
      <c r="D1966" t="s">
        <v>1832</v>
      </c>
      <c r="E1966" t="s">
        <v>1833</v>
      </c>
      <c r="F1966" t="s">
        <v>37</v>
      </c>
      <c r="G1966" t="s">
        <v>51</v>
      </c>
      <c r="H1966" t="s">
        <v>64</v>
      </c>
      <c r="I1966" t="s">
        <v>29</v>
      </c>
      <c r="J1966" t="s">
        <v>35</v>
      </c>
      <c r="K1966" s="2">
        <v>7700</v>
      </c>
      <c r="L1966" s="2">
        <v>9500</v>
      </c>
      <c r="M1966">
        <v>60</v>
      </c>
      <c r="N1966" s="3">
        <v>9.9000000000000005E-2</v>
      </c>
      <c r="O1966" t="s">
        <v>16</v>
      </c>
      <c r="Q1966">
        <v>1</v>
      </c>
      <c r="R1966">
        <v>0</v>
      </c>
      <c r="S1966" s="2">
        <v>9500</v>
      </c>
      <c r="T1966" s="4">
        <v>0.11749999999999999</v>
      </c>
      <c r="U1966">
        <v>5</v>
      </c>
      <c r="V1966">
        <v>0</v>
      </c>
      <c r="W1966">
        <v>1</v>
      </c>
    </row>
    <row r="1967" spans="1:23" ht="16.5" x14ac:dyDescent="0.3">
      <c r="A1967" t="s">
        <v>2029</v>
      </c>
      <c r="B1967" s="1">
        <v>45592</v>
      </c>
      <c r="C1967">
        <v>2024</v>
      </c>
      <c r="D1967" t="s">
        <v>1832</v>
      </c>
      <c r="E1967" t="s">
        <v>1833</v>
      </c>
      <c r="F1967" t="s">
        <v>41</v>
      </c>
      <c r="G1967" t="s">
        <v>45</v>
      </c>
      <c r="H1967" t="s">
        <v>28</v>
      </c>
      <c r="I1967" t="s">
        <v>29</v>
      </c>
      <c r="J1967" t="s">
        <v>30</v>
      </c>
      <c r="K1967" s="2">
        <v>5850</v>
      </c>
      <c r="L1967" s="2">
        <v>67000</v>
      </c>
      <c r="M1967">
        <v>24</v>
      </c>
      <c r="N1967" s="3">
        <v>0.76500000000000001</v>
      </c>
      <c r="O1967" t="s">
        <v>17</v>
      </c>
      <c r="P1967" t="s">
        <v>31</v>
      </c>
      <c r="Q1967">
        <v>0</v>
      </c>
      <c r="R1967">
        <v>1</v>
      </c>
      <c r="S1967" s="2">
        <v>0</v>
      </c>
      <c r="T1967" s="4"/>
      <c r="U1967">
        <v>7</v>
      </c>
      <c r="V1967">
        <v>1</v>
      </c>
      <c r="W1967">
        <v>1</v>
      </c>
    </row>
    <row r="1968" spans="1:23" ht="16.5" x14ac:dyDescent="0.3">
      <c r="A1968" t="s">
        <v>2030</v>
      </c>
      <c r="B1968" s="1">
        <v>45592</v>
      </c>
      <c r="C1968">
        <v>2024</v>
      </c>
      <c r="D1968" t="s">
        <v>1832</v>
      </c>
      <c r="E1968" t="s">
        <v>1833</v>
      </c>
      <c r="F1968" t="s">
        <v>41</v>
      </c>
      <c r="G1968" t="s">
        <v>51</v>
      </c>
      <c r="H1968" t="s">
        <v>38</v>
      </c>
      <c r="I1968" t="s">
        <v>39</v>
      </c>
      <c r="J1968" t="s">
        <v>35</v>
      </c>
      <c r="K1968" s="2">
        <v>4100</v>
      </c>
      <c r="L1968" s="2">
        <v>80000</v>
      </c>
      <c r="M1968">
        <v>24</v>
      </c>
      <c r="N1968" s="3">
        <v>0.96799999999999997</v>
      </c>
      <c r="O1968" t="s">
        <v>17</v>
      </c>
      <c r="P1968" t="s">
        <v>53</v>
      </c>
      <c r="Q1968">
        <v>0</v>
      </c>
      <c r="R1968">
        <v>1</v>
      </c>
      <c r="S1968" s="2">
        <v>0</v>
      </c>
      <c r="T1968" s="4"/>
      <c r="U1968">
        <v>17</v>
      </c>
      <c r="V1968">
        <v>0</v>
      </c>
      <c r="W1968">
        <v>1</v>
      </c>
    </row>
    <row r="1969" spans="1:23" ht="16.5" x14ac:dyDescent="0.3">
      <c r="A1969" t="s">
        <v>2031</v>
      </c>
      <c r="B1969" s="1">
        <v>45592</v>
      </c>
      <c r="C1969">
        <v>2024</v>
      </c>
      <c r="D1969" t="s">
        <v>1832</v>
      </c>
      <c r="E1969" t="s">
        <v>1833</v>
      </c>
      <c r="F1969" t="s">
        <v>41</v>
      </c>
      <c r="G1969" t="s">
        <v>51</v>
      </c>
      <c r="H1969" t="s">
        <v>34</v>
      </c>
      <c r="I1969" t="s">
        <v>29</v>
      </c>
      <c r="J1969" t="s">
        <v>35</v>
      </c>
      <c r="K1969" s="2">
        <v>5900</v>
      </c>
      <c r="L1969" s="2">
        <v>82000</v>
      </c>
      <c r="M1969">
        <v>36</v>
      </c>
      <c r="N1969" s="3">
        <v>0.52100000000000002</v>
      </c>
      <c r="O1969" t="s">
        <v>17</v>
      </c>
      <c r="P1969" t="s">
        <v>60</v>
      </c>
      <c r="Q1969">
        <v>0</v>
      </c>
      <c r="R1969">
        <v>1</v>
      </c>
      <c r="S1969" s="2">
        <v>0</v>
      </c>
      <c r="T1969" s="4"/>
      <c r="U1969">
        <v>23</v>
      </c>
      <c r="V1969">
        <v>0</v>
      </c>
      <c r="W1969">
        <v>1</v>
      </c>
    </row>
    <row r="1970" spans="1:23" ht="16.5" x14ac:dyDescent="0.3">
      <c r="A1970" t="s">
        <v>2032</v>
      </c>
      <c r="B1970" s="1">
        <v>45593</v>
      </c>
      <c r="C1970">
        <v>2024</v>
      </c>
      <c r="D1970" t="s">
        <v>1832</v>
      </c>
      <c r="E1970" t="s">
        <v>1833</v>
      </c>
      <c r="F1970" t="s">
        <v>37</v>
      </c>
      <c r="G1970" t="s">
        <v>51</v>
      </c>
      <c r="H1970" t="s">
        <v>38</v>
      </c>
      <c r="I1970" t="s">
        <v>39</v>
      </c>
      <c r="J1970" t="s">
        <v>35</v>
      </c>
      <c r="K1970" s="2">
        <v>7350</v>
      </c>
      <c r="L1970" s="2">
        <v>10500</v>
      </c>
      <c r="M1970">
        <v>36</v>
      </c>
      <c r="N1970" s="3">
        <v>0.14599999999999999</v>
      </c>
      <c r="O1970" t="s">
        <v>16</v>
      </c>
      <c r="Q1970">
        <v>1</v>
      </c>
      <c r="R1970">
        <v>0</v>
      </c>
      <c r="S1970" s="2">
        <v>10500</v>
      </c>
      <c r="T1970" s="4">
        <v>0.124</v>
      </c>
      <c r="U1970">
        <v>7</v>
      </c>
      <c r="V1970">
        <v>0</v>
      </c>
      <c r="W1970">
        <v>1</v>
      </c>
    </row>
    <row r="1971" spans="1:23" ht="16.5" x14ac:dyDescent="0.3">
      <c r="A1971" t="s">
        <v>2033</v>
      </c>
      <c r="B1971" s="1">
        <v>45593</v>
      </c>
      <c r="C1971">
        <v>2024</v>
      </c>
      <c r="D1971" t="s">
        <v>1832</v>
      </c>
      <c r="E1971" t="s">
        <v>1833</v>
      </c>
      <c r="F1971" t="s">
        <v>37</v>
      </c>
      <c r="G1971" t="s">
        <v>33</v>
      </c>
      <c r="H1971" t="s">
        <v>28</v>
      </c>
      <c r="I1971" t="s">
        <v>29</v>
      </c>
      <c r="J1971" t="s">
        <v>35</v>
      </c>
      <c r="K1971" s="2">
        <v>4300</v>
      </c>
      <c r="L1971" s="2">
        <v>13500</v>
      </c>
      <c r="M1971">
        <v>36</v>
      </c>
      <c r="N1971" s="3">
        <v>0.27500000000000002</v>
      </c>
      <c r="O1971" t="s">
        <v>16</v>
      </c>
      <c r="Q1971">
        <v>1</v>
      </c>
      <c r="R1971">
        <v>0</v>
      </c>
      <c r="S1971" s="2">
        <v>11000</v>
      </c>
      <c r="T1971" s="4">
        <v>0.12230000000000001</v>
      </c>
      <c r="U1971">
        <v>2</v>
      </c>
      <c r="V1971">
        <v>1</v>
      </c>
      <c r="W1971">
        <v>1</v>
      </c>
    </row>
    <row r="1972" spans="1:23" ht="16.5" x14ac:dyDescent="0.3">
      <c r="A1972" t="s">
        <v>2034</v>
      </c>
      <c r="B1972" s="1">
        <v>45593</v>
      </c>
      <c r="C1972">
        <v>2024</v>
      </c>
      <c r="D1972" t="s">
        <v>1832</v>
      </c>
      <c r="E1972" t="s">
        <v>1833</v>
      </c>
      <c r="F1972" t="s">
        <v>41</v>
      </c>
      <c r="G1972" t="s">
        <v>51</v>
      </c>
      <c r="H1972" t="s">
        <v>55</v>
      </c>
      <c r="I1972" t="s">
        <v>42</v>
      </c>
      <c r="J1972" t="s">
        <v>43</v>
      </c>
      <c r="K1972" s="2">
        <v>4600</v>
      </c>
      <c r="L1972" s="2">
        <v>33500</v>
      </c>
      <c r="M1972">
        <v>12</v>
      </c>
      <c r="N1972" s="3">
        <v>0.746</v>
      </c>
      <c r="O1972" t="s">
        <v>17</v>
      </c>
      <c r="P1972" t="s">
        <v>31</v>
      </c>
      <c r="Q1972">
        <v>0</v>
      </c>
      <c r="R1972">
        <v>1</v>
      </c>
      <c r="S1972" s="2">
        <v>0</v>
      </c>
      <c r="T1972" s="4"/>
      <c r="U1972">
        <v>19</v>
      </c>
      <c r="V1972">
        <v>0</v>
      </c>
      <c r="W1972">
        <v>1</v>
      </c>
    </row>
    <row r="1973" spans="1:23" ht="16.5" x14ac:dyDescent="0.3">
      <c r="A1973" t="s">
        <v>2035</v>
      </c>
      <c r="B1973" s="1">
        <v>45593</v>
      </c>
      <c r="C1973">
        <v>2024</v>
      </c>
      <c r="D1973" t="s">
        <v>1832</v>
      </c>
      <c r="E1973" t="s">
        <v>1833</v>
      </c>
      <c r="F1973" t="s">
        <v>41</v>
      </c>
      <c r="G1973" t="s">
        <v>45</v>
      </c>
      <c r="H1973" t="s">
        <v>38</v>
      </c>
      <c r="I1973" t="s">
        <v>29</v>
      </c>
      <c r="J1973" t="s">
        <v>30</v>
      </c>
      <c r="K1973" s="2">
        <v>14250</v>
      </c>
      <c r="L1973" s="2">
        <v>129000</v>
      </c>
      <c r="M1973">
        <v>36</v>
      </c>
      <c r="N1973" s="3">
        <v>0.40699999999999997</v>
      </c>
      <c r="O1973" t="s">
        <v>16</v>
      </c>
      <c r="Q1973">
        <v>1</v>
      </c>
      <c r="R1973">
        <v>0</v>
      </c>
      <c r="S1973" s="2">
        <v>116000</v>
      </c>
      <c r="T1973" s="4">
        <v>0.13150000000000001</v>
      </c>
      <c r="U1973">
        <v>6</v>
      </c>
      <c r="V1973">
        <v>1</v>
      </c>
      <c r="W1973">
        <v>1</v>
      </c>
    </row>
    <row r="1974" spans="1:23" ht="16.5" x14ac:dyDescent="0.3">
      <c r="A1974" t="s">
        <v>2036</v>
      </c>
      <c r="B1974" s="1">
        <v>45593</v>
      </c>
      <c r="C1974">
        <v>2024</v>
      </c>
      <c r="D1974" t="s">
        <v>1832</v>
      </c>
      <c r="E1974" t="s">
        <v>1833</v>
      </c>
      <c r="F1974" t="s">
        <v>37</v>
      </c>
      <c r="G1974" t="s">
        <v>51</v>
      </c>
      <c r="H1974" t="s">
        <v>55</v>
      </c>
      <c r="I1974" t="s">
        <v>29</v>
      </c>
      <c r="J1974" t="s">
        <v>46</v>
      </c>
      <c r="K1974" s="2">
        <v>4100</v>
      </c>
      <c r="L1974" s="2">
        <v>17000</v>
      </c>
      <c r="M1974">
        <v>12</v>
      </c>
      <c r="N1974" s="3">
        <v>0.46600000000000003</v>
      </c>
      <c r="O1974" t="s">
        <v>16</v>
      </c>
      <c r="Q1974">
        <v>1</v>
      </c>
      <c r="R1974">
        <v>0</v>
      </c>
      <c r="S1974" s="2">
        <v>17000</v>
      </c>
      <c r="T1974" s="4">
        <v>0.1134</v>
      </c>
      <c r="U1974">
        <v>3</v>
      </c>
      <c r="V1974">
        <v>1</v>
      </c>
      <c r="W1974">
        <v>1</v>
      </c>
    </row>
    <row r="1975" spans="1:23" ht="16.5" x14ac:dyDescent="0.3">
      <c r="A1975" t="s">
        <v>2037</v>
      </c>
      <c r="B1975" s="1">
        <v>45593</v>
      </c>
      <c r="C1975">
        <v>2024</v>
      </c>
      <c r="D1975" t="s">
        <v>1832</v>
      </c>
      <c r="E1975" t="s">
        <v>1833</v>
      </c>
      <c r="F1975" t="s">
        <v>37</v>
      </c>
      <c r="G1975" t="s">
        <v>45</v>
      </c>
      <c r="H1975" t="s">
        <v>34</v>
      </c>
      <c r="I1975" t="s">
        <v>29</v>
      </c>
      <c r="J1975" t="s">
        <v>35</v>
      </c>
      <c r="K1975" s="2">
        <v>10400</v>
      </c>
      <c r="L1975" s="2">
        <v>8000</v>
      </c>
      <c r="M1975">
        <v>24</v>
      </c>
      <c r="N1975" s="3">
        <v>0.22800000000000001</v>
      </c>
      <c r="O1975" t="s">
        <v>16</v>
      </c>
      <c r="Q1975">
        <v>1</v>
      </c>
      <c r="R1975">
        <v>0</v>
      </c>
      <c r="S1975" s="2">
        <v>7000</v>
      </c>
      <c r="T1975" s="4">
        <v>0.1217</v>
      </c>
      <c r="U1975">
        <v>3</v>
      </c>
      <c r="V1975">
        <v>1</v>
      </c>
      <c r="W1975">
        <v>1</v>
      </c>
    </row>
    <row r="1976" spans="1:23" ht="16.5" x14ac:dyDescent="0.3">
      <c r="A1976" t="s">
        <v>2038</v>
      </c>
      <c r="B1976" s="1">
        <v>45593</v>
      </c>
      <c r="C1976">
        <v>2024</v>
      </c>
      <c r="D1976" t="s">
        <v>1832</v>
      </c>
      <c r="E1976" t="s">
        <v>1833</v>
      </c>
      <c r="F1976" t="s">
        <v>41</v>
      </c>
      <c r="G1976" t="s">
        <v>51</v>
      </c>
      <c r="H1976" t="s">
        <v>38</v>
      </c>
      <c r="I1976" t="s">
        <v>39</v>
      </c>
      <c r="J1976" t="s">
        <v>35</v>
      </c>
      <c r="K1976" s="2">
        <v>3900</v>
      </c>
      <c r="L1976" s="2">
        <v>145000</v>
      </c>
      <c r="M1976">
        <v>60</v>
      </c>
      <c r="N1976" s="3">
        <v>0.97899999999999998</v>
      </c>
      <c r="O1976" t="s">
        <v>16</v>
      </c>
      <c r="Q1976">
        <v>1</v>
      </c>
      <c r="R1976">
        <v>0</v>
      </c>
      <c r="S1976" s="2">
        <v>130500</v>
      </c>
      <c r="T1976" s="4">
        <v>0.11070000000000001</v>
      </c>
      <c r="U1976">
        <v>21</v>
      </c>
      <c r="V1976">
        <v>0</v>
      </c>
      <c r="W1976">
        <v>1</v>
      </c>
    </row>
    <row r="1977" spans="1:23" ht="16.5" x14ac:dyDescent="0.3">
      <c r="A1977" t="s">
        <v>2039</v>
      </c>
      <c r="B1977" s="1">
        <v>45593</v>
      </c>
      <c r="C1977">
        <v>2024</v>
      </c>
      <c r="D1977" t="s">
        <v>1832</v>
      </c>
      <c r="E1977" t="s">
        <v>1833</v>
      </c>
      <c r="F1977" t="s">
        <v>26</v>
      </c>
      <c r="G1977" t="s">
        <v>33</v>
      </c>
      <c r="H1977" t="s">
        <v>38</v>
      </c>
      <c r="I1977" t="s">
        <v>29</v>
      </c>
      <c r="J1977" t="s">
        <v>52</v>
      </c>
      <c r="K1977" s="2">
        <v>3350</v>
      </c>
      <c r="L1977" s="2">
        <v>18000</v>
      </c>
      <c r="M1977">
        <v>48</v>
      </c>
      <c r="N1977" s="3">
        <v>0.32200000000000001</v>
      </c>
      <c r="O1977" t="s">
        <v>16</v>
      </c>
      <c r="Q1977">
        <v>1</v>
      </c>
      <c r="R1977">
        <v>0</v>
      </c>
      <c r="S1977" s="2">
        <v>18000</v>
      </c>
      <c r="T1977" s="4">
        <v>7.4300000000000005E-2</v>
      </c>
      <c r="U1977">
        <v>1</v>
      </c>
      <c r="V1977">
        <v>1</v>
      </c>
      <c r="W1977">
        <v>1</v>
      </c>
    </row>
    <row r="1978" spans="1:23" ht="16.5" x14ac:dyDescent="0.3">
      <c r="A1978" t="s">
        <v>2040</v>
      </c>
      <c r="B1978" s="1">
        <v>45593</v>
      </c>
      <c r="C1978">
        <v>2024</v>
      </c>
      <c r="D1978" t="s">
        <v>1832</v>
      </c>
      <c r="E1978" t="s">
        <v>1833</v>
      </c>
      <c r="F1978" t="s">
        <v>41</v>
      </c>
      <c r="G1978" t="s">
        <v>51</v>
      </c>
      <c r="H1978" t="s">
        <v>55</v>
      </c>
      <c r="I1978" t="s">
        <v>29</v>
      </c>
      <c r="J1978" t="s">
        <v>35</v>
      </c>
      <c r="K1978" s="2">
        <v>3050</v>
      </c>
      <c r="L1978" s="2">
        <v>120500</v>
      </c>
      <c r="M1978">
        <v>36</v>
      </c>
      <c r="N1978" s="3">
        <v>1.341</v>
      </c>
      <c r="O1978" t="s">
        <v>17</v>
      </c>
      <c r="P1978" t="s">
        <v>53</v>
      </c>
      <c r="Q1978">
        <v>0</v>
      </c>
      <c r="R1978">
        <v>1</v>
      </c>
      <c r="S1978" s="2">
        <v>0</v>
      </c>
      <c r="T1978" s="4"/>
      <c r="U1978">
        <v>7</v>
      </c>
      <c r="V1978">
        <v>1</v>
      </c>
      <c r="W1978">
        <v>1</v>
      </c>
    </row>
    <row r="1979" spans="1:23" ht="16.5" x14ac:dyDescent="0.3">
      <c r="A1979" t="s">
        <v>2041</v>
      </c>
      <c r="B1979" s="1">
        <v>45594</v>
      </c>
      <c r="C1979">
        <v>2024</v>
      </c>
      <c r="D1979" t="s">
        <v>1832</v>
      </c>
      <c r="E1979" t="s">
        <v>1833</v>
      </c>
      <c r="F1979" t="s">
        <v>50</v>
      </c>
      <c r="G1979" t="s">
        <v>51</v>
      </c>
      <c r="H1979" t="s">
        <v>55</v>
      </c>
      <c r="I1979" t="s">
        <v>29</v>
      </c>
      <c r="J1979" t="s">
        <v>52</v>
      </c>
      <c r="K1979" s="2">
        <v>5100</v>
      </c>
      <c r="L1979" s="2">
        <v>393000</v>
      </c>
      <c r="M1979">
        <v>240</v>
      </c>
      <c r="N1979" s="3">
        <v>0.56299999999999994</v>
      </c>
      <c r="O1979" t="s">
        <v>17</v>
      </c>
      <c r="P1979" t="s">
        <v>53</v>
      </c>
      <c r="Q1979">
        <v>0</v>
      </c>
      <c r="R1979">
        <v>1</v>
      </c>
      <c r="S1979" s="2">
        <v>0</v>
      </c>
      <c r="T1979" s="4"/>
      <c r="U1979">
        <v>14</v>
      </c>
      <c r="V1979">
        <v>1</v>
      </c>
      <c r="W1979">
        <v>1</v>
      </c>
    </row>
    <row r="1980" spans="1:23" ht="16.5" x14ac:dyDescent="0.3">
      <c r="A1980" t="s">
        <v>2042</v>
      </c>
      <c r="B1980" s="1">
        <v>45594</v>
      </c>
      <c r="C1980">
        <v>2024</v>
      </c>
      <c r="D1980" t="s">
        <v>1832</v>
      </c>
      <c r="E1980" t="s">
        <v>1833</v>
      </c>
      <c r="F1980" t="s">
        <v>50</v>
      </c>
      <c r="G1980" t="s">
        <v>51</v>
      </c>
      <c r="H1980" t="s">
        <v>38</v>
      </c>
      <c r="I1980" t="s">
        <v>42</v>
      </c>
      <c r="J1980" t="s">
        <v>35</v>
      </c>
      <c r="K1980" s="2">
        <v>4200</v>
      </c>
      <c r="L1980" s="2">
        <v>268000</v>
      </c>
      <c r="M1980">
        <v>300</v>
      </c>
      <c r="N1980" s="3">
        <v>0.47899999999999998</v>
      </c>
      <c r="O1980" t="s">
        <v>16</v>
      </c>
      <c r="Q1980">
        <v>1</v>
      </c>
      <c r="R1980">
        <v>0</v>
      </c>
      <c r="S1980" s="2">
        <v>268000</v>
      </c>
      <c r="T1980" s="4">
        <v>5.7099999999999998E-2</v>
      </c>
      <c r="U1980">
        <v>16</v>
      </c>
      <c r="V1980">
        <v>0</v>
      </c>
      <c r="W1980">
        <v>1</v>
      </c>
    </row>
    <row r="1981" spans="1:23" ht="16.5" x14ac:dyDescent="0.3">
      <c r="A1981" t="s">
        <v>2043</v>
      </c>
      <c r="B1981" s="1">
        <v>45594</v>
      </c>
      <c r="C1981">
        <v>2024</v>
      </c>
      <c r="D1981" t="s">
        <v>1832</v>
      </c>
      <c r="E1981" t="s">
        <v>1833</v>
      </c>
      <c r="F1981" t="s">
        <v>37</v>
      </c>
      <c r="G1981" t="s">
        <v>51</v>
      </c>
      <c r="H1981" t="s">
        <v>38</v>
      </c>
      <c r="I1981" t="s">
        <v>29</v>
      </c>
      <c r="J1981" t="s">
        <v>52</v>
      </c>
      <c r="K1981" s="2">
        <v>3850</v>
      </c>
      <c r="L1981" s="2">
        <v>7000</v>
      </c>
      <c r="M1981">
        <v>24</v>
      </c>
      <c r="N1981" s="3">
        <v>0.31</v>
      </c>
      <c r="O1981" t="s">
        <v>16</v>
      </c>
      <c r="Q1981">
        <v>1</v>
      </c>
      <c r="R1981">
        <v>0</v>
      </c>
      <c r="S1981" s="2">
        <v>7000</v>
      </c>
      <c r="T1981" s="4">
        <v>0.1162</v>
      </c>
      <c r="U1981">
        <v>2</v>
      </c>
      <c r="V1981">
        <v>1</v>
      </c>
      <c r="W1981">
        <v>1</v>
      </c>
    </row>
    <row r="1982" spans="1:23" ht="16.5" x14ac:dyDescent="0.3">
      <c r="A1982" t="s">
        <v>2044</v>
      </c>
      <c r="B1982" s="1">
        <v>45594</v>
      </c>
      <c r="C1982">
        <v>2024</v>
      </c>
      <c r="D1982" t="s">
        <v>1832</v>
      </c>
      <c r="E1982" t="s">
        <v>1833</v>
      </c>
      <c r="F1982" t="s">
        <v>26</v>
      </c>
      <c r="G1982" t="s">
        <v>33</v>
      </c>
      <c r="H1982" t="s">
        <v>38</v>
      </c>
      <c r="I1982" t="s">
        <v>29</v>
      </c>
      <c r="J1982" t="s">
        <v>30</v>
      </c>
      <c r="K1982" s="2">
        <v>3700</v>
      </c>
      <c r="L1982" s="2">
        <v>19500</v>
      </c>
      <c r="M1982">
        <v>36</v>
      </c>
      <c r="N1982" s="3">
        <v>0.40500000000000003</v>
      </c>
      <c r="O1982" t="s">
        <v>16</v>
      </c>
      <c r="Q1982">
        <v>1</v>
      </c>
      <c r="R1982">
        <v>0</v>
      </c>
      <c r="S1982" s="2">
        <v>19500</v>
      </c>
      <c r="T1982" s="4">
        <v>9.7600000000000006E-2</v>
      </c>
      <c r="U1982">
        <v>2</v>
      </c>
      <c r="V1982">
        <v>1</v>
      </c>
      <c r="W1982">
        <v>1</v>
      </c>
    </row>
    <row r="1983" spans="1:23" ht="16.5" x14ac:dyDescent="0.3">
      <c r="A1983" t="s">
        <v>2045</v>
      </c>
      <c r="B1983" s="1">
        <v>45594</v>
      </c>
      <c r="C1983">
        <v>2024</v>
      </c>
      <c r="D1983" t="s">
        <v>1832</v>
      </c>
      <c r="E1983" t="s">
        <v>1833</v>
      </c>
      <c r="F1983" t="s">
        <v>37</v>
      </c>
      <c r="G1983" t="s">
        <v>45</v>
      </c>
      <c r="H1983" t="s">
        <v>28</v>
      </c>
      <c r="I1983" t="s">
        <v>29</v>
      </c>
      <c r="J1983" t="s">
        <v>35</v>
      </c>
      <c r="K1983" s="2">
        <v>2700</v>
      </c>
      <c r="L1983" s="2">
        <v>19000</v>
      </c>
      <c r="M1983">
        <v>36</v>
      </c>
      <c r="N1983" s="3">
        <v>0.35899999999999999</v>
      </c>
      <c r="O1983" t="s">
        <v>16</v>
      </c>
      <c r="Q1983">
        <v>1</v>
      </c>
      <c r="R1983">
        <v>0</v>
      </c>
      <c r="S1983" s="2">
        <v>19000</v>
      </c>
      <c r="T1983" s="4">
        <v>0.1225</v>
      </c>
      <c r="U1983">
        <v>2</v>
      </c>
      <c r="V1983">
        <v>1</v>
      </c>
      <c r="W1983">
        <v>1</v>
      </c>
    </row>
    <row r="1984" spans="1:23" ht="16.5" x14ac:dyDescent="0.3">
      <c r="A1984" t="s">
        <v>2046</v>
      </c>
      <c r="B1984" s="1">
        <v>45594</v>
      </c>
      <c r="C1984">
        <v>2024</v>
      </c>
      <c r="D1984" t="s">
        <v>1832</v>
      </c>
      <c r="E1984" t="s">
        <v>1833</v>
      </c>
      <c r="F1984" t="s">
        <v>26</v>
      </c>
      <c r="G1984" t="s">
        <v>51</v>
      </c>
      <c r="H1984" t="s">
        <v>55</v>
      </c>
      <c r="I1984" t="s">
        <v>42</v>
      </c>
      <c r="J1984" t="s">
        <v>35</v>
      </c>
      <c r="K1984" s="2">
        <v>7550</v>
      </c>
      <c r="L1984" s="2">
        <v>23000</v>
      </c>
      <c r="M1984">
        <v>48</v>
      </c>
      <c r="N1984" s="3">
        <v>0.22500000000000001</v>
      </c>
      <c r="O1984" t="s">
        <v>16</v>
      </c>
      <c r="Q1984">
        <v>1</v>
      </c>
      <c r="R1984">
        <v>0</v>
      </c>
      <c r="S1984" s="2">
        <v>18500</v>
      </c>
      <c r="T1984" s="4">
        <v>7.8E-2</v>
      </c>
      <c r="U1984">
        <v>7</v>
      </c>
      <c r="V1984">
        <v>0</v>
      </c>
      <c r="W1984">
        <v>1</v>
      </c>
    </row>
    <row r="1985" spans="1:23" ht="16.5" x14ac:dyDescent="0.3">
      <c r="A1985" t="s">
        <v>2047</v>
      </c>
      <c r="B1985" s="1">
        <v>45594</v>
      </c>
      <c r="C1985">
        <v>2024</v>
      </c>
      <c r="D1985" t="s">
        <v>1832</v>
      </c>
      <c r="E1985" t="s">
        <v>1833</v>
      </c>
      <c r="F1985" t="s">
        <v>26</v>
      </c>
      <c r="G1985" t="s">
        <v>27</v>
      </c>
      <c r="H1985" t="s">
        <v>34</v>
      </c>
      <c r="I1985" t="s">
        <v>39</v>
      </c>
      <c r="J1985" t="s">
        <v>46</v>
      </c>
      <c r="K1985" s="2">
        <v>7950</v>
      </c>
      <c r="L1985" s="2">
        <v>11500</v>
      </c>
      <c r="M1985">
        <v>48</v>
      </c>
      <c r="N1985" s="3">
        <v>0.22800000000000001</v>
      </c>
      <c r="O1985" t="s">
        <v>17</v>
      </c>
      <c r="P1985" t="s">
        <v>31</v>
      </c>
      <c r="Q1985">
        <v>0</v>
      </c>
      <c r="R1985">
        <v>1</v>
      </c>
      <c r="S1985" s="2">
        <v>0</v>
      </c>
      <c r="T1985" s="4"/>
      <c r="U1985">
        <v>5</v>
      </c>
      <c r="V1985">
        <v>0</v>
      </c>
      <c r="W1985">
        <v>1</v>
      </c>
    </row>
    <row r="1986" spans="1:23" ht="16.5" x14ac:dyDescent="0.3">
      <c r="A1986" t="s">
        <v>2048</v>
      </c>
      <c r="B1986" s="1">
        <v>45594</v>
      </c>
      <c r="C1986">
        <v>2024</v>
      </c>
      <c r="D1986" t="s">
        <v>1832</v>
      </c>
      <c r="E1986" t="s">
        <v>1833</v>
      </c>
      <c r="F1986" t="s">
        <v>37</v>
      </c>
      <c r="G1986" t="s">
        <v>27</v>
      </c>
      <c r="H1986" t="s">
        <v>34</v>
      </c>
      <c r="I1986" t="s">
        <v>39</v>
      </c>
      <c r="J1986" t="s">
        <v>46</v>
      </c>
      <c r="K1986" s="2">
        <v>7600</v>
      </c>
      <c r="L1986" s="2">
        <v>17000</v>
      </c>
      <c r="M1986">
        <v>36</v>
      </c>
      <c r="N1986" s="3">
        <v>0.14099999999999999</v>
      </c>
      <c r="O1986" t="s">
        <v>16</v>
      </c>
      <c r="Q1986">
        <v>1</v>
      </c>
      <c r="R1986">
        <v>0</v>
      </c>
      <c r="S1986" s="2">
        <v>15500</v>
      </c>
      <c r="T1986" s="4">
        <v>0.10539999999999999</v>
      </c>
      <c r="U1986">
        <v>2</v>
      </c>
      <c r="V1986">
        <v>1</v>
      </c>
      <c r="W1986">
        <v>1</v>
      </c>
    </row>
    <row r="1987" spans="1:23" ht="16.5" x14ac:dyDescent="0.3">
      <c r="A1987" t="s">
        <v>2049</v>
      </c>
      <c r="B1987" s="1">
        <v>45594</v>
      </c>
      <c r="C1987">
        <v>2024</v>
      </c>
      <c r="D1987" t="s">
        <v>1832</v>
      </c>
      <c r="E1987" t="s">
        <v>1833</v>
      </c>
      <c r="F1987" t="s">
        <v>41</v>
      </c>
      <c r="G1987" t="s">
        <v>45</v>
      </c>
      <c r="H1987" t="s">
        <v>64</v>
      </c>
      <c r="I1987" t="s">
        <v>29</v>
      </c>
      <c r="J1987" t="s">
        <v>46</v>
      </c>
      <c r="K1987" s="2">
        <v>4950</v>
      </c>
      <c r="L1987" s="2">
        <v>57500</v>
      </c>
      <c r="M1987">
        <v>12</v>
      </c>
      <c r="N1987" s="3">
        <v>1.258</v>
      </c>
      <c r="O1987" t="s">
        <v>17</v>
      </c>
      <c r="P1987" t="s">
        <v>53</v>
      </c>
      <c r="Q1987">
        <v>0</v>
      </c>
      <c r="R1987">
        <v>1</v>
      </c>
      <c r="S1987" s="2">
        <v>0</v>
      </c>
      <c r="T1987" s="4"/>
      <c r="U1987">
        <v>3</v>
      </c>
      <c r="V1987">
        <v>1</v>
      </c>
      <c r="W1987">
        <v>1</v>
      </c>
    </row>
    <row r="1988" spans="1:23" ht="16.5" x14ac:dyDescent="0.3">
      <c r="A1988" t="s">
        <v>2050</v>
      </c>
      <c r="B1988" s="1">
        <v>45594</v>
      </c>
      <c r="C1988">
        <v>2024</v>
      </c>
      <c r="D1988" t="s">
        <v>1832</v>
      </c>
      <c r="E1988" t="s">
        <v>1833</v>
      </c>
      <c r="F1988" t="s">
        <v>37</v>
      </c>
      <c r="G1988" t="s">
        <v>51</v>
      </c>
      <c r="H1988" t="s">
        <v>38</v>
      </c>
      <c r="I1988" t="s">
        <v>29</v>
      </c>
      <c r="J1988" t="s">
        <v>52</v>
      </c>
      <c r="K1988" s="2">
        <v>3050</v>
      </c>
      <c r="L1988" s="2">
        <v>21500</v>
      </c>
      <c r="M1988">
        <v>48</v>
      </c>
      <c r="N1988" s="3">
        <v>0.39700000000000002</v>
      </c>
      <c r="O1988" t="s">
        <v>16</v>
      </c>
      <c r="Q1988">
        <v>1</v>
      </c>
      <c r="R1988">
        <v>0</v>
      </c>
      <c r="S1988" s="2">
        <v>21500</v>
      </c>
      <c r="T1988" s="4">
        <v>0.12189999999999999</v>
      </c>
      <c r="U1988">
        <v>5</v>
      </c>
      <c r="V1988">
        <v>0</v>
      </c>
      <c r="W1988">
        <v>1</v>
      </c>
    </row>
    <row r="1989" spans="1:23" ht="16.5" x14ac:dyDescent="0.3">
      <c r="A1989" t="s">
        <v>2051</v>
      </c>
      <c r="B1989" s="1">
        <v>45594</v>
      </c>
      <c r="C1989">
        <v>2024</v>
      </c>
      <c r="D1989" t="s">
        <v>1832</v>
      </c>
      <c r="E1989" t="s">
        <v>1833</v>
      </c>
      <c r="F1989" t="s">
        <v>50</v>
      </c>
      <c r="G1989" t="s">
        <v>33</v>
      </c>
      <c r="H1989" t="s">
        <v>38</v>
      </c>
      <c r="I1989" t="s">
        <v>29</v>
      </c>
      <c r="J1989" t="s">
        <v>30</v>
      </c>
      <c r="K1989" s="2">
        <v>6600</v>
      </c>
      <c r="L1989" s="2">
        <v>581000</v>
      </c>
      <c r="M1989">
        <v>240</v>
      </c>
      <c r="N1989" s="3">
        <v>0.74299999999999999</v>
      </c>
      <c r="O1989" t="s">
        <v>17</v>
      </c>
      <c r="P1989" t="s">
        <v>53</v>
      </c>
      <c r="Q1989">
        <v>0</v>
      </c>
      <c r="R1989">
        <v>1</v>
      </c>
      <c r="S1989" s="2">
        <v>0</v>
      </c>
      <c r="T1989" s="4"/>
      <c r="U1989">
        <v>9</v>
      </c>
      <c r="V1989">
        <v>1</v>
      </c>
      <c r="W1989">
        <v>1</v>
      </c>
    </row>
    <row r="1990" spans="1:23" ht="16.5" x14ac:dyDescent="0.3">
      <c r="A1990" t="s">
        <v>2052</v>
      </c>
      <c r="B1990" s="1">
        <v>45595</v>
      </c>
      <c r="C1990">
        <v>2024</v>
      </c>
      <c r="D1990" t="s">
        <v>1832</v>
      </c>
      <c r="E1990" t="s">
        <v>1833</v>
      </c>
      <c r="F1990" t="s">
        <v>41</v>
      </c>
      <c r="G1990" t="s">
        <v>27</v>
      </c>
      <c r="H1990" t="s">
        <v>38</v>
      </c>
      <c r="I1990" t="s">
        <v>42</v>
      </c>
      <c r="J1990" t="s">
        <v>30</v>
      </c>
      <c r="K1990" s="2">
        <v>4650</v>
      </c>
      <c r="L1990" s="2">
        <v>89500</v>
      </c>
      <c r="M1990">
        <v>36</v>
      </c>
      <c r="N1990" s="3">
        <v>0.68500000000000005</v>
      </c>
      <c r="O1990" t="s">
        <v>17</v>
      </c>
      <c r="P1990" t="s">
        <v>53</v>
      </c>
      <c r="Q1990">
        <v>0</v>
      </c>
      <c r="R1990">
        <v>1</v>
      </c>
      <c r="S1990" s="2">
        <v>0</v>
      </c>
      <c r="T1990" s="4"/>
      <c r="U1990">
        <v>20</v>
      </c>
      <c r="V1990">
        <v>0</v>
      </c>
      <c r="W1990">
        <v>1</v>
      </c>
    </row>
    <row r="1991" spans="1:23" ht="16.5" x14ac:dyDescent="0.3">
      <c r="A1991" t="s">
        <v>2053</v>
      </c>
      <c r="B1991" s="1">
        <v>45595</v>
      </c>
      <c r="C1991">
        <v>2024</v>
      </c>
      <c r="D1991" t="s">
        <v>1832</v>
      </c>
      <c r="E1991" t="s">
        <v>1833</v>
      </c>
      <c r="F1991" t="s">
        <v>37</v>
      </c>
      <c r="G1991" t="s">
        <v>51</v>
      </c>
      <c r="H1991" t="s">
        <v>34</v>
      </c>
      <c r="I1991" t="s">
        <v>29</v>
      </c>
      <c r="J1991" t="s">
        <v>52</v>
      </c>
      <c r="K1991" s="2">
        <v>5750</v>
      </c>
      <c r="L1991" s="2">
        <v>13500</v>
      </c>
      <c r="M1991">
        <v>60</v>
      </c>
      <c r="N1991" s="3">
        <v>0.25700000000000001</v>
      </c>
      <c r="O1991" t="s">
        <v>16</v>
      </c>
      <c r="Q1991">
        <v>1</v>
      </c>
      <c r="R1991">
        <v>0</v>
      </c>
      <c r="S1991" s="2">
        <v>13500</v>
      </c>
      <c r="T1991" s="4">
        <v>0.1145</v>
      </c>
      <c r="U1991">
        <v>7</v>
      </c>
      <c r="V1991">
        <v>0</v>
      </c>
      <c r="W1991">
        <v>1</v>
      </c>
    </row>
    <row r="1992" spans="1:23" ht="16.5" x14ac:dyDescent="0.3">
      <c r="A1992" t="s">
        <v>2054</v>
      </c>
      <c r="B1992" s="1">
        <v>45595</v>
      </c>
      <c r="C1992">
        <v>2024</v>
      </c>
      <c r="D1992" t="s">
        <v>1832</v>
      </c>
      <c r="E1992" t="s">
        <v>1833</v>
      </c>
      <c r="F1992" t="s">
        <v>37</v>
      </c>
      <c r="G1992" t="s">
        <v>51</v>
      </c>
      <c r="H1992" t="s">
        <v>38</v>
      </c>
      <c r="I1992" t="s">
        <v>39</v>
      </c>
      <c r="J1992" t="s">
        <v>46</v>
      </c>
      <c r="K1992" s="2">
        <v>8900</v>
      </c>
      <c r="L1992" s="2">
        <v>9000</v>
      </c>
      <c r="M1992">
        <v>24</v>
      </c>
      <c r="N1992" s="3">
        <v>0.13100000000000001</v>
      </c>
      <c r="O1992" t="s">
        <v>16</v>
      </c>
      <c r="Q1992">
        <v>1</v>
      </c>
      <c r="R1992">
        <v>0</v>
      </c>
      <c r="S1992" s="2">
        <v>7000</v>
      </c>
      <c r="T1992" s="4">
        <v>0.1101</v>
      </c>
      <c r="U1992">
        <v>7</v>
      </c>
      <c r="V1992">
        <v>0</v>
      </c>
      <c r="W1992">
        <v>1</v>
      </c>
    </row>
    <row r="1993" spans="1:23" ht="16.5" x14ac:dyDescent="0.3">
      <c r="A1993" t="s">
        <v>2055</v>
      </c>
      <c r="B1993" s="1">
        <v>45595</v>
      </c>
      <c r="C1993">
        <v>2024</v>
      </c>
      <c r="D1993" t="s">
        <v>1832</v>
      </c>
      <c r="E1993" t="s">
        <v>1833</v>
      </c>
      <c r="F1993" t="s">
        <v>37</v>
      </c>
      <c r="G1993" t="s">
        <v>51</v>
      </c>
      <c r="H1993" t="s">
        <v>38</v>
      </c>
      <c r="I1993" t="s">
        <v>39</v>
      </c>
      <c r="J1993" t="s">
        <v>35</v>
      </c>
      <c r="K1993" s="2">
        <v>5100</v>
      </c>
      <c r="L1993" s="2">
        <v>15000</v>
      </c>
      <c r="M1993">
        <v>12</v>
      </c>
      <c r="N1993" s="3">
        <v>0.374</v>
      </c>
      <c r="O1993" t="s">
        <v>16</v>
      </c>
      <c r="Q1993">
        <v>1</v>
      </c>
      <c r="R1993">
        <v>0</v>
      </c>
      <c r="S1993" s="2">
        <v>13500</v>
      </c>
      <c r="T1993" s="4">
        <v>0.1236</v>
      </c>
      <c r="U1993">
        <v>7</v>
      </c>
      <c r="V1993">
        <v>0</v>
      </c>
      <c r="W1993">
        <v>1</v>
      </c>
    </row>
    <row r="1994" spans="1:23" ht="16.5" x14ac:dyDescent="0.3">
      <c r="A1994" t="s">
        <v>2056</v>
      </c>
      <c r="B1994" s="1">
        <v>45595</v>
      </c>
      <c r="C1994">
        <v>2024</v>
      </c>
      <c r="D1994" t="s">
        <v>1832</v>
      </c>
      <c r="E1994" t="s">
        <v>1833</v>
      </c>
      <c r="F1994" t="s">
        <v>37</v>
      </c>
      <c r="G1994" t="s">
        <v>51</v>
      </c>
      <c r="H1994" t="s">
        <v>38</v>
      </c>
      <c r="I1994" t="s">
        <v>39</v>
      </c>
      <c r="J1994" t="s">
        <v>30</v>
      </c>
      <c r="K1994" s="2">
        <v>9600</v>
      </c>
      <c r="L1994" s="2">
        <v>17000</v>
      </c>
      <c r="M1994">
        <v>12</v>
      </c>
      <c r="N1994" s="3">
        <v>0.309</v>
      </c>
      <c r="O1994" t="s">
        <v>16</v>
      </c>
      <c r="Q1994">
        <v>1</v>
      </c>
      <c r="R1994">
        <v>0</v>
      </c>
      <c r="S1994" s="2">
        <v>17000</v>
      </c>
      <c r="T1994" s="4">
        <v>0.1452</v>
      </c>
      <c r="U1994">
        <v>8</v>
      </c>
      <c r="V1994">
        <v>0</v>
      </c>
      <c r="W1994">
        <v>1</v>
      </c>
    </row>
    <row r="1995" spans="1:23" ht="16.5" x14ac:dyDescent="0.3">
      <c r="A1995" t="s">
        <v>2057</v>
      </c>
      <c r="B1995" s="1">
        <v>45595</v>
      </c>
      <c r="C1995">
        <v>2024</v>
      </c>
      <c r="D1995" t="s">
        <v>1832</v>
      </c>
      <c r="E1995" t="s">
        <v>1833</v>
      </c>
      <c r="F1995" t="s">
        <v>37</v>
      </c>
      <c r="G1995" t="s">
        <v>51</v>
      </c>
      <c r="H1995" t="s">
        <v>38</v>
      </c>
      <c r="I1995" t="s">
        <v>29</v>
      </c>
      <c r="J1995" t="s">
        <v>43</v>
      </c>
      <c r="K1995" s="2">
        <v>3300</v>
      </c>
      <c r="L1995" s="2">
        <v>10500</v>
      </c>
      <c r="M1995">
        <v>60</v>
      </c>
      <c r="N1995" s="3">
        <v>0.30299999999999999</v>
      </c>
      <c r="O1995" t="s">
        <v>16</v>
      </c>
      <c r="Q1995">
        <v>1</v>
      </c>
      <c r="R1995">
        <v>0</v>
      </c>
      <c r="S1995" s="2">
        <v>10500</v>
      </c>
      <c r="T1995" s="4">
        <v>0.15790000000000001</v>
      </c>
      <c r="U1995">
        <v>5</v>
      </c>
      <c r="V1995">
        <v>0</v>
      </c>
      <c r="W1995">
        <v>1</v>
      </c>
    </row>
    <row r="1996" spans="1:23" ht="16.5" x14ac:dyDescent="0.3">
      <c r="A1996" t="s">
        <v>2058</v>
      </c>
      <c r="B1996" s="1">
        <v>45595</v>
      </c>
      <c r="C1996">
        <v>2024</v>
      </c>
      <c r="D1996" t="s">
        <v>1832</v>
      </c>
      <c r="E1996" t="s">
        <v>1833</v>
      </c>
      <c r="F1996" t="s">
        <v>37</v>
      </c>
      <c r="G1996" t="s">
        <v>33</v>
      </c>
      <c r="H1996" t="s">
        <v>55</v>
      </c>
      <c r="I1996" t="s">
        <v>29</v>
      </c>
      <c r="J1996" t="s">
        <v>35</v>
      </c>
      <c r="K1996" s="2">
        <v>2400</v>
      </c>
      <c r="L1996" s="2">
        <v>8000</v>
      </c>
      <c r="M1996">
        <v>60</v>
      </c>
      <c r="N1996" s="3">
        <v>0.19700000000000001</v>
      </c>
      <c r="O1996" t="s">
        <v>16</v>
      </c>
      <c r="Q1996">
        <v>1</v>
      </c>
      <c r="R1996">
        <v>0</v>
      </c>
      <c r="S1996" s="2">
        <v>8000</v>
      </c>
      <c r="T1996" s="4">
        <v>0.1249</v>
      </c>
      <c r="U1996">
        <v>2</v>
      </c>
      <c r="V1996">
        <v>1</v>
      </c>
      <c r="W1996">
        <v>1</v>
      </c>
    </row>
    <row r="1997" spans="1:23" ht="16.5" x14ac:dyDescent="0.3">
      <c r="A1997" t="s">
        <v>2059</v>
      </c>
      <c r="B1997" s="1">
        <v>45595</v>
      </c>
      <c r="C1997">
        <v>2024</v>
      </c>
      <c r="D1997" t="s">
        <v>1832</v>
      </c>
      <c r="E1997" t="s">
        <v>1833</v>
      </c>
      <c r="F1997" t="s">
        <v>37</v>
      </c>
      <c r="G1997" t="s">
        <v>51</v>
      </c>
      <c r="H1997" t="s">
        <v>55</v>
      </c>
      <c r="I1997" t="s">
        <v>39</v>
      </c>
      <c r="J1997" t="s">
        <v>52</v>
      </c>
      <c r="K1997" s="2">
        <v>4900</v>
      </c>
      <c r="L1997" s="2">
        <v>6000</v>
      </c>
      <c r="M1997">
        <v>12</v>
      </c>
      <c r="N1997" s="3">
        <v>0.19400000000000001</v>
      </c>
      <c r="O1997" t="s">
        <v>16</v>
      </c>
      <c r="Q1997">
        <v>1</v>
      </c>
      <c r="R1997">
        <v>0</v>
      </c>
      <c r="S1997" s="2">
        <v>5500</v>
      </c>
      <c r="T1997" s="4">
        <v>0.1113</v>
      </c>
      <c r="U1997">
        <v>3</v>
      </c>
      <c r="V1997">
        <v>1</v>
      </c>
      <c r="W1997">
        <v>1</v>
      </c>
    </row>
    <row r="1998" spans="1:23" ht="16.5" x14ac:dyDescent="0.3">
      <c r="A1998" t="s">
        <v>2060</v>
      </c>
      <c r="B1998" s="1">
        <v>45595</v>
      </c>
      <c r="C1998">
        <v>2024</v>
      </c>
      <c r="D1998" t="s">
        <v>1832</v>
      </c>
      <c r="E1998" t="s">
        <v>1833</v>
      </c>
      <c r="F1998" t="s">
        <v>41</v>
      </c>
      <c r="G1998" t="s">
        <v>45</v>
      </c>
      <c r="H1998" t="s">
        <v>34</v>
      </c>
      <c r="I1998" t="s">
        <v>39</v>
      </c>
      <c r="J1998" t="s">
        <v>35</v>
      </c>
      <c r="K1998" s="2">
        <v>3700</v>
      </c>
      <c r="L1998" s="2">
        <v>176000</v>
      </c>
      <c r="M1998">
        <v>24</v>
      </c>
      <c r="N1998" s="3">
        <v>2.3780000000000001</v>
      </c>
      <c r="O1998" t="s">
        <v>17</v>
      </c>
      <c r="P1998" t="s">
        <v>53</v>
      </c>
      <c r="Q1998">
        <v>0</v>
      </c>
      <c r="R1998">
        <v>1</v>
      </c>
      <c r="S1998" s="2">
        <v>0</v>
      </c>
      <c r="T1998" s="4"/>
      <c r="U1998">
        <v>3</v>
      </c>
      <c r="V1998">
        <v>1</v>
      </c>
      <c r="W1998">
        <v>1</v>
      </c>
    </row>
    <row r="1999" spans="1:23" ht="16.5" x14ac:dyDescent="0.3">
      <c r="A1999" t="s">
        <v>2061</v>
      </c>
      <c r="B1999" s="1">
        <v>45595</v>
      </c>
      <c r="C1999">
        <v>2024</v>
      </c>
      <c r="D1999" t="s">
        <v>1832</v>
      </c>
      <c r="E1999" t="s">
        <v>1833</v>
      </c>
      <c r="F1999" t="s">
        <v>37</v>
      </c>
      <c r="G1999" t="s">
        <v>51</v>
      </c>
      <c r="H1999" t="s">
        <v>38</v>
      </c>
      <c r="I1999" t="s">
        <v>42</v>
      </c>
      <c r="J1999" t="s">
        <v>30</v>
      </c>
      <c r="K1999" s="2">
        <v>17100</v>
      </c>
      <c r="L1999" s="2">
        <v>19000</v>
      </c>
      <c r="M1999">
        <v>60</v>
      </c>
      <c r="N1999" s="3">
        <v>8.3000000000000004E-2</v>
      </c>
      <c r="O1999" t="s">
        <v>16</v>
      </c>
      <c r="Q1999">
        <v>1</v>
      </c>
      <c r="R1999">
        <v>0</v>
      </c>
      <c r="S1999" s="2">
        <v>17000</v>
      </c>
      <c r="T1999" s="4">
        <v>0.13880000000000001</v>
      </c>
      <c r="U1999">
        <v>3</v>
      </c>
      <c r="V1999">
        <v>1</v>
      </c>
      <c r="W1999">
        <v>1</v>
      </c>
    </row>
    <row r="2000" spans="1:23" ht="16.5" x14ac:dyDescent="0.3">
      <c r="A2000" t="s">
        <v>2062</v>
      </c>
      <c r="B2000" s="1">
        <v>45595</v>
      </c>
      <c r="C2000">
        <v>2024</v>
      </c>
      <c r="D2000" t="s">
        <v>1832</v>
      </c>
      <c r="E2000" t="s">
        <v>1833</v>
      </c>
      <c r="F2000" t="s">
        <v>37</v>
      </c>
      <c r="G2000" t="s">
        <v>51</v>
      </c>
      <c r="H2000" t="s">
        <v>38</v>
      </c>
      <c r="I2000" t="s">
        <v>39</v>
      </c>
      <c r="J2000" t="s">
        <v>52</v>
      </c>
      <c r="K2000" s="2">
        <v>3150</v>
      </c>
      <c r="L2000" s="2">
        <v>14000</v>
      </c>
      <c r="M2000">
        <v>60</v>
      </c>
      <c r="N2000" s="3">
        <v>0.16600000000000001</v>
      </c>
      <c r="O2000" t="s">
        <v>16</v>
      </c>
      <c r="Q2000">
        <v>1</v>
      </c>
      <c r="R2000">
        <v>0</v>
      </c>
      <c r="S2000" s="2">
        <v>14000</v>
      </c>
      <c r="T2000" s="4">
        <v>0.1144</v>
      </c>
      <c r="U2000">
        <v>3</v>
      </c>
      <c r="V2000">
        <v>1</v>
      </c>
      <c r="W2000">
        <v>1</v>
      </c>
    </row>
    <row r="2001" spans="1:23" ht="16.5" x14ac:dyDescent="0.3">
      <c r="A2001" t="s">
        <v>2063</v>
      </c>
      <c r="B2001" s="1">
        <v>45596</v>
      </c>
      <c r="C2001">
        <v>2024</v>
      </c>
      <c r="D2001" t="s">
        <v>1832</v>
      </c>
      <c r="E2001" t="s">
        <v>1833</v>
      </c>
      <c r="F2001" t="s">
        <v>37</v>
      </c>
      <c r="G2001" t="s">
        <v>33</v>
      </c>
      <c r="H2001" t="s">
        <v>55</v>
      </c>
      <c r="I2001" t="s">
        <v>42</v>
      </c>
      <c r="J2001" t="s">
        <v>43</v>
      </c>
      <c r="K2001" s="2">
        <v>9450</v>
      </c>
      <c r="L2001" s="2">
        <v>7500</v>
      </c>
      <c r="M2001">
        <v>60</v>
      </c>
      <c r="N2001" s="3">
        <v>8.3000000000000004E-2</v>
      </c>
      <c r="O2001" t="s">
        <v>17</v>
      </c>
      <c r="P2001" t="s">
        <v>31</v>
      </c>
      <c r="Q2001">
        <v>0</v>
      </c>
      <c r="R2001">
        <v>1</v>
      </c>
      <c r="S2001" s="2">
        <v>0</v>
      </c>
      <c r="T2001" s="4"/>
      <c r="U2001">
        <v>1</v>
      </c>
      <c r="V2001">
        <v>1</v>
      </c>
      <c r="W2001">
        <v>1</v>
      </c>
    </row>
    <row r="2002" spans="1:23" ht="16.5" x14ac:dyDescent="0.3">
      <c r="A2002" t="s">
        <v>2064</v>
      </c>
      <c r="B2002" s="1">
        <v>45596</v>
      </c>
      <c r="C2002">
        <v>2024</v>
      </c>
      <c r="D2002" t="s">
        <v>1832</v>
      </c>
      <c r="E2002" t="s">
        <v>1833</v>
      </c>
      <c r="F2002" t="s">
        <v>26</v>
      </c>
      <c r="G2002" t="s">
        <v>51</v>
      </c>
      <c r="H2002" t="s">
        <v>38</v>
      </c>
      <c r="I2002" t="s">
        <v>29</v>
      </c>
      <c r="J2002" t="s">
        <v>46</v>
      </c>
      <c r="K2002" s="2">
        <v>8100</v>
      </c>
      <c r="L2002" s="2">
        <v>28500</v>
      </c>
      <c r="M2002">
        <v>60</v>
      </c>
      <c r="N2002" s="3">
        <v>0.13100000000000001</v>
      </c>
      <c r="O2002" t="s">
        <v>16</v>
      </c>
      <c r="Q2002">
        <v>1</v>
      </c>
      <c r="R2002">
        <v>0</v>
      </c>
      <c r="S2002" s="2">
        <v>28500</v>
      </c>
      <c r="T2002" s="4">
        <v>6.6799999999999998E-2</v>
      </c>
      <c r="U2002">
        <v>8</v>
      </c>
      <c r="V2002">
        <v>0</v>
      </c>
      <c r="W2002">
        <v>1</v>
      </c>
    </row>
    <row r="2003" spans="1:23" ht="16.5" x14ac:dyDescent="0.3">
      <c r="A2003" t="s">
        <v>2065</v>
      </c>
      <c r="B2003" s="1">
        <v>45596</v>
      </c>
      <c r="C2003">
        <v>2024</v>
      </c>
      <c r="D2003" t="s">
        <v>1832</v>
      </c>
      <c r="E2003" t="s">
        <v>1833</v>
      </c>
      <c r="F2003" t="s">
        <v>37</v>
      </c>
      <c r="G2003" t="s">
        <v>45</v>
      </c>
      <c r="H2003" t="s">
        <v>34</v>
      </c>
      <c r="I2003" t="s">
        <v>29</v>
      </c>
      <c r="J2003" t="s">
        <v>35</v>
      </c>
      <c r="K2003" s="2">
        <v>6400</v>
      </c>
      <c r="L2003" s="2">
        <v>13000</v>
      </c>
      <c r="M2003">
        <v>48</v>
      </c>
      <c r="N2003" s="3">
        <v>0.22900000000000001</v>
      </c>
      <c r="O2003" t="s">
        <v>17</v>
      </c>
      <c r="P2003" t="s">
        <v>60</v>
      </c>
      <c r="Q2003">
        <v>0</v>
      </c>
      <c r="R2003">
        <v>1</v>
      </c>
      <c r="S2003" s="2">
        <v>0</v>
      </c>
      <c r="T2003" s="4"/>
      <c r="U2003">
        <v>7</v>
      </c>
      <c r="V2003">
        <v>0</v>
      </c>
      <c r="W2003">
        <v>1</v>
      </c>
    </row>
    <row r="2004" spans="1:23" ht="16.5" x14ac:dyDescent="0.3">
      <c r="A2004" t="s">
        <v>2066</v>
      </c>
      <c r="B2004" s="1">
        <v>45596</v>
      </c>
      <c r="C2004">
        <v>2024</v>
      </c>
      <c r="D2004" t="s">
        <v>1832</v>
      </c>
      <c r="E2004" t="s">
        <v>1833</v>
      </c>
      <c r="F2004" t="s">
        <v>50</v>
      </c>
      <c r="G2004" t="s">
        <v>51</v>
      </c>
      <c r="H2004" t="s">
        <v>64</v>
      </c>
      <c r="I2004" t="s">
        <v>29</v>
      </c>
      <c r="J2004" t="s">
        <v>52</v>
      </c>
      <c r="K2004" s="2">
        <v>3500</v>
      </c>
      <c r="L2004" s="2">
        <v>532500</v>
      </c>
      <c r="M2004">
        <v>180</v>
      </c>
      <c r="N2004" s="3">
        <v>1.3089999999999999</v>
      </c>
      <c r="O2004" t="s">
        <v>17</v>
      </c>
      <c r="P2004" t="s">
        <v>53</v>
      </c>
      <c r="Q2004">
        <v>0</v>
      </c>
      <c r="R2004">
        <v>1</v>
      </c>
      <c r="S2004" s="2">
        <v>0</v>
      </c>
      <c r="T2004" s="4"/>
      <c r="U2004">
        <v>21</v>
      </c>
      <c r="V2004">
        <v>0</v>
      </c>
      <c r="W2004">
        <v>1</v>
      </c>
    </row>
    <row r="2005" spans="1:23" ht="16.5" x14ac:dyDescent="0.3">
      <c r="A2005" t="s">
        <v>2067</v>
      </c>
      <c r="B2005" s="1">
        <v>45596</v>
      </c>
      <c r="C2005">
        <v>2024</v>
      </c>
      <c r="D2005" t="s">
        <v>1832</v>
      </c>
      <c r="E2005" t="s">
        <v>1833</v>
      </c>
      <c r="F2005" t="s">
        <v>26</v>
      </c>
      <c r="G2005" t="s">
        <v>51</v>
      </c>
      <c r="H2005" t="s">
        <v>38</v>
      </c>
      <c r="I2005" t="s">
        <v>42</v>
      </c>
      <c r="J2005" t="s">
        <v>52</v>
      </c>
      <c r="K2005" s="2">
        <v>5000</v>
      </c>
      <c r="L2005" s="2">
        <v>30500</v>
      </c>
      <c r="M2005">
        <v>36</v>
      </c>
      <c r="N2005" s="3">
        <v>0.28199999999999997</v>
      </c>
      <c r="O2005" t="s">
        <v>16</v>
      </c>
      <c r="Q2005">
        <v>1</v>
      </c>
      <c r="R2005">
        <v>0</v>
      </c>
      <c r="S2005" s="2">
        <v>30500</v>
      </c>
      <c r="T2005" s="4">
        <v>7.2999999999999995E-2</v>
      </c>
      <c r="U2005">
        <v>6</v>
      </c>
      <c r="V2005">
        <v>0</v>
      </c>
      <c r="W2005">
        <v>1</v>
      </c>
    </row>
    <row r="2006" spans="1:23" ht="16.5" x14ac:dyDescent="0.3">
      <c r="A2006" t="s">
        <v>2068</v>
      </c>
      <c r="B2006" s="1">
        <v>45596</v>
      </c>
      <c r="C2006">
        <v>2024</v>
      </c>
      <c r="D2006" t="s">
        <v>1832</v>
      </c>
      <c r="E2006" t="s">
        <v>1833</v>
      </c>
      <c r="F2006" t="s">
        <v>37</v>
      </c>
      <c r="G2006" t="s">
        <v>33</v>
      </c>
      <c r="H2006" t="s">
        <v>55</v>
      </c>
      <c r="I2006" t="s">
        <v>39</v>
      </c>
      <c r="J2006" t="s">
        <v>35</v>
      </c>
      <c r="K2006" s="2">
        <v>6800</v>
      </c>
      <c r="L2006" s="2">
        <v>17500</v>
      </c>
      <c r="M2006">
        <v>24</v>
      </c>
      <c r="N2006" s="3">
        <v>0.186</v>
      </c>
      <c r="O2006" t="s">
        <v>16</v>
      </c>
      <c r="Q2006">
        <v>1</v>
      </c>
      <c r="R2006">
        <v>0</v>
      </c>
      <c r="S2006" s="2">
        <v>16000</v>
      </c>
      <c r="T2006" s="4">
        <v>0.12590000000000001</v>
      </c>
      <c r="U2006">
        <v>2</v>
      </c>
      <c r="V2006">
        <v>1</v>
      </c>
      <c r="W2006">
        <v>1</v>
      </c>
    </row>
    <row r="2007" spans="1:23" ht="16.5" x14ac:dyDescent="0.3">
      <c r="A2007" t="s">
        <v>2069</v>
      </c>
      <c r="B2007" s="1">
        <v>45596</v>
      </c>
      <c r="C2007">
        <v>2024</v>
      </c>
      <c r="D2007" t="s">
        <v>1832</v>
      </c>
      <c r="E2007" t="s">
        <v>1833</v>
      </c>
      <c r="F2007" t="s">
        <v>37</v>
      </c>
      <c r="G2007" t="s">
        <v>51</v>
      </c>
      <c r="H2007" t="s">
        <v>38</v>
      </c>
      <c r="I2007" t="s">
        <v>42</v>
      </c>
      <c r="J2007" t="s">
        <v>52</v>
      </c>
      <c r="K2007" s="2">
        <v>5750</v>
      </c>
      <c r="L2007" s="2">
        <v>18000</v>
      </c>
      <c r="M2007">
        <v>36</v>
      </c>
      <c r="N2007" s="3">
        <v>0.31</v>
      </c>
      <c r="O2007" t="s">
        <v>16</v>
      </c>
      <c r="Q2007">
        <v>1</v>
      </c>
      <c r="R2007">
        <v>0</v>
      </c>
      <c r="S2007" s="2">
        <v>18000</v>
      </c>
      <c r="T2007" s="4">
        <v>0.11609999999999999</v>
      </c>
      <c r="U2007">
        <v>4</v>
      </c>
      <c r="V2007">
        <v>0</v>
      </c>
      <c r="W2007">
        <v>1</v>
      </c>
    </row>
    <row r="2008" spans="1:23" ht="16.5" x14ac:dyDescent="0.3">
      <c r="A2008" t="s">
        <v>2070</v>
      </c>
      <c r="B2008" s="1">
        <v>45597</v>
      </c>
      <c r="C2008">
        <v>2024</v>
      </c>
      <c r="D2008" t="s">
        <v>1832</v>
      </c>
      <c r="E2008" t="s">
        <v>2071</v>
      </c>
      <c r="F2008" t="s">
        <v>26</v>
      </c>
      <c r="G2008" t="s">
        <v>27</v>
      </c>
      <c r="H2008" t="s">
        <v>55</v>
      </c>
      <c r="I2008" t="s">
        <v>29</v>
      </c>
      <c r="J2008" t="s">
        <v>35</v>
      </c>
      <c r="K2008" s="2">
        <v>7550</v>
      </c>
      <c r="L2008" s="2">
        <v>17500</v>
      </c>
      <c r="M2008">
        <v>36</v>
      </c>
      <c r="N2008" s="3">
        <v>0.13900000000000001</v>
      </c>
      <c r="O2008" t="s">
        <v>16</v>
      </c>
      <c r="Q2008">
        <v>1</v>
      </c>
      <c r="R2008">
        <v>0</v>
      </c>
      <c r="S2008" s="2">
        <v>17500</v>
      </c>
      <c r="T2008" s="4">
        <v>8.3400000000000002E-2</v>
      </c>
      <c r="U2008">
        <v>5</v>
      </c>
      <c r="V2008">
        <v>0</v>
      </c>
      <c r="W2008">
        <v>1</v>
      </c>
    </row>
    <row r="2009" spans="1:23" ht="16.5" x14ac:dyDescent="0.3">
      <c r="A2009" t="s">
        <v>2072</v>
      </c>
      <c r="B2009" s="1">
        <v>45597</v>
      </c>
      <c r="C2009">
        <v>2024</v>
      </c>
      <c r="D2009" t="s">
        <v>1832</v>
      </c>
      <c r="E2009" t="s">
        <v>2071</v>
      </c>
      <c r="F2009" t="s">
        <v>37</v>
      </c>
      <c r="G2009" t="s">
        <v>45</v>
      </c>
      <c r="H2009" t="s">
        <v>28</v>
      </c>
      <c r="I2009" t="s">
        <v>29</v>
      </c>
      <c r="J2009" t="s">
        <v>30</v>
      </c>
      <c r="K2009" s="2">
        <v>5000</v>
      </c>
      <c r="L2009" s="2">
        <v>7500</v>
      </c>
      <c r="M2009">
        <v>48</v>
      </c>
      <c r="N2009" s="3">
        <v>0.24399999999999999</v>
      </c>
      <c r="O2009" t="s">
        <v>16</v>
      </c>
      <c r="Q2009">
        <v>1</v>
      </c>
      <c r="R2009">
        <v>0</v>
      </c>
      <c r="S2009" s="2">
        <v>7500</v>
      </c>
      <c r="T2009" s="4">
        <v>0.1386</v>
      </c>
      <c r="U2009">
        <v>1</v>
      </c>
      <c r="V2009">
        <v>1</v>
      </c>
      <c r="W2009">
        <v>1</v>
      </c>
    </row>
    <row r="2010" spans="1:23" ht="16.5" x14ac:dyDescent="0.3">
      <c r="A2010" t="s">
        <v>2073</v>
      </c>
      <c r="B2010" s="1">
        <v>45597</v>
      </c>
      <c r="C2010">
        <v>2024</v>
      </c>
      <c r="D2010" t="s">
        <v>1832</v>
      </c>
      <c r="E2010" t="s">
        <v>2071</v>
      </c>
      <c r="F2010" t="s">
        <v>50</v>
      </c>
      <c r="G2010" t="s">
        <v>45</v>
      </c>
      <c r="H2010" t="s">
        <v>55</v>
      </c>
      <c r="I2010" t="s">
        <v>39</v>
      </c>
      <c r="J2010" t="s">
        <v>30</v>
      </c>
      <c r="K2010" s="2">
        <v>6600</v>
      </c>
      <c r="L2010" s="2">
        <v>381500</v>
      </c>
      <c r="M2010">
        <v>300</v>
      </c>
      <c r="N2010" s="3">
        <v>0.42</v>
      </c>
      <c r="O2010" t="s">
        <v>16</v>
      </c>
      <c r="Q2010">
        <v>1</v>
      </c>
      <c r="R2010">
        <v>0</v>
      </c>
      <c r="S2010" s="2">
        <v>343500</v>
      </c>
      <c r="T2010" s="4">
        <v>7.9000000000000001E-2</v>
      </c>
      <c r="U2010">
        <v>7</v>
      </c>
      <c r="V2010">
        <v>1</v>
      </c>
      <c r="W2010">
        <v>1</v>
      </c>
    </row>
    <row r="2011" spans="1:23" ht="16.5" x14ac:dyDescent="0.3">
      <c r="A2011" t="s">
        <v>2074</v>
      </c>
      <c r="B2011" s="1">
        <v>45597</v>
      </c>
      <c r="C2011">
        <v>2024</v>
      </c>
      <c r="D2011" t="s">
        <v>1832</v>
      </c>
      <c r="E2011" t="s">
        <v>2071</v>
      </c>
      <c r="F2011" t="s">
        <v>37</v>
      </c>
      <c r="G2011" t="s">
        <v>51</v>
      </c>
      <c r="H2011" t="s">
        <v>28</v>
      </c>
      <c r="I2011" t="s">
        <v>39</v>
      </c>
      <c r="J2011" t="s">
        <v>35</v>
      </c>
      <c r="K2011" s="2">
        <v>6350</v>
      </c>
      <c r="L2011" s="2">
        <v>9000</v>
      </c>
      <c r="M2011">
        <v>12</v>
      </c>
      <c r="N2011" s="3">
        <v>0.30199999999999999</v>
      </c>
      <c r="O2011" t="s">
        <v>16</v>
      </c>
      <c r="Q2011">
        <v>1</v>
      </c>
      <c r="R2011">
        <v>0</v>
      </c>
      <c r="S2011" s="2">
        <v>7000</v>
      </c>
      <c r="T2011" s="4">
        <v>0.1278</v>
      </c>
      <c r="U2011">
        <v>6</v>
      </c>
      <c r="V2011">
        <v>0</v>
      </c>
      <c r="W2011">
        <v>1</v>
      </c>
    </row>
    <row r="2012" spans="1:23" ht="16.5" x14ac:dyDescent="0.3">
      <c r="A2012" t="s">
        <v>2075</v>
      </c>
      <c r="B2012" s="1">
        <v>45597</v>
      </c>
      <c r="C2012">
        <v>2024</v>
      </c>
      <c r="D2012" t="s">
        <v>1832</v>
      </c>
      <c r="E2012" t="s">
        <v>2071</v>
      </c>
      <c r="F2012" t="s">
        <v>37</v>
      </c>
      <c r="G2012" t="s">
        <v>51</v>
      </c>
      <c r="H2012" t="s">
        <v>38</v>
      </c>
      <c r="I2012" t="s">
        <v>29</v>
      </c>
      <c r="J2012" t="s">
        <v>52</v>
      </c>
      <c r="K2012" s="2">
        <v>3700</v>
      </c>
      <c r="L2012" s="2">
        <v>9500</v>
      </c>
      <c r="M2012">
        <v>60</v>
      </c>
      <c r="N2012" s="3">
        <v>0.28299999999999997</v>
      </c>
      <c r="O2012" t="s">
        <v>16</v>
      </c>
      <c r="Q2012">
        <v>1</v>
      </c>
      <c r="R2012">
        <v>0</v>
      </c>
      <c r="S2012" s="2">
        <v>8500</v>
      </c>
      <c r="T2012" s="4">
        <v>0.1154</v>
      </c>
      <c r="U2012">
        <v>5</v>
      </c>
      <c r="V2012">
        <v>0</v>
      </c>
      <c r="W2012">
        <v>1</v>
      </c>
    </row>
    <row r="2013" spans="1:23" ht="16.5" x14ac:dyDescent="0.3">
      <c r="A2013" t="s">
        <v>2076</v>
      </c>
      <c r="B2013" s="1">
        <v>45597</v>
      </c>
      <c r="C2013">
        <v>2024</v>
      </c>
      <c r="D2013" t="s">
        <v>1832</v>
      </c>
      <c r="E2013" t="s">
        <v>2071</v>
      </c>
      <c r="F2013" t="s">
        <v>41</v>
      </c>
      <c r="G2013" t="s">
        <v>51</v>
      </c>
      <c r="H2013" t="s">
        <v>38</v>
      </c>
      <c r="I2013" t="s">
        <v>29</v>
      </c>
      <c r="J2013" t="s">
        <v>43</v>
      </c>
      <c r="K2013" s="2">
        <v>5400</v>
      </c>
      <c r="L2013" s="2">
        <v>42500</v>
      </c>
      <c r="M2013">
        <v>12</v>
      </c>
      <c r="N2013" s="3">
        <v>0.78600000000000003</v>
      </c>
      <c r="O2013" t="s">
        <v>17</v>
      </c>
      <c r="P2013" t="s">
        <v>31</v>
      </c>
      <c r="Q2013">
        <v>0</v>
      </c>
      <c r="R2013">
        <v>1</v>
      </c>
      <c r="S2013" s="2">
        <v>0</v>
      </c>
      <c r="T2013" s="4"/>
      <c r="U2013">
        <v>13</v>
      </c>
      <c r="V2013">
        <v>0</v>
      </c>
      <c r="W2013">
        <v>1</v>
      </c>
    </row>
    <row r="2014" spans="1:23" ht="16.5" x14ac:dyDescent="0.3">
      <c r="A2014" t="s">
        <v>2077</v>
      </c>
      <c r="B2014" s="1">
        <v>45597</v>
      </c>
      <c r="C2014">
        <v>2024</v>
      </c>
      <c r="D2014" t="s">
        <v>1832</v>
      </c>
      <c r="E2014" t="s">
        <v>2071</v>
      </c>
      <c r="F2014" t="s">
        <v>50</v>
      </c>
      <c r="G2014" t="s">
        <v>45</v>
      </c>
      <c r="H2014" t="s">
        <v>38</v>
      </c>
      <c r="I2014" t="s">
        <v>42</v>
      </c>
      <c r="J2014" t="s">
        <v>30</v>
      </c>
      <c r="K2014" s="2">
        <v>3000</v>
      </c>
      <c r="L2014" s="2">
        <v>497000</v>
      </c>
      <c r="M2014">
        <v>240</v>
      </c>
      <c r="N2014" s="3">
        <v>1.161</v>
      </c>
      <c r="O2014" t="s">
        <v>125</v>
      </c>
      <c r="Q2014">
        <v>0</v>
      </c>
      <c r="R2014">
        <v>0</v>
      </c>
      <c r="S2014" s="2">
        <v>0</v>
      </c>
      <c r="T2014" s="4"/>
      <c r="U2014">
        <v>6</v>
      </c>
      <c r="V2014">
        <v>1</v>
      </c>
      <c r="W2014">
        <v>1</v>
      </c>
    </row>
    <row r="2015" spans="1:23" ht="16.5" x14ac:dyDescent="0.3">
      <c r="A2015" t="s">
        <v>2078</v>
      </c>
      <c r="B2015" s="1">
        <v>45597</v>
      </c>
      <c r="C2015">
        <v>2024</v>
      </c>
      <c r="D2015" t="s">
        <v>1832</v>
      </c>
      <c r="E2015" t="s">
        <v>2071</v>
      </c>
      <c r="F2015" t="s">
        <v>41</v>
      </c>
      <c r="G2015" t="s">
        <v>45</v>
      </c>
      <c r="H2015" t="s">
        <v>38</v>
      </c>
      <c r="I2015" t="s">
        <v>39</v>
      </c>
      <c r="J2015" t="s">
        <v>46</v>
      </c>
      <c r="K2015" s="2">
        <v>5500</v>
      </c>
      <c r="L2015" s="2">
        <v>55000</v>
      </c>
      <c r="M2015">
        <v>24</v>
      </c>
      <c r="N2015" s="3">
        <v>0.55700000000000005</v>
      </c>
      <c r="O2015" t="s">
        <v>16</v>
      </c>
      <c r="Q2015">
        <v>1</v>
      </c>
      <c r="R2015">
        <v>0</v>
      </c>
      <c r="S2015" s="2">
        <v>55000</v>
      </c>
      <c r="T2015" s="4">
        <v>9.3200000000000005E-2</v>
      </c>
      <c r="U2015">
        <v>3</v>
      </c>
      <c r="V2015">
        <v>1</v>
      </c>
      <c r="W2015">
        <v>1</v>
      </c>
    </row>
    <row r="2016" spans="1:23" ht="16.5" x14ac:dyDescent="0.3">
      <c r="A2016" t="s">
        <v>2079</v>
      </c>
      <c r="B2016" s="1">
        <v>45597</v>
      </c>
      <c r="C2016">
        <v>2024</v>
      </c>
      <c r="D2016" t="s">
        <v>1832</v>
      </c>
      <c r="E2016" t="s">
        <v>2071</v>
      </c>
      <c r="F2016" t="s">
        <v>50</v>
      </c>
      <c r="G2016" t="s">
        <v>45</v>
      </c>
      <c r="H2016" t="s">
        <v>64</v>
      </c>
      <c r="I2016" t="s">
        <v>29</v>
      </c>
      <c r="J2016" t="s">
        <v>35</v>
      </c>
      <c r="K2016" s="2">
        <v>3700</v>
      </c>
      <c r="L2016" s="2">
        <v>352500</v>
      </c>
      <c r="M2016">
        <v>240</v>
      </c>
      <c r="N2016" s="3">
        <v>0.72299999999999998</v>
      </c>
      <c r="O2016" t="s">
        <v>17</v>
      </c>
      <c r="P2016" t="s">
        <v>53</v>
      </c>
      <c r="Q2016">
        <v>0</v>
      </c>
      <c r="R2016">
        <v>1</v>
      </c>
      <c r="S2016" s="2">
        <v>0</v>
      </c>
      <c r="T2016" s="4"/>
      <c r="U2016">
        <v>9</v>
      </c>
      <c r="V2016">
        <v>1</v>
      </c>
      <c r="W2016">
        <v>1</v>
      </c>
    </row>
    <row r="2017" spans="1:23" ht="16.5" x14ac:dyDescent="0.3">
      <c r="A2017" t="s">
        <v>2080</v>
      </c>
      <c r="B2017" s="1">
        <v>45597</v>
      </c>
      <c r="C2017">
        <v>2024</v>
      </c>
      <c r="D2017" t="s">
        <v>1832</v>
      </c>
      <c r="E2017" t="s">
        <v>2071</v>
      </c>
      <c r="F2017" t="s">
        <v>37</v>
      </c>
      <c r="G2017" t="s">
        <v>45</v>
      </c>
      <c r="H2017" t="s">
        <v>34</v>
      </c>
      <c r="I2017" t="s">
        <v>39</v>
      </c>
      <c r="J2017" t="s">
        <v>35</v>
      </c>
      <c r="K2017" s="2">
        <v>7150</v>
      </c>
      <c r="L2017" s="2">
        <v>9000</v>
      </c>
      <c r="M2017">
        <v>24</v>
      </c>
      <c r="N2017" s="3">
        <v>0.161</v>
      </c>
      <c r="O2017" t="s">
        <v>16</v>
      </c>
      <c r="Q2017">
        <v>1</v>
      </c>
      <c r="R2017">
        <v>0</v>
      </c>
      <c r="S2017" s="2">
        <v>9000</v>
      </c>
      <c r="T2017" s="4">
        <v>0.12529999999999999</v>
      </c>
      <c r="U2017">
        <v>2</v>
      </c>
      <c r="V2017">
        <v>1</v>
      </c>
      <c r="W2017">
        <v>1</v>
      </c>
    </row>
    <row r="2018" spans="1:23" ht="16.5" x14ac:dyDescent="0.3">
      <c r="A2018" t="s">
        <v>2081</v>
      </c>
      <c r="B2018" s="1">
        <v>45597</v>
      </c>
      <c r="C2018">
        <v>2024</v>
      </c>
      <c r="D2018" t="s">
        <v>1832</v>
      </c>
      <c r="E2018" t="s">
        <v>2071</v>
      </c>
      <c r="F2018" t="s">
        <v>37</v>
      </c>
      <c r="G2018" t="s">
        <v>51</v>
      </c>
      <c r="H2018" t="s">
        <v>38</v>
      </c>
      <c r="I2018" t="s">
        <v>29</v>
      </c>
      <c r="J2018" t="s">
        <v>30</v>
      </c>
      <c r="K2018" s="2">
        <v>7800</v>
      </c>
      <c r="L2018" s="2">
        <v>13500</v>
      </c>
      <c r="M2018">
        <v>60</v>
      </c>
      <c r="N2018" s="3">
        <v>0.246</v>
      </c>
      <c r="O2018" t="s">
        <v>17</v>
      </c>
      <c r="P2018" t="s">
        <v>31</v>
      </c>
      <c r="Q2018">
        <v>0</v>
      </c>
      <c r="R2018">
        <v>1</v>
      </c>
      <c r="S2018" s="2">
        <v>0</v>
      </c>
      <c r="T2018" s="4"/>
      <c r="U2018">
        <v>6</v>
      </c>
      <c r="V2018">
        <v>0</v>
      </c>
      <c r="W2018">
        <v>1</v>
      </c>
    </row>
    <row r="2019" spans="1:23" ht="16.5" x14ac:dyDescent="0.3">
      <c r="A2019" t="s">
        <v>2082</v>
      </c>
      <c r="B2019" s="1">
        <v>45598</v>
      </c>
      <c r="C2019">
        <v>2024</v>
      </c>
      <c r="D2019" t="s">
        <v>1832</v>
      </c>
      <c r="E2019" t="s">
        <v>2071</v>
      </c>
      <c r="F2019" t="s">
        <v>37</v>
      </c>
      <c r="G2019" t="s">
        <v>51</v>
      </c>
      <c r="H2019" t="s">
        <v>55</v>
      </c>
      <c r="I2019" t="s">
        <v>39</v>
      </c>
      <c r="J2019" t="s">
        <v>30</v>
      </c>
      <c r="K2019" s="2">
        <v>3950</v>
      </c>
      <c r="L2019" s="2">
        <v>33500</v>
      </c>
      <c r="M2019">
        <v>48</v>
      </c>
      <c r="N2019" s="3">
        <v>0.44500000000000001</v>
      </c>
      <c r="O2019" t="s">
        <v>17</v>
      </c>
      <c r="P2019" t="s">
        <v>31</v>
      </c>
      <c r="Q2019">
        <v>0</v>
      </c>
      <c r="R2019">
        <v>1</v>
      </c>
      <c r="S2019" s="2">
        <v>0</v>
      </c>
      <c r="T2019" s="4"/>
      <c r="U2019">
        <v>3</v>
      </c>
      <c r="V2019">
        <v>1</v>
      </c>
      <c r="W2019">
        <v>1</v>
      </c>
    </row>
    <row r="2020" spans="1:23" ht="16.5" x14ac:dyDescent="0.3">
      <c r="A2020" t="s">
        <v>2083</v>
      </c>
      <c r="B2020" s="1">
        <v>45598</v>
      </c>
      <c r="C2020">
        <v>2024</v>
      </c>
      <c r="D2020" t="s">
        <v>1832</v>
      </c>
      <c r="E2020" t="s">
        <v>2071</v>
      </c>
      <c r="F2020" t="s">
        <v>37</v>
      </c>
      <c r="G2020" t="s">
        <v>51</v>
      </c>
      <c r="H2020" t="s">
        <v>64</v>
      </c>
      <c r="I2020" t="s">
        <v>39</v>
      </c>
      <c r="J2020" t="s">
        <v>43</v>
      </c>
      <c r="K2020" s="2">
        <v>6000</v>
      </c>
      <c r="L2020" s="2">
        <v>6000</v>
      </c>
      <c r="M2020">
        <v>12</v>
      </c>
      <c r="N2020" s="3">
        <v>0.23499999999999999</v>
      </c>
      <c r="O2020" t="s">
        <v>16</v>
      </c>
      <c r="Q2020">
        <v>1</v>
      </c>
      <c r="R2020">
        <v>0</v>
      </c>
      <c r="S2020" s="2">
        <v>5500</v>
      </c>
      <c r="T2020" s="4">
        <v>0.15409999999999999</v>
      </c>
      <c r="U2020">
        <v>8</v>
      </c>
      <c r="V2020">
        <v>0</v>
      </c>
      <c r="W2020">
        <v>1</v>
      </c>
    </row>
    <row r="2021" spans="1:23" ht="16.5" x14ac:dyDescent="0.3">
      <c r="A2021" t="s">
        <v>2084</v>
      </c>
      <c r="B2021" s="1">
        <v>45598</v>
      </c>
      <c r="C2021">
        <v>2024</v>
      </c>
      <c r="D2021" t="s">
        <v>1832</v>
      </c>
      <c r="E2021" t="s">
        <v>2071</v>
      </c>
      <c r="F2021" t="s">
        <v>37</v>
      </c>
      <c r="G2021" t="s">
        <v>51</v>
      </c>
      <c r="H2021" t="s">
        <v>64</v>
      </c>
      <c r="I2021" t="s">
        <v>39</v>
      </c>
      <c r="J2021" t="s">
        <v>30</v>
      </c>
      <c r="K2021" s="2">
        <v>4650</v>
      </c>
      <c r="L2021" s="2">
        <v>6000</v>
      </c>
      <c r="M2021">
        <v>12</v>
      </c>
      <c r="N2021" s="3">
        <v>0.24299999999999999</v>
      </c>
      <c r="O2021" t="s">
        <v>16</v>
      </c>
      <c r="Q2021">
        <v>1</v>
      </c>
      <c r="R2021">
        <v>0</v>
      </c>
      <c r="S2021" s="2">
        <v>6000</v>
      </c>
      <c r="T2021" s="4">
        <v>0.14019999999999999</v>
      </c>
      <c r="U2021">
        <v>6</v>
      </c>
      <c r="V2021">
        <v>0</v>
      </c>
      <c r="W2021">
        <v>1</v>
      </c>
    </row>
    <row r="2022" spans="1:23" ht="16.5" x14ac:dyDescent="0.3">
      <c r="A2022" t="s">
        <v>2085</v>
      </c>
      <c r="B2022" s="1">
        <v>45598</v>
      </c>
      <c r="C2022">
        <v>2024</v>
      </c>
      <c r="D2022" t="s">
        <v>1832</v>
      </c>
      <c r="E2022" t="s">
        <v>2071</v>
      </c>
      <c r="F2022" t="s">
        <v>37</v>
      </c>
      <c r="G2022" t="s">
        <v>27</v>
      </c>
      <c r="H2022" t="s">
        <v>34</v>
      </c>
      <c r="I2022" t="s">
        <v>39</v>
      </c>
      <c r="J2022" t="s">
        <v>43</v>
      </c>
      <c r="K2022" s="2">
        <v>5500</v>
      </c>
      <c r="L2022" s="2">
        <v>20000</v>
      </c>
      <c r="M2022">
        <v>12</v>
      </c>
      <c r="N2022" s="3">
        <v>0.38600000000000001</v>
      </c>
      <c r="O2022" t="s">
        <v>17</v>
      </c>
      <c r="P2022" t="s">
        <v>31</v>
      </c>
      <c r="Q2022">
        <v>0</v>
      </c>
      <c r="R2022">
        <v>1</v>
      </c>
      <c r="S2022" s="2">
        <v>0</v>
      </c>
      <c r="T2022" s="4"/>
      <c r="U2022">
        <v>5</v>
      </c>
      <c r="V2022">
        <v>0</v>
      </c>
      <c r="W2022">
        <v>1</v>
      </c>
    </row>
    <row r="2023" spans="1:23" ht="16.5" x14ac:dyDescent="0.3">
      <c r="A2023" t="s">
        <v>2086</v>
      </c>
      <c r="B2023" s="1">
        <v>45598</v>
      </c>
      <c r="C2023">
        <v>2024</v>
      </c>
      <c r="D2023" t="s">
        <v>1832</v>
      </c>
      <c r="E2023" t="s">
        <v>2071</v>
      </c>
      <c r="F2023" t="s">
        <v>37</v>
      </c>
      <c r="G2023" t="s">
        <v>33</v>
      </c>
      <c r="H2023" t="s">
        <v>55</v>
      </c>
      <c r="I2023" t="s">
        <v>29</v>
      </c>
      <c r="J2023" t="s">
        <v>52</v>
      </c>
      <c r="K2023" s="2">
        <v>6500</v>
      </c>
      <c r="L2023" s="2">
        <v>14000</v>
      </c>
      <c r="M2023">
        <v>12</v>
      </c>
      <c r="N2023" s="3">
        <v>0.25800000000000001</v>
      </c>
      <c r="O2023" t="s">
        <v>17</v>
      </c>
      <c r="P2023" t="s">
        <v>60</v>
      </c>
      <c r="Q2023">
        <v>0</v>
      </c>
      <c r="R2023">
        <v>1</v>
      </c>
      <c r="S2023" s="2">
        <v>0</v>
      </c>
      <c r="T2023" s="4"/>
      <c r="U2023">
        <v>6</v>
      </c>
      <c r="V2023">
        <v>0</v>
      </c>
      <c r="W2023">
        <v>1</v>
      </c>
    </row>
    <row r="2024" spans="1:23" ht="16.5" x14ac:dyDescent="0.3">
      <c r="A2024" t="s">
        <v>2087</v>
      </c>
      <c r="B2024" s="1">
        <v>45598</v>
      </c>
      <c r="C2024">
        <v>2024</v>
      </c>
      <c r="D2024" t="s">
        <v>1832</v>
      </c>
      <c r="E2024" t="s">
        <v>2071</v>
      </c>
      <c r="F2024" t="s">
        <v>26</v>
      </c>
      <c r="G2024" t="s">
        <v>33</v>
      </c>
      <c r="H2024" t="s">
        <v>38</v>
      </c>
      <c r="I2024" t="s">
        <v>39</v>
      </c>
      <c r="J2024" t="s">
        <v>52</v>
      </c>
      <c r="K2024" s="2">
        <v>3850</v>
      </c>
      <c r="L2024" s="2">
        <v>72000</v>
      </c>
      <c r="M2024">
        <v>36</v>
      </c>
      <c r="N2024" s="3">
        <v>0.64200000000000002</v>
      </c>
      <c r="O2024" t="s">
        <v>16</v>
      </c>
      <c r="Q2024">
        <v>1</v>
      </c>
      <c r="R2024">
        <v>0</v>
      </c>
      <c r="S2024" s="2">
        <v>72000</v>
      </c>
      <c r="T2024" s="4">
        <v>7.4399999999999994E-2</v>
      </c>
      <c r="U2024">
        <v>2</v>
      </c>
      <c r="V2024">
        <v>1</v>
      </c>
      <c r="W2024">
        <v>1</v>
      </c>
    </row>
    <row r="2025" spans="1:23" ht="16.5" x14ac:dyDescent="0.3">
      <c r="A2025" t="s">
        <v>2088</v>
      </c>
      <c r="B2025" s="1">
        <v>45598</v>
      </c>
      <c r="C2025">
        <v>2024</v>
      </c>
      <c r="D2025" t="s">
        <v>1832</v>
      </c>
      <c r="E2025" t="s">
        <v>2071</v>
      </c>
      <c r="F2025" t="s">
        <v>41</v>
      </c>
      <c r="G2025" t="s">
        <v>33</v>
      </c>
      <c r="H2025" t="s">
        <v>38</v>
      </c>
      <c r="I2025" t="s">
        <v>39</v>
      </c>
      <c r="J2025" t="s">
        <v>30</v>
      </c>
      <c r="K2025" s="2">
        <v>6600</v>
      </c>
      <c r="L2025" s="2">
        <v>76500</v>
      </c>
      <c r="M2025">
        <v>12</v>
      </c>
      <c r="N2025" s="3">
        <v>1.137</v>
      </c>
      <c r="O2025" t="s">
        <v>17</v>
      </c>
      <c r="P2025" t="s">
        <v>60</v>
      </c>
      <c r="Q2025">
        <v>0</v>
      </c>
      <c r="R2025">
        <v>1</v>
      </c>
      <c r="S2025" s="2">
        <v>0</v>
      </c>
      <c r="T2025" s="4"/>
      <c r="U2025">
        <v>9</v>
      </c>
      <c r="V2025">
        <v>1</v>
      </c>
      <c r="W2025">
        <v>1</v>
      </c>
    </row>
    <row r="2026" spans="1:23" ht="16.5" x14ac:dyDescent="0.3">
      <c r="A2026" t="s">
        <v>2089</v>
      </c>
      <c r="B2026" s="1">
        <v>45598</v>
      </c>
      <c r="C2026">
        <v>2024</v>
      </c>
      <c r="D2026" t="s">
        <v>1832</v>
      </c>
      <c r="E2026" t="s">
        <v>2071</v>
      </c>
      <c r="F2026" t="s">
        <v>37</v>
      </c>
      <c r="G2026" t="s">
        <v>51</v>
      </c>
      <c r="H2026" t="s">
        <v>64</v>
      </c>
      <c r="I2026" t="s">
        <v>39</v>
      </c>
      <c r="J2026" t="s">
        <v>43</v>
      </c>
      <c r="K2026" s="2">
        <v>5250</v>
      </c>
      <c r="L2026" s="2">
        <v>12000</v>
      </c>
      <c r="M2026">
        <v>60</v>
      </c>
      <c r="N2026" s="3">
        <v>0.17499999999999999</v>
      </c>
      <c r="O2026" t="s">
        <v>16</v>
      </c>
      <c r="Q2026">
        <v>1</v>
      </c>
      <c r="R2026">
        <v>0</v>
      </c>
      <c r="S2026" s="2">
        <v>11000</v>
      </c>
      <c r="T2026" s="4">
        <v>0.1613</v>
      </c>
      <c r="U2026">
        <v>5</v>
      </c>
      <c r="V2026">
        <v>0</v>
      </c>
      <c r="W2026">
        <v>1</v>
      </c>
    </row>
    <row r="2027" spans="1:23" ht="16.5" x14ac:dyDescent="0.3">
      <c r="A2027" t="s">
        <v>2090</v>
      </c>
      <c r="B2027" s="1">
        <v>45599</v>
      </c>
      <c r="C2027">
        <v>2024</v>
      </c>
      <c r="D2027" t="s">
        <v>1832</v>
      </c>
      <c r="E2027" t="s">
        <v>2071</v>
      </c>
      <c r="F2027" t="s">
        <v>50</v>
      </c>
      <c r="G2027" t="s">
        <v>45</v>
      </c>
      <c r="H2027" t="s">
        <v>38</v>
      </c>
      <c r="I2027" t="s">
        <v>42</v>
      </c>
      <c r="J2027" t="s">
        <v>35</v>
      </c>
      <c r="K2027" s="2">
        <v>2350</v>
      </c>
      <c r="L2027" s="2">
        <v>330000</v>
      </c>
      <c r="M2027">
        <v>300</v>
      </c>
      <c r="N2027" s="3">
        <v>0.96599999999999997</v>
      </c>
      <c r="O2027" t="s">
        <v>17</v>
      </c>
      <c r="P2027" t="s">
        <v>53</v>
      </c>
      <c r="Q2027">
        <v>0</v>
      </c>
      <c r="R2027">
        <v>1</v>
      </c>
      <c r="S2027" s="2">
        <v>0</v>
      </c>
      <c r="T2027" s="4"/>
      <c r="U2027">
        <v>7</v>
      </c>
      <c r="V2027">
        <v>1</v>
      </c>
      <c r="W2027">
        <v>1</v>
      </c>
    </row>
    <row r="2028" spans="1:23" ht="16.5" x14ac:dyDescent="0.3">
      <c r="A2028" t="s">
        <v>2091</v>
      </c>
      <c r="B2028" s="1">
        <v>45599</v>
      </c>
      <c r="C2028">
        <v>2024</v>
      </c>
      <c r="D2028" t="s">
        <v>1832</v>
      </c>
      <c r="E2028" t="s">
        <v>2071</v>
      </c>
      <c r="F2028" t="s">
        <v>37</v>
      </c>
      <c r="G2028" t="s">
        <v>51</v>
      </c>
      <c r="H2028" t="s">
        <v>38</v>
      </c>
      <c r="I2028" t="s">
        <v>39</v>
      </c>
      <c r="J2028" t="s">
        <v>30</v>
      </c>
      <c r="K2028" s="2">
        <v>5200</v>
      </c>
      <c r="L2028" s="2">
        <v>12000</v>
      </c>
      <c r="M2028">
        <v>24</v>
      </c>
      <c r="N2028" s="3">
        <v>0.17699999999999999</v>
      </c>
      <c r="O2028" t="s">
        <v>16</v>
      </c>
      <c r="Q2028">
        <v>1</v>
      </c>
      <c r="R2028">
        <v>0</v>
      </c>
      <c r="S2028" s="2">
        <v>9500</v>
      </c>
      <c r="T2028" s="4">
        <v>0.13900000000000001</v>
      </c>
      <c r="U2028">
        <v>7</v>
      </c>
      <c r="V2028">
        <v>0</v>
      </c>
      <c r="W2028">
        <v>1</v>
      </c>
    </row>
    <row r="2029" spans="1:23" ht="16.5" x14ac:dyDescent="0.3">
      <c r="A2029" t="s">
        <v>2092</v>
      </c>
      <c r="B2029" s="1">
        <v>45599</v>
      </c>
      <c r="C2029">
        <v>2024</v>
      </c>
      <c r="D2029" t="s">
        <v>1832</v>
      </c>
      <c r="E2029" t="s">
        <v>2071</v>
      </c>
      <c r="F2029" t="s">
        <v>50</v>
      </c>
      <c r="G2029" t="s">
        <v>45</v>
      </c>
      <c r="H2029" t="s">
        <v>38</v>
      </c>
      <c r="I2029" t="s">
        <v>39</v>
      </c>
      <c r="J2029" t="s">
        <v>35</v>
      </c>
      <c r="K2029" s="2">
        <v>7850</v>
      </c>
      <c r="L2029" s="2">
        <v>385000</v>
      </c>
      <c r="M2029">
        <v>240</v>
      </c>
      <c r="N2029" s="3">
        <v>0.41899999999999998</v>
      </c>
      <c r="O2029" t="s">
        <v>16</v>
      </c>
      <c r="Q2029">
        <v>1</v>
      </c>
      <c r="R2029">
        <v>0</v>
      </c>
      <c r="S2029" s="2">
        <v>308000</v>
      </c>
      <c r="T2029" s="4">
        <v>5.7200000000000001E-2</v>
      </c>
      <c r="U2029">
        <v>11</v>
      </c>
      <c r="V2029">
        <v>1</v>
      </c>
      <c r="W2029">
        <v>1</v>
      </c>
    </row>
    <row r="2030" spans="1:23" ht="16.5" x14ac:dyDescent="0.3">
      <c r="A2030" t="s">
        <v>2093</v>
      </c>
      <c r="B2030" s="1">
        <v>45599</v>
      </c>
      <c r="C2030">
        <v>2024</v>
      </c>
      <c r="D2030" t="s">
        <v>1832</v>
      </c>
      <c r="E2030" t="s">
        <v>2071</v>
      </c>
      <c r="F2030" t="s">
        <v>37</v>
      </c>
      <c r="G2030" t="s">
        <v>51</v>
      </c>
      <c r="H2030" t="s">
        <v>38</v>
      </c>
      <c r="I2030" t="s">
        <v>39</v>
      </c>
      <c r="J2030" t="s">
        <v>35</v>
      </c>
      <c r="K2030" s="2">
        <v>5200</v>
      </c>
      <c r="L2030" s="2">
        <v>13500</v>
      </c>
      <c r="M2030">
        <v>48</v>
      </c>
      <c r="N2030" s="3">
        <v>0.26700000000000002</v>
      </c>
      <c r="O2030" t="s">
        <v>17</v>
      </c>
      <c r="P2030" t="s">
        <v>65</v>
      </c>
      <c r="Q2030">
        <v>0</v>
      </c>
      <c r="R2030">
        <v>1</v>
      </c>
      <c r="S2030" s="2">
        <v>0</v>
      </c>
      <c r="T2030" s="4"/>
      <c r="U2030">
        <v>6</v>
      </c>
      <c r="V2030">
        <v>0</v>
      </c>
      <c r="W2030">
        <v>1</v>
      </c>
    </row>
    <row r="2031" spans="1:23" ht="16.5" x14ac:dyDescent="0.3">
      <c r="A2031" t="s">
        <v>2094</v>
      </c>
      <c r="B2031" s="1">
        <v>45599</v>
      </c>
      <c r="C2031">
        <v>2024</v>
      </c>
      <c r="D2031" t="s">
        <v>1832</v>
      </c>
      <c r="E2031" t="s">
        <v>2071</v>
      </c>
      <c r="F2031" t="s">
        <v>37</v>
      </c>
      <c r="G2031" t="s">
        <v>45</v>
      </c>
      <c r="H2031" t="s">
        <v>38</v>
      </c>
      <c r="I2031" t="s">
        <v>29</v>
      </c>
      <c r="J2031" t="s">
        <v>46</v>
      </c>
      <c r="K2031" s="2">
        <v>6550</v>
      </c>
      <c r="L2031" s="2">
        <v>7000</v>
      </c>
      <c r="M2031">
        <v>36</v>
      </c>
      <c r="N2031" s="3">
        <v>0.22800000000000001</v>
      </c>
      <c r="O2031" t="s">
        <v>16</v>
      </c>
      <c r="Q2031">
        <v>1</v>
      </c>
      <c r="R2031">
        <v>0</v>
      </c>
      <c r="S2031" s="2">
        <v>7000</v>
      </c>
      <c r="T2031" s="4">
        <v>0.1115</v>
      </c>
      <c r="U2031">
        <v>2</v>
      </c>
      <c r="V2031">
        <v>1</v>
      </c>
      <c r="W2031">
        <v>1</v>
      </c>
    </row>
    <row r="2032" spans="1:23" ht="16.5" x14ac:dyDescent="0.3">
      <c r="A2032" t="s">
        <v>2095</v>
      </c>
      <c r="B2032" s="1">
        <v>45599</v>
      </c>
      <c r="C2032">
        <v>2024</v>
      </c>
      <c r="D2032" t="s">
        <v>1832</v>
      </c>
      <c r="E2032" t="s">
        <v>2071</v>
      </c>
      <c r="F2032" t="s">
        <v>37</v>
      </c>
      <c r="G2032" t="s">
        <v>45</v>
      </c>
      <c r="H2032" t="s">
        <v>38</v>
      </c>
      <c r="I2032" t="s">
        <v>42</v>
      </c>
      <c r="J2032" t="s">
        <v>52</v>
      </c>
      <c r="K2032" s="2">
        <v>3550</v>
      </c>
      <c r="L2032" s="2">
        <v>24500</v>
      </c>
      <c r="M2032">
        <v>48</v>
      </c>
      <c r="N2032" s="3">
        <v>0.42799999999999999</v>
      </c>
      <c r="O2032" t="s">
        <v>17</v>
      </c>
      <c r="P2032" t="s">
        <v>60</v>
      </c>
      <c r="Q2032">
        <v>0</v>
      </c>
      <c r="R2032">
        <v>1</v>
      </c>
      <c r="S2032" s="2">
        <v>0</v>
      </c>
      <c r="T2032" s="4"/>
      <c r="U2032">
        <v>7</v>
      </c>
      <c r="V2032">
        <v>0</v>
      </c>
      <c r="W2032">
        <v>1</v>
      </c>
    </row>
    <row r="2033" spans="1:23" ht="16.5" x14ac:dyDescent="0.3">
      <c r="A2033" t="s">
        <v>2096</v>
      </c>
      <c r="B2033" s="1">
        <v>45599</v>
      </c>
      <c r="C2033">
        <v>2024</v>
      </c>
      <c r="D2033" t="s">
        <v>1832</v>
      </c>
      <c r="E2033" t="s">
        <v>2071</v>
      </c>
      <c r="F2033" t="s">
        <v>37</v>
      </c>
      <c r="G2033" t="s">
        <v>45</v>
      </c>
      <c r="H2033" t="s">
        <v>38</v>
      </c>
      <c r="I2033" t="s">
        <v>29</v>
      </c>
      <c r="J2033" t="s">
        <v>46</v>
      </c>
      <c r="K2033" s="2">
        <v>11000</v>
      </c>
      <c r="L2033" s="2">
        <v>15500</v>
      </c>
      <c r="M2033">
        <v>60</v>
      </c>
      <c r="N2033" s="3">
        <v>9.1999999999999998E-2</v>
      </c>
      <c r="O2033" t="s">
        <v>16</v>
      </c>
      <c r="Q2033">
        <v>1</v>
      </c>
      <c r="R2033">
        <v>0</v>
      </c>
      <c r="S2033" s="2">
        <v>14000</v>
      </c>
      <c r="T2033" s="4">
        <v>0.1135</v>
      </c>
      <c r="U2033">
        <v>3</v>
      </c>
      <c r="V2033">
        <v>1</v>
      </c>
      <c r="W2033">
        <v>1</v>
      </c>
    </row>
    <row r="2034" spans="1:23" ht="16.5" x14ac:dyDescent="0.3">
      <c r="A2034" t="s">
        <v>2097</v>
      </c>
      <c r="B2034" s="1">
        <v>45599</v>
      </c>
      <c r="C2034">
        <v>2024</v>
      </c>
      <c r="D2034" t="s">
        <v>1832</v>
      </c>
      <c r="E2034" t="s">
        <v>2071</v>
      </c>
      <c r="F2034" t="s">
        <v>50</v>
      </c>
      <c r="G2034" t="s">
        <v>51</v>
      </c>
      <c r="H2034" t="s">
        <v>38</v>
      </c>
      <c r="I2034" t="s">
        <v>42</v>
      </c>
      <c r="J2034" t="s">
        <v>35</v>
      </c>
      <c r="K2034" s="2">
        <v>8750</v>
      </c>
      <c r="L2034" s="2">
        <v>186000</v>
      </c>
      <c r="M2034">
        <v>240</v>
      </c>
      <c r="N2034" s="3">
        <v>0.33700000000000002</v>
      </c>
      <c r="O2034" t="s">
        <v>16</v>
      </c>
      <c r="Q2034">
        <v>1</v>
      </c>
      <c r="R2034">
        <v>0</v>
      </c>
      <c r="S2034" s="2">
        <v>186000</v>
      </c>
      <c r="T2034" s="4">
        <v>5.8200000000000002E-2</v>
      </c>
      <c r="U2034">
        <v>24</v>
      </c>
      <c r="V2034">
        <v>0</v>
      </c>
      <c r="W2034">
        <v>1</v>
      </c>
    </row>
    <row r="2035" spans="1:23" ht="16.5" x14ac:dyDescent="0.3">
      <c r="A2035" t="s">
        <v>2098</v>
      </c>
      <c r="B2035" s="1">
        <v>45600</v>
      </c>
      <c r="C2035">
        <v>2024</v>
      </c>
      <c r="D2035" t="s">
        <v>1832</v>
      </c>
      <c r="E2035" t="s">
        <v>2071</v>
      </c>
      <c r="F2035" t="s">
        <v>37</v>
      </c>
      <c r="G2035" t="s">
        <v>51</v>
      </c>
      <c r="H2035" t="s">
        <v>38</v>
      </c>
      <c r="I2035" t="s">
        <v>29</v>
      </c>
      <c r="J2035" t="s">
        <v>30</v>
      </c>
      <c r="K2035" s="2">
        <v>3850</v>
      </c>
      <c r="L2035" s="2">
        <v>10500</v>
      </c>
      <c r="M2035">
        <v>60</v>
      </c>
      <c r="N2035" s="3">
        <v>0.247</v>
      </c>
      <c r="O2035" t="s">
        <v>17</v>
      </c>
      <c r="P2035" t="s">
        <v>60</v>
      </c>
      <c r="Q2035">
        <v>0</v>
      </c>
      <c r="R2035">
        <v>1</v>
      </c>
      <c r="S2035" s="2">
        <v>0</v>
      </c>
      <c r="T2035" s="4"/>
      <c r="U2035">
        <v>9</v>
      </c>
      <c r="V2035">
        <v>0</v>
      </c>
      <c r="W2035">
        <v>1</v>
      </c>
    </row>
    <row r="2036" spans="1:23" ht="16.5" x14ac:dyDescent="0.3">
      <c r="A2036" t="s">
        <v>2099</v>
      </c>
      <c r="B2036" s="1">
        <v>45600</v>
      </c>
      <c r="C2036">
        <v>2024</v>
      </c>
      <c r="D2036" t="s">
        <v>1832</v>
      </c>
      <c r="E2036" t="s">
        <v>2071</v>
      </c>
      <c r="F2036" t="s">
        <v>26</v>
      </c>
      <c r="G2036" t="s">
        <v>51</v>
      </c>
      <c r="H2036" t="s">
        <v>64</v>
      </c>
      <c r="I2036" t="s">
        <v>42</v>
      </c>
      <c r="J2036" t="s">
        <v>43</v>
      </c>
      <c r="K2036" s="2">
        <v>3750</v>
      </c>
      <c r="L2036" s="2">
        <v>31000</v>
      </c>
      <c r="M2036">
        <v>36</v>
      </c>
      <c r="N2036" s="3">
        <v>0.30599999999999999</v>
      </c>
      <c r="O2036" t="s">
        <v>17</v>
      </c>
      <c r="P2036" t="s">
        <v>31</v>
      </c>
      <c r="Q2036">
        <v>0</v>
      </c>
      <c r="R2036">
        <v>1</v>
      </c>
      <c r="S2036" s="2">
        <v>0</v>
      </c>
      <c r="T2036" s="4"/>
      <c r="U2036">
        <v>4</v>
      </c>
      <c r="V2036">
        <v>1</v>
      </c>
      <c r="W2036">
        <v>1</v>
      </c>
    </row>
    <row r="2037" spans="1:23" ht="16.5" x14ac:dyDescent="0.3">
      <c r="A2037" t="s">
        <v>2100</v>
      </c>
      <c r="B2037" s="1">
        <v>45600</v>
      </c>
      <c r="C2037">
        <v>2024</v>
      </c>
      <c r="D2037" t="s">
        <v>1832</v>
      </c>
      <c r="E2037" t="s">
        <v>2071</v>
      </c>
      <c r="F2037" t="s">
        <v>50</v>
      </c>
      <c r="G2037" t="s">
        <v>27</v>
      </c>
      <c r="H2037" t="s">
        <v>34</v>
      </c>
      <c r="I2037" t="s">
        <v>39</v>
      </c>
      <c r="J2037" t="s">
        <v>43</v>
      </c>
      <c r="K2037" s="2">
        <v>11200</v>
      </c>
      <c r="L2037" s="2">
        <v>373500</v>
      </c>
      <c r="M2037">
        <v>180</v>
      </c>
      <c r="N2037" s="3">
        <v>0.48199999999999998</v>
      </c>
      <c r="O2037" t="s">
        <v>17</v>
      </c>
      <c r="P2037" t="s">
        <v>60</v>
      </c>
      <c r="Q2037">
        <v>0</v>
      </c>
      <c r="R2037">
        <v>1</v>
      </c>
      <c r="S2037" s="2">
        <v>0</v>
      </c>
      <c r="T2037" s="4"/>
      <c r="U2037">
        <v>16</v>
      </c>
      <c r="V2037">
        <v>0</v>
      </c>
      <c r="W2037">
        <v>1</v>
      </c>
    </row>
    <row r="2038" spans="1:23" ht="16.5" x14ac:dyDescent="0.3">
      <c r="A2038" t="s">
        <v>2101</v>
      </c>
      <c r="B2038" s="1">
        <v>45600</v>
      </c>
      <c r="C2038">
        <v>2024</v>
      </c>
      <c r="D2038" t="s">
        <v>1832</v>
      </c>
      <c r="E2038" t="s">
        <v>2071</v>
      </c>
      <c r="F2038" t="s">
        <v>50</v>
      </c>
      <c r="G2038" t="s">
        <v>27</v>
      </c>
      <c r="H2038" t="s">
        <v>55</v>
      </c>
      <c r="I2038" t="s">
        <v>39</v>
      </c>
      <c r="J2038" t="s">
        <v>46</v>
      </c>
      <c r="K2038" s="2">
        <v>2650</v>
      </c>
      <c r="L2038" s="2">
        <v>502500</v>
      </c>
      <c r="M2038">
        <v>240</v>
      </c>
      <c r="N2038" s="3">
        <v>1.4530000000000001</v>
      </c>
      <c r="O2038" t="s">
        <v>17</v>
      </c>
      <c r="P2038" t="s">
        <v>53</v>
      </c>
      <c r="Q2038">
        <v>0</v>
      </c>
      <c r="R2038">
        <v>1</v>
      </c>
      <c r="S2038" s="2">
        <v>0</v>
      </c>
      <c r="T2038" s="4"/>
      <c r="U2038">
        <v>23</v>
      </c>
      <c r="V2038">
        <v>0</v>
      </c>
      <c r="W2038">
        <v>1</v>
      </c>
    </row>
    <row r="2039" spans="1:23" ht="16.5" x14ac:dyDescent="0.3">
      <c r="A2039" t="s">
        <v>2102</v>
      </c>
      <c r="B2039" s="1">
        <v>45601</v>
      </c>
      <c r="C2039">
        <v>2024</v>
      </c>
      <c r="D2039" t="s">
        <v>1832</v>
      </c>
      <c r="E2039" t="s">
        <v>2071</v>
      </c>
      <c r="F2039" t="s">
        <v>37</v>
      </c>
      <c r="G2039" t="s">
        <v>51</v>
      </c>
      <c r="H2039" t="s">
        <v>28</v>
      </c>
      <c r="I2039" t="s">
        <v>42</v>
      </c>
      <c r="J2039" t="s">
        <v>52</v>
      </c>
      <c r="K2039" s="2">
        <v>8200</v>
      </c>
      <c r="L2039" s="2">
        <v>8500</v>
      </c>
      <c r="M2039">
        <v>36</v>
      </c>
      <c r="N2039" s="3">
        <v>0.111</v>
      </c>
      <c r="O2039" t="s">
        <v>16</v>
      </c>
      <c r="Q2039">
        <v>1</v>
      </c>
      <c r="R2039">
        <v>0</v>
      </c>
      <c r="S2039" s="2">
        <v>8500</v>
      </c>
      <c r="T2039" s="4">
        <v>0.1152</v>
      </c>
      <c r="U2039">
        <v>10</v>
      </c>
      <c r="V2039">
        <v>0</v>
      </c>
      <c r="W2039">
        <v>1</v>
      </c>
    </row>
    <row r="2040" spans="1:23" ht="16.5" x14ac:dyDescent="0.3">
      <c r="A2040" t="s">
        <v>2103</v>
      </c>
      <c r="B2040" s="1">
        <v>45601</v>
      </c>
      <c r="C2040">
        <v>2024</v>
      </c>
      <c r="D2040" t="s">
        <v>1832</v>
      </c>
      <c r="E2040" t="s">
        <v>2071</v>
      </c>
      <c r="F2040" t="s">
        <v>41</v>
      </c>
      <c r="G2040" t="s">
        <v>27</v>
      </c>
      <c r="H2040" t="s">
        <v>34</v>
      </c>
      <c r="I2040" t="s">
        <v>29</v>
      </c>
      <c r="J2040" t="s">
        <v>52</v>
      </c>
      <c r="K2040" s="2">
        <v>2700</v>
      </c>
      <c r="L2040" s="2">
        <v>100500</v>
      </c>
      <c r="M2040">
        <v>24</v>
      </c>
      <c r="N2040" s="3">
        <v>1.8049999999999999</v>
      </c>
      <c r="O2040" t="s">
        <v>17</v>
      </c>
      <c r="P2040" t="s">
        <v>53</v>
      </c>
      <c r="Q2040">
        <v>0</v>
      </c>
      <c r="R2040">
        <v>1</v>
      </c>
      <c r="S2040" s="2">
        <v>0</v>
      </c>
      <c r="T2040" s="4"/>
      <c r="U2040">
        <v>36</v>
      </c>
      <c r="V2040">
        <v>0</v>
      </c>
      <c r="W2040">
        <v>1</v>
      </c>
    </row>
    <row r="2041" spans="1:23" ht="16.5" x14ac:dyDescent="0.3">
      <c r="A2041" t="s">
        <v>2104</v>
      </c>
      <c r="B2041" s="1">
        <v>45601</v>
      </c>
      <c r="C2041">
        <v>2024</v>
      </c>
      <c r="D2041" t="s">
        <v>1832</v>
      </c>
      <c r="E2041" t="s">
        <v>2071</v>
      </c>
      <c r="F2041" t="s">
        <v>37</v>
      </c>
      <c r="G2041" t="s">
        <v>45</v>
      </c>
      <c r="H2041" t="s">
        <v>34</v>
      </c>
      <c r="I2041" t="s">
        <v>42</v>
      </c>
      <c r="J2041" t="s">
        <v>43</v>
      </c>
      <c r="K2041" s="2">
        <v>8450</v>
      </c>
      <c r="L2041" s="2">
        <v>14000</v>
      </c>
      <c r="M2041">
        <v>24</v>
      </c>
      <c r="N2041" s="3">
        <v>0.192</v>
      </c>
      <c r="O2041" t="s">
        <v>17</v>
      </c>
      <c r="P2041" t="s">
        <v>60</v>
      </c>
      <c r="Q2041">
        <v>0</v>
      </c>
      <c r="R2041">
        <v>1</v>
      </c>
      <c r="S2041" s="2">
        <v>0</v>
      </c>
      <c r="T2041" s="4"/>
      <c r="U2041">
        <v>8</v>
      </c>
      <c r="V2041">
        <v>0</v>
      </c>
      <c r="W2041">
        <v>1</v>
      </c>
    </row>
    <row r="2042" spans="1:23" ht="16.5" x14ac:dyDescent="0.3">
      <c r="A2042" t="s">
        <v>2105</v>
      </c>
      <c r="B2042" s="1">
        <v>45601</v>
      </c>
      <c r="C2042">
        <v>2024</v>
      </c>
      <c r="D2042" t="s">
        <v>1832</v>
      </c>
      <c r="E2042" t="s">
        <v>2071</v>
      </c>
      <c r="F2042" t="s">
        <v>50</v>
      </c>
      <c r="G2042" t="s">
        <v>45</v>
      </c>
      <c r="H2042" t="s">
        <v>28</v>
      </c>
      <c r="I2042" t="s">
        <v>29</v>
      </c>
      <c r="J2042" t="s">
        <v>30</v>
      </c>
      <c r="K2042" s="2">
        <v>8050</v>
      </c>
      <c r="L2042" s="2">
        <v>286000</v>
      </c>
      <c r="M2042">
        <v>180</v>
      </c>
      <c r="N2042" s="3">
        <v>0.45200000000000001</v>
      </c>
      <c r="O2042" t="s">
        <v>17</v>
      </c>
      <c r="P2042" t="s">
        <v>31</v>
      </c>
      <c r="Q2042">
        <v>0</v>
      </c>
      <c r="R2042">
        <v>1</v>
      </c>
      <c r="S2042" s="2">
        <v>0</v>
      </c>
      <c r="T2042" s="4"/>
      <c r="U2042">
        <v>9</v>
      </c>
      <c r="V2042">
        <v>1</v>
      </c>
      <c r="W2042">
        <v>1</v>
      </c>
    </row>
    <row r="2043" spans="1:23" ht="16.5" x14ac:dyDescent="0.3">
      <c r="A2043" t="s">
        <v>2106</v>
      </c>
      <c r="B2043" s="1">
        <v>45601</v>
      </c>
      <c r="C2043">
        <v>2024</v>
      </c>
      <c r="D2043" t="s">
        <v>1832</v>
      </c>
      <c r="E2043" t="s">
        <v>2071</v>
      </c>
      <c r="F2043" t="s">
        <v>41</v>
      </c>
      <c r="G2043" t="s">
        <v>45</v>
      </c>
      <c r="H2043" t="s">
        <v>55</v>
      </c>
      <c r="I2043" t="s">
        <v>39</v>
      </c>
      <c r="J2043" t="s">
        <v>30</v>
      </c>
      <c r="K2043" s="2">
        <v>6450</v>
      </c>
      <c r="L2043" s="2">
        <v>66500</v>
      </c>
      <c r="M2043">
        <v>12</v>
      </c>
      <c r="N2043" s="3">
        <v>1.0429999999999999</v>
      </c>
      <c r="O2043" t="s">
        <v>17</v>
      </c>
      <c r="P2043" t="s">
        <v>31</v>
      </c>
      <c r="Q2043">
        <v>0</v>
      </c>
      <c r="R2043">
        <v>1</v>
      </c>
      <c r="S2043" s="2">
        <v>0</v>
      </c>
      <c r="T2043" s="4"/>
      <c r="U2043">
        <v>6</v>
      </c>
      <c r="V2043">
        <v>1</v>
      </c>
      <c r="W2043">
        <v>1</v>
      </c>
    </row>
    <row r="2044" spans="1:23" ht="16.5" x14ac:dyDescent="0.3">
      <c r="A2044" t="s">
        <v>2107</v>
      </c>
      <c r="B2044" s="1">
        <v>45601</v>
      </c>
      <c r="C2044">
        <v>2024</v>
      </c>
      <c r="D2044" t="s">
        <v>1832</v>
      </c>
      <c r="E2044" t="s">
        <v>2071</v>
      </c>
      <c r="F2044" t="s">
        <v>37</v>
      </c>
      <c r="G2044" t="s">
        <v>33</v>
      </c>
      <c r="H2044" t="s">
        <v>34</v>
      </c>
      <c r="I2044" t="s">
        <v>29</v>
      </c>
      <c r="J2044" t="s">
        <v>30</v>
      </c>
      <c r="K2044" s="2">
        <v>6100</v>
      </c>
      <c r="L2044" s="2">
        <v>16500</v>
      </c>
      <c r="M2044">
        <v>60</v>
      </c>
      <c r="N2044" s="3">
        <v>0.121</v>
      </c>
      <c r="O2044" t="s">
        <v>125</v>
      </c>
      <c r="Q2044">
        <v>0</v>
      </c>
      <c r="R2044">
        <v>0</v>
      </c>
      <c r="S2044" s="2">
        <v>0</v>
      </c>
      <c r="T2044" s="4"/>
      <c r="U2044">
        <v>1</v>
      </c>
      <c r="V2044">
        <v>1</v>
      </c>
      <c r="W2044">
        <v>1</v>
      </c>
    </row>
    <row r="2045" spans="1:23" ht="16.5" x14ac:dyDescent="0.3">
      <c r="A2045" t="s">
        <v>2108</v>
      </c>
      <c r="B2045" s="1">
        <v>45602</v>
      </c>
      <c r="C2045">
        <v>2024</v>
      </c>
      <c r="D2045" t="s">
        <v>1832</v>
      </c>
      <c r="E2045" t="s">
        <v>2071</v>
      </c>
      <c r="F2045" t="s">
        <v>41</v>
      </c>
      <c r="G2045" t="s">
        <v>51</v>
      </c>
      <c r="H2045" t="s">
        <v>34</v>
      </c>
      <c r="I2045" t="s">
        <v>29</v>
      </c>
      <c r="J2045" t="s">
        <v>43</v>
      </c>
      <c r="K2045" s="2">
        <v>4050</v>
      </c>
      <c r="L2045" s="2">
        <v>155000</v>
      </c>
      <c r="M2045">
        <v>24</v>
      </c>
      <c r="N2045" s="3">
        <v>1.9219999999999999</v>
      </c>
      <c r="O2045" t="s">
        <v>17</v>
      </c>
      <c r="P2045" t="s">
        <v>31</v>
      </c>
      <c r="Q2045">
        <v>0</v>
      </c>
      <c r="R2045">
        <v>1</v>
      </c>
      <c r="S2045" s="2">
        <v>0</v>
      </c>
      <c r="T2045" s="4"/>
      <c r="U2045">
        <v>6</v>
      </c>
      <c r="V2045">
        <v>1</v>
      </c>
      <c r="W2045">
        <v>1</v>
      </c>
    </row>
    <row r="2046" spans="1:23" ht="16.5" x14ac:dyDescent="0.3">
      <c r="A2046" t="s">
        <v>2109</v>
      </c>
      <c r="B2046" s="1">
        <v>45602</v>
      </c>
      <c r="C2046">
        <v>2024</v>
      </c>
      <c r="D2046" t="s">
        <v>1832</v>
      </c>
      <c r="E2046" t="s">
        <v>2071</v>
      </c>
      <c r="F2046" t="s">
        <v>26</v>
      </c>
      <c r="G2046" t="s">
        <v>45</v>
      </c>
      <c r="H2046" t="s">
        <v>38</v>
      </c>
      <c r="I2046" t="s">
        <v>42</v>
      </c>
      <c r="J2046" t="s">
        <v>46</v>
      </c>
      <c r="K2046" s="2">
        <v>5100</v>
      </c>
      <c r="L2046" s="2">
        <v>75000</v>
      </c>
      <c r="M2046">
        <v>60</v>
      </c>
      <c r="N2046" s="3">
        <v>0.42499999999999999</v>
      </c>
      <c r="O2046" t="s">
        <v>17</v>
      </c>
      <c r="P2046" t="s">
        <v>48</v>
      </c>
      <c r="Q2046">
        <v>0</v>
      </c>
      <c r="R2046">
        <v>1</v>
      </c>
      <c r="S2046" s="2">
        <v>0</v>
      </c>
      <c r="T2046" s="4"/>
      <c r="U2046">
        <v>4</v>
      </c>
      <c r="V2046">
        <v>1</v>
      </c>
      <c r="W2046">
        <v>1</v>
      </c>
    </row>
    <row r="2047" spans="1:23" ht="16.5" x14ac:dyDescent="0.3">
      <c r="A2047" t="s">
        <v>2110</v>
      </c>
      <c r="B2047" s="1">
        <v>45602</v>
      </c>
      <c r="C2047">
        <v>2024</v>
      </c>
      <c r="D2047" t="s">
        <v>1832</v>
      </c>
      <c r="E2047" t="s">
        <v>2071</v>
      </c>
      <c r="F2047" t="s">
        <v>37</v>
      </c>
      <c r="G2047" t="s">
        <v>27</v>
      </c>
      <c r="H2047" t="s">
        <v>34</v>
      </c>
      <c r="I2047" t="s">
        <v>39</v>
      </c>
      <c r="J2047" t="s">
        <v>30</v>
      </c>
      <c r="K2047" s="2">
        <v>4000</v>
      </c>
      <c r="L2047" s="2">
        <v>6500</v>
      </c>
      <c r="M2047">
        <v>36</v>
      </c>
      <c r="N2047" s="3">
        <v>0.254</v>
      </c>
      <c r="O2047" t="s">
        <v>16</v>
      </c>
      <c r="Q2047">
        <v>1</v>
      </c>
      <c r="R2047">
        <v>0</v>
      </c>
      <c r="S2047" s="2">
        <v>6000</v>
      </c>
      <c r="T2047" s="4">
        <v>0.1399</v>
      </c>
      <c r="U2047">
        <v>3</v>
      </c>
      <c r="V2047">
        <v>1</v>
      </c>
      <c r="W2047">
        <v>1</v>
      </c>
    </row>
    <row r="2048" spans="1:23" ht="16.5" x14ac:dyDescent="0.3">
      <c r="A2048" t="s">
        <v>2111</v>
      </c>
      <c r="B2048" s="1">
        <v>45602</v>
      </c>
      <c r="C2048">
        <v>2024</v>
      </c>
      <c r="D2048" t="s">
        <v>1832</v>
      </c>
      <c r="E2048" t="s">
        <v>2071</v>
      </c>
      <c r="F2048" t="s">
        <v>37</v>
      </c>
      <c r="G2048" t="s">
        <v>51</v>
      </c>
      <c r="H2048" t="s">
        <v>55</v>
      </c>
      <c r="I2048" t="s">
        <v>29</v>
      </c>
      <c r="J2048" t="s">
        <v>52</v>
      </c>
      <c r="K2048" s="2">
        <v>7400</v>
      </c>
      <c r="L2048" s="2">
        <v>4500</v>
      </c>
      <c r="M2048">
        <v>48</v>
      </c>
      <c r="N2048" s="3">
        <v>0.14899999999999999</v>
      </c>
      <c r="O2048" t="s">
        <v>16</v>
      </c>
      <c r="Q2048">
        <v>1</v>
      </c>
      <c r="R2048">
        <v>0</v>
      </c>
      <c r="S2048" s="2">
        <v>3500</v>
      </c>
      <c r="T2048" s="4">
        <v>0.1115</v>
      </c>
      <c r="U2048">
        <v>7</v>
      </c>
      <c r="V2048">
        <v>0</v>
      </c>
      <c r="W2048">
        <v>1</v>
      </c>
    </row>
    <row r="2049" spans="1:23" ht="16.5" x14ac:dyDescent="0.3">
      <c r="A2049" t="s">
        <v>2112</v>
      </c>
      <c r="B2049" s="1">
        <v>45602</v>
      </c>
      <c r="C2049">
        <v>2024</v>
      </c>
      <c r="D2049" t="s">
        <v>1832</v>
      </c>
      <c r="E2049" t="s">
        <v>2071</v>
      </c>
      <c r="F2049" t="s">
        <v>50</v>
      </c>
      <c r="G2049" t="s">
        <v>51</v>
      </c>
      <c r="H2049" t="s">
        <v>64</v>
      </c>
      <c r="I2049" t="s">
        <v>42</v>
      </c>
      <c r="J2049" t="s">
        <v>46</v>
      </c>
      <c r="K2049" s="2">
        <v>4800</v>
      </c>
      <c r="L2049" s="2">
        <v>248500</v>
      </c>
      <c r="M2049">
        <v>300</v>
      </c>
      <c r="N2049" s="3">
        <v>0.47299999999999998</v>
      </c>
      <c r="O2049" t="s">
        <v>16</v>
      </c>
      <c r="Q2049">
        <v>1</v>
      </c>
      <c r="R2049">
        <v>0</v>
      </c>
      <c r="S2049" s="2">
        <v>248500</v>
      </c>
      <c r="T2049" s="4">
        <v>4.3200000000000002E-2</v>
      </c>
      <c r="U2049">
        <v>22</v>
      </c>
      <c r="V2049">
        <v>0</v>
      </c>
      <c r="W2049">
        <v>1</v>
      </c>
    </row>
    <row r="2050" spans="1:23" ht="16.5" x14ac:dyDescent="0.3">
      <c r="A2050" t="s">
        <v>2113</v>
      </c>
      <c r="B2050" s="1">
        <v>45602</v>
      </c>
      <c r="C2050">
        <v>2024</v>
      </c>
      <c r="D2050" t="s">
        <v>1832</v>
      </c>
      <c r="E2050" t="s">
        <v>2071</v>
      </c>
      <c r="F2050" t="s">
        <v>37</v>
      </c>
      <c r="G2050" t="s">
        <v>33</v>
      </c>
      <c r="H2050" t="s">
        <v>38</v>
      </c>
      <c r="I2050" t="s">
        <v>29</v>
      </c>
      <c r="J2050" t="s">
        <v>35</v>
      </c>
      <c r="K2050" s="2">
        <v>4550</v>
      </c>
      <c r="L2050" s="2">
        <v>8000</v>
      </c>
      <c r="M2050">
        <v>24</v>
      </c>
      <c r="N2050" s="3">
        <v>0.22900000000000001</v>
      </c>
      <c r="O2050" t="s">
        <v>16</v>
      </c>
      <c r="Q2050">
        <v>1</v>
      </c>
      <c r="R2050">
        <v>0</v>
      </c>
      <c r="S2050" s="2">
        <v>6500</v>
      </c>
      <c r="T2050" s="4">
        <v>0.1268</v>
      </c>
      <c r="U2050">
        <v>3</v>
      </c>
      <c r="V2050">
        <v>1</v>
      </c>
      <c r="W2050">
        <v>1</v>
      </c>
    </row>
    <row r="2051" spans="1:23" ht="16.5" x14ac:dyDescent="0.3">
      <c r="A2051" t="s">
        <v>2114</v>
      </c>
      <c r="B2051" s="1">
        <v>45602</v>
      </c>
      <c r="C2051">
        <v>2024</v>
      </c>
      <c r="D2051" t="s">
        <v>1832</v>
      </c>
      <c r="E2051" t="s">
        <v>2071</v>
      </c>
      <c r="F2051" t="s">
        <v>26</v>
      </c>
      <c r="G2051" t="s">
        <v>51</v>
      </c>
      <c r="H2051" t="s">
        <v>38</v>
      </c>
      <c r="I2051" t="s">
        <v>42</v>
      </c>
      <c r="J2051" t="s">
        <v>52</v>
      </c>
      <c r="K2051" s="2">
        <v>5950</v>
      </c>
      <c r="L2051" s="2">
        <v>61000</v>
      </c>
      <c r="M2051">
        <v>48</v>
      </c>
      <c r="N2051" s="3">
        <v>0.35299999999999998</v>
      </c>
      <c r="O2051" t="s">
        <v>16</v>
      </c>
      <c r="Q2051">
        <v>1</v>
      </c>
      <c r="R2051">
        <v>0</v>
      </c>
      <c r="S2051" s="2">
        <v>61000</v>
      </c>
      <c r="T2051" s="4">
        <v>7.0999999999999994E-2</v>
      </c>
      <c r="U2051">
        <v>10</v>
      </c>
      <c r="V2051">
        <v>0</v>
      </c>
      <c r="W2051">
        <v>1</v>
      </c>
    </row>
    <row r="2052" spans="1:23" ht="16.5" x14ac:dyDescent="0.3">
      <c r="A2052" t="s">
        <v>2115</v>
      </c>
      <c r="B2052" s="1">
        <v>45602</v>
      </c>
      <c r="C2052">
        <v>2024</v>
      </c>
      <c r="D2052" t="s">
        <v>1832</v>
      </c>
      <c r="E2052" t="s">
        <v>2071</v>
      </c>
      <c r="F2052" t="s">
        <v>26</v>
      </c>
      <c r="G2052" t="s">
        <v>27</v>
      </c>
      <c r="H2052" t="s">
        <v>38</v>
      </c>
      <c r="I2052" t="s">
        <v>39</v>
      </c>
      <c r="J2052" t="s">
        <v>30</v>
      </c>
      <c r="K2052" s="2">
        <v>10350</v>
      </c>
      <c r="L2052" s="2">
        <v>18500</v>
      </c>
      <c r="M2052">
        <v>60</v>
      </c>
      <c r="N2052" s="3">
        <v>0.222</v>
      </c>
      <c r="O2052" t="s">
        <v>17</v>
      </c>
      <c r="P2052" t="s">
        <v>31</v>
      </c>
      <c r="Q2052">
        <v>0</v>
      </c>
      <c r="R2052">
        <v>1</v>
      </c>
      <c r="S2052" s="2">
        <v>0</v>
      </c>
      <c r="T2052" s="4"/>
      <c r="U2052">
        <v>5</v>
      </c>
      <c r="V2052">
        <v>0</v>
      </c>
      <c r="W2052">
        <v>1</v>
      </c>
    </row>
    <row r="2053" spans="1:23" ht="16.5" x14ac:dyDescent="0.3">
      <c r="A2053" t="s">
        <v>2116</v>
      </c>
      <c r="B2053" s="1">
        <v>45602</v>
      </c>
      <c r="C2053">
        <v>2024</v>
      </c>
      <c r="D2053" t="s">
        <v>1832</v>
      </c>
      <c r="E2053" t="s">
        <v>2071</v>
      </c>
      <c r="F2053" t="s">
        <v>37</v>
      </c>
      <c r="G2053" t="s">
        <v>51</v>
      </c>
      <c r="H2053" t="s">
        <v>55</v>
      </c>
      <c r="I2053" t="s">
        <v>39</v>
      </c>
      <c r="J2053" t="s">
        <v>46</v>
      </c>
      <c r="K2053" s="2">
        <v>6250</v>
      </c>
      <c r="L2053" s="2">
        <v>20500</v>
      </c>
      <c r="M2053">
        <v>48</v>
      </c>
      <c r="N2053" s="3">
        <v>0.32400000000000001</v>
      </c>
      <c r="O2053" t="s">
        <v>16</v>
      </c>
      <c r="Q2053">
        <v>1</v>
      </c>
      <c r="R2053">
        <v>0</v>
      </c>
      <c r="S2053" s="2">
        <v>16500</v>
      </c>
      <c r="T2053" s="4">
        <v>0.1057</v>
      </c>
      <c r="U2053">
        <v>3</v>
      </c>
      <c r="V2053">
        <v>1</v>
      </c>
      <c r="W2053">
        <v>1</v>
      </c>
    </row>
    <row r="2054" spans="1:23" ht="16.5" x14ac:dyDescent="0.3">
      <c r="A2054" t="s">
        <v>2117</v>
      </c>
      <c r="B2054" s="1">
        <v>45602</v>
      </c>
      <c r="C2054">
        <v>2024</v>
      </c>
      <c r="D2054" t="s">
        <v>1832</v>
      </c>
      <c r="E2054" t="s">
        <v>2071</v>
      </c>
      <c r="F2054" t="s">
        <v>26</v>
      </c>
      <c r="G2054" t="s">
        <v>33</v>
      </c>
      <c r="H2054" t="s">
        <v>34</v>
      </c>
      <c r="I2054" t="s">
        <v>39</v>
      </c>
      <c r="J2054" t="s">
        <v>30</v>
      </c>
      <c r="K2054" s="2">
        <v>6000</v>
      </c>
      <c r="L2054" s="2">
        <v>18500</v>
      </c>
      <c r="M2054">
        <v>48</v>
      </c>
      <c r="N2054" s="3">
        <v>0.20899999999999999</v>
      </c>
      <c r="O2054" t="s">
        <v>17</v>
      </c>
      <c r="P2054" t="s">
        <v>65</v>
      </c>
      <c r="Q2054">
        <v>0</v>
      </c>
      <c r="R2054">
        <v>1</v>
      </c>
      <c r="S2054" s="2">
        <v>0</v>
      </c>
      <c r="T2054" s="4"/>
      <c r="U2054">
        <v>2</v>
      </c>
      <c r="V2054">
        <v>1</v>
      </c>
      <c r="W2054">
        <v>1</v>
      </c>
    </row>
    <row r="2055" spans="1:23" ht="16.5" x14ac:dyDescent="0.3">
      <c r="A2055" t="s">
        <v>2118</v>
      </c>
      <c r="B2055" s="1">
        <v>45603</v>
      </c>
      <c r="C2055">
        <v>2024</v>
      </c>
      <c r="D2055" t="s">
        <v>1832</v>
      </c>
      <c r="E2055" t="s">
        <v>2071</v>
      </c>
      <c r="F2055" t="s">
        <v>37</v>
      </c>
      <c r="G2055" t="s">
        <v>51</v>
      </c>
      <c r="H2055" t="s">
        <v>38</v>
      </c>
      <c r="I2055" t="s">
        <v>39</v>
      </c>
      <c r="J2055" t="s">
        <v>43</v>
      </c>
      <c r="K2055" s="2">
        <v>3700</v>
      </c>
      <c r="L2055" s="2">
        <v>15500</v>
      </c>
      <c r="M2055">
        <v>12</v>
      </c>
      <c r="N2055" s="3">
        <v>0.59199999999999997</v>
      </c>
      <c r="O2055" t="s">
        <v>17</v>
      </c>
      <c r="P2055" t="s">
        <v>53</v>
      </c>
      <c r="Q2055">
        <v>0</v>
      </c>
      <c r="R2055">
        <v>1</v>
      </c>
      <c r="S2055" s="2">
        <v>0</v>
      </c>
      <c r="T2055" s="4"/>
      <c r="U2055">
        <v>3</v>
      </c>
      <c r="V2055">
        <v>1</v>
      </c>
      <c r="W2055">
        <v>1</v>
      </c>
    </row>
    <row r="2056" spans="1:23" ht="16.5" x14ac:dyDescent="0.3">
      <c r="A2056" t="s">
        <v>2119</v>
      </c>
      <c r="B2056" s="1">
        <v>45603</v>
      </c>
      <c r="C2056">
        <v>2024</v>
      </c>
      <c r="D2056" t="s">
        <v>1832</v>
      </c>
      <c r="E2056" t="s">
        <v>2071</v>
      </c>
      <c r="F2056" t="s">
        <v>37</v>
      </c>
      <c r="G2056" t="s">
        <v>51</v>
      </c>
      <c r="H2056" t="s">
        <v>38</v>
      </c>
      <c r="I2056" t="s">
        <v>39</v>
      </c>
      <c r="J2056" t="s">
        <v>43</v>
      </c>
      <c r="K2056" s="2">
        <v>4350</v>
      </c>
      <c r="L2056" s="2">
        <v>9500</v>
      </c>
      <c r="M2056">
        <v>60</v>
      </c>
      <c r="N2056" s="3">
        <v>0.14199999999999999</v>
      </c>
      <c r="O2056" t="s">
        <v>17</v>
      </c>
      <c r="P2056" t="s">
        <v>31</v>
      </c>
      <c r="Q2056">
        <v>0</v>
      </c>
      <c r="R2056">
        <v>1</v>
      </c>
      <c r="S2056" s="2">
        <v>0</v>
      </c>
      <c r="T2056" s="4"/>
      <c r="U2056">
        <v>6</v>
      </c>
      <c r="V2056">
        <v>0</v>
      </c>
      <c r="W2056">
        <v>1</v>
      </c>
    </row>
    <row r="2057" spans="1:23" ht="16.5" x14ac:dyDescent="0.3">
      <c r="A2057" t="s">
        <v>2120</v>
      </c>
      <c r="B2057" s="1">
        <v>45603</v>
      </c>
      <c r="C2057">
        <v>2024</v>
      </c>
      <c r="D2057" t="s">
        <v>1832</v>
      </c>
      <c r="E2057" t="s">
        <v>2071</v>
      </c>
      <c r="F2057" t="s">
        <v>37</v>
      </c>
      <c r="G2057" t="s">
        <v>51</v>
      </c>
      <c r="H2057" t="s">
        <v>28</v>
      </c>
      <c r="I2057" t="s">
        <v>42</v>
      </c>
      <c r="J2057" t="s">
        <v>46</v>
      </c>
      <c r="K2057" s="2">
        <v>8250</v>
      </c>
      <c r="L2057" s="2">
        <v>13000</v>
      </c>
      <c r="M2057">
        <v>36</v>
      </c>
      <c r="N2057" s="3">
        <v>0.26800000000000002</v>
      </c>
      <c r="O2057" t="s">
        <v>16</v>
      </c>
      <c r="Q2057">
        <v>1</v>
      </c>
      <c r="R2057">
        <v>0</v>
      </c>
      <c r="S2057" s="2">
        <v>10500</v>
      </c>
      <c r="T2057" s="4">
        <v>0.1045</v>
      </c>
      <c r="U2057">
        <v>6</v>
      </c>
      <c r="V2057">
        <v>0</v>
      </c>
      <c r="W2057">
        <v>1</v>
      </c>
    </row>
    <row r="2058" spans="1:23" ht="16.5" x14ac:dyDescent="0.3">
      <c r="A2058" t="s">
        <v>2121</v>
      </c>
      <c r="B2058" s="1">
        <v>45603</v>
      </c>
      <c r="C2058">
        <v>2024</v>
      </c>
      <c r="D2058" t="s">
        <v>1832</v>
      </c>
      <c r="E2058" t="s">
        <v>2071</v>
      </c>
      <c r="F2058" t="s">
        <v>26</v>
      </c>
      <c r="G2058" t="s">
        <v>33</v>
      </c>
      <c r="H2058" t="s">
        <v>64</v>
      </c>
      <c r="I2058" t="s">
        <v>29</v>
      </c>
      <c r="J2058" t="s">
        <v>43</v>
      </c>
      <c r="K2058" s="2">
        <v>5550</v>
      </c>
      <c r="L2058" s="2">
        <v>46500</v>
      </c>
      <c r="M2058">
        <v>36</v>
      </c>
      <c r="N2058" s="3">
        <v>0.501</v>
      </c>
      <c r="O2058" t="s">
        <v>125</v>
      </c>
      <c r="Q2058">
        <v>0</v>
      </c>
      <c r="R2058">
        <v>0</v>
      </c>
      <c r="S2058" s="2">
        <v>0</v>
      </c>
      <c r="T2058" s="4"/>
      <c r="U2058">
        <v>2</v>
      </c>
      <c r="V2058">
        <v>1</v>
      </c>
      <c r="W2058">
        <v>1</v>
      </c>
    </row>
    <row r="2059" spans="1:23" ht="16.5" x14ac:dyDescent="0.3">
      <c r="A2059" t="s">
        <v>2122</v>
      </c>
      <c r="B2059" s="1">
        <v>45603</v>
      </c>
      <c r="C2059">
        <v>2024</v>
      </c>
      <c r="D2059" t="s">
        <v>1832</v>
      </c>
      <c r="E2059" t="s">
        <v>2071</v>
      </c>
      <c r="F2059" t="s">
        <v>26</v>
      </c>
      <c r="G2059" t="s">
        <v>51</v>
      </c>
      <c r="H2059" t="s">
        <v>55</v>
      </c>
      <c r="I2059" t="s">
        <v>29</v>
      </c>
      <c r="J2059" t="s">
        <v>43</v>
      </c>
      <c r="K2059" s="2">
        <v>4500</v>
      </c>
      <c r="L2059" s="2">
        <v>21000</v>
      </c>
      <c r="M2059">
        <v>36</v>
      </c>
      <c r="N2059" s="3">
        <v>0.32</v>
      </c>
      <c r="O2059" t="s">
        <v>125</v>
      </c>
      <c r="Q2059">
        <v>0</v>
      </c>
      <c r="R2059">
        <v>0</v>
      </c>
      <c r="S2059" s="2">
        <v>0</v>
      </c>
      <c r="T2059" s="4"/>
      <c r="U2059">
        <v>6</v>
      </c>
      <c r="V2059">
        <v>0</v>
      </c>
      <c r="W2059">
        <v>1</v>
      </c>
    </row>
    <row r="2060" spans="1:23" ht="16.5" x14ac:dyDescent="0.3">
      <c r="A2060" t="s">
        <v>2123</v>
      </c>
      <c r="B2060" s="1">
        <v>45603</v>
      </c>
      <c r="C2060">
        <v>2024</v>
      </c>
      <c r="D2060" t="s">
        <v>1832</v>
      </c>
      <c r="E2060" t="s">
        <v>2071</v>
      </c>
      <c r="F2060" t="s">
        <v>26</v>
      </c>
      <c r="G2060" t="s">
        <v>51</v>
      </c>
      <c r="H2060" t="s">
        <v>55</v>
      </c>
      <c r="I2060" t="s">
        <v>42</v>
      </c>
      <c r="J2060" t="s">
        <v>52</v>
      </c>
      <c r="K2060" s="2">
        <v>5200</v>
      </c>
      <c r="L2060" s="2">
        <v>53500</v>
      </c>
      <c r="M2060">
        <v>36</v>
      </c>
      <c r="N2060" s="3">
        <v>0.38100000000000001</v>
      </c>
      <c r="O2060" t="s">
        <v>16</v>
      </c>
      <c r="Q2060">
        <v>1</v>
      </c>
      <c r="R2060">
        <v>0</v>
      </c>
      <c r="S2060" s="2">
        <v>53500</v>
      </c>
      <c r="T2060" s="4">
        <v>7.4499999999999997E-2</v>
      </c>
      <c r="U2060">
        <v>9</v>
      </c>
      <c r="V2060">
        <v>0</v>
      </c>
      <c r="W2060">
        <v>1</v>
      </c>
    </row>
    <row r="2061" spans="1:23" ht="16.5" x14ac:dyDescent="0.3">
      <c r="A2061" t="s">
        <v>2124</v>
      </c>
      <c r="B2061" s="1">
        <v>45604</v>
      </c>
      <c r="C2061">
        <v>2024</v>
      </c>
      <c r="D2061" t="s">
        <v>1832</v>
      </c>
      <c r="E2061" t="s">
        <v>2071</v>
      </c>
      <c r="F2061" t="s">
        <v>37</v>
      </c>
      <c r="G2061" t="s">
        <v>33</v>
      </c>
      <c r="H2061" t="s">
        <v>64</v>
      </c>
      <c r="I2061" t="s">
        <v>29</v>
      </c>
      <c r="J2061" t="s">
        <v>35</v>
      </c>
      <c r="K2061" s="2">
        <v>8250</v>
      </c>
      <c r="L2061" s="2">
        <v>4500</v>
      </c>
      <c r="M2061">
        <v>12</v>
      </c>
      <c r="N2061" s="3">
        <v>0.19400000000000001</v>
      </c>
      <c r="O2061" t="s">
        <v>17</v>
      </c>
      <c r="P2061" t="s">
        <v>65</v>
      </c>
      <c r="Q2061">
        <v>0</v>
      </c>
      <c r="R2061">
        <v>1</v>
      </c>
      <c r="S2061" s="2">
        <v>0</v>
      </c>
      <c r="T2061" s="4"/>
      <c r="U2061">
        <v>1</v>
      </c>
      <c r="V2061">
        <v>1</v>
      </c>
      <c r="W2061">
        <v>1</v>
      </c>
    </row>
    <row r="2062" spans="1:23" ht="16.5" x14ac:dyDescent="0.3">
      <c r="A2062" t="s">
        <v>2125</v>
      </c>
      <c r="B2062" s="1">
        <v>45604</v>
      </c>
      <c r="C2062">
        <v>2024</v>
      </c>
      <c r="D2062" t="s">
        <v>1832</v>
      </c>
      <c r="E2062" t="s">
        <v>2071</v>
      </c>
      <c r="F2062" t="s">
        <v>26</v>
      </c>
      <c r="G2062" t="s">
        <v>51</v>
      </c>
      <c r="H2062" t="s">
        <v>64</v>
      </c>
      <c r="I2062" t="s">
        <v>29</v>
      </c>
      <c r="J2062" t="s">
        <v>52</v>
      </c>
      <c r="K2062" s="2">
        <v>9600</v>
      </c>
      <c r="L2062" s="2">
        <v>37000</v>
      </c>
      <c r="M2062">
        <v>48</v>
      </c>
      <c r="N2062" s="3">
        <v>0.31</v>
      </c>
      <c r="O2062" t="s">
        <v>16</v>
      </c>
      <c r="Q2062">
        <v>1</v>
      </c>
      <c r="R2062">
        <v>0</v>
      </c>
      <c r="S2062" s="2">
        <v>37000</v>
      </c>
      <c r="T2062" s="4">
        <v>7.3200000000000001E-2</v>
      </c>
      <c r="U2062">
        <v>6</v>
      </c>
      <c r="V2062">
        <v>0</v>
      </c>
      <c r="W2062">
        <v>1</v>
      </c>
    </row>
    <row r="2063" spans="1:23" ht="16.5" x14ac:dyDescent="0.3">
      <c r="A2063" t="s">
        <v>2126</v>
      </c>
      <c r="B2063" s="1">
        <v>45604</v>
      </c>
      <c r="C2063">
        <v>2024</v>
      </c>
      <c r="D2063" t="s">
        <v>1832</v>
      </c>
      <c r="E2063" t="s">
        <v>2071</v>
      </c>
      <c r="F2063" t="s">
        <v>37</v>
      </c>
      <c r="G2063" t="s">
        <v>27</v>
      </c>
      <c r="H2063" t="s">
        <v>28</v>
      </c>
      <c r="I2063" t="s">
        <v>29</v>
      </c>
      <c r="J2063" t="s">
        <v>52</v>
      </c>
      <c r="K2063" s="2">
        <v>5300</v>
      </c>
      <c r="L2063" s="2">
        <v>21500</v>
      </c>
      <c r="M2063">
        <v>60</v>
      </c>
      <c r="N2063" s="3">
        <v>0.30199999999999999</v>
      </c>
      <c r="O2063" t="s">
        <v>16</v>
      </c>
      <c r="Q2063">
        <v>1</v>
      </c>
      <c r="R2063">
        <v>0</v>
      </c>
      <c r="S2063" s="2">
        <v>21500</v>
      </c>
      <c r="T2063" s="4">
        <v>0.1104</v>
      </c>
      <c r="U2063">
        <v>5</v>
      </c>
      <c r="V2063">
        <v>0</v>
      </c>
      <c r="W2063">
        <v>1</v>
      </c>
    </row>
    <row r="2064" spans="1:23" ht="16.5" x14ac:dyDescent="0.3">
      <c r="A2064" t="s">
        <v>2127</v>
      </c>
      <c r="B2064" s="1">
        <v>45604</v>
      </c>
      <c r="C2064">
        <v>2024</v>
      </c>
      <c r="D2064" t="s">
        <v>1832</v>
      </c>
      <c r="E2064" t="s">
        <v>2071</v>
      </c>
      <c r="F2064" t="s">
        <v>37</v>
      </c>
      <c r="G2064" t="s">
        <v>45</v>
      </c>
      <c r="H2064" t="s">
        <v>38</v>
      </c>
      <c r="I2064" t="s">
        <v>29</v>
      </c>
      <c r="J2064" t="s">
        <v>30</v>
      </c>
      <c r="K2064" s="2">
        <v>5150</v>
      </c>
      <c r="L2064" s="2">
        <v>23000</v>
      </c>
      <c r="M2064">
        <v>12</v>
      </c>
      <c r="N2064" s="3">
        <v>0.52600000000000002</v>
      </c>
      <c r="O2064" t="s">
        <v>17</v>
      </c>
      <c r="P2064" t="s">
        <v>31</v>
      </c>
      <c r="Q2064">
        <v>0</v>
      </c>
      <c r="R2064">
        <v>1</v>
      </c>
      <c r="S2064" s="2">
        <v>0</v>
      </c>
      <c r="T2064" s="4"/>
      <c r="U2064">
        <v>2</v>
      </c>
      <c r="V2064">
        <v>1</v>
      </c>
      <c r="W2064">
        <v>1</v>
      </c>
    </row>
    <row r="2065" spans="1:23" ht="16.5" x14ac:dyDescent="0.3">
      <c r="A2065" t="s">
        <v>2128</v>
      </c>
      <c r="B2065" s="1">
        <v>45605</v>
      </c>
      <c r="C2065">
        <v>2024</v>
      </c>
      <c r="D2065" t="s">
        <v>1832</v>
      </c>
      <c r="E2065" t="s">
        <v>2071</v>
      </c>
      <c r="F2065" t="s">
        <v>37</v>
      </c>
      <c r="G2065" t="s">
        <v>27</v>
      </c>
      <c r="H2065" t="s">
        <v>38</v>
      </c>
      <c r="I2065" t="s">
        <v>29</v>
      </c>
      <c r="J2065" t="s">
        <v>52</v>
      </c>
      <c r="K2065" s="2">
        <v>2150</v>
      </c>
      <c r="L2065" s="2">
        <v>13000</v>
      </c>
      <c r="M2065">
        <v>24</v>
      </c>
      <c r="N2065" s="3">
        <v>0.371</v>
      </c>
      <c r="O2065" t="s">
        <v>17</v>
      </c>
      <c r="P2065" t="s">
        <v>60</v>
      </c>
      <c r="Q2065">
        <v>0</v>
      </c>
      <c r="R2065">
        <v>1</v>
      </c>
      <c r="S2065" s="2">
        <v>0</v>
      </c>
      <c r="T2065" s="4"/>
      <c r="U2065">
        <v>7</v>
      </c>
      <c r="V2065">
        <v>0</v>
      </c>
      <c r="W2065">
        <v>1</v>
      </c>
    </row>
    <row r="2066" spans="1:23" ht="16.5" x14ac:dyDescent="0.3">
      <c r="A2066" t="s">
        <v>2129</v>
      </c>
      <c r="B2066" s="1">
        <v>45605</v>
      </c>
      <c r="C2066">
        <v>2024</v>
      </c>
      <c r="D2066" t="s">
        <v>1832</v>
      </c>
      <c r="E2066" t="s">
        <v>2071</v>
      </c>
      <c r="F2066" t="s">
        <v>26</v>
      </c>
      <c r="G2066" t="s">
        <v>45</v>
      </c>
      <c r="H2066" t="s">
        <v>34</v>
      </c>
      <c r="I2066" t="s">
        <v>29</v>
      </c>
      <c r="J2066" t="s">
        <v>35</v>
      </c>
      <c r="K2066" s="2">
        <v>4650</v>
      </c>
      <c r="L2066" s="2">
        <v>15500</v>
      </c>
      <c r="M2066">
        <v>36</v>
      </c>
      <c r="N2066" s="3">
        <v>0.29399999999999998</v>
      </c>
      <c r="O2066" t="s">
        <v>16</v>
      </c>
      <c r="Q2066">
        <v>1</v>
      </c>
      <c r="R2066">
        <v>0</v>
      </c>
      <c r="S2066" s="2">
        <v>15500</v>
      </c>
      <c r="T2066" s="4">
        <v>8.8300000000000003E-2</v>
      </c>
      <c r="U2066">
        <v>2</v>
      </c>
      <c r="V2066">
        <v>1</v>
      </c>
      <c r="W2066">
        <v>1</v>
      </c>
    </row>
    <row r="2067" spans="1:23" ht="16.5" x14ac:dyDescent="0.3">
      <c r="A2067" t="s">
        <v>2130</v>
      </c>
      <c r="B2067" s="1">
        <v>45605</v>
      </c>
      <c r="C2067">
        <v>2024</v>
      </c>
      <c r="D2067" t="s">
        <v>1832</v>
      </c>
      <c r="E2067" t="s">
        <v>2071</v>
      </c>
      <c r="F2067" t="s">
        <v>26</v>
      </c>
      <c r="G2067" t="s">
        <v>51</v>
      </c>
      <c r="H2067" t="s">
        <v>34</v>
      </c>
      <c r="I2067" t="s">
        <v>29</v>
      </c>
      <c r="J2067" t="s">
        <v>30</v>
      </c>
      <c r="K2067" s="2">
        <v>3700</v>
      </c>
      <c r="L2067" s="2">
        <v>24000</v>
      </c>
      <c r="M2067">
        <v>60</v>
      </c>
      <c r="N2067" s="3">
        <v>0.28899999999999998</v>
      </c>
      <c r="O2067" t="s">
        <v>17</v>
      </c>
      <c r="P2067" t="s">
        <v>31</v>
      </c>
      <c r="Q2067">
        <v>0</v>
      </c>
      <c r="R2067">
        <v>1</v>
      </c>
      <c r="S2067" s="2">
        <v>0</v>
      </c>
      <c r="T2067" s="4"/>
      <c r="U2067">
        <v>9</v>
      </c>
      <c r="V2067">
        <v>0</v>
      </c>
      <c r="W2067">
        <v>1</v>
      </c>
    </row>
    <row r="2068" spans="1:23" ht="16.5" x14ac:dyDescent="0.3">
      <c r="A2068" t="s">
        <v>2131</v>
      </c>
      <c r="B2068" s="1">
        <v>45605</v>
      </c>
      <c r="C2068">
        <v>2024</v>
      </c>
      <c r="D2068" t="s">
        <v>1832</v>
      </c>
      <c r="E2068" t="s">
        <v>2071</v>
      </c>
      <c r="F2068" t="s">
        <v>26</v>
      </c>
      <c r="G2068" t="s">
        <v>51</v>
      </c>
      <c r="H2068" t="s">
        <v>38</v>
      </c>
      <c r="I2068" t="s">
        <v>29</v>
      </c>
      <c r="J2068" t="s">
        <v>43</v>
      </c>
      <c r="K2068" s="2">
        <v>3500</v>
      </c>
      <c r="L2068" s="2">
        <v>22500</v>
      </c>
      <c r="M2068">
        <v>48</v>
      </c>
      <c r="N2068" s="3">
        <v>0.34899999999999998</v>
      </c>
      <c r="O2068" t="s">
        <v>17</v>
      </c>
      <c r="P2068" t="s">
        <v>31</v>
      </c>
      <c r="Q2068">
        <v>0</v>
      </c>
      <c r="R2068">
        <v>1</v>
      </c>
      <c r="S2068" s="2">
        <v>0</v>
      </c>
      <c r="T2068" s="4"/>
      <c r="U2068">
        <v>11</v>
      </c>
      <c r="V2068">
        <v>0</v>
      </c>
      <c r="W2068">
        <v>1</v>
      </c>
    </row>
    <row r="2069" spans="1:23" ht="16.5" x14ac:dyDescent="0.3">
      <c r="A2069" t="s">
        <v>2132</v>
      </c>
      <c r="B2069" s="1">
        <v>45605</v>
      </c>
      <c r="C2069">
        <v>2024</v>
      </c>
      <c r="D2069" t="s">
        <v>1832</v>
      </c>
      <c r="E2069" t="s">
        <v>2071</v>
      </c>
      <c r="F2069" t="s">
        <v>26</v>
      </c>
      <c r="G2069" t="s">
        <v>51</v>
      </c>
      <c r="H2069" t="s">
        <v>38</v>
      </c>
      <c r="I2069" t="s">
        <v>29</v>
      </c>
      <c r="J2069" t="s">
        <v>35</v>
      </c>
      <c r="K2069" s="2">
        <v>2650</v>
      </c>
      <c r="L2069" s="2">
        <v>22000</v>
      </c>
      <c r="M2069">
        <v>48</v>
      </c>
      <c r="N2069" s="3">
        <v>0.39700000000000002</v>
      </c>
      <c r="O2069" t="s">
        <v>16</v>
      </c>
      <c r="Q2069">
        <v>1</v>
      </c>
      <c r="R2069">
        <v>0</v>
      </c>
      <c r="S2069" s="2">
        <v>20000</v>
      </c>
      <c r="T2069" s="4">
        <v>7.7899999999999997E-2</v>
      </c>
      <c r="U2069">
        <v>7</v>
      </c>
      <c r="V2069">
        <v>0</v>
      </c>
      <c r="W2069">
        <v>1</v>
      </c>
    </row>
    <row r="2070" spans="1:23" ht="16.5" x14ac:dyDescent="0.3">
      <c r="A2070" t="s">
        <v>2133</v>
      </c>
      <c r="B2070" s="1">
        <v>45606</v>
      </c>
      <c r="C2070">
        <v>2024</v>
      </c>
      <c r="D2070" t="s">
        <v>1832</v>
      </c>
      <c r="E2070" t="s">
        <v>2071</v>
      </c>
      <c r="F2070" t="s">
        <v>37</v>
      </c>
      <c r="G2070" t="s">
        <v>45</v>
      </c>
      <c r="H2070" t="s">
        <v>38</v>
      </c>
      <c r="I2070" t="s">
        <v>42</v>
      </c>
      <c r="J2070" t="s">
        <v>30</v>
      </c>
      <c r="K2070" s="2">
        <v>9850</v>
      </c>
      <c r="L2070" s="2">
        <v>31000</v>
      </c>
      <c r="M2070">
        <v>12</v>
      </c>
      <c r="N2070" s="3">
        <v>0.49199999999999999</v>
      </c>
      <c r="O2070" t="s">
        <v>16</v>
      </c>
      <c r="Q2070">
        <v>1</v>
      </c>
      <c r="R2070">
        <v>0</v>
      </c>
      <c r="S2070" s="2">
        <v>28000</v>
      </c>
      <c r="T2070" s="4">
        <v>0.14480000000000001</v>
      </c>
      <c r="U2070">
        <v>3</v>
      </c>
      <c r="V2070">
        <v>1</v>
      </c>
      <c r="W2070">
        <v>1</v>
      </c>
    </row>
    <row r="2071" spans="1:23" ht="16.5" x14ac:dyDescent="0.3">
      <c r="A2071" t="s">
        <v>2134</v>
      </c>
      <c r="B2071" s="1">
        <v>45606</v>
      </c>
      <c r="C2071">
        <v>2024</v>
      </c>
      <c r="D2071" t="s">
        <v>1832</v>
      </c>
      <c r="E2071" t="s">
        <v>2071</v>
      </c>
      <c r="F2071" t="s">
        <v>26</v>
      </c>
      <c r="G2071" t="s">
        <v>51</v>
      </c>
      <c r="H2071" t="s">
        <v>38</v>
      </c>
      <c r="I2071" t="s">
        <v>39</v>
      </c>
      <c r="J2071" t="s">
        <v>52</v>
      </c>
      <c r="K2071" s="2">
        <v>4900</v>
      </c>
      <c r="L2071" s="2">
        <v>20500</v>
      </c>
      <c r="M2071">
        <v>48</v>
      </c>
      <c r="N2071" s="3">
        <v>0.19900000000000001</v>
      </c>
      <c r="O2071" t="s">
        <v>16</v>
      </c>
      <c r="Q2071">
        <v>1</v>
      </c>
      <c r="R2071">
        <v>0</v>
      </c>
      <c r="S2071" s="2">
        <v>20500</v>
      </c>
      <c r="T2071" s="4">
        <v>7.3499999999999996E-2</v>
      </c>
      <c r="U2071">
        <v>4</v>
      </c>
      <c r="V2071">
        <v>1</v>
      </c>
      <c r="W2071">
        <v>1</v>
      </c>
    </row>
    <row r="2072" spans="1:23" ht="16.5" x14ac:dyDescent="0.3">
      <c r="A2072" t="s">
        <v>2135</v>
      </c>
      <c r="B2072" s="1">
        <v>45606</v>
      </c>
      <c r="C2072">
        <v>2024</v>
      </c>
      <c r="D2072" t="s">
        <v>1832</v>
      </c>
      <c r="E2072" t="s">
        <v>2071</v>
      </c>
      <c r="F2072" t="s">
        <v>41</v>
      </c>
      <c r="G2072" t="s">
        <v>45</v>
      </c>
      <c r="H2072" t="s">
        <v>38</v>
      </c>
      <c r="I2072" t="s">
        <v>39</v>
      </c>
      <c r="J2072" t="s">
        <v>35</v>
      </c>
      <c r="K2072" s="2">
        <v>2100</v>
      </c>
      <c r="L2072" s="2">
        <v>133000</v>
      </c>
      <c r="M2072">
        <v>24</v>
      </c>
      <c r="N2072" s="3">
        <v>2.9710000000000001</v>
      </c>
      <c r="O2072" t="s">
        <v>17</v>
      </c>
      <c r="P2072" t="s">
        <v>53</v>
      </c>
      <c r="Q2072">
        <v>0</v>
      </c>
      <c r="R2072">
        <v>1</v>
      </c>
      <c r="S2072" s="2">
        <v>0</v>
      </c>
      <c r="T2072" s="4"/>
      <c r="U2072">
        <v>5</v>
      </c>
      <c r="V2072">
        <v>1</v>
      </c>
      <c r="W2072">
        <v>1</v>
      </c>
    </row>
    <row r="2073" spans="1:23" ht="16.5" x14ac:dyDescent="0.3">
      <c r="A2073" t="s">
        <v>2136</v>
      </c>
      <c r="B2073" s="1">
        <v>45606</v>
      </c>
      <c r="C2073">
        <v>2024</v>
      </c>
      <c r="D2073" t="s">
        <v>1832</v>
      </c>
      <c r="E2073" t="s">
        <v>2071</v>
      </c>
      <c r="F2073" t="s">
        <v>37</v>
      </c>
      <c r="G2073" t="s">
        <v>51</v>
      </c>
      <c r="H2073" t="s">
        <v>34</v>
      </c>
      <c r="I2073" t="s">
        <v>39</v>
      </c>
      <c r="J2073" t="s">
        <v>30</v>
      </c>
      <c r="K2073" s="2">
        <v>6400</v>
      </c>
      <c r="L2073" s="2">
        <v>17500</v>
      </c>
      <c r="M2073">
        <v>24</v>
      </c>
      <c r="N2073" s="3">
        <v>0.29399999999999998</v>
      </c>
      <c r="O2073" t="s">
        <v>17</v>
      </c>
      <c r="P2073" t="s">
        <v>31</v>
      </c>
      <c r="Q2073">
        <v>0</v>
      </c>
      <c r="R2073">
        <v>1</v>
      </c>
      <c r="S2073" s="2">
        <v>0</v>
      </c>
      <c r="T2073" s="4"/>
      <c r="U2073">
        <v>4</v>
      </c>
      <c r="V2073">
        <v>0</v>
      </c>
      <c r="W2073">
        <v>1</v>
      </c>
    </row>
    <row r="2074" spans="1:23" ht="16.5" x14ac:dyDescent="0.3">
      <c r="A2074" t="s">
        <v>2137</v>
      </c>
      <c r="B2074" s="1">
        <v>45606</v>
      </c>
      <c r="C2074">
        <v>2024</v>
      </c>
      <c r="D2074" t="s">
        <v>1832</v>
      </c>
      <c r="E2074" t="s">
        <v>2071</v>
      </c>
      <c r="F2074" t="s">
        <v>41</v>
      </c>
      <c r="G2074" t="s">
        <v>51</v>
      </c>
      <c r="H2074" t="s">
        <v>38</v>
      </c>
      <c r="I2074" t="s">
        <v>39</v>
      </c>
      <c r="J2074" t="s">
        <v>52</v>
      </c>
      <c r="K2074" s="2">
        <v>3400</v>
      </c>
      <c r="L2074" s="2">
        <v>60000</v>
      </c>
      <c r="M2074">
        <v>60</v>
      </c>
      <c r="N2074" s="3">
        <v>0.48799999999999999</v>
      </c>
      <c r="O2074" t="s">
        <v>16</v>
      </c>
      <c r="Q2074">
        <v>1</v>
      </c>
      <c r="R2074">
        <v>0</v>
      </c>
      <c r="S2074" s="2">
        <v>60000</v>
      </c>
      <c r="T2074" s="4">
        <v>9.5200000000000007E-2</v>
      </c>
      <c r="U2074">
        <v>11</v>
      </c>
      <c r="V2074">
        <v>0</v>
      </c>
      <c r="W2074">
        <v>1</v>
      </c>
    </row>
    <row r="2075" spans="1:23" ht="16.5" x14ac:dyDescent="0.3">
      <c r="A2075" t="s">
        <v>2138</v>
      </c>
      <c r="B2075" s="1">
        <v>45606</v>
      </c>
      <c r="C2075">
        <v>2024</v>
      </c>
      <c r="D2075" t="s">
        <v>1832</v>
      </c>
      <c r="E2075" t="s">
        <v>2071</v>
      </c>
      <c r="F2075" t="s">
        <v>37</v>
      </c>
      <c r="G2075" t="s">
        <v>27</v>
      </c>
      <c r="H2075" t="s">
        <v>38</v>
      </c>
      <c r="I2075" t="s">
        <v>29</v>
      </c>
      <c r="J2075" t="s">
        <v>52</v>
      </c>
      <c r="K2075" s="2">
        <v>6850</v>
      </c>
      <c r="L2075" s="2">
        <v>11000</v>
      </c>
      <c r="M2075">
        <v>24</v>
      </c>
      <c r="N2075" s="3">
        <v>0.29499999999999998</v>
      </c>
      <c r="O2075" t="s">
        <v>17</v>
      </c>
      <c r="P2075" t="s">
        <v>65</v>
      </c>
      <c r="Q2075">
        <v>0</v>
      </c>
      <c r="R2075">
        <v>1</v>
      </c>
      <c r="S2075" s="2">
        <v>0</v>
      </c>
      <c r="T2075" s="4"/>
      <c r="U2075">
        <v>3</v>
      </c>
      <c r="V2075">
        <v>1</v>
      </c>
      <c r="W2075">
        <v>1</v>
      </c>
    </row>
    <row r="2076" spans="1:23" ht="16.5" x14ac:dyDescent="0.3">
      <c r="A2076" t="s">
        <v>2139</v>
      </c>
      <c r="B2076" s="1">
        <v>45607</v>
      </c>
      <c r="C2076">
        <v>2024</v>
      </c>
      <c r="D2076" t="s">
        <v>1832</v>
      </c>
      <c r="E2076" t="s">
        <v>2071</v>
      </c>
      <c r="F2076" t="s">
        <v>26</v>
      </c>
      <c r="G2076" t="s">
        <v>33</v>
      </c>
      <c r="H2076" t="s">
        <v>55</v>
      </c>
      <c r="I2076" t="s">
        <v>29</v>
      </c>
      <c r="J2076" t="s">
        <v>35</v>
      </c>
      <c r="K2076" s="2">
        <v>3550</v>
      </c>
      <c r="L2076" s="2">
        <v>23500</v>
      </c>
      <c r="M2076">
        <v>36</v>
      </c>
      <c r="N2076" s="3">
        <v>0.44900000000000001</v>
      </c>
      <c r="O2076" t="s">
        <v>17</v>
      </c>
      <c r="P2076" t="s">
        <v>31</v>
      </c>
      <c r="Q2076">
        <v>0</v>
      </c>
      <c r="R2076">
        <v>1</v>
      </c>
      <c r="S2076" s="2">
        <v>0</v>
      </c>
      <c r="T2076" s="4"/>
      <c r="U2076">
        <v>2</v>
      </c>
      <c r="V2076">
        <v>1</v>
      </c>
      <c r="W2076">
        <v>1</v>
      </c>
    </row>
    <row r="2077" spans="1:23" ht="16.5" x14ac:dyDescent="0.3">
      <c r="A2077" t="s">
        <v>2140</v>
      </c>
      <c r="B2077" s="1">
        <v>45607</v>
      </c>
      <c r="C2077">
        <v>2024</v>
      </c>
      <c r="D2077" t="s">
        <v>1832</v>
      </c>
      <c r="E2077" t="s">
        <v>2071</v>
      </c>
      <c r="F2077" t="s">
        <v>37</v>
      </c>
      <c r="G2077" t="s">
        <v>51</v>
      </c>
      <c r="H2077" t="s">
        <v>28</v>
      </c>
      <c r="I2077" t="s">
        <v>39</v>
      </c>
      <c r="J2077" t="s">
        <v>52</v>
      </c>
      <c r="K2077" s="2">
        <v>5000</v>
      </c>
      <c r="L2077" s="2">
        <v>11500</v>
      </c>
      <c r="M2077">
        <v>48</v>
      </c>
      <c r="N2077" s="3">
        <v>0.19800000000000001</v>
      </c>
      <c r="O2077" t="s">
        <v>16</v>
      </c>
      <c r="Q2077">
        <v>1</v>
      </c>
      <c r="R2077">
        <v>0</v>
      </c>
      <c r="S2077" s="2">
        <v>11500</v>
      </c>
      <c r="T2077" s="4">
        <v>0.1166</v>
      </c>
      <c r="U2077">
        <v>5</v>
      </c>
      <c r="V2077">
        <v>0</v>
      </c>
      <c r="W2077">
        <v>1</v>
      </c>
    </row>
    <row r="2078" spans="1:23" ht="16.5" x14ac:dyDescent="0.3">
      <c r="A2078" t="s">
        <v>2141</v>
      </c>
      <c r="B2078" s="1">
        <v>45607</v>
      </c>
      <c r="C2078">
        <v>2024</v>
      </c>
      <c r="D2078" t="s">
        <v>1832</v>
      </c>
      <c r="E2078" t="s">
        <v>2071</v>
      </c>
      <c r="F2078" t="s">
        <v>41</v>
      </c>
      <c r="G2078" t="s">
        <v>51</v>
      </c>
      <c r="H2078" t="s">
        <v>34</v>
      </c>
      <c r="I2078" t="s">
        <v>42</v>
      </c>
      <c r="J2078" t="s">
        <v>43</v>
      </c>
      <c r="K2078" s="2">
        <v>9050</v>
      </c>
      <c r="L2078" s="2">
        <v>79500</v>
      </c>
      <c r="M2078">
        <v>24</v>
      </c>
      <c r="N2078" s="3">
        <v>0.63800000000000001</v>
      </c>
      <c r="O2078" t="s">
        <v>17</v>
      </c>
      <c r="P2078" t="s">
        <v>31</v>
      </c>
      <c r="Q2078">
        <v>0</v>
      </c>
      <c r="R2078">
        <v>1</v>
      </c>
      <c r="S2078" s="2">
        <v>0</v>
      </c>
      <c r="T2078" s="4"/>
      <c r="U2078">
        <v>10</v>
      </c>
      <c r="V2078">
        <v>1</v>
      </c>
      <c r="W2078">
        <v>1</v>
      </c>
    </row>
    <row r="2079" spans="1:23" ht="16.5" x14ac:dyDescent="0.3">
      <c r="A2079" t="s">
        <v>2142</v>
      </c>
      <c r="B2079" s="1">
        <v>45607</v>
      </c>
      <c r="C2079">
        <v>2024</v>
      </c>
      <c r="D2079" t="s">
        <v>1832</v>
      </c>
      <c r="E2079" t="s">
        <v>2071</v>
      </c>
      <c r="F2079" t="s">
        <v>37</v>
      </c>
      <c r="G2079" t="s">
        <v>27</v>
      </c>
      <c r="H2079" t="s">
        <v>55</v>
      </c>
      <c r="I2079" t="s">
        <v>29</v>
      </c>
      <c r="J2079" t="s">
        <v>35</v>
      </c>
      <c r="K2079" s="2">
        <v>2450</v>
      </c>
      <c r="L2079" s="2">
        <v>7000</v>
      </c>
      <c r="M2079">
        <v>60</v>
      </c>
      <c r="N2079" s="3">
        <v>0.20699999999999999</v>
      </c>
      <c r="O2079" t="s">
        <v>16</v>
      </c>
      <c r="Q2079">
        <v>1</v>
      </c>
      <c r="R2079">
        <v>0</v>
      </c>
      <c r="S2079" s="2">
        <v>7000</v>
      </c>
      <c r="T2079" s="4">
        <v>0.12640000000000001</v>
      </c>
      <c r="U2079">
        <v>4</v>
      </c>
      <c r="V2079">
        <v>0</v>
      </c>
      <c r="W2079">
        <v>1</v>
      </c>
    </row>
    <row r="2080" spans="1:23" ht="16.5" x14ac:dyDescent="0.3">
      <c r="A2080" t="s">
        <v>2143</v>
      </c>
      <c r="B2080" s="1">
        <v>45607</v>
      </c>
      <c r="C2080">
        <v>2024</v>
      </c>
      <c r="D2080" t="s">
        <v>1832</v>
      </c>
      <c r="E2080" t="s">
        <v>2071</v>
      </c>
      <c r="F2080" t="s">
        <v>26</v>
      </c>
      <c r="G2080" t="s">
        <v>51</v>
      </c>
      <c r="H2080" t="s">
        <v>55</v>
      </c>
      <c r="I2080" t="s">
        <v>42</v>
      </c>
      <c r="J2080" t="s">
        <v>35</v>
      </c>
      <c r="K2080" s="2">
        <v>2550</v>
      </c>
      <c r="L2080" s="2">
        <v>36000</v>
      </c>
      <c r="M2080">
        <v>60</v>
      </c>
      <c r="N2080" s="3">
        <v>0.52700000000000002</v>
      </c>
      <c r="O2080" t="s">
        <v>16</v>
      </c>
      <c r="Q2080">
        <v>1</v>
      </c>
      <c r="R2080">
        <v>0</v>
      </c>
      <c r="S2080" s="2">
        <v>36000</v>
      </c>
      <c r="T2080" s="4">
        <v>8.5099999999999995E-2</v>
      </c>
      <c r="U2080">
        <v>6</v>
      </c>
      <c r="V2080">
        <v>0</v>
      </c>
      <c r="W2080">
        <v>1</v>
      </c>
    </row>
    <row r="2081" spans="1:23" ht="16.5" x14ac:dyDescent="0.3">
      <c r="A2081" t="s">
        <v>2144</v>
      </c>
      <c r="B2081" s="1">
        <v>45607</v>
      </c>
      <c r="C2081">
        <v>2024</v>
      </c>
      <c r="D2081" t="s">
        <v>1832</v>
      </c>
      <c r="E2081" t="s">
        <v>2071</v>
      </c>
      <c r="F2081" t="s">
        <v>26</v>
      </c>
      <c r="G2081" t="s">
        <v>51</v>
      </c>
      <c r="H2081" t="s">
        <v>64</v>
      </c>
      <c r="I2081" t="s">
        <v>29</v>
      </c>
      <c r="J2081" t="s">
        <v>46</v>
      </c>
      <c r="K2081" s="2">
        <v>5400</v>
      </c>
      <c r="L2081" s="2">
        <v>58500</v>
      </c>
      <c r="M2081">
        <v>60</v>
      </c>
      <c r="N2081" s="3">
        <v>0.30599999999999999</v>
      </c>
      <c r="O2081" t="s">
        <v>16</v>
      </c>
      <c r="Q2081">
        <v>1</v>
      </c>
      <c r="R2081">
        <v>0</v>
      </c>
      <c r="S2081" s="2">
        <v>58500</v>
      </c>
      <c r="T2081" s="4">
        <v>6.5600000000000006E-2</v>
      </c>
      <c r="U2081">
        <v>4</v>
      </c>
      <c r="V2081">
        <v>1</v>
      </c>
      <c r="W2081">
        <v>1</v>
      </c>
    </row>
    <row r="2082" spans="1:23" ht="16.5" x14ac:dyDescent="0.3">
      <c r="A2082" t="s">
        <v>2145</v>
      </c>
      <c r="B2082" s="1">
        <v>45608</v>
      </c>
      <c r="C2082">
        <v>2024</v>
      </c>
      <c r="D2082" t="s">
        <v>1832</v>
      </c>
      <c r="E2082" t="s">
        <v>2071</v>
      </c>
      <c r="F2082" t="s">
        <v>37</v>
      </c>
      <c r="G2082" t="s">
        <v>45</v>
      </c>
      <c r="H2082" t="s">
        <v>28</v>
      </c>
      <c r="I2082" t="s">
        <v>29</v>
      </c>
      <c r="J2082" t="s">
        <v>43</v>
      </c>
      <c r="K2082" s="2">
        <v>7500</v>
      </c>
      <c r="L2082" s="2">
        <v>7500</v>
      </c>
      <c r="M2082">
        <v>36</v>
      </c>
      <c r="N2082" s="3">
        <v>0.161</v>
      </c>
      <c r="O2082" t="s">
        <v>16</v>
      </c>
      <c r="Q2082">
        <v>1</v>
      </c>
      <c r="R2082">
        <v>0</v>
      </c>
      <c r="S2082" s="2">
        <v>7500</v>
      </c>
      <c r="T2082" s="4">
        <v>0.1608</v>
      </c>
      <c r="U2082">
        <v>3</v>
      </c>
      <c r="V2082">
        <v>1</v>
      </c>
      <c r="W2082">
        <v>1</v>
      </c>
    </row>
    <row r="2083" spans="1:23" ht="16.5" x14ac:dyDescent="0.3">
      <c r="A2083" t="s">
        <v>2146</v>
      </c>
      <c r="B2083" s="1">
        <v>45608</v>
      </c>
      <c r="C2083">
        <v>2024</v>
      </c>
      <c r="D2083" t="s">
        <v>1832</v>
      </c>
      <c r="E2083" t="s">
        <v>2071</v>
      </c>
      <c r="F2083" t="s">
        <v>26</v>
      </c>
      <c r="G2083" t="s">
        <v>27</v>
      </c>
      <c r="H2083" t="s">
        <v>38</v>
      </c>
      <c r="I2083" t="s">
        <v>29</v>
      </c>
      <c r="J2083" t="s">
        <v>35</v>
      </c>
      <c r="K2083" s="2">
        <v>5100</v>
      </c>
      <c r="L2083" s="2">
        <v>23000</v>
      </c>
      <c r="M2083">
        <v>48</v>
      </c>
      <c r="N2083" s="3">
        <v>0.16700000000000001</v>
      </c>
      <c r="O2083" t="s">
        <v>17</v>
      </c>
      <c r="P2083" t="s">
        <v>60</v>
      </c>
      <c r="Q2083">
        <v>0</v>
      </c>
      <c r="R2083">
        <v>1</v>
      </c>
      <c r="S2083" s="2">
        <v>0</v>
      </c>
      <c r="T2083" s="4"/>
      <c r="U2083">
        <v>7</v>
      </c>
      <c r="V2083">
        <v>0</v>
      </c>
      <c r="W2083">
        <v>1</v>
      </c>
    </row>
    <row r="2084" spans="1:23" ht="16.5" x14ac:dyDescent="0.3">
      <c r="A2084" t="s">
        <v>2147</v>
      </c>
      <c r="B2084" s="1">
        <v>45608</v>
      </c>
      <c r="C2084">
        <v>2024</v>
      </c>
      <c r="D2084" t="s">
        <v>1832</v>
      </c>
      <c r="E2084" t="s">
        <v>2071</v>
      </c>
      <c r="F2084" t="s">
        <v>26</v>
      </c>
      <c r="G2084" t="s">
        <v>27</v>
      </c>
      <c r="H2084" t="s">
        <v>55</v>
      </c>
      <c r="I2084" t="s">
        <v>29</v>
      </c>
      <c r="J2084" t="s">
        <v>52</v>
      </c>
      <c r="K2084" s="2">
        <v>2750</v>
      </c>
      <c r="L2084" s="2">
        <v>21000</v>
      </c>
      <c r="M2084">
        <v>60</v>
      </c>
      <c r="N2084" s="3">
        <v>0.39100000000000001</v>
      </c>
      <c r="O2084" t="s">
        <v>16</v>
      </c>
      <c r="Q2084">
        <v>1</v>
      </c>
      <c r="R2084">
        <v>0</v>
      </c>
      <c r="S2084" s="2">
        <v>21000</v>
      </c>
      <c r="T2084" s="4">
        <v>6.9199999999999998E-2</v>
      </c>
      <c r="U2084">
        <v>3</v>
      </c>
      <c r="V2084">
        <v>1</v>
      </c>
      <c r="W2084">
        <v>1</v>
      </c>
    </row>
    <row r="2085" spans="1:23" ht="16.5" x14ac:dyDescent="0.3">
      <c r="A2085" t="s">
        <v>2148</v>
      </c>
      <c r="B2085" s="1">
        <v>45609</v>
      </c>
      <c r="C2085">
        <v>2024</v>
      </c>
      <c r="D2085" t="s">
        <v>1832</v>
      </c>
      <c r="E2085" t="s">
        <v>2071</v>
      </c>
      <c r="F2085" t="s">
        <v>37</v>
      </c>
      <c r="G2085" t="s">
        <v>51</v>
      </c>
      <c r="H2085" t="s">
        <v>55</v>
      </c>
      <c r="I2085" t="s">
        <v>29</v>
      </c>
      <c r="J2085" t="s">
        <v>35</v>
      </c>
      <c r="K2085" s="2">
        <v>5550</v>
      </c>
      <c r="L2085" s="2">
        <v>21500</v>
      </c>
      <c r="M2085">
        <v>48</v>
      </c>
      <c r="N2085" s="3">
        <v>0.16300000000000001</v>
      </c>
      <c r="O2085" t="s">
        <v>17</v>
      </c>
      <c r="P2085" t="s">
        <v>65</v>
      </c>
      <c r="Q2085">
        <v>0</v>
      </c>
      <c r="R2085">
        <v>1</v>
      </c>
      <c r="S2085" s="2">
        <v>0</v>
      </c>
      <c r="T2085" s="4"/>
      <c r="U2085">
        <v>7</v>
      </c>
      <c r="V2085">
        <v>0</v>
      </c>
      <c r="W2085">
        <v>1</v>
      </c>
    </row>
    <row r="2086" spans="1:23" ht="16.5" x14ac:dyDescent="0.3">
      <c r="A2086" t="s">
        <v>2149</v>
      </c>
      <c r="B2086" s="1">
        <v>45609</v>
      </c>
      <c r="C2086">
        <v>2024</v>
      </c>
      <c r="D2086" t="s">
        <v>1832</v>
      </c>
      <c r="E2086" t="s">
        <v>2071</v>
      </c>
      <c r="F2086" t="s">
        <v>37</v>
      </c>
      <c r="G2086" t="s">
        <v>51</v>
      </c>
      <c r="H2086" t="s">
        <v>38</v>
      </c>
      <c r="I2086" t="s">
        <v>29</v>
      </c>
      <c r="J2086" t="s">
        <v>43</v>
      </c>
      <c r="K2086" s="2">
        <v>5100</v>
      </c>
      <c r="L2086" s="2">
        <v>6000</v>
      </c>
      <c r="M2086">
        <v>24</v>
      </c>
      <c r="N2086" s="3">
        <v>0.25800000000000001</v>
      </c>
      <c r="O2086" t="s">
        <v>16</v>
      </c>
      <c r="Q2086">
        <v>1</v>
      </c>
      <c r="R2086">
        <v>0</v>
      </c>
      <c r="S2086" s="2">
        <v>6000</v>
      </c>
      <c r="T2086" s="4">
        <v>0.15490000000000001</v>
      </c>
      <c r="U2086">
        <v>4</v>
      </c>
      <c r="V2086">
        <v>0</v>
      </c>
      <c r="W2086">
        <v>1</v>
      </c>
    </row>
    <row r="2087" spans="1:23" ht="16.5" x14ac:dyDescent="0.3">
      <c r="A2087" t="s">
        <v>2150</v>
      </c>
      <c r="B2087" s="1">
        <v>45609</v>
      </c>
      <c r="C2087">
        <v>2024</v>
      </c>
      <c r="D2087" t="s">
        <v>1832</v>
      </c>
      <c r="E2087" t="s">
        <v>2071</v>
      </c>
      <c r="F2087" t="s">
        <v>26</v>
      </c>
      <c r="G2087" t="s">
        <v>45</v>
      </c>
      <c r="H2087" t="s">
        <v>34</v>
      </c>
      <c r="I2087" t="s">
        <v>42</v>
      </c>
      <c r="J2087" t="s">
        <v>35</v>
      </c>
      <c r="K2087" s="2">
        <v>7400</v>
      </c>
      <c r="L2087" s="2">
        <v>40500</v>
      </c>
      <c r="M2087">
        <v>36</v>
      </c>
      <c r="N2087" s="3">
        <v>0.39</v>
      </c>
      <c r="O2087" t="s">
        <v>17</v>
      </c>
      <c r="P2087" t="s">
        <v>65</v>
      </c>
      <c r="Q2087">
        <v>0</v>
      </c>
      <c r="R2087">
        <v>1</v>
      </c>
      <c r="S2087" s="2">
        <v>0</v>
      </c>
      <c r="T2087" s="4"/>
      <c r="U2087">
        <v>5</v>
      </c>
      <c r="V2087">
        <v>0</v>
      </c>
      <c r="W2087">
        <v>1</v>
      </c>
    </row>
    <row r="2088" spans="1:23" ht="16.5" x14ac:dyDescent="0.3">
      <c r="A2088" t="s">
        <v>2151</v>
      </c>
      <c r="B2088" s="1">
        <v>45609</v>
      </c>
      <c r="C2088">
        <v>2024</v>
      </c>
      <c r="D2088" t="s">
        <v>1832</v>
      </c>
      <c r="E2088" t="s">
        <v>2071</v>
      </c>
      <c r="F2088" t="s">
        <v>37</v>
      </c>
      <c r="G2088" t="s">
        <v>51</v>
      </c>
      <c r="H2088" t="s">
        <v>38</v>
      </c>
      <c r="I2088" t="s">
        <v>39</v>
      </c>
      <c r="J2088" t="s">
        <v>35</v>
      </c>
      <c r="K2088" s="2">
        <v>6200</v>
      </c>
      <c r="L2088" s="2">
        <v>9500</v>
      </c>
      <c r="M2088">
        <v>36</v>
      </c>
      <c r="N2088" s="3">
        <v>0.112</v>
      </c>
      <c r="O2088" t="s">
        <v>16</v>
      </c>
      <c r="Q2088">
        <v>1</v>
      </c>
      <c r="R2088">
        <v>0</v>
      </c>
      <c r="S2088" s="2">
        <v>9500</v>
      </c>
      <c r="T2088" s="4">
        <v>0.12720000000000001</v>
      </c>
      <c r="U2088">
        <v>4</v>
      </c>
      <c r="V2088">
        <v>0</v>
      </c>
      <c r="W2088">
        <v>1</v>
      </c>
    </row>
    <row r="2089" spans="1:23" ht="16.5" x14ac:dyDescent="0.3">
      <c r="A2089" t="s">
        <v>2152</v>
      </c>
      <c r="B2089" s="1">
        <v>45610</v>
      </c>
      <c r="C2089">
        <v>2024</v>
      </c>
      <c r="D2089" t="s">
        <v>1832</v>
      </c>
      <c r="E2089" t="s">
        <v>2071</v>
      </c>
      <c r="F2089" t="s">
        <v>26</v>
      </c>
      <c r="G2089" t="s">
        <v>51</v>
      </c>
      <c r="H2089" t="s">
        <v>38</v>
      </c>
      <c r="I2089" t="s">
        <v>39</v>
      </c>
      <c r="J2089" t="s">
        <v>35</v>
      </c>
      <c r="K2089" s="2">
        <v>3650</v>
      </c>
      <c r="L2089" s="2">
        <v>15000</v>
      </c>
      <c r="M2089">
        <v>36</v>
      </c>
      <c r="N2089" s="3">
        <v>0.28199999999999997</v>
      </c>
      <c r="O2089" t="s">
        <v>16</v>
      </c>
      <c r="Q2089">
        <v>1</v>
      </c>
      <c r="R2089">
        <v>0</v>
      </c>
      <c r="S2089" s="2">
        <v>15000</v>
      </c>
      <c r="T2089" s="4">
        <v>8.9399999999999993E-2</v>
      </c>
      <c r="U2089">
        <v>7</v>
      </c>
      <c r="V2089">
        <v>0</v>
      </c>
      <c r="W2089">
        <v>1</v>
      </c>
    </row>
    <row r="2090" spans="1:23" ht="16.5" x14ac:dyDescent="0.3">
      <c r="A2090" t="s">
        <v>2153</v>
      </c>
      <c r="B2090" s="1">
        <v>45610</v>
      </c>
      <c r="C2090">
        <v>2024</v>
      </c>
      <c r="D2090" t="s">
        <v>1832</v>
      </c>
      <c r="E2090" t="s">
        <v>2071</v>
      </c>
      <c r="F2090" t="s">
        <v>50</v>
      </c>
      <c r="G2090" t="s">
        <v>33</v>
      </c>
      <c r="H2090" t="s">
        <v>55</v>
      </c>
      <c r="I2090" t="s">
        <v>29</v>
      </c>
      <c r="J2090" t="s">
        <v>43</v>
      </c>
      <c r="K2090" s="2">
        <v>9450</v>
      </c>
      <c r="L2090" s="2">
        <v>510500</v>
      </c>
      <c r="M2090">
        <v>180</v>
      </c>
      <c r="N2090" s="3">
        <v>0.499</v>
      </c>
      <c r="O2090" t="s">
        <v>17</v>
      </c>
      <c r="P2090" t="s">
        <v>31</v>
      </c>
      <c r="Q2090">
        <v>0</v>
      </c>
      <c r="R2090">
        <v>1</v>
      </c>
      <c r="S2090" s="2">
        <v>0</v>
      </c>
      <c r="T2090" s="4"/>
      <c r="U2090">
        <v>10</v>
      </c>
      <c r="V2090">
        <v>1</v>
      </c>
      <c r="W2090">
        <v>1</v>
      </c>
    </row>
    <row r="2091" spans="1:23" ht="16.5" x14ac:dyDescent="0.3">
      <c r="A2091" t="s">
        <v>2154</v>
      </c>
      <c r="B2091" s="1">
        <v>45610</v>
      </c>
      <c r="C2091">
        <v>2024</v>
      </c>
      <c r="D2091" t="s">
        <v>1832</v>
      </c>
      <c r="E2091" t="s">
        <v>2071</v>
      </c>
      <c r="F2091" t="s">
        <v>26</v>
      </c>
      <c r="G2091" t="s">
        <v>33</v>
      </c>
      <c r="H2091" t="s">
        <v>64</v>
      </c>
      <c r="I2091" t="s">
        <v>29</v>
      </c>
      <c r="J2091" t="s">
        <v>30</v>
      </c>
      <c r="K2091" s="2">
        <v>3400</v>
      </c>
      <c r="L2091" s="2">
        <v>34500</v>
      </c>
      <c r="M2091">
        <v>36</v>
      </c>
      <c r="N2091" s="3">
        <v>0.52700000000000002</v>
      </c>
      <c r="O2091" t="s">
        <v>17</v>
      </c>
      <c r="P2091" t="s">
        <v>31</v>
      </c>
      <c r="Q2091">
        <v>0</v>
      </c>
      <c r="R2091">
        <v>1</v>
      </c>
      <c r="S2091" s="2">
        <v>0</v>
      </c>
      <c r="T2091" s="4"/>
      <c r="U2091">
        <v>1</v>
      </c>
      <c r="V2091">
        <v>1</v>
      </c>
      <c r="W2091">
        <v>1</v>
      </c>
    </row>
    <row r="2092" spans="1:23" ht="16.5" x14ac:dyDescent="0.3">
      <c r="A2092" t="s">
        <v>2155</v>
      </c>
      <c r="B2092" s="1">
        <v>45610</v>
      </c>
      <c r="C2092">
        <v>2024</v>
      </c>
      <c r="D2092" t="s">
        <v>1832</v>
      </c>
      <c r="E2092" t="s">
        <v>2071</v>
      </c>
      <c r="F2092" t="s">
        <v>26</v>
      </c>
      <c r="G2092" t="s">
        <v>51</v>
      </c>
      <c r="H2092" t="s">
        <v>55</v>
      </c>
      <c r="I2092" t="s">
        <v>29</v>
      </c>
      <c r="J2092" t="s">
        <v>52</v>
      </c>
      <c r="K2092" s="2">
        <v>10600</v>
      </c>
      <c r="L2092" s="2">
        <v>28000</v>
      </c>
      <c r="M2092">
        <v>48</v>
      </c>
      <c r="N2092" s="3">
        <v>0.28699999999999998</v>
      </c>
      <c r="O2092" t="s">
        <v>16</v>
      </c>
      <c r="Q2092">
        <v>1</v>
      </c>
      <c r="R2092">
        <v>0</v>
      </c>
      <c r="S2092" s="2">
        <v>28000</v>
      </c>
      <c r="T2092" s="4">
        <v>7.1400000000000005E-2</v>
      </c>
      <c r="U2092">
        <v>6</v>
      </c>
      <c r="V2092">
        <v>0</v>
      </c>
      <c r="W2092">
        <v>1</v>
      </c>
    </row>
    <row r="2093" spans="1:23" ht="16.5" x14ac:dyDescent="0.3">
      <c r="A2093" t="s">
        <v>2156</v>
      </c>
      <c r="B2093" s="1">
        <v>45610</v>
      </c>
      <c r="C2093">
        <v>2024</v>
      </c>
      <c r="D2093" t="s">
        <v>1832</v>
      </c>
      <c r="E2093" t="s">
        <v>2071</v>
      </c>
      <c r="F2093" t="s">
        <v>50</v>
      </c>
      <c r="G2093" t="s">
        <v>33</v>
      </c>
      <c r="H2093" t="s">
        <v>55</v>
      </c>
      <c r="I2093" t="s">
        <v>39</v>
      </c>
      <c r="J2093" t="s">
        <v>46</v>
      </c>
      <c r="K2093" s="2">
        <v>3400</v>
      </c>
      <c r="L2093" s="2">
        <v>547500</v>
      </c>
      <c r="M2093">
        <v>300</v>
      </c>
      <c r="N2093" s="3">
        <v>1.0609999999999999</v>
      </c>
      <c r="O2093" t="s">
        <v>16</v>
      </c>
      <c r="Q2093">
        <v>1</v>
      </c>
      <c r="R2093">
        <v>0</v>
      </c>
      <c r="S2093" s="2">
        <v>438000</v>
      </c>
      <c r="T2093" s="4">
        <v>4.3499999999999997E-2</v>
      </c>
      <c r="U2093">
        <v>4</v>
      </c>
      <c r="V2093">
        <v>1</v>
      </c>
      <c r="W2093">
        <v>1</v>
      </c>
    </row>
    <row r="2094" spans="1:23" ht="16.5" x14ac:dyDescent="0.3">
      <c r="A2094" t="s">
        <v>2157</v>
      </c>
      <c r="B2094" s="1">
        <v>45610</v>
      </c>
      <c r="C2094">
        <v>2024</v>
      </c>
      <c r="D2094" t="s">
        <v>1832</v>
      </c>
      <c r="E2094" t="s">
        <v>2071</v>
      </c>
      <c r="F2094" t="s">
        <v>37</v>
      </c>
      <c r="G2094" t="s">
        <v>27</v>
      </c>
      <c r="H2094" t="s">
        <v>28</v>
      </c>
      <c r="I2094" t="s">
        <v>42</v>
      </c>
      <c r="J2094" t="s">
        <v>35</v>
      </c>
      <c r="K2094" s="2">
        <v>7450</v>
      </c>
      <c r="L2094" s="2">
        <v>28500</v>
      </c>
      <c r="M2094">
        <v>36</v>
      </c>
      <c r="N2094" s="3">
        <v>0.35799999999999998</v>
      </c>
      <c r="O2094" t="s">
        <v>16</v>
      </c>
      <c r="Q2094">
        <v>1</v>
      </c>
      <c r="R2094">
        <v>0</v>
      </c>
      <c r="S2094" s="2">
        <v>28500</v>
      </c>
      <c r="T2094" s="4">
        <v>0.12659999999999999</v>
      </c>
      <c r="U2094">
        <v>5</v>
      </c>
      <c r="V2094">
        <v>0</v>
      </c>
      <c r="W2094">
        <v>1</v>
      </c>
    </row>
    <row r="2095" spans="1:23" ht="16.5" x14ac:dyDescent="0.3">
      <c r="A2095" t="s">
        <v>2158</v>
      </c>
      <c r="B2095" s="1">
        <v>45610</v>
      </c>
      <c r="C2095">
        <v>2024</v>
      </c>
      <c r="D2095" t="s">
        <v>1832</v>
      </c>
      <c r="E2095" t="s">
        <v>2071</v>
      </c>
      <c r="F2095" t="s">
        <v>50</v>
      </c>
      <c r="G2095" t="s">
        <v>33</v>
      </c>
      <c r="H2095" t="s">
        <v>64</v>
      </c>
      <c r="I2095" t="s">
        <v>29</v>
      </c>
      <c r="J2095" t="s">
        <v>30</v>
      </c>
      <c r="K2095" s="2">
        <v>10250</v>
      </c>
      <c r="L2095" s="2">
        <v>518500</v>
      </c>
      <c r="M2095">
        <v>300</v>
      </c>
      <c r="N2095" s="3">
        <v>0.40400000000000003</v>
      </c>
      <c r="O2095" t="s">
        <v>16</v>
      </c>
      <c r="Q2095">
        <v>1</v>
      </c>
      <c r="R2095">
        <v>0</v>
      </c>
      <c r="S2095" s="2">
        <v>415000</v>
      </c>
      <c r="T2095" s="4">
        <v>7.5600000000000001E-2</v>
      </c>
      <c r="U2095">
        <v>8</v>
      </c>
      <c r="V2095">
        <v>1</v>
      </c>
      <c r="W2095">
        <v>1</v>
      </c>
    </row>
    <row r="2096" spans="1:23" ht="16.5" x14ac:dyDescent="0.3">
      <c r="A2096" t="s">
        <v>2159</v>
      </c>
      <c r="B2096" s="1">
        <v>45610</v>
      </c>
      <c r="C2096">
        <v>2024</v>
      </c>
      <c r="D2096" t="s">
        <v>1832</v>
      </c>
      <c r="E2096" t="s">
        <v>2071</v>
      </c>
      <c r="F2096" t="s">
        <v>37</v>
      </c>
      <c r="G2096" t="s">
        <v>33</v>
      </c>
      <c r="H2096" t="s">
        <v>34</v>
      </c>
      <c r="I2096" t="s">
        <v>42</v>
      </c>
      <c r="J2096" t="s">
        <v>52</v>
      </c>
      <c r="K2096" s="2">
        <v>9750</v>
      </c>
      <c r="L2096" s="2">
        <v>13500</v>
      </c>
      <c r="M2096">
        <v>24</v>
      </c>
      <c r="N2096" s="3">
        <v>0.246</v>
      </c>
      <c r="O2096" t="s">
        <v>17</v>
      </c>
      <c r="P2096" t="s">
        <v>60</v>
      </c>
      <c r="Q2096">
        <v>0</v>
      </c>
      <c r="R2096">
        <v>1</v>
      </c>
      <c r="S2096" s="2">
        <v>0</v>
      </c>
      <c r="T2096" s="4"/>
      <c r="U2096">
        <v>6</v>
      </c>
      <c r="V2096">
        <v>0</v>
      </c>
      <c r="W2096">
        <v>1</v>
      </c>
    </row>
    <row r="2097" spans="1:23" ht="16.5" x14ac:dyDescent="0.3">
      <c r="A2097" t="s">
        <v>2160</v>
      </c>
      <c r="B2097" s="1">
        <v>45611</v>
      </c>
      <c r="C2097">
        <v>2024</v>
      </c>
      <c r="D2097" t="s">
        <v>1832</v>
      </c>
      <c r="E2097" t="s">
        <v>2071</v>
      </c>
      <c r="F2097" t="s">
        <v>37</v>
      </c>
      <c r="G2097" t="s">
        <v>45</v>
      </c>
      <c r="H2097" t="s">
        <v>28</v>
      </c>
      <c r="I2097" t="s">
        <v>29</v>
      </c>
      <c r="J2097" t="s">
        <v>35</v>
      </c>
      <c r="K2097" s="2">
        <v>2850</v>
      </c>
      <c r="L2097" s="2">
        <v>28000</v>
      </c>
      <c r="M2097">
        <v>24</v>
      </c>
      <c r="N2097" s="3">
        <v>0.52600000000000002</v>
      </c>
      <c r="O2097" t="s">
        <v>16</v>
      </c>
      <c r="Q2097">
        <v>1</v>
      </c>
      <c r="R2097">
        <v>0</v>
      </c>
      <c r="S2097" s="2">
        <v>28000</v>
      </c>
      <c r="T2097" s="4">
        <v>0.12909999999999999</v>
      </c>
      <c r="U2097">
        <v>2</v>
      </c>
      <c r="V2097">
        <v>1</v>
      </c>
      <c r="W2097">
        <v>1</v>
      </c>
    </row>
    <row r="2098" spans="1:23" ht="16.5" x14ac:dyDescent="0.3">
      <c r="A2098" t="s">
        <v>2161</v>
      </c>
      <c r="B2098" s="1">
        <v>45611</v>
      </c>
      <c r="C2098">
        <v>2024</v>
      </c>
      <c r="D2098" t="s">
        <v>1832</v>
      </c>
      <c r="E2098" t="s">
        <v>2071</v>
      </c>
      <c r="F2098" t="s">
        <v>37</v>
      </c>
      <c r="G2098" t="s">
        <v>45</v>
      </c>
      <c r="H2098" t="s">
        <v>55</v>
      </c>
      <c r="I2098" t="s">
        <v>29</v>
      </c>
      <c r="J2098" t="s">
        <v>35</v>
      </c>
      <c r="K2098" s="2">
        <v>4500</v>
      </c>
      <c r="L2098" s="2">
        <v>11000</v>
      </c>
      <c r="M2098">
        <v>24</v>
      </c>
      <c r="N2098" s="3">
        <v>0.26600000000000001</v>
      </c>
      <c r="O2098" t="s">
        <v>17</v>
      </c>
      <c r="P2098" t="s">
        <v>65</v>
      </c>
      <c r="Q2098">
        <v>0</v>
      </c>
      <c r="R2098">
        <v>1</v>
      </c>
      <c r="S2098" s="2">
        <v>0</v>
      </c>
      <c r="T2098" s="4"/>
      <c r="U2098">
        <v>2</v>
      </c>
      <c r="V2098">
        <v>1</v>
      </c>
      <c r="W2098">
        <v>1</v>
      </c>
    </row>
    <row r="2099" spans="1:23" ht="16.5" x14ac:dyDescent="0.3">
      <c r="A2099" t="s">
        <v>2162</v>
      </c>
      <c r="B2099" s="1">
        <v>45611</v>
      </c>
      <c r="C2099">
        <v>2024</v>
      </c>
      <c r="D2099" t="s">
        <v>1832</v>
      </c>
      <c r="E2099" t="s">
        <v>2071</v>
      </c>
      <c r="F2099" t="s">
        <v>26</v>
      </c>
      <c r="G2099" t="s">
        <v>51</v>
      </c>
      <c r="H2099" t="s">
        <v>28</v>
      </c>
      <c r="I2099" t="s">
        <v>42</v>
      </c>
      <c r="J2099" t="s">
        <v>52</v>
      </c>
      <c r="K2099" s="2">
        <v>3900</v>
      </c>
      <c r="L2099" s="2">
        <v>38000</v>
      </c>
      <c r="M2099">
        <v>48</v>
      </c>
      <c r="N2099" s="3">
        <v>0.36399999999999999</v>
      </c>
      <c r="O2099" t="s">
        <v>16</v>
      </c>
      <c r="Q2099">
        <v>1</v>
      </c>
      <c r="R2099">
        <v>0</v>
      </c>
      <c r="S2099" s="2">
        <v>38000</v>
      </c>
      <c r="T2099" s="4">
        <v>6.5699999999999995E-2</v>
      </c>
      <c r="U2099">
        <v>3</v>
      </c>
      <c r="V2099">
        <v>1</v>
      </c>
      <c r="W2099">
        <v>1</v>
      </c>
    </row>
    <row r="2100" spans="1:23" ht="16.5" x14ac:dyDescent="0.3">
      <c r="A2100" t="s">
        <v>2163</v>
      </c>
      <c r="B2100" s="1">
        <v>45611</v>
      </c>
      <c r="C2100">
        <v>2024</v>
      </c>
      <c r="D2100" t="s">
        <v>1832</v>
      </c>
      <c r="E2100" t="s">
        <v>2071</v>
      </c>
      <c r="F2100" t="s">
        <v>37</v>
      </c>
      <c r="G2100" t="s">
        <v>33</v>
      </c>
      <c r="H2100" t="s">
        <v>64</v>
      </c>
      <c r="I2100" t="s">
        <v>39</v>
      </c>
      <c r="J2100" t="s">
        <v>46</v>
      </c>
      <c r="K2100" s="2">
        <v>8750</v>
      </c>
      <c r="L2100" s="2">
        <v>35500</v>
      </c>
      <c r="M2100">
        <v>48</v>
      </c>
      <c r="N2100" s="3">
        <v>0.17899999999999999</v>
      </c>
      <c r="O2100" t="s">
        <v>16</v>
      </c>
      <c r="Q2100">
        <v>1</v>
      </c>
      <c r="R2100">
        <v>0</v>
      </c>
      <c r="S2100" s="2">
        <v>35500</v>
      </c>
      <c r="T2100" s="4">
        <v>0.10829999999999999</v>
      </c>
      <c r="U2100">
        <v>2</v>
      </c>
      <c r="V2100">
        <v>1</v>
      </c>
      <c r="W2100">
        <v>1</v>
      </c>
    </row>
    <row r="2101" spans="1:23" ht="16.5" x14ac:dyDescent="0.3">
      <c r="A2101" t="s">
        <v>2164</v>
      </c>
      <c r="B2101" s="1">
        <v>45611</v>
      </c>
      <c r="C2101">
        <v>2024</v>
      </c>
      <c r="D2101" t="s">
        <v>1832</v>
      </c>
      <c r="E2101" t="s">
        <v>2071</v>
      </c>
      <c r="F2101" t="s">
        <v>50</v>
      </c>
      <c r="G2101" t="s">
        <v>45</v>
      </c>
      <c r="H2101" t="s">
        <v>55</v>
      </c>
      <c r="I2101" t="s">
        <v>29</v>
      </c>
      <c r="J2101" t="s">
        <v>46</v>
      </c>
      <c r="K2101" s="2">
        <v>8300</v>
      </c>
      <c r="L2101" s="2">
        <v>600500</v>
      </c>
      <c r="M2101">
        <v>300</v>
      </c>
      <c r="N2101" s="3">
        <v>0.52700000000000002</v>
      </c>
      <c r="O2101" t="s">
        <v>16</v>
      </c>
      <c r="Q2101">
        <v>1</v>
      </c>
      <c r="R2101">
        <v>0</v>
      </c>
      <c r="S2101" s="2">
        <v>600500</v>
      </c>
      <c r="T2101" s="4">
        <v>4.2200000000000001E-2</v>
      </c>
      <c r="U2101">
        <v>7</v>
      </c>
      <c r="V2101">
        <v>1</v>
      </c>
      <c r="W2101">
        <v>1</v>
      </c>
    </row>
    <row r="2102" spans="1:23" ht="16.5" x14ac:dyDescent="0.3">
      <c r="A2102" t="s">
        <v>2165</v>
      </c>
      <c r="B2102" s="1">
        <v>45611</v>
      </c>
      <c r="C2102">
        <v>2024</v>
      </c>
      <c r="D2102" t="s">
        <v>1832</v>
      </c>
      <c r="E2102" t="s">
        <v>2071</v>
      </c>
      <c r="F2102" t="s">
        <v>50</v>
      </c>
      <c r="G2102" t="s">
        <v>51</v>
      </c>
      <c r="H2102" t="s">
        <v>34</v>
      </c>
      <c r="I2102" t="s">
        <v>39</v>
      </c>
      <c r="J2102" t="s">
        <v>35</v>
      </c>
      <c r="K2102" s="2">
        <v>5300</v>
      </c>
      <c r="L2102" s="2">
        <v>255500</v>
      </c>
      <c r="M2102">
        <v>300</v>
      </c>
      <c r="N2102" s="3">
        <v>0.48899999999999999</v>
      </c>
      <c r="O2102" t="s">
        <v>17</v>
      </c>
      <c r="P2102" t="s">
        <v>53</v>
      </c>
      <c r="Q2102">
        <v>0</v>
      </c>
      <c r="R2102">
        <v>1</v>
      </c>
      <c r="S2102" s="2">
        <v>0</v>
      </c>
      <c r="T2102" s="4"/>
      <c r="U2102">
        <v>19</v>
      </c>
      <c r="V2102">
        <v>0</v>
      </c>
      <c r="W2102">
        <v>1</v>
      </c>
    </row>
    <row r="2103" spans="1:23" ht="16.5" x14ac:dyDescent="0.3">
      <c r="A2103" t="s">
        <v>2166</v>
      </c>
      <c r="B2103" s="1">
        <v>45612</v>
      </c>
      <c r="C2103">
        <v>2024</v>
      </c>
      <c r="D2103" t="s">
        <v>1832</v>
      </c>
      <c r="E2103" t="s">
        <v>2071</v>
      </c>
      <c r="F2103" t="s">
        <v>37</v>
      </c>
      <c r="G2103" t="s">
        <v>33</v>
      </c>
      <c r="H2103" t="s">
        <v>64</v>
      </c>
      <c r="I2103" t="s">
        <v>29</v>
      </c>
      <c r="J2103" t="s">
        <v>35</v>
      </c>
      <c r="K2103" s="2">
        <v>4750</v>
      </c>
      <c r="L2103" s="2">
        <v>10000</v>
      </c>
      <c r="M2103">
        <v>24</v>
      </c>
      <c r="N2103" s="3">
        <v>0.29699999999999999</v>
      </c>
      <c r="O2103" t="s">
        <v>16</v>
      </c>
      <c r="Q2103">
        <v>1</v>
      </c>
      <c r="R2103">
        <v>0</v>
      </c>
      <c r="S2103" s="2">
        <v>8000</v>
      </c>
      <c r="T2103" s="4">
        <v>0.12379999999999999</v>
      </c>
      <c r="U2103">
        <v>2</v>
      </c>
      <c r="V2103">
        <v>1</v>
      </c>
      <c r="W2103">
        <v>1</v>
      </c>
    </row>
    <row r="2104" spans="1:23" ht="16.5" x14ac:dyDescent="0.3">
      <c r="A2104" t="s">
        <v>2167</v>
      </c>
      <c r="B2104" s="1">
        <v>45612</v>
      </c>
      <c r="C2104">
        <v>2024</v>
      </c>
      <c r="D2104" t="s">
        <v>1832</v>
      </c>
      <c r="E2104" t="s">
        <v>2071</v>
      </c>
      <c r="F2104" t="s">
        <v>37</v>
      </c>
      <c r="G2104" t="s">
        <v>51</v>
      </c>
      <c r="H2104" t="s">
        <v>28</v>
      </c>
      <c r="I2104" t="s">
        <v>42</v>
      </c>
      <c r="J2104" t="s">
        <v>52</v>
      </c>
      <c r="K2104" s="2">
        <v>9050</v>
      </c>
      <c r="L2104" s="2">
        <v>16000</v>
      </c>
      <c r="M2104">
        <v>60</v>
      </c>
      <c r="N2104" s="3">
        <v>0.125</v>
      </c>
      <c r="O2104" t="s">
        <v>17</v>
      </c>
      <c r="P2104" t="s">
        <v>65</v>
      </c>
      <c r="Q2104">
        <v>0</v>
      </c>
      <c r="R2104">
        <v>1</v>
      </c>
      <c r="S2104" s="2">
        <v>0</v>
      </c>
      <c r="T2104" s="4"/>
      <c r="U2104">
        <v>6</v>
      </c>
      <c r="V2104">
        <v>0</v>
      </c>
      <c r="W2104">
        <v>1</v>
      </c>
    </row>
    <row r="2105" spans="1:23" ht="16.5" x14ac:dyDescent="0.3">
      <c r="A2105" t="s">
        <v>2168</v>
      </c>
      <c r="B2105" s="1">
        <v>45612</v>
      </c>
      <c r="C2105">
        <v>2024</v>
      </c>
      <c r="D2105" t="s">
        <v>1832</v>
      </c>
      <c r="E2105" t="s">
        <v>2071</v>
      </c>
      <c r="F2105" t="s">
        <v>50</v>
      </c>
      <c r="G2105" t="s">
        <v>51</v>
      </c>
      <c r="H2105" t="s">
        <v>34</v>
      </c>
      <c r="I2105" t="s">
        <v>29</v>
      </c>
      <c r="J2105" t="s">
        <v>30</v>
      </c>
      <c r="K2105" s="2">
        <v>10100</v>
      </c>
      <c r="L2105" s="2">
        <v>301000</v>
      </c>
      <c r="M2105">
        <v>240</v>
      </c>
      <c r="N2105" s="3">
        <v>0.39700000000000002</v>
      </c>
      <c r="O2105" t="s">
        <v>17</v>
      </c>
      <c r="P2105" t="s">
        <v>31</v>
      </c>
      <c r="Q2105">
        <v>0</v>
      </c>
      <c r="R2105">
        <v>1</v>
      </c>
      <c r="S2105" s="2">
        <v>0</v>
      </c>
      <c r="T2105" s="4"/>
      <c r="U2105">
        <v>23</v>
      </c>
      <c r="V2105">
        <v>0</v>
      </c>
      <c r="W2105">
        <v>1</v>
      </c>
    </row>
    <row r="2106" spans="1:23" ht="16.5" x14ac:dyDescent="0.3">
      <c r="A2106" t="s">
        <v>2169</v>
      </c>
      <c r="B2106" s="1">
        <v>45612</v>
      </c>
      <c r="C2106">
        <v>2024</v>
      </c>
      <c r="D2106" t="s">
        <v>1832</v>
      </c>
      <c r="E2106" t="s">
        <v>2071</v>
      </c>
      <c r="F2106" t="s">
        <v>37</v>
      </c>
      <c r="G2106" t="s">
        <v>51</v>
      </c>
      <c r="H2106" t="s">
        <v>38</v>
      </c>
      <c r="I2106" t="s">
        <v>29</v>
      </c>
      <c r="J2106" t="s">
        <v>35</v>
      </c>
      <c r="K2106" s="2">
        <v>10400</v>
      </c>
      <c r="L2106" s="2">
        <v>7500</v>
      </c>
      <c r="M2106">
        <v>48</v>
      </c>
      <c r="N2106" s="3">
        <v>0.21099999999999999</v>
      </c>
      <c r="O2106" t="s">
        <v>16</v>
      </c>
      <c r="Q2106">
        <v>1</v>
      </c>
      <c r="R2106">
        <v>0</v>
      </c>
      <c r="S2106" s="2">
        <v>7000</v>
      </c>
      <c r="T2106" s="4">
        <v>0.12609999999999999</v>
      </c>
      <c r="U2106">
        <v>3</v>
      </c>
      <c r="V2106">
        <v>1</v>
      </c>
      <c r="W2106">
        <v>1</v>
      </c>
    </row>
    <row r="2107" spans="1:23" ht="16.5" x14ac:dyDescent="0.3">
      <c r="A2107" t="s">
        <v>2170</v>
      </c>
      <c r="B2107" s="1">
        <v>45612</v>
      </c>
      <c r="C2107">
        <v>2024</v>
      </c>
      <c r="D2107" t="s">
        <v>1832</v>
      </c>
      <c r="E2107" t="s">
        <v>2071</v>
      </c>
      <c r="F2107" t="s">
        <v>37</v>
      </c>
      <c r="G2107" t="s">
        <v>51</v>
      </c>
      <c r="H2107" t="s">
        <v>38</v>
      </c>
      <c r="I2107" t="s">
        <v>29</v>
      </c>
      <c r="J2107" t="s">
        <v>46</v>
      </c>
      <c r="K2107" s="2">
        <v>7700</v>
      </c>
      <c r="L2107" s="2">
        <v>15500</v>
      </c>
      <c r="M2107">
        <v>60</v>
      </c>
      <c r="N2107" s="3">
        <v>0.14299999999999999</v>
      </c>
      <c r="O2107" t="s">
        <v>16</v>
      </c>
      <c r="Q2107">
        <v>1</v>
      </c>
      <c r="R2107">
        <v>0</v>
      </c>
      <c r="S2107" s="2">
        <v>15500</v>
      </c>
      <c r="T2107" s="4">
        <v>0.1066</v>
      </c>
      <c r="U2107">
        <v>4</v>
      </c>
      <c r="V2107">
        <v>0</v>
      </c>
      <c r="W2107">
        <v>1</v>
      </c>
    </row>
    <row r="2108" spans="1:23" ht="16.5" x14ac:dyDescent="0.3">
      <c r="A2108" t="s">
        <v>2171</v>
      </c>
      <c r="B2108" s="1">
        <v>45614</v>
      </c>
      <c r="C2108">
        <v>2024</v>
      </c>
      <c r="D2108" t="s">
        <v>1832</v>
      </c>
      <c r="E2108" t="s">
        <v>2071</v>
      </c>
      <c r="F2108" t="s">
        <v>26</v>
      </c>
      <c r="G2108" t="s">
        <v>27</v>
      </c>
      <c r="H2108" t="s">
        <v>38</v>
      </c>
      <c r="I2108" t="s">
        <v>42</v>
      </c>
      <c r="J2108" t="s">
        <v>30</v>
      </c>
      <c r="K2108" s="2">
        <v>3800</v>
      </c>
      <c r="L2108" s="2">
        <v>23000</v>
      </c>
      <c r="M2108">
        <v>36</v>
      </c>
      <c r="N2108" s="3">
        <v>0.41399999999999998</v>
      </c>
      <c r="O2108" t="s">
        <v>17</v>
      </c>
      <c r="P2108" t="s">
        <v>31</v>
      </c>
      <c r="Q2108">
        <v>0</v>
      </c>
      <c r="R2108">
        <v>1</v>
      </c>
      <c r="S2108" s="2">
        <v>0</v>
      </c>
      <c r="T2108" s="4"/>
      <c r="U2108">
        <v>4</v>
      </c>
      <c r="V2108">
        <v>1</v>
      </c>
      <c r="W2108">
        <v>1</v>
      </c>
    </row>
    <row r="2109" spans="1:23" ht="16.5" x14ac:dyDescent="0.3">
      <c r="A2109" t="s">
        <v>2172</v>
      </c>
      <c r="B2109" s="1">
        <v>45614</v>
      </c>
      <c r="C2109">
        <v>2024</v>
      </c>
      <c r="D2109" t="s">
        <v>1832</v>
      </c>
      <c r="E2109" t="s">
        <v>2071</v>
      </c>
      <c r="F2109" t="s">
        <v>26</v>
      </c>
      <c r="G2109" t="s">
        <v>51</v>
      </c>
      <c r="H2109" t="s">
        <v>34</v>
      </c>
      <c r="I2109" t="s">
        <v>42</v>
      </c>
      <c r="J2109" t="s">
        <v>52</v>
      </c>
      <c r="K2109" s="2">
        <v>5200</v>
      </c>
      <c r="L2109" s="2">
        <v>54000</v>
      </c>
      <c r="M2109">
        <v>60</v>
      </c>
      <c r="N2109" s="3">
        <v>0.35199999999999998</v>
      </c>
      <c r="O2109" t="s">
        <v>16</v>
      </c>
      <c r="Q2109">
        <v>1</v>
      </c>
      <c r="R2109">
        <v>0</v>
      </c>
      <c r="S2109" s="2">
        <v>48500</v>
      </c>
      <c r="T2109" s="4">
        <v>7.0400000000000004E-2</v>
      </c>
      <c r="U2109">
        <v>7</v>
      </c>
      <c r="V2109">
        <v>0</v>
      </c>
      <c r="W2109">
        <v>1</v>
      </c>
    </row>
    <row r="2110" spans="1:23" ht="16.5" x14ac:dyDescent="0.3">
      <c r="A2110" t="s">
        <v>2173</v>
      </c>
      <c r="B2110" s="1">
        <v>45614</v>
      </c>
      <c r="C2110">
        <v>2024</v>
      </c>
      <c r="D2110" t="s">
        <v>1832</v>
      </c>
      <c r="E2110" t="s">
        <v>2071</v>
      </c>
      <c r="F2110" t="s">
        <v>37</v>
      </c>
      <c r="G2110" t="s">
        <v>51</v>
      </c>
      <c r="H2110" t="s">
        <v>38</v>
      </c>
      <c r="I2110" t="s">
        <v>39</v>
      </c>
      <c r="J2110" t="s">
        <v>46</v>
      </c>
      <c r="K2110" s="2">
        <v>9600</v>
      </c>
      <c r="L2110" s="2">
        <v>6500</v>
      </c>
      <c r="M2110">
        <v>12</v>
      </c>
      <c r="N2110" s="3">
        <v>0.25900000000000001</v>
      </c>
      <c r="O2110" t="s">
        <v>16</v>
      </c>
      <c r="Q2110">
        <v>1</v>
      </c>
      <c r="R2110">
        <v>0</v>
      </c>
      <c r="S2110" s="2">
        <v>6500</v>
      </c>
      <c r="T2110" s="4">
        <v>0.106</v>
      </c>
      <c r="U2110">
        <v>4</v>
      </c>
      <c r="V2110">
        <v>0</v>
      </c>
      <c r="W2110">
        <v>1</v>
      </c>
    </row>
    <row r="2111" spans="1:23" ht="16.5" x14ac:dyDescent="0.3">
      <c r="A2111" t="s">
        <v>2174</v>
      </c>
      <c r="B2111" s="1">
        <v>45614</v>
      </c>
      <c r="C2111">
        <v>2024</v>
      </c>
      <c r="D2111" t="s">
        <v>1832</v>
      </c>
      <c r="E2111" t="s">
        <v>2071</v>
      </c>
      <c r="F2111" t="s">
        <v>37</v>
      </c>
      <c r="G2111" t="s">
        <v>51</v>
      </c>
      <c r="H2111" t="s">
        <v>38</v>
      </c>
      <c r="I2111" t="s">
        <v>39</v>
      </c>
      <c r="J2111" t="s">
        <v>52</v>
      </c>
      <c r="K2111" s="2">
        <v>5100</v>
      </c>
      <c r="L2111" s="2">
        <v>19500</v>
      </c>
      <c r="M2111">
        <v>24</v>
      </c>
      <c r="N2111" s="3">
        <v>0.34499999999999997</v>
      </c>
      <c r="O2111" t="s">
        <v>16</v>
      </c>
      <c r="Q2111">
        <v>1</v>
      </c>
      <c r="R2111">
        <v>0</v>
      </c>
      <c r="S2111" s="2">
        <v>19500</v>
      </c>
      <c r="T2111" s="4">
        <v>0.1086</v>
      </c>
      <c r="U2111">
        <v>5</v>
      </c>
      <c r="V2111">
        <v>0</v>
      </c>
      <c r="W2111">
        <v>1</v>
      </c>
    </row>
    <row r="2112" spans="1:23" ht="16.5" x14ac:dyDescent="0.3">
      <c r="A2112" t="s">
        <v>2175</v>
      </c>
      <c r="B2112" s="1">
        <v>45614</v>
      </c>
      <c r="C2112">
        <v>2024</v>
      </c>
      <c r="D2112" t="s">
        <v>1832</v>
      </c>
      <c r="E2112" t="s">
        <v>2071</v>
      </c>
      <c r="F2112" t="s">
        <v>37</v>
      </c>
      <c r="G2112" t="s">
        <v>33</v>
      </c>
      <c r="H2112" t="s">
        <v>38</v>
      </c>
      <c r="I2112" t="s">
        <v>42</v>
      </c>
      <c r="J2112" t="s">
        <v>35</v>
      </c>
      <c r="K2112" s="2">
        <v>8900</v>
      </c>
      <c r="L2112" s="2">
        <v>11000</v>
      </c>
      <c r="M2112">
        <v>36</v>
      </c>
      <c r="N2112" s="3">
        <v>0.28299999999999997</v>
      </c>
      <c r="O2112" t="s">
        <v>16</v>
      </c>
      <c r="Q2112">
        <v>1</v>
      </c>
      <c r="R2112">
        <v>0</v>
      </c>
      <c r="S2112" s="2">
        <v>10000</v>
      </c>
      <c r="T2112" s="4">
        <v>0.1235</v>
      </c>
      <c r="U2112">
        <v>2</v>
      </c>
      <c r="V2112">
        <v>1</v>
      </c>
      <c r="W2112">
        <v>1</v>
      </c>
    </row>
    <row r="2113" spans="1:23" ht="16.5" x14ac:dyDescent="0.3">
      <c r="A2113" t="s">
        <v>2176</v>
      </c>
      <c r="B2113" s="1">
        <v>45614</v>
      </c>
      <c r="C2113">
        <v>2024</v>
      </c>
      <c r="D2113" t="s">
        <v>1832</v>
      </c>
      <c r="E2113" t="s">
        <v>2071</v>
      </c>
      <c r="F2113" t="s">
        <v>37</v>
      </c>
      <c r="G2113" t="s">
        <v>33</v>
      </c>
      <c r="H2113" t="s">
        <v>64</v>
      </c>
      <c r="I2113" t="s">
        <v>29</v>
      </c>
      <c r="J2113" t="s">
        <v>52</v>
      </c>
      <c r="K2113" s="2">
        <v>3450</v>
      </c>
      <c r="L2113" s="2">
        <v>6000</v>
      </c>
      <c r="M2113">
        <v>24</v>
      </c>
      <c r="N2113" s="3">
        <v>0.23499999999999999</v>
      </c>
      <c r="O2113" t="s">
        <v>16</v>
      </c>
      <c r="Q2113">
        <v>1</v>
      </c>
      <c r="R2113">
        <v>0</v>
      </c>
      <c r="S2113" s="2">
        <v>6000</v>
      </c>
      <c r="T2113" s="4">
        <v>0.113</v>
      </c>
      <c r="U2113">
        <v>3</v>
      </c>
      <c r="V2113">
        <v>1</v>
      </c>
      <c r="W2113">
        <v>1</v>
      </c>
    </row>
    <row r="2114" spans="1:23" ht="16.5" x14ac:dyDescent="0.3">
      <c r="A2114" t="s">
        <v>2177</v>
      </c>
      <c r="B2114" s="1">
        <v>45614</v>
      </c>
      <c r="C2114">
        <v>2024</v>
      </c>
      <c r="D2114" t="s">
        <v>1832</v>
      </c>
      <c r="E2114" t="s">
        <v>2071</v>
      </c>
      <c r="F2114" t="s">
        <v>37</v>
      </c>
      <c r="G2114" t="s">
        <v>45</v>
      </c>
      <c r="H2114" t="s">
        <v>38</v>
      </c>
      <c r="I2114" t="s">
        <v>42</v>
      </c>
      <c r="J2114" t="s">
        <v>43</v>
      </c>
      <c r="K2114" s="2">
        <v>6200</v>
      </c>
      <c r="L2114" s="2">
        <v>8000</v>
      </c>
      <c r="M2114">
        <v>36</v>
      </c>
      <c r="N2114" s="3">
        <v>0.185</v>
      </c>
      <c r="O2114" t="s">
        <v>17</v>
      </c>
      <c r="P2114" t="s">
        <v>31</v>
      </c>
      <c r="Q2114">
        <v>0</v>
      </c>
      <c r="R2114">
        <v>1</v>
      </c>
      <c r="S2114" s="2">
        <v>0</v>
      </c>
      <c r="T2114" s="4"/>
      <c r="U2114">
        <v>2</v>
      </c>
      <c r="V2114">
        <v>1</v>
      </c>
      <c r="W2114">
        <v>1</v>
      </c>
    </row>
    <row r="2115" spans="1:23" ht="16.5" x14ac:dyDescent="0.3">
      <c r="A2115" t="s">
        <v>2178</v>
      </c>
      <c r="B2115" s="1">
        <v>45614</v>
      </c>
      <c r="C2115">
        <v>2024</v>
      </c>
      <c r="D2115" t="s">
        <v>1832</v>
      </c>
      <c r="E2115" t="s">
        <v>2071</v>
      </c>
      <c r="F2115" t="s">
        <v>41</v>
      </c>
      <c r="G2115" t="s">
        <v>51</v>
      </c>
      <c r="H2115" t="s">
        <v>38</v>
      </c>
      <c r="I2115" t="s">
        <v>39</v>
      </c>
      <c r="J2115" t="s">
        <v>30</v>
      </c>
      <c r="K2115" s="2">
        <v>4800</v>
      </c>
      <c r="L2115" s="2">
        <v>42000</v>
      </c>
      <c r="M2115">
        <v>12</v>
      </c>
      <c r="N2115" s="3">
        <v>0.92600000000000005</v>
      </c>
      <c r="O2115" t="s">
        <v>17</v>
      </c>
      <c r="P2115" t="s">
        <v>31</v>
      </c>
      <c r="Q2115">
        <v>0</v>
      </c>
      <c r="R2115">
        <v>1</v>
      </c>
      <c r="S2115" s="2">
        <v>0</v>
      </c>
      <c r="T2115" s="4"/>
      <c r="U2115">
        <v>14</v>
      </c>
      <c r="V2115">
        <v>0</v>
      </c>
      <c r="W2115">
        <v>1</v>
      </c>
    </row>
    <row r="2116" spans="1:23" ht="16.5" x14ac:dyDescent="0.3">
      <c r="A2116" t="s">
        <v>2179</v>
      </c>
      <c r="B2116" s="1">
        <v>45614</v>
      </c>
      <c r="C2116">
        <v>2024</v>
      </c>
      <c r="D2116" t="s">
        <v>1832</v>
      </c>
      <c r="E2116" t="s">
        <v>2071</v>
      </c>
      <c r="F2116" t="s">
        <v>37</v>
      </c>
      <c r="G2116" t="s">
        <v>33</v>
      </c>
      <c r="H2116" t="s">
        <v>55</v>
      </c>
      <c r="I2116" t="s">
        <v>29</v>
      </c>
      <c r="J2116" t="s">
        <v>43</v>
      </c>
      <c r="K2116" s="2">
        <v>7400</v>
      </c>
      <c r="L2116" s="2">
        <v>13000</v>
      </c>
      <c r="M2116">
        <v>12</v>
      </c>
      <c r="N2116" s="3">
        <v>0.36399999999999999</v>
      </c>
      <c r="O2116" t="s">
        <v>17</v>
      </c>
      <c r="P2116" t="s">
        <v>65</v>
      </c>
      <c r="Q2116">
        <v>0</v>
      </c>
      <c r="R2116">
        <v>1</v>
      </c>
      <c r="S2116" s="2">
        <v>0</v>
      </c>
      <c r="T2116" s="4"/>
      <c r="U2116">
        <v>1</v>
      </c>
      <c r="V2116">
        <v>1</v>
      </c>
      <c r="W2116">
        <v>1</v>
      </c>
    </row>
    <row r="2117" spans="1:23" ht="16.5" x14ac:dyDescent="0.3">
      <c r="A2117" t="s">
        <v>2180</v>
      </c>
      <c r="B2117" s="1">
        <v>45615</v>
      </c>
      <c r="C2117">
        <v>2024</v>
      </c>
      <c r="D2117" t="s">
        <v>1832</v>
      </c>
      <c r="E2117" t="s">
        <v>2071</v>
      </c>
      <c r="F2117" t="s">
        <v>26</v>
      </c>
      <c r="G2117" t="s">
        <v>45</v>
      </c>
      <c r="H2117" t="s">
        <v>38</v>
      </c>
      <c r="I2117" t="s">
        <v>29</v>
      </c>
      <c r="J2117" t="s">
        <v>30</v>
      </c>
      <c r="K2117" s="2">
        <v>5500</v>
      </c>
      <c r="L2117" s="2">
        <v>25500</v>
      </c>
      <c r="M2117">
        <v>36</v>
      </c>
      <c r="N2117" s="3">
        <v>0.21099999999999999</v>
      </c>
      <c r="O2117" t="s">
        <v>17</v>
      </c>
      <c r="P2117" t="s">
        <v>31</v>
      </c>
      <c r="Q2117">
        <v>0</v>
      </c>
      <c r="R2117">
        <v>1</v>
      </c>
      <c r="S2117" s="2">
        <v>0</v>
      </c>
      <c r="T2117" s="4"/>
      <c r="U2117">
        <v>3</v>
      </c>
      <c r="V2117">
        <v>1</v>
      </c>
      <c r="W2117">
        <v>1</v>
      </c>
    </row>
    <row r="2118" spans="1:23" ht="16.5" x14ac:dyDescent="0.3">
      <c r="A2118" t="s">
        <v>2181</v>
      </c>
      <c r="B2118" s="1">
        <v>45615</v>
      </c>
      <c r="C2118">
        <v>2024</v>
      </c>
      <c r="D2118" t="s">
        <v>1832</v>
      </c>
      <c r="E2118" t="s">
        <v>2071</v>
      </c>
      <c r="F2118" t="s">
        <v>37</v>
      </c>
      <c r="G2118" t="s">
        <v>33</v>
      </c>
      <c r="H2118" t="s">
        <v>55</v>
      </c>
      <c r="I2118" t="s">
        <v>39</v>
      </c>
      <c r="J2118" t="s">
        <v>46</v>
      </c>
      <c r="K2118" s="2">
        <v>6500</v>
      </c>
      <c r="L2118" s="2">
        <v>23000</v>
      </c>
      <c r="M2118">
        <v>36</v>
      </c>
      <c r="N2118" s="3">
        <v>0.20799999999999999</v>
      </c>
      <c r="O2118" t="s">
        <v>16</v>
      </c>
      <c r="Q2118">
        <v>1</v>
      </c>
      <c r="R2118">
        <v>0</v>
      </c>
      <c r="S2118" s="2">
        <v>23000</v>
      </c>
      <c r="T2118" s="4">
        <v>0.10680000000000001</v>
      </c>
      <c r="U2118">
        <v>1</v>
      </c>
      <c r="V2118">
        <v>1</v>
      </c>
      <c r="W2118">
        <v>1</v>
      </c>
    </row>
    <row r="2119" spans="1:23" ht="16.5" x14ac:dyDescent="0.3">
      <c r="A2119" t="s">
        <v>2182</v>
      </c>
      <c r="B2119" s="1">
        <v>45615</v>
      </c>
      <c r="C2119">
        <v>2024</v>
      </c>
      <c r="D2119" t="s">
        <v>1832</v>
      </c>
      <c r="E2119" t="s">
        <v>2071</v>
      </c>
      <c r="F2119" t="s">
        <v>37</v>
      </c>
      <c r="G2119" t="s">
        <v>45</v>
      </c>
      <c r="H2119" t="s">
        <v>38</v>
      </c>
      <c r="I2119" t="s">
        <v>29</v>
      </c>
      <c r="J2119" t="s">
        <v>52</v>
      </c>
      <c r="K2119" s="2">
        <v>3650</v>
      </c>
      <c r="L2119" s="2">
        <v>19000</v>
      </c>
      <c r="M2119">
        <v>48</v>
      </c>
      <c r="N2119" s="3">
        <v>0.23699999999999999</v>
      </c>
      <c r="O2119" t="s">
        <v>16</v>
      </c>
      <c r="Q2119">
        <v>1</v>
      </c>
      <c r="R2119">
        <v>0</v>
      </c>
      <c r="S2119" s="2">
        <v>19000</v>
      </c>
      <c r="T2119" s="4">
        <v>0.1144</v>
      </c>
      <c r="U2119">
        <v>3</v>
      </c>
      <c r="V2119">
        <v>1</v>
      </c>
      <c r="W2119">
        <v>1</v>
      </c>
    </row>
    <row r="2120" spans="1:23" ht="16.5" x14ac:dyDescent="0.3">
      <c r="A2120" t="s">
        <v>2183</v>
      </c>
      <c r="B2120" s="1">
        <v>45616</v>
      </c>
      <c r="C2120">
        <v>2024</v>
      </c>
      <c r="D2120" t="s">
        <v>1832</v>
      </c>
      <c r="E2120" t="s">
        <v>2071</v>
      </c>
      <c r="F2120" t="s">
        <v>37</v>
      </c>
      <c r="G2120" t="s">
        <v>45</v>
      </c>
      <c r="H2120" t="s">
        <v>38</v>
      </c>
      <c r="I2120" t="s">
        <v>42</v>
      </c>
      <c r="J2120" t="s">
        <v>52</v>
      </c>
      <c r="K2120" s="2">
        <v>7100</v>
      </c>
      <c r="L2120" s="2">
        <v>10000</v>
      </c>
      <c r="M2120">
        <v>48</v>
      </c>
      <c r="N2120" s="3">
        <v>0.17</v>
      </c>
      <c r="O2120" t="s">
        <v>17</v>
      </c>
      <c r="P2120" t="s">
        <v>60</v>
      </c>
      <c r="Q2120">
        <v>0</v>
      </c>
      <c r="R2120">
        <v>1</v>
      </c>
      <c r="S2120" s="2">
        <v>0</v>
      </c>
      <c r="T2120" s="4"/>
      <c r="U2120">
        <v>7</v>
      </c>
      <c r="V2120">
        <v>0</v>
      </c>
      <c r="W2120">
        <v>1</v>
      </c>
    </row>
    <row r="2121" spans="1:23" ht="16.5" x14ac:dyDescent="0.3">
      <c r="A2121" t="s">
        <v>2184</v>
      </c>
      <c r="B2121" s="1">
        <v>45616</v>
      </c>
      <c r="C2121">
        <v>2024</v>
      </c>
      <c r="D2121" t="s">
        <v>1832</v>
      </c>
      <c r="E2121" t="s">
        <v>2071</v>
      </c>
      <c r="F2121" t="s">
        <v>26</v>
      </c>
      <c r="G2121" t="s">
        <v>45</v>
      </c>
      <c r="H2121" t="s">
        <v>38</v>
      </c>
      <c r="I2121" t="s">
        <v>29</v>
      </c>
      <c r="J2121" t="s">
        <v>30</v>
      </c>
      <c r="K2121" s="2">
        <v>5550</v>
      </c>
      <c r="L2121" s="2">
        <v>25500</v>
      </c>
      <c r="M2121">
        <v>36</v>
      </c>
      <c r="N2121" s="3">
        <v>0.36299999999999999</v>
      </c>
      <c r="O2121" t="s">
        <v>16</v>
      </c>
      <c r="Q2121">
        <v>1</v>
      </c>
      <c r="R2121">
        <v>0</v>
      </c>
      <c r="S2121" s="2">
        <v>20500</v>
      </c>
      <c r="T2121" s="4">
        <v>9.6000000000000002E-2</v>
      </c>
      <c r="U2121">
        <v>4</v>
      </c>
      <c r="V2121">
        <v>1</v>
      </c>
      <c r="W2121">
        <v>1</v>
      </c>
    </row>
    <row r="2122" spans="1:23" ht="16.5" x14ac:dyDescent="0.3">
      <c r="A2122" t="s">
        <v>2185</v>
      </c>
      <c r="B2122" s="1">
        <v>45616</v>
      </c>
      <c r="C2122">
        <v>2024</v>
      </c>
      <c r="D2122" t="s">
        <v>1832</v>
      </c>
      <c r="E2122" t="s">
        <v>2071</v>
      </c>
      <c r="F2122" t="s">
        <v>41</v>
      </c>
      <c r="G2122" t="s">
        <v>33</v>
      </c>
      <c r="H2122" t="s">
        <v>55</v>
      </c>
      <c r="I2122" t="s">
        <v>42</v>
      </c>
      <c r="J2122" t="s">
        <v>46</v>
      </c>
      <c r="K2122" s="2">
        <v>4900</v>
      </c>
      <c r="L2122" s="2">
        <v>179000</v>
      </c>
      <c r="M2122">
        <v>60</v>
      </c>
      <c r="N2122" s="3">
        <v>0.99099999999999999</v>
      </c>
      <c r="O2122" t="s">
        <v>17</v>
      </c>
      <c r="P2122" t="s">
        <v>53</v>
      </c>
      <c r="Q2122">
        <v>0</v>
      </c>
      <c r="R2122">
        <v>1</v>
      </c>
      <c r="S2122" s="2">
        <v>0</v>
      </c>
      <c r="T2122" s="4"/>
      <c r="U2122">
        <v>5</v>
      </c>
      <c r="V2122">
        <v>1</v>
      </c>
      <c r="W2122">
        <v>1</v>
      </c>
    </row>
    <row r="2123" spans="1:23" ht="16.5" x14ac:dyDescent="0.3">
      <c r="A2123" t="s">
        <v>2186</v>
      </c>
      <c r="B2123" s="1">
        <v>45616</v>
      </c>
      <c r="C2123">
        <v>2024</v>
      </c>
      <c r="D2123" t="s">
        <v>1832</v>
      </c>
      <c r="E2123" t="s">
        <v>2071</v>
      </c>
      <c r="F2123" t="s">
        <v>37</v>
      </c>
      <c r="G2123" t="s">
        <v>27</v>
      </c>
      <c r="H2123" t="s">
        <v>55</v>
      </c>
      <c r="I2123" t="s">
        <v>42</v>
      </c>
      <c r="J2123" t="s">
        <v>35</v>
      </c>
      <c r="K2123" s="2">
        <v>3700</v>
      </c>
      <c r="L2123" s="2">
        <v>20000</v>
      </c>
      <c r="M2123">
        <v>24</v>
      </c>
      <c r="N2123" s="3">
        <v>0.36499999999999999</v>
      </c>
      <c r="O2123" t="s">
        <v>16</v>
      </c>
      <c r="Q2123">
        <v>1</v>
      </c>
      <c r="R2123">
        <v>0</v>
      </c>
      <c r="S2123" s="2">
        <v>20000</v>
      </c>
      <c r="T2123" s="4">
        <v>0.1263</v>
      </c>
      <c r="U2123">
        <v>5</v>
      </c>
      <c r="V2123">
        <v>0</v>
      </c>
      <c r="W2123">
        <v>1</v>
      </c>
    </row>
    <row r="2124" spans="1:23" ht="16.5" x14ac:dyDescent="0.3">
      <c r="A2124" t="s">
        <v>2187</v>
      </c>
      <c r="B2124" s="1">
        <v>45616</v>
      </c>
      <c r="C2124">
        <v>2024</v>
      </c>
      <c r="D2124" t="s">
        <v>1832</v>
      </c>
      <c r="E2124" t="s">
        <v>2071</v>
      </c>
      <c r="F2124" t="s">
        <v>26</v>
      </c>
      <c r="G2124" t="s">
        <v>33</v>
      </c>
      <c r="H2124" t="s">
        <v>55</v>
      </c>
      <c r="I2124" t="s">
        <v>29</v>
      </c>
      <c r="J2124" t="s">
        <v>35</v>
      </c>
      <c r="K2124" s="2">
        <v>2550</v>
      </c>
      <c r="L2124" s="2">
        <v>30500</v>
      </c>
      <c r="M2124">
        <v>48</v>
      </c>
      <c r="N2124" s="3">
        <v>0.435</v>
      </c>
      <c r="O2124" t="s">
        <v>16</v>
      </c>
      <c r="Q2124">
        <v>1</v>
      </c>
      <c r="R2124">
        <v>0</v>
      </c>
      <c r="S2124" s="2">
        <v>30500</v>
      </c>
      <c r="T2124" s="4">
        <v>8.4599999999999995E-2</v>
      </c>
      <c r="U2124">
        <v>3</v>
      </c>
      <c r="V2124">
        <v>1</v>
      </c>
      <c r="W2124">
        <v>1</v>
      </c>
    </row>
    <row r="2125" spans="1:23" ht="16.5" x14ac:dyDescent="0.3">
      <c r="A2125" t="s">
        <v>2188</v>
      </c>
      <c r="B2125" s="1">
        <v>45616</v>
      </c>
      <c r="C2125">
        <v>2024</v>
      </c>
      <c r="D2125" t="s">
        <v>1832</v>
      </c>
      <c r="E2125" t="s">
        <v>2071</v>
      </c>
      <c r="F2125" t="s">
        <v>41</v>
      </c>
      <c r="G2125" t="s">
        <v>51</v>
      </c>
      <c r="H2125" t="s">
        <v>34</v>
      </c>
      <c r="I2125" t="s">
        <v>39</v>
      </c>
      <c r="J2125" t="s">
        <v>52</v>
      </c>
      <c r="K2125" s="2">
        <v>4050</v>
      </c>
      <c r="L2125" s="2">
        <v>153000</v>
      </c>
      <c r="M2125">
        <v>60</v>
      </c>
      <c r="N2125" s="3">
        <v>0.999</v>
      </c>
      <c r="O2125" t="s">
        <v>17</v>
      </c>
      <c r="P2125" t="s">
        <v>53</v>
      </c>
      <c r="Q2125">
        <v>0</v>
      </c>
      <c r="R2125">
        <v>1</v>
      </c>
      <c r="S2125" s="2">
        <v>0</v>
      </c>
      <c r="T2125" s="4"/>
      <c r="U2125">
        <v>11</v>
      </c>
      <c r="V2125">
        <v>0</v>
      </c>
      <c r="W2125">
        <v>1</v>
      </c>
    </row>
    <row r="2126" spans="1:23" ht="16.5" x14ac:dyDescent="0.3">
      <c r="A2126" t="s">
        <v>2189</v>
      </c>
      <c r="B2126" s="1">
        <v>45616</v>
      </c>
      <c r="C2126">
        <v>2024</v>
      </c>
      <c r="D2126" t="s">
        <v>1832</v>
      </c>
      <c r="E2126" t="s">
        <v>2071</v>
      </c>
      <c r="F2126" t="s">
        <v>26</v>
      </c>
      <c r="G2126" t="s">
        <v>51</v>
      </c>
      <c r="H2126" t="s">
        <v>55</v>
      </c>
      <c r="I2126" t="s">
        <v>42</v>
      </c>
      <c r="J2126" t="s">
        <v>52</v>
      </c>
      <c r="K2126" s="2">
        <v>4750</v>
      </c>
      <c r="L2126" s="2">
        <v>30500</v>
      </c>
      <c r="M2126">
        <v>60</v>
      </c>
      <c r="N2126" s="3">
        <v>0.19400000000000001</v>
      </c>
      <c r="O2126" t="s">
        <v>16</v>
      </c>
      <c r="Q2126">
        <v>1</v>
      </c>
      <c r="R2126">
        <v>0</v>
      </c>
      <c r="S2126" s="2">
        <v>30500</v>
      </c>
      <c r="T2126" s="4">
        <v>6.9599999999999995E-2</v>
      </c>
      <c r="U2126">
        <v>8</v>
      </c>
      <c r="V2126">
        <v>0</v>
      </c>
      <c r="W2126">
        <v>1</v>
      </c>
    </row>
    <row r="2127" spans="1:23" ht="16.5" x14ac:dyDescent="0.3">
      <c r="A2127" t="s">
        <v>2190</v>
      </c>
      <c r="B2127" s="1">
        <v>45616</v>
      </c>
      <c r="C2127">
        <v>2024</v>
      </c>
      <c r="D2127" t="s">
        <v>1832</v>
      </c>
      <c r="E2127" t="s">
        <v>2071</v>
      </c>
      <c r="F2127" t="s">
        <v>37</v>
      </c>
      <c r="G2127" t="s">
        <v>45</v>
      </c>
      <c r="H2127" t="s">
        <v>34</v>
      </c>
      <c r="I2127" t="s">
        <v>29</v>
      </c>
      <c r="J2127" t="s">
        <v>43</v>
      </c>
      <c r="K2127" s="2">
        <v>10450</v>
      </c>
      <c r="L2127" s="2">
        <v>8500</v>
      </c>
      <c r="M2127">
        <v>60</v>
      </c>
      <c r="N2127" s="3">
        <v>7.1999999999999995E-2</v>
      </c>
      <c r="O2127" t="s">
        <v>17</v>
      </c>
      <c r="P2127" t="s">
        <v>31</v>
      </c>
      <c r="Q2127">
        <v>0</v>
      </c>
      <c r="R2127">
        <v>1</v>
      </c>
      <c r="S2127" s="2">
        <v>0</v>
      </c>
      <c r="T2127" s="4"/>
      <c r="U2127">
        <v>2</v>
      </c>
      <c r="V2127">
        <v>1</v>
      </c>
      <c r="W2127">
        <v>1</v>
      </c>
    </row>
    <row r="2128" spans="1:23" ht="16.5" x14ac:dyDescent="0.3">
      <c r="A2128" t="s">
        <v>2191</v>
      </c>
      <c r="B2128" s="1">
        <v>45616</v>
      </c>
      <c r="C2128">
        <v>2024</v>
      </c>
      <c r="D2128" t="s">
        <v>1832</v>
      </c>
      <c r="E2128" t="s">
        <v>2071</v>
      </c>
      <c r="F2128" t="s">
        <v>37</v>
      </c>
      <c r="G2128" t="s">
        <v>51</v>
      </c>
      <c r="H2128" t="s">
        <v>38</v>
      </c>
      <c r="I2128" t="s">
        <v>29</v>
      </c>
      <c r="J2128" t="s">
        <v>30</v>
      </c>
      <c r="K2128" s="2">
        <v>4650</v>
      </c>
      <c r="L2128" s="2">
        <v>14500</v>
      </c>
      <c r="M2128">
        <v>48</v>
      </c>
      <c r="N2128" s="3">
        <v>0.25800000000000001</v>
      </c>
      <c r="O2128" t="s">
        <v>16</v>
      </c>
      <c r="Q2128">
        <v>1</v>
      </c>
      <c r="R2128">
        <v>0</v>
      </c>
      <c r="S2128" s="2">
        <v>14500</v>
      </c>
      <c r="T2128" s="4">
        <v>0.13739999999999999</v>
      </c>
      <c r="U2128">
        <v>6</v>
      </c>
      <c r="V2128">
        <v>0</v>
      </c>
      <c r="W2128">
        <v>1</v>
      </c>
    </row>
    <row r="2129" spans="1:23" ht="16.5" x14ac:dyDescent="0.3">
      <c r="A2129" t="s">
        <v>2192</v>
      </c>
      <c r="B2129" s="1">
        <v>45616</v>
      </c>
      <c r="C2129">
        <v>2024</v>
      </c>
      <c r="D2129" t="s">
        <v>1832</v>
      </c>
      <c r="E2129" t="s">
        <v>2071</v>
      </c>
      <c r="F2129" t="s">
        <v>26</v>
      </c>
      <c r="G2129" t="s">
        <v>51</v>
      </c>
      <c r="H2129" t="s">
        <v>55</v>
      </c>
      <c r="I2129" t="s">
        <v>39</v>
      </c>
      <c r="J2129" t="s">
        <v>52</v>
      </c>
      <c r="K2129" s="2">
        <v>3450</v>
      </c>
      <c r="L2129" s="2">
        <v>42500</v>
      </c>
      <c r="M2129">
        <v>48</v>
      </c>
      <c r="N2129" s="3">
        <v>0.35699999999999998</v>
      </c>
      <c r="O2129" t="s">
        <v>16</v>
      </c>
      <c r="Q2129">
        <v>1</v>
      </c>
      <c r="R2129">
        <v>0</v>
      </c>
      <c r="S2129" s="2">
        <v>42500</v>
      </c>
      <c r="T2129" s="4">
        <v>7.3300000000000004E-2</v>
      </c>
      <c r="U2129">
        <v>4</v>
      </c>
      <c r="V2129">
        <v>1</v>
      </c>
      <c r="W2129">
        <v>1</v>
      </c>
    </row>
    <row r="2130" spans="1:23" ht="16.5" x14ac:dyDescent="0.3">
      <c r="A2130" t="s">
        <v>2193</v>
      </c>
      <c r="B2130" s="1">
        <v>45616</v>
      </c>
      <c r="C2130">
        <v>2024</v>
      </c>
      <c r="D2130" t="s">
        <v>1832</v>
      </c>
      <c r="E2130" t="s">
        <v>2071</v>
      </c>
      <c r="F2130" t="s">
        <v>41</v>
      </c>
      <c r="G2130" t="s">
        <v>27</v>
      </c>
      <c r="H2130" t="s">
        <v>38</v>
      </c>
      <c r="I2130" t="s">
        <v>29</v>
      </c>
      <c r="J2130" t="s">
        <v>30</v>
      </c>
      <c r="K2130" s="2">
        <v>5250</v>
      </c>
      <c r="L2130" s="2">
        <v>98000</v>
      </c>
      <c r="M2130">
        <v>24</v>
      </c>
      <c r="N2130" s="3">
        <v>0.94499999999999995</v>
      </c>
      <c r="O2130" t="s">
        <v>125</v>
      </c>
      <c r="Q2130">
        <v>0</v>
      </c>
      <c r="R2130">
        <v>0</v>
      </c>
      <c r="S2130" s="2">
        <v>0</v>
      </c>
      <c r="T2130" s="4"/>
      <c r="U2130">
        <v>11</v>
      </c>
      <c r="V2130">
        <v>0</v>
      </c>
      <c r="W2130">
        <v>1</v>
      </c>
    </row>
    <row r="2131" spans="1:23" ht="16.5" x14ac:dyDescent="0.3">
      <c r="A2131" t="s">
        <v>2194</v>
      </c>
      <c r="B2131" s="1">
        <v>45616</v>
      </c>
      <c r="C2131">
        <v>2024</v>
      </c>
      <c r="D2131" t="s">
        <v>1832</v>
      </c>
      <c r="E2131" t="s">
        <v>2071</v>
      </c>
      <c r="F2131" t="s">
        <v>41</v>
      </c>
      <c r="G2131" t="s">
        <v>33</v>
      </c>
      <c r="H2131" t="s">
        <v>34</v>
      </c>
      <c r="I2131" t="s">
        <v>39</v>
      </c>
      <c r="J2131" t="s">
        <v>35</v>
      </c>
      <c r="K2131" s="2">
        <v>3000</v>
      </c>
      <c r="L2131" s="2">
        <v>34000</v>
      </c>
      <c r="M2131">
        <v>24</v>
      </c>
      <c r="N2131" s="3">
        <v>0.68799999999999994</v>
      </c>
      <c r="O2131" t="s">
        <v>17</v>
      </c>
      <c r="P2131" t="s">
        <v>53</v>
      </c>
      <c r="Q2131">
        <v>0</v>
      </c>
      <c r="R2131">
        <v>1</v>
      </c>
      <c r="S2131" s="2">
        <v>0</v>
      </c>
      <c r="T2131" s="4"/>
      <c r="U2131">
        <v>5</v>
      </c>
      <c r="V2131">
        <v>1</v>
      </c>
      <c r="W2131">
        <v>1</v>
      </c>
    </row>
    <row r="2132" spans="1:23" ht="16.5" x14ac:dyDescent="0.3">
      <c r="A2132" t="s">
        <v>2195</v>
      </c>
      <c r="B2132" s="1">
        <v>45617</v>
      </c>
      <c r="C2132">
        <v>2024</v>
      </c>
      <c r="D2132" t="s">
        <v>1832</v>
      </c>
      <c r="E2132" t="s">
        <v>2071</v>
      </c>
      <c r="F2132" t="s">
        <v>37</v>
      </c>
      <c r="G2132" t="s">
        <v>33</v>
      </c>
      <c r="H2132" t="s">
        <v>64</v>
      </c>
      <c r="I2132" t="s">
        <v>39</v>
      </c>
      <c r="J2132" t="s">
        <v>46</v>
      </c>
      <c r="K2132" s="2">
        <v>5800</v>
      </c>
      <c r="L2132" s="2">
        <v>7000</v>
      </c>
      <c r="M2132">
        <v>24</v>
      </c>
      <c r="N2132" s="3">
        <v>0.254</v>
      </c>
      <c r="O2132" t="s">
        <v>16</v>
      </c>
      <c r="Q2132">
        <v>1</v>
      </c>
      <c r="R2132">
        <v>0</v>
      </c>
      <c r="S2132" s="2">
        <v>7000</v>
      </c>
      <c r="T2132" s="4">
        <v>0.11</v>
      </c>
      <c r="U2132">
        <v>1</v>
      </c>
      <c r="V2132">
        <v>1</v>
      </c>
      <c r="W2132">
        <v>1</v>
      </c>
    </row>
    <row r="2133" spans="1:23" ht="16.5" x14ac:dyDescent="0.3">
      <c r="A2133" t="s">
        <v>2196</v>
      </c>
      <c r="B2133" s="1">
        <v>45617</v>
      </c>
      <c r="C2133">
        <v>2024</v>
      </c>
      <c r="D2133" t="s">
        <v>1832</v>
      </c>
      <c r="E2133" t="s">
        <v>2071</v>
      </c>
      <c r="F2133" t="s">
        <v>26</v>
      </c>
      <c r="G2133" t="s">
        <v>51</v>
      </c>
      <c r="H2133" t="s">
        <v>38</v>
      </c>
      <c r="I2133" t="s">
        <v>39</v>
      </c>
      <c r="J2133" t="s">
        <v>30</v>
      </c>
      <c r="K2133" s="2">
        <v>4250</v>
      </c>
      <c r="L2133" s="2">
        <v>24000</v>
      </c>
      <c r="M2133">
        <v>60</v>
      </c>
      <c r="N2133" s="3">
        <v>0.186</v>
      </c>
      <c r="O2133" t="s">
        <v>16</v>
      </c>
      <c r="Q2133">
        <v>1</v>
      </c>
      <c r="R2133">
        <v>0</v>
      </c>
      <c r="S2133" s="2">
        <v>24000</v>
      </c>
      <c r="T2133" s="4">
        <v>9.1200000000000003E-2</v>
      </c>
      <c r="U2133">
        <v>6</v>
      </c>
      <c r="V2133">
        <v>0</v>
      </c>
      <c r="W2133">
        <v>1</v>
      </c>
    </row>
    <row r="2134" spans="1:23" ht="16.5" x14ac:dyDescent="0.3">
      <c r="A2134" t="s">
        <v>2197</v>
      </c>
      <c r="B2134" s="1">
        <v>45617</v>
      </c>
      <c r="C2134">
        <v>2024</v>
      </c>
      <c r="D2134" t="s">
        <v>1832</v>
      </c>
      <c r="E2134" t="s">
        <v>2071</v>
      </c>
      <c r="F2134" t="s">
        <v>37</v>
      </c>
      <c r="G2134" t="s">
        <v>51</v>
      </c>
      <c r="H2134" t="s">
        <v>55</v>
      </c>
      <c r="I2134" t="s">
        <v>29</v>
      </c>
      <c r="J2134" t="s">
        <v>30</v>
      </c>
      <c r="K2134" s="2">
        <v>6250</v>
      </c>
      <c r="L2134" s="2">
        <v>11000</v>
      </c>
      <c r="M2134">
        <v>12</v>
      </c>
      <c r="N2134" s="3">
        <v>0.32700000000000001</v>
      </c>
      <c r="O2134" t="s">
        <v>17</v>
      </c>
      <c r="P2134" t="s">
        <v>31</v>
      </c>
      <c r="Q2134">
        <v>0</v>
      </c>
      <c r="R2134">
        <v>1</v>
      </c>
      <c r="S2134" s="2">
        <v>0</v>
      </c>
      <c r="T2134" s="4"/>
      <c r="U2134">
        <v>4</v>
      </c>
      <c r="V2134">
        <v>0</v>
      </c>
      <c r="W2134">
        <v>1</v>
      </c>
    </row>
    <row r="2135" spans="1:23" ht="16.5" x14ac:dyDescent="0.3">
      <c r="A2135" t="s">
        <v>2198</v>
      </c>
      <c r="B2135" s="1">
        <v>45617</v>
      </c>
      <c r="C2135">
        <v>2024</v>
      </c>
      <c r="D2135" t="s">
        <v>1832</v>
      </c>
      <c r="E2135" t="s">
        <v>2071</v>
      </c>
      <c r="F2135" t="s">
        <v>37</v>
      </c>
      <c r="G2135" t="s">
        <v>51</v>
      </c>
      <c r="H2135" t="s">
        <v>38</v>
      </c>
      <c r="I2135" t="s">
        <v>29</v>
      </c>
      <c r="J2135" t="s">
        <v>52</v>
      </c>
      <c r="K2135" s="2">
        <v>5050</v>
      </c>
      <c r="L2135" s="2">
        <v>21000</v>
      </c>
      <c r="M2135">
        <v>60</v>
      </c>
      <c r="N2135" s="3">
        <v>0.187</v>
      </c>
      <c r="O2135" t="s">
        <v>16</v>
      </c>
      <c r="Q2135">
        <v>1</v>
      </c>
      <c r="R2135">
        <v>0</v>
      </c>
      <c r="S2135" s="2">
        <v>17000</v>
      </c>
      <c r="T2135" s="4">
        <v>0.1132</v>
      </c>
      <c r="U2135">
        <v>5</v>
      </c>
      <c r="V2135">
        <v>0</v>
      </c>
      <c r="W2135">
        <v>1</v>
      </c>
    </row>
    <row r="2136" spans="1:23" ht="16.5" x14ac:dyDescent="0.3">
      <c r="A2136" t="s">
        <v>2199</v>
      </c>
      <c r="B2136" s="1">
        <v>45617</v>
      </c>
      <c r="C2136">
        <v>2024</v>
      </c>
      <c r="D2136" t="s">
        <v>1832</v>
      </c>
      <c r="E2136" t="s">
        <v>2071</v>
      </c>
      <c r="F2136" t="s">
        <v>26</v>
      </c>
      <c r="G2136" t="s">
        <v>51</v>
      </c>
      <c r="H2136" t="s">
        <v>34</v>
      </c>
      <c r="I2136" t="s">
        <v>39</v>
      </c>
      <c r="J2136" t="s">
        <v>52</v>
      </c>
      <c r="K2136" s="2">
        <v>6000</v>
      </c>
      <c r="L2136" s="2">
        <v>35500</v>
      </c>
      <c r="M2136">
        <v>36</v>
      </c>
      <c r="N2136" s="3">
        <v>0.34699999999999998</v>
      </c>
      <c r="O2136" t="s">
        <v>16</v>
      </c>
      <c r="Q2136">
        <v>1</v>
      </c>
      <c r="R2136">
        <v>0</v>
      </c>
      <c r="S2136" s="2">
        <v>35500</v>
      </c>
      <c r="T2136" s="4">
        <v>6.83E-2</v>
      </c>
      <c r="U2136">
        <v>4</v>
      </c>
      <c r="V2136">
        <v>1</v>
      </c>
      <c r="W2136">
        <v>1</v>
      </c>
    </row>
    <row r="2137" spans="1:23" ht="16.5" x14ac:dyDescent="0.3">
      <c r="A2137" t="s">
        <v>2200</v>
      </c>
      <c r="B2137" s="1">
        <v>45618</v>
      </c>
      <c r="C2137">
        <v>2024</v>
      </c>
      <c r="D2137" t="s">
        <v>1832</v>
      </c>
      <c r="E2137" t="s">
        <v>2071</v>
      </c>
      <c r="F2137" t="s">
        <v>37</v>
      </c>
      <c r="G2137" t="s">
        <v>51</v>
      </c>
      <c r="H2137" t="s">
        <v>55</v>
      </c>
      <c r="I2137" t="s">
        <v>39</v>
      </c>
      <c r="J2137" t="s">
        <v>43</v>
      </c>
      <c r="K2137" s="2">
        <v>8800</v>
      </c>
      <c r="L2137" s="2">
        <v>7500</v>
      </c>
      <c r="M2137">
        <v>36</v>
      </c>
      <c r="N2137" s="3">
        <v>0.24</v>
      </c>
      <c r="O2137" t="s">
        <v>17</v>
      </c>
      <c r="P2137" t="s">
        <v>31</v>
      </c>
      <c r="Q2137">
        <v>0</v>
      </c>
      <c r="R2137">
        <v>1</v>
      </c>
      <c r="S2137" s="2">
        <v>0</v>
      </c>
      <c r="T2137" s="4"/>
      <c r="U2137">
        <v>6</v>
      </c>
      <c r="V2137">
        <v>0</v>
      </c>
      <c r="W2137">
        <v>1</v>
      </c>
    </row>
    <row r="2138" spans="1:23" ht="16.5" x14ac:dyDescent="0.3">
      <c r="A2138" t="s">
        <v>2201</v>
      </c>
      <c r="B2138" s="1">
        <v>45618</v>
      </c>
      <c r="C2138">
        <v>2024</v>
      </c>
      <c r="D2138" t="s">
        <v>1832</v>
      </c>
      <c r="E2138" t="s">
        <v>2071</v>
      </c>
      <c r="F2138" t="s">
        <v>26</v>
      </c>
      <c r="G2138" t="s">
        <v>51</v>
      </c>
      <c r="H2138" t="s">
        <v>38</v>
      </c>
      <c r="I2138" t="s">
        <v>39</v>
      </c>
      <c r="J2138" t="s">
        <v>35</v>
      </c>
      <c r="K2138" s="2">
        <v>4700</v>
      </c>
      <c r="L2138" s="2">
        <v>27000</v>
      </c>
      <c r="M2138">
        <v>60</v>
      </c>
      <c r="N2138" s="3">
        <v>0.20200000000000001</v>
      </c>
      <c r="O2138" t="s">
        <v>16</v>
      </c>
      <c r="Q2138">
        <v>1</v>
      </c>
      <c r="R2138">
        <v>0</v>
      </c>
      <c r="S2138" s="2">
        <v>21500</v>
      </c>
      <c r="T2138" s="4">
        <v>8.14E-2</v>
      </c>
      <c r="U2138">
        <v>4</v>
      </c>
      <c r="V2138">
        <v>1</v>
      </c>
      <c r="W2138">
        <v>1</v>
      </c>
    </row>
    <row r="2139" spans="1:23" ht="16.5" x14ac:dyDescent="0.3">
      <c r="A2139" t="s">
        <v>2202</v>
      </c>
      <c r="B2139" s="1">
        <v>45618</v>
      </c>
      <c r="C2139">
        <v>2024</v>
      </c>
      <c r="D2139" t="s">
        <v>1832</v>
      </c>
      <c r="E2139" t="s">
        <v>2071</v>
      </c>
      <c r="F2139" t="s">
        <v>37</v>
      </c>
      <c r="G2139" t="s">
        <v>27</v>
      </c>
      <c r="H2139" t="s">
        <v>38</v>
      </c>
      <c r="I2139" t="s">
        <v>29</v>
      </c>
      <c r="J2139" t="s">
        <v>52</v>
      </c>
      <c r="K2139" s="2">
        <v>4100</v>
      </c>
      <c r="L2139" s="2">
        <v>7500</v>
      </c>
      <c r="M2139">
        <v>60</v>
      </c>
      <c r="N2139" s="3">
        <v>0.17899999999999999</v>
      </c>
      <c r="O2139" t="s">
        <v>17</v>
      </c>
      <c r="P2139" t="s">
        <v>65</v>
      </c>
      <c r="Q2139">
        <v>0</v>
      </c>
      <c r="R2139">
        <v>1</v>
      </c>
      <c r="S2139" s="2">
        <v>0</v>
      </c>
      <c r="T2139" s="4"/>
      <c r="U2139">
        <v>3</v>
      </c>
      <c r="V2139">
        <v>1</v>
      </c>
      <c r="W2139">
        <v>1</v>
      </c>
    </row>
    <row r="2140" spans="1:23" ht="16.5" x14ac:dyDescent="0.3">
      <c r="A2140" t="s">
        <v>2203</v>
      </c>
      <c r="B2140" s="1">
        <v>45618</v>
      </c>
      <c r="C2140">
        <v>2024</v>
      </c>
      <c r="D2140" t="s">
        <v>1832</v>
      </c>
      <c r="E2140" t="s">
        <v>2071</v>
      </c>
      <c r="F2140" t="s">
        <v>50</v>
      </c>
      <c r="G2140" t="s">
        <v>51</v>
      </c>
      <c r="H2140" t="s">
        <v>64</v>
      </c>
      <c r="I2140" t="s">
        <v>39</v>
      </c>
      <c r="J2140" t="s">
        <v>35</v>
      </c>
      <c r="K2140" s="2">
        <v>5600</v>
      </c>
      <c r="L2140" s="2">
        <v>194500</v>
      </c>
      <c r="M2140">
        <v>240</v>
      </c>
      <c r="N2140" s="3">
        <v>0.39300000000000002</v>
      </c>
      <c r="O2140" t="s">
        <v>16</v>
      </c>
      <c r="Q2140">
        <v>1</v>
      </c>
      <c r="R2140">
        <v>0</v>
      </c>
      <c r="S2140" s="2">
        <v>175000</v>
      </c>
      <c r="T2140" s="4">
        <v>5.9700000000000003E-2</v>
      </c>
      <c r="U2140">
        <v>13</v>
      </c>
      <c r="V2140">
        <v>1</v>
      </c>
      <c r="W2140">
        <v>1</v>
      </c>
    </row>
    <row r="2141" spans="1:23" ht="16.5" x14ac:dyDescent="0.3">
      <c r="A2141" t="s">
        <v>2204</v>
      </c>
      <c r="B2141" s="1">
        <v>45618</v>
      </c>
      <c r="C2141">
        <v>2024</v>
      </c>
      <c r="D2141" t="s">
        <v>1832</v>
      </c>
      <c r="E2141" t="s">
        <v>2071</v>
      </c>
      <c r="F2141" t="s">
        <v>26</v>
      </c>
      <c r="G2141" t="s">
        <v>51</v>
      </c>
      <c r="H2141" t="s">
        <v>28</v>
      </c>
      <c r="I2141" t="s">
        <v>39</v>
      </c>
      <c r="J2141" t="s">
        <v>35</v>
      </c>
      <c r="K2141" s="2">
        <v>2500</v>
      </c>
      <c r="L2141" s="2">
        <v>27500</v>
      </c>
      <c r="M2141">
        <v>36</v>
      </c>
      <c r="N2141" s="3">
        <v>0.56100000000000005</v>
      </c>
      <c r="O2141" t="s">
        <v>17</v>
      </c>
      <c r="P2141" t="s">
        <v>53</v>
      </c>
      <c r="Q2141">
        <v>0</v>
      </c>
      <c r="R2141">
        <v>1</v>
      </c>
      <c r="S2141" s="2">
        <v>0</v>
      </c>
      <c r="T2141" s="4"/>
      <c r="U2141">
        <v>9</v>
      </c>
      <c r="V2141">
        <v>0</v>
      </c>
      <c r="W2141">
        <v>1</v>
      </c>
    </row>
    <row r="2142" spans="1:23" ht="16.5" x14ac:dyDescent="0.3">
      <c r="A2142" t="s">
        <v>2205</v>
      </c>
      <c r="B2142" s="1">
        <v>45618</v>
      </c>
      <c r="C2142">
        <v>2024</v>
      </c>
      <c r="D2142" t="s">
        <v>1832</v>
      </c>
      <c r="E2142" t="s">
        <v>2071</v>
      </c>
      <c r="F2142" t="s">
        <v>41</v>
      </c>
      <c r="G2142" t="s">
        <v>33</v>
      </c>
      <c r="H2142" t="s">
        <v>55</v>
      </c>
      <c r="I2142" t="s">
        <v>29</v>
      </c>
      <c r="J2142" t="s">
        <v>30</v>
      </c>
      <c r="K2142" s="2">
        <v>5050</v>
      </c>
      <c r="L2142" s="2">
        <v>53000</v>
      </c>
      <c r="M2142">
        <v>12</v>
      </c>
      <c r="N2142" s="3">
        <v>1.0229999999999999</v>
      </c>
      <c r="O2142" t="s">
        <v>17</v>
      </c>
      <c r="P2142" t="s">
        <v>53</v>
      </c>
      <c r="Q2142">
        <v>0</v>
      </c>
      <c r="R2142">
        <v>1</v>
      </c>
      <c r="S2142" s="2">
        <v>0</v>
      </c>
      <c r="T2142" s="4"/>
      <c r="U2142">
        <v>6</v>
      </c>
      <c r="V2142">
        <v>1</v>
      </c>
      <c r="W2142">
        <v>1</v>
      </c>
    </row>
    <row r="2143" spans="1:23" ht="16.5" x14ac:dyDescent="0.3">
      <c r="A2143" t="s">
        <v>2206</v>
      </c>
      <c r="B2143" s="1">
        <v>45619</v>
      </c>
      <c r="C2143">
        <v>2024</v>
      </c>
      <c r="D2143" t="s">
        <v>1832</v>
      </c>
      <c r="E2143" t="s">
        <v>2071</v>
      </c>
      <c r="F2143" t="s">
        <v>37</v>
      </c>
      <c r="G2143" t="s">
        <v>27</v>
      </c>
      <c r="H2143" t="s">
        <v>34</v>
      </c>
      <c r="I2143" t="s">
        <v>29</v>
      </c>
      <c r="J2143" t="s">
        <v>35</v>
      </c>
      <c r="K2143" s="2">
        <v>8300</v>
      </c>
      <c r="L2143" s="2">
        <v>12000</v>
      </c>
      <c r="M2143">
        <v>60</v>
      </c>
      <c r="N2143" s="3">
        <v>0.28100000000000003</v>
      </c>
      <c r="O2143" t="s">
        <v>16</v>
      </c>
      <c r="Q2143">
        <v>1</v>
      </c>
      <c r="R2143">
        <v>0</v>
      </c>
      <c r="S2143" s="2">
        <v>11000</v>
      </c>
      <c r="T2143" s="4">
        <v>0.12740000000000001</v>
      </c>
      <c r="U2143">
        <v>2</v>
      </c>
      <c r="V2143">
        <v>1</v>
      </c>
      <c r="W2143">
        <v>1</v>
      </c>
    </row>
    <row r="2144" spans="1:23" ht="16.5" x14ac:dyDescent="0.3">
      <c r="A2144" t="s">
        <v>2207</v>
      </c>
      <c r="B2144" s="1">
        <v>45619</v>
      </c>
      <c r="C2144">
        <v>2024</v>
      </c>
      <c r="D2144" t="s">
        <v>1832</v>
      </c>
      <c r="E2144" t="s">
        <v>2071</v>
      </c>
      <c r="F2144" t="s">
        <v>37</v>
      </c>
      <c r="G2144" t="s">
        <v>51</v>
      </c>
      <c r="H2144" t="s">
        <v>55</v>
      </c>
      <c r="I2144" t="s">
        <v>29</v>
      </c>
      <c r="J2144" t="s">
        <v>35</v>
      </c>
      <c r="K2144" s="2">
        <v>7250</v>
      </c>
      <c r="L2144" s="2">
        <v>14000</v>
      </c>
      <c r="M2144">
        <v>36</v>
      </c>
      <c r="N2144" s="3">
        <v>0.16900000000000001</v>
      </c>
      <c r="O2144" t="s">
        <v>16</v>
      </c>
      <c r="Q2144">
        <v>1</v>
      </c>
      <c r="R2144">
        <v>0</v>
      </c>
      <c r="S2144" s="2">
        <v>11000</v>
      </c>
      <c r="T2144" s="4">
        <v>0.12859999999999999</v>
      </c>
      <c r="U2144">
        <v>4</v>
      </c>
      <c r="V2144">
        <v>0</v>
      </c>
      <c r="W2144">
        <v>1</v>
      </c>
    </row>
    <row r="2145" spans="1:23" ht="16.5" x14ac:dyDescent="0.3">
      <c r="A2145" t="s">
        <v>2208</v>
      </c>
      <c r="B2145" s="1">
        <v>45619</v>
      </c>
      <c r="C2145">
        <v>2024</v>
      </c>
      <c r="D2145" t="s">
        <v>1832</v>
      </c>
      <c r="E2145" t="s">
        <v>2071</v>
      </c>
      <c r="F2145" t="s">
        <v>37</v>
      </c>
      <c r="G2145" t="s">
        <v>27</v>
      </c>
      <c r="H2145" t="s">
        <v>38</v>
      </c>
      <c r="I2145" t="s">
        <v>39</v>
      </c>
      <c r="J2145" t="s">
        <v>35</v>
      </c>
      <c r="K2145" s="2">
        <v>2750</v>
      </c>
      <c r="L2145" s="2">
        <v>9500</v>
      </c>
      <c r="M2145">
        <v>36</v>
      </c>
      <c r="N2145" s="3">
        <v>0.20499999999999999</v>
      </c>
      <c r="O2145" t="s">
        <v>17</v>
      </c>
      <c r="P2145" t="s">
        <v>65</v>
      </c>
      <c r="Q2145">
        <v>0</v>
      </c>
      <c r="R2145">
        <v>1</v>
      </c>
      <c r="S2145" s="2">
        <v>0</v>
      </c>
      <c r="T2145" s="4"/>
      <c r="U2145">
        <v>5</v>
      </c>
      <c r="V2145">
        <v>0</v>
      </c>
      <c r="W2145">
        <v>1</v>
      </c>
    </row>
    <row r="2146" spans="1:23" ht="16.5" x14ac:dyDescent="0.3">
      <c r="A2146" t="s">
        <v>2209</v>
      </c>
      <c r="B2146" s="1">
        <v>45620</v>
      </c>
      <c r="C2146">
        <v>2024</v>
      </c>
      <c r="D2146" t="s">
        <v>1832</v>
      </c>
      <c r="E2146" t="s">
        <v>2071</v>
      </c>
      <c r="F2146" t="s">
        <v>26</v>
      </c>
      <c r="G2146" t="s">
        <v>33</v>
      </c>
      <c r="H2146" t="s">
        <v>55</v>
      </c>
      <c r="I2146" t="s">
        <v>42</v>
      </c>
      <c r="J2146" t="s">
        <v>30</v>
      </c>
      <c r="K2146" s="2">
        <v>5600</v>
      </c>
      <c r="L2146" s="2">
        <v>44000</v>
      </c>
      <c r="M2146">
        <v>36</v>
      </c>
      <c r="N2146" s="3">
        <v>0.35399999999999998</v>
      </c>
      <c r="O2146" t="s">
        <v>17</v>
      </c>
      <c r="P2146" t="s">
        <v>31</v>
      </c>
      <c r="Q2146">
        <v>0</v>
      </c>
      <c r="R2146">
        <v>1</v>
      </c>
      <c r="S2146" s="2">
        <v>0</v>
      </c>
      <c r="T2146" s="4"/>
      <c r="U2146">
        <v>3</v>
      </c>
      <c r="V2146">
        <v>1</v>
      </c>
      <c r="W2146">
        <v>1</v>
      </c>
    </row>
    <row r="2147" spans="1:23" ht="16.5" x14ac:dyDescent="0.3">
      <c r="A2147" t="s">
        <v>2210</v>
      </c>
      <c r="B2147" s="1">
        <v>45621</v>
      </c>
      <c r="C2147">
        <v>2024</v>
      </c>
      <c r="D2147" t="s">
        <v>1832</v>
      </c>
      <c r="E2147" t="s">
        <v>2071</v>
      </c>
      <c r="F2147" t="s">
        <v>41</v>
      </c>
      <c r="G2147" t="s">
        <v>51</v>
      </c>
      <c r="H2147" t="s">
        <v>55</v>
      </c>
      <c r="I2147" t="s">
        <v>42</v>
      </c>
      <c r="J2147" t="s">
        <v>52</v>
      </c>
      <c r="K2147" s="2">
        <v>6700</v>
      </c>
      <c r="L2147" s="2">
        <v>73500</v>
      </c>
      <c r="M2147">
        <v>36</v>
      </c>
      <c r="N2147" s="3">
        <v>0.45100000000000001</v>
      </c>
      <c r="O2147" t="s">
        <v>17</v>
      </c>
      <c r="P2147" t="s">
        <v>53</v>
      </c>
      <c r="Q2147">
        <v>0</v>
      </c>
      <c r="R2147">
        <v>1</v>
      </c>
      <c r="S2147" s="2">
        <v>0</v>
      </c>
      <c r="T2147" s="4"/>
      <c r="U2147">
        <v>20</v>
      </c>
      <c r="V2147">
        <v>0</v>
      </c>
      <c r="W2147">
        <v>1</v>
      </c>
    </row>
    <row r="2148" spans="1:23" ht="16.5" x14ac:dyDescent="0.3">
      <c r="A2148" t="s">
        <v>2211</v>
      </c>
      <c r="B2148" s="1">
        <v>45621</v>
      </c>
      <c r="C2148">
        <v>2024</v>
      </c>
      <c r="D2148" t="s">
        <v>1832</v>
      </c>
      <c r="E2148" t="s">
        <v>2071</v>
      </c>
      <c r="F2148" t="s">
        <v>50</v>
      </c>
      <c r="G2148" t="s">
        <v>51</v>
      </c>
      <c r="H2148" t="s">
        <v>55</v>
      </c>
      <c r="I2148" t="s">
        <v>39</v>
      </c>
      <c r="J2148" t="s">
        <v>43</v>
      </c>
      <c r="K2148" s="2">
        <v>11100</v>
      </c>
      <c r="L2148" s="2">
        <v>480000</v>
      </c>
      <c r="M2148">
        <v>240</v>
      </c>
      <c r="N2148" s="3">
        <v>0.39</v>
      </c>
      <c r="O2148" t="s">
        <v>17</v>
      </c>
      <c r="P2148" t="s">
        <v>65</v>
      </c>
      <c r="Q2148">
        <v>0</v>
      </c>
      <c r="R2148">
        <v>1</v>
      </c>
      <c r="S2148" s="2">
        <v>0</v>
      </c>
      <c r="T2148" s="4"/>
      <c r="U2148">
        <v>19</v>
      </c>
      <c r="V2148">
        <v>0</v>
      </c>
      <c r="W2148">
        <v>1</v>
      </c>
    </row>
    <row r="2149" spans="1:23" ht="16.5" x14ac:dyDescent="0.3">
      <c r="A2149" t="s">
        <v>2212</v>
      </c>
      <c r="B2149" s="1">
        <v>45621</v>
      </c>
      <c r="C2149">
        <v>2024</v>
      </c>
      <c r="D2149" t="s">
        <v>1832</v>
      </c>
      <c r="E2149" t="s">
        <v>2071</v>
      </c>
      <c r="F2149" t="s">
        <v>37</v>
      </c>
      <c r="G2149" t="s">
        <v>51</v>
      </c>
      <c r="H2149" t="s">
        <v>28</v>
      </c>
      <c r="I2149" t="s">
        <v>39</v>
      </c>
      <c r="J2149" t="s">
        <v>30</v>
      </c>
      <c r="K2149" s="2">
        <v>5750</v>
      </c>
      <c r="L2149" s="2">
        <v>13000</v>
      </c>
      <c r="M2149">
        <v>24</v>
      </c>
      <c r="N2149" s="3">
        <v>0.35499999999999998</v>
      </c>
      <c r="O2149" t="s">
        <v>16</v>
      </c>
      <c r="Q2149">
        <v>1</v>
      </c>
      <c r="R2149">
        <v>0</v>
      </c>
      <c r="S2149" s="2">
        <v>13000</v>
      </c>
      <c r="T2149" s="4">
        <v>0.14560000000000001</v>
      </c>
      <c r="U2149">
        <v>4</v>
      </c>
      <c r="V2149">
        <v>0</v>
      </c>
      <c r="W2149">
        <v>1</v>
      </c>
    </row>
    <row r="2150" spans="1:23" ht="16.5" x14ac:dyDescent="0.3">
      <c r="A2150" t="s">
        <v>2213</v>
      </c>
      <c r="B2150" s="1">
        <v>45621</v>
      </c>
      <c r="C2150">
        <v>2024</v>
      </c>
      <c r="D2150" t="s">
        <v>1832</v>
      </c>
      <c r="E2150" t="s">
        <v>2071</v>
      </c>
      <c r="F2150" t="s">
        <v>26</v>
      </c>
      <c r="G2150" t="s">
        <v>45</v>
      </c>
      <c r="H2150" t="s">
        <v>38</v>
      </c>
      <c r="I2150" t="s">
        <v>29</v>
      </c>
      <c r="J2150" t="s">
        <v>35</v>
      </c>
      <c r="K2150" s="2">
        <v>9850</v>
      </c>
      <c r="L2150" s="2">
        <v>30000</v>
      </c>
      <c r="M2150">
        <v>36</v>
      </c>
      <c r="N2150" s="3">
        <v>0.308</v>
      </c>
      <c r="O2150" t="s">
        <v>16</v>
      </c>
      <c r="Q2150">
        <v>1</v>
      </c>
      <c r="R2150">
        <v>0</v>
      </c>
      <c r="S2150" s="2">
        <v>30000</v>
      </c>
      <c r="T2150" s="4">
        <v>8.3400000000000002E-2</v>
      </c>
      <c r="U2150">
        <v>5</v>
      </c>
      <c r="V2150">
        <v>0</v>
      </c>
      <c r="W2150">
        <v>1</v>
      </c>
    </row>
    <row r="2151" spans="1:23" ht="16.5" x14ac:dyDescent="0.3">
      <c r="A2151" t="s">
        <v>2214</v>
      </c>
      <c r="B2151" s="1">
        <v>45621</v>
      </c>
      <c r="C2151">
        <v>2024</v>
      </c>
      <c r="D2151" t="s">
        <v>1832</v>
      </c>
      <c r="E2151" t="s">
        <v>2071</v>
      </c>
      <c r="F2151" t="s">
        <v>41</v>
      </c>
      <c r="G2151" t="s">
        <v>51</v>
      </c>
      <c r="H2151" t="s">
        <v>64</v>
      </c>
      <c r="I2151" t="s">
        <v>42</v>
      </c>
      <c r="J2151" t="s">
        <v>35</v>
      </c>
      <c r="K2151" s="2">
        <v>6550</v>
      </c>
      <c r="L2151" s="2">
        <v>119500</v>
      </c>
      <c r="M2151">
        <v>12</v>
      </c>
      <c r="N2151" s="3">
        <v>1.6919999999999999</v>
      </c>
      <c r="O2151" t="s">
        <v>17</v>
      </c>
      <c r="P2151" t="s">
        <v>53</v>
      </c>
      <c r="Q2151">
        <v>0</v>
      </c>
      <c r="R2151">
        <v>1</v>
      </c>
      <c r="S2151" s="2">
        <v>0</v>
      </c>
      <c r="T2151" s="4"/>
      <c r="U2151">
        <v>11</v>
      </c>
      <c r="V2151">
        <v>0</v>
      </c>
      <c r="W2151">
        <v>1</v>
      </c>
    </row>
    <row r="2152" spans="1:23" ht="16.5" x14ac:dyDescent="0.3">
      <c r="A2152" t="s">
        <v>2215</v>
      </c>
      <c r="B2152" s="1">
        <v>45621</v>
      </c>
      <c r="C2152">
        <v>2024</v>
      </c>
      <c r="D2152" t="s">
        <v>1832</v>
      </c>
      <c r="E2152" t="s">
        <v>2071</v>
      </c>
      <c r="F2152" t="s">
        <v>26</v>
      </c>
      <c r="G2152" t="s">
        <v>33</v>
      </c>
      <c r="H2152" t="s">
        <v>64</v>
      </c>
      <c r="I2152" t="s">
        <v>29</v>
      </c>
      <c r="J2152" t="s">
        <v>30</v>
      </c>
      <c r="K2152" s="2">
        <v>5700</v>
      </c>
      <c r="L2152" s="2">
        <v>30500</v>
      </c>
      <c r="M2152">
        <v>60</v>
      </c>
      <c r="N2152" s="3">
        <v>0.35199999999999998</v>
      </c>
      <c r="O2152" t="s">
        <v>17</v>
      </c>
      <c r="P2152" t="s">
        <v>31</v>
      </c>
      <c r="Q2152">
        <v>0</v>
      </c>
      <c r="R2152">
        <v>1</v>
      </c>
      <c r="S2152" s="2">
        <v>0</v>
      </c>
      <c r="T2152" s="4"/>
      <c r="U2152">
        <v>2</v>
      </c>
      <c r="V2152">
        <v>1</v>
      </c>
      <c r="W2152">
        <v>1</v>
      </c>
    </row>
    <row r="2153" spans="1:23" ht="16.5" x14ac:dyDescent="0.3">
      <c r="A2153" t="s">
        <v>2216</v>
      </c>
      <c r="B2153" s="1">
        <v>45621</v>
      </c>
      <c r="C2153">
        <v>2024</v>
      </c>
      <c r="D2153" t="s">
        <v>1832</v>
      </c>
      <c r="E2153" t="s">
        <v>2071</v>
      </c>
      <c r="F2153" t="s">
        <v>37</v>
      </c>
      <c r="G2153" t="s">
        <v>51</v>
      </c>
      <c r="H2153" t="s">
        <v>34</v>
      </c>
      <c r="I2153" t="s">
        <v>42</v>
      </c>
      <c r="J2153" t="s">
        <v>43</v>
      </c>
      <c r="K2153" s="2">
        <v>8250</v>
      </c>
      <c r="L2153" s="2">
        <v>17000</v>
      </c>
      <c r="M2153">
        <v>24</v>
      </c>
      <c r="N2153" s="3">
        <v>0.151</v>
      </c>
      <c r="O2153" t="s">
        <v>17</v>
      </c>
      <c r="P2153" t="s">
        <v>31</v>
      </c>
      <c r="Q2153">
        <v>0</v>
      </c>
      <c r="R2153">
        <v>1</v>
      </c>
      <c r="S2153" s="2">
        <v>0</v>
      </c>
      <c r="T2153" s="4"/>
      <c r="U2153">
        <v>4</v>
      </c>
      <c r="V2153">
        <v>0</v>
      </c>
      <c r="W2153">
        <v>1</v>
      </c>
    </row>
    <row r="2154" spans="1:23" ht="16.5" x14ac:dyDescent="0.3">
      <c r="A2154" t="s">
        <v>2217</v>
      </c>
      <c r="B2154" s="1">
        <v>45621</v>
      </c>
      <c r="C2154">
        <v>2024</v>
      </c>
      <c r="D2154" t="s">
        <v>1832</v>
      </c>
      <c r="E2154" t="s">
        <v>2071</v>
      </c>
      <c r="F2154" t="s">
        <v>26</v>
      </c>
      <c r="G2154" t="s">
        <v>51</v>
      </c>
      <c r="H2154" t="s">
        <v>38</v>
      </c>
      <c r="I2154" t="s">
        <v>39</v>
      </c>
      <c r="J2154" t="s">
        <v>35</v>
      </c>
      <c r="K2154" s="2">
        <v>6300</v>
      </c>
      <c r="L2154" s="2">
        <v>21500</v>
      </c>
      <c r="M2154">
        <v>48</v>
      </c>
      <c r="N2154" s="3">
        <v>0.25900000000000001</v>
      </c>
      <c r="O2154" t="s">
        <v>16</v>
      </c>
      <c r="Q2154">
        <v>1</v>
      </c>
      <c r="R2154">
        <v>0</v>
      </c>
      <c r="S2154" s="2">
        <v>17000</v>
      </c>
      <c r="T2154" s="4">
        <v>8.0600000000000005E-2</v>
      </c>
      <c r="U2154">
        <v>7</v>
      </c>
      <c r="V2154">
        <v>0</v>
      </c>
      <c r="W2154">
        <v>1</v>
      </c>
    </row>
    <row r="2155" spans="1:23" ht="16.5" x14ac:dyDescent="0.3">
      <c r="A2155" t="s">
        <v>2218</v>
      </c>
      <c r="B2155" s="1">
        <v>45621</v>
      </c>
      <c r="C2155">
        <v>2024</v>
      </c>
      <c r="D2155" t="s">
        <v>1832</v>
      </c>
      <c r="E2155" t="s">
        <v>2071</v>
      </c>
      <c r="F2155" t="s">
        <v>37</v>
      </c>
      <c r="G2155" t="s">
        <v>51</v>
      </c>
      <c r="H2155" t="s">
        <v>38</v>
      </c>
      <c r="I2155" t="s">
        <v>29</v>
      </c>
      <c r="J2155" t="s">
        <v>46</v>
      </c>
      <c r="K2155" s="2">
        <v>3450</v>
      </c>
      <c r="L2155" s="2">
        <v>24000</v>
      </c>
      <c r="M2155">
        <v>60</v>
      </c>
      <c r="N2155" s="3">
        <v>0.36799999999999999</v>
      </c>
      <c r="O2155" t="s">
        <v>16</v>
      </c>
      <c r="Q2155">
        <v>1</v>
      </c>
      <c r="R2155">
        <v>0</v>
      </c>
      <c r="S2155" s="2">
        <v>19000</v>
      </c>
      <c r="T2155" s="4">
        <v>0.108</v>
      </c>
      <c r="U2155">
        <v>4</v>
      </c>
      <c r="V2155">
        <v>0</v>
      </c>
      <c r="W2155">
        <v>1</v>
      </c>
    </row>
    <row r="2156" spans="1:23" ht="16.5" x14ac:dyDescent="0.3">
      <c r="A2156" t="s">
        <v>2219</v>
      </c>
      <c r="B2156" s="1">
        <v>45621</v>
      </c>
      <c r="C2156">
        <v>2024</v>
      </c>
      <c r="D2156" t="s">
        <v>1832</v>
      </c>
      <c r="E2156" t="s">
        <v>2071</v>
      </c>
      <c r="F2156" t="s">
        <v>50</v>
      </c>
      <c r="G2156" t="s">
        <v>51</v>
      </c>
      <c r="H2156" t="s">
        <v>28</v>
      </c>
      <c r="I2156" t="s">
        <v>42</v>
      </c>
      <c r="J2156" t="s">
        <v>35</v>
      </c>
      <c r="K2156" s="2">
        <v>6200</v>
      </c>
      <c r="L2156" s="2">
        <v>263500</v>
      </c>
      <c r="M2156">
        <v>180</v>
      </c>
      <c r="N2156" s="3">
        <v>0.42899999999999999</v>
      </c>
      <c r="O2156" t="s">
        <v>17</v>
      </c>
      <c r="P2156" t="s">
        <v>60</v>
      </c>
      <c r="Q2156">
        <v>0</v>
      </c>
      <c r="R2156">
        <v>1</v>
      </c>
      <c r="S2156" s="2">
        <v>0</v>
      </c>
      <c r="T2156" s="4"/>
      <c r="U2156">
        <v>43</v>
      </c>
      <c r="V2156">
        <v>0</v>
      </c>
      <c r="W2156">
        <v>1</v>
      </c>
    </row>
    <row r="2157" spans="1:23" ht="16.5" x14ac:dyDescent="0.3">
      <c r="A2157" t="s">
        <v>2220</v>
      </c>
      <c r="B2157" s="1">
        <v>45621</v>
      </c>
      <c r="C2157">
        <v>2024</v>
      </c>
      <c r="D2157" t="s">
        <v>1832</v>
      </c>
      <c r="E2157" t="s">
        <v>2071</v>
      </c>
      <c r="F2157" t="s">
        <v>26</v>
      </c>
      <c r="G2157" t="s">
        <v>51</v>
      </c>
      <c r="H2157" t="s">
        <v>38</v>
      </c>
      <c r="I2157" t="s">
        <v>39</v>
      </c>
      <c r="J2157" t="s">
        <v>35</v>
      </c>
      <c r="K2157" s="2">
        <v>3200</v>
      </c>
      <c r="L2157" s="2">
        <v>33000</v>
      </c>
      <c r="M2157">
        <v>60</v>
      </c>
      <c r="N2157" s="3">
        <v>0.443</v>
      </c>
      <c r="O2157" t="s">
        <v>16</v>
      </c>
      <c r="Q2157">
        <v>1</v>
      </c>
      <c r="R2157">
        <v>0</v>
      </c>
      <c r="S2157" s="2">
        <v>26500</v>
      </c>
      <c r="T2157" s="4">
        <v>8.3000000000000004E-2</v>
      </c>
      <c r="U2157">
        <v>6</v>
      </c>
      <c r="V2157">
        <v>0</v>
      </c>
      <c r="W2157">
        <v>1</v>
      </c>
    </row>
    <row r="2158" spans="1:23" ht="16.5" x14ac:dyDescent="0.3">
      <c r="A2158" t="s">
        <v>2221</v>
      </c>
      <c r="B2158" s="1">
        <v>45621</v>
      </c>
      <c r="C2158">
        <v>2024</v>
      </c>
      <c r="D2158" t="s">
        <v>1832</v>
      </c>
      <c r="E2158" t="s">
        <v>2071</v>
      </c>
      <c r="F2158" t="s">
        <v>37</v>
      </c>
      <c r="G2158" t="s">
        <v>51</v>
      </c>
      <c r="H2158" t="s">
        <v>38</v>
      </c>
      <c r="I2158" t="s">
        <v>29</v>
      </c>
      <c r="J2158" t="s">
        <v>46</v>
      </c>
      <c r="K2158" s="2">
        <v>3300</v>
      </c>
      <c r="L2158" s="2">
        <v>8000</v>
      </c>
      <c r="M2158">
        <v>36</v>
      </c>
      <c r="N2158" s="3">
        <v>0.184</v>
      </c>
      <c r="O2158" t="s">
        <v>16</v>
      </c>
      <c r="Q2158">
        <v>1</v>
      </c>
      <c r="R2158">
        <v>0</v>
      </c>
      <c r="S2158" s="2">
        <v>8000</v>
      </c>
      <c r="T2158" s="4">
        <v>0.1096</v>
      </c>
      <c r="U2158">
        <v>4</v>
      </c>
      <c r="V2158">
        <v>0</v>
      </c>
      <c r="W2158">
        <v>1</v>
      </c>
    </row>
    <row r="2159" spans="1:23" ht="16.5" x14ac:dyDescent="0.3">
      <c r="A2159" t="s">
        <v>2222</v>
      </c>
      <c r="B2159" s="1">
        <v>45621</v>
      </c>
      <c r="C2159">
        <v>2024</v>
      </c>
      <c r="D2159" t="s">
        <v>1832</v>
      </c>
      <c r="E2159" t="s">
        <v>2071</v>
      </c>
      <c r="F2159" t="s">
        <v>37</v>
      </c>
      <c r="G2159" t="s">
        <v>51</v>
      </c>
      <c r="H2159" t="s">
        <v>55</v>
      </c>
      <c r="I2159" t="s">
        <v>42</v>
      </c>
      <c r="J2159" t="s">
        <v>52</v>
      </c>
      <c r="K2159" s="2">
        <v>7900</v>
      </c>
      <c r="L2159" s="2">
        <v>5500</v>
      </c>
      <c r="M2159">
        <v>36</v>
      </c>
      <c r="N2159" s="3">
        <v>0.121</v>
      </c>
      <c r="O2159" t="s">
        <v>17</v>
      </c>
      <c r="P2159" t="s">
        <v>31</v>
      </c>
      <c r="Q2159">
        <v>0</v>
      </c>
      <c r="R2159">
        <v>1</v>
      </c>
      <c r="S2159" s="2">
        <v>0</v>
      </c>
      <c r="T2159" s="4"/>
      <c r="U2159">
        <v>2</v>
      </c>
      <c r="V2159">
        <v>1</v>
      </c>
      <c r="W2159">
        <v>1</v>
      </c>
    </row>
    <row r="2160" spans="1:23" ht="16.5" x14ac:dyDescent="0.3">
      <c r="A2160" t="s">
        <v>2223</v>
      </c>
      <c r="B2160" s="1">
        <v>45622</v>
      </c>
      <c r="C2160">
        <v>2024</v>
      </c>
      <c r="D2160" t="s">
        <v>1832</v>
      </c>
      <c r="E2160" t="s">
        <v>2071</v>
      </c>
      <c r="F2160" t="s">
        <v>50</v>
      </c>
      <c r="G2160" t="s">
        <v>51</v>
      </c>
      <c r="H2160" t="s">
        <v>28</v>
      </c>
      <c r="I2160" t="s">
        <v>29</v>
      </c>
      <c r="J2160" t="s">
        <v>35</v>
      </c>
      <c r="K2160" s="2">
        <v>6950</v>
      </c>
      <c r="L2160" s="2">
        <v>271500</v>
      </c>
      <c r="M2160">
        <v>180</v>
      </c>
      <c r="N2160" s="3">
        <v>0.55200000000000005</v>
      </c>
      <c r="O2160" t="s">
        <v>16</v>
      </c>
      <c r="Q2160">
        <v>1</v>
      </c>
      <c r="R2160">
        <v>0</v>
      </c>
      <c r="S2160" s="2">
        <v>244500</v>
      </c>
      <c r="T2160" s="4">
        <v>5.96E-2</v>
      </c>
      <c r="U2160">
        <v>38</v>
      </c>
      <c r="V2160">
        <v>0</v>
      </c>
      <c r="W2160">
        <v>1</v>
      </c>
    </row>
    <row r="2161" spans="1:23" ht="16.5" x14ac:dyDescent="0.3">
      <c r="A2161" t="s">
        <v>2224</v>
      </c>
      <c r="B2161" s="1">
        <v>45622</v>
      </c>
      <c r="C2161">
        <v>2024</v>
      </c>
      <c r="D2161" t="s">
        <v>1832</v>
      </c>
      <c r="E2161" t="s">
        <v>2071</v>
      </c>
      <c r="F2161" t="s">
        <v>26</v>
      </c>
      <c r="G2161" t="s">
        <v>51</v>
      </c>
      <c r="H2161" t="s">
        <v>34</v>
      </c>
      <c r="I2161" t="s">
        <v>29</v>
      </c>
      <c r="J2161" t="s">
        <v>35</v>
      </c>
      <c r="K2161" s="2">
        <v>6600</v>
      </c>
      <c r="L2161" s="2">
        <v>36500</v>
      </c>
      <c r="M2161">
        <v>60</v>
      </c>
      <c r="N2161" s="3">
        <v>0.27600000000000002</v>
      </c>
      <c r="O2161" t="s">
        <v>16</v>
      </c>
      <c r="Q2161">
        <v>1</v>
      </c>
      <c r="R2161">
        <v>0</v>
      </c>
      <c r="S2161" s="2">
        <v>36500</v>
      </c>
      <c r="T2161" s="4">
        <v>8.3199999999999996E-2</v>
      </c>
      <c r="U2161">
        <v>4</v>
      </c>
      <c r="V2161">
        <v>1</v>
      </c>
      <c r="W2161">
        <v>1</v>
      </c>
    </row>
    <row r="2162" spans="1:23" ht="16.5" x14ac:dyDescent="0.3">
      <c r="A2162" t="s">
        <v>2225</v>
      </c>
      <c r="B2162" s="1">
        <v>45622</v>
      </c>
      <c r="C2162">
        <v>2024</v>
      </c>
      <c r="D2162" t="s">
        <v>1832</v>
      </c>
      <c r="E2162" t="s">
        <v>2071</v>
      </c>
      <c r="F2162" t="s">
        <v>50</v>
      </c>
      <c r="G2162" t="s">
        <v>51</v>
      </c>
      <c r="H2162" t="s">
        <v>55</v>
      </c>
      <c r="I2162" t="s">
        <v>29</v>
      </c>
      <c r="J2162" t="s">
        <v>35</v>
      </c>
      <c r="K2162" s="2">
        <v>6300</v>
      </c>
      <c r="L2162" s="2">
        <v>545500</v>
      </c>
      <c r="M2162">
        <v>240</v>
      </c>
      <c r="N2162" s="3">
        <v>0.72799999999999998</v>
      </c>
      <c r="O2162" t="s">
        <v>17</v>
      </c>
      <c r="P2162" t="s">
        <v>53</v>
      </c>
      <c r="Q2162">
        <v>0</v>
      </c>
      <c r="R2162">
        <v>1</v>
      </c>
      <c r="S2162" s="2">
        <v>0</v>
      </c>
      <c r="T2162" s="4"/>
      <c r="U2162">
        <v>14</v>
      </c>
      <c r="V2162">
        <v>1</v>
      </c>
      <c r="W2162">
        <v>1</v>
      </c>
    </row>
    <row r="2163" spans="1:23" ht="16.5" x14ac:dyDescent="0.3">
      <c r="A2163" t="s">
        <v>2226</v>
      </c>
      <c r="B2163" s="1">
        <v>45622</v>
      </c>
      <c r="C2163">
        <v>2024</v>
      </c>
      <c r="D2163" t="s">
        <v>1832</v>
      </c>
      <c r="E2163" t="s">
        <v>2071</v>
      </c>
      <c r="F2163" t="s">
        <v>26</v>
      </c>
      <c r="G2163" t="s">
        <v>45</v>
      </c>
      <c r="H2163" t="s">
        <v>28</v>
      </c>
      <c r="I2163" t="s">
        <v>29</v>
      </c>
      <c r="J2163" t="s">
        <v>46</v>
      </c>
      <c r="K2163" s="2">
        <v>1850</v>
      </c>
      <c r="L2163" s="2">
        <v>17500</v>
      </c>
      <c r="M2163">
        <v>60</v>
      </c>
      <c r="N2163" s="3">
        <v>0.38600000000000001</v>
      </c>
      <c r="O2163" t="s">
        <v>16</v>
      </c>
      <c r="Q2163">
        <v>1</v>
      </c>
      <c r="R2163">
        <v>0</v>
      </c>
      <c r="S2163" s="2">
        <v>16000</v>
      </c>
      <c r="T2163" s="4">
        <v>7.3999999999999996E-2</v>
      </c>
      <c r="U2163">
        <v>1</v>
      </c>
      <c r="V2163">
        <v>1</v>
      </c>
      <c r="W2163">
        <v>1</v>
      </c>
    </row>
    <row r="2164" spans="1:23" ht="16.5" x14ac:dyDescent="0.3">
      <c r="A2164" t="s">
        <v>2227</v>
      </c>
      <c r="B2164" s="1">
        <v>45622</v>
      </c>
      <c r="C2164">
        <v>2024</v>
      </c>
      <c r="D2164" t="s">
        <v>1832</v>
      </c>
      <c r="E2164" t="s">
        <v>2071</v>
      </c>
      <c r="F2164" t="s">
        <v>26</v>
      </c>
      <c r="G2164" t="s">
        <v>27</v>
      </c>
      <c r="H2164" t="s">
        <v>38</v>
      </c>
      <c r="I2164" t="s">
        <v>29</v>
      </c>
      <c r="J2164" t="s">
        <v>30</v>
      </c>
      <c r="K2164" s="2">
        <v>6650</v>
      </c>
      <c r="L2164" s="2">
        <v>34500</v>
      </c>
      <c r="M2164">
        <v>48</v>
      </c>
      <c r="N2164" s="3">
        <v>0.192</v>
      </c>
      <c r="O2164" t="s">
        <v>16</v>
      </c>
      <c r="Q2164">
        <v>1</v>
      </c>
      <c r="R2164">
        <v>0</v>
      </c>
      <c r="S2164" s="2">
        <v>31000</v>
      </c>
      <c r="T2164" s="4">
        <v>9.8100000000000007E-2</v>
      </c>
      <c r="U2164">
        <v>8</v>
      </c>
      <c r="V2164">
        <v>0</v>
      </c>
      <c r="W2164">
        <v>1</v>
      </c>
    </row>
    <row r="2165" spans="1:23" ht="16.5" x14ac:dyDescent="0.3">
      <c r="A2165" t="s">
        <v>2228</v>
      </c>
      <c r="B2165" s="1">
        <v>45622</v>
      </c>
      <c r="C2165">
        <v>2024</v>
      </c>
      <c r="D2165" t="s">
        <v>1832</v>
      </c>
      <c r="E2165" t="s">
        <v>2071</v>
      </c>
      <c r="F2165" t="s">
        <v>37</v>
      </c>
      <c r="G2165" t="s">
        <v>45</v>
      </c>
      <c r="H2165" t="s">
        <v>38</v>
      </c>
      <c r="I2165" t="s">
        <v>29</v>
      </c>
      <c r="J2165" t="s">
        <v>46</v>
      </c>
      <c r="K2165" s="2">
        <v>4250</v>
      </c>
      <c r="L2165" s="2">
        <v>8000</v>
      </c>
      <c r="M2165">
        <v>24</v>
      </c>
      <c r="N2165" s="3">
        <v>0.20100000000000001</v>
      </c>
      <c r="O2165" t="s">
        <v>16</v>
      </c>
      <c r="Q2165">
        <v>1</v>
      </c>
      <c r="R2165">
        <v>0</v>
      </c>
      <c r="S2165" s="2">
        <v>8000</v>
      </c>
      <c r="T2165" s="4">
        <v>0.10349999999999999</v>
      </c>
      <c r="U2165">
        <v>2</v>
      </c>
      <c r="V2165">
        <v>1</v>
      </c>
      <c r="W2165">
        <v>1</v>
      </c>
    </row>
    <row r="2166" spans="1:23" ht="16.5" x14ac:dyDescent="0.3">
      <c r="A2166" t="s">
        <v>2229</v>
      </c>
      <c r="B2166" s="1">
        <v>45622</v>
      </c>
      <c r="C2166">
        <v>2024</v>
      </c>
      <c r="D2166" t="s">
        <v>1832</v>
      </c>
      <c r="E2166" t="s">
        <v>2071</v>
      </c>
      <c r="F2166" t="s">
        <v>26</v>
      </c>
      <c r="G2166" t="s">
        <v>51</v>
      </c>
      <c r="H2166" t="s">
        <v>55</v>
      </c>
      <c r="I2166" t="s">
        <v>39</v>
      </c>
      <c r="J2166" t="s">
        <v>46</v>
      </c>
      <c r="K2166" s="2">
        <v>5000</v>
      </c>
      <c r="L2166" s="2">
        <v>29500</v>
      </c>
      <c r="M2166">
        <v>48</v>
      </c>
      <c r="N2166" s="3">
        <v>0.25600000000000001</v>
      </c>
      <c r="O2166" t="s">
        <v>17</v>
      </c>
      <c r="P2166" t="s">
        <v>60</v>
      </c>
      <c r="Q2166">
        <v>0</v>
      </c>
      <c r="R2166">
        <v>1</v>
      </c>
      <c r="S2166" s="2">
        <v>0</v>
      </c>
      <c r="T2166" s="4"/>
      <c r="U2166">
        <v>12</v>
      </c>
      <c r="V2166">
        <v>0</v>
      </c>
      <c r="W2166">
        <v>1</v>
      </c>
    </row>
    <row r="2167" spans="1:23" ht="16.5" x14ac:dyDescent="0.3">
      <c r="A2167" t="s">
        <v>2230</v>
      </c>
      <c r="B2167" s="1">
        <v>45623</v>
      </c>
      <c r="C2167">
        <v>2024</v>
      </c>
      <c r="D2167" t="s">
        <v>1832</v>
      </c>
      <c r="E2167" t="s">
        <v>2071</v>
      </c>
      <c r="F2167" t="s">
        <v>41</v>
      </c>
      <c r="G2167" t="s">
        <v>45</v>
      </c>
      <c r="H2167" t="s">
        <v>34</v>
      </c>
      <c r="I2167" t="s">
        <v>42</v>
      </c>
      <c r="J2167" t="s">
        <v>43</v>
      </c>
      <c r="K2167" s="2">
        <v>7850</v>
      </c>
      <c r="L2167" s="2">
        <v>61000</v>
      </c>
      <c r="M2167">
        <v>24</v>
      </c>
      <c r="N2167" s="3">
        <v>0.57599999999999996</v>
      </c>
      <c r="O2167" t="s">
        <v>17</v>
      </c>
      <c r="P2167" t="s">
        <v>31</v>
      </c>
      <c r="Q2167">
        <v>0</v>
      </c>
      <c r="R2167">
        <v>1</v>
      </c>
      <c r="S2167" s="2">
        <v>0</v>
      </c>
      <c r="T2167" s="4"/>
      <c r="U2167">
        <v>5</v>
      </c>
      <c r="V2167">
        <v>1</v>
      </c>
      <c r="W2167">
        <v>1</v>
      </c>
    </row>
    <row r="2168" spans="1:23" ht="16.5" x14ac:dyDescent="0.3">
      <c r="A2168" t="s">
        <v>2231</v>
      </c>
      <c r="B2168" s="1">
        <v>45623</v>
      </c>
      <c r="C2168">
        <v>2024</v>
      </c>
      <c r="D2168" t="s">
        <v>1832</v>
      </c>
      <c r="E2168" t="s">
        <v>2071</v>
      </c>
      <c r="F2168" t="s">
        <v>37</v>
      </c>
      <c r="G2168" t="s">
        <v>33</v>
      </c>
      <c r="H2168" t="s">
        <v>38</v>
      </c>
      <c r="I2168" t="s">
        <v>29</v>
      </c>
      <c r="J2168" t="s">
        <v>35</v>
      </c>
      <c r="K2168" s="2">
        <v>5500</v>
      </c>
      <c r="L2168" s="2">
        <v>9500</v>
      </c>
      <c r="M2168">
        <v>12</v>
      </c>
      <c r="N2168" s="3">
        <v>0.26500000000000001</v>
      </c>
      <c r="O2168" t="s">
        <v>17</v>
      </c>
      <c r="P2168" t="s">
        <v>65</v>
      </c>
      <c r="Q2168">
        <v>0</v>
      </c>
      <c r="R2168">
        <v>1</v>
      </c>
      <c r="S2168" s="2">
        <v>0</v>
      </c>
      <c r="T2168" s="4"/>
      <c r="U2168">
        <v>1</v>
      </c>
      <c r="V2168">
        <v>1</v>
      </c>
      <c r="W2168">
        <v>1</v>
      </c>
    </row>
    <row r="2169" spans="1:23" ht="16.5" x14ac:dyDescent="0.3">
      <c r="A2169" t="s">
        <v>2232</v>
      </c>
      <c r="B2169" s="1">
        <v>45623</v>
      </c>
      <c r="C2169">
        <v>2024</v>
      </c>
      <c r="D2169" t="s">
        <v>1832</v>
      </c>
      <c r="E2169" t="s">
        <v>2071</v>
      </c>
      <c r="F2169" t="s">
        <v>26</v>
      </c>
      <c r="G2169" t="s">
        <v>51</v>
      </c>
      <c r="H2169" t="s">
        <v>38</v>
      </c>
      <c r="I2169" t="s">
        <v>29</v>
      </c>
      <c r="J2169" t="s">
        <v>30</v>
      </c>
      <c r="K2169" s="2">
        <v>8100</v>
      </c>
      <c r="L2169" s="2">
        <v>41500</v>
      </c>
      <c r="M2169">
        <v>48</v>
      </c>
      <c r="N2169" s="3">
        <v>0.36499999999999999</v>
      </c>
      <c r="O2169" t="s">
        <v>125</v>
      </c>
      <c r="Q2169">
        <v>0</v>
      </c>
      <c r="R2169">
        <v>0</v>
      </c>
      <c r="S2169" s="2">
        <v>0</v>
      </c>
      <c r="T2169" s="4"/>
      <c r="U2169">
        <v>7</v>
      </c>
      <c r="V2169">
        <v>0</v>
      </c>
      <c r="W2169">
        <v>1</v>
      </c>
    </row>
    <row r="2170" spans="1:23" ht="16.5" x14ac:dyDescent="0.3">
      <c r="A2170" t="s">
        <v>2233</v>
      </c>
      <c r="B2170" s="1">
        <v>45623</v>
      </c>
      <c r="C2170">
        <v>2024</v>
      </c>
      <c r="D2170" t="s">
        <v>1832</v>
      </c>
      <c r="E2170" t="s">
        <v>2071</v>
      </c>
      <c r="F2170" t="s">
        <v>26</v>
      </c>
      <c r="G2170" t="s">
        <v>33</v>
      </c>
      <c r="H2170" t="s">
        <v>28</v>
      </c>
      <c r="I2170" t="s">
        <v>42</v>
      </c>
      <c r="J2170" t="s">
        <v>30</v>
      </c>
      <c r="K2170" s="2">
        <v>14350</v>
      </c>
      <c r="L2170" s="2">
        <v>38000</v>
      </c>
      <c r="M2170">
        <v>60</v>
      </c>
      <c r="N2170" s="3">
        <v>0.28199999999999997</v>
      </c>
      <c r="O2170" t="s">
        <v>17</v>
      </c>
      <c r="P2170" t="s">
        <v>31</v>
      </c>
      <c r="Q2170">
        <v>0</v>
      </c>
      <c r="R2170">
        <v>1</v>
      </c>
      <c r="S2170" s="2">
        <v>0</v>
      </c>
      <c r="T2170" s="4"/>
      <c r="U2170">
        <v>4</v>
      </c>
      <c r="V2170">
        <v>1</v>
      </c>
      <c r="W2170">
        <v>1</v>
      </c>
    </row>
    <row r="2171" spans="1:23" ht="16.5" x14ac:dyDescent="0.3">
      <c r="A2171" t="s">
        <v>2234</v>
      </c>
      <c r="B2171" s="1">
        <v>45623</v>
      </c>
      <c r="C2171">
        <v>2024</v>
      </c>
      <c r="D2171" t="s">
        <v>1832</v>
      </c>
      <c r="E2171" t="s">
        <v>2071</v>
      </c>
      <c r="F2171" t="s">
        <v>41</v>
      </c>
      <c r="G2171" t="s">
        <v>51</v>
      </c>
      <c r="H2171" t="s">
        <v>55</v>
      </c>
      <c r="I2171" t="s">
        <v>29</v>
      </c>
      <c r="J2171" t="s">
        <v>52</v>
      </c>
      <c r="K2171" s="2">
        <v>6350</v>
      </c>
      <c r="L2171" s="2">
        <v>53000</v>
      </c>
      <c r="M2171">
        <v>12</v>
      </c>
      <c r="N2171" s="3">
        <v>0.94199999999999995</v>
      </c>
      <c r="O2171" t="s">
        <v>16</v>
      </c>
      <c r="Q2171">
        <v>1</v>
      </c>
      <c r="R2171">
        <v>0</v>
      </c>
      <c r="S2171" s="2">
        <v>47500</v>
      </c>
      <c r="T2171" s="4">
        <v>0.10340000000000001</v>
      </c>
      <c r="U2171">
        <v>11</v>
      </c>
      <c r="V2171">
        <v>0</v>
      </c>
      <c r="W2171">
        <v>1</v>
      </c>
    </row>
    <row r="2172" spans="1:23" ht="16.5" x14ac:dyDescent="0.3">
      <c r="A2172" t="s">
        <v>2235</v>
      </c>
      <c r="B2172" s="1">
        <v>45623</v>
      </c>
      <c r="C2172">
        <v>2024</v>
      </c>
      <c r="D2172" t="s">
        <v>1832</v>
      </c>
      <c r="E2172" t="s">
        <v>2071</v>
      </c>
      <c r="F2172" t="s">
        <v>37</v>
      </c>
      <c r="G2172" t="s">
        <v>51</v>
      </c>
      <c r="H2172" t="s">
        <v>55</v>
      </c>
      <c r="I2172" t="s">
        <v>29</v>
      </c>
      <c r="J2172" t="s">
        <v>52</v>
      </c>
      <c r="K2172" s="2">
        <v>3350</v>
      </c>
      <c r="L2172" s="2">
        <v>8500</v>
      </c>
      <c r="M2172">
        <v>24</v>
      </c>
      <c r="N2172" s="3">
        <v>0.34300000000000003</v>
      </c>
      <c r="O2172" t="s">
        <v>16</v>
      </c>
      <c r="Q2172">
        <v>1</v>
      </c>
      <c r="R2172">
        <v>0</v>
      </c>
      <c r="S2172" s="2">
        <v>8500</v>
      </c>
      <c r="T2172" s="4">
        <v>0.11210000000000001</v>
      </c>
      <c r="U2172">
        <v>4</v>
      </c>
      <c r="V2172">
        <v>0</v>
      </c>
      <c r="W2172">
        <v>1</v>
      </c>
    </row>
    <row r="2173" spans="1:23" ht="16.5" x14ac:dyDescent="0.3">
      <c r="A2173" t="s">
        <v>2236</v>
      </c>
      <c r="B2173" s="1">
        <v>45623</v>
      </c>
      <c r="C2173">
        <v>2024</v>
      </c>
      <c r="D2173" t="s">
        <v>1832</v>
      </c>
      <c r="E2173" t="s">
        <v>2071</v>
      </c>
      <c r="F2173" t="s">
        <v>37</v>
      </c>
      <c r="G2173" t="s">
        <v>45</v>
      </c>
      <c r="H2173" t="s">
        <v>55</v>
      </c>
      <c r="I2173" t="s">
        <v>29</v>
      </c>
      <c r="J2173" t="s">
        <v>30</v>
      </c>
      <c r="K2173" s="2">
        <v>3000</v>
      </c>
      <c r="L2173" s="2">
        <v>8000</v>
      </c>
      <c r="M2173">
        <v>12</v>
      </c>
      <c r="N2173" s="3">
        <v>0.38600000000000001</v>
      </c>
      <c r="O2173" t="s">
        <v>16</v>
      </c>
      <c r="Q2173">
        <v>1</v>
      </c>
      <c r="R2173">
        <v>0</v>
      </c>
      <c r="S2173" s="2">
        <v>7000</v>
      </c>
      <c r="T2173" s="4">
        <v>0.13789999999999999</v>
      </c>
      <c r="U2173">
        <v>2</v>
      </c>
      <c r="V2173">
        <v>1</v>
      </c>
      <c r="W2173">
        <v>1</v>
      </c>
    </row>
    <row r="2174" spans="1:23" ht="16.5" x14ac:dyDescent="0.3">
      <c r="A2174" t="s">
        <v>2237</v>
      </c>
      <c r="B2174" s="1">
        <v>45623</v>
      </c>
      <c r="C2174">
        <v>2024</v>
      </c>
      <c r="D2174" t="s">
        <v>1832</v>
      </c>
      <c r="E2174" t="s">
        <v>2071</v>
      </c>
      <c r="F2174" t="s">
        <v>26</v>
      </c>
      <c r="G2174" t="s">
        <v>45</v>
      </c>
      <c r="H2174" t="s">
        <v>55</v>
      </c>
      <c r="I2174" t="s">
        <v>29</v>
      </c>
      <c r="J2174" t="s">
        <v>52</v>
      </c>
      <c r="K2174" s="2">
        <v>10100</v>
      </c>
      <c r="L2174" s="2">
        <v>12000</v>
      </c>
      <c r="M2174">
        <v>60</v>
      </c>
      <c r="N2174" s="3">
        <v>0.20100000000000001</v>
      </c>
      <c r="O2174" t="s">
        <v>16</v>
      </c>
      <c r="Q2174">
        <v>1</v>
      </c>
      <c r="R2174">
        <v>0</v>
      </c>
      <c r="S2174" s="2">
        <v>12000</v>
      </c>
      <c r="T2174" s="4">
        <v>7.0800000000000002E-2</v>
      </c>
      <c r="U2174">
        <v>4</v>
      </c>
      <c r="V2174">
        <v>1</v>
      </c>
      <c r="W2174">
        <v>1</v>
      </c>
    </row>
    <row r="2175" spans="1:23" ht="16.5" x14ac:dyDescent="0.3">
      <c r="A2175" t="s">
        <v>2238</v>
      </c>
      <c r="B2175" s="1">
        <v>45623</v>
      </c>
      <c r="C2175">
        <v>2024</v>
      </c>
      <c r="D2175" t="s">
        <v>1832</v>
      </c>
      <c r="E2175" t="s">
        <v>2071</v>
      </c>
      <c r="F2175" t="s">
        <v>50</v>
      </c>
      <c r="G2175" t="s">
        <v>51</v>
      </c>
      <c r="H2175" t="s">
        <v>38</v>
      </c>
      <c r="I2175" t="s">
        <v>39</v>
      </c>
      <c r="J2175" t="s">
        <v>35</v>
      </c>
      <c r="K2175" s="2">
        <v>4750</v>
      </c>
      <c r="L2175" s="2">
        <v>190000</v>
      </c>
      <c r="M2175">
        <v>240</v>
      </c>
      <c r="N2175" s="3">
        <v>0.44700000000000001</v>
      </c>
      <c r="O2175" t="s">
        <v>16</v>
      </c>
      <c r="Q2175">
        <v>1</v>
      </c>
      <c r="R2175">
        <v>0</v>
      </c>
      <c r="S2175" s="2">
        <v>190000</v>
      </c>
      <c r="T2175" s="4">
        <v>5.5500000000000001E-2</v>
      </c>
      <c r="U2175">
        <v>20</v>
      </c>
      <c r="V2175">
        <v>0</v>
      </c>
      <c r="W2175">
        <v>1</v>
      </c>
    </row>
    <row r="2176" spans="1:23" ht="16.5" x14ac:dyDescent="0.3">
      <c r="A2176" t="s">
        <v>2239</v>
      </c>
      <c r="B2176" s="1">
        <v>45624</v>
      </c>
      <c r="C2176">
        <v>2024</v>
      </c>
      <c r="D2176" t="s">
        <v>1832</v>
      </c>
      <c r="E2176" t="s">
        <v>2071</v>
      </c>
      <c r="F2176" t="s">
        <v>26</v>
      </c>
      <c r="G2176" t="s">
        <v>45</v>
      </c>
      <c r="H2176" t="s">
        <v>28</v>
      </c>
      <c r="I2176" t="s">
        <v>29</v>
      </c>
      <c r="J2176" t="s">
        <v>30</v>
      </c>
      <c r="K2176" s="2">
        <v>6750</v>
      </c>
      <c r="L2176" s="2">
        <v>51000</v>
      </c>
      <c r="M2176">
        <v>48</v>
      </c>
      <c r="N2176" s="3">
        <v>0.25800000000000001</v>
      </c>
      <c r="O2176" t="s">
        <v>16</v>
      </c>
      <c r="Q2176">
        <v>1</v>
      </c>
      <c r="R2176">
        <v>0</v>
      </c>
      <c r="S2176" s="2">
        <v>41000</v>
      </c>
      <c r="T2176" s="4">
        <v>9.6799999999999997E-2</v>
      </c>
      <c r="U2176">
        <v>2</v>
      </c>
      <c r="V2176">
        <v>1</v>
      </c>
      <c r="W2176">
        <v>1</v>
      </c>
    </row>
    <row r="2177" spans="1:23" ht="16.5" x14ac:dyDescent="0.3">
      <c r="A2177" t="s">
        <v>2240</v>
      </c>
      <c r="B2177" s="1">
        <v>45624</v>
      </c>
      <c r="C2177">
        <v>2024</v>
      </c>
      <c r="D2177" t="s">
        <v>1832</v>
      </c>
      <c r="E2177" t="s">
        <v>2071</v>
      </c>
      <c r="F2177" t="s">
        <v>26</v>
      </c>
      <c r="G2177" t="s">
        <v>51</v>
      </c>
      <c r="H2177" t="s">
        <v>38</v>
      </c>
      <c r="I2177" t="s">
        <v>29</v>
      </c>
      <c r="J2177" t="s">
        <v>30</v>
      </c>
      <c r="K2177" s="2">
        <v>6700</v>
      </c>
      <c r="L2177" s="2">
        <v>34500</v>
      </c>
      <c r="M2177">
        <v>36</v>
      </c>
      <c r="N2177" s="3">
        <v>0.35</v>
      </c>
      <c r="O2177" t="s">
        <v>16</v>
      </c>
      <c r="Q2177">
        <v>1</v>
      </c>
      <c r="R2177">
        <v>0</v>
      </c>
      <c r="S2177" s="2">
        <v>31000</v>
      </c>
      <c r="T2177" s="4">
        <v>9.5399999999999999E-2</v>
      </c>
      <c r="U2177">
        <v>5</v>
      </c>
      <c r="V2177">
        <v>0</v>
      </c>
      <c r="W2177">
        <v>1</v>
      </c>
    </row>
    <row r="2178" spans="1:23" ht="16.5" x14ac:dyDescent="0.3">
      <c r="A2178" t="s">
        <v>2241</v>
      </c>
      <c r="B2178" s="1">
        <v>45624</v>
      </c>
      <c r="C2178">
        <v>2024</v>
      </c>
      <c r="D2178" t="s">
        <v>1832</v>
      </c>
      <c r="E2178" t="s">
        <v>2071</v>
      </c>
      <c r="F2178" t="s">
        <v>26</v>
      </c>
      <c r="G2178" t="s">
        <v>51</v>
      </c>
      <c r="H2178" t="s">
        <v>38</v>
      </c>
      <c r="I2178" t="s">
        <v>29</v>
      </c>
      <c r="J2178" t="s">
        <v>52</v>
      </c>
      <c r="K2178" s="2">
        <v>5350</v>
      </c>
      <c r="L2178" s="2">
        <v>47000</v>
      </c>
      <c r="M2178">
        <v>36</v>
      </c>
      <c r="N2178" s="3">
        <v>0.38300000000000001</v>
      </c>
      <c r="O2178" t="s">
        <v>16</v>
      </c>
      <c r="Q2178">
        <v>1</v>
      </c>
      <c r="R2178">
        <v>0</v>
      </c>
      <c r="S2178" s="2">
        <v>47000</v>
      </c>
      <c r="T2178" s="4">
        <v>7.0300000000000001E-2</v>
      </c>
      <c r="U2178">
        <v>3</v>
      </c>
      <c r="V2178">
        <v>1</v>
      </c>
      <c r="W2178">
        <v>1</v>
      </c>
    </row>
    <row r="2179" spans="1:23" ht="16.5" x14ac:dyDescent="0.3">
      <c r="A2179" t="s">
        <v>2242</v>
      </c>
      <c r="B2179" s="1">
        <v>45624</v>
      </c>
      <c r="C2179">
        <v>2024</v>
      </c>
      <c r="D2179" t="s">
        <v>1832</v>
      </c>
      <c r="E2179" t="s">
        <v>2071</v>
      </c>
      <c r="F2179" t="s">
        <v>37</v>
      </c>
      <c r="G2179" t="s">
        <v>45</v>
      </c>
      <c r="H2179" t="s">
        <v>64</v>
      </c>
      <c r="I2179" t="s">
        <v>39</v>
      </c>
      <c r="J2179" t="s">
        <v>30</v>
      </c>
      <c r="K2179" s="2">
        <v>6800</v>
      </c>
      <c r="L2179" s="2">
        <v>15000</v>
      </c>
      <c r="M2179">
        <v>36</v>
      </c>
      <c r="N2179" s="3">
        <v>0.28199999999999997</v>
      </c>
      <c r="O2179" t="s">
        <v>17</v>
      </c>
      <c r="P2179" t="s">
        <v>31</v>
      </c>
      <c r="Q2179">
        <v>0</v>
      </c>
      <c r="R2179">
        <v>1</v>
      </c>
      <c r="S2179" s="2">
        <v>0</v>
      </c>
      <c r="T2179" s="4"/>
      <c r="U2179">
        <v>2</v>
      </c>
      <c r="V2179">
        <v>1</v>
      </c>
      <c r="W2179">
        <v>1</v>
      </c>
    </row>
    <row r="2180" spans="1:23" ht="16.5" x14ac:dyDescent="0.3">
      <c r="A2180" t="s">
        <v>2243</v>
      </c>
      <c r="B2180" s="1">
        <v>45624</v>
      </c>
      <c r="C2180">
        <v>2024</v>
      </c>
      <c r="D2180" t="s">
        <v>1832</v>
      </c>
      <c r="E2180" t="s">
        <v>2071</v>
      </c>
      <c r="F2180" t="s">
        <v>41</v>
      </c>
      <c r="G2180" t="s">
        <v>27</v>
      </c>
      <c r="H2180" t="s">
        <v>38</v>
      </c>
      <c r="I2180" t="s">
        <v>42</v>
      </c>
      <c r="J2180" t="s">
        <v>35</v>
      </c>
      <c r="K2180" s="2">
        <v>3450</v>
      </c>
      <c r="L2180" s="2">
        <v>192000</v>
      </c>
      <c r="M2180">
        <v>24</v>
      </c>
      <c r="N2180" s="3">
        <v>2.7770000000000001</v>
      </c>
      <c r="O2180" t="s">
        <v>125</v>
      </c>
      <c r="Q2180">
        <v>0</v>
      </c>
      <c r="R2180">
        <v>0</v>
      </c>
      <c r="S2180" s="2">
        <v>0</v>
      </c>
      <c r="T2180" s="4"/>
      <c r="U2180">
        <v>8</v>
      </c>
      <c r="V2180">
        <v>1</v>
      </c>
      <c r="W2180">
        <v>1</v>
      </c>
    </row>
    <row r="2181" spans="1:23" ht="16.5" x14ac:dyDescent="0.3">
      <c r="A2181" t="s">
        <v>2244</v>
      </c>
      <c r="B2181" s="1">
        <v>45624</v>
      </c>
      <c r="C2181">
        <v>2024</v>
      </c>
      <c r="D2181" t="s">
        <v>1832</v>
      </c>
      <c r="E2181" t="s">
        <v>2071</v>
      </c>
      <c r="F2181" t="s">
        <v>50</v>
      </c>
      <c r="G2181" t="s">
        <v>27</v>
      </c>
      <c r="H2181" t="s">
        <v>38</v>
      </c>
      <c r="I2181" t="s">
        <v>29</v>
      </c>
      <c r="J2181" t="s">
        <v>35</v>
      </c>
      <c r="K2181" s="2">
        <v>5850</v>
      </c>
      <c r="L2181" s="2">
        <v>342500</v>
      </c>
      <c r="M2181">
        <v>180</v>
      </c>
      <c r="N2181" s="3">
        <v>0.63400000000000001</v>
      </c>
      <c r="O2181" t="s">
        <v>17</v>
      </c>
      <c r="P2181" t="s">
        <v>53</v>
      </c>
      <c r="Q2181">
        <v>0</v>
      </c>
      <c r="R2181">
        <v>1</v>
      </c>
      <c r="S2181" s="2">
        <v>0</v>
      </c>
      <c r="T2181" s="4"/>
      <c r="U2181">
        <v>25</v>
      </c>
      <c r="V2181">
        <v>0</v>
      </c>
      <c r="W2181">
        <v>1</v>
      </c>
    </row>
    <row r="2182" spans="1:23" ht="16.5" x14ac:dyDescent="0.3">
      <c r="A2182" t="s">
        <v>2245</v>
      </c>
      <c r="B2182" s="1">
        <v>45624</v>
      </c>
      <c r="C2182">
        <v>2024</v>
      </c>
      <c r="D2182" t="s">
        <v>1832</v>
      </c>
      <c r="E2182" t="s">
        <v>2071</v>
      </c>
      <c r="F2182" t="s">
        <v>26</v>
      </c>
      <c r="G2182" t="s">
        <v>33</v>
      </c>
      <c r="H2182" t="s">
        <v>38</v>
      </c>
      <c r="I2182" t="s">
        <v>39</v>
      </c>
      <c r="J2182" t="s">
        <v>35</v>
      </c>
      <c r="K2182" s="2">
        <v>4800</v>
      </c>
      <c r="L2182" s="2">
        <v>39000</v>
      </c>
      <c r="M2182">
        <v>48</v>
      </c>
      <c r="N2182" s="3">
        <v>0.41599999999999998</v>
      </c>
      <c r="O2182" t="s">
        <v>16</v>
      </c>
      <c r="Q2182">
        <v>1</v>
      </c>
      <c r="R2182">
        <v>0</v>
      </c>
      <c r="S2182" s="2">
        <v>39000</v>
      </c>
      <c r="T2182" s="4">
        <v>8.5400000000000004E-2</v>
      </c>
      <c r="U2182">
        <v>3</v>
      </c>
      <c r="V2182">
        <v>1</v>
      </c>
      <c r="W2182">
        <v>1</v>
      </c>
    </row>
    <row r="2183" spans="1:23" ht="16.5" x14ac:dyDescent="0.3">
      <c r="A2183" t="s">
        <v>2246</v>
      </c>
      <c r="B2183" s="1">
        <v>45624</v>
      </c>
      <c r="C2183">
        <v>2024</v>
      </c>
      <c r="D2183" t="s">
        <v>1832</v>
      </c>
      <c r="E2183" t="s">
        <v>2071</v>
      </c>
      <c r="F2183" t="s">
        <v>26</v>
      </c>
      <c r="G2183" t="s">
        <v>33</v>
      </c>
      <c r="H2183" t="s">
        <v>38</v>
      </c>
      <c r="I2183" t="s">
        <v>39</v>
      </c>
      <c r="J2183" t="s">
        <v>52</v>
      </c>
      <c r="K2183" s="2">
        <v>8600</v>
      </c>
      <c r="L2183" s="2">
        <v>41000</v>
      </c>
      <c r="M2183">
        <v>48</v>
      </c>
      <c r="N2183" s="3">
        <v>0.29699999999999999</v>
      </c>
      <c r="O2183" t="s">
        <v>16</v>
      </c>
      <c r="Q2183">
        <v>1</v>
      </c>
      <c r="R2183">
        <v>0</v>
      </c>
      <c r="S2183" s="2">
        <v>33000</v>
      </c>
      <c r="T2183" s="4">
        <v>7.2300000000000003E-2</v>
      </c>
      <c r="U2183">
        <v>2</v>
      </c>
      <c r="V2183">
        <v>1</v>
      </c>
      <c r="W2183">
        <v>1</v>
      </c>
    </row>
    <row r="2184" spans="1:23" ht="16.5" x14ac:dyDescent="0.3">
      <c r="A2184" t="s">
        <v>2247</v>
      </c>
      <c r="B2184" s="1">
        <v>45624</v>
      </c>
      <c r="C2184">
        <v>2024</v>
      </c>
      <c r="D2184" t="s">
        <v>1832</v>
      </c>
      <c r="E2184" t="s">
        <v>2071</v>
      </c>
      <c r="F2184" t="s">
        <v>26</v>
      </c>
      <c r="G2184" t="s">
        <v>33</v>
      </c>
      <c r="H2184" t="s">
        <v>38</v>
      </c>
      <c r="I2184" t="s">
        <v>39</v>
      </c>
      <c r="J2184" t="s">
        <v>43</v>
      </c>
      <c r="K2184" s="2">
        <v>9750</v>
      </c>
      <c r="L2184" s="2">
        <v>24500</v>
      </c>
      <c r="M2184">
        <v>60</v>
      </c>
      <c r="N2184" s="3">
        <v>0.191</v>
      </c>
      <c r="O2184" t="s">
        <v>17</v>
      </c>
      <c r="P2184" t="s">
        <v>31</v>
      </c>
      <c r="Q2184">
        <v>0</v>
      </c>
      <c r="R2184">
        <v>1</v>
      </c>
      <c r="S2184" s="2">
        <v>0</v>
      </c>
      <c r="T2184" s="4"/>
      <c r="U2184">
        <v>2</v>
      </c>
      <c r="V2184">
        <v>1</v>
      </c>
      <c r="W2184">
        <v>1</v>
      </c>
    </row>
    <row r="2185" spans="1:23" ht="16.5" x14ac:dyDescent="0.3">
      <c r="A2185" t="s">
        <v>2248</v>
      </c>
      <c r="B2185" s="1">
        <v>45625</v>
      </c>
      <c r="C2185">
        <v>2024</v>
      </c>
      <c r="D2185" t="s">
        <v>1832</v>
      </c>
      <c r="E2185" t="s">
        <v>2071</v>
      </c>
      <c r="F2185" t="s">
        <v>26</v>
      </c>
      <c r="G2185" t="s">
        <v>33</v>
      </c>
      <c r="H2185" t="s">
        <v>38</v>
      </c>
      <c r="I2185" t="s">
        <v>29</v>
      </c>
      <c r="J2185" t="s">
        <v>30</v>
      </c>
      <c r="K2185" s="2">
        <v>4150</v>
      </c>
      <c r="L2185" s="2">
        <v>24500</v>
      </c>
      <c r="M2185">
        <v>60</v>
      </c>
      <c r="N2185" s="3">
        <v>0.26600000000000001</v>
      </c>
      <c r="O2185" t="s">
        <v>17</v>
      </c>
      <c r="P2185" t="s">
        <v>60</v>
      </c>
      <c r="Q2185">
        <v>0</v>
      </c>
      <c r="R2185">
        <v>1</v>
      </c>
      <c r="S2185" s="2">
        <v>0</v>
      </c>
      <c r="T2185" s="4"/>
      <c r="U2185">
        <v>7</v>
      </c>
      <c r="V2185">
        <v>0</v>
      </c>
      <c r="W2185">
        <v>1</v>
      </c>
    </row>
    <row r="2186" spans="1:23" ht="16.5" x14ac:dyDescent="0.3">
      <c r="A2186" t="s">
        <v>2249</v>
      </c>
      <c r="B2186" s="1">
        <v>45625</v>
      </c>
      <c r="C2186">
        <v>2024</v>
      </c>
      <c r="D2186" t="s">
        <v>1832</v>
      </c>
      <c r="E2186" t="s">
        <v>2071</v>
      </c>
      <c r="F2186" t="s">
        <v>37</v>
      </c>
      <c r="G2186" t="s">
        <v>51</v>
      </c>
      <c r="H2186" t="s">
        <v>28</v>
      </c>
      <c r="I2186" t="s">
        <v>29</v>
      </c>
      <c r="J2186" t="s">
        <v>35</v>
      </c>
      <c r="K2186" s="2">
        <v>4900</v>
      </c>
      <c r="L2186" s="2">
        <v>9000</v>
      </c>
      <c r="M2186">
        <v>60</v>
      </c>
      <c r="N2186" s="3">
        <v>0.219</v>
      </c>
      <c r="O2186" t="s">
        <v>16</v>
      </c>
      <c r="Q2186">
        <v>1</v>
      </c>
      <c r="R2186">
        <v>0</v>
      </c>
      <c r="S2186" s="2">
        <v>7000</v>
      </c>
      <c r="T2186" s="4">
        <v>0.1188</v>
      </c>
      <c r="U2186">
        <v>7</v>
      </c>
      <c r="V2186">
        <v>0</v>
      </c>
      <c r="W2186">
        <v>1</v>
      </c>
    </row>
    <row r="2187" spans="1:23" ht="16.5" x14ac:dyDescent="0.3">
      <c r="A2187" t="s">
        <v>2250</v>
      </c>
      <c r="B2187" s="1">
        <v>45625</v>
      </c>
      <c r="C2187">
        <v>2024</v>
      </c>
      <c r="D2187" t="s">
        <v>1832</v>
      </c>
      <c r="E2187" t="s">
        <v>2071</v>
      </c>
      <c r="F2187" t="s">
        <v>37</v>
      </c>
      <c r="G2187" t="s">
        <v>27</v>
      </c>
      <c r="H2187" t="s">
        <v>38</v>
      </c>
      <c r="I2187" t="s">
        <v>29</v>
      </c>
      <c r="J2187" t="s">
        <v>35</v>
      </c>
      <c r="K2187" s="2">
        <v>5050</v>
      </c>
      <c r="L2187" s="2">
        <v>5500</v>
      </c>
      <c r="M2187">
        <v>24</v>
      </c>
      <c r="N2187" s="3">
        <v>0.26400000000000001</v>
      </c>
      <c r="O2187" t="s">
        <v>17</v>
      </c>
      <c r="P2187" t="s">
        <v>65</v>
      </c>
      <c r="Q2187">
        <v>0</v>
      </c>
      <c r="R2187">
        <v>1</v>
      </c>
      <c r="S2187" s="2">
        <v>0</v>
      </c>
      <c r="T2187" s="4"/>
      <c r="U2187">
        <v>4</v>
      </c>
      <c r="V2187">
        <v>0</v>
      </c>
      <c r="W2187">
        <v>1</v>
      </c>
    </row>
    <row r="2188" spans="1:23" ht="16.5" x14ac:dyDescent="0.3">
      <c r="A2188" t="s">
        <v>2251</v>
      </c>
      <c r="B2188" s="1">
        <v>45625</v>
      </c>
      <c r="C2188">
        <v>2024</v>
      </c>
      <c r="D2188" t="s">
        <v>1832</v>
      </c>
      <c r="E2188" t="s">
        <v>2071</v>
      </c>
      <c r="F2188" t="s">
        <v>50</v>
      </c>
      <c r="G2188" t="s">
        <v>33</v>
      </c>
      <c r="H2188" t="s">
        <v>34</v>
      </c>
      <c r="I2188" t="s">
        <v>42</v>
      </c>
      <c r="J2188" t="s">
        <v>52</v>
      </c>
      <c r="K2188" s="2">
        <v>8100</v>
      </c>
      <c r="L2188" s="2">
        <v>198500</v>
      </c>
      <c r="M2188">
        <v>240</v>
      </c>
      <c r="N2188" s="3">
        <v>0.37</v>
      </c>
      <c r="O2188" t="s">
        <v>17</v>
      </c>
      <c r="P2188" t="s">
        <v>60</v>
      </c>
      <c r="Q2188">
        <v>0</v>
      </c>
      <c r="R2188">
        <v>1</v>
      </c>
      <c r="S2188" s="2">
        <v>0</v>
      </c>
      <c r="T2188" s="4"/>
      <c r="U2188">
        <v>10</v>
      </c>
      <c r="V2188">
        <v>1</v>
      </c>
      <c r="W2188">
        <v>1</v>
      </c>
    </row>
    <row r="2189" spans="1:23" ht="16.5" x14ac:dyDescent="0.3">
      <c r="A2189" t="s">
        <v>2252</v>
      </c>
      <c r="B2189" s="1">
        <v>45625</v>
      </c>
      <c r="C2189">
        <v>2024</v>
      </c>
      <c r="D2189" t="s">
        <v>1832</v>
      </c>
      <c r="E2189" t="s">
        <v>2071</v>
      </c>
      <c r="F2189" t="s">
        <v>37</v>
      </c>
      <c r="G2189" t="s">
        <v>27</v>
      </c>
      <c r="H2189" t="s">
        <v>34</v>
      </c>
      <c r="I2189" t="s">
        <v>29</v>
      </c>
      <c r="J2189" t="s">
        <v>52</v>
      </c>
      <c r="K2189" s="2">
        <v>3050</v>
      </c>
      <c r="L2189" s="2">
        <v>15000</v>
      </c>
      <c r="M2189">
        <v>12</v>
      </c>
      <c r="N2189" s="3">
        <v>0.56200000000000006</v>
      </c>
      <c r="O2189" t="s">
        <v>17</v>
      </c>
      <c r="P2189" t="s">
        <v>60</v>
      </c>
      <c r="Q2189">
        <v>0</v>
      </c>
      <c r="R2189">
        <v>1</v>
      </c>
      <c r="S2189" s="2">
        <v>0</v>
      </c>
      <c r="T2189" s="4"/>
      <c r="U2189">
        <v>10</v>
      </c>
      <c r="V2189">
        <v>0</v>
      </c>
      <c r="W2189">
        <v>1</v>
      </c>
    </row>
    <row r="2190" spans="1:23" ht="16.5" x14ac:dyDescent="0.3">
      <c r="A2190" t="s">
        <v>2253</v>
      </c>
      <c r="B2190" s="1">
        <v>45625</v>
      </c>
      <c r="C2190">
        <v>2024</v>
      </c>
      <c r="D2190" t="s">
        <v>1832</v>
      </c>
      <c r="E2190" t="s">
        <v>2071</v>
      </c>
      <c r="F2190" t="s">
        <v>50</v>
      </c>
      <c r="G2190" t="s">
        <v>45</v>
      </c>
      <c r="H2190" t="s">
        <v>64</v>
      </c>
      <c r="I2190" t="s">
        <v>29</v>
      </c>
      <c r="J2190" t="s">
        <v>46</v>
      </c>
      <c r="K2190" s="2">
        <v>3850</v>
      </c>
      <c r="L2190" s="2">
        <v>163000</v>
      </c>
      <c r="M2190">
        <v>180</v>
      </c>
      <c r="N2190" s="3">
        <v>0.40200000000000002</v>
      </c>
      <c r="O2190" t="s">
        <v>16</v>
      </c>
      <c r="Q2190">
        <v>1</v>
      </c>
      <c r="R2190">
        <v>0</v>
      </c>
      <c r="S2190" s="2">
        <v>163000</v>
      </c>
      <c r="T2190" s="4">
        <v>4.3900000000000002E-2</v>
      </c>
      <c r="U2190">
        <v>12</v>
      </c>
      <c r="V2190">
        <v>1</v>
      </c>
      <c r="W2190">
        <v>1</v>
      </c>
    </row>
    <row r="2191" spans="1:23" ht="16.5" x14ac:dyDescent="0.3">
      <c r="A2191" t="s">
        <v>2254</v>
      </c>
      <c r="B2191" s="1">
        <v>45625</v>
      </c>
      <c r="C2191">
        <v>2024</v>
      </c>
      <c r="D2191" t="s">
        <v>1832</v>
      </c>
      <c r="E2191" t="s">
        <v>2071</v>
      </c>
      <c r="F2191" t="s">
        <v>37</v>
      </c>
      <c r="G2191" t="s">
        <v>45</v>
      </c>
      <c r="H2191" t="s">
        <v>28</v>
      </c>
      <c r="I2191" t="s">
        <v>29</v>
      </c>
      <c r="J2191" t="s">
        <v>52</v>
      </c>
      <c r="K2191" s="2">
        <v>6200</v>
      </c>
      <c r="L2191" s="2">
        <v>14000</v>
      </c>
      <c r="M2191">
        <v>12</v>
      </c>
      <c r="N2191" s="3">
        <v>0.44400000000000001</v>
      </c>
      <c r="O2191" t="s">
        <v>16</v>
      </c>
      <c r="Q2191">
        <v>1</v>
      </c>
      <c r="R2191">
        <v>0</v>
      </c>
      <c r="S2191" s="2">
        <v>14000</v>
      </c>
      <c r="T2191" s="4">
        <v>0.1203</v>
      </c>
      <c r="U2191">
        <v>5</v>
      </c>
      <c r="V2191">
        <v>0</v>
      </c>
      <c r="W2191">
        <v>1</v>
      </c>
    </row>
    <row r="2192" spans="1:23" ht="16.5" x14ac:dyDescent="0.3">
      <c r="A2192" t="s">
        <v>2255</v>
      </c>
      <c r="B2192" s="1">
        <v>45625</v>
      </c>
      <c r="C2192">
        <v>2024</v>
      </c>
      <c r="D2192" t="s">
        <v>1832</v>
      </c>
      <c r="E2192" t="s">
        <v>2071</v>
      </c>
      <c r="F2192" t="s">
        <v>26</v>
      </c>
      <c r="G2192" t="s">
        <v>33</v>
      </c>
      <c r="H2192" t="s">
        <v>28</v>
      </c>
      <c r="I2192" t="s">
        <v>29</v>
      </c>
      <c r="J2192" t="s">
        <v>46</v>
      </c>
      <c r="K2192" s="2">
        <v>3900</v>
      </c>
      <c r="L2192" s="2">
        <v>16500</v>
      </c>
      <c r="M2192">
        <v>36</v>
      </c>
      <c r="N2192" s="3">
        <v>0.183</v>
      </c>
      <c r="O2192" t="s">
        <v>16</v>
      </c>
      <c r="Q2192">
        <v>1</v>
      </c>
      <c r="R2192">
        <v>0</v>
      </c>
      <c r="S2192" s="2">
        <v>16500</v>
      </c>
      <c r="T2192" s="4">
        <v>6.5600000000000006E-2</v>
      </c>
      <c r="U2192">
        <v>2</v>
      </c>
      <c r="V2192">
        <v>1</v>
      </c>
      <c r="W2192">
        <v>1</v>
      </c>
    </row>
    <row r="2193" spans="1:23" ht="16.5" x14ac:dyDescent="0.3">
      <c r="A2193" t="s">
        <v>2256</v>
      </c>
      <c r="B2193" s="1">
        <v>45625</v>
      </c>
      <c r="C2193">
        <v>2024</v>
      </c>
      <c r="D2193" t="s">
        <v>1832</v>
      </c>
      <c r="E2193" t="s">
        <v>2071</v>
      </c>
      <c r="F2193" t="s">
        <v>50</v>
      </c>
      <c r="G2193" t="s">
        <v>45</v>
      </c>
      <c r="H2193" t="s">
        <v>34</v>
      </c>
      <c r="I2193" t="s">
        <v>39</v>
      </c>
      <c r="J2193" t="s">
        <v>52</v>
      </c>
      <c r="K2193" s="2">
        <v>6250</v>
      </c>
      <c r="L2193" s="2">
        <v>100500</v>
      </c>
      <c r="M2193">
        <v>180</v>
      </c>
      <c r="N2193" s="3">
        <v>0.19900000000000001</v>
      </c>
      <c r="O2193" t="s">
        <v>17</v>
      </c>
      <c r="P2193" t="s">
        <v>48</v>
      </c>
      <c r="Q2193">
        <v>0</v>
      </c>
      <c r="R2193">
        <v>1</v>
      </c>
      <c r="S2193" s="2">
        <v>0</v>
      </c>
      <c r="T2193" s="4"/>
      <c r="U2193">
        <v>9</v>
      </c>
      <c r="V2193">
        <v>1</v>
      </c>
      <c r="W2193">
        <v>1</v>
      </c>
    </row>
    <row r="2194" spans="1:23" ht="16.5" x14ac:dyDescent="0.3">
      <c r="A2194" t="s">
        <v>2257</v>
      </c>
      <c r="B2194" s="1">
        <v>45625</v>
      </c>
      <c r="C2194">
        <v>2024</v>
      </c>
      <c r="D2194" t="s">
        <v>1832</v>
      </c>
      <c r="E2194" t="s">
        <v>2071</v>
      </c>
      <c r="F2194" t="s">
        <v>50</v>
      </c>
      <c r="G2194" t="s">
        <v>33</v>
      </c>
      <c r="H2194" t="s">
        <v>38</v>
      </c>
      <c r="I2194" t="s">
        <v>29</v>
      </c>
      <c r="J2194" t="s">
        <v>52</v>
      </c>
      <c r="K2194" s="2">
        <v>5550</v>
      </c>
      <c r="L2194" s="2">
        <v>243500</v>
      </c>
      <c r="M2194">
        <v>300</v>
      </c>
      <c r="N2194" s="3">
        <v>0.35699999999999998</v>
      </c>
      <c r="O2194" t="s">
        <v>16</v>
      </c>
      <c r="Q2194">
        <v>1</v>
      </c>
      <c r="R2194">
        <v>0</v>
      </c>
      <c r="S2194" s="2">
        <v>219000</v>
      </c>
      <c r="T2194" s="4">
        <v>0.05</v>
      </c>
      <c r="U2194">
        <v>6</v>
      </c>
      <c r="V2194">
        <v>1</v>
      </c>
      <c r="W2194">
        <v>1</v>
      </c>
    </row>
    <row r="2195" spans="1:23" ht="16.5" x14ac:dyDescent="0.3">
      <c r="A2195" t="s">
        <v>2258</v>
      </c>
      <c r="B2195" s="1">
        <v>45625</v>
      </c>
      <c r="C2195">
        <v>2024</v>
      </c>
      <c r="D2195" t="s">
        <v>1832</v>
      </c>
      <c r="E2195" t="s">
        <v>2071</v>
      </c>
      <c r="F2195" t="s">
        <v>37</v>
      </c>
      <c r="G2195" t="s">
        <v>51</v>
      </c>
      <c r="H2195" t="s">
        <v>55</v>
      </c>
      <c r="I2195" t="s">
        <v>42</v>
      </c>
      <c r="J2195" t="s">
        <v>35</v>
      </c>
      <c r="K2195" s="2">
        <v>5400</v>
      </c>
      <c r="L2195" s="2">
        <v>17000</v>
      </c>
      <c r="M2195">
        <v>24</v>
      </c>
      <c r="N2195" s="3">
        <v>0.246</v>
      </c>
      <c r="O2195" t="s">
        <v>17</v>
      </c>
      <c r="P2195" t="s">
        <v>65</v>
      </c>
      <c r="Q2195">
        <v>0</v>
      </c>
      <c r="R2195">
        <v>1</v>
      </c>
      <c r="S2195" s="2">
        <v>0</v>
      </c>
      <c r="T2195" s="4"/>
      <c r="U2195">
        <v>5</v>
      </c>
      <c r="V2195">
        <v>0</v>
      </c>
      <c r="W2195">
        <v>1</v>
      </c>
    </row>
    <row r="2196" spans="1:23" ht="16.5" x14ac:dyDescent="0.3">
      <c r="A2196" t="s">
        <v>2259</v>
      </c>
      <c r="B2196" s="1">
        <v>45626</v>
      </c>
      <c r="C2196">
        <v>2024</v>
      </c>
      <c r="D2196" t="s">
        <v>1832</v>
      </c>
      <c r="E2196" t="s">
        <v>2071</v>
      </c>
      <c r="F2196" t="s">
        <v>41</v>
      </c>
      <c r="G2196" t="s">
        <v>45</v>
      </c>
      <c r="H2196" t="s">
        <v>38</v>
      </c>
      <c r="I2196" t="s">
        <v>42</v>
      </c>
      <c r="J2196" t="s">
        <v>46</v>
      </c>
      <c r="K2196" s="2">
        <v>6950</v>
      </c>
      <c r="L2196" s="2">
        <v>115500</v>
      </c>
      <c r="M2196">
        <v>60</v>
      </c>
      <c r="N2196" s="3">
        <v>0.57999999999999996</v>
      </c>
      <c r="O2196" t="s">
        <v>16</v>
      </c>
      <c r="Q2196">
        <v>1</v>
      </c>
      <c r="R2196">
        <v>0</v>
      </c>
      <c r="S2196" s="2">
        <v>92500</v>
      </c>
      <c r="T2196" s="4">
        <v>9.3299999999999994E-2</v>
      </c>
      <c r="U2196">
        <v>5</v>
      </c>
      <c r="V2196">
        <v>1</v>
      </c>
      <c r="W2196">
        <v>1</v>
      </c>
    </row>
    <row r="2197" spans="1:23" ht="16.5" x14ac:dyDescent="0.3">
      <c r="A2197" t="s">
        <v>2260</v>
      </c>
      <c r="B2197" s="1">
        <v>45626</v>
      </c>
      <c r="C2197">
        <v>2024</v>
      </c>
      <c r="D2197" t="s">
        <v>1832</v>
      </c>
      <c r="E2197" t="s">
        <v>2071</v>
      </c>
      <c r="F2197" t="s">
        <v>26</v>
      </c>
      <c r="G2197" t="s">
        <v>27</v>
      </c>
      <c r="H2197" t="s">
        <v>55</v>
      </c>
      <c r="I2197" t="s">
        <v>29</v>
      </c>
      <c r="J2197" t="s">
        <v>43</v>
      </c>
      <c r="K2197" s="2">
        <v>9400</v>
      </c>
      <c r="L2197" s="2">
        <v>72500</v>
      </c>
      <c r="M2197">
        <v>48</v>
      </c>
      <c r="N2197" s="3">
        <v>0.36299999999999999</v>
      </c>
      <c r="O2197" t="s">
        <v>17</v>
      </c>
      <c r="P2197" t="s">
        <v>31</v>
      </c>
      <c r="Q2197">
        <v>0</v>
      </c>
      <c r="R2197">
        <v>1</v>
      </c>
      <c r="S2197" s="2">
        <v>0</v>
      </c>
      <c r="T2197" s="4"/>
      <c r="U2197">
        <v>5</v>
      </c>
      <c r="V2197">
        <v>0</v>
      </c>
      <c r="W2197">
        <v>1</v>
      </c>
    </row>
    <row r="2198" spans="1:23" ht="16.5" x14ac:dyDescent="0.3">
      <c r="A2198" t="s">
        <v>2261</v>
      </c>
      <c r="B2198" s="1">
        <v>45626</v>
      </c>
      <c r="C2198">
        <v>2024</v>
      </c>
      <c r="D2198" t="s">
        <v>1832</v>
      </c>
      <c r="E2198" t="s">
        <v>2071</v>
      </c>
      <c r="F2198" t="s">
        <v>37</v>
      </c>
      <c r="G2198" t="s">
        <v>51</v>
      </c>
      <c r="H2198" t="s">
        <v>38</v>
      </c>
      <c r="I2198" t="s">
        <v>39</v>
      </c>
      <c r="J2198" t="s">
        <v>52</v>
      </c>
      <c r="K2198" s="2">
        <v>3750</v>
      </c>
      <c r="L2198" s="2">
        <v>7500</v>
      </c>
      <c r="M2198">
        <v>24</v>
      </c>
      <c r="N2198" s="3">
        <v>0.20899999999999999</v>
      </c>
      <c r="O2198" t="s">
        <v>16</v>
      </c>
      <c r="Q2198">
        <v>1</v>
      </c>
      <c r="R2198">
        <v>0</v>
      </c>
      <c r="S2198" s="2">
        <v>7500</v>
      </c>
      <c r="T2198" s="4">
        <v>0.1172</v>
      </c>
      <c r="U2198">
        <v>8</v>
      </c>
      <c r="V2198">
        <v>0</v>
      </c>
      <c r="W2198">
        <v>1</v>
      </c>
    </row>
    <row r="2199" spans="1:23" ht="16.5" x14ac:dyDescent="0.3">
      <c r="A2199" t="s">
        <v>2262</v>
      </c>
      <c r="B2199" s="1">
        <v>45626</v>
      </c>
      <c r="C2199">
        <v>2024</v>
      </c>
      <c r="D2199" t="s">
        <v>1832</v>
      </c>
      <c r="E2199" t="s">
        <v>2071</v>
      </c>
      <c r="F2199" t="s">
        <v>41</v>
      </c>
      <c r="G2199" t="s">
        <v>33</v>
      </c>
      <c r="H2199" t="s">
        <v>55</v>
      </c>
      <c r="I2199" t="s">
        <v>29</v>
      </c>
      <c r="J2199" t="s">
        <v>30</v>
      </c>
      <c r="K2199" s="2">
        <v>3600</v>
      </c>
      <c r="L2199" s="2">
        <v>102000</v>
      </c>
      <c r="M2199">
        <v>36</v>
      </c>
      <c r="N2199" s="3">
        <v>1.0309999999999999</v>
      </c>
      <c r="O2199" t="s">
        <v>17</v>
      </c>
      <c r="P2199" t="s">
        <v>31</v>
      </c>
      <c r="Q2199">
        <v>0</v>
      </c>
      <c r="R2199">
        <v>1</v>
      </c>
      <c r="S2199" s="2">
        <v>0</v>
      </c>
      <c r="T2199" s="4"/>
      <c r="U2199">
        <v>8</v>
      </c>
      <c r="V2199">
        <v>1</v>
      </c>
      <c r="W2199">
        <v>1</v>
      </c>
    </row>
    <row r="2200" spans="1:23" ht="16.5" x14ac:dyDescent="0.3">
      <c r="A2200" t="s">
        <v>2263</v>
      </c>
      <c r="B2200" s="1">
        <v>45627</v>
      </c>
      <c r="C2200">
        <v>2024</v>
      </c>
      <c r="D2200" t="s">
        <v>1832</v>
      </c>
      <c r="E2200" t="s">
        <v>2264</v>
      </c>
      <c r="F2200" t="s">
        <v>41</v>
      </c>
      <c r="G2200" t="s">
        <v>33</v>
      </c>
      <c r="H2200" t="s">
        <v>64</v>
      </c>
      <c r="I2200" t="s">
        <v>29</v>
      </c>
      <c r="J2200" t="s">
        <v>30</v>
      </c>
      <c r="K2200" s="2">
        <v>5600</v>
      </c>
      <c r="L2200" s="2">
        <v>140000</v>
      </c>
      <c r="M2200">
        <v>60</v>
      </c>
      <c r="N2200" s="3">
        <v>0.66300000000000003</v>
      </c>
      <c r="O2200" t="s">
        <v>16</v>
      </c>
      <c r="Q2200">
        <v>1</v>
      </c>
      <c r="R2200">
        <v>0</v>
      </c>
      <c r="S2200" s="2">
        <v>140000</v>
      </c>
      <c r="T2200" s="4">
        <v>0.1187</v>
      </c>
      <c r="U2200">
        <v>4</v>
      </c>
      <c r="V2200">
        <v>1</v>
      </c>
      <c r="W2200">
        <v>1</v>
      </c>
    </row>
    <row r="2201" spans="1:23" ht="16.5" x14ac:dyDescent="0.3">
      <c r="A2201" t="s">
        <v>2265</v>
      </c>
      <c r="B2201" s="1">
        <v>45627</v>
      </c>
      <c r="C2201">
        <v>2024</v>
      </c>
      <c r="D2201" t="s">
        <v>1832</v>
      </c>
      <c r="E2201" t="s">
        <v>2264</v>
      </c>
      <c r="F2201" t="s">
        <v>37</v>
      </c>
      <c r="G2201" t="s">
        <v>33</v>
      </c>
      <c r="H2201" t="s">
        <v>38</v>
      </c>
      <c r="I2201" t="s">
        <v>29</v>
      </c>
      <c r="J2201" t="s">
        <v>30</v>
      </c>
      <c r="K2201" s="2">
        <v>11050</v>
      </c>
      <c r="L2201" s="2">
        <v>4000</v>
      </c>
      <c r="M2201">
        <v>24</v>
      </c>
      <c r="N2201" s="3">
        <v>0.152</v>
      </c>
      <c r="O2201" t="s">
        <v>16</v>
      </c>
      <c r="Q2201">
        <v>1</v>
      </c>
      <c r="R2201">
        <v>0</v>
      </c>
      <c r="S2201" s="2">
        <v>4000</v>
      </c>
      <c r="T2201" s="4">
        <v>0.13600000000000001</v>
      </c>
      <c r="U2201">
        <v>1</v>
      </c>
      <c r="V2201">
        <v>1</v>
      </c>
      <c r="W2201">
        <v>1</v>
      </c>
    </row>
    <row r="2202" spans="1:23" ht="16.5" x14ac:dyDescent="0.3">
      <c r="A2202" t="s">
        <v>2266</v>
      </c>
      <c r="B2202" s="1">
        <v>45628</v>
      </c>
      <c r="C2202">
        <v>2024</v>
      </c>
      <c r="D2202" t="s">
        <v>1832</v>
      </c>
      <c r="E2202" t="s">
        <v>2264</v>
      </c>
      <c r="F2202" t="s">
        <v>26</v>
      </c>
      <c r="G2202" t="s">
        <v>33</v>
      </c>
      <c r="H2202" t="s">
        <v>55</v>
      </c>
      <c r="I2202" t="s">
        <v>39</v>
      </c>
      <c r="J2202" t="s">
        <v>35</v>
      </c>
      <c r="K2202" s="2">
        <v>3750</v>
      </c>
      <c r="L2202" s="2">
        <v>27000</v>
      </c>
      <c r="M2202">
        <v>48</v>
      </c>
      <c r="N2202" s="3">
        <v>0.29299999999999998</v>
      </c>
      <c r="O2202" t="s">
        <v>16</v>
      </c>
      <c r="Q2202">
        <v>1</v>
      </c>
      <c r="R2202">
        <v>0</v>
      </c>
      <c r="S2202" s="2">
        <v>24500</v>
      </c>
      <c r="T2202" s="4">
        <v>7.9600000000000004E-2</v>
      </c>
      <c r="U2202">
        <v>2</v>
      </c>
      <c r="V2202">
        <v>1</v>
      </c>
      <c r="W2202">
        <v>1</v>
      </c>
    </row>
    <row r="2203" spans="1:23" ht="16.5" x14ac:dyDescent="0.3">
      <c r="A2203" t="s">
        <v>2267</v>
      </c>
      <c r="B2203" s="1">
        <v>45628</v>
      </c>
      <c r="C2203">
        <v>2024</v>
      </c>
      <c r="D2203" t="s">
        <v>1832</v>
      </c>
      <c r="E2203" t="s">
        <v>2264</v>
      </c>
      <c r="F2203" t="s">
        <v>37</v>
      </c>
      <c r="G2203" t="s">
        <v>45</v>
      </c>
      <c r="H2203" t="s">
        <v>55</v>
      </c>
      <c r="I2203" t="s">
        <v>42</v>
      </c>
      <c r="J2203" t="s">
        <v>30</v>
      </c>
      <c r="K2203" s="2">
        <v>5150</v>
      </c>
      <c r="L2203" s="2">
        <v>13000</v>
      </c>
      <c r="M2203">
        <v>12</v>
      </c>
      <c r="N2203" s="3">
        <v>0.45300000000000001</v>
      </c>
      <c r="O2203" t="s">
        <v>17</v>
      </c>
      <c r="P2203" t="s">
        <v>31</v>
      </c>
      <c r="Q2203">
        <v>0</v>
      </c>
      <c r="R2203">
        <v>1</v>
      </c>
      <c r="S2203" s="2">
        <v>0</v>
      </c>
      <c r="T2203" s="4"/>
      <c r="U2203">
        <v>2</v>
      </c>
      <c r="V2203">
        <v>1</v>
      </c>
      <c r="W2203">
        <v>1</v>
      </c>
    </row>
    <row r="2204" spans="1:23" ht="16.5" x14ac:dyDescent="0.3">
      <c r="A2204" t="s">
        <v>2268</v>
      </c>
      <c r="B2204" s="1">
        <v>45628</v>
      </c>
      <c r="C2204">
        <v>2024</v>
      </c>
      <c r="D2204" t="s">
        <v>1832</v>
      </c>
      <c r="E2204" t="s">
        <v>2264</v>
      </c>
      <c r="F2204" t="s">
        <v>41</v>
      </c>
      <c r="G2204" t="s">
        <v>51</v>
      </c>
      <c r="H2204" t="s">
        <v>55</v>
      </c>
      <c r="I2204" t="s">
        <v>39</v>
      </c>
      <c r="J2204" t="s">
        <v>46</v>
      </c>
      <c r="K2204" s="2">
        <v>5050</v>
      </c>
      <c r="L2204" s="2">
        <v>121500</v>
      </c>
      <c r="M2204">
        <v>24</v>
      </c>
      <c r="N2204" s="3">
        <v>1.34</v>
      </c>
      <c r="O2204" t="s">
        <v>16</v>
      </c>
      <c r="Q2204">
        <v>1</v>
      </c>
      <c r="R2204">
        <v>0</v>
      </c>
      <c r="S2204" s="2">
        <v>97000</v>
      </c>
      <c r="T2204" s="4">
        <v>9.7100000000000006E-2</v>
      </c>
      <c r="U2204">
        <v>9</v>
      </c>
      <c r="V2204">
        <v>1</v>
      </c>
      <c r="W2204">
        <v>1</v>
      </c>
    </row>
    <row r="2205" spans="1:23" ht="16.5" x14ac:dyDescent="0.3">
      <c r="A2205" t="s">
        <v>2269</v>
      </c>
      <c r="B2205" s="1">
        <v>45628</v>
      </c>
      <c r="C2205">
        <v>2024</v>
      </c>
      <c r="D2205" t="s">
        <v>1832</v>
      </c>
      <c r="E2205" t="s">
        <v>2264</v>
      </c>
      <c r="F2205" t="s">
        <v>41</v>
      </c>
      <c r="G2205" t="s">
        <v>51</v>
      </c>
      <c r="H2205" t="s">
        <v>34</v>
      </c>
      <c r="I2205" t="s">
        <v>29</v>
      </c>
      <c r="J2205" t="s">
        <v>46</v>
      </c>
      <c r="K2205" s="2">
        <v>5100</v>
      </c>
      <c r="L2205" s="2">
        <v>94500</v>
      </c>
      <c r="M2205">
        <v>24</v>
      </c>
      <c r="N2205" s="3">
        <v>0.93600000000000005</v>
      </c>
      <c r="O2205" t="s">
        <v>16</v>
      </c>
      <c r="Q2205">
        <v>1</v>
      </c>
      <c r="R2205">
        <v>0</v>
      </c>
      <c r="S2205" s="2">
        <v>94500</v>
      </c>
      <c r="T2205" s="4">
        <v>9.35E-2</v>
      </c>
      <c r="U2205">
        <v>10</v>
      </c>
      <c r="V2205">
        <v>1</v>
      </c>
      <c r="W2205">
        <v>1</v>
      </c>
    </row>
    <row r="2206" spans="1:23" ht="16.5" x14ac:dyDescent="0.3">
      <c r="A2206" t="s">
        <v>2270</v>
      </c>
      <c r="B2206" s="1">
        <v>45628</v>
      </c>
      <c r="C2206">
        <v>2024</v>
      </c>
      <c r="D2206" t="s">
        <v>1832</v>
      </c>
      <c r="E2206" t="s">
        <v>2264</v>
      </c>
      <c r="F2206" t="s">
        <v>26</v>
      </c>
      <c r="G2206" t="s">
        <v>27</v>
      </c>
      <c r="H2206" t="s">
        <v>34</v>
      </c>
      <c r="I2206" t="s">
        <v>42</v>
      </c>
      <c r="J2206" t="s">
        <v>52</v>
      </c>
      <c r="K2206" s="2">
        <v>8900</v>
      </c>
      <c r="L2206" s="2">
        <v>21500</v>
      </c>
      <c r="M2206">
        <v>60</v>
      </c>
      <c r="N2206" s="3">
        <v>0.157</v>
      </c>
      <c r="O2206" t="s">
        <v>16</v>
      </c>
      <c r="Q2206">
        <v>1</v>
      </c>
      <c r="R2206">
        <v>0</v>
      </c>
      <c r="S2206" s="2">
        <v>21500</v>
      </c>
      <c r="T2206" s="4">
        <v>7.2099999999999997E-2</v>
      </c>
      <c r="U2206">
        <v>3</v>
      </c>
      <c r="V2206">
        <v>1</v>
      </c>
      <c r="W2206">
        <v>1</v>
      </c>
    </row>
    <row r="2207" spans="1:23" ht="16.5" x14ac:dyDescent="0.3">
      <c r="A2207" t="s">
        <v>2271</v>
      </c>
      <c r="B2207" s="1">
        <v>45628</v>
      </c>
      <c r="C2207">
        <v>2024</v>
      </c>
      <c r="D2207" t="s">
        <v>1832</v>
      </c>
      <c r="E2207" t="s">
        <v>2264</v>
      </c>
      <c r="F2207" t="s">
        <v>50</v>
      </c>
      <c r="G2207" t="s">
        <v>33</v>
      </c>
      <c r="H2207" t="s">
        <v>28</v>
      </c>
      <c r="I2207" t="s">
        <v>39</v>
      </c>
      <c r="J2207" t="s">
        <v>46</v>
      </c>
      <c r="K2207" s="2">
        <v>4150</v>
      </c>
      <c r="L2207" s="2">
        <v>505000</v>
      </c>
      <c r="M2207">
        <v>300</v>
      </c>
      <c r="N2207" s="3">
        <v>0.95399999999999996</v>
      </c>
      <c r="O2207" t="s">
        <v>17</v>
      </c>
      <c r="P2207" t="s">
        <v>53</v>
      </c>
      <c r="Q2207">
        <v>0</v>
      </c>
      <c r="R2207">
        <v>1</v>
      </c>
      <c r="S2207" s="2">
        <v>0</v>
      </c>
      <c r="T2207" s="4"/>
      <c r="U2207">
        <v>7</v>
      </c>
      <c r="V2207">
        <v>1</v>
      </c>
      <c r="W2207">
        <v>1</v>
      </c>
    </row>
    <row r="2208" spans="1:23" ht="16.5" x14ac:dyDescent="0.3">
      <c r="A2208" t="s">
        <v>2272</v>
      </c>
      <c r="B2208" s="1">
        <v>45628</v>
      </c>
      <c r="C2208">
        <v>2024</v>
      </c>
      <c r="D2208" t="s">
        <v>1832</v>
      </c>
      <c r="E2208" t="s">
        <v>2264</v>
      </c>
      <c r="F2208" t="s">
        <v>37</v>
      </c>
      <c r="G2208" t="s">
        <v>51</v>
      </c>
      <c r="H2208" t="s">
        <v>38</v>
      </c>
      <c r="I2208" t="s">
        <v>39</v>
      </c>
      <c r="J2208" t="s">
        <v>35</v>
      </c>
      <c r="K2208" s="2">
        <v>3750</v>
      </c>
      <c r="L2208" s="2">
        <v>25500</v>
      </c>
      <c r="M2208">
        <v>12</v>
      </c>
      <c r="N2208" s="3">
        <v>0.74</v>
      </c>
      <c r="O2208" t="s">
        <v>16</v>
      </c>
      <c r="Q2208">
        <v>1</v>
      </c>
      <c r="R2208">
        <v>0</v>
      </c>
      <c r="S2208" s="2">
        <v>25500</v>
      </c>
      <c r="T2208" s="4">
        <v>0.12709999999999999</v>
      </c>
      <c r="U2208">
        <v>6</v>
      </c>
      <c r="V2208">
        <v>0</v>
      </c>
      <c r="W2208">
        <v>1</v>
      </c>
    </row>
    <row r="2209" spans="1:23" ht="16.5" x14ac:dyDescent="0.3">
      <c r="A2209" t="s">
        <v>2273</v>
      </c>
      <c r="B2209" s="1">
        <v>45628</v>
      </c>
      <c r="C2209">
        <v>2024</v>
      </c>
      <c r="D2209" t="s">
        <v>1832</v>
      </c>
      <c r="E2209" t="s">
        <v>2264</v>
      </c>
      <c r="F2209" t="s">
        <v>26</v>
      </c>
      <c r="G2209" t="s">
        <v>45</v>
      </c>
      <c r="H2209" t="s">
        <v>55</v>
      </c>
      <c r="I2209" t="s">
        <v>39</v>
      </c>
      <c r="J2209" t="s">
        <v>30</v>
      </c>
      <c r="K2209" s="2">
        <v>4100</v>
      </c>
      <c r="L2209" s="2">
        <v>12500</v>
      </c>
      <c r="M2209">
        <v>48</v>
      </c>
      <c r="N2209" s="3">
        <v>0.19</v>
      </c>
      <c r="O2209" t="s">
        <v>17</v>
      </c>
      <c r="P2209" t="s">
        <v>48</v>
      </c>
      <c r="Q2209">
        <v>0</v>
      </c>
      <c r="R2209">
        <v>1</v>
      </c>
      <c r="S2209" s="2">
        <v>0</v>
      </c>
      <c r="T2209" s="4"/>
      <c r="U2209">
        <v>3</v>
      </c>
      <c r="V2209">
        <v>1</v>
      </c>
      <c r="W2209">
        <v>1</v>
      </c>
    </row>
    <row r="2210" spans="1:23" ht="16.5" x14ac:dyDescent="0.3">
      <c r="A2210" t="s">
        <v>2274</v>
      </c>
      <c r="B2210" s="1">
        <v>45629</v>
      </c>
      <c r="C2210">
        <v>2024</v>
      </c>
      <c r="D2210" t="s">
        <v>1832</v>
      </c>
      <c r="E2210" t="s">
        <v>2264</v>
      </c>
      <c r="F2210" t="s">
        <v>37</v>
      </c>
      <c r="G2210" t="s">
        <v>33</v>
      </c>
      <c r="H2210" t="s">
        <v>55</v>
      </c>
      <c r="I2210" t="s">
        <v>29</v>
      </c>
      <c r="J2210" t="s">
        <v>30</v>
      </c>
      <c r="K2210" s="2">
        <v>4200</v>
      </c>
      <c r="L2210" s="2">
        <v>9000</v>
      </c>
      <c r="M2210">
        <v>48</v>
      </c>
      <c r="N2210" s="3">
        <v>0.14899999999999999</v>
      </c>
      <c r="O2210" t="s">
        <v>16</v>
      </c>
      <c r="Q2210">
        <v>1</v>
      </c>
      <c r="R2210">
        <v>0</v>
      </c>
      <c r="S2210" s="2">
        <v>7000</v>
      </c>
      <c r="T2210" s="4">
        <v>0.1424</v>
      </c>
      <c r="U2210">
        <v>2</v>
      </c>
      <c r="V2210">
        <v>1</v>
      </c>
      <c r="W2210">
        <v>1</v>
      </c>
    </row>
    <row r="2211" spans="1:23" ht="16.5" x14ac:dyDescent="0.3">
      <c r="A2211" t="s">
        <v>2275</v>
      </c>
      <c r="B2211" s="1">
        <v>45629</v>
      </c>
      <c r="C2211">
        <v>2024</v>
      </c>
      <c r="D2211" t="s">
        <v>1832</v>
      </c>
      <c r="E2211" t="s">
        <v>2264</v>
      </c>
      <c r="F2211" t="s">
        <v>37</v>
      </c>
      <c r="G2211" t="s">
        <v>45</v>
      </c>
      <c r="H2211" t="s">
        <v>55</v>
      </c>
      <c r="I2211" t="s">
        <v>29</v>
      </c>
      <c r="J2211" t="s">
        <v>30</v>
      </c>
      <c r="K2211" s="2">
        <v>10200</v>
      </c>
      <c r="L2211" s="2">
        <v>24000</v>
      </c>
      <c r="M2211">
        <v>12</v>
      </c>
      <c r="N2211" s="3">
        <v>0.33300000000000002</v>
      </c>
      <c r="O2211" t="s">
        <v>17</v>
      </c>
      <c r="P2211" t="s">
        <v>65</v>
      </c>
      <c r="Q2211">
        <v>0</v>
      </c>
      <c r="R2211">
        <v>1</v>
      </c>
      <c r="S2211" s="2">
        <v>0</v>
      </c>
      <c r="T2211" s="4"/>
      <c r="U2211">
        <v>2</v>
      </c>
      <c r="V2211">
        <v>1</v>
      </c>
      <c r="W2211">
        <v>1</v>
      </c>
    </row>
    <row r="2212" spans="1:23" ht="16.5" x14ac:dyDescent="0.3">
      <c r="A2212" t="s">
        <v>2276</v>
      </c>
      <c r="B2212" s="1">
        <v>45629</v>
      </c>
      <c r="C2212">
        <v>2024</v>
      </c>
      <c r="D2212" t="s">
        <v>1832</v>
      </c>
      <c r="E2212" t="s">
        <v>2264</v>
      </c>
      <c r="F2212" t="s">
        <v>37</v>
      </c>
      <c r="G2212" t="s">
        <v>27</v>
      </c>
      <c r="H2212" t="s">
        <v>64</v>
      </c>
      <c r="I2212" t="s">
        <v>42</v>
      </c>
      <c r="J2212" t="s">
        <v>46</v>
      </c>
      <c r="K2212" s="2">
        <v>2850</v>
      </c>
      <c r="L2212" s="2">
        <v>5500</v>
      </c>
      <c r="M2212">
        <v>48</v>
      </c>
      <c r="N2212" s="3">
        <v>0.112</v>
      </c>
      <c r="O2212" t="s">
        <v>17</v>
      </c>
      <c r="P2212" t="s">
        <v>60</v>
      </c>
      <c r="Q2212">
        <v>0</v>
      </c>
      <c r="R2212">
        <v>1</v>
      </c>
      <c r="S2212" s="2">
        <v>0</v>
      </c>
      <c r="T2212" s="4"/>
      <c r="U2212">
        <v>7</v>
      </c>
      <c r="V2212">
        <v>0</v>
      </c>
      <c r="W2212">
        <v>1</v>
      </c>
    </row>
    <row r="2213" spans="1:23" ht="16.5" x14ac:dyDescent="0.3">
      <c r="A2213" t="s">
        <v>2277</v>
      </c>
      <c r="B2213" s="1">
        <v>45629</v>
      </c>
      <c r="C2213">
        <v>2024</v>
      </c>
      <c r="D2213" t="s">
        <v>1832</v>
      </c>
      <c r="E2213" t="s">
        <v>2264</v>
      </c>
      <c r="F2213" t="s">
        <v>37</v>
      </c>
      <c r="G2213" t="s">
        <v>27</v>
      </c>
      <c r="H2213" t="s">
        <v>28</v>
      </c>
      <c r="I2213" t="s">
        <v>42</v>
      </c>
      <c r="J2213" t="s">
        <v>30</v>
      </c>
      <c r="K2213" s="2">
        <v>4000</v>
      </c>
      <c r="L2213" s="2">
        <v>12500</v>
      </c>
      <c r="M2213">
        <v>12</v>
      </c>
      <c r="N2213" s="3">
        <v>0.443</v>
      </c>
      <c r="O2213" t="s">
        <v>17</v>
      </c>
      <c r="P2213" t="s">
        <v>60</v>
      </c>
      <c r="Q2213">
        <v>0</v>
      </c>
      <c r="R2213">
        <v>1</v>
      </c>
      <c r="S2213" s="2">
        <v>0</v>
      </c>
      <c r="T2213" s="4"/>
      <c r="U2213">
        <v>5</v>
      </c>
      <c r="V2213">
        <v>0</v>
      </c>
      <c r="W2213">
        <v>1</v>
      </c>
    </row>
    <row r="2214" spans="1:23" ht="16.5" x14ac:dyDescent="0.3">
      <c r="A2214" t="s">
        <v>2278</v>
      </c>
      <c r="B2214" s="1">
        <v>45629</v>
      </c>
      <c r="C2214">
        <v>2024</v>
      </c>
      <c r="D2214" t="s">
        <v>1832</v>
      </c>
      <c r="E2214" t="s">
        <v>2264</v>
      </c>
      <c r="F2214" t="s">
        <v>37</v>
      </c>
      <c r="G2214" t="s">
        <v>45</v>
      </c>
      <c r="H2214" t="s">
        <v>64</v>
      </c>
      <c r="I2214" t="s">
        <v>39</v>
      </c>
      <c r="J2214" t="s">
        <v>52</v>
      </c>
      <c r="K2214" s="2">
        <v>8150</v>
      </c>
      <c r="L2214" s="2">
        <v>10000</v>
      </c>
      <c r="M2214">
        <v>36</v>
      </c>
      <c r="N2214" s="3">
        <v>0.11</v>
      </c>
      <c r="O2214" t="s">
        <v>16</v>
      </c>
      <c r="Q2214">
        <v>1</v>
      </c>
      <c r="R2214">
        <v>0</v>
      </c>
      <c r="S2214" s="2">
        <v>10000</v>
      </c>
      <c r="T2214" s="4">
        <v>0.1086</v>
      </c>
      <c r="U2214">
        <v>3</v>
      </c>
      <c r="V2214">
        <v>1</v>
      </c>
      <c r="W2214">
        <v>1</v>
      </c>
    </row>
    <row r="2215" spans="1:23" ht="16.5" x14ac:dyDescent="0.3">
      <c r="A2215" t="s">
        <v>2279</v>
      </c>
      <c r="B2215" s="1">
        <v>45629</v>
      </c>
      <c r="C2215">
        <v>2024</v>
      </c>
      <c r="D2215" t="s">
        <v>1832</v>
      </c>
      <c r="E2215" t="s">
        <v>2264</v>
      </c>
      <c r="F2215" t="s">
        <v>26</v>
      </c>
      <c r="G2215" t="s">
        <v>51</v>
      </c>
      <c r="H2215" t="s">
        <v>55</v>
      </c>
      <c r="I2215" t="s">
        <v>29</v>
      </c>
      <c r="J2215" t="s">
        <v>46</v>
      </c>
      <c r="K2215" s="2">
        <v>4500</v>
      </c>
      <c r="L2215" s="2">
        <v>29000</v>
      </c>
      <c r="M2215">
        <v>60</v>
      </c>
      <c r="N2215" s="3">
        <v>0.214</v>
      </c>
      <c r="O2215" t="s">
        <v>17</v>
      </c>
      <c r="P2215" t="s">
        <v>65</v>
      </c>
      <c r="Q2215">
        <v>0</v>
      </c>
      <c r="R2215">
        <v>1</v>
      </c>
      <c r="S2215" s="2">
        <v>0</v>
      </c>
      <c r="T2215" s="4"/>
      <c r="U2215">
        <v>4</v>
      </c>
      <c r="V2215">
        <v>1</v>
      </c>
      <c r="W2215">
        <v>1</v>
      </c>
    </row>
    <row r="2216" spans="1:23" ht="16.5" x14ac:dyDescent="0.3">
      <c r="A2216" t="s">
        <v>2280</v>
      </c>
      <c r="B2216" s="1">
        <v>45629</v>
      </c>
      <c r="C2216">
        <v>2024</v>
      </c>
      <c r="D2216" t="s">
        <v>1832</v>
      </c>
      <c r="E2216" t="s">
        <v>2264</v>
      </c>
      <c r="F2216" t="s">
        <v>37</v>
      </c>
      <c r="G2216" t="s">
        <v>51</v>
      </c>
      <c r="H2216" t="s">
        <v>64</v>
      </c>
      <c r="I2216" t="s">
        <v>39</v>
      </c>
      <c r="J2216" t="s">
        <v>35</v>
      </c>
      <c r="K2216" s="2">
        <v>5950</v>
      </c>
      <c r="L2216" s="2">
        <v>6500</v>
      </c>
      <c r="M2216">
        <v>48</v>
      </c>
      <c r="N2216" s="3">
        <v>0.27300000000000002</v>
      </c>
      <c r="O2216" t="s">
        <v>16</v>
      </c>
      <c r="Q2216">
        <v>1</v>
      </c>
      <c r="R2216">
        <v>0</v>
      </c>
      <c r="S2216" s="2">
        <v>6500</v>
      </c>
      <c r="T2216" s="4">
        <v>0.12709999999999999</v>
      </c>
      <c r="U2216">
        <v>4</v>
      </c>
      <c r="V2216">
        <v>0</v>
      </c>
      <c r="W2216">
        <v>1</v>
      </c>
    </row>
    <row r="2217" spans="1:23" ht="16.5" x14ac:dyDescent="0.3">
      <c r="A2217" t="s">
        <v>2281</v>
      </c>
      <c r="B2217" s="1">
        <v>45630</v>
      </c>
      <c r="C2217">
        <v>2024</v>
      </c>
      <c r="D2217" t="s">
        <v>1832</v>
      </c>
      <c r="E2217" t="s">
        <v>2264</v>
      </c>
      <c r="F2217" t="s">
        <v>37</v>
      </c>
      <c r="G2217" t="s">
        <v>51</v>
      </c>
      <c r="H2217" t="s">
        <v>38</v>
      </c>
      <c r="I2217" t="s">
        <v>42</v>
      </c>
      <c r="J2217" t="s">
        <v>46</v>
      </c>
      <c r="K2217" s="2">
        <v>5450</v>
      </c>
      <c r="L2217" s="2">
        <v>17500</v>
      </c>
      <c r="M2217">
        <v>12</v>
      </c>
      <c r="N2217" s="3">
        <v>0.40300000000000002</v>
      </c>
      <c r="O2217" t="s">
        <v>16</v>
      </c>
      <c r="Q2217">
        <v>1</v>
      </c>
      <c r="R2217">
        <v>0</v>
      </c>
      <c r="S2217" s="2">
        <v>17500</v>
      </c>
      <c r="T2217" s="4">
        <v>0.1065</v>
      </c>
      <c r="U2217">
        <v>3</v>
      </c>
      <c r="V2217">
        <v>1</v>
      </c>
      <c r="W2217">
        <v>1</v>
      </c>
    </row>
    <row r="2218" spans="1:23" ht="16.5" x14ac:dyDescent="0.3">
      <c r="A2218" t="s">
        <v>2282</v>
      </c>
      <c r="B2218" s="1">
        <v>45630</v>
      </c>
      <c r="C2218">
        <v>2024</v>
      </c>
      <c r="D2218" t="s">
        <v>1832</v>
      </c>
      <c r="E2218" t="s">
        <v>2264</v>
      </c>
      <c r="F2218" t="s">
        <v>26</v>
      </c>
      <c r="G2218" t="s">
        <v>51</v>
      </c>
      <c r="H2218" t="s">
        <v>34</v>
      </c>
      <c r="I2218" t="s">
        <v>39</v>
      </c>
      <c r="J2218" t="s">
        <v>35</v>
      </c>
      <c r="K2218" s="2">
        <v>3000</v>
      </c>
      <c r="L2218" s="2">
        <v>24000</v>
      </c>
      <c r="M2218">
        <v>60</v>
      </c>
      <c r="N2218" s="3">
        <v>0.26500000000000001</v>
      </c>
      <c r="O2218" t="s">
        <v>16</v>
      </c>
      <c r="Q2218">
        <v>1</v>
      </c>
      <c r="R2218">
        <v>0</v>
      </c>
      <c r="S2218" s="2">
        <v>19000</v>
      </c>
      <c r="T2218" s="4">
        <v>8.6800000000000002E-2</v>
      </c>
      <c r="U2218">
        <v>8</v>
      </c>
      <c r="V2218">
        <v>0</v>
      </c>
      <c r="W2218">
        <v>1</v>
      </c>
    </row>
    <row r="2219" spans="1:23" ht="16.5" x14ac:dyDescent="0.3">
      <c r="A2219" t="s">
        <v>2283</v>
      </c>
      <c r="B2219" s="1">
        <v>45630</v>
      </c>
      <c r="C2219">
        <v>2024</v>
      </c>
      <c r="D2219" t="s">
        <v>1832</v>
      </c>
      <c r="E2219" t="s">
        <v>2264</v>
      </c>
      <c r="F2219" t="s">
        <v>37</v>
      </c>
      <c r="G2219" t="s">
        <v>51</v>
      </c>
      <c r="H2219" t="s">
        <v>34</v>
      </c>
      <c r="I2219" t="s">
        <v>29</v>
      </c>
      <c r="J2219" t="s">
        <v>46</v>
      </c>
      <c r="K2219" s="2">
        <v>3700</v>
      </c>
      <c r="L2219" s="2">
        <v>21500</v>
      </c>
      <c r="M2219">
        <v>36</v>
      </c>
      <c r="N2219" s="3">
        <v>0.33100000000000002</v>
      </c>
      <c r="O2219" t="s">
        <v>16</v>
      </c>
      <c r="Q2219">
        <v>1</v>
      </c>
      <c r="R2219">
        <v>0</v>
      </c>
      <c r="S2219" s="2">
        <v>21500</v>
      </c>
      <c r="T2219" s="4">
        <v>0.1057</v>
      </c>
      <c r="U2219">
        <v>5</v>
      </c>
      <c r="V2219">
        <v>0</v>
      </c>
      <c r="W2219">
        <v>1</v>
      </c>
    </row>
    <row r="2220" spans="1:23" ht="16.5" x14ac:dyDescent="0.3">
      <c r="A2220" t="s">
        <v>2284</v>
      </c>
      <c r="B2220" s="1">
        <v>45630</v>
      </c>
      <c r="C2220">
        <v>2024</v>
      </c>
      <c r="D2220" t="s">
        <v>1832</v>
      </c>
      <c r="E2220" t="s">
        <v>2264</v>
      </c>
      <c r="F2220" t="s">
        <v>26</v>
      </c>
      <c r="G2220" t="s">
        <v>51</v>
      </c>
      <c r="H2220" t="s">
        <v>55</v>
      </c>
      <c r="I2220" t="s">
        <v>29</v>
      </c>
      <c r="J2220" t="s">
        <v>30</v>
      </c>
      <c r="K2220" s="2">
        <v>2550</v>
      </c>
      <c r="L2220" s="2">
        <v>18500</v>
      </c>
      <c r="M2220">
        <v>60</v>
      </c>
      <c r="N2220" s="3">
        <v>0.28699999999999998</v>
      </c>
      <c r="O2220" t="s">
        <v>16</v>
      </c>
      <c r="Q2220">
        <v>1</v>
      </c>
      <c r="R2220">
        <v>0</v>
      </c>
      <c r="S2220" s="2">
        <v>16500</v>
      </c>
      <c r="T2220" s="4">
        <v>0.1019</v>
      </c>
      <c r="U2220">
        <v>5</v>
      </c>
      <c r="V2220">
        <v>0</v>
      </c>
      <c r="W2220">
        <v>1</v>
      </c>
    </row>
    <row r="2221" spans="1:23" ht="16.5" x14ac:dyDescent="0.3">
      <c r="A2221" t="s">
        <v>2285</v>
      </c>
      <c r="B2221" s="1">
        <v>45630</v>
      </c>
      <c r="C2221">
        <v>2024</v>
      </c>
      <c r="D2221" t="s">
        <v>1832</v>
      </c>
      <c r="E2221" t="s">
        <v>2264</v>
      </c>
      <c r="F2221" t="s">
        <v>37</v>
      </c>
      <c r="G2221" t="s">
        <v>51</v>
      </c>
      <c r="H2221" t="s">
        <v>55</v>
      </c>
      <c r="I2221" t="s">
        <v>29</v>
      </c>
      <c r="J2221" t="s">
        <v>43</v>
      </c>
      <c r="K2221" s="2">
        <v>7750</v>
      </c>
      <c r="L2221" s="2">
        <v>28000</v>
      </c>
      <c r="M2221">
        <v>60</v>
      </c>
      <c r="N2221" s="3">
        <v>0.23</v>
      </c>
      <c r="O2221" t="s">
        <v>16</v>
      </c>
      <c r="Q2221">
        <v>1</v>
      </c>
      <c r="R2221">
        <v>0</v>
      </c>
      <c r="S2221" s="2">
        <v>28000</v>
      </c>
      <c r="T2221" s="4">
        <v>0.1633</v>
      </c>
      <c r="U2221">
        <v>4</v>
      </c>
      <c r="V2221">
        <v>0</v>
      </c>
      <c r="W2221">
        <v>1</v>
      </c>
    </row>
    <row r="2222" spans="1:23" ht="16.5" x14ac:dyDescent="0.3">
      <c r="A2222" t="s">
        <v>2286</v>
      </c>
      <c r="B2222" s="1">
        <v>45630</v>
      </c>
      <c r="C2222">
        <v>2024</v>
      </c>
      <c r="D2222" t="s">
        <v>1832</v>
      </c>
      <c r="E2222" t="s">
        <v>2264</v>
      </c>
      <c r="F2222" t="s">
        <v>26</v>
      </c>
      <c r="G2222" t="s">
        <v>51</v>
      </c>
      <c r="H2222" t="s">
        <v>38</v>
      </c>
      <c r="I2222" t="s">
        <v>29</v>
      </c>
      <c r="J2222" t="s">
        <v>35</v>
      </c>
      <c r="K2222" s="2">
        <v>8100</v>
      </c>
      <c r="L2222" s="2">
        <v>45000</v>
      </c>
      <c r="M2222">
        <v>60</v>
      </c>
      <c r="N2222" s="3">
        <v>0.26700000000000002</v>
      </c>
      <c r="O2222" t="s">
        <v>16</v>
      </c>
      <c r="Q2222">
        <v>1</v>
      </c>
      <c r="R2222">
        <v>0</v>
      </c>
      <c r="S2222" s="2">
        <v>40500</v>
      </c>
      <c r="T2222" s="4">
        <v>7.9200000000000007E-2</v>
      </c>
      <c r="U2222">
        <v>6</v>
      </c>
      <c r="V2222">
        <v>0</v>
      </c>
      <c r="W2222">
        <v>1</v>
      </c>
    </row>
    <row r="2223" spans="1:23" ht="16.5" x14ac:dyDescent="0.3">
      <c r="A2223" t="s">
        <v>2287</v>
      </c>
      <c r="B2223" s="1">
        <v>45630</v>
      </c>
      <c r="C2223">
        <v>2024</v>
      </c>
      <c r="D2223" t="s">
        <v>1832</v>
      </c>
      <c r="E2223" t="s">
        <v>2264</v>
      </c>
      <c r="F2223" t="s">
        <v>50</v>
      </c>
      <c r="G2223" t="s">
        <v>45</v>
      </c>
      <c r="H2223" t="s">
        <v>34</v>
      </c>
      <c r="I2223" t="s">
        <v>39</v>
      </c>
      <c r="J2223" t="s">
        <v>52</v>
      </c>
      <c r="K2223" s="2">
        <v>7050</v>
      </c>
      <c r="L2223" s="2">
        <v>244500</v>
      </c>
      <c r="M2223">
        <v>180</v>
      </c>
      <c r="N2223" s="3">
        <v>0.48599999999999999</v>
      </c>
      <c r="O2223" t="s">
        <v>16</v>
      </c>
      <c r="Q2223">
        <v>1</v>
      </c>
      <c r="R2223">
        <v>0</v>
      </c>
      <c r="S2223" s="2">
        <v>220000</v>
      </c>
      <c r="T2223" s="4">
        <v>4.9099999999999998E-2</v>
      </c>
      <c r="U2223">
        <v>15</v>
      </c>
      <c r="V2223">
        <v>1</v>
      </c>
      <c r="W2223">
        <v>1</v>
      </c>
    </row>
    <row r="2224" spans="1:23" ht="16.5" x14ac:dyDescent="0.3">
      <c r="A2224" t="s">
        <v>2288</v>
      </c>
      <c r="B2224" s="1">
        <v>45630</v>
      </c>
      <c r="C2224">
        <v>2024</v>
      </c>
      <c r="D2224" t="s">
        <v>1832</v>
      </c>
      <c r="E2224" t="s">
        <v>2264</v>
      </c>
      <c r="F2224" t="s">
        <v>50</v>
      </c>
      <c r="G2224" t="s">
        <v>51</v>
      </c>
      <c r="H2224" t="s">
        <v>55</v>
      </c>
      <c r="I2224" t="s">
        <v>29</v>
      </c>
      <c r="J2224" t="s">
        <v>35</v>
      </c>
      <c r="K2224" s="2">
        <v>4250</v>
      </c>
      <c r="L2224" s="2">
        <v>247000</v>
      </c>
      <c r="M2224">
        <v>300</v>
      </c>
      <c r="N2224" s="3">
        <v>0.437</v>
      </c>
      <c r="O2224" t="s">
        <v>17</v>
      </c>
      <c r="P2224" t="s">
        <v>60</v>
      </c>
      <c r="Q2224">
        <v>0</v>
      </c>
      <c r="R2224">
        <v>1</v>
      </c>
      <c r="S2224" s="2">
        <v>0</v>
      </c>
      <c r="T2224" s="4"/>
      <c r="U2224">
        <v>29</v>
      </c>
      <c r="V2224">
        <v>0</v>
      </c>
      <c r="W2224">
        <v>1</v>
      </c>
    </row>
    <row r="2225" spans="1:23" ht="16.5" x14ac:dyDescent="0.3">
      <c r="A2225" t="s">
        <v>2289</v>
      </c>
      <c r="B2225" s="1">
        <v>45631</v>
      </c>
      <c r="C2225">
        <v>2024</v>
      </c>
      <c r="D2225" t="s">
        <v>1832</v>
      </c>
      <c r="E2225" t="s">
        <v>2264</v>
      </c>
      <c r="F2225" t="s">
        <v>37</v>
      </c>
      <c r="G2225" t="s">
        <v>33</v>
      </c>
      <c r="H2225" t="s">
        <v>55</v>
      </c>
      <c r="I2225" t="s">
        <v>39</v>
      </c>
      <c r="J2225" t="s">
        <v>52</v>
      </c>
      <c r="K2225" s="2">
        <v>6750</v>
      </c>
      <c r="L2225" s="2">
        <v>11000</v>
      </c>
      <c r="M2225">
        <v>36</v>
      </c>
      <c r="N2225" s="3">
        <v>0.19400000000000001</v>
      </c>
      <c r="O2225" t="s">
        <v>16</v>
      </c>
      <c r="Q2225">
        <v>1</v>
      </c>
      <c r="R2225">
        <v>0</v>
      </c>
      <c r="S2225" s="2">
        <v>10000</v>
      </c>
      <c r="T2225" s="4">
        <v>0.1188</v>
      </c>
      <c r="U2225">
        <v>1</v>
      </c>
      <c r="V2225">
        <v>1</v>
      </c>
      <c r="W2225">
        <v>1</v>
      </c>
    </row>
    <row r="2226" spans="1:23" ht="16.5" x14ac:dyDescent="0.3">
      <c r="A2226" t="s">
        <v>2290</v>
      </c>
      <c r="B2226" s="1">
        <v>45631</v>
      </c>
      <c r="C2226">
        <v>2024</v>
      </c>
      <c r="D2226" t="s">
        <v>1832</v>
      </c>
      <c r="E2226" t="s">
        <v>2264</v>
      </c>
      <c r="F2226" t="s">
        <v>37</v>
      </c>
      <c r="G2226" t="s">
        <v>51</v>
      </c>
      <c r="H2226" t="s">
        <v>64</v>
      </c>
      <c r="I2226" t="s">
        <v>39</v>
      </c>
      <c r="J2226" t="s">
        <v>35</v>
      </c>
      <c r="K2226" s="2">
        <v>4050</v>
      </c>
      <c r="L2226" s="2">
        <v>5500</v>
      </c>
      <c r="M2226">
        <v>24</v>
      </c>
      <c r="N2226" s="3">
        <v>0.16800000000000001</v>
      </c>
      <c r="O2226" t="s">
        <v>16</v>
      </c>
      <c r="Q2226">
        <v>1</v>
      </c>
      <c r="R2226">
        <v>0</v>
      </c>
      <c r="S2226" s="2">
        <v>5000</v>
      </c>
      <c r="T2226" s="4">
        <v>0.1227</v>
      </c>
      <c r="U2226">
        <v>4</v>
      </c>
      <c r="V2226">
        <v>0</v>
      </c>
      <c r="W2226">
        <v>1</v>
      </c>
    </row>
    <row r="2227" spans="1:23" ht="16.5" x14ac:dyDescent="0.3">
      <c r="A2227" t="s">
        <v>2291</v>
      </c>
      <c r="B2227" s="1">
        <v>45631</v>
      </c>
      <c r="C2227">
        <v>2024</v>
      </c>
      <c r="D2227" t="s">
        <v>1832</v>
      </c>
      <c r="E2227" t="s">
        <v>2264</v>
      </c>
      <c r="F2227" t="s">
        <v>26</v>
      </c>
      <c r="G2227" t="s">
        <v>45</v>
      </c>
      <c r="H2227" t="s">
        <v>55</v>
      </c>
      <c r="I2227" t="s">
        <v>29</v>
      </c>
      <c r="J2227" t="s">
        <v>30</v>
      </c>
      <c r="K2227" s="2">
        <v>3650</v>
      </c>
      <c r="L2227" s="2">
        <v>39500</v>
      </c>
      <c r="M2227">
        <v>48</v>
      </c>
      <c r="N2227" s="3">
        <v>0.49299999999999999</v>
      </c>
      <c r="O2227" t="s">
        <v>17</v>
      </c>
      <c r="P2227" t="s">
        <v>31</v>
      </c>
      <c r="Q2227">
        <v>0</v>
      </c>
      <c r="R2227">
        <v>1</v>
      </c>
      <c r="S2227" s="2">
        <v>0</v>
      </c>
      <c r="T2227" s="4"/>
      <c r="U2227">
        <v>4</v>
      </c>
      <c r="V2227">
        <v>1</v>
      </c>
      <c r="W2227">
        <v>1</v>
      </c>
    </row>
    <row r="2228" spans="1:23" ht="16.5" x14ac:dyDescent="0.3">
      <c r="A2228" t="s">
        <v>2292</v>
      </c>
      <c r="B2228" s="1">
        <v>45631</v>
      </c>
      <c r="C2228">
        <v>2024</v>
      </c>
      <c r="D2228" t="s">
        <v>1832</v>
      </c>
      <c r="E2228" t="s">
        <v>2264</v>
      </c>
      <c r="F2228" t="s">
        <v>41</v>
      </c>
      <c r="G2228" t="s">
        <v>51</v>
      </c>
      <c r="H2228" t="s">
        <v>64</v>
      </c>
      <c r="I2228" t="s">
        <v>29</v>
      </c>
      <c r="J2228" t="s">
        <v>46</v>
      </c>
      <c r="K2228" s="2">
        <v>3600</v>
      </c>
      <c r="L2228" s="2">
        <v>61000</v>
      </c>
      <c r="M2228">
        <v>60</v>
      </c>
      <c r="N2228" s="3">
        <v>0.60599999999999998</v>
      </c>
      <c r="O2228" t="s">
        <v>16</v>
      </c>
      <c r="Q2228">
        <v>1</v>
      </c>
      <c r="R2228">
        <v>0</v>
      </c>
      <c r="S2228" s="2">
        <v>61000</v>
      </c>
      <c r="T2228" s="4">
        <v>9.1600000000000001E-2</v>
      </c>
      <c r="U2228">
        <v>14</v>
      </c>
      <c r="V2228">
        <v>0</v>
      </c>
      <c r="W2228">
        <v>1</v>
      </c>
    </row>
    <row r="2229" spans="1:23" ht="16.5" x14ac:dyDescent="0.3">
      <c r="A2229" t="s">
        <v>2293</v>
      </c>
      <c r="B2229" s="1">
        <v>45631</v>
      </c>
      <c r="C2229">
        <v>2024</v>
      </c>
      <c r="D2229" t="s">
        <v>1832</v>
      </c>
      <c r="E2229" t="s">
        <v>2264</v>
      </c>
      <c r="F2229" t="s">
        <v>41</v>
      </c>
      <c r="G2229" t="s">
        <v>51</v>
      </c>
      <c r="H2229" t="s">
        <v>64</v>
      </c>
      <c r="I2229" t="s">
        <v>39</v>
      </c>
      <c r="J2229" t="s">
        <v>35</v>
      </c>
      <c r="K2229" s="2">
        <v>6800</v>
      </c>
      <c r="L2229" s="2">
        <v>161500</v>
      </c>
      <c r="M2229">
        <v>12</v>
      </c>
      <c r="N2229" s="3">
        <v>2.3239999999999998</v>
      </c>
      <c r="O2229" t="s">
        <v>17</v>
      </c>
      <c r="P2229" t="s">
        <v>53</v>
      </c>
      <c r="Q2229">
        <v>0</v>
      </c>
      <c r="R2229">
        <v>1</v>
      </c>
      <c r="S2229" s="2">
        <v>0</v>
      </c>
      <c r="T2229" s="4"/>
      <c r="U2229">
        <v>17</v>
      </c>
      <c r="V2229">
        <v>0</v>
      </c>
      <c r="W2229">
        <v>1</v>
      </c>
    </row>
    <row r="2230" spans="1:23" ht="16.5" x14ac:dyDescent="0.3">
      <c r="A2230" t="s">
        <v>2294</v>
      </c>
      <c r="B2230" s="1">
        <v>45631</v>
      </c>
      <c r="C2230">
        <v>2024</v>
      </c>
      <c r="D2230" t="s">
        <v>1832</v>
      </c>
      <c r="E2230" t="s">
        <v>2264</v>
      </c>
      <c r="F2230" t="s">
        <v>37</v>
      </c>
      <c r="G2230" t="s">
        <v>45</v>
      </c>
      <c r="H2230" t="s">
        <v>28</v>
      </c>
      <c r="I2230" t="s">
        <v>39</v>
      </c>
      <c r="J2230" t="s">
        <v>35</v>
      </c>
      <c r="K2230" s="2">
        <v>5350</v>
      </c>
      <c r="L2230" s="2">
        <v>13500</v>
      </c>
      <c r="M2230">
        <v>60</v>
      </c>
      <c r="N2230" s="3">
        <v>0.26600000000000001</v>
      </c>
      <c r="O2230" t="s">
        <v>17</v>
      </c>
      <c r="P2230" t="s">
        <v>60</v>
      </c>
      <c r="Q2230">
        <v>0</v>
      </c>
      <c r="R2230">
        <v>1</v>
      </c>
      <c r="S2230" s="2">
        <v>0</v>
      </c>
      <c r="T2230" s="4"/>
      <c r="U2230">
        <v>5</v>
      </c>
      <c r="V2230">
        <v>0</v>
      </c>
      <c r="W2230">
        <v>1</v>
      </c>
    </row>
    <row r="2231" spans="1:23" ht="16.5" x14ac:dyDescent="0.3">
      <c r="A2231" t="s">
        <v>2295</v>
      </c>
      <c r="B2231" s="1">
        <v>45631</v>
      </c>
      <c r="C2231">
        <v>2024</v>
      </c>
      <c r="D2231" t="s">
        <v>1832</v>
      </c>
      <c r="E2231" t="s">
        <v>2264</v>
      </c>
      <c r="F2231" t="s">
        <v>26</v>
      </c>
      <c r="G2231" t="s">
        <v>33</v>
      </c>
      <c r="H2231" t="s">
        <v>38</v>
      </c>
      <c r="I2231" t="s">
        <v>39</v>
      </c>
      <c r="J2231" t="s">
        <v>52</v>
      </c>
      <c r="K2231" s="2">
        <v>7650</v>
      </c>
      <c r="L2231" s="2">
        <v>28000</v>
      </c>
      <c r="M2231">
        <v>60</v>
      </c>
      <c r="N2231" s="3">
        <v>0.18</v>
      </c>
      <c r="O2231" t="s">
        <v>16</v>
      </c>
      <c r="Q2231">
        <v>1</v>
      </c>
      <c r="R2231">
        <v>0</v>
      </c>
      <c r="S2231" s="2">
        <v>22500</v>
      </c>
      <c r="T2231" s="4">
        <v>7.1999999999999995E-2</v>
      </c>
      <c r="U2231">
        <v>2</v>
      </c>
      <c r="V2231">
        <v>1</v>
      </c>
      <c r="W2231">
        <v>1</v>
      </c>
    </row>
    <row r="2232" spans="1:23" ht="16.5" x14ac:dyDescent="0.3">
      <c r="A2232" t="s">
        <v>2296</v>
      </c>
      <c r="B2232" s="1">
        <v>45631</v>
      </c>
      <c r="C2232">
        <v>2024</v>
      </c>
      <c r="D2232" t="s">
        <v>1832</v>
      </c>
      <c r="E2232" t="s">
        <v>2264</v>
      </c>
      <c r="F2232" t="s">
        <v>50</v>
      </c>
      <c r="G2232" t="s">
        <v>51</v>
      </c>
      <c r="H2232" t="s">
        <v>55</v>
      </c>
      <c r="I2232" t="s">
        <v>39</v>
      </c>
      <c r="J2232" t="s">
        <v>35</v>
      </c>
      <c r="K2232" s="2">
        <v>4100</v>
      </c>
      <c r="L2232" s="2">
        <v>251000</v>
      </c>
      <c r="M2232">
        <v>180</v>
      </c>
      <c r="N2232" s="3">
        <v>0.65700000000000003</v>
      </c>
      <c r="O2232" t="s">
        <v>16</v>
      </c>
      <c r="Q2232">
        <v>1</v>
      </c>
      <c r="R2232">
        <v>0</v>
      </c>
      <c r="S2232" s="2">
        <v>201000</v>
      </c>
      <c r="T2232" s="4">
        <v>5.9700000000000003E-2</v>
      </c>
      <c r="U2232">
        <v>29</v>
      </c>
      <c r="V2232">
        <v>0</v>
      </c>
      <c r="W2232">
        <v>1</v>
      </c>
    </row>
    <row r="2233" spans="1:23" ht="16.5" x14ac:dyDescent="0.3">
      <c r="A2233" t="s">
        <v>2297</v>
      </c>
      <c r="B2233" s="1">
        <v>45632</v>
      </c>
      <c r="C2233">
        <v>2024</v>
      </c>
      <c r="D2233" t="s">
        <v>1832</v>
      </c>
      <c r="E2233" t="s">
        <v>2264</v>
      </c>
      <c r="F2233" t="s">
        <v>50</v>
      </c>
      <c r="G2233" t="s">
        <v>51</v>
      </c>
      <c r="H2233" t="s">
        <v>28</v>
      </c>
      <c r="I2233" t="s">
        <v>29</v>
      </c>
      <c r="J2233" t="s">
        <v>52</v>
      </c>
      <c r="K2233" s="2">
        <v>3300</v>
      </c>
      <c r="L2233" s="2">
        <v>219500</v>
      </c>
      <c r="M2233">
        <v>240</v>
      </c>
      <c r="N2233" s="3">
        <v>0.60499999999999998</v>
      </c>
      <c r="O2233" t="s">
        <v>17</v>
      </c>
      <c r="P2233" t="s">
        <v>53</v>
      </c>
      <c r="Q2233">
        <v>0</v>
      </c>
      <c r="R2233">
        <v>1</v>
      </c>
      <c r="S2233" s="2">
        <v>0</v>
      </c>
      <c r="T2233" s="4"/>
      <c r="U2233">
        <v>16</v>
      </c>
      <c r="V2233">
        <v>0</v>
      </c>
      <c r="W2233">
        <v>1</v>
      </c>
    </row>
    <row r="2234" spans="1:23" ht="16.5" x14ac:dyDescent="0.3">
      <c r="A2234" t="s">
        <v>2298</v>
      </c>
      <c r="B2234" s="1">
        <v>45632</v>
      </c>
      <c r="C2234">
        <v>2024</v>
      </c>
      <c r="D2234" t="s">
        <v>1832</v>
      </c>
      <c r="E2234" t="s">
        <v>2264</v>
      </c>
      <c r="F2234" t="s">
        <v>37</v>
      </c>
      <c r="G2234" t="s">
        <v>45</v>
      </c>
      <c r="H2234" t="s">
        <v>38</v>
      </c>
      <c r="I2234" t="s">
        <v>39</v>
      </c>
      <c r="J2234" t="s">
        <v>30</v>
      </c>
      <c r="K2234" s="2">
        <v>1800</v>
      </c>
      <c r="L2234" s="2">
        <v>13000</v>
      </c>
      <c r="M2234">
        <v>60</v>
      </c>
      <c r="N2234" s="3">
        <v>0.23100000000000001</v>
      </c>
      <c r="O2234" t="s">
        <v>125</v>
      </c>
      <c r="Q2234">
        <v>0</v>
      </c>
      <c r="R2234">
        <v>0</v>
      </c>
      <c r="S2234" s="2">
        <v>0</v>
      </c>
      <c r="T2234" s="4"/>
      <c r="U2234">
        <v>2</v>
      </c>
      <c r="V2234">
        <v>1</v>
      </c>
      <c r="W2234">
        <v>1</v>
      </c>
    </row>
    <row r="2235" spans="1:23" ht="16.5" x14ac:dyDescent="0.3">
      <c r="A2235" t="s">
        <v>2299</v>
      </c>
      <c r="B2235" s="1">
        <v>45632</v>
      </c>
      <c r="C2235">
        <v>2024</v>
      </c>
      <c r="D2235" t="s">
        <v>1832</v>
      </c>
      <c r="E2235" t="s">
        <v>2264</v>
      </c>
      <c r="F2235" t="s">
        <v>37</v>
      </c>
      <c r="G2235" t="s">
        <v>33</v>
      </c>
      <c r="H2235" t="s">
        <v>38</v>
      </c>
      <c r="I2235" t="s">
        <v>29</v>
      </c>
      <c r="J2235" t="s">
        <v>46</v>
      </c>
      <c r="K2235" s="2">
        <v>3550</v>
      </c>
      <c r="L2235" s="2">
        <v>15000</v>
      </c>
      <c r="M2235">
        <v>60</v>
      </c>
      <c r="N2235" s="3">
        <v>0.26200000000000001</v>
      </c>
      <c r="O2235" t="s">
        <v>16</v>
      </c>
      <c r="Q2235">
        <v>1</v>
      </c>
      <c r="R2235">
        <v>0</v>
      </c>
      <c r="S2235" s="2">
        <v>15000</v>
      </c>
      <c r="T2235" s="4">
        <v>0.10639999999999999</v>
      </c>
      <c r="U2235">
        <v>2</v>
      </c>
      <c r="V2235">
        <v>1</v>
      </c>
      <c r="W2235">
        <v>1</v>
      </c>
    </row>
    <row r="2236" spans="1:23" ht="16.5" x14ac:dyDescent="0.3">
      <c r="A2236" t="s">
        <v>2300</v>
      </c>
      <c r="B2236" s="1">
        <v>45632</v>
      </c>
      <c r="C2236">
        <v>2024</v>
      </c>
      <c r="D2236" t="s">
        <v>1832</v>
      </c>
      <c r="E2236" t="s">
        <v>2264</v>
      </c>
      <c r="F2236" t="s">
        <v>50</v>
      </c>
      <c r="G2236" t="s">
        <v>45</v>
      </c>
      <c r="H2236" t="s">
        <v>64</v>
      </c>
      <c r="I2236" t="s">
        <v>39</v>
      </c>
      <c r="J2236" t="s">
        <v>30</v>
      </c>
      <c r="K2236" s="2">
        <v>8100</v>
      </c>
      <c r="L2236" s="2">
        <v>341500</v>
      </c>
      <c r="M2236">
        <v>240</v>
      </c>
      <c r="N2236" s="3">
        <v>0.42699999999999999</v>
      </c>
      <c r="O2236" t="s">
        <v>17</v>
      </c>
      <c r="P2236" t="s">
        <v>31</v>
      </c>
      <c r="Q2236">
        <v>0</v>
      </c>
      <c r="R2236">
        <v>1</v>
      </c>
      <c r="S2236" s="2">
        <v>0</v>
      </c>
      <c r="T2236" s="4"/>
      <c r="U2236">
        <v>8</v>
      </c>
      <c r="V2236">
        <v>1</v>
      </c>
      <c r="W2236">
        <v>1</v>
      </c>
    </row>
    <row r="2237" spans="1:23" ht="16.5" x14ac:dyDescent="0.3">
      <c r="A2237" t="s">
        <v>2301</v>
      </c>
      <c r="B2237" s="1">
        <v>45632</v>
      </c>
      <c r="C2237">
        <v>2024</v>
      </c>
      <c r="D2237" t="s">
        <v>1832</v>
      </c>
      <c r="E2237" t="s">
        <v>2264</v>
      </c>
      <c r="F2237" t="s">
        <v>37</v>
      </c>
      <c r="G2237" t="s">
        <v>45</v>
      </c>
      <c r="H2237" t="s">
        <v>38</v>
      </c>
      <c r="I2237" t="s">
        <v>29</v>
      </c>
      <c r="J2237" t="s">
        <v>43</v>
      </c>
      <c r="K2237" s="2">
        <v>3600</v>
      </c>
      <c r="L2237" s="2">
        <v>25500</v>
      </c>
      <c r="M2237">
        <v>24</v>
      </c>
      <c r="N2237" s="3">
        <v>0.51700000000000002</v>
      </c>
      <c r="O2237" t="s">
        <v>17</v>
      </c>
      <c r="P2237" t="s">
        <v>31</v>
      </c>
      <c r="Q2237">
        <v>0</v>
      </c>
      <c r="R2237">
        <v>1</v>
      </c>
      <c r="S2237" s="2">
        <v>0</v>
      </c>
      <c r="T2237" s="4"/>
      <c r="U2237">
        <v>2</v>
      </c>
      <c r="V2237">
        <v>1</v>
      </c>
      <c r="W2237">
        <v>1</v>
      </c>
    </row>
    <row r="2238" spans="1:23" ht="16.5" x14ac:dyDescent="0.3">
      <c r="A2238" t="s">
        <v>2302</v>
      </c>
      <c r="B2238" s="1">
        <v>45632</v>
      </c>
      <c r="C2238">
        <v>2024</v>
      </c>
      <c r="D2238" t="s">
        <v>1832</v>
      </c>
      <c r="E2238" t="s">
        <v>2264</v>
      </c>
      <c r="F2238" t="s">
        <v>26</v>
      </c>
      <c r="G2238" t="s">
        <v>45</v>
      </c>
      <c r="H2238" t="s">
        <v>28</v>
      </c>
      <c r="I2238" t="s">
        <v>39</v>
      </c>
      <c r="J2238" t="s">
        <v>35</v>
      </c>
      <c r="K2238" s="2">
        <v>6000</v>
      </c>
      <c r="L2238" s="2">
        <v>18500</v>
      </c>
      <c r="M2238">
        <v>36</v>
      </c>
      <c r="N2238" s="3">
        <v>0.14599999999999999</v>
      </c>
      <c r="O2238" t="s">
        <v>17</v>
      </c>
      <c r="P2238" t="s">
        <v>65</v>
      </c>
      <c r="Q2238">
        <v>0</v>
      </c>
      <c r="R2238">
        <v>1</v>
      </c>
      <c r="S2238" s="2">
        <v>0</v>
      </c>
      <c r="T2238" s="4"/>
      <c r="U2238">
        <v>4</v>
      </c>
      <c r="V2238">
        <v>1</v>
      </c>
      <c r="W2238">
        <v>1</v>
      </c>
    </row>
    <row r="2239" spans="1:23" ht="16.5" x14ac:dyDescent="0.3">
      <c r="A2239" t="s">
        <v>2303</v>
      </c>
      <c r="B2239" s="1">
        <v>45632</v>
      </c>
      <c r="C2239">
        <v>2024</v>
      </c>
      <c r="D2239" t="s">
        <v>1832</v>
      </c>
      <c r="E2239" t="s">
        <v>2264</v>
      </c>
      <c r="F2239" t="s">
        <v>26</v>
      </c>
      <c r="G2239" t="s">
        <v>51</v>
      </c>
      <c r="H2239" t="s">
        <v>34</v>
      </c>
      <c r="I2239" t="s">
        <v>39</v>
      </c>
      <c r="J2239" t="s">
        <v>30</v>
      </c>
      <c r="K2239" s="2">
        <v>2800</v>
      </c>
      <c r="L2239" s="2">
        <v>31000</v>
      </c>
      <c r="M2239">
        <v>48</v>
      </c>
      <c r="N2239" s="3">
        <v>0.437</v>
      </c>
      <c r="O2239" t="s">
        <v>17</v>
      </c>
      <c r="P2239" t="s">
        <v>31</v>
      </c>
      <c r="Q2239">
        <v>0</v>
      </c>
      <c r="R2239">
        <v>1</v>
      </c>
      <c r="S2239" s="2">
        <v>0</v>
      </c>
      <c r="T2239" s="4"/>
      <c r="U2239">
        <v>4</v>
      </c>
      <c r="V2239">
        <v>1</v>
      </c>
      <c r="W2239">
        <v>1</v>
      </c>
    </row>
    <row r="2240" spans="1:23" ht="16.5" x14ac:dyDescent="0.3">
      <c r="A2240" t="s">
        <v>2304</v>
      </c>
      <c r="B2240" s="1">
        <v>45633</v>
      </c>
      <c r="C2240">
        <v>2024</v>
      </c>
      <c r="D2240" t="s">
        <v>1832</v>
      </c>
      <c r="E2240" t="s">
        <v>2264</v>
      </c>
      <c r="F2240" t="s">
        <v>37</v>
      </c>
      <c r="G2240" t="s">
        <v>33</v>
      </c>
      <c r="H2240" t="s">
        <v>34</v>
      </c>
      <c r="I2240" t="s">
        <v>29</v>
      </c>
      <c r="J2240" t="s">
        <v>35</v>
      </c>
      <c r="K2240" s="2">
        <v>5450</v>
      </c>
      <c r="L2240" s="2">
        <v>8500</v>
      </c>
      <c r="M2240">
        <v>12</v>
      </c>
      <c r="N2240" s="3">
        <v>0.34799999999999998</v>
      </c>
      <c r="O2240" t="s">
        <v>17</v>
      </c>
      <c r="P2240" t="s">
        <v>60</v>
      </c>
      <c r="Q2240">
        <v>0</v>
      </c>
      <c r="R2240">
        <v>1</v>
      </c>
      <c r="S2240" s="2">
        <v>0</v>
      </c>
      <c r="T2240" s="4"/>
      <c r="U2240">
        <v>6</v>
      </c>
      <c r="V2240">
        <v>0</v>
      </c>
      <c r="W2240">
        <v>1</v>
      </c>
    </row>
    <row r="2241" spans="1:23" ht="16.5" x14ac:dyDescent="0.3">
      <c r="A2241" t="s">
        <v>2305</v>
      </c>
      <c r="B2241" s="1">
        <v>45633</v>
      </c>
      <c r="C2241">
        <v>2024</v>
      </c>
      <c r="D2241" t="s">
        <v>1832</v>
      </c>
      <c r="E2241" t="s">
        <v>2264</v>
      </c>
      <c r="F2241" t="s">
        <v>37</v>
      </c>
      <c r="G2241" t="s">
        <v>51</v>
      </c>
      <c r="H2241" t="s">
        <v>64</v>
      </c>
      <c r="I2241" t="s">
        <v>29</v>
      </c>
      <c r="J2241" t="s">
        <v>52</v>
      </c>
      <c r="K2241" s="2">
        <v>3850</v>
      </c>
      <c r="L2241" s="2">
        <v>6000</v>
      </c>
      <c r="M2241">
        <v>24</v>
      </c>
      <c r="N2241" s="3">
        <v>0.313</v>
      </c>
      <c r="O2241" t="s">
        <v>16</v>
      </c>
      <c r="Q2241">
        <v>1</v>
      </c>
      <c r="R2241">
        <v>0</v>
      </c>
      <c r="S2241" s="2">
        <v>6000</v>
      </c>
      <c r="T2241" s="4">
        <v>0.1176</v>
      </c>
      <c r="U2241">
        <v>3</v>
      </c>
      <c r="V2241">
        <v>1</v>
      </c>
      <c r="W2241">
        <v>1</v>
      </c>
    </row>
    <row r="2242" spans="1:23" ht="16.5" x14ac:dyDescent="0.3">
      <c r="A2242" t="s">
        <v>2306</v>
      </c>
      <c r="B2242" s="1">
        <v>45633</v>
      </c>
      <c r="C2242">
        <v>2024</v>
      </c>
      <c r="D2242" t="s">
        <v>1832</v>
      </c>
      <c r="E2242" t="s">
        <v>2264</v>
      </c>
      <c r="F2242" t="s">
        <v>41</v>
      </c>
      <c r="G2242" t="s">
        <v>45</v>
      </c>
      <c r="H2242" t="s">
        <v>38</v>
      </c>
      <c r="I2242" t="s">
        <v>42</v>
      </c>
      <c r="J2242" t="s">
        <v>35</v>
      </c>
      <c r="K2242" s="2">
        <v>3300</v>
      </c>
      <c r="L2242" s="2">
        <v>96500</v>
      </c>
      <c r="M2242">
        <v>36</v>
      </c>
      <c r="N2242" s="3">
        <v>1.103</v>
      </c>
      <c r="O2242" t="s">
        <v>17</v>
      </c>
      <c r="P2242" t="s">
        <v>53</v>
      </c>
      <c r="Q2242">
        <v>0</v>
      </c>
      <c r="R2242">
        <v>1</v>
      </c>
      <c r="S2242" s="2">
        <v>0</v>
      </c>
      <c r="T2242" s="4"/>
      <c r="U2242">
        <v>6</v>
      </c>
      <c r="V2242">
        <v>1</v>
      </c>
      <c r="W2242">
        <v>1</v>
      </c>
    </row>
    <row r="2243" spans="1:23" ht="16.5" x14ac:dyDescent="0.3">
      <c r="A2243" t="s">
        <v>2307</v>
      </c>
      <c r="B2243" s="1">
        <v>45633</v>
      </c>
      <c r="C2243">
        <v>2024</v>
      </c>
      <c r="D2243" t="s">
        <v>1832</v>
      </c>
      <c r="E2243" t="s">
        <v>2264</v>
      </c>
      <c r="F2243" t="s">
        <v>37</v>
      </c>
      <c r="G2243" t="s">
        <v>33</v>
      </c>
      <c r="H2243" t="s">
        <v>38</v>
      </c>
      <c r="I2243" t="s">
        <v>29</v>
      </c>
      <c r="J2243" t="s">
        <v>52</v>
      </c>
      <c r="K2243" s="2">
        <v>7350</v>
      </c>
      <c r="L2243" s="2">
        <v>8000</v>
      </c>
      <c r="M2243">
        <v>60</v>
      </c>
      <c r="N2243" s="3">
        <v>9.6000000000000002E-2</v>
      </c>
      <c r="O2243" t="s">
        <v>16</v>
      </c>
      <c r="Q2243">
        <v>1</v>
      </c>
      <c r="R2243">
        <v>0</v>
      </c>
      <c r="S2243" s="2">
        <v>8000</v>
      </c>
      <c r="T2243" s="4">
        <v>0.1176</v>
      </c>
      <c r="U2243">
        <v>1</v>
      </c>
      <c r="V2243">
        <v>1</v>
      </c>
      <c r="W2243">
        <v>1</v>
      </c>
    </row>
    <row r="2244" spans="1:23" ht="16.5" x14ac:dyDescent="0.3">
      <c r="A2244" t="s">
        <v>2308</v>
      </c>
      <c r="B2244" s="1">
        <v>45633</v>
      </c>
      <c r="C2244">
        <v>2024</v>
      </c>
      <c r="D2244" t="s">
        <v>1832</v>
      </c>
      <c r="E2244" t="s">
        <v>2264</v>
      </c>
      <c r="F2244" t="s">
        <v>41</v>
      </c>
      <c r="G2244" t="s">
        <v>45</v>
      </c>
      <c r="H2244" t="s">
        <v>38</v>
      </c>
      <c r="I2244" t="s">
        <v>29</v>
      </c>
      <c r="J2244" t="s">
        <v>52</v>
      </c>
      <c r="K2244" s="2">
        <v>2500</v>
      </c>
      <c r="L2244" s="2">
        <v>72500</v>
      </c>
      <c r="M2244">
        <v>24</v>
      </c>
      <c r="N2244" s="3">
        <v>1.524</v>
      </c>
      <c r="O2244" t="s">
        <v>125</v>
      </c>
      <c r="Q2244">
        <v>0</v>
      </c>
      <c r="R2244">
        <v>0</v>
      </c>
      <c r="S2244" s="2">
        <v>0</v>
      </c>
      <c r="T2244" s="4"/>
      <c r="U2244">
        <v>6</v>
      </c>
      <c r="V2244">
        <v>1</v>
      </c>
      <c r="W2244">
        <v>1</v>
      </c>
    </row>
    <row r="2245" spans="1:23" ht="16.5" x14ac:dyDescent="0.3">
      <c r="A2245" t="s">
        <v>2309</v>
      </c>
      <c r="B2245" s="1">
        <v>45634</v>
      </c>
      <c r="C2245">
        <v>2024</v>
      </c>
      <c r="D2245" t="s">
        <v>1832</v>
      </c>
      <c r="E2245" t="s">
        <v>2264</v>
      </c>
      <c r="F2245" t="s">
        <v>26</v>
      </c>
      <c r="G2245" t="s">
        <v>51</v>
      </c>
      <c r="H2245" t="s">
        <v>55</v>
      </c>
      <c r="I2245" t="s">
        <v>39</v>
      </c>
      <c r="J2245" t="s">
        <v>35</v>
      </c>
      <c r="K2245" s="2">
        <v>6500</v>
      </c>
      <c r="L2245" s="2">
        <v>17500</v>
      </c>
      <c r="M2245">
        <v>60</v>
      </c>
      <c r="N2245" s="3">
        <v>0.23100000000000001</v>
      </c>
      <c r="O2245" t="s">
        <v>16</v>
      </c>
      <c r="Q2245">
        <v>1</v>
      </c>
      <c r="R2245">
        <v>0</v>
      </c>
      <c r="S2245" s="2">
        <v>17500</v>
      </c>
      <c r="T2245" s="4">
        <v>8.6900000000000005E-2</v>
      </c>
      <c r="U2245">
        <v>7</v>
      </c>
      <c r="V2245">
        <v>0</v>
      </c>
      <c r="W2245">
        <v>1</v>
      </c>
    </row>
    <row r="2246" spans="1:23" ht="16.5" x14ac:dyDescent="0.3">
      <c r="A2246" t="s">
        <v>2310</v>
      </c>
      <c r="B2246" s="1">
        <v>45634</v>
      </c>
      <c r="C2246">
        <v>2024</v>
      </c>
      <c r="D2246" t="s">
        <v>1832</v>
      </c>
      <c r="E2246" t="s">
        <v>2264</v>
      </c>
      <c r="F2246" t="s">
        <v>50</v>
      </c>
      <c r="G2246" t="s">
        <v>33</v>
      </c>
      <c r="H2246" t="s">
        <v>64</v>
      </c>
      <c r="I2246" t="s">
        <v>42</v>
      </c>
      <c r="J2246" t="s">
        <v>30</v>
      </c>
      <c r="K2246" s="2">
        <v>4050</v>
      </c>
      <c r="L2246" s="2">
        <v>239000</v>
      </c>
      <c r="M2246">
        <v>180</v>
      </c>
      <c r="N2246" s="3">
        <v>0.69299999999999995</v>
      </c>
      <c r="O2246" t="s">
        <v>16</v>
      </c>
      <c r="Q2246">
        <v>1</v>
      </c>
      <c r="R2246">
        <v>0</v>
      </c>
      <c r="S2246" s="2">
        <v>215000</v>
      </c>
      <c r="T2246" s="4">
        <v>7.5800000000000006E-2</v>
      </c>
      <c r="U2246">
        <v>6</v>
      </c>
      <c r="V2246">
        <v>1</v>
      </c>
      <c r="W2246">
        <v>1</v>
      </c>
    </row>
    <row r="2247" spans="1:23" ht="16.5" x14ac:dyDescent="0.3">
      <c r="A2247" t="s">
        <v>2311</v>
      </c>
      <c r="B2247" s="1">
        <v>45634</v>
      </c>
      <c r="C2247">
        <v>2024</v>
      </c>
      <c r="D2247" t="s">
        <v>1832</v>
      </c>
      <c r="E2247" t="s">
        <v>2264</v>
      </c>
      <c r="F2247" t="s">
        <v>50</v>
      </c>
      <c r="G2247" t="s">
        <v>51</v>
      </c>
      <c r="H2247" t="s">
        <v>38</v>
      </c>
      <c r="I2247" t="s">
        <v>42</v>
      </c>
      <c r="J2247" t="s">
        <v>35</v>
      </c>
      <c r="K2247" s="2">
        <v>7800</v>
      </c>
      <c r="L2247" s="2">
        <v>161000</v>
      </c>
      <c r="M2247">
        <v>180</v>
      </c>
      <c r="N2247" s="3">
        <v>0.38600000000000001</v>
      </c>
      <c r="O2247" t="s">
        <v>16</v>
      </c>
      <c r="Q2247">
        <v>1</v>
      </c>
      <c r="R2247">
        <v>0</v>
      </c>
      <c r="S2247" s="2">
        <v>145000</v>
      </c>
      <c r="T2247" s="4">
        <v>5.9299999999999999E-2</v>
      </c>
      <c r="U2247">
        <v>23</v>
      </c>
      <c r="V2247">
        <v>0</v>
      </c>
      <c r="W2247">
        <v>1</v>
      </c>
    </row>
    <row r="2248" spans="1:23" ht="16.5" x14ac:dyDescent="0.3">
      <c r="A2248" t="s">
        <v>2312</v>
      </c>
      <c r="B2248" s="1">
        <v>45634</v>
      </c>
      <c r="C2248">
        <v>2024</v>
      </c>
      <c r="D2248" t="s">
        <v>1832</v>
      </c>
      <c r="E2248" t="s">
        <v>2264</v>
      </c>
      <c r="F2248" t="s">
        <v>37</v>
      </c>
      <c r="G2248" t="s">
        <v>51</v>
      </c>
      <c r="H2248" t="s">
        <v>34</v>
      </c>
      <c r="I2248" t="s">
        <v>39</v>
      </c>
      <c r="J2248" t="s">
        <v>52</v>
      </c>
      <c r="K2248" s="2">
        <v>3300</v>
      </c>
      <c r="L2248" s="2">
        <v>8500</v>
      </c>
      <c r="M2248">
        <v>60</v>
      </c>
      <c r="N2248" s="3">
        <v>0.186</v>
      </c>
      <c r="O2248" t="s">
        <v>17</v>
      </c>
      <c r="P2248" t="s">
        <v>65</v>
      </c>
      <c r="Q2248">
        <v>0</v>
      </c>
      <c r="R2248">
        <v>1</v>
      </c>
      <c r="S2248" s="2">
        <v>0</v>
      </c>
      <c r="T2248" s="4"/>
      <c r="U2248">
        <v>6</v>
      </c>
      <c r="V2248">
        <v>0</v>
      </c>
      <c r="W2248">
        <v>1</v>
      </c>
    </row>
    <row r="2249" spans="1:23" ht="16.5" x14ac:dyDescent="0.3">
      <c r="A2249" t="s">
        <v>2313</v>
      </c>
      <c r="B2249" s="1">
        <v>45635</v>
      </c>
      <c r="C2249">
        <v>2024</v>
      </c>
      <c r="D2249" t="s">
        <v>1832</v>
      </c>
      <c r="E2249" t="s">
        <v>2264</v>
      </c>
      <c r="F2249" t="s">
        <v>37</v>
      </c>
      <c r="G2249" t="s">
        <v>33</v>
      </c>
      <c r="H2249" t="s">
        <v>38</v>
      </c>
      <c r="I2249" t="s">
        <v>29</v>
      </c>
      <c r="J2249" t="s">
        <v>30</v>
      </c>
      <c r="K2249" s="2">
        <v>2150</v>
      </c>
      <c r="L2249" s="2">
        <v>18500</v>
      </c>
      <c r="M2249">
        <v>24</v>
      </c>
      <c r="N2249" s="3">
        <v>0.61699999999999999</v>
      </c>
      <c r="O2249" t="s">
        <v>17</v>
      </c>
      <c r="P2249" t="s">
        <v>31</v>
      </c>
      <c r="Q2249">
        <v>0</v>
      </c>
      <c r="R2249">
        <v>1</v>
      </c>
      <c r="S2249" s="2">
        <v>0</v>
      </c>
      <c r="T2249" s="4"/>
      <c r="U2249">
        <v>1</v>
      </c>
      <c r="V2249">
        <v>1</v>
      </c>
      <c r="W2249">
        <v>1</v>
      </c>
    </row>
    <row r="2250" spans="1:23" ht="16.5" x14ac:dyDescent="0.3">
      <c r="A2250" t="s">
        <v>2314</v>
      </c>
      <c r="B2250" s="1">
        <v>45635</v>
      </c>
      <c r="C2250">
        <v>2024</v>
      </c>
      <c r="D2250" t="s">
        <v>1832</v>
      </c>
      <c r="E2250" t="s">
        <v>2264</v>
      </c>
      <c r="F2250" t="s">
        <v>37</v>
      </c>
      <c r="G2250" t="s">
        <v>33</v>
      </c>
      <c r="H2250" t="s">
        <v>34</v>
      </c>
      <c r="I2250" t="s">
        <v>39</v>
      </c>
      <c r="J2250" t="s">
        <v>35</v>
      </c>
      <c r="K2250" s="2">
        <v>4350</v>
      </c>
      <c r="L2250" s="2">
        <v>5500</v>
      </c>
      <c r="M2250">
        <v>24</v>
      </c>
      <c r="N2250" s="3">
        <v>0.16700000000000001</v>
      </c>
      <c r="O2250" t="s">
        <v>17</v>
      </c>
      <c r="P2250" t="s">
        <v>65</v>
      </c>
      <c r="Q2250">
        <v>0</v>
      </c>
      <c r="R2250">
        <v>1</v>
      </c>
      <c r="S2250" s="2">
        <v>0</v>
      </c>
      <c r="T2250" s="4"/>
      <c r="U2250">
        <v>2</v>
      </c>
      <c r="V2250">
        <v>1</v>
      </c>
      <c r="W2250">
        <v>1</v>
      </c>
    </row>
    <row r="2251" spans="1:23" ht="16.5" x14ac:dyDescent="0.3">
      <c r="A2251" t="s">
        <v>2315</v>
      </c>
      <c r="B2251" s="1">
        <v>45635</v>
      </c>
      <c r="C2251">
        <v>2024</v>
      </c>
      <c r="D2251" t="s">
        <v>1832</v>
      </c>
      <c r="E2251" t="s">
        <v>2264</v>
      </c>
      <c r="F2251" t="s">
        <v>41</v>
      </c>
      <c r="G2251" t="s">
        <v>51</v>
      </c>
      <c r="H2251" t="s">
        <v>34</v>
      </c>
      <c r="I2251" t="s">
        <v>29</v>
      </c>
      <c r="J2251" t="s">
        <v>46</v>
      </c>
      <c r="K2251" s="2">
        <v>5900</v>
      </c>
      <c r="L2251" s="2">
        <v>52500</v>
      </c>
      <c r="M2251">
        <v>36</v>
      </c>
      <c r="N2251" s="3">
        <v>0.35499999999999998</v>
      </c>
      <c r="O2251" t="s">
        <v>16</v>
      </c>
      <c r="Q2251">
        <v>1</v>
      </c>
      <c r="R2251">
        <v>0</v>
      </c>
      <c r="S2251" s="2">
        <v>52500</v>
      </c>
      <c r="T2251" s="4">
        <v>9.1399999999999995E-2</v>
      </c>
      <c r="U2251">
        <v>9</v>
      </c>
      <c r="V2251">
        <v>1</v>
      </c>
      <c r="W2251">
        <v>1</v>
      </c>
    </row>
    <row r="2252" spans="1:23" ht="16.5" x14ac:dyDescent="0.3">
      <c r="A2252" t="s">
        <v>2316</v>
      </c>
      <c r="B2252" s="1">
        <v>45635</v>
      </c>
      <c r="C2252">
        <v>2024</v>
      </c>
      <c r="D2252" t="s">
        <v>1832</v>
      </c>
      <c r="E2252" t="s">
        <v>2264</v>
      </c>
      <c r="F2252" t="s">
        <v>50</v>
      </c>
      <c r="G2252" t="s">
        <v>51</v>
      </c>
      <c r="H2252" t="s">
        <v>38</v>
      </c>
      <c r="I2252" t="s">
        <v>39</v>
      </c>
      <c r="J2252" t="s">
        <v>30</v>
      </c>
      <c r="K2252" s="2">
        <v>3750</v>
      </c>
      <c r="L2252" s="2">
        <v>263000</v>
      </c>
      <c r="M2252">
        <v>240</v>
      </c>
      <c r="N2252" s="3">
        <v>0.55400000000000005</v>
      </c>
      <c r="O2252" t="s">
        <v>16</v>
      </c>
      <c r="Q2252">
        <v>1</v>
      </c>
      <c r="R2252">
        <v>0</v>
      </c>
      <c r="S2252" s="2">
        <v>263000</v>
      </c>
      <c r="T2252" s="4">
        <v>7.1599999999999997E-2</v>
      </c>
      <c r="U2252">
        <v>14</v>
      </c>
      <c r="V2252">
        <v>1</v>
      </c>
      <c r="W2252">
        <v>1</v>
      </c>
    </row>
    <row r="2253" spans="1:23" ht="16.5" x14ac:dyDescent="0.3">
      <c r="A2253" t="s">
        <v>2317</v>
      </c>
      <c r="B2253" s="1">
        <v>45635</v>
      </c>
      <c r="C2253">
        <v>2024</v>
      </c>
      <c r="D2253" t="s">
        <v>1832</v>
      </c>
      <c r="E2253" t="s">
        <v>2264</v>
      </c>
      <c r="F2253" t="s">
        <v>50</v>
      </c>
      <c r="G2253" t="s">
        <v>45</v>
      </c>
      <c r="H2253" t="s">
        <v>38</v>
      </c>
      <c r="I2253" t="s">
        <v>29</v>
      </c>
      <c r="J2253" t="s">
        <v>30</v>
      </c>
      <c r="K2253" s="2">
        <v>6500</v>
      </c>
      <c r="L2253" s="2">
        <v>493000</v>
      </c>
      <c r="M2253">
        <v>300</v>
      </c>
      <c r="N2253" s="3">
        <v>0.53600000000000003</v>
      </c>
      <c r="O2253" t="s">
        <v>16</v>
      </c>
      <c r="Q2253">
        <v>1</v>
      </c>
      <c r="R2253">
        <v>0</v>
      </c>
      <c r="S2253" s="2">
        <v>493000</v>
      </c>
      <c r="T2253" s="4">
        <v>7.0800000000000002E-2</v>
      </c>
      <c r="U2253">
        <v>10</v>
      </c>
      <c r="V2253">
        <v>1</v>
      </c>
      <c r="W2253">
        <v>1</v>
      </c>
    </row>
    <row r="2254" spans="1:23" ht="16.5" x14ac:dyDescent="0.3">
      <c r="A2254" t="s">
        <v>2318</v>
      </c>
      <c r="B2254" s="1">
        <v>45635</v>
      </c>
      <c r="C2254">
        <v>2024</v>
      </c>
      <c r="D2254" t="s">
        <v>1832</v>
      </c>
      <c r="E2254" t="s">
        <v>2264</v>
      </c>
      <c r="F2254" t="s">
        <v>37</v>
      </c>
      <c r="G2254" t="s">
        <v>33</v>
      </c>
      <c r="H2254" t="s">
        <v>38</v>
      </c>
      <c r="I2254" t="s">
        <v>29</v>
      </c>
      <c r="J2254" t="s">
        <v>30</v>
      </c>
      <c r="K2254" s="2">
        <v>3600</v>
      </c>
      <c r="L2254" s="2">
        <v>8500</v>
      </c>
      <c r="M2254">
        <v>24</v>
      </c>
      <c r="N2254" s="3">
        <v>0.19</v>
      </c>
      <c r="O2254" t="s">
        <v>17</v>
      </c>
      <c r="P2254" t="s">
        <v>31</v>
      </c>
      <c r="Q2254">
        <v>0</v>
      </c>
      <c r="R2254">
        <v>1</v>
      </c>
      <c r="S2254" s="2">
        <v>0</v>
      </c>
      <c r="T2254" s="4"/>
      <c r="U2254">
        <v>2</v>
      </c>
      <c r="V2254">
        <v>1</v>
      </c>
      <c r="W2254">
        <v>1</v>
      </c>
    </row>
    <row r="2255" spans="1:23" ht="16.5" x14ac:dyDescent="0.3">
      <c r="A2255" t="s">
        <v>2319</v>
      </c>
      <c r="B2255" s="1">
        <v>45635</v>
      </c>
      <c r="C2255">
        <v>2024</v>
      </c>
      <c r="D2255" t="s">
        <v>1832</v>
      </c>
      <c r="E2255" t="s">
        <v>2264</v>
      </c>
      <c r="F2255" t="s">
        <v>41</v>
      </c>
      <c r="G2255" t="s">
        <v>51</v>
      </c>
      <c r="H2255" t="s">
        <v>38</v>
      </c>
      <c r="I2255" t="s">
        <v>39</v>
      </c>
      <c r="J2255" t="s">
        <v>30</v>
      </c>
      <c r="K2255" s="2">
        <v>2450</v>
      </c>
      <c r="L2255" s="2">
        <v>69000</v>
      </c>
      <c r="M2255">
        <v>36</v>
      </c>
      <c r="N2255" s="3">
        <v>1.095</v>
      </c>
      <c r="O2255" t="s">
        <v>17</v>
      </c>
      <c r="P2255" t="s">
        <v>31</v>
      </c>
      <c r="Q2255">
        <v>0</v>
      </c>
      <c r="R2255">
        <v>1</v>
      </c>
      <c r="S2255" s="2">
        <v>0</v>
      </c>
      <c r="T2255" s="4"/>
      <c r="U2255">
        <v>24</v>
      </c>
      <c r="V2255">
        <v>0</v>
      </c>
      <c r="W2255">
        <v>1</v>
      </c>
    </row>
    <row r="2256" spans="1:23" ht="16.5" x14ac:dyDescent="0.3">
      <c r="A2256" t="s">
        <v>2320</v>
      </c>
      <c r="B2256" s="1">
        <v>45635</v>
      </c>
      <c r="C2256">
        <v>2024</v>
      </c>
      <c r="D2256" t="s">
        <v>1832</v>
      </c>
      <c r="E2256" t="s">
        <v>2264</v>
      </c>
      <c r="F2256" t="s">
        <v>37</v>
      </c>
      <c r="G2256" t="s">
        <v>27</v>
      </c>
      <c r="H2256" t="s">
        <v>55</v>
      </c>
      <c r="I2256" t="s">
        <v>29</v>
      </c>
      <c r="J2256" t="s">
        <v>52</v>
      </c>
      <c r="K2256" s="2">
        <v>8100</v>
      </c>
      <c r="L2256" s="2">
        <v>10500</v>
      </c>
      <c r="M2256">
        <v>12</v>
      </c>
      <c r="N2256" s="3">
        <v>0.27200000000000002</v>
      </c>
      <c r="O2256" t="s">
        <v>16</v>
      </c>
      <c r="Q2256">
        <v>1</v>
      </c>
      <c r="R2256">
        <v>0</v>
      </c>
      <c r="S2256" s="2">
        <v>10500</v>
      </c>
      <c r="T2256" s="4">
        <v>0.1182</v>
      </c>
      <c r="U2256">
        <v>3</v>
      </c>
      <c r="V2256">
        <v>1</v>
      </c>
      <c r="W2256">
        <v>1</v>
      </c>
    </row>
    <row r="2257" spans="1:23" ht="16.5" x14ac:dyDescent="0.3">
      <c r="A2257" t="s">
        <v>2321</v>
      </c>
      <c r="B2257" s="1">
        <v>45635</v>
      </c>
      <c r="C2257">
        <v>2024</v>
      </c>
      <c r="D2257" t="s">
        <v>1832</v>
      </c>
      <c r="E2257" t="s">
        <v>2264</v>
      </c>
      <c r="F2257" t="s">
        <v>41</v>
      </c>
      <c r="G2257" t="s">
        <v>51</v>
      </c>
      <c r="H2257" t="s">
        <v>34</v>
      </c>
      <c r="I2257" t="s">
        <v>39</v>
      </c>
      <c r="J2257" t="s">
        <v>35</v>
      </c>
      <c r="K2257" s="2">
        <v>4650</v>
      </c>
      <c r="L2257" s="2">
        <v>116500</v>
      </c>
      <c r="M2257">
        <v>12</v>
      </c>
      <c r="N2257" s="3">
        <v>2.33</v>
      </c>
      <c r="O2257" t="s">
        <v>17</v>
      </c>
      <c r="P2257" t="s">
        <v>53</v>
      </c>
      <c r="Q2257">
        <v>0</v>
      </c>
      <c r="R2257">
        <v>1</v>
      </c>
      <c r="S2257" s="2">
        <v>0</v>
      </c>
      <c r="T2257" s="4"/>
      <c r="U2257">
        <v>12</v>
      </c>
      <c r="V2257">
        <v>0</v>
      </c>
      <c r="W2257">
        <v>1</v>
      </c>
    </row>
    <row r="2258" spans="1:23" ht="16.5" x14ac:dyDescent="0.3">
      <c r="A2258" t="s">
        <v>2322</v>
      </c>
      <c r="B2258" s="1">
        <v>45635</v>
      </c>
      <c r="C2258">
        <v>2024</v>
      </c>
      <c r="D2258" t="s">
        <v>1832</v>
      </c>
      <c r="E2258" t="s">
        <v>2264</v>
      </c>
      <c r="F2258" t="s">
        <v>37</v>
      </c>
      <c r="G2258" t="s">
        <v>51</v>
      </c>
      <c r="H2258" t="s">
        <v>38</v>
      </c>
      <c r="I2258" t="s">
        <v>29</v>
      </c>
      <c r="J2258" t="s">
        <v>35</v>
      </c>
      <c r="K2258" s="2">
        <v>2950</v>
      </c>
      <c r="L2258" s="2">
        <v>10500</v>
      </c>
      <c r="M2258">
        <v>60</v>
      </c>
      <c r="N2258" s="3">
        <v>0.22800000000000001</v>
      </c>
      <c r="O2258" t="s">
        <v>17</v>
      </c>
      <c r="P2258" t="s">
        <v>48</v>
      </c>
      <c r="Q2258">
        <v>0</v>
      </c>
      <c r="R2258">
        <v>1</v>
      </c>
      <c r="S2258" s="2">
        <v>0</v>
      </c>
      <c r="T2258" s="4"/>
      <c r="U2258">
        <v>5</v>
      </c>
      <c r="V2258">
        <v>0</v>
      </c>
      <c r="W2258">
        <v>1</v>
      </c>
    </row>
    <row r="2259" spans="1:23" ht="16.5" x14ac:dyDescent="0.3">
      <c r="A2259" t="s">
        <v>2323</v>
      </c>
      <c r="B2259" s="1">
        <v>45636</v>
      </c>
      <c r="C2259">
        <v>2024</v>
      </c>
      <c r="D2259" t="s">
        <v>1832</v>
      </c>
      <c r="E2259" t="s">
        <v>2264</v>
      </c>
      <c r="F2259" t="s">
        <v>37</v>
      </c>
      <c r="G2259" t="s">
        <v>51</v>
      </c>
      <c r="H2259" t="s">
        <v>34</v>
      </c>
      <c r="I2259" t="s">
        <v>42</v>
      </c>
      <c r="J2259" t="s">
        <v>30</v>
      </c>
      <c r="K2259" s="2">
        <v>5100</v>
      </c>
      <c r="L2259" s="2">
        <v>5500</v>
      </c>
      <c r="M2259">
        <v>12</v>
      </c>
      <c r="N2259" s="3">
        <v>0.28599999999999998</v>
      </c>
      <c r="O2259" t="s">
        <v>16</v>
      </c>
      <c r="Q2259">
        <v>1</v>
      </c>
      <c r="R2259">
        <v>0</v>
      </c>
      <c r="S2259" s="2">
        <v>5500</v>
      </c>
      <c r="T2259" s="4">
        <v>0.14699999999999999</v>
      </c>
      <c r="U2259">
        <v>5</v>
      </c>
      <c r="V2259">
        <v>0</v>
      </c>
      <c r="W2259">
        <v>1</v>
      </c>
    </row>
    <row r="2260" spans="1:23" ht="16.5" x14ac:dyDescent="0.3">
      <c r="A2260" t="s">
        <v>2324</v>
      </c>
      <c r="B2260" s="1">
        <v>45636</v>
      </c>
      <c r="C2260">
        <v>2024</v>
      </c>
      <c r="D2260" t="s">
        <v>1832</v>
      </c>
      <c r="E2260" t="s">
        <v>2264</v>
      </c>
      <c r="F2260" t="s">
        <v>37</v>
      </c>
      <c r="G2260" t="s">
        <v>45</v>
      </c>
      <c r="H2260" t="s">
        <v>28</v>
      </c>
      <c r="I2260" t="s">
        <v>29</v>
      </c>
      <c r="J2260" t="s">
        <v>30</v>
      </c>
      <c r="K2260" s="2">
        <v>4700</v>
      </c>
      <c r="L2260" s="2">
        <v>18500</v>
      </c>
      <c r="M2260">
        <v>12</v>
      </c>
      <c r="N2260" s="3">
        <v>0.57899999999999996</v>
      </c>
      <c r="O2260" t="s">
        <v>16</v>
      </c>
      <c r="Q2260">
        <v>1</v>
      </c>
      <c r="R2260">
        <v>0</v>
      </c>
      <c r="S2260" s="2">
        <v>16500</v>
      </c>
      <c r="T2260" s="4">
        <v>0.13619999999999999</v>
      </c>
      <c r="U2260">
        <v>3</v>
      </c>
      <c r="V2260">
        <v>1</v>
      </c>
      <c r="W2260">
        <v>1</v>
      </c>
    </row>
    <row r="2261" spans="1:23" ht="16.5" x14ac:dyDescent="0.3">
      <c r="A2261" t="s">
        <v>2325</v>
      </c>
      <c r="B2261" s="1">
        <v>45636</v>
      </c>
      <c r="C2261">
        <v>2024</v>
      </c>
      <c r="D2261" t="s">
        <v>1832</v>
      </c>
      <c r="E2261" t="s">
        <v>2264</v>
      </c>
      <c r="F2261" t="s">
        <v>37</v>
      </c>
      <c r="G2261" t="s">
        <v>27</v>
      </c>
      <c r="H2261" t="s">
        <v>38</v>
      </c>
      <c r="I2261" t="s">
        <v>39</v>
      </c>
      <c r="J2261" t="s">
        <v>30</v>
      </c>
      <c r="K2261" s="2">
        <v>5200</v>
      </c>
      <c r="L2261" s="2">
        <v>12500</v>
      </c>
      <c r="M2261">
        <v>36</v>
      </c>
      <c r="N2261" s="3">
        <v>0.182</v>
      </c>
      <c r="O2261" t="s">
        <v>16</v>
      </c>
      <c r="Q2261">
        <v>1</v>
      </c>
      <c r="R2261">
        <v>0</v>
      </c>
      <c r="S2261" s="2">
        <v>11000</v>
      </c>
      <c r="T2261" s="4">
        <v>0.14169999999999999</v>
      </c>
      <c r="U2261">
        <v>2</v>
      </c>
      <c r="V2261">
        <v>1</v>
      </c>
      <c r="W2261">
        <v>1</v>
      </c>
    </row>
    <row r="2262" spans="1:23" ht="16.5" x14ac:dyDescent="0.3">
      <c r="A2262" t="s">
        <v>2326</v>
      </c>
      <c r="B2262" s="1">
        <v>45636</v>
      </c>
      <c r="C2262">
        <v>2024</v>
      </c>
      <c r="D2262" t="s">
        <v>1832</v>
      </c>
      <c r="E2262" t="s">
        <v>2264</v>
      </c>
      <c r="F2262" t="s">
        <v>41</v>
      </c>
      <c r="G2262" t="s">
        <v>33</v>
      </c>
      <c r="H2262" t="s">
        <v>38</v>
      </c>
      <c r="I2262" t="s">
        <v>39</v>
      </c>
      <c r="J2262" t="s">
        <v>35</v>
      </c>
      <c r="K2262" s="2">
        <v>6600</v>
      </c>
      <c r="L2262" s="2">
        <v>94000</v>
      </c>
      <c r="M2262">
        <v>24</v>
      </c>
      <c r="N2262" s="3">
        <v>0.88500000000000001</v>
      </c>
      <c r="O2262" t="s">
        <v>16</v>
      </c>
      <c r="Q2262">
        <v>1</v>
      </c>
      <c r="R2262">
        <v>0</v>
      </c>
      <c r="S2262" s="2">
        <v>94000</v>
      </c>
      <c r="T2262" s="4">
        <v>0.1062</v>
      </c>
      <c r="U2262">
        <v>3</v>
      </c>
      <c r="V2262">
        <v>1</v>
      </c>
      <c r="W2262">
        <v>1</v>
      </c>
    </row>
    <row r="2263" spans="1:23" ht="16.5" x14ac:dyDescent="0.3">
      <c r="A2263" t="s">
        <v>2327</v>
      </c>
      <c r="B2263" s="1">
        <v>45636</v>
      </c>
      <c r="C2263">
        <v>2024</v>
      </c>
      <c r="D2263" t="s">
        <v>1832</v>
      </c>
      <c r="E2263" t="s">
        <v>2264</v>
      </c>
      <c r="F2263" t="s">
        <v>41</v>
      </c>
      <c r="G2263" t="s">
        <v>51</v>
      </c>
      <c r="H2263" t="s">
        <v>55</v>
      </c>
      <c r="I2263" t="s">
        <v>29</v>
      </c>
      <c r="J2263" t="s">
        <v>52</v>
      </c>
      <c r="K2263" s="2">
        <v>4150</v>
      </c>
      <c r="L2263" s="2">
        <v>89500</v>
      </c>
      <c r="M2263">
        <v>24</v>
      </c>
      <c r="N2263" s="3">
        <v>1.1479999999999999</v>
      </c>
      <c r="O2263" t="s">
        <v>17</v>
      </c>
      <c r="P2263" t="s">
        <v>53</v>
      </c>
      <c r="Q2263">
        <v>0</v>
      </c>
      <c r="R2263">
        <v>1</v>
      </c>
      <c r="S2263" s="2">
        <v>0</v>
      </c>
      <c r="T2263" s="4"/>
      <c r="U2263">
        <v>14</v>
      </c>
      <c r="V2263">
        <v>0</v>
      </c>
      <c r="W2263">
        <v>1</v>
      </c>
    </row>
    <row r="2264" spans="1:23" ht="16.5" x14ac:dyDescent="0.3">
      <c r="A2264" t="s">
        <v>2328</v>
      </c>
      <c r="B2264" s="1">
        <v>45636</v>
      </c>
      <c r="C2264">
        <v>2024</v>
      </c>
      <c r="D2264" t="s">
        <v>1832</v>
      </c>
      <c r="E2264" t="s">
        <v>2264</v>
      </c>
      <c r="F2264" t="s">
        <v>50</v>
      </c>
      <c r="G2264" t="s">
        <v>51</v>
      </c>
      <c r="H2264" t="s">
        <v>38</v>
      </c>
      <c r="I2264" t="s">
        <v>29</v>
      </c>
      <c r="J2264" t="s">
        <v>35</v>
      </c>
      <c r="K2264" s="2">
        <v>5550</v>
      </c>
      <c r="L2264" s="2">
        <v>348500</v>
      </c>
      <c r="M2264">
        <v>180</v>
      </c>
      <c r="N2264" s="3">
        <v>0.70099999999999996</v>
      </c>
      <c r="O2264" t="s">
        <v>16</v>
      </c>
      <c r="Q2264">
        <v>1</v>
      </c>
      <c r="R2264">
        <v>0</v>
      </c>
      <c r="S2264" s="2">
        <v>313500</v>
      </c>
      <c r="T2264" s="4">
        <v>5.96E-2</v>
      </c>
      <c r="U2264">
        <v>16</v>
      </c>
      <c r="V2264">
        <v>0</v>
      </c>
      <c r="W2264">
        <v>1</v>
      </c>
    </row>
    <row r="2265" spans="1:23" ht="16.5" x14ac:dyDescent="0.3">
      <c r="A2265" t="s">
        <v>2329</v>
      </c>
      <c r="B2265" s="1">
        <v>45637</v>
      </c>
      <c r="C2265">
        <v>2024</v>
      </c>
      <c r="D2265" t="s">
        <v>1832</v>
      </c>
      <c r="E2265" t="s">
        <v>2264</v>
      </c>
      <c r="F2265" t="s">
        <v>26</v>
      </c>
      <c r="G2265" t="s">
        <v>27</v>
      </c>
      <c r="H2265" t="s">
        <v>28</v>
      </c>
      <c r="I2265" t="s">
        <v>39</v>
      </c>
      <c r="J2265" t="s">
        <v>30</v>
      </c>
      <c r="K2265" s="2">
        <v>5250</v>
      </c>
      <c r="L2265" s="2">
        <v>36000</v>
      </c>
      <c r="M2265">
        <v>48</v>
      </c>
      <c r="N2265" s="3">
        <v>0.317</v>
      </c>
      <c r="O2265" t="s">
        <v>16</v>
      </c>
      <c r="Q2265">
        <v>1</v>
      </c>
      <c r="R2265">
        <v>0</v>
      </c>
      <c r="S2265" s="2">
        <v>32500</v>
      </c>
      <c r="T2265" s="4">
        <v>9.8900000000000002E-2</v>
      </c>
      <c r="U2265">
        <v>9</v>
      </c>
      <c r="V2265">
        <v>0</v>
      </c>
      <c r="W2265">
        <v>1</v>
      </c>
    </row>
    <row r="2266" spans="1:23" ht="16.5" x14ac:dyDescent="0.3">
      <c r="A2266" t="s">
        <v>2330</v>
      </c>
      <c r="B2266" s="1">
        <v>45637</v>
      </c>
      <c r="C2266">
        <v>2024</v>
      </c>
      <c r="D2266" t="s">
        <v>1832</v>
      </c>
      <c r="E2266" t="s">
        <v>2264</v>
      </c>
      <c r="F2266" t="s">
        <v>26</v>
      </c>
      <c r="G2266" t="s">
        <v>51</v>
      </c>
      <c r="H2266" t="s">
        <v>38</v>
      </c>
      <c r="I2266" t="s">
        <v>42</v>
      </c>
      <c r="J2266" t="s">
        <v>30</v>
      </c>
      <c r="K2266" s="2">
        <v>5150</v>
      </c>
      <c r="L2266" s="2">
        <v>46000</v>
      </c>
      <c r="M2266">
        <v>48</v>
      </c>
      <c r="N2266" s="3">
        <v>0.39200000000000002</v>
      </c>
      <c r="O2266" t="s">
        <v>17</v>
      </c>
      <c r="P2266" t="s">
        <v>31</v>
      </c>
      <c r="Q2266">
        <v>0</v>
      </c>
      <c r="R2266">
        <v>1</v>
      </c>
      <c r="S2266" s="2">
        <v>0</v>
      </c>
      <c r="T2266" s="4"/>
      <c r="U2266">
        <v>5</v>
      </c>
      <c r="V2266">
        <v>0</v>
      </c>
      <c r="W2266">
        <v>1</v>
      </c>
    </row>
    <row r="2267" spans="1:23" ht="16.5" x14ac:dyDescent="0.3">
      <c r="A2267" t="s">
        <v>2331</v>
      </c>
      <c r="B2267" s="1">
        <v>45637</v>
      </c>
      <c r="C2267">
        <v>2024</v>
      </c>
      <c r="D2267" t="s">
        <v>1832</v>
      </c>
      <c r="E2267" t="s">
        <v>2264</v>
      </c>
      <c r="F2267" t="s">
        <v>50</v>
      </c>
      <c r="G2267" t="s">
        <v>45</v>
      </c>
      <c r="H2267" t="s">
        <v>34</v>
      </c>
      <c r="I2267" t="s">
        <v>29</v>
      </c>
      <c r="J2267" t="s">
        <v>35</v>
      </c>
      <c r="K2267" s="2">
        <v>3000</v>
      </c>
      <c r="L2267" s="2">
        <v>537000</v>
      </c>
      <c r="M2267">
        <v>180</v>
      </c>
      <c r="N2267" s="3">
        <v>1.4890000000000001</v>
      </c>
      <c r="O2267" t="s">
        <v>17</v>
      </c>
      <c r="P2267" t="s">
        <v>60</v>
      </c>
      <c r="Q2267">
        <v>0</v>
      </c>
      <c r="R2267">
        <v>1</v>
      </c>
      <c r="S2267" s="2">
        <v>0</v>
      </c>
      <c r="T2267" s="4"/>
      <c r="U2267">
        <v>10</v>
      </c>
      <c r="V2267">
        <v>1</v>
      </c>
      <c r="W2267">
        <v>1</v>
      </c>
    </row>
    <row r="2268" spans="1:23" ht="16.5" x14ac:dyDescent="0.3">
      <c r="A2268" t="s">
        <v>2332</v>
      </c>
      <c r="B2268" s="1">
        <v>45637</v>
      </c>
      <c r="C2268">
        <v>2024</v>
      </c>
      <c r="D2268" t="s">
        <v>1832</v>
      </c>
      <c r="E2268" t="s">
        <v>2264</v>
      </c>
      <c r="F2268" t="s">
        <v>26</v>
      </c>
      <c r="G2268" t="s">
        <v>33</v>
      </c>
      <c r="H2268" t="s">
        <v>38</v>
      </c>
      <c r="I2268" t="s">
        <v>39</v>
      </c>
      <c r="J2268" t="s">
        <v>30</v>
      </c>
      <c r="K2268" s="2">
        <v>2450</v>
      </c>
      <c r="L2268" s="2">
        <v>33000</v>
      </c>
      <c r="M2268">
        <v>48</v>
      </c>
      <c r="N2268" s="3">
        <v>0.46200000000000002</v>
      </c>
      <c r="O2268" t="s">
        <v>17</v>
      </c>
      <c r="P2268" t="s">
        <v>31</v>
      </c>
      <c r="Q2268">
        <v>0</v>
      </c>
      <c r="R2268">
        <v>1</v>
      </c>
      <c r="S2268" s="2">
        <v>0</v>
      </c>
      <c r="T2268" s="4"/>
      <c r="U2268">
        <v>2</v>
      </c>
      <c r="V2268">
        <v>1</v>
      </c>
      <c r="W2268">
        <v>1</v>
      </c>
    </row>
    <row r="2269" spans="1:23" ht="16.5" x14ac:dyDescent="0.3">
      <c r="A2269" t="s">
        <v>2333</v>
      </c>
      <c r="B2269" s="1">
        <v>45637</v>
      </c>
      <c r="C2269">
        <v>2024</v>
      </c>
      <c r="D2269" t="s">
        <v>1832</v>
      </c>
      <c r="E2269" t="s">
        <v>2264</v>
      </c>
      <c r="F2269" t="s">
        <v>26</v>
      </c>
      <c r="G2269" t="s">
        <v>51</v>
      </c>
      <c r="H2269" t="s">
        <v>55</v>
      </c>
      <c r="I2269" t="s">
        <v>29</v>
      </c>
      <c r="J2269" t="s">
        <v>30</v>
      </c>
      <c r="K2269" s="2">
        <v>7400</v>
      </c>
      <c r="L2269" s="2">
        <v>23000</v>
      </c>
      <c r="M2269">
        <v>36</v>
      </c>
      <c r="N2269" s="3">
        <v>0.219</v>
      </c>
      <c r="O2269" t="s">
        <v>17</v>
      </c>
      <c r="P2269" t="s">
        <v>31</v>
      </c>
      <c r="Q2269">
        <v>0</v>
      </c>
      <c r="R2269">
        <v>1</v>
      </c>
      <c r="S2269" s="2">
        <v>0</v>
      </c>
      <c r="T2269" s="4"/>
      <c r="U2269">
        <v>3</v>
      </c>
      <c r="V2269">
        <v>1</v>
      </c>
      <c r="W2269">
        <v>1</v>
      </c>
    </row>
    <row r="2270" spans="1:23" ht="16.5" x14ac:dyDescent="0.3">
      <c r="A2270" t="s">
        <v>2334</v>
      </c>
      <c r="B2270" s="1">
        <v>45637</v>
      </c>
      <c r="C2270">
        <v>2024</v>
      </c>
      <c r="D2270" t="s">
        <v>1832</v>
      </c>
      <c r="E2270" t="s">
        <v>2264</v>
      </c>
      <c r="F2270" t="s">
        <v>41</v>
      </c>
      <c r="G2270" t="s">
        <v>33</v>
      </c>
      <c r="H2270" t="s">
        <v>55</v>
      </c>
      <c r="I2270" t="s">
        <v>39</v>
      </c>
      <c r="J2270" t="s">
        <v>52</v>
      </c>
      <c r="K2270" s="2">
        <v>4850</v>
      </c>
      <c r="L2270" s="2">
        <v>53000</v>
      </c>
      <c r="M2270">
        <v>60</v>
      </c>
      <c r="N2270" s="3">
        <v>0.38600000000000001</v>
      </c>
      <c r="O2270" t="s">
        <v>16</v>
      </c>
      <c r="Q2270">
        <v>1</v>
      </c>
      <c r="R2270">
        <v>0</v>
      </c>
      <c r="S2270" s="2">
        <v>53000</v>
      </c>
      <c r="T2270" s="4">
        <v>9.8000000000000004E-2</v>
      </c>
      <c r="U2270">
        <v>5</v>
      </c>
      <c r="V2270">
        <v>1</v>
      </c>
      <c r="W2270">
        <v>1</v>
      </c>
    </row>
    <row r="2271" spans="1:23" ht="16.5" x14ac:dyDescent="0.3">
      <c r="A2271" t="s">
        <v>2335</v>
      </c>
      <c r="B2271" s="1">
        <v>45637</v>
      </c>
      <c r="C2271">
        <v>2024</v>
      </c>
      <c r="D2271" t="s">
        <v>1832</v>
      </c>
      <c r="E2271" t="s">
        <v>2264</v>
      </c>
      <c r="F2271" t="s">
        <v>50</v>
      </c>
      <c r="G2271" t="s">
        <v>33</v>
      </c>
      <c r="H2271" t="s">
        <v>28</v>
      </c>
      <c r="I2271" t="s">
        <v>29</v>
      </c>
      <c r="J2271" t="s">
        <v>30</v>
      </c>
      <c r="K2271" s="2">
        <v>4350</v>
      </c>
      <c r="L2271" s="2">
        <v>341000</v>
      </c>
      <c r="M2271">
        <v>300</v>
      </c>
      <c r="N2271" s="3">
        <v>0.50600000000000001</v>
      </c>
      <c r="O2271" t="s">
        <v>17</v>
      </c>
      <c r="P2271" t="s">
        <v>53</v>
      </c>
      <c r="Q2271">
        <v>0</v>
      </c>
      <c r="R2271">
        <v>1</v>
      </c>
      <c r="S2271" s="2">
        <v>0</v>
      </c>
      <c r="T2271" s="4"/>
      <c r="U2271">
        <v>4</v>
      </c>
      <c r="V2271">
        <v>1</v>
      </c>
      <c r="W2271">
        <v>1</v>
      </c>
    </row>
    <row r="2272" spans="1:23" ht="16.5" x14ac:dyDescent="0.3">
      <c r="A2272" t="s">
        <v>2336</v>
      </c>
      <c r="B2272" s="1">
        <v>45637</v>
      </c>
      <c r="C2272">
        <v>2024</v>
      </c>
      <c r="D2272" t="s">
        <v>1832</v>
      </c>
      <c r="E2272" t="s">
        <v>2264</v>
      </c>
      <c r="F2272" t="s">
        <v>37</v>
      </c>
      <c r="G2272" t="s">
        <v>45</v>
      </c>
      <c r="H2272" t="s">
        <v>38</v>
      </c>
      <c r="I2272" t="s">
        <v>39</v>
      </c>
      <c r="J2272" t="s">
        <v>46</v>
      </c>
      <c r="K2272" s="2">
        <v>4250</v>
      </c>
      <c r="L2272" s="2">
        <v>9000</v>
      </c>
      <c r="M2272">
        <v>12</v>
      </c>
      <c r="N2272" s="3">
        <v>0.379</v>
      </c>
      <c r="O2272" t="s">
        <v>17</v>
      </c>
      <c r="P2272" t="s">
        <v>60</v>
      </c>
      <c r="Q2272">
        <v>0</v>
      </c>
      <c r="R2272">
        <v>1</v>
      </c>
      <c r="S2272" s="2">
        <v>0</v>
      </c>
      <c r="T2272" s="4"/>
      <c r="U2272">
        <v>7</v>
      </c>
      <c r="V2272">
        <v>0</v>
      </c>
      <c r="W2272">
        <v>1</v>
      </c>
    </row>
    <row r="2273" spans="1:23" ht="16.5" x14ac:dyDescent="0.3">
      <c r="A2273" t="s">
        <v>2337</v>
      </c>
      <c r="B2273" s="1">
        <v>45638</v>
      </c>
      <c r="C2273">
        <v>2024</v>
      </c>
      <c r="D2273" t="s">
        <v>1832</v>
      </c>
      <c r="E2273" t="s">
        <v>2264</v>
      </c>
      <c r="F2273" t="s">
        <v>37</v>
      </c>
      <c r="G2273" t="s">
        <v>33</v>
      </c>
      <c r="H2273" t="s">
        <v>38</v>
      </c>
      <c r="I2273" t="s">
        <v>39</v>
      </c>
      <c r="J2273" t="s">
        <v>30</v>
      </c>
      <c r="K2273" s="2">
        <v>3900</v>
      </c>
      <c r="L2273" s="2">
        <v>14500</v>
      </c>
      <c r="M2273">
        <v>12</v>
      </c>
      <c r="N2273" s="3">
        <v>0.40799999999999997</v>
      </c>
      <c r="O2273" t="s">
        <v>16</v>
      </c>
      <c r="Q2273">
        <v>1</v>
      </c>
      <c r="R2273">
        <v>0</v>
      </c>
      <c r="S2273" s="2">
        <v>14500</v>
      </c>
      <c r="T2273" s="4">
        <v>0.13780000000000001</v>
      </c>
      <c r="U2273">
        <v>3</v>
      </c>
      <c r="V2273">
        <v>1</v>
      </c>
      <c r="W2273">
        <v>1</v>
      </c>
    </row>
    <row r="2274" spans="1:23" ht="16.5" x14ac:dyDescent="0.3">
      <c r="A2274" t="s">
        <v>2338</v>
      </c>
      <c r="B2274" s="1">
        <v>45638</v>
      </c>
      <c r="C2274">
        <v>2024</v>
      </c>
      <c r="D2274" t="s">
        <v>1832</v>
      </c>
      <c r="E2274" t="s">
        <v>2264</v>
      </c>
      <c r="F2274" t="s">
        <v>50</v>
      </c>
      <c r="G2274" t="s">
        <v>33</v>
      </c>
      <c r="H2274" t="s">
        <v>38</v>
      </c>
      <c r="I2274" t="s">
        <v>29</v>
      </c>
      <c r="J2274" t="s">
        <v>35</v>
      </c>
      <c r="K2274" s="2">
        <v>5600</v>
      </c>
      <c r="L2274" s="2">
        <v>103500</v>
      </c>
      <c r="M2274">
        <v>240</v>
      </c>
      <c r="N2274" s="3">
        <v>0.2</v>
      </c>
      <c r="O2274" t="s">
        <v>16</v>
      </c>
      <c r="Q2274">
        <v>1</v>
      </c>
      <c r="R2274">
        <v>0</v>
      </c>
      <c r="S2274" s="2">
        <v>103500</v>
      </c>
      <c r="T2274" s="4">
        <v>5.7000000000000002E-2</v>
      </c>
      <c r="U2274">
        <v>4</v>
      </c>
      <c r="V2274">
        <v>1</v>
      </c>
      <c r="W2274">
        <v>1</v>
      </c>
    </row>
    <row r="2275" spans="1:23" ht="16.5" x14ac:dyDescent="0.3">
      <c r="A2275" t="s">
        <v>2339</v>
      </c>
      <c r="B2275" s="1">
        <v>45638</v>
      </c>
      <c r="C2275">
        <v>2024</v>
      </c>
      <c r="D2275" t="s">
        <v>1832</v>
      </c>
      <c r="E2275" t="s">
        <v>2264</v>
      </c>
      <c r="F2275" t="s">
        <v>37</v>
      </c>
      <c r="G2275" t="s">
        <v>27</v>
      </c>
      <c r="H2275" t="s">
        <v>55</v>
      </c>
      <c r="I2275" t="s">
        <v>29</v>
      </c>
      <c r="J2275" t="s">
        <v>52</v>
      </c>
      <c r="K2275" s="2">
        <v>5400</v>
      </c>
      <c r="L2275" s="2">
        <v>13000</v>
      </c>
      <c r="M2275">
        <v>60</v>
      </c>
      <c r="N2275" s="3">
        <v>0.27600000000000002</v>
      </c>
      <c r="O2275" t="s">
        <v>17</v>
      </c>
      <c r="P2275" t="s">
        <v>60</v>
      </c>
      <c r="Q2275">
        <v>0</v>
      </c>
      <c r="R2275">
        <v>1</v>
      </c>
      <c r="S2275" s="2">
        <v>0</v>
      </c>
      <c r="T2275" s="4"/>
      <c r="U2275">
        <v>9</v>
      </c>
      <c r="V2275">
        <v>0</v>
      </c>
      <c r="W2275">
        <v>1</v>
      </c>
    </row>
    <row r="2276" spans="1:23" ht="16.5" x14ac:dyDescent="0.3">
      <c r="A2276" t="s">
        <v>2340</v>
      </c>
      <c r="B2276" s="1">
        <v>45638</v>
      </c>
      <c r="C2276">
        <v>2024</v>
      </c>
      <c r="D2276" t="s">
        <v>1832</v>
      </c>
      <c r="E2276" t="s">
        <v>2264</v>
      </c>
      <c r="F2276" t="s">
        <v>41</v>
      </c>
      <c r="G2276" t="s">
        <v>33</v>
      </c>
      <c r="H2276" t="s">
        <v>38</v>
      </c>
      <c r="I2276" t="s">
        <v>39</v>
      </c>
      <c r="J2276" t="s">
        <v>30</v>
      </c>
      <c r="K2276" s="2">
        <v>4750</v>
      </c>
      <c r="L2276" s="2">
        <v>88500</v>
      </c>
      <c r="M2276">
        <v>60</v>
      </c>
      <c r="N2276" s="3">
        <v>0.60199999999999998</v>
      </c>
      <c r="O2276" t="s">
        <v>17</v>
      </c>
      <c r="P2276" t="s">
        <v>53</v>
      </c>
      <c r="Q2276">
        <v>0</v>
      </c>
      <c r="R2276">
        <v>1</v>
      </c>
      <c r="S2276" s="2">
        <v>0</v>
      </c>
      <c r="T2276" s="4"/>
      <c r="U2276">
        <v>3</v>
      </c>
      <c r="V2276">
        <v>1</v>
      </c>
      <c r="W2276">
        <v>1</v>
      </c>
    </row>
    <row r="2277" spans="1:23" ht="16.5" x14ac:dyDescent="0.3">
      <c r="A2277" t="s">
        <v>2341</v>
      </c>
      <c r="B2277" s="1">
        <v>45638</v>
      </c>
      <c r="C2277">
        <v>2024</v>
      </c>
      <c r="D2277" t="s">
        <v>1832</v>
      </c>
      <c r="E2277" t="s">
        <v>2264</v>
      </c>
      <c r="F2277" t="s">
        <v>41</v>
      </c>
      <c r="G2277" t="s">
        <v>45</v>
      </c>
      <c r="H2277" t="s">
        <v>38</v>
      </c>
      <c r="I2277" t="s">
        <v>29</v>
      </c>
      <c r="J2277" t="s">
        <v>35</v>
      </c>
      <c r="K2277" s="2">
        <v>7250</v>
      </c>
      <c r="L2277" s="2">
        <v>51500</v>
      </c>
      <c r="M2277">
        <v>36</v>
      </c>
      <c r="N2277" s="3">
        <v>0.36299999999999999</v>
      </c>
      <c r="O2277" t="s">
        <v>16</v>
      </c>
      <c r="Q2277">
        <v>1</v>
      </c>
      <c r="R2277">
        <v>0</v>
      </c>
      <c r="S2277" s="2">
        <v>46500</v>
      </c>
      <c r="T2277" s="4">
        <v>0.1013</v>
      </c>
      <c r="U2277">
        <v>6</v>
      </c>
      <c r="V2277">
        <v>1</v>
      </c>
      <c r="W2277">
        <v>1</v>
      </c>
    </row>
    <row r="2278" spans="1:23" ht="16.5" x14ac:dyDescent="0.3">
      <c r="A2278" t="s">
        <v>2342</v>
      </c>
      <c r="B2278" s="1">
        <v>45638</v>
      </c>
      <c r="C2278">
        <v>2024</v>
      </c>
      <c r="D2278" t="s">
        <v>1832</v>
      </c>
      <c r="E2278" t="s">
        <v>2264</v>
      </c>
      <c r="F2278" t="s">
        <v>37</v>
      </c>
      <c r="G2278" t="s">
        <v>45</v>
      </c>
      <c r="H2278" t="s">
        <v>38</v>
      </c>
      <c r="I2278" t="s">
        <v>29</v>
      </c>
      <c r="J2278" t="s">
        <v>35</v>
      </c>
      <c r="K2278" s="2">
        <v>4350</v>
      </c>
      <c r="L2278" s="2">
        <v>14000</v>
      </c>
      <c r="M2278">
        <v>36</v>
      </c>
      <c r="N2278" s="3">
        <v>0.20399999999999999</v>
      </c>
      <c r="O2278" t="s">
        <v>17</v>
      </c>
      <c r="P2278" t="s">
        <v>31</v>
      </c>
      <c r="Q2278">
        <v>0</v>
      </c>
      <c r="R2278">
        <v>1</v>
      </c>
      <c r="S2278" s="2">
        <v>0</v>
      </c>
      <c r="T2278" s="4"/>
      <c r="U2278">
        <v>2</v>
      </c>
      <c r="V2278">
        <v>1</v>
      </c>
      <c r="W2278">
        <v>1</v>
      </c>
    </row>
    <row r="2279" spans="1:23" ht="16.5" x14ac:dyDescent="0.3">
      <c r="A2279" t="s">
        <v>2343</v>
      </c>
      <c r="B2279" s="1">
        <v>45638</v>
      </c>
      <c r="C2279">
        <v>2024</v>
      </c>
      <c r="D2279" t="s">
        <v>1832</v>
      </c>
      <c r="E2279" t="s">
        <v>2264</v>
      </c>
      <c r="F2279" t="s">
        <v>37</v>
      </c>
      <c r="G2279" t="s">
        <v>33</v>
      </c>
      <c r="H2279" t="s">
        <v>34</v>
      </c>
      <c r="I2279" t="s">
        <v>29</v>
      </c>
      <c r="J2279" t="s">
        <v>35</v>
      </c>
      <c r="K2279" s="2">
        <v>2700</v>
      </c>
      <c r="L2279" s="2">
        <v>24500</v>
      </c>
      <c r="M2279">
        <v>48</v>
      </c>
      <c r="N2279" s="3">
        <v>0.45900000000000002</v>
      </c>
      <c r="O2279" t="s">
        <v>16</v>
      </c>
      <c r="Q2279">
        <v>1</v>
      </c>
      <c r="R2279">
        <v>0</v>
      </c>
      <c r="S2279" s="2">
        <v>24500</v>
      </c>
      <c r="T2279" s="4">
        <v>0.126</v>
      </c>
      <c r="U2279">
        <v>3</v>
      </c>
      <c r="V2279">
        <v>1</v>
      </c>
      <c r="W2279">
        <v>1</v>
      </c>
    </row>
    <row r="2280" spans="1:23" ht="16.5" x14ac:dyDescent="0.3">
      <c r="A2280" t="s">
        <v>2344</v>
      </c>
      <c r="B2280" s="1">
        <v>45639</v>
      </c>
      <c r="C2280">
        <v>2024</v>
      </c>
      <c r="D2280" t="s">
        <v>1832</v>
      </c>
      <c r="E2280" t="s">
        <v>2264</v>
      </c>
      <c r="F2280" t="s">
        <v>37</v>
      </c>
      <c r="G2280" t="s">
        <v>33</v>
      </c>
      <c r="H2280" t="s">
        <v>34</v>
      </c>
      <c r="I2280" t="s">
        <v>42</v>
      </c>
      <c r="J2280" t="s">
        <v>46</v>
      </c>
      <c r="K2280" s="2">
        <v>5450</v>
      </c>
      <c r="L2280" s="2">
        <v>10000</v>
      </c>
      <c r="M2280">
        <v>36</v>
      </c>
      <c r="N2280" s="3">
        <v>0.18</v>
      </c>
      <c r="O2280" t="s">
        <v>16</v>
      </c>
      <c r="Q2280">
        <v>1</v>
      </c>
      <c r="R2280">
        <v>0</v>
      </c>
      <c r="S2280" s="2">
        <v>10000</v>
      </c>
      <c r="T2280" s="4">
        <v>0.11169999999999999</v>
      </c>
      <c r="U2280">
        <v>1</v>
      </c>
      <c r="V2280">
        <v>1</v>
      </c>
      <c r="W2280">
        <v>1</v>
      </c>
    </row>
    <row r="2281" spans="1:23" ht="16.5" x14ac:dyDescent="0.3">
      <c r="A2281" t="s">
        <v>2345</v>
      </c>
      <c r="B2281" s="1">
        <v>45639</v>
      </c>
      <c r="C2281">
        <v>2024</v>
      </c>
      <c r="D2281" t="s">
        <v>1832</v>
      </c>
      <c r="E2281" t="s">
        <v>2264</v>
      </c>
      <c r="F2281" t="s">
        <v>26</v>
      </c>
      <c r="G2281" t="s">
        <v>45</v>
      </c>
      <c r="H2281" t="s">
        <v>55</v>
      </c>
      <c r="I2281" t="s">
        <v>29</v>
      </c>
      <c r="J2281" t="s">
        <v>52</v>
      </c>
      <c r="K2281" s="2">
        <v>10500</v>
      </c>
      <c r="L2281" s="2">
        <v>25000</v>
      </c>
      <c r="M2281">
        <v>36</v>
      </c>
      <c r="N2281" s="3">
        <v>0.14499999999999999</v>
      </c>
      <c r="O2281" t="s">
        <v>16</v>
      </c>
      <c r="Q2281">
        <v>1</v>
      </c>
      <c r="R2281">
        <v>0</v>
      </c>
      <c r="S2281" s="2">
        <v>25000</v>
      </c>
      <c r="T2281" s="4">
        <v>7.7399999999999997E-2</v>
      </c>
      <c r="U2281">
        <v>3</v>
      </c>
      <c r="V2281">
        <v>1</v>
      </c>
      <c r="W2281">
        <v>1</v>
      </c>
    </row>
    <row r="2282" spans="1:23" ht="16.5" x14ac:dyDescent="0.3">
      <c r="A2282" t="s">
        <v>2346</v>
      </c>
      <c r="B2282" s="1">
        <v>45639</v>
      </c>
      <c r="C2282">
        <v>2024</v>
      </c>
      <c r="D2282" t="s">
        <v>1832</v>
      </c>
      <c r="E2282" t="s">
        <v>2264</v>
      </c>
      <c r="F2282" t="s">
        <v>41</v>
      </c>
      <c r="G2282" t="s">
        <v>45</v>
      </c>
      <c r="H2282" t="s">
        <v>34</v>
      </c>
      <c r="I2282" t="s">
        <v>29</v>
      </c>
      <c r="J2282" t="s">
        <v>30</v>
      </c>
      <c r="K2282" s="2">
        <v>6600</v>
      </c>
      <c r="L2282" s="2">
        <v>85500</v>
      </c>
      <c r="M2282">
        <v>24</v>
      </c>
      <c r="N2282" s="3">
        <v>0.76300000000000001</v>
      </c>
      <c r="O2282" t="s">
        <v>17</v>
      </c>
      <c r="P2282" t="s">
        <v>31</v>
      </c>
      <c r="Q2282">
        <v>0</v>
      </c>
      <c r="R2282">
        <v>1</v>
      </c>
      <c r="S2282" s="2">
        <v>0</v>
      </c>
      <c r="T2282" s="4"/>
      <c r="U2282">
        <v>8</v>
      </c>
      <c r="V2282">
        <v>1</v>
      </c>
      <c r="W2282">
        <v>1</v>
      </c>
    </row>
    <row r="2283" spans="1:23" ht="16.5" x14ac:dyDescent="0.3">
      <c r="A2283" t="s">
        <v>2347</v>
      </c>
      <c r="B2283" s="1">
        <v>45639</v>
      </c>
      <c r="C2283">
        <v>2024</v>
      </c>
      <c r="D2283" t="s">
        <v>1832</v>
      </c>
      <c r="E2283" t="s">
        <v>2264</v>
      </c>
      <c r="F2283" t="s">
        <v>37</v>
      </c>
      <c r="G2283" t="s">
        <v>27</v>
      </c>
      <c r="H2283" t="s">
        <v>34</v>
      </c>
      <c r="I2283" t="s">
        <v>29</v>
      </c>
      <c r="J2283" t="s">
        <v>35</v>
      </c>
      <c r="K2283" s="2">
        <v>4750</v>
      </c>
      <c r="L2283" s="2">
        <v>7500</v>
      </c>
      <c r="M2283">
        <v>60</v>
      </c>
      <c r="N2283" s="3">
        <v>0.17599999999999999</v>
      </c>
      <c r="O2283" t="s">
        <v>16</v>
      </c>
      <c r="Q2283">
        <v>1</v>
      </c>
      <c r="R2283">
        <v>0</v>
      </c>
      <c r="S2283" s="2">
        <v>6000</v>
      </c>
      <c r="T2283" s="4">
        <v>0.1249</v>
      </c>
      <c r="U2283">
        <v>4</v>
      </c>
      <c r="V2283">
        <v>0</v>
      </c>
      <c r="W2283">
        <v>1</v>
      </c>
    </row>
    <row r="2284" spans="1:23" ht="16.5" x14ac:dyDescent="0.3">
      <c r="A2284" t="s">
        <v>2348</v>
      </c>
      <c r="B2284" s="1">
        <v>45639</v>
      </c>
      <c r="C2284">
        <v>2024</v>
      </c>
      <c r="D2284" t="s">
        <v>1832</v>
      </c>
      <c r="E2284" t="s">
        <v>2264</v>
      </c>
      <c r="F2284" t="s">
        <v>26</v>
      </c>
      <c r="G2284" t="s">
        <v>33</v>
      </c>
      <c r="H2284" t="s">
        <v>34</v>
      </c>
      <c r="I2284" t="s">
        <v>42</v>
      </c>
      <c r="J2284" t="s">
        <v>52</v>
      </c>
      <c r="K2284" s="2">
        <v>4400</v>
      </c>
      <c r="L2284" s="2">
        <v>58000</v>
      </c>
      <c r="M2284">
        <v>36</v>
      </c>
      <c r="N2284" s="3">
        <v>0.58299999999999996</v>
      </c>
      <c r="O2284" t="s">
        <v>17</v>
      </c>
      <c r="P2284" t="s">
        <v>53</v>
      </c>
      <c r="Q2284">
        <v>0</v>
      </c>
      <c r="R2284">
        <v>1</v>
      </c>
      <c r="S2284" s="2">
        <v>0</v>
      </c>
      <c r="T2284" s="4"/>
      <c r="U2284">
        <v>3</v>
      </c>
      <c r="V2284">
        <v>1</v>
      </c>
      <c r="W2284">
        <v>1</v>
      </c>
    </row>
    <row r="2285" spans="1:23" ht="16.5" x14ac:dyDescent="0.3">
      <c r="A2285" t="s">
        <v>2349</v>
      </c>
      <c r="B2285" s="1">
        <v>45639</v>
      </c>
      <c r="C2285">
        <v>2024</v>
      </c>
      <c r="D2285" t="s">
        <v>1832</v>
      </c>
      <c r="E2285" t="s">
        <v>2264</v>
      </c>
      <c r="F2285" t="s">
        <v>41</v>
      </c>
      <c r="G2285" t="s">
        <v>51</v>
      </c>
      <c r="H2285" t="s">
        <v>38</v>
      </c>
      <c r="I2285" t="s">
        <v>29</v>
      </c>
      <c r="J2285" t="s">
        <v>43</v>
      </c>
      <c r="K2285" s="2">
        <v>7700</v>
      </c>
      <c r="L2285" s="2">
        <v>118000</v>
      </c>
      <c r="M2285">
        <v>36</v>
      </c>
      <c r="N2285" s="3">
        <v>0.58199999999999996</v>
      </c>
      <c r="O2285" t="s">
        <v>17</v>
      </c>
      <c r="P2285" t="s">
        <v>53</v>
      </c>
      <c r="Q2285">
        <v>0</v>
      </c>
      <c r="R2285">
        <v>1</v>
      </c>
      <c r="S2285" s="2">
        <v>0</v>
      </c>
      <c r="T2285" s="4"/>
      <c r="U2285">
        <v>28</v>
      </c>
      <c r="V2285">
        <v>0</v>
      </c>
      <c r="W2285">
        <v>1</v>
      </c>
    </row>
    <row r="2286" spans="1:23" ht="16.5" x14ac:dyDescent="0.3">
      <c r="A2286" t="s">
        <v>2350</v>
      </c>
      <c r="B2286" s="1">
        <v>45639</v>
      </c>
      <c r="C2286">
        <v>2024</v>
      </c>
      <c r="D2286" t="s">
        <v>1832</v>
      </c>
      <c r="E2286" t="s">
        <v>2264</v>
      </c>
      <c r="F2286" t="s">
        <v>41</v>
      </c>
      <c r="G2286" t="s">
        <v>51</v>
      </c>
      <c r="H2286" t="s">
        <v>64</v>
      </c>
      <c r="I2286" t="s">
        <v>42</v>
      </c>
      <c r="J2286" t="s">
        <v>52</v>
      </c>
      <c r="K2286" s="2">
        <v>6250</v>
      </c>
      <c r="L2286" s="2">
        <v>63500</v>
      </c>
      <c r="M2286">
        <v>12</v>
      </c>
      <c r="N2286" s="3">
        <v>1.05</v>
      </c>
      <c r="O2286" t="s">
        <v>17</v>
      </c>
      <c r="P2286" t="s">
        <v>53</v>
      </c>
      <c r="Q2286">
        <v>0</v>
      </c>
      <c r="R2286">
        <v>1</v>
      </c>
      <c r="S2286" s="2">
        <v>0</v>
      </c>
      <c r="T2286" s="4"/>
      <c r="U2286">
        <v>12</v>
      </c>
      <c r="V2286">
        <v>0</v>
      </c>
      <c r="W2286">
        <v>1</v>
      </c>
    </row>
    <row r="2287" spans="1:23" ht="16.5" x14ac:dyDescent="0.3">
      <c r="A2287" t="s">
        <v>2351</v>
      </c>
      <c r="B2287" s="1">
        <v>45640</v>
      </c>
      <c r="C2287">
        <v>2024</v>
      </c>
      <c r="D2287" t="s">
        <v>1832</v>
      </c>
      <c r="E2287" t="s">
        <v>2264</v>
      </c>
      <c r="F2287" t="s">
        <v>37</v>
      </c>
      <c r="G2287" t="s">
        <v>45</v>
      </c>
      <c r="H2287" t="s">
        <v>28</v>
      </c>
      <c r="I2287" t="s">
        <v>39</v>
      </c>
      <c r="J2287" t="s">
        <v>52</v>
      </c>
      <c r="K2287" s="2">
        <v>4700</v>
      </c>
      <c r="L2287" s="2">
        <v>7500</v>
      </c>
      <c r="M2287">
        <v>60</v>
      </c>
      <c r="N2287" s="3">
        <v>0.129</v>
      </c>
      <c r="O2287" t="s">
        <v>16</v>
      </c>
      <c r="Q2287">
        <v>1</v>
      </c>
      <c r="R2287">
        <v>0</v>
      </c>
      <c r="S2287" s="2">
        <v>7000</v>
      </c>
      <c r="T2287" s="4">
        <v>0.11600000000000001</v>
      </c>
      <c r="U2287">
        <v>2</v>
      </c>
      <c r="V2287">
        <v>1</v>
      </c>
      <c r="W2287">
        <v>1</v>
      </c>
    </row>
    <row r="2288" spans="1:23" ht="16.5" x14ac:dyDescent="0.3">
      <c r="A2288" t="s">
        <v>2352</v>
      </c>
      <c r="B2288" s="1">
        <v>45640</v>
      </c>
      <c r="C2288">
        <v>2024</v>
      </c>
      <c r="D2288" t="s">
        <v>1832</v>
      </c>
      <c r="E2288" t="s">
        <v>2264</v>
      </c>
      <c r="F2288" t="s">
        <v>37</v>
      </c>
      <c r="G2288" t="s">
        <v>45</v>
      </c>
      <c r="H2288" t="s">
        <v>34</v>
      </c>
      <c r="I2288" t="s">
        <v>39</v>
      </c>
      <c r="J2288" t="s">
        <v>30</v>
      </c>
      <c r="K2288" s="2">
        <v>4800</v>
      </c>
      <c r="L2288" s="2">
        <v>11000</v>
      </c>
      <c r="M2288">
        <v>12</v>
      </c>
      <c r="N2288" s="3">
        <v>0.41499999999999998</v>
      </c>
      <c r="O2288" t="s">
        <v>16</v>
      </c>
      <c r="Q2288">
        <v>1</v>
      </c>
      <c r="R2288">
        <v>0</v>
      </c>
      <c r="S2288" s="2">
        <v>11000</v>
      </c>
      <c r="T2288" s="4">
        <v>0.1358</v>
      </c>
      <c r="U2288">
        <v>2</v>
      </c>
      <c r="V2288">
        <v>1</v>
      </c>
      <c r="W2288">
        <v>1</v>
      </c>
    </row>
    <row r="2289" spans="1:23" ht="16.5" x14ac:dyDescent="0.3">
      <c r="A2289" t="s">
        <v>2353</v>
      </c>
      <c r="B2289" s="1">
        <v>45640</v>
      </c>
      <c r="C2289">
        <v>2024</v>
      </c>
      <c r="D2289" t="s">
        <v>1832</v>
      </c>
      <c r="E2289" t="s">
        <v>2264</v>
      </c>
      <c r="F2289" t="s">
        <v>37</v>
      </c>
      <c r="G2289" t="s">
        <v>45</v>
      </c>
      <c r="H2289" t="s">
        <v>64</v>
      </c>
      <c r="I2289" t="s">
        <v>29</v>
      </c>
      <c r="J2289" t="s">
        <v>52</v>
      </c>
      <c r="K2289" s="2">
        <v>6150</v>
      </c>
      <c r="L2289" s="2">
        <v>6000</v>
      </c>
      <c r="M2289">
        <v>24</v>
      </c>
      <c r="N2289" s="3">
        <v>0.27300000000000002</v>
      </c>
      <c r="O2289" t="s">
        <v>16</v>
      </c>
      <c r="Q2289">
        <v>1</v>
      </c>
      <c r="R2289">
        <v>0</v>
      </c>
      <c r="S2289" s="2">
        <v>6000</v>
      </c>
      <c r="T2289" s="4">
        <v>0.11360000000000001</v>
      </c>
      <c r="U2289">
        <v>2</v>
      </c>
      <c r="V2289">
        <v>1</v>
      </c>
      <c r="W2289">
        <v>1</v>
      </c>
    </row>
    <row r="2290" spans="1:23" ht="16.5" x14ac:dyDescent="0.3">
      <c r="A2290" t="s">
        <v>2354</v>
      </c>
      <c r="B2290" s="1">
        <v>45640</v>
      </c>
      <c r="C2290">
        <v>2024</v>
      </c>
      <c r="D2290" t="s">
        <v>1832</v>
      </c>
      <c r="E2290" t="s">
        <v>2264</v>
      </c>
      <c r="F2290" t="s">
        <v>37</v>
      </c>
      <c r="G2290" t="s">
        <v>27</v>
      </c>
      <c r="H2290" t="s">
        <v>34</v>
      </c>
      <c r="I2290" t="s">
        <v>39</v>
      </c>
      <c r="J2290" t="s">
        <v>43</v>
      </c>
      <c r="K2290" s="2">
        <v>7250</v>
      </c>
      <c r="L2290" s="2">
        <v>14000</v>
      </c>
      <c r="M2290">
        <v>60</v>
      </c>
      <c r="N2290" s="3">
        <v>0.185</v>
      </c>
      <c r="O2290" t="s">
        <v>17</v>
      </c>
      <c r="P2290" t="s">
        <v>31</v>
      </c>
      <c r="Q2290">
        <v>0</v>
      </c>
      <c r="R2290">
        <v>1</v>
      </c>
      <c r="S2290" s="2">
        <v>0</v>
      </c>
      <c r="T2290" s="4"/>
      <c r="U2290">
        <v>2</v>
      </c>
      <c r="V2290">
        <v>1</v>
      </c>
      <c r="W2290">
        <v>1</v>
      </c>
    </row>
    <row r="2291" spans="1:23" ht="16.5" x14ac:dyDescent="0.3">
      <c r="A2291" t="s">
        <v>2355</v>
      </c>
      <c r="B2291" s="1">
        <v>45641</v>
      </c>
      <c r="C2291">
        <v>2024</v>
      </c>
      <c r="D2291" t="s">
        <v>1832</v>
      </c>
      <c r="E2291" t="s">
        <v>2264</v>
      </c>
      <c r="F2291" t="s">
        <v>26</v>
      </c>
      <c r="G2291" t="s">
        <v>33</v>
      </c>
      <c r="H2291" t="s">
        <v>38</v>
      </c>
      <c r="I2291" t="s">
        <v>29</v>
      </c>
      <c r="J2291" t="s">
        <v>30</v>
      </c>
      <c r="K2291" s="2">
        <v>7600</v>
      </c>
      <c r="L2291" s="2">
        <v>26000</v>
      </c>
      <c r="M2291">
        <v>60</v>
      </c>
      <c r="N2291" s="3">
        <v>0.13300000000000001</v>
      </c>
      <c r="O2291" t="s">
        <v>125</v>
      </c>
      <c r="Q2291">
        <v>0</v>
      </c>
      <c r="R2291">
        <v>0</v>
      </c>
      <c r="S2291" s="2">
        <v>0</v>
      </c>
      <c r="T2291" s="4"/>
      <c r="U2291">
        <v>4</v>
      </c>
      <c r="V2291">
        <v>1</v>
      </c>
      <c r="W2291">
        <v>1</v>
      </c>
    </row>
    <row r="2292" spans="1:23" ht="16.5" x14ac:dyDescent="0.3">
      <c r="A2292" t="s">
        <v>2356</v>
      </c>
      <c r="B2292" s="1">
        <v>45641</v>
      </c>
      <c r="C2292">
        <v>2024</v>
      </c>
      <c r="D2292" t="s">
        <v>1832</v>
      </c>
      <c r="E2292" t="s">
        <v>2264</v>
      </c>
      <c r="F2292" t="s">
        <v>41</v>
      </c>
      <c r="G2292" t="s">
        <v>51</v>
      </c>
      <c r="H2292" t="s">
        <v>38</v>
      </c>
      <c r="I2292" t="s">
        <v>39</v>
      </c>
      <c r="J2292" t="s">
        <v>43</v>
      </c>
      <c r="K2292" s="2">
        <v>4050</v>
      </c>
      <c r="L2292" s="2">
        <v>81500</v>
      </c>
      <c r="M2292">
        <v>60</v>
      </c>
      <c r="N2292" s="3">
        <v>0.51</v>
      </c>
      <c r="O2292" t="s">
        <v>16</v>
      </c>
      <c r="Q2292">
        <v>1</v>
      </c>
      <c r="R2292">
        <v>0</v>
      </c>
      <c r="S2292" s="2">
        <v>65000</v>
      </c>
      <c r="T2292" s="4">
        <v>0.14399999999999999</v>
      </c>
      <c r="U2292">
        <v>17</v>
      </c>
      <c r="V2292">
        <v>0</v>
      </c>
      <c r="W2292">
        <v>1</v>
      </c>
    </row>
    <row r="2293" spans="1:23" ht="16.5" x14ac:dyDescent="0.3">
      <c r="A2293" t="s">
        <v>2357</v>
      </c>
      <c r="B2293" s="1">
        <v>45641</v>
      </c>
      <c r="C2293">
        <v>2024</v>
      </c>
      <c r="D2293" t="s">
        <v>1832</v>
      </c>
      <c r="E2293" t="s">
        <v>2264</v>
      </c>
      <c r="F2293" t="s">
        <v>37</v>
      </c>
      <c r="G2293" t="s">
        <v>45</v>
      </c>
      <c r="H2293" t="s">
        <v>28</v>
      </c>
      <c r="I2293" t="s">
        <v>39</v>
      </c>
      <c r="J2293" t="s">
        <v>35</v>
      </c>
      <c r="K2293" s="2">
        <v>4600</v>
      </c>
      <c r="L2293" s="2">
        <v>11000</v>
      </c>
      <c r="M2293">
        <v>36</v>
      </c>
      <c r="N2293" s="3">
        <v>0.26400000000000001</v>
      </c>
      <c r="O2293" t="s">
        <v>17</v>
      </c>
      <c r="P2293" t="s">
        <v>48</v>
      </c>
      <c r="Q2293">
        <v>0</v>
      </c>
      <c r="R2293">
        <v>1</v>
      </c>
      <c r="S2293" s="2">
        <v>0</v>
      </c>
      <c r="T2293" s="4"/>
      <c r="U2293">
        <v>3</v>
      </c>
      <c r="V2293">
        <v>1</v>
      </c>
      <c r="W2293">
        <v>1</v>
      </c>
    </row>
    <row r="2294" spans="1:23" ht="16.5" x14ac:dyDescent="0.3">
      <c r="A2294" t="s">
        <v>2358</v>
      </c>
      <c r="B2294" s="1">
        <v>45641</v>
      </c>
      <c r="C2294">
        <v>2024</v>
      </c>
      <c r="D2294" t="s">
        <v>1832</v>
      </c>
      <c r="E2294" t="s">
        <v>2264</v>
      </c>
      <c r="F2294" t="s">
        <v>26</v>
      </c>
      <c r="G2294" t="s">
        <v>33</v>
      </c>
      <c r="H2294" t="s">
        <v>64</v>
      </c>
      <c r="I2294" t="s">
        <v>39</v>
      </c>
      <c r="J2294" t="s">
        <v>30</v>
      </c>
      <c r="K2294" s="2">
        <v>8550</v>
      </c>
      <c r="L2294" s="2">
        <v>21500</v>
      </c>
      <c r="M2294">
        <v>60</v>
      </c>
      <c r="N2294" s="3">
        <v>0.17599999999999999</v>
      </c>
      <c r="O2294" t="s">
        <v>17</v>
      </c>
      <c r="P2294" t="s">
        <v>31</v>
      </c>
      <c r="Q2294">
        <v>0</v>
      </c>
      <c r="R2294">
        <v>1</v>
      </c>
      <c r="S2294" s="2">
        <v>0</v>
      </c>
      <c r="T2294" s="4"/>
      <c r="U2294">
        <v>3</v>
      </c>
      <c r="V2294">
        <v>1</v>
      </c>
      <c r="W2294">
        <v>1</v>
      </c>
    </row>
    <row r="2295" spans="1:23" ht="16.5" x14ac:dyDescent="0.3">
      <c r="A2295" t="s">
        <v>2359</v>
      </c>
      <c r="B2295" s="1">
        <v>45642</v>
      </c>
      <c r="C2295">
        <v>2024</v>
      </c>
      <c r="D2295" t="s">
        <v>1832</v>
      </c>
      <c r="E2295" t="s">
        <v>2264</v>
      </c>
      <c r="F2295" t="s">
        <v>37</v>
      </c>
      <c r="G2295" t="s">
        <v>51</v>
      </c>
      <c r="H2295" t="s">
        <v>55</v>
      </c>
      <c r="I2295" t="s">
        <v>39</v>
      </c>
      <c r="J2295" t="s">
        <v>52</v>
      </c>
      <c r="K2295" s="2">
        <v>6850</v>
      </c>
      <c r="L2295" s="2">
        <v>5000</v>
      </c>
      <c r="M2295">
        <v>48</v>
      </c>
      <c r="N2295" s="3">
        <v>0.15</v>
      </c>
      <c r="O2295" t="s">
        <v>16</v>
      </c>
      <c r="Q2295">
        <v>1</v>
      </c>
      <c r="R2295">
        <v>0</v>
      </c>
      <c r="S2295" s="2">
        <v>5000</v>
      </c>
      <c r="T2295" s="4">
        <v>0.1153</v>
      </c>
      <c r="U2295">
        <v>6</v>
      </c>
      <c r="V2295">
        <v>0</v>
      </c>
      <c r="W2295">
        <v>1</v>
      </c>
    </row>
    <row r="2296" spans="1:23" ht="16.5" x14ac:dyDescent="0.3">
      <c r="A2296" t="s">
        <v>2360</v>
      </c>
      <c r="B2296" s="1">
        <v>45642</v>
      </c>
      <c r="C2296">
        <v>2024</v>
      </c>
      <c r="D2296" t="s">
        <v>1832</v>
      </c>
      <c r="E2296" t="s">
        <v>2264</v>
      </c>
      <c r="F2296" t="s">
        <v>37</v>
      </c>
      <c r="G2296" t="s">
        <v>45</v>
      </c>
      <c r="H2296" t="s">
        <v>34</v>
      </c>
      <c r="I2296" t="s">
        <v>42</v>
      </c>
      <c r="J2296" t="s">
        <v>35</v>
      </c>
      <c r="K2296" s="2">
        <v>4350</v>
      </c>
      <c r="L2296" s="2">
        <v>11500</v>
      </c>
      <c r="M2296">
        <v>24</v>
      </c>
      <c r="N2296" s="3">
        <v>0.28999999999999998</v>
      </c>
      <c r="O2296" t="s">
        <v>17</v>
      </c>
      <c r="P2296" t="s">
        <v>60</v>
      </c>
      <c r="Q2296">
        <v>0</v>
      </c>
      <c r="R2296">
        <v>1</v>
      </c>
      <c r="S2296" s="2">
        <v>0</v>
      </c>
      <c r="T2296" s="4"/>
      <c r="U2296">
        <v>6</v>
      </c>
      <c r="V2296">
        <v>0</v>
      </c>
      <c r="W2296">
        <v>1</v>
      </c>
    </row>
    <row r="2297" spans="1:23" ht="16.5" x14ac:dyDescent="0.3">
      <c r="A2297" t="s">
        <v>2361</v>
      </c>
      <c r="B2297" s="1">
        <v>45642</v>
      </c>
      <c r="C2297">
        <v>2024</v>
      </c>
      <c r="D2297" t="s">
        <v>1832</v>
      </c>
      <c r="E2297" t="s">
        <v>2264</v>
      </c>
      <c r="F2297" t="s">
        <v>37</v>
      </c>
      <c r="G2297" t="s">
        <v>51</v>
      </c>
      <c r="H2297" t="s">
        <v>55</v>
      </c>
      <c r="I2297" t="s">
        <v>42</v>
      </c>
      <c r="J2297" t="s">
        <v>52</v>
      </c>
      <c r="K2297" s="2">
        <v>5100</v>
      </c>
      <c r="L2297" s="2">
        <v>9500</v>
      </c>
      <c r="M2297">
        <v>48</v>
      </c>
      <c r="N2297" s="3">
        <v>0.27600000000000002</v>
      </c>
      <c r="O2297" t="s">
        <v>16</v>
      </c>
      <c r="Q2297">
        <v>1</v>
      </c>
      <c r="R2297">
        <v>0</v>
      </c>
      <c r="S2297" s="2">
        <v>9500</v>
      </c>
      <c r="T2297" s="4">
        <v>0.11700000000000001</v>
      </c>
      <c r="U2297">
        <v>6</v>
      </c>
      <c r="V2297">
        <v>0</v>
      </c>
      <c r="W2297">
        <v>1</v>
      </c>
    </row>
    <row r="2298" spans="1:23" ht="16.5" x14ac:dyDescent="0.3">
      <c r="A2298" t="s">
        <v>2362</v>
      </c>
      <c r="B2298" s="1">
        <v>45642</v>
      </c>
      <c r="C2298">
        <v>2024</v>
      </c>
      <c r="D2298" t="s">
        <v>1832</v>
      </c>
      <c r="E2298" t="s">
        <v>2264</v>
      </c>
      <c r="F2298" t="s">
        <v>41</v>
      </c>
      <c r="G2298" t="s">
        <v>51</v>
      </c>
      <c r="H2298" t="s">
        <v>38</v>
      </c>
      <c r="I2298" t="s">
        <v>39</v>
      </c>
      <c r="J2298" t="s">
        <v>52</v>
      </c>
      <c r="K2298" s="2">
        <v>10750</v>
      </c>
      <c r="L2298" s="2">
        <v>131500</v>
      </c>
      <c r="M2298">
        <v>60</v>
      </c>
      <c r="N2298" s="3">
        <v>0.48</v>
      </c>
      <c r="O2298" t="s">
        <v>16</v>
      </c>
      <c r="Q2298">
        <v>1</v>
      </c>
      <c r="R2298">
        <v>0</v>
      </c>
      <c r="S2298" s="2">
        <v>118500</v>
      </c>
      <c r="T2298" s="4">
        <v>9.4600000000000004E-2</v>
      </c>
      <c r="U2298">
        <v>8</v>
      </c>
      <c r="V2298">
        <v>1</v>
      </c>
      <c r="W2298">
        <v>1</v>
      </c>
    </row>
    <row r="2299" spans="1:23" ht="16.5" x14ac:dyDescent="0.3">
      <c r="A2299" t="s">
        <v>2363</v>
      </c>
      <c r="B2299" s="1">
        <v>45642</v>
      </c>
      <c r="C2299">
        <v>2024</v>
      </c>
      <c r="D2299" t="s">
        <v>1832</v>
      </c>
      <c r="E2299" t="s">
        <v>2264</v>
      </c>
      <c r="F2299" t="s">
        <v>37</v>
      </c>
      <c r="G2299" t="s">
        <v>27</v>
      </c>
      <c r="H2299" t="s">
        <v>38</v>
      </c>
      <c r="I2299" t="s">
        <v>42</v>
      </c>
      <c r="J2299" t="s">
        <v>30</v>
      </c>
      <c r="K2299" s="2">
        <v>4050</v>
      </c>
      <c r="L2299" s="2">
        <v>16500</v>
      </c>
      <c r="M2299">
        <v>24</v>
      </c>
      <c r="N2299" s="3">
        <v>0.44</v>
      </c>
      <c r="O2299" t="s">
        <v>16</v>
      </c>
      <c r="Q2299">
        <v>1</v>
      </c>
      <c r="R2299">
        <v>0</v>
      </c>
      <c r="S2299" s="2">
        <v>13000</v>
      </c>
      <c r="T2299" s="4">
        <v>0.1358</v>
      </c>
      <c r="U2299">
        <v>3</v>
      </c>
      <c r="V2299">
        <v>1</v>
      </c>
      <c r="W2299">
        <v>1</v>
      </c>
    </row>
    <row r="2300" spans="1:23" ht="16.5" x14ac:dyDescent="0.3">
      <c r="A2300" t="s">
        <v>2364</v>
      </c>
      <c r="B2300" s="1">
        <v>45642</v>
      </c>
      <c r="C2300">
        <v>2024</v>
      </c>
      <c r="D2300" t="s">
        <v>1832</v>
      </c>
      <c r="E2300" t="s">
        <v>2264</v>
      </c>
      <c r="F2300" t="s">
        <v>37</v>
      </c>
      <c r="G2300" t="s">
        <v>45</v>
      </c>
      <c r="H2300" t="s">
        <v>34</v>
      </c>
      <c r="I2300" t="s">
        <v>29</v>
      </c>
      <c r="J2300" t="s">
        <v>43</v>
      </c>
      <c r="K2300" s="2">
        <v>2450</v>
      </c>
      <c r="L2300" s="2">
        <v>15000</v>
      </c>
      <c r="M2300">
        <v>24</v>
      </c>
      <c r="N2300" s="3">
        <v>0.47199999999999998</v>
      </c>
      <c r="O2300" t="s">
        <v>17</v>
      </c>
      <c r="P2300" t="s">
        <v>31</v>
      </c>
      <c r="Q2300">
        <v>0</v>
      </c>
      <c r="R2300">
        <v>1</v>
      </c>
      <c r="S2300" s="2">
        <v>0</v>
      </c>
      <c r="T2300" s="4"/>
      <c r="U2300">
        <v>3</v>
      </c>
      <c r="V2300">
        <v>1</v>
      </c>
      <c r="W2300">
        <v>1</v>
      </c>
    </row>
    <row r="2301" spans="1:23" ht="16.5" x14ac:dyDescent="0.3">
      <c r="A2301" t="s">
        <v>2365</v>
      </c>
      <c r="B2301" s="1">
        <v>45642</v>
      </c>
      <c r="C2301">
        <v>2024</v>
      </c>
      <c r="D2301" t="s">
        <v>1832</v>
      </c>
      <c r="E2301" t="s">
        <v>2264</v>
      </c>
      <c r="F2301" t="s">
        <v>37</v>
      </c>
      <c r="G2301" t="s">
        <v>51</v>
      </c>
      <c r="H2301" t="s">
        <v>55</v>
      </c>
      <c r="I2301" t="s">
        <v>39</v>
      </c>
      <c r="J2301" t="s">
        <v>35</v>
      </c>
      <c r="K2301" s="2">
        <v>2750</v>
      </c>
      <c r="L2301" s="2">
        <v>10000</v>
      </c>
      <c r="M2301">
        <v>24</v>
      </c>
      <c r="N2301" s="3">
        <v>0.40799999999999997</v>
      </c>
      <c r="O2301" t="s">
        <v>16</v>
      </c>
      <c r="Q2301">
        <v>1</v>
      </c>
      <c r="R2301">
        <v>0</v>
      </c>
      <c r="S2301" s="2">
        <v>9000</v>
      </c>
      <c r="T2301" s="4">
        <v>0.1273</v>
      </c>
      <c r="U2301">
        <v>6</v>
      </c>
      <c r="V2301">
        <v>0</v>
      </c>
      <c r="W2301">
        <v>1</v>
      </c>
    </row>
    <row r="2302" spans="1:23" ht="16.5" x14ac:dyDescent="0.3">
      <c r="A2302" t="s">
        <v>2366</v>
      </c>
      <c r="B2302" s="1">
        <v>45642</v>
      </c>
      <c r="C2302">
        <v>2024</v>
      </c>
      <c r="D2302" t="s">
        <v>1832</v>
      </c>
      <c r="E2302" t="s">
        <v>2264</v>
      </c>
      <c r="F2302" t="s">
        <v>26</v>
      </c>
      <c r="G2302" t="s">
        <v>51</v>
      </c>
      <c r="H2302" t="s">
        <v>64</v>
      </c>
      <c r="I2302" t="s">
        <v>42</v>
      </c>
      <c r="J2302" t="s">
        <v>52</v>
      </c>
      <c r="K2302" s="2">
        <v>3500</v>
      </c>
      <c r="L2302" s="2">
        <v>41500</v>
      </c>
      <c r="M2302">
        <v>60</v>
      </c>
      <c r="N2302" s="3">
        <v>0.34100000000000003</v>
      </c>
      <c r="O2302" t="s">
        <v>16</v>
      </c>
      <c r="Q2302">
        <v>1</v>
      </c>
      <c r="R2302">
        <v>0</v>
      </c>
      <c r="S2302" s="2">
        <v>41500</v>
      </c>
      <c r="T2302" s="4">
        <v>7.5499999999999998E-2</v>
      </c>
      <c r="U2302">
        <v>8</v>
      </c>
      <c r="V2302">
        <v>0</v>
      </c>
      <c r="W2302">
        <v>1</v>
      </c>
    </row>
    <row r="2303" spans="1:23" ht="16.5" x14ac:dyDescent="0.3">
      <c r="A2303" t="s">
        <v>2367</v>
      </c>
      <c r="B2303" s="1">
        <v>45642</v>
      </c>
      <c r="C2303">
        <v>2024</v>
      </c>
      <c r="D2303" t="s">
        <v>1832</v>
      </c>
      <c r="E2303" t="s">
        <v>2264</v>
      </c>
      <c r="F2303" t="s">
        <v>37</v>
      </c>
      <c r="G2303" t="s">
        <v>33</v>
      </c>
      <c r="H2303" t="s">
        <v>38</v>
      </c>
      <c r="I2303" t="s">
        <v>29</v>
      </c>
      <c r="J2303" t="s">
        <v>30</v>
      </c>
      <c r="K2303" s="2">
        <v>5100</v>
      </c>
      <c r="L2303" s="2">
        <v>12500</v>
      </c>
      <c r="M2303">
        <v>24</v>
      </c>
      <c r="N2303" s="3">
        <v>0.20499999999999999</v>
      </c>
      <c r="O2303" t="s">
        <v>16</v>
      </c>
      <c r="Q2303">
        <v>1</v>
      </c>
      <c r="R2303">
        <v>0</v>
      </c>
      <c r="S2303" s="2">
        <v>11000</v>
      </c>
      <c r="T2303" s="4">
        <v>0.14069999999999999</v>
      </c>
      <c r="U2303">
        <v>2</v>
      </c>
      <c r="V2303">
        <v>1</v>
      </c>
      <c r="W2303">
        <v>1</v>
      </c>
    </row>
    <row r="2304" spans="1:23" ht="16.5" x14ac:dyDescent="0.3">
      <c r="A2304" t="s">
        <v>2368</v>
      </c>
      <c r="B2304" s="1">
        <v>45643</v>
      </c>
      <c r="C2304">
        <v>2024</v>
      </c>
      <c r="D2304" t="s">
        <v>1832</v>
      </c>
      <c r="E2304" t="s">
        <v>2264</v>
      </c>
      <c r="F2304" t="s">
        <v>26</v>
      </c>
      <c r="G2304" t="s">
        <v>27</v>
      </c>
      <c r="H2304" t="s">
        <v>38</v>
      </c>
      <c r="I2304" t="s">
        <v>39</v>
      </c>
      <c r="J2304" t="s">
        <v>46</v>
      </c>
      <c r="K2304" s="2">
        <v>6800</v>
      </c>
      <c r="L2304" s="2">
        <v>22500</v>
      </c>
      <c r="M2304">
        <v>48</v>
      </c>
      <c r="N2304" s="3">
        <v>0.13</v>
      </c>
      <c r="O2304" t="s">
        <v>16</v>
      </c>
      <c r="Q2304">
        <v>1</v>
      </c>
      <c r="R2304">
        <v>0</v>
      </c>
      <c r="S2304" s="2">
        <v>20000</v>
      </c>
      <c r="T2304" s="4">
        <v>6.4699999999999994E-2</v>
      </c>
      <c r="U2304">
        <v>5</v>
      </c>
      <c r="V2304">
        <v>0</v>
      </c>
      <c r="W2304">
        <v>1</v>
      </c>
    </row>
    <row r="2305" spans="1:23" ht="16.5" x14ac:dyDescent="0.3">
      <c r="A2305" t="s">
        <v>2369</v>
      </c>
      <c r="B2305" s="1">
        <v>45643</v>
      </c>
      <c r="C2305">
        <v>2024</v>
      </c>
      <c r="D2305" t="s">
        <v>1832</v>
      </c>
      <c r="E2305" t="s">
        <v>2264</v>
      </c>
      <c r="F2305" t="s">
        <v>50</v>
      </c>
      <c r="G2305" t="s">
        <v>51</v>
      </c>
      <c r="H2305" t="s">
        <v>38</v>
      </c>
      <c r="I2305" t="s">
        <v>42</v>
      </c>
      <c r="J2305" t="s">
        <v>52</v>
      </c>
      <c r="K2305" s="2">
        <v>12450</v>
      </c>
      <c r="L2305" s="2">
        <v>524500</v>
      </c>
      <c r="M2305">
        <v>180</v>
      </c>
      <c r="N2305" s="3">
        <v>0.39100000000000001</v>
      </c>
      <c r="O2305" t="s">
        <v>16</v>
      </c>
      <c r="Q2305">
        <v>1</v>
      </c>
      <c r="R2305">
        <v>0</v>
      </c>
      <c r="S2305" s="2">
        <v>419500</v>
      </c>
      <c r="T2305" s="4">
        <v>5.28E-2</v>
      </c>
      <c r="U2305">
        <v>14</v>
      </c>
      <c r="V2305">
        <v>1</v>
      </c>
      <c r="W2305">
        <v>1</v>
      </c>
    </row>
    <row r="2306" spans="1:23" ht="16.5" x14ac:dyDescent="0.3">
      <c r="A2306" t="s">
        <v>2370</v>
      </c>
      <c r="B2306" s="1">
        <v>45643</v>
      </c>
      <c r="C2306">
        <v>2024</v>
      </c>
      <c r="D2306" t="s">
        <v>1832</v>
      </c>
      <c r="E2306" t="s">
        <v>2264</v>
      </c>
      <c r="F2306" t="s">
        <v>37</v>
      </c>
      <c r="G2306" t="s">
        <v>51</v>
      </c>
      <c r="H2306" t="s">
        <v>28</v>
      </c>
      <c r="I2306" t="s">
        <v>39</v>
      </c>
      <c r="J2306" t="s">
        <v>30</v>
      </c>
      <c r="K2306" s="2">
        <v>6350</v>
      </c>
      <c r="L2306" s="2">
        <v>6000</v>
      </c>
      <c r="M2306">
        <v>36</v>
      </c>
      <c r="N2306" s="3">
        <v>0.27900000000000003</v>
      </c>
      <c r="O2306" t="s">
        <v>16</v>
      </c>
      <c r="Q2306">
        <v>1</v>
      </c>
      <c r="R2306">
        <v>0</v>
      </c>
      <c r="S2306" s="2">
        <v>5000</v>
      </c>
      <c r="T2306" s="4">
        <v>0.1351</v>
      </c>
      <c r="U2306">
        <v>5</v>
      </c>
      <c r="V2306">
        <v>0</v>
      </c>
      <c r="W2306">
        <v>1</v>
      </c>
    </row>
    <row r="2307" spans="1:23" ht="16.5" x14ac:dyDescent="0.3">
      <c r="A2307" t="s">
        <v>2371</v>
      </c>
      <c r="B2307" s="1">
        <v>45643</v>
      </c>
      <c r="C2307">
        <v>2024</v>
      </c>
      <c r="D2307" t="s">
        <v>1832</v>
      </c>
      <c r="E2307" t="s">
        <v>2264</v>
      </c>
      <c r="F2307" t="s">
        <v>26</v>
      </c>
      <c r="G2307" t="s">
        <v>45</v>
      </c>
      <c r="H2307" t="s">
        <v>55</v>
      </c>
      <c r="I2307" t="s">
        <v>39</v>
      </c>
      <c r="J2307" t="s">
        <v>52</v>
      </c>
      <c r="K2307" s="2">
        <v>4000</v>
      </c>
      <c r="L2307" s="2">
        <v>24000</v>
      </c>
      <c r="M2307">
        <v>36</v>
      </c>
      <c r="N2307" s="3">
        <v>0.378</v>
      </c>
      <c r="O2307" t="s">
        <v>16</v>
      </c>
      <c r="Q2307">
        <v>1</v>
      </c>
      <c r="R2307">
        <v>0</v>
      </c>
      <c r="S2307" s="2">
        <v>24000</v>
      </c>
      <c r="T2307" s="4">
        <v>7.5200000000000003E-2</v>
      </c>
      <c r="U2307">
        <v>2</v>
      </c>
      <c r="V2307">
        <v>1</v>
      </c>
      <c r="W2307">
        <v>1</v>
      </c>
    </row>
    <row r="2308" spans="1:23" ht="16.5" x14ac:dyDescent="0.3">
      <c r="A2308" t="s">
        <v>2372</v>
      </c>
      <c r="B2308" s="1">
        <v>45644</v>
      </c>
      <c r="C2308">
        <v>2024</v>
      </c>
      <c r="D2308" t="s">
        <v>1832</v>
      </c>
      <c r="E2308" t="s">
        <v>2264</v>
      </c>
      <c r="F2308" t="s">
        <v>50</v>
      </c>
      <c r="G2308" t="s">
        <v>51</v>
      </c>
      <c r="H2308" t="s">
        <v>38</v>
      </c>
      <c r="I2308" t="s">
        <v>29</v>
      </c>
      <c r="J2308" t="s">
        <v>46</v>
      </c>
      <c r="K2308" s="2">
        <v>4650</v>
      </c>
      <c r="L2308" s="2">
        <v>279500</v>
      </c>
      <c r="M2308">
        <v>180</v>
      </c>
      <c r="N2308" s="3">
        <v>0.70199999999999996</v>
      </c>
      <c r="O2308" t="s">
        <v>16</v>
      </c>
      <c r="Q2308">
        <v>1</v>
      </c>
      <c r="R2308">
        <v>0</v>
      </c>
      <c r="S2308" s="2">
        <v>279500</v>
      </c>
      <c r="T2308" s="4">
        <v>3.7100000000000001E-2</v>
      </c>
      <c r="U2308">
        <v>22</v>
      </c>
      <c r="V2308">
        <v>0</v>
      </c>
      <c r="W2308">
        <v>1</v>
      </c>
    </row>
    <row r="2309" spans="1:23" ht="16.5" x14ac:dyDescent="0.3">
      <c r="A2309" t="s">
        <v>2373</v>
      </c>
      <c r="B2309" s="1">
        <v>45644</v>
      </c>
      <c r="C2309">
        <v>2024</v>
      </c>
      <c r="D2309" t="s">
        <v>1832</v>
      </c>
      <c r="E2309" t="s">
        <v>2264</v>
      </c>
      <c r="F2309" t="s">
        <v>37</v>
      </c>
      <c r="G2309" t="s">
        <v>51</v>
      </c>
      <c r="H2309" t="s">
        <v>64</v>
      </c>
      <c r="I2309" t="s">
        <v>42</v>
      </c>
      <c r="J2309" t="s">
        <v>46</v>
      </c>
      <c r="K2309" s="2">
        <v>3650</v>
      </c>
      <c r="L2309" s="2">
        <v>11000</v>
      </c>
      <c r="M2309">
        <v>60</v>
      </c>
      <c r="N2309" s="3">
        <v>0.26700000000000002</v>
      </c>
      <c r="O2309" t="s">
        <v>16</v>
      </c>
      <c r="Q2309">
        <v>1</v>
      </c>
      <c r="R2309">
        <v>0</v>
      </c>
      <c r="S2309" s="2">
        <v>10000</v>
      </c>
      <c r="T2309" s="4">
        <v>0.10970000000000001</v>
      </c>
      <c r="U2309">
        <v>4</v>
      </c>
      <c r="V2309">
        <v>0</v>
      </c>
      <c r="W2309">
        <v>1</v>
      </c>
    </row>
    <row r="2310" spans="1:23" ht="16.5" x14ac:dyDescent="0.3">
      <c r="A2310" t="s">
        <v>2374</v>
      </c>
      <c r="B2310" s="1">
        <v>45644</v>
      </c>
      <c r="C2310">
        <v>2024</v>
      </c>
      <c r="D2310" t="s">
        <v>1832</v>
      </c>
      <c r="E2310" t="s">
        <v>2264</v>
      </c>
      <c r="F2310" t="s">
        <v>37</v>
      </c>
      <c r="G2310" t="s">
        <v>33</v>
      </c>
      <c r="H2310" t="s">
        <v>28</v>
      </c>
      <c r="I2310" t="s">
        <v>29</v>
      </c>
      <c r="J2310" t="s">
        <v>30</v>
      </c>
      <c r="K2310" s="2">
        <v>7850</v>
      </c>
      <c r="L2310" s="2">
        <v>29000</v>
      </c>
      <c r="M2310">
        <v>36</v>
      </c>
      <c r="N2310" s="3">
        <v>0.186</v>
      </c>
      <c r="O2310" t="s">
        <v>16</v>
      </c>
      <c r="Q2310">
        <v>1</v>
      </c>
      <c r="R2310">
        <v>0</v>
      </c>
      <c r="S2310" s="2">
        <v>26000</v>
      </c>
      <c r="T2310" s="4">
        <v>0.1424</v>
      </c>
      <c r="U2310">
        <v>2</v>
      </c>
      <c r="V2310">
        <v>1</v>
      </c>
      <c r="W2310">
        <v>1</v>
      </c>
    </row>
    <row r="2311" spans="1:23" ht="16.5" x14ac:dyDescent="0.3">
      <c r="A2311" t="s">
        <v>2375</v>
      </c>
      <c r="B2311" s="1">
        <v>45644</v>
      </c>
      <c r="C2311">
        <v>2024</v>
      </c>
      <c r="D2311" t="s">
        <v>1832</v>
      </c>
      <c r="E2311" t="s">
        <v>2264</v>
      </c>
      <c r="F2311" t="s">
        <v>37</v>
      </c>
      <c r="G2311" t="s">
        <v>33</v>
      </c>
      <c r="H2311" t="s">
        <v>38</v>
      </c>
      <c r="I2311" t="s">
        <v>39</v>
      </c>
      <c r="J2311" t="s">
        <v>35</v>
      </c>
      <c r="K2311" s="2">
        <v>6200</v>
      </c>
      <c r="L2311" s="2">
        <v>4500</v>
      </c>
      <c r="M2311">
        <v>24</v>
      </c>
      <c r="N2311" s="3">
        <v>0.16800000000000001</v>
      </c>
      <c r="O2311" t="s">
        <v>16</v>
      </c>
      <c r="Q2311">
        <v>1</v>
      </c>
      <c r="R2311">
        <v>0</v>
      </c>
      <c r="S2311" s="2">
        <v>4500</v>
      </c>
      <c r="T2311" s="4">
        <v>0.1241</v>
      </c>
      <c r="U2311">
        <v>1</v>
      </c>
      <c r="V2311">
        <v>1</v>
      </c>
      <c r="W2311">
        <v>1</v>
      </c>
    </row>
    <row r="2312" spans="1:23" ht="16.5" x14ac:dyDescent="0.3">
      <c r="A2312" t="s">
        <v>2376</v>
      </c>
      <c r="B2312" s="1">
        <v>45644</v>
      </c>
      <c r="C2312">
        <v>2024</v>
      </c>
      <c r="D2312" t="s">
        <v>1832</v>
      </c>
      <c r="E2312" t="s">
        <v>2264</v>
      </c>
      <c r="F2312" t="s">
        <v>50</v>
      </c>
      <c r="G2312" t="s">
        <v>27</v>
      </c>
      <c r="H2312" t="s">
        <v>28</v>
      </c>
      <c r="I2312" t="s">
        <v>42</v>
      </c>
      <c r="J2312" t="s">
        <v>35</v>
      </c>
      <c r="K2312" s="2">
        <v>6300</v>
      </c>
      <c r="L2312" s="2">
        <v>297000</v>
      </c>
      <c r="M2312">
        <v>300</v>
      </c>
      <c r="N2312" s="3">
        <v>0.52</v>
      </c>
      <c r="O2312" t="s">
        <v>17</v>
      </c>
      <c r="P2312" t="s">
        <v>60</v>
      </c>
      <c r="Q2312">
        <v>0</v>
      </c>
      <c r="R2312">
        <v>1</v>
      </c>
      <c r="S2312" s="2">
        <v>0</v>
      </c>
      <c r="T2312" s="4"/>
      <c r="U2312">
        <v>23</v>
      </c>
      <c r="V2312">
        <v>0</v>
      </c>
      <c r="W2312">
        <v>1</v>
      </c>
    </row>
    <row r="2313" spans="1:23" ht="16.5" x14ac:dyDescent="0.3">
      <c r="A2313" t="s">
        <v>2377</v>
      </c>
      <c r="B2313" s="1">
        <v>45644</v>
      </c>
      <c r="C2313">
        <v>2024</v>
      </c>
      <c r="D2313" t="s">
        <v>1832</v>
      </c>
      <c r="E2313" t="s">
        <v>2264</v>
      </c>
      <c r="F2313" t="s">
        <v>37</v>
      </c>
      <c r="G2313" t="s">
        <v>45</v>
      </c>
      <c r="H2313" t="s">
        <v>34</v>
      </c>
      <c r="I2313" t="s">
        <v>39</v>
      </c>
      <c r="J2313" t="s">
        <v>35</v>
      </c>
      <c r="K2313" s="2">
        <v>4350</v>
      </c>
      <c r="L2313" s="2">
        <v>24500</v>
      </c>
      <c r="M2313">
        <v>60</v>
      </c>
      <c r="N2313" s="3">
        <v>0.251</v>
      </c>
      <c r="O2313" t="s">
        <v>16</v>
      </c>
      <c r="Q2313">
        <v>1</v>
      </c>
      <c r="R2313">
        <v>0</v>
      </c>
      <c r="S2313" s="2">
        <v>22000</v>
      </c>
      <c r="T2313" s="4">
        <v>0.1216</v>
      </c>
      <c r="U2313">
        <v>3</v>
      </c>
      <c r="V2313">
        <v>1</v>
      </c>
      <c r="W2313">
        <v>1</v>
      </c>
    </row>
    <row r="2314" spans="1:23" ht="16.5" x14ac:dyDescent="0.3">
      <c r="A2314" t="s">
        <v>2378</v>
      </c>
      <c r="B2314" s="1">
        <v>45644</v>
      </c>
      <c r="C2314">
        <v>2024</v>
      </c>
      <c r="D2314" t="s">
        <v>1832</v>
      </c>
      <c r="E2314" t="s">
        <v>2264</v>
      </c>
      <c r="F2314" t="s">
        <v>26</v>
      </c>
      <c r="G2314" t="s">
        <v>45</v>
      </c>
      <c r="H2314" t="s">
        <v>55</v>
      </c>
      <c r="I2314" t="s">
        <v>29</v>
      </c>
      <c r="J2314" t="s">
        <v>30</v>
      </c>
      <c r="K2314" s="2">
        <v>6000</v>
      </c>
      <c r="L2314" s="2">
        <v>24000</v>
      </c>
      <c r="M2314">
        <v>36</v>
      </c>
      <c r="N2314" s="3">
        <v>0.25900000000000001</v>
      </c>
      <c r="O2314" t="s">
        <v>17</v>
      </c>
      <c r="P2314" t="s">
        <v>60</v>
      </c>
      <c r="Q2314">
        <v>0</v>
      </c>
      <c r="R2314">
        <v>1</v>
      </c>
      <c r="S2314" s="2">
        <v>0</v>
      </c>
      <c r="T2314" s="4"/>
      <c r="U2314">
        <v>9</v>
      </c>
      <c r="V2314">
        <v>0</v>
      </c>
      <c r="W2314">
        <v>1</v>
      </c>
    </row>
    <row r="2315" spans="1:23" ht="16.5" x14ac:dyDescent="0.3">
      <c r="A2315" t="s">
        <v>2379</v>
      </c>
      <c r="B2315" s="1">
        <v>45644</v>
      </c>
      <c r="C2315">
        <v>2024</v>
      </c>
      <c r="D2315" t="s">
        <v>1832</v>
      </c>
      <c r="E2315" t="s">
        <v>2264</v>
      </c>
      <c r="F2315" t="s">
        <v>26</v>
      </c>
      <c r="G2315" t="s">
        <v>33</v>
      </c>
      <c r="H2315" t="s">
        <v>64</v>
      </c>
      <c r="I2315" t="s">
        <v>29</v>
      </c>
      <c r="J2315" t="s">
        <v>35</v>
      </c>
      <c r="K2315" s="2">
        <v>3250</v>
      </c>
      <c r="L2315" s="2">
        <v>28000</v>
      </c>
      <c r="M2315">
        <v>36</v>
      </c>
      <c r="N2315" s="3">
        <v>0.46500000000000002</v>
      </c>
      <c r="O2315" t="s">
        <v>16</v>
      </c>
      <c r="Q2315">
        <v>1</v>
      </c>
      <c r="R2315">
        <v>0</v>
      </c>
      <c r="S2315" s="2">
        <v>28000</v>
      </c>
      <c r="T2315" s="4">
        <v>8.2500000000000004E-2</v>
      </c>
      <c r="U2315">
        <v>4</v>
      </c>
      <c r="V2315">
        <v>1</v>
      </c>
      <c r="W2315">
        <v>1</v>
      </c>
    </row>
    <row r="2316" spans="1:23" ht="16.5" x14ac:dyDescent="0.3">
      <c r="A2316" t="s">
        <v>2380</v>
      </c>
      <c r="B2316" s="1">
        <v>45645</v>
      </c>
      <c r="C2316">
        <v>2024</v>
      </c>
      <c r="D2316" t="s">
        <v>1832</v>
      </c>
      <c r="E2316" t="s">
        <v>2264</v>
      </c>
      <c r="F2316" t="s">
        <v>26</v>
      </c>
      <c r="G2316" t="s">
        <v>33</v>
      </c>
      <c r="H2316" t="s">
        <v>34</v>
      </c>
      <c r="I2316" t="s">
        <v>42</v>
      </c>
      <c r="J2316" t="s">
        <v>30</v>
      </c>
      <c r="K2316" s="2">
        <v>4650</v>
      </c>
      <c r="L2316" s="2">
        <v>35000</v>
      </c>
      <c r="M2316">
        <v>60</v>
      </c>
      <c r="N2316" s="3">
        <v>0.22500000000000001</v>
      </c>
      <c r="O2316" t="s">
        <v>16</v>
      </c>
      <c r="Q2316">
        <v>1</v>
      </c>
      <c r="R2316">
        <v>0</v>
      </c>
      <c r="S2316" s="2">
        <v>35000</v>
      </c>
      <c r="T2316" s="4">
        <v>0.1019</v>
      </c>
      <c r="U2316">
        <v>3</v>
      </c>
      <c r="V2316">
        <v>1</v>
      </c>
      <c r="W2316">
        <v>1</v>
      </c>
    </row>
    <row r="2317" spans="1:23" ht="16.5" x14ac:dyDescent="0.3">
      <c r="A2317" t="s">
        <v>2381</v>
      </c>
      <c r="B2317" s="1">
        <v>45645</v>
      </c>
      <c r="C2317">
        <v>2024</v>
      </c>
      <c r="D2317" t="s">
        <v>1832</v>
      </c>
      <c r="E2317" t="s">
        <v>2264</v>
      </c>
      <c r="F2317" t="s">
        <v>37</v>
      </c>
      <c r="G2317" t="s">
        <v>45</v>
      </c>
      <c r="H2317" t="s">
        <v>55</v>
      </c>
      <c r="I2317" t="s">
        <v>39</v>
      </c>
      <c r="J2317" t="s">
        <v>46</v>
      </c>
      <c r="K2317" s="2">
        <v>3500</v>
      </c>
      <c r="L2317" s="2">
        <v>14000</v>
      </c>
      <c r="M2317">
        <v>36</v>
      </c>
      <c r="N2317" s="3">
        <v>0.23499999999999999</v>
      </c>
      <c r="O2317" t="s">
        <v>16</v>
      </c>
      <c r="Q2317">
        <v>1</v>
      </c>
      <c r="R2317">
        <v>0</v>
      </c>
      <c r="S2317" s="2">
        <v>14000</v>
      </c>
      <c r="T2317" s="4">
        <v>0.1004</v>
      </c>
      <c r="U2317">
        <v>3</v>
      </c>
      <c r="V2317">
        <v>1</v>
      </c>
      <c r="W2317">
        <v>1</v>
      </c>
    </row>
    <row r="2318" spans="1:23" ht="16.5" x14ac:dyDescent="0.3">
      <c r="A2318" t="s">
        <v>2382</v>
      </c>
      <c r="B2318" s="1">
        <v>45645</v>
      </c>
      <c r="C2318">
        <v>2024</v>
      </c>
      <c r="D2318" t="s">
        <v>1832</v>
      </c>
      <c r="E2318" t="s">
        <v>2264</v>
      </c>
      <c r="F2318" t="s">
        <v>37</v>
      </c>
      <c r="G2318" t="s">
        <v>33</v>
      </c>
      <c r="H2318" t="s">
        <v>38</v>
      </c>
      <c r="I2318" t="s">
        <v>29</v>
      </c>
      <c r="J2318" t="s">
        <v>30</v>
      </c>
      <c r="K2318" s="2">
        <v>2750</v>
      </c>
      <c r="L2318" s="2">
        <v>9000</v>
      </c>
      <c r="M2318">
        <v>36</v>
      </c>
      <c r="N2318" s="3">
        <v>0.22700000000000001</v>
      </c>
      <c r="O2318" t="s">
        <v>16</v>
      </c>
      <c r="Q2318">
        <v>1</v>
      </c>
      <c r="R2318">
        <v>0</v>
      </c>
      <c r="S2318" s="2">
        <v>9000</v>
      </c>
      <c r="T2318" s="4">
        <v>0.1348</v>
      </c>
      <c r="U2318">
        <v>2</v>
      </c>
      <c r="V2318">
        <v>1</v>
      </c>
      <c r="W2318">
        <v>1</v>
      </c>
    </row>
    <row r="2319" spans="1:23" ht="16.5" x14ac:dyDescent="0.3">
      <c r="A2319" t="s">
        <v>2383</v>
      </c>
      <c r="B2319" s="1">
        <v>45646</v>
      </c>
      <c r="C2319">
        <v>2024</v>
      </c>
      <c r="D2319" t="s">
        <v>1832</v>
      </c>
      <c r="E2319" t="s">
        <v>2264</v>
      </c>
      <c r="F2319" t="s">
        <v>37</v>
      </c>
      <c r="G2319" t="s">
        <v>51</v>
      </c>
      <c r="H2319" t="s">
        <v>55</v>
      </c>
      <c r="I2319" t="s">
        <v>42</v>
      </c>
      <c r="J2319" t="s">
        <v>43</v>
      </c>
      <c r="K2319" s="2">
        <v>3350</v>
      </c>
      <c r="L2319" s="2">
        <v>9500</v>
      </c>
      <c r="M2319">
        <v>60</v>
      </c>
      <c r="N2319" s="3">
        <v>0.26400000000000001</v>
      </c>
      <c r="O2319" t="s">
        <v>16</v>
      </c>
      <c r="Q2319">
        <v>1</v>
      </c>
      <c r="R2319">
        <v>0</v>
      </c>
      <c r="S2319" s="2">
        <v>8500</v>
      </c>
      <c r="T2319" s="4">
        <v>0.156</v>
      </c>
      <c r="U2319">
        <v>5</v>
      </c>
      <c r="V2319">
        <v>0</v>
      </c>
      <c r="W2319">
        <v>1</v>
      </c>
    </row>
    <row r="2320" spans="1:23" ht="16.5" x14ac:dyDescent="0.3">
      <c r="A2320" t="s">
        <v>2384</v>
      </c>
      <c r="B2320" s="1">
        <v>45646</v>
      </c>
      <c r="C2320">
        <v>2024</v>
      </c>
      <c r="D2320" t="s">
        <v>1832</v>
      </c>
      <c r="E2320" t="s">
        <v>2264</v>
      </c>
      <c r="F2320" t="s">
        <v>37</v>
      </c>
      <c r="G2320" t="s">
        <v>51</v>
      </c>
      <c r="H2320" t="s">
        <v>38</v>
      </c>
      <c r="I2320" t="s">
        <v>39</v>
      </c>
      <c r="J2320" t="s">
        <v>30</v>
      </c>
      <c r="K2320" s="2">
        <v>4250</v>
      </c>
      <c r="L2320" s="2">
        <v>9500</v>
      </c>
      <c r="M2320">
        <v>24</v>
      </c>
      <c r="N2320" s="3">
        <v>0.20699999999999999</v>
      </c>
      <c r="O2320" t="s">
        <v>17</v>
      </c>
      <c r="P2320" t="s">
        <v>31</v>
      </c>
      <c r="Q2320">
        <v>0</v>
      </c>
      <c r="R2320">
        <v>1</v>
      </c>
      <c r="S2320" s="2">
        <v>0</v>
      </c>
      <c r="T2320" s="4"/>
      <c r="U2320">
        <v>5</v>
      </c>
      <c r="V2320">
        <v>0</v>
      </c>
      <c r="W2320">
        <v>1</v>
      </c>
    </row>
    <row r="2321" spans="1:23" ht="16.5" x14ac:dyDescent="0.3">
      <c r="A2321" t="s">
        <v>2385</v>
      </c>
      <c r="B2321" s="1">
        <v>45646</v>
      </c>
      <c r="C2321">
        <v>2024</v>
      </c>
      <c r="D2321" t="s">
        <v>1832</v>
      </c>
      <c r="E2321" t="s">
        <v>2264</v>
      </c>
      <c r="F2321" t="s">
        <v>26</v>
      </c>
      <c r="G2321" t="s">
        <v>45</v>
      </c>
      <c r="H2321" t="s">
        <v>38</v>
      </c>
      <c r="I2321" t="s">
        <v>39</v>
      </c>
      <c r="J2321" t="s">
        <v>35</v>
      </c>
      <c r="K2321" s="2">
        <v>3250</v>
      </c>
      <c r="L2321" s="2">
        <v>19000</v>
      </c>
      <c r="M2321">
        <v>60</v>
      </c>
      <c r="N2321" s="3">
        <v>0.253</v>
      </c>
      <c r="O2321" t="s">
        <v>16</v>
      </c>
      <c r="Q2321">
        <v>1</v>
      </c>
      <c r="R2321">
        <v>0</v>
      </c>
      <c r="S2321" s="2">
        <v>19000</v>
      </c>
      <c r="T2321" s="4">
        <v>7.9699999999999993E-2</v>
      </c>
      <c r="U2321">
        <v>4</v>
      </c>
      <c r="V2321">
        <v>1</v>
      </c>
      <c r="W2321">
        <v>1</v>
      </c>
    </row>
    <row r="2322" spans="1:23" ht="16.5" x14ac:dyDescent="0.3">
      <c r="A2322" t="s">
        <v>2386</v>
      </c>
      <c r="B2322" s="1">
        <v>45646</v>
      </c>
      <c r="C2322">
        <v>2024</v>
      </c>
      <c r="D2322" t="s">
        <v>1832</v>
      </c>
      <c r="E2322" t="s">
        <v>2264</v>
      </c>
      <c r="F2322" t="s">
        <v>26</v>
      </c>
      <c r="G2322" t="s">
        <v>51</v>
      </c>
      <c r="H2322" t="s">
        <v>38</v>
      </c>
      <c r="I2322" t="s">
        <v>29</v>
      </c>
      <c r="J2322" t="s">
        <v>30</v>
      </c>
      <c r="K2322" s="2">
        <v>5250</v>
      </c>
      <c r="L2322" s="2">
        <v>37000</v>
      </c>
      <c r="M2322">
        <v>48</v>
      </c>
      <c r="N2322" s="3">
        <v>0.28799999999999998</v>
      </c>
      <c r="O2322" t="s">
        <v>17</v>
      </c>
      <c r="P2322" t="s">
        <v>48</v>
      </c>
      <c r="Q2322">
        <v>0</v>
      </c>
      <c r="R2322">
        <v>1</v>
      </c>
      <c r="S2322" s="2">
        <v>0</v>
      </c>
      <c r="T2322" s="4"/>
      <c r="U2322">
        <v>4</v>
      </c>
      <c r="V2322">
        <v>1</v>
      </c>
      <c r="W2322">
        <v>1</v>
      </c>
    </row>
    <row r="2323" spans="1:23" ht="16.5" x14ac:dyDescent="0.3">
      <c r="A2323" t="s">
        <v>2387</v>
      </c>
      <c r="B2323" s="1">
        <v>45646</v>
      </c>
      <c r="C2323">
        <v>2024</v>
      </c>
      <c r="D2323" t="s">
        <v>1832</v>
      </c>
      <c r="E2323" t="s">
        <v>2264</v>
      </c>
      <c r="F2323" t="s">
        <v>41</v>
      </c>
      <c r="G2323" t="s">
        <v>51</v>
      </c>
      <c r="H2323" t="s">
        <v>38</v>
      </c>
      <c r="I2323" t="s">
        <v>29</v>
      </c>
      <c r="J2323" t="s">
        <v>35</v>
      </c>
      <c r="K2323" s="2">
        <v>3050</v>
      </c>
      <c r="L2323" s="2">
        <v>93000</v>
      </c>
      <c r="M2323">
        <v>60</v>
      </c>
      <c r="N2323" s="3">
        <v>0.84399999999999997</v>
      </c>
      <c r="O2323" t="s">
        <v>17</v>
      </c>
      <c r="P2323" t="s">
        <v>53</v>
      </c>
      <c r="Q2323">
        <v>0</v>
      </c>
      <c r="R2323">
        <v>1</v>
      </c>
      <c r="S2323" s="2">
        <v>0</v>
      </c>
      <c r="T2323" s="4"/>
      <c r="U2323">
        <v>17</v>
      </c>
      <c r="V2323">
        <v>0</v>
      </c>
      <c r="W2323">
        <v>1</v>
      </c>
    </row>
    <row r="2324" spans="1:23" ht="16.5" x14ac:dyDescent="0.3">
      <c r="A2324" t="s">
        <v>2388</v>
      </c>
      <c r="B2324" s="1">
        <v>45647</v>
      </c>
      <c r="C2324">
        <v>2024</v>
      </c>
      <c r="D2324" t="s">
        <v>1832</v>
      </c>
      <c r="E2324" t="s">
        <v>2264</v>
      </c>
      <c r="F2324" t="s">
        <v>50</v>
      </c>
      <c r="G2324" t="s">
        <v>27</v>
      </c>
      <c r="H2324" t="s">
        <v>34</v>
      </c>
      <c r="I2324" t="s">
        <v>29</v>
      </c>
      <c r="J2324" t="s">
        <v>35</v>
      </c>
      <c r="K2324" s="2">
        <v>9750</v>
      </c>
      <c r="L2324" s="2">
        <v>507000</v>
      </c>
      <c r="M2324">
        <v>240</v>
      </c>
      <c r="N2324" s="3">
        <v>0.52600000000000002</v>
      </c>
      <c r="O2324" t="s">
        <v>17</v>
      </c>
      <c r="P2324" t="s">
        <v>53</v>
      </c>
      <c r="Q2324">
        <v>0</v>
      </c>
      <c r="R2324">
        <v>1</v>
      </c>
      <c r="S2324" s="2">
        <v>0</v>
      </c>
      <c r="T2324" s="4"/>
      <c r="U2324">
        <v>13</v>
      </c>
      <c r="V2324">
        <v>1</v>
      </c>
      <c r="W2324">
        <v>1</v>
      </c>
    </row>
    <row r="2325" spans="1:23" ht="16.5" x14ac:dyDescent="0.3">
      <c r="A2325" t="s">
        <v>2389</v>
      </c>
      <c r="B2325" s="1">
        <v>45647</v>
      </c>
      <c r="C2325">
        <v>2024</v>
      </c>
      <c r="D2325" t="s">
        <v>1832</v>
      </c>
      <c r="E2325" t="s">
        <v>2264</v>
      </c>
      <c r="F2325" t="s">
        <v>37</v>
      </c>
      <c r="G2325" t="s">
        <v>51</v>
      </c>
      <c r="H2325" t="s">
        <v>55</v>
      </c>
      <c r="I2325" t="s">
        <v>29</v>
      </c>
      <c r="J2325" t="s">
        <v>30</v>
      </c>
      <c r="K2325" s="2">
        <v>2900</v>
      </c>
      <c r="L2325" s="2">
        <v>12500</v>
      </c>
      <c r="M2325">
        <v>24</v>
      </c>
      <c r="N2325" s="3">
        <v>0.29399999999999998</v>
      </c>
      <c r="O2325" t="s">
        <v>16</v>
      </c>
      <c r="Q2325">
        <v>1</v>
      </c>
      <c r="R2325">
        <v>0</v>
      </c>
      <c r="S2325" s="2">
        <v>10000</v>
      </c>
      <c r="T2325" s="4">
        <v>0.14099999999999999</v>
      </c>
      <c r="U2325">
        <v>3</v>
      </c>
      <c r="V2325">
        <v>1</v>
      </c>
      <c r="W2325">
        <v>1</v>
      </c>
    </row>
    <row r="2326" spans="1:23" ht="16.5" x14ac:dyDescent="0.3">
      <c r="A2326" t="s">
        <v>2390</v>
      </c>
      <c r="B2326" s="1">
        <v>45647</v>
      </c>
      <c r="C2326">
        <v>2024</v>
      </c>
      <c r="D2326" t="s">
        <v>1832</v>
      </c>
      <c r="E2326" t="s">
        <v>2264</v>
      </c>
      <c r="F2326" t="s">
        <v>26</v>
      </c>
      <c r="G2326" t="s">
        <v>33</v>
      </c>
      <c r="H2326" t="s">
        <v>55</v>
      </c>
      <c r="I2326" t="s">
        <v>29</v>
      </c>
      <c r="J2326" t="s">
        <v>46</v>
      </c>
      <c r="K2326" s="2">
        <v>7750</v>
      </c>
      <c r="L2326" s="2">
        <v>17500</v>
      </c>
      <c r="M2326">
        <v>48</v>
      </c>
      <c r="N2326" s="3">
        <v>0.191</v>
      </c>
      <c r="O2326" t="s">
        <v>16</v>
      </c>
      <c r="Q2326">
        <v>1</v>
      </c>
      <c r="R2326">
        <v>0</v>
      </c>
      <c r="S2326" s="2">
        <v>16000</v>
      </c>
      <c r="T2326" s="4">
        <v>6.6799999999999998E-2</v>
      </c>
      <c r="U2326">
        <v>2</v>
      </c>
      <c r="V2326">
        <v>1</v>
      </c>
      <c r="W2326">
        <v>1</v>
      </c>
    </row>
    <row r="2327" spans="1:23" ht="16.5" x14ac:dyDescent="0.3">
      <c r="A2327" t="s">
        <v>2391</v>
      </c>
      <c r="B2327" s="1">
        <v>45647</v>
      </c>
      <c r="C2327">
        <v>2024</v>
      </c>
      <c r="D2327" t="s">
        <v>1832</v>
      </c>
      <c r="E2327" t="s">
        <v>2264</v>
      </c>
      <c r="F2327" t="s">
        <v>41</v>
      </c>
      <c r="G2327" t="s">
        <v>51</v>
      </c>
      <c r="H2327" t="s">
        <v>34</v>
      </c>
      <c r="I2327" t="s">
        <v>29</v>
      </c>
      <c r="J2327" t="s">
        <v>52</v>
      </c>
      <c r="K2327" s="2">
        <v>2900</v>
      </c>
      <c r="L2327" s="2">
        <v>145500</v>
      </c>
      <c r="M2327">
        <v>12</v>
      </c>
      <c r="N2327" s="3">
        <v>4.5750000000000002</v>
      </c>
      <c r="O2327" t="s">
        <v>17</v>
      </c>
      <c r="P2327" t="s">
        <v>53</v>
      </c>
      <c r="Q2327">
        <v>0</v>
      </c>
      <c r="R2327">
        <v>1</v>
      </c>
      <c r="S2327" s="2">
        <v>0</v>
      </c>
      <c r="T2327" s="4"/>
      <c r="U2327">
        <v>28</v>
      </c>
      <c r="V2327">
        <v>0</v>
      </c>
      <c r="W2327">
        <v>1</v>
      </c>
    </row>
    <row r="2328" spans="1:23" ht="16.5" x14ac:dyDescent="0.3">
      <c r="A2328" t="s">
        <v>2392</v>
      </c>
      <c r="B2328" s="1">
        <v>45647</v>
      </c>
      <c r="C2328">
        <v>2024</v>
      </c>
      <c r="D2328" t="s">
        <v>1832</v>
      </c>
      <c r="E2328" t="s">
        <v>2264</v>
      </c>
      <c r="F2328" t="s">
        <v>50</v>
      </c>
      <c r="G2328" t="s">
        <v>51</v>
      </c>
      <c r="H2328" t="s">
        <v>55</v>
      </c>
      <c r="I2328" t="s">
        <v>42</v>
      </c>
      <c r="J2328" t="s">
        <v>35</v>
      </c>
      <c r="K2328" s="2">
        <v>10250</v>
      </c>
      <c r="L2328" s="2">
        <v>328000</v>
      </c>
      <c r="M2328">
        <v>180</v>
      </c>
      <c r="N2328" s="3">
        <v>0.36</v>
      </c>
      <c r="O2328" t="s">
        <v>16</v>
      </c>
      <c r="Q2328">
        <v>1</v>
      </c>
      <c r="R2328">
        <v>0</v>
      </c>
      <c r="S2328" s="2">
        <v>262500</v>
      </c>
      <c r="T2328" s="4">
        <v>5.8999999999999997E-2</v>
      </c>
      <c r="U2328">
        <v>23</v>
      </c>
      <c r="V2328">
        <v>0</v>
      </c>
      <c r="W2328">
        <v>1</v>
      </c>
    </row>
    <row r="2329" spans="1:23" ht="16.5" x14ac:dyDescent="0.3">
      <c r="A2329" t="s">
        <v>2393</v>
      </c>
      <c r="B2329" s="1">
        <v>45647</v>
      </c>
      <c r="C2329">
        <v>2024</v>
      </c>
      <c r="D2329" t="s">
        <v>1832</v>
      </c>
      <c r="E2329" t="s">
        <v>2264</v>
      </c>
      <c r="F2329" t="s">
        <v>37</v>
      </c>
      <c r="G2329" t="s">
        <v>33</v>
      </c>
      <c r="H2329" t="s">
        <v>38</v>
      </c>
      <c r="I2329" t="s">
        <v>29</v>
      </c>
      <c r="J2329" t="s">
        <v>30</v>
      </c>
      <c r="K2329" s="2">
        <v>3200</v>
      </c>
      <c r="L2329" s="2">
        <v>15000</v>
      </c>
      <c r="M2329">
        <v>60</v>
      </c>
      <c r="N2329" s="3">
        <v>0.26500000000000001</v>
      </c>
      <c r="O2329" t="s">
        <v>17</v>
      </c>
      <c r="P2329" t="s">
        <v>31</v>
      </c>
      <c r="Q2329">
        <v>0</v>
      </c>
      <c r="R2329">
        <v>1</v>
      </c>
      <c r="S2329" s="2">
        <v>0</v>
      </c>
      <c r="T2329" s="4"/>
      <c r="U2329">
        <v>2</v>
      </c>
      <c r="V2329">
        <v>1</v>
      </c>
      <c r="W2329">
        <v>1</v>
      </c>
    </row>
    <row r="2330" spans="1:23" ht="16.5" x14ac:dyDescent="0.3">
      <c r="A2330" t="s">
        <v>2394</v>
      </c>
      <c r="B2330" s="1">
        <v>45649</v>
      </c>
      <c r="C2330">
        <v>2024</v>
      </c>
      <c r="D2330" t="s">
        <v>1832</v>
      </c>
      <c r="E2330" t="s">
        <v>2264</v>
      </c>
      <c r="F2330" t="s">
        <v>50</v>
      </c>
      <c r="G2330" t="s">
        <v>51</v>
      </c>
      <c r="H2330" t="s">
        <v>55</v>
      </c>
      <c r="I2330" t="s">
        <v>29</v>
      </c>
      <c r="J2330" t="s">
        <v>35</v>
      </c>
      <c r="K2330" s="2">
        <v>3450</v>
      </c>
      <c r="L2330" s="2">
        <v>234500</v>
      </c>
      <c r="M2330">
        <v>300</v>
      </c>
      <c r="N2330" s="3">
        <v>0.55700000000000005</v>
      </c>
      <c r="O2330" t="s">
        <v>16</v>
      </c>
      <c r="Q2330">
        <v>1</v>
      </c>
      <c r="R2330">
        <v>0</v>
      </c>
      <c r="S2330" s="2">
        <v>187500</v>
      </c>
      <c r="T2330" s="4">
        <v>5.5399999999999998E-2</v>
      </c>
      <c r="U2330">
        <v>16</v>
      </c>
      <c r="V2330">
        <v>0</v>
      </c>
      <c r="W2330">
        <v>1</v>
      </c>
    </row>
    <row r="2331" spans="1:23" ht="16.5" x14ac:dyDescent="0.3">
      <c r="A2331" t="s">
        <v>2395</v>
      </c>
      <c r="B2331" s="1">
        <v>45649</v>
      </c>
      <c r="C2331">
        <v>2024</v>
      </c>
      <c r="D2331" t="s">
        <v>1832</v>
      </c>
      <c r="E2331" t="s">
        <v>2264</v>
      </c>
      <c r="F2331" t="s">
        <v>37</v>
      </c>
      <c r="G2331" t="s">
        <v>33</v>
      </c>
      <c r="H2331" t="s">
        <v>38</v>
      </c>
      <c r="I2331" t="s">
        <v>42</v>
      </c>
      <c r="J2331" t="s">
        <v>35</v>
      </c>
      <c r="K2331" s="2">
        <v>7750</v>
      </c>
      <c r="L2331" s="2">
        <v>4000</v>
      </c>
      <c r="M2331">
        <v>12</v>
      </c>
      <c r="N2331" s="3">
        <v>0.26400000000000001</v>
      </c>
      <c r="O2331" t="s">
        <v>125</v>
      </c>
      <c r="Q2331">
        <v>0</v>
      </c>
      <c r="R2331">
        <v>0</v>
      </c>
      <c r="S2331" s="2">
        <v>0</v>
      </c>
      <c r="T2331" s="4"/>
      <c r="U2331">
        <v>2</v>
      </c>
      <c r="V2331">
        <v>1</v>
      </c>
      <c r="W2331">
        <v>1</v>
      </c>
    </row>
    <row r="2332" spans="1:23" ht="16.5" x14ac:dyDescent="0.3">
      <c r="A2332" t="s">
        <v>2396</v>
      </c>
      <c r="B2332" s="1">
        <v>45650</v>
      </c>
      <c r="C2332">
        <v>2024</v>
      </c>
      <c r="D2332" t="s">
        <v>1832</v>
      </c>
      <c r="E2332" t="s">
        <v>2264</v>
      </c>
      <c r="F2332" t="s">
        <v>41</v>
      </c>
      <c r="G2332" t="s">
        <v>51</v>
      </c>
      <c r="H2332" t="s">
        <v>34</v>
      </c>
      <c r="I2332" t="s">
        <v>39</v>
      </c>
      <c r="J2332" t="s">
        <v>35</v>
      </c>
      <c r="K2332" s="2">
        <v>5350</v>
      </c>
      <c r="L2332" s="2">
        <v>61500</v>
      </c>
      <c r="M2332">
        <v>12</v>
      </c>
      <c r="N2332" s="3">
        <v>1.1930000000000001</v>
      </c>
      <c r="O2332" t="s">
        <v>16</v>
      </c>
      <c r="Q2332">
        <v>1</v>
      </c>
      <c r="R2332">
        <v>0</v>
      </c>
      <c r="S2332" s="2">
        <v>49000</v>
      </c>
      <c r="T2332" s="4">
        <v>0.10390000000000001</v>
      </c>
      <c r="U2332">
        <v>16</v>
      </c>
      <c r="V2332">
        <v>0</v>
      </c>
      <c r="W2332">
        <v>1</v>
      </c>
    </row>
    <row r="2333" spans="1:23" ht="16.5" x14ac:dyDescent="0.3">
      <c r="A2333" t="s">
        <v>2397</v>
      </c>
      <c r="B2333" s="1">
        <v>45650</v>
      </c>
      <c r="C2333">
        <v>2024</v>
      </c>
      <c r="D2333" t="s">
        <v>1832</v>
      </c>
      <c r="E2333" t="s">
        <v>2264</v>
      </c>
      <c r="F2333" t="s">
        <v>37</v>
      </c>
      <c r="G2333" t="s">
        <v>45</v>
      </c>
      <c r="H2333" t="s">
        <v>38</v>
      </c>
      <c r="I2333" t="s">
        <v>29</v>
      </c>
      <c r="J2333" t="s">
        <v>46</v>
      </c>
      <c r="K2333" s="2">
        <v>4300</v>
      </c>
      <c r="L2333" s="2">
        <v>19500</v>
      </c>
      <c r="M2333">
        <v>24</v>
      </c>
      <c r="N2333" s="3">
        <v>0.28899999999999998</v>
      </c>
      <c r="O2333" t="s">
        <v>16</v>
      </c>
      <c r="Q2333">
        <v>1</v>
      </c>
      <c r="R2333">
        <v>0</v>
      </c>
      <c r="S2333" s="2">
        <v>19500</v>
      </c>
      <c r="T2333" s="4">
        <v>0.10979999999999999</v>
      </c>
      <c r="U2333">
        <v>2</v>
      </c>
      <c r="V2333">
        <v>1</v>
      </c>
      <c r="W2333">
        <v>1</v>
      </c>
    </row>
    <row r="2334" spans="1:23" ht="16.5" x14ac:dyDescent="0.3">
      <c r="A2334" t="s">
        <v>2398</v>
      </c>
      <c r="B2334" s="1">
        <v>45650</v>
      </c>
      <c r="C2334">
        <v>2024</v>
      </c>
      <c r="D2334" t="s">
        <v>1832</v>
      </c>
      <c r="E2334" t="s">
        <v>2264</v>
      </c>
      <c r="F2334" t="s">
        <v>26</v>
      </c>
      <c r="G2334" t="s">
        <v>33</v>
      </c>
      <c r="H2334" t="s">
        <v>55</v>
      </c>
      <c r="I2334" t="s">
        <v>29</v>
      </c>
      <c r="J2334" t="s">
        <v>35</v>
      </c>
      <c r="K2334" s="2">
        <v>7250</v>
      </c>
      <c r="L2334" s="2">
        <v>14500</v>
      </c>
      <c r="M2334">
        <v>60</v>
      </c>
      <c r="N2334" s="3">
        <v>0.19700000000000001</v>
      </c>
      <c r="O2334" t="s">
        <v>16</v>
      </c>
      <c r="Q2334">
        <v>1</v>
      </c>
      <c r="R2334">
        <v>0</v>
      </c>
      <c r="S2334" s="2">
        <v>14500</v>
      </c>
      <c r="T2334" s="4">
        <v>8.1100000000000005E-2</v>
      </c>
      <c r="U2334">
        <v>3</v>
      </c>
      <c r="V2334">
        <v>1</v>
      </c>
      <c r="W2334">
        <v>1</v>
      </c>
    </row>
    <row r="2335" spans="1:23" ht="16.5" x14ac:dyDescent="0.3">
      <c r="A2335" t="s">
        <v>2399</v>
      </c>
      <c r="B2335" s="1">
        <v>45650</v>
      </c>
      <c r="C2335">
        <v>2024</v>
      </c>
      <c r="D2335" t="s">
        <v>1832</v>
      </c>
      <c r="E2335" t="s">
        <v>2264</v>
      </c>
      <c r="F2335" t="s">
        <v>26</v>
      </c>
      <c r="G2335" t="s">
        <v>45</v>
      </c>
      <c r="H2335" t="s">
        <v>38</v>
      </c>
      <c r="I2335" t="s">
        <v>29</v>
      </c>
      <c r="J2335" t="s">
        <v>30</v>
      </c>
      <c r="K2335" s="2">
        <v>4100</v>
      </c>
      <c r="L2335" s="2">
        <v>50000</v>
      </c>
      <c r="M2335">
        <v>60</v>
      </c>
      <c r="N2335" s="3">
        <v>0.372</v>
      </c>
      <c r="O2335" t="s">
        <v>17</v>
      </c>
      <c r="P2335" t="s">
        <v>31</v>
      </c>
      <c r="Q2335">
        <v>0</v>
      </c>
      <c r="R2335">
        <v>1</v>
      </c>
      <c r="S2335" s="2">
        <v>0</v>
      </c>
      <c r="T2335" s="4"/>
      <c r="U2335">
        <v>3</v>
      </c>
      <c r="V2335">
        <v>1</v>
      </c>
      <c r="W2335">
        <v>1</v>
      </c>
    </row>
    <row r="2336" spans="1:23" ht="16.5" x14ac:dyDescent="0.3">
      <c r="A2336" t="s">
        <v>2400</v>
      </c>
      <c r="B2336" s="1">
        <v>45650</v>
      </c>
      <c r="C2336">
        <v>2024</v>
      </c>
      <c r="D2336" t="s">
        <v>1832</v>
      </c>
      <c r="E2336" t="s">
        <v>2264</v>
      </c>
      <c r="F2336" t="s">
        <v>41</v>
      </c>
      <c r="G2336" t="s">
        <v>51</v>
      </c>
      <c r="H2336" t="s">
        <v>55</v>
      </c>
      <c r="I2336" t="s">
        <v>42</v>
      </c>
      <c r="J2336" t="s">
        <v>30</v>
      </c>
      <c r="K2336" s="2">
        <v>6100</v>
      </c>
      <c r="L2336" s="2">
        <v>184000</v>
      </c>
      <c r="M2336">
        <v>12</v>
      </c>
      <c r="N2336" s="3">
        <v>2.827</v>
      </c>
      <c r="O2336" t="s">
        <v>17</v>
      </c>
      <c r="P2336" t="s">
        <v>31</v>
      </c>
      <c r="Q2336">
        <v>0</v>
      </c>
      <c r="R2336">
        <v>1</v>
      </c>
      <c r="S2336" s="2">
        <v>0</v>
      </c>
      <c r="T2336" s="4"/>
      <c r="U2336">
        <v>21</v>
      </c>
      <c r="V2336">
        <v>0</v>
      </c>
      <c r="W2336">
        <v>1</v>
      </c>
    </row>
    <row r="2337" spans="1:23" ht="16.5" x14ac:dyDescent="0.3">
      <c r="A2337" t="s">
        <v>2401</v>
      </c>
      <c r="B2337" s="1">
        <v>45650</v>
      </c>
      <c r="C2337">
        <v>2024</v>
      </c>
      <c r="D2337" t="s">
        <v>1832</v>
      </c>
      <c r="E2337" t="s">
        <v>2264</v>
      </c>
      <c r="F2337" t="s">
        <v>37</v>
      </c>
      <c r="G2337" t="s">
        <v>45</v>
      </c>
      <c r="H2337" t="s">
        <v>34</v>
      </c>
      <c r="I2337" t="s">
        <v>42</v>
      </c>
      <c r="J2337" t="s">
        <v>30</v>
      </c>
      <c r="K2337" s="2">
        <v>7150</v>
      </c>
      <c r="L2337" s="2">
        <v>12500</v>
      </c>
      <c r="M2337">
        <v>60</v>
      </c>
      <c r="N2337" s="3">
        <v>0.253</v>
      </c>
      <c r="O2337" t="s">
        <v>16</v>
      </c>
      <c r="Q2337">
        <v>1</v>
      </c>
      <c r="R2337">
        <v>0</v>
      </c>
      <c r="S2337" s="2">
        <v>11000</v>
      </c>
      <c r="T2337" s="4">
        <v>0.1429</v>
      </c>
      <c r="U2337">
        <v>1</v>
      </c>
      <c r="V2337">
        <v>1</v>
      </c>
      <c r="W2337">
        <v>1</v>
      </c>
    </row>
    <row r="2338" spans="1:23" ht="16.5" x14ac:dyDescent="0.3">
      <c r="A2338" t="s">
        <v>2402</v>
      </c>
      <c r="B2338" s="1">
        <v>45650</v>
      </c>
      <c r="C2338">
        <v>2024</v>
      </c>
      <c r="D2338" t="s">
        <v>1832</v>
      </c>
      <c r="E2338" t="s">
        <v>2264</v>
      </c>
      <c r="F2338" t="s">
        <v>26</v>
      </c>
      <c r="G2338" t="s">
        <v>51</v>
      </c>
      <c r="H2338" t="s">
        <v>55</v>
      </c>
      <c r="I2338" t="s">
        <v>39</v>
      </c>
      <c r="J2338" t="s">
        <v>43</v>
      </c>
      <c r="K2338" s="2">
        <v>2700</v>
      </c>
      <c r="L2338" s="2">
        <v>27000</v>
      </c>
      <c r="M2338">
        <v>60</v>
      </c>
      <c r="N2338" s="3">
        <v>0.43</v>
      </c>
      <c r="O2338" t="s">
        <v>17</v>
      </c>
      <c r="P2338" t="s">
        <v>31</v>
      </c>
      <c r="Q2338">
        <v>0</v>
      </c>
      <c r="R2338">
        <v>1</v>
      </c>
      <c r="S2338" s="2">
        <v>0</v>
      </c>
      <c r="T2338" s="4"/>
      <c r="U2338">
        <v>8</v>
      </c>
      <c r="V2338">
        <v>0</v>
      </c>
      <c r="W2338">
        <v>1</v>
      </c>
    </row>
    <row r="2339" spans="1:23" ht="16.5" x14ac:dyDescent="0.3">
      <c r="A2339" t="s">
        <v>2403</v>
      </c>
      <c r="B2339" s="1">
        <v>45650</v>
      </c>
      <c r="C2339">
        <v>2024</v>
      </c>
      <c r="D2339" t="s">
        <v>1832</v>
      </c>
      <c r="E2339" t="s">
        <v>2264</v>
      </c>
      <c r="F2339" t="s">
        <v>26</v>
      </c>
      <c r="G2339" t="s">
        <v>27</v>
      </c>
      <c r="H2339" t="s">
        <v>28</v>
      </c>
      <c r="I2339" t="s">
        <v>29</v>
      </c>
      <c r="J2339" t="s">
        <v>52</v>
      </c>
      <c r="K2339" s="2">
        <v>2300</v>
      </c>
      <c r="L2339" s="2">
        <v>22000</v>
      </c>
      <c r="M2339">
        <v>36</v>
      </c>
      <c r="N2339" s="3">
        <v>0.438</v>
      </c>
      <c r="O2339" t="s">
        <v>16</v>
      </c>
      <c r="Q2339">
        <v>1</v>
      </c>
      <c r="R2339">
        <v>0</v>
      </c>
      <c r="S2339" s="2">
        <v>17500</v>
      </c>
      <c r="T2339" s="4">
        <v>6.6100000000000006E-2</v>
      </c>
      <c r="U2339">
        <v>4</v>
      </c>
      <c r="V2339">
        <v>1</v>
      </c>
      <c r="W2339">
        <v>1</v>
      </c>
    </row>
    <row r="2340" spans="1:23" ht="16.5" x14ac:dyDescent="0.3">
      <c r="A2340" t="s">
        <v>2404</v>
      </c>
      <c r="B2340" s="1">
        <v>45651</v>
      </c>
      <c r="C2340">
        <v>2024</v>
      </c>
      <c r="D2340" t="s">
        <v>1832</v>
      </c>
      <c r="E2340" t="s">
        <v>2264</v>
      </c>
      <c r="F2340" t="s">
        <v>26</v>
      </c>
      <c r="G2340" t="s">
        <v>51</v>
      </c>
      <c r="H2340" t="s">
        <v>55</v>
      </c>
      <c r="I2340" t="s">
        <v>29</v>
      </c>
      <c r="J2340" t="s">
        <v>46</v>
      </c>
      <c r="K2340" s="2">
        <v>4200</v>
      </c>
      <c r="L2340" s="2">
        <v>33500</v>
      </c>
      <c r="M2340">
        <v>48</v>
      </c>
      <c r="N2340" s="3">
        <v>0.34499999999999997</v>
      </c>
      <c r="O2340" t="s">
        <v>16</v>
      </c>
      <c r="Q2340">
        <v>1</v>
      </c>
      <c r="R2340">
        <v>0</v>
      </c>
      <c r="S2340" s="2">
        <v>33500</v>
      </c>
      <c r="T2340" s="4">
        <v>6.4799999999999996E-2</v>
      </c>
      <c r="U2340">
        <v>4</v>
      </c>
      <c r="V2340">
        <v>1</v>
      </c>
      <c r="W2340">
        <v>1</v>
      </c>
    </row>
    <row r="2341" spans="1:23" ht="16.5" x14ac:dyDescent="0.3">
      <c r="A2341" t="s">
        <v>2405</v>
      </c>
      <c r="B2341" s="1">
        <v>45651</v>
      </c>
      <c r="C2341">
        <v>2024</v>
      </c>
      <c r="D2341" t="s">
        <v>1832</v>
      </c>
      <c r="E2341" t="s">
        <v>2264</v>
      </c>
      <c r="F2341" t="s">
        <v>37</v>
      </c>
      <c r="G2341" t="s">
        <v>51</v>
      </c>
      <c r="H2341" t="s">
        <v>28</v>
      </c>
      <c r="I2341" t="s">
        <v>39</v>
      </c>
      <c r="J2341" t="s">
        <v>35</v>
      </c>
      <c r="K2341" s="2">
        <v>3050</v>
      </c>
      <c r="L2341" s="2">
        <v>13000</v>
      </c>
      <c r="M2341">
        <v>48</v>
      </c>
      <c r="N2341" s="3">
        <v>0.22600000000000001</v>
      </c>
      <c r="O2341" t="s">
        <v>16</v>
      </c>
      <c r="Q2341">
        <v>1</v>
      </c>
      <c r="R2341">
        <v>0</v>
      </c>
      <c r="S2341" s="2">
        <v>11500</v>
      </c>
      <c r="T2341" s="4">
        <v>0.12559999999999999</v>
      </c>
      <c r="U2341">
        <v>3</v>
      </c>
      <c r="V2341">
        <v>1</v>
      </c>
      <c r="W2341">
        <v>1</v>
      </c>
    </row>
    <row r="2342" spans="1:23" ht="16.5" x14ac:dyDescent="0.3">
      <c r="A2342" t="s">
        <v>2406</v>
      </c>
      <c r="B2342" s="1">
        <v>45651</v>
      </c>
      <c r="C2342">
        <v>2024</v>
      </c>
      <c r="D2342" t="s">
        <v>1832</v>
      </c>
      <c r="E2342" t="s">
        <v>2264</v>
      </c>
      <c r="F2342" t="s">
        <v>37</v>
      </c>
      <c r="G2342" t="s">
        <v>45</v>
      </c>
      <c r="H2342" t="s">
        <v>34</v>
      </c>
      <c r="I2342" t="s">
        <v>42</v>
      </c>
      <c r="J2342" t="s">
        <v>35</v>
      </c>
      <c r="K2342" s="2">
        <v>11800</v>
      </c>
      <c r="L2342" s="2">
        <v>12000</v>
      </c>
      <c r="M2342">
        <v>12</v>
      </c>
      <c r="N2342" s="3">
        <v>0.19600000000000001</v>
      </c>
      <c r="O2342" t="s">
        <v>16</v>
      </c>
      <c r="Q2342">
        <v>1</v>
      </c>
      <c r="R2342">
        <v>0</v>
      </c>
      <c r="S2342" s="2">
        <v>9500</v>
      </c>
      <c r="T2342" s="4">
        <v>0.13100000000000001</v>
      </c>
      <c r="U2342">
        <v>2</v>
      </c>
      <c r="V2342">
        <v>1</v>
      </c>
      <c r="W2342">
        <v>1</v>
      </c>
    </row>
    <row r="2343" spans="1:23" ht="16.5" x14ac:dyDescent="0.3">
      <c r="A2343" t="s">
        <v>2407</v>
      </c>
      <c r="B2343" s="1">
        <v>45651</v>
      </c>
      <c r="C2343">
        <v>2024</v>
      </c>
      <c r="D2343" t="s">
        <v>1832</v>
      </c>
      <c r="E2343" t="s">
        <v>2264</v>
      </c>
      <c r="F2343" t="s">
        <v>50</v>
      </c>
      <c r="G2343" t="s">
        <v>27</v>
      </c>
      <c r="H2343" t="s">
        <v>34</v>
      </c>
      <c r="I2343" t="s">
        <v>42</v>
      </c>
      <c r="J2343" t="s">
        <v>46</v>
      </c>
      <c r="K2343" s="2">
        <v>4000</v>
      </c>
      <c r="L2343" s="2">
        <v>242500</v>
      </c>
      <c r="M2343">
        <v>300</v>
      </c>
      <c r="N2343" s="3">
        <v>0.55900000000000005</v>
      </c>
      <c r="O2343" t="s">
        <v>17</v>
      </c>
      <c r="P2343" t="s">
        <v>53</v>
      </c>
      <c r="Q2343">
        <v>0</v>
      </c>
      <c r="R2343">
        <v>1</v>
      </c>
      <c r="S2343" s="2">
        <v>0</v>
      </c>
      <c r="T2343" s="4"/>
      <c r="U2343">
        <v>20</v>
      </c>
      <c r="V2343">
        <v>0</v>
      </c>
      <c r="W2343">
        <v>1</v>
      </c>
    </row>
    <row r="2344" spans="1:23" ht="16.5" x14ac:dyDescent="0.3">
      <c r="A2344" t="s">
        <v>2408</v>
      </c>
      <c r="B2344" s="1">
        <v>45652</v>
      </c>
      <c r="C2344">
        <v>2024</v>
      </c>
      <c r="D2344" t="s">
        <v>1832</v>
      </c>
      <c r="E2344" t="s">
        <v>2264</v>
      </c>
      <c r="F2344" t="s">
        <v>41</v>
      </c>
      <c r="G2344" t="s">
        <v>33</v>
      </c>
      <c r="H2344" t="s">
        <v>64</v>
      </c>
      <c r="I2344" t="s">
        <v>42</v>
      </c>
      <c r="J2344" t="s">
        <v>35</v>
      </c>
      <c r="K2344" s="2">
        <v>7100</v>
      </c>
      <c r="L2344" s="2">
        <v>90500</v>
      </c>
      <c r="M2344">
        <v>60</v>
      </c>
      <c r="N2344" s="3">
        <v>0.35</v>
      </c>
      <c r="O2344" t="s">
        <v>17</v>
      </c>
      <c r="P2344" t="s">
        <v>31</v>
      </c>
      <c r="Q2344">
        <v>0</v>
      </c>
      <c r="R2344">
        <v>1</v>
      </c>
      <c r="S2344" s="2">
        <v>0</v>
      </c>
      <c r="T2344" s="4"/>
      <c r="U2344">
        <v>9</v>
      </c>
      <c r="V2344">
        <v>1</v>
      </c>
      <c r="W2344">
        <v>1</v>
      </c>
    </row>
    <row r="2345" spans="1:23" ht="16.5" x14ac:dyDescent="0.3">
      <c r="A2345" t="s">
        <v>2409</v>
      </c>
      <c r="B2345" s="1">
        <v>45652</v>
      </c>
      <c r="C2345">
        <v>2024</v>
      </c>
      <c r="D2345" t="s">
        <v>1832</v>
      </c>
      <c r="E2345" t="s">
        <v>2264</v>
      </c>
      <c r="F2345" t="s">
        <v>41</v>
      </c>
      <c r="G2345" t="s">
        <v>45</v>
      </c>
      <c r="H2345" t="s">
        <v>55</v>
      </c>
      <c r="I2345" t="s">
        <v>29</v>
      </c>
      <c r="J2345" t="s">
        <v>43</v>
      </c>
      <c r="K2345" s="2">
        <v>7200</v>
      </c>
      <c r="L2345" s="2">
        <v>89000</v>
      </c>
      <c r="M2345">
        <v>60</v>
      </c>
      <c r="N2345" s="3">
        <v>0.44600000000000001</v>
      </c>
      <c r="O2345" t="s">
        <v>17</v>
      </c>
      <c r="P2345" t="s">
        <v>65</v>
      </c>
      <c r="Q2345">
        <v>0</v>
      </c>
      <c r="R2345">
        <v>1</v>
      </c>
      <c r="S2345" s="2">
        <v>0</v>
      </c>
      <c r="T2345" s="4"/>
      <c r="U2345">
        <v>9</v>
      </c>
      <c r="V2345">
        <v>1</v>
      </c>
      <c r="W2345">
        <v>1</v>
      </c>
    </row>
    <row r="2346" spans="1:23" ht="16.5" x14ac:dyDescent="0.3">
      <c r="A2346" t="s">
        <v>2410</v>
      </c>
      <c r="B2346" s="1">
        <v>45652</v>
      </c>
      <c r="C2346">
        <v>2024</v>
      </c>
      <c r="D2346" t="s">
        <v>1832</v>
      </c>
      <c r="E2346" t="s">
        <v>2264</v>
      </c>
      <c r="F2346" t="s">
        <v>26</v>
      </c>
      <c r="G2346" t="s">
        <v>51</v>
      </c>
      <c r="H2346" t="s">
        <v>34</v>
      </c>
      <c r="I2346" t="s">
        <v>29</v>
      </c>
      <c r="J2346" t="s">
        <v>43</v>
      </c>
      <c r="K2346" s="2">
        <v>6000</v>
      </c>
      <c r="L2346" s="2">
        <v>35000</v>
      </c>
      <c r="M2346">
        <v>60</v>
      </c>
      <c r="N2346" s="3">
        <v>0.312</v>
      </c>
      <c r="O2346" t="s">
        <v>17</v>
      </c>
      <c r="P2346" t="s">
        <v>31</v>
      </c>
      <c r="Q2346">
        <v>0</v>
      </c>
      <c r="R2346">
        <v>1</v>
      </c>
      <c r="S2346" s="2">
        <v>0</v>
      </c>
      <c r="T2346" s="4"/>
      <c r="U2346">
        <v>5</v>
      </c>
      <c r="V2346">
        <v>0</v>
      </c>
      <c r="W2346">
        <v>1</v>
      </c>
    </row>
    <row r="2347" spans="1:23" ht="16.5" x14ac:dyDescent="0.3">
      <c r="A2347" t="s">
        <v>2411</v>
      </c>
      <c r="B2347" s="1">
        <v>45652</v>
      </c>
      <c r="C2347">
        <v>2024</v>
      </c>
      <c r="D2347" t="s">
        <v>1832</v>
      </c>
      <c r="E2347" t="s">
        <v>2264</v>
      </c>
      <c r="F2347" t="s">
        <v>50</v>
      </c>
      <c r="G2347" t="s">
        <v>51</v>
      </c>
      <c r="H2347" t="s">
        <v>28</v>
      </c>
      <c r="I2347" t="s">
        <v>29</v>
      </c>
      <c r="J2347" t="s">
        <v>46</v>
      </c>
      <c r="K2347" s="2">
        <v>3400</v>
      </c>
      <c r="L2347" s="2">
        <v>196000</v>
      </c>
      <c r="M2347">
        <v>240</v>
      </c>
      <c r="N2347" s="3">
        <v>0.46800000000000003</v>
      </c>
      <c r="O2347" t="s">
        <v>16</v>
      </c>
      <c r="Q2347">
        <v>1</v>
      </c>
      <c r="R2347">
        <v>0</v>
      </c>
      <c r="S2347" s="2">
        <v>196000</v>
      </c>
      <c r="T2347" s="4">
        <v>4.4999999999999998E-2</v>
      </c>
      <c r="U2347">
        <v>37</v>
      </c>
      <c r="V2347">
        <v>0</v>
      </c>
      <c r="W2347">
        <v>1</v>
      </c>
    </row>
    <row r="2348" spans="1:23" ht="16.5" x14ac:dyDescent="0.3">
      <c r="A2348" t="s">
        <v>2412</v>
      </c>
      <c r="B2348" s="1">
        <v>45652</v>
      </c>
      <c r="C2348">
        <v>2024</v>
      </c>
      <c r="D2348" t="s">
        <v>1832</v>
      </c>
      <c r="E2348" t="s">
        <v>2264</v>
      </c>
      <c r="F2348" t="s">
        <v>50</v>
      </c>
      <c r="G2348" t="s">
        <v>51</v>
      </c>
      <c r="H2348" t="s">
        <v>34</v>
      </c>
      <c r="I2348" t="s">
        <v>42</v>
      </c>
      <c r="J2348" t="s">
        <v>52</v>
      </c>
      <c r="K2348" s="2">
        <v>8150</v>
      </c>
      <c r="L2348" s="2">
        <v>486000</v>
      </c>
      <c r="M2348">
        <v>240</v>
      </c>
      <c r="N2348" s="3">
        <v>0.621</v>
      </c>
      <c r="O2348" t="s">
        <v>16</v>
      </c>
      <c r="Q2348">
        <v>1</v>
      </c>
      <c r="R2348">
        <v>0</v>
      </c>
      <c r="S2348" s="2">
        <v>389000</v>
      </c>
      <c r="T2348" s="4">
        <v>5.2600000000000001E-2</v>
      </c>
      <c r="U2348">
        <v>22</v>
      </c>
      <c r="V2348">
        <v>0</v>
      </c>
      <c r="W2348">
        <v>1</v>
      </c>
    </row>
    <row r="2349" spans="1:23" ht="16.5" x14ac:dyDescent="0.3">
      <c r="A2349" t="s">
        <v>2413</v>
      </c>
      <c r="B2349" s="1">
        <v>45652</v>
      </c>
      <c r="C2349">
        <v>2024</v>
      </c>
      <c r="D2349" t="s">
        <v>1832</v>
      </c>
      <c r="E2349" t="s">
        <v>2264</v>
      </c>
      <c r="F2349" t="s">
        <v>26</v>
      </c>
      <c r="G2349" t="s">
        <v>27</v>
      </c>
      <c r="H2349" t="s">
        <v>38</v>
      </c>
      <c r="I2349" t="s">
        <v>29</v>
      </c>
      <c r="J2349" t="s">
        <v>30</v>
      </c>
      <c r="K2349" s="2">
        <v>5050</v>
      </c>
      <c r="L2349" s="2">
        <v>15000</v>
      </c>
      <c r="M2349">
        <v>36</v>
      </c>
      <c r="N2349" s="3">
        <v>0.28599999999999998</v>
      </c>
      <c r="O2349" t="s">
        <v>17</v>
      </c>
      <c r="P2349" t="s">
        <v>31</v>
      </c>
      <c r="Q2349">
        <v>0</v>
      </c>
      <c r="R2349">
        <v>1</v>
      </c>
      <c r="S2349" s="2">
        <v>0</v>
      </c>
      <c r="T2349" s="4"/>
      <c r="U2349">
        <v>6</v>
      </c>
      <c r="V2349">
        <v>0</v>
      </c>
      <c r="W2349">
        <v>1</v>
      </c>
    </row>
    <row r="2350" spans="1:23" ht="16.5" x14ac:dyDescent="0.3">
      <c r="A2350" t="s">
        <v>2414</v>
      </c>
      <c r="B2350" s="1">
        <v>45652</v>
      </c>
      <c r="C2350">
        <v>2024</v>
      </c>
      <c r="D2350" t="s">
        <v>1832</v>
      </c>
      <c r="E2350" t="s">
        <v>2264</v>
      </c>
      <c r="F2350" t="s">
        <v>37</v>
      </c>
      <c r="G2350" t="s">
        <v>45</v>
      </c>
      <c r="H2350" t="s">
        <v>64</v>
      </c>
      <c r="I2350" t="s">
        <v>39</v>
      </c>
      <c r="J2350" t="s">
        <v>43</v>
      </c>
      <c r="K2350" s="2">
        <v>6500</v>
      </c>
      <c r="L2350" s="2">
        <v>10500</v>
      </c>
      <c r="M2350">
        <v>12</v>
      </c>
      <c r="N2350" s="3">
        <v>0.27</v>
      </c>
      <c r="O2350" t="s">
        <v>17</v>
      </c>
      <c r="P2350" t="s">
        <v>31</v>
      </c>
      <c r="Q2350">
        <v>0</v>
      </c>
      <c r="R2350">
        <v>1</v>
      </c>
      <c r="S2350" s="2">
        <v>0</v>
      </c>
      <c r="T2350" s="4"/>
      <c r="U2350">
        <v>3</v>
      </c>
      <c r="V2350">
        <v>1</v>
      </c>
      <c r="W2350">
        <v>1</v>
      </c>
    </row>
    <row r="2351" spans="1:23" ht="16.5" x14ac:dyDescent="0.3">
      <c r="A2351" t="s">
        <v>2415</v>
      </c>
      <c r="B2351" s="1">
        <v>45652</v>
      </c>
      <c r="C2351">
        <v>2024</v>
      </c>
      <c r="D2351" t="s">
        <v>1832</v>
      </c>
      <c r="E2351" t="s">
        <v>2264</v>
      </c>
      <c r="F2351" t="s">
        <v>26</v>
      </c>
      <c r="G2351" t="s">
        <v>45</v>
      </c>
      <c r="H2351" t="s">
        <v>38</v>
      </c>
      <c r="I2351" t="s">
        <v>29</v>
      </c>
      <c r="J2351" t="s">
        <v>35</v>
      </c>
      <c r="K2351" s="2">
        <v>3000</v>
      </c>
      <c r="L2351" s="2">
        <v>19500</v>
      </c>
      <c r="M2351">
        <v>48</v>
      </c>
      <c r="N2351" s="3">
        <v>0.38800000000000001</v>
      </c>
      <c r="O2351" t="s">
        <v>16</v>
      </c>
      <c r="Q2351">
        <v>1</v>
      </c>
      <c r="R2351">
        <v>0</v>
      </c>
      <c r="S2351" s="2">
        <v>19500</v>
      </c>
      <c r="T2351" s="4">
        <v>8.2400000000000001E-2</v>
      </c>
      <c r="U2351">
        <v>3</v>
      </c>
      <c r="V2351">
        <v>1</v>
      </c>
      <c r="W2351">
        <v>1</v>
      </c>
    </row>
    <row r="2352" spans="1:23" ht="16.5" x14ac:dyDescent="0.3">
      <c r="A2352" t="s">
        <v>2416</v>
      </c>
      <c r="B2352" s="1">
        <v>45652</v>
      </c>
      <c r="C2352">
        <v>2024</v>
      </c>
      <c r="D2352" t="s">
        <v>1832</v>
      </c>
      <c r="E2352" t="s">
        <v>2264</v>
      </c>
      <c r="F2352" t="s">
        <v>37</v>
      </c>
      <c r="G2352" t="s">
        <v>51</v>
      </c>
      <c r="H2352" t="s">
        <v>55</v>
      </c>
      <c r="I2352" t="s">
        <v>29</v>
      </c>
      <c r="J2352" t="s">
        <v>52</v>
      </c>
      <c r="K2352" s="2">
        <v>6150</v>
      </c>
      <c r="L2352" s="2">
        <v>5500</v>
      </c>
      <c r="M2352">
        <v>24</v>
      </c>
      <c r="N2352" s="3">
        <v>0.20599999999999999</v>
      </c>
      <c r="O2352" t="s">
        <v>16</v>
      </c>
      <c r="Q2352">
        <v>1</v>
      </c>
      <c r="R2352">
        <v>0</v>
      </c>
      <c r="S2352" s="2">
        <v>5500</v>
      </c>
      <c r="T2352" s="4">
        <v>0.1134</v>
      </c>
      <c r="U2352">
        <v>3</v>
      </c>
      <c r="V2352">
        <v>1</v>
      </c>
      <c r="W2352">
        <v>1</v>
      </c>
    </row>
    <row r="2353" spans="1:23" ht="16.5" x14ac:dyDescent="0.3">
      <c r="A2353" t="s">
        <v>2417</v>
      </c>
      <c r="B2353" s="1">
        <v>45652</v>
      </c>
      <c r="C2353">
        <v>2024</v>
      </c>
      <c r="D2353" t="s">
        <v>1832</v>
      </c>
      <c r="E2353" t="s">
        <v>2264</v>
      </c>
      <c r="F2353" t="s">
        <v>37</v>
      </c>
      <c r="G2353" t="s">
        <v>33</v>
      </c>
      <c r="H2353" t="s">
        <v>64</v>
      </c>
      <c r="I2353" t="s">
        <v>29</v>
      </c>
      <c r="J2353" t="s">
        <v>46</v>
      </c>
      <c r="K2353" s="2">
        <v>5700</v>
      </c>
      <c r="L2353" s="2">
        <v>17000</v>
      </c>
      <c r="M2353">
        <v>48</v>
      </c>
      <c r="N2353" s="3">
        <v>0.27800000000000002</v>
      </c>
      <c r="O2353" t="s">
        <v>17</v>
      </c>
      <c r="P2353" t="s">
        <v>48</v>
      </c>
      <c r="Q2353">
        <v>0</v>
      </c>
      <c r="R2353">
        <v>1</v>
      </c>
      <c r="S2353" s="2">
        <v>0</v>
      </c>
      <c r="T2353" s="4"/>
      <c r="U2353">
        <v>1</v>
      </c>
      <c r="V2353">
        <v>1</v>
      </c>
      <c r="W2353">
        <v>1</v>
      </c>
    </row>
    <row r="2354" spans="1:23" ht="16.5" x14ac:dyDescent="0.3">
      <c r="A2354" t="s">
        <v>2418</v>
      </c>
      <c r="B2354" s="1">
        <v>45653</v>
      </c>
      <c r="C2354">
        <v>2024</v>
      </c>
      <c r="D2354" t="s">
        <v>1832</v>
      </c>
      <c r="E2354" t="s">
        <v>2264</v>
      </c>
      <c r="F2354" t="s">
        <v>37</v>
      </c>
      <c r="G2354" t="s">
        <v>27</v>
      </c>
      <c r="H2354" t="s">
        <v>34</v>
      </c>
      <c r="I2354" t="s">
        <v>29</v>
      </c>
      <c r="J2354" t="s">
        <v>52</v>
      </c>
      <c r="K2354" s="2">
        <v>11500</v>
      </c>
      <c r="L2354" s="2">
        <v>11000</v>
      </c>
      <c r="M2354">
        <v>36</v>
      </c>
      <c r="N2354" s="3">
        <v>0.20200000000000001</v>
      </c>
      <c r="O2354" t="s">
        <v>17</v>
      </c>
      <c r="P2354" t="s">
        <v>31</v>
      </c>
      <c r="Q2354">
        <v>0</v>
      </c>
      <c r="R2354">
        <v>1</v>
      </c>
      <c r="S2354" s="2">
        <v>0</v>
      </c>
      <c r="T2354" s="4"/>
      <c r="U2354">
        <v>3</v>
      </c>
      <c r="V2354">
        <v>1</v>
      </c>
      <c r="W2354">
        <v>1</v>
      </c>
    </row>
    <row r="2355" spans="1:23" ht="16.5" x14ac:dyDescent="0.3">
      <c r="A2355" t="s">
        <v>2419</v>
      </c>
      <c r="B2355" s="1">
        <v>45653</v>
      </c>
      <c r="C2355">
        <v>2024</v>
      </c>
      <c r="D2355" t="s">
        <v>1832</v>
      </c>
      <c r="E2355" t="s">
        <v>2264</v>
      </c>
      <c r="F2355" t="s">
        <v>37</v>
      </c>
      <c r="G2355" t="s">
        <v>45</v>
      </c>
      <c r="H2355" t="s">
        <v>34</v>
      </c>
      <c r="I2355" t="s">
        <v>29</v>
      </c>
      <c r="J2355" t="s">
        <v>46</v>
      </c>
      <c r="K2355" s="2">
        <v>8300</v>
      </c>
      <c r="L2355" s="2">
        <v>14500</v>
      </c>
      <c r="M2355">
        <v>48</v>
      </c>
      <c r="N2355" s="3">
        <v>0.28399999999999997</v>
      </c>
      <c r="O2355" t="s">
        <v>16</v>
      </c>
      <c r="Q2355">
        <v>1</v>
      </c>
      <c r="R2355">
        <v>0</v>
      </c>
      <c r="S2355" s="2">
        <v>11500</v>
      </c>
      <c r="T2355" s="4">
        <v>0.1095</v>
      </c>
      <c r="U2355">
        <v>2</v>
      </c>
      <c r="V2355">
        <v>1</v>
      </c>
      <c r="W2355">
        <v>1</v>
      </c>
    </row>
    <row r="2356" spans="1:23" ht="16.5" x14ac:dyDescent="0.3">
      <c r="A2356" t="s">
        <v>2420</v>
      </c>
      <c r="B2356" s="1">
        <v>45653</v>
      </c>
      <c r="C2356">
        <v>2024</v>
      </c>
      <c r="D2356" t="s">
        <v>1832</v>
      </c>
      <c r="E2356" t="s">
        <v>2264</v>
      </c>
      <c r="F2356" t="s">
        <v>37</v>
      </c>
      <c r="G2356" t="s">
        <v>51</v>
      </c>
      <c r="H2356" t="s">
        <v>64</v>
      </c>
      <c r="I2356" t="s">
        <v>29</v>
      </c>
      <c r="J2356" t="s">
        <v>35</v>
      </c>
      <c r="K2356" s="2">
        <v>2250</v>
      </c>
      <c r="L2356" s="2">
        <v>7000</v>
      </c>
      <c r="M2356">
        <v>36</v>
      </c>
      <c r="N2356" s="3">
        <v>0.34200000000000003</v>
      </c>
      <c r="O2356" t="s">
        <v>16</v>
      </c>
      <c r="Q2356">
        <v>1</v>
      </c>
      <c r="R2356">
        <v>0</v>
      </c>
      <c r="S2356" s="2">
        <v>6500</v>
      </c>
      <c r="T2356" s="4">
        <v>0.125</v>
      </c>
      <c r="U2356">
        <v>5</v>
      </c>
      <c r="V2356">
        <v>0</v>
      </c>
      <c r="W2356">
        <v>1</v>
      </c>
    </row>
    <row r="2357" spans="1:23" ht="16.5" x14ac:dyDescent="0.3">
      <c r="A2357" t="s">
        <v>2421</v>
      </c>
      <c r="B2357" s="1">
        <v>45653</v>
      </c>
      <c r="C2357">
        <v>2024</v>
      </c>
      <c r="D2357" t="s">
        <v>1832</v>
      </c>
      <c r="E2357" t="s">
        <v>2264</v>
      </c>
      <c r="F2357" t="s">
        <v>37</v>
      </c>
      <c r="G2357" t="s">
        <v>45</v>
      </c>
      <c r="H2357" t="s">
        <v>34</v>
      </c>
      <c r="I2357" t="s">
        <v>39</v>
      </c>
      <c r="J2357" t="s">
        <v>52</v>
      </c>
      <c r="K2357" s="2">
        <v>4850</v>
      </c>
      <c r="L2357" s="2">
        <v>26500</v>
      </c>
      <c r="M2357">
        <v>36</v>
      </c>
      <c r="N2357" s="3">
        <v>0.35099999999999998</v>
      </c>
      <c r="O2357" t="s">
        <v>16</v>
      </c>
      <c r="Q2357">
        <v>1</v>
      </c>
      <c r="R2357">
        <v>0</v>
      </c>
      <c r="S2357" s="2">
        <v>26500</v>
      </c>
      <c r="T2357" s="4">
        <v>0.11840000000000001</v>
      </c>
      <c r="U2357">
        <v>3</v>
      </c>
      <c r="V2357">
        <v>1</v>
      </c>
      <c r="W2357">
        <v>1</v>
      </c>
    </row>
    <row r="2358" spans="1:23" ht="16.5" x14ac:dyDescent="0.3">
      <c r="A2358" t="s">
        <v>2422</v>
      </c>
      <c r="B2358" s="1">
        <v>45653</v>
      </c>
      <c r="C2358">
        <v>2024</v>
      </c>
      <c r="D2358" t="s">
        <v>1832</v>
      </c>
      <c r="E2358" t="s">
        <v>2264</v>
      </c>
      <c r="F2358" t="s">
        <v>41</v>
      </c>
      <c r="G2358" t="s">
        <v>27</v>
      </c>
      <c r="H2358" t="s">
        <v>34</v>
      </c>
      <c r="I2358" t="s">
        <v>39</v>
      </c>
      <c r="J2358" t="s">
        <v>30</v>
      </c>
      <c r="K2358" s="2">
        <v>5350</v>
      </c>
      <c r="L2358" s="2">
        <v>152000</v>
      </c>
      <c r="M2358">
        <v>24</v>
      </c>
      <c r="N2358" s="3">
        <v>1.3680000000000001</v>
      </c>
      <c r="O2358" t="s">
        <v>17</v>
      </c>
      <c r="P2358" t="s">
        <v>31</v>
      </c>
      <c r="Q2358">
        <v>0</v>
      </c>
      <c r="R2358">
        <v>1</v>
      </c>
      <c r="S2358" s="2">
        <v>0</v>
      </c>
      <c r="T2358" s="4"/>
      <c r="U2358">
        <v>13</v>
      </c>
      <c r="V2358">
        <v>0</v>
      </c>
      <c r="W2358">
        <v>1</v>
      </c>
    </row>
    <row r="2359" spans="1:23" ht="16.5" x14ac:dyDescent="0.3">
      <c r="A2359" t="s">
        <v>2423</v>
      </c>
      <c r="B2359" s="1">
        <v>45653</v>
      </c>
      <c r="C2359">
        <v>2024</v>
      </c>
      <c r="D2359" t="s">
        <v>1832</v>
      </c>
      <c r="E2359" t="s">
        <v>2264</v>
      </c>
      <c r="F2359" t="s">
        <v>37</v>
      </c>
      <c r="G2359" t="s">
        <v>33</v>
      </c>
      <c r="H2359" t="s">
        <v>38</v>
      </c>
      <c r="I2359" t="s">
        <v>42</v>
      </c>
      <c r="J2359" t="s">
        <v>30</v>
      </c>
      <c r="K2359" s="2">
        <v>4650</v>
      </c>
      <c r="L2359" s="2">
        <v>11500</v>
      </c>
      <c r="M2359">
        <v>12</v>
      </c>
      <c r="N2359" s="3">
        <v>0.3</v>
      </c>
      <c r="O2359" t="s">
        <v>17</v>
      </c>
      <c r="P2359" t="s">
        <v>31</v>
      </c>
      <c r="Q2359">
        <v>0</v>
      </c>
      <c r="R2359">
        <v>1</v>
      </c>
      <c r="S2359" s="2">
        <v>0</v>
      </c>
      <c r="T2359" s="4"/>
      <c r="U2359">
        <v>1</v>
      </c>
      <c r="V2359">
        <v>1</v>
      </c>
      <c r="W2359">
        <v>1</v>
      </c>
    </row>
    <row r="2360" spans="1:23" ht="16.5" x14ac:dyDescent="0.3">
      <c r="A2360" t="s">
        <v>2424</v>
      </c>
      <c r="B2360" s="1">
        <v>45653</v>
      </c>
      <c r="C2360">
        <v>2024</v>
      </c>
      <c r="D2360" t="s">
        <v>1832</v>
      </c>
      <c r="E2360" t="s">
        <v>2264</v>
      </c>
      <c r="F2360" t="s">
        <v>41</v>
      </c>
      <c r="G2360" t="s">
        <v>27</v>
      </c>
      <c r="H2360" t="s">
        <v>38</v>
      </c>
      <c r="I2360" t="s">
        <v>29</v>
      </c>
      <c r="J2360" t="s">
        <v>46</v>
      </c>
      <c r="K2360" s="2">
        <v>10100</v>
      </c>
      <c r="L2360" s="2">
        <v>190500</v>
      </c>
      <c r="M2360">
        <v>36</v>
      </c>
      <c r="N2360" s="3">
        <v>0.83799999999999997</v>
      </c>
      <c r="O2360" t="s">
        <v>16</v>
      </c>
      <c r="Q2360">
        <v>1</v>
      </c>
      <c r="R2360">
        <v>0</v>
      </c>
      <c r="S2360" s="2">
        <v>190500</v>
      </c>
      <c r="T2360" s="4">
        <v>8.48E-2</v>
      </c>
      <c r="U2360">
        <v>12</v>
      </c>
      <c r="V2360">
        <v>0</v>
      </c>
      <c r="W2360">
        <v>1</v>
      </c>
    </row>
    <row r="2361" spans="1:23" ht="16.5" x14ac:dyDescent="0.3">
      <c r="A2361" t="s">
        <v>2425</v>
      </c>
      <c r="B2361" s="1">
        <v>45653</v>
      </c>
      <c r="C2361">
        <v>2024</v>
      </c>
      <c r="D2361" t="s">
        <v>1832</v>
      </c>
      <c r="E2361" t="s">
        <v>2264</v>
      </c>
      <c r="F2361" t="s">
        <v>26</v>
      </c>
      <c r="G2361" t="s">
        <v>51</v>
      </c>
      <c r="H2361" t="s">
        <v>64</v>
      </c>
      <c r="I2361" t="s">
        <v>42</v>
      </c>
      <c r="J2361" t="s">
        <v>52</v>
      </c>
      <c r="K2361" s="2">
        <v>4600</v>
      </c>
      <c r="L2361" s="2">
        <v>34000</v>
      </c>
      <c r="M2361">
        <v>48</v>
      </c>
      <c r="N2361" s="3">
        <v>0.29499999999999998</v>
      </c>
      <c r="O2361" t="s">
        <v>16</v>
      </c>
      <c r="Q2361">
        <v>1</v>
      </c>
      <c r="R2361">
        <v>0</v>
      </c>
      <c r="S2361" s="2">
        <v>30500</v>
      </c>
      <c r="T2361" s="4">
        <v>7.0499999999999993E-2</v>
      </c>
      <c r="U2361">
        <v>6</v>
      </c>
      <c r="V2361">
        <v>0</v>
      </c>
      <c r="W2361">
        <v>1</v>
      </c>
    </row>
    <row r="2362" spans="1:23" ht="16.5" x14ac:dyDescent="0.3">
      <c r="A2362" t="s">
        <v>2426</v>
      </c>
      <c r="B2362" s="1">
        <v>45654</v>
      </c>
      <c r="C2362">
        <v>2024</v>
      </c>
      <c r="D2362" t="s">
        <v>1832</v>
      </c>
      <c r="E2362" t="s">
        <v>2264</v>
      </c>
      <c r="F2362" t="s">
        <v>37</v>
      </c>
      <c r="G2362" t="s">
        <v>27</v>
      </c>
      <c r="H2362" t="s">
        <v>38</v>
      </c>
      <c r="I2362" t="s">
        <v>29</v>
      </c>
      <c r="J2362" t="s">
        <v>35</v>
      </c>
      <c r="K2362" s="2">
        <v>3550</v>
      </c>
      <c r="L2362" s="2">
        <v>30500</v>
      </c>
      <c r="M2362">
        <v>36</v>
      </c>
      <c r="N2362" s="3">
        <v>0.52800000000000002</v>
      </c>
      <c r="O2362" t="s">
        <v>16</v>
      </c>
      <c r="Q2362">
        <v>1</v>
      </c>
      <c r="R2362">
        <v>0</v>
      </c>
      <c r="S2362" s="2">
        <v>30500</v>
      </c>
      <c r="T2362" s="4">
        <v>0.12529999999999999</v>
      </c>
      <c r="U2362">
        <v>4</v>
      </c>
      <c r="V2362">
        <v>0</v>
      </c>
      <c r="W2362">
        <v>1</v>
      </c>
    </row>
    <row r="2363" spans="1:23" ht="16.5" x14ac:dyDescent="0.3">
      <c r="A2363" t="s">
        <v>2427</v>
      </c>
      <c r="B2363" s="1">
        <v>45654</v>
      </c>
      <c r="C2363">
        <v>2024</v>
      </c>
      <c r="D2363" t="s">
        <v>1832</v>
      </c>
      <c r="E2363" t="s">
        <v>2264</v>
      </c>
      <c r="F2363" t="s">
        <v>50</v>
      </c>
      <c r="G2363" t="s">
        <v>51</v>
      </c>
      <c r="H2363" t="s">
        <v>55</v>
      </c>
      <c r="I2363" t="s">
        <v>29</v>
      </c>
      <c r="J2363" t="s">
        <v>35</v>
      </c>
      <c r="K2363" s="2">
        <v>7500</v>
      </c>
      <c r="L2363" s="2">
        <v>180500</v>
      </c>
      <c r="M2363">
        <v>180</v>
      </c>
      <c r="N2363" s="3">
        <v>0.28399999999999997</v>
      </c>
      <c r="O2363" t="s">
        <v>16</v>
      </c>
      <c r="Q2363">
        <v>1</v>
      </c>
      <c r="R2363">
        <v>0</v>
      </c>
      <c r="S2363" s="2">
        <v>162500</v>
      </c>
      <c r="T2363" s="4">
        <v>6.2199999999999998E-2</v>
      </c>
      <c r="U2363">
        <v>21</v>
      </c>
      <c r="V2363">
        <v>0</v>
      </c>
      <c r="W2363">
        <v>1</v>
      </c>
    </row>
    <row r="2364" spans="1:23" ht="16.5" x14ac:dyDescent="0.3">
      <c r="A2364" t="s">
        <v>2428</v>
      </c>
      <c r="B2364" s="1">
        <v>45654</v>
      </c>
      <c r="C2364">
        <v>2024</v>
      </c>
      <c r="D2364" t="s">
        <v>1832</v>
      </c>
      <c r="E2364" t="s">
        <v>2264</v>
      </c>
      <c r="F2364" t="s">
        <v>37</v>
      </c>
      <c r="G2364" t="s">
        <v>45</v>
      </c>
      <c r="H2364" t="s">
        <v>64</v>
      </c>
      <c r="I2364" t="s">
        <v>39</v>
      </c>
      <c r="J2364" t="s">
        <v>52</v>
      </c>
      <c r="K2364" s="2">
        <v>5250</v>
      </c>
      <c r="L2364" s="2">
        <v>16000</v>
      </c>
      <c r="M2364">
        <v>12</v>
      </c>
      <c r="N2364" s="3">
        <v>0.42699999999999999</v>
      </c>
      <c r="O2364" t="s">
        <v>16</v>
      </c>
      <c r="Q2364">
        <v>1</v>
      </c>
      <c r="R2364">
        <v>0</v>
      </c>
      <c r="S2364" s="2">
        <v>14500</v>
      </c>
      <c r="T2364" s="4">
        <v>0.11840000000000001</v>
      </c>
      <c r="U2364">
        <v>2</v>
      </c>
      <c r="V2364">
        <v>1</v>
      </c>
      <c r="W2364">
        <v>1</v>
      </c>
    </row>
    <row r="2365" spans="1:23" ht="16.5" x14ac:dyDescent="0.3">
      <c r="A2365" t="s">
        <v>2429</v>
      </c>
      <c r="B2365" s="1">
        <v>45654</v>
      </c>
      <c r="C2365">
        <v>2024</v>
      </c>
      <c r="D2365" t="s">
        <v>1832</v>
      </c>
      <c r="E2365" t="s">
        <v>2264</v>
      </c>
      <c r="F2365" t="s">
        <v>37</v>
      </c>
      <c r="G2365" t="s">
        <v>33</v>
      </c>
      <c r="H2365" t="s">
        <v>55</v>
      </c>
      <c r="I2365" t="s">
        <v>29</v>
      </c>
      <c r="J2365" t="s">
        <v>35</v>
      </c>
      <c r="K2365" s="2">
        <v>3350</v>
      </c>
      <c r="L2365" s="2">
        <v>10000</v>
      </c>
      <c r="M2365">
        <v>36</v>
      </c>
      <c r="N2365" s="3">
        <v>0.30299999999999999</v>
      </c>
      <c r="O2365" t="s">
        <v>17</v>
      </c>
      <c r="P2365" t="s">
        <v>60</v>
      </c>
      <c r="Q2365">
        <v>0</v>
      </c>
      <c r="R2365">
        <v>1</v>
      </c>
      <c r="S2365" s="2">
        <v>0</v>
      </c>
      <c r="T2365" s="4"/>
      <c r="U2365">
        <v>5</v>
      </c>
      <c r="V2365">
        <v>0</v>
      </c>
      <c r="W2365">
        <v>1</v>
      </c>
    </row>
    <row r="2366" spans="1:23" ht="16.5" x14ac:dyDescent="0.3">
      <c r="A2366" t="s">
        <v>2430</v>
      </c>
      <c r="B2366" s="1">
        <v>45654</v>
      </c>
      <c r="C2366">
        <v>2024</v>
      </c>
      <c r="D2366" t="s">
        <v>1832</v>
      </c>
      <c r="E2366" t="s">
        <v>2264</v>
      </c>
      <c r="F2366" t="s">
        <v>37</v>
      </c>
      <c r="G2366" t="s">
        <v>45</v>
      </c>
      <c r="H2366" t="s">
        <v>55</v>
      </c>
      <c r="I2366" t="s">
        <v>29</v>
      </c>
      <c r="J2366" t="s">
        <v>43</v>
      </c>
      <c r="K2366" s="2">
        <v>6150</v>
      </c>
      <c r="L2366" s="2">
        <v>4500</v>
      </c>
      <c r="M2366">
        <v>12</v>
      </c>
      <c r="N2366" s="3">
        <v>0.15</v>
      </c>
      <c r="O2366" t="s">
        <v>17</v>
      </c>
      <c r="P2366" t="s">
        <v>65</v>
      </c>
      <c r="Q2366">
        <v>0</v>
      </c>
      <c r="R2366">
        <v>1</v>
      </c>
      <c r="S2366" s="2">
        <v>0</v>
      </c>
      <c r="T2366" s="4"/>
      <c r="U2366">
        <v>3</v>
      </c>
      <c r="V2366">
        <v>1</v>
      </c>
      <c r="W2366">
        <v>1</v>
      </c>
    </row>
    <row r="2367" spans="1:23" ht="16.5" x14ac:dyDescent="0.3">
      <c r="A2367" t="s">
        <v>2431</v>
      </c>
      <c r="B2367" s="1">
        <v>45655</v>
      </c>
      <c r="C2367">
        <v>2024</v>
      </c>
      <c r="D2367" t="s">
        <v>1832</v>
      </c>
      <c r="E2367" t="s">
        <v>2264</v>
      </c>
      <c r="F2367" t="s">
        <v>37</v>
      </c>
      <c r="G2367" t="s">
        <v>27</v>
      </c>
      <c r="H2367" t="s">
        <v>55</v>
      </c>
      <c r="I2367" t="s">
        <v>39</v>
      </c>
      <c r="J2367" t="s">
        <v>43</v>
      </c>
      <c r="K2367" s="2">
        <v>5550</v>
      </c>
      <c r="L2367" s="2">
        <v>51000</v>
      </c>
      <c r="M2367">
        <v>36</v>
      </c>
      <c r="N2367" s="3">
        <v>0.49</v>
      </c>
      <c r="O2367" t="s">
        <v>17</v>
      </c>
      <c r="P2367" t="s">
        <v>60</v>
      </c>
      <c r="Q2367">
        <v>0</v>
      </c>
      <c r="R2367">
        <v>1</v>
      </c>
      <c r="S2367" s="2">
        <v>0</v>
      </c>
      <c r="T2367" s="4"/>
      <c r="U2367">
        <v>11</v>
      </c>
      <c r="V2367">
        <v>0</v>
      </c>
      <c r="W2367">
        <v>1</v>
      </c>
    </row>
    <row r="2368" spans="1:23" ht="16.5" x14ac:dyDescent="0.3">
      <c r="A2368" t="s">
        <v>2432</v>
      </c>
      <c r="B2368" s="1">
        <v>45655</v>
      </c>
      <c r="C2368">
        <v>2024</v>
      </c>
      <c r="D2368" t="s">
        <v>1832</v>
      </c>
      <c r="E2368" t="s">
        <v>2264</v>
      </c>
      <c r="F2368" t="s">
        <v>37</v>
      </c>
      <c r="G2368" t="s">
        <v>45</v>
      </c>
      <c r="H2368" t="s">
        <v>55</v>
      </c>
      <c r="I2368" t="s">
        <v>29</v>
      </c>
      <c r="J2368" t="s">
        <v>30</v>
      </c>
      <c r="K2368" s="2">
        <v>4900</v>
      </c>
      <c r="L2368" s="2">
        <v>15500</v>
      </c>
      <c r="M2368">
        <v>24</v>
      </c>
      <c r="N2368" s="3">
        <v>0.38500000000000001</v>
      </c>
      <c r="O2368" t="s">
        <v>16</v>
      </c>
      <c r="Q2368">
        <v>1</v>
      </c>
      <c r="R2368">
        <v>0</v>
      </c>
      <c r="S2368" s="2">
        <v>15500</v>
      </c>
      <c r="T2368" s="4">
        <v>0.1404</v>
      </c>
      <c r="U2368">
        <v>1</v>
      </c>
      <c r="V2368">
        <v>1</v>
      </c>
      <c r="W2368">
        <v>1</v>
      </c>
    </row>
    <row r="2369" spans="1:23" ht="16.5" x14ac:dyDescent="0.3">
      <c r="A2369" t="s">
        <v>2433</v>
      </c>
      <c r="B2369" s="1">
        <v>45655</v>
      </c>
      <c r="C2369">
        <v>2024</v>
      </c>
      <c r="D2369" t="s">
        <v>1832</v>
      </c>
      <c r="E2369" t="s">
        <v>2264</v>
      </c>
      <c r="F2369" t="s">
        <v>26</v>
      </c>
      <c r="G2369" t="s">
        <v>33</v>
      </c>
      <c r="H2369" t="s">
        <v>55</v>
      </c>
      <c r="I2369" t="s">
        <v>29</v>
      </c>
      <c r="J2369" t="s">
        <v>30</v>
      </c>
      <c r="K2369" s="2">
        <v>5450</v>
      </c>
      <c r="L2369" s="2">
        <v>16500</v>
      </c>
      <c r="M2369">
        <v>36</v>
      </c>
      <c r="N2369" s="3">
        <v>0.29599999999999999</v>
      </c>
      <c r="O2369" t="s">
        <v>17</v>
      </c>
      <c r="P2369" t="s">
        <v>31</v>
      </c>
      <c r="Q2369">
        <v>0</v>
      </c>
      <c r="R2369">
        <v>1</v>
      </c>
      <c r="S2369" s="2">
        <v>0</v>
      </c>
      <c r="T2369" s="4"/>
      <c r="U2369">
        <v>2</v>
      </c>
      <c r="V2369">
        <v>1</v>
      </c>
      <c r="W2369">
        <v>1</v>
      </c>
    </row>
    <row r="2370" spans="1:23" ht="16.5" x14ac:dyDescent="0.3">
      <c r="A2370" t="s">
        <v>2434</v>
      </c>
      <c r="B2370" s="1">
        <v>45655</v>
      </c>
      <c r="C2370">
        <v>2024</v>
      </c>
      <c r="D2370" t="s">
        <v>1832</v>
      </c>
      <c r="E2370" t="s">
        <v>2264</v>
      </c>
      <c r="F2370" t="s">
        <v>50</v>
      </c>
      <c r="G2370" t="s">
        <v>51</v>
      </c>
      <c r="H2370" t="s">
        <v>38</v>
      </c>
      <c r="I2370" t="s">
        <v>42</v>
      </c>
      <c r="J2370" t="s">
        <v>35</v>
      </c>
      <c r="K2370" s="2">
        <v>9150</v>
      </c>
      <c r="L2370" s="2">
        <v>431000</v>
      </c>
      <c r="M2370">
        <v>180</v>
      </c>
      <c r="N2370" s="3">
        <v>0.56899999999999995</v>
      </c>
      <c r="O2370" t="s">
        <v>17</v>
      </c>
      <c r="P2370" t="s">
        <v>53</v>
      </c>
      <c r="Q2370">
        <v>0</v>
      </c>
      <c r="R2370">
        <v>1</v>
      </c>
      <c r="S2370" s="2">
        <v>0</v>
      </c>
      <c r="T2370" s="4"/>
      <c r="U2370">
        <v>13</v>
      </c>
      <c r="V2370">
        <v>1</v>
      </c>
      <c r="W2370">
        <v>1</v>
      </c>
    </row>
    <row r="2371" spans="1:23" ht="16.5" x14ac:dyDescent="0.3">
      <c r="A2371" t="s">
        <v>2435</v>
      </c>
      <c r="B2371" s="1">
        <v>45655</v>
      </c>
      <c r="C2371">
        <v>2024</v>
      </c>
      <c r="D2371" t="s">
        <v>1832</v>
      </c>
      <c r="E2371" t="s">
        <v>2264</v>
      </c>
      <c r="F2371" t="s">
        <v>26</v>
      </c>
      <c r="G2371" t="s">
        <v>45</v>
      </c>
      <c r="H2371" t="s">
        <v>38</v>
      </c>
      <c r="I2371" t="s">
        <v>42</v>
      </c>
      <c r="J2371" t="s">
        <v>35</v>
      </c>
      <c r="K2371" s="2">
        <v>12800</v>
      </c>
      <c r="L2371" s="2">
        <v>15000</v>
      </c>
      <c r="M2371">
        <v>48</v>
      </c>
      <c r="N2371" s="3">
        <v>0.115</v>
      </c>
      <c r="O2371" t="s">
        <v>16</v>
      </c>
      <c r="Q2371">
        <v>1</v>
      </c>
      <c r="R2371">
        <v>0</v>
      </c>
      <c r="S2371" s="2">
        <v>13500</v>
      </c>
      <c r="T2371" s="4">
        <v>8.0100000000000005E-2</v>
      </c>
      <c r="U2371">
        <v>3</v>
      </c>
      <c r="V2371">
        <v>1</v>
      </c>
      <c r="W2371">
        <v>1</v>
      </c>
    </row>
    <row r="2372" spans="1:23" ht="16.5" x14ac:dyDescent="0.3">
      <c r="A2372" t="s">
        <v>2436</v>
      </c>
      <c r="B2372" s="1">
        <v>45656</v>
      </c>
      <c r="C2372">
        <v>2024</v>
      </c>
      <c r="D2372" t="s">
        <v>1832</v>
      </c>
      <c r="E2372" t="s">
        <v>2264</v>
      </c>
      <c r="F2372" t="s">
        <v>26</v>
      </c>
      <c r="G2372" t="s">
        <v>33</v>
      </c>
      <c r="H2372" t="s">
        <v>38</v>
      </c>
      <c r="I2372" t="s">
        <v>39</v>
      </c>
      <c r="J2372" t="s">
        <v>43</v>
      </c>
      <c r="K2372" s="2">
        <v>5050</v>
      </c>
      <c r="L2372" s="2">
        <v>42500</v>
      </c>
      <c r="M2372">
        <v>48</v>
      </c>
      <c r="N2372" s="3">
        <v>0.308</v>
      </c>
      <c r="O2372" t="s">
        <v>17</v>
      </c>
      <c r="P2372" t="s">
        <v>31</v>
      </c>
      <c r="Q2372">
        <v>0</v>
      </c>
      <c r="R2372">
        <v>1</v>
      </c>
      <c r="S2372" s="2">
        <v>0</v>
      </c>
      <c r="T2372" s="4"/>
      <c r="U2372">
        <v>2</v>
      </c>
      <c r="V2372">
        <v>1</v>
      </c>
      <c r="W2372">
        <v>1</v>
      </c>
    </row>
    <row r="2373" spans="1:23" ht="16.5" x14ac:dyDescent="0.3">
      <c r="A2373" t="s">
        <v>2437</v>
      </c>
      <c r="B2373" s="1">
        <v>45656</v>
      </c>
      <c r="C2373">
        <v>2024</v>
      </c>
      <c r="D2373" t="s">
        <v>1832</v>
      </c>
      <c r="E2373" t="s">
        <v>2264</v>
      </c>
      <c r="F2373" t="s">
        <v>37</v>
      </c>
      <c r="G2373" t="s">
        <v>51</v>
      </c>
      <c r="H2373" t="s">
        <v>38</v>
      </c>
      <c r="I2373" t="s">
        <v>39</v>
      </c>
      <c r="J2373" t="s">
        <v>35</v>
      </c>
      <c r="K2373" s="2">
        <v>7150</v>
      </c>
      <c r="L2373" s="2">
        <v>8500</v>
      </c>
      <c r="M2373">
        <v>48</v>
      </c>
      <c r="N2373" s="3">
        <v>0.112</v>
      </c>
      <c r="O2373" t="s">
        <v>17</v>
      </c>
      <c r="P2373" t="s">
        <v>60</v>
      </c>
      <c r="Q2373">
        <v>0</v>
      </c>
      <c r="R2373">
        <v>1</v>
      </c>
      <c r="S2373" s="2">
        <v>0</v>
      </c>
      <c r="T2373" s="4"/>
      <c r="U2373">
        <v>9</v>
      </c>
      <c r="V2373">
        <v>0</v>
      </c>
      <c r="W2373">
        <v>1</v>
      </c>
    </row>
    <row r="2374" spans="1:23" ht="16.5" x14ac:dyDescent="0.3">
      <c r="A2374" t="s">
        <v>2438</v>
      </c>
      <c r="B2374" s="1">
        <v>45656</v>
      </c>
      <c r="C2374">
        <v>2024</v>
      </c>
      <c r="D2374" t="s">
        <v>1832</v>
      </c>
      <c r="E2374" t="s">
        <v>2264</v>
      </c>
      <c r="F2374" t="s">
        <v>37</v>
      </c>
      <c r="G2374" t="s">
        <v>27</v>
      </c>
      <c r="H2374" t="s">
        <v>38</v>
      </c>
      <c r="I2374" t="s">
        <v>42</v>
      </c>
      <c r="J2374" t="s">
        <v>46</v>
      </c>
      <c r="K2374" s="2">
        <v>5500</v>
      </c>
      <c r="L2374" s="2">
        <v>12500</v>
      </c>
      <c r="M2374">
        <v>48</v>
      </c>
      <c r="N2374" s="3">
        <v>0.125</v>
      </c>
      <c r="O2374" t="s">
        <v>16</v>
      </c>
      <c r="Q2374">
        <v>1</v>
      </c>
      <c r="R2374">
        <v>0</v>
      </c>
      <c r="S2374" s="2">
        <v>12500</v>
      </c>
      <c r="T2374" s="4">
        <v>0.11020000000000001</v>
      </c>
      <c r="U2374">
        <v>4</v>
      </c>
      <c r="V2374">
        <v>0</v>
      </c>
      <c r="W2374">
        <v>1</v>
      </c>
    </row>
    <row r="2375" spans="1:23" ht="16.5" x14ac:dyDescent="0.3">
      <c r="A2375" t="s">
        <v>2439</v>
      </c>
      <c r="B2375" s="1">
        <v>45656</v>
      </c>
      <c r="C2375">
        <v>2024</v>
      </c>
      <c r="D2375" t="s">
        <v>1832</v>
      </c>
      <c r="E2375" t="s">
        <v>2264</v>
      </c>
      <c r="F2375" t="s">
        <v>41</v>
      </c>
      <c r="G2375" t="s">
        <v>45</v>
      </c>
      <c r="H2375" t="s">
        <v>55</v>
      </c>
      <c r="I2375" t="s">
        <v>29</v>
      </c>
      <c r="J2375" t="s">
        <v>35</v>
      </c>
      <c r="K2375" s="2">
        <v>5950</v>
      </c>
      <c r="L2375" s="2">
        <v>34000</v>
      </c>
      <c r="M2375">
        <v>12</v>
      </c>
      <c r="N2375" s="3">
        <v>0.63800000000000001</v>
      </c>
      <c r="O2375" t="s">
        <v>16</v>
      </c>
      <c r="Q2375">
        <v>1</v>
      </c>
      <c r="R2375">
        <v>0</v>
      </c>
      <c r="S2375" s="2">
        <v>34000</v>
      </c>
      <c r="T2375" s="4">
        <v>0.10580000000000001</v>
      </c>
      <c r="U2375">
        <v>8</v>
      </c>
      <c r="V2375">
        <v>1</v>
      </c>
      <c r="W2375">
        <v>1</v>
      </c>
    </row>
    <row r="2376" spans="1:23" ht="16.5" x14ac:dyDescent="0.3">
      <c r="A2376" t="s">
        <v>2440</v>
      </c>
      <c r="B2376" s="1">
        <v>45656</v>
      </c>
      <c r="C2376">
        <v>2024</v>
      </c>
      <c r="D2376" t="s">
        <v>1832</v>
      </c>
      <c r="E2376" t="s">
        <v>2264</v>
      </c>
      <c r="F2376" t="s">
        <v>41</v>
      </c>
      <c r="G2376" t="s">
        <v>33</v>
      </c>
      <c r="H2376" t="s">
        <v>55</v>
      </c>
      <c r="I2376" t="s">
        <v>29</v>
      </c>
      <c r="J2376" t="s">
        <v>52</v>
      </c>
      <c r="K2376" s="2">
        <v>4500</v>
      </c>
      <c r="L2376" s="2">
        <v>50000</v>
      </c>
      <c r="M2376">
        <v>12</v>
      </c>
      <c r="N2376" s="3">
        <v>1.03</v>
      </c>
      <c r="O2376" t="s">
        <v>16</v>
      </c>
      <c r="Q2376">
        <v>1</v>
      </c>
      <c r="R2376">
        <v>0</v>
      </c>
      <c r="S2376" s="2">
        <v>45000</v>
      </c>
      <c r="T2376" s="4">
        <v>9.9400000000000002E-2</v>
      </c>
      <c r="U2376">
        <v>5</v>
      </c>
      <c r="V2376">
        <v>1</v>
      </c>
      <c r="W2376">
        <v>1</v>
      </c>
    </row>
    <row r="2377" spans="1:23" ht="16.5" x14ac:dyDescent="0.3">
      <c r="A2377" t="s">
        <v>2441</v>
      </c>
      <c r="B2377" s="1">
        <v>45656</v>
      </c>
      <c r="C2377">
        <v>2024</v>
      </c>
      <c r="D2377" t="s">
        <v>1832</v>
      </c>
      <c r="E2377" t="s">
        <v>2264</v>
      </c>
      <c r="F2377" t="s">
        <v>50</v>
      </c>
      <c r="G2377" t="s">
        <v>51</v>
      </c>
      <c r="H2377" t="s">
        <v>38</v>
      </c>
      <c r="I2377" t="s">
        <v>39</v>
      </c>
      <c r="J2377" t="s">
        <v>43</v>
      </c>
      <c r="K2377" s="2">
        <v>4650</v>
      </c>
      <c r="L2377" s="2">
        <v>232500</v>
      </c>
      <c r="M2377">
        <v>180</v>
      </c>
      <c r="N2377" s="3">
        <v>0.46400000000000002</v>
      </c>
      <c r="O2377" t="s">
        <v>17</v>
      </c>
      <c r="P2377" t="s">
        <v>53</v>
      </c>
      <c r="Q2377">
        <v>0</v>
      </c>
      <c r="R2377">
        <v>1</v>
      </c>
      <c r="S2377" s="2">
        <v>0</v>
      </c>
      <c r="T2377" s="4"/>
      <c r="U2377">
        <v>19</v>
      </c>
      <c r="V2377">
        <v>0</v>
      </c>
      <c r="W2377">
        <v>1</v>
      </c>
    </row>
    <row r="2378" spans="1:23" ht="16.5" x14ac:dyDescent="0.3">
      <c r="A2378" t="s">
        <v>2442</v>
      </c>
      <c r="B2378" s="1">
        <v>45656</v>
      </c>
      <c r="C2378">
        <v>2024</v>
      </c>
      <c r="D2378" t="s">
        <v>1832</v>
      </c>
      <c r="E2378" t="s">
        <v>2264</v>
      </c>
      <c r="F2378" t="s">
        <v>41</v>
      </c>
      <c r="G2378" t="s">
        <v>27</v>
      </c>
      <c r="H2378" t="s">
        <v>38</v>
      </c>
      <c r="I2378" t="s">
        <v>29</v>
      </c>
      <c r="J2378" t="s">
        <v>46</v>
      </c>
      <c r="K2378" s="2">
        <v>4450</v>
      </c>
      <c r="L2378" s="2">
        <v>98000</v>
      </c>
      <c r="M2378">
        <v>36</v>
      </c>
      <c r="N2378" s="3">
        <v>0.93400000000000005</v>
      </c>
      <c r="O2378" t="s">
        <v>16</v>
      </c>
      <c r="Q2378">
        <v>1</v>
      </c>
      <c r="R2378">
        <v>0</v>
      </c>
      <c r="S2378" s="2">
        <v>98000</v>
      </c>
      <c r="T2378" s="4">
        <v>9.1600000000000001E-2</v>
      </c>
      <c r="U2378">
        <v>6</v>
      </c>
      <c r="V2378">
        <v>1</v>
      </c>
      <c r="W2378">
        <v>1</v>
      </c>
    </row>
    <row r="2379" spans="1:23" ht="16.5" x14ac:dyDescent="0.3">
      <c r="A2379" t="s">
        <v>2443</v>
      </c>
      <c r="B2379" s="1">
        <v>45656</v>
      </c>
      <c r="C2379">
        <v>2024</v>
      </c>
      <c r="D2379" t="s">
        <v>1832</v>
      </c>
      <c r="E2379" t="s">
        <v>2264</v>
      </c>
      <c r="F2379" t="s">
        <v>37</v>
      </c>
      <c r="G2379" t="s">
        <v>45</v>
      </c>
      <c r="H2379" t="s">
        <v>38</v>
      </c>
      <c r="I2379" t="s">
        <v>42</v>
      </c>
      <c r="J2379" t="s">
        <v>43</v>
      </c>
      <c r="K2379" s="2">
        <v>8850</v>
      </c>
      <c r="L2379" s="2">
        <v>18500</v>
      </c>
      <c r="M2379">
        <v>36</v>
      </c>
      <c r="N2379" s="3">
        <v>0.26400000000000001</v>
      </c>
      <c r="O2379" t="s">
        <v>17</v>
      </c>
      <c r="P2379" t="s">
        <v>31</v>
      </c>
      <c r="Q2379">
        <v>0</v>
      </c>
      <c r="R2379">
        <v>1</v>
      </c>
      <c r="S2379" s="2">
        <v>0</v>
      </c>
      <c r="T2379" s="4"/>
      <c r="U2379">
        <v>2</v>
      </c>
      <c r="V2379">
        <v>1</v>
      </c>
      <c r="W2379">
        <v>1</v>
      </c>
    </row>
    <row r="2380" spans="1:23" ht="16.5" x14ac:dyDescent="0.3">
      <c r="A2380" t="s">
        <v>2444</v>
      </c>
      <c r="B2380" s="1">
        <v>45656</v>
      </c>
      <c r="C2380">
        <v>2024</v>
      </c>
      <c r="D2380" t="s">
        <v>1832</v>
      </c>
      <c r="E2380" t="s">
        <v>2264</v>
      </c>
      <c r="F2380" t="s">
        <v>37</v>
      </c>
      <c r="G2380" t="s">
        <v>51</v>
      </c>
      <c r="H2380" t="s">
        <v>38</v>
      </c>
      <c r="I2380" t="s">
        <v>42</v>
      </c>
      <c r="J2380" t="s">
        <v>30</v>
      </c>
      <c r="K2380" s="2">
        <v>6850</v>
      </c>
      <c r="L2380" s="2">
        <v>14500</v>
      </c>
      <c r="M2380">
        <v>24</v>
      </c>
      <c r="N2380" s="3">
        <v>0.312</v>
      </c>
      <c r="O2380" t="s">
        <v>17</v>
      </c>
      <c r="P2380" t="s">
        <v>31</v>
      </c>
      <c r="Q2380">
        <v>0</v>
      </c>
      <c r="R2380">
        <v>1</v>
      </c>
      <c r="S2380" s="2">
        <v>0</v>
      </c>
      <c r="T2380" s="4"/>
      <c r="U2380">
        <v>4</v>
      </c>
      <c r="V2380">
        <v>0</v>
      </c>
      <c r="W2380">
        <v>1</v>
      </c>
    </row>
    <row r="2381" spans="1:23" ht="16.5" x14ac:dyDescent="0.3">
      <c r="A2381" t="s">
        <v>2445</v>
      </c>
      <c r="B2381" s="1">
        <v>45656</v>
      </c>
      <c r="C2381">
        <v>2024</v>
      </c>
      <c r="D2381" t="s">
        <v>1832</v>
      </c>
      <c r="E2381" t="s">
        <v>2264</v>
      </c>
      <c r="F2381" t="s">
        <v>41</v>
      </c>
      <c r="G2381" t="s">
        <v>33</v>
      </c>
      <c r="H2381" t="s">
        <v>34</v>
      </c>
      <c r="I2381" t="s">
        <v>29</v>
      </c>
      <c r="J2381" t="s">
        <v>30</v>
      </c>
      <c r="K2381" s="2">
        <v>4650</v>
      </c>
      <c r="L2381" s="2">
        <v>199500</v>
      </c>
      <c r="M2381">
        <v>12</v>
      </c>
      <c r="N2381" s="3">
        <v>3.8410000000000002</v>
      </c>
      <c r="O2381" t="s">
        <v>17</v>
      </c>
      <c r="P2381" t="s">
        <v>31</v>
      </c>
      <c r="Q2381">
        <v>0</v>
      </c>
      <c r="R2381">
        <v>1</v>
      </c>
      <c r="S2381" s="2">
        <v>0</v>
      </c>
      <c r="T2381" s="4"/>
      <c r="U2381">
        <v>6</v>
      </c>
      <c r="V2381">
        <v>1</v>
      </c>
      <c r="W2381">
        <v>1</v>
      </c>
    </row>
    <row r="2382" spans="1:23" ht="16.5" x14ac:dyDescent="0.3">
      <c r="A2382" t="s">
        <v>2446</v>
      </c>
      <c r="B2382" s="1">
        <v>45656</v>
      </c>
      <c r="C2382">
        <v>2024</v>
      </c>
      <c r="D2382" t="s">
        <v>1832</v>
      </c>
      <c r="E2382" t="s">
        <v>2264</v>
      </c>
      <c r="F2382" t="s">
        <v>41</v>
      </c>
      <c r="G2382" t="s">
        <v>33</v>
      </c>
      <c r="H2382" t="s">
        <v>34</v>
      </c>
      <c r="I2382" t="s">
        <v>39</v>
      </c>
      <c r="J2382" t="s">
        <v>30</v>
      </c>
      <c r="K2382" s="2">
        <v>4650</v>
      </c>
      <c r="L2382" s="2">
        <v>160500</v>
      </c>
      <c r="M2382">
        <v>36</v>
      </c>
      <c r="N2382" s="3">
        <v>1.2969999999999999</v>
      </c>
      <c r="O2382" t="s">
        <v>17</v>
      </c>
      <c r="P2382" t="s">
        <v>53</v>
      </c>
      <c r="Q2382">
        <v>0</v>
      </c>
      <c r="R2382">
        <v>1</v>
      </c>
      <c r="S2382" s="2">
        <v>0</v>
      </c>
      <c r="T2382" s="4"/>
      <c r="U2382">
        <v>5</v>
      </c>
      <c r="V2382">
        <v>1</v>
      </c>
      <c r="W2382">
        <v>1</v>
      </c>
    </row>
    <row r="2383" spans="1:23" ht="16.5" x14ac:dyDescent="0.3">
      <c r="A2383" t="s">
        <v>2447</v>
      </c>
      <c r="B2383" s="1">
        <v>45656</v>
      </c>
      <c r="C2383">
        <v>2024</v>
      </c>
      <c r="D2383" t="s">
        <v>1832</v>
      </c>
      <c r="E2383" t="s">
        <v>2264</v>
      </c>
      <c r="F2383" t="s">
        <v>41</v>
      </c>
      <c r="G2383" t="s">
        <v>51</v>
      </c>
      <c r="H2383" t="s">
        <v>38</v>
      </c>
      <c r="I2383" t="s">
        <v>39</v>
      </c>
      <c r="J2383" t="s">
        <v>43</v>
      </c>
      <c r="K2383" s="2">
        <v>7350</v>
      </c>
      <c r="L2383" s="2">
        <v>84500</v>
      </c>
      <c r="M2383">
        <v>24</v>
      </c>
      <c r="N2383" s="3">
        <v>0.65900000000000003</v>
      </c>
      <c r="O2383" t="s">
        <v>17</v>
      </c>
      <c r="P2383" t="s">
        <v>31</v>
      </c>
      <c r="Q2383">
        <v>0</v>
      </c>
      <c r="R2383">
        <v>1</v>
      </c>
      <c r="S2383" s="2">
        <v>0</v>
      </c>
      <c r="T2383" s="4"/>
      <c r="U2383">
        <v>16</v>
      </c>
      <c r="V2383">
        <v>0</v>
      </c>
      <c r="W2383">
        <v>1</v>
      </c>
    </row>
    <row r="2384" spans="1:23" ht="16.5" x14ac:dyDescent="0.3">
      <c r="A2384" t="s">
        <v>2448</v>
      </c>
      <c r="B2384" s="1">
        <v>45657</v>
      </c>
      <c r="C2384">
        <v>2024</v>
      </c>
      <c r="D2384" t="s">
        <v>1832</v>
      </c>
      <c r="E2384" t="s">
        <v>2264</v>
      </c>
      <c r="F2384" t="s">
        <v>50</v>
      </c>
      <c r="G2384" t="s">
        <v>27</v>
      </c>
      <c r="H2384" t="s">
        <v>38</v>
      </c>
      <c r="I2384" t="s">
        <v>29</v>
      </c>
      <c r="J2384" t="s">
        <v>30</v>
      </c>
      <c r="K2384" s="2">
        <v>6150</v>
      </c>
      <c r="L2384" s="2">
        <v>372000</v>
      </c>
      <c r="M2384">
        <v>300</v>
      </c>
      <c r="N2384" s="3">
        <v>0.42299999999999999</v>
      </c>
      <c r="O2384" t="s">
        <v>17</v>
      </c>
      <c r="P2384" t="s">
        <v>31</v>
      </c>
      <c r="Q2384">
        <v>0</v>
      </c>
      <c r="R2384">
        <v>1</v>
      </c>
      <c r="S2384" s="2">
        <v>0</v>
      </c>
      <c r="T2384" s="4"/>
      <c r="U2384">
        <v>21</v>
      </c>
      <c r="V2384">
        <v>0</v>
      </c>
      <c r="W2384">
        <v>1</v>
      </c>
    </row>
    <row r="2385" spans="1:23" ht="16.5" x14ac:dyDescent="0.3">
      <c r="A2385" t="s">
        <v>2449</v>
      </c>
      <c r="B2385" s="1">
        <v>45657</v>
      </c>
      <c r="C2385">
        <v>2024</v>
      </c>
      <c r="D2385" t="s">
        <v>1832</v>
      </c>
      <c r="E2385" t="s">
        <v>2264</v>
      </c>
      <c r="F2385" t="s">
        <v>50</v>
      </c>
      <c r="G2385" t="s">
        <v>51</v>
      </c>
      <c r="H2385" t="s">
        <v>64</v>
      </c>
      <c r="I2385" t="s">
        <v>29</v>
      </c>
      <c r="J2385" t="s">
        <v>43</v>
      </c>
      <c r="K2385" s="2">
        <v>9650</v>
      </c>
      <c r="L2385" s="2">
        <v>266000</v>
      </c>
      <c r="M2385">
        <v>240</v>
      </c>
      <c r="N2385" s="3">
        <v>0.41599999999999998</v>
      </c>
      <c r="O2385" t="s">
        <v>17</v>
      </c>
      <c r="P2385" t="s">
        <v>31</v>
      </c>
      <c r="Q2385">
        <v>0</v>
      </c>
      <c r="R2385">
        <v>1</v>
      </c>
      <c r="S2385" s="2">
        <v>0</v>
      </c>
      <c r="T2385" s="4"/>
      <c r="U2385">
        <v>20</v>
      </c>
      <c r="V2385">
        <v>0</v>
      </c>
      <c r="W2385">
        <v>1</v>
      </c>
    </row>
    <row r="2386" spans="1:23" ht="16.5" x14ac:dyDescent="0.3">
      <c r="A2386" t="s">
        <v>2450</v>
      </c>
      <c r="B2386" s="1">
        <v>45657</v>
      </c>
      <c r="C2386">
        <v>2024</v>
      </c>
      <c r="D2386" t="s">
        <v>1832</v>
      </c>
      <c r="E2386" t="s">
        <v>2264</v>
      </c>
      <c r="F2386" t="s">
        <v>37</v>
      </c>
      <c r="G2386" t="s">
        <v>27</v>
      </c>
      <c r="H2386" t="s">
        <v>64</v>
      </c>
      <c r="I2386" t="s">
        <v>29</v>
      </c>
      <c r="J2386" t="s">
        <v>30</v>
      </c>
      <c r="K2386" s="2">
        <v>4350</v>
      </c>
      <c r="L2386" s="2">
        <v>31000</v>
      </c>
      <c r="M2386">
        <v>36</v>
      </c>
      <c r="N2386" s="3">
        <v>0.40400000000000003</v>
      </c>
      <c r="O2386" t="s">
        <v>17</v>
      </c>
      <c r="P2386" t="s">
        <v>65</v>
      </c>
      <c r="Q2386">
        <v>0</v>
      </c>
      <c r="R2386">
        <v>1</v>
      </c>
      <c r="S2386" s="2">
        <v>0</v>
      </c>
      <c r="T2386" s="4"/>
      <c r="U2386">
        <v>4</v>
      </c>
      <c r="V2386">
        <v>0</v>
      </c>
      <c r="W2386">
        <v>1</v>
      </c>
    </row>
    <row r="2387" spans="1:23" ht="16.5" x14ac:dyDescent="0.3">
      <c r="A2387" t="s">
        <v>2451</v>
      </c>
      <c r="B2387" s="1">
        <v>45657</v>
      </c>
      <c r="C2387">
        <v>2024</v>
      </c>
      <c r="D2387" t="s">
        <v>1832</v>
      </c>
      <c r="E2387" t="s">
        <v>2264</v>
      </c>
      <c r="F2387" t="s">
        <v>37</v>
      </c>
      <c r="G2387" t="s">
        <v>51</v>
      </c>
      <c r="H2387" t="s">
        <v>38</v>
      </c>
      <c r="I2387" t="s">
        <v>39</v>
      </c>
      <c r="J2387" t="s">
        <v>35</v>
      </c>
      <c r="K2387" s="2">
        <v>5900</v>
      </c>
      <c r="L2387" s="2">
        <v>9000</v>
      </c>
      <c r="M2387">
        <v>60</v>
      </c>
      <c r="N2387" s="3">
        <v>0.27300000000000002</v>
      </c>
      <c r="O2387" t="s">
        <v>16</v>
      </c>
      <c r="Q2387">
        <v>1</v>
      </c>
      <c r="R2387">
        <v>0</v>
      </c>
      <c r="S2387" s="2">
        <v>9000</v>
      </c>
      <c r="T2387" s="4">
        <v>0.12239999999999999</v>
      </c>
      <c r="U2387">
        <v>5</v>
      </c>
      <c r="V2387">
        <v>0</v>
      </c>
      <c r="W2387">
        <v>1</v>
      </c>
    </row>
    <row r="2388" spans="1:23" ht="16.5" x14ac:dyDescent="0.3">
      <c r="A2388" t="s">
        <v>2452</v>
      </c>
      <c r="B2388" s="1">
        <v>45657</v>
      </c>
      <c r="C2388">
        <v>2024</v>
      </c>
      <c r="D2388" t="s">
        <v>1832</v>
      </c>
      <c r="E2388" t="s">
        <v>2264</v>
      </c>
      <c r="F2388" t="s">
        <v>41</v>
      </c>
      <c r="G2388" t="s">
        <v>51</v>
      </c>
      <c r="H2388" t="s">
        <v>55</v>
      </c>
      <c r="I2388" t="s">
        <v>29</v>
      </c>
      <c r="J2388" t="s">
        <v>52</v>
      </c>
      <c r="K2388" s="2">
        <v>9100</v>
      </c>
      <c r="L2388" s="2">
        <v>80500</v>
      </c>
      <c r="M2388">
        <v>36</v>
      </c>
      <c r="N2388" s="3">
        <v>0.47399999999999998</v>
      </c>
      <c r="O2388" t="s">
        <v>16</v>
      </c>
      <c r="Q2388">
        <v>1</v>
      </c>
      <c r="R2388">
        <v>0</v>
      </c>
      <c r="S2388" s="2">
        <v>64500</v>
      </c>
      <c r="T2388" s="4">
        <v>9.4700000000000006E-2</v>
      </c>
      <c r="U2388">
        <v>17</v>
      </c>
      <c r="V2388">
        <v>0</v>
      </c>
      <c r="W2388">
        <v>1</v>
      </c>
    </row>
    <row r="2389" spans="1:23" ht="16.5" x14ac:dyDescent="0.3">
      <c r="A2389" t="s">
        <v>2453</v>
      </c>
      <c r="B2389" s="1">
        <v>45657</v>
      </c>
      <c r="C2389">
        <v>2024</v>
      </c>
      <c r="D2389" t="s">
        <v>1832</v>
      </c>
      <c r="E2389" t="s">
        <v>2264</v>
      </c>
      <c r="F2389" t="s">
        <v>37</v>
      </c>
      <c r="G2389" t="s">
        <v>45</v>
      </c>
      <c r="H2389" t="s">
        <v>28</v>
      </c>
      <c r="I2389" t="s">
        <v>39</v>
      </c>
      <c r="J2389" t="s">
        <v>52</v>
      </c>
      <c r="K2389" s="2">
        <v>8500</v>
      </c>
      <c r="L2389" s="2">
        <v>20000</v>
      </c>
      <c r="M2389">
        <v>24</v>
      </c>
      <c r="N2389" s="3">
        <v>0.34699999999999998</v>
      </c>
      <c r="O2389" t="s">
        <v>17</v>
      </c>
      <c r="P2389" t="s">
        <v>48</v>
      </c>
      <c r="Q2389">
        <v>0</v>
      </c>
      <c r="R2389">
        <v>1</v>
      </c>
      <c r="S2389" s="2">
        <v>0</v>
      </c>
      <c r="T2389" s="4"/>
      <c r="U2389">
        <v>4</v>
      </c>
      <c r="V2389">
        <v>0</v>
      </c>
      <c r="W2389">
        <v>1</v>
      </c>
    </row>
    <row r="2390" spans="1:23" ht="16.5" x14ac:dyDescent="0.3">
      <c r="A2390" t="s">
        <v>2454</v>
      </c>
      <c r="B2390" s="1">
        <v>45657</v>
      </c>
      <c r="C2390">
        <v>2024</v>
      </c>
      <c r="D2390" t="s">
        <v>1832</v>
      </c>
      <c r="E2390" t="s">
        <v>2264</v>
      </c>
      <c r="F2390" t="s">
        <v>37</v>
      </c>
      <c r="G2390" t="s">
        <v>51</v>
      </c>
      <c r="H2390" t="s">
        <v>34</v>
      </c>
      <c r="I2390" t="s">
        <v>39</v>
      </c>
      <c r="J2390" t="s">
        <v>43</v>
      </c>
      <c r="K2390" s="2">
        <v>4600</v>
      </c>
      <c r="L2390" s="2">
        <v>10500</v>
      </c>
      <c r="M2390">
        <v>60</v>
      </c>
      <c r="N2390" s="3">
        <v>0.151</v>
      </c>
      <c r="O2390" t="s">
        <v>16</v>
      </c>
      <c r="Q2390">
        <v>1</v>
      </c>
      <c r="R2390">
        <v>0</v>
      </c>
      <c r="S2390" s="2">
        <v>10500</v>
      </c>
      <c r="T2390" s="4">
        <v>0.16059999999999999</v>
      </c>
      <c r="U2390">
        <v>6</v>
      </c>
      <c r="V2390">
        <v>0</v>
      </c>
      <c r="W2390">
        <v>1</v>
      </c>
    </row>
    <row r="2391" spans="1:23" ht="16.5" x14ac:dyDescent="0.3">
      <c r="A2391" t="s">
        <v>2455</v>
      </c>
      <c r="B2391" s="1">
        <v>45658</v>
      </c>
      <c r="C2391">
        <v>2025</v>
      </c>
      <c r="D2391" t="s">
        <v>24</v>
      </c>
      <c r="E2391" t="s">
        <v>25</v>
      </c>
      <c r="F2391" t="s">
        <v>26</v>
      </c>
      <c r="G2391" t="s">
        <v>33</v>
      </c>
      <c r="H2391" t="s">
        <v>55</v>
      </c>
      <c r="I2391" t="s">
        <v>42</v>
      </c>
      <c r="J2391" t="s">
        <v>52</v>
      </c>
      <c r="K2391" s="2">
        <v>4800</v>
      </c>
      <c r="L2391" s="2">
        <v>35000</v>
      </c>
      <c r="M2391">
        <v>60</v>
      </c>
      <c r="N2391" s="3">
        <v>0.30199999999999999</v>
      </c>
      <c r="O2391" t="s">
        <v>16</v>
      </c>
      <c r="Q2391">
        <v>1</v>
      </c>
      <c r="R2391">
        <v>0</v>
      </c>
      <c r="S2391" s="2">
        <v>31500</v>
      </c>
      <c r="T2391" s="4">
        <v>7.6399999999999996E-2</v>
      </c>
      <c r="U2391">
        <v>1</v>
      </c>
      <c r="V2391">
        <v>1</v>
      </c>
      <c r="W2391">
        <v>1</v>
      </c>
    </row>
    <row r="2392" spans="1:23" ht="16.5" x14ac:dyDescent="0.3">
      <c r="A2392" t="s">
        <v>2456</v>
      </c>
      <c r="B2392" s="1">
        <v>45658</v>
      </c>
      <c r="C2392">
        <v>2025</v>
      </c>
      <c r="D2392" t="s">
        <v>24</v>
      </c>
      <c r="E2392" t="s">
        <v>25</v>
      </c>
      <c r="F2392" t="s">
        <v>37</v>
      </c>
      <c r="G2392" t="s">
        <v>45</v>
      </c>
      <c r="H2392" t="s">
        <v>38</v>
      </c>
      <c r="I2392" t="s">
        <v>42</v>
      </c>
      <c r="J2392" t="s">
        <v>46</v>
      </c>
      <c r="K2392" s="2">
        <v>3500</v>
      </c>
      <c r="L2392" s="2">
        <v>17000</v>
      </c>
      <c r="M2392">
        <v>12</v>
      </c>
      <c r="N2392" s="3">
        <v>0.54900000000000004</v>
      </c>
      <c r="O2392" t="s">
        <v>16</v>
      </c>
      <c r="Q2392">
        <v>1</v>
      </c>
      <c r="R2392">
        <v>0</v>
      </c>
      <c r="S2392" s="2">
        <v>17000</v>
      </c>
      <c r="T2392" s="4">
        <v>0.10970000000000001</v>
      </c>
      <c r="U2392">
        <v>1</v>
      </c>
      <c r="V2392">
        <v>1</v>
      </c>
      <c r="W2392">
        <v>1</v>
      </c>
    </row>
    <row r="2393" spans="1:23" ht="16.5" x14ac:dyDescent="0.3">
      <c r="A2393" t="s">
        <v>2457</v>
      </c>
      <c r="B2393" s="1">
        <v>45658</v>
      </c>
      <c r="C2393">
        <v>2025</v>
      </c>
      <c r="D2393" t="s">
        <v>24</v>
      </c>
      <c r="E2393" t="s">
        <v>25</v>
      </c>
      <c r="F2393" t="s">
        <v>50</v>
      </c>
      <c r="G2393" t="s">
        <v>45</v>
      </c>
      <c r="H2393" t="s">
        <v>34</v>
      </c>
      <c r="I2393" t="s">
        <v>39</v>
      </c>
      <c r="J2393" t="s">
        <v>43</v>
      </c>
      <c r="K2393" s="2">
        <v>3500</v>
      </c>
      <c r="L2393" s="2">
        <v>154000</v>
      </c>
      <c r="M2393">
        <v>180</v>
      </c>
      <c r="N2393" s="3">
        <v>0.47599999999999998</v>
      </c>
      <c r="O2393" t="s">
        <v>17</v>
      </c>
      <c r="P2393" t="s">
        <v>31</v>
      </c>
      <c r="Q2393">
        <v>0</v>
      </c>
      <c r="R2393">
        <v>1</v>
      </c>
      <c r="S2393" s="2">
        <v>0</v>
      </c>
      <c r="T2393" s="4"/>
      <c r="U2393">
        <v>5</v>
      </c>
      <c r="V2393">
        <v>1</v>
      </c>
      <c r="W2393">
        <v>1</v>
      </c>
    </row>
    <row r="2394" spans="1:23" ht="16.5" x14ac:dyDescent="0.3">
      <c r="A2394" t="s">
        <v>2458</v>
      </c>
      <c r="B2394" s="1">
        <v>45658</v>
      </c>
      <c r="C2394">
        <v>2025</v>
      </c>
      <c r="D2394" t="s">
        <v>24</v>
      </c>
      <c r="E2394" t="s">
        <v>25</v>
      </c>
      <c r="F2394" t="s">
        <v>41</v>
      </c>
      <c r="G2394" t="s">
        <v>45</v>
      </c>
      <c r="H2394" t="s">
        <v>38</v>
      </c>
      <c r="I2394" t="s">
        <v>29</v>
      </c>
      <c r="J2394" t="s">
        <v>46</v>
      </c>
      <c r="K2394" s="2">
        <v>7350</v>
      </c>
      <c r="L2394" s="2">
        <v>119500</v>
      </c>
      <c r="M2394">
        <v>24</v>
      </c>
      <c r="N2394" s="3">
        <v>0.86699999999999999</v>
      </c>
      <c r="O2394" t="s">
        <v>17</v>
      </c>
      <c r="P2394" t="s">
        <v>60</v>
      </c>
      <c r="Q2394">
        <v>0</v>
      </c>
      <c r="R2394">
        <v>1</v>
      </c>
      <c r="S2394" s="2">
        <v>0</v>
      </c>
      <c r="T2394" s="4"/>
      <c r="U2394">
        <v>6</v>
      </c>
      <c r="V2394">
        <v>1</v>
      </c>
      <c r="W2394">
        <v>1</v>
      </c>
    </row>
    <row r="2395" spans="1:23" ht="16.5" x14ac:dyDescent="0.3">
      <c r="A2395" t="s">
        <v>2459</v>
      </c>
      <c r="B2395" s="1">
        <v>45658</v>
      </c>
      <c r="C2395">
        <v>2025</v>
      </c>
      <c r="D2395" t="s">
        <v>24</v>
      </c>
      <c r="E2395" t="s">
        <v>25</v>
      </c>
      <c r="F2395" t="s">
        <v>41</v>
      </c>
      <c r="G2395" t="s">
        <v>33</v>
      </c>
      <c r="H2395" t="s">
        <v>38</v>
      </c>
      <c r="I2395" t="s">
        <v>39</v>
      </c>
      <c r="J2395" t="s">
        <v>30</v>
      </c>
      <c r="K2395" s="2">
        <v>4150</v>
      </c>
      <c r="L2395" s="2">
        <v>46500</v>
      </c>
      <c r="M2395">
        <v>12</v>
      </c>
      <c r="N2395" s="3">
        <v>1.0960000000000001</v>
      </c>
      <c r="O2395" t="s">
        <v>125</v>
      </c>
      <c r="Q2395">
        <v>0</v>
      </c>
      <c r="R2395">
        <v>0</v>
      </c>
      <c r="S2395" s="2">
        <v>0</v>
      </c>
      <c r="T2395" s="4"/>
      <c r="U2395">
        <v>4</v>
      </c>
      <c r="V2395">
        <v>1</v>
      </c>
      <c r="W2395">
        <v>1</v>
      </c>
    </row>
    <row r="2396" spans="1:23" ht="16.5" x14ac:dyDescent="0.3">
      <c r="A2396" t="s">
        <v>2460</v>
      </c>
      <c r="B2396" s="1">
        <v>45658</v>
      </c>
      <c r="C2396">
        <v>2025</v>
      </c>
      <c r="D2396" t="s">
        <v>24</v>
      </c>
      <c r="E2396" t="s">
        <v>25</v>
      </c>
      <c r="F2396" t="s">
        <v>41</v>
      </c>
      <c r="G2396" t="s">
        <v>51</v>
      </c>
      <c r="H2396" t="s">
        <v>38</v>
      </c>
      <c r="I2396" t="s">
        <v>29</v>
      </c>
      <c r="J2396" t="s">
        <v>35</v>
      </c>
      <c r="K2396" s="2">
        <v>2300</v>
      </c>
      <c r="L2396" s="2">
        <v>83000</v>
      </c>
      <c r="M2396">
        <v>36</v>
      </c>
      <c r="N2396" s="3">
        <v>1.2549999999999999</v>
      </c>
      <c r="O2396" t="s">
        <v>17</v>
      </c>
      <c r="P2396" t="s">
        <v>53</v>
      </c>
      <c r="Q2396">
        <v>0</v>
      </c>
      <c r="R2396">
        <v>1</v>
      </c>
      <c r="S2396" s="2">
        <v>0</v>
      </c>
      <c r="T2396" s="4"/>
      <c r="U2396">
        <v>6</v>
      </c>
      <c r="V2396">
        <v>1</v>
      </c>
      <c r="W2396">
        <v>1</v>
      </c>
    </row>
    <row r="2397" spans="1:23" ht="16.5" x14ac:dyDescent="0.3">
      <c r="A2397" t="s">
        <v>2461</v>
      </c>
      <c r="B2397" s="1">
        <v>45658</v>
      </c>
      <c r="C2397">
        <v>2025</v>
      </c>
      <c r="D2397" t="s">
        <v>24</v>
      </c>
      <c r="E2397" t="s">
        <v>25</v>
      </c>
      <c r="F2397" t="s">
        <v>50</v>
      </c>
      <c r="G2397" t="s">
        <v>33</v>
      </c>
      <c r="H2397" t="s">
        <v>38</v>
      </c>
      <c r="I2397" t="s">
        <v>29</v>
      </c>
      <c r="J2397" t="s">
        <v>35</v>
      </c>
      <c r="K2397" s="2">
        <v>11900</v>
      </c>
      <c r="L2397" s="2">
        <v>334500</v>
      </c>
      <c r="M2397">
        <v>180</v>
      </c>
      <c r="N2397" s="3">
        <v>0.34499999999999997</v>
      </c>
      <c r="O2397" t="s">
        <v>16</v>
      </c>
      <c r="Q2397">
        <v>1</v>
      </c>
      <c r="R2397">
        <v>0</v>
      </c>
      <c r="S2397" s="2">
        <v>334500</v>
      </c>
      <c r="T2397" s="4">
        <v>5.7000000000000002E-2</v>
      </c>
      <c r="U2397">
        <v>4</v>
      </c>
      <c r="V2397">
        <v>1</v>
      </c>
      <c r="W2397">
        <v>1</v>
      </c>
    </row>
    <row r="2398" spans="1:23" ht="16.5" x14ac:dyDescent="0.3">
      <c r="A2398" t="s">
        <v>2462</v>
      </c>
      <c r="B2398" s="1">
        <v>45658</v>
      </c>
      <c r="C2398">
        <v>2025</v>
      </c>
      <c r="D2398" t="s">
        <v>24</v>
      </c>
      <c r="E2398" t="s">
        <v>25</v>
      </c>
      <c r="F2398" t="s">
        <v>41</v>
      </c>
      <c r="G2398" t="s">
        <v>33</v>
      </c>
      <c r="H2398" t="s">
        <v>55</v>
      </c>
      <c r="I2398" t="s">
        <v>39</v>
      </c>
      <c r="J2398" t="s">
        <v>35</v>
      </c>
      <c r="K2398" s="2">
        <v>5500</v>
      </c>
      <c r="L2398" s="2">
        <v>80000</v>
      </c>
      <c r="M2398">
        <v>60</v>
      </c>
      <c r="N2398" s="3">
        <v>0.497</v>
      </c>
      <c r="O2398" t="s">
        <v>16</v>
      </c>
      <c r="Q2398">
        <v>1</v>
      </c>
      <c r="R2398">
        <v>0</v>
      </c>
      <c r="S2398" s="2">
        <v>64000</v>
      </c>
      <c r="T2398" s="4">
        <v>0.10680000000000001</v>
      </c>
      <c r="U2398">
        <v>4</v>
      </c>
      <c r="V2398">
        <v>1</v>
      </c>
      <c r="W2398">
        <v>1</v>
      </c>
    </row>
    <row r="2399" spans="1:23" ht="16.5" x14ac:dyDescent="0.3">
      <c r="A2399" t="s">
        <v>2463</v>
      </c>
      <c r="B2399" s="1">
        <v>45658</v>
      </c>
      <c r="C2399">
        <v>2025</v>
      </c>
      <c r="D2399" t="s">
        <v>24</v>
      </c>
      <c r="E2399" t="s">
        <v>25</v>
      </c>
      <c r="F2399" t="s">
        <v>26</v>
      </c>
      <c r="G2399" t="s">
        <v>33</v>
      </c>
      <c r="H2399" t="s">
        <v>55</v>
      </c>
      <c r="I2399" t="s">
        <v>29</v>
      </c>
      <c r="J2399" t="s">
        <v>43</v>
      </c>
      <c r="K2399" s="2">
        <v>3150</v>
      </c>
      <c r="L2399" s="2">
        <v>48000</v>
      </c>
      <c r="M2399">
        <v>48</v>
      </c>
      <c r="N2399" s="3">
        <v>0.504</v>
      </c>
      <c r="O2399" t="s">
        <v>17</v>
      </c>
      <c r="P2399" t="s">
        <v>31</v>
      </c>
      <c r="Q2399">
        <v>0</v>
      </c>
      <c r="R2399">
        <v>1</v>
      </c>
      <c r="S2399" s="2">
        <v>0</v>
      </c>
      <c r="T2399" s="4"/>
      <c r="U2399">
        <v>2</v>
      </c>
      <c r="V2399">
        <v>1</v>
      </c>
      <c r="W2399">
        <v>1</v>
      </c>
    </row>
    <row r="2400" spans="1:23" ht="16.5" x14ac:dyDescent="0.3">
      <c r="A2400" t="s">
        <v>2464</v>
      </c>
      <c r="B2400" s="1">
        <v>45658</v>
      </c>
      <c r="C2400">
        <v>2025</v>
      </c>
      <c r="D2400" t="s">
        <v>24</v>
      </c>
      <c r="E2400" t="s">
        <v>25</v>
      </c>
      <c r="F2400" t="s">
        <v>50</v>
      </c>
      <c r="G2400" t="s">
        <v>27</v>
      </c>
      <c r="H2400" t="s">
        <v>38</v>
      </c>
      <c r="I2400" t="s">
        <v>29</v>
      </c>
      <c r="J2400" t="s">
        <v>35</v>
      </c>
      <c r="K2400" s="2">
        <v>5450</v>
      </c>
      <c r="L2400" s="2">
        <v>219000</v>
      </c>
      <c r="M2400">
        <v>180</v>
      </c>
      <c r="N2400" s="3">
        <v>0.48899999999999999</v>
      </c>
      <c r="O2400" t="s">
        <v>16</v>
      </c>
      <c r="Q2400">
        <v>1</v>
      </c>
      <c r="R2400">
        <v>0</v>
      </c>
      <c r="S2400" s="2">
        <v>175000</v>
      </c>
      <c r="T2400" s="4">
        <v>5.5100000000000003E-2</v>
      </c>
      <c r="U2400">
        <v>12</v>
      </c>
      <c r="V2400">
        <v>1</v>
      </c>
      <c r="W2400">
        <v>1</v>
      </c>
    </row>
    <row r="2401" spans="1:23" ht="16.5" x14ac:dyDescent="0.3">
      <c r="A2401" t="s">
        <v>2465</v>
      </c>
      <c r="B2401" s="1">
        <v>45658</v>
      </c>
      <c r="C2401">
        <v>2025</v>
      </c>
      <c r="D2401" t="s">
        <v>24</v>
      </c>
      <c r="E2401" t="s">
        <v>25</v>
      </c>
      <c r="F2401" t="s">
        <v>37</v>
      </c>
      <c r="G2401" t="s">
        <v>27</v>
      </c>
      <c r="H2401" t="s">
        <v>38</v>
      </c>
      <c r="I2401" t="s">
        <v>29</v>
      </c>
      <c r="J2401" t="s">
        <v>52</v>
      </c>
      <c r="K2401" s="2">
        <v>8600</v>
      </c>
      <c r="L2401" s="2">
        <v>8500</v>
      </c>
      <c r="M2401">
        <v>12</v>
      </c>
      <c r="N2401" s="3">
        <v>0.28799999999999998</v>
      </c>
      <c r="O2401" t="s">
        <v>17</v>
      </c>
      <c r="P2401" t="s">
        <v>60</v>
      </c>
      <c r="Q2401">
        <v>0</v>
      </c>
      <c r="R2401">
        <v>1</v>
      </c>
      <c r="S2401" s="2">
        <v>0</v>
      </c>
      <c r="T2401" s="4"/>
      <c r="U2401">
        <v>8</v>
      </c>
      <c r="V2401">
        <v>0</v>
      </c>
      <c r="W2401">
        <v>1</v>
      </c>
    </row>
    <row r="2402" spans="1:23" ht="16.5" x14ac:dyDescent="0.3">
      <c r="A2402" t="s">
        <v>2466</v>
      </c>
      <c r="B2402" s="1">
        <v>45658</v>
      </c>
      <c r="C2402">
        <v>2025</v>
      </c>
      <c r="D2402" t="s">
        <v>24</v>
      </c>
      <c r="E2402" t="s">
        <v>25</v>
      </c>
      <c r="F2402" t="s">
        <v>41</v>
      </c>
      <c r="G2402" t="s">
        <v>51</v>
      </c>
      <c r="H2402" t="s">
        <v>38</v>
      </c>
      <c r="I2402" t="s">
        <v>29</v>
      </c>
      <c r="J2402" t="s">
        <v>30</v>
      </c>
      <c r="K2402" s="2">
        <v>4450</v>
      </c>
      <c r="L2402" s="2">
        <v>110500</v>
      </c>
      <c r="M2402">
        <v>60</v>
      </c>
      <c r="N2402" s="3">
        <v>0.67</v>
      </c>
      <c r="O2402" t="s">
        <v>16</v>
      </c>
      <c r="Q2402">
        <v>1</v>
      </c>
      <c r="R2402">
        <v>0</v>
      </c>
      <c r="S2402" s="2">
        <v>88500</v>
      </c>
      <c r="T2402" s="4">
        <v>0.12379999999999999</v>
      </c>
      <c r="U2402">
        <v>14</v>
      </c>
      <c r="V2402">
        <v>0</v>
      </c>
      <c r="W2402">
        <v>1</v>
      </c>
    </row>
    <row r="2403" spans="1:23" ht="16.5" x14ac:dyDescent="0.3">
      <c r="A2403" t="s">
        <v>2467</v>
      </c>
      <c r="B2403" s="1">
        <v>45658</v>
      </c>
      <c r="C2403">
        <v>2025</v>
      </c>
      <c r="D2403" t="s">
        <v>24</v>
      </c>
      <c r="E2403" t="s">
        <v>25</v>
      </c>
      <c r="F2403" t="s">
        <v>37</v>
      </c>
      <c r="G2403" t="s">
        <v>45</v>
      </c>
      <c r="H2403" t="s">
        <v>55</v>
      </c>
      <c r="I2403" t="s">
        <v>39</v>
      </c>
      <c r="J2403" t="s">
        <v>52</v>
      </c>
      <c r="K2403" s="2">
        <v>6000</v>
      </c>
      <c r="L2403" s="2">
        <v>9500</v>
      </c>
      <c r="M2403">
        <v>12</v>
      </c>
      <c r="N2403" s="3">
        <v>0.33700000000000002</v>
      </c>
      <c r="O2403" t="s">
        <v>16</v>
      </c>
      <c r="Q2403">
        <v>1</v>
      </c>
      <c r="R2403">
        <v>0</v>
      </c>
      <c r="S2403" s="2">
        <v>9500</v>
      </c>
      <c r="T2403" s="4">
        <v>0.11840000000000001</v>
      </c>
      <c r="U2403">
        <v>2</v>
      </c>
      <c r="V2403">
        <v>1</v>
      </c>
      <c r="W2403">
        <v>1</v>
      </c>
    </row>
    <row r="2404" spans="1:23" ht="16.5" x14ac:dyDescent="0.3">
      <c r="A2404" t="s">
        <v>2468</v>
      </c>
      <c r="B2404" s="1">
        <v>45659</v>
      </c>
      <c r="C2404">
        <v>2025</v>
      </c>
      <c r="D2404" t="s">
        <v>24</v>
      </c>
      <c r="E2404" t="s">
        <v>25</v>
      </c>
      <c r="F2404" t="s">
        <v>50</v>
      </c>
      <c r="G2404" t="s">
        <v>51</v>
      </c>
      <c r="H2404" t="s">
        <v>55</v>
      </c>
      <c r="I2404" t="s">
        <v>29</v>
      </c>
      <c r="J2404" t="s">
        <v>52</v>
      </c>
      <c r="K2404" s="2">
        <v>5500</v>
      </c>
      <c r="L2404" s="2">
        <v>130000</v>
      </c>
      <c r="M2404">
        <v>300</v>
      </c>
      <c r="N2404" s="3">
        <v>0.374</v>
      </c>
      <c r="O2404" t="s">
        <v>16</v>
      </c>
      <c r="Q2404">
        <v>1</v>
      </c>
      <c r="R2404">
        <v>0</v>
      </c>
      <c r="S2404" s="2">
        <v>130000</v>
      </c>
      <c r="T2404" s="4">
        <v>4.4999999999999998E-2</v>
      </c>
      <c r="U2404">
        <v>20</v>
      </c>
      <c r="V2404">
        <v>0</v>
      </c>
      <c r="W2404">
        <v>1</v>
      </c>
    </row>
    <row r="2405" spans="1:23" ht="16.5" x14ac:dyDescent="0.3">
      <c r="A2405" t="s">
        <v>2469</v>
      </c>
      <c r="B2405" s="1">
        <v>45659</v>
      </c>
      <c r="C2405">
        <v>2025</v>
      </c>
      <c r="D2405" t="s">
        <v>24</v>
      </c>
      <c r="E2405" t="s">
        <v>25</v>
      </c>
      <c r="F2405" t="s">
        <v>26</v>
      </c>
      <c r="G2405" t="s">
        <v>51</v>
      </c>
      <c r="H2405" t="s">
        <v>38</v>
      </c>
      <c r="I2405" t="s">
        <v>29</v>
      </c>
      <c r="J2405" t="s">
        <v>43</v>
      </c>
      <c r="K2405" s="2">
        <v>5700</v>
      </c>
      <c r="L2405" s="2">
        <v>43500</v>
      </c>
      <c r="M2405">
        <v>60</v>
      </c>
      <c r="N2405" s="3">
        <v>0.29099999999999998</v>
      </c>
      <c r="O2405" t="s">
        <v>17</v>
      </c>
      <c r="P2405" t="s">
        <v>65</v>
      </c>
      <c r="Q2405">
        <v>0</v>
      </c>
      <c r="R2405">
        <v>1</v>
      </c>
      <c r="S2405" s="2">
        <v>0</v>
      </c>
      <c r="T2405" s="4"/>
      <c r="U2405">
        <v>6</v>
      </c>
      <c r="V2405">
        <v>0</v>
      </c>
      <c r="W2405">
        <v>1</v>
      </c>
    </row>
    <row r="2406" spans="1:23" ht="16.5" x14ac:dyDescent="0.3">
      <c r="A2406" t="s">
        <v>2470</v>
      </c>
      <c r="B2406" s="1">
        <v>45659</v>
      </c>
      <c r="C2406">
        <v>2025</v>
      </c>
      <c r="D2406" t="s">
        <v>24</v>
      </c>
      <c r="E2406" t="s">
        <v>25</v>
      </c>
      <c r="F2406" t="s">
        <v>37</v>
      </c>
      <c r="G2406" t="s">
        <v>33</v>
      </c>
      <c r="H2406" t="s">
        <v>28</v>
      </c>
      <c r="I2406" t="s">
        <v>42</v>
      </c>
      <c r="J2406" t="s">
        <v>46</v>
      </c>
      <c r="K2406" s="2">
        <v>9800</v>
      </c>
      <c r="L2406" s="2">
        <v>8000</v>
      </c>
      <c r="M2406">
        <v>12</v>
      </c>
      <c r="N2406" s="3">
        <v>0.14599999999999999</v>
      </c>
      <c r="O2406" t="s">
        <v>16</v>
      </c>
      <c r="Q2406">
        <v>1</v>
      </c>
      <c r="R2406">
        <v>0</v>
      </c>
      <c r="S2406" s="2">
        <v>7000</v>
      </c>
      <c r="T2406" s="4">
        <v>0.10489999999999999</v>
      </c>
      <c r="U2406">
        <v>1</v>
      </c>
      <c r="V2406">
        <v>1</v>
      </c>
      <c r="W2406">
        <v>1</v>
      </c>
    </row>
    <row r="2407" spans="1:23" ht="16.5" x14ac:dyDescent="0.3">
      <c r="A2407" t="s">
        <v>2471</v>
      </c>
      <c r="B2407" s="1">
        <v>45659</v>
      </c>
      <c r="C2407">
        <v>2025</v>
      </c>
      <c r="D2407" t="s">
        <v>24</v>
      </c>
      <c r="E2407" t="s">
        <v>25</v>
      </c>
      <c r="F2407" t="s">
        <v>26</v>
      </c>
      <c r="G2407" t="s">
        <v>45</v>
      </c>
      <c r="H2407" t="s">
        <v>34</v>
      </c>
      <c r="I2407" t="s">
        <v>39</v>
      </c>
      <c r="J2407" t="s">
        <v>35</v>
      </c>
      <c r="K2407" s="2">
        <v>4300</v>
      </c>
      <c r="L2407" s="2">
        <v>41500</v>
      </c>
      <c r="M2407">
        <v>60</v>
      </c>
      <c r="N2407" s="3">
        <v>0.248</v>
      </c>
      <c r="O2407" t="s">
        <v>16</v>
      </c>
      <c r="Q2407">
        <v>1</v>
      </c>
      <c r="R2407">
        <v>0</v>
      </c>
      <c r="S2407" s="2">
        <v>33000</v>
      </c>
      <c r="T2407" s="4">
        <v>8.3900000000000002E-2</v>
      </c>
      <c r="U2407">
        <v>2</v>
      </c>
      <c r="V2407">
        <v>1</v>
      </c>
      <c r="W2407">
        <v>1</v>
      </c>
    </row>
    <row r="2408" spans="1:23" ht="16.5" x14ac:dyDescent="0.3">
      <c r="A2408" t="s">
        <v>2472</v>
      </c>
      <c r="B2408" s="1">
        <v>45659</v>
      </c>
      <c r="C2408">
        <v>2025</v>
      </c>
      <c r="D2408" t="s">
        <v>24</v>
      </c>
      <c r="E2408" t="s">
        <v>25</v>
      </c>
      <c r="F2408" t="s">
        <v>37</v>
      </c>
      <c r="G2408" t="s">
        <v>51</v>
      </c>
      <c r="H2408" t="s">
        <v>55</v>
      </c>
      <c r="I2408" t="s">
        <v>29</v>
      </c>
      <c r="J2408" t="s">
        <v>43</v>
      </c>
      <c r="K2408" s="2">
        <v>5500</v>
      </c>
      <c r="L2408" s="2">
        <v>9000</v>
      </c>
      <c r="M2408">
        <v>60</v>
      </c>
      <c r="N2408" s="3">
        <v>0.13700000000000001</v>
      </c>
      <c r="O2408" t="s">
        <v>17</v>
      </c>
      <c r="P2408" t="s">
        <v>31</v>
      </c>
      <c r="Q2408">
        <v>0</v>
      </c>
      <c r="R2408">
        <v>1</v>
      </c>
      <c r="S2408" s="2">
        <v>0</v>
      </c>
      <c r="T2408" s="4"/>
      <c r="U2408">
        <v>3</v>
      </c>
      <c r="V2408">
        <v>1</v>
      </c>
      <c r="W2408">
        <v>1</v>
      </c>
    </row>
    <row r="2409" spans="1:23" ht="16.5" x14ac:dyDescent="0.3">
      <c r="A2409" t="s">
        <v>2473</v>
      </c>
      <c r="B2409" s="1">
        <v>45659</v>
      </c>
      <c r="C2409">
        <v>2025</v>
      </c>
      <c r="D2409" t="s">
        <v>24</v>
      </c>
      <c r="E2409" t="s">
        <v>25</v>
      </c>
      <c r="F2409" t="s">
        <v>41</v>
      </c>
      <c r="G2409" t="s">
        <v>51</v>
      </c>
      <c r="H2409" t="s">
        <v>34</v>
      </c>
      <c r="I2409" t="s">
        <v>29</v>
      </c>
      <c r="J2409" t="s">
        <v>35</v>
      </c>
      <c r="K2409" s="2">
        <v>3500</v>
      </c>
      <c r="L2409" s="2">
        <v>124000</v>
      </c>
      <c r="M2409">
        <v>24</v>
      </c>
      <c r="N2409" s="3">
        <v>1.7969999999999999</v>
      </c>
      <c r="O2409" t="s">
        <v>17</v>
      </c>
      <c r="P2409" t="s">
        <v>53</v>
      </c>
      <c r="Q2409">
        <v>0</v>
      </c>
      <c r="R2409">
        <v>1</v>
      </c>
      <c r="S2409" s="2">
        <v>0</v>
      </c>
      <c r="T2409" s="4"/>
      <c r="U2409">
        <v>11</v>
      </c>
      <c r="V2409">
        <v>0</v>
      </c>
      <c r="W2409">
        <v>1</v>
      </c>
    </row>
    <row r="2410" spans="1:23" ht="16.5" x14ac:dyDescent="0.3">
      <c r="A2410" t="s">
        <v>2474</v>
      </c>
      <c r="B2410" s="1">
        <v>45659</v>
      </c>
      <c r="C2410">
        <v>2025</v>
      </c>
      <c r="D2410" t="s">
        <v>24</v>
      </c>
      <c r="E2410" t="s">
        <v>25</v>
      </c>
      <c r="F2410" t="s">
        <v>37</v>
      </c>
      <c r="G2410" t="s">
        <v>45</v>
      </c>
      <c r="H2410" t="s">
        <v>34</v>
      </c>
      <c r="I2410" t="s">
        <v>29</v>
      </c>
      <c r="J2410" t="s">
        <v>52</v>
      </c>
      <c r="K2410" s="2">
        <v>5800</v>
      </c>
      <c r="L2410" s="2">
        <v>10500</v>
      </c>
      <c r="M2410">
        <v>60</v>
      </c>
      <c r="N2410" s="3">
        <v>0.18099999999999999</v>
      </c>
      <c r="O2410" t="s">
        <v>16</v>
      </c>
      <c r="Q2410">
        <v>1</v>
      </c>
      <c r="R2410">
        <v>0</v>
      </c>
      <c r="S2410" s="2">
        <v>10500</v>
      </c>
      <c r="T2410" s="4">
        <v>0.11210000000000001</v>
      </c>
      <c r="U2410">
        <v>2</v>
      </c>
      <c r="V2410">
        <v>1</v>
      </c>
      <c r="W2410">
        <v>1</v>
      </c>
    </row>
    <row r="2411" spans="1:23" ht="16.5" x14ac:dyDescent="0.3">
      <c r="A2411" t="s">
        <v>2475</v>
      </c>
      <c r="B2411" s="1">
        <v>45659</v>
      </c>
      <c r="C2411">
        <v>2025</v>
      </c>
      <c r="D2411" t="s">
        <v>24</v>
      </c>
      <c r="E2411" t="s">
        <v>25</v>
      </c>
      <c r="F2411" t="s">
        <v>26</v>
      </c>
      <c r="G2411" t="s">
        <v>45</v>
      </c>
      <c r="H2411" t="s">
        <v>55</v>
      </c>
      <c r="I2411" t="s">
        <v>29</v>
      </c>
      <c r="J2411" t="s">
        <v>30</v>
      </c>
      <c r="K2411" s="2">
        <v>3100</v>
      </c>
      <c r="L2411" s="2">
        <v>28500</v>
      </c>
      <c r="M2411">
        <v>36</v>
      </c>
      <c r="N2411" s="3">
        <v>0.42499999999999999</v>
      </c>
      <c r="O2411" t="s">
        <v>16</v>
      </c>
      <c r="Q2411">
        <v>1</v>
      </c>
      <c r="R2411">
        <v>0</v>
      </c>
      <c r="S2411" s="2">
        <v>23000</v>
      </c>
      <c r="T2411" s="4">
        <v>9.6299999999999997E-2</v>
      </c>
      <c r="U2411">
        <v>3</v>
      </c>
      <c r="V2411">
        <v>1</v>
      </c>
      <c r="W2411">
        <v>1</v>
      </c>
    </row>
    <row r="2412" spans="1:23" ht="16.5" x14ac:dyDescent="0.3">
      <c r="A2412" t="s">
        <v>2476</v>
      </c>
      <c r="B2412" s="1">
        <v>45659</v>
      </c>
      <c r="C2412">
        <v>2025</v>
      </c>
      <c r="D2412" t="s">
        <v>24</v>
      </c>
      <c r="E2412" t="s">
        <v>25</v>
      </c>
      <c r="F2412" t="s">
        <v>26</v>
      </c>
      <c r="G2412" t="s">
        <v>45</v>
      </c>
      <c r="H2412" t="s">
        <v>34</v>
      </c>
      <c r="I2412" t="s">
        <v>39</v>
      </c>
      <c r="J2412" t="s">
        <v>52</v>
      </c>
      <c r="K2412" s="2">
        <v>10050</v>
      </c>
      <c r="L2412" s="2">
        <v>47000</v>
      </c>
      <c r="M2412">
        <v>60</v>
      </c>
      <c r="N2412" s="3">
        <v>0.23200000000000001</v>
      </c>
      <c r="O2412" t="s">
        <v>16</v>
      </c>
      <c r="Q2412">
        <v>1</v>
      </c>
      <c r="R2412">
        <v>0</v>
      </c>
      <c r="S2412" s="2">
        <v>42500</v>
      </c>
      <c r="T2412" s="4">
        <v>7.7899999999999997E-2</v>
      </c>
      <c r="U2412">
        <v>4</v>
      </c>
      <c r="V2412">
        <v>1</v>
      </c>
      <c r="W2412">
        <v>1</v>
      </c>
    </row>
    <row r="2413" spans="1:23" ht="16.5" x14ac:dyDescent="0.3">
      <c r="A2413" t="s">
        <v>2477</v>
      </c>
      <c r="B2413" s="1">
        <v>45659</v>
      </c>
      <c r="C2413">
        <v>2025</v>
      </c>
      <c r="D2413" t="s">
        <v>24</v>
      </c>
      <c r="E2413" t="s">
        <v>25</v>
      </c>
      <c r="F2413" t="s">
        <v>37</v>
      </c>
      <c r="G2413" t="s">
        <v>45</v>
      </c>
      <c r="H2413" t="s">
        <v>38</v>
      </c>
      <c r="I2413" t="s">
        <v>39</v>
      </c>
      <c r="J2413" t="s">
        <v>35</v>
      </c>
      <c r="K2413" s="2">
        <v>6550</v>
      </c>
      <c r="L2413" s="2">
        <v>9500</v>
      </c>
      <c r="M2413">
        <v>12</v>
      </c>
      <c r="N2413" s="3">
        <v>0.2</v>
      </c>
      <c r="O2413" t="s">
        <v>17</v>
      </c>
      <c r="P2413" t="s">
        <v>48</v>
      </c>
      <c r="Q2413">
        <v>0</v>
      </c>
      <c r="R2413">
        <v>1</v>
      </c>
      <c r="S2413" s="2">
        <v>0</v>
      </c>
      <c r="T2413" s="4"/>
      <c r="U2413">
        <v>2</v>
      </c>
      <c r="V2413">
        <v>1</v>
      </c>
      <c r="W2413">
        <v>1</v>
      </c>
    </row>
    <row r="2414" spans="1:23" ht="16.5" x14ac:dyDescent="0.3">
      <c r="A2414" t="s">
        <v>2478</v>
      </c>
      <c r="B2414" s="1">
        <v>45659</v>
      </c>
      <c r="C2414">
        <v>2025</v>
      </c>
      <c r="D2414" t="s">
        <v>24</v>
      </c>
      <c r="E2414" t="s">
        <v>25</v>
      </c>
      <c r="F2414" t="s">
        <v>37</v>
      </c>
      <c r="G2414" t="s">
        <v>51</v>
      </c>
      <c r="H2414" t="s">
        <v>38</v>
      </c>
      <c r="I2414" t="s">
        <v>29</v>
      </c>
      <c r="J2414" t="s">
        <v>46</v>
      </c>
      <c r="K2414" s="2">
        <v>3800</v>
      </c>
      <c r="L2414" s="2">
        <v>23000</v>
      </c>
      <c r="M2414">
        <v>60</v>
      </c>
      <c r="N2414" s="3">
        <v>0.32600000000000001</v>
      </c>
      <c r="O2414" t="s">
        <v>16</v>
      </c>
      <c r="Q2414">
        <v>1</v>
      </c>
      <c r="R2414">
        <v>0</v>
      </c>
      <c r="S2414" s="2">
        <v>23000</v>
      </c>
      <c r="T2414" s="4">
        <v>0.1137</v>
      </c>
      <c r="U2414">
        <v>6</v>
      </c>
      <c r="V2414">
        <v>0</v>
      </c>
      <c r="W2414">
        <v>1</v>
      </c>
    </row>
    <row r="2415" spans="1:23" ht="16.5" x14ac:dyDescent="0.3">
      <c r="A2415" t="s">
        <v>2479</v>
      </c>
      <c r="B2415" s="1">
        <v>45659</v>
      </c>
      <c r="C2415">
        <v>2025</v>
      </c>
      <c r="D2415" t="s">
        <v>24</v>
      </c>
      <c r="E2415" t="s">
        <v>25</v>
      </c>
      <c r="F2415" t="s">
        <v>37</v>
      </c>
      <c r="G2415" t="s">
        <v>33</v>
      </c>
      <c r="H2415" t="s">
        <v>28</v>
      </c>
      <c r="I2415" t="s">
        <v>42</v>
      </c>
      <c r="J2415" t="s">
        <v>35</v>
      </c>
      <c r="K2415" s="2">
        <v>6800</v>
      </c>
      <c r="L2415" s="2">
        <v>14000</v>
      </c>
      <c r="M2415">
        <v>60</v>
      </c>
      <c r="N2415" s="3">
        <v>0.224</v>
      </c>
      <c r="O2415" t="s">
        <v>125</v>
      </c>
      <c r="Q2415">
        <v>0</v>
      </c>
      <c r="R2415">
        <v>0</v>
      </c>
      <c r="S2415" s="2">
        <v>0</v>
      </c>
      <c r="T2415" s="4"/>
      <c r="U2415">
        <v>1</v>
      </c>
      <c r="V2415">
        <v>1</v>
      </c>
      <c r="W2415">
        <v>1</v>
      </c>
    </row>
    <row r="2416" spans="1:23" ht="16.5" x14ac:dyDescent="0.3">
      <c r="A2416" t="s">
        <v>2480</v>
      </c>
      <c r="B2416" s="1">
        <v>45659</v>
      </c>
      <c r="C2416">
        <v>2025</v>
      </c>
      <c r="D2416" t="s">
        <v>24</v>
      </c>
      <c r="E2416" t="s">
        <v>25</v>
      </c>
      <c r="F2416" t="s">
        <v>41</v>
      </c>
      <c r="G2416" t="s">
        <v>51</v>
      </c>
      <c r="H2416" t="s">
        <v>38</v>
      </c>
      <c r="I2416" t="s">
        <v>39</v>
      </c>
      <c r="J2416" t="s">
        <v>30</v>
      </c>
      <c r="K2416" s="2">
        <v>3550</v>
      </c>
      <c r="L2416" s="2">
        <v>52000</v>
      </c>
      <c r="M2416">
        <v>36</v>
      </c>
      <c r="N2416" s="3">
        <v>0.67</v>
      </c>
      <c r="O2416" t="s">
        <v>17</v>
      </c>
      <c r="P2416" t="s">
        <v>31</v>
      </c>
      <c r="Q2416">
        <v>0</v>
      </c>
      <c r="R2416">
        <v>1</v>
      </c>
      <c r="S2416" s="2">
        <v>0</v>
      </c>
      <c r="T2416" s="4"/>
      <c r="U2416">
        <v>11</v>
      </c>
      <c r="V2416">
        <v>0</v>
      </c>
      <c r="W2416">
        <v>1</v>
      </c>
    </row>
    <row r="2417" spans="1:23" ht="16.5" x14ac:dyDescent="0.3">
      <c r="A2417" t="s">
        <v>2481</v>
      </c>
      <c r="B2417" s="1">
        <v>45659</v>
      </c>
      <c r="C2417">
        <v>2025</v>
      </c>
      <c r="D2417" t="s">
        <v>24</v>
      </c>
      <c r="E2417" t="s">
        <v>25</v>
      </c>
      <c r="F2417" t="s">
        <v>41</v>
      </c>
      <c r="G2417" t="s">
        <v>51</v>
      </c>
      <c r="H2417" t="s">
        <v>34</v>
      </c>
      <c r="I2417" t="s">
        <v>39</v>
      </c>
      <c r="J2417" t="s">
        <v>30</v>
      </c>
      <c r="K2417" s="2">
        <v>7700</v>
      </c>
      <c r="L2417" s="2">
        <v>81500</v>
      </c>
      <c r="M2417">
        <v>12</v>
      </c>
      <c r="N2417" s="3">
        <v>1.075</v>
      </c>
      <c r="O2417" t="s">
        <v>16</v>
      </c>
      <c r="Q2417">
        <v>1</v>
      </c>
      <c r="R2417">
        <v>0</v>
      </c>
      <c r="S2417" s="2">
        <v>65000</v>
      </c>
      <c r="T2417" s="4">
        <v>0.12429999999999999</v>
      </c>
      <c r="U2417">
        <v>15</v>
      </c>
      <c r="V2417">
        <v>0</v>
      </c>
      <c r="W2417">
        <v>1</v>
      </c>
    </row>
    <row r="2418" spans="1:23" ht="16.5" x14ac:dyDescent="0.3">
      <c r="A2418" t="s">
        <v>2482</v>
      </c>
      <c r="B2418" s="1">
        <v>45660</v>
      </c>
      <c r="C2418">
        <v>2025</v>
      </c>
      <c r="D2418" t="s">
        <v>24</v>
      </c>
      <c r="E2418" t="s">
        <v>25</v>
      </c>
      <c r="F2418" t="s">
        <v>37</v>
      </c>
      <c r="G2418" t="s">
        <v>33</v>
      </c>
      <c r="H2418" t="s">
        <v>38</v>
      </c>
      <c r="I2418" t="s">
        <v>39</v>
      </c>
      <c r="J2418" t="s">
        <v>35</v>
      </c>
      <c r="K2418" s="2">
        <v>6700</v>
      </c>
      <c r="L2418" s="2">
        <v>11500</v>
      </c>
      <c r="M2418">
        <v>48</v>
      </c>
      <c r="N2418" s="3">
        <v>0.186</v>
      </c>
      <c r="O2418" t="s">
        <v>16</v>
      </c>
      <c r="Q2418">
        <v>1</v>
      </c>
      <c r="R2418">
        <v>0</v>
      </c>
      <c r="S2418" s="2">
        <v>11500</v>
      </c>
      <c r="T2418" s="4">
        <v>0.1215</v>
      </c>
      <c r="U2418">
        <v>2</v>
      </c>
      <c r="V2418">
        <v>1</v>
      </c>
      <c r="W2418">
        <v>1</v>
      </c>
    </row>
    <row r="2419" spans="1:23" ht="16.5" x14ac:dyDescent="0.3">
      <c r="A2419" t="s">
        <v>2483</v>
      </c>
      <c r="B2419" s="1">
        <v>45660</v>
      </c>
      <c r="C2419">
        <v>2025</v>
      </c>
      <c r="D2419" t="s">
        <v>24</v>
      </c>
      <c r="E2419" t="s">
        <v>25</v>
      </c>
      <c r="F2419" t="s">
        <v>26</v>
      </c>
      <c r="G2419" t="s">
        <v>51</v>
      </c>
      <c r="H2419" t="s">
        <v>64</v>
      </c>
      <c r="I2419" t="s">
        <v>29</v>
      </c>
      <c r="J2419" t="s">
        <v>35</v>
      </c>
      <c r="K2419" s="2">
        <v>10250</v>
      </c>
      <c r="L2419" s="2">
        <v>22000</v>
      </c>
      <c r="M2419">
        <v>36</v>
      </c>
      <c r="N2419" s="3">
        <v>0.23499999999999999</v>
      </c>
      <c r="O2419" t="s">
        <v>16</v>
      </c>
      <c r="Q2419">
        <v>1</v>
      </c>
      <c r="R2419">
        <v>0</v>
      </c>
      <c r="S2419" s="2">
        <v>20000</v>
      </c>
      <c r="T2419" s="4">
        <v>8.3400000000000002E-2</v>
      </c>
      <c r="U2419">
        <v>6</v>
      </c>
      <c r="V2419">
        <v>0</v>
      </c>
      <c r="W2419">
        <v>1</v>
      </c>
    </row>
    <row r="2420" spans="1:23" ht="16.5" x14ac:dyDescent="0.3">
      <c r="A2420" t="s">
        <v>2484</v>
      </c>
      <c r="B2420" s="1">
        <v>45660</v>
      </c>
      <c r="C2420">
        <v>2025</v>
      </c>
      <c r="D2420" t="s">
        <v>24</v>
      </c>
      <c r="E2420" t="s">
        <v>25</v>
      </c>
      <c r="F2420" t="s">
        <v>50</v>
      </c>
      <c r="G2420" t="s">
        <v>51</v>
      </c>
      <c r="H2420" t="s">
        <v>55</v>
      </c>
      <c r="I2420" t="s">
        <v>39</v>
      </c>
      <c r="J2420" t="s">
        <v>52</v>
      </c>
      <c r="K2420" s="2">
        <v>3550</v>
      </c>
      <c r="L2420" s="2">
        <v>322500</v>
      </c>
      <c r="M2420">
        <v>300</v>
      </c>
      <c r="N2420" s="3">
        <v>0.65100000000000002</v>
      </c>
      <c r="O2420" t="s">
        <v>16</v>
      </c>
      <c r="Q2420">
        <v>1</v>
      </c>
      <c r="R2420">
        <v>0</v>
      </c>
      <c r="S2420" s="2">
        <v>322500</v>
      </c>
      <c r="T2420" s="4">
        <v>5.1200000000000002E-2</v>
      </c>
      <c r="U2420">
        <v>14</v>
      </c>
      <c r="V2420">
        <v>1</v>
      </c>
      <c r="W2420">
        <v>1</v>
      </c>
    </row>
    <row r="2421" spans="1:23" ht="16.5" x14ac:dyDescent="0.3">
      <c r="A2421" t="s">
        <v>2485</v>
      </c>
      <c r="B2421" s="1">
        <v>45660</v>
      </c>
      <c r="C2421">
        <v>2025</v>
      </c>
      <c r="D2421" t="s">
        <v>24</v>
      </c>
      <c r="E2421" t="s">
        <v>25</v>
      </c>
      <c r="F2421" t="s">
        <v>37</v>
      </c>
      <c r="G2421" t="s">
        <v>33</v>
      </c>
      <c r="H2421" t="s">
        <v>55</v>
      </c>
      <c r="I2421" t="s">
        <v>39</v>
      </c>
      <c r="J2421" t="s">
        <v>43</v>
      </c>
      <c r="K2421" s="2">
        <v>7050</v>
      </c>
      <c r="L2421" s="2">
        <v>10500</v>
      </c>
      <c r="M2421">
        <v>36</v>
      </c>
      <c r="N2421" s="3">
        <v>0.25800000000000001</v>
      </c>
      <c r="O2421" t="s">
        <v>17</v>
      </c>
      <c r="P2421" t="s">
        <v>65</v>
      </c>
      <c r="Q2421">
        <v>0</v>
      </c>
      <c r="R2421">
        <v>1</v>
      </c>
      <c r="S2421" s="2">
        <v>0</v>
      </c>
      <c r="T2421" s="4"/>
      <c r="U2421">
        <v>1</v>
      </c>
      <c r="V2421">
        <v>1</v>
      </c>
      <c r="W2421">
        <v>1</v>
      </c>
    </row>
    <row r="2422" spans="1:23" ht="16.5" x14ac:dyDescent="0.3">
      <c r="A2422" t="s">
        <v>2486</v>
      </c>
      <c r="B2422" s="1">
        <v>45660</v>
      </c>
      <c r="C2422">
        <v>2025</v>
      </c>
      <c r="D2422" t="s">
        <v>24</v>
      </c>
      <c r="E2422" t="s">
        <v>25</v>
      </c>
      <c r="F2422" t="s">
        <v>50</v>
      </c>
      <c r="G2422" t="s">
        <v>51</v>
      </c>
      <c r="H2422" t="s">
        <v>34</v>
      </c>
      <c r="I2422" t="s">
        <v>29</v>
      </c>
      <c r="J2422" t="s">
        <v>52</v>
      </c>
      <c r="K2422" s="2">
        <v>7900</v>
      </c>
      <c r="L2422" s="2">
        <v>339500</v>
      </c>
      <c r="M2422">
        <v>240</v>
      </c>
      <c r="N2422" s="3">
        <v>0.35399999999999998</v>
      </c>
      <c r="O2422" t="s">
        <v>16</v>
      </c>
      <c r="Q2422">
        <v>1</v>
      </c>
      <c r="R2422">
        <v>0</v>
      </c>
      <c r="S2422" s="2">
        <v>271500</v>
      </c>
      <c r="T2422" s="4">
        <v>4.5999999999999999E-2</v>
      </c>
      <c r="U2422">
        <v>11</v>
      </c>
      <c r="V2422">
        <v>1</v>
      </c>
      <c r="W2422">
        <v>1</v>
      </c>
    </row>
    <row r="2423" spans="1:23" ht="16.5" x14ac:dyDescent="0.3">
      <c r="A2423" t="s">
        <v>2487</v>
      </c>
      <c r="B2423" s="1">
        <v>45660</v>
      </c>
      <c r="C2423">
        <v>2025</v>
      </c>
      <c r="D2423" t="s">
        <v>24</v>
      </c>
      <c r="E2423" t="s">
        <v>25</v>
      </c>
      <c r="F2423" t="s">
        <v>37</v>
      </c>
      <c r="G2423" t="s">
        <v>33</v>
      </c>
      <c r="H2423" t="s">
        <v>55</v>
      </c>
      <c r="I2423" t="s">
        <v>39</v>
      </c>
      <c r="J2423" t="s">
        <v>43</v>
      </c>
      <c r="K2423" s="2">
        <v>10200</v>
      </c>
      <c r="L2423" s="2">
        <v>11000</v>
      </c>
      <c r="M2423">
        <v>24</v>
      </c>
      <c r="N2423" s="3">
        <v>0.14099999999999999</v>
      </c>
      <c r="O2423" t="s">
        <v>16</v>
      </c>
      <c r="Q2423">
        <v>1</v>
      </c>
      <c r="R2423">
        <v>0</v>
      </c>
      <c r="S2423" s="2">
        <v>11000</v>
      </c>
      <c r="T2423" s="4">
        <v>0.15909999999999999</v>
      </c>
      <c r="U2423">
        <v>1</v>
      </c>
      <c r="V2423">
        <v>1</v>
      </c>
      <c r="W2423">
        <v>1</v>
      </c>
    </row>
    <row r="2424" spans="1:23" ht="16.5" x14ac:dyDescent="0.3">
      <c r="A2424" t="s">
        <v>2488</v>
      </c>
      <c r="B2424" s="1">
        <v>45660</v>
      </c>
      <c r="C2424">
        <v>2025</v>
      </c>
      <c r="D2424" t="s">
        <v>24</v>
      </c>
      <c r="E2424" t="s">
        <v>25</v>
      </c>
      <c r="F2424" t="s">
        <v>37</v>
      </c>
      <c r="G2424" t="s">
        <v>45</v>
      </c>
      <c r="H2424" t="s">
        <v>38</v>
      </c>
      <c r="I2424" t="s">
        <v>42</v>
      </c>
      <c r="J2424" t="s">
        <v>52</v>
      </c>
      <c r="K2424" s="2">
        <v>8050</v>
      </c>
      <c r="L2424" s="2">
        <v>12500</v>
      </c>
      <c r="M2424">
        <v>24</v>
      </c>
      <c r="N2424" s="3">
        <v>0.17199999999999999</v>
      </c>
      <c r="O2424" t="s">
        <v>17</v>
      </c>
      <c r="P2424" t="s">
        <v>48</v>
      </c>
      <c r="Q2424">
        <v>0</v>
      </c>
      <c r="R2424">
        <v>1</v>
      </c>
      <c r="S2424" s="2">
        <v>0</v>
      </c>
      <c r="T2424" s="4"/>
      <c r="U2424">
        <v>3</v>
      </c>
      <c r="V2424">
        <v>1</v>
      </c>
      <c r="W2424">
        <v>1</v>
      </c>
    </row>
    <row r="2425" spans="1:23" ht="16.5" x14ac:dyDescent="0.3">
      <c r="A2425" t="s">
        <v>2489</v>
      </c>
      <c r="B2425" s="1">
        <v>45660</v>
      </c>
      <c r="C2425">
        <v>2025</v>
      </c>
      <c r="D2425" t="s">
        <v>24</v>
      </c>
      <c r="E2425" t="s">
        <v>25</v>
      </c>
      <c r="F2425" t="s">
        <v>26</v>
      </c>
      <c r="G2425" t="s">
        <v>33</v>
      </c>
      <c r="H2425" t="s">
        <v>34</v>
      </c>
      <c r="I2425" t="s">
        <v>39</v>
      </c>
      <c r="J2425" t="s">
        <v>46</v>
      </c>
      <c r="K2425" s="2">
        <v>5250</v>
      </c>
      <c r="L2425" s="2">
        <v>53000</v>
      </c>
      <c r="M2425">
        <v>36</v>
      </c>
      <c r="N2425" s="3">
        <v>0.52</v>
      </c>
      <c r="O2425" t="s">
        <v>17</v>
      </c>
      <c r="P2425" t="s">
        <v>53</v>
      </c>
      <c r="Q2425">
        <v>0</v>
      </c>
      <c r="R2425">
        <v>1</v>
      </c>
      <c r="S2425" s="2">
        <v>0</v>
      </c>
      <c r="T2425" s="4"/>
      <c r="U2425">
        <v>1</v>
      </c>
      <c r="V2425">
        <v>1</v>
      </c>
      <c r="W2425">
        <v>1</v>
      </c>
    </row>
    <row r="2426" spans="1:23" ht="16.5" x14ac:dyDescent="0.3">
      <c r="A2426" t="s">
        <v>2490</v>
      </c>
      <c r="B2426" s="1">
        <v>45660</v>
      </c>
      <c r="C2426">
        <v>2025</v>
      </c>
      <c r="D2426" t="s">
        <v>24</v>
      </c>
      <c r="E2426" t="s">
        <v>25</v>
      </c>
      <c r="F2426" t="s">
        <v>41</v>
      </c>
      <c r="G2426" t="s">
        <v>45</v>
      </c>
      <c r="H2426" t="s">
        <v>38</v>
      </c>
      <c r="I2426" t="s">
        <v>29</v>
      </c>
      <c r="J2426" t="s">
        <v>35</v>
      </c>
      <c r="K2426" s="2">
        <v>7050</v>
      </c>
      <c r="L2426" s="2">
        <v>92500</v>
      </c>
      <c r="M2426">
        <v>60</v>
      </c>
      <c r="N2426" s="3">
        <v>0.46400000000000002</v>
      </c>
      <c r="O2426" t="s">
        <v>17</v>
      </c>
      <c r="P2426" t="s">
        <v>53</v>
      </c>
      <c r="Q2426">
        <v>0</v>
      </c>
      <c r="R2426">
        <v>1</v>
      </c>
      <c r="S2426" s="2">
        <v>0</v>
      </c>
      <c r="T2426" s="4"/>
      <c r="U2426">
        <v>7</v>
      </c>
      <c r="V2426">
        <v>1</v>
      </c>
      <c r="W2426">
        <v>1</v>
      </c>
    </row>
    <row r="2427" spans="1:23" ht="16.5" x14ac:dyDescent="0.3">
      <c r="A2427" t="s">
        <v>2491</v>
      </c>
      <c r="B2427" s="1">
        <v>45660</v>
      </c>
      <c r="C2427">
        <v>2025</v>
      </c>
      <c r="D2427" t="s">
        <v>24</v>
      </c>
      <c r="E2427" t="s">
        <v>25</v>
      </c>
      <c r="F2427" t="s">
        <v>26</v>
      </c>
      <c r="G2427" t="s">
        <v>51</v>
      </c>
      <c r="H2427" t="s">
        <v>64</v>
      </c>
      <c r="I2427" t="s">
        <v>29</v>
      </c>
      <c r="J2427" t="s">
        <v>35</v>
      </c>
      <c r="K2427" s="2">
        <v>6100</v>
      </c>
      <c r="L2427" s="2">
        <v>19000</v>
      </c>
      <c r="M2427">
        <v>36</v>
      </c>
      <c r="N2427" s="3">
        <v>0.28499999999999998</v>
      </c>
      <c r="O2427" t="s">
        <v>17</v>
      </c>
      <c r="P2427" t="s">
        <v>31</v>
      </c>
      <c r="Q2427">
        <v>0</v>
      </c>
      <c r="R2427">
        <v>1</v>
      </c>
      <c r="S2427" s="2">
        <v>0</v>
      </c>
      <c r="T2427" s="4"/>
      <c r="U2427">
        <v>4</v>
      </c>
      <c r="V2427">
        <v>1</v>
      </c>
      <c r="W2427">
        <v>1</v>
      </c>
    </row>
    <row r="2428" spans="1:23" ht="16.5" x14ac:dyDescent="0.3">
      <c r="A2428" t="s">
        <v>2492</v>
      </c>
      <c r="B2428" s="1">
        <v>45660</v>
      </c>
      <c r="C2428">
        <v>2025</v>
      </c>
      <c r="D2428" t="s">
        <v>24</v>
      </c>
      <c r="E2428" t="s">
        <v>25</v>
      </c>
      <c r="F2428" t="s">
        <v>26</v>
      </c>
      <c r="G2428" t="s">
        <v>51</v>
      </c>
      <c r="H2428" t="s">
        <v>28</v>
      </c>
      <c r="I2428" t="s">
        <v>29</v>
      </c>
      <c r="J2428" t="s">
        <v>52</v>
      </c>
      <c r="K2428" s="2">
        <v>6200</v>
      </c>
      <c r="L2428" s="2">
        <v>28500</v>
      </c>
      <c r="M2428">
        <v>60</v>
      </c>
      <c r="N2428" s="3">
        <v>0.30599999999999999</v>
      </c>
      <c r="O2428" t="s">
        <v>16</v>
      </c>
      <c r="Q2428">
        <v>1</v>
      </c>
      <c r="R2428">
        <v>0</v>
      </c>
      <c r="S2428" s="2">
        <v>25500</v>
      </c>
      <c r="T2428" s="4">
        <v>7.1300000000000002E-2</v>
      </c>
      <c r="U2428">
        <v>4</v>
      </c>
      <c r="V2428">
        <v>1</v>
      </c>
      <c r="W2428">
        <v>1</v>
      </c>
    </row>
    <row r="2429" spans="1:23" ht="16.5" x14ac:dyDescent="0.3">
      <c r="A2429" t="s">
        <v>2493</v>
      </c>
      <c r="B2429" s="1">
        <v>45660</v>
      </c>
      <c r="C2429">
        <v>2025</v>
      </c>
      <c r="D2429" t="s">
        <v>24</v>
      </c>
      <c r="E2429" t="s">
        <v>25</v>
      </c>
      <c r="F2429" t="s">
        <v>50</v>
      </c>
      <c r="G2429" t="s">
        <v>27</v>
      </c>
      <c r="H2429" t="s">
        <v>38</v>
      </c>
      <c r="I2429" t="s">
        <v>29</v>
      </c>
      <c r="J2429" t="s">
        <v>35</v>
      </c>
      <c r="K2429" s="2">
        <v>5000</v>
      </c>
      <c r="L2429" s="2">
        <v>430000</v>
      </c>
      <c r="M2429">
        <v>180</v>
      </c>
      <c r="N2429" s="3">
        <v>0.77900000000000003</v>
      </c>
      <c r="O2429" t="s">
        <v>16</v>
      </c>
      <c r="Q2429">
        <v>1</v>
      </c>
      <c r="R2429">
        <v>0</v>
      </c>
      <c r="S2429" s="2">
        <v>344000</v>
      </c>
      <c r="T2429" s="4">
        <v>6.1600000000000002E-2</v>
      </c>
      <c r="U2429">
        <v>8</v>
      </c>
      <c r="V2429">
        <v>1</v>
      </c>
      <c r="W2429">
        <v>1</v>
      </c>
    </row>
    <row r="2430" spans="1:23" ht="16.5" x14ac:dyDescent="0.3">
      <c r="A2430" t="s">
        <v>2494</v>
      </c>
      <c r="B2430" s="1">
        <v>45660</v>
      </c>
      <c r="C2430">
        <v>2025</v>
      </c>
      <c r="D2430" t="s">
        <v>24</v>
      </c>
      <c r="E2430" t="s">
        <v>25</v>
      </c>
      <c r="F2430" t="s">
        <v>26</v>
      </c>
      <c r="G2430" t="s">
        <v>33</v>
      </c>
      <c r="H2430" t="s">
        <v>64</v>
      </c>
      <c r="I2430" t="s">
        <v>42</v>
      </c>
      <c r="J2430" t="s">
        <v>46</v>
      </c>
      <c r="K2430" s="2">
        <v>6550</v>
      </c>
      <c r="L2430" s="2">
        <v>27500</v>
      </c>
      <c r="M2430">
        <v>60</v>
      </c>
      <c r="N2430" s="3">
        <v>0.22700000000000001</v>
      </c>
      <c r="O2430" t="s">
        <v>16</v>
      </c>
      <c r="Q2430">
        <v>1</v>
      </c>
      <c r="R2430">
        <v>0</v>
      </c>
      <c r="S2430" s="2">
        <v>27500</v>
      </c>
      <c r="T2430" s="4">
        <v>6.4100000000000004E-2</v>
      </c>
      <c r="U2430">
        <v>1</v>
      </c>
      <c r="V2430">
        <v>1</v>
      </c>
      <c r="W2430">
        <v>1</v>
      </c>
    </row>
    <row r="2431" spans="1:23" ht="16.5" x14ac:dyDescent="0.3">
      <c r="A2431" t="s">
        <v>2495</v>
      </c>
      <c r="B2431" s="1">
        <v>45660</v>
      </c>
      <c r="C2431">
        <v>2025</v>
      </c>
      <c r="D2431" t="s">
        <v>24</v>
      </c>
      <c r="E2431" t="s">
        <v>25</v>
      </c>
      <c r="F2431" t="s">
        <v>41</v>
      </c>
      <c r="G2431" t="s">
        <v>33</v>
      </c>
      <c r="H2431" t="s">
        <v>64</v>
      </c>
      <c r="I2431" t="s">
        <v>39</v>
      </c>
      <c r="J2431" t="s">
        <v>52</v>
      </c>
      <c r="K2431" s="2">
        <v>10200</v>
      </c>
      <c r="L2431" s="2">
        <v>55000</v>
      </c>
      <c r="M2431">
        <v>36</v>
      </c>
      <c r="N2431" s="3">
        <v>0.254</v>
      </c>
      <c r="O2431" t="s">
        <v>16</v>
      </c>
      <c r="Q2431">
        <v>1</v>
      </c>
      <c r="R2431">
        <v>0</v>
      </c>
      <c r="S2431" s="2">
        <v>55000</v>
      </c>
      <c r="T2431" s="4">
        <v>0.1007</v>
      </c>
      <c r="U2431">
        <v>6</v>
      </c>
      <c r="V2431">
        <v>1</v>
      </c>
      <c r="W2431">
        <v>1</v>
      </c>
    </row>
    <row r="2432" spans="1:23" ht="16.5" x14ac:dyDescent="0.3">
      <c r="A2432" t="s">
        <v>2496</v>
      </c>
      <c r="B2432" s="1">
        <v>45661</v>
      </c>
      <c r="C2432">
        <v>2025</v>
      </c>
      <c r="D2432" t="s">
        <v>24</v>
      </c>
      <c r="E2432" t="s">
        <v>25</v>
      </c>
      <c r="F2432" t="s">
        <v>41</v>
      </c>
      <c r="G2432" t="s">
        <v>33</v>
      </c>
      <c r="H2432" t="s">
        <v>38</v>
      </c>
      <c r="I2432" t="s">
        <v>39</v>
      </c>
      <c r="J2432" t="s">
        <v>52</v>
      </c>
      <c r="K2432" s="2">
        <v>5100</v>
      </c>
      <c r="L2432" s="2">
        <v>64000</v>
      </c>
      <c r="M2432">
        <v>12</v>
      </c>
      <c r="N2432" s="3">
        <v>1.3340000000000001</v>
      </c>
      <c r="O2432" t="s">
        <v>17</v>
      </c>
      <c r="P2432" t="s">
        <v>53</v>
      </c>
      <c r="Q2432">
        <v>0</v>
      </c>
      <c r="R2432">
        <v>1</v>
      </c>
      <c r="S2432" s="2">
        <v>0</v>
      </c>
      <c r="T2432" s="4"/>
      <c r="U2432">
        <v>5</v>
      </c>
      <c r="V2432">
        <v>1</v>
      </c>
      <c r="W2432">
        <v>1</v>
      </c>
    </row>
    <row r="2433" spans="1:23" ht="16.5" x14ac:dyDescent="0.3">
      <c r="A2433" t="s">
        <v>2497</v>
      </c>
      <c r="B2433" s="1">
        <v>45661</v>
      </c>
      <c r="C2433">
        <v>2025</v>
      </c>
      <c r="D2433" t="s">
        <v>24</v>
      </c>
      <c r="E2433" t="s">
        <v>25</v>
      </c>
      <c r="F2433" t="s">
        <v>37</v>
      </c>
      <c r="G2433" t="s">
        <v>45</v>
      </c>
      <c r="H2433" t="s">
        <v>34</v>
      </c>
      <c r="I2433" t="s">
        <v>42</v>
      </c>
      <c r="J2433" t="s">
        <v>35</v>
      </c>
      <c r="K2433" s="2">
        <v>4600</v>
      </c>
      <c r="L2433" s="2">
        <v>12500</v>
      </c>
      <c r="M2433">
        <v>24</v>
      </c>
      <c r="N2433" s="3">
        <v>0.253</v>
      </c>
      <c r="O2433" t="s">
        <v>16</v>
      </c>
      <c r="Q2433">
        <v>1</v>
      </c>
      <c r="R2433">
        <v>0</v>
      </c>
      <c r="S2433" s="2">
        <v>11000</v>
      </c>
      <c r="T2433" s="4">
        <v>0.1278</v>
      </c>
      <c r="U2433">
        <v>2</v>
      </c>
      <c r="V2433">
        <v>1</v>
      </c>
      <c r="W2433">
        <v>1</v>
      </c>
    </row>
    <row r="2434" spans="1:23" ht="16.5" x14ac:dyDescent="0.3">
      <c r="A2434" t="s">
        <v>2498</v>
      </c>
      <c r="B2434" s="1">
        <v>45661</v>
      </c>
      <c r="C2434">
        <v>2025</v>
      </c>
      <c r="D2434" t="s">
        <v>24</v>
      </c>
      <c r="E2434" t="s">
        <v>25</v>
      </c>
      <c r="F2434" t="s">
        <v>26</v>
      </c>
      <c r="G2434" t="s">
        <v>45</v>
      </c>
      <c r="H2434" t="s">
        <v>55</v>
      </c>
      <c r="I2434" t="s">
        <v>29</v>
      </c>
      <c r="J2434" t="s">
        <v>30</v>
      </c>
      <c r="K2434" s="2">
        <v>8000</v>
      </c>
      <c r="L2434" s="2">
        <v>17000</v>
      </c>
      <c r="M2434">
        <v>36</v>
      </c>
      <c r="N2434" s="3">
        <v>0.183</v>
      </c>
      <c r="O2434" t="s">
        <v>17</v>
      </c>
      <c r="P2434" t="s">
        <v>31</v>
      </c>
      <c r="Q2434">
        <v>0</v>
      </c>
      <c r="R2434">
        <v>1</v>
      </c>
      <c r="S2434" s="2">
        <v>0</v>
      </c>
      <c r="T2434" s="4"/>
      <c r="U2434">
        <v>3</v>
      </c>
      <c r="V2434">
        <v>1</v>
      </c>
      <c r="W2434">
        <v>1</v>
      </c>
    </row>
    <row r="2435" spans="1:23" ht="16.5" x14ac:dyDescent="0.3">
      <c r="A2435" t="s">
        <v>2499</v>
      </c>
      <c r="B2435" s="1">
        <v>45661</v>
      </c>
      <c r="C2435">
        <v>2025</v>
      </c>
      <c r="D2435" t="s">
        <v>24</v>
      </c>
      <c r="E2435" t="s">
        <v>25</v>
      </c>
      <c r="F2435" t="s">
        <v>26</v>
      </c>
      <c r="G2435" t="s">
        <v>45</v>
      </c>
      <c r="H2435" t="s">
        <v>55</v>
      </c>
      <c r="I2435" t="s">
        <v>29</v>
      </c>
      <c r="J2435" t="s">
        <v>35</v>
      </c>
      <c r="K2435" s="2">
        <v>8400</v>
      </c>
      <c r="L2435" s="2">
        <v>31000</v>
      </c>
      <c r="M2435">
        <v>48</v>
      </c>
      <c r="N2435" s="3">
        <v>0.219</v>
      </c>
      <c r="O2435" t="s">
        <v>16</v>
      </c>
      <c r="Q2435">
        <v>1</v>
      </c>
      <c r="R2435">
        <v>0</v>
      </c>
      <c r="S2435" s="2">
        <v>25000</v>
      </c>
      <c r="T2435" s="4">
        <v>7.6399999999999996E-2</v>
      </c>
      <c r="U2435">
        <v>2</v>
      </c>
      <c r="V2435">
        <v>1</v>
      </c>
      <c r="W2435">
        <v>1</v>
      </c>
    </row>
    <row r="2436" spans="1:23" ht="16.5" x14ac:dyDescent="0.3">
      <c r="A2436" t="s">
        <v>2500</v>
      </c>
      <c r="B2436" s="1">
        <v>45662</v>
      </c>
      <c r="C2436">
        <v>2025</v>
      </c>
      <c r="D2436" t="s">
        <v>24</v>
      </c>
      <c r="E2436" t="s">
        <v>25</v>
      </c>
      <c r="F2436" t="s">
        <v>50</v>
      </c>
      <c r="G2436" t="s">
        <v>45</v>
      </c>
      <c r="H2436" t="s">
        <v>55</v>
      </c>
      <c r="I2436" t="s">
        <v>39</v>
      </c>
      <c r="J2436" t="s">
        <v>30</v>
      </c>
      <c r="K2436" s="2">
        <v>4950</v>
      </c>
      <c r="L2436" s="2">
        <v>225500</v>
      </c>
      <c r="M2436">
        <v>180</v>
      </c>
      <c r="N2436" s="3">
        <v>0.59</v>
      </c>
      <c r="O2436" t="s">
        <v>17</v>
      </c>
      <c r="P2436" t="s">
        <v>31</v>
      </c>
      <c r="Q2436">
        <v>0</v>
      </c>
      <c r="R2436">
        <v>1</v>
      </c>
      <c r="S2436" s="2">
        <v>0</v>
      </c>
      <c r="T2436" s="4"/>
      <c r="U2436">
        <v>9</v>
      </c>
      <c r="V2436">
        <v>1</v>
      </c>
      <c r="W2436">
        <v>1</v>
      </c>
    </row>
    <row r="2437" spans="1:23" ht="16.5" x14ac:dyDescent="0.3">
      <c r="A2437" t="s">
        <v>2501</v>
      </c>
      <c r="B2437" s="1">
        <v>45662</v>
      </c>
      <c r="C2437">
        <v>2025</v>
      </c>
      <c r="D2437" t="s">
        <v>24</v>
      </c>
      <c r="E2437" t="s">
        <v>25</v>
      </c>
      <c r="F2437" t="s">
        <v>37</v>
      </c>
      <c r="G2437" t="s">
        <v>27</v>
      </c>
      <c r="H2437" t="s">
        <v>34</v>
      </c>
      <c r="I2437" t="s">
        <v>39</v>
      </c>
      <c r="J2437" t="s">
        <v>52</v>
      </c>
      <c r="K2437" s="2">
        <v>5200</v>
      </c>
      <c r="L2437" s="2">
        <v>6500</v>
      </c>
      <c r="M2437">
        <v>24</v>
      </c>
      <c r="N2437" s="3">
        <v>0.23699999999999999</v>
      </c>
      <c r="O2437" t="s">
        <v>16</v>
      </c>
      <c r="Q2437">
        <v>1</v>
      </c>
      <c r="R2437">
        <v>0</v>
      </c>
      <c r="S2437" s="2">
        <v>6500</v>
      </c>
      <c r="T2437" s="4">
        <v>0.111</v>
      </c>
      <c r="U2437">
        <v>3</v>
      </c>
      <c r="V2437">
        <v>1</v>
      </c>
      <c r="W2437">
        <v>1</v>
      </c>
    </row>
    <row r="2438" spans="1:23" ht="16.5" x14ac:dyDescent="0.3">
      <c r="A2438" t="s">
        <v>2502</v>
      </c>
      <c r="B2438" s="1">
        <v>45662</v>
      </c>
      <c r="C2438">
        <v>2025</v>
      </c>
      <c r="D2438" t="s">
        <v>24</v>
      </c>
      <c r="E2438" t="s">
        <v>25</v>
      </c>
      <c r="F2438" t="s">
        <v>37</v>
      </c>
      <c r="G2438" t="s">
        <v>33</v>
      </c>
      <c r="H2438" t="s">
        <v>34</v>
      </c>
      <c r="I2438" t="s">
        <v>29</v>
      </c>
      <c r="J2438" t="s">
        <v>35</v>
      </c>
      <c r="K2438" s="2">
        <v>6550</v>
      </c>
      <c r="L2438" s="2">
        <v>11500</v>
      </c>
      <c r="M2438">
        <v>24</v>
      </c>
      <c r="N2438" s="3">
        <v>0.185</v>
      </c>
      <c r="O2438" t="s">
        <v>17</v>
      </c>
      <c r="P2438" t="s">
        <v>31</v>
      </c>
      <c r="Q2438">
        <v>0</v>
      </c>
      <c r="R2438">
        <v>1</v>
      </c>
      <c r="S2438" s="2">
        <v>0</v>
      </c>
      <c r="T2438" s="4"/>
      <c r="U2438">
        <v>1</v>
      </c>
      <c r="V2438">
        <v>1</v>
      </c>
      <c r="W2438">
        <v>1</v>
      </c>
    </row>
    <row r="2439" spans="1:23" ht="16.5" x14ac:dyDescent="0.3">
      <c r="A2439" t="s">
        <v>2503</v>
      </c>
      <c r="B2439" s="1">
        <v>45662</v>
      </c>
      <c r="C2439">
        <v>2025</v>
      </c>
      <c r="D2439" t="s">
        <v>24</v>
      </c>
      <c r="E2439" t="s">
        <v>25</v>
      </c>
      <c r="F2439" t="s">
        <v>41</v>
      </c>
      <c r="G2439" t="s">
        <v>33</v>
      </c>
      <c r="H2439" t="s">
        <v>28</v>
      </c>
      <c r="I2439" t="s">
        <v>42</v>
      </c>
      <c r="J2439" t="s">
        <v>46</v>
      </c>
      <c r="K2439" s="2">
        <v>12250</v>
      </c>
      <c r="L2439" s="2">
        <v>145500</v>
      </c>
      <c r="M2439">
        <v>24</v>
      </c>
      <c r="N2439" s="3">
        <v>0.73499999999999999</v>
      </c>
      <c r="O2439" t="s">
        <v>17</v>
      </c>
      <c r="P2439" t="s">
        <v>53</v>
      </c>
      <c r="Q2439">
        <v>0</v>
      </c>
      <c r="R2439">
        <v>1</v>
      </c>
      <c r="S2439" s="2">
        <v>0</v>
      </c>
      <c r="T2439" s="4"/>
      <c r="U2439">
        <v>5</v>
      </c>
      <c r="V2439">
        <v>1</v>
      </c>
      <c r="W2439">
        <v>1</v>
      </c>
    </row>
    <row r="2440" spans="1:23" ht="16.5" x14ac:dyDescent="0.3">
      <c r="A2440" t="s">
        <v>2504</v>
      </c>
      <c r="B2440" s="1">
        <v>45662</v>
      </c>
      <c r="C2440">
        <v>2025</v>
      </c>
      <c r="D2440" t="s">
        <v>24</v>
      </c>
      <c r="E2440" t="s">
        <v>25</v>
      </c>
      <c r="F2440" t="s">
        <v>37</v>
      </c>
      <c r="G2440" t="s">
        <v>45</v>
      </c>
      <c r="H2440" t="s">
        <v>34</v>
      </c>
      <c r="I2440" t="s">
        <v>39</v>
      </c>
      <c r="J2440" t="s">
        <v>35</v>
      </c>
      <c r="K2440" s="2">
        <v>2500</v>
      </c>
      <c r="L2440" s="2">
        <v>30500</v>
      </c>
      <c r="M2440">
        <v>48</v>
      </c>
      <c r="N2440" s="3">
        <v>0.39100000000000001</v>
      </c>
      <c r="O2440" t="s">
        <v>16</v>
      </c>
      <c r="Q2440">
        <v>1</v>
      </c>
      <c r="R2440">
        <v>0</v>
      </c>
      <c r="S2440" s="2">
        <v>30500</v>
      </c>
      <c r="T2440" s="4">
        <v>0.1207</v>
      </c>
      <c r="U2440">
        <v>2</v>
      </c>
      <c r="V2440">
        <v>1</v>
      </c>
      <c r="W2440">
        <v>1</v>
      </c>
    </row>
    <row r="2441" spans="1:23" ht="16.5" x14ac:dyDescent="0.3">
      <c r="A2441" t="s">
        <v>2505</v>
      </c>
      <c r="B2441" s="1">
        <v>45662</v>
      </c>
      <c r="C2441">
        <v>2025</v>
      </c>
      <c r="D2441" t="s">
        <v>24</v>
      </c>
      <c r="E2441" t="s">
        <v>25</v>
      </c>
      <c r="F2441" t="s">
        <v>41</v>
      </c>
      <c r="G2441" t="s">
        <v>51</v>
      </c>
      <c r="H2441" t="s">
        <v>55</v>
      </c>
      <c r="I2441" t="s">
        <v>42</v>
      </c>
      <c r="J2441" t="s">
        <v>30</v>
      </c>
      <c r="K2441" s="2">
        <v>4650</v>
      </c>
      <c r="L2441" s="2">
        <v>51500</v>
      </c>
      <c r="M2441">
        <v>60</v>
      </c>
      <c r="N2441" s="3">
        <v>0.441</v>
      </c>
      <c r="O2441" t="s">
        <v>17</v>
      </c>
      <c r="P2441" t="s">
        <v>31</v>
      </c>
      <c r="Q2441">
        <v>0</v>
      </c>
      <c r="R2441">
        <v>1</v>
      </c>
      <c r="S2441" s="2">
        <v>0</v>
      </c>
      <c r="T2441" s="4"/>
      <c r="U2441">
        <v>13</v>
      </c>
      <c r="V2441">
        <v>0</v>
      </c>
      <c r="W2441">
        <v>1</v>
      </c>
    </row>
    <row r="2442" spans="1:23" ht="16.5" x14ac:dyDescent="0.3">
      <c r="A2442" t="s">
        <v>2506</v>
      </c>
      <c r="B2442" s="1">
        <v>45662</v>
      </c>
      <c r="C2442">
        <v>2025</v>
      </c>
      <c r="D2442" t="s">
        <v>24</v>
      </c>
      <c r="E2442" t="s">
        <v>25</v>
      </c>
      <c r="F2442" t="s">
        <v>41</v>
      </c>
      <c r="G2442" t="s">
        <v>51</v>
      </c>
      <c r="H2442" t="s">
        <v>64</v>
      </c>
      <c r="I2442" t="s">
        <v>39</v>
      </c>
      <c r="J2442" t="s">
        <v>46</v>
      </c>
      <c r="K2442" s="2">
        <v>6500</v>
      </c>
      <c r="L2442" s="2">
        <v>92500</v>
      </c>
      <c r="M2442">
        <v>60</v>
      </c>
      <c r="N2442" s="3">
        <v>0.51100000000000001</v>
      </c>
      <c r="O2442" t="s">
        <v>16</v>
      </c>
      <c r="Q2442">
        <v>1</v>
      </c>
      <c r="R2442">
        <v>0</v>
      </c>
      <c r="S2442" s="2">
        <v>74000</v>
      </c>
      <c r="T2442" s="4">
        <v>9.1600000000000001E-2</v>
      </c>
      <c r="U2442">
        <v>21</v>
      </c>
      <c r="V2442">
        <v>0</v>
      </c>
      <c r="W2442">
        <v>1</v>
      </c>
    </row>
    <row r="2443" spans="1:23" ht="16.5" x14ac:dyDescent="0.3">
      <c r="A2443" t="s">
        <v>2507</v>
      </c>
      <c r="B2443" s="1">
        <v>45663</v>
      </c>
      <c r="C2443">
        <v>2025</v>
      </c>
      <c r="D2443" t="s">
        <v>24</v>
      </c>
      <c r="E2443" t="s">
        <v>25</v>
      </c>
      <c r="F2443" t="s">
        <v>50</v>
      </c>
      <c r="G2443" t="s">
        <v>45</v>
      </c>
      <c r="H2443" t="s">
        <v>38</v>
      </c>
      <c r="I2443" t="s">
        <v>42</v>
      </c>
      <c r="J2443" t="s">
        <v>46</v>
      </c>
      <c r="K2443" s="2">
        <v>5700</v>
      </c>
      <c r="L2443" s="2">
        <v>198500</v>
      </c>
      <c r="M2443">
        <v>180</v>
      </c>
      <c r="N2443" s="3">
        <v>0.435</v>
      </c>
      <c r="O2443" t="s">
        <v>17</v>
      </c>
      <c r="P2443" t="s">
        <v>60</v>
      </c>
      <c r="Q2443">
        <v>0</v>
      </c>
      <c r="R2443">
        <v>1</v>
      </c>
      <c r="S2443" s="2">
        <v>0</v>
      </c>
      <c r="T2443" s="4"/>
      <c r="U2443">
        <v>11</v>
      </c>
      <c r="V2443">
        <v>1</v>
      </c>
      <c r="W2443">
        <v>1</v>
      </c>
    </row>
    <row r="2444" spans="1:23" ht="16.5" x14ac:dyDescent="0.3">
      <c r="A2444" t="s">
        <v>2508</v>
      </c>
      <c r="B2444" s="1">
        <v>45663</v>
      </c>
      <c r="C2444">
        <v>2025</v>
      </c>
      <c r="D2444" t="s">
        <v>24</v>
      </c>
      <c r="E2444" t="s">
        <v>25</v>
      </c>
      <c r="F2444" t="s">
        <v>50</v>
      </c>
      <c r="G2444" t="s">
        <v>51</v>
      </c>
      <c r="H2444" t="s">
        <v>38</v>
      </c>
      <c r="I2444" t="s">
        <v>29</v>
      </c>
      <c r="J2444" t="s">
        <v>30</v>
      </c>
      <c r="K2444" s="2">
        <v>8750</v>
      </c>
      <c r="L2444" s="2">
        <v>196000</v>
      </c>
      <c r="M2444">
        <v>240</v>
      </c>
      <c r="N2444" s="3">
        <v>0.247</v>
      </c>
      <c r="O2444" t="s">
        <v>17</v>
      </c>
      <c r="P2444" t="s">
        <v>31</v>
      </c>
      <c r="Q2444">
        <v>0</v>
      </c>
      <c r="R2444">
        <v>1</v>
      </c>
      <c r="S2444" s="2">
        <v>0</v>
      </c>
      <c r="T2444" s="4"/>
      <c r="U2444">
        <v>14</v>
      </c>
      <c r="V2444">
        <v>1</v>
      </c>
      <c r="W2444">
        <v>1</v>
      </c>
    </row>
    <row r="2445" spans="1:23" ht="16.5" x14ac:dyDescent="0.3">
      <c r="A2445" t="s">
        <v>2509</v>
      </c>
      <c r="B2445" s="1">
        <v>45663</v>
      </c>
      <c r="C2445">
        <v>2025</v>
      </c>
      <c r="D2445" t="s">
        <v>24</v>
      </c>
      <c r="E2445" t="s">
        <v>25</v>
      </c>
      <c r="F2445" t="s">
        <v>37</v>
      </c>
      <c r="G2445" t="s">
        <v>51</v>
      </c>
      <c r="H2445" t="s">
        <v>55</v>
      </c>
      <c r="I2445" t="s">
        <v>29</v>
      </c>
      <c r="J2445" t="s">
        <v>52</v>
      </c>
      <c r="K2445" s="2">
        <v>3650</v>
      </c>
      <c r="L2445" s="2">
        <v>12000</v>
      </c>
      <c r="M2445">
        <v>36</v>
      </c>
      <c r="N2445" s="3">
        <v>0.30599999999999999</v>
      </c>
      <c r="O2445" t="s">
        <v>16</v>
      </c>
      <c r="Q2445">
        <v>1</v>
      </c>
      <c r="R2445">
        <v>0</v>
      </c>
      <c r="S2445" s="2">
        <v>12000</v>
      </c>
      <c r="T2445" s="4">
        <v>0.11849999999999999</v>
      </c>
      <c r="U2445">
        <v>3</v>
      </c>
      <c r="V2445">
        <v>1</v>
      </c>
      <c r="W2445">
        <v>1</v>
      </c>
    </row>
    <row r="2446" spans="1:23" ht="16.5" x14ac:dyDescent="0.3">
      <c r="A2446" t="s">
        <v>2510</v>
      </c>
      <c r="B2446" s="1">
        <v>45663</v>
      </c>
      <c r="C2446">
        <v>2025</v>
      </c>
      <c r="D2446" t="s">
        <v>24</v>
      </c>
      <c r="E2446" t="s">
        <v>25</v>
      </c>
      <c r="F2446" t="s">
        <v>37</v>
      </c>
      <c r="G2446" t="s">
        <v>51</v>
      </c>
      <c r="H2446" t="s">
        <v>64</v>
      </c>
      <c r="I2446" t="s">
        <v>42</v>
      </c>
      <c r="J2446" t="s">
        <v>35</v>
      </c>
      <c r="K2446" s="2">
        <v>9550</v>
      </c>
      <c r="L2446" s="2">
        <v>7500</v>
      </c>
      <c r="M2446">
        <v>60</v>
      </c>
      <c r="N2446" s="3">
        <v>9.7000000000000003E-2</v>
      </c>
      <c r="O2446" t="s">
        <v>16</v>
      </c>
      <c r="Q2446">
        <v>1</v>
      </c>
      <c r="R2446">
        <v>0</v>
      </c>
      <c r="S2446" s="2">
        <v>7000</v>
      </c>
      <c r="T2446" s="4">
        <v>0.12759999999999999</v>
      </c>
      <c r="U2446">
        <v>5</v>
      </c>
      <c r="V2446">
        <v>0</v>
      </c>
      <c r="W2446">
        <v>1</v>
      </c>
    </row>
    <row r="2447" spans="1:23" ht="16.5" x14ac:dyDescent="0.3">
      <c r="A2447" t="s">
        <v>2511</v>
      </c>
      <c r="B2447" s="1">
        <v>45663</v>
      </c>
      <c r="C2447">
        <v>2025</v>
      </c>
      <c r="D2447" t="s">
        <v>24</v>
      </c>
      <c r="E2447" t="s">
        <v>25</v>
      </c>
      <c r="F2447" t="s">
        <v>50</v>
      </c>
      <c r="G2447" t="s">
        <v>27</v>
      </c>
      <c r="H2447" t="s">
        <v>38</v>
      </c>
      <c r="I2447" t="s">
        <v>39</v>
      </c>
      <c r="J2447" t="s">
        <v>52</v>
      </c>
      <c r="K2447" s="2">
        <v>5250</v>
      </c>
      <c r="L2447" s="2">
        <v>282000</v>
      </c>
      <c r="M2447">
        <v>300</v>
      </c>
      <c r="N2447" s="3">
        <v>0.47</v>
      </c>
      <c r="O2447" t="s">
        <v>16</v>
      </c>
      <c r="Q2447">
        <v>1</v>
      </c>
      <c r="R2447">
        <v>0</v>
      </c>
      <c r="S2447" s="2">
        <v>282000</v>
      </c>
      <c r="T2447" s="4">
        <v>4.8599999999999997E-2</v>
      </c>
      <c r="U2447">
        <v>6</v>
      </c>
      <c r="V2447">
        <v>1</v>
      </c>
      <c r="W2447">
        <v>1</v>
      </c>
    </row>
    <row r="2448" spans="1:23" ht="16.5" x14ac:dyDescent="0.3">
      <c r="A2448" t="s">
        <v>2512</v>
      </c>
      <c r="B2448" s="1">
        <v>45663</v>
      </c>
      <c r="C2448">
        <v>2025</v>
      </c>
      <c r="D2448" t="s">
        <v>24</v>
      </c>
      <c r="E2448" t="s">
        <v>25</v>
      </c>
      <c r="F2448" t="s">
        <v>37</v>
      </c>
      <c r="G2448" t="s">
        <v>45</v>
      </c>
      <c r="H2448" t="s">
        <v>55</v>
      </c>
      <c r="I2448" t="s">
        <v>42</v>
      </c>
      <c r="J2448" t="s">
        <v>52</v>
      </c>
      <c r="K2448" s="2">
        <v>6500</v>
      </c>
      <c r="L2448" s="2">
        <v>12500</v>
      </c>
      <c r="M2448">
        <v>60</v>
      </c>
      <c r="N2448" s="3">
        <v>0.251</v>
      </c>
      <c r="O2448" t="s">
        <v>125</v>
      </c>
      <c r="Q2448">
        <v>0</v>
      </c>
      <c r="R2448">
        <v>0</v>
      </c>
      <c r="S2448" s="2">
        <v>0</v>
      </c>
      <c r="T2448" s="4"/>
      <c r="U2448">
        <v>7</v>
      </c>
      <c r="V2448">
        <v>0</v>
      </c>
      <c r="W2448">
        <v>1</v>
      </c>
    </row>
    <row r="2449" spans="1:23" ht="16.5" x14ac:dyDescent="0.3">
      <c r="A2449" t="s">
        <v>2513</v>
      </c>
      <c r="B2449" s="1">
        <v>45663</v>
      </c>
      <c r="C2449">
        <v>2025</v>
      </c>
      <c r="D2449" t="s">
        <v>24</v>
      </c>
      <c r="E2449" t="s">
        <v>25</v>
      </c>
      <c r="F2449" t="s">
        <v>37</v>
      </c>
      <c r="G2449" t="s">
        <v>27</v>
      </c>
      <c r="H2449" t="s">
        <v>34</v>
      </c>
      <c r="I2449" t="s">
        <v>42</v>
      </c>
      <c r="J2449" t="s">
        <v>52</v>
      </c>
      <c r="K2449" s="2">
        <v>3650</v>
      </c>
      <c r="L2449" s="2">
        <v>14000</v>
      </c>
      <c r="M2449">
        <v>48</v>
      </c>
      <c r="N2449" s="3">
        <v>0.33100000000000002</v>
      </c>
      <c r="O2449" t="s">
        <v>16</v>
      </c>
      <c r="Q2449">
        <v>1</v>
      </c>
      <c r="R2449">
        <v>0</v>
      </c>
      <c r="S2449" s="2">
        <v>14000</v>
      </c>
      <c r="T2449" s="4">
        <v>0.11459999999999999</v>
      </c>
      <c r="U2449">
        <v>3</v>
      </c>
      <c r="V2449">
        <v>1</v>
      </c>
      <c r="W2449">
        <v>1</v>
      </c>
    </row>
    <row r="2450" spans="1:23" ht="16.5" x14ac:dyDescent="0.3">
      <c r="A2450" t="s">
        <v>2514</v>
      </c>
      <c r="B2450" s="1">
        <v>45664</v>
      </c>
      <c r="C2450">
        <v>2025</v>
      </c>
      <c r="D2450" t="s">
        <v>24</v>
      </c>
      <c r="E2450" t="s">
        <v>25</v>
      </c>
      <c r="F2450" t="s">
        <v>50</v>
      </c>
      <c r="G2450" t="s">
        <v>51</v>
      </c>
      <c r="H2450" t="s">
        <v>38</v>
      </c>
      <c r="I2450" t="s">
        <v>42</v>
      </c>
      <c r="J2450" t="s">
        <v>52</v>
      </c>
      <c r="K2450" s="2">
        <v>2500</v>
      </c>
      <c r="L2450" s="2">
        <v>130000</v>
      </c>
      <c r="M2450">
        <v>180</v>
      </c>
      <c r="N2450" s="3">
        <v>0.58099999999999996</v>
      </c>
      <c r="O2450" t="s">
        <v>17</v>
      </c>
      <c r="P2450" t="s">
        <v>53</v>
      </c>
      <c r="Q2450">
        <v>0</v>
      </c>
      <c r="R2450">
        <v>1</v>
      </c>
      <c r="S2450" s="2">
        <v>0</v>
      </c>
      <c r="T2450" s="4"/>
      <c r="U2450">
        <v>15</v>
      </c>
      <c r="V2450">
        <v>1</v>
      </c>
      <c r="W2450">
        <v>1</v>
      </c>
    </row>
    <row r="2451" spans="1:23" ht="16.5" x14ac:dyDescent="0.3">
      <c r="A2451" t="s">
        <v>2515</v>
      </c>
      <c r="B2451" s="1">
        <v>45664</v>
      </c>
      <c r="C2451">
        <v>2025</v>
      </c>
      <c r="D2451" t="s">
        <v>24</v>
      </c>
      <c r="E2451" t="s">
        <v>25</v>
      </c>
      <c r="F2451" t="s">
        <v>26</v>
      </c>
      <c r="G2451" t="s">
        <v>51</v>
      </c>
      <c r="H2451" t="s">
        <v>38</v>
      </c>
      <c r="I2451" t="s">
        <v>42</v>
      </c>
      <c r="J2451" t="s">
        <v>35</v>
      </c>
      <c r="K2451" s="2">
        <v>5900</v>
      </c>
      <c r="L2451" s="2">
        <v>33000</v>
      </c>
      <c r="M2451">
        <v>48</v>
      </c>
      <c r="N2451" s="3">
        <v>0.246</v>
      </c>
      <c r="O2451" t="s">
        <v>16</v>
      </c>
      <c r="Q2451">
        <v>1</v>
      </c>
      <c r="R2451">
        <v>0</v>
      </c>
      <c r="S2451" s="2">
        <v>26500</v>
      </c>
      <c r="T2451" s="4">
        <v>8.6199999999999999E-2</v>
      </c>
      <c r="U2451">
        <v>6</v>
      </c>
      <c r="V2451">
        <v>0</v>
      </c>
      <c r="W2451">
        <v>1</v>
      </c>
    </row>
    <row r="2452" spans="1:23" ht="16.5" x14ac:dyDescent="0.3">
      <c r="A2452" t="s">
        <v>2516</v>
      </c>
      <c r="B2452" s="1">
        <v>45664</v>
      </c>
      <c r="C2452">
        <v>2025</v>
      </c>
      <c r="D2452" t="s">
        <v>24</v>
      </c>
      <c r="E2452" t="s">
        <v>25</v>
      </c>
      <c r="F2452" t="s">
        <v>37</v>
      </c>
      <c r="G2452" t="s">
        <v>27</v>
      </c>
      <c r="H2452" t="s">
        <v>38</v>
      </c>
      <c r="I2452" t="s">
        <v>29</v>
      </c>
      <c r="J2452" t="s">
        <v>35</v>
      </c>
      <c r="K2452" s="2">
        <v>3300</v>
      </c>
      <c r="L2452" s="2">
        <v>14500</v>
      </c>
      <c r="M2452">
        <v>36</v>
      </c>
      <c r="N2452" s="3">
        <v>0.36799999999999999</v>
      </c>
      <c r="O2452" t="s">
        <v>16</v>
      </c>
      <c r="Q2452">
        <v>1</v>
      </c>
      <c r="R2452">
        <v>0</v>
      </c>
      <c r="S2452" s="2">
        <v>14500</v>
      </c>
      <c r="T2452" s="4">
        <v>0.1212</v>
      </c>
      <c r="U2452">
        <v>1</v>
      </c>
      <c r="V2452">
        <v>1</v>
      </c>
      <c r="W2452">
        <v>1</v>
      </c>
    </row>
    <row r="2453" spans="1:23" ht="16.5" x14ac:dyDescent="0.3">
      <c r="A2453" t="s">
        <v>2517</v>
      </c>
      <c r="B2453" s="1">
        <v>45664</v>
      </c>
      <c r="C2453">
        <v>2025</v>
      </c>
      <c r="D2453" t="s">
        <v>24</v>
      </c>
      <c r="E2453" t="s">
        <v>25</v>
      </c>
      <c r="F2453" t="s">
        <v>41</v>
      </c>
      <c r="G2453" t="s">
        <v>33</v>
      </c>
      <c r="H2453" t="s">
        <v>34</v>
      </c>
      <c r="I2453" t="s">
        <v>39</v>
      </c>
      <c r="J2453" t="s">
        <v>35</v>
      </c>
      <c r="K2453" s="2">
        <v>9050</v>
      </c>
      <c r="L2453" s="2">
        <v>104500</v>
      </c>
      <c r="M2453">
        <v>24</v>
      </c>
      <c r="N2453" s="3">
        <v>0.71799999999999997</v>
      </c>
      <c r="O2453" t="s">
        <v>16</v>
      </c>
      <c r="Q2453">
        <v>1</v>
      </c>
      <c r="R2453">
        <v>0</v>
      </c>
      <c r="S2453" s="2">
        <v>104500</v>
      </c>
      <c r="T2453" s="4">
        <v>0.1113</v>
      </c>
      <c r="U2453">
        <v>4</v>
      </c>
      <c r="V2453">
        <v>1</v>
      </c>
      <c r="W2453">
        <v>1</v>
      </c>
    </row>
    <row r="2454" spans="1:23" ht="16.5" x14ac:dyDescent="0.3">
      <c r="A2454" t="s">
        <v>2518</v>
      </c>
      <c r="B2454" s="1">
        <v>45664</v>
      </c>
      <c r="C2454">
        <v>2025</v>
      </c>
      <c r="D2454" t="s">
        <v>24</v>
      </c>
      <c r="E2454" t="s">
        <v>25</v>
      </c>
      <c r="F2454" t="s">
        <v>26</v>
      </c>
      <c r="G2454" t="s">
        <v>27</v>
      </c>
      <c r="H2454" t="s">
        <v>38</v>
      </c>
      <c r="I2454" t="s">
        <v>29</v>
      </c>
      <c r="J2454" t="s">
        <v>35</v>
      </c>
      <c r="K2454" s="2">
        <v>4900</v>
      </c>
      <c r="L2454" s="2">
        <v>41500</v>
      </c>
      <c r="M2454">
        <v>60</v>
      </c>
      <c r="N2454" s="3">
        <v>0.38400000000000001</v>
      </c>
      <c r="O2454" t="s">
        <v>16</v>
      </c>
      <c r="Q2454">
        <v>1</v>
      </c>
      <c r="R2454">
        <v>0</v>
      </c>
      <c r="S2454" s="2">
        <v>41500</v>
      </c>
      <c r="T2454" s="4">
        <v>0.08</v>
      </c>
      <c r="U2454">
        <v>4</v>
      </c>
      <c r="V2454">
        <v>1</v>
      </c>
      <c r="W2454">
        <v>1</v>
      </c>
    </row>
    <row r="2455" spans="1:23" ht="16.5" x14ac:dyDescent="0.3">
      <c r="A2455" t="s">
        <v>2519</v>
      </c>
      <c r="B2455" s="1">
        <v>45664</v>
      </c>
      <c r="C2455">
        <v>2025</v>
      </c>
      <c r="D2455" t="s">
        <v>24</v>
      </c>
      <c r="E2455" t="s">
        <v>25</v>
      </c>
      <c r="F2455" t="s">
        <v>26</v>
      </c>
      <c r="G2455" t="s">
        <v>45</v>
      </c>
      <c r="H2455" t="s">
        <v>34</v>
      </c>
      <c r="I2455" t="s">
        <v>29</v>
      </c>
      <c r="J2455" t="s">
        <v>35</v>
      </c>
      <c r="K2455" s="2">
        <v>5450</v>
      </c>
      <c r="L2455" s="2">
        <v>33500</v>
      </c>
      <c r="M2455">
        <v>60</v>
      </c>
      <c r="N2455" s="3">
        <v>0.19800000000000001</v>
      </c>
      <c r="O2455" t="s">
        <v>16</v>
      </c>
      <c r="Q2455">
        <v>1</v>
      </c>
      <c r="R2455">
        <v>0</v>
      </c>
      <c r="S2455" s="2">
        <v>33500</v>
      </c>
      <c r="T2455" s="4">
        <v>8.2600000000000007E-2</v>
      </c>
      <c r="U2455">
        <v>4</v>
      </c>
      <c r="V2455">
        <v>1</v>
      </c>
      <c r="W2455">
        <v>1</v>
      </c>
    </row>
    <row r="2456" spans="1:23" ht="16.5" x14ac:dyDescent="0.3">
      <c r="A2456" t="s">
        <v>2520</v>
      </c>
      <c r="B2456" s="1">
        <v>45664</v>
      </c>
      <c r="C2456">
        <v>2025</v>
      </c>
      <c r="D2456" t="s">
        <v>24</v>
      </c>
      <c r="E2456" t="s">
        <v>25</v>
      </c>
      <c r="F2456" t="s">
        <v>37</v>
      </c>
      <c r="G2456" t="s">
        <v>51</v>
      </c>
      <c r="H2456" t="s">
        <v>55</v>
      </c>
      <c r="I2456" t="s">
        <v>29</v>
      </c>
      <c r="J2456" t="s">
        <v>30</v>
      </c>
      <c r="K2456" s="2">
        <v>4950</v>
      </c>
      <c r="L2456" s="2">
        <v>18500</v>
      </c>
      <c r="M2456">
        <v>60</v>
      </c>
      <c r="N2456" s="3">
        <v>0.161</v>
      </c>
      <c r="O2456" t="s">
        <v>17</v>
      </c>
      <c r="P2456" t="s">
        <v>31</v>
      </c>
      <c r="Q2456">
        <v>0</v>
      </c>
      <c r="R2456">
        <v>1</v>
      </c>
      <c r="S2456" s="2">
        <v>0</v>
      </c>
      <c r="T2456" s="4"/>
      <c r="U2456">
        <v>5</v>
      </c>
      <c r="V2456">
        <v>0</v>
      </c>
      <c r="W2456">
        <v>1</v>
      </c>
    </row>
    <row r="2457" spans="1:23" ht="16.5" x14ac:dyDescent="0.3">
      <c r="A2457" t="s">
        <v>2521</v>
      </c>
      <c r="B2457" s="1">
        <v>45664</v>
      </c>
      <c r="C2457">
        <v>2025</v>
      </c>
      <c r="D2457" t="s">
        <v>24</v>
      </c>
      <c r="E2457" t="s">
        <v>25</v>
      </c>
      <c r="F2457" t="s">
        <v>26</v>
      </c>
      <c r="G2457" t="s">
        <v>33</v>
      </c>
      <c r="H2457" t="s">
        <v>34</v>
      </c>
      <c r="I2457" t="s">
        <v>29</v>
      </c>
      <c r="J2457" t="s">
        <v>35</v>
      </c>
      <c r="K2457" s="2">
        <v>4300</v>
      </c>
      <c r="L2457" s="2">
        <v>35000</v>
      </c>
      <c r="M2457">
        <v>48</v>
      </c>
      <c r="N2457" s="3">
        <v>0.373</v>
      </c>
      <c r="O2457" t="s">
        <v>16</v>
      </c>
      <c r="Q2457">
        <v>1</v>
      </c>
      <c r="R2457">
        <v>0</v>
      </c>
      <c r="S2457" s="2">
        <v>28000</v>
      </c>
      <c r="T2457" s="4">
        <v>8.3900000000000002E-2</v>
      </c>
      <c r="U2457">
        <v>2</v>
      </c>
      <c r="V2457">
        <v>1</v>
      </c>
      <c r="W2457">
        <v>1</v>
      </c>
    </row>
    <row r="2458" spans="1:23" ht="16.5" x14ac:dyDescent="0.3">
      <c r="A2458" t="s">
        <v>2522</v>
      </c>
      <c r="B2458" s="1">
        <v>45664</v>
      </c>
      <c r="C2458">
        <v>2025</v>
      </c>
      <c r="D2458" t="s">
        <v>24</v>
      </c>
      <c r="E2458" t="s">
        <v>25</v>
      </c>
      <c r="F2458" t="s">
        <v>50</v>
      </c>
      <c r="G2458" t="s">
        <v>33</v>
      </c>
      <c r="H2458" t="s">
        <v>55</v>
      </c>
      <c r="I2458" t="s">
        <v>42</v>
      </c>
      <c r="J2458" t="s">
        <v>35</v>
      </c>
      <c r="K2458" s="2">
        <v>7300</v>
      </c>
      <c r="L2458" s="2">
        <v>170000</v>
      </c>
      <c r="M2458">
        <v>240</v>
      </c>
      <c r="N2458" s="3">
        <v>0.35699999999999998</v>
      </c>
      <c r="O2458" t="s">
        <v>17</v>
      </c>
      <c r="P2458" t="s">
        <v>60</v>
      </c>
      <c r="Q2458">
        <v>0</v>
      </c>
      <c r="R2458">
        <v>1</v>
      </c>
      <c r="S2458" s="2">
        <v>0</v>
      </c>
      <c r="T2458" s="4"/>
      <c r="U2458">
        <v>10</v>
      </c>
      <c r="V2458">
        <v>1</v>
      </c>
      <c r="W2458">
        <v>1</v>
      </c>
    </row>
    <row r="2459" spans="1:23" ht="16.5" x14ac:dyDescent="0.3">
      <c r="A2459" t="s">
        <v>2523</v>
      </c>
      <c r="B2459" s="1">
        <v>45664</v>
      </c>
      <c r="C2459">
        <v>2025</v>
      </c>
      <c r="D2459" t="s">
        <v>24</v>
      </c>
      <c r="E2459" t="s">
        <v>25</v>
      </c>
      <c r="F2459" t="s">
        <v>26</v>
      </c>
      <c r="G2459" t="s">
        <v>27</v>
      </c>
      <c r="H2459" t="s">
        <v>64</v>
      </c>
      <c r="I2459" t="s">
        <v>39</v>
      </c>
      <c r="J2459" t="s">
        <v>35</v>
      </c>
      <c r="K2459" s="2">
        <v>2850</v>
      </c>
      <c r="L2459" s="2">
        <v>30500</v>
      </c>
      <c r="M2459">
        <v>36</v>
      </c>
      <c r="N2459" s="3">
        <v>0.51100000000000001</v>
      </c>
      <c r="O2459" t="s">
        <v>17</v>
      </c>
      <c r="P2459" t="s">
        <v>60</v>
      </c>
      <c r="Q2459">
        <v>0</v>
      </c>
      <c r="R2459">
        <v>1</v>
      </c>
      <c r="S2459" s="2">
        <v>0</v>
      </c>
      <c r="T2459" s="4"/>
      <c r="U2459">
        <v>10</v>
      </c>
      <c r="V2459">
        <v>0</v>
      </c>
      <c r="W2459">
        <v>1</v>
      </c>
    </row>
    <row r="2460" spans="1:23" ht="16.5" x14ac:dyDescent="0.3">
      <c r="A2460" t="s">
        <v>2524</v>
      </c>
      <c r="B2460" s="1">
        <v>45664</v>
      </c>
      <c r="C2460">
        <v>2025</v>
      </c>
      <c r="D2460" t="s">
        <v>24</v>
      </c>
      <c r="E2460" t="s">
        <v>25</v>
      </c>
      <c r="F2460" t="s">
        <v>26</v>
      </c>
      <c r="G2460" t="s">
        <v>33</v>
      </c>
      <c r="H2460" t="s">
        <v>28</v>
      </c>
      <c r="I2460" t="s">
        <v>42</v>
      </c>
      <c r="J2460" t="s">
        <v>30</v>
      </c>
      <c r="K2460" s="2">
        <v>4100</v>
      </c>
      <c r="L2460" s="2">
        <v>34000</v>
      </c>
      <c r="M2460">
        <v>60</v>
      </c>
      <c r="N2460" s="3">
        <v>0.34899999999999998</v>
      </c>
      <c r="O2460" t="s">
        <v>16</v>
      </c>
      <c r="Q2460">
        <v>1</v>
      </c>
      <c r="R2460">
        <v>0</v>
      </c>
      <c r="S2460" s="2">
        <v>27000</v>
      </c>
      <c r="T2460" s="4">
        <v>8.9899999999999994E-2</v>
      </c>
      <c r="U2460">
        <v>1</v>
      </c>
      <c r="V2460">
        <v>1</v>
      </c>
      <c r="W2460">
        <v>1</v>
      </c>
    </row>
    <row r="2461" spans="1:23" ht="16.5" x14ac:dyDescent="0.3">
      <c r="A2461" t="s">
        <v>2525</v>
      </c>
      <c r="B2461" s="1">
        <v>45664</v>
      </c>
      <c r="C2461">
        <v>2025</v>
      </c>
      <c r="D2461" t="s">
        <v>24</v>
      </c>
      <c r="E2461" t="s">
        <v>25</v>
      </c>
      <c r="F2461" t="s">
        <v>37</v>
      </c>
      <c r="G2461" t="s">
        <v>51</v>
      </c>
      <c r="H2461" t="s">
        <v>28</v>
      </c>
      <c r="I2461" t="s">
        <v>39</v>
      </c>
      <c r="J2461" t="s">
        <v>35</v>
      </c>
      <c r="K2461" s="2">
        <v>3100</v>
      </c>
      <c r="L2461" s="2">
        <v>12000</v>
      </c>
      <c r="M2461">
        <v>24</v>
      </c>
      <c r="N2461" s="3">
        <v>0.252</v>
      </c>
      <c r="O2461" t="s">
        <v>16</v>
      </c>
      <c r="Q2461">
        <v>1</v>
      </c>
      <c r="R2461">
        <v>0</v>
      </c>
      <c r="S2461" s="2">
        <v>9500</v>
      </c>
      <c r="T2461" s="4">
        <v>0.12620000000000001</v>
      </c>
      <c r="U2461">
        <v>3</v>
      </c>
      <c r="V2461">
        <v>1</v>
      </c>
      <c r="W2461">
        <v>1</v>
      </c>
    </row>
    <row r="2462" spans="1:23" ht="16.5" x14ac:dyDescent="0.3">
      <c r="A2462" t="s">
        <v>2526</v>
      </c>
      <c r="B2462" s="1">
        <v>45665</v>
      </c>
      <c r="C2462">
        <v>2025</v>
      </c>
      <c r="D2462" t="s">
        <v>24</v>
      </c>
      <c r="E2462" t="s">
        <v>25</v>
      </c>
      <c r="F2462" t="s">
        <v>41</v>
      </c>
      <c r="G2462" t="s">
        <v>45</v>
      </c>
      <c r="H2462" t="s">
        <v>64</v>
      </c>
      <c r="I2462" t="s">
        <v>29</v>
      </c>
      <c r="J2462" t="s">
        <v>35</v>
      </c>
      <c r="K2462" s="2">
        <v>6650</v>
      </c>
      <c r="L2462" s="2">
        <v>82000</v>
      </c>
      <c r="M2462">
        <v>24</v>
      </c>
      <c r="N2462" s="3">
        <v>0.69099999999999995</v>
      </c>
      <c r="O2462" t="s">
        <v>17</v>
      </c>
      <c r="P2462" t="s">
        <v>53</v>
      </c>
      <c r="Q2462">
        <v>0</v>
      </c>
      <c r="R2462">
        <v>1</v>
      </c>
      <c r="S2462" s="2">
        <v>0</v>
      </c>
      <c r="T2462" s="4"/>
      <c r="U2462">
        <v>9</v>
      </c>
      <c r="V2462">
        <v>1</v>
      </c>
      <c r="W2462">
        <v>1</v>
      </c>
    </row>
    <row r="2463" spans="1:23" ht="16.5" x14ac:dyDescent="0.3">
      <c r="A2463" t="s">
        <v>2527</v>
      </c>
      <c r="B2463" s="1">
        <v>45665</v>
      </c>
      <c r="C2463">
        <v>2025</v>
      </c>
      <c r="D2463" t="s">
        <v>24</v>
      </c>
      <c r="E2463" t="s">
        <v>25</v>
      </c>
      <c r="F2463" t="s">
        <v>26</v>
      </c>
      <c r="G2463" t="s">
        <v>45</v>
      </c>
      <c r="H2463" t="s">
        <v>55</v>
      </c>
      <c r="I2463" t="s">
        <v>29</v>
      </c>
      <c r="J2463" t="s">
        <v>43</v>
      </c>
      <c r="K2463" s="2">
        <v>4400</v>
      </c>
      <c r="L2463" s="2">
        <v>23000</v>
      </c>
      <c r="M2463">
        <v>60</v>
      </c>
      <c r="N2463" s="3">
        <v>0.26500000000000001</v>
      </c>
      <c r="O2463" t="s">
        <v>17</v>
      </c>
      <c r="P2463" t="s">
        <v>31</v>
      </c>
      <c r="Q2463">
        <v>0</v>
      </c>
      <c r="R2463">
        <v>1</v>
      </c>
      <c r="S2463" s="2">
        <v>0</v>
      </c>
      <c r="T2463" s="4"/>
      <c r="U2463">
        <v>2</v>
      </c>
      <c r="V2463">
        <v>1</v>
      </c>
      <c r="W2463">
        <v>1</v>
      </c>
    </row>
    <row r="2464" spans="1:23" ht="16.5" x14ac:dyDescent="0.3">
      <c r="A2464" t="s">
        <v>2528</v>
      </c>
      <c r="B2464" s="1">
        <v>45665</v>
      </c>
      <c r="C2464">
        <v>2025</v>
      </c>
      <c r="D2464" t="s">
        <v>24</v>
      </c>
      <c r="E2464" t="s">
        <v>25</v>
      </c>
      <c r="F2464" t="s">
        <v>26</v>
      </c>
      <c r="G2464" t="s">
        <v>45</v>
      </c>
      <c r="H2464" t="s">
        <v>34</v>
      </c>
      <c r="I2464" t="s">
        <v>29</v>
      </c>
      <c r="J2464" t="s">
        <v>52</v>
      </c>
      <c r="K2464" s="2">
        <v>6200</v>
      </c>
      <c r="L2464" s="2">
        <v>19000</v>
      </c>
      <c r="M2464">
        <v>60</v>
      </c>
      <c r="N2464" s="3">
        <v>0.185</v>
      </c>
      <c r="O2464" t="s">
        <v>16</v>
      </c>
      <c r="Q2464">
        <v>1</v>
      </c>
      <c r="R2464">
        <v>0</v>
      </c>
      <c r="S2464" s="2">
        <v>19000</v>
      </c>
      <c r="T2464" s="4">
        <v>6.7900000000000002E-2</v>
      </c>
      <c r="U2464">
        <v>3</v>
      </c>
      <c r="V2464">
        <v>1</v>
      </c>
      <c r="W2464">
        <v>1</v>
      </c>
    </row>
    <row r="2465" spans="1:23" ht="16.5" x14ac:dyDescent="0.3">
      <c r="A2465" t="s">
        <v>2529</v>
      </c>
      <c r="B2465" s="1">
        <v>45665</v>
      </c>
      <c r="C2465">
        <v>2025</v>
      </c>
      <c r="D2465" t="s">
        <v>24</v>
      </c>
      <c r="E2465" t="s">
        <v>25</v>
      </c>
      <c r="F2465" t="s">
        <v>37</v>
      </c>
      <c r="G2465" t="s">
        <v>33</v>
      </c>
      <c r="H2465" t="s">
        <v>55</v>
      </c>
      <c r="I2465" t="s">
        <v>29</v>
      </c>
      <c r="J2465" t="s">
        <v>35</v>
      </c>
      <c r="K2465" s="2">
        <v>7050</v>
      </c>
      <c r="L2465" s="2">
        <v>14500</v>
      </c>
      <c r="M2465">
        <v>12</v>
      </c>
      <c r="N2465" s="3">
        <v>0.246</v>
      </c>
      <c r="O2465" t="s">
        <v>17</v>
      </c>
      <c r="P2465" t="s">
        <v>60</v>
      </c>
      <c r="Q2465">
        <v>0</v>
      </c>
      <c r="R2465">
        <v>1</v>
      </c>
      <c r="S2465" s="2">
        <v>0</v>
      </c>
      <c r="T2465" s="4"/>
      <c r="U2465">
        <v>5</v>
      </c>
      <c r="V2465">
        <v>0</v>
      </c>
      <c r="W2465">
        <v>1</v>
      </c>
    </row>
    <row r="2466" spans="1:23" ht="16.5" x14ac:dyDescent="0.3">
      <c r="A2466" t="s">
        <v>2530</v>
      </c>
      <c r="B2466" s="1">
        <v>45665</v>
      </c>
      <c r="C2466">
        <v>2025</v>
      </c>
      <c r="D2466" t="s">
        <v>24</v>
      </c>
      <c r="E2466" t="s">
        <v>25</v>
      </c>
      <c r="F2466" t="s">
        <v>26</v>
      </c>
      <c r="G2466" t="s">
        <v>33</v>
      </c>
      <c r="H2466" t="s">
        <v>38</v>
      </c>
      <c r="I2466" t="s">
        <v>39</v>
      </c>
      <c r="J2466" t="s">
        <v>30</v>
      </c>
      <c r="K2466" s="2">
        <v>3950</v>
      </c>
      <c r="L2466" s="2">
        <v>15500</v>
      </c>
      <c r="M2466">
        <v>60</v>
      </c>
      <c r="N2466" s="3">
        <v>0.30299999999999999</v>
      </c>
      <c r="O2466" t="s">
        <v>16</v>
      </c>
      <c r="Q2466">
        <v>1</v>
      </c>
      <c r="R2466">
        <v>0</v>
      </c>
      <c r="S2466" s="2">
        <v>15500</v>
      </c>
      <c r="T2466" s="4">
        <v>9.5100000000000004E-2</v>
      </c>
      <c r="U2466">
        <v>1</v>
      </c>
      <c r="V2466">
        <v>1</v>
      </c>
      <c r="W2466">
        <v>1</v>
      </c>
    </row>
    <row r="2467" spans="1:23" ht="16.5" x14ac:dyDescent="0.3">
      <c r="A2467" t="s">
        <v>2531</v>
      </c>
      <c r="B2467" s="1">
        <v>45666</v>
      </c>
      <c r="C2467">
        <v>2025</v>
      </c>
      <c r="D2467" t="s">
        <v>24</v>
      </c>
      <c r="E2467" t="s">
        <v>25</v>
      </c>
      <c r="F2467" t="s">
        <v>50</v>
      </c>
      <c r="G2467" t="s">
        <v>33</v>
      </c>
      <c r="H2467" t="s">
        <v>55</v>
      </c>
      <c r="I2467" t="s">
        <v>29</v>
      </c>
      <c r="J2467" t="s">
        <v>52</v>
      </c>
      <c r="K2467" s="2">
        <v>4250</v>
      </c>
      <c r="L2467" s="2">
        <v>351000</v>
      </c>
      <c r="M2467">
        <v>240</v>
      </c>
      <c r="N2467" s="3">
        <v>0.78900000000000003</v>
      </c>
      <c r="O2467" t="s">
        <v>16</v>
      </c>
      <c r="Q2467">
        <v>1</v>
      </c>
      <c r="R2467">
        <v>0</v>
      </c>
      <c r="S2467" s="2">
        <v>351000</v>
      </c>
      <c r="T2467" s="4">
        <v>5.11E-2</v>
      </c>
      <c r="U2467">
        <v>6</v>
      </c>
      <c r="V2467">
        <v>1</v>
      </c>
      <c r="W2467">
        <v>1</v>
      </c>
    </row>
    <row r="2468" spans="1:23" ht="16.5" x14ac:dyDescent="0.3">
      <c r="A2468" t="s">
        <v>2532</v>
      </c>
      <c r="B2468" s="1">
        <v>45666</v>
      </c>
      <c r="C2468">
        <v>2025</v>
      </c>
      <c r="D2468" t="s">
        <v>24</v>
      </c>
      <c r="E2468" t="s">
        <v>25</v>
      </c>
      <c r="F2468" t="s">
        <v>50</v>
      </c>
      <c r="G2468" t="s">
        <v>45</v>
      </c>
      <c r="H2468" t="s">
        <v>55</v>
      </c>
      <c r="I2468" t="s">
        <v>29</v>
      </c>
      <c r="J2468" t="s">
        <v>30</v>
      </c>
      <c r="K2468" s="2">
        <v>8850</v>
      </c>
      <c r="L2468" s="2">
        <v>188500</v>
      </c>
      <c r="M2468">
        <v>300</v>
      </c>
      <c r="N2468" s="3">
        <v>0.36899999999999999</v>
      </c>
      <c r="O2468" t="s">
        <v>16</v>
      </c>
      <c r="Q2468">
        <v>1</v>
      </c>
      <c r="R2468">
        <v>0</v>
      </c>
      <c r="S2468" s="2">
        <v>188500</v>
      </c>
      <c r="T2468" s="4">
        <v>7.3899999999999993E-2</v>
      </c>
      <c r="U2468">
        <v>11</v>
      </c>
      <c r="V2468">
        <v>1</v>
      </c>
      <c r="W2468">
        <v>1</v>
      </c>
    </row>
    <row r="2469" spans="1:23" ht="16.5" x14ac:dyDescent="0.3">
      <c r="A2469" t="s">
        <v>2533</v>
      </c>
      <c r="B2469" s="1">
        <v>45666</v>
      </c>
      <c r="C2469">
        <v>2025</v>
      </c>
      <c r="D2469" t="s">
        <v>24</v>
      </c>
      <c r="E2469" t="s">
        <v>25</v>
      </c>
      <c r="F2469" t="s">
        <v>37</v>
      </c>
      <c r="G2469" t="s">
        <v>33</v>
      </c>
      <c r="H2469" t="s">
        <v>38</v>
      </c>
      <c r="I2469" t="s">
        <v>39</v>
      </c>
      <c r="J2469" t="s">
        <v>30</v>
      </c>
      <c r="K2469" s="2">
        <v>6300</v>
      </c>
      <c r="L2469" s="2">
        <v>19000</v>
      </c>
      <c r="M2469">
        <v>36</v>
      </c>
      <c r="N2469" s="3">
        <v>0.33100000000000002</v>
      </c>
      <c r="O2469" t="s">
        <v>16</v>
      </c>
      <c r="Q2469">
        <v>1</v>
      </c>
      <c r="R2469">
        <v>0</v>
      </c>
      <c r="S2469" s="2">
        <v>19000</v>
      </c>
      <c r="T2469" s="4">
        <v>0.13719999999999999</v>
      </c>
      <c r="U2469">
        <v>2</v>
      </c>
      <c r="V2469">
        <v>1</v>
      </c>
      <c r="W2469">
        <v>1</v>
      </c>
    </row>
    <row r="2470" spans="1:23" ht="16.5" x14ac:dyDescent="0.3">
      <c r="A2470" t="s">
        <v>2534</v>
      </c>
      <c r="B2470" s="1">
        <v>45666</v>
      </c>
      <c r="C2470">
        <v>2025</v>
      </c>
      <c r="D2470" t="s">
        <v>24</v>
      </c>
      <c r="E2470" t="s">
        <v>25</v>
      </c>
      <c r="F2470" t="s">
        <v>37</v>
      </c>
      <c r="G2470" t="s">
        <v>45</v>
      </c>
      <c r="H2470" t="s">
        <v>34</v>
      </c>
      <c r="I2470" t="s">
        <v>39</v>
      </c>
      <c r="J2470" t="s">
        <v>30</v>
      </c>
      <c r="K2470" s="2">
        <v>3100</v>
      </c>
      <c r="L2470" s="2">
        <v>15000</v>
      </c>
      <c r="M2470">
        <v>60</v>
      </c>
      <c r="N2470" s="3">
        <v>0.20300000000000001</v>
      </c>
      <c r="O2470" t="s">
        <v>16</v>
      </c>
      <c r="Q2470">
        <v>1</v>
      </c>
      <c r="R2470">
        <v>0</v>
      </c>
      <c r="S2470" s="2">
        <v>12000</v>
      </c>
      <c r="T2470" s="4">
        <v>0.14099999999999999</v>
      </c>
      <c r="U2470">
        <v>2</v>
      </c>
      <c r="V2470">
        <v>1</v>
      </c>
      <c r="W2470">
        <v>1</v>
      </c>
    </row>
    <row r="2471" spans="1:23" ht="16.5" x14ac:dyDescent="0.3">
      <c r="A2471" t="s">
        <v>2535</v>
      </c>
      <c r="B2471" s="1">
        <v>45666</v>
      </c>
      <c r="C2471">
        <v>2025</v>
      </c>
      <c r="D2471" t="s">
        <v>24</v>
      </c>
      <c r="E2471" t="s">
        <v>25</v>
      </c>
      <c r="F2471" t="s">
        <v>50</v>
      </c>
      <c r="G2471" t="s">
        <v>33</v>
      </c>
      <c r="H2471" t="s">
        <v>38</v>
      </c>
      <c r="I2471" t="s">
        <v>29</v>
      </c>
      <c r="J2471" t="s">
        <v>35</v>
      </c>
      <c r="K2471" s="2">
        <v>6250</v>
      </c>
      <c r="L2471" s="2">
        <v>232500</v>
      </c>
      <c r="M2471">
        <v>240</v>
      </c>
      <c r="N2471" s="3">
        <v>0.47299999999999998</v>
      </c>
      <c r="O2471" t="s">
        <v>16</v>
      </c>
      <c r="Q2471">
        <v>1</v>
      </c>
      <c r="R2471">
        <v>0</v>
      </c>
      <c r="S2471" s="2">
        <v>232500</v>
      </c>
      <c r="T2471" s="4">
        <v>5.9400000000000001E-2</v>
      </c>
      <c r="U2471">
        <v>8</v>
      </c>
      <c r="V2471">
        <v>1</v>
      </c>
      <c r="W2471">
        <v>1</v>
      </c>
    </row>
    <row r="2472" spans="1:23" ht="16.5" x14ac:dyDescent="0.3">
      <c r="A2472" t="s">
        <v>2536</v>
      </c>
      <c r="B2472" s="1">
        <v>45666</v>
      </c>
      <c r="C2472">
        <v>2025</v>
      </c>
      <c r="D2472" t="s">
        <v>24</v>
      </c>
      <c r="E2472" t="s">
        <v>25</v>
      </c>
      <c r="F2472" t="s">
        <v>50</v>
      </c>
      <c r="G2472" t="s">
        <v>33</v>
      </c>
      <c r="H2472" t="s">
        <v>55</v>
      </c>
      <c r="I2472" t="s">
        <v>29</v>
      </c>
      <c r="J2472" t="s">
        <v>43</v>
      </c>
      <c r="K2472" s="2">
        <v>6900</v>
      </c>
      <c r="L2472" s="2">
        <v>144000</v>
      </c>
      <c r="M2472">
        <v>300</v>
      </c>
      <c r="N2472" s="3">
        <v>0.252</v>
      </c>
      <c r="O2472" t="s">
        <v>16</v>
      </c>
      <c r="Q2472">
        <v>1</v>
      </c>
      <c r="R2472">
        <v>0</v>
      </c>
      <c r="S2472" s="2">
        <v>129500</v>
      </c>
      <c r="T2472" s="4">
        <v>9.2299999999999993E-2</v>
      </c>
      <c r="U2472">
        <v>3</v>
      </c>
      <c r="V2472">
        <v>1</v>
      </c>
      <c r="W2472">
        <v>1</v>
      </c>
    </row>
    <row r="2473" spans="1:23" ht="16.5" x14ac:dyDescent="0.3">
      <c r="A2473" t="s">
        <v>2537</v>
      </c>
      <c r="B2473" s="1">
        <v>45666</v>
      </c>
      <c r="C2473">
        <v>2025</v>
      </c>
      <c r="D2473" t="s">
        <v>24</v>
      </c>
      <c r="E2473" t="s">
        <v>25</v>
      </c>
      <c r="F2473" t="s">
        <v>37</v>
      </c>
      <c r="G2473" t="s">
        <v>51</v>
      </c>
      <c r="H2473" t="s">
        <v>55</v>
      </c>
      <c r="I2473" t="s">
        <v>39</v>
      </c>
      <c r="J2473" t="s">
        <v>52</v>
      </c>
      <c r="K2473" s="2">
        <v>2800</v>
      </c>
      <c r="L2473" s="2">
        <v>14500</v>
      </c>
      <c r="M2473">
        <v>60</v>
      </c>
      <c r="N2473" s="3">
        <v>0.33700000000000002</v>
      </c>
      <c r="O2473" t="s">
        <v>16</v>
      </c>
      <c r="Q2473">
        <v>1</v>
      </c>
      <c r="R2473">
        <v>0</v>
      </c>
      <c r="S2473" s="2">
        <v>14500</v>
      </c>
      <c r="T2473" s="4">
        <v>0.1108</v>
      </c>
      <c r="U2473">
        <v>4</v>
      </c>
      <c r="V2473">
        <v>0</v>
      </c>
      <c r="W2473">
        <v>1</v>
      </c>
    </row>
    <row r="2474" spans="1:23" ht="16.5" x14ac:dyDescent="0.3">
      <c r="A2474" t="s">
        <v>2538</v>
      </c>
      <c r="B2474" s="1">
        <v>45666</v>
      </c>
      <c r="C2474">
        <v>2025</v>
      </c>
      <c r="D2474" t="s">
        <v>24</v>
      </c>
      <c r="E2474" t="s">
        <v>25</v>
      </c>
      <c r="F2474" t="s">
        <v>50</v>
      </c>
      <c r="G2474" t="s">
        <v>51</v>
      </c>
      <c r="H2474" t="s">
        <v>28</v>
      </c>
      <c r="I2474" t="s">
        <v>29</v>
      </c>
      <c r="J2474" t="s">
        <v>35</v>
      </c>
      <c r="K2474" s="2">
        <v>3700</v>
      </c>
      <c r="L2474" s="2">
        <v>129000</v>
      </c>
      <c r="M2474">
        <v>240</v>
      </c>
      <c r="N2474" s="3">
        <v>0.41</v>
      </c>
      <c r="O2474" t="s">
        <v>16</v>
      </c>
      <c r="Q2474">
        <v>1</v>
      </c>
      <c r="R2474">
        <v>0</v>
      </c>
      <c r="S2474" s="2">
        <v>103000</v>
      </c>
      <c r="T2474" s="4">
        <v>6.0299999999999999E-2</v>
      </c>
      <c r="U2474">
        <v>12</v>
      </c>
      <c r="V2474">
        <v>1</v>
      </c>
      <c r="W2474">
        <v>1</v>
      </c>
    </row>
    <row r="2475" spans="1:23" ht="16.5" x14ac:dyDescent="0.3">
      <c r="A2475" t="s">
        <v>2539</v>
      </c>
      <c r="B2475" s="1">
        <v>45666</v>
      </c>
      <c r="C2475">
        <v>2025</v>
      </c>
      <c r="D2475" t="s">
        <v>24</v>
      </c>
      <c r="E2475" t="s">
        <v>25</v>
      </c>
      <c r="F2475" t="s">
        <v>37</v>
      </c>
      <c r="G2475" t="s">
        <v>45</v>
      </c>
      <c r="H2475" t="s">
        <v>55</v>
      </c>
      <c r="I2475" t="s">
        <v>39</v>
      </c>
      <c r="J2475" t="s">
        <v>46</v>
      </c>
      <c r="K2475" s="2">
        <v>6550</v>
      </c>
      <c r="L2475" s="2">
        <v>7500</v>
      </c>
      <c r="M2475">
        <v>12</v>
      </c>
      <c r="N2475" s="3">
        <v>0.23899999999999999</v>
      </c>
      <c r="O2475" t="s">
        <v>16</v>
      </c>
      <c r="Q2475">
        <v>1</v>
      </c>
      <c r="R2475">
        <v>0</v>
      </c>
      <c r="S2475" s="2">
        <v>7500</v>
      </c>
      <c r="T2475" s="4">
        <v>0.11020000000000001</v>
      </c>
      <c r="U2475">
        <v>2</v>
      </c>
      <c r="V2475">
        <v>1</v>
      </c>
      <c r="W2475">
        <v>1</v>
      </c>
    </row>
    <row r="2476" spans="1:23" ht="16.5" x14ac:dyDescent="0.3">
      <c r="A2476" t="s">
        <v>2540</v>
      </c>
      <c r="B2476" s="1">
        <v>45667</v>
      </c>
      <c r="C2476">
        <v>2025</v>
      </c>
      <c r="D2476" t="s">
        <v>24</v>
      </c>
      <c r="E2476" t="s">
        <v>25</v>
      </c>
      <c r="F2476" t="s">
        <v>50</v>
      </c>
      <c r="G2476" t="s">
        <v>45</v>
      </c>
      <c r="H2476" t="s">
        <v>55</v>
      </c>
      <c r="I2476" t="s">
        <v>29</v>
      </c>
      <c r="J2476" t="s">
        <v>30</v>
      </c>
      <c r="K2476" s="2">
        <v>2450</v>
      </c>
      <c r="L2476" s="2">
        <v>186500</v>
      </c>
      <c r="M2476">
        <v>180</v>
      </c>
      <c r="N2476" s="3">
        <v>0.82799999999999996</v>
      </c>
      <c r="O2476" t="s">
        <v>17</v>
      </c>
      <c r="P2476" t="s">
        <v>60</v>
      </c>
      <c r="Q2476">
        <v>0</v>
      </c>
      <c r="R2476">
        <v>1</v>
      </c>
      <c r="S2476" s="2">
        <v>0</v>
      </c>
      <c r="T2476" s="4"/>
      <c r="U2476">
        <v>11</v>
      </c>
      <c r="V2476">
        <v>1</v>
      </c>
      <c r="W2476">
        <v>1</v>
      </c>
    </row>
    <row r="2477" spans="1:23" ht="16.5" x14ac:dyDescent="0.3">
      <c r="A2477" t="s">
        <v>2541</v>
      </c>
      <c r="B2477" s="1">
        <v>45667</v>
      </c>
      <c r="C2477">
        <v>2025</v>
      </c>
      <c r="D2477" t="s">
        <v>24</v>
      </c>
      <c r="E2477" t="s">
        <v>25</v>
      </c>
      <c r="F2477" t="s">
        <v>26</v>
      </c>
      <c r="G2477" t="s">
        <v>45</v>
      </c>
      <c r="H2477" t="s">
        <v>34</v>
      </c>
      <c r="I2477" t="s">
        <v>42</v>
      </c>
      <c r="J2477" t="s">
        <v>35</v>
      </c>
      <c r="K2477" s="2">
        <v>3900</v>
      </c>
      <c r="L2477" s="2">
        <v>21500</v>
      </c>
      <c r="M2477">
        <v>48</v>
      </c>
      <c r="N2477" s="3">
        <v>0.255</v>
      </c>
      <c r="O2477" t="s">
        <v>16</v>
      </c>
      <c r="Q2477">
        <v>1</v>
      </c>
      <c r="R2477">
        <v>0</v>
      </c>
      <c r="S2477" s="2">
        <v>21500</v>
      </c>
      <c r="T2477" s="4">
        <v>8.48E-2</v>
      </c>
      <c r="U2477">
        <v>2</v>
      </c>
      <c r="V2477">
        <v>1</v>
      </c>
      <c r="W2477">
        <v>1</v>
      </c>
    </row>
    <row r="2478" spans="1:23" ht="16.5" x14ac:dyDescent="0.3">
      <c r="A2478" t="s">
        <v>2542</v>
      </c>
      <c r="B2478" s="1">
        <v>45667</v>
      </c>
      <c r="C2478">
        <v>2025</v>
      </c>
      <c r="D2478" t="s">
        <v>24</v>
      </c>
      <c r="E2478" t="s">
        <v>25</v>
      </c>
      <c r="F2478" t="s">
        <v>37</v>
      </c>
      <c r="G2478" t="s">
        <v>51</v>
      </c>
      <c r="H2478" t="s">
        <v>34</v>
      </c>
      <c r="I2478" t="s">
        <v>39</v>
      </c>
      <c r="J2478" t="s">
        <v>35</v>
      </c>
      <c r="K2478" s="2">
        <v>4550</v>
      </c>
      <c r="L2478" s="2">
        <v>16000</v>
      </c>
      <c r="M2478">
        <v>60</v>
      </c>
      <c r="N2478" s="3">
        <v>0.128</v>
      </c>
      <c r="O2478" t="s">
        <v>16</v>
      </c>
      <c r="Q2478">
        <v>1</v>
      </c>
      <c r="R2478">
        <v>0</v>
      </c>
      <c r="S2478" s="2">
        <v>13000</v>
      </c>
      <c r="T2478" s="4">
        <v>0.1222</v>
      </c>
      <c r="U2478">
        <v>5</v>
      </c>
      <c r="V2478">
        <v>0</v>
      </c>
      <c r="W2478">
        <v>1</v>
      </c>
    </row>
    <row r="2479" spans="1:23" ht="16.5" x14ac:dyDescent="0.3">
      <c r="A2479" t="s">
        <v>2543</v>
      </c>
      <c r="B2479" s="1">
        <v>45667</v>
      </c>
      <c r="C2479">
        <v>2025</v>
      </c>
      <c r="D2479" t="s">
        <v>24</v>
      </c>
      <c r="E2479" t="s">
        <v>25</v>
      </c>
      <c r="F2479" t="s">
        <v>37</v>
      </c>
      <c r="G2479" t="s">
        <v>33</v>
      </c>
      <c r="H2479" t="s">
        <v>38</v>
      </c>
      <c r="I2479" t="s">
        <v>29</v>
      </c>
      <c r="J2479" t="s">
        <v>35</v>
      </c>
      <c r="K2479" s="2">
        <v>4600</v>
      </c>
      <c r="L2479" s="2">
        <v>5000</v>
      </c>
      <c r="M2479">
        <v>12</v>
      </c>
      <c r="N2479" s="3">
        <v>0.27800000000000002</v>
      </c>
      <c r="O2479" t="s">
        <v>16</v>
      </c>
      <c r="Q2479">
        <v>1</v>
      </c>
      <c r="R2479">
        <v>0</v>
      </c>
      <c r="S2479" s="2">
        <v>4500</v>
      </c>
      <c r="T2479" s="4">
        <v>0.12189999999999999</v>
      </c>
      <c r="U2479">
        <v>1</v>
      </c>
      <c r="V2479">
        <v>1</v>
      </c>
      <c r="W2479">
        <v>1</v>
      </c>
    </row>
    <row r="2480" spans="1:23" ht="16.5" x14ac:dyDescent="0.3">
      <c r="A2480" t="s">
        <v>2544</v>
      </c>
      <c r="B2480" s="1">
        <v>45667</v>
      </c>
      <c r="C2480">
        <v>2025</v>
      </c>
      <c r="D2480" t="s">
        <v>24</v>
      </c>
      <c r="E2480" t="s">
        <v>25</v>
      </c>
      <c r="F2480" t="s">
        <v>41</v>
      </c>
      <c r="G2480" t="s">
        <v>45</v>
      </c>
      <c r="H2480" t="s">
        <v>38</v>
      </c>
      <c r="I2480" t="s">
        <v>39</v>
      </c>
      <c r="J2480" t="s">
        <v>35</v>
      </c>
      <c r="K2480" s="2">
        <v>2800</v>
      </c>
      <c r="L2480" s="2">
        <v>69000</v>
      </c>
      <c r="M2480">
        <v>12</v>
      </c>
      <c r="N2480" s="3">
        <v>2.3159999999999998</v>
      </c>
      <c r="O2480" t="s">
        <v>17</v>
      </c>
      <c r="P2480" t="s">
        <v>60</v>
      </c>
      <c r="Q2480">
        <v>0</v>
      </c>
      <c r="R2480">
        <v>1</v>
      </c>
      <c r="S2480" s="2">
        <v>0</v>
      </c>
      <c r="T2480" s="4"/>
      <c r="U2480">
        <v>10</v>
      </c>
      <c r="V2480">
        <v>1</v>
      </c>
      <c r="W2480">
        <v>1</v>
      </c>
    </row>
    <row r="2481" spans="1:23" ht="16.5" x14ac:dyDescent="0.3">
      <c r="A2481" t="s">
        <v>2545</v>
      </c>
      <c r="B2481" s="1">
        <v>45667</v>
      </c>
      <c r="C2481">
        <v>2025</v>
      </c>
      <c r="D2481" t="s">
        <v>24</v>
      </c>
      <c r="E2481" t="s">
        <v>25</v>
      </c>
      <c r="F2481" t="s">
        <v>50</v>
      </c>
      <c r="G2481" t="s">
        <v>45</v>
      </c>
      <c r="H2481" t="s">
        <v>55</v>
      </c>
      <c r="I2481" t="s">
        <v>29</v>
      </c>
      <c r="J2481" t="s">
        <v>52</v>
      </c>
      <c r="K2481" s="2">
        <v>6350</v>
      </c>
      <c r="L2481" s="2">
        <v>158000</v>
      </c>
      <c r="M2481">
        <v>240</v>
      </c>
      <c r="N2481" s="3">
        <v>0.34300000000000003</v>
      </c>
      <c r="O2481" t="s">
        <v>16</v>
      </c>
      <c r="Q2481">
        <v>1</v>
      </c>
      <c r="R2481">
        <v>0</v>
      </c>
      <c r="S2481" s="2">
        <v>158000</v>
      </c>
      <c r="T2481" s="4">
        <v>5.0299999999999997E-2</v>
      </c>
      <c r="U2481">
        <v>8</v>
      </c>
      <c r="V2481">
        <v>1</v>
      </c>
      <c r="W2481">
        <v>1</v>
      </c>
    </row>
    <row r="2482" spans="1:23" ht="16.5" x14ac:dyDescent="0.3">
      <c r="A2482" t="s">
        <v>2546</v>
      </c>
      <c r="B2482" s="1">
        <v>45667</v>
      </c>
      <c r="C2482">
        <v>2025</v>
      </c>
      <c r="D2482" t="s">
        <v>24</v>
      </c>
      <c r="E2482" t="s">
        <v>25</v>
      </c>
      <c r="F2482" t="s">
        <v>41</v>
      </c>
      <c r="G2482" t="s">
        <v>51</v>
      </c>
      <c r="H2482" t="s">
        <v>55</v>
      </c>
      <c r="I2482" t="s">
        <v>39</v>
      </c>
      <c r="J2482" t="s">
        <v>43</v>
      </c>
      <c r="K2482" s="2">
        <v>8900</v>
      </c>
      <c r="L2482" s="2">
        <v>49000</v>
      </c>
      <c r="M2482">
        <v>12</v>
      </c>
      <c r="N2482" s="3">
        <v>0.55300000000000005</v>
      </c>
      <c r="O2482" t="s">
        <v>16</v>
      </c>
      <c r="Q2482">
        <v>1</v>
      </c>
      <c r="R2482">
        <v>0</v>
      </c>
      <c r="S2482" s="2">
        <v>49000</v>
      </c>
      <c r="T2482" s="4">
        <v>0.1477</v>
      </c>
      <c r="U2482">
        <v>17</v>
      </c>
      <c r="V2482">
        <v>0</v>
      </c>
      <c r="W2482">
        <v>1</v>
      </c>
    </row>
    <row r="2483" spans="1:23" ht="16.5" x14ac:dyDescent="0.3">
      <c r="A2483" t="s">
        <v>2547</v>
      </c>
      <c r="B2483" s="1">
        <v>45667</v>
      </c>
      <c r="C2483">
        <v>2025</v>
      </c>
      <c r="D2483" t="s">
        <v>24</v>
      </c>
      <c r="E2483" t="s">
        <v>25</v>
      </c>
      <c r="F2483" t="s">
        <v>37</v>
      </c>
      <c r="G2483" t="s">
        <v>33</v>
      </c>
      <c r="H2483" t="s">
        <v>38</v>
      </c>
      <c r="I2483" t="s">
        <v>39</v>
      </c>
      <c r="J2483" t="s">
        <v>52</v>
      </c>
      <c r="K2483" s="2">
        <v>4150</v>
      </c>
      <c r="L2483" s="2">
        <v>18000</v>
      </c>
      <c r="M2483">
        <v>48</v>
      </c>
      <c r="N2483" s="3">
        <v>0.191</v>
      </c>
      <c r="O2483" t="s">
        <v>16</v>
      </c>
      <c r="Q2483">
        <v>1</v>
      </c>
      <c r="R2483">
        <v>0</v>
      </c>
      <c r="S2483" s="2">
        <v>18000</v>
      </c>
      <c r="T2483" s="4">
        <v>0.1152</v>
      </c>
      <c r="U2483">
        <v>1</v>
      </c>
      <c r="V2483">
        <v>1</v>
      </c>
      <c r="W2483">
        <v>1</v>
      </c>
    </row>
    <row r="2484" spans="1:23" ht="16.5" x14ac:dyDescent="0.3">
      <c r="A2484" t="s">
        <v>2548</v>
      </c>
      <c r="B2484" s="1">
        <v>45668</v>
      </c>
      <c r="C2484">
        <v>2025</v>
      </c>
      <c r="D2484" t="s">
        <v>24</v>
      </c>
      <c r="E2484" t="s">
        <v>25</v>
      </c>
      <c r="F2484" t="s">
        <v>37</v>
      </c>
      <c r="G2484" t="s">
        <v>33</v>
      </c>
      <c r="H2484" t="s">
        <v>34</v>
      </c>
      <c r="I2484" t="s">
        <v>39</v>
      </c>
      <c r="J2484" t="s">
        <v>52</v>
      </c>
      <c r="K2484" s="2">
        <v>5550</v>
      </c>
      <c r="L2484" s="2">
        <v>22500</v>
      </c>
      <c r="M2484">
        <v>60</v>
      </c>
      <c r="N2484" s="3">
        <v>0.23499999999999999</v>
      </c>
      <c r="O2484" t="s">
        <v>16</v>
      </c>
      <c r="Q2484">
        <v>1</v>
      </c>
      <c r="R2484">
        <v>0</v>
      </c>
      <c r="S2484" s="2">
        <v>22500</v>
      </c>
      <c r="T2484" s="4">
        <v>0.1118</v>
      </c>
      <c r="U2484">
        <v>2</v>
      </c>
      <c r="V2484">
        <v>1</v>
      </c>
      <c r="W2484">
        <v>1</v>
      </c>
    </row>
    <row r="2485" spans="1:23" ht="16.5" x14ac:dyDescent="0.3">
      <c r="A2485" t="s">
        <v>2549</v>
      </c>
      <c r="B2485" s="1">
        <v>45668</v>
      </c>
      <c r="C2485">
        <v>2025</v>
      </c>
      <c r="D2485" t="s">
        <v>24</v>
      </c>
      <c r="E2485" t="s">
        <v>25</v>
      </c>
      <c r="F2485" t="s">
        <v>37</v>
      </c>
      <c r="G2485" t="s">
        <v>51</v>
      </c>
      <c r="H2485" t="s">
        <v>34</v>
      </c>
      <c r="I2485" t="s">
        <v>29</v>
      </c>
      <c r="J2485" t="s">
        <v>52</v>
      </c>
      <c r="K2485" s="2">
        <v>5950</v>
      </c>
      <c r="L2485" s="2">
        <v>14000</v>
      </c>
      <c r="M2485">
        <v>24</v>
      </c>
      <c r="N2485" s="3">
        <v>0.19700000000000001</v>
      </c>
      <c r="O2485" t="s">
        <v>16</v>
      </c>
      <c r="Q2485">
        <v>1</v>
      </c>
      <c r="R2485">
        <v>0</v>
      </c>
      <c r="S2485" s="2">
        <v>14000</v>
      </c>
      <c r="T2485" s="4">
        <v>0.1181</v>
      </c>
      <c r="U2485">
        <v>3</v>
      </c>
      <c r="V2485">
        <v>1</v>
      </c>
      <c r="W2485">
        <v>1</v>
      </c>
    </row>
    <row r="2486" spans="1:23" ht="16.5" x14ac:dyDescent="0.3">
      <c r="A2486" t="s">
        <v>2550</v>
      </c>
      <c r="B2486" s="1">
        <v>45668</v>
      </c>
      <c r="C2486">
        <v>2025</v>
      </c>
      <c r="D2486" t="s">
        <v>24</v>
      </c>
      <c r="E2486" t="s">
        <v>25</v>
      </c>
      <c r="F2486" t="s">
        <v>41</v>
      </c>
      <c r="G2486" t="s">
        <v>51</v>
      </c>
      <c r="H2486" t="s">
        <v>38</v>
      </c>
      <c r="I2486" t="s">
        <v>42</v>
      </c>
      <c r="J2486" t="s">
        <v>52</v>
      </c>
      <c r="K2486" s="2">
        <v>8500</v>
      </c>
      <c r="L2486" s="2">
        <v>149500</v>
      </c>
      <c r="M2486">
        <v>36</v>
      </c>
      <c r="N2486" s="3">
        <v>0.626</v>
      </c>
      <c r="O2486" t="s">
        <v>16</v>
      </c>
      <c r="Q2486">
        <v>1</v>
      </c>
      <c r="R2486">
        <v>0</v>
      </c>
      <c r="S2486" s="2">
        <v>149500</v>
      </c>
      <c r="T2486" s="4">
        <v>0.10009999999999999</v>
      </c>
      <c r="U2486">
        <v>14</v>
      </c>
      <c r="V2486">
        <v>0</v>
      </c>
      <c r="W2486">
        <v>1</v>
      </c>
    </row>
    <row r="2487" spans="1:23" ht="16.5" x14ac:dyDescent="0.3">
      <c r="A2487" t="s">
        <v>2551</v>
      </c>
      <c r="B2487" s="1">
        <v>45668</v>
      </c>
      <c r="C2487">
        <v>2025</v>
      </c>
      <c r="D2487" t="s">
        <v>24</v>
      </c>
      <c r="E2487" t="s">
        <v>25</v>
      </c>
      <c r="F2487" t="s">
        <v>26</v>
      </c>
      <c r="G2487" t="s">
        <v>33</v>
      </c>
      <c r="H2487" t="s">
        <v>34</v>
      </c>
      <c r="I2487" t="s">
        <v>39</v>
      </c>
      <c r="J2487" t="s">
        <v>30</v>
      </c>
      <c r="K2487" s="2">
        <v>6400</v>
      </c>
      <c r="L2487" s="2">
        <v>36000</v>
      </c>
      <c r="M2487">
        <v>60</v>
      </c>
      <c r="N2487" s="3">
        <v>0.249</v>
      </c>
      <c r="O2487" t="s">
        <v>17</v>
      </c>
      <c r="P2487" t="s">
        <v>31</v>
      </c>
      <c r="Q2487">
        <v>0</v>
      </c>
      <c r="R2487">
        <v>1</v>
      </c>
      <c r="S2487" s="2">
        <v>0</v>
      </c>
      <c r="T2487" s="4"/>
      <c r="U2487">
        <v>1</v>
      </c>
      <c r="V2487">
        <v>1</v>
      </c>
      <c r="W2487">
        <v>1</v>
      </c>
    </row>
    <row r="2488" spans="1:23" ht="16.5" x14ac:dyDescent="0.3">
      <c r="A2488" t="s">
        <v>2552</v>
      </c>
      <c r="B2488" s="1">
        <v>45668</v>
      </c>
      <c r="C2488">
        <v>2025</v>
      </c>
      <c r="D2488" t="s">
        <v>24</v>
      </c>
      <c r="E2488" t="s">
        <v>25</v>
      </c>
      <c r="F2488" t="s">
        <v>26</v>
      </c>
      <c r="G2488" t="s">
        <v>45</v>
      </c>
      <c r="H2488" t="s">
        <v>38</v>
      </c>
      <c r="I2488" t="s">
        <v>39</v>
      </c>
      <c r="J2488" t="s">
        <v>52</v>
      </c>
      <c r="K2488" s="2">
        <v>5550</v>
      </c>
      <c r="L2488" s="2">
        <v>22500</v>
      </c>
      <c r="M2488">
        <v>60</v>
      </c>
      <c r="N2488" s="3">
        <v>0.14699999999999999</v>
      </c>
      <c r="O2488" t="s">
        <v>17</v>
      </c>
      <c r="P2488" t="s">
        <v>65</v>
      </c>
      <c r="Q2488">
        <v>0</v>
      </c>
      <c r="R2488">
        <v>1</v>
      </c>
      <c r="S2488" s="2">
        <v>0</v>
      </c>
      <c r="T2488" s="4"/>
      <c r="U2488">
        <v>2</v>
      </c>
      <c r="V2488">
        <v>1</v>
      </c>
      <c r="W2488">
        <v>1</v>
      </c>
    </row>
    <row r="2489" spans="1:23" ht="16.5" x14ac:dyDescent="0.3">
      <c r="A2489" t="s">
        <v>2553</v>
      </c>
      <c r="B2489" s="1">
        <v>45668</v>
      </c>
      <c r="C2489">
        <v>2025</v>
      </c>
      <c r="D2489" t="s">
        <v>24</v>
      </c>
      <c r="E2489" t="s">
        <v>25</v>
      </c>
      <c r="F2489" t="s">
        <v>26</v>
      </c>
      <c r="G2489" t="s">
        <v>27</v>
      </c>
      <c r="H2489" t="s">
        <v>34</v>
      </c>
      <c r="I2489" t="s">
        <v>29</v>
      </c>
      <c r="J2489" t="s">
        <v>35</v>
      </c>
      <c r="K2489" s="2">
        <v>4550</v>
      </c>
      <c r="L2489" s="2">
        <v>38000</v>
      </c>
      <c r="M2489">
        <v>48</v>
      </c>
      <c r="N2489" s="3">
        <v>0.36099999999999999</v>
      </c>
      <c r="O2489" t="s">
        <v>17</v>
      </c>
      <c r="P2489" t="s">
        <v>60</v>
      </c>
      <c r="Q2489">
        <v>0</v>
      </c>
      <c r="R2489">
        <v>1</v>
      </c>
      <c r="S2489" s="2">
        <v>0</v>
      </c>
      <c r="T2489" s="4"/>
      <c r="U2489">
        <v>11</v>
      </c>
      <c r="V2489">
        <v>0</v>
      </c>
      <c r="W2489">
        <v>1</v>
      </c>
    </row>
    <row r="2490" spans="1:23" ht="16.5" x14ac:dyDescent="0.3">
      <c r="A2490" t="s">
        <v>2554</v>
      </c>
      <c r="B2490" s="1">
        <v>45668</v>
      </c>
      <c r="C2490">
        <v>2025</v>
      </c>
      <c r="D2490" t="s">
        <v>24</v>
      </c>
      <c r="E2490" t="s">
        <v>25</v>
      </c>
      <c r="F2490" t="s">
        <v>50</v>
      </c>
      <c r="G2490" t="s">
        <v>33</v>
      </c>
      <c r="H2490" t="s">
        <v>28</v>
      </c>
      <c r="I2490" t="s">
        <v>39</v>
      </c>
      <c r="J2490" t="s">
        <v>52</v>
      </c>
      <c r="K2490" s="2">
        <v>6550</v>
      </c>
      <c r="L2490" s="2">
        <v>335500</v>
      </c>
      <c r="M2490">
        <v>240</v>
      </c>
      <c r="N2490" s="3">
        <v>0.53700000000000003</v>
      </c>
      <c r="O2490" t="s">
        <v>16</v>
      </c>
      <c r="Q2490">
        <v>1</v>
      </c>
      <c r="R2490">
        <v>0</v>
      </c>
      <c r="S2490" s="2">
        <v>268500</v>
      </c>
      <c r="T2490" s="4">
        <v>5.2499999999999998E-2</v>
      </c>
      <c r="U2490">
        <v>10</v>
      </c>
      <c r="V2490">
        <v>1</v>
      </c>
      <c r="W2490">
        <v>1</v>
      </c>
    </row>
    <row r="2491" spans="1:23" ht="16.5" x14ac:dyDescent="0.3">
      <c r="A2491" t="s">
        <v>2555</v>
      </c>
      <c r="B2491" s="1">
        <v>45668</v>
      </c>
      <c r="C2491">
        <v>2025</v>
      </c>
      <c r="D2491" t="s">
        <v>24</v>
      </c>
      <c r="E2491" t="s">
        <v>25</v>
      </c>
      <c r="F2491" t="s">
        <v>37</v>
      </c>
      <c r="G2491" t="s">
        <v>33</v>
      </c>
      <c r="H2491" t="s">
        <v>55</v>
      </c>
      <c r="I2491" t="s">
        <v>42</v>
      </c>
      <c r="J2491" t="s">
        <v>35</v>
      </c>
      <c r="K2491" s="2">
        <v>6550</v>
      </c>
      <c r="L2491" s="2">
        <v>8000</v>
      </c>
      <c r="M2491">
        <v>60</v>
      </c>
      <c r="N2491" s="3">
        <v>0.24299999999999999</v>
      </c>
      <c r="O2491" t="s">
        <v>16</v>
      </c>
      <c r="Q2491">
        <v>1</v>
      </c>
      <c r="R2491">
        <v>0</v>
      </c>
      <c r="S2491" s="2">
        <v>7000</v>
      </c>
      <c r="T2491" s="4">
        <v>0.125</v>
      </c>
      <c r="U2491">
        <v>1</v>
      </c>
      <c r="V2491">
        <v>1</v>
      </c>
      <c r="W2491">
        <v>1</v>
      </c>
    </row>
    <row r="2492" spans="1:23" ht="16.5" x14ac:dyDescent="0.3">
      <c r="A2492" t="s">
        <v>2556</v>
      </c>
      <c r="B2492" s="1">
        <v>45668</v>
      </c>
      <c r="C2492">
        <v>2025</v>
      </c>
      <c r="D2492" t="s">
        <v>24</v>
      </c>
      <c r="E2492" t="s">
        <v>25</v>
      </c>
      <c r="F2492" t="s">
        <v>37</v>
      </c>
      <c r="G2492" t="s">
        <v>33</v>
      </c>
      <c r="H2492" t="s">
        <v>28</v>
      </c>
      <c r="I2492" t="s">
        <v>39</v>
      </c>
      <c r="J2492" t="s">
        <v>35</v>
      </c>
      <c r="K2492" s="2">
        <v>6800</v>
      </c>
      <c r="L2492" s="2">
        <v>11500</v>
      </c>
      <c r="M2492">
        <v>60</v>
      </c>
      <c r="N2492" s="3">
        <v>0.19900000000000001</v>
      </c>
      <c r="O2492" t="s">
        <v>16</v>
      </c>
      <c r="Q2492">
        <v>1</v>
      </c>
      <c r="R2492">
        <v>0</v>
      </c>
      <c r="S2492" s="2">
        <v>11500</v>
      </c>
      <c r="T2492" s="4">
        <v>0.1196</v>
      </c>
      <c r="U2492">
        <v>3</v>
      </c>
      <c r="V2492">
        <v>1</v>
      </c>
      <c r="W2492">
        <v>1</v>
      </c>
    </row>
    <row r="2493" spans="1:23" ht="16.5" x14ac:dyDescent="0.3">
      <c r="A2493" t="s">
        <v>2557</v>
      </c>
      <c r="B2493" s="1">
        <v>45668</v>
      </c>
      <c r="C2493">
        <v>2025</v>
      </c>
      <c r="D2493" t="s">
        <v>24</v>
      </c>
      <c r="E2493" t="s">
        <v>25</v>
      </c>
      <c r="F2493" t="s">
        <v>50</v>
      </c>
      <c r="G2493" t="s">
        <v>51</v>
      </c>
      <c r="H2493" t="s">
        <v>38</v>
      </c>
      <c r="I2493" t="s">
        <v>29</v>
      </c>
      <c r="J2493" t="s">
        <v>52</v>
      </c>
      <c r="K2493" s="2">
        <v>2900</v>
      </c>
      <c r="L2493" s="2">
        <v>237500</v>
      </c>
      <c r="M2493">
        <v>240</v>
      </c>
      <c r="N2493" s="3">
        <v>0.71399999999999997</v>
      </c>
      <c r="O2493" t="s">
        <v>17</v>
      </c>
      <c r="P2493" t="s">
        <v>53</v>
      </c>
      <c r="Q2493">
        <v>0</v>
      </c>
      <c r="R2493">
        <v>1</v>
      </c>
      <c r="S2493" s="2">
        <v>0</v>
      </c>
      <c r="T2493" s="4"/>
      <c r="U2493">
        <v>15</v>
      </c>
      <c r="V2493">
        <v>1</v>
      </c>
      <c r="W2493">
        <v>1</v>
      </c>
    </row>
    <row r="2494" spans="1:23" ht="16.5" x14ac:dyDescent="0.3">
      <c r="A2494" t="s">
        <v>2558</v>
      </c>
      <c r="B2494" s="1">
        <v>45669</v>
      </c>
      <c r="C2494">
        <v>2025</v>
      </c>
      <c r="D2494" t="s">
        <v>24</v>
      </c>
      <c r="E2494" t="s">
        <v>25</v>
      </c>
      <c r="F2494" t="s">
        <v>26</v>
      </c>
      <c r="G2494" t="s">
        <v>45</v>
      </c>
      <c r="H2494" t="s">
        <v>64</v>
      </c>
      <c r="I2494" t="s">
        <v>39</v>
      </c>
      <c r="J2494" t="s">
        <v>30</v>
      </c>
      <c r="K2494" s="2">
        <v>7400</v>
      </c>
      <c r="L2494" s="2">
        <v>58500</v>
      </c>
      <c r="M2494">
        <v>36</v>
      </c>
      <c r="N2494" s="3">
        <v>0.46</v>
      </c>
      <c r="O2494" t="s">
        <v>16</v>
      </c>
      <c r="Q2494">
        <v>1</v>
      </c>
      <c r="R2494">
        <v>0</v>
      </c>
      <c r="S2494" s="2">
        <v>47000</v>
      </c>
      <c r="T2494" s="4">
        <v>0.1019</v>
      </c>
      <c r="U2494">
        <v>2</v>
      </c>
      <c r="V2494">
        <v>1</v>
      </c>
      <c r="W2494">
        <v>1</v>
      </c>
    </row>
    <row r="2495" spans="1:23" ht="16.5" x14ac:dyDescent="0.3">
      <c r="A2495" t="s">
        <v>2559</v>
      </c>
      <c r="B2495" s="1">
        <v>45669</v>
      </c>
      <c r="C2495">
        <v>2025</v>
      </c>
      <c r="D2495" t="s">
        <v>24</v>
      </c>
      <c r="E2495" t="s">
        <v>25</v>
      </c>
      <c r="F2495" t="s">
        <v>26</v>
      </c>
      <c r="G2495" t="s">
        <v>45</v>
      </c>
      <c r="H2495" t="s">
        <v>64</v>
      </c>
      <c r="I2495" t="s">
        <v>39</v>
      </c>
      <c r="J2495" t="s">
        <v>43</v>
      </c>
      <c r="K2495" s="2">
        <v>6350</v>
      </c>
      <c r="L2495" s="2">
        <v>14500</v>
      </c>
      <c r="M2495">
        <v>60</v>
      </c>
      <c r="N2495" s="3">
        <v>0.187</v>
      </c>
      <c r="O2495" t="s">
        <v>16</v>
      </c>
      <c r="Q2495">
        <v>1</v>
      </c>
      <c r="R2495">
        <v>0</v>
      </c>
      <c r="S2495" s="2">
        <v>14500</v>
      </c>
      <c r="T2495" s="4">
        <v>0.1212</v>
      </c>
      <c r="U2495">
        <v>2</v>
      </c>
      <c r="V2495">
        <v>1</v>
      </c>
      <c r="W2495">
        <v>1</v>
      </c>
    </row>
    <row r="2496" spans="1:23" ht="16.5" x14ac:dyDescent="0.3">
      <c r="A2496" t="s">
        <v>2560</v>
      </c>
      <c r="B2496" s="1">
        <v>45669</v>
      </c>
      <c r="C2496">
        <v>2025</v>
      </c>
      <c r="D2496" t="s">
        <v>24</v>
      </c>
      <c r="E2496" t="s">
        <v>25</v>
      </c>
      <c r="F2496" t="s">
        <v>37</v>
      </c>
      <c r="G2496" t="s">
        <v>27</v>
      </c>
      <c r="H2496" t="s">
        <v>38</v>
      </c>
      <c r="I2496" t="s">
        <v>29</v>
      </c>
      <c r="J2496" t="s">
        <v>35</v>
      </c>
      <c r="K2496" s="2">
        <v>6550</v>
      </c>
      <c r="L2496" s="2">
        <v>9000</v>
      </c>
      <c r="M2496">
        <v>48</v>
      </c>
      <c r="N2496" s="3">
        <v>0.187</v>
      </c>
      <c r="O2496" t="s">
        <v>16</v>
      </c>
      <c r="Q2496">
        <v>1</v>
      </c>
      <c r="R2496">
        <v>0</v>
      </c>
      <c r="S2496" s="2">
        <v>8000</v>
      </c>
      <c r="T2496" s="4">
        <v>0.1203</v>
      </c>
      <c r="U2496">
        <v>4</v>
      </c>
      <c r="V2496">
        <v>0</v>
      </c>
      <c r="W2496">
        <v>1</v>
      </c>
    </row>
    <row r="2497" spans="1:23" ht="16.5" x14ac:dyDescent="0.3">
      <c r="A2497" t="s">
        <v>2561</v>
      </c>
      <c r="B2497" s="1">
        <v>45669</v>
      </c>
      <c r="C2497">
        <v>2025</v>
      </c>
      <c r="D2497" t="s">
        <v>24</v>
      </c>
      <c r="E2497" t="s">
        <v>25</v>
      </c>
      <c r="F2497" t="s">
        <v>37</v>
      </c>
      <c r="G2497" t="s">
        <v>45</v>
      </c>
      <c r="H2497" t="s">
        <v>38</v>
      </c>
      <c r="I2497" t="s">
        <v>39</v>
      </c>
      <c r="J2497" t="s">
        <v>52</v>
      </c>
      <c r="K2497" s="2">
        <v>3500</v>
      </c>
      <c r="L2497" s="2">
        <v>18500</v>
      </c>
      <c r="M2497">
        <v>48</v>
      </c>
      <c r="N2497" s="3">
        <v>0.26600000000000001</v>
      </c>
      <c r="O2497" t="s">
        <v>16</v>
      </c>
      <c r="Q2497">
        <v>1</v>
      </c>
      <c r="R2497">
        <v>0</v>
      </c>
      <c r="S2497" s="2">
        <v>18500</v>
      </c>
      <c r="T2497" s="4">
        <v>0.1179</v>
      </c>
      <c r="U2497">
        <v>2</v>
      </c>
      <c r="V2497">
        <v>1</v>
      </c>
      <c r="W2497">
        <v>1</v>
      </c>
    </row>
    <row r="2498" spans="1:23" ht="16.5" x14ac:dyDescent="0.3">
      <c r="A2498" t="s">
        <v>2562</v>
      </c>
      <c r="B2498" s="1">
        <v>45669</v>
      </c>
      <c r="C2498">
        <v>2025</v>
      </c>
      <c r="D2498" t="s">
        <v>24</v>
      </c>
      <c r="E2498" t="s">
        <v>25</v>
      </c>
      <c r="F2498" t="s">
        <v>37</v>
      </c>
      <c r="G2498" t="s">
        <v>33</v>
      </c>
      <c r="H2498" t="s">
        <v>38</v>
      </c>
      <c r="I2498" t="s">
        <v>42</v>
      </c>
      <c r="J2498" t="s">
        <v>35</v>
      </c>
      <c r="K2498" s="2">
        <v>7900</v>
      </c>
      <c r="L2498" s="2">
        <v>9500</v>
      </c>
      <c r="M2498">
        <v>36</v>
      </c>
      <c r="N2498" s="3">
        <v>0.109</v>
      </c>
      <c r="O2498" t="s">
        <v>17</v>
      </c>
      <c r="P2498" t="s">
        <v>31</v>
      </c>
      <c r="Q2498">
        <v>0</v>
      </c>
      <c r="R2498">
        <v>1</v>
      </c>
      <c r="S2498" s="2">
        <v>0</v>
      </c>
      <c r="T2498" s="4"/>
      <c r="U2498">
        <v>1</v>
      </c>
      <c r="V2498">
        <v>1</v>
      </c>
      <c r="W2498">
        <v>1</v>
      </c>
    </row>
    <row r="2499" spans="1:23" ht="16.5" x14ac:dyDescent="0.3">
      <c r="A2499" t="s">
        <v>2563</v>
      </c>
      <c r="B2499" s="1">
        <v>45669</v>
      </c>
      <c r="C2499">
        <v>2025</v>
      </c>
      <c r="D2499" t="s">
        <v>24</v>
      </c>
      <c r="E2499" t="s">
        <v>25</v>
      </c>
      <c r="F2499" t="s">
        <v>50</v>
      </c>
      <c r="G2499" t="s">
        <v>33</v>
      </c>
      <c r="H2499" t="s">
        <v>38</v>
      </c>
      <c r="I2499" t="s">
        <v>42</v>
      </c>
      <c r="J2499" t="s">
        <v>35</v>
      </c>
      <c r="K2499" s="2">
        <v>5300</v>
      </c>
      <c r="L2499" s="2">
        <v>142500</v>
      </c>
      <c r="M2499">
        <v>240</v>
      </c>
      <c r="N2499" s="3">
        <v>0.29599999999999999</v>
      </c>
      <c r="O2499" t="s">
        <v>16</v>
      </c>
      <c r="Q2499">
        <v>1</v>
      </c>
      <c r="R2499">
        <v>0</v>
      </c>
      <c r="S2499" s="2">
        <v>142500</v>
      </c>
      <c r="T2499" s="4">
        <v>5.91E-2</v>
      </c>
      <c r="U2499">
        <v>5</v>
      </c>
      <c r="V2499">
        <v>1</v>
      </c>
      <c r="W2499">
        <v>1</v>
      </c>
    </row>
    <row r="2500" spans="1:23" ht="16.5" x14ac:dyDescent="0.3">
      <c r="A2500" t="s">
        <v>2564</v>
      </c>
      <c r="B2500" s="1">
        <v>45669</v>
      </c>
      <c r="C2500">
        <v>2025</v>
      </c>
      <c r="D2500" t="s">
        <v>24</v>
      </c>
      <c r="E2500" t="s">
        <v>25</v>
      </c>
      <c r="F2500" t="s">
        <v>50</v>
      </c>
      <c r="G2500" t="s">
        <v>51</v>
      </c>
      <c r="H2500" t="s">
        <v>38</v>
      </c>
      <c r="I2500" t="s">
        <v>42</v>
      </c>
      <c r="J2500" t="s">
        <v>30</v>
      </c>
      <c r="K2500" s="2">
        <v>5950</v>
      </c>
      <c r="L2500" s="2">
        <v>242500</v>
      </c>
      <c r="M2500">
        <v>240</v>
      </c>
      <c r="N2500" s="3">
        <v>0.32800000000000001</v>
      </c>
      <c r="O2500" t="s">
        <v>16</v>
      </c>
      <c r="Q2500">
        <v>1</v>
      </c>
      <c r="R2500">
        <v>0</v>
      </c>
      <c r="S2500" s="2">
        <v>242500</v>
      </c>
      <c r="T2500" s="4">
        <v>7.5999999999999998E-2</v>
      </c>
      <c r="U2500">
        <v>21</v>
      </c>
      <c r="V2500">
        <v>0</v>
      </c>
      <c r="W2500">
        <v>1</v>
      </c>
    </row>
    <row r="2501" spans="1:23" ht="16.5" x14ac:dyDescent="0.3">
      <c r="A2501" t="s">
        <v>2565</v>
      </c>
      <c r="B2501" s="1">
        <v>45669</v>
      </c>
      <c r="C2501">
        <v>2025</v>
      </c>
      <c r="D2501" t="s">
        <v>24</v>
      </c>
      <c r="E2501" t="s">
        <v>25</v>
      </c>
      <c r="F2501" t="s">
        <v>37</v>
      </c>
      <c r="G2501" t="s">
        <v>45</v>
      </c>
      <c r="H2501" t="s">
        <v>34</v>
      </c>
      <c r="I2501" t="s">
        <v>39</v>
      </c>
      <c r="J2501" t="s">
        <v>35</v>
      </c>
      <c r="K2501" s="2">
        <v>3150</v>
      </c>
      <c r="L2501" s="2">
        <v>8500</v>
      </c>
      <c r="M2501">
        <v>24</v>
      </c>
      <c r="N2501" s="3">
        <v>0.19600000000000001</v>
      </c>
      <c r="O2501" t="s">
        <v>16</v>
      </c>
      <c r="Q2501">
        <v>1</v>
      </c>
      <c r="R2501">
        <v>0</v>
      </c>
      <c r="S2501" s="2">
        <v>8500</v>
      </c>
      <c r="T2501" s="4">
        <v>0.12709999999999999</v>
      </c>
      <c r="U2501">
        <v>4</v>
      </c>
      <c r="V2501">
        <v>0</v>
      </c>
      <c r="W2501">
        <v>1</v>
      </c>
    </row>
    <row r="2502" spans="1:23" ht="16.5" x14ac:dyDescent="0.3">
      <c r="A2502" t="s">
        <v>2566</v>
      </c>
      <c r="B2502" s="1">
        <v>45669</v>
      </c>
      <c r="C2502">
        <v>2025</v>
      </c>
      <c r="D2502" t="s">
        <v>24</v>
      </c>
      <c r="E2502" t="s">
        <v>25</v>
      </c>
      <c r="F2502" t="s">
        <v>37</v>
      </c>
      <c r="G2502" t="s">
        <v>45</v>
      </c>
      <c r="H2502" t="s">
        <v>28</v>
      </c>
      <c r="I2502" t="s">
        <v>29</v>
      </c>
      <c r="J2502" t="s">
        <v>30</v>
      </c>
      <c r="K2502" s="2">
        <v>3600</v>
      </c>
      <c r="L2502" s="2">
        <v>24000</v>
      </c>
      <c r="M2502">
        <v>36</v>
      </c>
      <c r="N2502" s="3">
        <v>0.44700000000000001</v>
      </c>
      <c r="O2502" t="s">
        <v>17</v>
      </c>
      <c r="P2502" t="s">
        <v>31</v>
      </c>
      <c r="Q2502">
        <v>0</v>
      </c>
      <c r="R2502">
        <v>1</v>
      </c>
      <c r="S2502" s="2">
        <v>0</v>
      </c>
      <c r="T2502" s="4"/>
      <c r="U2502">
        <v>2</v>
      </c>
      <c r="V2502">
        <v>1</v>
      </c>
      <c r="W2502">
        <v>1</v>
      </c>
    </row>
    <row r="2503" spans="1:23" ht="16.5" x14ac:dyDescent="0.3">
      <c r="A2503" t="s">
        <v>2567</v>
      </c>
      <c r="B2503" s="1">
        <v>45670</v>
      </c>
      <c r="C2503">
        <v>2025</v>
      </c>
      <c r="D2503" t="s">
        <v>24</v>
      </c>
      <c r="E2503" t="s">
        <v>25</v>
      </c>
      <c r="F2503" t="s">
        <v>50</v>
      </c>
      <c r="G2503" t="s">
        <v>51</v>
      </c>
      <c r="H2503" t="s">
        <v>34</v>
      </c>
      <c r="I2503" t="s">
        <v>29</v>
      </c>
      <c r="J2503" t="s">
        <v>30</v>
      </c>
      <c r="K2503" s="2">
        <v>4050</v>
      </c>
      <c r="L2503" s="2">
        <v>484500</v>
      </c>
      <c r="M2503">
        <v>240</v>
      </c>
      <c r="N2503" s="3">
        <v>0.97799999999999998</v>
      </c>
      <c r="O2503" t="s">
        <v>16</v>
      </c>
      <c r="Q2503">
        <v>1</v>
      </c>
      <c r="R2503">
        <v>0</v>
      </c>
      <c r="S2503" s="2">
        <v>436000</v>
      </c>
      <c r="T2503" s="4">
        <v>7.5300000000000006E-2</v>
      </c>
      <c r="U2503">
        <v>15</v>
      </c>
      <c r="V2503">
        <v>1</v>
      </c>
      <c r="W2503">
        <v>1</v>
      </c>
    </row>
    <row r="2504" spans="1:23" ht="16.5" x14ac:dyDescent="0.3">
      <c r="A2504" t="s">
        <v>2568</v>
      </c>
      <c r="B2504" s="1">
        <v>45670</v>
      </c>
      <c r="C2504">
        <v>2025</v>
      </c>
      <c r="D2504" t="s">
        <v>24</v>
      </c>
      <c r="E2504" t="s">
        <v>25</v>
      </c>
      <c r="F2504" t="s">
        <v>37</v>
      </c>
      <c r="G2504" t="s">
        <v>45</v>
      </c>
      <c r="H2504" t="s">
        <v>38</v>
      </c>
      <c r="I2504" t="s">
        <v>29</v>
      </c>
      <c r="J2504" t="s">
        <v>52</v>
      </c>
      <c r="K2504" s="2">
        <v>4600</v>
      </c>
      <c r="L2504" s="2">
        <v>10000</v>
      </c>
      <c r="M2504">
        <v>60</v>
      </c>
      <c r="N2504" s="3">
        <v>0.252</v>
      </c>
      <c r="O2504" t="s">
        <v>16</v>
      </c>
      <c r="Q2504">
        <v>1</v>
      </c>
      <c r="R2504">
        <v>0</v>
      </c>
      <c r="S2504" s="2">
        <v>10000</v>
      </c>
      <c r="T2504" s="4">
        <v>0.112</v>
      </c>
      <c r="U2504">
        <v>2</v>
      </c>
      <c r="V2504">
        <v>1</v>
      </c>
      <c r="W2504">
        <v>1</v>
      </c>
    </row>
    <row r="2505" spans="1:23" ht="16.5" x14ac:dyDescent="0.3">
      <c r="A2505" t="s">
        <v>2569</v>
      </c>
      <c r="B2505" s="1">
        <v>45670</v>
      </c>
      <c r="C2505">
        <v>2025</v>
      </c>
      <c r="D2505" t="s">
        <v>24</v>
      </c>
      <c r="E2505" t="s">
        <v>25</v>
      </c>
      <c r="F2505" t="s">
        <v>26</v>
      </c>
      <c r="G2505" t="s">
        <v>27</v>
      </c>
      <c r="H2505" t="s">
        <v>34</v>
      </c>
      <c r="I2505" t="s">
        <v>29</v>
      </c>
      <c r="J2505" t="s">
        <v>35</v>
      </c>
      <c r="K2505" s="2">
        <v>3250</v>
      </c>
      <c r="L2505" s="2">
        <v>24500</v>
      </c>
      <c r="M2505">
        <v>60</v>
      </c>
      <c r="N2505" s="3">
        <v>0.32200000000000001</v>
      </c>
      <c r="O2505" t="s">
        <v>17</v>
      </c>
      <c r="P2505" t="s">
        <v>48</v>
      </c>
      <c r="Q2505">
        <v>0</v>
      </c>
      <c r="R2505">
        <v>1</v>
      </c>
      <c r="S2505" s="2">
        <v>0</v>
      </c>
      <c r="T2505" s="4"/>
      <c r="U2505">
        <v>5</v>
      </c>
      <c r="V2505">
        <v>0</v>
      </c>
      <c r="W2505">
        <v>1</v>
      </c>
    </row>
    <row r="2506" spans="1:23" ht="16.5" x14ac:dyDescent="0.3">
      <c r="A2506" t="s">
        <v>2570</v>
      </c>
      <c r="B2506" s="1">
        <v>45670</v>
      </c>
      <c r="C2506">
        <v>2025</v>
      </c>
      <c r="D2506" t="s">
        <v>24</v>
      </c>
      <c r="E2506" t="s">
        <v>25</v>
      </c>
      <c r="F2506" t="s">
        <v>50</v>
      </c>
      <c r="G2506" t="s">
        <v>51</v>
      </c>
      <c r="H2506" t="s">
        <v>38</v>
      </c>
      <c r="I2506" t="s">
        <v>29</v>
      </c>
      <c r="J2506" t="s">
        <v>35</v>
      </c>
      <c r="K2506" s="2">
        <v>4400</v>
      </c>
      <c r="L2506" s="2">
        <v>395000</v>
      </c>
      <c r="M2506">
        <v>300</v>
      </c>
      <c r="N2506" s="3">
        <v>0.57699999999999996</v>
      </c>
      <c r="O2506" t="s">
        <v>16</v>
      </c>
      <c r="Q2506">
        <v>1</v>
      </c>
      <c r="R2506">
        <v>0</v>
      </c>
      <c r="S2506" s="2">
        <v>355500</v>
      </c>
      <c r="T2506" s="4">
        <v>5.8500000000000003E-2</v>
      </c>
      <c r="U2506">
        <v>12</v>
      </c>
      <c r="V2506">
        <v>1</v>
      </c>
      <c r="W2506">
        <v>1</v>
      </c>
    </row>
    <row r="2507" spans="1:23" ht="16.5" x14ac:dyDescent="0.3">
      <c r="A2507" t="s">
        <v>2571</v>
      </c>
      <c r="B2507" s="1">
        <v>45671</v>
      </c>
      <c r="C2507">
        <v>2025</v>
      </c>
      <c r="D2507" t="s">
        <v>24</v>
      </c>
      <c r="E2507" t="s">
        <v>25</v>
      </c>
      <c r="F2507" t="s">
        <v>41</v>
      </c>
      <c r="G2507" t="s">
        <v>45</v>
      </c>
      <c r="H2507" t="s">
        <v>38</v>
      </c>
      <c r="I2507" t="s">
        <v>42</v>
      </c>
      <c r="J2507" t="s">
        <v>43</v>
      </c>
      <c r="K2507" s="2">
        <v>4050</v>
      </c>
      <c r="L2507" s="2">
        <v>89500</v>
      </c>
      <c r="M2507">
        <v>12</v>
      </c>
      <c r="N2507" s="3">
        <v>2.0790000000000002</v>
      </c>
      <c r="O2507" t="s">
        <v>17</v>
      </c>
      <c r="P2507" t="s">
        <v>31</v>
      </c>
      <c r="Q2507">
        <v>0</v>
      </c>
      <c r="R2507">
        <v>1</v>
      </c>
      <c r="S2507" s="2">
        <v>0</v>
      </c>
      <c r="T2507" s="4"/>
      <c r="U2507">
        <v>8</v>
      </c>
      <c r="V2507">
        <v>1</v>
      </c>
      <c r="W2507">
        <v>1</v>
      </c>
    </row>
    <row r="2508" spans="1:23" ht="16.5" x14ac:dyDescent="0.3">
      <c r="A2508" t="s">
        <v>2572</v>
      </c>
      <c r="B2508" s="1">
        <v>45671</v>
      </c>
      <c r="C2508">
        <v>2025</v>
      </c>
      <c r="D2508" t="s">
        <v>24</v>
      </c>
      <c r="E2508" t="s">
        <v>25</v>
      </c>
      <c r="F2508" t="s">
        <v>26</v>
      </c>
      <c r="G2508" t="s">
        <v>51</v>
      </c>
      <c r="H2508" t="s">
        <v>64</v>
      </c>
      <c r="I2508" t="s">
        <v>39</v>
      </c>
      <c r="J2508" t="s">
        <v>52</v>
      </c>
      <c r="K2508" s="2">
        <v>4600</v>
      </c>
      <c r="L2508" s="2">
        <v>31000</v>
      </c>
      <c r="M2508">
        <v>48</v>
      </c>
      <c r="N2508" s="3">
        <v>0.36499999999999999</v>
      </c>
      <c r="O2508" t="s">
        <v>16</v>
      </c>
      <c r="Q2508">
        <v>1</v>
      </c>
      <c r="R2508">
        <v>0</v>
      </c>
      <c r="S2508" s="2">
        <v>28000</v>
      </c>
      <c r="T2508" s="4">
        <v>7.0599999999999996E-2</v>
      </c>
      <c r="U2508">
        <v>4</v>
      </c>
      <c r="V2508">
        <v>1</v>
      </c>
      <c r="W2508">
        <v>1</v>
      </c>
    </row>
    <row r="2509" spans="1:23" ht="16.5" x14ac:dyDescent="0.3">
      <c r="A2509" t="s">
        <v>2573</v>
      </c>
      <c r="B2509" s="1">
        <v>45671</v>
      </c>
      <c r="C2509">
        <v>2025</v>
      </c>
      <c r="D2509" t="s">
        <v>24</v>
      </c>
      <c r="E2509" t="s">
        <v>25</v>
      </c>
      <c r="F2509" t="s">
        <v>41</v>
      </c>
      <c r="G2509" t="s">
        <v>45</v>
      </c>
      <c r="H2509" t="s">
        <v>55</v>
      </c>
      <c r="I2509" t="s">
        <v>39</v>
      </c>
      <c r="J2509" t="s">
        <v>30</v>
      </c>
      <c r="K2509" s="2">
        <v>6950</v>
      </c>
      <c r="L2509" s="2">
        <v>120000</v>
      </c>
      <c r="M2509">
        <v>60</v>
      </c>
      <c r="N2509" s="3">
        <v>0.59399999999999997</v>
      </c>
      <c r="O2509" t="s">
        <v>17</v>
      </c>
      <c r="P2509" t="s">
        <v>31</v>
      </c>
      <c r="Q2509">
        <v>0</v>
      </c>
      <c r="R2509">
        <v>1</v>
      </c>
      <c r="S2509" s="2">
        <v>0</v>
      </c>
      <c r="T2509" s="4"/>
      <c r="U2509">
        <v>7</v>
      </c>
      <c r="V2509">
        <v>1</v>
      </c>
      <c r="W2509">
        <v>1</v>
      </c>
    </row>
    <row r="2510" spans="1:23" ht="16.5" x14ac:dyDescent="0.3">
      <c r="A2510" t="s">
        <v>2574</v>
      </c>
      <c r="B2510" s="1">
        <v>45671</v>
      </c>
      <c r="C2510">
        <v>2025</v>
      </c>
      <c r="D2510" t="s">
        <v>24</v>
      </c>
      <c r="E2510" t="s">
        <v>25</v>
      </c>
      <c r="F2510" t="s">
        <v>26</v>
      </c>
      <c r="G2510" t="s">
        <v>51</v>
      </c>
      <c r="H2510" t="s">
        <v>55</v>
      </c>
      <c r="I2510" t="s">
        <v>39</v>
      </c>
      <c r="J2510" t="s">
        <v>35</v>
      </c>
      <c r="K2510" s="2">
        <v>6900</v>
      </c>
      <c r="L2510" s="2">
        <v>38000</v>
      </c>
      <c r="M2510">
        <v>48</v>
      </c>
      <c r="N2510" s="3">
        <v>0.26200000000000001</v>
      </c>
      <c r="O2510" t="s">
        <v>16</v>
      </c>
      <c r="Q2510">
        <v>1</v>
      </c>
      <c r="R2510">
        <v>0</v>
      </c>
      <c r="S2510" s="2">
        <v>38000</v>
      </c>
      <c r="T2510" s="4">
        <v>8.1000000000000003E-2</v>
      </c>
      <c r="U2510">
        <v>6</v>
      </c>
      <c r="V2510">
        <v>0</v>
      </c>
      <c r="W2510">
        <v>1</v>
      </c>
    </row>
    <row r="2511" spans="1:23" ht="16.5" x14ac:dyDescent="0.3">
      <c r="A2511" t="s">
        <v>2575</v>
      </c>
      <c r="B2511" s="1">
        <v>45671</v>
      </c>
      <c r="C2511">
        <v>2025</v>
      </c>
      <c r="D2511" t="s">
        <v>24</v>
      </c>
      <c r="E2511" t="s">
        <v>25</v>
      </c>
      <c r="F2511" t="s">
        <v>26</v>
      </c>
      <c r="G2511" t="s">
        <v>33</v>
      </c>
      <c r="H2511" t="s">
        <v>64</v>
      </c>
      <c r="I2511" t="s">
        <v>42</v>
      </c>
      <c r="J2511" t="s">
        <v>52</v>
      </c>
      <c r="K2511" s="2">
        <v>5150</v>
      </c>
      <c r="L2511" s="2">
        <v>18500</v>
      </c>
      <c r="M2511">
        <v>60</v>
      </c>
      <c r="N2511" s="3">
        <v>0.311</v>
      </c>
      <c r="O2511" t="s">
        <v>16</v>
      </c>
      <c r="Q2511">
        <v>1</v>
      </c>
      <c r="R2511">
        <v>0</v>
      </c>
      <c r="S2511" s="2">
        <v>18500</v>
      </c>
      <c r="T2511" s="4">
        <v>7.9299999999999995E-2</v>
      </c>
      <c r="U2511">
        <v>2</v>
      </c>
      <c r="V2511">
        <v>1</v>
      </c>
      <c r="W2511">
        <v>1</v>
      </c>
    </row>
    <row r="2512" spans="1:23" ht="16.5" x14ac:dyDescent="0.3">
      <c r="A2512" t="s">
        <v>2576</v>
      </c>
      <c r="B2512" s="1">
        <v>45671</v>
      </c>
      <c r="C2512">
        <v>2025</v>
      </c>
      <c r="D2512" t="s">
        <v>24</v>
      </c>
      <c r="E2512" t="s">
        <v>25</v>
      </c>
      <c r="F2512" t="s">
        <v>26</v>
      </c>
      <c r="G2512" t="s">
        <v>51</v>
      </c>
      <c r="H2512" t="s">
        <v>38</v>
      </c>
      <c r="I2512" t="s">
        <v>29</v>
      </c>
      <c r="J2512" t="s">
        <v>46</v>
      </c>
      <c r="K2512" s="2">
        <v>3350</v>
      </c>
      <c r="L2512" s="2">
        <v>23000</v>
      </c>
      <c r="M2512">
        <v>60</v>
      </c>
      <c r="N2512" s="3">
        <v>0.27300000000000002</v>
      </c>
      <c r="O2512" t="s">
        <v>16</v>
      </c>
      <c r="Q2512">
        <v>1</v>
      </c>
      <c r="R2512">
        <v>0</v>
      </c>
      <c r="S2512" s="2">
        <v>23000</v>
      </c>
      <c r="T2512" s="4">
        <v>6.8500000000000005E-2</v>
      </c>
      <c r="U2512">
        <v>6</v>
      </c>
      <c r="V2512">
        <v>0</v>
      </c>
      <c r="W2512">
        <v>1</v>
      </c>
    </row>
    <row r="2513" spans="1:23" ht="16.5" x14ac:dyDescent="0.3">
      <c r="A2513" t="s">
        <v>2577</v>
      </c>
      <c r="B2513" s="1">
        <v>45671</v>
      </c>
      <c r="C2513">
        <v>2025</v>
      </c>
      <c r="D2513" t="s">
        <v>24</v>
      </c>
      <c r="E2513" t="s">
        <v>25</v>
      </c>
      <c r="F2513" t="s">
        <v>41</v>
      </c>
      <c r="G2513" t="s">
        <v>45</v>
      </c>
      <c r="H2513" t="s">
        <v>64</v>
      </c>
      <c r="I2513" t="s">
        <v>29</v>
      </c>
      <c r="J2513" t="s">
        <v>30</v>
      </c>
      <c r="K2513" s="2">
        <v>1700</v>
      </c>
      <c r="L2513" s="2">
        <v>88500</v>
      </c>
      <c r="M2513">
        <v>12</v>
      </c>
      <c r="N2513" s="3">
        <v>4.6440000000000001</v>
      </c>
      <c r="O2513" t="s">
        <v>17</v>
      </c>
      <c r="P2513" t="s">
        <v>31</v>
      </c>
      <c r="Q2513">
        <v>0</v>
      </c>
      <c r="R2513">
        <v>1</v>
      </c>
      <c r="S2513" s="2">
        <v>0</v>
      </c>
      <c r="T2513" s="4"/>
      <c r="U2513">
        <v>6</v>
      </c>
      <c r="V2513">
        <v>1</v>
      </c>
      <c r="W2513">
        <v>1</v>
      </c>
    </row>
    <row r="2514" spans="1:23" ht="16.5" x14ac:dyDescent="0.3">
      <c r="A2514" t="s">
        <v>2578</v>
      </c>
      <c r="B2514" s="1">
        <v>45671</v>
      </c>
      <c r="C2514">
        <v>2025</v>
      </c>
      <c r="D2514" t="s">
        <v>24</v>
      </c>
      <c r="E2514" t="s">
        <v>25</v>
      </c>
      <c r="F2514" t="s">
        <v>37</v>
      </c>
      <c r="G2514" t="s">
        <v>51</v>
      </c>
      <c r="H2514" t="s">
        <v>38</v>
      </c>
      <c r="I2514" t="s">
        <v>29</v>
      </c>
      <c r="J2514" t="s">
        <v>52</v>
      </c>
      <c r="K2514" s="2">
        <v>5150</v>
      </c>
      <c r="L2514" s="2">
        <v>10500</v>
      </c>
      <c r="M2514">
        <v>24</v>
      </c>
      <c r="N2514" s="3">
        <v>0.223</v>
      </c>
      <c r="O2514" t="s">
        <v>16</v>
      </c>
      <c r="Q2514">
        <v>1</v>
      </c>
      <c r="R2514">
        <v>0</v>
      </c>
      <c r="S2514" s="2">
        <v>10500</v>
      </c>
      <c r="T2514" s="4">
        <v>0.1195</v>
      </c>
      <c r="U2514">
        <v>3</v>
      </c>
      <c r="V2514">
        <v>1</v>
      </c>
      <c r="W2514">
        <v>1</v>
      </c>
    </row>
    <row r="2515" spans="1:23" ht="16.5" x14ac:dyDescent="0.3">
      <c r="A2515" t="s">
        <v>2579</v>
      </c>
      <c r="B2515" s="1">
        <v>45672</v>
      </c>
      <c r="C2515">
        <v>2025</v>
      </c>
      <c r="D2515" t="s">
        <v>24</v>
      </c>
      <c r="E2515" t="s">
        <v>25</v>
      </c>
      <c r="F2515" t="s">
        <v>37</v>
      </c>
      <c r="G2515" t="s">
        <v>45</v>
      </c>
      <c r="H2515" t="s">
        <v>55</v>
      </c>
      <c r="I2515" t="s">
        <v>39</v>
      </c>
      <c r="J2515" t="s">
        <v>52</v>
      </c>
      <c r="K2515" s="2">
        <v>3250</v>
      </c>
      <c r="L2515" s="2">
        <v>16000</v>
      </c>
      <c r="M2515">
        <v>24</v>
      </c>
      <c r="N2515" s="3">
        <v>0.32900000000000001</v>
      </c>
      <c r="O2515" t="s">
        <v>16</v>
      </c>
      <c r="Q2515">
        <v>1</v>
      </c>
      <c r="R2515">
        <v>0</v>
      </c>
      <c r="S2515" s="2">
        <v>16000</v>
      </c>
      <c r="T2515" s="4">
        <v>0.1149</v>
      </c>
      <c r="U2515">
        <v>2</v>
      </c>
      <c r="V2515">
        <v>1</v>
      </c>
      <c r="W2515">
        <v>1</v>
      </c>
    </row>
    <row r="2516" spans="1:23" ht="16.5" x14ac:dyDescent="0.3">
      <c r="A2516" t="s">
        <v>2580</v>
      </c>
      <c r="B2516" s="1">
        <v>45672</v>
      </c>
      <c r="C2516">
        <v>2025</v>
      </c>
      <c r="D2516" t="s">
        <v>24</v>
      </c>
      <c r="E2516" t="s">
        <v>25</v>
      </c>
      <c r="F2516" t="s">
        <v>26</v>
      </c>
      <c r="G2516" t="s">
        <v>51</v>
      </c>
      <c r="H2516" t="s">
        <v>55</v>
      </c>
      <c r="I2516" t="s">
        <v>29</v>
      </c>
      <c r="J2516" t="s">
        <v>35</v>
      </c>
      <c r="K2516" s="2">
        <v>6850</v>
      </c>
      <c r="L2516" s="2">
        <v>29000</v>
      </c>
      <c r="M2516">
        <v>48</v>
      </c>
      <c r="N2516" s="3">
        <v>0.34499999999999997</v>
      </c>
      <c r="O2516" t="s">
        <v>16</v>
      </c>
      <c r="Q2516">
        <v>1</v>
      </c>
      <c r="R2516">
        <v>0</v>
      </c>
      <c r="S2516" s="2">
        <v>26000</v>
      </c>
      <c r="T2516" s="4">
        <v>7.9200000000000007E-2</v>
      </c>
      <c r="U2516">
        <v>4</v>
      </c>
      <c r="V2516">
        <v>1</v>
      </c>
      <c r="W2516">
        <v>1</v>
      </c>
    </row>
    <row r="2517" spans="1:23" ht="16.5" x14ac:dyDescent="0.3">
      <c r="A2517" t="s">
        <v>2581</v>
      </c>
      <c r="B2517" s="1">
        <v>45672</v>
      </c>
      <c r="C2517">
        <v>2025</v>
      </c>
      <c r="D2517" t="s">
        <v>24</v>
      </c>
      <c r="E2517" t="s">
        <v>25</v>
      </c>
      <c r="F2517" t="s">
        <v>50</v>
      </c>
      <c r="G2517" t="s">
        <v>51</v>
      </c>
      <c r="H2517" t="s">
        <v>38</v>
      </c>
      <c r="I2517" t="s">
        <v>29</v>
      </c>
      <c r="J2517" t="s">
        <v>43</v>
      </c>
      <c r="K2517" s="2">
        <v>4250</v>
      </c>
      <c r="L2517" s="2">
        <v>120500</v>
      </c>
      <c r="M2517">
        <v>240</v>
      </c>
      <c r="N2517" s="3">
        <v>0.315</v>
      </c>
      <c r="O2517" t="s">
        <v>17</v>
      </c>
      <c r="P2517" t="s">
        <v>31</v>
      </c>
      <c r="Q2517">
        <v>0</v>
      </c>
      <c r="R2517">
        <v>1</v>
      </c>
      <c r="S2517" s="2">
        <v>0</v>
      </c>
      <c r="T2517" s="4"/>
      <c r="U2517">
        <v>23</v>
      </c>
      <c r="V2517">
        <v>0</v>
      </c>
      <c r="W2517">
        <v>1</v>
      </c>
    </row>
    <row r="2518" spans="1:23" ht="16.5" x14ac:dyDescent="0.3">
      <c r="A2518" t="s">
        <v>2582</v>
      </c>
      <c r="B2518" s="1">
        <v>45672</v>
      </c>
      <c r="C2518">
        <v>2025</v>
      </c>
      <c r="D2518" t="s">
        <v>24</v>
      </c>
      <c r="E2518" t="s">
        <v>25</v>
      </c>
      <c r="F2518" t="s">
        <v>37</v>
      </c>
      <c r="G2518" t="s">
        <v>45</v>
      </c>
      <c r="H2518" t="s">
        <v>38</v>
      </c>
      <c r="I2518" t="s">
        <v>29</v>
      </c>
      <c r="J2518" t="s">
        <v>35</v>
      </c>
      <c r="K2518" s="2">
        <v>2450</v>
      </c>
      <c r="L2518" s="2">
        <v>11000</v>
      </c>
      <c r="M2518">
        <v>36</v>
      </c>
      <c r="N2518" s="3">
        <v>0.33</v>
      </c>
      <c r="O2518" t="s">
        <v>16</v>
      </c>
      <c r="Q2518">
        <v>1</v>
      </c>
      <c r="R2518">
        <v>0</v>
      </c>
      <c r="S2518" s="2">
        <v>11000</v>
      </c>
      <c r="T2518" s="4">
        <v>0.12590000000000001</v>
      </c>
      <c r="U2518">
        <v>2</v>
      </c>
      <c r="V2518">
        <v>1</v>
      </c>
      <c r="W2518">
        <v>1</v>
      </c>
    </row>
    <row r="2519" spans="1:23" ht="16.5" x14ac:dyDescent="0.3">
      <c r="A2519" t="s">
        <v>2583</v>
      </c>
      <c r="B2519" s="1">
        <v>45672</v>
      </c>
      <c r="C2519">
        <v>2025</v>
      </c>
      <c r="D2519" t="s">
        <v>24</v>
      </c>
      <c r="E2519" t="s">
        <v>25</v>
      </c>
      <c r="F2519" t="s">
        <v>37</v>
      </c>
      <c r="G2519" t="s">
        <v>33</v>
      </c>
      <c r="H2519" t="s">
        <v>28</v>
      </c>
      <c r="I2519" t="s">
        <v>29</v>
      </c>
      <c r="J2519" t="s">
        <v>52</v>
      </c>
      <c r="K2519" s="2">
        <v>5450</v>
      </c>
      <c r="L2519" s="2">
        <v>8500</v>
      </c>
      <c r="M2519">
        <v>60</v>
      </c>
      <c r="N2519" s="3">
        <v>0.26300000000000001</v>
      </c>
      <c r="O2519" t="s">
        <v>16</v>
      </c>
      <c r="Q2519">
        <v>1</v>
      </c>
      <c r="R2519">
        <v>0</v>
      </c>
      <c r="S2519" s="2">
        <v>8500</v>
      </c>
      <c r="T2519" s="4">
        <v>0.11409999999999999</v>
      </c>
      <c r="U2519">
        <v>2</v>
      </c>
      <c r="V2519">
        <v>1</v>
      </c>
      <c r="W2519">
        <v>1</v>
      </c>
    </row>
    <row r="2520" spans="1:23" ht="16.5" x14ac:dyDescent="0.3">
      <c r="A2520" t="s">
        <v>2584</v>
      </c>
      <c r="B2520" s="1">
        <v>45672</v>
      </c>
      <c r="C2520">
        <v>2025</v>
      </c>
      <c r="D2520" t="s">
        <v>24</v>
      </c>
      <c r="E2520" t="s">
        <v>25</v>
      </c>
      <c r="F2520" t="s">
        <v>37</v>
      </c>
      <c r="G2520" t="s">
        <v>33</v>
      </c>
      <c r="H2520" t="s">
        <v>38</v>
      </c>
      <c r="I2520" t="s">
        <v>39</v>
      </c>
      <c r="J2520" t="s">
        <v>35</v>
      </c>
      <c r="K2520" s="2">
        <v>9450</v>
      </c>
      <c r="L2520" s="2">
        <v>37500</v>
      </c>
      <c r="M2520">
        <v>24</v>
      </c>
      <c r="N2520" s="3">
        <v>0.312</v>
      </c>
      <c r="O2520" t="s">
        <v>17</v>
      </c>
      <c r="P2520" t="s">
        <v>48</v>
      </c>
      <c r="Q2520">
        <v>0</v>
      </c>
      <c r="R2520">
        <v>1</v>
      </c>
      <c r="S2520" s="2">
        <v>0</v>
      </c>
      <c r="T2520" s="4"/>
      <c r="U2520">
        <v>2</v>
      </c>
      <c r="V2520">
        <v>1</v>
      </c>
      <c r="W2520">
        <v>1</v>
      </c>
    </row>
    <row r="2521" spans="1:23" ht="16.5" x14ac:dyDescent="0.3">
      <c r="A2521" t="s">
        <v>2585</v>
      </c>
      <c r="B2521" s="1">
        <v>45672</v>
      </c>
      <c r="C2521">
        <v>2025</v>
      </c>
      <c r="D2521" t="s">
        <v>24</v>
      </c>
      <c r="E2521" t="s">
        <v>25</v>
      </c>
      <c r="F2521" t="s">
        <v>37</v>
      </c>
      <c r="G2521" t="s">
        <v>51</v>
      </c>
      <c r="H2521" t="s">
        <v>38</v>
      </c>
      <c r="I2521" t="s">
        <v>29</v>
      </c>
      <c r="J2521" t="s">
        <v>43</v>
      </c>
      <c r="K2521" s="2">
        <v>10150</v>
      </c>
      <c r="L2521" s="2">
        <v>12000</v>
      </c>
      <c r="M2521">
        <v>60</v>
      </c>
      <c r="N2521" s="3">
        <v>0.252</v>
      </c>
      <c r="O2521" t="s">
        <v>17</v>
      </c>
      <c r="P2521" t="s">
        <v>31</v>
      </c>
      <c r="Q2521">
        <v>0</v>
      </c>
      <c r="R2521">
        <v>1</v>
      </c>
      <c r="S2521" s="2">
        <v>0</v>
      </c>
      <c r="T2521" s="4"/>
      <c r="U2521">
        <v>5</v>
      </c>
      <c r="V2521">
        <v>0</v>
      </c>
      <c r="W2521">
        <v>1</v>
      </c>
    </row>
    <row r="2522" spans="1:23" ht="16.5" x14ac:dyDescent="0.3">
      <c r="A2522" t="s">
        <v>2586</v>
      </c>
      <c r="B2522" s="1">
        <v>45672</v>
      </c>
      <c r="C2522">
        <v>2025</v>
      </c>
      <c r="D2522" t="s">
        <v>24</v>
      </c>
      <c r="E2522" t="s">
        <v>25</v>
      </c>
      <c r="F2522" t="s">
        <v>37</v>
      </c>
      <c r="G2522" t="s">
        <v>51</v>
      </c>
      <c r="H2522" t="s">
        <v>55</v>
      </c>
      <c r="I2522" t="s">
        <v>42</v>
      </c>
      <c r="J2522" t="s">
        <v>35</v>
      </c>
      <c r="K2522" s="2">
        <v>7050</v>
      </c>
      <c r="L2522" s="2">
        <v>25500</v>
      </c>
      <c r="M2522">
        <v>60</v>
      </c>
      <c r="N2522" s="3">
        <v>0.18099999999999999</v>
      </c>
      <c r="O2522" t="s">
        <v>16</v>
      </c>
      <c r="Q2522">
        <v>1</v>
      </c>
      <c r="R2522">
        <v>0</v>
      </c>
      <c r="S2522" s="2">
        <v>20500</v>
      </c>
      <c r="T2522" s="4">
        <v>0.12590000000000001</v>
      </c>
      <c r="U2522">
        <v>4</v>
      </c>
      <c r="V2522">
        <v>0</v>
      </c>
      <c r="W2522">
        <v>1</v>
      </c>
    </row>
    <row r="2523" spans="1:23" ht="16.5" x14ac:dyDescent="0.3">
      <c r="A2523" t="s">
        <v>2587</v>
      </c>
      <c r="B2523" s="1">
        <v>45672</v>
      </c>
      <c r="C2523">
        <v>2025</v>
      </c>
      <c r="D2523" t="s">
        <v>24</v>
      </c>
      <c r="E2523" t="s">
        <v>25</v>
      </c>
      <c r="F2523" t="s">
        <v>50</v>
      </c>
      <c r="G2523" t="s">
        <v>51</v>
      </c>
      <c r="H2523" t="s">
        <v>38</v>
      </c>
      <c r="I2523" t="s">
        <v>29</v>
      </c>
      <c r="J2523" t="s">
        <v>35</v>
      </c>
      <c r="K2523" s="2">
        <v>3550</v>
      </c>
      <c r="L2523" s="2">
        <v>776500</v>
      </c>
      <c r="M2523">
        <v>180</v>
      </c>
      <c r="N2523" s="3">
        <v>1.8129999999999999</v>
      </c>
      <c r="O2523" t="s">
        <v>17</v>
      </c>
      <c r="P2523" t="s">
        <v>53</v>
      </c>
      <c r="Q2523">
        <v>0</v>
      </c>
      <c r="R2523">
        <v>1</v>
      </c>
      <c r="S2523" s="2">
        <v>0</v>
      </c>
      <c r="T2523" s="4"/>
      <c r="U2523">
        <v>12</v>
      </c>
      <c r="V2523">
        <v>1</v>
      </c>
      <c r="W2523">
        <v>1</v>
      </c>
    </row>
    <row r="2524" spans="1:23" ht="16.5" x14ac:dyDescent="0.3">
      <c r="A2524" t="s">
        <v>2588</v>
      </c>
      <c r="B2524" s="1">
        <v>45672</v>
      </c>
      <c r="C2524">
        <v>2025</v>
      </c>
      <c r="D2524" t="s">
        <v>24</v>
      </c>
      <c r="E2524" t="s">
        <v>25</v>
      </c>
      <c r="F2524" t="s">
        <v>41</v>
      </c>
      <c r="G2524" t="s">
        <v>27</v>
      </c>
      <c r="H2524" t="s">
        <v>28</v>
      </c>
      <c r="I2524" t="s">
        <v>29</v>
      </c>
      <c r="J2524" t="s">
        <v>35</v>
      </c>
      <c r="K2524" s="2">
        <v>5450</v>
      </c>
      <c r="L2524" s="2">
        <v>136500</v>
      </c>
      <c r="M2524">
        <v>60</v>
      </c>
      <c r="N2524" s="3">
        <v>0.70499999999999996</v>
      </c>
      <c r="O2524" t="s">
        <v>125</v>
      </c>
      <c r="Q2524">
        <v>0</v>
      </c>
      <c r="R2524">
        <v>0</v>
      </c>
      <c r="S2524" s="2">
        <v>0</v>
      </c>
      <c r="T2524" s="4"/>
      <c r="U2524">
        <v>14</v>
      </c>
      <c r="V2524">
        <v>0</v>
      </c>
      <c r="W2524">
        <v>1</v>
      </c>
    </row>
    <row r="2525" spans="1:23" ht="16.5" x14ac:dyDescent="0.3">
      <c r="A2525" t="s">
        <v>2589</v>
      </c>
      <c r="B2525" s="1">
        <v>45672</v>
      </c>
      <c r="C2525">
        <v>2025</v>
      </c>
      <c r="D2525" t="s">
        <v>24</v>
      </c>
      <c r="E2525" t="s">
        <v>25</v>
      </c>
      <c r="F2525" t="s">
        <v>37</v>
      </c>
      <c r="G2525" t="s">
        <v>27</v>
      </c>
      <c r="H2525" t="s">
        <v>55</v>
      </c>
      <c r="I2525" t="s">
        <v>29</v>
      </c>
      <c r="J2525" t="s">
        <v>30</v>
      </c>
      <c r="K2525" s="2">
        <v>2500</v>
      </c>
      <c r="L2525" s="2">
        <v>8500</v>
      </c>
      <c r="M2525">
        <v>24</v>
      </c>
      <c r="N2525" s="3">
        <v>0.247</v>
      </c>
      <c r="O2525" t="s">
        <v>16</v>
      </c>
      <c r="Q2525">
        <v>1</v>
      </c>
      <c r="R2525">
        <v>0</v>
      </c>
      <c r="S2525" s="2">
        <v>7000</v>
      </c>
      <c r="T2525" s="4">
        <v>0.13739999999999999</v>
      </c>
      <c r="U2525">
        <v>3</v>
      </c>
      <c r="V2525">
        <v>1</v>
      </c>
      <c r="W2525">
        <v>1</v>
      </c>
    </row>
    <row r="2526" spans="1:23" ht="16.5" x14ac:dyDescent="0.3">
      <c r="A2526" t="s">
        <v>2590</v>
      </c>
      <c r="B2526" s="1">
        <v>45673</v>
      </c>
      <c r="C2526">
        <v>2025</v>
      </c>
      <c r="D2526" t="s">
        <v>24</v>
      </c>
      <c r="E2526" t="s">
        <v>25</v>
      </c>
      <c r="F2526" t="s">
        <v>37</v>
      </c>
      <c r="G2526" t="s">
        <v>33</v>
      </c>
      <c r="H2526" t="s">
        <v>34</v>
      </c>
      <c r="I2526" t="s">
        <v>42</v>
      </c>
      <c r="J2526" t="s">
        <v>52</v>
      </c>
      <c r="K2526" s="2">
        <v>6100</v>
      </c>
      <c r="L2526" s="2">
        <v>7500</v>
      </c>
      <c r="M2526">
        <v>60</v>
      </c>
      <c r="N2526" s="3">
        <v>0.20799999999999999</v>
      </c>
      <c r="O2526" t="s">
        <v>17</v>
      </c>
      <c r="P2526" t="s">
        <v>31</v>
      </c>
      <c r="Q2526">
        <v>0</v>
      </c>
      <c r="R2526">
        <v>1</v>
      </c>
      <c r="S2526" s="2">
        <v>0</v>
      </c>
      <c r="T2526" s="4"/>
      <c r="U2526">
        <v>2</v>
      </c>
      <c r="V2526">
        <v>1</v>
      </c>
      <c r="W2526">
        <v>1</v>
      </c>
    </row>
    <row r="2527" spans="1:23" ht="16.5" x14ac:dyDescent="0.3">
      <c r="A2527" t="s">
        <v>2591</v>
      </c>
      <c r="B2527" s="1">
        <v>45673</v>
      </c>
      <c r="C2527">
        <v>2025</v>
      </c>
      <c r="D2527" t="s">
        <v>24</v>
      </c>
      <c r="E2527" t="s">
        <v>25</v>
      </c>
      <c r="F2527" t="s">
        <v>26</v>
      </c>
      <c r="G2527" t="s">
        <v>33</v>
      </c>
      <c r="H2527" t="s">
        <v>38</v>
      </c>
      <c r="I2527" t="s">
        <v>29</v>
      </c>
      <c r="J2527" t="s">
        <v>35</v>
      </c>
      <c r="K2527" s="2">
        <v>7350</v>
      </c>
      <c r="L2527" s="2">
        <v>38000</v>
      </c>
      <c r="M2527">
        <v>48</v>
      </c>
      <c r="N2527" s="3">
        <v>0.222</v>
      </c>
      <c r="O2527" t="s">
        <v>16</v>
      </c>
      <c r="Q2527">
        <v>1</v>
      </c>
      <c r="R2527">
        <v>0</v>
      </c>
      <c r="S2527" s="2">
        <v>38000</v>
      </c>
      <c r="T2527" s="4">
        <v>8.9599999999999999E-2</v>
      </c>
      <c r="U2527">
        <v>1</v>
      </c>
      <c r="V2527">
        <v>1</v>
      </c>
      <c r="W2527">
        <v>1</v>
      </c>
    </row>
    <row r="2528" spans="1:23" ht="16.5" x14ac:dyDescent="0.3">
      <c r="A2528" t="s">
        <v>2592</v>
      </c>
      <c r="B2528" s="1">
        <v>45673</v>
      </c>
      <c r="C2528">
        <v>2025</v>
      </c>
      <c r="D2528" t="s">
        <v>24</v>
      </c>
      <c r="E2528" t="s">
        <v>25</v>
      </c>
      <c r="F2528" t="s">
        <v>50</v>
      </c>
      <c r="G2528" t="s">
        <v>33</v>
      </c>
      <c r="H2528" t="s">
        <v>55</v>
      </c>
      <c r="I2528" t="s">
        <v>39</v>
      </c>
      <c r="J2528" t="s">
        <v>52</v>
      </c>
      <c r="K2528" s="2">
        <v>10650</v>
      </c>
      <c r="L2528" s="2">
        <v>243500</v>
      </c>
      <c r="M2528">
        <v>300</v>
      </c>
      <c r="N2528" s="3">
        <v>0.32500000000000001</v>
      </c>
      <c r="O2528" t="s">
        <v>17</v>
      </c>
      <c r="P2528" t="s">
        <v>60</v>
      </c>
      <c r="Q2528">
        <v>0</v>
      </c>
      <c r="R2528">
        <v>1</v>
      </c>
      <c r="S2528" s="2">
        <v>0</v>
      </c>
      <c r="T2528" s="4"/>
      <c r="U2528">
        <v>16</v>
      </c>
      <c r="V2528">
        <v>0</v>
      </c>
      <c r="W2528">
        <v>1</v>
      </c>
    </row>
    <row r="2529" spans="1:23" ht="16.5" x14ac:dyDescent="0.3">
      <c r="A2529" t="s">
        <v>2593</v>
      </c>
      <c r="B2529" s="1">
        <v>45673</v>
      </c>
      <c r="C2529">
        <v>2025</v>
      </c>
      <c r="D2529" t="s">
        <v>24</v>
      </c>
      <c r="E2529" t="s">
        <v>25</v>
      </c>
      <c r="F2529" t="s">
        <v>26</v>
      </c>
      <c r="G2529" t="s">
        <v>51</v>
      </c>
      <c r="H2529" t="s">
        <v>55</v>
      </c>
      <c r="I2529" t="s">
        <v>39</v>
      </c>
      <c r="J2529" t="s">
        <v>35</v>
      </c>
      <c r="K2529" s="2">
        <v>4200</v>
      </c>
      <c r="L2529" s="2">
        <v>43500</v>
      </c>
      <c r="M2529">
        <v>48</v>
      </c>
      <c r="N2529" s="3">
        <v>0.45800000000000002</v>
      </c>
      <c r="O2529" t="s">
        <v>125</v>
      </c>
      <c r="Q2529">
        <v>0</v>
      </c>
      <c r="R2529">
        <v>0</v>
      </c>
      <c r="S2529" s="2">
        <v>0</v>
      </c>
      <c r="T2529" s="4"/>
      <c r="U2529">
        <v>3</v>
      </c>
      <c r="V2529">
        <v>1</v>
      </c>
      <c r="W2529">
        <v>1</v>
      </c>
    </row>
    <row r="2530" spans="1:23" ht="16.5" x14ac:dyDescent="0.3">
      <c r="A2530" t="s">
        <v>2594</v>
      </c>
      <c r="B2530" s="1">
        <v>45673</v>
      </c>
      <c r="C2530">
        <v>2025</v>
      </c>
      <c r="D2530" t="s">
        <v>24</v>
      </c>
      <c r="E2530" t="s">
        <v>25</v>
      </c>
      <c r="F2530" t="s">
        <v>41</v>
      </c>
      <c r="G2530" t="s">
        <v>45</v>
      </c>
      <c r="H2530" t="s">
        <v>38</v>
      </c>
      <c r="I2530" t="s">
        <v>29</v>
      </c>
      <c r="J2530" t="s">
        <v>46</v>
      </c>
      <c r="K2530" s="2">
        <v>2600</v>
      </c>
      <c r="L2530" s="2">
        <v>151000</v>
      </c>
      <c r="M2530">
        <v>60</v>
      </c>
      <c r="N2530" s="3">
        <v>1.323</v>
      </c>
      <c r="O2530" t="s">
        <v>16</v>
      </c>
      <c r="Q2530">
        <v>1</v>
      </c>
      <c r="R2530">
        <v>0</v>
      </c>
      <c r="S2530" s="2">
        <v>136000</v>
      </c>
      <c r="T2530" s="4">
        <v>9.1899999999999996E-2</v>
      </c>
      <c r="U2530">
        <v>4</v>
      </c>
      <c r="V2530">
        <v>1</v>
      </c>
      <c r="W2530">
        <v>1</v>
      </c>
    </row>
    <row r="2531" spans="1:23" ht="16.5" x14ac:dyDescent="0.3">
      <c r="A2531" t="s">
        <v>2595</v>
      </c>
      <c r="B2531" s="1">
        <v>45673</v>
      </c>
      <c r="C2531">
        <v>2025</v>
      </c>
      <c r="D2531" t="s">
        <v>24</v>
      </c>
      <c r="E2531" t="s">
        <v>25</v>
      </c>
      <c r="F2531" t="s">
        <v>37</v>
      </c>
      <c r="G2531" t="s">
        <v>45</v>
      </c>
      <c r="H2531" t="s">
        <v>28</v>
      </c>
      <c r="I2531" t="s">
        <v>29</v>
      </c>
      <c r="J2531" t="s">
        <v>30</v>
      </c>
      <c r="K2531" s="2">
        <v>5350</v>
      </c>
      <c r="L2531" s="2">
        <v>7000</v>
      </c>
      <c r="M2531">
        <v>12</v>
      </c>
      <c r="N2531" s="3">
        <v>0.34499999999999997</v>
      </c>
      <c r="O2531" t="s">
        <v>17</v>
      </c>
      <c r="P2531" t="s">
        <v>31</v>
      </c>
      <c r="Q2531">
        <v>0</v>
      </c>
      <c r="R2531">
        <v>1</v>
      </c>
      <c r="S2531" s="2">
        <v>0</v>
      </c>
      <c r="T2531" s="4"/>
      <c r="U2531">
        <v>2</v>
      </c>
      <c r="V2531">
        <v>1</v>
      </c>
      <c r="W2531">
        <v>1</v>
      </c>
    </row>
    <row r="2532" spans="1:23" ht="16.5" x14ac:dyDescent="0.3">
      <c r="A2532" t="s">
        <v>2596</v>
      </c>
      <c r="B2532" s="1">
        <v>45673</v>
      </c>
      <c r="C2532">
        <v>2025</v>
      </c>
      <c r="D2532" t="s">
        <v>24</v>
      </c>
      <c r="E2532" t="s">
        <v>25</v>
      </c>
      <c r="F2532" t="s">
        <v>50</v>
      </c>
      <c r="G2532" t="s">
        <v>45</v>
      </c>
      <c r="H2532" t="s">
        <v>55</v>
      </c>
      <c r="I2532" t="s">
        <v>39</v>
      </c>
      <c r="J2532" t="s">
        <v>35</v>
      </c>
      <c r="K2532" s="2">
        <v>8500</v>
      </c>
      <c r="L2532" s="2">
        <v>170000</v>
      </c>
      <c r="M2532">
        <v>240</v>
      </c>
      <c r="N2532" s="3">
        <v>0.33900000000000002</v>
      </c>
      <c r="O2532" t="s">
        <v>17</v>
      </c>
      <c r="P2532" t="s">
        <v>48</v>
      </c>
      <c r="Q2532">
        <v>0</v>
      </c>
      <c r="R2532">
        <v>1</v>
      </c>
      <c r="S2532" s="2">
        <v>0</v>
      </c>
      <c r="T2532" s="4"/>
      <c r="U2532">
        <v>5</v>
      </c>
      <c r="V2532">
        <v>1</v>
      </c>
      <c r="W2532">
        <v>1</v>
      </c>
    </row>
    <row r="2533" spans="1:23" ht="16.5" x14ac:dyDescent="0.3">
      <c r="A2533" t="s">
        <v>2597</v>
      </c>
      <c r="B2533" s="1">
        <v>45673</v>
      </c>
      <c r="C2533">
        <v>2025</v>
      </c>
      <c r="D2533" t="s">
        <v>24</v>
      </c>
      <c r="E2533" t="s">
        <v>25</v>
      </c>
      <c r="F2533" t="s">
        <v>50</v>
      </c>
      <c r="G2533" t="s">
        <v>51</v>
      </c>
      <c r="H2533" t="s">
        <v>34</v>
      </c>
      <c r="I2533" t="s">
        <v>42</v>
      </c>
      <c r="J2533" t="s">
        <v>35</v>
      </c>
      <c r="K2533" s="2">
        <v>6050</v>
      </c>
      <c r="L2533" s="2">
        <v>297500</v>
      </c>
      <c r="M2533">
        <v>180</v>
      </c>
      <c r="N2533" s="3">
        <v>0.61199999999999999</v>
      </c>
      <c r="O2533" t="s">
        <v>125</v>
      </c>
      <c r="Q2533">
        <v>0</v>
      </c>
      <c r="R2533">
        <v>0</v>
      </c>
      <c r="S2533" s="2">
        <v>0</v>
      </c>
      <c r="T2533" s="4"/>
      <c r="U2533">
        <v>20</v>
      </c>
      <c r="V2533">
        <v>0</v>
      </c>
      <c r="W2533">
        <v>1</v>
      </c>
    </row>
    <row r="2534" spans="1:23" ht="16.5" x14ac:dyDescent="0.3">
      <c r="A2534" t="s">
        <v>2598</v>
      </c>
      <c r="B2534" s="1">
        <v>45673</v>
      </c>
      <c r="C2534">
        <v>2025</v>
      </c>
      <c r="D2534" t="s">
        <v>24</v>
      </c>
      <c r="E2534" t="s">
        <v>25</v>
      </c>
      <c r="F2534" t="s">
        <v>41</v>
      </c>
      <c r="G2534" t="s">
        <v>33</v>
      </c>
      <c r="H2534" t="s">
        <v>34</v>
      </c>
      <c r="I2534" t="s">
        <v>29</v>
      </c>
      <c r="J2534" t="s">
        <v>30</v>
      </c>
      <c r="K2534" s="2">
        <v>4600</v>
      </c>
      <c r="L2534" s="2">
        <v>37500</v>
      </c>
      <c r="M2534">
        <v>60</v>
      </c>
      <c r="N2534" s="3">
        <v>0.29599999999999999</v>
      </c>
      <c r="O2534" t="s">
        <v>17</v>
      </c>
      <c r="P2534" t="s">
        <v>60</v>
      </c>
      <c r="Q2534">
        <v>0</v>
      </c>
      <c r="R2534">
        <v>1</v>
      </c>
      <c r="S2534" s="2">
        <v>0</v>
      </c>
      <c r="T2534" s="4"/>
      <c r="U2534">
        <v>7</v>
      </c>
      <c r="V2534">
        <v>1</v>
      </c>
      <c r="W2534">
        <v>1</v>
      </c>
    </row>
    <row r="2535" spans="1:23" ht="16.5" x14ac:dyDescent="0.3">
      <c r="A2535" t="s">
        <v>2599</v>
      </c>
      <c r="B2535" s="1">
        <v>45673</v>
      </c>
      <c r="C2535">
        <v>2025</v>
      </c>
      <c r="D2535" t="s">
        <v>24</v>
      </c>
      <c r="E2535" t="s">
        <v>25</v>
      </c>
      <c r="F2535" t="s">
        <v>50</v>
      </c>
      <c r="G2535" t="s">
        <v>33</v>
      </c>
      <c r="H2535" t="s">
        <v>55</v>
      </c>
      <c r="I2535" t="s">
        <v>39</v>
      </c>
      <c r="J2535" t="s">
        <v>52</v>
      </c>
      <c r="K2535" s="2">
        <v>3150</v>
      </c>
      <c r="L2535" s="2">
        <v>312500</v>
      </c>
      <c r="M2535">
        <v>240</v>
      </c>
      <c r="N2535" s="3">
        <v>0.83399999999999996</v>
      </c>
      <c r="O2535" t="s">
        <v>16</v>
      </c>
      <c r="Q2535">
        <v>1</v>
      </c>
      <c r="R2535">
        <v>0</v>
      </c>
      <c r="S2535" s="2">
        <v>281000</v>
      </c>
      <c r="T2535" s="4">
        <v>4.8500000000000001E-2</v>
      </c>
      <c r="U2535">
        <v>7</v>
      </c>
      <c r="V2535">
        <v>1</v>
      </c>
      <c r="W2535">
        <v>1</v>
      </c>
    </row>
    <row r="2536" spans="1:23" ht="16.5" x14ac:dyDescent="0.3">
      <c r="A2536" t="s">
        <v>2600</v>
      </c>
      <c r="B2536" s="1">
        <v>45674</v>
      </c>
      <c r="C2536">
        <v>2025</v>
      </c>
      <c r="D2536" t="s">
        <v>24</v>
      </c>
      <c r="E2536" t="s">
        <v>25</v>
      </c>
      <c r="F2536" t="s">
        <v>41</v>
      </c>
      <c r="G2536" t="s">
        <v>27</v>
      </c>
      <c r="H2536" t="s">
        <v>38</v>
      </c>
      <c r="I2536" t="s">
        <v>29</v>
      </c>
      <c r="J2536" t="s">
        <v>35</v>
      </c>
      <c r="K2536" s="2">
        <v>9650</v>
      </c>
      <c r="L2536" s="2">
        <v>41000</v>
      </c>
      <c r="M2536">
        <v>60</v>
      </c>
      <c r="N2536" s="3">
        <v>0.17</v>
      </c>
      <c r="O2536" t="s">
        <v>16</v>
      </c>
      <c r="Q2536">
        <v>1</v>
      </c>
      <c r="R2536">
        <v>0</v>
      </c>
      <c r="S2536" s="2">
        <v>41000</v>
      </c>
      <c r="T2536" s="4">
        <v>0.10680000000000001</v>
      </c>
      <c r="U2536">
        <v>7</v>
      </c>
      <c r="V2536">
        <v>1</v>
      </c>
      <c r="W2536">
        <v>1</v>
      </c>
    </row>
    <row r="2537" spans="1:23" ht="16.5" x14ac:dyDescent="0.3">
      <c r="A2537" t="s">
        <v>2601</v>
      </c>
      <c r="B2537" s="1">
        <v>45674</v>
      </c>
      <c r="C2537">
        <v>2025</v>
      </c>
      <c r="D2537" t="s">
        <v>24</v>
      </c>
      <c r="E2537" t="s">
        <v>25</v>
      </c>
      <c r="F2537" t="s">
        <v>26</v>
      </c>
      <c r="G2537" t="s">
        <v>45</v>
      </c>
      <c r="H2537" t="s">
        <v>38</v>
      </c>
      <c r="I2537" t="s">
        <v>29</v>
      </c>
      <c r="J2537" t="s">
        <v>43</v>
      </c>
      <c r="K2537" s="2">
        <v>5200</v>
      </c>
      <c r="L2537" s="2">
        <v>19000</v>
      </c>
      <c r="M2537">
        <v>36</v>
      </c>
      <c r="N2537" s="3">
        <v>0.19800000000000001</v>
      </c>
      <c r="O2537" t="s">
        <v>17</v>
      </c>
      <c r="P2537" t="s">
        <v>60</v>
      </c>
      <c r="Q2537">
        <v>0</v>
      </c>
      <c r="R2537">
        <v>1</v>
      </c>
      <c r="S2537" s="2">
        <v>0</v>
      </c>
      <c r="T2537" s="4"/>
      <c r="U2537">
        <v>6</v>
      </c>
      <c r="V2537">
        <v>0</v>
      </c>
      <c r="W2537">
        <v>1</v>
      </c>
    </row>
    <row r="2538" spans="1:23" ht="16.5" x14ac:dyDescent="0.3">
      <c r="A2538" t="s">
        <v>2602</v>
      </c>
      <c r="B2538" s="1">
        <v>45674</v>
      </c>
      <c r="C2538">
        <v>2025</v>
      </c>
      <c r="D2538" t="s">
        <v>24</v>
      </c>
      <c r="E2538" t="s">
        <v>25</v>
      </c>
      <c r="F2538" t="s">
        <v>37</v>
      </c>
      <c r="G2538" t="s">
        <v>51</v>
      </c>
      <c r="H2538" t="s">
        <v>55</v>
      </c>
      <c r="I2538" t="s">
        <v>39</v>
      </c>
      <c r="J2538" t="s">
        <v>35</v>
      </c>
      <c r="K2538" s="2">
        <v>5700</v>
      </c>
      <c r="L2538" s="2">
        <v>10000</v>
      </c>
      <c r="M2538">
        <v>36</v>
      </c>
      <c r="N2538" s="3">
        <v>0.14499999999999999</v>
      </c>
      <c r="O2538" t="s">
        <v>16</v>
      </c>
      <c r="Q2538">
        <v>1</v>
      </c>
      <c r="R2538">
        <v>0</v>
      </c>
      <c r="S2538" s="2">
        <v>9000</v>
      </c>
      <c r="T2538" s="4">
        <v>0.12330000000000001</v>
      </c>
      <c r="U2538">
        <v>6</v>
      </c>
      <c r="V2538">
        <v>0</v>
      </c>
      <c r="W2538">
        <v>1</v>
      </c>
    </row>
    <row r="2539" spans="1:23" ht="16.5" x14ac:dyDescent="0.3">
      <c r="A2539" t="s">
        <v>2603</v>
      </c>
      <c r="B2539" s="1">
        <v>45674</v>
      </c>
      <c r="C2539">
        <v>2025</v>
      </c>
      <c r="D2539" t="s">
        <v>24</v>
      </c>
      <c r="E2539" t="s">
        <v>25</v>
      </c>
      <c r="F2539" t="s">
        <v>37</v>
      </c>
      <c r="G2539" t="s">
        <v>51</v>
      </c>
      <c r="H2539" t="s">
        <v>38</v>
      </c>
      <c r="I2539" t="s">
        <v>29</v>
      </c>
      <c r="J2539" t="s">
        <v>35</v>
      </c>
      <c r="K2539" s="2">
        <v>5850</v>
      </c>
      <c r="L2539" s="2">
        <v>10500</v>
      </c>
      <c r="M2539">
        <v>48</v>
      </c>
      <c r="N2539" s="3">
        <v>0.16900000000000001</v>
      </c>
      <c r="O2539" t="s">
        <v>17</v>
      </c>
      <c r="P2539" t="s">
        <v>60</v>
      </c>
      <c r="Q2539">
        <v>0</v>
      </c>
      <c r="R2539">
        <v>1</v>
      </c>
      <c r="S2539" s="2">
        <v>0</v>
      </c>
      <c r="T2539" s="4"/>
      <c r="U2539">
        <v>11</v>
      </c>
      <c r="V2539">
        <v>0</v>
      </c>
      <c r="W2539">
        <v>1</v>
      </c>
    </row>
    <row r="2540" spans="1:23" ht="16.5" x14ac:dyDescent="0.3">
      <c r="A2540" t="s">
        <v>2604</v>
      </c>
      <c r="B2540" s="1">
        <v>45674</v>
      </c>
      <c r="C2540">
        <v>2025</v>
      </c>
      <c r="D2540" t="s">
        <v>24</v>
      </c>
      <c r="E2540" t="s">
        <v>25</v>
      </c>
      <c r="F2540" t="s">
        <v>37</v>
      </c>
      <c r="G2540" t="s">
        <v>51</v>
      </c>
      <c r="H2540" t="s">
        <v>38</v>
      </c>
      <c r="I2540" t="s">
        <v>29</v>
      </c>
      <c r="J2540" t="s">
        <v>52</v>
      </c>
      <c r="K2540" s="2">
        <v>4800</v>
      </c>
      <c r="L2540" s="2">
        <v>9500</v>
      </c>
      <c r="M2540">
        <v>36</v>
      </c>
      <c r="N2540" s="3">
        <v>0.20699999999999999</v>
      </c>
      <c r="O2540" t="s">
        <v>16</v>
      </c>
      <c r="Q2540">
        <v>1</v>
      </c>
      <c r="R2540">
        <v>0</v>
      </c>
      <c r="S2540" s="2">
        <v>8500</v>
      </c>
      <c r="T2540" s="4">
        <v>0.11210000000000001</v>
      </c>
      <c r="U2540">
        <v>5</v>
      </c>
      <c r="V2540">
        <v>0</v>
      </c>
      <c r="W2540">
        <v>1</v>
      </c>
    </row>
    <row r="2541" spans="1:23" ht="16.5" x14ac:dyDescent="0.3">
      <c r="A2541" t="s">
        <v>2605</v>
      </c>
      <c r="B2541" s="1">
        <v>45674</v>
      </c>
      <c r="C2541">
        <v>2025</v>
      </c>
      <c r="D2541" t="s">
        <v>24</v>
      </c>
      <c r="E2541" t="s">
        <v>25</v>
      </c>
      <c r="F2541" t="s">
        <v>37</v>
      </c>
      <c r="G2541" t="s">
        <v>33</v>
      </c>
      <c r="H2541" t="s">
        <v>55</v>
      </c>
      <c r="I2541" t="s">
        <v>29</v>
      </c>
      <c r="J2541" t="s">
        <v>30</v>
      </c>
      <c r="K2541" s="2">
        <v>8500</v>
      </c>
      <c r="L2541" s="2">
        <v>39500</v>
      </c>
      <c r="M2541">
        <v>12</v>
      </c>
      <c r="N2541" s="3">
        <v>0.61399999999999999</v>
      </c>
      <c r="O2541" t="s">
        <v>16</v>
      </c>
      <c r="Q2541">
        <v>1</v>
      </c>
      <c r="R2541">
        <v>0</v>
      </c>
      <c r="S2541" s="2">
        <v>31500</v>
      </c>
      <c r="T2541" s="4">
        <v>0.14199999999999999</v>
      </c>
      <c r="U2541">
        <v>1</v>
      </c>
      <c r="V2541">
        <v>1</v>
      </c>
      <c r="W2541">
        <v>1</v>
      </c>
    </row>
    <row r="2542" spans="1:23" ht="16.5" x14ac:dyDescent="0.3">
      <c r="A2542" t="s">
        <v>2606</v>
      </c>
      <c r="B2542" s="1">
        <v>45674</v>
      </c>
      <c r="C2542">
        <v>2025</v>
      </c>
      <c r="D2542" t="s">
        <v>24</v>
      </c>
      <c r="E2542" t="s">
        <v>25</v>
      </c>
      <c r="F2542" t="s">
        <v>26</v>
      </c>
      <c r="G2542" t="s">
        <v>33</v>
      </c>
      <c r="H2542" t="s">
        <v>55</v>
      </c>
      <c r="I2542" t="s">
        <v>29</v>
      </c>
      <c r="J2542" t="s">
        <v>52</v>
      </c>
      <c r="K2542" s="2">
        <v>1950</v>
      </c>
      <c r="L2542" s="2">
        <v>15500</v>
      </c>
      <c r="M2542">
        <v>60</v>
      </c>
      <c r="N2542" s="3">
        <v>0.33</v>
      </c>
      <c r="O2542" t="s">
        <v>16</v>
      </c>
      <c r="Q2542">
        <v>1</v>
      </c>
      <c r="R2542">
        <v>0</v>
      </c>
      <c r="S2542" s="2">
        <v>15500</v>
      </c>
      <c r="T2542" s="4">
        <v>7.4800000000000005E-2</v>
      </c>
      <c r="U2542">
        <v>2</v>
      </c>
      <c r="V2542">
        <v>1</v>
      </c>
      <c r="W2542">
        <v>1</v>
      </c>
    </row>
    <row r="2543" spans="1:23" ht="16.5" x14ac:dyDescent="0.3">
      <c r="A2543" t="s">
        <v>2607</v>
      </c>
      <c r="B2543" s="1">
        <v>45674</v>
      </c>
      <c r="C2543">
        <v>2025</v>
      </c>
      <c r="D2543" t="s">
        <v>24</v>
      </c>
      <c r="E2543" t="s">
        <v>25</v>
      </c>
      <c r="F2543" t="s">
        <v>26</v>
      </c>
      <c r="G2543" t="s">
        <v>33</v>
      </c>
      <c r="H2543" t="s">
        <v>34</v>
      </c>
      <c r="I2543" t="s">
        <v>29</v>
      </c>
      <c r="J2543" t="s">
        <v>35</v>
      </c>
      <c r="K2543" s="2">
        <v>4100</v>
      </c>
      <c r="L2543" s="2">
        <v>37000</v>
      </c>
      <c r="M2543">
        <v>60</v>
      </c>
      <c r="N2543" s="3">
        <v>0.26100000000000001</v>
      </c>
      <c r="O2543" t="s">
        <v>16</v>
      </c>
      <c r="Q2543">
        <v>1</v>
      </c>
      <c r="R2543">
        <v>0</v>
      </c>
      <c r="S2543" s="2">
        <v>29500</v>
      </c>
      <c r="T2543" s="4">
        <v>8.0699999999999994E-2</v>
      </c>
      <c r="U2543">
        <v>1</v>
      </c>
      <c r="V2543">
        <v>1</v>
      </c>
      <c r="W2543">
        <v>1</v>
      </c>
    </row>
    <row r="2544" spans="1:23" ht="16.5" x14ac:dyDescent="0.3">
      <c r="A2544" t="s">
        <v>2608</v>
      </c>
      <c r="B2544" s="1">
        <v>45674</v>
      </c>
      <c r="C2544">
        <v>2025</v>
      </c>
      <c r="D2544" t="s">
        <v>24</v>
      </c>
      <c r="E2544" t="s">
        <v>25</v>
      </c>
      <c r="F2544" t="s">
        <v>50</v>
      </c>
      <c r="G2544" t="s">
        <v>33</v>
      </c>
      <c r="H2544" t="s">
        <v>55</v>
      </c>
      <c r="I2544" t="s">
        <v>39</v>
      </c>
      <c r="J2544" t="s">
        <v>52</v>
      </c>
      <c r="K2544" s="2">
        <v>5350</v>
      </c>
      <c r="L2544" s="2">
        <v>449000</v>
      </c>
      <c r="M2544">
        <v>180</v>
      </c>
      <c r="N2544" s="3">
        <v>0.90500000000000003</v>
      </c>
      <c r="O2544" t="s">
        <v>125</v>
      </c>
      <c r="Q2544">
        <v>0</v>
      </c>
      <c r="R2544">
        <v>0</v>
      </c>
      <c r="S2544" s="2">
        <v>0</v>
      </c>
      <c r="T2544" s="4"/>
      <c r="U2544">
        <v>5</v>
      </c>
      <c r="V2544">
        <v>1</v>
      </c>
      <c r="W2544">
        <v>1</v>
      </c>
    </row>
    <row r="2545" spans="1:23" ht="16.5" x14ac:dyDescent="0.3">
      <c r="A2545" t="s">
        <v>2609</v>
      </c>
      <c r="B2545" s="1">
        <v>45674</v>
      </c>
      <c r="C2545">
        <v>2025</v>
      </c>
      <c r="D2545" t="s">
        <v>24</v>
      </c>
      <c r="E2545" t="s">
        <v>25</v>
      </c>
      <c r="F2545" t="s">
        <v>26</v>
      </c>
      <c r="G2545" t="s">
        <v>33</v>
      </c>
      <c r="H2545" t="s">
        <v>38</v>
      </c>
      <c r="I2545" t="s">
        <v>39</v>
      </c>
      <c r="J2545" t="s">
        <v>35</v>
      </c>
      <c r="K2545" s="2">
        <v>4400</v>
      </c>
      <c r="L2545" s="2">
        <v>37000</v>
      </c>
      <c r="M2545">
        <v>60</v>
      </c>
      <c r="N2545" s="3">
        <v>0.34599999999999997</v>
      </c>
      <c r="O2545" t="s">
        <v>16</v>
      </c>
      <c r="Q2545">
        <v>1</v>
      </c>
      <c r="R2545">
        <v>0</v>
      </c>
      <c r="S2545" s="2">
        <v>33500</v>
      </c>
      <c r="T2545" s="4">
        <v>7.9600000000000004E-2</v>
      </c>
      <c r="U2545">
        <v>2</v>
      </c>
      <c r="V2545">
        <v>1</v>
      </c>
      <c r="W2545">
        <v>1</v>
      </c>
    </row>
    <row r="2546" spans="1:23" ht="16.5" x14ac:dyDescent="0.3">
      <c r="A2546" t="s">
        <v>2610</v>
      </c>
      <c r="B2546" s="1">
        <v>45674</v>
      </c>
      <c r="C2546">
        <v>2025</v>
      </c>
      <c r="D2546" t="s">
        <v>24</v>
      </c>
      <c r="E2546" t="s">
        <v>25</v>
      </c>
      <c r="F2546" t="s">
        <v>41</v>
      </c>
      <c r="G2546" t="s">
        <v>45</v>
      </c>
      <c r="H2546" t="s">
        <v>34</v>
      </c>
      <c r="I2546" t="s">
        <v>39</v>
      </c>
      <c r="J2546" t="s">
        <v>52</v>
      </c>
      <c r="K2546" s="2">
        <v>8650</v>
      </c>
      <c r="L2546" s="2">
        <v>190500</v>
      </c>
      <c r="M2546">
        <v>36</v>
      </c>
      <c r="N2546" s="3">
        <v>0.94799999999999995</v>
      </c>
      <c r="O2546" t="s">
        <v>16</v>
      </c>
      <c r="Q2546">
        <v>1</v>
      </c>
      <c r="R2546">
        <v>0</v>
      </c>
      <c r="S2546" s="2">
        <v>190500</v>
      </c>
      <c r="T2546" s="4">
        <v>9.8199999999999996E-2</v>
      </c>
      <c r="U2546">
        <v>6</v>
      </c>
      <c r="V2546">
        <v>1</v>
      </c>
      <c r="W2546">
        <v>1</v>
      </c>
    </row>
    <row r="2547" spans="1:23" ht="16.5" x14ac:dyDescent="0.3">
      <c r="A2547" t="s">
        <v>2611</v>
      </c>
      <c r="B2547" s="1">
        <v>45675</v>
      </c>
      <c r="C2547">
        <v>2025</v>
      </c>
      <c r="D2547" t="s">
        <v>24</v>
      </c>
      <c r="E2547" t="s">
        <v>25</v>
      </c>
      <c r="F2547" t="s">
        <v>37</v>
      </c>
      <c r="G2547" t="s">
        <v>45</v>
      </c>
      <c r="H2547" t="s">
        <v>28</v>
      </c>
      <c r="I2547" t="s">
        <v>42</v>
      </c>
      <c r="J2547" t="s">
        <v>52</v>
      </c>
      <c r="K2547" s="2">
        <v>7350</v>
      </c>
      <c r="L2547" s="2">
        <v>12000</v>
      </c>
      <c r="M2547">
        <v>36</v>
      </c>
      <c r="N2547" s="3">
        <v>0.16600000000000001</v>
      </c>
      <c r="O2547" t="s">
        <v>16</v>
      </c>
      <c r="Q2547">
        <v>1</v>
      </c>
      <c r="R2547">
        <v>0</v>
      </c>
      <c r="S2547" s="2">
        <v>12000</v>
      </c>
      <c r="T2547" s="4">
        <v>0.114</v>
      </c>
      <c r="U2547">
        <v>2</v>
      </c>
      <c r="V2547">
        <v>1</v>
      </c>
      <c r="W2547">
        <v>1</v>
      </c>
    </row>
    <row r="2548" spans="1:23" ht="16.5" x14ac:dyDescent="0.3">
      <c r="A2548" t="s">
        <v>2612</v>
      </c>
      <c r="B2548" s="1">
        <v>45675</v>
      </c>
      <c r="C2548">
        <v>2025</v>
      </c>
      <c r="D2548" t="s">
        <v>24</v>
      </c>
      <c r="E2548" t="s">
        <v>25</v>
      </c>
      <c r="F2548" t="s">
        <v>37</v>
      </c>
      <c r="G2548" t="s">
        <v>33</v>
      </c>
      <c r="H2548" t="s">
        <v>55</v>
      </c>
      <c r="I2548" t="s">
        <v>29</v>
      </c>
      <c r="J2548" t="s">
        <v>30</v>
      </c>
      <c r="K2548" s="2">
        <v>2900</v>
      </c>
      <c r="L2548" s="2">
        <v>8500</v>
      </c>
      <c r="M2548">
        <v>60</v>
      </c>
      <c r="N2548" s="3">
        <v>0.215</v>
      </c>
      <c r="O2548" t="s">
        <v>16</v>
      </c>
      <c r="Q2548">
        <v>1</v>
      </c>
      <c r="R2548">
        <v>0</v>
      </c>
      <c r="S2548" s="2">
        <v>7000</v>
      </c>
      <c r="T2548" s="4">
        <v>0.13789999999999999</v>
      </c>
      <c r="U2548">
        <v>2</v>
      </c>
      <c r="V2548">
        <v>1</v>
      </c>
      <c r="W2548">
        <v>1</v>
      </c>
    </row>
    <row r="2549" spans="1:23" ht="16.5" x14ac:dyDescent="0.3">
      <c r="A2549" t="s">
        <v>2613</v>
      </c>
      <c r="B2549" s="1">
        <v>45675</v>
      </c>
      <c r="C2549">
        <v>2025</v>
      </c>
      <c r="D2549" t="s">
        <v>24</v>
      </c>
      <c r="E2549" t="s">
        <v>25</v>
      </c>
      <c r="F2549" t="s">
        <v>41</v>
      </c>
      <c r="G2549" t="s">
        <v>33</v>
      </c>
      <c r="H2549" t="s">
        <v>64</v>
      </c>
      <c r="I2549" t="s">
        <v>39</v>
      </c>
      <c r="J2549" t="s">
        <v>43</v>
      </c>
      <c r="K2549" s="2">
        <v>6600</v>
      </c>
      <c r="L2549" s="2">
        <v>111000</v>
      </c>
      <c r="M2549">
        <v>60</v>
      </c>
      <c r="N2549" s="3">
        <v>0.53200000000000003</v>
      </c>
      <c r="O2549" t="s">
        <v>125</v>
      </c>
      <c r="Q2549">
        <v>0</v>
      </c>
      <c r="R2549">
        <v>0</v>
      </c>
      <c r="S2549" s="2">
        <v>0</v>
      </c>
      <c r="T2549" s="4"/>
      <c r="U2549">
        <v>5</v>
      </c>
      <c r="V2549">
        <v>1</v>
      </c>
      <c r="W2549">
        <v>1</v>
      </c>
    </row>
    <row r="2550" spans="1:23" ht="16.5" x14ac:dyDescent="0.3">
      <c r="A2550" t="s">
        <v>2614</v>
      </c>
      <c r="B2550" s="1">
        <v>45676</v>
      </c>
      <c r="C2550">
        <v>2025</v>
      </c>
      <c r="D2550" t="s">
        <v>24</v>
      </c>
      <c r="E2550" t="s">
        <v>25</v>
      </c>
      <c r="F2550" t="s">
        <v>26</v>
      </c>
      <c r="G2550" t="s">
        <v>33</v>
      </c>
      <c r="H2550" t="s">
        <v>55</v>
      </c>
      <c r="I2550" t="s">
        <v>39</v>
      </c>
      <c r="J2550" t="s">
        <v>52</v>
      </c>
      <c r="K2550" s="2">
        <v>6150</v>
      </c>
      <c r="L2550" s="2">
        <v>41000</v>
      </c>
      <c r="M2550">
        <v>60</v>
      </c>
      <c r="N2550" s="3">
        <v>0.36</v>
      </c>
      <c r="O2550" t="s">
        <v>16</v>
      </c>
      <c r="Q2550">
        <v>1</v>
      </c>
      <c r="R2550">
        <v>0</v>
      </c>
      <c r="S2550" s="2">
        <v>41000</v>
      </c>
      <c r="T2550" s="4">
        <v>7.3099999999999998E-2</v>
      </c>
      <c r="U2550">
        <v>2</v>
      </c>
      <c r="V2550">
        <v>1</v>
      </c>
      <c r="W2550">
        <v>1</v>
      </c>
    </row>
    <row r="2551" spans="1:23" ht="16.5" x14ac:dyDescent="0.3">
      <c r="A2551" t="s">
        <v>2615</v>
      </c>
      <c r="B2551" s="1">
        <v>45676</v>
      </c>
      <c r="C2551">
        <v>2025</v>
      </c>
      <c r="D2551" t="s">
        <v>24</v>
      </c>
      <c r="E2551" t="s">
        <v>25</v>
      </c>
      <c r="F2551" t="s">
        <v>37</v>
      </c>
      <c r="G2551" t="s">
        <v>33</v>
      </c>
      <c r="H2551" t="s">
        <v>38</v>
      </c>
      <c r="I2551" t="s">
        <v>39</v>
      </c>
      <c r="J2551" t="s">
        <v>52</v>
      </c>
      <c r="K2551" s="2">
        <v>3700</v>
      </c>
      <c r="L2551" s="2">
        <v>14500</v>
      </c>
      <c r="M2551">
        <v>60</v>
      </c>
      <c r="N2551" s="3">
        <v>0.315</v>
      </c>
      <c r="O2551" t="s">
        <v>17</v>
      </c>
      <c r="P2551" t="s">
        <v>60</v>
      </c>
      <c r="Q2551">
        <v>0</v>
      </c>
      <c r="R2551">
        <v>1</v>
      </c>
      <c r="S2551" s="2">
        <v>0</v>
      </c>
      <c r="T2551" s="4"/>
      <c r="U2551">
        <v>6</v>
      </c>
      <c r="V2551">
        <v>0</v>
      </c>
      <c r="W2551">
        <v>1</v>
      </c>
    </row>
    <row r="2552" spans="1:23" ht="16.5" x14ac:dyDescent="0.3">
      <c r="A2552" t="s">
        <v>2616</v>
      </c>
      <c r="B2552" s="1">
        <v>45676</v>
      </c>
      <c r="C2552">
        <v>2025</v>
      </c>
      <c r="D2552" t="s">
        <v>24</v>
      </c>
      <c r="E2552" t="s">
        <v>25</v>
      </c>
      <c r="F2552" t="s">
        <v>26</v>
      </c>
      <c r="G2552" t="s">
        <v>33</v>
      </c>
      <c r="H2552" t="s">
        <v>28</v>
      </c>
      <c r="I2552" t="s">
        <v>29</v>
      </c>
      <c r="J2552" t="s">
        <v>52</v>
      </c>
      <c r="K2552" s="2">
        <v>6200</v>
      </c>
      <c r="L2552" s="2">
        <v>25000</v>
      </c>
      <c r="M2552">
        <v>36</v>
      </c>
      <c r="N2552" s="3">
        <v>0.28199999999999997</v>
      </c>
      <c r="O2552" t="s">
        <v>16</v>
      </c>
      <c r="Q2552">
        <v>1</v>
      </c>
      <c r="R2552">
        <v>0</v>
      </c>
      <c r="S2552" s="2">
        <v>25000</v>
      </c>
      <c r="T2552" s="4">
        <v>7.0900000000000005E-2</v>
      </c>
      <c r="U2552">
        <v>2</v>
      </c>
      <c r="V2552">
        <v>1</v>
      </c>
      <c r="W2552">
        <v>1</v>
      </c>
    </row>
    <row r="2553" spans="1:23" ht="16.5" x14ac:dyDescent="0.3">
      <c r="A2553" t="s">
        <v>2617</v>
      </c>
      <c r="B2553" s="1">
        <v>45676</v>
      </c>
      <c r="C2553">
        <v>2025</v>
      </c>
      <c r="D2553" t="s">
        <v>24</v>
      </c>
      <c r="E2553" t="s">
        <v>25</v>
      </c>
      <c r="F2553" t="s">
        <v>41</v>
      </c>
      <c r="G2553" t="s">
        <v>33</v>
      </c>
      <c r="H2553" t="s">
        <v>38</v>
      </c>
      <c r="I2553" t="s">
        <v>29</v>
      </c>
      <c r="J2553" t="s">
        <v>35</v>
      </c>
      <c r="K2553" s="2">
        <v>7300</v>
      </c>
      <c r="L2553" s="2">
        <v>116000</v>
      </c>
      <c r="M2553">
        <v>24</v>
      </c>
      <c r="N2553" s="3">
        <v>0.86199999999999999</v>
      </c>
      <c r="O2553" t="s">
        <v>16</v>
      </c>
      <c r="Q2553">
        <v>1</v>
      </c>
      <c r="R2553">
        <v>0</v>
      </c>
      <c r="S2553" s="2">
        <v>116000</v>
      </c>
      <c r="T2553" s="4">
        <v>0.1118</v>
      </c>
      <c r="U2553">
        <v>2</v>
      </c>
      <c r="V2553">
        <v>1</v>
      </c>
      <c r="W2553">
        <v>1</v>
      </c>
    </row>
    <row r="2554" spans="1:23" ht="16.5" x14ac:dyDescent="0.3">
      <c r="A2554" t="s">
        <v>2618</v>
      </c>
      <c r="B2554" s="1">
        <v>45677</v>
      </c>
      <c r="C2554">
        <v>2025</v>
      </c>
      <c r="D2554" t="s">
        <v>24</v>
      </c>
      <c r="E2554" t="s">
        <v>25</v>
      </c>
      <c r="F2554" t="s">
        <v>37</v>
      </c>
      <c r="G2554" t="s">
        <v>51</v>
      </c>
      <c r="H2554" t="s">
        <v>38</v>
      </c>
      <c r="I2554" t="s">
        <v>42</v>
      </c>
      <c r="J2554" t="s">
        <v>35</v>
      </c>
      <c r="K2554" s="2">
        <v>7100</v>
      </c>
      <c r="L2554" s="2">
        <v>6500</v>
      </c>
      <c r="M2554">
        <v>24</v>
      </c>
      <c r="N2554" s="3">
        <v>0.249</v>
      </c>
      <c r="O2554" t="s">
        <v>16</v>
      </c>
      <c r="Q2554">
        <v>1</v>
      </c>
      <c r="R2554">
        <v>0</v>
      </c>
      <c r="S2554" s="2">
        <v>6000</v>
      </c>
      <c r="T2554" s="4">
        <v>0.1249</v>
      </c>
      <c r="U2554">
        <v>3</v>
      </c>
      <c r="V2554">
        <v>1</v>
      </c>
      <c r="W2554">
        <v>1</v>
      </c>
    </row>
    <row r="2555" spans="1:23" ht="16.5" x14ac:dyDescent="0.3">
      <c r="A2555" t="s">
        <v>2619</v>
      </c>
      <c r="B2555" s="1">
        <v>45677</v>
      </c>
      <c r="C2555">
        <v>2025</v>
      </c>
      <c r="D2555" t="s">
        <v>24</v>
      </c>
      <c r="E2555" t="s">
        <v>25</v>
      </c>
      <c r="F2555" t="s">
        <v>26</v>
      </c>
      <c r="G2555" t="s">
        <v>27</v>
      </c>
      <c r="H2555" t="s">
        <v>64</v>
      </c>
      <c r="I2555" t="s">
        <v>29</v>
      </c>
      <c r="J2555" t="s">
        <v>52</v>
      </c>
      <c r="K2555" s="2">
        <v>4200</v>
      </c>
      <c r="L2555" s="2">
        <v>42500</v>
      </c>
      <c r="M2555">
        <v>48</v>
      </c>
      <c r="N2555" s="3">
        <v>0.46600000000000003</v>
      </c>
      <c r="O2555" t="s">
        <v>17</v>
      </c>
      <c r="P2555" t="s">
        <v>60</v>
      </c>
      <c r="Q2555">
        <v>0</v>
      </c>
      <c r="R2555">
        <v>1</v>
      </c>
      <c r="S2555" s="2">
        <v>0</v>
      </c>
      <c r="T2555" s="4"/>
      <c r="U2555">
        <v>8</v>
      </c>
      <c r="V2555">
        <v>0</v>
      </c>
      <c r="W2555">
        <v>1</v>
      </c>
    </row>
    <row r="2556" spans="1:23" ht="16.5" x14ac:dyDescent="0.3">
      <c r="A2556" t="s">
        <v>2620</v>
      </c>
      <c r="B2556" s="1">
        <v>45677</v>
      </c>
      <c r="C2556">
        <v>2025</v>
      </c>
      <c r="D2556" t="s">
        <v>24</v>
      </c>
      <c r="E2556" t="s">
        <v>25</v>
      </c>
      <c r="F2556" t="s">
        <v>41</v>
      </c>
      <c r="G2556" t="s">
        <v>33</v>
      </c>
      <c r="H2556" t="s">
        <v>55</v>
      </c>
      <c r="I2556" t="s">
        <v>39</v>
      </c>
      <c r="J2556" t="s">
        <v>46</v>
      </c>
      <c r="K2556" s="2">
        <v>2200</v>
      </c>
      <c r="L2556" s="2">
        <v>109000</v>
      </c>
      <c r="M2556">
        <v>24</v>
      </c>
      <c r="N2556" s="3">
        <v>2.4780000000000002</v>
      </c>
      <c r="O2556" t="s">
        <v>17</v>
      </c>
      <c r="P2556" t="s">
        <v>60</v>
      </c>
      <c r="Q2556">
        <v>0</v>
      </c>
      <c r="R2556">
        <v>1</v>
      </c>
      <c r="S2556" s="2">
        <v>0</v>
      </c>
      <c r="T2556" s="4"/>
      <c r="U2556">
        <v>6</v>
      </c>
      <c r="V2556">
        <v>1</v>
      </c>
      <c r="W2556">
        <v>1</v>
      </c>
    </row>
    <row r="2557" spans="1:23" ht="16.5" x14ac:dyDescent="0.3">
      <c r="A2557" t="s">
        <v>2621</v>
      </c>
      <c r="B2557" s="1">
        <v>45677</v>
      </c>
      <c r="C2557">
        <v>2025</v>
      </c>
      <c r="D2557" t="s">
        <v>24</v>
      </c>
      <c r="E2557" t="s">
        <v>25</v>
      </c>
      <c r="F2557" t="s">
        <v>26</v>
      </c>
      <c r="G2557" t="s">
        <v>27</v>
      </c>
      <c r="H2557" t="s">
        <v>55</v>
      </c>
      <c r="I2557" t="s">
        <v>39</v>
      </c>
      <c r="J2557" t="s">
        <v>52</v>
      </c>
      <c r="K2557" s="2">
        <v>4950</v>
      </c>
      <c r="L2557" s="2">
        <v>32500</v>
      </c>
      <c r="M2557">
        <v>60</v>
      </c>
      <c r="N2557" s="3">
        <v>0.33900000000000002</v>
      </c>
      <c r="O2557" t="s">
        <v>16</v>
      </c>
      <c r="Q2557">
        <v>1</v>
      </c>
      <c r="R2557">
        <v>0</v>
      </c>
      <c r="S2557" s="2">
        <v>32500</v>
      </c>
      <c r="T2557" s="4">
        <v>6.7400000000000002E-2</v>
      </c>
      <c r="U2557">
        <v>3</v>
      </c>
      <c r="V2557">
        <v>1</v>
      </c>
      <c r="W2557">
        <v>1</v>
      </c>
    </row>
    <row r="2558" spans="1:23" ht="16.5" x14ac:dyDescent="0.3">
      <c r="A2558" t="s">
        <v>2622</v>
      </c>
      <c r="B2558" s="1">
        <v>45677</v>
      </c>
      <c r="C2558">
        <v>2025</v>
      </c>
      <c r="D2558" t="s">
        <v>24</v>
      </c>
      <c r="E2558" t="s">
        <v>25</v>
      </c>
      <c r="F2558" t="s">
        <v>41</v>
      </c>
      <c r="G2558" t="s">
        <v>45</v>
      </c>
      <c r="H2558" t="s">
        <v>55</v>
      </c>
      <c r="I2558" t="s">
        <v>29</v>
      </c>
      <c r="J2558" t="s">
        <v>35</v>
      </c>
      <c r="K2558" s="2">
        <v>6550</v>
      </c>
      <c r="L2558" s="2">
        <v>105000</v>
      </c>
      <c r="M2558">
        <v>12</v>
      </c>
      <c r="N2558" s="3">
        <v>1.5940000000000001</v>
      </c>
      <c r="O2558" t="s">
        <v>17</v>
      </c>
      <c r="P2558" t="s">
        <v>53</v>
      </c>
      <c r="Q2558">
        <v>0</v>
      </c>
      <c r="R2558">
        <v>1</v>
      </c>
      <c r="S2558" s="2">
        <v>0</v>
      </c>
      <c r="T2558" s="4"/>
      <c r="U2558">
        <v>4</v>
      </c>
      <c r="V2558">
        <v>1</v>
      </c>
      <c r="W2558">
        <v>1</v>
      </c>
    </row>
    <row r="2559" spans="1:23" ht="16.5" x14ac:dyDescent="0.3">
      <c r="A2559" t="s">
        <v>2623</v>
      </c>
      <c r="B2559" s="1">
        <v>45677</v>
      </c>
      <c r="C2559">
        <v>2025</v>
      </c>
      <c r="D2559" t="s">
        <v>24</v>
      </c>
      <c r="E2559" t="s">
        <v>25</v>
      </c>
      <c r="F2559" t="s">
        <v>37</v>
      </c>
      <c r="G2559" t="s">
        <v>51</v>
      </c>
      <c r="H2559" t="s">
        <v>38</v>
      </c>
      <c r="I2559" t="s">
        <v>39</v>
      </c>
      <c r="J2559" t="s">
        <v>52</v>
      </c>
      <c r="K2559" s="2">
        <v>3950</v>
      </c>
      <c r="L2559" s="2">
        <v>19500</v>
      </c>
      <c r="M2559">
        <v>60</v>
      </c>
      <c r="N2559" s="3">
        <v>0.214</v>
      </c>
      <c r="O2559" t="s">
        <v>16</v>
      </c>
      <c r="Q2559">
        <v>1</v>
      </c>
      <c r="R2559">
        <v>0</v>
      </c>
      <c r="S2559" s="2">
        <v>19500</v>
      </c>
      <c r="T2559" s="4">
        <v>0.1177</v>
      </c>
      <c r="U2559">
        <v>3</v>
      </c>
      <c r="V2559">
        <v>1</v>
      </c>
      <c r="W2559">
        <v>1</v>
      </c>
    </row>
    <row r="2560" spans="1:23" ht="16.5" x14ac:dyDescent="0.3">
      <c r="A2560" t="s">
        <v>2624</v>
      </c>
      <c r="B2560" s="1">
        <v>45677</v>
      </c>
      <c r="C2560">
        <v>2025</v>
      </c>
      <c r="D2560" t="s">
        <v>24</v>
      </c>
      <c r="E2560" t="s">
        <v>25</v>
      </c>
      <c r="F2560" t="s">
        <v>41</v>
      </c>
      <c r="G2560" t="s">
        <v>33</v>
      </c>
      <c r="H2560" t="s">
        <v>38</v>
      </c>
      <c r="I2560" t="s">
        <v>39</v>
      </c>
      <c r="J2560" t="s">
        <v>52</v>
      </c>
      <c r="K2560" s="2">
        <v>5000</v>
      </c>
      <c r="L2560" s="2">
        <v>90000</v>
      </c>
      <c r="M2560">
        <v>36</v>
      </c>
      <c r="N2560" s="3">
        <v>0.71599999999999997</v>
      </c>
      <c r="O2560" t="s">
        <v>16</v>
      </c>
      <c r="Q2560">
        <v>1</v>
      </c>
      <c r="R2560">
        <v>0</v>
      </c>
      <c r="S2560" s="2">
        <v>72000</v>
      </c>
      <c r="T2560" s="4">
        <v>9.0300000000000005E-2</v>
      </c>
      <c r="U2560">
        <v>3</v>
      </c>
      <c r="V2560">
        <v>1</v>
      </c>
      <c r="W2560">
        <v>1</v>
      </c>
    </row>
    <row r="2561" spans="1:23" ht="16.5" x14ac:dyDescent="0.3">
      <c r="A2561" t="s">
        <v>2625</v>
      </c>
      <c r="B2561" s="1">
        <v>45677</v>
      </c>
      <c r="C2561">
        <v>2025</v>
      </c>
      <c r="D2561" t="s">
        <v>24</v>
      </c>
      <c r="E2561" t="s">
        <v>25</v>
      </c>
      <c r="F2561" t="s">
        <v>26</v>
      </c>
      <c r="G2561" t="s">
        <v>33</v>
      </c>
      <c r="H2561" t="s">
        <v>34</v>
      </c>
      <c r="I2561" t="s">
        <v>39</v>
      </c>
      <c r="J2561" t="s">
        <v>46</v>
      </c>
      <c r="K2561" s="2">
        <v>8300</v>
      </c>
      <c r="L2561" s="2">
        <v>22000</v>
      </c>
      <c r="M2561">
        <v>36</v>
      </c>
      <c r="N2561" s="3">
        <v>0.20899999999999999</v>
      </c>
      <c r="O2561" t="s">
        <v>16</v>
      </c>
      <c r="Q2561">
        <v>1</v>
      </c>
      <c r="R2561">
        <v>0</v>
      </c>
      <c r="S2561" s="2">
        <v>22000</v>
      </c>
      <c r="T2561" s="4">
        <v>6.6799999999999998E-2</v>
      </c>
      <c r="U2561">
        <v>1</v>
      </c>
      <c r="V2561">
        <v>1</v>
      </c>
      <c r="W2561">
        <v>1</v>
      </c>
    </row>
    <row r="2562" spans="1:23" ht="16.5" x14ac:dyDescent="0.3">
      <c r="A2562" t="s">
        <v>2626</v>
      </c>
      <c r="B2562" s="1">
        <v>45678</v>
      </c>
      <c r="C2562">
        <v>2025</v>
      </c>
      <c r="D2562" t="s">
        <v>24</v>
      </c>
      <c r="E2562" t="s">
        <v>25</v>
      </c>
      <c r="F2562" t="s">
        <v>37</v>
      </c>
      <c r="G2562" t="s">
        <v>45</v>
      </c>
      <c r="H2562" t="s">
        <v>34</v>
      </c>
      <c r="I2562" t="s">
        <v>42</v>
      </c>
      <c r="J2562" t="s">
        <v>52</v>
      </c>
      <c r="K2562" s="2">
        <v>2800</v>
      </c>
      <c r="L2562" s="2">
        <v>6000</v>
      </c>
      <c r="M2562">
        <v>24</v>
      </c>
      <c r="N2562" s="3">
        <v>0.29199999999999998</v>
      </c>
      <c r="O2562" t="s">
        <v>17</v>
      </c>
      <c r="P2562" t="s">
        <v>31</v>
      </c>
      <c r="Q2562">
        <v>0</v>
      </c>
      <c r="R2562">
        <v>1</v>
      </c>
      <c r="S2562" s="2">
        <v>0</v>
      </c>
      <c r="T2562" s="4"/>
      <c r="U2562">
        <v>1</v>
      </c>
      <c r="V2562">
        <v>1</v>
      </c>
      <c r="W2562">
        <v>1</v>
      </c>
    </row>
    <row r="2563" spans="1:23" ht="16.5" x14ac:dyDescent="0.3">
      <c r="A2563" t="s">
        <v>2627</v>
      </c>
      <c r="B2563" s="1">
        <v>45678</v>
      </c>
      <c r="C2563">
        <v>2025</v>
      </c>
      <c r="D2563" t="s">
        <v>24</v>
      </c>
      <c r="E2563" t="s">
        <v>25</v>
      </c>
      <c r="F2563" t="s">
        <v>37</v>
      </c>
      <c r="G2563" t="s">
        <v>33</v>
      </c>
      <c r="H2563" t="s">
        <v>55</v>
      </c>
      <c r="I2563" t="s">
        <v>29</v>
      </c>
      <c r="J2563" t="s">
        <v>35</v>
      </c>
      <c r="K2563" s="2">
        <v>4950</v>
      </c>
      <c r="L2563" s="2">
        <v>13500</v>
      </c>
      <c r="M2563">
        <v>12</v>
      </c>
      <c r="N2563" s="3">
        <v>0.33600000000000002</v>
      </c>
      <c r="O2563" t="s">
        <v>16</v>
      </c>
      <c r="Q2563">
        <v>1</v>
      </c>
      <c r="R2563">
        <v>0</v>
      </c>
      <c r="S2563" s="2">
        <v>13500</v>
      </c>
      <c r="T2563" s="4">
        <v>0.12130000000000001</v>
      </c>
      <c r="U2563">
        <v>2</v>
      </c>
      <c r="V2563">
        <v>1</v>
      </c>
      <c r="W2563">
        <v>1</v>
      </c>
    </row>
    <row r="2564" spans="1:23" ht="16.5" x14ac:dyDescent="0.3">
      <c r="A2564" t="s">
        <v>2628</v>
      </c>
      <c r="B2564" s="1">
        <v>45678</v>
      </c>
      <c r="C2564">
        <v>2025</v>
      </c>
      <c r="D2564" t="s">
        <v>24</v>
      </c>
      <c r="E2564" t="s">
        <v>25</v>
      </c>
      <c r="F2564" t="s">
        <v>50</v>
      </c>
      <c r="G2564" t="s">
        <v>51</v>
      </c>
      <c r="H2564" t="s">
        <v>34</v>
      </c>
      <c r="I2564" t="s">
        <v>39</v>
      </c>
      <c r="J2564" t="s">
        <v>46</v>
      </c>
      <c r="K2564" s="2">
        <v>4900</v>
      </c>
      <c r="L2564" s="2">
        <v>411500</v>
      </c>
      <c r="M2564">
        <v>240</v>
      </c>
      <c r="N2564" s="3">
        <v>0.64400000000000002</v>
      </c>
      <c r="O2564" t="s">
        <v>16</v>
      </c>
      <c r="Q2564">
        <v>1</v>
      </c>
      <c r="R2564">
        <v>0</v>
      </c>
      <c r="S2564" s="2">
        <v>370500</v>
      </c>
      <c r="T2564" s="4">
        <v>4.7300000000000002E-2</v>
      </c>
      <c r="U2564">
        <v>11</v>
      </c>
      <c r="V2564">
        <v>1</v>
      </c>
      <c r="W2564">
        <v>1</v>
      </c>
    </row>
    <row r="2565" spans="1:23" ht="16.5" x14ac:dyDescent="0.3">
      <c r="A2565" t="s">
        <v>2629</v>
      </c>
      <c r="B2565" s="1">
        <v>45678</v>
      </c>
      <c r="C2565">
        <v>2025</v>
      </c>
      <c r="D2565" t="s">
        <v>24</v>
      </c>
      <c r="E2565" t="s">
        <v>25</v>
      </c>
      <c r="F2565" t="s">
        <v>26</v>
      </c>
      <c r="G2565" t="s">
        <v>45</v>
      </c>
      <c r="H2565" t="s">
        <v>34</v>
      </c>
      <c r="I2565" t="s">
        <v>42</v>
      </c>
      <c r="J2565" t="s">
        <v>30</v>
      </c>
      <c r="K2565" s="2">
        <v>6250</v>
      </c>
      <c r="L2565" s="2">
        <v>22000</v>
      </c>
      <c r="M2565">
        <v>48</v>
      </c>
      <c r="N2565" s="3">
        <v>0.13900000000000001</v>
      </c>
      <c r="O2565" t="s">
        <v>16</v>
      </c>
      <c r="Q2565">
        <v>1</v>
      </c>
      <c r="R2565">
        <v>0</v>
      </c>
      <c r="S2565" s="2">
        <v>17500</v>
      </c>
      <c r="T2565" s="4">
        <v>9.9900000000000003E-2</v>
      </c>
      <c r="U2565">
        <v>3</v>
      </c>
      <c r="V2565">
        <v>1</v>
      </c>
      <c r="W2565">
        <v>1</v>
      </c>
    </row>
    <row r="2566" spans="1:23" ht="16.5" x14ac:dyDescent="0.3">
      <c r="A2566" t="s">
        <v>2630</v>
      </c>
      <c r="B2566" s="1">
        <v>45678</v>
      </c>
      <c r="C2566">
        <v>2025</v>
      </c>
      <c r="D2566" t="s">
        <v>24</v>
      </c>
      <c r="E2566" t="s">
        <v>25</v>
      </c>
      <c r="F2566" t="s">
        <v>37</v>
      </c>
      <c r="G2566" t="s">
        <v>33</v>
      </c>
      <c r="H2566" t="s">
        <v>38</v>
      </c>
      <c r="I2566" t="s">
        <v>29</v>
      </c>
      <c r="J2566" t="s">
        <v>35</v>
      </c>
      <c r="K2566" s="2">
        <v>8450</v>
      </c>
      <c r="L2566" s="2">
        <v>16000</v>
      </c>
      <c r="M2566">
        <v>36</v>
      </c>
      <c r="N2566" s="3">
        <v>0.222</v>
      </c>
      <c r="O2566" t="s">
        <v>16</v>
      </c>
      <c r="Q2566">
        <v>1</v>
      </c>
      <c r="R2566">
        <v>0</v>
      </c>
      <c r="S2566" s="2">
        <v>14500</v>
      </c>
      <c r="T2566" s="4">
        <v>0.1236</v>
      </c>
      <c r="U2566">
        <v>2</v>
      </c>
      <c r="V2566">
        <v>1</v>
      </c>
      <c r="W2566">
        <v>1</v>
      </c>
    </row>
    <row r="2567" spans="1:23" ht="16.5" x14ac:dyDescent="0.3">
      <c r="A2567" t="s">
        <v>2631</v>
      </c>
      <c r="B2567" s="1">
        <v>45679</v>
      </c>
      <c r="C2567">
        <v>2025</v>
      </c>
      <c r="D2567" t="s">
        <v>24</v>
      </c>
      <c r="E2567" t="s">
        <v>25</v>
      </c>
      <c r="F2567" t="s">
        <v>37</v>
      </c>
      <c r="G2567" t="s">
        <v>51</v>
      </c>
      <c r="H2567" t="s">
        <v>38</v>
      </c>
      <c r="I2567" t="s">
        <v>42</v>
      </c>
      <c r="J2567" t="s">
        <v>52</v>
      </c>
      <c r="K2567" s="2">
        <v>4900</v>
      </c>
      <c r="L2567" s="2">
        <v>11000</v>
      </c>
      <c r="M2567">
        <v>36</v>
      </c>
      <c r="N2567" s="3">
        <v>0.23300000000000001</v>
      </c>
      <c r="O2567" t="s">
        <v>16</v>
      </c>
      <c r="Q2567">
        <v>1</v>
      </c>
      <c r="R2567">
        <v>0</v>
      </c>
      <c r="S2567" s="2">
        <v>11000</v>
      </c>
      <c r="T2567" s="4">
        <v>0.11550000000000001</v>
      </c>
      <c r="U2567">
        <v>3</v>
      </c>
      <c r="V2567">
        <v>1</v>
      </c>
      <c r="W2567">
        <v>1</v>
      </c>
    </row>
    <row r="2568" spans="1:23" ht="16.5" x14ac:dyDescent="0.3">
      <c r="A2568" t="s">
        <v>2632</v>
      </c>
      <c r="B2568" s="1">
        <v>45679</v>
      </c>
      <c r="C2568">
        <v>2025</v>
      </c>
      <c r="D2568" t="s">
        <v>24</v>
      </c>
      <c r="E2568" t="s">
        <v>25</v>
      </c>
      <c r="F2568" t="s">
        <v>37</v>
      </c>
      <c r="G2568" t="s">
        <v>33</v>
      </c>
      <c r="H2568" t="s">
        <v>55</v>
      </c>
      <c r="I2568" t="s">
        <v>42</v>
      </c>
      <c r="J2568" t="s">
        <v>52</v>
      </c>
      <c r="K2568" s="2">
        <v>4000</v>
      </c>
      <c r="L2568" s="2">
        <v>16500</v>
      </c>
      <c r="M2568">
        <v>36</v>
      </c>
      <c r="N2568" s="3">
        <v>0.27700000000000002</v>
      </c>
      <c r="O2568" t="s">
        <v>16</v>
      </c>
      <c r="Q2568">
        <v>1</v>
      </c>
      <c r="R2568">
        <v>0</v>
      </c>
      <c r="S2568" s="2">
        <v>16500</v>
      </c>
      <c r="T2568" s="4">
        <v>0.1167</v>
      </c>
      <c r="U2568">
        <v>1</v>
      </c>
      <c r="V2568">
        <v>1</v>
      </c>
      <c r="W2568">
        <v>1</v>
      </c>
    </row>
    <row r="2569" spans="1:23" ht="16.5" x14ac:dyDescent="0.3">
      <c r="A2569" t="s">
        <v>2633</v>
      </c>
      <c r="B2569" s="1">
        <v>45679</v>
      </c>
      <c r="C2569">
        <v>2025</v>
      </c>
      <c r="D2569" t="s">
        <v>24</v>
      </c>
      <c r="E2569" t="s">
        <v>25</v>
      </c>
      <c r="F2569" t="s">
        <v>50</v>
      </c>
      <c r="G2569" t="s">
        <v>33</v>
      </c>
      <c r="H2569" t="s">
        <v>55</v>
      </c>
      <c r="I2569" t="s">
        <v>42</v>
      </c>
      <c r="J2569" t="s">
        <v>35</v>
      </c>
      <c r="K2569" s="2">
        <v>7300</v>
      </c>
      <c r="L2569" s="2">
        <v>367500</v>
      </c>
      <c r="M2569">
        <v>240</v>
      </c>
      <c r="N2569" s="3">
        <v>0.505</v>
      </c>
      <c r="O2569" t="s">
        <v>16</v>
      </c>
      <c r="Q2569">
        <v>1</v>
      </c>
      <c r="R2569">
        <v>0</v>
      </c>
      <c r="S2569" s="2">
        <v>367500</v>
      </c>
      <c r="T2569" s="4">
        <v>5.7200000000000001E-2</v>
      </c>
      <c r="U2569">
        <v>8</v>
      </c>
      <c r="V2569">
        <v>1</v>
      </c>
      <c r="W2569">
        <v>1</v>
      </c>
    </row>
    <row r="2570" spans="1:23" ht="16.5" x14ac:dyDescent="0.3">
      <c r="A2570" t="s">
        <v>2634</v>
      </c>
      <c r="B2570" s="1">
        <v>45679</v>
      </c>
      <c r="C2570">
        <v>2025</v>
      </c>
      <c r="D2570" t="s">
        <v>24</v>
      </c>
      <c r="E2570" t="s">
        <v>25</v>
      </c>
      <c r="F2570" t="s">
        <v>26</v>
      </c>
      <c r="G2570" t="s">
        <v>33</v>
      </c>
      <c r="H2570" t="s">
        <v>64</v>
      </c>
      <c r="I2570" t="s">
        <v>29</v>
      </c>
      <c r="J2570" t="s">
        <v>35</v>
      </c>
      <c r="K2570" s="2">
        <v>3950</v>
      </c>
      <c r="L2570" s="2">
        <v>25500</v>
      </c>
      <c r="M2570">
        <v>36</v>
      </c>
      <c r="N2570" s="3">
        <v>0.30099999999999999</v>
      </c>
      <c r="O2570" t="s">
        <v>16</v>
      </c>
      <c r="Q2570">
        <v>1</v>
      </c>
      <c r="R2570">
        <v>0</v>
      </c>
      <c r="S2570" s="2">
        <v>23000</v>
      </c>
      <c r="T2570" s="4">
        <v>8.5199999999999998E-2</v>
      </c>
      <c r="U2570">
        <v>2</v>
      </c>
      <c r="V2570">
        <v>1</v>
      </c>
      <c r="W2570">
        <v>1</v>
      </c>
    </row>
    <row r="2571" spans="1:23" ht="16.5" x14ac:dyDescent="0.3">
      <c r="A2571" t="s">
        <v>2635</v>
      </c>
      <c r="B2571" s="1">
        <v>45679</v>
      </c>
      <c r="C2571">
        <v>2025</v>
      </c>
      <c r="D2571" t="s">
        <v>24</v>
      </c>
      <c r="E2571" t="s">
        <v>25</v>
      </c>
      <c r="F2571" t="s">
        <v>26</v>
      </c>
      <c r="G2571" t="s">
        <v>27</v>
      </c>
      <c r="H2571" t="s">
        <v>34</v>
      </c>
      <c r="I2571" t="s">
        <v>29</v>
      </c>
      <c r="J2571" t="s">
        <v>35</v>
      </c>
      <c r="K2571" s="2">
        <v>6100</v>
      </c>
      <c r="L2571" s="2">
        <v>24500</v>
      </c>
      <c r="M2571">
        <v>36</v>
      </c>
      <c r="N2571" s="3">
        <v>0.17599999999999999</v>
      </c>
      <c r="O2571" t="s">
        <v>16</v>
      </c>
      <c r="Q2571">
        <v>1</v>
      </c>
      <c r="R2571">
        <v>0</v>
      </c>
      <c r="S2571" s="2">
        <v>22000</v>
      </c>
      <c r="T2571" s="4">
        <v>8.0600000000000005E-2</v>
      </c>
      <c r="U2571">
        <v>3</v>
      </c>
      <c r="V2571">
        <v>1</v>
      </c>
      <c r="W2571">
        <v>1</v>
      </c>
    </row>
    <row r="2572" spans="1:23" ht="16.5" x14ac:dyDescent="0.3">
      <c r="A2572" t="s">
        <v>2636</v>
      </c>
      <c r="B2572" s="1">
        <v>45679</v>
      </c>
      <c r="C2572">
        <v>2025</v>
      </c>
      <c r="D2572" t="s">
        <v>24</v>
      </c>
      <c r="E2572" t="s">
        <v>25</v>
      </c>
      <c r="F2572" t="s">
        <v>37</v>
      </c>
      <c r="G2572" t="s">
        <v>33</v>
      </c>
      <c r="H2572" t="s">
        <v>55</v>
      </c>
      <c r="I2572" t="s">
        <v>42</v>
      </c>
      <c r="J2572" t="s">
        <v>30</v>
      </c>
      <c r="K2572" s="2">
        <v>4900</v>
      </c>
      <c r="L2572" s="2">
        <v>8000</v>
      </c>
      <c r="M2572">
        <v>48</v>
      </c>
      <c r="N2572" s="3">
        <v>0.17100000000000001</v>
      </c>
      <c r="O2572" t="s">
        <v>16</v>
      </c>
      <c r="Q2572">
        <v>1</v>
      </c>
      <c r="R2572">
        <v>0</v>
      </c>
      <c r="S2572" s="2">
        <v>8000</v>
      </c>
      <c r="T2572" s="4">
        <v>0.14280000000000001</v>
      </c>
      <c r="U2572">
        <v>1</v>
      </c>
      <c r="V2572">
        <v>1</v>
      </c>
      <c r="W2572">
        <v>1</v>
      </c>
    </row>
    <row r="2573" spans="1:23" ht="16.5" x14ac:dyDescent="0.3">
      <c r="A2573" t="s">
        <v>2637</v>
      </c>
      <c r="B2573" s="1">
        <v>45679</v>
      </c>
      <c r="C2573">
        <v>2025</v>
      </c>
      <c r="D2573" t="s">
        <v>24</v>
      </c>
      <c r="E2573" t="s">
        <v>25</v>
      </c>
      <c r="F2573" t="s">
        <v>37</v>
      </c>
      <c r="G2573" t="s">
        <v>51</v>
      </c>
      <c r="H2573" t="s">
        <v>34</v>
      </c>
      <c r="I2573" t="s">
        <v>39</v>
      </c>
      <c r="J2573" t="s">
        <v>30</v>
      </c>
      <c r="K2573" s="2">
        <v>4750</v>
      </c>
      <c r="L2573" s="2">
        <v>11000</v>
      </c>
      <c r="M2573">
        <v>36</v>
      </c>
      <c r="N2573" s="3">
        <v>0.19900000000000001</v>
      </c>
      <c r="O2573" t="s">
        <v>16</v>
      </c>
      <c r="Q2573">
        <v>1</v>
      </c>
      <c r="R2573">
        <v>0</v>
      </c>
      <c r="S2573" s="2">
        <v>11000</v>
      </c>
      <c r="T2573" s="4">
        <v>0.14280000000000001</v>
      </c>
      <c r="U2573">
        <v>3</v>
      </c>
      <c r="V2573">
        <v>1</v>
      </c>
      <c r="W2573">
        <v>1</v>
      </c>
    </row>
    <row r="2574" spans="1:23" ht="16.5" x14ac:dyDescent="0.3">
      <c r="A2574" t="s">
        <v>2638</v>
      </c>
      <c r="B2574" s="1">
        <v>45679</v>
      </c>
      <c r="C2574">
        <v>2025</v>
      </c>
      <c r="D2574" t="s">
        <v>24</v>
      </c>
      <c r="E2574" t="s">
        <v>25</v>
      </c>
      <c r="F2574" t="s">
        <v>50</v>
      </c>
      <c r="G2574" t="s">
        <v>33</v>
      </c>
      <c r="H2574" t="s">
        <v>64</v>
      </c>
      <c r="I2574" t="s">
        <v>42</v>
      </c>
      <c r="J2574" t="s">
        <v>35</v>
      </c>
      <c r="K2574" s="2">
        <v>5700</v>
      </c>
      <c r="L2574" s="2">
        <v>189000</v>
      </c>
      <c r="M2574">
        <v>240</v>
      </c>
      <c r="N2574" s="3">
        <v>0.32600000000000001</v>
      </c>
      <c r="O2574" t="s">
        <v>16</v>
      </c>
      <c r="Q2574">
        <v>1</v>
      </c>
      <c r="R2574">
        <v>0</v>
      </c>
      <c r="S2574" s="2">
        <v>189000</v>
      </c>
      <c r="T2574" s="4">
        <v>5.4100000000000002E-2</v>
      </c>
      <c r="U2574">
        <v>4</v>
      </c>
      <c r="V2574">
        <v>1</v>
      </c>
      <c r="W2574">
        <v>1</v>
      </c>
    </row>
    <row r="2575" spans="1:23" ht="16.5" x14ac:dyDescent="0.3">
      <c r="A2575" t="s">
        <v>2639</v>
      </c>
      <c r="B2575" s="1">
        <v>45679</v>
      </c>
      <c r="C2575">
        <v>2025</v>
      </c>
      <c r="D2575" t="s">
        <v>24</v>
      </c>
      <c r="E2575" t="s">
        <v>25</v>
      </c>
      <c r="F2575" t="s">
        <v>37</v>
      </c>
      <c r="G2575" t="s">
        <v>45</v>
      </c>
      <c r="H2575" t="s">
        <v>34</v>
      </c>
      <c r="I2575" t="s">
        <v>29</v>
      </c>
      <c r="J2575" t="s">
        <v>52</v>
      </c>
      <c r="K2575" s="2">
        <v>6350</v>
      </c>
      <c r="L2575" s="2">
        <v>21500</v>
      </c>
      <c r="M2575">
        <v>60</v>
      </c>
      <c r="N2575" s="3">
        <v>0.254</v>
      </c>
      <c r="O2575" t="s">
        <v>16</v>
      </c>
      <c r="Q2575">
        <v>1</v>
      </c>
      <c r="R2575">
        <v>0</v>
      </c>
      <c r="S2575" s="2">
        <v>19500</v>
      </c>
      <c r="T2575" s="4">
        <v>0.1174</v>
      </c>
      <c r="U2575">
        <v>1</v>
      </c>
      <c r="V2575">
        <v>1</v>
      </c>
      <c r="W2575">
        <v>1</v>
      </c>
    </row>
    <row r="2576" spans="1:23" ht="16.5" x14ac:dyDescent="0.3">
      <c r="A2576" t="s">
        <v>2640</v>
      </c>
      <c r="B2576" s="1">
        <v>45679</v>
      </c>
      <c r="C2576">
        <v>2025</v>
      </c>
      <c r="D2576" t="s">
        <v>24</v>
      </c>
      <c r="E2576" t="s">
        <v>25</v>
      </c>
      <c r="F2576" t="s">
        <v>37</v>
      </c>
      <c r="G2576" t="s">
        <v>27</v>
      </c>
      <c r="H2576" t="s">
        <v>55</v>
      </c>
      <c r="I2576" t="s">
        <v>29</v>
      </c>
      <c r="J2576" t="s">
        <v>46</v>
      </c>
      <c r="K2576" s="2">
        <v>7900</v>
      </c>
      <c r="L2576" s="2">
        <v>9500</v>
      </c>
      <c r="M2576">
        <v>12</v>
      </c>
      <c r="N2576" s="3">
        <v>0.30499999999999999</v>
      </c>
      <c r="O2576" t="s">
        <v>16</v>
      </c>
      <c r="Q2576">
        <v>1</v>
      </c>
      <c r="R2576">
        <v>0</v>
      </c>
      <c r="S2576" s="2">
        <v>9500</v>
      </c>
      <c r="T2576" s="4">
        <v>0.1046</v>
      </c>
      <c r="U2576">
        <v>2</v>
      </c>
      <c r="V2576">
        <v>1</v>
      </c>
      <c r="W2576">
        <v>1</v>
      </c>
    </row>
    <row r="2577" spans="1:23" ht="16.5" x14ac:dyDescent="0.3">
      <c r="A2577" t="s">
        <v>2641</v>
      </c>
      <c r="B2577" s="1">
        <v>45680</v>
      </c>
      <c r="C2577">
        <v>2025</v>
      </c>
      <c r="D2577" t="s">
        <v>24</v>
      </c>
      <c r="E2577" t="s">
        <v>25</v>
      </c>
      <c r="F2577" t="s">
        <v>37</v>
      </c>
      <c r="G2577" t="s">
        <v>33</v>
      </c>
      <c r="H2577" t="s">
        <v>55</v>
      </c>
      <c r="I2577" t="s">
        <v>29</v>
      </c>
      <c r="J2577" t="s">
        <v>52</v>
      </c>
      <c r="K2577" s="2">
        <v>3050</v>
      </c>
      <c r="L2577" s="2">
        <v>16000</v>
      </c>
      <c r="M2577">
        <v>60</v>
      </c>
      <c r="N2577" s="3">
        <v>0.27600000000000002</v>
      </c>
      <c r="O2577" t="s">
        <v>17</v>
      </c>
      <c r="P2577" t="s">
        <v>60</v>
      </c>
      <c r="Q2577">
        <v>0</v>
      </c>
      <c r="R2577">
        <v>1</v>
      </c>
      <c r="S2577" s="2">
        <v>0</v>
      </c>
      <c r="T2577" s="4"/>
      <c r="U2577">
        <v>5</v>
      </c>
      <c r="V2577">
        <v>0</v>
      </c>
      <c r="W2577">
        <v>1</v>
      </c>
    </row>
    <row r="2578" spans="1:23" ht="16.5" x14ac:dyDescent="0.3">
      <c r="A2578" t="s">
        <v>2642</v>
      </c>
      <c r="B2578" s="1">
        <v>45680</v>
      </c>
      <c r="C2578">
        <v>2025</v>
      </c>
      <c r="D2578" t="s">
        <v>24</v>
      </c>
      <c r="E2578" t="s">
        <v>25</v>
      </c>
      <c r="F2578" t="s">
        <v>37</v>
      </c>
      <c r="G2578" t="s">
        <v>33</v>
      </c>
      <c r="H2578" t="s">
        <v>38</v>
      </c>
      <c r="I2578" t="s">
        <v>42</v>
      </c>
      <c r="J2578" t="s">
        <v>30</v>
      </c>
      <c r="K2578" s="2">
        <v>7600</v>
      </c>
      <c r="L2578" s="2">
        <v>18500</v>
      </c>
      <c r="M2578">
        <v>12</v>
      </c>
      <c r="N2578" s="3">
        <v>0.34699999999999998</v>
      </c>
      <c r="O2578" t="s">
        <v>17</v>
      </c>
      <c r="P2578" t="s">
        <v>31</v>
      </c>
      <c r="Q2578">
        <v>0</v>
      </c>
      <c r="R2578">
        <v>1</v>
      </c>
      <c r="S2578" s="2">
        <v>0</v>
      </c>
      <c r="T2578" s="4"/>
      <c r="U2578">
        <v>1</v>
      </c>
      <c r="V2578">
        <v>1</v>
      </c>
      <c r="W2578">
        <v>1</v>
      </c>
    </row>
    <row r="2579" spans="1:23" ht="16.5" x14ac:dyDescent="0.3">
      <c r="A2579" t="s">
        <v>2643</v>
      </c>
      <c r="B2579" s="1">
        <v>45680</v>
      </c>
      <c r="C2579">
        <v>2025</v>
      </c>
      <c r="D2579" t="s">
        <v>24</v>
      </c>
      <c r="E2579" t="s">
        <v>25</v>
      </c>
      <c r="F2579" t="s">
        <v>37</v>
      </c>
      <c r="G2579" t="s">
        <v>51</v>
      </c>
      <c r="H2579" t="s">
        <v>64</v>
      </c>
      <c r="I2579" t="s">
        <v>29</v>
      </c>
      <c r="J2579" t="s">
        <v>35</v>
      </c>
      <c r="K2579" s="2">
        <v>2200</v>
      </c>
      <c r="L2579" s="2">
        <v>17500</v>
      </c>
      <c r="M2579">
        <v>48</v>
      </c>
      <c r="N2579" s="3">
        <v>0.27900000000000003</v>
      </c>
      <c r="O2579" t="s">
        <v>16</v>
      </c>
      <c r="Q2579">
        <v>1</v>
      </c>
      <c r="R2579">
        <v>0</v>
      </c>
      <c r="S2579" s="2">
        <v>17500</v>
      </c>
      <c r="T2579" s="4">
        <v>0.123</v>
      </c>
      <c r="U2579">
        <v>3</v>
      </c>
      <c r="V2579">
        <v>1</v>
      </c>
      <c r="W2579">
        <v>1</v>
      </c>
    </row>
    <row r="2580" spans="1:23" ht="16.5" x14ac:dyDescent="0.3">
      <c r="A2580" t="s">
        <v>2644</v>
      </c>
      <c r="B2580" s="1">
        <v>45680</v>
      </c>
      <c r="C2580">
        <v>2025</v>
      </c>
      <c r="D2580" t="s">
        <v>24</v>
      </c>
      <c r="E2580" t="s">
        <v>25</v>
      </c>
      <c r="F2580" t="s">
        <v>26</v>
      </c>
      <c r="G2580" t="s">
        <v>27</v>
      </c>
      <c r="H2580" t="s">
        <v>38</v>
      </c>
      <c r="I2580" t="s">
        <v>39</v>
      </c>
      <c r="J2580" t="s">
        <v>43</v>
      </c>
      <c r="K2580" s="2">
        <v>12350</v>
      </c>
      <c r="L2580" s="2">
        <v>11500</v>
      </c>
      <c r="M2580">
        <v>48</v>
      </c>
      <c r="N2580" s="3">
        <v>9.5000000000000001E-2</v>
      </c>
      <c r="O2580" t="s">
        <v>17</v>
      </c>
      <c r="P2580" t="s">
        <v>60</v>
      </c>
      <c r="Q2580">
        <v>0</v>
      </c>
      <c r="R2580">
        <v>1</v>
      </c>
      <c r="S2580" s="2">
        <v>0</v>
      </c>
      <c r="T2580" s="4"/>
      <c r="U2580">
        <v>8</v>
      </c>
      <c r="V2580">
        <v>0</v>
      </c>
      <c r="W2580">
        <v>1</v>
      </c>
    </row>
    <row r="2581" spans="1:23" ht="16.5" x14ac:dyDescent="0.3">
      <c r="A2581" t="s">
        <v>2645</v>
      </c>
      <c r="B2581" s="1">
        <v>45680</v>
      </c>
      <c r="C2581">
        <v>2025</v>
      </c>
      <c r="D2581" t="s">
        <v>24</v>
      </c>
      <c r="E2581" t="s">
        <v>25</v>
      </c>
      <c r="F2581" t="s">
        <v>37</v>
      </c>
      <c r="G2581" t="s">
        <v>45</v>
      </c>
      <c r="H2581" t="s">
        <v>64</v>
      </c>
      <c r="I2581" t="s">
        <v>29</v>
      </c>
      <c r="J2581" t="s">
        <v>46</v>
      </c>
      <c r="K2581" s="2">
        <v>3700</v>
      </c>
      <c r="L2581" s="2">
        <v>8000</v>
      </c>
      <c r="M2581">
        <v>48</v>
      </c>
      <c r="N2581" s="3">
        <v>0.28699999999999998</v>
      </c>
      <c r="O2581" t="s">
        <v>16</v>
      </c>
      <c r="Q2581">
        <v>1</v>
      </c>
      <c r="R2581">
        <v>0</v>
      </c>
      <c r="S2581" s="2">
        <v>7000</v>
      </c>
      <c r="T2581" s="4">
        <v>0.1134</v>
      </c>
      <c r="U2581">
        <v>2</v>
      </c>
      <c r="V2581">
        <v>1</v>
      </c>
      <c r="W2581">
        <v>1</v>
      </c>
    </row>
    <row r="2582" spans="1:23" ht="16.5" x14ac:dyDescent="0.3">
      <c r="A2582" t="s">
        <v>2646</v>
      </c>
      <c r="B2582" s="1">
        <v>45680</v>
      </c>
      <c r="C2582">
        <v>2025</v>
      </c>
      <c r="D2582" t="s">
        <v>24</v>
      </c>
      <c r="E2582" t="s">
        <v>25</v>
      </c>
      <c r="F2582" t="s">
        <v>26</v>
      </c>
      <c r="G2582" t="s">
        <v>45</v>
      </c>
      <c r="H2582" t="s">
        <v>34</v>
      </c>
      <c r="I2582" t="s">
        <v>42</v>
      </c>
      <c r="J2582" t="s">
        <v>30</v>
      </c>
      <c r="K2582" s="2">
        <v>5300</v>
      </c>
      <c r="L2582" s="2">
        <v>54000</v>
      </c>
      <c r="M2582">
        <v>48</v>
      </c>
      <c r="N2582" s="3">
        <v>0.29799999999999999</v>
      </c>
      <c r="O2582" t="s">
        <v>16</v>
      </c>
      <c r="Q2582">
        <v>1</v>
      </c>
      <c r="R2582">
        <v>0</v>
      </c>
      <c r="S2582" s="2">
        <v>54000</v>
      </c>
      <c r="T2582" s="4">
        <v>9.7100000000000006E-2</v>
      </c>
      <c r="U2582">
        <v>3</v>
      </c>
      <c r="V2582">
        <v>1</v>
      </c>
      <c r="W2582">
        <v>1</v>
      </c>
    </row>
    <row r="2583" spans="1:23" ht="16.5" x14ac:dyDescent="0.3">
      <c r="A2583" t="s">
        <v>2647</v>
      </c>
      <c r="B2583" s="1">
        <v>45680</v>
      </c>
      <c r="C2583">
        <v>2025</v>
      </c>
      <c r="D2583" t="s">
        <v>24</v>
      </c>
      <c r="E2583" t="s">
        <v>25</v>
      </c>
      <c r="F2583" t="s">
        <v>37</v>
      </c>
      <c r="G2583" t="s">
        <v>33</v>
      </c>
      <c r="H2583" t="s">
        <v>38</v>
      </c>
      <c r="I2583" t="s">
        <v>39</v>
      </c>
      <c r="J2583" t="s">
        <v>46</v>
      </c>
      <c r="K2583" s="2">
        <v>11050</v>
      </c>
      <c r="L2583" s="2">
        <v>29000</v>
      </c>
      <c r="M2583">
        <v>12</v>
      </c>
      <c r="N2583" s="3">
        <v>0.47499999999999998</v>
      </c>
      <c r="O2583" t="s">
        <v>16</v>
      </c>
      <c r="Q2583">
        <v>1</v>
      </c>
      <c r="R2583">
        <v>0</v>
      </c>
      <c r="S2583" s="2">
        <v>29000</v>
      </c>
      <c r="T2583" s="4">
        <v>0.10929999999999999</v>
      </c>
      <c r="U2583">
        <v>1</v>
      </c>
      <c r="V2583">
        <v>1</v>
      </c>
      <c r="W2583">
        <v>1</v>
      </c>
    </row>
    <row r="2584" spans="1:23" ht="16.5" x14ac:dyDescent="0.3">
      <c r="A2584" t="s">
        <v>2648</v>
      </c>
      <c r="B2584" s="1">
        <v>45680</v>
      </c>
      <c r="C2584">
        <v>2025</v>
      </c>
      <c r="D2584" t="s">
        <v>24</v>
      </c>
      <c r="E2584" t="s">
        <v>25</v>
      </c>
      <c r="F2584" t="s">
        <v>26</v>
      </c>
      <c r="G2584" t="s">
        <v>45</v>
      </c>
      <c r="H2584" t="s">
        <v>38</v>
      </c>
      <c r="I2584" t="s">
        <v>39</v>
      </c>
      <c r="J2584" t="s">
        <v>35</v>
      </c>
      <c r="K2584" s="2">
        <v>3550</v>
      </c>
      <c r="L2584" s="2">
        <v>30500</v>
      </c>
      <c r="M2584">
        <v>60</v>
      </c>
      <c r="N2584" s="3">
        <v>0.39300000000000002</v>
      </c>
      <c r="O2584" t="s">
        <v>16</v>
      </c>
      <c r="Q2584">
        <v>1</v>
      </c>
      <c r="R2584">
        <v>0</v>
      </c>
      <c r="S2584" s="2">
        <v>30500</v>
      </c>
      <c r="T2584" s="4">
        <v>7.8899999999999998E-2</v>
      </c>
      <c r="U2584">
        <v>3</v>
      </c>
      <c r="V2584">
        <v>1</v>
      </c>
      <c r="W2584">
        <v>1</v>
      </c>
    </row>
    <row r="2585" spans="1:23" ht="16.5" x14ac:dyDescent="0.3">
      <c r="A2585" t="s">
        <v>2649</v>
      </c>
      <c r="B2585" s="1">
        <v>45680</v>
      </c>
      <c r="C2585">
        <v>2025</v>
      </c>
      <c r="D2585" t="s">
        <v>24</v>
      </c>
      <c r="E2585" t="s">
        <v>25</v>
      </c>
      <c r="F2585" t="s">
        <v>26</v>
      </c>
      <c r="G2585" t="s">
        <v>45</v>
      </c>
      <c r="H2585" t="s">
        <v>38</v>
      </c>
      <c r="I2585" t="s">
        <v>39</v>
      </c>
      <c r="J2585" t="s">
        <v>35</v>
      </c>
      <c r="K2585" s="2">
        <v>8500</v>
      </c>
      <c r="L2585" s="2">
        <v>56000</v>
      </c>
      <c r="M2585">
        <v>36</v>
      </c>
      <c r="N2585" s="3">
        <v>0.36599999999999999</v>
      </c>
      <c r="O2585" t="s">
        <v>17</v>
      </c>
      <c r="P2585" t="s">
        <v>31</v>
      </c>
      <c r="Q2585">
        <v>0</v>
      </c>
      <c r="R2585">
        <v>1</v>
      </c>
      <c r="S2585" s="2">
        <v>0</v>
      </c>
      <c r="T2585" s="4"/>
      <c r="U2585">
        <v>2</v>
      </c>
      <c r="V2585">
        <v>1</v>
      </c>
      <c r="W2585">
        <v>1</v>
      </c>
    </row>
    <row r="2586" spans="1:23" ht="16.5" x14ac:dyDescent="0.3">
      <c r="A2586" t="s">
        <v>2650</v>
      </c>
      <c r="B2586" s="1">
        <v>45680</v>
      </c>
      <c r="C2586">
        <v>2025</v>
      </c>
      <c r="D2586" t="s">
        <v>24</v>
      </c>
      <c r="E2586" t="s">
        <v>25</v>
      </c>
      <c r="F2586" t="s">
        <v>37</v>
      </c>
      <c r="G2586" t="s">
        <v>51</v>
      </c>
      <c r="H2586" t="s">
        <v>34</v>
      </c>
      <c r="I2586" t="s">
        <v>39</v>
      </c>
      <c r="J2586" t="s">
        <v>30</v>
      </c>
      <c r="K2586" s="2">
        <v>8250</v>
      </c>
      <c r="L2586" s="2">
        <v>13500</v>
      </c>
      <c r="M2586">
        <v>12</v>
      </c>
      <c r="N2586" s="3">
        <v>0.38700000000000001</v>
      </c>
      <c r="O2586" t="s">
        <v>17</v>
      </c>
      <c r="P2586" t="s">
        <v>65</v>
      </c>
      <c r="Q2586">
        <v>0</v>
      </c>
      <c r="R2586">
        <v>1</v>
      </c>
      <c r="S2586" s="2">
        <v>0</v>
      </c>
      <c r="T2586" s="4"/>
      <c r="U2586">
        <v>4</v>
      </c>
      <c r="V2586">
        <v>0</v>
      </c>
      <c r="W2586">
        <v>1</v>
      </c>
    </row>
    <row r="2587" spans="1:23" ht="16.5" x14ac:dyDescent="0.3">
      <c r="A2587" t="s">
        <v>2651</v>
      </c>
      <c r="B2587" s="1">
        <v>45680</v>
      </c>
      <c r="C2587">
        <v>2025</v>
      </c>
      <c r="D2587" t="s">
        <v>24</v>
      </c>
      <c r="E2587" t="s">
        <v>25</v>
      </c>
      <c r="F2587" t="s">
        <v>37</v>
      </c>
      <c r="G2587" t="s">
        <v>45</v>
      </c>
      <c r="H2587" t="s">
        <v>55</v>
      </c>
      <c r="I2587" t="s">
        <v>29</v>
      </c>
      <c r="J2587" t="s">
        <v>35</v>
      </c>
      <c r="K2587" s="2">
        <v>2400</v>
      </c>
      <c r="L2587" s="2">
        <v>5500</v>
      </c>
      <c r="M2587">
        <v>12</v>
      </c>
      <c r="N2587" s="3">
        <v>0.33300000000000002</v>
      </c>
      <c r="O2587" t="s">
        <v>17</v>
      </c>
      <c r="P2587" t="s">
        <v>31</v>
      </c>
      <c r="Q2587">
        <v>0</v>
      </c>
      <c r="R2587">
        <v>1</v>
      </c>
      <c r="S2587" s="2">
        <v>0</v>
      </c>
      <c r="T2587" s="4"/>
      <c r="U2587">
        <v>2</v>
      </c>
      <c r="V2587">
        <v>1</v>
      </c>
      <c r="W2587">
        <v>1</v>
      </c>
    </row>
    <row r="2588" spans="1:23" ht="16.5" x14ac:dyDescent="0.3">
      <c r="A2588" t="s">
        <v>2652</v>
      </c>
      <c r="B2588" s="1">
        <v>45680</v>
      </c>
      <c r="C2588">
        <v>2025</v>
      </c>
      <c r="D2588" t="s">
        <v>24</v>
      </c>
      <c r="E2588" t="s">
        <v>25</v>
      </c>
      <c r="F2588" t="s">
        <v>50</v>
      </c>
      <c r="G2588" t="s">
        <v>27</v>
      </c>
      <c r="H2588" t="s">
        <v>55</v>
      </c>
      <c r="I2588" t="s">
        <v>42</v>
      </c>
      <c r="J2588" t="s">
        <v>30</v>
      </c>
      <c r="K2588" s="2">
        <v>8350</v>
      </c>
      <c r="L2588" s="2">
        <v>203000</v>
      </c>
      <c r="M2588">
        <v>240</v>
      </c>
      <c r="N2588" s="3">
        <v>0.34200000000000003</v>
      </c>
      <c r="O2588" t="s">
        <v>17</v>
      </c>
      <c r="P2588" t="s">
        <v>65</v>
      </c>
      <c r="Q2588">
        <v>0</v>
      </c>
      <c r="R2588">
        <v>1</v>
      </c>
      <c r="S2588" s="2">
        <v>0</v>
      </c>
      <c r="T2588" s="4"/>
      <c r="U2588">
        <v>11</v>
      </c>
      <c r="V2588">
        <v>1</v>
      </c>
      <c r="W2588">
        <v>1</v>
      </c>
    </row>
    <row r="2589" spans="1:23" ht="16.5" x14ac:dyDescent="0.3">
      <c r="A2589" t="s">
        <v>2653</v>
      </c>
      <c r="B2589" s="1">
        <v>45680</v>
      </c>
      <c r="C2589">
        <v>2025</v>
      </c>
      <c r="D2589" t="s">
        <v>24</v>
      </c>
      <c r="E2589" t="s">
        <v>25</v>
      </c>
      <c r="F2589" t="s">
        <v>37</v>
      </c>
      <c r="G2589" t="s">
        <v>45</v>
      </c>
      <c r="H2589" t="s">
        <v>34</v>
      </c>
      <c r="I2589" t="s">
        <v>39</v>
      </c>
      <c r="J2589" t="s">
        <v>43</v>
      </c>
      <c r="K2589" s="2">
        <v>13000</v>
      </c>
      <c r="L2589" s="2">
        <v>14500</v>
      </c>
      <c r="M2589">
        <v>36</v>
      </c>
      <c r="N2589" s="3">
        <v>0.24199999999999999</v>
      </c>
      <c r="O2589" t="s">
        <v>17</v>
      </c>
      <c r="P2589" t="s">
        <v>31</v>
      </c>
      <c r="Q2589">
        <v>0</v>
      </c>
      <c r="R2589">
        <v>1</v>
      </c>
      <c r="S2589" s="2">
        <v>0</v>
      </c>
      <c r="T2589" s="4"/>
      <c r="U2589">
        <v>1</v>
      </c>
      <c r="V2589">
        <v>1</v>
      </c>
      <c r="W2589">
        <v>1</v>
      </c>
    </row>
    <row r="2590" spans="1:23" ht="16.5" x14ac:dyDescent="0.3">
      <c r="A2590" t="s">
        <v>2654</v>
      </c>
      <c r="B2590" s="1">
        <v>45680</v>
      </c>
      <c r="C2590">
        <v>2025</v>
      </c>
      <c r="D2590" t="s">
        <v>24</v>
      </c>
      <c r="E2590" t="s">
        <v>25</v>
      </c>
      <c r="F2590" t="s">
        <v>41</v>
      </c>
      <c r="G2590" t="s">
        <v>51</v>
      </c>
      <c r="H2590" t="s">
        <v>38</v>
      </c>
      <c r="I2590" t="s">
        <v>39</v>
      </c>
      <c r="J2590" t="s">
        <v>30</v>
      </c>
      <c r="K2590" s="2">
        <v>1500</v>
      </c>
      <c r="L2590" s="2">
        <v>131000</v>
      </c>
      <c r="M2590">
        <v>36</v>
      </c>
      <c r="N2590" s="3">
        <v>2.968</v>
      </c>
      <c r="O2590" t="s">
        <v>17</v>
      </c>
      <c r="P2590" t="s">
        <v>53</v>
      </c>
      <c r="Q2590">
        <v>0</v>
      </c>
      <c r="R2590">
        <v>1</v>
      </c>
      <c r="S2590" s="2">
        <v>0</v>
      </c>
      <c r="T2590" s="4"/>
      <c r="U2590">
        <v>19</v>
      </c>
      <c r="V2590">
        <v>0</v>
      </c>
      <c r="W2590">
        <v>1</v>
      </c>
    </row>
    <row r="2591" spans="1:23" ht="16.5" x14ac:dyDescent="0.3">
      <c r="A2591" t="s">
        <v>2655</v>
      </c>
      <c r="B2591" s="1">
        <v>45681</v>
      </c>
      <c r="C2591">
        <v>2025</v>
      </c>
      <c r="D2591" t="s">
        <v>24</v>
      </c>
      <c r="E2591" t="s">
        <v>25</v>
      </c>
      <c r="F2591" t="s">
        <v>37</v>
      </c>
      <c r="G2591" t="s">
        <v>33</v>
      </c>
      <c r="H2591" t="s">
        <v>34</v>
      </c>
      <c r="I2591" t="s">
        <v>42</v>
      </c>
      <c r="J2591" t="s">
        <v>52</v>
      </c>
      <c r="K2591" s="2">
        <v>6900</v>
      </c>
      <c r="L2591" s="2">
        <v>16500</v>
      </c>
      <c r="M2591">
        <v>48</v>
      </c>
      <c r="N2591" s="3">
        <v>0.121</v>
      </c>
      <c r="O2591" t="s">
        <v>16</v>
      </c>
      <c r="Q2591">
        <v>1</v>
      </c>
      <c r="R2591">
        <v>0</v>
      </c>
      <c r="S2591" s="2">
        <v>15000</v>
      </c>
      <c r="T2591" s="4">
        <v>0.1085</v>
      </c>
      <c r="U2591">
        <v>2</v>
      </c>
      <c r="V2591">
        <v>1</v>
      </c>
      <c r="W2591">
        <v>1</v>
      </c>
    </row>
    <row r="2592" spans="1:23" ht="16.5" x14ac:dyDescent="0.3">
      <c r="A2592" t="s">
        <v>2656</v>
      </c>
      <c r="B2592" s="1">
        <v>45681</v>
      </c>
      <c r="C2592">
        <v>2025</v>
      </c>
      <c r="D2592" t="s">
        <v>24</v>
      </c>
      <c r="E2592" t="s">
        <v>25</v>
      </c>
      <c r="F2592" t="s">
        <v>26</v>
      </c>
      <c r="G2592" t="s">
        <v>33</v>
      </c>
      <c r="H2592" t="s">
        <v>55</v>
      </c>
      <c r="I2592" t="s">
        <v>29</v>
      </c>
      <c r="J2592" t="s">
        <v>35</v>
      </c>
      <c r="K2592" s="2">
        <v>6950</v>
      </c>
      <c r="L2592" s="2">
        <v>23500</v>
      </c>
      <c r="M2592">
        <v>36</v>
      </c>
      <c r="N2592" s="3">
        <v>0.20100000000000001</v>
      </c>
      <c r="O2592" t="s">
        <v>16</v>
      </c>
      <c r="Q2592">
        <v>1</v>
      </c>
      <c r="R2592">
        <v>0</v>
      </c>
      <c r="S2592" s="2">
        <v>21000</v>
      </c>
      <c r="T2592" s="4">
        <v>7.4499999999999997E-2</v>
      </c>
      <c r="U2592">
        <v>2</v>
      </c>
      <c r="V2592">
        <v>1</v>
      </c>
      <c r="W2592">
        <v>1</v>
      </c>
    </row>
    <row r="2593" spans="1:23" ht="16.5" x14ac:dyDescent="0.3">
      <c r="A2593" t="s">
        <v>2657</v>
      </c>
      <c r="B2593" s="1">
        <v>45681</v>
      </c>
      <c r="C2593">
        <v>2025</v>
      </c>
      <c r="D2593" t="s">
        <v>24</v>
      </c>
      <c r="E2593" t="s">
        <v>25</v>
      </c>
      <c r="F2593" t="s">
        <v>37</v>
      </c>
      <c r="G2593" t="s">
        <v>45</v>
      </c>
      <c r="H2593" t="s">
        <v>55</v>
      </c>
      <c r="I2593" t="s">
        <v>39</v>
      </c>
      <c r="J2593" t="s">
        <v>35</v>
      </c>
      <c r="K2593" s="2">
        <v>2700</v>
      </c>
      <c r="L2593" s="2">
        <v>13000</v>
      </c>
      <c r="M2593">
        <v>60</v>
      </c>
      <c r="N2593" s="3">
        <v>0.16300000000000001</v>
      </c>
      <c r="O2593" t="s">
        <v>17</v>
      </c>
      <c r="P2593" t="s">
        <v>31</v>
      </c>
      <c r="Q2593">
        <v>0</v>
      </c>
      <c r="R2593">
        <v>1</v>
      </c>
      <c r="S2593" s="2">
        <v>0</v>
      </c>
      <c r="T2593" s="4"/>
      <c r="U2593">
        <v>2</v>
      </c>
      <c r="V2593">
        <v>1</v>
      </c>
      <c r="W2593">
        <v>1</v>
      </c>
    </row>
    <row r="2594" spans="1:23" ht="16.5" x14ac:dyDescent="0.3">
      <c r="A2594" t="s">
        <v>2658</v>
      </c>
      <c r="B2594" s="1">
        <v>45681</v>
      </c>
      <c r="C2594">
        <v>2025</v>
      </c>
      <c r="D2594" t="s">
        <v>24</v>
      </c>
      <c r="E2594" t="s">
        <v>25</v>
      </c>
      <c r="F2594" t="s">
        <v>26</v>
      </c>
      <c r="G2594" t="s">
        <v>33</v>
      </c>
      <c r="H2594" t="s">
        <v>38</v>
      </c>
      <c r="I2594" t="s">
        <v>29</v>
      </c>
      <c r="J2594" t="s">
        <v>52</v>
      </c>
      <c r="K2594" s="2">
        <v>13150</v>
      </c>
      <c r="L2594" s="2">
        <v>24500</v>
      </c>
      <c r="M2594">
        <v>48</v>
      </c>
      <c r="N2594" s="3">
        <v>0.123</v>
      </c>
      <c r="O2594" t="s">
        <v>16</v>
      </c>
      <c r="Q2594">
        <v>1</v>
      </c>
      <c r="R2594">
        <v>0</v>
      </c>
      <c r="S2594" s="2">
        <v>24500</v>
      </c>
      <c r="T2594" s="4">
        <v>6.93E-2</v>
      </c>
      <c r="U2594">
        <v>2</v>
      </c>
      <c r="V2594">
        <v>1</v>
      </c>
      <c r="W2594">
        <v>1</v>
      </c>
    </row>
    <row r="2595" spans="1:23" ht="16.5" x14ac:dyDescent="0.3">
      <c r="A2595" t="s">
        <v>2659</v>
      </c>
      <c r="B2595" s="1">
        <v>45681</v>
      </c>
      <c r="C2595">
        <v>2025</v>
      </c>
      <c r="D2595" t="s">
        <v>24</v>
      </c>
      <c r="E2595" t="s">
        <v>25</v>
      </c>
      <c r="F2595" t="s">
        <v>37</v>
      </c>
      <c r="G2595" t="s">
        <v>45</v>
      </c>
      <c r="H2595" t="s">
        <v>38</v>
      </c>
      <c r="I2595" t="s">
        <v>29</v>
      </c>
      <c r="J2595" t="s">
        <v>30</v>
      </c>
      <c r="K2595" s="2">
        <v>5400</v>
      </c>
      <c r="L2595" s="2">
        <v>38000</v>
      </c>
      <c r="M2595">
        <v>24</v>
      </c>
      <c r="N2595" s="3">
        <v>0.45600000000000002</v>
      </c>
      <c r="O2595" t="s">
        <v>17</v>
      </c>
      <c r="P2595" t="s">
        <v>31</v>
      </c>
      <c r="Q2595">
        <v>0</v>
      </c>
      <c r="R2595">
        <v>1</v>
      </c>
      <c r="S2595" s="2">
        <v>0</v>
      </c>
      <c r="T2595" s="4"/>
      <c r="U2595">
        <v>1</v>
      </c>
      <c r="V2595">
        <v>1</v>
      </c>
      <c r="W2595">
        <v>1</v>
      </c>
    </row>
    <row r="2596" spans="1:23" ht="16.5" x14ac:dyDescent="0.3">
      <c r="A2596" t="s">
        <v>2660</v>
      </c>
      <c r="B2596" s="1">
        <v>45681</v>
      </c>
      <c r="C2596">
        <v>2025</v>
      </c>
      <c r="D2596" t="s">
        <v>24</v>
      </c>
      <c r="E2596" t="s">
        <v>25</v>
      </c>
      <c r="F2596" t="s">
        <v>37</v>
      </c>
      <c r="G2596" t="s">
        <v>45</v>
      </c>
      <c r="H2596" t="s">
        <v>55</v>
      </c>
      <c r="I2596" t="s">
        <v>29</v>
      </c>
      <c r="J2596" t="s">
        <v>35</v>
      </c>
      <c r="K2596" s="2">
        <v>2700</v>
      </c>
      <c r="L2596" s="2">
        <v>13500</v>
      </c>
      <c r="M2596">
        <v>48</v>
      </c>
      <c r="N2596" s="3">
        <v>0.35899999999999999</v>
      </c>
      <c r="O2596" t="s">
        <v>16</v>
      </c>
      <c r="Q2596">
        <v>1</v>
      </c>
      <c r="R2596">
        <v>0</v>
      </c>
      <c r="S2596" s="2">
        <v>11000</v>
      </c>
      <c r="T2596" s="4">
        <v>0.1239</v>
      </c>
      <c r="U2596">
        <v>2</v>
      </c>
      <c r="V2596">
        <v>1</v>
      </c>
      <c r="W2596">
        <v>1</v>
      </c>
    </row>
    <row r="2597" spans="1:23" ht="16.5" x14ac:dyDescent="0.3">
      <c r="A2597" t="s">
        <v>2661</v>
      </c>
      <c r="B2597" s="1">
        <v>45681</v>
      </c>
      <c r="C2597">
        <v>2025</v>
      </c>
      <c r="D2597" t="s">
        <v>24</v>
      </c>
      <c r="E2597" t="s">
        <v>25</v>
      </c>
      <c r="F2597" t="s">
        <v>41</v>
      </c>
      <c r="G2597" t="s">
        <v>33</v>
      </c>
      <c r="H2597" t="s">
        <v>55</v>
      </c>
      <c r="I2597" t="s">
        <v>29</v>
      </c>
      <c r="J2597" t="s">
        <v>52</v>
      </c>
      <c r="K2597" s="2">
        <v>6600</v>
      </c>
      <c r="L2597" s="2">
        <v>28500</v>
      </c>
      <c r="M2597">
        <v>36</v>
      </c>
      <c r="N2597" s="3">
        <v>0.374</v>
      </c>
      <c r="O2597" t="s">
        <v>16</v>
      </c>
      <c r="Q2597">
        <v>1</v>
      </c>
      <c r="R2597">
        <v>0</v>
      </c>
      <c r="S2597" s="2">
        <v>28500</v>
      </c>
      <c r="T2597" s="4">
        <v>9.7799999999999998E-2</v>
      </c>
      <c r="U2597">
        <v>5</v>
      </c>
      <c r="V2597">
        <v>1</v>
      </c>
      <c r="W2597">
        <v>1</v>
      </c>
    </row>
    <row r="2598" spans="1:23" ht="16.5" x14ac:dyDescent="0.3">
      <c r="A2598" t="s">
        <v>2662</v>
      </c>
      <c r="B2598" s="1">
        <v>45681</v>
      </c>
      <c r="C2598">
        <v>2025</v>
      </c>
      <c r="D2598" t="s">
        <v>24</v>
      </c>
      <c r="E2598" t="s">
        <v>25</v>
      </c>
      <c r="F2598" t="s">
        <v>26</v>
      </c>
      <c r="G2598" t="s">
        <v>51</v>
      </c>
      <c r="H2598" t="s">
        <v>38</v>
      </c>
      <c r="I2598" t="s">
        <v>29</v>
      </c>
      <c r="J2598" t="s">
        <v>35</v>
      </c>
      <c r="K2598" s="2">
        <v>4950</v>
      </c>
      <c r="L2598" s="2">
        <v>23000</v>
      </c>
      <c r="M2598">
        <v>48</v>
      </c>
      <c r="N2598" s="3">
        <v>0.26200000000000001</v>
      </c>
      <c r="O2598" t="s">
        <v>16</v>
      </c>
      <c r="Q2598">
        <v>1</v>
      </c>
      <c r="R2598">
        <v>0</v>
      </c>
      <c r="S2598" s="2">
        <v>23000</v>
      </c>
      <c r="T2598" s="4">
        <v>8.6099999999999996E-2</v>
      </c>
      <c r="U2598">
        <v>3</v>
      </c>
      <c r="V2598">
        <v>1</v>
      </c>
      <c r="W2598">
        <v>1</v>
      </c>
    </row>
    <row r="2599" spans="1:23" ht="16.5" x14ac:dyDescent="0.3">
      <c r="A2599" t="s">
        <v>2663</v>
      </c>
      <c r="B2599" s="1">
        <v>45682</v>
      </c>
      <c r="C2599">
        <v>2025</v>
      </c>
      <c r="D2599" t="s">
        <v>24</v>
      </c>
      <c r="E2599" t="s">
        <v>25</v>
      </c>
      <c r="F2599" t="s">
        <v>37</v>
      </c>
      <c r="G2599" t="s">
        <v>45</v>
      </c>
      <c r="H2599" t="s">
        <v>64</v>
      </c>
      <c r="I2599" t="s">
        <v>42</v>
      </c>
      <c r="J2599" t="s">
        <v>52</v>
      </c>
      <c r="K2599" s="2">
        <v>9050</v>
      </c>
      <c r="L2599" s="2">
        <v>4000</v>
      </c>
      <c r="M2599">
        <v>48</v>
      </c>
      <c r="N2599" s="3">
        <v>0.19600000000000001</v>
      </c>
      <c r="O2599" t="s">
        <v>16</v>
      </c>
      <c r="Q2599">
        <v>1</v>
      </c>
      <c r="R2599">
        <v>0</v>
      </c>
      <c r="S2599" s="2">
        <v>4000</v>
      </c>
      <c r="T2599" s="4">
        <v>0.1137</v>
      </c>
      <c r="U2599">
        <v>3</v>
      </c>
      <c r="V2599">
        <v>1</v>
      </c>
      <c r="W2599">
        <v>1</v>
      </c>
    </row>
    <row r="2600" spans="1:23" ht="16.5" x14ac:dyDescent="0.3">
      <c r="A2600" t="s">
        <v>2664</v>
      </c>
      <c r="B2600" s="1">
        <v>45682</v>
      </c>
      <c r="C2600">
        <v>2025</v>
      </c>
      <c r="D2600" t="s">
        <v>24</v>
      </c>
      <c r="E2600" t="s">
        <v>25</v>
      </c>
      <c r="F2600" t="s">
        <v>37</v>
      </c>
      <c r="G2600" t="s">
        <v>33</v>
      </c>
      <c r="H2600" t="s">
        <v>34</v>
      </c>
      <c r="I2600" t="s">
        <v>42</v>
      </c>
      <c r="J2600" t="s">
        <v>46</v>
      </c>
      <c r="K2600" s="2">
        <v>5850</v>
      </c>
      <c r="L2600" s="2">
        <v>11500</v>
      </c>
      <c r="M2600">
        <v>12</v>
      </c>
      <c r="N2600" s="3">
        <v>0.314</v>
      </c>
      <c r="O2600" t="s">
        <v>16</v>
      </c>
      <c r="Q2600">
        <v>1</v>
      </c>
      <c r="R2600">
        <v>0</v>
      </c>
      <c r="S2600" s="2">
        <v>11500</v>
      </c>
      <c r="T2600" s="4">
        <v>0.1067</v>
      </c>
      <c r="U2600">
        <v>2</v>
      </c>
      <c r="V2600">
        <v>1</v>
      </c>
      <c r="W2600">
        <v>1</v>
      </c>
    </row>
    <row r="2601" spans="1:23" ht="16.5" x14ac:dyDescent="0.3">
      <c r="A2601" t="s">
        <v>2665</v>
      </c>
      <c r="B2601" s="1">
        <v>45682</v>
      </c>
      <c r="C2601">
        <v>2025</v>
      </c>
      <c r="D2601" t="s">
        <v>24</v>
      </c>
      <c r="E2601" t="s">
        <v>25</v>
      </c>
      <c r="F2601" t="s">
        <v>26</v>
      </c>
      <c r="G2601" t="s">
        <v>51</v>
      </c>
      <c r="H2601" t="s">
        <v>55</v>
      </c>
      <c r="I2601" t="s">
        <v>39</v>
      </c>
      <c r="J2601" t="s">
        <v>35</v>
      </c>
      <c r="K2601" s="2">
        <v>4300</v>
      </c>
      <c r="L2601" s="2">
        <v>20500</v>
      </c>
      <c r="M2601">
        <v>60</v>
      </c>
      <c r="N2601" s="3">
        <v>0.15</v>
      </c>
      <c r="O2601" t="s">
        <v>16</v>
      </c>
      <c r="Q2601">
        <v>1</v>
      </c>
      <c r="R2601">
        <v>0</v>
      </c>
      <c r="S2601" s="2">
        <v>18500</v>
      </c>
      <c r="T2601" s="4">
        <v>8.2199999999999995E-2</v>
      </c>
      <c r="U2601">
        <v>4</v>
      </c>
      <c r="V2601">
        <v>1</v>
      </c>
      <c r="W2601">
        <v>1</v>
      </c>
    </row>
    <row r="2602" spans="1:23" ht="16.5" x14ac:dyDescent="0.3">
      <c r="A2602" t="s">
        <v>2666</v>
      </c>
      <c r="B2602" s="1">
        <v>45682</v>
      </c>
      <c r="C2602">
        <v>2025</v>
      </c>
      <c r="D2602" t="s">
        <v>24</v>
      </c>
      <c r="E2602" t="s">
        <v>25</v>
      </c>
      <c r="F2602" t="s">
        <v>26</v>
      </c>
      <c r="G2602" t="s">
        <v>45</v>
      </c>
      <c r="H2602" t="s">
        <v>38</v>
      </c>
      <c r="I2602" t="s">
        <v>29</v>
      </c>
      <c r="J2602" t="s">
        <v>46</v>
      </c>
      <c r="K2602" s="2">
        <v>10700</v>
      </c>
      <c r="L2602" s="2">
        <v>9000</v>
      </c>
      <c r="M2602">
        <v>48</v>
      </c>
      <c r="N2602" s="3">
        <v>0.249</v>
      </c>
      <c r="O2602" t="s">
        <v>16</v>
      </c>
      <c r="Q2602">
        <v>1</v>
      </c>
      <c r="R2602">
        <v>0</v>
      </c>
      <c r="S2602" s="2">
        <v>9000</v>
      </c>
      <c r="T2602" s="4">
        <v>6.4600000000000005E-2</v>
      </c>
      <c r="U2602">
        <v>3</v>
      </c>
      <c r="V2602">
        <v>1</v>
      </c>
      <c r="W2602">
        <v>1</v>
      </c>
    </row>
    <row r="2603" spans="1:23" ht="16.5" x14ac:dyDescent="0.3">
      <c r="A2603" t="s">
        <v>2667</v>
      </c>
      <c r="B2603" s="1">
        <v>45682</v>
      </c>
      <c r="C2603">
        <v>2025</v>
      </c>
      <c r="D2603" t="s">
        <v>24</v>
      </c>
      <c r="E2603" t="s">
        <v>25</v>
      </c>
      <c r="F2603" t="s">
        <v>26</v>
      </c>
      <c r="G2603" t="s">
        <v>27</v>
      </c>
      <c r="H2603" t="s">
        <v>38</v>
      </c>
      <c r="I2603" t="s">
        <v>39</v>
      </c>
      <c r="J2603" t="s">
        <v>52</v>
      </c>
      <c r="K2603" s="2">
        <v>12650</v>
      </c>
      <c r="L2603" s="2">
        <v>33000</v>
      </c>
      <c r="M2603">
        <v>60</v>
      </c>
      <c r="N2603" s="3">
        <v>0.15</v>
      </c>
      <c r="O2603" t="s">
        <v>16</v>
      </c>
      <c r="Q2603">
        <v>1</v>
      </c>
      <c r="R2603">
        <v>0</v>
      </c>
      <c r="S2603" s="2">
        <v>26500</v>
      </c>
      <c r="T2603" s="4">
        <v>7.22E-2</v>
      </c>
      <c r="U2603">
        <v>5</v>
      </c>
      <c r="V2603">
        <v>0</v>
      </c>
      <c r="W2603">
        <v>1</v>
      </c>
    </row>
    <row r="2604" spans="1:23" ht="16.5" x14ac:dyDescent="0.3">
      <c r="A2604" t="s">
        <v>2668</v>
      </c>
      <c r="B2604" s="1">
        <v>45683</v>
      </c>
      <c r="C2604">
        <v>2025</v>
      </c>
      <c r="D2604" t="s">
        <v>24</v>
      </c>
      <c r="E2604" t="s">
        <v>25</v>
      </c>
      <c r="F2604" t="s">
        <v>37</v>
      </c>
      <c r="G2604" t="s">
        <v>33</v>
      </c>
      <c r="H2604" t="s">
        <v>38</v>
      </c>
      <c r="I2604" t="s">
        <v>29</v>
      </c>
      <c r="J2604" t="s">
        <v>35</v>
      </c>
      <c r="K2604" s="2">
        <v>10750</v>
      </c>
      <c r="L2604" s="2">
        <v>14500</v>
      </c>
      <c r="M2604">
        <v>12</v>
      </c>
      <c r="N2604" s="3">
        <v>0.33</v>
      </c>
      <c r="O2604" t="s">
        <v>16</v>
      </c>
      <c r="Q2604">
        <v>1</v>
      </c>
      <c r="R2604">
        <v>0</v>
      </c>
      <c r="S2604" s="2">
        <v>13000</v>
      </c>
      <c r="T2604" s="4">
        <v>0.12640000000000001</v>
      </c>
      <c r="U2604">
        <v>1</v>
      </c>
      <c r="V2604">
        <v>1</v>
      </c>
      <c r="W2604">
        <v>1</v>
      </c>
    </row>
    <row r="2605" spans="1:23" ht="16.5" x14ac:dyDescent="0.3">
      <c r="A2605" t="s">
        <v>2669</v>
      </c>
      <c r="B2605" s="1">
        <v>45683</v>
      </c>
      <c r="C2605">
        <v>2025</v>
      </c>
      <c r="D2605" t="s">
        <v>24</v>
      </c>
      <c r="E2605" t="s">
        <v>25</v>
      </c>
      <c r="F2605" t="s">
        <v>37</v>
      </c>
      <c r="G2605" t="s">
        <v>51</v>
      </c>
      <c r="H2605" t="s">
        <v>34</v>
      </c>
      <c r="I2605" t="s">
        <v>29</v>
      </c>
      <c r="J2605" t="s">
        <v>30</v>
      </c>
      <c r="K2605" s="2">
        <v>5250</v>
      </c>
      <c r="L2605" s="2">
        <v>18500</v>
      </c>
      <c r="M2605">
        <v>60</v>
      </c>
      <c r="N2605" s="3">
        <v>0.14699999999999999</v>
      </c>
      <c r="O2605" t="s">
        <v>17</v>
      </c>
      <c r="P2605" t="s">
        <v>31</v>
      </c>
      <c r="Q2605">
        <v>0</v>
      </c>
      <c r="R2605">
        <v>1</v>
      </c>
      <c r="S2605" s="2">
        <v>0</v>
      </c>
      <c r="T2605" s="4"/>
      <c r="U2605">
        <v>4</v>
      </c>
      <c r="V2605">
        <v>0</v>
      </c>
      <c r="W2605">
        <v>1</v>
      </c>
    </row>
    <row r="2606" spans="1:23" ht="16.5" x14ac:dyDescent="0.3">
      <c r="A2606" t="s">
        <v>2670</v>
      </c>
      <c r="B2606" s="1">
        <v>45683</v>
      </c>
      <c r="C2606">
        <v>2025</v>
      </c>
      <c r="D2606" t="s">
        <v>24</v>
      </c>
      <c r="E2606" t="s">
        <v>25</v>
      </c>
      <c r="F2606" t="s">
        <v>37</v>
      </c>
      <c r="G2606" t="s">
        <v>33</v>
      </c>
      <c r="H2606" t="s">
        <v>38</v>
      </c>
      <c r="I2606" t="s">
        <v>29</v>
      </c>
      <c r="J2606" t="s">
        <v>30</v>
      </c>
      <c r="K2606" s="2">
        <v>6650</v>
      </c>
      <c r="L2606" s="2">
        <v>11000</v>
      </c>
      <c r="M2606">
        <v>60</v>
      </c>
      <c r="N2606" s="3">
        <v>0.24</v>
      </c>
      <c r="O2606" t="s">
        <v>16</v>
      </c>
      <c r="Q2606">
        <v>1</v>
      </c>
      <c r="R2606">
        <v>0</v>
      </c>
      <c r="S2606" s="2">
        <v>10000</v>
      </c>
      <c r="T2606" s="4">
        <v>0.14050000000000001</v>
      </c>
      <c r="U2606">
        <v>1</v>
      </c>
      <c r="V2606">
        <v>1</v>
      </c>
      <c r="W2606">
        <v>1</v>
      </c>
    </row>
    <row r="2607" spans="1:23" ht="16.5" x14ac:dyDescent="0.3">
      <c r="A2607" t="s">
        <v>2671</v>
      </c>
      <c r="B2607" s="1">
        <v>45683</v>
      </c>
      <c r="C2607">
        <v>2025</v>
      </c>
      <c r="D2607" t="s">
        <v>24</v>
      </c>
      <c r="E2607" t="s">
        <v>25</v>
      </c>
      <c r="F2607" t="s">
        <v>37</v>
      </c>
      <c r="G2607" t="s">
        <v>45</v>
      </c>
      <c r="H2607" t="s">
        <v>55</v>
      </c>
      <c r="I2607" t="s">
        <v>29</v>
      </c>
      <c r="J2607" t="s">
        <v>52</v>
      </c>
      <c r="K2607" s="2">
        <v>10300</v>
      </c>
      <c r="L2607" s="2">
        <v>12500</v>
      </c>
      <c r="M2607">
        <v>36</v>
      </c>
      <c r="N2607" s="3">
        <v>0.21299999999999999</v>
      </c>
      <c r="O2607" t="s">
        <v>16</v>
      </c>
      <c r="Q2607">
        <v>1</v>
      </c>
      <c r="R2607">
        <v>0</v>
      </c>
      <c r="S2607" s="2">
        <v>12500</v>
      </c>
      <c r="T2607" s="4">
        <v>0.1186</v>
      </c>
      <c r="U2607">
        <v>2</v>
      </c>
      <c r="V2607">
        <v>1</v>
      </c>
      <c r="W2607">
        <v>1</v>
      </c>
    </row>
    <row r="2608" spans="1:23" ht="16.5" x14ac:dyDescent="0.3">
      <c r="A2608" t="s">
        <v>2672</v>
      </c>
      <c r="B2608" s="1">
        <v>45683</v>
      </c>
      <c r="C2608">
        <v>2025</v>
      </c>
      <c r="D2608" t="s">
        <v>24</v>
      </c>
      <c r="E2608" t="s">
        <v>25</v>
      </c>
      <c r="F2608" t="s">
        <v>37</v>
      </c>
      <c r="G2608" t="s">
        <v>33</v>
      </c>
      <c r="H2608" t="s">
        <v>64</v>
      </c>
      <c r="I2608" t="s">
        <v>29</v>
      </c>
      <c r="J2608" t="s">
        <v>35</v>
      </c>
      <c r="K2608" s="2">
        <v>2600</v>
      </c>
      <c r="L2608" s="2">
        <v>17000</v>
      </c>
      <c r="M2608">
        <v>60</v>
      </c>
      <c r="N2608" s="3">
        <v>0.224</v>
      </c>
      <c r="O2608" t="s">
        <v>17</v>
      </c>
      <c r="P2608" t="s">
        <v>31</v>
      </c>
      <c r="Q2608">
        <v>0</v>
      </c>
      <c r="R2608">
        <v>1</v>
      </c>
      <c r="S2608" s="2">
        <v>0</v>
      </c>
      <c r="T2608" s="4"/>
      <c r="U2608">
        <v>2</v>
      </c>
      <c r="V2608">
        <v>1</v>
      </c>
      <c r="W2608">
        <v>1</v>
      </c>
    </row>
    <row r="2609" spans="1:23" ht="16.5" x14ac:dyDescent="0.3">
      <c r="A2609" t="s">
        <v>2673</v>
      </c>
      <c r="B2609" s="1">
        <v>45683</v>
      </c>
      <c r="C2609">
        <v>2025</v>
      </c>
      <c r="D2609" t="s">
        <v>24</v>
      </c>
      <c r="E2609" t="s">
        <v>25</v>
      </c>
      <c r="F2609" t="s">
        <v>26</v>
      </c>
      <c r="G2609" t="s">
        <v>27</v>
      </c>
      <c r="H2609" t="s">
        <v>55</v>
      </c>
      <c r="I2609" t="s">
        <v>29</v>
      </c>
      <c r="J2609" t="s">
        <v>46</v>
      </c>
      <c r="K2609" s="2">
        <v>8450</v>
      </c>
      <c r="L2609" s="2">
        <v>35500</v>
      </c>
      <c r="M2609">
        <v>60</v>
      </c>
      <c r="N2609" s="3">
        <v>0.21199999999999999</v>
      </c>
      <c r="O2609" t="s">
        <v>16</v>
      </c>
      <c r="Q2609">
        <v>1</v>
      </c>
      <c r="R2609">
        <v>0</v>
      </c>
      <c r="S2609" s="2">
        <v>35500</v>
      </c>
      <c r="T2609" s="4">
        <v>6.6000000000000003E-2</v>
      </c>
      <c r="U2609">
        <v>4</v>
      </c>
      <c r="V2609">
        <v>1</v>
      </c>
      <c r="W2609">
        <v>1</v>
      </c>
    </row>
    <row r="2610" spans="1:23" ht="16.5" x14ac:dyDescent="0.3">
      <c r="A2610" t="s">
        <v>2674</v>
      </c>
      <c r="B2610" s="1">
        <v>45683</v>
      </c>
      <c r="C2610">
        <v>2025</v>
      </c>
      <c r="D2610" t="s">
        <v>24</v>
      </c>
      <c r="E2610" t="s">
        <v>25</v>
      </c>
      <c r="F2610" t="s">
        <v>26</v>
      </c>
      <c r="G2610" t="s">
        <v>33</v>
      </c>
      <c r="H2610" t="s">
        <v>38</v>
      </c>
      <c r="I2610" t="s">
        <v>39</v>
      </c>
      <c r="J2610" t="s">
        <v>35</v>
      </c>
      <c r="K2610" s="2">
        <v>6300</v>
      </c>
      <c r="L2610" s="2">
        <v>43500</v>
      </c>
      <c r="M2610">
        <v>48</v>
      </c>
      <c r="N2610" s="3">
        <v>0.312</v>
      </c>
      <c r="O2610" t="s">
        <v>16</v>
      </c>
      <c r="Q2610">
        <v>1</v>
      </c>
      <c r="R2610">
        <v>0</v>
      </c>
      <c r="S2610" s="2">
        <v>39000</v>
      </c>
      <c r="T2610" s="4">
        <v>8.6300000000000002E-2</v>
      </c>
      <c r="U2610">
        <v>1</v>
      </c>
      <c r="V2610">
        <v>1</v>
      </c>
      <c r="W2610">
        <v>1</v>
      </c>
    </row>
    <row r="2611" spans="1:23" ht="16.5" x14ac:dyDescent="0.3">
      <c r="A2611" t="s">
        <v>2675</v>
      </c>
      <c r="B2611" s="1">
        <v>45683</v>
      </c>
      <c r="C2611">
        <v>2025</v>
      </c>
      <c r="D2611" t="s">
        <v>24</v>
      </c>
      <c r="E2611" t="s">
        <v>25</v>
      </c>
      <c r="F2611" t="s">
        <v>26</v>
      </c>
      <c r="G2611" t="s">
        <v>51</v>
      </c>
      <c r="H2611" t="s">
        <v>64</v>
      </c>
      <c r="I2611" t="s">
        <v>39</v>
      </c>
      <c r="J2611" t="s">
        <v>52</v>
      </c>
      <c r="K2611" s="2">
        <v>3850</v>
      </c>
      <c r="L2611" s="2">
        <v>35500</v>
      </c>
      <c r="M2611">
        <v>36</v>
      </c>
      <c r="N2611" s="3">
        <v>0.42299999999999999</v>
      </c>
      <c r="O2611" t="s">
        <v>16</v>
      </c>
      <c r="Q2611">
        <v>1</v>
      </c>
      <c r="R2611">
        <v>0</v>
      </c>
      <c r="S2611" s="2">
        <v>35500</v>
      </c>
      <c r="T2611" s="4">
        <v>7.5300000000000006E-2</v>
      </c>
      <c r="U2611">
        <v>4</v>
      </c>
      <c r="V2611">
        <v>1</v>
      </c>
      <c r="W2611">
        <v>1</v>
      </c>
    </row>
    <row r="2612" spans="1:23" ht="16.5" x14ac:dyDescent="0.3">
      <c r="A2612" t="s">
        <v>2676</v>
      </c>
      <c r="B2612" s="1">
        <v>45684</v>
      </c>
      <c r="C2612">
        <v>2025</v>
      </c>
      <c r="D2612" t="s">
        <v>24</v>
      </c>
      <c r="E2612" t="s">
        <v>25</v>
      </c>
      <c r="F2612" t="s">
        <v>26</v>
      </c>
      <c r="G2612" t="s">
        <v>51</v>
      </c>
      <c r="H2612" t="s">
        <v>55</v>
      </c>
      <c r="I2612" t="s">
        <v>39</v>
      </c>
      <c r="J2612" t="s">
        <v>35</v>
      </c>
      <c r="K2612" s="2">
        <v>7350</v>
      </c>
      <c r="L2612" s="2">
        <v>18000</v>
      </c>
      <c r="M2612">
        <v>60</v>
      </c>
      <c r="N2612" s="3">
        <v>0.17100000000000001</v>
      </c>
      <c r="O2612" t="s">
        <v>16</v>
      </c>
      <c r="Q2612">
        <v>1</v>
      </c>
      <c r="R2612">
        <v>0</v>
      </c>
      <c r="S2612" s="2">
        <v>14500</v>
      </c>
      <c r="T2612" s="4">
        <v>7.9000000000000001E-2</v>
      </c>
      <c r="U2612">
        <v>6</v>
      </c>
      <c r="V2612">
        <v>0</v>
      </c>
      <c r="W2612">
        <v>1</v>
      </c>
    </row>
    <row r="2613" spans="1:23" ht="16.5" x14ac:dyDescent="0.3">
      <c r="A2613" t="s">
        <v>2677</v>
      </c>
      <c r="B2613" s="1">
        <v>45684</v>
      </c>
      <c r="C2613">
        <v>2025</v>
      </c>
      <c r="D2613" t="s">
        <v>24</v>
      </c>
      <c r="E2613" t="s">
        <v>25</v>
      </c>
      <c r="F2613" t="s">
        <v>37</v>
      </c>
      <c r="G2613" t="s">
        <v>27</v>
      </c>
      <c r="H2613" t="s">
        <v>55</v>
      </c>
      <c r="I2613" t="s">
        <v>42</v>
      </c>
      <c r="J2613" t="s">
        <v>46</v>
      </c>
      <c r="K2613" s="2">
        <v>9300</v>
      </c>
      <c r="L2613" s="2">
        <v>12000</v>
      </c>
      <c r="M2613">
        <v>36</v>
      </c>
      <c r="N2613" s="3">
        <v>0.12</v>
      </c>
      <c r="O2613" t="s">
        <v>17</v>
      </c>
      <c r="P2613" t="s">
        <v>60</v>
      </c>
      <c r="Q2613">
        <v>0</v>
      </c>
      <c r="R2613">
        <v>1</v>
      </c>
      <c r="S2613" s="2">
        <v>0</v>
      </c>
      <c r="T2613" s="4"/>
      <c r="U2613">
        <v>7</v>
      </c>
      <c r="V2613">
        <v>0</v>
      </c>
      <c r="W2613">
        <v>1</v>
      </c>
    </row>
    <row r="2614" spans="1:23" ht="16.5" x14ac:dyDescent="0.3">
      <c r="A2614" t="s">
        <v>2678</v>
      </c>
      <c r="B2614" s="1">
        <v>45684</v>
      </c>
      <c r="C2614">
        <v>2025</v>
      </c>
      <c r="D2614" t="s">
        <v>24</v>
      </c>
      <c r="E2614" t="s">
        <v>25</v>
      </c>
      <c r="F2614" t="s">
        <v>37</v>
      </c>
      <c r="G2614" t="s">
        <v>45</v>
      </c>
      <c r="H2614" t="s">
        <v>64</v>
      </c>
      <c r="I2614" t="s">
        <v>39</v>
      </c>
      <c r="J2614" t="s">
        <v>30</v>
      </c>
      <c r="K2614" s="2">
        <v>7300</v>
      </c>
      <c r="L2614" s="2">
        <v>6500</v>
      </c>
      <c r="M2614">
        <v>60</v>
      </c>
      <c r="N2614" s="3">
        <v>0.253</v>
      </c>
      <c r="O2614" t="s">
        <v>16</v>
      </c>
      <c r="Q2614">
        <v>1</v>
      </c>
      <c r="R2614">
        <v>0</v>
      </c>
      <c r="S2614" s="2">
        <v>6500</v>
      </c>
      <c r="T2614" s="4">
        <v>0.1416</v>
      </c>
      <c r="U2614">
        <v>2</v>
      </c>
      <c r="V2614">
        <v>1</v>
      </c>
      <c r="W2614">
        <v>1</v>
      </c>
    </row>
    <row r="2615" spans="1:23" ht="16.5" x14ac:dyDescent="0.3">
      <c r="A2615" t="s">
        <v>2679</v>
      </c>
      <c r="B2615" s="1">
        <v>45684</v>
      </c>
      <c r="C2615">
        <v>2025</v>
      </c>
      <c r="D2615" t="s">
        <v>24</v>
      </c>
      <c r="E2615" t="s">
        <v>25</v>
      </c>
      <c r="F2615" t="s">
        <v>37</v>
      </c>
      <c r="G2615" t="s">
        <v>45</v>
      </c>
      <c r="H2615" t="s">
        <v>55</v>
      </c>
      <c r="I2615" t="s">
        <v>29</v>
      </c>
      <c r="J2615" t="s">
        <v>30</v>
      </c>
      <c r="K2615" s="2">
        <v>16600</v>
      </c>
      <c r="L2615" s="2">
        <v>10000</v>
      </c>
      <c r="M2615">
        <v>12</v>
      </c>
      <c r="N2615" s="3">
        <v>0.14899999999999999</v>
      </c>
      <c r="O2615" t="s">
        <v>17</v>
      </c>
      <c r="P2615" t="s">
        <v>60</v>
      </c>
      <c r="Q2615">
        <v>0</v>
      </c>
      <c r="R2615">
        <v>1</v>
      </c>
      <c r="S2615" s="2">
        <v>0</v>
      </c>
      <c r="T2615" s="4"/>
      <c r="U2615">
        <v>6</v>
      </c>
      <c r="V2615">
        <v>0</v>
      </c>
      <c r="W2615">
        <v>1</v>
      </c>
    </row>
    <row r="2616" spans="1:23" ht="16.5" x14ac:dyDescent="0.3">
      <c r="A2616" t="s">
        <v>2680</v>
      </c>
      <c r="B2616" s="1">
        <v>45684</v>
      </c>
      <c r="C2616">
        <v>2025</v>
      </c>
      <c r="D2616" t="s">
        <v>24</v>
      </c>
      <c r="E2616" t="s">
        <v>25</v>
      </c>
      <c r="F2616" t="s">
        <v>50</v>
      </c>
      <c r="G2616" t="s">
        <v>33</v>
      </c>
      <c r="H2616" t="s">
        <v>55</v>
      </c>
      <c r="I2616" t="s">
        <v>29</v>
      </c>
      <c r="J2616" t="s">
        <v>52</v>
      </c>
      <c r="K2616" s="2">
        <v>4050</v>
      </c>
      <c r="L2616" s="2">
        <v>273500</v>
      </c>
      <c r="M2616">
        <v>180</v>
      </c>
      <c r="N2616" s="3">
        <v>0.69199999999999995</v>
      </c>
      <c r="O2616" t="s">
        <v>17</v>
      </c>
      <c r="P2616" t="s">
        <v>53</v>
      </c>
      <c r="Q2616">
        <v>0</v>
      </c>
      <c r="R2616">
        <v>1</v>
      </c>
      <c r="S2616" s="2">
        <v>0</v>
      </c>
      <c r="T2616" s="4"/>
      <c r="U2616">
        <v>3</v>
      </c>
      <c r="V2616">
        <v>1</v>
      </c>
      <c r="W2616">
        <v>1</v>
      </c>
    </row>
    <row r="2617" spans="1:23" ht="16.5" x14ac:dyDescent="0.3">
      <c r="A2617" t="s">
        <v>2681</v>
      </c>
      <c r="B2617" s="1">
        <v>45684</v>
      </c>
      <c r="C2617">
        <v>2025</v>
      </c>
      <c r="D2617" t="s">
        <v>24</v>
      </c>
      <c r="E2617" t="s">
        <v>25</v>
      </c>
      <c r="F2617" t="s">
        <v>37</v>
      </c>
      <c r="G2617" t="s">
        <v>51</v>
      </c>
      <c r="H2617" t="s">
        <v>34</v>
      </c>
      <c r="I2617" t="s">
        <v>29</v>
      </c>
      <c r="J2617" t="s">
        <v>30</v>
      </c>
      <c r="K2617" s="2">
        <v>6100</v>
      </c>
      <c r="L2617" s="2">
        <v>18500</v>
      </c>
      <c r="M2617">
        <v>36</v>
      </c>
      <c r="N2617" s="3">
        <v>0.245</v>
      </c>
      <c r="O2617" t="s">
        <v>16</v>
      </c>
      <c r="Q2617">
        <v>1</v>
      </c>
      <c r="R2617">
        <v>0</v>
      </c>
      <c r="S2617" s="2">
        <v>18500</v>
      </c>
      <c r="T2617" s="4">
        <v>0.13830000000000001</v>
      </c>
      <c r="U2617">
        <v>6</v>
      </c>
      <c r="V2617">
        <v>0</v>
      </c>
      <c r="W2617">
        <v>1</v>
      </c>
    </row>
    <row r="2618" spans="1:23" ht="16.5" x14ac:dyDescent="0.3">
      <c r="A2618" t="s">
        <v>2682</v>
      </c>
      <c r="B2618" s="1">
        <v>45684</v>
      </c>
      <c r="C2618">
        <v>2025</v>
      </c>
      <c r="D2618" t="s">
        <v>24</v>
      </c>
      <c r="E2618" t="s">
        <v>25</v>
      </c>
      <c r="F2618" t="s">
        <v>26</v>
      </c>
      <c r="G2618" t="s">
        <v>33</v>
      </c>
      <c r="H2618" t="s">
        <v>34</v>
      </c>
      <c r="I2618" t="s">
        <v>29</v>
      </c>
      <c r="J2618" t="s">
        <v>30</v>
      </c>
      <c r="K2618" s="2">
        <v>6050</v>
      </c>
      <c r="L2618" s="2">
        <v>32000</v>
      </c>
      <c r="M2618">
        <v>48</v>
      </c>
      <c r="N2618" s="3">
        <v>0.374</v>
      </c>
      <c r="O2618" t="s">
        <v>16</v>
      </c>
      <c r="Q2618">
        <v>1</v>
      </c>
      <c r="R2618">
        <v>0</v>
      </c>
      <c r="S2618" s="2">
        <v>32000</v>
      </c>
      <c r="T2618" s="4">
        <v>9.9599999999999994E-2</v>
      </c>
      <c r="U2618">
        <v>1</v>
      </c>
      <c r="V2618">
        <v>1</v>
      </c>
      <c r="W2618">
        <v>1</v>
      </c>
    </row>
    <row r="2619" spans="1:23" ht="16.5" x14ac:dyDescent="0.3">
      <c r="A2619" t="s">
        <v>2683</v>
      </c>
      <c r="B2619" s="1">
        <v>45684</v>
      </c>
      <c r="C2619">
        <v>2025</v>
      </c>
      <c r="D2619" t="s">
        <v>24</v>
      </c>
      <c r="E2619" t="s">
        <v>25</v>
      </c>
      <c r="F2619" t="s">
        <v>37</v>
      </c>
      <c r="G2619" t="s">
        <v>33</v>
      </c>
      <c r="H2619" t="s">
        <v>55</v>
      </c>
      <c r="I2619" t="s">
        <v>29</v>
      </c>
      <c r="J2619" t="s">
        <v>46</v>
      </c>
      <c r="K2619" s="2">
        <v>7300</v>
      </c>
      <c r="L2619" s="2">
        <v>21000</v>
      </c>
      <c r="M2619">
        <v>36</v>
      </c>
      <c r="N2619" s="3">
        <v>0.222</v>
      </c>
      <c r="O2619" t="s">
        <v>16</v>
      </c>
      <c r="Q2619">
        <v>1</v>
      </c>
      <c r="R2619">
        <v>0</v>
      </c>
      <c r="S2619" s="2">
        <v>21000</v>
      </c>
      <c r="T2619" s="4">
        <v>0.10970000000000001</v>
      </c>
      <c r="U2619">
        <v>1</v>
      </c>
      <c r="V2619">
        <v>1</v>
      </c>
      <c r="W2619">
        <v>1</v>
      </c>
    </row>
    <row r="2620" spans="1:23" ht="16.5" x14ac:dyDescent="0.3">
      <c r="A2620" t="s">
        <v>2684</v>
      </c>
      <c r="B2620" s="1">
        <v>45684</v>
      </c>
      <c r="C2620">
        <v>2025</v>
      </c>
      <c r="D2620" t="s">
        <v>24</v>
      </c>
      <c r="E2620" t="s">
        <v>25</v>
      </c>
      <c r="F2620" t="s">
        <v>37</v>
      </c>
      <c r="G2620" t="s">
        <v>45</v>
      </c>
      <c r="H2620" t="s">
        <v>55</v>
      </c>
      <c r="I2620" t="s">
        <v>29</v>
      </c>
      <c r="J2620" t="s">
        <v>52</v>
      </c>
      <c r="K2620" s="2">
        <v>4400</v>
      </c>
      <c r="L2620" s="2">
        <v>22000</v>
      </c>
      <c r="M2620">
        <v>24</v>
      </c>
      <c r="N2620" s="3">
        <v>0.39200000000000002</v>
      </c>
      <c r="O2620" t="s">
        <v>16</v>
      </c>
      <c r="Q2620">
        <v>1</v>
      </c>
      <c r="R2620">
        <v>0</v>
      </c>
      <c r="S2620" s="2">
        <v>22000</v>
      </c>
      <c r="T2620" s="4">
        <v>0.1104</v>
      </c>
      <c r="U2620">
        <v>2</v>
      </c>
      <c r="V2620">
        <v>1</v>
      </c>
      <c r="W2620">
        <v>1</v>
      </c>
    </row>
    <row r="2621" spans="1:23" ht="16.5" x14ac:dyDescent="0.3">
      <c r="A2621" t="s">
        <v>2685</v>
      </c>
      <c r="B2621" s="1">
        <v>45684</v>
      </c>
      <c r="C2621">
        <v>2025</v>
      </c>
      <c r="D2621" t="s">
        <v>24</v>
      </c>
      <c r="E2621" t="s">
        <v>25</v>
      </c>
      <c r="F2621" t="s">
        <v>41</v>
      </c>
      <c r="G2621" t="s">
        <v>51</v>
      </c>
      <c r="H2621" t="s">
        <v>55</v>
      </c>
      <c r="I2621" t="s">
        <v>29</v>
      </c>
      <c r="J2621" t="s">
        <v>52</v>
      </c>
      <c r="K2621" s="2">
        <v>8150</v>
      </c>
      <c r="L2621" s="2">
        <v>92000</v>
      </c>
      <c r="M2621">
        <v>36</v>
      </c>
      <c r="N2621" s="3">
        <v>0.51100000000000001</v>
      </c>
      <c r="O2621" t="s">
        <v>16</v>
      </c>
      <c r="Q2621">
        <v>1</v>
      </c>
      <c r="R2621">
        <v>0</v>
      </c>
      <c r="S2621" s="2">
        <v>92000</v>
      </c>
      <c r="T2621" s="4">
        <v>0.1023</v>
      </c>
      <c r="U2621">
        <v>18</v>
      </c>
      <c r="V2621">
        <v>0</v>
      </c>
      <c r="W2621">
        <v>1</v>
      </c>
    </row>
    <row r="2622" spans="1:23" ht="16.5" x14ac:dyDescent="0.3">
      <c r="A2622" t="s">
        <v>2686</v>
      </c>
      <c r="B2622" s="1">
        <v>45685</v>
      </c>
      <c r="C2622">
        <v>2025</v>
      </c>
      <c r="D2622" t="s">
        <v>24</v>
      </c>
      <c r="E2622" t="s">
        <v>25</v>
      </c>
      <c r="F2622" t="s">
        <v>50</v>
      </c>
      <c r="G2622" t="s">
        <v>27</v>
      </c>
      <c r="H2622" t="s">
        <v>55</v>
      </c>
      <c r="I2622" t="s">
        <v>29</v>
      </c>
      <c r="J2622" t="s">
        <v>46</v>
      </c>
      <c r="K2622" s="2">
        <v>4700</v>
      </c>
      <c r="L2622" s="2">
        <v>168000</v>
      </c>
      <c r="M2622">
        <v>300</v>
      </c>
      <c r="N2622" s="3">
        <v>0.41099999999999998</v>
      </c>
      <c r="O2622" t="s">
        <v>16</v>
      </c>
      <c r="Q2622">
        <v>1</v>
      </c>
      <c r="R2622">
        <v>0</v>
      </c>
      <c r="S2622" s="2">
        <v>134500</v>
      </c>
      <c r="T2622" s="4">
        <v>4.9299999999999997E-2</v>
      </c>
      <c r="U2622">
        <v>11</v>
      </c>
      <c r="V2622">
        <v>1</v>
      </c>
      <c r="W2622">
        <v>1</v>
      </c>
    </row>
    <row r="2623" spans="1:23" ht="16.5" x14ac:dyDescent="0.3">
      <c r="A2623" t="s">
        <v>2687</v>
      </c>
      <c r="B2623" s="1">
        <v>45685</v>
      </c>
      <c r="C2623">
        <v>2025</v>
      </c>
      <c r="D2623" t="s">
        <v>24</v>
      </c>
      <c r="E2623" t="s">
        <v>25</v>
      </c>
      <c r="F2623" t="s">
        <v>26</v>
      </c>
      <c r="G2623" t="s">
        <v>33</v>
      </c>
      <c r="H2623" t="s">
        <v>34</v>
      </c>
      <c r="I2623" t="s">
        <v>29</v>
      </c>
      <c r="J2623" t="s">
        <v>52</v>
      </c>
      <c r="K2623" s="2">
        <v>4000</v>
      </c>
      <c r="L2623" s="2">
        <v>31000</v>
      </c>
      <c r="M2623">
        <v>60</v>
      </c>
      <c r="N2623" s="3">
        <v>0.39100000000000001</v>
      </c>
      <c r="O2623" t="s">
        <v>17</v>
      </c>
      <c r="P2623" t="s">
        <v>60</v>
      </c>
      <c r="Q2623">
        <v>0</v>
      </c>
      <c r="R2623">
        <v>1</v>
      </c>
      <c r="S2623" s="2">
        <v>0</v>
      </c>
      <c r="T2623" s="4"/>
      <c r="U2623">
        <v>6</v>
      </c>
      <c r="V2623">
        <v>0</v>
      </c>
      <c r="W2623">
        <v>1</v>
      </c>
    </row>
    <row r="2624" spans="1:23" ht="16.5" x14ac:dyDescent="0.3">
      <c r="A2624" t="s">
        <v>2688</v>
      </c>
      <c r="B2624" s="1">
        <v>45685</v>
      </c>
      <c r="C2624">
        <v>2025</v>
      </c>
      <c r="D2624" t="s">
        <v>24</v>
      </c>
      <c r="E2624" t="s">
        <v>25</v>
      </c>
      <c r="F2624" t="s">
        <v>37</v>
      </c>
      <c r="G2624" t="s">
        <v>33</v>
      </c>
      <c r="H2624" t="s">
        <v>38</v>
      </c>
      <c r="I2624" t="s">
        <v>29</v>
      </c>
      <c r="J2624" t="s">
        <v>35</v>
      </c>
      <c r="K2624" s="2">
        <v>5400</v>
      </c>
      <c r="L2624" s="2">
        <v>20500</v>
      </c>
      <c r="M2624">
        <v>48</v>
      </c>
      <c r="N2624" s="3">
        <v>0.20599999999999999</v>
      </c>
      <c r="O2624" t="s">
        <v>16</v>
      </c>
      <c r="Q2624">
        <v>1</v>
      </c>
      <c r="R2624">
        <v>0</v>
      </c>
      <c r="S2624" s="2">
        <v>20500</v>
      </c>
      <c r="T2624" s="4">
        <v>0.12239999999999999</v>
      </c>
      <c r="U2624">
        <v>1</v>
      </c>
      <c r="V2624">
        <v>1</v>
      </c>
      <c r="W2624">
        <v>1</v>
      </c>
    </row>
    <row r="2625" spans="1:23" ht="16.5" x14ac:dyDescent="0.3">
      <c r="A2625" t="s">
        <v>2689</v>
      </c>
      <c r="B2625" s="1">
        <v>45685</v>
      </c>
      <c r="C2625">
        <v>2025</v>
      </c>
      <c r="D2625" t="s">
        <v>24</v>
      </c>
      <c r="E2625" t="s">
        <v>25</v>
      </c>
      <c r="F2625" t="s">
        <v>37</v>
      </c>
      <c r="G2625" t="s">
        <v>33</v>
      </c>
      <c r="H2625" t="s">
        <v>55</v>
      </c>
      <c r="I2625" t="s">
        <v>29</v>
      </c>
      <c r="J2625" t="s">
        <v>52</v>
      </c>
      <c r="K2625" s="2">
        <v>8100</v>
      </c>
      <c r="L2625" s="2">
        <v>18000</v>
      </c>
      <c r="M2625">
        <v>24</v>
      </c>
      <c r="N2625" s="3">
        <v>0.25900000000000001</v>
      </c>
      <c r="O2625" t="s">
        <v>16</v>
      </c>
      <c r="Q2625">
        <v>1</v>
      </c>
      <c r="R2625">
        <v>0</v>
      </c>
      <c r="S2625" s="2">
        <v>18000</v>
      </c>
      <c r="T2625" s="4">
        <v>0.11269999999999999</v>
      </c>
      <c r="U2625">
        <v>1</v>
      </c>
      <c r="V2625">
        <v>1</v>
      </c>
      <c r="W2625">
        <v>1</v>
      </c>
    </row>
    <row r="2626" spans="1:23" ht="16.5" x14ac:dyDescent="0.3">
      <c r="A2626" t="s">
        <v>2690</v>
      </c>
      <c r="B2626" s="1">
        <v>45685</v>
      </c>
      <c r="C2626">
        <v>2025</v>
      </c>
      <c r="D2626" t="s">
        <v>24</v>
      </c>
      <c r="E2626" t="s">
        <v>25</v>
      </c>
      <c r="F2626" t="s">
        <v>37</v>
      </c>
      <c r="G2626" t="s">
        <v>33</v>
      </c>
      <c r="H2626" t="s">
        <v>55</v>
      </c>
      <c r="I2626" t="s">
        <v>29</v>
      </c>
      <c r="J2626" t="s">
        <v>43</v>
      </c>
      <c r="K2626" s="2">
        <v>9050</v>
      </c>
      <c r="L2626" s="2">
        <v>7000</v>
      </c>
      <c r="M2626">
        <v>48</v>
      </c>
      <c r="N2626" s="3">
        <v>0.14399999999999999</v>
      </c>
      <c r="O2626" t="s">
        <v>17</v>
      </c>
      <c r="P2626" t="s">
        <v>31</v>
      </c>
      <c r="Q2626">
        <v>0</v>
      </c>
      <c r="R2626">
        <v>1</v>
      </c>
      <c r="S2626" s="2">
        <v>0</v>
      </c>
      <c r="T2626" s="4"/>
      <c r="U2626">
        <v>1</v>
      </c>
      <c r="V2626">
        <v>1</v>
      </c>
      <c r="W2626">
        <v>1</v>
      </c>
    </row>
    <row r="2627" spans="1:23" ht="16.5" x14ac:dyDescent="0.3">
      <c r="A2627" t="s">
        <v>2691</v>
      </c>
      <c r="B2627" s="1">
        <v>45685</v>
      </c>
      <c r="C2627">
        <v>2025</v>
      </c>
      <c r="D2627" t="s">
        <v>24</v>
      </c>
      <c r="E2627" t="s">
        <v>25</v>
      </c>
      <c r="F2627" t="s">
        <v>41</v>
      </c>
      <c r="G2627" t="s">
        <v>33</v>
      </c>
      <c r="H2627" t="s">
        <v>55</v>
      </c>
      <c r="I2627" t="s">
        <v>29</v>
      </c>
      <c r="J2627" t="s">
        <v>35</v>
      </c>
      <c r="K2627" s="2">
        <v>4650</v>
      </c>
      <c r="L2627" s="2">
        <v>47500</v>
      </c>
      <c r="M2627">
        <v>12</v>
      </c>
      <c r="N2627" s="3">
        <v>1.0860000000000001</v>
      </c>
      <c r="O2627" t="s">
        <v>16</v>
      </c>
      <c r="Q2627">
        <v>1</v>
      </c>
      <c r="R2627">
        <v>0</v>
      </c>
      <c r="S2627" s="2">
        <v>38000</v>
      </c>
      <c r="T2627" s="4">
        <v>0.10349999999999999</v>
      </c>
      <c r="U2627">
        <v>3</v>
      </c>
      <c r="V2627">
        <v>1</v>
      </c>
      <c r="W2627">
        <v>1</v>
      </c>
    </row>
    <row r="2628" spans="1:23" ht="16.5" x14ac:dyDescent="0.3">
      <c r="A2628" t="s">
        <v>2692</v>
      </c>
      <c r="B2628" s="1">
        <v>45685</v>
      </c>
      <c r="C2628">
        <v>2025</v>
      </c>
      <c r="D2628" t="s">
        <v>24</v>
      </c>
      <c r="E2628" t="s">
        <v>25</v>
      </c>
      <c r="F2628" t="s">
        <v>37</v>
      </c>
      <c r="G2628" t="s">
        <v>33</v>
      </c>
      <c r="H2628" t="s">
        <v>38</v>
      </c>
      <c r="I2628" t="s">
        <v>39</v>
      </c>
      <c r="J2628" t="s">
        <v>30</v>
      </c>
      <c r="K2628" s="2">
        <v>3100</v>
      </c>
      <c r="L2628" s="2">
        <v>7500</v>
      </c>
      <c r="M2628">
        <v>36</v>
      </c>
      <c r="N2628" s="3">
        <v>0.14399999999999999</v>
      </c>
      <c r="O2628" t="s">
        <v>17</v>
      </c>
      <c r="P2628" t="s">
        <v>60</v>
      </c>
      <c r="Q2628">
        <v>0</v>
      </c>
      <c r="R2628">
        <v>1</v>
      </c>
      <c r="S2628" s="2">
        <v>0</v>
      </c>
      <c r="T2628" s="4"/>
      <c r="U2628">
        <v>5</v>
      </c>
      <c r="V2628">
        <v>0</v>
      </c>
      <c r="W2628">
        <v>1</v>
      </c>
    </row>
    <row r="2629" spans="1:23" ht="16.5" x14ac:dyDescent="0.3">
      <c r="A2629" t="s">
        <v>2693</v>
      </c>
      <c r="B2629" s="1">
        <v>45685</v>
      </c>
      <c r="C2629">
        <v>2025</v>
      </c>
      <c r="D2629" t="s">
        <v>24</v>
      </c>
      <c r="E2629" t="s">
        <v>25</v>
      </c>
      <c r="F2629" t="s">
        <v>50</v>
      </c>
      <c r="G2629" t="s">
        <v>45</v>
      </c>
      <c r="H2629" t="s">
        <v>55</v>
      </c>
      <c r="I2629" t="s">
        <v>39</v>
      </c>
      <c r="J2629" t="s">
        <v>35</v>
      </c>
      <c r="K2629" s="2">
        <v>7100</v>
      </c>
      <c r="L2629" s="2">
        <v>446500</v>
      </c>
      <c r="M2629">
        <v>180</v>
      </c>
      <c r="N2629" s="3">
        <v>0.60199999999999998</v>
      </c>
      <c r="O2629" t="s">
        <v>16</v>
      </c>
      <c r="Q2629">
        <v>1</v>
      </c>
      <c r="R2629">
        <v>0</v>
      </c>
      <c r="S2629" s="2">
        <v>357000</v>
      </c>
      <c r="T2629" s="4">
        <v>5.5500000000000001E-2</v>
      </c>
      <c r="U2629">
        <v>7</v>
      </c>
      <c r="V2629">
        <v>1</v>
      </c>
      <c r="W2629">
        <v>1</v>
      </c>
    </row>
    <row r="2630" spans="1:23" ht="16.5" x14ac:dyDescent="0.3">
      <c r="A2630" t="s">
        <v>2694</v>
      </c>
      <c r="B2630" s="1">
        <v>45685</v>
      </c>
      <c r="C2630">
        <v>2025</v>
      </c>
      <c r="D2630" t="s">
        <v>24</v>
      </c>
      <c r="E2630" t="s">
        <v>25</v>
      </c>
      <c r="F2630" t="s">
        <v>37</v>
      </c>
      <c r="G2630" t="s">
        <v>45</v>
      </c>
      <c r="H2630" t="s">
        <v>38</v>
      </c>
      <c r="I2630" t="s">
        <v>42</v>
      </c>
      <c r="J2630" t="s">
        <v>35</v>
      </c>
      <c r="K2630" s="2">
        <v>5850</v>
      </c>
      <c r="L2630" s="2">
        <v>4500</v>
      </c>
      <c r="M2630">
        <v>24</v>
      </c>
      <c r="N2630" s="3">
        <v>9.5000000000000001E-2</v>
      </c>
      <c r="O2630" t="s">
        <v>16</v>
      </c>
      <c r="Q2630">
        <v>1</v>
      </c>
      <c r="R2630">
        <v>0</v>
      </c>
      <c r="S2630" s="2">
        <v>4000</v>
      </c>
      <c r="T2630" s="4">
        <v>0.1263</v>
      </c>
      <c r="U2630">
        <v>2</v>
      </c>
      <c r="V2630">
        <v>1</v>
      </c>
      <c r="W2630">
        <v>1</v>
      </c>
    </row>
    <row r="2631" spans="1:23" ht="16.5" x14ac:dyDescent="0.3">
      <c r="A2631" t="s">
        <v>2695</v>
      </c>
      <c r="B2631" s="1">
        <v>45686</v>
      </c>
      <c r="C2631">
        <v>2025</v>
      </c>
      <c r="D2631" t="s">
        <v>24</v>
      </c>
      <c r="E2631" t="s">
        <v>25</v>
      </c>
      <c r="F2631" t="s">
        <v>26</v>
      </c>
      <c r="G2631" t="s">
        <v>51</v>
      </c>
      <c r="H2631" t="s">
        <v>55</v>
      </c>
      <c r="I2631" t="s">
        <v>39</v>
      </c>
      <c r="J2631" t="s">
        <v>52</v>
      </c>
      <c r="K2631" s="2">
        <v>5000</v>
      </c>
      <c r="L2631" s="2">
        <v>42000</v>
      </c>
      <c r="M2631">
        <v>36</v>
      </c>
      <c r="N2631" s="3">
        <v>0.497</v>
      </c>
      <c r="O2631" t="s">
        <v>16</v>
      </c>
      <c r="Q2631">
        <v>1</v>
      </c>
      <c r="R2631">
        <v>0</v>
      </c>
      <c r="S2631" s="2">
        <v>33500</v>
      </c>
      <c r="T2631" s="4">
        <v>6.9400000000000003E-2</v>
      </c>
      <c r="U2631">
        <v>3</v>
      </c>
      <c r="V2631">
        <v>1</v>
      </c>
      <c r="W2631">
        <v>1</v>
      </c>
    </row>
    <row r="2632" spans="1:23" ht="16.5" x14ac:dyDescent="0.3">
      <c r="A2632" t="s">
        <v>2696</v>
      </c>
      <c r="B2632" s="1">
        <v>45686</v>
      </c>
      <c r="C2632">
        <v>2025</v>
      </c>
      <c r="D2632" t="s">
        <v>24</v>
      </c>
      <c r="E2632" t="s">
        <v>25</v>
      </c>
      <c r="F2632" t="s">
        <v>50</v>
      </c>
      <c r="G2632" t="s">
        <v>45</v>
      </c>
      <c r="H2632" t="s">
        <v>64</v>
      </c>
      <c r="I2632" t="s">
        <v>39</v>
      </c>
      <c r="J2632" t="s">
        <v>30</v>
      </c>
      <c r="K2632" s="2">
        <v>5350</v>
      </c>
      <c r="L2632" s="2">
        <v>415500</v>
      </c>
      <c r="M2632">
        <v>180</v>
      </c>
      <c r="N2632" s="3">
        <v>0.72699999999999998</v>
      </c>
      <c r="O2632" t="s">
        <v>16</v>
      </c>
      <c r="Q2632">
        <v>1</v>
      </c>
      <c r="R2632">
        <v>0</v>
      </c>
      <c r="S2632" s="2">
        <v>415500</v>
      </c>
      <c r="T2632" s="4">
        <v>6.9800000000000001E-2</v>
      </c>
      <c r="U2632">
        <v>6</v>
      </c>
      <c r="V2632">
        <v>1</v>
      </c>
      <c r="W2632">
        <v>1</v>
      </c>
    </row>
    <row r="2633" spans="1:23" ht="16.5" x14ac:dyDescent="0.3">
      <c r="A2633" t="s">
        <v>2697</v>
      </c>
      <c r="B2633" s="1">
        <v>45686</v>
      </c>
      <c r="C2633">
        <v>2025</v>
      </c>
      <c r="D2633" t="s">
        <v>24</v>
      </c>
      <c r="E2633" t="s">
        <v>25</v>
      </c>
      <c r="F2633" t="s">
        <v>26</v>
      </c>
      <c r="G2633" t="s">
        <v>45</v>
      </c>
      <c r="H2633" t="s">
        <v>38</v>
      </c>
      <c r="I2633" t="s">
        <v>39</v>
      </c>
      <c r="J2633" t="s">
        <v>35</v>
      </c>
      <c r="K2633" s="2">
        <v>5850</v>
      </c>
      <c r="L2633" s="2">
        <v>12000</v>
      </c>
      <c r="M2633">
        <v>48</v>
      </c>
      <c r="N2633" s="3">
        <v>0.14899999999999999</v>
      </c>
      <c r="O2633" t="s">
        <v>17</v>
      </c>
      <c r="P2633" t="s">
        <v>60</v>
      </c>
      <c r="Q2633">
        <v>0</v>
      </c>
      <c r="R2633">
        <v>1</v>
      </c>
      <c r="S2633" s="2">
        <v>0</v>
      </c>
      <c r="T2633" s="4"/>
      <c r="U2633">
        <v>6</v>
      </c>
      <c r="V2633">
        <v>0</v>
      </c>
      <c r="W2633">
        <v>1</v>
      </c>
    </row>
    <row r="2634" spans="1:23" ht="16.5" x14ac:dyDescent="0.3">
      <c r="A2634" t="s">
        <v>2698</v>
      </c>
      <c r="B2634" s="1">
        <v>45686</v>
      </c>
      <c r="C2634">
        <v>2025</v>
      </c>
      <c r="D2634" t="s">
        <v>24</v>
      </c>
      <c r="E2634" t="s">
        <v>25</v>
      </c>
      <c r="F2634" t="s">
        <v>37</v>
      </c>
      <c r="G2634" t="s">
        <v>45</v>
      </c>
      <c r="H2634" t="s">
        <v>34</v>
      </c>
      <c r="I2634" t="s">
        <v>29</v>
      </c>
      <c r="J2634" t="s">
        <v>30</v>
      </c>
      <c r="K2634" s="2">
        <v>8650</v>
      </c>
      <c r="L2634" s="2">
        <v>8500</v>
      </c>
      <c r="M2634">
        <v>60</v>
      </c>
      <c r="N2634" s="3">
        <v>0.19600000000000001</v>
      </c>
      <c r="O2634" t="s">
        <v>16</v>
      </c>
      <c r="Q2634">
        <v>1</v>
      </c>
      <c r="R2634">
        <v>0</v>
      </c>
      <c r="S2634" s="2">
        <v>7500</v>
      </c>
      <c r="T2634" s="4">
        <v>0.1421</v>
      </c>
      <c r="U2634">
        <v>1</v>
      </c>
      <c r="V2634">
        <v>1</v>
      </c>
      <c r="W2634">
        <v>1</v>
      </c>
    </row>
    <row r="2635" spans="1:23" ht="16.5" x14ac:dyDescent="0.3">
      <c r="A2635" t="s">
        <v>2699</v>
      </c>
      <c r="B2635" s="1">
        <v>45686</v>
      </c>
      <c r="C2635">
        <v>2025</v>
      </c>
      <c r="D2635" t="s">
        <v>24</v>
      </c>
      <c r="E2635" t="s">
        <v>25</v>
      </c>
      <c r="F2635" t="s">
        <v>26</v>
      </c>
      <c r="G2635" t="s">
        <v>33</v>
      </c>
      <c r="H2635" t="s">
        <v>64</v>
      </c>
      <c r="I2635" t="s">
        <v>29</v>
      </c>
      <c r="J2635" t="s">
        <v>35</v>
      </c>
      <c r="K2635" s="2">
        <v>8350</v>
      </c>
      <c r="L2635" s="2">
        <v>33500</v>
      </c>
      <c r="M2635">
        <v>60</v>
      </c>
      <c r="N2635" s="3">
        <v>0.156</v>
      </c>
      <c r="O2635" t="s">
        <v>16</v>
      </c>
      <c r="Q2635">
        <v>1</v>
      </c>
      <c r="R2635">
        <v>0</v>
      </c>
      <c r="S2635" s="2">
        <v>27000</v>
      </c>
      <c r="T2635" s="4">
        <v>8.0199999999999994E-2</v>
      </c>
      <c r="U2635">
        <v>1</v>
      </c>
      <c r="V2635">
        <v>1</v>
      </c>
      <c r="W2635">
        <v>1</v>
      </c>
    </row>
    <row r="2636" spans="1:23" ht="16.5" x14ac:dyDescent="0.3">
      <c r="A2636" t="s">
        <v>2700</v>
      </c>
      <c r="B2636" s="1">
        <v>45686</v>
      </c>
      <c r="C2636">
        <v>2025</v>
      </c>
      <c r="D2636" t="s">
        <v>24</v>
      </c>
      <c r="E2636" t="s">
        <v>25</v>
      </c>
      <c r="F2636" t="s">
        <v>26</v>
      </c>
      <c r="G2636" t="s">
        <v>51</v>
      </c>
      <c r="H2636" t="s">
        <v>38</v>
      </c>
      <c r="I2636" t="s">
        <v>29</v>
      </c>
      <c r="J2636" t="s">
        <v>35</v>
      </c>
      <c r="K2636" s="2">
        <v>3850</v>
      </c>
      <c r="L2636" s="2">
        <v>50500</v>
      </c>
      <c r="M2636">
        <v>60</v>
      </c>
      <c r="N2636" s="3">
        <v>0.501</v>
      </c>
      <c r="O2636" t="s">
        <v>16</v>
      </c>
      <c r="Q2636">
        <v>1</v>
      </c>
      <c r="R2636">
        <v>0</v>
      </c>
      <c r="S2636" s="2">
        <v>50500</v>
      </c>
      <c r="T2636" s="4">
        <v>7.6600000000000001E-2</v>
      </c>
      <c r="U2636">
        <v>7</v>
      </c>
      <c r="V2636">
        <v>0</v>
      </c>
      <c r="W2636">
        <v>1</v>
      </c>
    </row>
    <row r="2637" spans="1:23" ht="16.5" x14ac:dyDescent="0.3">
      <c r="A2637" t="s">
        <v>2701</v>
      </c>
      <c r="B2637" s="1">
        <v>45686</v>
      </c>
      <c r="C2637">
        <v>2025</v>
      </c>
      <c r="D2637" t="s">
        <v>24</v>
      </c>
      <c r="E2637" t="s">
        <v>25</v>
      </c>
      <c r="F2637" t="s">
        <v>37</v>
      </c>
      <c r="G2637" t="s">
        <v>45</v>
      </c>
      <c r="H2637" t="s">
        <v>55</v>
      </c>
      <c r="I2637" t="s">
        <v>39</v>
      </c>
      <c r="J2637" t="s">
        <v>46</v>
      </c>
      <c r="K2637" s="2">
        <v>2850</v>
      </c>
      <c r="L2637" s="2">
        <v>7000</v>
      </c>
      <c r="M2637">
        <v>12</v>
      </c>
      <c r="N2637" s="3">
        <v>0.36399999999999999</v>
      </c>
      <c r="O2637" t="s">
        <v>16</v>
      </c>
      <c r="Q2637">
        <v>1</v>
      </c>
      <c r="R2637">
        <v>0</v>
      </c>
      <c r="S2637" s="2">
        <v>5500</v>
      </c>
      <c r="T2637" s="4">
        <v>0.10639999999999999</v>
      </c>
      <c r="U2637">
        <v>3</v>
      </c>
      <c r="V2637">
        <v>1</v>
      </c>
      <c r="W2637">
        <v>1</v>
      </c>
    </row>
    <row r="2638" spans="1:23" ht="16.5" x14ac:dyDescent="0.3">
      <c r="A2638" t="s">
        <v>2702</v>
      </c>
      <c r="B2638" s="1">
        <v>45686</v>
      </c>
      <c r="C2638">
        <v>2025</v>
      </c>
      <c r="D2638" t="s">
        <v>24</v>
      </c>
      <c r="E2638" t="s">
        <v>25</v>
      </c>
      <c r="F2638" t="s">
        <v>26</v>
      </c>
      <c r="G2638" t="s">
        <v>33</v>
      </c>
      <c r="H2638" t="s">
        <v>38</v>
      </c>
      <c r="I2638" t="s">
        <v>29</v>
      </c>
      <c r="J2638" t="s">
        <v>43</v>
      </c>
      <c r="K2638" s="2">
        <v>6700</v>
      </c>
      <c r="L2638" s="2">
        <v>45000</v>
      </c>
      <c r="M2638">
        <v>48</v>
      </c>
      <c r="N2638" s="3">
        <v>0.26900000000000002</v>
      </c>
      <c r="O2638" t="s">
        <v>17</v>
      </c>
      <c r="P2638" t="s">
        <v>31</v>
      </c>
      <c r="Q2638">
        <v>0</v>
      </c>
      <c r="R2638">
        <v>1</v>
      </c>
      <c r="S2638" s="2">
        <v>0</v>
      </c>
      <c r="T2638" s="4"/>
      <c r="U2638">
        <v>2</v>
      </c>
      <c r="V2638">
        <v>1</v>
      </c>
      <c r="W2638">
        <v>1</v>
      </c>
    </row>
    <row r="2639" spans="1:23" ht="16.5" x14ac:dyDescent="0.3">
      <c r="A2639" t="s">
        <v>2703</v>
      </c>
      <c r="B2639" s="1">
        <v>45686</v>
      </c>
      <c r="C2639">
        <v>2025</v>
      </c>
      <c r="D2639" t="s">
        <v>24</v>
      </c>
      <c r="E2639" t="s">
        <v>25</v>
      </c>
      <c r="F2639" t="s">
        <v>41</v>
      </c>
      <c r="G2639" t="s">
        <v>51</v>
      </c>
      <c r="H2639" t="s">
        <v>34</v>
      </c>
      <c r="I2639" t="s">
        <v>39</v>
      </c>
      <c r="J2639" t="s">
        <v>35</v>
      </c>
      <c r="K2639" s="2">
        <v>6650</v>
      </c>
      <c r="L2639" s="2">
        <v>41000</v>
      </c>
      <c r="M2639">
        <v>60</v>
      </c>
      <c r="N2639" s="3">
        <v>0.32700000000000001</v>
      </c>
      <c r="O2639" t="s">
        <v>16</v>
      </c>
      <c r="Q2639">
        <v>1</v>
      </c>
      <c r="R2639">
        <v>0</v>
      </c>
      <c r="S2639" s="2">
        <v>33000</v>
      </c>
      <c r="T2639" s="4">
        <v>0.105</v>
      </c>
      <c r="U2639">
        <v>19</v>
      </c>
      <c r="V2639">
        <v>0</v>
      </c>
      <c r="W2639">
        <v>1</v>
      </c>
    </row>
    <row r="2640" spans="1:23" ht="16.5" x14ac:dyDescent="0.3">
      <c r="A2640" t="s">
        <v>2704</v>
      </c>
      <c r="B2640" s="1">
        <v>45686</v>
      </c>
      <c r="C2640">
        <v>2025</v>
      </c>
      <c r="D2640" t="s">
        <v>24</v>
      </c>
      <c r="E2640" t="s">
        <v>25</v>
      </c>
      <c r="F2640" t="s">
        <v>26</v>
      </c>
      <c r="G2640" t="s">
        <v>33</v>
      </c>
      <c r="H2640" t="s">
        <v>34</v>
      </c>
      <c r="I2640" t="s">
        <v>42</v>
      </c>
      <c r="J2640" t="s">
        <v>35</v>
      </c>
      <c r="K2640" s="2">
        <v>7600</v>
      </c>
      <c r="L2640" s="2">
        <v>27000</v>
      </c>
      <c r="M2640">
        <v>36</v>
      </c>
      <c r="N2640" s="3">
        <v>0.28199999999999997</v>
      </c>
      <c r="O2640" t="s">
        <v>16</v>
      </c>
      <c r="Q2640">
        <v>1</v>
      </c>
      <c r="R2640">
        <v>0</v>
      </c>
      <c r="S2640" s="2">
        <v>27000</v>
      </c>
      <c r="T2640" s="4">
        <v>8.1500000000000003E-2</v>
      </c>
      <c r="U2640">
        <v>2</v>
      </c>
      <c r="V2640">
        <v>1</v>
      </c>
      <c r="W2640">
        <v>1</v>
      </c>
    </row>
    <row r="2641" spans="1:23" ht="16.5" x14ac:dyDescent="0.3">
      <c r="A2641" t="s">
        <v>2705</v>
      </c>
      <c r="B2641" s="1">
        <v>45686</v>
      </c>
      <c r="C2641">
        <v>2025</v>
      </c>
      <c r="D2641" t="s">
        <v>24</v>
      </c>
      <c r="E2641" t="s">
        <v>25</v>
      </c>
      <c r="F2641" t="s">
        <v>37</v>
      </c>
      <c r="G2641" t="s">
        <v>33</v>
      </c>
      <c r="H2641" t="s">
        <v>38</v>
      </c>
      <c r="I2641" t="s">
        <v>39</v>
      </c>
      <c r="J2641" t="s">
        <v>35</v>
      </c>
      <c r="K2641" s="2">
        <v>6350</v>
      </c>
      <c r="L2641" s="2">
        <v>19000</v>
      </c>
      <c r="M2641">
        <v>60</v>
      </c>
      <c r="N2641" s="3">
        <v>0.156</v>
      </c>
      <c r="O2641" t="s">
        <v>16</v>
      </c>
      <c r="Q2641">
        <v>1</v>
      </c>
      <c r="R2641">
        <v>0</v>
      </c>
      <c r="S2641" s="2">
        <v>19000</v>
      </c>
      <c r="T2641" s="4">
        <v>0.12280000000000001</v>
      </c>
      <c r="U2641">
        <v>2</v>
      </c>
      <c r="V2641">
        <v>1</v>
      </c>
      <c r="W2641">
        <v>1</v>
      </c>
    </row>
    <row r="2642" spans="1:23" ht="16.5" x14ac:dyDescent="0.3">
      <c r="A2642" t="s">
        <v>2706</v>
      </c>
      <c r="B2642" s="1">
        <v>45686</v>
      </c>
      <c r="C2642">
        <v>2025</v>
      </c>
      <c r="D2642" t="s">
        <v>24</v>
      </c>
      <c r="E2642" t="s">
        <v>25</v>
      </c>
      <c r="F2642" t="s">
        <v>26</v>
      </c>
      <c r="G2642" t="s">
        <v>51</v>
      </c>
      <c r="H2642" t="s">
        <v>38</v>
      </c>
      <c r="I2642" t="s">
        <v>39</v>
      </c>
      <c r="J2642" t="s">
        <v>30</v>
      </c>
      <c r="K2642" s="2">
        <v>5500</v>
      </c>
      <c r="L2642" s="2">
        <v>22500</v>
      </c>
      <c r="M2642">
        <v>36</v>
      </c>
      <c r="N2642" s="3">
        <v>0.34200000000000003</v>
      </c>
      <c r="O2642" t="s">
        <v>17</v>
      </c>
      <c r="P2642" t="s">
        <v>31</v>
      </c>
      <c r="Q2642">
        <v>0</v>
      </c>
      <c r="R2642">
        <v>1</v>
      </c>
      <c r="S2642" s="2">
        <v>0</v>
      </c>
      <c r="T2642" s="4"/>
      <c r="U2642">
        <v>6</v>
      </c>
      <c r="V2642">
        <v>0</v>
      </c>
      <c r="W2642">
        <v>1</v>
      </c>
    </row>
    <row r="2643" spans="1:23" ht="16.5" x14ac:dyDescent="0.3">
      <c r="A2643" t="s">
        <v>2707</v>
      </c>
      <c r="B2643" s="1">
        <v>45686</v>
      </c>
      <c r="C2643">
        <v>2025</v>
      </c>
      <c r="D2643" t="s">
        <v>24</v>
      </c>
      <c r="E2643" t="s">
        <v>25</v>
      </c>
      <c r="F2643" t="s">
        <v>37</v>
      </c>
      <c r="G2643" t="s">
        <v>33</v>
      </c>
      <c r="H2643" t="s">
        <v>64</v>
      </c>
      <c r="I2643" t="s">
        <v>42</v>
      </c>
      <c r="J2643" t="s">
        <v>35</v>
      </c>
      <c r="K2643" s="2">
        <v>4550</v>
      </c>
      <c r="L2643" s="2">
        <v>12000</v>
      </c>
      <c r="M2643">
        <v>12</v>
      </c>
      <c r="N2643" s="3">
        <v>0.42099999999999999</v>
      </c>
      <c r="O2643" t="s">
        <v>16</v>
      </c>
      <c r="Q2643">
        <v>1</v>
      </c>
      <c r="R2643">
        <v>0</v>
      </c>
      <c r="S2643" s="2">
        <v>12000</v>
      </c>
      <c r="T2643" s="4">
        <v>0.1203</v>
      </c>
      <c r="U2643">
        <v>2</v>
      </c>
      <c r="V2643">
        <v>1</v>
      </c>
      <c r="W2643">
        <v>1</v>
      </c>
    </row>
    <row r="2644" spans="1:23" ht="16.5" x14ac:dyDescent="0.3">
      <c r="A2644" t="s">
        <v>2708</v>
      </c>
      <c r="B2644" s="1">
        <v>45686</v>
      </c>
      <c r="C2644">
        <v>2025</v>
      </c>
      <c r="D2644" t="s">
        <v>24</v>
      </c>
      <c r="E2644" t="s">
        <v>25</v>
      </c>
      <c r="F2644" t="s">
        <v>26</v>
      </c>
      <c r="G2644" t="s">
        <v>33</v>
      </c>
      <c r="H2644" t="s">
        <v>64</v>
      </c>
      <c r="I2644" t="s">
        <v>42</v>
      </c>
      <c r="J2644" t="s">
        <v>35</v>
      </c>
      <c r="K2644" s="2">
        <v>8750</v>
      </c>
      <c r="L2644" s="2">
        <v>29000</v>
      </c>
      <c r="M2644">
        <v>36</v>
      </c>
      <c r="N2644" s="3">
        <v>0.22600000000000001</v>
      </c>
      <c r="O2644" t="s">
        <v>16</v>
      </c>
      <c r="Q2644">
        <v>1</v>
      </c>
      <c r="R2644">
        <v>0</v>
      </c>
      <c r="S2644" s="2">
        <v>29000</v>
      </c>
      <c r="T2644" s="4">
        <v>8.1699999999999995E-2</v>
      </c>
      <c r="U2644">
        <v>2</v>
      </c>
      <c r="V2644">
        <v>1</v>
      </c>
      <c r="W2644">
        <v>1</v>
      </c>
    </row>
    <row r="2645" spans="1:23" ht="16.5" x14ac:dyDescent="0.3">
      <c r="A2645" t="s">
        <v>2709</v>
      </c>
      <c r="B2645" s="1">
        <v>45687</v>
      </c>
      <c r="C2645">
        <v>2025</v>
      </c>
      <c r="D2645" t="s">
        <v>24</v>
      </c>
      <c r="E2645" t="s">
        <v>25</v>
      </c>
      <c r="F2645" t="s">
        <v>41</v>
      </c>
      <c r="G2645" t="s">
        <v>33</v>
      </c>
      <c r="H2645" t="s">
        <v>34</v>
      </c>
      <c r="I2645" t="s">
        <v>29</v>
      </c>
      <c r="J2645" t="s">
        <v>52</v>
      </c>
      <c r="K2645" s="2">
        <v>3500</v>
      </c>
      <c r="L2645" s="2">
        <v>101000</v>
      </c>
      <c r="M2645">
        <v>60</v>
      </c>
      <c r="N2645" s="3">
        <v>0.84</v>
      </c>
      <c r="O2645" t="s">
        <v>16</v>
      </c>
      <c r="Q2645">
        <v>1</v>
      </c>
      <c r="R2645">
        <v>0</v>
      </c>
      <c r="S2645" s="2">
        <v>81000</v>
      </c>
      <c r="T2645" s="4">
        <v>9.9400000000000002E-2</v>
      </c>
      <c r="U2645">
        <v>2</v>
      </c>
      <c r="V2645">
        <v>1</v>
      </c>
      <c r="W2645">
        <v>1</v>
      </c>
    </row>
    <row r="2646" spans="1:23" ht="16.5" x14ac:dyDescent="0.3">
      <c r="A2646" t="s">
        <v>2710</v>
      </c>
      <c r="B2646" s="1">
        <v>45687</v>
      </c>
      <c r="C2646">
        <v>2025</v>
      </c>
      <c r="D2646" t="s">
        <v>24</v>
      </c>
      <c r="E2646" t="s">
        <v>25</v>
      </c>
      <c r="F2646" t="s">
        <v>26</v>
      </c>
      <c r="G2646" t="s">
        <v>27</v>
      </c>
      <c r="H2646" t="s">
        <v>28</v>
      </c>
      <c r="I2646" t="s">
        <v>39</v>
      </c>
      <c r="J2646" t="s">
        <v>43</v>
      </c>
      <c r="K2646" s="2">
        <v>4550</v>
      </c>
      <c r="L2646" s="2">
        <v>18500</v>
      </c>
      <c r="M2646">
        <v>48</v>
      </c>
      <c r="N2646" s="3">
        <v>0.24099999999999999</v>
      </c>
      <c r="O2646" t="s">
        <v>17</v>
      </c>
      <c r="P2646" t="s">
        <v>60</v>
      </c>
      <c r="Q2646">
        <v>0</v>
      </c>
      <c r="R2646">
        <v>1</v>
      </c>
      <c r="S2646" s="2">
        <v>0</v>
      </c>
      <c r="T2646" s="4"/>
      <c r="U2646">
        <v>8</v>
      </c>
      <c r="V2646">
        <v>0</v>
      </c>
      <c r="W2646">
        <v>1</v>
      </c>
    </row>
    <row r="2647" spans="1:23" ht="16.5" x14ac:dyDescent="0.3">
      <c r="A2647" t="s">
        <v>2711</v>
      </c>
      <c r="B2647" s="1">
        <v>45687</v>
      </c>
      <c r="C2647">
        <v>2025</v>
      </c>
      <c r="D2647" t="s">
        <v>24</v>
      </c>
      <c r="E2647" t="s">
        <v>25</v>
      </c>
      <c r="F2647" t="s">
        <v>37</v>
      </c>
      <c r="G2647" t="s">
        <v>51</v>
      </c>
      <c r="H2647" t="s">
        <v>38</v>
      </c>
      <c r="I2647" t="s">
        <v>29</v>
      </c>
      <c r="J2647" t="s">
        <v>35</v>
      </c>
      <c r="K2647" s="2">
        <v>4450</v>
      </c>
      <c r="L2647" s="2">
        <v>12000</v>
      </c>
      <c r="M2647">
        <v>60</v>
      </c>
      <c r="N2647" s="3">
        <v>0.122</v>
      </c>
      <c r="O2647" t="s">
        <v>16</v>
      </c>
      <c r="Q2647">
        <v>1</v>
      </c>
      <c r="R2647">
        <v>0</v>
      </c>
      <c r="S2647" s="2">
        <v>12000</v>
      </c>
      <c r="T2647" s="4">
        <v>0.12609999999999999</v>
      </c>
      <c r="U2647">
        <v>2</v>
      </c>
      <c r="V2647">
        <v>1</v>
      </c>
      <c r="W2647">
        <v>1</v>
      </c>
    </row>
    <row r="2648" spans="1:23" ht="16.5" x14ac:dyDescent="0.3">
      <c r="A2648" t="s">
        <v>2712</v>
      </c>
      <c r="B2648" s="1">
        <v>45687</v>
      </c>
      <c r="C2648">
        <v>2025</v>
      </c>
      <c r="D2648" t="s">
        <v>24</v>
      </c>
      <c r="E2648" t="s">
        <v>25</v>
      </c>
      <c r="F2648" t="s">
        <v>37</v>
      </c>
      <c r="G2648" t="s">
        <v>33</v>
      </c>
      <c r="H2648" t="s">
        <v>38</v>
      </c>
      <c r="I2648" t="s">
        <v>39</v>
      </c>
      <c r="J2648" t="s">
        <v>43</v>
      </c>
      <c r="K2648" s="2">
        <v>5350</v>
      </c>
      <c r="L2648" s="2">
        <v>24500</v>
      </c>
      <c r="M2648">
        <v>24</v>
      </c>
      <c r="N2648" s="3">
        <v>0.379</v>
      </c>
      <c r="O2648" t="s">
        <v>16</v>
      </c>
      <c r="Q2648">
        <v>1</v>
      </c>
      <c r="R2648">
        <v>0</v>
      </c>
      <c r="S2648" s="2">
        <v>24500</v>
      </c>
      <c r="T2648" s="4">
        <v>0.1603</v>
      </c>
      <c r="U2648">
        <v>1</v>
      </c>
      <c r="V2648">
        <v>1</v>
      </c>
      <c r="W2648">
        <v>1</v>
      </c>
    </row>
    <row r="2649" spans="1:23" ht="16.5" x14ac:dyDescent="0.3">
      <c r="A2649" t="s">
        <v>2713</v>
      </c>
      <c r="B2649" s="1">
        <v>45687</v>
      </c>
      <c r="C2649">
        <v>2025</v>
      </c>
      <c r="D2649" t="s">
        <v>24</v>
      </c>
      <c r="E2649" t="s">
        <v>25</v>
      </c>
      <c r="F2649" t="s">
        <v>41</v>
      </c>
      <c r="G2649" t="s">
        <v>51</v>
      </c>
      <c r="H2649" t="s">
        <v>38</v>
      </c>
      <c r="I2649" t="s">
        <v>29</v>
      </c>
      <c r="J2649" t="s">
        <v>35</v>
      </c>
      <c r="K2649" s="2">
        <v>6800</v>
      </c>
      <c r="L2649" s="2">
        <v>95500</v>
      </c>
      <c r="M2649">
        <v>24</v>
      </c>
      <c r="N2649" s="3">
        <v>0.79400000000000004</v>
      </c>
      <c r="O2649" t="s">
        <v>16</v>
      </c>
      <c r="Q2649">
        <v>1</v>
      </c>
      <c r="R2649">
        <v>0</v>
      </c>
      <c r="S2649" s="2">
        <v>95500</v>
      </c>
      <c r="T2649" s="4">
        <v>0.1118</v>
      </c>
      <c r="U2649">
        <v>20</v>
      </c>
      <c r="V2649">
        <v>0</v>
      </c>
      <c r="W2649">
        <v>1</v>
      </c>
    </row>
    <row r="2650" spans="1:23" ht="16.5" x14ac:dyDescent="0.3">
      <c r="A2650" t="s">
        <v>2714</v>
      </c>
      <c r="B2650" s="1">
        <v>45687</v>
      </c>
      <c r="C2650">
        <v>2025</v>
      </c>
      <c r="D2650" t="s">
        <v>24</v>
      </c>
      <c r="E2650" t="s">
        <v>25</v>
      </c>
      <c r="F2650" t="s">
        <v>41</v>
      </c>
      <c r="G2650" t="s">
        <v>33</v>
      </c>
      <c r="H2650" t="s">
        <v>38</v>
      </c>
      <c r="I2650" t="s">
        <v>42</v>
      </c>
      <c r="J2650" t="s">
        <v>46</v>
      </c>
      <c r="K2650" s="2">
        <v>3700</v>
      </c>
      <c r="L2650" s="2">
        <v>107500</v>
      </c>
      <c r="M2650">
        <v>36</v>
      </c>
      <c r="N2650" s="3">
        <v>1.1759999999999999</v>
      </c>
      <c r="O2650" t="s">
        <v>17</v>
      </c>
      <c r="P2650" t="s">
        <v>53</v>
      </c>
      <c r="Q2650">
        <v>0</v>
      </c>
      <c r="R2650">
        <v>1</v>
      </c>
      <c r="S2650" s="2">
        <v>0</v>
      </c>
      <c r="T2650" s="4"/>
      <c r="U2650">
        <v>5</v>
      </c>
      <c r="V2650">
        <v>1</v>
      </c>
      <c r="W2650">
        <v>1</v>
      </c>
    </row>
    <row r="2651" spans="1:23" ht="16.5" x14ac:dyDescent="0.3">
      <c r="A2651" t="s">
        <v>2715</v>
      </c>
      <c r="B2651" s="1">
        <v>45687</v>
      </c>
      <c r="C2651">
        <v>2025</v>
      </c>
      <c r="D2651" t="s">
        <v>24</v>
      </c>
      <c r="E2651" t="s">
        <v>25</v>
      </c>
      <c r="F2651" t="s">
        <v>41</v>
      </c>
      <c r="G2651" t="s">
        <v>45</v>
      </c>
      <c r="H2651" t="s">
        <v>55</v>
      </c>
      <c r="I2651" t="s">
        <v>39</v>
      </c>
      <c r="J2651" t="s">
        <v>30</v>
      </c>
      <c r="K2651" s="2">
        <v>2800</v>
      </c>
      <c r="L2651" s="2">
        <v>42000</v>
      </c>
      <c r="M2651">
        <v>36</v>
      </c>
      <c r="N2651" s="3">
        <v>0.68200000000000005</v>
      </c>
      <c r="O2651" t="s">
        <v>16</v>
      </c>
      <c r="Q2651">
        <v>1</v>
      </c>
      <c r="R2651">
        <v>0</v>
      </c>
      <c r="S2651" s="2">
        <v>42000</v>
      </c>
      <c r="T2651" s="4">
        <v>0.1182</v>
      </c>
      <c r="U2651">
        <v>5</v>
      </c>
      <c r="V2651">
        <v>1</v>
      </c>
      <c r="W2651">
        <v>1</v>
      </c>
    </row>
    <row r="2652" spans="1:23" ht="16.5" x14ac:dyDescent="0.3">
      <c r="A2652" t="s">
        <v>2716</v>
      </c>
      <c r="B2652" s="1">
        <v>45687</v>
      </c>
      <c r="C2652">
        <v>2025</v>
      </c>
      <c r="D2652" t="s">
        <v>24</v>
      </c>
      <c r="E2652" t="s">
        <v>25</v>
      </c>
      <c r="F2652" t="s">
        <v>37</v>
      </c>
      <c r="G2652" t="s">
        <v>33</v>
      </c>
      <c r="H2652" t="s">
        <v>28</v>
      </c>
      <c r="I2652" t="s">
        <v>42</v>
      </c>
      <c r="J2652" t="s">
        <v>52</v>
      </c>
      <c r="K2652" s="2">
        <v>3900</v>
      </c>
      <c r="L2652" s="2">
        <v>21000</v>
      </c>
      <c r="M2652">
        <v>36</v>
      </c>
      <c r="N2652" s="3">
        <v>0.34599999999999997</v>
      </c>
      <c r="O2652" t="s">
        <v>17</v>
      </c>
      <c r="P2652" t="s">
        <v>65</v>
      </c>
      <c r="Q2652">
        <v>0</v>
      </c>
      <c r="R2652">
        <v>1</v>
      </c>
      <c r="S2652" s="2">
        <v>0</v>
      </c>
      <c r="T2652" s="4"/>
      <c r="U2652">
        <v>1</v>
      </c>
      <c r="V2652">
        <v>1</v>
      </c>
      <c r="W2652">
        <v>1</v>
      </c>
    </row>
    <row r="2653" spans="1:23" ht="16.5" x14ac:dyDescent="0.3">
      <c r="A2653" t="s">
        <v>2717</v>
      </c>
      <c r="B2653" s="1">
        <v>45687</v>
      </c>
      <c r="C2653">
        <v>2025</v>
      </c>
      <c r="D2653" t="s">
        <v>24</v>
      </c>
      <c r="E2653" t="s">
        <v>25</v>
      </c>
      <c r="F2653" t="s">
        <v>26</v>
      </c>
      <c r="G2653" t="s">
        <v>33</v>
      </c>
      <c r="H2653" t="s">
        <v>64</v>
      </c>
      <c r="I2653" t="s">
        <v>39</v>
      </c>
      <c r="J2653" t="s">
        <v>30</v>
      </c>
      <c r="K2653" s="2">
        <v>5500</v>
      </c>
      <c r="L2653" s="2">
        <v>17000</v>
      </c>
      <c r="M2653">
        <v>60</v>
      </c>
      <c r="N2653" s="3">
        <v>0.29799999999999999</v>
      </c>
      <c r="O2653" t="s">
        <v>17</v>
      </c>
      <c r="P2653" t="s">
        <v>31</v>
      </c>
      <c r="Q2653">
        <v>0</v>
      </c>
      <c r="R2653">
        <v>1</v>
      </c>
      <c r="S2653" s="2">
        <v>0</v>
      </c>
      <c r="T2653" s="4"/>
      <c r="U2653">
        <v>1</v>
      </c>
      <c r="V2653">
        <v>1</v>
      </c>
      <c r="W2653">
        <v>1</v>
      </c>
    </row>
    <row r="2654" spans="1:23" ht="16.5" x14ac:dyDescent="0.3">
      <c r="A2654" t="s">
        <v>2718</v>
      </c>
      <c r="B2654" s="1">
        <v>45688</v>
      </c>
      <c r="C2654">
        <v>2025</v>
      </c>
      <c r="D2654" t="s">
        <v>24</v>
      </c>
      <c r="E2654" t="s">
        <v>25</v>
      </c>
      <c r="F2654" t="s">
        <v>41</v>
      </c>
      <c r="G2654" t="s">
        <v>51</v>
      </c>
      <c r="H2654" t="s">
        <v>38</v>
      </c>
      <c r="I2654" t="s">
        <v>29</v>
      </c>
      <c r="J2654" t="s">
        <v>52</v>
      </c>
      <c r="K2654" s="2">
        <v>9400</v>
      </c>
      <c r="L2654" s="2">
        <v>157500</v>
      </c>
      <c r="M2654">
        <v>60</v>
      </c>
      <c r="N2654" s="3">
        <v>0.434</v>
      </c>
      <c r="O2654" t="s">
        <v>16</v>
      </c>
      <c r="Q2654">
        <v>1</v>
      </c>
      <c r="R2654">
        <v>0</v>
      </c>
      <c r="S2654" s="2">
        <v>126000</v>
      </c>
      <c r="T2654" s="4">
        <v>0.1055</v>
      </c>
      <c r="U2654">
        <v>19</v>
      </c>
      <c r="V2654">
        <v>0</v>
      </c>
      <c r="W2654">
        <v>1</v>
      </c>
    </row>
    <row r="2655" spans="1:23" ht="16.5" x14ac:dyDescent="0.3">
      <c r="A2655" t="s">
        <v>2719</v>
      </c>
      <c r="B2655" s="1">
        <v>45688</v>
      </c>
      <c r="C2655">
        <v>2025</v>
      </c>
      <c r="D2655" t="s">
        <v>24</v>
      </c>
      <c r="E2655" t="s">
        <v>25</v>
      </c>
      <c r="F2655" t="s">
        <v>50</v>
      </c>
      <c r="G2655" t="s">
        <v>45</v>
      </c>
      <c r="H2655" t="s">
        <v>55</v>
      </c>
      <c r="I2655" t="s">
        <v>29</v>
      </c>
      <c r="J2655" t="s">
        <v>52</v>
      </c>
      <c r="K2655" s="2">
        <v>4200</v>
      </c>
      <c r="L2655" s="2">
        <v>402000</v>
      </c>
      <c r="M2655">
        <v>300</v>
      </c>
      <c r="N2655" s="3">
        <v>0.68799999999999994</v>
      </c>
      <c r="O2655" t="s">
        <v>16</v>
      </c>
      <c r="Q2655">
        <v>1</v>
      </c>
      <c r="R2655">
        <v>0</v>
      </c>
      <c r="S2655" s="2">
        <v>402000</v>
      </c>
      <c r="T2655" s="4">
        <v>4.9500000000000002E-2</v>
      </c>
      <c r="U2655">
        <v>5</v>
      </c>
      <c r="V2655">
        <v>1</v>
      </c>
      <c r="W2655">
        <v>1</v>
      </c>
    </row>
    <row r="2656" spans="1:23" ht="16.5" x14ac:dyDescent="0.3">
      <c r="A2656" t="s">
        <v>2720</v>
      </c>
      <c r="B2656" s="1">
        <v>45688</v>
      </c>
      <c r="C2656">
        <v>2025</v>
      </c>
      <c r="D2656" t="s">
        <v>24</v>
      </c>
      <c r="E2656" t="s">
        <v>25</v>
      </c>
      <c r="F2656" t="s">
        <v>26</v>
      </c>
      <c r="G2656" t="s">
        <v>33</v>
      </c>
      <c r="H2656" t="s">
        <v>55</v>
      </c>
      <c r="I2656" t="s">
        <v>42</v>
      </c>
      <c r="J2656" t="s">
        <v>52</v>
      </c>
      <c r="K2656" s="2">
        <v>7550</v>
      </c>
      <c r="L2656" s="2">
        <v>24000</v>
      </c>
      <c r="M2656">
        <v>60</v>
      </c>
      <c r="N2656" s="3">
        <v>0.21099999999999999</v>
      </c>
      <c r="O2656" t="s">
        <v>16</v>
      </c>
      <c r="Q2656">
        <v>1</v>
      </c>
      <c r="R2656">
        <v>0</v>
      </c>
      <c r="S2656" s="2">
        <v>24000</v>
      </c>
      <c r="T2656" s="4">
        <v>6.7199999999999996E-2</v>
      </c>
      <c r="U2656">
        <v>2</v>
      </c>
      <c r="V2656">
        <v>1</v>
      </c>
      <c r="W2656">
        <v>1</v>
      </c>
    </row>
    <row r="2657" spans="1:23" ht="16.5" x14ac:dyDescent="0.3">
      <c r="A2657" t="s">
        <v>2721</v>
      </c>
      <c r="B2657" s="1">
        <v>45688</v>
      </c>
      <c r="C2657">
        <v>2025</v>
      </c>
      <c r="D2657" t="s">
        <v>24</v>
      </c>
      <c r="E2657" t="s">
        <v>25</v>
      </c>
      <c r="F2657" t="s">
        <v>26</v>
      </c>
      <c r="G2657" t="s">
        <v>27</v>
      </c>
      <c r="H2657" t="s">
        <v>55</v>
      </c>
      <c r="I2657" t="s">
        <v>29</v>
      </c>
      <c r="J2657" t="s">
        <v>30</v>
      </c>
      <c r="K2657" s="2">
        <v>5300</v>
      </c>
      <c r="L2657" s="2">
        <v>33000</v>
      </c>
      <c r="M2657">
        <v>36</v>
      </c>
      <c r="N2657" s="3">
        <v>0.29599999999999999</v>
      </c>
      <c r="O2657" t="s">
        <v>125</v>
      </c>
      <c r="Q2657">
        <v>0</v>
      </c>
      <c r="R2657">
        <v>0</v>
      </c>
      <c r="S2657" s="2">
        <v>0</v>
      </c>
      <c r="T2657" s="4"/>
      <c r="U2657">
        <v>7</v>
      </c>
      <c r="V2657">
        <v>0</v>
      </c>
      <c r="W2657">
        <v>1</v>
      </c>
    </row>
    <row r="2658" spans="1:23" ht="16.5" x14ac:dyDescent="0.3">
      <c r="A2658" t="s">
        <v>2722</v>
      </c>
      <c r="B2658" s="1">
        <v>45688</v>
      </c>
      <c r="C2658">
        <v>2025</v>
      </c>
      <c r="D2658" t="s">
        <v>24</v>
      </c>
      <c r="E2658" t="s">
        <v>25</v>
      </c>
      <c r="F2658" t="s">
        <v>50</v>
      </c>
      <c r="G2658" t="s">
        <v>33</v>
      </c>
      <c r="H2658" t="s">
        <v>55</v>
      </c>
      <c r="I2658" t="s">
        <v>42</v>
      </c>
      <c r="J2658" t="s">
        <v>46</v>
      </c>
      <c r="K2658" s="2">
        <v>4450</v>
      </c>
      <c r="L2658" s="2">
        <v>255500</v>
      </c>
      <c r="M2658">
        <v>180</v>
      </c>
      <c r="N2658" s="3">
        <v>0.68799999999999994</v>
      </c>
      <c r="O2658" t="s">
        <v>16</v>
      </c>
      <c r="Q2658">
        <v>1</v>
      </c>
      <c r="R2658">
        <v>0</v>
      </c>
      <c r="S2658" s="2">
        <v>255500</v>
      </c>
      <c r="T2658" s="4">
        <v>4.6899999999999997E-2</v>
      </c>
      <c r="U2658">
        <v>5</v>
      </c>
      <c r="V2658">
        <v>1</v>
      </c>
      <c r="W2658">
        <v>1</v>
      </c>
    </row>
    <row r="2659" spans="1:23" ht="16.5" x14ac:dyDescent="0.3">
      <c r="A2659" t="s">
        <v>2723</v>
      </c>
      <c r="B2659" s="1">
        <v>45688</v>
      </c>
      <c r="C2659">
        <v>2025</v>
      </c>
      <c r="D2659" t="s">
        <v>24</v>
      </c>
      <c r="E2659" t="s">
        <v>25</v>
      </c>
      <c r="F2659" t="s">
        <v>26</v>
      </c>
      <c r="G2659" t="s">
        <v>51</v>
      </c>
      <c r="H2659" t="s">
        <v>38</v>
      </c>
      <c r="I2659" t="s">
        <v>39</v>
      </c>
      <c r="J2659" t="s">
        <v>30</v>
      </c>
      <c r="K2659" s="2">
        <v>7050</v>
      </c>
      <c r="L2659" s="2">
        <v>33000</v>
      </c>
      <c r="M2659">
        <v>48</v>
      </c>
      <c r="N2659" s="3">
        <v>0.246</v>
      </c>
      <c r="O2659" t="s">
        <v>17</v>
      </c>
      <c r="P2659" t="s">
        <v>31</v>
      </c>
      <c r="Q2659">
        <v>0</v>
      </c>
      <c r="R2659">
        <v>1</v>
      </c>
      <c r="S2659" s="2">
        <v>0</v>
      </c>
      <c r="T2659" s="4"/>
      <c r="U2659">
        <v>10</v>
      </c>
      <c r="V2659">
        <v>0</v>
      </c>
      <c r="W2659">
        <v>1</v>
      </c>
    </row>
    <row r="2660" spans="1:23" ht="16.5" x14ac:dyDescent="0.3">
      <c r="A2660" t="s">
        <v>2724</v>
      </c>
      <c r="B2660" s="1">
        <v>45688</v>
      </c>
      <c r="C2660">
        <v>2025</v>
      </c>
      <c r="D2660" t="s">
        <v>24</v>
      </c>
      <c r="E2660" t="s">
        <v>25</v>
      </c>
      <c r="F2660" t="s">
        <v>37</v>
      </c>
      <c r="G2660" t="s">
        <v>27</v>
      </c>
      <c r="H2660" t="s">
        <v>38</v>
      </c>
      <c r="I2660" t="s">
        <v>42</v>
      </c>
      <c r="J2660" t="s">
        <v>30</v>
      </c>
      <c r="K2660" s="2">
        <v>3950</v>
      </c>
      <c r="L2660" s="2">
        <v>11500</v>
      </c>
      <c r="M2660">
        <v>36</v>
      </c>
      <c r="N2660" s="3">
        <v>0.214</v>
      </c>
      <c r="O2660" t="s">
        <v>17</v>
      </c>
      <c r="P2660" t="s">
        <v>31</v>
      </c>
      <c r="Q2660">
        <v>0</v>
      </c>
      <c r="R2660">
        <v>1</v>
      </c>
      <c r="S2660" s="2">
        <v>0</v>
      </c>
      <c r="T2660" s="4"/>
      <c r="U2660">
        <v>4</v>
      </c>
      <c r="V2660">
        <v>0</v>
      </c>
      <c r="W2660">
        <v>1</v>
      </c>
    </row>
    <row r="2661" spans="1:23" ht="16.5" x14ac:dyDescent="0.3">
      <c r="A2661" t="s">
        <v>2725</v>
      </c>
      <c r="B2661" s="1">
        <v>45688</v>
      </c>
      <c r="C2661">
        <v>2025</v>
      </c>
      <c r="D2661" t="s">
        <v>24</v>
      </c>
      <c r="E2661" t="s">
        <v>25</v>
      </c>
      <c r="F2661" t="s">
        <v>26</v>
      </c>
      <c r="G2661" t="s">
        <v>45</v>
      </c>
      <c r="H2661" t="s">
        <v>34</v>
      </c>
      <c r="I2661" t="s">
        <v>29</v>
      </c>
      <c r="J2661" t="s">
        <v>43</v>
      </c>
      <c r="K2661" s="2">
        <v>4550</v>
      </c>
      <c r="L2661" s="2">
        <v>38500</v>
      </c>
      <c r="M2661">
        <v>60</v>
      </c>
      <c r="N2661" s="3">
        <v>0.34300000000000003</v>
      </c>
      <c r="O2661" t="s">
        <v>17</v>
      </c>
      <c r="P2661" t="s">
        <v>31</v>
      </c>
      <c r="Q2661">
        <v>0</v>
      </c>
      <c r="R2661">
        <v>1</v>
      </c>
      <c r="S2661" s="2">
        <v>0</v>
      </c>
      <c r="T2661" s="4"/>
      <c r="U2661">
        <v>2</v>
      </c>
      <c r="V2661">
        <v>1</v>
      </c>
      <c r="W2661">
        <v>1</v>
      </c>
    </row>
    <row r="2662" spans="1:23" ht="16.5" x14ac:dyDescent="0.3">
      <c r="A2662" t="s">
        <v>2726</v>
      </c>
      <c r="B2662" s="1">
        <v>45688</v>
      </c>
      <c r="C2662">
        <v>2025</v>
      </c>
      <c r="D2662" t="s">
        <v>24</v>
      </c>
      <c r="E2662" t="s">
        <v>25</v>
      </c>
      <c r="F2662" t="s">
        <v>37</v>
      </c>
      <c r="G2662" t="s">
        <v>33</v>
      </c>
      <c r="H2662" t="s">
        <v>38</v>
      </c>
      <c r="I2662" t="s">
        <v>39</v>
      </c>
      <c r="J2662" t="s">
        <v>35</v>
      </c>
      <c r="K2662" s="2">
        <v>9700</v>
      </c>
      <c r="L2662" s="2">
        <v>7000</v>
      </c>
      <c r="M2662">
        <v>12</v>
      </c>
      <c r="N2662" s="3">
        <v>0.30199999999999999</v>
      </c>
      <c r="O2662" t="s">
        <v>16</v>
      </c>
      <c r="Q2662">
        <v>1</v>
      </c>
      <c r="R2662">
        <v>0</v>
      </c>
      <c r="S2662" s="2">
        <v>6500</v>
      </c>
      <c r="T2662" s="4">
        <v>0.13070000000000001</v>
      </c>
      <c r="U2662">
        <v>1</v>
      </c>
      <c r="V2662">
        <v>1</v>
      </c>
      <c r="W2662">
        <v>1</v>
      </c>
    </row>
    <row r="2663" spans="1:23" ht="16.5" x14ac:dyDescent="0.3">
      <c r="A2663" t="s">
        <v>2727</v>
      </c>
      <c r="B2663" s="1">
        <v>45689</v>
      </c>
      <c r="C2663">
        <v>2025</v>
      </c>
      <c r="D2663" t="s">
        <v>24</v>
      </c>
      <c r="E2663" t="s">
        <v>284</v>
      </c>
      <c r="F2663" t="s">
        <v>26</v>
      </c>
      <c r="G2663" t="s">
        <v>45</v>
      </c>
      <c r="H2663" t="s">
        <v>38</v>
      </c>
      <c r="I2663" t="s">
        <v>42</v>
      </c>
      <c r="J2663" t="s">
        <v>43</v>
      </c>
      <c r="K2663" s="2">
        <v>7250</v>
      </c>
      <c r="L2663" s="2">
        <v>42000</v>
      </c>
      <c r="M2663">
        <v>36</v>
      </c>
      <c r="N2663" s="3">
        <v>0.374</v>
      </c>
      <c r="O2663" t="s">
        <v>17</v>
      </c>
      <c r="P2663" t="s">
        <v>31</v>
      </c>
      <c r="Q2663">
        <v>0</v>
      </c>
      <c r="R2663">
        <v>1</v>
      </c>
      <c r="S2663" s="2">
        <v>0</v>
      </c>
      <c r="T2663" s="4"/>
      <c r="U2663">
        <v>2</v>
      </c>
      <c r="V2663">
        <v>1</v>
      </c>
      <c r="W2663">
        <v>1</v>
      </c>
    </row>
    <row r="2664" spans="1:23" ht="16.5" x14ac:dyDescent="0.3">
      <c r="A2664" t="s">
        <v>2728</v>
      </c>
      <c r="B2664" s="1">
        <v>45689</v>
      </c>
      <c r="C2664">
        <v>2025</v>
      </c>
      <c r="D2664" t="s">
        <v>24</v>
      </c>
      <c r="E2664" t="s">
        <v>284</v>
      </c>
      <c r="F2664" t="s">
        <v>37</v>
      </c>
      <c r="G2664" t="s">
        <v>45</v>
      </c>
      <c r="H2664" t="s">
        <v>38</v>
      </c>
      <c r="I2664" t="s">
        <v>29</v>
      </c>
      <c r="J2664" t="s">
        <v>52</v>
      </c>
      <c r="K2664" s="2">
        <v>2350</v>
      </c>
      <c r="L2664" s="2">
        <v>7500</v>
      </c>
      <c r="M2664">
        <v>24</v>
      </c>
      <c r="N2664" s="3">
        <v>0.27600000000000002</v>
      </c>
      <c r="O2664" t="s">
        <v>16</v>
      </c>
      <c r="Q2664">
        <v>1</v>
      </c>
      <c r="R2664">
        <v>0</v>
      </c>
      <c r="S2664" s="2">
        <v>7500</v>
      </c>
      <c r="T2664" s="4">
        <v>0.1183</v>
      </c>
      <c r="U2664">
        <v>2</v>
      </c>
      <c r="V2664">
        <v>1</v>
      </c>
      <c r="W2664">
        <v>1</v>
      </c>
    </row>
    <row r="2665" spans="1:23" ht="16.5" x14ac:dyDescent="0.3">
      <c r="A2665" t="s">
        <v>2729</v>
      </c>
      <c r="B2665" s="1">
        <v>45689</v>
      </c>
      <c r="C2665">
        <v>2025</v>
      </c>
      <c r="D2665" t="s">
        <v>24</v>
      </c>
      <c r="E2665" t="s">
        <v>284</v>
      </c>
      <c r="F2665" t="s">
        <v>41</v>
      </c>
      <c r="G2665" t="s">
        <v>45</v>
      </c>
      <c r="H2665" t="s">
        <v>34</v>
      </c>
      <c r="I2665" t="s">
        <v>42</v>
      </c>
      <c r="J2665" t="s">
        <v>52</v>
      </c>
      <c r="K2665" s="2">
        <v>4300</v>
      </c>
      <c r="L2665" s="2">
        <v>78000</v>
      </c>
      <c r="M2665">
        <v>60</v>
      </c>
      <c r="N2665" s="3">
        <v>0.48399999999999999</v>
      </c>
      <c r="O2665" t="s">
        <v>16</v>
      </c>
      <c r="Q2665">
        <v>1</v>
      </c>
      <c r="R2665">
        <v>0</v>
      </c>
      <c r="S2665" s="2">
        <v>62500</v>
      </c>
      <c r="T2665" s="4">
        <v>9.4100000000000003E-2</v>
      </c>
      <c r="U2665">
        <v>10</v>
      </c>
      <c r="V2665">
        <v>1</v>
      </c>
      <c r="W2665">
        <v>1</v>
      </c>
    </row>
    <row r="2666" spans="1:23" ht="16.5" x14ac:dyDescent="0.3">
      <c r="A2666" t="s">
        <v>2730</v>
      </c>
      <c r="B2666" s="1">
        <v>45689</v>
      </c>
      <c r="C2666">
        <v>2025</v>
      </c>
      <c r="D2666" t="s">
        <v>24</v>
      </c>
      <c r="E2666" t="s">
        <v>284</v>
      </c>
      <c r="F2666" t="s">
        <v>37</v>
      </c>
      <c r="G2666" t="s">
        <v>51</v>
      </c>
      <c r="H2666" t="s">
        <v>28</v>
      </c>
      <c r="I2666" t="s">
        <v>29</v>
      </c>
      <c r="J2666" t="s">
        <v>52</v>
      </c>
      <c r="K2666" s="2">
        <v>7850</v>
      </c>
      <c r="L2666" s="2">
        <v>10000</v>
      </c>
      <c r="M2666">
        <v>36</v>
      </c>
      <c r="N2666" s="3">
        <v>0.19</v>
      </c>
      <c r="O2666" t="s">
        <v>16</v>
      </c>
      <c r="Q2666">
        <v>1</v>
      </c>
      <c r="R2666">
        <v>0</v>
      </c>
      <c r="S2666" s="2">
        <v>10000</v>
      </c>
      <c r="T2666" s="4">
        <v>0.114</v>
      </c>
      <c r="U2666">
        <v>3</v>
      </c>
      <c r="V2666">
        <v>1</v>
      </c>
      <c r="W2666">
        <v>1</v>
      </c>
    </row>
    <row r="2667" spans="1:23" ht="16.5" x14ac:dyDescent="0.3">
      <c r="A2667" t="s">
        <v>2731</v>
      </c>
      <c r="B2667" s="1">
        <v>45689</v>
      </c>
      <c r="C2667">
        <v>2025</v>
      </c>
      <c r="D2667" t="s">
        <v>24</v>
      </c>
      <c r="E2667" t="s">
        <v>284</v>
      </c>
      <c r="F2667" t="s">
        <v>26</v>
      </c>
      <c r="G2667" t="s">
        <v>33</v>
      </c>
      <c r="H2667" t="s">
        <v>64</v>
      </c>
      <c r="I2667" t="s">
        <v>29</v>
      </c>
      <c r="J2667" t="s">
        <v>46</v>
      </c>
      <c r="K2667" s="2">
        <v>6950</v>
      </c>
      <c r="L2667" s="2">
        <v>14000</v>
      </c>
      <c r="M2667">
        <v>48</v>
      </c>
      <c r="N2667" s="3">
        <v>0.25600000000000001</v>
      </c>
      <c r="O2667" t="s">
        <v>16</v>
      </c>
      <c r="Q2667">
        <v>1</v>
      </c>
      <c r="R2667">
        <v>0</v>
      </c>
      <c r="S2667" s="2">
        <v>12500</v>
      </c>
      <c r="T2667" s="4">
        <v>6.2600000000000003E-2</v>
      </c>
      <c r="U2667">
        <v>2</v>
      </c>
      <c r="V2667">
        <v>1</v>
      </c>
      <c r="W2667">
        <v>1</v>
      </c>
    </row>
    <row r="2668" spans="1:23" ht="16.5" x14ac:dyDescent="0.3">
      <c r="A2668" t="s">
        <v>2732</v>
      </c>
      <c r="B2668" s="1">
        <v>45689</v>
      </c>
      <c r="C2668">
        <v>2025</v>
      </c>
      <c r="D2668" t="s">
        <v>24</v>
      </c>
      <c r="E2668" t="s">
        <v>284</v>
      </c>
      <c r="F2668" t="s">
        <v>41</v>
      </c>
      <c r="G2668" t="s">
        <v>45</v>
      </c>
      <c r="H2668" t="s">
        <v>34</v>
      </c>
      <c r="I2668" t="s">
        <v>29</v>
      </c>
      <c r="J2668" t="s">
        <v>52</v>
      </c>
      <c r="K2668" s="2">
        <v>5150</v>
      </c>
      <c r="L2668" s="2">
        <v>90500</v>
      </c>
      <c r="M2668">
        <v>24</v>
      </c>
      <c r="N2668" s="3">
        <v>0.96599999999999997</v>
      </c>
      <c r="O2668" t="s">
        <v>16</v>
      </c>
      <c r="Q2668">
        <v>1</v>
      </c>
      <c r="R2668">
        <v>0</v>
      </c>
      <c r="S2668" s="2">
        <v>72500</v>
      </c>
      <c r="T2668" s="4">
        <v>9.4100000000000003E-2</v>
      </c>
      <c r="U2668">
        <v>10</v>
      </c>
      <c r="V2668">
        <v>1</v>
      </c>
      <c r="W2668">
        <v>1</v>
      </c>
    </row>
    <row r="2669" spans="1:23" ht="16.5" x14ac:dyDescent="0.3">
      <c r="A2669" t="s">
        <v>2733</v>
      </c>
      <c r="B2669" s="1">
        <v>45689</v>
      </c>
      <c r="C2669">
        <v>2025</v>
      </c>
      <c r="D2669" t="s">
        <v>24</v>
      </c>
      <c r="E2669" t="s">
        <v>284</v>
      </c>
      <c r="F2669" t="s">
        <v>50</v>
      </c>
      <c r="G2669" t="s">
        <v>33</v>
      </c>
      <c r="H2669" t="s">
        <v>38</v>
      </c>
      <c r="I2669" t="s">
        <v>29</v>
      </c>
      <c r="J2669" t="s">
        <v>35</v>
      </c>
      <c r="K2669" s="2">
        <v>7650</v>
      </c>
      <c r="L2669" s="2">
        <v>170000</v>
      </c>
      <c r="M2669">
        <v>300</v>
      </c>
      <c r="N2669" s="3">
        <v>0.24399999999999999</v>
      </c>
      <c r="O2669" t="s">
        <v>17</v>
      </c>
      <c r="P2669" t="s">
        <v>31</v>
      </c>
      <c r="Q2669">
        <v>0</v>
      </c>
      <c r="R2669">
        <v>1</v>
      </c>
      <c r="S2669" s="2">
        <v>0</v>
      </c>
      <c r="T2669" s="4"/>
      <c r="U2669">
        <v>6</v>
      </c>
      <c r="V2669">
        <v>1</v>
      </c>
      <c r="W2669">
        <v>1</v>
      </c>
    </row>
    <row r="2670" spans="1:23" ht="16.5" x14ac:dyDescent="0.3">
      <c r="A2670" t="s">
        <v>2734</v>
      </c>
      <c r="B2670" s="1">
        <v>45689</v>
      </c>
      <c r="C2670">
        <v>2025</v>
      </c>
      <c r="D2670" t="s">
        <v>24</v>
      </c>
      <c r="E2670" t="s">
        <v>284</v>
      </c>
      <c r="F2670" t="s">
        <v>26</v>
      </c>
      <c r="G2670" t="s">
        <v>33</v>
      </c>
      <c r="H2670" t="s">
        <v>34</v>
      </c>
      <c r="I2670" t="s">
        <v>29</v>
      </c>
      <c r="J2670" t="s">
        <v>30</v>
      </c>
      <c r="K2670" s="2">
        <v>6000</v>
      </c>
      <c r="L2670" s="2">
        <v>26500</v>
      </c>
      <c r="M2670">
        <v>60</v>
      </c>
      <c r="N2670" s="3">
        <v>0.23200000000000001</v>
      </c>
      <c r="O2670" t="s">
        <v>17</v>
      </c>
      <c r="P2670" t="s">
        <v>31</v>
      </c>
      <c r="Q2670">
        <v>0</v>
      </c>
      <c r="R2670">
        <v>1</v>
      </c>
      <c r="S2670" s="2">
        <v>0</v>
      </c>
      <c r="T2670" s="4"/>
      <c r="U2670">
        <v>2</v>
      </c>
      <c r="V2670">
        <v>1</v>
      </c>
      <c r="W2670">
        <v>1</v>
      </c>
    </row>
    <row r="2671" spans="1:23" ht="16.5" x14ac:dyDescent="0.3">
      <c r="A2671" t="s">
        <v>2735</v>
      </c>
      <c r="B2671" s="1">
        <v>45690</v>
      </c>
      <c r="C2671">
        <v>2025</v>
      </c>
      <c r="D2671" t="s">
        <v>24</v>
      </c>
      <c r="E2671" t="s">
        <v>284</v>
      </c>
      <c r="F2671" t="s">
        <v>37</v>
      </c>
      <c r="G2671" t="s">
        <v>45</v>
      </c>
      <c r="H2671" t="s">
        <v>38</v>
      </c>
      <c r="I2671" t="s">
        <v>29</v>
      </c>
      <c r="J2671" t="s">
        <v>35</v>
      </c>
      <c r="K2671" s="2">
        <v>6250</v>
      </c>
      <c r="L2671" s="2">
        <v>22500</v>
      </c>
      <c r="M2671">
        <v>60</v>
      </c>
      <c r="N2671" s="3">
        <v>0.187</v>
      </c>
      <c r="O2671" t="s">
        <v>16</v>
      </c>
      <c r="Q2671">
        <v>1</v>
      </c>
      <c r="R2671">
        <v>0</v>
      </c>
      <c r="S2671" s="2">
        <v>22500</v>
      </c>
      <c r="T2671" s="4">
        <v>0.1242</v>
      </c>
      <c r="U2671">
        <v>1</v>
      </c>
      <c r="V2671">
        <v>1</v>
      </c>
      <c r="W2671">
        <v>1</v>
      </c>
    </row>
    <row r="2672" spans="1:23" ht="16.5" x14ac:dyDescent="0.3">
      <c r="A2672" t="s">
        <v>2736</v>
      </c>
      <c r="B2672" s="1">
        <v>45690</v>
      </c>
      <c r="C2672">
        <v>2025</v>
      </c>
      <c r="D2672" t="s">
        <v>24</v>
      </c>
      <c r="E2672" t="s">
        <v>284</v>
      </c>
      <c r="F2672" t="s">
        <v>26</v>
      </c>
      <c r="G2672" t="s">
        <v>33</v>
      </c>
      <c r="H2672" t="s">
        <v>28</v>
      </c>
      <c r="I2672" t="s">
        <v>29</v>
      </c>
      <c r="J2672" t="s">
        <v>52</v>
      </c>
      <c r="K2672" s="2">
        <v>4250</v>
      </c>
      <c r="L2672" s="2">
        <v>18500</v>
      </c>
      <c r="M2672">
        <v>36</v>
      </c>
      <c r="N2672" s="3">
        <v>0.38300000000000001</v>
      </c>
      <c r="O2672" t="s">
        <v>16</v>
      </c>
      <c r="Q2672">
        <v>1</v>
      </c>
      <c r="R2672">
        <v>0</v>
      </c>
      <c r="S2672" s="2">
        <v>18500</v>
      </c>
      <c r="T2672" s="4">
        <v>7.6499999999999999E-2</v>
      </c>
      <c r="U2672">
        <v>3</v>
      </c>
      <c r="V2672">
        <v>1</v>
      </c>
      <c r="W2672">
        <v>1</v>
      </c>
    </row>
    <row r="2673" spans="1:23" ht="16.5" x14ac:dyDescent="0.3">
      <c r="A2673" t="s">
        <v>2737</v>
      </c>
      <c r="B2673" s="1">
        <v>45690</v>
      </c>
      <c r="C2673">
        <v>2025</v>
      </c>
      <c r="D2673" t="s">
        <v>24</v>
      </c>
      <c r="E2673" t="s">
        <v>284</v>
      </c>
      <c r="F2673" t="s">
        <v>37</v>
      </c>
      <c r="G2673" t="s">
        <v>45</v>
      </c>
      <c r="H2673" t="s">
        <v>28</v>
      </c>
      <c r="I2673" t="s">
        <v>29</v>
      </c>
      <c r="J2673" t="s">
        <v>46</v>
      </c>
      <c r="K2673" s="2">
        <v>4000</v>
      </c>
      <c r="L2673" s="2">
        <v>10500</v>
      </c>
      <c r="M2673">
        <v>24</v>
      </c>
      <c r="N2673" s="3">
        <v>0.215</v>
      </c>
      <c r="O2673" t="s">
        <v>16</v>
      </c>
      <c r="Q2673">
        <v>1</v>
      </c>
      <c r="R2673">
        <v>0</v>
      </c>
      <c r="S2673" s="2">
        <v>8500</v>
      </c>
      <c r="T2673" s="4">
        <v>0.10730000000000001</v>
      </c>
      <c r="U2673">
        <v>2</v>
      </c>
      <c r="V2673">
        <v>1</v>
      </c>
      <c r="W2673">
        <v>1</v>
      </c>
    </row>
    <row r="2674" spans="1:23" ht="16.5" x14ac:dyDescent="0.3">
      <c r="A2674" t="s">
        <v>2738</v>
      </c>
      <c r="B2674" s="1">
        <v>45690</v>
      </c>
      <c r="C2674">
        <v>2025</v>
      </c>
      <c r="D2674" t="s">
        <v>24</v>
      </c>
      <c r="E2674" t="s">
        <v>284</v>
      </c>
      <c r="F2674" t="s">
        <v>37</v>
      </c>
      <c r="G2674" t="s">
        <v>45</v>
      </c>
      <c r="H2674" t="s">
        <v>34</v>
      </c>
      <c r="I2674" t="s">
        <v>42</v>
      </c>
      <c r="J2674" t="s">
        <v>35</v>
      </c>
      <c r="K2674" s="2">
        <v>3100</v>
      </c>
      <c r="L2674" s="2">
        <v>14000</v>
      </c>
      <c r="M2674">
        <v>36</v>
      </c>
      <c r="N2674" s="3">
        <v>0.32700000000000001</v>
      </c>
      <c r="O2674" t="s">
        <v>16</v>
      </c>
      <c r="Q2674">
        <v>1</v>
      </c>
      <c r="R2674">
        <v>0</v>
      </c>
      <c r="S2674" s="2">
        <v>14000</v>
      </c>
      <c r="T2674" s="4">
        <v>0.12720000000000001</v>
      </c>
      <c r="U2674">
        <v>2</v>
      </c>
      <c r="V2674">
        <v>1</v>
      </c>
      <c r="W2674">
        <v>1</v>
      </c>
    </row>
    <row r="2675" spans="1:23" ht="16.5" x14ac:dyDescent="0.3">
      <c r="A2675" t="s">
        <v>2739</v>
      </c>
      <c r="B2675" s="1">
        <v>45691</v>
      </c>
      <c r="C2675">
        <v>2025</v>
      </c>
      <c r="D2675" t="s">
        <v>24</v>
      </c>
      <c r="E2675" t="s">
        <v>284</v>
      </c>
      <c r="F2675" t="s">
        <v>50</v>
      </c>
      <c r="G2675" t="s">
        <v>51</v>
      </c>
      <c r="H2675" t="s">
        <v>38</v>
      </c>
      <c r="I2675" t="s">
        <v>29</v>
      </c>
      <c r="J2675" t="s">
        <v>43</v>
      </c>
      <c r="K2675" s="2">
        <v>5000</v>
      </c>
      <c r="L2675" s="2">
        <v>177500</v>
      </c>
      <c r="M2675">
        <v>180</v>
      </c>
      <c r="N2675" s="3">
        <v>0.38500000000000001</v>
      </c>
      <c r="O2675" t="s">
        <v>17</v>
      </c>
      <c r="P2675" t="s">
        <v>31</v>
      </c>
      <c r="Q2675">
        <v>0</v>
      </c>
      <c r="R2675">
        <v>1</v>
      </c>
      <c r="S2675" s="2">
        <v>0</v>
      </c>
      <c r="T2675" s="4"/>
      <c r="U2675">
        <v>24</v>
      </c>
      <c r="V2675">
        <v>0</v>
      </c>
      <c r="W2675">
        <v>1</v>
      </c>
    </row>
    <row r="2676" spans="1:23" ht="16.5" x14ac:dyDescent="0.3">
      <c r="A2676" t="s">
        <v>2740</v>
      </c>
      <c r="B2676" s="1">
        <v>45691</v>
      </c>
      <c r="C2676">
        <v>2025</v>
      </c>
      <c r="D2676" t="s">
        <v>24</v>
      </c>
      <c r="E2676" t="s">
        <v>284</v>
      </c>
      <c r="F2676" t="s">
        <v>37</v>
      </c>
      <c r="G2676" t="s">
        <v>33</v>
      </c>
      <c r="H2676" t="s">
        <v>38</v>
      </c>
      <c r="I2676" t="s">
        <v>42</v>
      </c>
      <c r="J2676" t="s">
        <v>30</v>
      </c>
      <c r="K2676" s="2">
        <v>4850</v>
      </c>
      <c r="L2676" s="2">
        <v>15000</v>
      </c>
      <c r="M2676">
        <v>36</v>
      </c>
      <c r="N2676" s="3">
        <v>0.248</v>
      </c>
      <c r="O2676" t="s">
        <v>16</v>
      </c>
      <c r="Q2676">
        <v>1</v>
      </c>
      <c r="R2676">
        <v>0</v>
      </c>
      <c r="S2676" s="2">
        <v>15000</v>
      </c>
      <c r="T2676" s="4">
        <v>0.13800000000000001</v>
      </c>
      <c r="U2676">
        <v>1</v>
      </c>
      <c r="V2676">
        <v>1</v>
      </c>
      <c r="W2676">
        <v>1</v>
      </c>
    </row>
    <row r="2677" spans="1:23" ht="16.5" x14ac:dyDescent="0.3">
      <c r="A2677" t="s">
        <v>2741</v>
      </c>
      <c r="B2677" s="1">
        <v>45691</v>
      </c>
      <c r="C2677">
        <v>2025</v>
      </c>
      <c r="D2677" t="s">
        <v>24</v>
      </c>
      <c r="E2677" t="s">
        <v>284</v>
      </c>
      <c r="F2677" t="s">
        <v>50</v>
      </c>
      <c r="G2677" t="s">
        <v>51</v>
      </c>
      <c r="H2677" t="s">
        <v>38</v>
      </c>
      <c r="I2677" t="s">
        <v>29</v>
      </c>
      <c r="J2677" t="s">
        <v>30</v>
      </c>
      <c r="K2677" s="2">
        <v>7000</v>
      </c>
      <c r="L2677" s="2">
        <v>215500</v>
      </c>
      <c r="M2677">
        <v>180</v>
      </c>
      <c r="N2677" s="3">
        <v>0.47699999999999998</v>
      </c>
      <c r="O2677" t="s">
        <v>17</v>
      </c>
      <c r="P2677" t="s">
        <v>31</v>
      </c>
      <c r="Q2677">
        <v>0</v>
      </c>
      <c r="R2677">
        <v>1</v>
      </c>
      <c r="S2677" s="2">
        <v>0</v>
      </c>
      <c r="T2677" s="4"/>
      <c r="U2677">
        <v>20</v>
      </c>
      <c r="V2677">
        <v>0</v>
      </c>
      <c r="W2677">
        <v>1</v>
      </c>
    </row>
    <row r="2678" spans="1:23" ht="16.5" x14ac:dyDescent="0.3">
      <c r="A2678" t="s">
        <v>2742</v>
      </c>
      <c r="B2678" s="1">
        <v>45691</v>
      </c>
      <c r="C2678">
        <v>2025</v>
      </c>
      <c r="D2678" t="s">
        <v>24</v>
      </c>
      <c r="E2678" t="s">
        <v>284</v>
      </c>
      <c r="F2678" t="s">
        <v>37</v>
      </c>
      <c r="G2678" t="s">
        <v>45</v>
      </c>
      <c r="H2678" t="s">
        <v>28</v>
      </c>
      <c r="I2678" t="s">
        <v>39</v>
      </c>
      <c r="J2678" t="s">
        <v>52</v>
      </c>
      <c r="K2678" s="2">
        <v>8400</v>
      </c>
      <c r="L2678" s="2">
        <v>16000</v>
      </c>
      <c r="M2678">
        <v>24</v>
      </c>
      <c r="N2678" s="3">
        <v>0.317</v>
      </c>
      <c r="O2678" t="s">
        <v>16</v>
      </c>
      <c r="Q2678">
        <v>1</v>
      </c>
      <c r="R2678">
        <v>0</v>
      </c>
      <c r="S2678" s="2">
        <v>13000</v>
      </c>
      <c r="T2678" s="4">
        <v>0.1105</v>
      </c>
      <c r="U2678">
        <v>1</v>
      </c>
      <c r="V2678">
        <v>1</v>
      </c>
      <c r="W2678">
        <v>1</v>
      </c>
    </row>
    <row r="2679" spans="1:23" ht="16.5" x14ac:dyDescent="0.3">
      <c r="A2679" t="s">
        <v>2743</v>
      </c>
      <c r="B2679" s="1">
        <v>45691</v>
      </c>
      <c r="C2679">
        <v>2025</v>
      </c>
      <c r="D2679" t="s">
        <v>24</v>
      </c>
      <c r="E2679" t="s">
        <v>284</v>
      </c>
      <c r="F2679" t="s">
        <v>37</v>
      </c>
      <c r="G2679" t="s">
        <v>51</v>
      </c>
      <c r="H2679" t="s">
        <v>34</v>
      </c>
      <c r="I2679" t="s">
        <v>39</v>
      </c>
      <c r="J2679" t="s">
        <v>52</v>
      </c>
      <c r="K2679" s="2">
        <v>4200</v>
      </c>
      <c r="L2679" s="2">
        <v>6500</v>
      </c>
      <c r="M2679">
        <v>12</v>
      </c>
      <c r="N2679" s="3">
        <v>0.33600000000000002</v>
      </c>
      <c r="O2679" t="s">
        <v>17</v>
      </c>
      <c r="P2679" t="s">
        <v>60</v>
      </c>
      <c r="Q2679">
        <v>0</v>
      </c>
      <c r="R2679">
        <v>1</v>
      </c>
      <c r="S2679" s="2">
        <v>0</v>
      </c>
      <c r="T2679" s="4"/>
      <c r="U2679">
        <v>8</v>
      </c>
      <c r="V2679">
        <v>0</v>
      </c>
      <c r="W2679">
        <v>1</v>
      </c>
    </row>
    <row r="2680" spans="1:23" ht="16.5" x14ac:dyDescent="0.3">
      <c r="A2680" t="s">
        <v>2744</v>
      </c>
      <c r="B2680" s="1">
        <v>45691</v>
      </c>
      <c r="C2680">
        <v>2025</v>
      </c>
      <c r="D2680" t="s">
        <v>24</v>
      </c>
      <c r="E2680" t="s">
        <v>284</v>
      </c>
      <c r="F2680" t="s">
        <v>37</v>
      </c>
      <c r="G2680" t="s">
        <v>33</v>
      </c>
      <c r="H2680" t="s">
        <v>55</v>
      </c>
      <c r="I2680" t="s">
        <v>39</v>
      </c>
      <c r="J2680" t="s">
        <v>30</v>
      </c>
      <c r="K2680" s="2">
        <v>5650</v>
      </c>
      <c r="L2680" s="2">
        <v>9000</v>
      </c>
      <c r="M2680">
        <v>24</v>
      </c>
      <c r="N2680" s="3">
        <v>0.214</v>
      </c>
      <c r="O2680" t="s">
        <v>17</v>
      </c>
      <c r="P2680" t="s">
        <v>65</v>
      </c>
      <c r="Q2680">
        <v>0</v>
      </c>
      <c r="R2680">
        <v>1</v>
      </c>
      <c r="S2680" s="2">
        <v>0</v>
      </c>
      <c r="T2680" s="4"/>
      <c r="U2680">
        <v>2</v>
      </c>
      <c r="V2680">
        <v>1</v>
      </c>
      <c r="W2680">
        <v>1</v>
      </c>
    </row>
    <row r="2681" spans="1:23" ht="16.5" x14ac:dyDescent="0.3">
      <c r="A2681" t="s">
        <v>2745</v>
      </c>
      <c r="B2681" s="1">
        <v>45691</v>
      </c>
      <c r="C2681">
        <v>2025</v>
      </c>
      <c r="D2681" t="s">
        <v>24</v>
      </c>
      <c r="E2681" t="s">
        <v>284</v>
      </c>
      <c r="F2681" t="s">
        <v>26</v>
      </c>
      <c r="G2681" t="s">
        <v>33</v>
      </c>
      <c r="H2681" t="s">
        <v>38</v>
      </c>
      <c r="I2681" t="s">
        <v>39</v>
      </c>
      <c r="J2681" t="s">
        <v>35</v>
      </c>
      <c r="K2681" s="2">
        <v>6200</v>
      </c>
      <c r="L2681" s="2">
        <v>33000</v>
      </c>
      <c r="M2681">
        <v>36</v>
      </c>
      <c r="N2681" s="3">
        <v>0.36499999999999999</v>
      </c>
      <c r="O2681" t="s">
        <v>16</v>
      </c>
      <c r="Q2681">
        <v>1</v>
      </c>
      <c r="R2681">
        <v>0</v>
      </c>
      <c r="S2681" s="2">
        <v>33000</v>
      </c>
      <c r="T2681" s="4">
        <v>8.4699999999999998E-2</v>
      </c>
      <c r="U2681">
        <v>2</v>
      </c>
      <c r="V2681">
        <v>1</v>
      </c>
      <c r="W2681">
        <v>1</v>
      </c>
    </row>
    <row r="2682" spans="1:23" ht="16.5" x14ac:dyDescent="0.3">
      <c r="A2682" t="s">
        <v>2746</v>
      </c>
      <c r="B2682" s="1">
        <v>45691</v>
      </c>
      <c r="C2682">
        <v>2025</v>
      </c>
      <c r="D2682" t="s">
        <v>24</v>
      </c>
      <c r="E2682" t="s">
        <v>284</v>
      </c>
      <c r="F2682" t="s">
        <v>41</v>
      </c>
      <c r="G2682" t="s">
        <v>27</v>
      </c>
      <c r="H2682" t="s">
        <v>55</v>
      </c>
      <c r="I2682" t="s">
        <v>42</v>
      </c>
      <c r="J2682" t="s">
        <v>52</v>
      </c>
      <c r="K2682" s="2">
        <v>9850</v>
      </c>
      <c r="L2682" s="2">
        <v>130500</v>
      </c>
      <c r="M2682">
        <v>60</v>
      </c>
      <c r="N2682" s="3">
        <v>0.49299999999999999</v>
      </c>
      <c r="O2682" t="s">
        <v>17</v>
      </c>
      <c r="P2682" t="s">
        <v>60</v>
      </c>
      <c r="Q2682">
        <v>0</v>
      </c>
      <c r="R2682">
        <v>1</v>
      </c>
      <c r="S2682" s="2">
        <v>0</v>
      </c>
      <c r="T2682" s="4"/>
      <c r="U2682">
        <v>18</v>
      </c>
      <c r="V2682">
        <v>0</v>
      </c>
      <c r="W2682">
        <v>1</v>
      </c>
    </row>
    <row r="2683" spans="1:23" ht="16.5" x14ac:dyDescent="0.3">
      <c r="A2683" t="s">
        <v>2747</v>
      </c>
      <c r="B2683" s="1">
        <v>45692</v>
      </c>
      <c r="C2683">
        <v>2025</v>
      </c>
      <c r="D2683" t="s">
        <v>24</v>
      </c>
      <c r="E2683" t="s">
        <v>284</v>
      </c>
      <c r="F2683" t="s">
        <v>37</v>
      </c>
      <c r="G2683" t="s">
        <v>51</v>
      </c>
      <c r="H2683" t="s">
        <v>38</v>
      </c>
      <c r="I2683" t="s">
        <v>29</v>
      </c>
      <c r="J2683" t="s">
        <v>43</v>
      </c>
      <c r="K2683" s="2">
        <v>13250</v>
      </c>
      <c r="L2683" s="2">
        <v>16000</v>
      </c>
      <c r="M2683">
        <v>48</v>
      </c>
      <c r="N2683" s="3">
        <v>0.27700000000000002</v>
      </c>
      <c r="O2683" t="s">
        <v>17</v>
      </c>
      <c r="P2683" t="s">
        <v>31</v>
      </c>
      <c r="Q2683">
        <v>0</v>
      </c>
      <c r="R2683">
        <v>1</v>
      </c>
      <c r="S2683" s="2">
        <v>0</v>
      </c>
      <c r="T2683" s="4"/>
      <c r="U2683">
        <v>5</v>
      </c>
      <c r="V2683">
        <v>0</v>
      </c>
      <c r="W2683">
        <v>1</v>
      </c>
    </row>
    <row r="2684" spans="1:23" ht="16.5" x14ac:dyDescent="0.3">
      <c r="A2684" t="s">
        <v>2748</v>
      </c>
      <c r="B2684" s="1">
        <v>45692</v>
      </c>
      <c r="C2684">
        <v>2025</v>
      </c>
      <c r="D2684" t="s">
        <v>24</v>
      </c>
      <c r="E2684" t="s">
        <v>284</v>
      </c>
      <c r="F2684" t="s">
        <v>37</v>
      </c>
      <c r="G2684" t="s">
        <v>51</v>
      </c>
      <c r="H2684" t="s">
        <v>28</v>
      </c>
      <c r="I2684" t="s">
        <v>39</v>
      </c>
      <c r="J2684" t="s">
        <v>30</v>
      </c>
      <c r="K2684" s="2">
        <v>5950</v>
      </c>
      <c r="L2684" s="2">
        <v>12500</v>
      </c>
      <c r="M2684">
        <v>24</v>
      </c>
      <c r="N2684" s="3">
        <v>0.253</v>
      </c>
      <c r="O2684" t="s">
        <v>17</v>
      </c>
      <c r="P2684" t="s">
        <v>31</v>
      </c>
      <c r="Q2684">
        <v>0</v>
      </c>
      <c r="R2684">
        <v>1</v>
      </c>
      <c r="S2684" s="2">
        <v>0</v>
      </c>
      <c r="T2684" s="4"/>
      <c r="U2684">
        <v>4</v>
      </c>
      <c r="V2684">
        <v>0</v>
      </c>
      <c r="W2684">
        <v>1</v>
      </c>
    </row>
    <row r="2685" spans="1:23" ht="16.5" x14ac:dyDescent="0.3">
      <c r="A2685" t="s">
        <v>2749</v>
      </c>
      <c r="B2685" s="1">
        <v>45692</v>
      </c>
      <c r="C2685">
        <v>2025</v>
      </c>
      <c r="D2685" t="s">
        <v>24</v>
      </c>
      <c r="E2685" t="s">
        <v>284</v>
      </c>
      <c r="F2685" t="s">
        <v>26</v>
      </c>
      <c r="G2685" t="s">
        <v>51</v>
      </c>
      <c r="H2685" t="s">
        <v>34</v>
      </c>
      <c r="I2685" t="s">
        <v>42</v>
      </c>
      <c r="J2685" t="s">
        <v>30</v>
      </c>
      <c r="K2685" s="2">
        <v>10650</v>
      </c>
      <c r="L2685" s="2">
        <v>49000</v>
      </c>
      <c r="M2685">
        <v>60</v>
      </c>
      <c r="N2685" s="3">
        <v>0.29499999999999998</v>
      </c>
      <c r="O2685" t="s">
        <v>16</v>
      </c>
      <c r="Q2685">
        <v>1</v>
      </c>
      <c r="R2685">
        <v>0</v>
      </c>
      <c r="S2685" s="2">
        <v>49000</v>
      </c>
      <c r="T2685" s="4">
        <v>9.6100000000000005E-2</v>
      </c>
      <c r="U2685">
        <v>9</v>
      </c>
      <c r="V2685">
        <v>0</v>
      </c>
      <c r="W2685">
        <v>1</v>
      </c>
    </row>
    <row r="2686" spans="1:23" ht="16.5" x14ac:dyDescent="0.3">
      <c r="A2686" t="s">
        <v>2750</v>
      </c>
      <c r="B2686" s="1">
        <v>45692</v>
      </c>
      <c r="C2686">
        <v>2025</v>
      </c>
      <c r="D2686" t="s">
        <v>24</v>
      </c>
      <c r="E2686" t="s">
        <v>284</v>
      </c>
      <c r="F2686" t="s">
        <v>50</v>
      </c>
      <c r="G2686" t="s">
        <v>45</v>
      </c>
      <c r="H2686" t="s">
        <v>38</v>
      </c>
      <c r="I2686" t="s">
        <v>42</v>
      </c>
      <c r="J2686" t="s">
        <v>46</v>
      </c>
      <c r="K2686" s="2">
        <v>5550</v>
      </c>
      <c r="L2686" s="2">
        <v>263500</v>
      </c>
      <c r="M2686">
        <v>240</v>
      </c>
      <c r="N2686" s="3">
        <v>0.47399999999999998</v>
      </c>
      <c r="O2686" t="s">
        <v>16</v>
      </c>
      <c r="Q2686">
        <v>1</v>
      </c>
      <c r="R2686">
        <v>0</v>
      </c>
      <c r="S2686" s="2">
        <v>211000</v>
      </c>
      <c r="T2686" s="4">
        <v>4.2500000000000003E-2</v>
      </c>
      <c r="U2686">
        <v>7</v>
      </c>
      <c r="V2686">
        <v>1</v>
      </c>
      <c r="W2686">
        <v>1</v>
      </c>
    </row>
    <row r="2687" spans="1:23" ht="16.5" x14ac:dyDescent="0.3">
      <c r="A2687" t="s">
        <v>2751</v>
      </c>
      <c r="B2687" s="1">
        <v>45692</v>
      </c>
      <c r="C2687">
        <v>2025</v>
      </c>
      <c r="D2687" t="s">
        <v>24</v>
      </c>
      <c r="E2687" t="s">
        <v>284</v>
      </c>
      <c r="F2687" t="s">
        <v>26</v>
      </c>
      <c r="G2687" t="s">
        <v>33</v>
      </c>
      <c r="H2687" t="s">
        <v>64</v>
      </c>
      <c r="I2687" t="s">
        <v>29</v>
      </c>
      <c r="J2687" t="s">
        <v>35</v>
      </c>
      <c r="K2687" s="2">
        <v>3900</v>
      </c>
      <c r="L2687" s="2">
        <v>39000</v>
      </c>
      <c r="M2687">
        <v>36</v>
      </c>
      <c r="N2687" s="3">
        <v>0.443</v>
      </c>
      <c r="O2687" t="s">
        <v>17</v>
      </c>
      <c r="P2687" t="s">
        <v>60</v>
      </c>
      <c r="Q2687">
        <v>0</v>
      </c>
      <c r="R2687">
        <v>1</v>
      </c>
      <c r="S2687" s="2">
        <v>0</v>
      </c>
      <c r="T2687" s="4"/>
      <c r="U2687">
        <v>6</v>
      </c>
      <c r="V2687">
        <v>0</v>
      </c>
      <c r="W2687">
        <v>1</v>
      </c>
    </row>
    <row r="2688" spans="1:23" ht="16.5" x14ac:dyDescent="0.3">
      <c r="A2688" t="s">
        <v>2752</v>
      </c>
      <c r="B2688" s="1">
        <v>45692</v>
      </c>
      <c r="C2688">
        <v>2025</v>
      </c>
      <c r="D2688" t="s">
        <v>24</v>
      </c>
      <c r="E2688" t="s">
        <v>284</v>
      </c>
      <c r="F2688" t="s">
        <v>50</v>
      </c>
      <c r="G2688" t="s">
        <v>45</v>
      </c>
      <c r="H2688" t="s">
        <v>55</v>
      </c>
      <c r="I2688" t="s">
        <v>29</v>
      </c>
      <c r="J2688" t="s">
        <v>52</v>
      </c>
      <c r="K2688" s="2">
        <v>13900</v>
      </c>
      <c r="L2688" s="2">
        <v>130500</v>
      </c>
      <c r="M2688">
        <v>300</v>
      </c>
      <c r="N2688" s="3">
        <v>0.23100000000000001</v>
      </c>
      <c r="O2688" t="s">
        <v>17</v>
      </c>
      <c r="P2688" t="s">
        <v>48</v>
      </c>
      <c r="Q2688">
        <v>0</v>
      </c>
      <c r="R2688">
        <v>1</v>
      </c>
      <c r="S2688" s="2">
        <v>0</v>
      </c>
      <c r="T2688" s="4"/>
      <c r="U2688">
        <v>9</v>
      </c>
      <c r="V2688">
        <v>1</v>
      </c>
      <c r="W2688">
        <v>1</v>
      </c>
    </row>
    <row r="2689" spans="1:23" ht="16.5" x14ac:dyDescent="0.3">
      <c r="A2689" t="s">
        <v>2753</v>
      </c>
      <c r="B2689" s="1">
        <v>45692</v>
      </c>
      <c r="C2689">
        <v>2025</v>
      </c>
      <c r="D2689" t="s">
        <v>24</v>
      </c>
      <c r="E2689" t="s">
        <v>284</v>
      </c>
      <c r="F2689" t="s">
        <v>37</v>
      </c>
      <c r="G2689" t="s">
        <v>33</v>
      </c>
      <c r="H2689" t="s">
        <v>34</v>
      </c>
      <c r="I2689" t="s">
        <v>39</v>
      </c>
      <c r="J2689" t="s">
        <v>35</v>
      </c>
      <c r="K2689" s="2">
        <v>7550</v>
      </c>
      <c r="L2689" s="2">
        <v>15000</v>
      </c>
      <c r="M2689">
        <v>24</v>
      </c>
      <c r="N2689" s="3">
        <v>0.158</v>
      </c>
      <c r="O2689" t="s">
        <v>16</v>
      </c>
      <c r="Q2689">
        <v>1</v>
      </c>
      <c r="R2689">
        <v>0</v>
      </c>
      <c r="S2689" s="2">
        <v>15000</v>
      </c>
      <c r="T2689" s="4">
        <v>0.128</v>
      </c>
      <c r="U2689">
        <v>1</v>
      </c>
      <c r="V2689">
        <v>1</v>
      </c>
      <c r="W2689">
        <v>1</v>
      </c>
    </row>
    <row r="2690" spans="1:23" ht="16.5" x14ac:dyDescent="0.3">
      <c r="A2690" t="s">
        <v>2754</v>
      </c>
      <c r="B2690" s="1">
        <v>45693</v>
      </c>
      <c r="C2690">
        <v>2025</v>
      </c>
      <c r="D2690" t="s">
        <v>24</v>
      </c>
      <c r="E2690" t="s">
        <v>284</v>
      </c>
      <c r="F2690" t="s">
        <v>37</v>
      </c>
      <c r="G2690" t="s">
        <v>33</v>
      </c>
      <c r="H2690" t="s">
        <v>38</v>
      </c>
      <c r="I2690" t="s">
        <v>39</v>
      </c>
      <c r="J2690" t="s">
        <v>46</v>
      </c>
      <c r="K2690" s="2">
        <v>4200</v>
      </c>
      <c r="L2690" s="2">
        <v>12500</v>
      </c>
      <c r="M2690">
        <v>36</v>
      </c>
      <c r="N2690" s="3">
        <v>0.34300000000000003</v>
      </c>
      <c r="O2690" t="s">
        <v>16</v>
      </c>
      <c r="Q2690">
        <v>1</v>
      </c>
      <c r="R2690">
        <v>0</v>
      </c>
      <c r="S2690" s="2">
        <v>12500</v>
      </c>
      <c r="T2690" s="4">
        <v>0.104</v>
      </c>
      <c r="U2690">
        <v>2</v>
      </c>
      <c r="V2690">
        <v>1</v>
      </c>
      <c r="W2690">
        <v>1</v>
      </c>
    </row>
    <row r="2691" spans="1:23" ht="16.5" x14ac:dyDescent="0.3">
      <c r="A2691" t="s">
        <v>2755</v>
      </c>
      <c r="B2691" s="1">
        <v>45693</v>
      </c>
      <c r="C2691">
        <v>2025</v>
      </c>
      <c r="D2691" t="s">
        <v>24</v>
      </c>
      <c r="E2691" t="s">
        <v>284</v>
      </c>
      <c r="F2691" t="s">
        <v>41</v>
      </c>
      <c r="G2691" t="s">
        <v>27</v>
      </c>
      <c r="H2691" t="s">
        <v>55</v>
      </c>
      <c r="I2691" t="s">
        <v>42</v>
      </c>
      <c r="J2691" t="s">
        <v>52</v>
      </c>
      <c r="K2691" s="2">
        <v>6300</v>
      </c>
      <c r="L2691" s="2">
        <v>113000</v>
      </c>
      <c r="M2691">
        <v>36</v>
      </c>
      <c r="N2691" s="3">
        <v>0.82</v>
      </c>
      <c r="O2691" t="s">
        <v>16</v>
      </c>
      <c r="Q2691">
        <v>1</v>
      </c>
      <c r="R2691">
        <v>0</v>
      </c>
      <c r="S2691" s="2">
        <v>113000</v>
      </c>
      <c r="T2691" s="4">
        <v>9.8599999999999993E-2</v>
      </c>
      <c r="U2691">
        <v>9</v>
      </c>
      <c r="V2691">
        <v>1</v>
      </c>
      <c r="W2691">
        <v>1</v>
      </c>
    </row>
    <row r="2692" spans="1:23" ht="16.5" x14ac:dyDescent="0.3">
      <c r="A2692" t="s">
        <v>2756</v>
      </c>
      <c r="B2692" s="1">
        <v>45693</v>
      </c>
      <c r="C2692">
        <v>2025</v>
      </c>
      <c r="D2692" t="s">
        <v>24</v>
      </c>
      <c r="E2692" t="s">
        <v>284</v>
      </c>
      <c r="F2692" t="s">
        <v>41</v>
      </c>
      <c r="G2692" t="s">
        <v>27</v>
      </c>
      <c r="H2692" t="s">
        <v>55</v>
      </c>
      <c r="I2692" t="s">
        <v>29</v>
      </c>
      <c r="J2692" t="s">
        <v>52</v>
      </c>
      <c r="K2692" s="2">
        <v>6450</v>
      </c>
      <c r="L2692" s="2">
        <v>87000</v>
      </c>
      <c r="M2692">
        <v>24</v>
      </c>
      <c r="N2692" s="3">
        <v>0.71399999999999997</v>
      </c>
      <c r="O2692" t="s">
        <v>16</v>
      </c>
      <c r="Q2692">
        <v>1</v>
      </c>
      <c r="R2692">
        <v>0</v>
      </c>
      <c r="S2692" s="2">
        <v>69500</v>
      </c>
      <c r="T2692" s="4">
        <v>9.7299999999999998E-2</v>
      </c>
      <c r="U2692">
        <v>7</v>
      </c>
      <c r="V2692">
        <v>1</v>
      </c>
      <c r="W2692">
        <v>1</v>
      </c>
    </row>
    <row r="2693" spans="1:23" ht="16.5" x14ac:dyDescent="0.3">
      <c r="A2693" t="s">
        <v>2757</v>
      </c>
      <c r="B2693" s="1">
        <v>45693</v>
      </c>
      <c r="C2693">
        <v>2025</v>
      </c>
      <c r="D2693" t="s">
        <v>24</v>
      </c>
      <c r="E2693" t="s">
        <v>284</v>
      </c>
      <c r="F2693" t="s">
        <v>26</v>
      </c>
      <c r="G2693" t="s">
        <v>51</v>
      </c>
      <c r="H2693" t="s">
        <v>38</v>
      </c>
      <c r="I2693" t="s">
        <v>29</v>
      </c>
      <c r="J2693" t="s">
        <v>35</v>
      </c>
      <c r="K2693" s="2">
        <v>4000</v>
      </c>
      <c r="L2693" s="2">
        <v>20500</v>
      </c>
      <c r="M2693">
        <v>36</v>
      </c>
      <c r="N2693" s="3">
        <v>0.27300000000000002</v>
      </c>
      <c r="O2693" t="s">
        <v>16</v>
      </c>
      <c r="Q2693">
        <v>1</v>
      </c>
      <c r="R2693">
        <v>0</v>
      </c>
      <c r="S2693" s="2">
        <v>20500</v>
      </c>
      <c r="T2693" s="4">
        <v>8.2699999999999996E-2</v>
      </c>
      <c r="U2693">
        <v>8</v>
      </c>
      <c r="V2693">
        <v>0</v>
      </c>
      <c r="W2693">
        <v>1</v>
      </c>
    </row>
    <row r="2694" spans="1:23" ht="16.5" x14ac:dyDescent="0.3">
      <c r="A2694" t="s">
        <v>2758</v>
      </c>
      <c r="B2694" s="1">
        <v>45693</v>
      </c>
      <c r="C2694">
        <v>2025</v>
      </c>
      <c r="D2694" t="s">
        <v>24</v>
      </c>
      <c r="E2694" t="s">
        <v>284</v>
      </c>
      <c r="F2694" t="s">
        <v>26</v>
      </c>
      <c r="G2694" t="s">
        <v>27</v>
      </c>
      <c r="H2694" t="s">
        <v>38</v>
      </c>
      <c r="I2694" t="s">
        <v>29</v>
      </c>
      <c r="J2694" t="s">
        <v>35</v>
      </c>
      <c r="K2694" s="2">
        <v>8750</v>
      </c>
      <c r="L2694" s="2">
        <v>26500</v>
      </c>
      <c r="M2694">
        <v>48</v>
      </c>
      <c r="N2694" s="3">
        <v>0.312</v>
      </c>
      <c r="O2694" t="s">
        <v>17</v>
      </c>
      <c r="P2694" t="s">
        <v>60</v>
      </c>
      <c r="Q2694">
        <v>0</v>
      </c>
      <c r="R2694">
        <v>1</v>
      </c>
      <c r="S2694" s="2">
        <v>0</v>
      </c>
      <c r="T2694" s="4"/>
      <c r="U2694">
        <v>9</v>
      </c>
      <c r="V2694">
        <v>0</v>
      </c>
      <c r="W2694">
        <v>1</v>
      </c>
    </row>
    <row r="2695" spans="1:23" ht="16.5" x14ac:dyDescent="0.3">
      <c r="A2695" t="s">
        <v>2759</v>
      </c>
      <c r="B2695" s="1">
        <v>45693</v>
      </c>
      <c r="C2695">
        <v>2025</v>
      </c>
      <c r="D2695" t="s">
        <v>24</v>
      </c>
      <c r="E2695" t="s">
        <v>284</v>
      </c>
      <c r="F2695" t="s">
        <v>50</v>
      </c>
      <c r="G2695" t="s">
        <v>45</v>
      </c>
      <c r="H2695" t="s">
        <v>38</v>
      </c>
      <c r="I2695" t="s">
        <v>39</v>
      </c>
      <c r="J2695" t="s">
        <v>52</v>
      </c>
      <c r="K2695" s="2">
        <v>6400</v>
      </c>
      <c r="L2695" s="2">
        <v>388500</v>
      </c>
      <c r="M2695">
        <v>240</v>
      </c>
      <c r="N2695" s="3">
        <v>0.51400000000000001</v>
      </c>
      <c r="O2695" t="s">
        <v>16</v>
      </c>
      <c r="Q2695">
        <v>1</v>
      </c>
      <c r="R2695">
        <v>0</v>
      </c>
      <c r="S2695" s="2">
        <v>311000</v>
      </c>
      <c r="T2695" s="4">
        <v>5.0599999999999999E-2</v>
      </c>
      <c r="U2695">
        <v>10</v>
      </c>
      <c r="V2695">
        <v>1</v>
      </c>
      <c r="W2695">
        <v>1</v>
      </c>
    </row>
    <row r="2696" spans="1:23" ht="16.5" x14ac:dyDescent="0.3">
      <c r="A2696" t="s">
        <v>2760</v>
      </c>
      <c r="B2696" s="1">
        <v>45693</v>
      </c>
      <c r="C2696">
        <v>2025</v>
      </c>
      <c r="D2696" t="s">
        <v>24</v>
      </c>
      <c r="E2696" t="s">
        <v>284</v>
      </c>
      <c r="F2696" t="s">
        <v>37</v>
      </c>
      <c r="G2696" t="s">
        <v>27</v>
      </c>
      <c r="H2696" t="s">
        <v>38</v>
      </c>
      <c r="I2696" t="s">
        <v>39</v>
      </c>
      <c r="J2696" t="s">
        <v>35</v>
      </c>
      <c r="K2696" s="2">
        <v>1700</v>
      </c>
      <c r="L2696" s="2">
        <v>5000</v>
      </c>
      <c r="M2696">
        <v>36</v>
      </c>
      <c r="N2696" s="3">
        <v>0.16300000000000001</v>
      </c>
      <c r="O2696" t="s">
        <v>16</v>
      </c>
      <c r="Q2696">
        <v>1</v>
      </c>
      <c r="R2696">
        <v>0</v>
      </c>
      <c r="S2696" s="2">
        <v>5000</v>
      </c>
      <c r="T2696" s="4">
        <v>0.12670000000000001</v>
      </c>
      <c r="U2696">
        <v>2</v>
      </c>
      <c r="V2696">
        <v>1</v>
      </c>
      <c r="W2696">
        <v>1</v>
      </c>
    </row>
    <row r="2697" spans="1:23" ht="16.5" x14ac:dyDescent="0.3">
      <c r="A2697" t="s">
        <v>2761</v>
      </c>
      <c r="B2697" s="1">
        <v>45693</v>
      </c>
      <c r="C2697">
        <v>2025</v>
      </c>
      <c r="D2697" t="s">
        <v>24</v>
      </c>
      <c r="E2697" t="s">
        <v>284</v>
      </c>
      <c r="F2697" t="s">
        <v>37</v>
      </c>
      <c r="G2697" t="s">
        <v>45</v>
      </c>
      <c r="H2697" t="s">
        <v>38</v>
      </c>
      <c r="I2697" t="s">
        <v>39</v>
      </c>
      <c r="J2697" t="s">
        <v>30</v>
      </c>
      <c r="K2697" s="2">
        <v>6350</v>
      </c>
      <c r="L2697" s="2">
        <v>15000</v>
      </c>
      <c r="M2697">
        <v>60</v>
      </c>
      <c r="N2697" s="3">
        <v>0.215</v>
      </c>
      <c r="O2697" t="s">
        <v>17</v>
      </c>
      <c r="P2697" t="s">
        <v>31</v>
      </c>
      <c r="Q2697">
        <v>0</v>
      </c>
      <c r="R2697">
        <v>1</v>
      </c>
      <c r="S2697" s="2">
        <v>0</v>
      </c>
      <c r="T2697" s="4"/>
      <c r="U2697">
        <v>1</v>
      </c>
      <c r="V2697">
        <v>1</v>
      </c>
      <c r="W2697">
        <v>1</v>
      </c>
    </row>
    <row r="2698" spans="1:23" ht="16.5" x14ac:dyDescent="0.3">
      <c r="A2698" t="s">
        <v>2762</v>
      </c>
      <c r="B2698" s="1">
        <v>45694</v>
      </c>
      <c r="C2698">
        <v>2025</v>
      </c>
      <c r="D2698" t="s">
        <v>24</v>
      </c>
      <c r="E2698" t="s">
        <v>284</v>
      </c>
      <c r="F2698" t="s">
        <v>26</v>
      </c>
      <c r="G2698" t="s">
        <v>51</v>
      </c>
      <c r="H2698" t="s">
        <v>55</v>
      </c>
      <c r="I2698" t="s">
        <v>42</v>
      </c>
      <c r="J2698" t="s">
        <v>46</v>
      </c>
      <c r="K2698" s="2">
        <v>7650</v>
      </c>
      <c r="L2698" s="2">
        <v>22500</v>
      </c>
      <c r="M2698">
        <v>36</v>
      </c>
      <c r="N2698" s="3">
        <v>0.29099999999999998</v>
      </c>
      <c r="O2698" t="s">
        <v>16</v>
      </c>
      <c r="Q2698">
        <v>1</v>
      </c>
      <c r="R2698">
        <v>0</v>
      </c>
      <c r="S2698" s="2">
        <v>22500</v>
      </c>
      <c r="T2698" s="4">
        <v>7.1300000000000002E-2</v>
      </c>
      <c r="U2698">
        <v>5</v>
      </c>
      <c r="V2698">
        <v>0</v>
      </c>
      <c r="W2698">
        <v>1</v>
      </c>
    </row>
    <row r="2699" spans="1:23" ht="16.5" x14ac:dyDescent="0.3">
      <c r="A2699" t="s">
        <v>2763</v>
      </c>
      <c r="B2699" s="1">
        <v>45694</v>
      </c>
      <c r="C2699">
        <v>2025</v>
      </c>
      <c r="D2699" t="s">
        <v>24</v>
      </c>
      <c r="E2699" t="s">
        <v>284</v>
      </c>
      <c r="F2699" t="s">
        <v>26</v>
      </c>
      <c r="G2699" t="s">
        <v>45</v>
      </c>
      <c r="H2699" t="s">
        <v>64</v>
      </c>
      <c r="I2699" t="s">
        <v>29</v>
      </c>
      <c r="J2699" t="s">
        <v>35</v>
      </c>
      <c r="K2699" s="2">
        <v>9700</v>
      </c>
      <c r="L2699" s="2">
        <v>23000</v>
      </c>
      <c r="M2699">
        <v>48</v>
      </c>
      <c r="N2699" s="3">
        <v>0.27900000000000003</v>
      </c>
      <c r="O2699" t="s">
        <v>17</v>
      </c>
      <c r="P2699" t="s">
        <v>60</v>
      </c>
      <c r="Q2699">
        <v>0</v>
      </c>
      <c r="R2699">
        <v>1</v>
      </c>
      <c r="S2699" s="2">
        <v>0</v>
      </c>
      <c r="T2699" s="4"/>
      <c r="U2699">
        <v>6</v>
      </c>
      <c r="V2699">
        <v>0</v>
      </c>
      <c r="W2699">
        <v>1</v>
      </c>
    </row>
    <row r="2700" spans="1:23" ht="16.5" x14ac:dyDescent="0.3">
      <c r="A2700" t="s">
        <v>2764</v>
      </c>
      <c r="B2700" s="1">
        <v>45694</v>
      </c>
      <c r="C2700">
        <v>2025</v>
      </c>
      <c r="D2700" t="s">
        <v>24</v>
      </c>
      <c r="E2700" t="s">
        <v>284</v>
      </c>
      <c r="F2700" t="s">
        <v>26</v>
      </c>
      <c r="G2700" t="s">
        <v>51</v>
      </c>
      <c r="H2700" t="s">
        <v>55</v>
      </c>
      <c r="I2700" t="s">
        <v>39</v>
      </c>
      <c r="J2700" t="s">
        <v>43</v>
      </c>
      <c r="K2700" s="2">
        <v>4850</v>
      </c>
      <c r="L2700" s="2">
        <v>12000</v>
      </c>
      <c r="M2700">
        <v>36</v>
      </c>
      <c r="N2700" s="3">
        <v>0.26</v>
      </c>
      <c r="O2700" t="s">
        <v>17</v>
      </c>
      <c r="P2700" t="s">
        <v>31</v>
      </c>
      <c r="Q2700">
        <v>0</v>
      </c>
      <c r="R2700">
        <v>1</v>
      </c>
      <c r="S2700" s="2">
        <v>0</v>
      </c>
      <c r="T2700" s="4"/>
      <c r="U2700">
        <v>9</v>
      </c>
      <c r="V2700">
        <v>0</v>
      </c>
      <c r="W2700">
        <v>1</v>
      </c>
    </row>
    <row r="2701" spans="1:23" ht="16.5" x14ac:dyDescent="0.3">
      <c r="A2701" t="s">
        <v>2765</v>
      </c>
      <c r="B2701" s="1">
        <v>45694</v>
      </c>
      <c r="C2701">
        <v>2025</v>
      </c>
      <c r="D2701" t="s">
        <v>24</v>
      </c>
      <c r="E2701" t="s">
        <v>284</v>
      </c>
      <c r="F2701" t="s">
        <v>37</v>
      </c>
      <c r="G2701" t="s">
        <v>45</v>
      </c>
      <c r="H2701" t="s">
        <v>38</v>
      </c>
      <c r="I2701" t="s">
        <v>29</v>
      </c>
      <c r="J2701" t="s">
        <v>52</v>
      </c>
      <c r="K2701" s="2">
        <v>4950</v>
      </c>
      <c r="L2701" s="2">
        <v>8000</v>
      </c>
      <c r="M2701">
        <v>24</v>
      </c>
      <c r="N2701" s="3">
        <v>0.19700000000000001</v>
      </c>
      <c r="O2701" t="s">
        <v>125</v>
      </c>
      <c r="Q2701">
        <v>0</v>
      </c>
      <c r="R2701">
        <v>0</v>
      </c>
      <c r="S2701" s="2">
        <v>0</v>
      </c>
      <c r="T2701" s="4"/>
      <c r="U2701">
        <v>3</v>
      </c>
      <c r="V2701">
        <v>1</v>
      </c>
      <c r="W2701">
        <v>1</v>
      </c>
    </row>
    <row r="2702" spans="1:23" ht="16.5" x14ac:dyDescent="0.3">
      <c r="A2702" t="s">
        <v>2766</v>
      </c>
      <c r="B2702" s="1">
        <v>45694</v>
      </c>
      <c r="C2702">
        <v>2025</v>
      </c>
      <c r="D2702" t="s">
        <v>24</v>
      </c>
      <c r="E2702" t="s">
        <v>284</v>
      </c>
      <c r="F2702" t="s">
        <v>37</v>
      </c>
      <c r="G2702" t="s">
        <v>45</v>
      </c>
      <c r="H2702" t="s">
        <v>55</v>
      </c>
      <c r="I2702" t="s">
        <v>42</v>
      </c>
      <c r="J2702" t="s">
        <v>35</v>
      </c>
      <c r="K2702" s="2">
        <v>5850</v>
      </c>
      <c r="L2702" s="2">
        <v>11500</v>
      </c>
      <c r="M2702">
        <v>12</v>
      </c>
      <c r="N2702" s="3">
        <v>0.36499999999999999</v>
      </c>
      <c r="O2702" t="s">
        <v>17</v>
      </c>
      <c r="P2702" t="s">
        <v>48</v>
      </c>
      <c r="Q2702">
        <v>0</v>
      </c>
      <c r="R2702">
        <v>1</v>
      </c>
      <c r="S2702" s="2">
        <v>0</v>
      </c>
      <c r="T2702" s="4"/>
      <c r="U2702">
        <v>2</v>
      </c>
      <c r="V2702">
        <v>1</v>
      </c>
      <c r="W2702">
        <v>1</v>
      </c>
    </row>
    <row r="2703" spans="1:23" ht="16.5" x14ac:dyDescent="0.3">
      <c r="A2703" t="s">
        <v>2767</v>
      </c>
      <c r="B2703" s="1">
        <v>45694</v>
      </c>
      <c r="C2703">
        <v>2025</v>
      </c>
      <c r="D2703" t="s">
        <v>24</v>
      </c>
      <c r="E2703" t="s">
        <v>284</v>
      </c>
      <c r="F2703" t="s">
        <v>37</v>
      </c>
      <c r="G2703" t="s">
        <v>33</v>
      </c>
      <c r="H2703" t="s">
        <v>34</v>
      </c>
      <c r="I2703" t="s">
        <v>39</v>
      </c>
      <c r="J2703" t="s">
        <v>30</v>
      </c>
      <c r="K2703" s="2">
        <v>4150</v>
      </c>
      <c r="L2703" s="2">
        <v>11500</v>
      </c>
      <c r="M2703">
        <v>12</v>
      </c>
      <c r="N2703" s="3">
        <v>0.315</v>
      </c>
      <c r="O2703" t="s">
        <v>16</v>
      </c>
      <c r="Q2703">
        <v>1</v>
      </c>
      <c r="R2703">
        <v>0</v>
      </c>
      <c r="S2703" s="2">
        <v>11500</v>
      </c>
      <c r="T2703" s="4">
        <v>0.14449999999999999</v>
      </c>
      <c r="U2703">
        <v>1</v>
      </c>
      <c r="V2703">
        <v>1</v>
      </c>
      <c r="W2703">
        <v>1</v>
      </c>
    </row>
    <row r="2704" spans="1:23" ht="16.5" x14ac:dyDescent="0.3">
      <c r="A2704" t="s">
        <v>2768</v>
      </c>
      <c r="B2704" s="1">
        <v>45694</v>
      </c>
      <c r="C2704">
        <v>2025</v>
      </c>
      <c r="D2704" t="s">
        <v>24</v>
      </c>
      <c r="E2704" t="s">
        <v>284</v>
      </c>
      <c r="F2704" t="s">
        <v>26</v>
      </c>
      <c r="G2704" t="s">
        <v>45</v>
      </c>
      <c r="H2704" t="s">
        <v>38</v>
      </c>
      <c r="I2704" t="s">
        <v>29</v>
      </c>
      <c r="J2704" t="s">
        <v>35</v>
      </c>
      <c r="K2704" s="2">
        <v>3250</v>
      </c>
      <c r="L2704" s="2">
        <v>31500</v>
      </c>
      <c r="M2704">
        <v>36</v>
      </c>
      <c r="N2704" s="3">
        <v>0.48899999999999999</v>
      </c>
      <c r="O2704" t="s">
        <v>17</v>
      </c>
      <c r="P2704" t="s">
        <v>53</v>
      </c>
      <c r="Q2704">
        <v>0</v>
      </c>
      <c r="R2704">
        <v>1</v>
      </c>
      <c r="S2704" s="2">
        <v>0</v>
      </c>
      <c r="T2704" s="4"/>
      <c r="U2704">
        <v>4</v>
      </c>
      <c r="V2704">
        <v>1</v>
      </c>
      <c r="W2704">
        <v>1</v>
      </c>
    </row>
    <row r="2705" spans="1:23" ht="16.5" x14ac:dyDescent="0.3">
      <c r="A2705" t="s">
        <v>2769</v>
      </c>
      <c r="B2705" s="1">
        <v>45694</v>
      </c>
      <c r="C2705">
        <v>2025</v>
      </c>
      <c r="D2705" t="s">
        <v>24</v>
      </c>
      <c r="E2705" t="s">
        <v>284</v>
      </c>
      <c r="F2705" t="s">
        <v>41</v>
      </c>
      <c r="G2705" t="s">
        <v>33</v>
      </c>
      <c r="H2705" t="s">
        <v>38</v>
      </c>
      <c r="I2705" t="s">
        <v>29</v>
      </c>
      <c r="J2705" t="s">
        <v>30</v>
      </c>
      <c r="K2705" s="2">
        <v>6150</v>
      </c>
      <c r="L2705" s="2">
        <v>92000</v>
      </c>
      <c r="M2705">
        <v>60</v>
      </c>
      <c r="N2705" s="3">
        <v>0.378</v>
      </c>
      <c r="O2705" t="s">
        <v>17</v>
      </c>
      <c r="P2705" t="s">
        <v>31</v>
      </c>
      <c r="Q2705">
        <v>0</v>
      </c>
      <c r="R2705">
        <v>1</v>
      </c>
      <c r="S2705" s="2">
        <v>0</v>
      </c>
      <c r="T2705" s="4"/>
      <c r="U2705">
        <v>3</v>
      </c>
      <c r="V2705">
        <v>1</v>
      </c>
      <c r="W2705">
        <v>1</v>
      </c>
    </row>
    <row r="2706" spans="1:23" ht="16.5" x14ac:dyDescent="0.3">
      <c r="A2706" t="s">
        <v>2770</v>
      </c>
      <c r="B2706" s="1">
        <v>45694</v>
      </c>
      <c r="C2706">
        <v>2025</v>
      </c>
      <c r="D2706" t="s">
        <v>24</v>
      </c>
      <c r="E2706" t="s">
        <v>284</v>
      </c>
      <c r="F2706" t="s">
        <v>50</v>
      </c>
      <c r="G2706" t="s">
        <v>45</v>
      </c>
      <c r="H2706" t="s">
        <v>64</v>
      </c>
      <c r="I2706" t="s">
        <v>29</v>
      </c>
      <c r="J2706" t="s">
        <v>30</v>
      </c>
      <c r="K2706" s="2">
        <v>6650</v>
      </c>
      <c r="L2706" s="2">
        <v>252000</v>
      </c>
      <c r="M2706">
        <v>300</v>
      </c>
      <c r="N2706" s="3">
        <v>0.33100000000000002</v>
      </c>
      <c r="O2706" t="s">
        <v>17</v>
      </c>
      <c r="P2706" t="s">
        <v>48</v>
      </c>
      <c r="Q2706">
        <v>0</v>
      </c>
      <c r="R2706">
        <v>1</v>
      </c>
      <c r="S2706" s="2">
        <v>0</v>
      </c>
      <c r="T2706" s="4"/>
      <c r="U2706">
        <v>6</v>
      </c>
      <c r="V2706">
        <v>1</v>
      </c>
      <c r="W2706">
        <v>1</v>
      </c>
    </row>
    <row r="2707" spans="1:23" ht="16.5" x14ac:dyDescent="0.3">
      <c r="A2707" t="s">
        <v>2771</v>
      </c>
      <c r="B2707" s="1">
        <v>45694</v>
      </c>
      <c r="C2707">
        <v>2025</v>
      </c>
      <c r="D2707" t="s">
        <v>24</v>
      </c>
      <c r="E2707" t="s">
        <v>284</v>
      </c>
      <c r="F2707" t="s">
        <v>26</v>
      </c>
      <c r="G2707" t="s">
        <v>33</v>
      </c>
      <c r="H2707" t="s">
        <v>55</v>
      </c>
      <c r="I2707" t="s">
        <v>29</v>
      </c>
      <c r="J2707" t="s">
        <v>35</v>
      </c>
      <c r="K2707" s="2">
        <v>4200</v>
      </c>
      <c r="L2707" s="2">
        <v>47500</v>
      </c>
      <c r="M2707">
        <v>60</v>
      </c>
      <c r="N2707" s="3">
        <v>0.42899999999999999</v>
      </c>
      <c r="O2707" t="s">
        <v>16</v>
      </c>
      <c r="Q2707">
        <v>1</v>
      </c>
      <c r="R2707">
        <v>0</v>
      </c>
      <c r="S2707" s="2">
        <v>47500</v>
      </c>
      <c r="T2707" s="4">
        <v>8.9499999999999996E-2</v>
      </c>
      <c r="U2707">
        <v>3</v>
      </c>
      <c r="V2707">
        <v>1</v>
      </c>
      <c r="W2707">
        <v>1</v>
      </c>
    </row>
    <row r="2708" spans="1:23" ht="16.5" x14ac:dyDescent="0.3">
      <c r="A2708" t="s">
        <v>2772</v>
      </c>
      <c r="B2708" s="1">
        <v>45695</v>
      </c>
      <c r="C2708">
        <v>2025</v>
      </c>
      <c r="D2708" t="s">
        <v>24</v>
      </c>
      <c r="E2708" t="s">
        <v>284</v>
      </c>
      <c r="F2708" t="s">
        <v>37</v>
      </c>
      <c r="G2708" t="s">
        <v>45</v>
      </c>
      <c r="H2708" t="s">
        <v>34</v>
      </c>
      <c r="I2708" t="s">
        <v>39</v>
      </c>
      <c r="J2708" t="s">
        <v>35</v>
      </c>
      <c r="K2708" s="2">
        <v>5200</v>
      </c>
      <c r="L2708" s="2">
        <v>8500</v>
      </c>
      <c r="M2708">
        <v>24</v>
      </c>
      <c r="N2708" s="3">
        <v>0.19800000000000001</v>
      </c>
      <c r="O2708" t="s">
        <v>16</v>
      </c>
      <c r="Q2708">
        <v>1</v>
      </c>
      <c r="R2708">
        <v>0</v>
      </c>
      <c r="S2708" s="2">
        <v>8500</v>
      </c>
      <c r="T2708" s="4">
        <v>0.12280000000000001</v>
      </c>
      <c r="U2708">
        <v>2</v>
      </c>
      <c r="V2708">
        <v>1</v>
      </c>
      <c r="W2708">
        <v>1</v>
      </c>
    </row>
    <row r="2709" spans="1:23" ht="16.5" x14ac:dyDescent="0.3">
      <c r="A2709" t="s">
        <v>2773</v>
      </c>
      <c r="B2709" s="1">
        <v>45695</v>
      </c>
      <c r="C2709">
        <v>2025</v>
      </c>
      <c r="D2709" t="s">
        <v>24</v>
      </c>
      <c r="E2709" t="s">
        <v>284</v>
      </c>
      <c r="F2709" t="s">
        <v>26</v>
      </c>
      <c r="G2709" t="s">
        <v>45</v>
      </c>
      <c r="H2709" t="s">
        <v>38</v>
      </c>
      <c r="I2709" t="s">
        <v>39</v>
      </c>
      <c r="J2709" t="s">
        <v>30</v>
      </c>
      <c r="K2709" s="2">
        <v>5550</v>
      </c>
      <c r="L2709" s="2">
        <v>23000</v>
      </c>
      <c r="M2709">
        <v>48</v>
      </c>
      <c r="N2709" s="3">
        <v>0.20699999999999999</v>
      </c>
      <c r="O2709" t="s">
        <v>16</v>
      </c>
      <c r="Q2709">
        <v>1</v>
      </c>
      <c r="R2709">
        <v>0</v>
      </c>
      <c r="S2709" s="2">
        <v>18500</v>
      </c>
      <c r="T2709" s="4">
        <v>9.2899999999999996E-2</v>
      </c>
      <c r="U2709">
        <v>2</v>
      </c>
      <c r="V2709">
        <v>1</v>
      </c>
      <c r="W2709">
        <v>1</v>
      </c>
    </row>
    <row r="2710" spans="1:23" ht="16.5" x14ac:dyDescent="0.3">
      <c r="A2710" t="s">
        <v>2774</v>
      </c>
      <c r="B2710" s="1">
        <v>45695</v>
      </c>
      <c r="C2710">
        <v>2025</v>
      </c>
      <c r="D2710" t="s">
        <v>24</v>
      </c>
      <c r="E2710" t="s">
        <v>284</v>
      </c>
      <c r="F2710" t="s">
        <v>37</v>
      </c>
      <c r="G2710" t="s">
        <v>33</v>
      </c>
      <c r="H2710" t="s">
        <v>34</v>
      </c>
      <c r="I2710" t="s">
        <v>39</v>
      </c>
      <c r="J2710" t="s">
        <v>35</v>
      </c>
      <c r="K2710" s="2">
        <v>6200</v>
      </c>
      <c r="L2710" s="2">
        <v>11500</v>
      </c>
      <c r="M2710">
        <v>48</v>
      </c>
      <c r="N2710" s="3">
        <v>0.17399999999999999</v>
      </c>
      <c r="O2710" t="s">
        <v>16</v>
      </c>
      <c r="Q2710">
        <v>1</v>
      </c>
      <c r="R2710">
        <v>0</v>
      </c>
      <c r="S2710" s="2">
        <v>10500</v>
      </c>
      <c r="T2710" s="4">
        <v>0.13009999999999999</v>
      </c>
      <c r="U2710">
        <v>1</v>
      </c>
      <c r="V2710">
        <v>1</v>
      </c>
      <c r="W2710">
        <v>1</v>
      </c>
    </row>
    <row r="2711" spans="1:23" ht="16.5" x14ac:dyDescent="0.3">
      <c r="A2711" t="s">
        <v>2775</v>
      </c>
      <c r="B2711" s="1">
        <v>45695</v>
      </c>
      <c r="C2711">
        <v>2025</v>
      </c>
      <c r="D2711" t="s">
        <v>24</v>
      </c>
      <c r="E2711" t="s">
        <v>284</v>
      </c>
      <c r="F2711" t="s">
        <v>41</v>
      </c>
      <c r="G2711" t="s">
        <v>33</v>
      </c>
      <c r="H2711" t="s">
        <v>64</v>
      </c>
      <c r="I2711" t="s">
        <v>29</v>
      </c>
      <c r="J2711" t="s">
        <v>30</v>
      </c>
      <c r="K2711" s="2">
        <v>8850</v>
      </c>
      <c r="L2711" s="2">
        <v>61500</v>
      </c>
      <c r="M2711">
        <v>36</v>
      </c>
      <c r="N2711" s="3">
        <v>0.33200000000000002</v>
      </c>
      <c r="O2711" t="s">
        <v>16</v>
      </c>
      <c r="Q2711">
        <v>1</v>
      </c>
      <c r="R2711">
        <v>0</v>
      </c>
      <c r="S2711" s="2">
        <v>61500</v>
      </c>
      <c r="T2711" s="4">
        <v>0.12670000000000001</v>
      </c>
      <c r="U2711">
        <v>4</v>
      </c>
      <c r="V2711">
        <v>1</v>
      </c>
      <c r="W2711">
        <v>1</v>
      </c>
    </row>
    <row r="2712" spans="1:23" ht="16.5" x14ac:dyDescent="0.3">
      <c r="A2712" t="s">
        <v>2776</v>
      </c>
      <c r="B2712" s="1">
        <v>45695</v>
      </c>
      <c r="C2712">
        <v>2025</v>
      </c>
      <c r="D2712" t="s">
        <v>24</v>
      </c>
      <c r="E2712" t="s">
        <v>284</v>
      </c>
      <c r="F2712" t="s">
        <v>26</v>
      </c>
      <c r="G2712" t="s">
        <v>33</v>
      </c>
      <c r="H2712" t="s">
        <v>34</v>
      </c>
      <c r="I2712" t="s">
        <v>29</v>
      </c>
      <c r="J2712" t="s">
        <v>52</v>
      </c>
      <c r="K2712" s="2">
        <v>7350</v>
      </c>
      <c r="L2712" s="2">
        <v>51500</v>
      </c>
      <c r="M2712">
        <v>60</v>
      </c>
      <c r="N2712" s="3">
        <v>0.30199999999999999</v>
      </c>
      <c r="O2712" t="s">
        <v>16</v>
      </c>
      <c r="Q2712">
        <v>1</v>
      </c>
      <c r="R2712">
        <v>0</v>
      </c>
      <c r="S2712" s="2">
        <v>51500</v>
      </c>
      <c r="T2712" s="4">
        <v>7.4499999999999997E-2</v>
      </c>
      <c r="U2712">
        <v>2</v>
      </c>
      <c r="V2712">
        <v>1</v>
      </c>
      <c r="W2712">
        <v>1</v>
      </c>
    </row>
    <row r="2713" spans="1:23" ht="16.5" x14ac:dyDescent="0.3">
      <c r="A2713" t="s">
        <v>2777</v>
      </c>
      <c r="B2713" s="1">
        <v>45695</v>
      </c>
      <c r="C2713">
        <v>2025</v>
      </c>
      <c r="D2713" t="s">
        <v>24</v>
      </c>
      <c r="E2713" t="s">
        <v>284</v>
      </c>
      <c r="F2713" t="s">
        <v>50</v>
      </c>
      <c r="G2713" t="s">
        <v>45</v>
      </c>
      <c r="H2713" t="s">
        <v>55</v>
      </c>
      <c r="I2713" t="s">
        <v>42</v>
      </c>
      <c r="J2713" t="s">
        <v>43</v>
      </c>
      <c r="K2713" s="2">
        <v>21000</v>
      </c>
      <c r="L2713" s="2">
        <v>303500</v>
      </c>
      <c r="M2713">
        <v>240</v>
      </c>
      <c r="N2713" s="3">
        <v>0.19600000000000001</v>
      </c>
      <c r="O2713" t="s">
        <v>17</v>
      </c>
      <c r="P2713" t="s">
        <v>31</v>
      </c>
      <c r="Q2713">
        <v>0</v>
      </c>
      <c r="R2713">
        <v>1</v>
      </c>
      <c r="S2713" s="2">
        <v>0</v>
      </c>
      <c r="T2713" s="4"/>
      <c r="U2713">
        <v>9</v>
      </c>
      <c r="V2713">
        <v>1</v>
      </c>
      <c r="W2713">
        <v>1</v>
      </c>
    </row>
    <row r="2714" spans="1:23" ht="16.5" x14ac:dyDescent="0.3">
      <c r="A2714" t="s">
        <v>2778</v>
      </c>
      <c r="B2714" s="1">
        <v>45695</v>
      </c>
      <c r="C2714">
        <v>2025</v>
      </c>
      <c r="D2714" t="s">
        <v>24</v>
      </c>
      <c r="E2714" t="s">
        <v>284</v>
      </c>
      <c r="F2714" t="s">
        <v>26</v>
      </c>
      <c r="G2714" t="s">
        <v>45</v>
      </c>
      <c r="H2714" t="s">
        <v>34</v>
      </c>
      <c r="I2714" t="s">
        <v>39</v>
      </c>
      <c r="J2714" t="s">
        <v>35</v>
      </c>
      <c r="K2714" s="2">
        <v>3800</v>
      </c>
      <c r="L2714" s="2">
        <v>23500</v>
      </c>
      <c r="M2714">
        <v>60</v>
      </c>
      <c r="N2714" s="3">
        <v>0.19700000000000001</v>
      </c>
      <c r="O2714" t="s">
        <v>16</v>
      </c>
      <c r="Q2714">
        <v>1</v>
      </c>
      <c r="R2714">
        <v>0</v>
      </c>
      <c r="S2714" s="2">
        <v>21000</v>
      </c>
      <c r="T2714" s="4">
        <v>8.2000000000000003E-2</v>
      </c>
      <c r="U2714">
        <v>3</v>
      </c>
      <c r="V2714">
        <v>1</v>
      </c>
      <c r="W2714">
        <v>1</v>
      </c>
    </row>
    <row r="2715" spans="1:23" ht="16.5" x14ac:dyDescent="0.3">
      <c r="A2715" t="s">
        <v>2779</v>
      </c>
      <c r="B2715" s="1">
        <v>45695</v>
      </c>
      <c r="C2715">
        <v>2025</v>
      </c>
      <c r="D2715" t="s">
        <v>24</v>
      </c>
      <c r="E2715" t="s">
        <v>284</v>
      </c>
      <c r="F2715" t="s">
        <v>37</v>
      </c>
      <c r="G2715" t="s">
        <v>33</v>
      </c>
      <c r="H2715" t="s">
        <v>38</v>
      </c>
      <c r="I2715" t="s">
        <v>39</v>
      </c>
      <c r="J2715" t="s">
        <v>46</v>
      </c>
      <c r="K2715" s="2">
        <v>7550</v>
      </c>
      <c r="L2715" s="2">
        <v>9000</v>
      </c>
      <c r="M2715">
        <v>24</v>
      </c>
      <c r="N2715" s="3">
        <v>0.23300000000000001</v>
      </c>
      <c r="O2715" t="s">
        <v>17</v>
      </c>
      <c r="P2715" t="s">
        <v>60</v>
      </c>
      <c r="Q2715">
        <v>0</v>
      </c>
      <c r="R2715">
        <v>1</v>
      </c>
      <c r="S2715" s="2">
        <v>0</v>
      </c>
      <c r="T2715" s="4"/>
      <c r="U2715">
        <v>5</v>
      </c>
      <c r="V2715">
        <v>0</v>
      </c>
      <c r="W2715">
        <v>1</v>
      </c>
    </row>
    <row r="2716" spans="1:23" ht="16.5" x14ac:dyDescent="0.3">
      <c r="A2716" t="s">
        <v>2780</v>
      </c>
      <c r="B2716" s="1">
        <v>45695</v>
      </c>
      <c r="C2716">
        <v>2025</v>
      </c>
      <c r="D2716" t="s">
        <v>24</v>
      </c>
      <c r="E2716" t="s">
        <v>284</v>
      </c>
      <c r="F2716" t="s">
        <v>37</v>
      </c>
      <c r="G2716" t="s">
        <v>45</v>
      </c>
      <c r="H2716" t="s">
        <v>34</v>
      </c>
      <c r="I2716" t="s">
        <v>29</v>
      </c>
      <c r="J2716" t="s">
        <v>52</v>
      </c>
      <c r="K2716" s="2">
        <v>13550</v>
      </c>
      <c r="L2716" s="2">
        <v>12000</v>
      </c>
      <c r="M2716">
        <v>12</v>
      </c>
      <c r="N2716" s="3">
        <v>0.26700000000000002</v>
      </c>
      <c r="O2716" t="s">
        <v>17</v>
      </c>
      <c r="P2716" t="s">
        <v>60</v>
      </c>
      <c r="Q2716">
        <v>0</v>
      </c>
      <c r="R2716">
        <v>1</v>
      </c>
      <c r="S2716" s="2">
        <v>0</v>
      </c>
      <c r="T2716" s="4"/>
      <c r="U2716">
        <v>5</v>
      </c>
      <c r="V2716">
        <v>0</v>
      </c>
      <c r="W2716">
        <v>1</v>
      </c>
    </row>
    <row r="2717" spans="1:23" ht="16.5" x14ac:dyDescent="0.3">
      <c r="A2717" t="s">
        <v>2781</v>
      </c>
      <c r="B2717" s="1">
        <v>45695</v>
      </c>
      <c r="C2717">
        <v>2025</v>
      </c>
      <c r="D2717" t="s">
        <v>24</v>
      </c>
      <c r="E2717" t="s">
        <v>284</v>
      </c>
      <c r="F2717" t="s">
        <v>37</v>
      </c>
      <c r="G2717" t="s">
        <v>45</v>
      </c>
      <c r="H2717" t="s">
        <v>64</v>
      </c>
      <c r="I2717" t="s">
        <v>39</v>
      </c>
      <c r="J2717" t="s">
        <v>43</v>
      </c>
      <c r="K2717" s="2">
        <v>4550</v>
      </c>
      <c r="L2717" s="2">
        <v>6000</v>
      </c>
      <c r="M2717">
        <v>24</v>
      </c>
      <c r="N2717" s="3">
        <v>0.23200000000000001</v>
      </c>
      <c r="O2717" t="s">
        <v>16</v>
      </c>
      <c r="Q2717">
        <v>1</v>
      </c>
      <c r="R2717">
        <v>0</v>
      </c>
      <c r="S2717" s="2">
        <v>5500</v>
      </c>
      <c r="T2717" s="4">
        <v>0.1542</v>
      </c>
      <c r="U2717">
        <v>2</v>
      </c>
      <c r="V2717">
        <v>1</v>
      </c>
      <c r="W2717">
        <v>1</v>
      </c>
    </row>
    <row r="2718" spans="1:23" ht="16.5" x14ac:dyDescent="0.3">
      <c r="A2718" t="s">
        <v>2782</v>
      </c>
      <c r="B2718" s="1">
        <v>45695</v>
      </c>
      <c r="C2718">
        <v>2025</v>
      </c>
      <c r="D2718" t="s">
        <v>24</v>
      </c>
      <c r="E2718" t="s">
        <v>284</v>
      </c>
      <c r="F2718" t="s">
        <v>26</v>
      </c>
      <c r="G2718" t="s">
        <v>45</v>
      </c>
      <c r="H2718" t="s">
        <v>55</v>
      </c>
      <c r="I2718" t="s">
        <v>29</v>
      </c>
      <c r="J2718" t="s">
        <v>30</v>
      </c>
      <c r="K2718" s="2">
        <v>3950</v>
      </c>
      <c r="L2718" s="2">
        <v>10500</v>
      </c>
      <c r="M2718">
        <v>60</v>
      </c>
      <c r="N2718" s="3">
        <v>0.107</v>
      </c>
      <c r="O2718" t="s">
        <v>16</v>
      </c>
      <c r="Q2718">
        <v>1</v>
      </c>
      <c r="R2718">
        <v>0</v>
      </c>
      <c r="S2718" s="2">
        <v>10500</v>
      </c>
      <c r="T2718" s="4">
        <v>0.1021</v>
      </c>
      <c r="U2718">
        <v>2</v>
      </c>
      <c r="V2718">
        <v>1</v>
      </c>
      <c r="W2718">
        <v>1</v>
      </c>
    </row>
    <row r="2719" spans="1:23" ht="16.5" x14ac:dyDescent="0.3">
      <c r="A2719" t="s">
        <v>2783</v>
      </c>
      <c r="B2719" s="1">
        <v>45695</v>
      </c>
      <c r="C2719">
        <v>2025</v>
      </c>
      <c r="D2719" t="s">
        <v>24</v>
      </c>
      <c r="E2719" t="s">
        <v>284</v>
      </c>
      <c r="F2719" t="s">
        <v>37</v>
      </c>
      <c r="G2719" t="s">
        <v>51</v>
      </c>
      <c r="H2719" t="s">
        <v>34</v>
      </c>
      <c r="I2719" t="s">
        <v>29</v>
      </c>
      <c r="J2719" t="s">
        <v>43</v>
      </c>
      <c r="K2719" s="2">
        <v>3700</v>
      </c>
      <c r="L2719" s="2">
        <v>17000</v>
      </c>
      <c r="M2719">
        <v>48</v>
      </c>
      <c r="N2719" s="3">
        <v>0.252</v>
      </c>
      <c r="O2719" t="s">
        <v>17</v>
      </c>
      <c r="P2719" t="s">
        <v>31</v>
      </c>
      <c r="Q2719">
        <v>0</v>
      </c>
      <c r="R2719">
        <v>1</v>
      </c>
      <c r="S2719" s="2">
        <v>0</v>
      </c>
      <c r="T2719" s="4"/>
      <c r="U2719">
        <v>3</v>
      </c>
      <c r="V2719">
        <v>1</v>
      </c>
      <c r="W2719">
        <v>1</v>
      </c>
    </row>
    <row r="2720" spans="1:23" ht="16.5" x14ac:dyDescent="0.3">
      <c r="A2720" t="s">
        <v>2784</v>
      </c>
      <c r="B2720" s="1">
        <v>45696</v>
      </c>
      <c r="C2720">
        <v>2025</v>
      </c>
      <c r="D2720" t="s">
        <v>24</v>
      </c>
      <c r="E2720" t="s">
        <v>284</v>
      </c>
      <c r="F2720" t="s">
        <v>26</v>
      </c>
      <c r="G2720" t="s">
        <v>45</v>
      </c>
      <c r="H2720" t="s">
        <v>34</v>
      </c>
      <c r="I2720" t="s">
        <v>29</v>
      </c>
      <c r="J2720" t="s">
        <v>35</v>
      </c>
      <c r="K2720" s="2">
        <v>6050</v>
      </c>
      <c r="L2720" s="2">
        <v>48500</v>
      </c>
      <c r="M2720">
        <v>60</v>
      </c>
      <c r="N2720" s="3">
        <v>0.21299999999999999</v>
      </c>
      <c r="O2720" t="s">
        <v>16</v>
      </c>
      <c r="Q2720">
        <v>1</v>
      </c>
      <c r="R2720">
        <v>0</v>
      </c>
      <c r="S2720" s="2">
        <v>39000</v>
      </c>
      <c r="T2720" s="4">
        <v>8.4599999999999995E-2</v>
      </c>
      <c r="U2720">
        <v>2</v>
      </c>
      <c r="V2720">
        <v>1</v>
      </c>
      <c r="W2720">
        <v>1</v>
      </c>
    </row>
    <row r="2721" spans="1:23" ht="16.5" x14ac:dyDescent="0.3">
      <c r="A2721" t="s">
        <v>2785</v>
      </c>
      <c r="B2721" s="1">
        <v>45696</v>
      </c>
      <c r="C2721">
        <v>2025</v>
      </c>
      <c r="D2721" t="s">
        <v>24</v>
      </c>
      <c r="E2721" t="s">
        <v>284</v>
      </c>
      <c r="F2721" t="s">
        <v>37</v>
      </c>
      <c r="G2721" t="s">
        <v>45</v>
      </c>
      <c r="H2721" t="s">
        <v>38</v>
      </c>
      <c r="I2721" t="s">
        <v>29</v>
      </c>
      <c r="J2721" t="s">
        <v>30</v>
      </c>
      <c r="K2721" s="2">
        <v>8750</v>
      </c>
      <c r="L2721" s="2">
        <v>11000</v>
      </c>
      <c r="M2721">
        <v>60</v>
      </c>
      <c r="N2721" s="3">
        <v>0.23</v>
      </c>
      <c r="O2721" t="s">
        <v>16</v>
      </c>
      <c r="Q2721">
        <v>1</v>
      </c>
      <c r="R2721">
        <v>0</v>
      </c>
      <c r="S2721" s="2">
        <v>11000</v>
      </c>
      <c r="T2721" s="4">
        <v>0.1447</v>
      </c>
      <c r="U2721">
        <v>2</v>
      </c>
      <c r="V2721">
        <v>1</v>
      </c>
      <c r="W2721">
        <v>1</v>
      </c>
    </row>
    <row r="2722" spans="1:23" ht="16.5" x14ac:dyDescent="0.3">
      <c r="A2722" t="s">
        <v>2786</v>
      </c>
      <c r="B2722" s="1">
        <v>45696</v>
      </c>
      <c r="C2722">
        <v>2025</v>
      </c>
      <c r="D2722" t="s">
        <v>24</v>
      </c>
      <c r="E2722" t="s">
        <v>284</v>
      </c>
      <c r="F2722" t="s">
        <v>37</v>
      </c>
      <c r="G2722" t="s">
        <v>45</v>
      </c>
      <c r="H2722" t="s">
        <v>55</v>
      </c>
      <c r="I2722" t="s">
        <v>42</v>
      </c>
      <c r="J2722" t="s">
        <v>30</v>
      </c>
      <c r="K2722" s="2">
        <v>6800</v>
      </c>
      <c r="L2722" s="2">
        <v>10500</v>
      </c>
      <c r="M2722">
        <v>12</v>
      </c>
      <c r="N2722" s="3">
        <v>0.22500000000000001</v>
      </c>
      <c r="O2722" t="s">
        <v>16</v>
      </c>
      <c r="Q2722">
        <v>1</v>
      </c>
      <c r="R2722">
        <v>0</v>
      </c>
      <c r="S2722" s="2">
        <v>9500</v>
      </c>
      <c r="T2722" s="4">
        <v>0.13769999999999999</v>
      </c>
      <c r="U2722">
        <v>2</v>
      </c>
      <c r="V2722">
        <v>1</v>
      </c>
      <c r="W2722">
        <v>1</v>
      </c>
    </row>
    <row r="2723" spans="1:23" ht="16.5" x14ac:dyDescent="0.3">
      <c r="A2723" t="s">
        <v>2787</v>
      </c>
      <c r="B2723" s="1">
        <v>45696</v>
      </c>
      <c r="C2723">
        <v>2025</v>
      </c>
      <c r="D2723" t="s">
        <v>24</v>
      </c>
      <c r="E2723" t="s">
        <v>284</v>
      </c>
      <c r="F2723" t="s">
        <v>41</v>
      </c>
      <c r="G2723" t="s">
        <v>27</v>
      </c>
      <c r="H2723" t="s">
        <v>55</v>
      </c>
      <c r="I2723" t="s">
        <v>29</v>
      </c>
      <c r="J2723" t="s">
        <v>35</v>
      </c>
      <c r="K2723" s="2">
        <v>11900</v>
      </c>
      <c r="L2723" s="2">
        <v>213500</v>
      </c>
      <c r="M2723">
        <v>12</v>
      </c>
      <c r="N2723" s="3">
        <v>1.6879999999999999</v>
      </c>
      <c r="O2723" t="s">
        <v>17</v>
      </c>
      <c r="P2723" t="s">
        <v>53</v>
      </c>
      <c r="Q2723">
        <v>0</v>
      </c>
      <c r="R2723">
        <v>1</v>
      </c>
      <c r="S2723" s="2">
        <v>0</v>
      </c>
      <c r="T2723" s="4"/>
      <c r="U2723">
        <v>14</v>
      </c>
      <c r="V2723">
        <v>0</v>
      </c>
      <c r="W2723">
        <v>1</v>
      </c>
    </row>
    <row r="2724" spans="1:23" ht="16.5" x14ac:dyDescent="0.3">
      <c r="A2724" t="s">
        <v>2788</v>
      </c>
      <c r="B2724" s="1">
        <v>45696</v>
      </c>
      <c r="C2724">
        <v>2025</v>
      </c>
      <c r="D2724" t="s">
        <v>24</v>
      </c>
      <c r="E2724" t="s">
        <v>284</v>
      </c>
      <c r="F2724" t="s">
        <v>50</v>
      </c>
      <c r="G2724" t="s">
        <v>27</v>
      </c>
      <c r="H2724" t="s">
        <v>55</v>
      </c>
      <c r="I2724" t="s">
        <v>42</v>
      </c>
      <c r="J2724" t="s">
        <v>35</v>
      </c>
      <c r="K2724" s="2">
        <v>3550</v>
      </c>
      <c r="L2724" s="2">
        <v>204000</v>
      </c>
      <c r="M2724">
        <v>300</v>
      </c>
      <c r="N2724" s="3">
        <v>0.501</v>
      </c>
      <c r="O2724" t="s">
        <v>16</v>
      </c>
      <c r="Q2724">
        <v>1</v>
      </c>
      <c r="R2724">
        <v>0</v>
      </c>
      <c r="S2724" s="2">
        <v>163000</v>
      </c>
      <c r="T2724" s="4">
        <v>6.2600000000000003E-2</v>
      </c>
      <c r="U2724">
        <v>17</v>
      </c>
      <c r="V2724">
        <v>0</v>
      </c>
      <c r="W2724">
        <v>1</v>
      </c>
    </row>
    <row r="2725" spans="1:23" ht="16.5" x14ac:dyDescent="0.3">
      <c r="A2725" t="s">
        <v>2789</v>
      </c>
      <c r="B2725" s="1">
        <v>45697</v>
      </c>
      <c r="C2725">
        <v>2025</v>
      </c>
      <c r="D2725" t="s">
        <v>24</v>
      </c>
      <c r="E2725" t="s">
        <v>284</v>
      </c>
      <c r="F2725" t="s">
        <v>50</v>
      </c>
      <c r="G2725" t="s">
        <v>45</v>
      </c>
      <c r="H2725" t="s">
        <v>55</v>
      </c>
      <c r="I2725" t="s">
        <v>39</v>
      </c>
      <c r="J2725" t="s">
        <v>43</v>
      </c>
      <c r="K2725" s="2">
        <v>4950</v>
      </c>
      <c r="L2725" s="2">
        <v>434000</v>
      </c>
      <c r="M2725">
        <v>240</v>
      </c>
      <c r="N2725" s="3">
        <v>0.71699999999999997</v>
      </c>
      <c r="O2725" t="s">
        <v>16</v>
      </c>
      <c r="Q2725">
        <v>1</v>
      </c>
      <c r="R2725">
        <v>0</v>
      </c>
      <c r="S2725" s="2">
        <v>434000</v>
      </c>
      <c r="T2725" s="4">
        <v>9.3299999999999994E-2</v>
      </c>
      <c r="U2725">
        <v>9</v>
      </c>
      <c r="V2725">
        <v>1</v>
      </c>
      <c r="W2725">
        <v>1</v>
      </c>
    </row>
    <row r="2726" spans="1:23" ht="16.5" x14ac:dyDescent="0.3">
      <c r="A2726" t="s">
        <v>2790</v>
      </c>
      <c r="B2726" s="1">
        <v>45697</v>
      </c>
      <c r="C2726">
        <v>2025</v>
      </c>
      <c r="D2726" t="s">
        <v>24</v>
      </c>
      <c r="E2726" t="s">
        <v>284</v>
      </c>
      <c r="F2726" t="s">
        <v>26</v>
      </c>
      <c r="G2726" t="s">
        <v>27</v>
      </c>
      <c r="H2726" t="s">
        <v>38</v>
      </c>
      <c r="I2726" t="s">
        <v>29</v>
      </c>
      <c r="J2726" t="s">
        <v>46</v>
      </c>
      <c r="K2726" s="2">
        <v>5500</v>
      </c>
      <c r="L2726" s="2">
        <v>16000</v>
      </c>
      <c r="M2726">
        <v>48</v>
      </c>
      <c r="N2726" s="3">
        <v>0.17799999999999999</v>
      </c>
      <c r="O2726" t="s">
        <v>17</v>
      </c>
      <c r="P2726" t="s">
        <v>60</v>
      </c>
      <c r="Q2726">
        <v>0</v>
      </c>
      <c r="R2726">
        <v>1</v>
      </c>
      <c r="S2726" s="2">
        <v>0</v>
      </c>
      <c r="T2726" s="4"/>
      <c r="U2726">
        <v>7</v>
      </c>
      <c r="V2726">
        <v>0</v>
      </c>
      <c r="W2726">
        <v>1</v>
      </c>
    </row>
    <row r="2727" spans="1:23" ht="16.5" x14ac:dyDescent="0.3">
      <c r="A2727" t="s">
        <v>2791</v>
      </c>
      <c r="B2727" s="1">
        <v>45697</v>
      </c>
      <c r="C2727">
        <v>2025</v>
      </c>
      <c r="D2727" t="s">
        <v>24</v>
      </c>
      <c r="E2727" t="s">
        <v>284</v>
      </c>
      <c r="F2727" t="s">
        <v>41</v>
      </c>
      <c r="G2727" t="s">
        <v>45</v>
      </c>
      <c r="H2727" t="s">
        <v>38</v>
      </c>
      <c r="I2727" t="s">
        <v>29</v>
      </c>
      <c r="J2727" t="s">
        <v>35</v>
      </c>
      <c r="K2727" s="2">
        <v>6650</v>
      </c>
      <c r="L2727" s="2">
        <v>85000</v>
      </c>
      <c r="M2727">
        <v>12</v>
      </c>
      <c r="N2727" s="3">
        <v>1.34</v>
      </c>
      <c r="O2727" t="s">
        <v>17</v>
      </c>
      <c r="P2727" t="s">
        <v>53</v>
      </c>
      <c r="Q2727">
        <v>0</v>
      </c>
      <c r="R2727">
        <v>1</v>
      </c>
      <c r="S2727" s="2">
        <v>0</v>
      </c>
      <c r="T2727" s="4"/>
      <c r="U2727">
        <v>4</v>
      </c>
      <c r="V2727">
        <v>1</v>
      </c>
      <c r="W2727">
        <v>1</v>
      </c>
    </row>
    <row r="2728" spans="1:23" ht="16.5" x14ac:dyDescent="0.3">
      <c r="A2728" t="s">
        <v>2792</v>
      </c>
      <c r="B2728" s="1">
        <v>45697</v>
      </c>
      <c r="C2728">
        <v>2025</v>
      </c>
      <c r="D2728" t="s">
        <v>24</v>
      </c>
      <c r="E2728" t="s">
        <v>284</v>
      </c>
      <c r="F2728" t="s">
        <v>26</v>
      </c>
      <c r="G2728" t="s">
        <v>33</v>
      </c>
      <c r="H2728" t="s">
        <v>34</v>
      </c>
      <c r="I2728" t="s">
        <v>29</v>
      </c>
      <c r="J2728" t="s">
        <v>46</v>
      </c>
      <c r="K2728" s="2">
        <v>5900</v>
      </c>
      <c r="L2728" s="2">
        <v>36500</v>
      </c>
      <c r="M2728">
        <v>60</v>
      </c>
      <c r="N2728" s="3">
        <v>0.189</v>
      </c>
      <c r="O2728" t="s">
        <v>16</v>
      </c>
      <c r="Q2728">
        <v>1</v>
      </c>
      <c r="R2728">
        <v>0</v>
      </c>
      <c r="S2728" s="2">
        <v>29000</v>
      </c>
      <c r="T2728" s="4">
        <v>6.08E-2</v>
      </c>
      <c r="U2728">
        <v>2</v>
      </c>
      <c r="V2728">
        <v>1</v>
      </c>
      <c r="W2728">
        <v>1</v>
      </c>
    </row>
    <row r="2729" spans="1:23" ht="16.5" x14ac:dyDescent="0.3">
      <c r="A2729" t="s">
        <v>2793</v>
      </c>
      <c r="B2729" s="1">
        <v>45697</v>
      </c>
      <c r="C2729">
        <v>2025</v>
      </c>
      <c r="D2729" t="s">
        <v>24</v>
      </c>
      <c r="E2729" t="s">
        <v>284</v>
      </c>
      <c r="F2729" t="s">
        <v>41</v>
      </c>
      <c r="G2729" t="s">
        <v>33</v>
      </c>
      <c r="H2729" t="s">
        <v>28</v>
      </c>
      <c r="I2729" t="s">
        <v>39</v>
      </c>
      <c r="J2729" t="s">
        <v>35</v>
      </c>
      <c r="K2729" s="2">
        <v>5600</v>
      </c>
      <c r="L2729" s="2">
        <v>54000</v>
      </c>
      <c r="M2729">
        <v>12</v>
      </c>
      <c r="N2729" s="3">
        <v>0.93300000000000005</v>
      </c>
      <c r="O2729" t="s">
        <v>17</v>
      </c>
      <c r="P2729" t="s">
        <v>53</v>
      </c>
      <c r="Q2729">
        <v>0</v>
      </c>
      <c r="R2729">
        <v>1</v>
      </c>
      <c r="S2729" s="2">
        <v>0</v>
      </c>
      <c r="T2729" s="4"/>
      <c r="U2729">
        <v>3</v>
      </c>
      <c r="V2729">
        <v>1</v>
      </c>
      <c r="W2729">
        <v>1</v>
      </c>
    </row>
    <row r="2730" spans="1:23" ht="16.5" x14ac:dyDescent="0.3">
      <c r="A2730" t="s">
        <v>2794</v>
      </c>
      <c r="B2730" s="1">
        <v>45698</v>
      </c>
      <c r="C2730">
        <v>2025</v>
      </c>
      <c r="D2730" t="s">
        <v>24</v>
      </c>
      <c r="E2730" t="s">
        <v>284</v>
      </c>
      <c r="F2730" t="s">
        <v>41</v>
      </c>
      <c r="G2730" t="s">
        <v>33</v>
      </c>
      <c r="H2730" t="s">
        <v>55</v>
      </c>
      <c r="I2730" t="s">
        <v>39</v>
      </c>
      <c r="J2730" t="s">
        <v>35</v>
      </c>
      <c r="K2730" s="2">
        <v>14000</v>
      </c>
      <c r="L2730" s="2">
        <v>93000</v>
      </c>
      <c r="M2730">
        <v>24</v>
      </c>
      <c r="N2730" s="3">
        <v>0.54800000000000004</v>
      </c>
      <c r="O2730" t="s">
        <v>16</v>
      </c>
      <c r="Q2730">
        <v>1</v>
      </c>
      <c r="R2730">
        <v>0</v>
      </c>
      <c r="S2730" s="2">
        <v>93000</v>
      </c>
      <c r="T2730" s="4">
        <v>0.1105</v>
      </c>
      <c r="U2730">
        <v>6</v>
      </c>
      <c r="V2730">
        <v>1</v>
      </c>
      <c r="W2730">
        <v>1</v>
      </c>
    </row>
    <row r="2731" spans="1:23" ht="16.5" x14ac:dyDescent="0.3">
      <c r="A2731" t="s">
        <v>2795</v>
      </c>
      <c r="B2731" s="1">
        <v>45698</v>
      </c>
      <c r="C2731">
        <v>2025</v>
      </c>
      <c r="D2731" t="s">
        <v>24</v>
      </c>
      <c r="E2731" t="s">
        <v>284</v>
      </c>
      <c r="F2731" t="s">
        <v>37</v>
      </c>
      <c r="G2731" t="s">
        <v>51</v>
      </c>
      <c r="H2731" t="s">
        <v>34</v>
      </c>
      <c r="I2731" t="s">
        <v>29</v>
      </c>
      <c r="J2731" t="s">
        <v>35</v>
      </c>
      <c r="K2731" s="2">
        <v>5950</v>
      </c>
      <c r="L2731" s="2">
        <v>15500</v>
      </c>
      <c r="M2731">
        <v>36</v>
      </c>
      <c r="N2731" s="3">
        <v>0.184</v>
      </c>
      <c r="O2731" t="s">
        <v>16</v>
      </c>
      <c r="Q2731">
        <v>1</v>
      </c>
      <c r="R2731">
        <v>0</v>
      </c>
      <c r="S2731" s="2">
        <v>14000</v>
      </c>
      <c r="T2731" s="4">
        <v>0.1221</v>
      </c>
      <c r="U2731">
        <v>6</v>
      </c>
      <c r="V2731">
        <v>0</v>
      </c>
      <c r="W2731">
        <v>1</v>
      </c>
    </row>
    <row r="2732" spans="1:23" ht="16.5" x14ac:dyDescent="0.3">
      <c r="A2732" t="s">
        <v>2796</v>
      </c>
      <c r="B2732" s="1">
        <v>45698</v>
      </c>
      <c r="C2732">
        <v>2025</v>
      </c>
      <c r="D2732" t="s">
        <v>24</v>
      </c>
      <c r="E2732" t="s">
        <v>284</v>
      </c>
      <c r="F2732" t="s">
        <v>50</v>
      </c>
      <c r="G2732" t="s">
        <v>45</v>
      </c>
      <c r="H2732" t="s">
        <v>38</v>
      </c>
      <c r="I2732" t="s">
        <v>29</v>
      </c>
      <c r="J2732" t="s">
        <v>35</v>
      </c>
      <c r="K2732" s="2">
        <v>5800</v>
      </c>
      <c r="L2732" s="2">
        <v>188500</v>
      </c>
      <c r="M2732">
        <v>240</v>
      </c>
      <c r="N2732" s="3">
        <v>0.27100000000000002</v>
      </c>
      <c r="O2732" t="s">
        <v>16</v>
      </c>
      <c r="Q2732">
        <v>1</v>
      </c>
      <c r="R2732">
        <v>0</v>
      </c>
      <c r="S2732" s="2">
        <v>188500</v>
      </c>
      <c r="T2732" s="4">
        <v>5.8999999999999997E-2</v>
      </c>
      <c r="U2732">
        <v>6</v>
      </c>
      <c r="V2732">
        <v>1</v>
      </c>
      <c r="W2732">
        <v>1</v>
      </c>
    </row>
    <row r="2733" spans="1:23" ht="16.5" x14ac:dyDescent="0.3">
      <c r="A2733" t="s">
        <v>2797</v>
      </c>
      <c r="B2733" s="1">
        <v>45698</v>
      </c>
      <c r="C2733">
        <v>2025</v>
      </c>
      <c r="D2733" t="s">
        <v>24</v>
      </c>
      <c r="E2733" t="s">
        <v>284</v>
      </c>
      <c r="F2733" t="s">
        <v>26</v>
      </c>
      <c r="G2733" t="s">
        <v>33</v>
      </c>
      <c r="H2733" t="s">
        <v>55</v>
      </c>
      <c r="I2733" t="s">
        <v>39</v>
      </c>
      <c r="J2733" t="s">
        <v>35</v>
      </c>
      <c r="K2733" s="2">
        <v>4400</v>
      </c>
      <c r="L2733" s="2">
        <v>20500</v>
      </c>
      <c r="M2733">
        <v>48</v>
      </c>
      <c r="N2733" s="3">
        <v>0.191</v>
      </c>
      <c r="O2733" t="s">
        <v>17</v>
      </c>
      <c r="P2733" t="s">
        <v>60</v>
      </c>
      <c r="Q2733">
        <v>0</v>
      </c>
      <c r="R2733">
        <v>1</v>
      </c>
      <c r="S2733" s="2">
        <v>0</v>
      </c>
      <c r="T2733" s="4"/>
      <c r="U2733">
        <v>5</v>
      </c>
      <c r="V2733">
        <v>0</v>
      </c>
      <c r="W2733">
        <v>1</v>
      </c>
    </row>
    <row r="2734" spans="1:23" ht="16.5" x14ac:dyDescent="0.3">
      <c r="A2734" t="s">
        <v>2798</v>
      </c>
      <c r="B2734" s="1">
        <v>45698</v>
      </c>
      <c r="C2734">
        <v>2025</v>
      </c>
      <c r="D2734" t="s">
        <v>24</v>
      </c>
      <c r="E2734" t="s">
        <v>284</v>
      </c>
      <c r="F2734" t="s">
        <v>41</v>
      </c>
      <c r="G2734" t="s">
        <v>45</v>
      </c>
      <c r="H2734" t="s">
        <v>55</v>
      </c>
      <c r="I2734" t="s">
        <v>39</v>
      </c>
      <c r="J2734" t="s">
        <v>35</v>
      </c>
      <c r="K2734" s="2">
        <v>7850</v>
      </c>
      <c r="L2734" s="2">
        <v>104500</v>
      </c>
      <c r="M2734">
        <v>24</v>
      </c>
      <c r="N2734" s="3">
        <v>0.86099999999999999</v>
      </c>
      <c r="O2734" t="s">
        <v>17</v>
      </c>
      <c r="P2734" t="s">
        <v>53</v>
      </c>
      <c r="Q2734">
        <v>0</v>
      </c>
      <c r="R2734">
        <v>1</v>
      </c>
      <c r="S2734" s="2">
        <v>0</v>
      </c>
      <c r="T2734" s="4"/>
      <c r="U2734">
        <v>11</v>
      </c>
      <c r="V2734">
        <v>0</v>
      </c>
      <c r="W2734">
        <v>1</v>
      </c>
    </row>
    <row r="2735" spans="1:23" ht="16.5" x14ac:dyDescent="0.3">
      <c r="A2735" t="s">
        <v>2799</v>
      </c>
      <c r="B2735" s="1">
        <v>45698</v>
      </c>
      <c r="C2735">
        <v>2025</v>
      </c>
      <c r="D2735" t="s">
        <v>24</v>
      </c>
      <c r="E2735" t="s">
        <v>284</v>
      </c>
      <c r="F2735" t="s">
        <v>37</v>
      </c>
      <c r="G2735" t="s">
        <v>27</v>
      </c>
      <c r="H2735" t="s">
        <v>38</v>
      </c>
      <c r="I2735" t="s">
        <v>39</v>
      </c>
      <c r="J2735" t="s">
        <v>35</v>
      </c>
      <c r="K2735" s="2">
        <v>3100</v>
      </c>
      <c r="L2735" s="2">
        <v>11000</v>
      </c>
      <c r="M2735">
        <v>12</v>
      </c>
      <c r="N2735" s="3">
        <v>0.41</v>
      </c>
      <c r="O2735" t="s">
        <v>16</v>
      </c>
      <c r="Q2735">
        <v>1</v>
      </c>
      <c r="R2735">
        <v>0</v>
      </c>
      <c r="S2735" s="2">
        <v>11000</v>
      </c>
      <c r="T2735" s="4">
        <v>0.127</v>
      </c>
      <c r="U2735">
        <v>4</v>
      </c>
      <c r="V2735">
        <v>0</v>
      </c>
      <c r="W2735">
        <v>1</v>
      </c>
    </row>
    <row r="2736" spans="1:23" ht="16.5" x14ac:dyDescent="0.3">
      <c r="A2736" t="s">
        <v>2800</v>
      </c>
      <c r="B2736" s="1">
        <v>45698</v>
      </c>
      <c r="C2736">
        <v>2025</v>
      </c>
      <c r="D2736" t="s">
        <v>24</v>
      </c>
      <c r="E2736" t="s">
        <v>284</v>
      </c>
      <c r="F2736" t="s">
        <v>37</v>
      </c>
      <c r="G2736" t="s">
        <v>51</v>
      </c>
      <c r="H2736" t="s">
        <v>55</v>
      </c>
      <c r="I2736" t="s">
        <v>42</v>
      </c>
      <c r="J2736" t="s">
        <v>30</v>
      </c>
      <c r="K2736" s="2">
        <v>5150</v>
      </c>
      <c r="L2736" s="2">
        <v>7500</v>
      </c>
      <c r="M2736">
        <v>60</v>
      </c>
      <c r="N2736" s="3">
        <v>0.12</v>
      </c>
      <c r="O2736" t="s">
        <v>17</v>
      </c>
      <c r="P2736" t="s">
        <v>31</v>
      </c>
      <c r="Q2736">
        <v>0</v>
      </c>
      <c r="R2736">
        <v>1</v>
      </c>
      <c r="S2736" s="2">
        <v>0</v>
      </c>
      <c r="T2736" s="4"/>
      <c r="U2736">
        <v>4</v>
      </c>
      <c r="V2736">
        <v>0</v>
      </c>
      <c r="W2736">
        <v>1</v>
      </c>
    </row>
    <row r="2737" spans="1:23" ht="16.5" x14ac:dyDescent="0.3">
      <c r="A2737" t="s">
        <v>2801</v>
      </c>
      <c r="B2737" s="1">
        <v>45698</v>
      </c>
      <c r="C2737">
        <v>2025</v>
      </c>
      <c r="D2737" t="s">
        <v>24</v>
      </c>
      <c r="E2737" t="s">
        <v>284</v>
      </c>
      <c r="F2737" t="s">
        <v>37</v>
      </c>
      <c r="G2737" t="s">
        <v>45</v>
      </c>
      <c r="H2737" t="s">
        <v>38</v>
      </c>
      <c r="I2737" t="s">
        <v>29</v>
      </c>
      <c r="J2737" t="s">
        <v>52</v>
      </c>
      <c r="K2737" s="2">
        <v>4350</v>
      </c>
      <c r="L2737" s="2">
        <v>16500</v>
      </c>
      <c r="M2737">
        <v>36</v>
      </c>
      <c r="N2737" s="3">
        <v>0.27800000000000002</v>
      </c>
      <c r="O2737" t="s">
        <v>16</v>
      </c>
      <c r="Q2737">
        <v>1</v>
      </c>
      <c r="R2737">
        <v>0</v>
      </c>
      <c r="S2737" s="2">
        <v>16500</v>
      </c>
      <c r="T2737" s="4">
        <v>0.11210000000000001</v>
      </c>
      <c r="U2737">
        <v>2</v>
      </c>
      <c r="V2737">
        <v>1</v>
      </c>
      <c r="W2737">
        <v>1</v>
      </c>
    </row>
    <row r="2738" spans="1:23" ht="16.5" x14ac:dyDescent="0.3">
      <c r="A2738" t="s">
        <v>2802</v>
      </c>
      <c r="B2738" s="1">
        <v>45699</v>
      </c>
      <c r="C2738">
        <v>2025</v>
      </c>
      <c r="D2738" t="s">
        <v>24</v>
      </c>
      <c r="E2738" t="s">
        <v>284</v>
      </c>
      <c r="F2738" t="s">
        <v>37</v>
      </c>
      <c r="G2738" t="s">
        <v>27</v>
      </c>
      <c r="H2738" t="s">
        <v>38</v>
      </c>
      <c r="I2738" t="s">
        <v>42</v>
      </c>
      <c r="J2738" t="s">
        <v>35</v>
      </c>
      <c r="K2738" s="2">
        <v>7550</v>
      </c>
      <c r="L2738" s="2">
        <v>11500</v>
      </c>
      <c r="M2738">
        <v>60</v>
      </c>
      <c r="N2738" s="3">
        <v>0.27200000000000002</v>
      </c>
      <c r="O2738" t="s">
        <v>16</v>
      </c>
      <c r="Q2738">
        <v>1</v>
      </c>
      <c r="R2738">
        <v>0</v>
      </c>
      <c r="S2738" s="2">
        <v>11500</v>
      </c>
      <c r="T2738" s="4">
        <v>0.12470000000000001</v>
      </c>
      <c r="U2738">
        <v>3</v>
      </c>
      <c r="V2738">
        <v>1</v>
      </c>
      <c r="W2738">
        <v>1</v>
      </c>
    </row>
    <row r="2739" spans="1:23" ht="16.5" x14ac:dyDescent="0.3">
      <c r="A2739" t="s">
        <v>2803</v>
      </c>
      <c r="B2739" s="1">
        <v>45699</v>
      </c>
      <c r="C2739">
        <v>2025</v>
      </c>
      <c r="D2739" t="s">
        <v>24</v>
      </c>
      <c r="E2739" t="s">
        <v>284</v>
      </c>
      <c r="F2739" t="s">
        <v>26</v>
      </c>
      <c r="G2739" t="s">
        <v>33</v>
      </c>
      <c r="H2739" t="s">
        <v>28</v>
      </c>
      <c r="I2739" t="s">
        <v>42</v>
      </c>
      <c r="J2739" t="s">
        <v>43</v>
      </c>
      <c r="K2739" s="2">
        <v>5050</v>
      </c>
      <c r="L2739" s="2">
        <v>27000</v>
      </c>
      <c r="M2739">
        <v>36</v>
      </c>
      <c r="N2739" s="3">
        <v>0.29199999999999998</v>
      </c>
      <c r="O2739" t="s">
        <v>17</v>
      </c>
      <c r="P2739" t="s">
        <v>31</v>
      </c>
      <c r="Q2739">
        <v>0</v>
      </c>
      <c r="R2739">
        <v>1</v>
      </c>
      <c r="S2739" s="2">
        <v>0</v>
      </c>
      <c r="T2739" s="4"/>
      <c r="U2739">
        <v>1</v>
      </c>
      <c r="V2739">
        <v>1</v>
      </c>
      <c r="W2739">
        <v>1</v>
      </c>
    </row>
    <row r="2740" spans="1:23" ht="16.5" x14ac:dyDescent="0.3">
      <c r="A2740" t="s">
        <v>2804</v>
      </c>
      <c r="B2740" s="1">
        <v>45699</v>
      </c>
      <c r="C2740">
        <v>2025</v>
      </c>
      <c r="D2740" t="s">
        <v>24</v>
      </c>
      <c r="E2740" t="s">
        <v>284</v>
      </c>
      <c r="F2740" t="s">
        <v>41</v>
      </c>
      <c r="G2740" t="s">
        <v>51</v>
      </c>
      <c r="H2740" t="s">
        <v>55</v>
      </c>
      <c r="I2740" t="s">
        <v>39</v>
      </c>
      <c r="J2740" t="s">
        <v>35</v>
      </c>
      <c r="K2740" s="2">
        <v>6800</v>
      </c>
      <c r="L2740" s="2">
        <v>91000</v>
      </c>
      <c r="M2740">
        <v>36</v>
      </c>
      <c r="N2740" s="3">
        <v>0.67600000000000005</v>
      </c>
      <c r="O2740" t="s">
        <v>16</v>
      </c>
      <c r="Q2740">
        <v>1</v>
      </c>
      <c r="R2740">
        <v>0</v>
      </c>
      <c r="S2740" s="2">
        <v>82000</v>
      </c>
      <c r="T2740" s="4">
        <v>0.1075</v>
      </c>
      <c r="U2740">
        <v>7</v>
      </c>
      <c r="V2740">
        <v>1</v>
      </c>
      <c r="W2740">
        <v>1</v>
      </c>
    </row>
    <row r="2741" spans="1:23" ht="16.5" x14ac:dyDescent="0.3">
      <c r="A2741" t="s">
        <v>2805</v>
      </c>
      <c r="B2741" s="1">
        <v>45700</v>
      </c>
      <c r="C2741">
        <v>2025</v>
      </c>
      <c r="D2741" t="s">
        <v>24</v>
      </c>
      <c r="E2741" t="s">
        <v>284</v>
      </c>
      <c r="F2741" t="s">
        <v>41</v>
      </c>
      <c r="G2741" t="s">
        <v>51</v>
      </c>
      <c r="H2741" t="s">
        <v>34</v>
      </c>
      <c r="I2741" t="s">
        <v>39</v>
      </c>
      <c r="J2741" t="s">
        <v>30</v>
      </c>
      <c r="K2741" s="2">
        <v>5450</v>
      </c>
      <c r="L2741" s="2">
        <v>171000</v>
      </c>
      <c r="M2741">
        <v>12</v>
      </c>
      <c r="N2741" s="3">
        <v>2.9780000000000002</v>
      </c>
      <c r="O2741" t="s">
        <v>17</v>
      </c>
      <c r="P2741" t="s">
        <v>31</v>
      </c>
      <c r="Q2741">
        <v>0</v>
      </c>
      <c r="R2741">
        <v>1</v>
      </c>
      <c r="S2741" s="2">
        <v>0</v>
      </c>
      <c r="T2741" s="4"/>
      <c r="U2741">
        <v>10</v>
      </c>
      <c r="V2741">
        <v>1</v>
      </c>
      <c r="W2741">
        <v>1</v>
      </c>
    </row>
    <row r="2742" spans="1:23" ht="16.5" x14ac:dyDescent="0.3">
      <c r="A2742" t="s">
        <v>2806</v>
      </c>
      <c r="B2742" s="1">
        <v>45700</v>
      </c>
      <c r="C2742">
        <v>2025</v>
      </c>
      <c r="D2742" t="s">
        <v>24</v>
      </c>
      <c r="E2742" t="s">
        <v>284</v>
      </c>
      <c r="F2742" t="s">
        <v>41</v>
      </c>
      <c r="G2742" t="s">
        <v>33</v>
      </c>
      <c r="H2742" t="s">
        <v>38</v>
      </c>
      <c r="I2742" t="s">
        <v>29</v>
      </c>
      <c r="J2742" t="s">
        <v>30</v>
      </c>
      <c r="K2742" s="2">
        <v>8050</v>
      </c>
      <c r="L2742" s="2">
        <v>118000</v>
      </c>
      <c r="M2742">
        <v>36</v>
      </c>
      <c r="N2742" s="3">
        <v>0.68300000000000005</v>
      </c>
      <c r="O2742" t="s">
        <v>17</v>
      </c>
      <c r="P2742" t="s">
        <v>53</v>
      </c>
      <c r="Q2742">
        <v>0</v>
      </c>
      <c r="R2742">
        <v>1</v>
      </c>
      <c r="S2742" s="2">
        <v>0</v>
      </c>
      <c r="T2742" s="4"/>
      <c r="U2742">
        <v>5</v>
      </c>
      <c r="V2742">
        <v>1</v>
      </c>
      <c r="W2742">
        <v>1</v>
      </c>
    </row>
    <row r="2743" spans="1:23" ht="16.5" x14ac:dyDescent="0.3">
      <c r="A2743" t="s">
        <v>2807</v>
      </c>
      <c r="B2743" s="1">
        <v>45700</v>
      </c>
      <c r="C2743">
        <v>2025</v>
      </c>
      <c r="D2743" t="s">
        <v>24</v>
      </c>
      <c r="E2743" t="s">
        <v>284</v>
      </c>
      <c r="F2743" t="s">
        <v>37</v>
      </c>
      <c r="G2743" t="s">
        <v>51</v>
      </c>
      <c r="H2743" t="s">
        <v>64</v>
      </c>
      <c r="I2743" t="s">
        <v>29</v>
      </c>
      <c r="J2743" t="s">
        <v>30</v>
      </c>
      <c r="K2743" s="2">
        <v>4400</v>
      </c>
      <c r="L2743" s="2">
        <v>6000</v>
      </c>
      <c r="M2743">
        <v>36</v>
      </c>
      <c r="N2743" s="3">
        <v>0.25900000000000001</v>
      </c>
      <c r="O2743" t="s">
        <v>16</v>
      </c>
      <c r="Q2743">
        <v>1</v>
      </c>
      <c r="R2743">
        <v>0</v>
      </c>
      <c r="S2743" s="2">
        <v>5500</v>
      </c>
      <c r="T2743" s="4">
        <v>0.1376</v>
      </c>
      <c r="U2743">
        <v>6</v>
      </c>
      <c r="V2743">
        <v>0</v>
      </c>
      <c r="W2743">
        <v>1</v>
      </c>
    </row>
    <row r="2744" spans="1:23" ht="16.5" x14ac:dyDescent="0.3">
      <c r="A2744" t="s">
        <v>2808</v>
      </c>
      <c r="B2744" s="1">
        <v>45700</v>
      </c>
      <c r="C2744">
        <v>2025</v>
      </c>
      <c r="D2744" t="s">
        <v>24</v>
      </c>
      <c r="E2744" t="s">
        <v>284</v>
      </c>
      <c r="F2744" t="s">
        <v>37</v>
      </c>
      <c r="G2744" t="s">
        <v>33</v>
      </c>
      <c r="H2744" t="s">
        <v>28</v>
      </c>
      <c r="I2744" t="s">
        <v>39</v>
      </c>
      <c r="J2744" t="s">
        <v>35</v>
      </c>
      <c r="K2744" s="2">
        <v>3800</v>
      </c>
      <c r="L2744" s="2">
        <v>29000</v>
      </c>
      <c r="M2744">
        <v>48</v>
      </c>
      <c r="N2744" s="3">
        <v>0.38800000000000001</v>
      </c>
      <c r="O2744" t="s">
        <v>16</v>
      </c>
      <c r="Q2744">
        <v>1</v>
      </c>
      <c r="R2744">
        <v>0</v>
      </c>
      <c r="S2744" s="2">
        <v>29000</v>
      </c>
      <c r="T2744" s="4">
        <v>0.1283</v>
      </c>
      <c r="U2744">
        <v>1</v>
      </c>
      <c r="V2744">
        <v>1</v>
      </c>
      <c r="W2744">
        <v>1</v>
      </c>
    </row>
    <row r="2745" spans="1:23" ht="16.5" x14ac:dyDescent="0.3">
      <c r="A2745" t="s">
        <v>2809</v>
      </c>
      <c r="B2745" s="1">
        <v>45700</v>
      </c>
      <c r="C2745">
        <v>2025</v>
      </c>
      <c r="D2745" t="s">
        <v>24</v>
      </c>
      <c r="E2745" t="s">
        <v>284</v>
      </c>
      <c r="F2745" t="s">
        <v>37</v>
      </c>
      <c r="G2745" t="s">
        <v>51</v>
      </c>
      <c r="H2745" t="s">
        <v>34</v>
      </c>
      <c r="I2745" t="s">
        <v>29</v>
      </c>
      <c r="J2745" t="s">
        <v>43</v>
      </c>
      <c r="K2745" s="2">
        <v>9650</v>
      </c>
      <c r="L2745" s="2">
        <v>18000</v>
      </c>
      <c r="M2745">
        <v>12</v>
      </c>
      <c r="N2745" s="3">
        <v>0.27100000000000002</v>
      </c>
      <c r="O2745" t="s">
        <v>17</v>
      </c>
      <c r="P2745" t="s">
        <v>31</v>
      </c>
      <c r="Q2745">
        <v>0</v>
      </c>
      <c r="R2745">
        <v>1</v>
      </c>
      <c r="S2745" s="2">
        <v>0</v>
      </c>
      <c r="T2745" s="4"/>
      <c r="U2745">
        <v>4</v>
      </c>
      <c r="V2745">
        <v>0</v>
      </c>
      <c r="W2745">
        <v>1</v>
      </c>
    </row>
    <row r="2746" spans="1:23" ht="16.5" x14ac:dyDescent="0.3">
      <c r="A2746" t="s">
        <v>2810</v>
      </c>
      <c r="B2746" s="1">
        <v>45700</v>
      </c>
      <c r="C2746">
        <v>2025</v>
      </c>
      <c r="D2746" t="s">
        <v>24</v>
      </c>
      <c r="E2746" t="s">
        <v>284</v>
      </c>
      <c r="F2746" t="s">
        <v>50</v>
      </c>
      <c r="G2746" t="s">
        <v>33</v>
      </c>
      <c r="H2746" t="s">
        <v>64</v>
      </c>
      <c r="I2746" t="s">
        <v>29</v>
      </c>
      <c r="J2746" t="s">
        <v>46</v>
      </c>
      <c r="K2746" s="2">
        <v>2800</v>
      </c>
      <c r="L2746" s="2">
        <v>354500</v>
      </c>
      <c r="M2746">
        <v>180</v>
      </c>
      <c r="N2746" s="3">
        <v>1.2410000000000001</v>
      </c>
      <c r="O2746" t="s">
        <v>16</v>
      </c>
      <c r="Q2746">
        <v>1</v>
      </c>
      <c r="R2746">
        <v>0</v>
      </c>
      <c r="S2746" s="2">
        <v>354500</v>
      </c>
      <c r="T2746" s="4">
        <v>4.5400000000000003E-2</v>
      </c>
      <c r="U2746">
        <v>6</v>
      </c>
      <c r="V2746">
        <v>1</v>
      </c>
      <c r="W2746">
        <v>1</v>
      </c>
    </row>
    <row r="2747" spans="1:23" ht="16.5" x14ac:dyDescent="0.3">
      <c r="A2747" t="s">
        <v>2811</v>
      </c>
      <c r="B2747" s="1">
        <v>45700</v>
      </c>
      <c r="C2747">
        <v>2025</v>
      </c>
      <c r="D2747" t="s">
        <v>24</v>
      </c>
      <c r="E2747" t="s">
        <v>284</v>
      </c>
      <c r="F2747" t="s">
        <v>26</v>
      </c>
      <c r="G2747" t="s">
        <v>27</v>
      </c>
      <c r="H2747" t="s">
        <v>55</v>
      </c>
      <c r="I2747" t="s">
        <v>39</v>
      </c>
      <c r="J2747" t="s">
        <v>52</v>
      </c>
      <c r="K2747" s="2">
        <v>12600</v>
      </c>
      <c r="L2747" s="2">
        <v>19000</v>
      </c>
      <c r="M2747">
        <v>36</v>
      </c>
      <c r="N2747" s="3">
        <v>0.27300000000000002</v>
      </c>
      <c r="O2747" t="s">
        <v>16</v>
      </c>
      <c r="Q2747">
        <v>1</v>
      </c>
      <c r="R2747">
        <v>0</v>
      </c>
      <c r="S2747" s="2">
        <v>17000</v>
      </c>
      <c r="T2747" s="4">
        <v>7.5899999999999995E-2</v>
      </c>
      <c r="U2747">
        <v>7</v>
      </c>
      <c r="V2747">
        <v>0</v>
      </c>
      <c r="W2747">
        <v>1</v>
      </c>
    </row>
    <row r="2748" spans="1:23" ht="16.5" x14ac:dyDescent="0.3">
      <c r="A2748" t="s">
        <v>2812</v>
      </c>
      <c r="B2748" s="1">
        <v>45700</v>
      </c>
      <c r="C2748">
        <v>2025</v>
      </c>
      <c r="D2748" t="s">
        <v>24</v>
      </c>
      <c r="E2748" t="s">
        <v>284</v>
      </c>
      <c r="F2748" t="s">
        <v>41</v>
      </c>
      <c r="G2748" t="s">
        <v>33</v>
      </c>
      <c r="H2748" t="s">
        <v>34</v>
      </c>
      <c r="I2748" t="s">
        <v>29</v>
      </c>
      <c r="J2748" t="s">
        <v>35</v>
      </c>
      <c r="K2748" s="2">
        <v>4850</v>
      </c>
      <c r="L2748" s="2">
        <v>67000</v>
      </c>
      <c r="M2748">
        <v>24</v>
      </c>
      <c r="N2748" s="3">
        <v>0.85399999999999998</v>
      </c>
      <c r="O2748" t="s">
        <v>125</v>
      </c>
      <c r="Q2748">
        <v>0</v>
      </c>
      <c r="R2748">
        <v>0</v>
      </c>
      <c r="S2748" s="2">
        <v>0</v>
      </c>
      <c r="T2748" s="4"/>
      <c r="U2748">
        <v>4</v>
      </c>
      <c r="V2748">
        <v>1</v>
      </c>
      <c r="W2748">
        <v>1</v>
      </c>
    </row>
    <row r="2749" spans="1:23" ht="16.5" x14ac:dyDescent="0.3">
      <c r="A2749" t="s">
        <v>2813</v>
      </c>
      <c r="B2749" s="1">
        <v>45700</v>
      </c>
      <c r="C2749">
        <v>2025</v>
      </c>
      <c r="D2749" t="s">
        <v>24</v>
      </c>
      <c r="E2749" t="s">
        <v>284</v>
      </c>
      <c r="F2749" t="s">
        <v>41</v>
      </c>
      <c r="G2749" t="s">
        <v>45</v>
      </c>
      <c r="H2749" t="s">
        <v>38</v>
      </c>
      <c r="I2749" t="s">
        <v>29</v>
      </c>
      <c r="J2749" t="s">
        <v>30</v>
      </c>
      <c r="K2749" s="2">
        <v>4500</v>
      </c>
      <c r="L2749" s="2">
        <v>144000</v>
      </c>
      <c r="M2749">
        <v>12</v>
      </c>
      <c r="N2749" s="3">
        <v>3.028</v>
      </c>
      <c r="O2749" t="s">
        <v>17</v>
      </c>
      <c r="P2749" t="s">
        <v>31</v>
      </c>
      <c r="Q2749">
        <v>0</v>
      </c>
      <c r="R2749">
        <v>1</v>
      </c>
      <c r="S2749" s="2">
        <v>0</v>
      </c>
      <c r="T2749" s="4"/>
      <c r="U2749">
        <v>4</v>
      </c>
      <c r="V2749">
        <v>1</v>
      </c>
      <c r="W2749">
        <v>1</v>
      </c>
    </row>
    <row r="2750" spans="1:23" ht="16.5" x14ac:dyDescent="0.3">
      <c r="A2750" t="s">
        <v>2814</v>
      </c>
      <c r="B2750" s="1">
        <v>45700</v>
      </c>
      <c r="C2750">
        <v>2025</v>
      </c>
      <c r="D2750" t="s">
        <v>24</v>
      </c>
      <c r="E2750" t="s">
        <v>284</v>
      </c>
      <c r="F2750" t="s">
        <v>50</v>
      </c>
      <c r="G2750" t="s">
        <v>45</v>
      </c>
      <c r="H2750" t="s">
        <v>34</v>
      </c>
      <c r="I2750" t="s">
        <v>42</v>
      </c>
      <c r="J2750" t="s">
        <v>30</v>
      </c>
      <c r="K2750" s="2">
        <v>6000</v>
      </c>
      <c r="L2750" s="2">
        <v>237000</v>
      </c>
      <c r="M2750">
        <v>240</v>
      </c>
      <c r="N2750" s="3">
        <v>0.41499999999999998</v>
      </c>
      <c r="O2750" t="s">
        <v>17</v>
      </c>
      <c r="P2750" t="s">
        <v>31</v>
      </c>
      <c r="Q2750">
        <v>0</v>
      </c>
      <c r="R2750">
        <v>1</v>
      </c>
      <c r="S2750" s="2">
        <v>0</v>
      </c>
      <c r="T2750" s="4"/>
      <c r="U2750">
        <v>10</v>
      </c>
      <c r="V2750">
        <v>1</v>
      </c>
      <c r="W2750">
        <v>1</v>
      </c>
    </row>
    <row r="2751" spans="1:23" ht="16.5" x14ac:dyDescent="0.3">
      <c r="A2751" t="s">
        <v>2815</v>
      </c>
      <c r="B2751" s="1">
        <v>45700</v>
      </c>
      <c r="C2751">
        <v>2025</v>
      </c>
      <c r="D2751" t="s">
        <v>24</v>
      </c>
      <c r="E2751" t="s">
        <v>284</v>
      </c>
      <c r="F2751" t="s">
        <v>37</v>
      </c>
      <c r="G2751" t="s">
        <v>45</v>
      </c>
      <c r="H2751" t="s">
        <v>28</v>
      </c>
      <c r="I2751" t="s">
        <v>42</v>
      </c>
      <c r="J2751" t="s">
        <v>35</v>
      </c>
      <c r="K2751" s="2">
        <v>8400</v>
      </c>
      <c r="L2751" s="2">
        <v>10500</v>
      </c>
      <c r="M2751">
        <v>60</v>
      </c>
      <c r="N2751" s="3">
        <v>0.20100000000000001</v>
      </c>
      <c r="O2751" t="s">
        <v>16</v>
      </c>
      <c r="Q2751">
        <v>1</v>
      </c>
      <c r="R2751">
        <v>0</v>
      </c>
      <c r="S2751" s="2">
        <v>8500</v>
      </c>
      <c r="T2751" s="4">
        <v>0.12909999999999999</v>
      </c>
      <c r="U2751">
        <v>3</v>
      </c>
      <c r="V2751">
        <v>1</v>
      </c>
      <c r="W2751">
        <v>1</v>
      </c>
    </row>
    <row r="2752" spans="1:23" ht="16.5" x14ac:dyDescent="0.3">
      <c r="A2752" t="s">
        <v>2816</v>
      </c>
      <c r="B2752" s="1">
        <v>45700</v>
      </c>
      <c r="C2752">
        <v>2025</v>
      </c>
      <c r="D2752" t="s">
        <v>24</v>
      </c>
      <c r="E2752" t="s">
        <v>284</v>
      </c>
      <c r="F2752" t="s">
        <v>26</v>
      </c>
      <c r="G2752" t="s">
        <v>51</v>
      </c>
      <c r="H2752" t="s">
        <v>38</v>
      </c>
      <c r="I2752" t="s">
        <v>42</v>
      </c>
      <c r="J2752" t="s">
        <v>35</v>
      </c>
      <c r="K2752" s="2">
        <v>5850</v>
      </c>
      <c r="L2752" s="2">
        <v>38500</v>
      </c>
      <c r="M2752">
        <v>36</v>
      </c>
      <c r="N2752" s="3">
        <v>0.36299999999999999</v>
      </c>
      <c r="O2752" t="s">
        <v>17</v>
      </c>
      <c r="P2752" t="s">
        <v>65</v>
      </c>
      <c r="Q2752">
        <v>0</v>
      </c>
      <c r="R2752">
        <v>1</v>
      </c>
      <c r="S2752" s="2">
        <v>0</v>
      </c>
      <c r="T2752" s="4"/>
      <c r="U2752">
        <v>9</v>
      </c>
      <c r="V2752">
        <v>0</v>
      </c>
      <c r="W2752">
        <v>1</v>
      </c>
    </row>
    <row r="2753" spans="1:23" ht="16.5" x14ac:dyDescent="0.3">
      <c r="A2753" t="s">
        <v>2817</v>
      </c>
      <c r="B2753" s="1">
        <v>45700</v>
      </c>
      <c r="C2753">
        <v>2025</v>
      </c>
      <c r="D2753" t="s">
        <v>24</v>
      </c>
      <c r="E2753" t="s">
        <v>284</v>
      </c>
      <c r="F2753" t="s">
        <v>26</v>
      </c>
      <c r="G2753" t="s">
        <v>33</v>
      </c>
      <c r="H2753" t="s">
        <v>55</v>
      </c>
      <c r="I2753" t="s">
        <v>29</v>
      </c>
      <c r="J2753" t="s">
        <v>35</v>
      </c>
      <c r="K2753" s="2">
        <v>8850</v>
      </c>
      <c r="L2753" s="2">
        <v>25000</v>
      </c>
      <c r="M2753">
        <v>36</v>
      </c>
      <c r="N2753" s="3">
        <v>0.16300000000000001</v>
      </c>
      <c r="O2753" t="s">
        <v>16</v>
      </c>
      <c r="Q2753">
        <v>1</v>
      </c>
      <c r="R2753">
        <v>0</v>
      </c>
      <c r="S2753" s="2">
        <v>25000</v>
      </c>
      <c r="T2753" s="4">
        <v>7.9299999999999995E-2</v>
      </c>
      <c r="U2753">
        <v>2</v>
      </c>
      <c r="V2753">
        <v>1</v>
      </c>
      <c r="W2753">
        <v>1</v>
      </c>
    </row>
    <row r="2754" spans="1:23" ht="16.5" x14ac:dyDescent="0.3">
      <c r="A2754" t="s">
        <v>2818</v>
      </c>
      <c r="B2754" s="1">
        <v>45701</v>
      </c>
      <c r="C2754">
        <v>2025</v>
      </c>
      <c r="D2754" t="s">
        <v>24</v>
      </c>
      <c r="E2754" t="s">
        <v>284</v>
      </c>
      <c r="F2754" t="s">
        <v>26</v>
      </c>
      <c r="G2754" t="s">
        <v>27</v>
      </c>
      <c r="H2754" t="s">
        <v>55</v>
      </c>
      <c r="I2754" t="s">
        <v>42</v>
      </c>
      <c r="J2754" t="s">
        <v>30</v>
      </c>
      <c r="K2754" s="2">
        <v>7500</v>
      </c>
      <c r="L2754" s="2">
        <v>32000</v>
      </c>
      <c r="M2754">
        <v>48</v>
      </c>
      <c r="N2754" s="3">
        <v>0.31900000000000001</v>
      </c>
      <c r="O2754" t="s">
        <v>17</v>
      </c>
      <c r="P2754" t="s">
        <v>31</v>
      </c>
      <c r="Q2754">
        <v>0</v>
      </c>
      <c r="R2754">
        <v>1</v>
      </c>
      <c r="S2754" s="2">
        <v>0</v>
      </c>
      <c r="T2754" s="4"/>
      <c r="U2754">
        <v>5</v>
      </c>
      <c r="V2754">
        <v>0</v>
      </c>
      <c r="W2754">
        <v>1</v>
      </c>
    </row>
    <row r="2755" spans="1:23" ht="16.5" x14ac:dyDescent="0.3">
      <c r="A2755" t="s">
        <v>2819</v>
      </c>
      <c r="B2755" s="1">
        <v>45701</v>
      </c>
      <c r="C2755">
        <v>2025</v>
      </c>
      <c r="D2755" t="s">
        <v>24</v>
      </c>
      <c r="E2755" t="s">
        <v>284</v>
      </c>
      <c r="F2755" t="s">
        <v>26</v>
      </c>
      <c r="G2755" t="s">
        <v>33</v>
      </c>
      <c r="H2755" t="s">
        <v>34</v>
      </c>
      <c r="I2755" t="s">
        <v>39</v>
      </c>
      <c r="J2755" t="s">
        <v>46</v>
      </c>
      <c r="K2755" s="2">
        <v>3700</v>
      </c>
      <c r="L2755" s="2">
        <v>32000</v>
      </c>
      <c r="M2755">
        <v>48</v>
      </c>
      <c r="N2755" s="3">
        <v>0.40300000000000002</v>
      </c>
      <c r="O2755" t="s">
        <v>16</v>
      </c>
      <c r="Q2755">
        <v>1</v>
      </c>
      <c r="R2755">
        <v>0</v>
      </c>
      <c r="S2755" s="2">
        <v>29000</v>
      </c>
      <c r="T2755" s="4">
        <v>6.7400000000000002E-2</v>
      </c>
      <c r="U2755">
        <v>4</v>
      </c>
      <c r="V2755">
        <v>1</v>
      </c>
      <c r="W2755">
        <v>1</v>
      </c>
    </row>
    <row r="2756" spans="1:23" ht="16.5" x14ac:dyDescent="0.3">
      <c r="A2756" t="s">
        <v>2820</v>
      </c>
      <c r="B2756" s="1">
        <v>45701</v>
      </c>
      <c r="C2756">
        <v>2025</v>
      </c>
      <c r="D2756" t="s">
        <v>24</v>
      </c>
      <c r="E2756" t="s">
        <v>284</v>
      </c>
      <c r="F2756" t="s">
        <v>50</v>
      </c>
      <c r="G2756" t="s">
        <v>27</v>
      </c>
      <c r="H2756" t="s">
        <v>64</v>
      </c>
      <c r="I2756" t="s">
        <v>29</v>
      </c>
      <c r="J2756" t="s">
        <v>35</v>
      </c>
      <c r="K2756" s="2">
        <v>4250</v>
      </c>
      <c r="L2756" s="2">
        <v>125500</v>
      </c>
      <c r="M2756">
        <v>240</v>
      </c>
      <c r="N2756" s="3">
        <v>0.39400000000000002</v>
      </c>
      <c r="O2756" t="s">
        <v>17</v>
      </c>
      <c r="P2756" t="s">
        <v>60</v>
      </c>
      <c r="Q2756">
        <v>0</v>
      </c>
      <c r="R2756">
        <v>1</v>
      </c>
      <c r="S2756" s="2">
        <v>0</v>
      </c>
      <c r="T2756" s="4"/>
      <c r="U2756">
        <v>15</v>
      </c>
      <c r="V2756">
        <v>1</v>
      </c>
      <c r="W2756">
        <v>1</v>
      </c>
    </row>
    <row r="2757" spans="1:23" ht="16.5" x14ac:dyDescent="0.3">
      <c r="A2757" t="s">
        <v>2821</v>
      </c>
      <c r="B2757" s="1">
        <v>45701</v>
      </c>
      <c r="C2757">
        <v>2025</v>
      </c>
      <c r="D2757" t="s">
        <v>24</v>
      </c>
      <c r="E2757" t="s">
        <v>284</v>
      </c>
      <c r="F2757" t="s">
        <v>26</v>
      </c>
      <c r="G2757" t="s">
        <v>33</v>
      </c>
      <c r="H2757" t="s">
        <v>38</v>
      </c>
      <c r="I2757" t="s">
        <v>29</v>
      </c>
      <c r="J2757" t="s">
        <v>52</v>
      </c>
      <c r="K2757" s="2">
        <v>5700</v>
      </c>
      <c r="L2757" s="2">
        <v>21500</v>
      </c>
      <c r="M2757">
        <v>36</v>
      </c>
      <c r="N2757" s="3">
        <v>0.215</v>
      </c>
      <c r="O2757" t="s">
        <v>16</v>
      </c>
      <c r="Q2757">
        <v>1</v>
      </c>
      <c r="R2757">
        <v>0</v>
      </c>
      <c r="S2757" s="2">
        <v>21500</v>
      </c>
      <c r="T2757" s="4">
        <v>7.6300000000000007E-2</v>
      </c>
      <c r="U2757">
        <v>1</v>
      </c>
      <c r="V2757">
        <v>1</v>
      </c>
      <c r="W2757">
        <v>1</v>
      </c>
    </row>
    <row r="2758" spans="1:23" ht="16.5" x14ac:dyDescent="0.3">
      <c r="A2758" t="s">
        <v>2822</v>
      </c>
      <c r="B2758" s="1">
        <v>45701</v>
      </c>
      <c r="C2758">
        <v>2025</v>
      </c>
      <c r="D2758" t="s">
        <v>24</v>
      </c>
      <c r="E2758" t="s">
        <v>284</v>
      </c>
      <c r="F2758" t="s">
        <v>37</v>
      </c>
      <c r="G2758" t="s">
        <v>45</v>
      </c>
      <c r="H2758" t="s">
        <v>28</v>
      </c>
      <c r="I2758" t="s">
        <v>42</v>
      </c>
      <c r="J2758" t="s">
        <v>43</v>
      </c>
      <c r="K2758" s="2">
        <v>5450</v>
      </c>
      <c r="L2758" s="2">
        <v>14500</v>
      </c>
      <c r="M2758">
        <v>36</v>
      </c>
      <c r="N2758" s="3">
        <v>0.19400000000000001</v>
      </c>
      <c r="O2758" t="s">
        <v>17</v>
      </c>
      <c r="P2758" t="s">
        <v>31</v>
      </c>
      <c r="Q2758">
        <v>0</v>
      </c>
      <c r="R2758">
        <v>1</v>
      </c>
      <c r="S2758" s="2">
        <v>0</v>
      </c>
      <c r="T2758" s="4"/>
      <c r="U2758">
        <v>1</v>
      </c>
      <c r="V2758">
        <v>1</v>
      </c>
      <c r="W2758">
        <v>1</v>
      </c>
    </row>
    <row r="2759" spans="1:23" ht="16.5" x14ac:dyDescent="0.3">
      <c r="A2759" t="s">
        <v>2823</v>
      </c>
      <c r="B2759" s="1">
        <v>45701</v>
      </c>
      <c r="C2759">
        <v>2025</v>
      </c>
      <c r="D2759" t="s">
        <v>24</v>
      </c>
      <c r="E2759" t="s">
        <v>284</v>
      </c>
      <c r="F2759" t="s">
        <v>37</v>
      </c>
      <c r="G2759" t="s">
        <v>27</v>
      </c>
      <c r="H2759" t="s">
        <v>38</v>
      </c>
      <c r="I2759" t="s">
        <v>29</v>
      </c>
      <c r="J2759" t="s">
        <v>35</v>
      </c>
      <c r="K2759" s="2">
        <v>6350</v>
      </c>
      <c r="L2759" s="2">
        <v>20000</v>
      </c>
      <c r="M2759">
        <v>48</v>
      </c>
      <c r="N2759" s="3">
        <v>0.19600000000000001</v>
      </c>
      <c r="O2759" t="s">
        <v>16</v>
      </c>
      <c r="Q2759">
        <v>1</v>
      </c>
      <c r="R2759">
        <v>0</v>
      </c>
      <c r="S2759" s="2">
        <v>20000</v>
      </c>
      <c r="T2759" s="4">
        <v>0.1179</v>
      </c>
      <c r="U2759">
        <v>3</v>
      </c>
      <c r="V2759">
        <v>1</v>
      </c>
      <c r="W2759">
        <v>1</v>
      </c>
    </row>
    <row r="2760" spans="1:23" ht="16.5" x14ac:dyDescent="0.3">
      <c r="A2760" t="s">
        <v>2824</v>
      </c>
      <c r="B2760" s="1">
        <v>45701</v>
      </c>
      <c r="C2760">
        <v>2025</v>
      </c>
      <c r="D2760" t="s">
        <v>24</v>
      </c>
      <c r="E2760" t="s">
        <v>284</v>
      </c>
      <c r="F2760" t="s">
        <v>26</v>
      </c>
      <c r="G2760" t="s">
        <v>51</v>
      </c>
      <c r="H2760" t="s">
        <v>64</v>
      </c>
      <c r="I2760" t="s">
        <v>39</v>
      </c>
      <c r="J2760" t="s">
        <v>52</v>
      </c>
      <c r="K2760" s="2">
        <v>7300</v>
      </c>
      <c r="L2760" s="2">
        <v>10000</v>
      </c>
      <c r="M2760">
        <v>60</v>
      </c>
      <c r="N2760" s="3">
        <v>0.187</v>
      </c>
      <c r="O2760" t="s">
        <v>16</v>
      </c>
      <c r="Q2760">
        <v>1</v>
      </c>
      <c r="R2760">
        <v>0</v>
      </c>
      <c r="S2760" s="2">
        <v>10000</v>
      </c>
      <c r="T2760" s="4">
        <v>7.6100000000000001E-2</v>
      </c>
      <c r="U2760">
        <v>4</v>
      </c>
      <c r="V2760">
        <v>1</v>
      </c>
      <c r="W2760">
        <v>1</v>
      </c>
    </row>
    <row r="2761" spans="1:23" ht="16.5" x14ac:dyDescent="0.3">
      <c r="A2761" t="s">
        <v>2825</v>
      </c>
      <c r="B2761" s="1">
        <v>45701</v>
      </c>
      <c r="C2761">
        <v>2025</v>
      </c>
      <c r="D2761" t="s">
        <v>24</v>
      </c>
      <c r="E2761" t="s">
        <v>284</v>
      </c>
      <c r="F2761" t="s">
        <v>26</v>
      </c>
      <c r="G2761" t="s">
        <v>33</v>
      </c>
      <c r="H2761" t="s">
        <v>64</v>
      </c>
      <c r="I2761" t="s">
        <v>39</v>
      </c>
      <c r="J2761" t="s">
        <v>30</v>
      </c>
      <c r="K2761" s="2">
        <v>4600</v>
      </c>
      <c r="L2761" s="2">
        <v>27000</v>
      </c>
      <c r="M2761">
        <v>60</v>
      </c>
      <c r="N2761" s="3">
        <v>0.27700000000000002</v>
      </c>
      <c r="O2761" t="s">
        <v>16</v>
      </c>
      <c r="Q2761">
        <v>1</v>
      </c>
      <c r="R2761">
        <v>0</v>
      </c>
      <c r="S2761" s="2">
        <v>27000</v>
      </c>
      <c r="T2761" s="4">
        <v>9.7100000000000006E-2</v>
      </c>
      <c r="U2761">
        <v>2</v>
      </c>
      <c r="V2761">
        <v>1</v>
      </c>
      <c r="W2761">
        <v>1</v>
      </c>
    </row>
    <row r="2762" spans="1:23" ht="16.5" x14ac:dyDescent="0.3">
      <c r="A2762" t="s">
        <v>2826</v>
      </c>
      <c r="B2762" s="1">
        <v>45701</v>
      </c>
      <c r="C2762">
        <v>2025</v>
      </c>
      <c r="D2762" t="s">
        <v>24</v>
      </c>
      <c r="E2762" t="s">
        <v>284</v>
      </c>
      <c r="F2762" t="s">
        <v>37</v>
      </c>
      <c r="G2762" t="s">
        <v>33</v>
      </c>
      <c r="H2762" t="s">
        <v>34</v>
      </c>
      <c r="I2762" t="s">
        <v>39</v>
      </c>
      <c r="J2762" t="s">
        <v>52</v>
      </c>
      <c r="K2762" s="2">
        <v>5050</v>
      </c>
      <c r="L2762" s="2">
        <v>10500</v>
      </c>
      <c r="M2762">
        <v>60</v>
      </c>
      <c r="N2762" s="3">
        <v>0.252</v>
      </c>
      <c r="O2762" t="s">
        <v>16</v>
      </c>
      <c r="Q2762">
        <v>1</v>
      </c>
      <c r="R2762">
        <v>0</v>
      </c>
      <c r="S2762" s="2">
        <v>10500</v>
      </c>
      <c r="T2762" s="4">
        <v>0.1167</v>
      </c>
      <c r="U2762">
        <v>1</v>
      </c>
      <c r="V2762">
        <v>1</v>
      </c>
      <c r="W2762">
        <v>1</v>
      </c>
    </row>
    <row r="2763" spans="1:23" ht="16.5" x14ac:dyDescent="0.3">
      <c r="A2763" t="s">
        <v>2827</v>
      </c>
      <c r="B2763" s="1">
        <v>45701</v>
      </c>
      <c r="C2763">
        <v>2025</v>
      </c>
      <c r="D2763" t="s">
        <v>24</v>
      </c>
      <c r="E2763" t="s">
        <v>284</v>
      </c>
      <c r="F2763" t="s">
        <v>26</v>
      </c>
      <c r="G2763" t="s">
        <v>45</v>
      </c>
      <c r="H2763" t="s">
        <v>64</v>
      </c>
      <c r="I2763" t="s">
        <v>39</v>
      </c>
      <c r="J2763" t="s">
        <v>30</v>
      </c>
      <c r="K2763" s="2">
        <v>3150</v>
      </c>
      <c r="L2763" s="2">
        <v>24000</v>
      </c>
      <c r="M2763">
        <v>48</v>
      </c>
      <c r="N2763" s="3">
        <v>0.375</v>
      </c>
      <c r="O2763" t="s">
        <v>17</v>
      </c>
      <c r="P2763" t="s">
        <v>31</v>
      </c>
      <c r="Q2763">
        <v>0</v>
      </c>
      <c r="R2763">
        <v>1</v>
      </c>
      <c r="S2763" s="2">
        <v>0</v>
      </c>
      <c r="T2763" s="4"/>
      <c r="U2763">
        <v>2</v>
      </c>
      <c r="V2763">
        <v>1</v>
      </c>
      <c r="W2763">
        <v>1</v>
      </c>
    </row>
    <row r="2764" spans="1:23" ht="16.5" x14ac:dyDescent="0.3">
      <c r="A2764" t="s">
        <v>2828</v>
      </c>
      <c r="B2764" s="1">
        <v>45702</v>
      </c>
      <c r="C2764">
        <v>2025</v>
      </c>
      <c r="D2764" t="s">
        <v>24</v>
      </c>
      <c r="E2764" t="s">
        <v>284</v>
      </c>
      <c r="F2764" t="s">
        <v>37</v>
      </c>
      <c r="G2764" t="s">
        <v>45</v>
      </c>
      <c r="H2764" t="s">
        <v>34</v>
      </c>
      <c r="I2764" t="s">
        <v>39</v>
      </c>
      <c r="J2764" t="s">
        <v>46</v>
      </c>
      <c r="K2764" s="2">
        <v>7300</v>
      </c>
      <c r="L2764" s="2">
        <v>13500</v>
      </c>
      <c r="M2764">
        <v>24</v>
      </c>
      <c r="N2764" s="3">
        <v>0.32300000000000001</v>
      </c>
      <c r="O2764" t="s">
        <v>16</v>
      </c>
      <c r="Q2764">
        <v>1</v>
      </c>
      <c r="R2764">
        <v>0</v>
      </c>
      <c r="S2764" s="2">
        <v>12000</v>
      </c>
      <c r="T2764" s="4">
        <v>0.1072</v>
      </c>
      <c r="U2764">
        <v>3</v>
      </c>
      <c r="V2764">
        <v>1</v>
      </c>
      <c r="W2764">
        <v>1</v>
      </c>
    </row>
    <row r="2765" spans="1:23" ht="16.5" x14ac:dyDescent="0.3">
      <c r="A2765" t="s">
        <v>2829</v>
      </c>
      <c r="B2765" s="1">
        <v>45702</v>
      </c>
      <c r="C2765">
        <v>2025</v>
      </c>
      <c r="D2765" t="s">
        <v>24</v>
      </c>
      <c r="E2765" t="s">
        <v>284</v>
      </c>
      <c r="F2765" t="s">
        <v>37</v>
      </c>
      <c r="G2765" t="s">
        <v>45</v>
      </c>
      <c r="H2765" t="s">
        <v>38</v>
      </c>
      <c r="I2765" t="s">
        <v>29</v>
      </c>
      <c r="J2765" t="s">
        <v>43</v>
      </c>
      <c r="K2765" s="2">
        <v>5250</v>
      </c>
      <c r="L2765" s="2">
        <v>11500</v>
      </c>
      <c r="M2765">
        <v>60</v>
      </c>
      <c r="N2765" s="3">
        <v>0.185</v>
      </c>
      <c r="O2765" t="s">
        <v>17</v>
      </c>
      <c r="P2765" t="s">
        <v>60</v>
      </c>
      <c r="Q2765">
        <v>0</v>
      </c>
      <c r="R2765">
        <v>1</v>
      </c>
      <c r="S2765" s="2">
        <v>0</v>
      </c>
      <c r="T2765" s="4"/>
      <c r="U2765">
        <v>6</v>
      </c>
      <c r="V2765">
        <v>0</v>
      </c>
      <c r="W2765">
        <v>1</v>
      </c>
    </row>
    <row r="2766" spans="1:23" ht="16.5" x14ac:dyDescent="0.3">
      <c r="A2766" t="s">
        <v>2830</v>
      </c>
      <c r="B2766" s="1">
        <v>45702</v>
      </c>
      <c r="C2766">
        <v>2025</v>
      </c>
      <c r="D2766" t="s">
        <v>24</v>
      </c>
      <c r="E2766" t="s">
        <v>284</v>
      </c>
      <c r="F2766" t="s">
        <v>37</v>
      </c>
      <c r="G2766" t="s">
        <v>33</v>
      </c>
      <c r="H2766" t="s">
        <v>28</v>
      </c>
      <c r="I2766" t="s">
        <v>39</v>
      </c>
      <c r="J2766" t="s">
        <v>52</v>
      </c>
      <c r="K2766" s="2">
        <v>7450</v>
      </c>
      <c r="L2766" s="2">
        <v>18500</v>
      </c>
      <c r="M2766">
        <v>12</v>
      </c>
      <c r="N2766" s="3">
        <v>0.39600000000000002</v>
      </c>
      <c r="O2766" t="s">
        <v>17</v>
      </c>
      <c r="P2766" t="s">
        <v>65</v>
      </c>
      <c r="Q2766">
        <v>0</v>
      </c>
      <c r="R2766">
        <v>1</v>
      </c>
      <c r="S2766" s="2">
        <v>0</v>
      </c>
      <c r="T2766" s="4"/>
      <c r="U2766">
        <v>1</v>
      </c>
      <c r="V2766">
        <v>1</v>
      </c>
      <c r="W2766">
        <v>1</v>
      </c>
    </row>
    <row r="2767" spans="1:23" ht="16.5" x14ac:dyDescent="0.3">
      <c r="A2767" t="s">
        <v>2831</v>
      </c>
      <c r="B2767" s="1">
        <v>45702</v>
      </c>
      <c r="C2767">
        <v>2025</v>
      </c>
      <c r="D2767" t="s">
        <v>24</v>
      </c>
      <c r="E2767" t="s">
        <v>284</v>
      </c>
      <c r="F2767" t="s">
        <v>37</v>
      </c>
      <c r="G2767" t="s">
        <v>45</v>
      </c>
      <c r="H2767" t="s">
        <v>38</v>
      </c>
      <c r="I2767" t="s">
        <v>29</v>
      </c>
      <c r="J2767" t="s">
        <v>35</v>
      </c>
      <c r="K2767" s="2">
        <v>6250</v>
      </c>
      <c r="L2767" s="2">
        <v>13500</v>
      </c>
      <c r="M2767">
        <v>24</v>
      </c>
      <c r="N2767" s="3">
        <v>0.187</v>
      </c>
      <c r="O2767" t="s">
        <v>16</v>
      </c>
      <c r="Q2767">
        <v>1</v>
      </c>
      <c r="R2767">
        <v>0</v>
      </c>
      <c r="S2767" s="2">
        <v>11000</v>
      </c>
      <c r="T2767" s="4">
        <v>0.1201</v>
      </c>
      <c r="U2767">
        <v>2</v>
      </c>
      <c r="V2767">
        <v>1</v>
      </c>
      <c r="W2767">
        <v>1</v>
      </c>
    </row>
    <row r="2768" spans="1:23" ht="16.5" x14ac:dyDescent="0.3">
      <c r="A2768" t="s">
        <v>2832</v>
      </c>
      <c r="B2768" s="1">
        <v>45702</v>
      </c>
      <c r="C2768">
        <v>2025</v>
      </c>
      <c r="D2768" t="s">
        <v>24</v>
      </c>
      <c r="E2768" t="s">
        <v>284</v>
      </c>
      <c r="F2768" t="s">
        <v>26</v>
      </c>
      <c r="G2768" t="s">
        <v>33</v>
      </c>
      <c r="H2768" t="s">
        <v>28</v>
      </c>
      <c r="I2768" t="s">
        <v>42</v>
      </c>
      <c r="J2768" t="s">
        <v>52</v>
      </c>
      <c r="K2768" s="2">
        <v>4100</v>
      </c>
      <c r="L2768" s="2">
        <v>36000</v>
      </c>
      <c r="M2768">
        <v>48</v>
      </c>
      <c r="N2768" s="3">
        <v>0.26100000000000001</v>
      </c>
      <c r="O2768" t="s">
        <v>17</v>
      </c>
      <c r="P2768" t="s">
        <v>65</v>
      </c>
      <c r="Q2768">
        <v>0</v>
      </c>
      <c r="R2768">
        <v>1</v>
      </c>
      <c r="S2768" s="2">
        <v>0</v>
      </c>
      <c r="T2768" s="4"/>
      <c r="U2768">
        <v>3</v>
      </c>
      <c r="V2768">
        <v>1</v>
      </c>
      <c r="W2768">
        <v>1</v>
      </c>
    </row>
    <row r="2769" spans="1:23" ht="16.5" x14ac:dyDescent="0.3">
      <c r="A2769" t="s">
        <v>2833</v>
      </c>
      <c r="B2769" s="1">
        <v>45702</v>
      </c>
      <c r="C2769">
        <v>2025</v>
      </c>
      <c r="D2769" t="s">
        <v>24</v>
      </c>
      <c r="E2769" t="s">
        <v>284</v>
      </c>
      <c r="F2769" t="s">
        <v>37</v>
      </c>
      <c r="G2769" t="s">
        <v>51</v>
      </c>
      <c r="H2769" t="s">
        <v>55</v>
      </c>
      <c r="I2769" t="s">
        <v>42</v>
      </c>
      <c r="J2769" t="s">
        <v>30</v>
      </c>
      <c r="K2769" s="2">
        <v>8750</v>
      </c>
      <c r="L2769" s="2">
        <v>26000</v>
      </c>
      <c r="M2769">
        <v>36</v>
      </c>
      <c r="N2769" s="3">
        <v>0.248</v>
      </c>
      <c r="O2769" t="s">
        <v>125</v>
      </c>
      <c r="Q2769">
        <v>0</v>
      </c>
      <c r="R2769">
        <v>0</v>
      </c>
      <c r="S2769" s="2">
        <v>0</v>
      </c>
      <c r="T2769" s="4"/>
      <c r="U2769">
        <v>3</v>
      </c>
      <c r="V2769">
        <v>1</v>
      </c>
      <c r="W2769">
        <v>1</v>
      </c>
    </row>
    <row r="2770" spans="1:23" ht="16.5" x14ac:dyDescent="0.3">
      <c r="A2770" t="s">
        <v>2834</v>
      </c>
      <c r="B2770" s="1">
        <v>45702</v>
      </c>
      <c r="C2770">
        <v>2025</v>
      </c>
      <c r="D2770" t="s">
        <v>24</v>
      </c>
      <c r="E2770" t="s">
        <v>284</v>
      </c>
      <c r="F2770" t="s">
        <v>41</v>
      </c>
      <c r="G2770" t="s">
        <v>45</v>
      </c>
      <c r="H2770" t="s">
        <v>38</v>
      </c>
      <c r="I2770" t="s">
        <v>42</v>
      </c>
      <c r="J2770" t="s">
        <v>30</v>
      </c>
      <c r="K2770" s="2">
        <v>3950</v>
      </c>
      <c r="L2770" s="2">
        <v>89500</v>
      </c>
      <c r="M2770">
        <v>12</v>
      </c>
      <c r="N2770" s="3">
        <v>2.1440000000000001</v>
      </c>
      <c r="O2770" t="s">
        <v>17</v>
      </c>
      <c r="P2770" t="s">
        <v>31</v>
      </c>
      <c r="Q2770">
        <v>0</v>
      </c>
      <c r="R2770">
        <v>1</v>
      </c>
      <c r="S2770" s="2">
        <v>0</v>
      </c>
      <c r="T2770" s="4"/>
      <c r="U2770">
        <v>4</v>
      </c>
      <c r="V2770">
        <v>1</v>
      </c>
      <c r="W2770">
        <v>1</v>
      </c>
    </row>
    <row r="2771" spans="1:23" ht="16.5" x14ac:dyDescent="0.3">
      <c r="A2771" t="s">
        <v>2835</v>
      </c>
      <c r="B2771" s="1">
        <v>45702</v>
      </c>
      <c r="C2771">
        <v>2025</v>
      </c>
      <c r="D2771" t="s">
        <v>24</v>
      </c>
      <c r="E2771" t="s">
        <v>284</v>
      </c>
      <c r="F2771" t="s">
        <v>26</v>
      </c>
      <c r="G2771" t="s">
        <v>33</v>
      </c>
      <c r="H2771" t="s">
        <v>38</v>
      </c>
      <c r="I2771" t="s">
        <v>29</v>
      </c>
      <c r="J2771" t="s">
        <v>30</v>
      </c>
      <c r="K2771" s="2">
        <v>11150</v>
      </c>
      <c r="L2771" s="2">
        <v>27500</v>
      </c>
      <c r="M2771">
        <v>36</v>
      </c>
      <c r="N2771" s="3">
        <v>0.23799999999999999</v>
      </c>
      <c r="O2771" t="s">
        <v>16</v>
      </c>
      <c r="Q2771">
        <v>1</v>
      </c>
      <c r="R2771">
        <v>0</v>
      </c>
      <c r="S2771" s="2">
        <v>27500</v>
      </c>
      <c r="T2771" s="4">
        <v>9.8400000000000001E-2</v>
      </c>
      <c r="U2771">
        <v>1</v>
      </c>
      <c r="V2771">
        <v>1</v>
      </c>
      <c r="W2771">
        <v>1</v>
      </c>
    </row>
    <row r="2772" spans="1:23" ht="16.5" x14ac:dyDescent="0.3">
      <c r="A2772" t="s">
        <v>2836</v>
      </c>
      <c r="B2772" s="1">
        <v>45702</v>
      </c>
      <c r="C2772">
        <v>2025</v>
      </c>
      <c r="D2772" t="s">
        <v>24</v>
      </c>
      <c r="E2772" t="s">
        <v>284</v>
      </c>
      <c r="F2772" t="s">
        <v>37</v>
      </c>
      <c r="G2772" t="s">
        <v>45</v>
      </c>
      <c r="H2772" t="s">
        <v>55</v>
      </c>
      <c r="I2772" t="s">
        <v>42</v>
      </c>
      <c r="J2772" t="s">
        <v>35</v>
      </c>
      <c r="K2772" s="2">
        <v>3800</v>
      </c>
      <c r="L2772" s="2">
        <v>7000</v>
      </c>
      <c r="M2772">
        <v>12</v>
      </c>
      <c r="N2772" s="3">
        <v>0.39100000000000001</v>
      </c>
      <c r="O2772" t="s">
        <v>16</v>
      </c>
      <c r="Q2772">
        <v>1</v>
      </c>
      <c r="R2772">
        <v>0</v>
      </c>
      <c r="S2772" s="2">
        <v>6500</v>
      </c>
      <c r="T2772" s="4">
        <v>0.1255</v>
      </c>
      <c r="U2772">
        <v>1</v>
      </c>
      <c r="V2772">
        <v>1</v>
      </c>
      <c r="W2772">
        <v>1</v>
      </c>
    </row>
    <row r="2773" spans="1:23" ht="16.5" x14ac:dyDescent="0.3">
      <c r="A2773" t="s">
        <v>2837</v>
      </c>
      <c r="B2773" s="1">
        <v>45702</v>
      </c>
      <c r="C2773">
        <v>2025</v>
      </c>
      <c r="D2773" t="s">
        <v>24</v>
      </c>
      <c r="E2773" t="s">
        <v>284</v>
      </c>
      <c r="F2773" t="s">
        <v>26</v>
      </c>
      <c r="G2773" t="s">
        <v>33</v>
      </c>
      <c r="H2773" t="s">
        <v>55</v>
      </c>
      <c r="I2773" t="s">
        <v>39</v>
      </c>
      <c r="J2773" t="s">
        <v>43</v>
      </c>
      <c r="K2773" s="2">
        <v>4600</v>
      </c>
      <c r="L2773" s="2">
        <v>35500</v>
      </c>
      <c r="M2773">
        <v>36</v>
      </c>
      <c r="N2773" s="3">
        <v>0.35199999999999998</v>
      </c>
      <c r="O2773" t="s">
        <v>17</v>
      </c>
      <c r="P2773" t="s">
        <v>31</v>
      </c>
      <c r="Q2773">
        <v>0</v>
      </c>
      <c r="R2773">
        <v>1</v>
      </c>
      <c r="S2773" s="2">
        <v>0</v>
      </c>
      <c r="T2773" s="4"/>
      <c r="U2773">
        <v>2</v>
      </c>
      <c r="V2773">
        <v>1</v>
      </c>
      <c r="W2773">
        <v>1</v>
      </c>
    </row>
    <row r="2774" spans="1:23" ht="16.5" x14ac:dyDescent="0.3">
      <c r="A2774" t="s">
        <v>2838</v>
      </c>
      <c r="B2774" s="1">
        <v>45702</v>
      </c>
      <c r="C2774">
        <v>2025</v>
      </c>
      <c r="D2774" t="s">
        <v>24</v>
      </c>
      <c r="E2774" t="s">
        <v>284</v>
      </c>
      <c r="F2774" t="s">
        <v>26</v>
      </c>
      <c r="G2774" t="s">
        <v>51</v>
      </c>
      <c r="H2774" t="s">
        <v>55</v>
      </c>
      <c r="I2774" t="s">
        <v>29</v>
      </c>
      <c r="J2774" t="s">
        <v>46</v>
      </c>
      <c r="K2774" s="2">
        <v>4150</v>
      </c>
      <c r="L2774" s="2">
        <v>25500</v>
      </c>
      <c r="M2774">
        <v>36</v>
      </c>
      <c r="N2774" s="3">
        <v>0.35499999999999998</v>
      </c>
      <c r="O2774" t="s">
        <v>17</v>
      </c>
      <c r="P2774" t="s">
        <v>60</v>
      </c>
      <c r="Q2774">
        <v>0</v>
      </c>
      <c r="R2774">
        <v>1</v>
      </c>
      <c r="S2774" s="2">
        <v>0</v>
      </c>
      <c r="T2774" s="4"/>
      <c r="U2774">
        <v>8</v>
      </c>
      <c r="V2774">
        <v>0</v>
      </c>
      <c r="W2774">
        <v>1</v>
      </c>
    </row>
    <row r="2775" spans="1:23" ht="16.5" x14ac:dyDescent="0.3">
      <c r="A2775" t="s">
        <v>2839</v>
      </c>
      <c r="B2775" s="1">
        <v>45702</v>
      </c>
      <c r="C2775">
        <v>2025</v>
      </c>
      <c r="D2775" t="s">
        <v>24</v>
      </c>
      <c r="E2775" t="s">
        <v>284</v>
      </c>
      <c r="F2775" t="s">
        <v>37</v>
      </c>
      <c r="G2775" t="s">
        <v>45</v>
      </c>
      <c r="H2775" t="s">
        <v>28</v>
      </c>
      <c r="I2775" t="s">
        <v>42</v>
      </c>
      <c r="J2775" t="s">
        <v>52</v>
      </c>
      <c r="K2775" s="2">
        <v>14750</v>
      </c>
      <c r="L2775" s="2">
        <v>12500</v>
      </c>
      <c r="M2775">
        <v>24</v>
      </c>
      <c r="N2775" s="3">
        <v>0.182</v>
      </c>
      <c r="O2775" t="s">
        <v>16</v>
      </c>
      <c r="Q2775">
        <v>1</v>
      </c>
      <c r="R2775">
        <v>0</v>
      </c>
      <c r="S2775" s="2">
        <v>12500</v>
      </c>
      <c r="T2775" s="4">
        <v>0.1174</v>
      </c>
      <c r="U2775">
        <v>1</v>
      </c>
      <c r="V2775">
        <v>1</v>
      </c>
      <c r="W2775">
        <v>1</v>
      </c>
    </row>
    <row r="2776" spans="1:23" ht="16.5" x14ac:dyDescent="0.3">
      <c r="A2776" t="s">
        <v>2840</v>
      </c>
      <c r="B2776" s="1">
        <v>45703</v>
      </c>
      <c r="C2776">
        <v>2025</v>
      </c>
      <c r="D2776" t="s">
        <v>24</v>
      </c>
      <c r="E2776" t="s">
        <v>284</v>
      </c>
      <c r="F2776" t="s">
        <v>26</v>
      </c>
      <c r="G2776" t="s">
        <v>33</v>
      </c>
      <c r="H2776" t="s">
        <v>55</v>
      </c>
      <c r="I2776" t="s">
        <v>39</v>
      </c>
      <c r="J2776" t="s">
        <v>30</v>
      </c>
      <c r="K2776" s="2">
        <v>6450</v>
      </c>
      <c r="L2776" s="2">
        <v>14000</v>
      </c>
      <c r="M2776">
        <v>36</v>
      </c>
      <c r="N2776" s="3">
        <v>0.19800000000000001</v>
      </c>
      <c r="O2776" t="s">
        <v>17</v>
      </c>
      <c r="P2776" t="s">
        <v>48</v>
      </c>
      <c r="Q2776">
        <v>0</v>
      </c>
      <c r="R2776">
        <v>1</v>
      </c>
      <c r="S2776" s="2">
        <v>0</v>
      </c>
      <c r="T2776" s="4"/>
      <c r="U2776">
        <v>2</v>
      </c>
      <c r="V2776">
        <v>1</v>
      </c>
      <c r="W2776">
        <v>1</v>
      </c>
    </row>
    <row r="2777" spans="1:23" ht="16.5" x14ac:dyDescent="0.3">
      <c r="A2777" t="s">
        <v>2841</v>
      </c>
      <c r="B2777" s="1">
        <v>45703</v>
      </c>
      <c r="C2777">
        <v>2025</v>
      </c>
      <c r="D2777" t="s">
        <v>24</v>
      </c>
      <c r="E2777" t="s">
        <v>284</v>
      </c>
      <c r="F2777" t="s">
        <v>41</v>
      </c>
      <c r="G2777" t="s">
        <v>45</v>
      </c>
      <c r="H2777" t="s">
        <v>34</v>
      </c>
      <c r="I2777" t="s">
        <v>29</v>
      </c>
      <c r="J2777" t="s">
        <v>35</v>
      </c>
      <c r="K2777" s="2">
        <v>6350</v>
      </c>
      <c r="L2777" s="2">
        <v>208500</v>
      </c>
      <c r="M2777">
        <v>60</v>
      </c>
      <c r="N2777" s="3">
        <v>0.75</v>
      </c>
      <c r="O2777" t="s">
        <v>16</v>
      </c>
      <c r="Q2777">
        <v>1</v>
      </c>
      <c r="R2777">
        <v>0</v>
      </c>
      <c r="S2777" s="2">
        <v>208500</v>
      </c>
      <c r="T2777" s="4">
        <v>0.1091</v>
      </c>
      <c r="U2777">
        <v>3</v>
      </c>
      <c r="V2777">
        <v>1</v>
      </c>
      <c r="W2777">
        <v>1</v>
      </c>
    </row>
    <row r="2778" spans="1:23" ht="16.5" x14ac:dyDescent="0.3">
      <c r="A2778" t="s">
        <v>2842</v>
      </c>
      <c r="B2778" s="1">
        <v>45703</v>
      </c>
      <c r="C2778">
        <v>2025</v>
      </c>
      <c r="D2778" t="s">
        <v>24</v>
      </c>
      <c r="E2778" t="s">
        <v>284</v>
      </c>
      <c r="F2778" t="s">
        <v>41</v>
      </c>
      <c r="G2778" t="s">
        <v>51</v>
      </c>
      <c r="H2778" t="s">
        <v>55</v>
      </c>
      <c r="I2778" t="s">
        <v>29</v>
      </c>
      <c r="J2778" t="s">
        <v>30</v>
      </c>
      <c r="K2778" s="2">
        <v>5000</v>
      </c>
      <c r="L2778" s="2">
        <v>81000</v>
      </c>
      <c r="M2778">
        <v>24</v>
      </c>
      <c r="N2778" s="3">
        <v>0.98799999999999999</v>
      </c>
      <c r="O2778" t="s">
        <v>17</v>
      </c>
      <c r="P2778" t="s">
        <v>53</v>
      </c>
      <c r="Q2778">
        <v>0</v>
      </c>
      <c r="R2778">
        <v>1</v>
      </c>
      <c r="S2778" s="2">
        <v>0</v>
      </c>
      <c r="T2778" s="4"/>
      <c r="U2778">
        <v>19</v>
      </c>
      <c r="V2778">
        <v>0</v>
      </c>
      <c r="W2778">
        <v>1</v>
      </c>
    </row>
    <row r="2779" spans="1:23" ht="16.5" x14ac:dyDescent="0.3">
      <c r="A2779" t="s">
        <v>2843</v>
      </c>
      <c r="B2779" s="1">
        <v>45703</v>
      </c>
      <c r="C2779">
        <v>2025</v>
      </c>
      <c r="D2779" t="s">
        <v>24</v>
      </c>
      <c r="E2779" t="s">
        <v>284</v>
      </c>
      <c r="F2779" t="s">
        <v>26</v>
      </c>
      <c r="G2779" t="s">
        <v>45</v>
      </c>
      <c r="H2779" t="s">
        <v>34</v>
      </c>
      <c r="I2779" t="s">
        <v>29</v>
      </c>
      <c r="J2779" t="s">
        <v>52</v>
      </c>
      <c r="K2779" s="2">
        <v>6250</v>
      </c>
      <c r="L2779" s="2">
        <v>69000</v>
      </c>
      <c r="M2779">
        <v>48</v>
      </c>
      <c r="N2779" s="3">
        <v>0.43</v>
      </c>
      <c r="O2779" t="s">
        <v>16</v>
      </c>
      <c r="Q2779">
        <v>1</v>
      </c>
      <c r="R2779">
        <v>0</v>
      </c>
      <c r="S2779" s="2">
        <v>55000</v>
      </c>
      <c r="T2779" s="4">
        <v>7.3599999999999999E-2</v>
      </c>
      <c r="U2779">
        <v>1</v>
      </c>
      <c r="V2779">
        <v>1</v>
      </c>
      <c r="W2779">
        <v>1</v>
      </c>
    </row>
    <row r="2780" spans="1:23" ht="16.5" x14ac:dyDescent="0.3">
      <c r="A2780" t="s">
        <v>2844</v>
      </c>
      <c r="B2780" s="1">
        <v>45703</v>
      </c>
      <c r="C2780">
        <v>2025</v>
      </c>
      <c r="D2780" t="s">
        <v>24</v>
      </c>
      <c r="E2780" t="s">
        <v>284</v>
      </c>
      <c r="F2780" t="s">
        <v>37</v>
      </c>
      <c r="G2780" t="s">
        <v>45</v>
      </c>
      <c r="H2780" t="s">
        <v>34</v>
      </c>
      <c r="I2780" t="s">
        <v>29</v>
      </c>
      <c r="J2780" t="s">
        <v>30</v>
      </c>
      <c r="K2780" s="2">
        <v>3950</v>
      </c>
      <c r="L2780" s="2">
        <v>4500</v>
      </c>
      <c r="M2780">
        <v>36</v>
      </c>
      <c r="N2780" s="3">
        <v>0.218</v>
      </c>
      <c r="O2780" t="s">
        <v>17</v>
      </c>
      <c r="P2780" t="s">
        <v>31</v>
      </c>
      <c r="Q2780">
        <v>0</v>
      </c>
      <c r="R2780">
        <v>1</v>
      </c>
      <c r="S2780" s="2">
        <v>0</v>
      </c>
      <c r="T2780" s="4"/>
      <c r="U2780">
        <v>3</v>
      </c>
      <c r="V2780">
        <v>1</v>
      </c>
      <c r="W2780">
        <v>1</v>
      </c>
    </row>
    <row r="2781" spans="1:23" ht="16.5" x14ac:dyDescent="0.3">
      <c r="A2781" t="s">
        <v>2845</v>
      </c>
      <c r="B2781" s="1">
        <v>45703</v>
      </c>
      <c r="C2781">
        <v>2025</v>
      </c>
      <c r="D2781" t="s">
        <v>24</v>
      </c>
      <c r="E2781" t="s">
        <v>284</v>
      </c>
      <c r="F2781" t="s">
        <v>37</v>
      </c>
      <c r="G2781" t="s">
        <v>51</v>
      </c>
      <c r="H2781" t="s">
        <v>55</v>
      </c>
      <c r="I2781" t="s">
        <v>42</v>
      </c>
      <c r="J2781" t="s">
        <v>35</v>
      </c>
      <c r="K2781" s="2">
        <v>5700</v>
      </c>
      <c r="L2781" s="2">
        <v>6500</v>
      </c>
      <c r="M2781">
        <v>60</v>
      </c>
      <c r="N2781" s="3">
        <v>0.13100000000000001</v>
      </c>
      <c r="O2781" t="s">
        <v>17</v>
      </c>
      <c r="P2781" t="s">
        <v>60</v>
      </c>
      <c r="Q2781">
        <v>0</v>
      </c>
      <c r="R2781">
        <v>1</v>
      </c>
      <c r="S2781" s="2">
        <v>0</v>
      </c>
      <c r="T2781" s="4"/>
      <c r="U2781">
        <v>11</v>
      </c>
      <c r="V2781">
        <v>0</v>
      </c>
      <c r="W2781">
        <v>1</v>
      </c>
    </row>
    <row r="2782" spans="1:23" ht="16.5" x14ac:dyDescent="0.3">
      <c r="A2782" t="s">
        <v>2846</v>
      </c>
      <c r="B2782" s="1">
        <v>45703</v>
      </c>
      <c r="C2782">
        <v>2025</v>
      </c>
      <c r="D2782" t="s">
        <v>24</v>
      </c>
      <c r="E2782" t="s">
        <v>284</v>
      </c>
      <c r="F2782" t="s">
        <v>37</v>
      </c>
      <c r="G2782" t="s">
        <v>51</v>
      </c>
      <c r="H2782" t="s">
        <v>38</v>
      </c>
      <c r="I2782" t="s">
        <v>39</v>
      </c>
      <c r="J2782" t="s">
        <v>35</v>
      </c>
      <c r="K2782" s="2">
        <v>5850</v>
      </c>
      <c r="L2782" s="2">
        <v>15500</v>
      </c>
      <c r="M2782">
        <v>24</v>
      </c>
      <c r="N2782" s="3">
        <v>0.33600000000000002</v>
      </c>
      <c r="O2782" t="s">
        <v>125</v>
      </c>
      <c r="Q2782">
        <v>0</v>
      </c>
      <c r="R2782">
        <v>0</v>
      </c>
      <c r="S2782" s="2">
        <v>0</v>
      </c>
      <c r="T2782" s="4"/>
      <c r="U2782">
        <v>3</v>
      </c>
      <c r="V2782">
        <v>1</v>
      </c>
      <c r="W2782">
        <v>1</v>
      </c>
    </row>
    <row r="2783" spans="1:23" ht="16.5" x14ac:dyDescent="0.3">
      <c r="A2783" t="s">
        <v>2847</v>
      </c>
      <c r="B2783" s="1">
        <v>45704</v>
      </c>
      <c r="C2783">
        <v>2025</v>
      </c>
      <c r="D2783" t="s">
        <v>24</v>
      </c>
      <c r="E2783" t="s">
        <v>284</v>
      </c>
      <c r="F2783" t="s">
        <v>41</v>
      </c>
      <c r="G2783" t="s">
        <v>45</v>
      </c>
      <c r="H2783" t="s">
        <v>38</v>
      </c>
      <c r="I2783" t="s">
        <v>39</v>
      </c>
      <c r="J2783" t="s">
        <v>35</v>
      </c>
      <c r="K2783" s="2">
        <v>7500</v>
      </c>
      <c r="L2783" s="2">
        <v>112000</v>
      </c>
      <c r="M2783">
        <v>24</v>
      </c>
      <c r="N2783" s="3">
        <v>0.80200000000000005</v>
      </c>
      <c r="O2783" t="s">
        <v>17</v>
      </c>
      <c r="P2783" t="s">
        <v>53</v>
      </c>
      <c r="Q2783">
        <v>0</v>
      </c>
      <c r="R2783">
        <v>1</v>
      </c>
      <c r="S2783" s="2">
        <v>0</v>
      </c>
      <c r="T2783" s="4"/>
      <c r="U2783">
        <v>3</v>
      </c>
      <c r="V2783">
        <v>1</v>
      </c>
      <c r="W2783">
        <v>1</v>
      </c>
    </row>
    <row r="2784" spans="1:23" ht="16.5" x14ac:dyDescent="0.3">
      <c r="A2784" t="s">
        <v>2848</v>
      </c>
      <c r="B2784" s="1">
        <v>45704</v>
      </c>
      <c r="C2784">
        <v>2025</v>
      </c>
      <c r="D2784" t="s">
        <v>24</v>
      </c>
      <c r="E2784" t="s">
        <v>284</v>
      </c>
      <c r="F2784" t="s">
        <v>50</v>
      </c>
      <c r="G2784" t="s">
        <v>33</v>
      </c>
      <c r="H2784" t="s">
        <v>34</v>
      </c>
      <c r="I2784" t="s">
        <v>29</v>
      </c>
      <c r="J2784" t="s">
        <v>35</v>
      </c>
      <c r="K2784" s="2">
        <v>4300</v>
      </c>
      <c r="L2784" s="2">
        <v>511000</v>
      </c>
      <c r="M2784">
        <v>300</v>
      </c>
      <c r="N2784" s="3">
        <v>0.83199999999999996</v>
      </c>
      <c r="O2784" t="s">
        <v>17</v>
      </c>
      <c r="P2784" t="s">
        <v>53</v>
      </c>
      <c r="Q2784">
        <v>0</v>
      </c>
      <c r="R2784">
        <v>1</v>
      </c>
      <c r="S2784" s="2">
        <v>0</v>
      </c>
      <c r="T2784" s="4"/>
      <c r="U2784">
        <v>5</v>
      </c>
      <c r="V2784">
        <v>1</v>
      </c>
      <c r="W2784">
        <v>1</v>
      </c>
    </row>
    <row r="2785" spans="1:23" ht="16.5" x14ac:dyDescent="0.3">
      <c r="A2785" t="s">
        <v>2849</v>
      </c>
      <c r="B2785" s="1">
        <v>45704</v>
      </c>
      <c r="C2785">
        <v>2025</v>
      </c>
      <c r="D2785" t="s">
        <v>24</v>
      </c>
      <c r="E2785" t="s">
        <v>284</v>
      </c>
      <c r="F2785" t="s">
        <v>41</v>
      </c>
      <c r="G2785" t="s">
        <v>33</v>
      </c>
      <c r="H2785" t="s">
        <v>38</v>
      </c>
      <c r="I2785" t="s">
        <v>29</v>
      </c>
      <c r="J2785" t="s">
        <v>30</v>
      </c>
      <c r="K2785" s="2">
        <v>3850</v>
      </c>
      <c r="L2785" s="2">
        <v>105500</v>
      </c>
      <c r="M2785">
        <v>60</v>
      </c>
      <c r="N2785" s="3">
        <v>0.66100000000000003</v>
      </c>
      <c r="O2785" t="s">
        <v>16</v>
      </c>
      <c r="Q2785">
        <v>1</v>
      </c>
      <c r="R2785">
        <v>0</v>
      </c>
      <c r="S2785" s="2">
        <v>84500</v>
      </c>
      <c r="T2785" s="4">
        <v>0.12379999999999999</v>
      </c>
      <c r="U2785">
        <v>4</v>
      </c>
      <c r="V2785">
        <v>1</v>
      </c>
      <c r="W2785">
        <v>1</v>
      </c>
    </row>
    <row r="2786" spans="1:23" ht="16.5" x14ac:dyDescent="0.3">
      <c r="A2786" t="s">
        <v>2850</v>
      </c>
      <c r="B2786" s="1">
        <v>45704</v>
      </c>
      <c r="C2786">
        <v>2025</v>
      </c>
      <c r="D2786" t="s">
        <v>24</v>
      </c>
      <c r="E2786" t="s">
        <v>284</v>
      </c>
      <c r="F2786" t="s">
        <v>37</v>
      </c>
      <c r="G2786" t="s">
        <v>51</v>
      </c>
      <c r="H2786" t="s">
        <v>55</v>
      </c>
      <c r="I2786" t="s">
        <v>42</v>
      </c>
      <c r="J2786" t="s">
        <v>35</v>
      </c>
      <c r="K2786" s="2">
        <v>12650</v>
      </c>
      <c r="L2786" s="2">
        <v>12000</v>
      </c>
      <c r="M2786">
        <v>12</v>
      </c>
      <c r="N2786" s="3">
        <v>0.254</v>
      </c>
      <c r="O2786" t="s">
        <v>16</v>
      </c>
      <c r="Q2786">
        <v>1</v>
      </c>
      <c r="R2786">
        <v>0</v>
      </c>
      <c r="S2786" s="2">
        <v>12000</v>
      </c>
      <c r="T2786" s="4">
        <v>0.1234</v>
      </c>
      <c r="U2786">
        <v>4</v>
      </c>
      <c r="V2786">
        <v>0</v>
      </c>
      <c r="W2786">
        <v>1</v>
      </c>
    </row>
    <row r="2787" spans="1:23" ht="16.5" x14ac:dyDescent="0.3">
      <c r="A2787" t="s">
        <v>2851</v>
      </c>
      <c r="B2787" s="1">
        <v>45704</v>
      </c>
      <c r="C2787">
        <v>2025</v>
      </c>
      <c r="D2787" t="s">
        <v>24</v>
      </c>
      <c r="E2787" t="s">
        <v>284</v>
      </c>
      <c r="F2787" t="s">
        <v>37</v>
      </c>
      <c r="G2787" t="s">
        <v>45</v>
      </c>
      <c r="H2787" t="s">
        <v>38</v>
      </c>
      <c r="I2787" t="s">
        <v>39</v>
      </c>
      <c r="J2787" t="s">
        <v>52</v>
      </c>
      <c r="K2787" s="2">
        <v>2750</v>
      </c>
      <c r="L2787" s="2">
        <v>5500</v>
      </c>
      <c r="M2787">
        <v>12</v>
      </c>
      <c r="N2787" s="3">
        <v>0.27</v>
      </c>
      <c r="O2787" t="s">
        <v>16</v>
      </c>
      <c r="Q2787">
        <v>1</v>
      </c>
      <c r="R2787">
        <v>0</v>
      </c>
      <c r="S2787" s="2">
        <v>5500</v>
      </c>
      <c r="T2787" s="4">
        <v>0.11550000000000001</v>
      </c>
      <c r="U2787">
        <v>2</v>
      </c>
      <c r="V2787">
        <v>1</v>
      </c>
      <c r="W2787">
        <v>1</v>
      </c>
    </row>
    <row r="2788" spans="1:23" ht="16.5" x14ac:dyDescent="0.3">
      <c r="A2788" t="s">
        <v>2852</v>
      </c>
      <c r="B2788" s="1">
        <v>45705</v>
      </c>
      <c r="C2788">
        <v>2025</v>
      </c>
      <c r="D2788" t="s">
        <v>24</v>
      </c>
      <c r="E2788" t="s">
        <v>284</v>
      </c>
      <c r="F2788" t="s">
        <v>37</v>
      </c>
      <c r="G2788" t="s">
        <v>51</v>
      </c>
      <c r="H2788" t="s">
        <v>34</v>
      </c>
      <c r="I2788" t="s">
        <v>29</v>
      </c>
      <c r="J2788" t="s">
        <v>35</v>
      </c>
      <c r="K2788" s="2">
        <v>10450</v>
      </c>
      <c r="L2788" s="2">
        <v>13000</v>
      </c>
      <c r="M2788">
        <v>48</v>
      </c>
      <c r="N2788" s="3">
        <v>0.127</v>
      </c>
      <c r="O2788" t="s">
        <v>16</v>
      </c>
      <c r="Q2788">
        <v>1</v>
      </c>
      <c r="R2788">
        <v>0</v>
      </c>
      <c r="S2788" s="2">
        <v>13000</v>
      </c>
      <c r="T2788" s="4">
        <v>0.1263</v>
      </c>
      <c r="U2788">
        <v>3</v>
      </c>
      <c r="V2788">
        <v>1</v>
      </c>
      <c r="W2788">
        <v>1</v>
      </c>
    </row>
    <row r="2789" spans="1:23" ht="16.5" x14ac:dyDescent="0.3">
      <c r="A2789" t="s">
        <v>2853</v>
      </c>
      <c r="B2789" s="1">
        <v>45705</v>
      </c>
      <c r="C2789">
        <v>2025</v>
      </c>
      <c r="D2789" t="s">
        <v>24</v>
      </c>
      <c r="E2789" t="s">
        <v>284</v>
      </c>
      <c r="F2789" t="s">
        <v>37</v>
      </c>
      <c r="G2789" t="s">
        <v>45</v>
      </c>
      <c r="H2789" t="s">
        <v>64</v>
      </c>
      <c r="I2789" t="s">
        <v>39</v>
      </c>
      <c r="J2789" t="s">
        <v>46</v>
      </c>
      <c r="K2789" s="2">
        <v>5200</v>
      </c>
      <c r="L2789" s="2">
        <v>8000</v>
      </c>
      <c r="M2789">
        <v>60</v>
      </c>
      <c r="N2789" s="3">
        <v>0.214</v>
      </c>
      <c r="O2789" t="s">
        <v>16</v>
      </c>
      <c r="Q2789">
        <v>1</v>
      </c>
      <c r="R2789">
        <v>0</v>
      </c>
      <c r="S2789" s="2">
        <v>6500</v>
      </c>
      <c r="T2789" s="4">
        <v>0.1057</v>
      </c>
      <c r="U2789">
        <v>1</v>
      </c>
      <c r="V2789">
        <v>1</v>
      </c>
      <c r="W2789">
        <v>1</v>
      </c>
    </row>
    <row r="2790" spans="1:23" ht="16.5" x14ac:dyDescent="0.3">
      <c r="A2790" t="s">
        <v>2854</v>
      </c>
      <c r="B2790" s="1">
        <v>45705</v>
      </c>
      <c r="C2790">
        <v>2025</v>
      </c>
      <c r="D2790" t="s">
        <v>24</v>
      </c>
      <c r="E2790" t="s">
        <v>284</v>
      </c>
      <c r="F2790" t="s">
        <v>41</v>
      </c>
      <c r="G2790" t="s">
        <v>45</v>
      </c>
      <c r="H2790" t="s">
        <v>64</v>
      </c>
      <c r="I2790" t="s">
        <v>29</v>
      </c>
      <c r="J2790" t="s">
        <v>35</v>
      </c>
      <c r="K2790" s="2">
        <v>3400</v>
      </c>
      <c r="L2790" s="2">
        <v>78000</v>
      </c>
      <c r="M2790">
        <v>36</v>
      </c>
      <c r="N2790" s="3">
        <v>0.92100000000000004</v>
      </c>
      <c r="O2790" t="s">
        <v>17</v>
      </c>
      <c r="P2790" t="s">
        <v>60</v>
      </c>
      <c r="Q2790">
        <v>0</v>
      </c>
      <c r="R2790">
        <v>1</v>
      </c>
      <c r="S2790" s="2">
        <v>0</v>
      </c>
      <c r="T2790" s="4"/>
      <c r="U2790">
        <v>7</v>
      </c>
      <c r="V2790">
        <v>1</v>
      </c>
      <c r="W2790">
        <v>1</v>
      </c>
    </row>
    <row r="2791" spans="1:23" ht="16.5" x14ac:dyDescent="0.3">
      <c r="A2791" t="s">
        <v>2855</v>
      </c>
      <c r="B2791" s="1">
        <v>45705</v>
      </c>
      <c r="C2791">
        <v>2025</v>
      </c>
      <c r="D2791" t="s">
        <v>24</v>
      </c>
      <c r="E2791" t="s">
        <v>284</v>
      </c>
      <c r="F2791" t="s">
        <v>37</v>
      </c>
      <c r="G2791" t="s">
        <v>51</v>
      </c>
      <c r="H2791" t="s">
        <v>34</v>
      </c>
      <c r="I2791" t="s">
        <v>29</v>
      </c>
      <c r="J2791" t="s">
        <v>52</v>
      </c>
      <c r="K2791" s="2">
        <v>4400</v>
      </c>
      <c r="L2791" s="2">
        <v>9500</v>
      </c>
      <c r="M2791">
        <v>24</v>
      </c>
      <c r="N2791" s="3">
        <v>0.27600000000000002</v>
      </c>
      <c r="O2791" t="s">
        <v>17</v>
      </c>
      <c r="P2791" t="s">
        <v>48</v>
      </c>
      <c r="Q2791">
        <v>0</v>
      </c>
      <c r="R2791">
        <v>1</v>
      </c>
      <c r="S2791" s="2">
        <v>0</v>
      </c>
      <c r="T2791" s="4"/>
      <c r="U2791">
        <v>4</v>
      </c>
      <c r="V2791">
        <v>0</v>
      </c>
      <c r="W2791">
        <v>1</v>
      </c>
    </row>
    <row r="2792" spans="1:23" ht="16.5" x14ac:dyDescent="0.3">
      <c r="A2792" t="s">
        <v>2856</v>
      </c>
      <c r="B2792" s="1">
        <v>45705</v>
      </c>
      <c r="C2792">
        <v>2025</v>
      </c>
      <c r="D2792" t="s">
        <v>24</v>
      </c>
      <c r="E2792" t="s">
        <v>284</v>
      </c>
      <c r="F2792" t="s">
        <v>50</v>
      </c>
      <c r="G2792" t="s">
        <v>45</v>
      </c>
      <c r="H2792" t="s">
        <v>55</v>
      </c>
      <c r="I2792" t="s">
        <v>42</v>
      </c>
      <c r="J2792" t="s">
        <v>52</v>
      </c>
      <c r="K2792" s="2">
        <v>3200</v>
      </c>
      <c r="L2792" s="2">
        <v>323500</v>
      </c>
      <c r="M2792">
        <v>300</v>
      </c>
      <c r="N2792" s="3">
        <v>0.69799999999999995</v>
      </c>
      <c r="O2792" t="s">
        <v>16</v>
      </c>
      <c r="Q2792">
        <v>1</v>
      </c>
      <c r="R2792">
        <v>0</v>
      </c>
      <c r="S2792" s="2">
        <v>259000</v>
      </c>
      <c r="T2792" s="4">
        <v>5.1900000000000002E-2</v>
      </c>
      <c r="U2792">
        <v>7</v>
      </c>
      <c r="V2792">
        <v>1</v>
      </c>
      <c r="W2792">
        <v>1</v>
      </c>
    </row>
    <row r="2793" spans="1:23" ht="16.5" x14ac:dyDescent="0.3">
      <c r="A2793" t="s">
        <v>2857</v>
      </c>
      <c r="B2793" s="1">
        <v>45705</v>
      </c>
      <c r="C2793">
        <v>2025</v>
      </c>
      <c r="D2793" t="s">
        <v>24</v>
      </c>
      <c r="E2793" t="s">
        <v>284</v>
      </c>
      <c r="F2793" t="s">
        <v>41</v>
      </c>
      <c r="G2793" t="s">
        <v>51</v>
      </c>
      <c r="H2793" t="s">
        <v>28</v>
      </c>
      <c r="I2793" t="s">
        <v>29</v>
      </c>
      <c r="J2793" t="s">
        <v>30</v>
      </c>
      <c r="K2793" s="2">
        <v>4300</v>
      </c>
      <c r="L2793" s="2">
        <v>101500</v>
      </c>
      <c r="M2793">
        <v>60</v>
      </c>
      <c r="N2793" s="3">
        <v>0.70499999999999996</v>
      </c>
      <c r="O2793" t="s">
        <v>16</v>
      </c>
      <c r="Q2793">
        <v>1</v>
      </c>
      <c r="R2793">
        <v>0</v>
      </c>
      <c r="S2793" s="2">
        <v>81000</v>
      </c>
      <c r="T2793" s="4">
        <v>0.12520000000000001</v>
      </c>
      <c r="U2793">
        <v>9</v>
      </c>
      <c r="V2793">
        <v>1</v>
      </c>
      <c r="W2793">
        <v>1</v>
      </c>
    </row>
    <row r="2794" spans="1:23" ht="16.5" x14ac:dyDescent="0.3">
      <c r="A2794" t="s">
        <v>2858</v>
      </c>
      <c r="B2794" s="1">
        <v>45705</v>
      </c>
      <c r="C2794">
        <v>2025</v>
      </c>
      <c r="D2794" t="s">
        <v>24</v>
      </c>
      <c r="E2794" t="s">
        <v>284</v>
      </c>
      <c r="F2794" t="s">
        <v>26</v>
      </c>
      <c r="G2794" t="s">
        <v>33</v>
      </c>
      <c r="H2794" t="s">
        <v>55</v>
      </c>
      <c r="I2794" t="s">
        <v>29</v>
      </c>
      <c r="J2794" t="s">
        <v>52</v>
      </c>
      <c r="K2794" s="2">
        <v>5000</v>
      </c>
      <c r="L2794" s="2">
        <v>16000</v>
      </c>
      <c r="M2794">
        <v>60</v>
      </c>
      <c r="N2794" s="3">
        <v>0.27400000000000002</v>
      </c>
      <c r="O2794" t="s">
        <v>17</v>
      </c>
      <c r="P2794" t="s">
        <v>31</v>
      </c>
      <c r="Q2794">
        <v>0</v>
      </c>
      <c r="R2794">
        <v>1</v>
      </c>
      <c r="S2794" s="2">
        <v>0</v>
      </c>
      <c r="T2794" s="4"/>
      <c r="U2794">
        <v>2</v>
      </c>
      <c r="V2794">
        <v>1</v>
      </c>
      <c r="W2794">
        <v>1</v>
      </c>
    </row>
    <row r="2795" spans="1:23" ht="16.5" x14ac:dyDescent="0.3">
      <c r="A2795" t="s">
        <v>2859</v>
      </c>
      <c r="B2795" s="1">
        <v>45705</v>
      </c>
      <c r="C2795">
        <v>2025</v>
      </c>
      <c r="D2795" t="s">
        <v>24</v>
      </c>
      <c r="E2795" t="s">
        <v>284</v>
      </c>
      <c r="F2795" t="s">
        <v>37</v>
      </c>
      <c r="G2795" t="s">
        <v>45</v>
      </c>
      <c r="H2795" t="s">
        <v>34</v>
      </c>
      <c r="I2795" t="s">
        <v>39</v>
      </c>
      <c r="J2795" t="s">
        <v>46</v>
      </c>
      <c r="K2795" s="2">
        <v>7400</v>
      </c>
      <c r="L2795" s="2">
        <v>11500</v>
      </c>
      <c r="M2795">
        <v>60</v>
      </c>
      <c r="N2795" s="3">
        <v>0.23</v>
      </c>
      <c r="O2795" t="s">
        <v>16</v>
      </c>
      <c r="Q2795">
        <v>1</v>
      </c>
      <c r="R2795">
        <v>0</v>
      </c>
      <c r="S2795" s="2">
        <v>10500</v>
      </c>
      <c r="T2795" s="4">
        <v>0.1089</v>
      </c>
      <c r="U2795">
        <v>2</v>
      </c>
      <c r="V2795">
        <v>1</v>
      </c>
      <c r="W2795">
        <v>1</v>
      </c>
    </row>
    <row r="2796" spans="1:23" ht="16.5" x14ac:dyDescent="0.3">
      <c r="A2796" t="s">
        <v>2860</v>
      </c>
      <c r="B2796" s="1">
        <v>45705</v>
      </c>
      <c r="C2796">
        <v>2025</v>
      </c>
      <c r="D2796" t="s">
        <v>24</v>
      </c>
      <c r="E2796" t="s">
        <v>284</v>
      </c>
      <c r="F2796" t="s">
        <v>26</v>
      </c>
      <c r="G2796" t="s">
        <v>51</v>
      </c>
      <c r="H2796" t="s">
        <v>55</v>
      </c>
      <c r="I2796" t="s">
        <v>39</v>
      </c>
      <c r="J2796" t="s">
        <v>52</v>
      </c>
      <c r="K2796" s="2">
        <v>5800</v>
      </c>
      <c r="L2796" s="2">
        <v>28000</v>
      </c>
      <c r="M2796">
        <v>60</v>
      </c>
      <c r="N2796" s="3">
        <v>0.20200000000000001</v>
      </c>
      <c r="O2796" t="s">
        <v>17</v>
      </c>
      <c r="P2796" t="s">
        <v>48</v>
      </c>
      <c r="Q2796">
        <v>0</v>
      </c>
      <c r="R2796">
        <v>1</v>
      </c>
      <c r="S2796" s="2">
        <v>0</v>
      </c>
      <c r="T2796" s="4"/>
      <c r="U2796">
        <v>5</v>
      </c>
      <c r="V2796">
        <v>0</v>
      </c>
      <c r="W2796">
        <v>1</v>
      </c>
    </row>
    <row r="2797" spans="1:23" ht="16.5" x14ac:dyDescent="0.3">
      <c r="A2797" t="s">
        <v>2861</v>
      </c>
      <c r="B2797" s="1">
        <v>45705</v>
      </c>
      <c r="C2797">
        <v>2025</v>
      </c>
      <c r="D2797" t="s">
        <v>24</v>
      </c>
      <c r="E2797" t="s">
        <v>284</v>
      </c>
      <c r="F2797" t="s">
        <v>41</v>
      </c>
      <c r="G2797" t="s">
        <v>33</v>
      </c>
      <c r="H2797" t="s">
        <v>34</v>
      </c>
      <c r="I2797" t="s">
        <v>39</v>
      </c>
      <c r="J2797" t="s">
        <v>52</v>
      </c>
      <c r="K2797" s="2">
        <v>3300</v>
      </c>
      <c r="L2797" s="2">
        <v>120500</v>
      </c>
      <c r="M2797">
        <v>60</v>
      </c>
      <c r="N2797" s="3">
        <v>1.02</v>
      </c>
      <c r="O2797" t="s">
        <v>17</v>
      </c>
      <c r="P2797" t="s">
        <v>53</v>
      </c>
      <c r="Q2797">
        <v>0</v>
      </c>
      <c r="R2797">
        <v>1</v>
      </c>
      <c r="S2797" s="2">
        <v>0</v>
      </c>
      <c r="T2797" s="4"/>
      <c r="U2797">
        <v>7</v>
      </c>
      <c r="V2797">
        <v>1</v>
      </c>
      <c r="W2797">
        <v>1</v>
      </c>
    </row>
    <row r="2798" spans="1:23" ht="16.5" x14ac:dyDescent="0.3">
      <c r="A2798" t="s">
        <v>2862</v>
      </c>
      <c r="B2798" s="1">
        <v>45705</v>
      </c>
      <c r="C2798">
        <v>2025</v>
      </c>
      <c r="D2798" t="s">
        <v>24</v>
      </c>
      <c r="E2798" t="s">
        <v>284</v>
      </c>
      <c r="F2798" t="s">
        <v>26</v>
      </c>
      <c r="G2798" t="s">
        <v>45</v>
      </c>
      <c r="H2798" t="s">
        <v>34</v>
      </c>
      <c r="I2798" t="s">
        <v>42</v>
      </c>
      <c r="J2798" t="s">
        <v>52</v>
      </c>
      <c r="K2798" s="2">
        <v>6350</v>
      </c>
      <c r="L2798" s="2">
        <v>23500</v>
      </c>
      <c r="M2798">
        <v>36</v>
      </c>
      <c r="N2798" s="3">
        <v>0.219</v>
      </c>
      <c r="O2798" t="s">
        <v>16</v>
      </c>
      <c r="Q2798">
        <v>1</v>
      </c>
      <c r="R2798">
        <v>0</v>
      </c>
      <c r="S2798" s="2">
        <v>23500</v>
      </c>
      <c r="T2798" s="4">
        <v>7.6399999999999996E-2</v>
      </c>
      <c r="U2798">
        <v>1</v>
      </c>
      <c r="V2798">
        <v>1</v>
      </c>
      <c r="W2798">
        <v>1</v>
      </c>
    </row>
    <row r="2799" spans="1:23" ht="16.5" x14ac:dyDescent="0.3">
      <c r="A2799" t="s">
        <v>2863</v>
      </c>
      <c r="B2799" s="1">
        <v>45706</v>
      </c>
      <c r="C2799">
        <v>2025</v>
      </c>
      <c r="D2799" t="s">
        <v>24</v>
      </c>
      <c r="E2799" t="s">
        <v>284</v>
      </c>
      <c r="F2799" t="s">
        <v>41</v>
      </c>
      <c r="G2799" t="s">
        <v>33</v>
      </c>
      <c r="H2799" t="s">
        <v>38</v>
      </c>
      <c r="I2799" t="s">
        <v>42</v>
      </c>
      <c r="J2799" t="s">
        <v>35</v>
      </c>
      <c r="K2799" s="2">
        <v>4200</v>
      </c>
      <c r="L2799" s="2">
        <v>91500</v>
      </c>
      <c r="M2799">
        <v>12</v>
      </c>
      <c r="N2799" s="3">
        <v>1.9770000000000001</v>
      </c>
      <c r="O2799" t="s">
        <v>17</v>
      </c>
      <c r="P2799" t="s">
        <v>53</v>
      </c>
      <c r="Q2799">
        <v>0</v>
      </c>
      <c r="R2799">
        <v>1</v>
      </c>
      <c r="S2799" s="2">
        <v>0</v>
      </c>
      <c r="T2799" s="4"/>
      <c r="U2799">
        <v>5</v>
      </c>
      <c r="V2799">
        <v>1</v>
      </c>
      <c r="W2799">
        <v>1</v>
      </c>
    </row>
    <row r="2800" spans="1:23" ht="16.5" x14ac:dyDescent="0.3">
      <c r="A2800" t="s">
        <v>2864</v>
      </c>
      <c r="B2800" s="1">
        <v>45706</v>
      </c>
      <c r="C2800">
        <v>2025</v>
      </c>
      <c r="D2800" t="s">
        <v>24</v>
      </c>
      <c r="E2800" t="s">
        <v>284</v>
      </c>
      <c r="F2800" t="s">
        <v>41</v>
      </c>
      <c r="G2800" t="s">
        <v>45</v>
      </c>
      <c r="H2800" t="s">
        <v>55</v>
      </c>
      <c r="I2800" t="s">
        <v>39</v>
      </c>
      <c r="J2800" t="s">
        <v>30</v>
      </c>
      <c r="K2800" s="2">
        <v>7950</v>
      </c>
      <c r="L2800" s="2">
        <v>107500</v>
      </c>
      <c r="M2800">
        <v>60</v>
      </c>
      <c r="N2800" s="3">
        <v>0.33800000000000002</v>
      </c>
      <c r="O2800" t="s">
        <v>16</v>
      </c>
      <c r="Q2800">
        <v>1</v>
      </c>
      <c r="R2800">
        <v>0</v>
      </c>
      <c r="S2800" s="2">
        <v>97000</v>
      </c>
      <c r="T2800" s="4">
        <v>0.121</v>
      </c>
      <c r="U2800">
        <v>5</v>
      </c>
      <c r="V2800">
        <v>1</v>
      </c>
      <c r="W2800">
        <v>1</v>
      </c>
    </row>
    <row r="2801" spans="1:23" ht="16.5" x14ac:dyDescent="0.3">
      <c r="A2801" t="s">
        <v>2865</v>
      </c>
      <c r="B2801" s="1">
        <v>45706</v>
      </c>
      <c r="C2801">
        <v>2025</v>
      </c>
      <c r="D2801" t="s">
        <v>24</v>
      </c>
      <c r="E2801" t="s">
        <v>284</v>
      </c>
      <c r="F2801" t="s">
        <v>37</v>
      </c>
      <c r="G2801" t="s">
        <v>33</v>
      </c>
      <c r="H2801" t="s">
        <v>55</v>
      </c>
      <c r="I2801" t="s">
        <v>29</v>
      </c>
      <c r="J2801" t="s">
        <v>52</v>
      </c>
      <c r="K2801" s="2">
        <v>4200</v>
      </c>
      <c r="L2801" s="2">
        <v>6000</v>
      </c>
      <c r="M2801">
        <v>36</v>
      </c>
      <c r="N2801" s="3">
        <v>0.28100000000000003</v>
      </c>
      <c r="O2801" t="s">
        <v>16</v>
      </c>
      <c r="Q2801">
        <v>1</v>
      </c>
      <c r="R2801">
        <v>0</v>
      </c>
      <c r="S2801" s="2">
        <v>6000</v>
      </c>
      <c r="T2801" s="4">
        <v>0.1143</v>
      </c>
      <c r="U2801">
        <v>1</v>
      </c>
      <c r="V2801">
        <v>1</v>
      </c>
      <c r="W2801">
        <v>1</v>
      </c>
    </row>
    <row r="2802" spans="1:23" ht="16.5" x14ac:dyDescent="0.3">
      <c r="A2802" t="s">
        <v>2866</v>
      </c>
      <c r="B2802" s="1">
        <v>45706</v>
      </c>
      <c r="C2802">
        <v>2025</v>
      </c>
      <c r="D2802" t="s">
        <v>24</v>
      </c>
      <c r="E2802" t="s">
        <v>284</v>
      </c>
      <c r="F2802" t="s">
        <v>26</v>
      </c>
      <c r="G2802" t="s">
        <v>27</v>
      </c>
      <c r="H2802" t="s">
        <v>34</v>
      </c>
      <c r="I2802" t="s">
        <v>42</v>
      </c>
      <c r="J2802" t="s">
        <v>43</v>
      </c>
      <c r="K2802" s="2">
        <v>6900</v>
      </c>
      <c r="L2802" s="2">
        <v>36500</v>
      </c>
      <c r="M2802">
        <v>60</v>
      </c>
      <c r="N2802" s="3">
        <v>0.29899999999999999</v>
      </c>
      <c r="O2802" t="s">
        <v>16</v>
      </c>
      <c r="Q2802">
        <v>1</v>
      </c>
      <c r="R2802">
        <v>0</v>
      </c>
      <c r="S2802" s="2">
        <v>29000</v>
      </c>
      <c r="T2802" s="4">
        <v>0.11360000000000001</v>
      </c>
      <c r="U2802">
        <v>3</v>
      </c>
      <c r="V2802">
        <v>1</v>
      </c>
      <c r="W2802">
        <v>1</v>
      </c>
    </row>
    <row r="2803" spans="1:23" ht="16.5" x14ac:dyDescent="0.3">
      <c r="A2803" t="s">
        <v>2867</v>
      </c>
      <c r="B2803" s="1">
        <v>45706</v>
      </c>
      <c r="C2803">
        <v>2025</v>
      </c>
      <c r="D2803" t="s">
        <v>24</v>
      </c>
      <c r="E2803" t="s">
        <v>284</v>
      </c>
      <c r="F2803" t="s">
        <v>50</v>
      </c>
      <c r="G2803" t="s">
        <v>33</v>
      </c>
      <c r="H2803" t="s">
        <v>55</v>
      </c>
      <c r="I2803" t="s">
        <v>39</v>
      </c>
      <c r="J2803" t="s">
        <v>52</v>
      </c>
      <c r="K2803" s="2">
        <v>6250</v>
      </c>
      <c r="L2803" s="2">
        <v>341500</v>
      </c>
      <c r="M2803">
        <v>300</v>
      </c>
      <c r="N2803" s="3">
        <v>0.41</v>
      </c>
      <c r="O2803" t="s">
        <v>16</v>
      </c>
      <c r="Q2803">
        <v>1</v>
      </c>
      <c r="R2803">
        <v>0</v>
      </c>
      <c r="S2803" s="2">
        <v>341500</v>
      </c>
      <c r="T2803" s="4">
        <v>4.6600000000000003E-2</v>
      </c>
      <c r="U2803">
        <v>5</v>
      </c>
      <c r="V2803">
        <v>1</v>
      </c>
      <c r="W2803">
        <v>1</v>
      </c>
    </row>
    <row r="2804" spans="1:23" ht="16.5" x14ac:dyDescent="0.3">
      <c r="A2804" t="s">
        <v>2868</v>
      </c>
      <c r="B2804" s="1">
        <v>45706</v>
      </c>
      <c r="C2804">
        <v>2025</v>
      </c>
      <c r="D2804" t="s">
        <v>24</v>
      </c>
      <c r="E2804" t="s">
        <v>284</v>
      </c>
      <c r="F2804" t="s">
        <v>37</v>
      </c>
      <c r="G2804" t="s">
        <v>45</v>
      </c>
      <c r="H2804" t="s">
        <v>64</v>
      </c>
      <c r="I2804" t="s">
        <v>39</v>
      </c>
      <c r="J2804" t="s">
        <v>35</v>
      </c>
      <c r="K2804" s="2">
        <v>10750</v>
      </c>
      <c r="L2804" s="2">
        <v>11000</v>
      </c>
      <c r="M2804">
        <v>60</v>
      </c>
      <c r="N2804" s="3">
        <v>0.23200000000000001</v>
      </c>
      <c r="O2804" t="s">
        <v>17</v>
      </c>
      <c r="P2804" t="s">
        <v>65</v>
      </c>
      <c r="Q2804">
        <v>0</v>
      </c>
      <c r="R2804">
        <v>1</v>
      </c>
      <c r="S2804" s="2">
        <v>0</v>
      </c>
      <c r="T2804" s="4"/>
      <c r="U2804">
        <v>1</v>
      </c>
      <c r="V2804">
        <v>1</v>
      </c>
      <c r="W2804">
        <v>1</v>
      </c>
    </row>
    <row r="2805" spans="1:23" ht="16.5" x14ac:dyDescent="0.3">
      <c r="A2805" t="s">
        <v>2869</v>
      </c>
      <c r="B2805" s="1">
        <v>45706</v>
      </c>
      <c r="C2805">
        <v>2025</v>
      </c>
      <c r="D2805" t="s">
        <v>24</v>
      </c>
      <c r="E2805" t="s">
        <v>284</v>
      </c>
      <c r="F2805" t="s">
        <v>37</v>
      </c>
      <c r="G2805" t="s">
        <v>45</v>
      </c>
      <c r="H2805" t="s">
        <v>55</v>
      </c>
      <c r="I2805" t="s">
        <v>39</v>
      </c>
      <c r="J2805" t="s">
        <v>46</v>
      </c>
      <c r="K2805" s="2">
        <v>9400</v>
      </c>
      <c r="L2805" s="2">
        <v>7500</v>
      </c>
      <c r="M2805">
        <v>24</v>
      </c>
      <c r="N2805" s="3">
        <v>0.161</v>
      </c>
      <c r="O2805" t="s">
        <v>16</v>
      </c>
      <c r="Q2805">
        <v>1</v>
      </c>
      <c r="R2805">
        <v>0</v>
      </c>
      <c r="S2805" s="2">
        <v>7500</v>
      </c>
      <c r="T2805" s="4">
        <v>0.10630000000000001</v>
      </c>
      <c r="U2805">
        <v>3</v>
      </c>
      <c r="V2805">
        <v>1</v>
      </c>
      <c r="W2805">
        <v>1</v>
      </c>
    </row>
    <row r="2806" spans="1:23" ht="16.5" x14ac:dyDescent="0.3">
      <c r="A2806" t="s">
        <v>2870</v>
      </c>
      <c r="B2806" s="1">
        <v>45706</v>
      </c>
      <c r="C2806">
        <v>2025</v>
      </c>
      <c r="D2806" t="s">
        <v>24</v>
      </c>
      <c r="E2806" t="s">
        <v>284</v>
      </c>
      <c r="F2806" t="s">
        <v>50</v>
      </c>
      <c r="G2806" t="s">
        <v>51</v>
      </c>
      <c r="H2806" t="s">
        <v>34</v>
      </c>
      <c r="I2806" t="s">
        <v>39</v>
      </c>
      <c r="J2806" t="s">
        <v>35</v>
      </c>
      <c r="K2806" s="2">
        <v>5550</v>
      </c>
      <c r="L2806" s="2">
        <v>316000</v>
      </c>
      <c r="M2806">
        <v>240</v>
      </c>
      <c r="N2806" s="3">
        <v>0.48799999999999999</v>
      </c>
      <c r="O2806" t="s">
        <v>125</v>
      </c>
      <c r="Q2806">
        <v>0</v>
      </c>
      <c r="R2806">
        <v>0</v>
      </c>
      <c r="S2806" s="2">
        <v>0</v>
      </c>
      <c r="T2806" s="4"/>
      <c r="U2806">
        <v>11</v>
      </c>
      <c r="V2806">
        <v>1</v>
      </c>
      <c r="W2806">
        <v>1</v>
      </c>
    </row>
    <row r="2807" spans="1:23" ht="16.5" x14ac:dyDescent="0.3">
      <c r="A2807" t="s">
        <v>2871</v>
      </c>
      <c r="B2807" s="1">
        <v>45706</v>
      </c>
      <c r="C2807">
        <v>2025</v>
      </c>
      <c r="D2807" t="s">
        <v>24</v>
      </c>
      <c r="E2807" t="s">
        <v>284</v>
      </c>
      <c r="F2807" t="s">
        <v>37</v>
      </c>
      <c r="G2807" t="s">
        <v>45</v>
      </c>
      <c r="H2807" t="s">
        <v>34</v>
      </c>
      <c r="I2807" t="s">
        <v>29</v>
      </c>
      <c r="J2807" t="s">
        <v>35</v>
      </c>
      <c r="K2807" s="2">
        <v>5150</v>
      </c>
      <c r="L2807" s="2">
        <v>18000</v>
      </c>
      <c r="M2807">
        <v>24</v>
      </c>
      <c r="N2807" s="3">
        <v>0.35699999999999998</v>
      </c>
      <c r="O2807" t="s">
        <v>16</v>
      </c>
      <c r="Q2807">
        <v>1</v>
      </c>
      <c r="R2807">
        <v>0</v>
      </c>
      <c r="S2807" s="2">
        <v>14500</v>
      </c>
      <c r="T2807" s="4">
        <v>0.12709999999999999</v>
      </c>
      <c r="U2807">
        <v>2</v>
      </c>
      <c r="V2807">
        <v>1</v>
      </c>
      <c r="W2807">
        <v>1</v>
      </c>
    </row>
    <row r="2808" spans="1:23" ht="16.5" x14ac:dyDescent="0.3">
      <c r="A2808" t="s">
        <v>2872</v>
      </c>
      <c r="B2808" s="1">
        <v>45706</v>
      </c>
      <c r="C2808">
        <v>2025</v>
      </c>
      <c r="D2808" t="s">
        <v>24</v>
      </c>
      <c r="E2808" t="s">
        <v>284</v>
      </c>
      <c r="F2808" t="s">
        <v>26</v>
      </c>
      <c r="G2808" t="s">
        <v>45</v>
      </c>
      <c r="H2808" t="s">
        <v>34</v>
      </c>
      <c r="I2808" t="s">
        <v>29</v>
      </c>
      <c r="J2808" t="s">
        <v>52</v>
      </c>
      <c r="K2808" s="2">
        <v>5700</v>
      </c>
      <c r="L2808" s="2">
        <v>24000</v>
      </c>
      <c r="M2808">
        <v>48</v>
      </c>
      <c r="N2808" s="3">
        <v>0.183</v>
      </c>
      <c r="O2808" t="s">
        <v>16</v>
      </c>
      <c r="Q2808">
        <v>1</v>
      </c>
      <c r="R2808">
        <v>0</v>
      </c>
      <c r="S2808" s="2">
        <v>19000</v>
      </c>
      <c r="T2808" s="4">
        <v>6.8500000000000005E-2</v>
      </c>
      <c r="U2808">
        <v>5</v>
      </c>
      <c r="V2808">
        <v>0</v>
      </c>
      <c r="W2808">
        <v>1</v>
      </c>
    </row>
    <row r="2809" spans="1:23" ht="16.5" x14ac:dyDescent="0.3">
      <c r="A2809" t="s">
        <v>2873</v>
      </c>
      <c r="B2809" s="1">
        <v>45707</v>
      </c>
      <c r="C2809">
        <v>2025</v>
      </c>
      <c r="D2809" t="s">
        <v>24</v>
      </c>
      <c r="E2809" t="s">
        <v>284</v>
      </c>
      <c r="F2809" t="s">
        <v>37</v>
      </c>
      <c r="G2809" t="s">
        <v>33</v>
      </c>
      <c r="H2809" t="s">
        <v>34</v>
      </c>
      <c r="I2809" t="s">
        <v>42</v>
      </c>
      <c r="J2809" t="s">
        <v>35</v>
      </c>
      <c r="K2809" s="2">
        <v>7300</v>
      </c>
      <c r="L2809" s="2">
        <v>20500</v>
      </c>
      <c r="M2809">
        <v>24</v>
      </c>
      <c r="N2809" s="3">
        <v>0.34799999999999998</v>
      </c>
      <c r="O2809" t="s">
        <v>16</v>
      </c>
      <c r="Q2809">
        <v>1</v>
      </c>
      <c r="R2809">
        <v>0</v>
      </c>
      <c r="S2809" s="2">
        <v>20500</v>
      </c>
      <c r="T2809" s="4">
        <v>0.12139999999999999</v>
      </c>
      <c r="U2809">
        <v>1</v>
      </c>
      <c r="V2809">
        <v>1</v>
      </c>
      <c r="W2809">
        <v>1</v>
      </c>
    </row>
    <row r="2810" spans="1:23" ht="16.5" x14ac:dyDescent="0.3">
      <c r="A2810" t="s">
        <v>2874</v>
      </c>
      <c r="B2810" s="1">
        <v>45707</v>
      </c>
      <c r="C2810">
        <v>2025</v>
      </c>
      <c r="D2810" t="s">
        <v>24</v>
      </c>
      <c r="E2810" t="s">
        <v>284</v>
      </c>
      <c r="F2810" t="s">
        <v>41</v>
      </c>
      <c r="G2810" t="s">
        <v>51</v>
      </c>
      <c r="H2810" t="s">
        <v>34</v>
      </c>
      <c r="I2810" t="s">
        <v>39</v>
      </c>
      <c r="J2810" t="s">
        <v>35</v>
      </c>
      <c r="K2810" s="2">
        <v>5600</v>
      </c>
      <c r="L2810" s="2">
        <v>194500</v>
      </c>
      <c r="M2810">
        <v>36</v>
      </c>
      <c r="N2810" s="3">
        <v>1.274</v>
      </c>
      <c r="O2810" t="s">
        <v>17</v>
      </c>
      <c r="P2810" t="s">
        <v>53</v>
      </c>
      <c r="Q2810">
        <v>0</v>
      </c>
      <c r="R2810">
        <v>1</v>
      </c>
      <c r="S2810" s="2">
        <v>0</v>
      </c>
      <c r="T2810" s="4"/>
      <c r="U2810">
        <v>10</v>
      </c>
      <c r="V2810">
        <v>1</v>
      </c>
      <c r="W2810">
        <v>1</v>
      </c>
    </row>
    <row r="2811" spans="1:23" ht="16.5" x14ac:dyDescent="0.3">
      <c r="A2811" t="s">
        <v>2875</v>
      </c>
      <c r="B2811" s="1">
        <v>45707</v>
      </c>
      <c r="C2811">
        <v>2025</v>
      </c>
      <c r="D2811" t="s">
        <v>24</v>
      </c>
      <c r="E2811" t="s">
        <v>284</v>
      </c>
      <c r="F2811" t="s">
        <v>41</v>
      </c>
      <c r="G2811" t="s">
        <v>45</v>
      </c>
      <c r="H2811" t="s">
        <v>28</v>
      </c>
      <c r="I2811" t="s">
        <v>39</v>
      </c>
      <c r="J2811" t="s">
        <v>35</v>
      </c>
      <c r="K2811" s="2">
        <v>4800</v>
      </c>
      <c r="L2811" s="2">
        <v>134000</v>
      </c>
      <c r="M2811">
        <v>60</v>
      </c>
      <c r="N2811" s="3">
        <v>0.83499999999999996</v>
      </c>
      <c r="O2811" t="s">
        <v>17</v>
      </c>
      <c r="P2811" t="s">
        <v>53</v>
      </c>
      <c r="Q2811">
        <v>0</v>
      </c>
      <c r="R2811">
        <v>1</v>
      </c>
      <c r="S2811" s="2">
        <v>0</v>
      </c>
      <c r="T2811" s="4"/>
      <c r="U2811">
        <v>5</v>
      </c>
      <c r="V2811">
        <v>1</v>
      </c>
      <c r="W2811">
        <v>1</v>
      </c>
    </row>
    <row r="2812" spans="1:23" ht="16.5" x14ac:dyDescent="0.3">
      <c r="A2812" t="s">
        <v>2876</v>
      </c>
      <c r="B2812" s="1">
        <v>45707</v>
      </c>
      <c r="C2812">
        <v>2025</v>
      </c>
      <c r="D2812" t="s">
        <v>24</v>
      </c>
      <c r="E2812" t="s">
        <v>284</v>
      </c>
      <c r="F2812" t="s">
        <v>37</v>
      </c>
      <c r="G2812" t="s">
        <v>33</v>
      </c>
      <c r="H2812" t="s">
        <v>34</v>
      </c>
      <c r="I2812" t="s">
        <v>29</v>
      </c>
      <c r="J2812" t="s">
        <v>30</v>
      </c>
      <c r="K2812" s="2">
        <v>3350</v>
      </c>
      <c r="L2812" s="2">
        <v>7500</v>
      </c>
      <c r="M2812">
        <v>12</v>
      </c>
      <c r="N2812" s="3">
        <v>0.27800000000000002</v>
      </c>
      <c r="O2812" t="s">
        <v>17</v>
      </c>
      <c r="P2812" t="s">
        <v>31</v>
      </c>
      <c r="Q2812">
        <v>0</v>
      </c>
      <c r="R2812">
        <v>1</v>
      </c>
      <c r="S2812" s="2">
        <v>0</v>
      </c>
      <c r="T2812" s="4"/>
      <c r="U2812">
        <v>1</v>
      </c>
      <c r="V2812">
        <v>1</v>
      </c>
      <c r="W2812">
        <v>1</v>
      </c>
    </row>
    <row r="2813" spans="1:23" ht="16.5" x14ac:dyDescent="0.3">
      <c r="A2813" t="s">
        <v>2877</v>
      </c>
      <c r="B2813" s="1">
        <v>45707</v>
      </c>
      <c r="C2813">
        <v>2025</v>
      </c>
      <c r="D2813" t="s">
        <v>24</v>
      </c>
      <c r="E2813" t="s">
        <v>284</v>
      </c>
      <c r="F2813" t="s">
        <v>37</v>
      </c>
      <c r="G2813" t="s">
        <v>51</v>
      </c>
      <c r="H2813" t="s">
        <v>34</v>
      </c>
      <c r="I2813" t="s">
        <v>29</v>
      </c>
      <c r="J2813" t="s">
        <v>30</v>
      </c>
      <c r="K2813" s="2">
        <v>6050</v>
      </c>
      <c r="L2813" s="2">
        <v>13500</v>
      </c>
      <c r="M2813">
        <v>24</v>
      </c>
      <c r="N2813" s="3">
        <v>0.32700000000000001</v>
      </c>
      <c r="O2813" t="s">
        <v>16</v>
      </c>
      <c r="Q2813">
        <v>1</v>
      </c>
      <c r="R2813">
        <v>0</v>
      </c>
      <c r="S2813" s="2">
        <v>11000</v>
      </c>
      <c r="T2813" s="4">
        <v>0.1419</v>
      </c>
      <c r="U2813">
        <v>4</v>
      </c>
      <c r="V2813">
        <v>0</v>
      </c>
      <c r="W2813">
        <v>1</v>
      </c>
    </row>
    <row r="2814" spans="1:23" ht="16.5" x14ac:dyDescent="0.3">
      <c r="A2814" t="s">
        <v>2878</v>
      </c>
      <c r="B2814" s="1">
        <v>45707</v>
      </c>
      <c r="C2814">
        <v>2025</v>
      </c>
      <c r="D2814" t="s">
        <v>24</v>
      </c>
      <c r="E2814" t="s">
        <v>284</v>
      </c>
      <c r="F2814" t="s">
        <v>41</v>
      </c>
      <c r="G2814" t="s">
        <v>27</v>
      </c>
      <c r="H2814" t="s">
        <v>55</v>
      </c>
      <c r="I2814" t="s">
        <v>42</v>
      </c>
      <c r="J2814" t="s">
        <v>52</v>
      </c>
      <c r="K2814" s="2">
        <v>6850</v>
      </c>
      <c r="L2814" s="2">
        <v>95500</v>
      </c>
      <c r="M2814">
        <v>36</v>
      </c>
      <c r="N2814" s="3">
        <v>0.61699999999999999</v>
      </c>
      <c r="O2814" t="s">
        <v>16</v>
      </c>
      <c r="Q2814">
        <v>1</v>
      </c>
      <c r="R2814">
        <v>0</v>
      </c>
      <c r="S2814" s="2">
        <v>95500</v>
      </c>
      <c r="T2814" s="4">
        <v>0.10059999999999999</v>
      </c>
      <c r="U2814">
        <v>8</v>
      </c>
      <c r="V2814">
        <v>1</v>
      </c>
      <c r="W2814">
        <v>1</v>
      </c>
    </row>
    <row r="2815" spans="1:23" ht="16.5" x14ac:dyDescent="0.3">
      <c r="A2815" t="s">
        <v>2879</v>
      </c>
      <c r="B2815" s="1">
        <v>45707</v>
      </c>
      <c r="C2815">
        <v>2025</v>
      </c>
      <c r="D2815" t="s">
        <v>24</v>
      </c>
      <c r="E2815" t="s">
        <v>284</v>
      </c>
      <c r="F2815" t="s">
        <v>26</v>
      </c>
      <c r="G2815" t="s">
        <v>45</v>
      </c>
      <c r="H2815" t="s">
        <v>34</v>
      </c>
      <c r="I2815" t="s">
        <v>29</v>
      </c>
      <c r="J2815" t="s">
        <v>52</v>
      </c>
      <c r="K2815" s="2">
        <v>6200</v>
      </c>
      <c r="L2815" s="2">
        <v>49000</v>
      </c>
      <c r="M2815">
        <v>60</v>
      </c>
      <c r="N2815" s="3">
        <v>0.21099999999999999</v>
      </c>
      <c r="O2815" t="s">
        <v>17</v>
      </c>
      <c r="P2815" t="s">
        <v>31</v>
      </c>
      <c r="Q2815">
        <v>0</v>
      </c>
      <c r="R2815">
        <v>1</v>
      </c>
      <c r="S2815" s="2">
        <v>0</v>
      </c>
      <c r="T2815" s="4"/>
      <c r="U2815">
        <v>2</v>
      </c>
      <c r="V2815">
        <v>1</v>
      </c>
      <c r="W2815">
        <v>1</v>
      </c>
    </row>
    <row r="2816" spans="1:23" ht="16.5" x14ac:dyDescent="0.3">
      <c r="A2816" t="s">
        <v>2880</v>
      </c>
      <c r="B2816" s="1">
        <v>45708</v>
      </c>
      <c r="C2816">
        <v>2025</v>
      </c>
      <c r="D2816" t="s">
        <v>24</v>
      </c>
      <c r="E2816" t="s">
        <v>284</v>
      </c>
      <c r="F2816" t="s">
        <v>37</v>
      </c>
      <c r="G2816" t="s">
        <v>45</v>
      </c>
      <c r="H2816" t="s">
        <v>55</v>
      </c>
      <c r="I2816" t="s">
        <v>39</v>
      </c>
      <c r="J2816" t="s">
        <v>52</v>
      </c>
      <c r="K2816" s="2">
        <v>10700</v>
      </c>
      <c r="L2816" s="2">
        <v>13500</v>
      </c>
      <c r="M2816">
        <v>24</v>
      </c>
      <c r="N2816" s="3">
        <v>0.30599999999999999</v>
      </c>
      <c r="O2816" t="s">
        <v>16</v>
      </c>
      <c r="Q2816">
        <v>1</v>
      </c>
      <c r="R2816">
        <v>0</v>
      </c>
      <c r="S2816" s="2">
        <v>13500</v>
      </c>
      <c r="T2816" s="4">
        <v>0.1125</v>
      </c>
      <c r="U2816">
        <v>2</v>
      </c>
      <c r="V2816">
        <v>1</v>
      </c>
      <c r="W2816">
        <v>1</v>
      </c>
    </row>
    <row r="2817" spans="1:23" ht="16.5" x14ac:dyDescent="0.3">
      <c r="A2817" t="s">
        <v>2881</v>
      </c>
      <c r="B2817" s="1">
        <v>45708</v>
      </c>
      <c r="C2817">
        <v>2025</v>
      </c>
      <c r="D2817" t="s">
        <v>24</v>
      </c>
      <c r="E2817" t="s">
        <v>284</v>
      </c>
      <c r="F2817" t="s">
        <v>37</v>
      </c>
      <c r="G2817" t="s">
        <v>51</v>
      </c>
      <c r="H2817" t="s">
        <v>55</v>
      </c>
      <c r="I2817" t="s">
        <v>39</v>
      </c>
      <c r="J2817" t="s">
        <v>52</v>
      </c>
      <c r="K2817" s="2">
        <v>4100</v>
      </c>
      <c r="L2817" s="2">
        <v>8500</v>
      </c>
      <c r="M2817">
        <v>24</v>
      </c>
      <c r="N2817" s="3">
        <v>0.17399999999999999</v>
      </c>
      <c r="O2817" t="s">
        <v>16</v>
      </c>
      <c r="Q2817">
        <v>1</v>
      </c>
      <c r="R2817">
        <v>0</v>
      </c>
      <c r="S2817" s="2">
        <v>7500</v>
      </c>
      <c r="T2817" s="4">
        <v>0.1183</v>
      </c>
      <c r="U2817">
        <v>4</v>
      </c>
      <c r="V2817">
        <v>0</v>
      </c>
      <c r="W2817">
        <v>1</v>
      </c>
    </row>
    <row r="2818" spans="1:23" ht="16.5" x14ac:dyDescent="0.3">
      <c r="A2818" t="s">
        <v>2882</v>
      </c>
      <c r="B2818" s="1">
        <v>45708</v>
      </c>
      <c r="C2818">
        <v>2025</v>
      </c>
      <c r="D2818" t="s">
        <v>24</v>
      </c>
      <c r="E2818" t="s">
        <v>284</v>
      </c>
      <c r="F2818" t="s">
        <v>26</v>
      </c>
      <c r="G2818" t="s">
        <v>33</v>
      </c>
      <c r="H2818" t="s">
        <v>28</v>
      </c>
      <c r="I2818" t="s">
        <v>29</v>
      </c>
      <c r="J2818" t="s">
        <v>30</v>
      </c>
      <c r="K2818" s="2">
        <v>3600</v>
      </c>
      <c r="L2818" s="2">
        <v>39500</v>
      </c>
      <c r="M2818">
        <v>48</v>
      </c>
      <c r="N2818" s="3">
        <v>0.33100000000000002</v>
      </c>
      <c r="O2818" t="s">
        <v>16</v>
      </c>
      <c r="Q2818">
        <v>1</v>
      </c>
      <c r="R2818">
        <v>0</v>
      </c>
      <c r="S2818" s="2">
        <v>39500</v>
      </c>
      <c r="T2818" s="4">
        <v>0.1002</v>
      </c>
      <c r="U2818">
        <v>2</v>
      </c>
      <c r="V2818">
        <v>1</v>
      </c>
      <c r="W2818">
        <v>1</v>
      </c>
    </row>
    <row r="2819" spans="1:23" ht="16.5" x14ac:dyDescent="0.3">
      <c r="A2819" t="s">
        <v>2883</v>
      </c>
      <c r="B2819" s="1">
        <v>45708</v>
      </c>
      <c r="C2819">
        <v>2025</v>
      </c>
      <c r="D2819" t="s">
        <v>24</v>
      </c>
      <c r="E2819" t="s">
        <v>284</v>
      </c>
      <c r="F2819" t="s">
        <v>41</v>
      </c>
      <c r="G2819" t="s">
        <v>33</v>
      </c>
      <c r="H2819" t="s">
        <v>55</v>
      </c>
      <c r="I2819" t="s">
        <v>39</v>
      </c>
      <c r="J2819" t="s">
        <v>35</v>
      </c>
      <c r="K2819" s="2">
        <v>4350</v>
      </c>
      <c r="L2819" s="2">
        <v>114000</v>
      </c>
      <c r="M2819">
        <v>12</v>
      </c>
      <c r="N2819" s="3">
        <v>2.5379999999999998</v>
      </c>
      <c r="O2819" t="s">
        <v>17</v>
      </c>
      <c r="P2819" t="s">
        <v>53</v>
      </c>
      <c r="Q2819">
        <v>0</v>
      </c>
      <c r="R2819">
        <v>1</v>
      </c>
      <c r="S2819" s="2">
        <v>0</v>
      </c>
      <c r="T2819" s="4"/>
      <c r="U2819">
        <v>4</v>
      </c>
      <c r="V2819">
        <v>1</v>
      </c>
      <c r="W2819">
        <v>1</v>
      </c>
    </row>
    <row r="2820" spans="1:23" ht="16.5" x14ac:dyDescent="0.3">
      <c r="A2820" t="s">
        <v>2884</v>
      </c>
      <c r="B2820" s="1">
        <v>45708</v>
      </c>
      <c r="C2820">
        <v>2025</v>
      </c>
      <c r="D2820" t="s">
        <v>24</v>
      </c>
      <c r="E2820" t="s">
        <v>284</v>
      </c>
      <c r="F2820" t="s">
        <v>50</v>
      </c>
      <c r="G2820" t="s">
        <v>45</v>
      </c>
      <c r="H2820" t="s">
        <v>64</v>
      </c>
      <c r="I2820" t="s">
        <v>29</v>
      </c>
      <c r="J2820" t="s">
        <v>35</v>
      </c>
      <c r="K2820" s="2">
        <v>5000</v>
      </c>
      <c r="L2820" s="2">
        <v>135000</v>
      </c>
      <c r="M2820">
        <v>240</v>
      </c>
      <c r="N2820" s="3">
        <v>0.35799999999999998</v>
      </c>
      <c r="O2820" t="s">
        <v>16</v>
      </c>
      <c r="Q2820">
        <v>1</v>
      </c>
      <c r="R2820">
        <v>0</v>
      </c>
      <c r="S2820" s="2">
        <v>135000</v>
      </c>
      <c r="T2820" s="4">
        <v>6.0900000000000003E-2</v>
      </c>
      <c r="U2820">
        <v>6</v>
      </c>
      <c r="V2820">
        <v>1</v>
      </c>
      <c r="W2820">
        <v>1</v>
      </c>
    </row>
    <row r="2821" spans="1:23" ht="16.5" x14ac:dyDescent="0.3">
      <c r="A2821" t="s">
        <v>2885</v>
      </c>
      <c r="B2821" s="1">
        <v>45709</v>
      </c>
      <c r="C2821">
        <v>2025</v>
      </c>
      <c r="D2821" t="s">
        <v>24</v>
      </c>
      <c r="E2821" t="s">
        <v>284</v>
      </c>
      <c r="F2821" t="s">
        <v>41</v>
      </c>
      <c r="G2821" t="s">
        <v>33</v>
      </c>
      <c r="H2821" t="s">
        <v>38</v>
      </c>
      <c r="I2821" t="s">
        <v>29</v>
      </c>
      <c r="J2821" t="s">
        <v>52</v>
      </c>
      <c r="K2821" s="2">
        <v>5750</v>
      </c>
      <c r="L2821" s="2">
        <v>103000</v>
      </c>
      <c r="M2821">
        <v>36</v>
      </c>
      <c r="N2821" s="3">
        <v>0.77800000000000002</v>
      </c>
      <c r="O2821" t="s">
        <v>17</v>
      </c>
      <c r="P2821" t="s">
        <v>53</v>
      </c>
      <c r="Q2821">
        <v>0</v>
      </c>
      <c r="R2821">
        <v>1</v>
      </c>
      <c r="S2821" s="2">
        <v>0</v>
      </c>
      <c r="T2821" s="4"/>
      <c r="U2821">
        <v>6</v>
      </c>
      <c r="V2821">
        <v>1</v>
      </c>
      <c r="W2821">
        <v>1</v>
      </c>
    </row>
    <row r="2822" spans="1:23" ht="16.5" x14ac:dyDescent="0.3">
      <c r="A2822" t="s">
        <v>2886</v>
      </c>
      <c r="B2822" s="1">
        <v>45709</v>
      </c>
      <c r="C2822">
        <v>2025</v>
      </c>
      <c r="D2822" t="s">
        <v>24</v>
      </c>
      <c r="E2822" t="s">
        <v>284</v>
      </c>
      <c r="F2822" t="s">
        <v>37</v>
      </c>
      <c r="G2822" t="s">
        <v>51</v>
      </c>
      <c r="H2822" t="s">
        <v>55</v>
      </c>
      <c r="I2822" t="s">
        <v>39</v>
      </c>
      <c r="J2822" t="s">
        <v>52</v>
      </c>
      <c r="K2822" s="2">
        <v>4500</v>
      </c>
      <c r="L2822" s="2">
        <v>16000</v>
      </c>
      <c r="M2822">
        <v>12</v>
      </c>
      <c r="N2822" s="3">
        <v>0.36799999999999999</v>
      </c>
      <c r="O2822" t="s">
        <v>16</v>
      </c>
      <c r="Q2822">
        <v>1</v>
      </c>
      <c r="R2822">
        <v>0</v>
      </c>
      <c r="S2822" s="2">
        <v>16000</v>
      </c>
      <c r="T2822" s="4">
        <v>0.1152</v>
      </c>
      <c r="U2822">
        <v>5</v>
      </c>
      <c r="V2822">
        <v>0</v>
      </c>
      <c r="W2822">
        <v>1</v>
      </c>
    </row>
    <row r="2823" spans="1:23" ht="16.5" x14ac:dyDescent="0.3">
      <c r="A2823" t="s">
        <v>2887</v>
      </c>
      <c r="B2823" s="1">
        <v>45709</v>
      </c>
      <c r="C2823">
        <v>2025</v>
      </c>
      <c r="D2823" t="s">
        <v>24</v>
      </c>
      <c r="E2823" t="s">
        <v>284</v>
      </c>
      <c r="F2823" t="s">
        <v>41</v>
      </c>
      <c r="G2823" t="s">
        <v>51</v>
      </c>
      <c r="H2823" t="s">
        <v>55</v>
      </c>
      <c r="I2823" t="s">
        <v>42</v>
      </c>
      <c r="J2823" t="s">
        <v>30</v>
      </c>
      <c r="K2823" s="2">
        <v>6000</v>
      </c>
      <c r="L2823" s="2">
        <v>191000</v>
      </c>
      <c r="M2823">
        <v>60</v>
      </c>
      <c r="N2823" s="3">
        <v>0.86</v>
      </c>
      <c r="O2823" t="s">
        <v>17</v>
      </c>
      <c r="P2823" t="s">
        <v>31</v>
      </c>
      <c r="Q2823">
        <v>0</v>
      </c>
      <c r="R2823">
        <v>1</v>
      </c>
      <c r="S2823" s="2">
        <v>0</v>
      </c>
      <c r="T2823" s="4"/>
      <c r="U2823">
        <v>7</v>
      </c>
      <c r="V2823">
        <v>1</v>
      </c>
      <c r="W2823">
        <v>1</v>
      </c>
    </row>
    <row r="2824" spans="1:23" ht="16.5" x14ac:dyDescent="0.3">
      <c r="A2824" t="s">
        <v>2888</v>
      </c>
      <c r="B2824" s="1">
        <v>45709</v>
      </c>
      <c r="C2824">
        <v>2025</v>
      </c>
      <c r="D2824" t="s">
        <v>24</v>
      </c>
      <c r="E2824" t="s">
        <v>284</v>
      </c>
      <c r="F2824" t="s">
        <v>50</v>
      </c>
      <c r="G2824" t="s">
        <v>27</v>
      </c>
      <c r="H2824" t="s">
        <v>38</v>
      </c>
      <c r="I2824" t="s">
        <v>29</v>
      </c>
      <c r="J2824" t="s">
        <v>35</v>
      </c>
      <c r="K2824" s="2">
        <v>8650</v>
      </c>
      <c r="L2824" s="2">
        <v>285500</v>
      </c>
      <c r="M2824">
        <v>180</v>
      </c>
      <c r="N2824" s="3">
        <v>0.39500000000000002</v>
      </c>
      <c r="O2824" t="s">
        <v>17</v>
      </c>
      <c r="P2824" t="s">
        <v>60</v>
      </c>
      <c r="Q2824">
        <v>0</v>
      </c>
      <c r="R2824">
        <v>1</v>
      </c>
      <c r="S2824" s="2">
        <v>0</v>
      </c>
      <c r="T2824" s="4"/>
      <c r="U2824">
        <v>23</v>
      </c>
      <c r="V2824">
        <v>0</v>
      </c>
      <c r="W2824">
        <v>1</v>
      </c>
    </row>
    <row r="2825" spans="1:23" ht="16.5" x14ac:dyDescent="0.3">
      <c r="A2825" t="s">
        <v>2889</v>
      </c>
      <c r="B2825" s="1">
        <v>45709</v>
      </c>
      <c r="C2825">
        <v>2025</v>
      </c>
      <c r="D2825" t="s">
        <v>24</v>
      </c>
      <c r="E2825" t="s">
        <v>284</v>
      </c>
      <c r="F2825" t="s">
        <v>41</v>
      </c>
      <c r="G2825" t="s">
        <v>51</v>
      </c>
      <c r="H2825" t="s">
        <v>38</v>
      </c>
      <c r="I2825" t="s">
        <v>42</v>
      </c>
      <c r="J2825" t="s">
        <v>43</v>
      </c>
      <c r="K2825" s="2">
        <v>8950</v>
      </c>
      <c r="L2825" s="2">
        <v>78000</v>
      </c>
      <c r="M2825">
        <v>12</v>
      </c>
      <c r="N2825" s="3">
        <v>0.91200000000000003</v>
      </c>
      <c r="O2825" t="s">
        <v>17</v>
      </c>
      <c r="P2825" t="s">
        <v>53</v>
      </c>
      <c r="Q2825">
        <v>0</v>
      </c>
      <c r="R2825">
        <v>1</v>
      </c>
      <c r="S2825" s="2">
        <v>0</v>
      </c>
      <c r="T2825" s="4"/>
      <c r="U2825">
        <v>11</v>
      </c>
      <c r="V2825">
        <v>0</v>
      </c>
      <c r="W2825">
        <v>1</v>
      </c>
    </row>
    <row r="2826" spans="1:23" ht="16.5" x14ac:dyDescent="0.3">
      <c r="A2826" t="s">
        <v>2890</v>
      </c>
      <c r="B2826" s="1">
        <v>45710</v>
      </c>
      <c r="C2826">
        <v>2025</v>
      </c>
      <c r="D2826" t="s">
        <v>24</v>
      </c>
      <c r="E2826" t="s">
        <v>284</v>
      </c>
      <c r="F2826" t="s">
        <v>37</v>
      </c>
      <c r="G2826" t="s">
        <v>45</v>
      </c>
      <c r="H2826" t="s">
        <v>34</v>
      </c>
      <c r="I2826" t="s">
        <v>29</v>
      </c>
      <c r="J2826" t="s">
        <v>30</v>
      </c>
      <c r="K2826" s="2">
        <v>4400</v>
      </c>
      <c r="L2826" s="2">
        <v>17000</v>
      </c>
      <c r="M2826">
        <v>12</v>
      </c>
      <c r="N2826" s="3">
        <v>0.53200000000000003</v>
      </c>
      <c r="O2826" t="s">
        <v>16</v>
      </c>
      <c r="Q2826">
        <v>1</v>
      </c>
      <c r="R2826">
        <v>0</v>
      </c>
      <c r="S2826" s="2">
        <v>17000</v>
      </c>
      <c r="T2826" s="4">
        <v>0.1416</v>
      </c>
      <c r="U2826">
        <v>2</v>
      </c>
      <c r="V2826">
        <v>1</v>
      </c>
      <c r="W2826">
        <v>1</v>
      </c>
    </row>
    <row r="2827" spans="1:23" ht="16.5" x14ac:dyDescent="0.3">
      <c r="A2827" t="s">
        <v>2891</v>
      </c>
      <c r="B2827" s="1">
        <v>45710</v>
      </c>
      <c r="C2827">
        <v>2025</v>
      </c>
      <c r="D2827" t="s">
        <v>24</v>
      </c>
      <c r="E2827" t="s">
        <v>284</v>
      </c>
      <c r="F2827" t="s">
        <v>37</v>
      </c>
      <c r="G2827" t="s">
        <v>45</v>
      </c>
      <c r="H2827" t="s">
        <v>34</v>
      </c>
      <c r="I2827" t="s">
        <v>39</v>
      </c>
      <c r="J2827" t="s">
        <v>46</v>
      </c>
      <c r="K2827" s="2">
        <v>2950</v>
      </c>
      <c r="L2827" s="2">
        <v>10500</v>
      </c>
      <c r="M2827">
        <v>60</v>
      </c>
      <c r="N2827" s="3">
        <v>0.307</v>
      </c>
      <c r="O2827" t="s">
        <v>17</v>
      </c>
      <c r="P2827" t="s">
        <v>31</v>
      </c>
      <c r="Q2827">
        <v>0</v>
      </c>
      <c r="R2827">
        <v>1</v>
      </c>
      <c r="S2827" s="2">
        <v>0</v>
      </c>
      <c r="T2827" s="4"/>
      <c r="U2827">
        <v>1</v>
      </c>
      <c r="V2827">
        <v>1</v>
      </c>
      <c r="W2827">
        <v>1</v>
      </c>
    </row>
    <row r="2828" spans="1:23" ht="16.5" x14ac:dyDescent="0.3">
      <c r="A2828" t="s">
        <v>2892</v>
      </c>
      <c r="B2828" s="1">
        <v>45710</v>
      </c>
      <c r="C2828">
        <v>2025</v>
      </c>
      <c r="D2828" t="s">
        <v>24</v>
      </c>
      <c r="E2828" t="s">
        <v>284</v>
      </c>
      <c r="F2828" t="s">
        <v>37</v>
      </c>
      <c r="G2828" t="s">
        <v>51</v>
      </c>
      <c r="H2828" t="s">
        <v>38</v>
      </c>
      <c r="I2828" t="s">
        <v>42</v>
      </c>
      <c r="J2828" t="s">
        <v>30</v>
      </c>
      <c r="K2828" s="2">
        <v>5550</v>
      </c>
      <c r="L2828" s="2">
        <v>22000</v>
      </c>
      <c r="M2828">
        <v>12</v>
      </c>
      <c r="N2828" s="3">
        <v>0.55000000000000004</v>
      </c>
      <c r="O2828" t="s">
        <v>16</v>
      </c>
      <c r="Q2828">
        <v>1</v>
      </c>
      <c r="R2828">
        <v>0</v>
      </c>
      <c r="S2828" s="2">
        <v>17500</v>
      </c>
      <c r="T2828" s="4">
        <v>0.1419</v>
      </c>
      <c r="U2828">
        <v>4</v>
      </c>
      <c r="V2828">
        <v>0</v>
      </c>
      <c r="W2828">
        <v>1</v>
      </c>
    </row>
    <row r="2829" spans="1:23" ht="16.5" x14ac:dyDescent="0.3">
      <c r="A2829" t="s">
        <v>2893</v>
      </c>
      <c r="B2829" s="1">
        <v>45710</v>
      </c>
      <c r="C2829">
        <v>2025</v>
      </c>
      <c r="D2829" t="s">
        <v>24</v>
      </c>
      <c r="E2829" t="s">
        <v>284</v>
      </c>
      <c r="F2829" t="s">
        <v>26</v>
      </c>
      <c r="G2829" t="s">
        <v>33</v>
      </c>
      <c r="H2829" t="s">
        <v>38</v>
      </c>
      <c r="I2829" t="s">
        <v>29</v>
      </c>
      <c r="J2829" t="s">
        <v>46</v>
      </c>
      <c r="K2829" s="2">
        <v>6350</v>
      </c>
      <c r="L2829" s="2">
        <v>32500</v>
      </c>
      <c r="M2829">
        <v>48</v>
      </c>
      <c r="N2829" s="3">
        <v>0.27400000000000002</v>
      </c>
      <c r="O2829" t="s">
        <v>16</v>
      </c>
      <c r="Q2829">
        <v>1</v>
      </c>
      <c r="R2829">
        <v>0</v>
      </c>
      <c r="S2829" s="2">
        <v>29000</v>
      </c>
      <c r="T2829" s="4">
        <v>6.6299999999999998E-2</v>
      </c>
      <c r="U2829">
        <v>3</v>
      </c>
      <c r="V2829">
        <v>1</v>
      </c>
      <c r="W2829">
        <v>1</v>
      </c>
    </row>
    <row r="2830" spans="1:23" ht="16.5" x14ac:dyDescent="0.3">
      <c r="A2830" t="s">
        <v>2894</v>
      </c>
      <c r="B2830" s="1">
        <v>45710</v>
      </c>
      <c r="C2830">
        <v>2025</v>
      </c>
      <c r="D2830" t="s">
        <v>24</v>
      </c>
      <c r="E2830" t="s">
        <v>284</v>
      </c>
      <c r="F2830" t="s">
        <v>37</v>
      </c>
      <c r="G2830" t="s">
        <v>33</v>
      </c>
      <c r="H2830" t="s">
        <v>55</v>
      </c>
      <c r="I2830" t="s">
        <v>39</v>
      </c>
      <c r="J2830" t="s">
        <v>30</v>
      </c>
      <c r="K2830" s="2">
        <v>5900</v>
      </c>
      <c r="L2830" s="2">
        <v>13000</v>
      </c>
      <c r="M2830">
        <v>60</v>
      </c>
      <c r="N2830" s="3">
        <v>0.29499999999999998</v>
      </c>
      <c r="O2830" t="s">
        <v>16</v>
      </c>
      <c r="Q2830">
        <v>1</v>
      </c>
      <c r="R2830">
        <v>0</v>
      </c>
      <c r="S2830" s="2">
        <v>13000</v>
      </c>
      <c r="T2830" s="4">
        <v>0.13950000000000001</v>
      </c>
      <c r="U2830">
        <v>1</v>
      </c>
      <c r="V2830">
        <v>1</v>
      </c>
      <c r="W2830">
        <v>1</v>
      </c>
    </row>
    <row r="2831" spans="1:23" ht="16.5" x14ac:dyDescent="0.3">
      <c r="A2831" t="s">
        <v>2895</v>
      </c>
      <c r="B2831" s="1">
        <v>45710</v>
      </c>
      <c r="C2831">
        <v>2025</v>
      </c>
      <c r="D2831" t="s">
        <v>24</v>
      </c>
      <c r="E2831" t="s">
        <v>284</v>
      </c>
      <c r="F2831" t="s">
        <v>26</v>
      </c>
      <c r="G2831" t="s">
        <v>33</v>
      </c>
      <c r="H2831" t="s">
        <v>55</v>
      </c>
      <c r="I2831" t="s">
        <v>39</v>
      </c>
      <c r="J2831" t="s">
        <v>52</v>
      </c>
      <c r="K2831" s="2">
        <v>12700</v>
      </c>
      <c r="L2831" s="2">
        <v>45000</v>
      </c>
      <c r="M2831">
        <v>36</v>
      </c>
      <c r="N2831" s="3">
        <v>0.33600000000000002</v>
      </c>
      <c r="O2831" t="s">
        <v>16</v>
      </c>
      <c r="Q2831">
        <v>1</v>
      </c>
      <c r="R2831">
        <v>0</v>
      </c>
      <c r="S2831" s="2">
        <v>45000</v>
      </c>
      <c r="T2831" s="4">
        <v>6.9500000000000006E-2</v>
      </c>
      <c r="U2831">
        <v>2</v>
      </c>
      <c r="V2831">
        <v>1</v>
      </c>
      <c r="W2831">
        <v>1</v>
      </c>
    </row>
    <row r="2832" spans="1:23" ht="16.5" x14ac:dyDescent="0.3">
      <c r="A2832" t="s">
        <v>2896</v>
      </c>
      <c r="B2832" s="1">
        <v>45711</v>
      </c>
      <c r="C2832">
        <v>2025</v>
      </c>
      <c r="D2832" t="s">
        <v>24</v>
      </c>
      <c r="E2832" t="s">
        <v>284</v>
      </c>
      <c r="F2832" t="s">
        <v>37</v>
      </c>
      <c r="G2832" t="s">
        <v>51</v>
      </c>
      <c r="H2832" t="s">
        <v>34</v>
      </c>
      <c r="I2832" t="s">
        <v>39</v>
      </c>
      <c r="J2832" t="s">
        <v>35</v>
      </c>
      <c r="K2832" s="2">
        <v>10750</v>
      </c>
      <c r="L2832" s="2">
        <v>13500</v>
      </c>
      <c r="M2832">
        <v>12</v>
      </c>
      <c r="N2832" s="3">
        <v>0.29299999999999998</v>
      </c>
      <c r="O2832" t="s">
        <v>16</v>
      </c>
      <c r="Q2832">
        <v>1</v>
      </c>
      <c r="R2832">
        <v>0</v>
      </c>
      <c r="S2832" s="2">
        <v>11000</v>
      </c>
      <c r="T2832" s="4">
        <v>0.1273</v>
      </c>
      <c r="U2832">
        <v>2</v>
      </c>
      <c r="V2832">
        <v>1</v>
      </c>
      <c r="W2832">
        <v>1</v>
      </c>
    </row>
    <row r="2833" spans="1:23" ht="16.5" x14ac:dyDescent="0.3">
      <c r="A2833" t="s">
        <v>2897</v>
      </c>
      <c r="B2833" s="1">
        <v>45711</v>
      </c>
      <c r="C2833">
        <v>2025</v>
      </c>
      <c r="D2833" t="s">
        <v>24</v>
      </c>
      <c r="E2833" t="s">
        <v>284</v>
      </c>
      <c r="F2833" t="s">
        <v>26</v>
      </c>
      <c r="G2833" t="s">
        <v>33</v>
      </c>
      <c r="H2833" t="s">
        <v>38</v>
      </c>
      <c r="I2833" t="s">
        <v>29</v>
      </c>
      <c r="J2833" t="s">
        <v>52</v>
      </c>
      <c r="K2833" s="2">
        <v>3450</v>
      </c>
      <c r="L2833" s="2">
        <v>28500</v>
      </c>
      <c r="M2833">
        <v>60</v>
      </c>
      <c r="N2833" s="3">
        <v>0.33400000000000002</v>
      </c>
      <c r="O2833" t="s">
        <v>16</v>
      </c>
      <c r="Q2833">
        <v>1</v>
      </c>
      <c r="R2833">
        <v>0</v>
      </c>
      <c r="S2833" s="2">
        <v>28500</v>
      </c>
      <c r="T2833" s="4">
        <v>6.9500000000000006E-2</v>
      </c>
      <c r="U2833">
        <v>1</v>
      </c>
      <c r="V2833">
        <v>1</v>
      </c>
      <c r="W2833">
        <v>1</v>
      </c>
    </row>
    <row r="2834" spans="1:23" ht="16.5" x14ac:dyDescent="0.3">
      <c r="A2834" t="s">
        <v>2898</v>
      </c>
      <c r="B2834" s="1">
        <v>45711</v>
      </c>
      <c r="C2834">
        <v>2025</v>
      </c>
      <c r="D2834" t="s">
        <v>24</v>
      </c>
      <c r="E2834" t="s">
        <v>284</v>
      </c>
      <c r="F2834" t="s">
        <v>26</v>
      </c>
      <c r="G2834" t="s">
        <v>27</v>
      </c>
      <c r="H2834" t="s">
        <v>34</v>
      </c>
      <c r="I2834" t="s">
        <v>29</v>
      </c>
      <c r="J2834" t="s">
        <v>35</v>
      </c>
      <c r="K2834" s="2">
        <v>2800</v>
      </c>
      <c r="L2834" s="2">
        <v>19500</v>
      </c>
      <c r="M2834">
        <v>36</v>
      </c>
      <c r="N2834" s="3">
        <v>0.30199999999999999</v>
      </c>
      <c r="O2834" t="s">
        <v>16</v>
      </c>
      <c r="Q2834">
        <v>1</v>
      </c>
      <c r="R2834">
        <v>0</v>
      </c>
      <c r="S2834" s="2">
        <v>15500</v>
      </c>
      <c r="T2834" s="4">
        <v>8.5500000000000007E-2</v>
      </c>
      <c r="U2834">
        <v>6</v>
      </c>
      <c r="V2834">
        <v>0</v>
      </c>
      <c r="W2834">
        <v>1</v>
      </c>
    </row>
    <row r="2835" spans="1:23" ht="16.5" x14ac:dyDescent="0.3">
      <c r="A2835" t="s">
        <v>2899</v>
      </c>
      <c r="B2835" s="1">
        <v>45712</v>
      </c>
      <c r="C2835">
        <v>2025</v>
      </c>
      <c r="D2835" t="s">
        <v>24</v>
      </c>
      <c r="E2835" t="s">
        <v>284</v>
      </c>
      <c r="F2835" t="s">
        <v>37</v>
      </c>
      <c r="G2835" t="s">
        <v>33</v>
      </c>
      <c r="H2835" t="s">
        <v>38</v>
      </c>
      <c r="I2835" t="s">
        <v>29</v>
      </c>
      <c r="J2835" t="s">
        <v>35</v>
      </c>
      <c r="K2835" s="2">
        <v>3000</v>
      </c>
      <c r="L2835" s="2">
        <v>4500</v>
      </c>
      <c r="M2835">
        <v>24</v>
      </c>
      <c r="N2835" s="3">
        <v>0.16400000000000001</v>
      </c>
      <c r="O2835" t="s">
        <v>125</v>
      </c>
      <c r="Q2835">
        <v>0</v>
      </c>
      <c r="R2835">
        <v>0</v>
      </c>
      <c r="S2835" s="2">
        <v>0</v>
      </c>
      <c r="T2835" s="4"/>
      <c r="U2835">
        <v>5</v>
      </c>
      <c r="V2835">
        <v>0</v>
      </c>
      <c r="W2835">
        <v>1</v>
      </c>
    </row>
    <row r="2836" spans="1:23" ht="16.5" x14ac:dyDescent="0.3">
      <c r="A2836" t="s">
        <v>2900</v>
      </c>
      <c r="B2836" s="1">
        <v>45712</v>
      </c>
      <c r="C2836">
        <v>2025</v>
      </c>
      <c r="D2836" t="s">
        <v>24</v>
      </c>
      <c r="E2836" t="s">
        <v>284</v>
      </c>
      <c r="F2836" t="s">
        <v>41</v>
      </c>
      <c r="G2836" t="s">
        <v>33</v>
      </c>
      <c r="H2836" t="s">
        <v>28</v>
      </c>
      <c r="I2836" t="s">
        <v>29</v>
      </c>
      <c r="J2836" t="s">
        <v>52</v>
      </c>
      <c r="K2836" s="2">
        <v>4850</v>
      </c>
      <c r="L2836" s="2">
        <v>171500</v>
      </c>
      <c r="M2836">
        <v>36</v>
      </c>
      <c r="N2836" s="3">
        <v>1.256</v>
      </c>
      <c r="O2836" t="s">
        <v>17</v>
      </c>
      <c r="P2836" t="s">
        <v>53</v>
      </c>
      <c r="Q2836">
        <v>0</v>
      </c>
      <c r="R2836">
        <v>1</v>
      </c>
      <c r="S2836" s="2">
        <v>0</v>
      </c>
      <c r="T2836" s="4"/>
      <c r="U2836">
        <v>2</v>
      </c>
      <c r="V2836">
        <v>1</v>
      </c>
      <c r="W2836">
        <v>1</v>
      </c>
    </row>
    <row r="2837" spans="1:23" ht="16.5" x14ac:dyDescent="0.3">
      <c r="A2837" t="s">
        <v>2901</v>
      </c>
      <c r="B2837" s="1">
        <v>45712</v>
      </c>
      <c r="C2837">
        <v>2025</v>
      </c>
      <c r="D2837" t="s">
        <v>24</v>
      </c>
      <c r="E2837" t="s">
        <v>284</v>
      </c>
      <c r="F2837" t="s">
        <v>41</v>
      </c>
      <c r="G2837" t="s">
        <v>27</v>
      </c>
      <c r="H2837" t="s">
        <v>34</v>
      </c>
      <c r="I2837" t="s">
        <v>29</v>
      </c>
      <c r="J2837" t="s">
        <v>52</v>
      </c>
      <c r="K2837" s="2">
        <v>4450</v>
      </c>
      <c r="L2837" s="2">
        <v>80500</v>
      </c>
      <c r="M2837">
        <v>36</v>
      </c>
      <c r="N2837" s="3">
        <v>0.67400000000000004</v>
      </c>
      <c r="O2837" t="s">
        <v>16</v>
      </c>
      <c r="Q2837">
        <v>1</v>
      </c>
      <c r="R2837">
        <v>0</v>
      </c>
      <c r="S2837" s="2">
        <v>80500</v>
      </c>
      <c r="T2837" s="4">
        <v>9.8299999999999998E-2</v>
      </c>
      <c r="U2837">
        <v>9</v>
      </c>
      <c r="V2837">
        <v>1</v>
      </c>
      <c r="W2837">
        <v>1</v>
      </c>
    </row>
    <row r="2838" spans="1:23" ht="16.5" x14ac:dyDescent="0.3">
      <c r="A2838" t="s">
        <v>2902</v>
      </c>
      <c r="B2838" s="1">
        <v>45712</v>
      </c>
      <c r="C2838">
        <v>2025</v>
      </c>
      <c r="D2838" t="s">
        <v>24</v>
      </c>
      <c r="E2838" t="s">
        <v>284</v>
      </c>
      <c r="F2838" t="s">
        <v>37</v>
      </c>
      <c r="G2838" t="s">
        <v>45</v>
      </c>
      <c r="H2838" t="s">
        <v>28</v>
      </c>
      <c r="I2838" t="s">
        <v>39</v>
      </c>
      <c r="J2838" t="s">
        <v>35</v>
      </c>
      <c r="K2838" s="2">
        <v>8850</v>
      </c>
      <c r="L2838" s="2">
        <v>7000</v>
      </c>
      <c r="M2838">
        <v>12</v>
      </c>
      <c r="N2838" s="3">
        <v>0.27300000000000002</v>
      </c>
      <c r="O2838" t="s">
        <v>16</v>
      </c>
      <c r="Q2838">
        <v>1</v>
      </c>
      <c r="R2838">
        <v>0</v>
      </c>
      <c r="S2838" s="2">
        <v>5500</v>
      </c>
      <c r="T2838" s="4">
        <v>0.1236</v>
      </c>
      <c r="U2838">
        <v>2</v>
      </c>
      <c r="V2838">
        <v>1</v>
      </c>
      <c r="W2838">
        <v>1</v>
      </c>
    </row>
    <row r="2839" spans="1:23" ht="16.5" x14ac:dyDescent="0.3">
      <c r="A2839" t="s">
        <v>2903</v>
      </c>
      <c r="B2839" s="1">
        <v>45712</v>
      </c>
      <c r="C2839">
        <v>2025</v>
      </c>
      <c r="D2839" t="s">
        <v>24</v>
      </c>
      <c r="E2839" t="s">
        <v>284</v>
      </c>
      <c r="F2839" t="s">
        <v>37</v>
      </c>
      <c r="G2839" t="s">
        <v>45</v>
      </c>
      <c r="H2839" t="s">
        <v>55</v>
      </c>
      <c r="I2839" t="s">
        <v>29</v>
      </c>
      <c r="J2839" t="s">
        <v>46</v>
      </c>
      <c r="K2839" s="2">
        <v>4500</v>
      </c>
      <c r="L2839" s="2">
        <v>13500</v>
      </c>
      <c r="M2839">
        <v>36</v>
      </c>
      <c r="N2839" s="3">
        <v>0.27900000000000003</v>
      </c>
      <c r="O2839" t="s">
        <v>16</v>
      </c>
      <c r="Q2839">
        <v>1</v>
      </c>
      <c r="R2839">
        <v>0</v>
      </c>
      <c r="S2839" s="2">
        <v>13500</v>
      </c>
      <c r="T2839" s="4">
        <v>0.10630000000000001</v>
      </c>
      <c r="U2839">
        <v>1</v>
      </c>
      <c r="V2839">
        <v>1</v>
      </c>
      <c r="W2839">
        <v>1</v>
      </c>
    </row>
    <row r="2840" spans="1:23" ht="16.5" x14ac:dyDescent="0.3">
      <c r="A2840" t="s">
        <v>2904</v>
      </c>
      <c r="B2840" s="1">
        <v>45712</v>
      </c>
      <c r="C2840">
        <v>2025</v>
      </c>
      <c r="D2840" t="s">
        <v>24</v>
      </c>
      <c r="E2840" t="s">
        <v>284</v>
      </c>
      <c r="F2840" t="s">
        <v>41</v>
      </c>
      <c r="G2840" t="s">
        <v>51</v>
      </c>
      <c r="H2840" t="s">
        <v>34</v>
      </c>
      <c r="I2840" t="s">
        <v>29</v>
      </c>
      <c r="J2840" t="s">
        <v>30</v>
      </c>
      <c r="K2840" s="2">
        <v>3450</v>
      </c>
      <c r="L2840" s="2">
        <v>74500</v>
      </c>
      <c r="M2840">
        <v>60</v>
      </c>
      <c r="N2840" s="3">
        <v>0.61099999999999999</v>
      </c>
      <c r="O2840" t="s">
        <v>17</v>
      </c>
      <c r="P2840" t="s">
        <v>31</v>
      </c>
      <c r="Q2840">
        <v>0</v>
      </c>
      <c r="R2840">
        <v>1</v>
      </c>
      <c r="S2840" s="2">
        <v>0</v>
      </c>
      <c r="T2840" s="4"/>
      <c r="U2840">
        <v>12</v>
      </c>
      <c r="V2840">
        <v>0</v>
      </c>
      <c r="W2840">
        <v>1</v>
      </c>
    </row>
    <row r="2841" spans="1:23" ht="16.5" x14ac:dyDescent="0.3">
      <c r="A2841" t="s">
        <v>2905</v>
      </c>
      <c r="B2841" s="1">
        <v>45712</v>
      </c>
      <c r="C2841">
        <v>2025</v>
      </c>
      <c r="D2841" t="s">
        <v>24</v>
      </c>
      <c r="E2841" t="s">
        <v>284</v>
      </c>
      <c r="F2841" t="s">
        <v>41</v>
      </c>
      <c r="G2841" t="s">
        <v>33</v>
      </c>
      <c r="H2841" t="s">
        <v>55</v>
      </c>
      <c r="I2841" t="s">
        <v>42</v>
      </c>
      <c r="J2841" t="s">
        <v>35</v>
      </c>
      <c r="K2841" s="2">
        <v>8450</v>
      </c>
      <c r="L2841" s="2">
        <v>156500</v>
      </c>
      <c r="M2841">
        <v>36</v>
      </c>
      <c r="N2841" s="3">
        <v>0.72299999999999998</v>
      </c>
      <c r="O2841" t="s">
        <v>17</v>
      </c>
      <c r="P2841" t="s">
        <v>53</v>
      </c>
      <c r="Q2841">
        <v>0</v>
      </c>
      <c r="R2841">
        <v>1</v>
      </c>
      <c r="S2841" s="2">
        <v>0</v>
      </c>
      <c r="T2841" s="4"/>
      <c r="U2841">
        <v>6</v>
      </c>
      <c r="V2841">
        <v>1</v>
      </c>
      <c r="W2841">
        <v>1</v>
      </c>
    </row>
    <row r="2842" spans="1:23" ht="16.5" x14ac:dyDescent="0.3">
      <c r="A2842" t="s">
        <v>2906</v>
      </c>
      <c r="B2842" s="1">
        <v>45712</v>
      </c>
      <c r="C2842">
        <v>2025</v>
      </c>
      <c r="D2842" t="s">
        <v>24</v>
      </c>
      <c r="E2842" t="s">
        <v>284</v>
      </c>
      <c r="F2842" t="s">
        <v>50</v>
      </c>
      <c r="G2842" t="s">
        <v>33</v>
      </c>
      <c r="H2842" t="s">
        <v>28</v>
      </c>
      <c r="I2842" t="s">
        <v>29</v>
      </c>
      <c r="J2842" t="s">
        <v>35</v>
      </c>
      <c r="K2842" s="2">
        <v>6200</v>
      </c>
      <c r="L2842" s="2">
        <v>353500</v>
      </c>
      <c r="M2842">
        <v>300</v>
      </c>
      <c r="N2842" s="3">
        <v>0.47399999999999998</v>
      </c>
      <c r="O2842" t="s">
        <v>17</v>
      </c>
      <c r="P2842" t="s">
        <v>60</v>
      </c>
      <c r="Q2842">
        <v>0</v>
      </c>
      <c r="R2842">
        <v>1</v>
      </c>
      <c r="S2842" s="2">
        <v>0</v>
      </c>
      <c r="T2842" s="4"/>
      <c r="U2842">
        <v>13</v>
      </c>
      <c r="V2842">
        <v>1</v>
      </c>
      <c r="W2842">
        <v>1</v>
      </c>
    </row>
    <row r="2843" spans="1:23" ht="16.5" x14ac:dyDescent="0.3">
      <c r="A2843" t="s">
        <v>2907</v>
      </c>
      <c r="B2843" s="1">
        <v>45712</v>
      </c>
      <c r="C2843">
        <v>2025</v>
      </c>
      <c r="D2843" t="s">
        <v>24</v>
      </c>
      <c r="E2843" t="s">
        <v>284</v>
      </c>
      <c r="F2843" t="s">
        <v>26</v>
      </c>
      <c r="G2843" t="s">
        <v>51</v>
      </c>
      <c r="H2843" t="s">
        <v>34</v>
      </c>
      <c r="I2843" t="s">
        <v>39</v>
      </c>
      <c r="J2843" t="s">
        <v>35</v>
      </c>
      <c r="K2843" s="2">
        <v>5050</v>
      </c>
      <c r="L2843" s="2">
        <v>22000</v>
      </c>
      <c r="M2843">
        <v>36</v>
      </c>
      <c r="N2843" s="3">
        <v>0.24399999999999999</v>
      </c>
      <c r="O2843" t="s">
        <v>17</v>
      </c>
      <c r="P2843" t="s">
        <v>31</v>
      </c>
      <c r="Q2843">
        <v>0</v>
      </c>
      <c r="R2843">
        <v>1</v>
      </c>
      <c r="S2843" s="2">
        <v>0</v>
      </c>
      <c r="T2843" s="4"/>
      <c r="U2843">
        <v>7</v>
      </c>
      <c r="V2843">
        <v>0</v>
      </c>
      <c r="W2843">
        <v>1</v>
      </c>
    </row>
    <row r="2844" spans="1:23" ht="16.5" x14ac:dyDescent="0.3">
      <c r="A2844" t="s">
        <v>2908</v>
      </c>
      <c r="B2844" s="1">
        <v>45712</v>
      </c>
      <c r="C2844">
        <v>2025</v>
      </c>
      <c r="D2844" t="s">
        <v>24</v>
      </c>
      <c r="E2844" t="s">
        <v>284</v>
      </c>
      <c r="F2844" t="s">
        <v>41</v>
      </c>
      <c r="G2844" t="s">
        <v>45</v>
      </c>
      <c r="H2844" t="s">
        <v>34</v>
      </c>
      <c r="I2844" t="s">
        <v>39</v>
      </c>
      <c r="J2844" t="s">
        <v>30</v>
      </c>
      <c r="K2844" s="2">
        <v>3250</v>
      </c>
      <c r="L2844" s="2">
        <v>247500</v>
      </c>
      <c r="M2844">
        <v>12</v>
      </c>
      <c r="N2844" s="3">
        <v>6.7590000000000003</v>
      </c>
      <c r="O2844" t="s">
        <v>125</v>
      </c>
      <c r="Q2844">
        <v>0</v>
      </c>
      <c r="R2844">
        <v>0</v>
      </c>
      <c r="S2844" s="2">
        <v>0</v>
      </c>
      <c r="T2844" s="4"/>
      <c r="U2844">
        <v>8</v>
      </c>
      <c r="V2844">
        <v>1</v>
      </c>
      <c r="W2844">
        <v>1</v>
      </c>
    </row>
    <row r="2845" spans="1:23" ht="16.5" x14ac:dyDescent="0.3">
      <c r="A2845" t="s">
        <v>2909</v>
      </c>
      <c r="B2845" s="1">
        <v>45712</v>
      </c>
      <c r="C2845">
        <v>2025</v>
      </c>
      <c r="D2845" t="s">
        <v>24</v>
      </c>
      <c r="E2845" t="s">
        <v>284</v>
      </c>
      <c r="F2845" t="s">
        <v>37</v>
      </c>
      <c r="G2845" t="s">
        <v>33</v>
      </c>
      <c r="H2845" t="s">
        <v>55</v>
      </c>
      <c r="I2845" t="s">
        <v>39</v>
      </c>
      <c r="J2845" t="s">
        <v>52</v>
      </c>
      <c r="K2845" s="2">
        <v>7750</v>
      </c>
      <c r="L2845" s="2">
        <v>15500</v>
      </c>
      <c r="M2845">
        <v>36</v>
      </c>
      <c r="N2845" s="3">
        <v>0.19900000000000001</v>
      </c>
      <c r="O2845" t="s">
        <v>16</v>
      </c>
      <c r="Q2845">
        <v>1</v>
      </c>
      <c r="R2845">
        <v>0</v>
      </c>
      <c r="S2845" s="2">
        <v>15500</v>
      </c>
      <c r="T2845" s="4">
        <v>0.1181</v>
      </c>
      <c r="U2845">
        <v>1</v>
      </c>
      <c r="V2845">
        <v>1</v>
      </c>
      <c r="W2845">
        <v>1</v>
      </c>
    </row>
    <row r="2846" spans="1:23" ht="16.5" x14ac:dyDescent="0.3">
      <c r="A2846" t="s">
        <v>2910</v>
      </c>
      <c r="B2846" s="1">
        <v>45712</v>
      </c>
      <c r="C2846">
        <v>2025</v>
      </c>
      <c r="D2846" t="s">
        <v>24</v>
      </c>
      <c r="E2846" t="s">
        <v>284</v>
      </c>
      <c r="F2846" t="s">
        <v>50</v>
      </c>
      <c r="G2846" t="s">
        <v>33</v>
      </c>
      <c r="H2846" t="s">
        <v>34</v>
      </c>
      <c r="I2846" t="s">
        <v>42</v>
      </c>
      <c r="J2846" t="s">
        <v>52</v>
      </c>
      <c r="K2846" s="2">
        <v>6050</v>
      </c>
      <c r="L2846" s="2">
        <v>158000</v>
      </c>
      <c r="M2846">
        <v>180</v>
      </c>
      <c r="N2846" s="3">
        <v>0.39500000000000002</v>
      </c>
      <c r="O2846" t="s">
        <v>17</v>
      </c>
      <c r="P2846" t="s">
        <v>48</v>
      </c>
      <c r="Q2846">
        <v>0</v>
      </c>
      <c r="R2846">
        <v>1</v>
      </c>
      <c r="S2846" s="2">
        <v>0</v>
      </c>
      <c r="T2846" s="4"/>
      <c r="U2846">
        <v>6</v>
      </c>
      <c r="V2846">
        <v>1</v>
      </c>
      <c r="W2846">
        <v>1</v>
      </c>
    </row>
    <row r="2847" spans="1:23" ht="16.5" x14ac:dyDescent="0.3">
      <c r="A2847" t="s">
        <v>2911</v>
      </c>
      <c r="B2847" s="1">
        <v>45712</v>
      </c>
      <c r="C2847">
        <v>2025</v>
      </c>
      <c r="D2847" t="s">
        <v>24</v>
      </c>
      <c r="E2847" t="s">
        <v>284</v>
      </c>
      <c r="F2847" t="s">
        <v>41</v>
      </c>
      <c r="G2847" t="s">
        <v>33</v>
      </c>
      <c r="H2847" t="s">
        <v>55</v>
      </c>
      <c r="I2847" t="s">
        <v>42</v>
      </c>
      <c r="J2847" t="s">
        <v>30</v>
      </c>
      <c r="K2847" s="2">
        <v>7350</v>
      </c>
      <c r="L2847" s="2">
        <v>82000</v>
      </c>
      <c r="M2847">
        <v>60</v>
      </c>
      <c r="N2847" s="3">
        <v>0.38500000000000001</v>
      </c>
      <c r="O2847" t="s">
        <v>16</v>
      </c>
      <c r="Q2847">
        <v>1</v>
      </c>
      <c r="R2847">
        <v>0</v>
      </c>
      <c r="S2847" s="2">
        <v>74000</v>
      </c>
      <c r="T2847" s="4">
        <v>0.12740000000000001</v>
      </c>
      <c r="U2847">
        <v>5</v>
      </c>
      <c r="V2847">
        <v>1</v>
      </c>
      <c r="W2847">
        <v>1</v>
      </c>
    </row>
    <row r="2848" spans="1:23" ht="16.5" x14ac:dyDescent="0.3">
      <c r="A2848" t="s">
        <v>2912</v>
      </c>
      <c r="B2848" s="1">
        <v>45713</v>
      </c>
      <c r="C2848">
        <v>2025</v>
      </c>
      <c r="D2848" t="s">
        <v>24</v>
      </c>
      <c r="E2848" t="s">
        <v>284</v>
      </c>
      <c r="F2848" t="s">
        <v>41</v>
      </c>
      <c r="G2848" t="s">
        <v>33</v>
      </c>
      <c r="H2848" t="s">
        <v>34</v>
      </c>
      <c r="I2848" t="s">
        <v>29</v>
      </c>
      <c r="J2848" t="s">
        <v>52</v>
      </c>
      <c r="K2848" s="2">
        <v>6550</v>
      </c>
      <c r="L2848" s="2">
        <v>75500</v>
      </c>
      <c r="M2848">
        <v>12</v>
      </c>
      <c r="N2848" s="3">
        <v>1.242</v>
      </c>
      <c r="O2848" t="s">
        <v>17</v>
      </c>
      <c r="P2848" t="s">
        <v>60</v>
      </c>
      <c r="Q2848">
        <v>0</v>
      </c>
      <c r="R2848">
        <v>1</v>
      </c>
      <c r="S2848" s="2">
        <v>0</v>
      </c>
      <c r="T2848" s="4"/>
      <c r="U2848">
        <v>9</v>
      </c>
      <c r="V2848">
        <v>1</v>
      </c>
      <c r="W2848">
        <v>1</v>
      </c>
    </row>
    <row r="2849" spans="1:23" ht="16.5" x14ac:dyDescent="0.3">
      <c r="A2849" t="s">
        <v>2913</v>
      </c>
      <c r="B2849" s="1">
        <v>45713</v>
      </c>
      <c r="C2849">
        <v>2025</v>
      </c>
      <c r="D2849" t="s">
        <v>24</v>
      </c>
      <c r="E2849" t="s">
        <v>284</v>
      </c>
      <c r="F2849" t="s">
        <v>37</v>
      </c>
      <c r="G2849" t="s">
        <v>27</v>
      </c>
      <c r="H2849" t="s">
        <v>34</v>
      </c>
      <c r="I2849" t="s">
        <v>29</v>
      </c>
      <c r="J2849" t="s">
        <v>52</v>
      </c>
      <c r="K2849" s="2">
        <v>3950</v>
      </c>
      <c r="L2849" s="2">
        <v>13500</v>
      </c>
      <c r="M2849">
        <v>36</v>
      </c>
      <c r="N2849" s="3">
        <v>0.2</v>
      </c>
      <c r="O2849" t="s">
        <v>16</v>
      </c>
      <c r="Q2849">
        <v>1</v>
      </c>
      <c r="R2849">
        <v>0</v>
      </c>
      <c r="S2849" s="2">
        <v>13500</v>
      </c>
      <c r="T2849" s="4">
        <v>0.1174</v>
      </c>
      <c r="U2849">
        <v>3</v>
      </c>
      <c r="V2849">
        <v>1</v>
      </c>
      <c r="W2849">
        <v>1</v>
      </c>
    </row>
    <row r="2850" spans="1:23" ht="16.5" x14ac:dyDescent="0.3">
      <c r="A2850" t="s">
        <v>2914</v>
      </c>
      <c r="B2850" s="1">
        <v>45713</v>
      </c>
      <c r="C2850">
        <v>2025</v>
      </c>
      <c r="D2850" t="s">
        <v>24</v>
      </c>
      <c r="E2850" t="s">
        <v>284</v>
      </c>
      <c r="F2850" t="s">
        <v>41</v>
      </c>
      <c r="G2850" t="s">
        <v>33</v>
      </c>
      <c r="H2850" t="s">
        <v>55</v>
      </c>
      <c r="I2850" t="s">
        <v>39</v>
      </c>
      <c r="J2850" t="s">
        <v>46</v>
      </c>
      <c r="K2850" s="2">
        <v>3900</v>
      </c>
      <c r="L2850" s="2">
        <v>109500</v>
      </c>
      <c r="M2850">
        <v>36</v>
      </c>
      <c r="N2850" s="3">
        <v>1.0589999999999999</v>
      </c>
      <c r="O2850" t="s">
        <v>16</v>
      </c>
      <c r="Q2850">
        <v>1</v>
      </c>
      <c r="R2850">
        <v>0</v>
      </c>
      <c r="S2850" s="2">
        <v>109500</v>
      </c>
      <c r="T2850" s="4">
        <v>8.8700000000000001E-2</v>
      </c>
      <c r="U2850">
        <v>4</v>
      </c>
      <c r="V2850">
        <v>1</v>
      </c>
      <c r="W2850">
        <v>1</v>
      </c>
    </row>
    <row r="2851" spans="1:23" ht="16.5" x14ac:dyDescent="0.3">
      <c r="A2851" t="s">
        <v>2915</v>
      </c>
      <c r="B2851" s="1">
        <v>45713</v>
      </c>
      <c r="C2851">
        <v>2025</v>
      </c>
      <c r="D2851" t="s">
        <v>24</v>
      </c>
      <c r="E2851" t="s">
        <v>284</v>
      </c>
      <c r="F2851" t="s">
        <v>37</v>
      </c>
      <c r="G2851" t="s">
        <v>33</v>
      </c>
      <c r="H2851" t="s">
        <v>64</v>
      </c>
      <c r="I2851" t="s">
        <v>29</v>
      </c>
      <c r="J2851" t="s">
        <v>43</v>
      </c>
      <c r="K2851" s="2">
        <v>3750</v>
      </c>
      <c r="L2851" s="2">
        <v>11500</v>
      </c>
      <c r="M2851">
        <v>60</v>
      </c>
      <c r="N2851" s="3">
        <v>0.16200000000000001</v>
      </c>
      <c r="O2851" t="s">
        <v>17</v>
      </c>
      <c r="P2851" t="s">
        <v>31</v>
      </c>
      <c r="Q2851">
        <v>0</v>
      </c>
      <c r="R2851">
        <v>1</v>
      </c>
      <c r="S2851" s="2">
        <v>0</v>
      </c>
      <c r="T2851" s="4"/>
      <c r="U2851">
        <v>1</v>
      </c>
      <c r="V2851">
        <v>1</v>
      </c>
      <c r="W2851">
        <v>1</v>
      </c>
    </row>
    <row r="2852" spans="1:23" ht="16.5" x14ac:dyDescent="0.3">
      <c r="A2852" t="s">
        <v>2916</v>
      </c>
      <c r="B2852" s="1">
        <v>45713</v>
      </c>
      <c r="C2852">
        <v>2025</v>
      </c>
      <c r="D2852" t="s">
        <v>24</v>
      </c>
      <c r="E2852" t="s">
        <v>284</v>
      </c>
      <c r="F2852" t="s">
        <v>41</v>
      </c>
      <c r="G2852" t="s">
        <v>51</v>
      </c>
      <c r="H2852" t="s">
        <v>38</v>
      </c>
      <c r="I2852" t="s">
        <v>29</v>
      </c>
      <c r="J2852" t="s">
        <v>30</v>
      </c>
      <c r="K2852" s="2">
        <v>9050</v>
      </c>
      <c r="L2852" s="2">
        <v>101000</v>
      </c>
      <c r="M2852">
        <v>36</v>
      </c>
      <c r="N2852" s="3">
        <v>0.45100000000000001</v>
      </c>
      <c r="O2852" t="s">
        <v>17</v>
      </c>
      <c r="P2852" t="s">
        <v>60</v>
      </c>
      <c r="Q2852">
        <v>0</v>
      </c>
      <c r="R2852">
        <v>1</v>
      </c>
      <c r="S2852" s="2">
        <v>0</v>
      </c>
      <c r="T2852" s="4"/>
      <c r="U2852">
        <v>19</v>
      </c>
      <c r="V2852">
        <v>0</v>
      </c>
      <c r="W2852">
        <v>1</v>
      </c>
    </row>
    <row r="2853" spans="1:23" ht="16.5" x14ac:dyDescent="0.3">
      <c r="A2853" t="s">
        <v>2917</v>
      </c>
      <c r="B2853" s="1">
        <v>45713</v>
      </c>
      <c r="C2853">
        <v>2025</v>
      </c>
      <c r="D2853" t="s">
        <v>24</v>
      </c>
      <c r="E2853" t="s">
        <v>284</v>
      </c>
      <c r="F2853" t="s">
        <v>37</v>
      </c>
      <c r="G2853" t="s">
        <v>27</v>
      </c>
      <c r="H2853" t="s">
        <v>55</v>
      </c>
      <c r="I2853" t="s">
        <v>42</v>
      </c>
      <c r="J2853" t="s">
        <v>52</v>
      </c>
      <c r="K2853" s="2">
        <v>3700</v>
      </c>
      <c r="L2853" s="2">
        <v>11500</v>
      </c>
      <c r="M2853">
        <v>48</v>
      </c>
      <c r="N2853" s="3">
        <v>0.32300000000000001</v>
      </c>
      <c r="O2853" t="s">
        <v>16</v>
      </c>
      <c r="Q2853">
        <v>1</v>
      </c>
      <c r="R2853">
        <v>0</v>
      </c>
      <c r="S2853" s="2">
        <v>9000</v>
      </c>
      <c r="T2853" s="4">
        <v>0.1163</v>
      </c>
      <c r="U2853">
        <v>2</v>
      </c>
      <c r="V2853">
        <v>1</v>
      </c>
      <c r="W2853">
        <v>1</v>
      </c>
    </row>
    <row r="2854" spans="1:23" ht="16.5" x14ac:dyDescent="0.3">
      <c r="A2854" t="s">
        <v>2918</v>
      </c>
      <c r="B2854" s="1">
        <v>45713</v>
      </c>
      <c r="C2854">
        <v>2025</v>
      </c>
      <c r="D2854" t="s">
        <v>24</v>
      </c>
      <c r="E2854" t="s">
        <v>284</v>
      </c>
      <c r="F2854" t="s">
        <v>26</v>
      </c>
      <c r="G2854" t="s">
        <v>45</v>
      </c>
      <c r="H2854" t="s">
        <v>38</v>
      </c>
      <c r="I2854" t="s">
        <v>29</v>
      </c>
      <c r="J2854" t="s">
        <v>35</v>
      </c>
      <c r="K2854" s="2">
        <v>7200</v>
      </c>
      <c r="L2854" s="2">
        <v>64500</v>
      </c>
      <c r="M2854">
        <v>60</v>
      </c>
      <c r="N2854" s="3">
        <v>0.29199999999999998</v>
      </c>
      <c r="O2854" t="s">
        <v>16</v>
      </c>
      <c r="Q2854">
        <v>1</v>
      </c>
      <c r="R2854">
        <v>0</v>
      </c>
      <c r="S2854" s="2">
        <v>64500</v>
      </c>
      <c r="T2854" s="4">
        <v>7.6300000000000007E-2</v>
      </c>
      <c r="U2854">
        <v>3</v>
      </c>
      <c r="V2854">
        <v>1</v>
      </c>
      <c r="W2854">
        <v>1</v>
      </c>
    </row>
    <row r="2855" spans="1:23" ht="16.5" x14ac:dyDescent="0.3">
      <c r="A2855" t="s">
        <v>2919</v>
      </c>
      <c r="B2855" s="1">
        <v>45713</v>
      </c>
      <c r="C2855">
        <v>2025</v>
      </c>
      <c r="D2855" t="s">
        <v>24</v>
      </c>
      <c r="E2855" t="s">
        <v>284</v>
      </c>
      <c r="F2855" t="s">
        <v>26</v>
      </c>
      <c r="G2855" t="s">
        <v>51</v>
      </c>
      <c r="H2855" t="s">
        <v>34</v>
      </c>
      <c r="I2855" t="s">
        <v>39</v>
      </c>
      <c r="J2855" t="s">
        <v>43</v>
      </c>
      <c r="K2855" s="2">
        <v>5500</v>
      </c>
      <c r="L2855" s="2">
        <v>80500</v>
      </c>
      <c r="M2855">
        <v>36</v>
      </c>
      <c r="N2855" s="3">
        <v>0.66100000000000003</v>
      </c>
      <c r="O2855" t="s">
        <v>17</v>
      </c>
      <c r="P2855" t="s">
        <v>31</v>
      </c>
      <c r="Q2855">
        <v>0</v>
      </c>
      <c r="R2855">
        <v>1</v>
      </c>
      <c r="S2855" s="2">
        <v>0</v>
      </c>
      <c r="T2855" s="4"/>
      <c r="U2855">
        <v>10</v>
      </c>
      <c r="V2855">
        <v>0</v>
      </c>
      <c r="W2855">
        <v>1</v>
      </c>
    </row>
    <row r="2856" spans="1:23" ht="16.5" x14ac:dyDescent="0.3">
      <c r="A2856" t="s">
        <v>2920</v>
      </c>
      <c r="B2856" s="1">
        <v>45714</v>
      </c>
      <c r="C2856">
        <v>2025</v>
      </c>
      <c r="D2856" t="s">
        <v>24</v>
      </c>
      <c r="E2856" t="s">
        <v>284</v>
      </c>
      <c r="F2856" t="s">
        <v>41</v>
      </c>
      <c r="G2856" t="s">
        <v>45</v>
      </c>
      <c r="H2856" t="s">
        <v>34</v>
      </c>
      <c r="I2856" t="s">
        <v>39</v>
      </c>
      <c r="J2856" t="s">
        <v>35</v>
      </c>
      <c r="K2856" s="2">
        <v>5700</v>
      </c>
      <c r="L2856" s="2">
        <v>44000</v>
      </c>
      <c r="M2856">
        <v>24</v>
      </c>
      <c r="N2856" s="3">
        <v>0.52200000000000002</v>
      </c>
      <c r="O2856" t="s">
        <v>17</v>
      </c>
      <c r="P2856" t="s">
        <v>53</v>
      </c>
      <c r="Q2856">
        <v>0</v>
      </c>
      <c r="R2856">
        <v>1</v>
      </c>
      <c r="S2856" s="2">
        <v>0</v>
      </c>
      <c r="T2856" s="4"/>
      <c r="U2856">
        <v>4</v>
      </c>
      <c r="V2856">
        <v>1</v>
      </c>
      <c r="W2856">
        <v>1</v>
      </c>
    </row>
    <row r="2857" spans="1:23" ht="16.5" x14ac:dyDescent="0.3">
      <c r="A2857" t="s">
        <v>2921</v>
      </c>
      <c r="B2857" s="1">
        <v>45714</v>
      </c>
      <c r="C2857">
        <v>2025</v>
      </c>
      <c r="D2857" t="s">
        <v>24</v>
      </c>
      <c r="E2857" t="s">
        <v>284</v>
      </c>
      <c r="F2857" t="s">
        <v>37</v>
      </c>
      <c r="G2857" t="s">
        <v>33</v>
      </c>
      <c r="H2857" t="s">
        <v>64</v>
      </c>
      <c r="I2857" t="s">
        <v>29</v>
      </c>
      <c r="J2857" t="s">
        <v>52</v>
      </c>
      <c r="K2857" s="2">
        <v>13250</v>
      </c>
      <c r="L2857" s="2">
        <v>20500</v>
      </c>
      <c r="M2857">
        <v>12</v>
      </c>
      <c r="N2857" s="3">
        <v>0.312</v>
      </c>
      <c r="O2857" t="s">
        <v>17</v>
      </c>
      <c r="P2857" t="s">
        <v>60</v>
      </c>
      <c r="Q2857">
        <v>0</v>
      </c>
      <c r="R2857">
        <v>1</v>
      </c>
      <c r="S2857" s="2">
        <v>0</v>
      </c>
      <c r="T2857" s="4"/>
      <c r="U2857">
        <v>6</v>
      </c>
      <c r="V2857">
        <v>0</v>
      </c>
      <c r="W2857">
        <v>1</v>
      </c>
    </row>
    <row r="2858" spans="1:23" ht="16.5" x14ac:dyDescent="0.3">
      <c r="A2858" t="s">
        <v>2922</v>
      </c>
      <c r="B2858" s="1">
        <v>45714</v>
      </c>
      <c r="C2858">
        <v>2025</v>
      </c>
      <c r="D2858" t="s">
        <v>24</v>
      </c>
      <c r="E2858" t="s">
        <v>284</v>
      </c>
      <c r="F2858" t="s">
        <v>41</v>
      </c>
      <c r="G2858" t="s">
        <v>45</v>
      </c>
      <c r="H2858" t="s">
        <v>55</v>
      </c>
      <c r="I2858" t="s">
        <v>39</v>
      </c>
      <c r="J2858" t="s">
        <v>30</v>
      </c>
      <c r="K2858" s="2">
        <v>3050</v>
      </c>
      <c r="L2858" s="2">
        <v>93500</v>
      </c>
      <c r="M2858">
        <v>24</v>
      </c>
      <c r="N2858" s="3">
        <v>1.5</v>
      </c>
      <c r="O2858" t="s">
        <v>17</v>
      </c>
      <c r="P2858" t="s">
        <v>53</v>
      </c>
      <c r="Q2858">
        <v>0</v>
      </c>
      <c r="R2858">
        <v>1</v>
      </c>
      <c r="S2858" s="2">
        <v>0</v>
      </c>
      <c r="T2858" s="4"/>
      <c r="U2858">
        <v>5</v>
      </c>
      <c r="V2858">
        <v>1</v>
      </c>
      <c r="W2858">
        <v>1</v>
      </c>
    </row>
    <row r="2859" spans="1:23" ht="16.5" x14ac:dyDescent="0.3">
      <c r="A2859" t="s">
        <v>2923</v>
      </c>
      <c r="B2859" s="1">
        <v>45714</v>
      </c>
      <c r="C2859">
        <v>2025</v>
      </c>
      <c r="D2859" t="s">
        <v>24</v>
      </c>
      <c r="E2859" t="s">
        <v>284</v>
      </c>
      <c r="F2859" t="s">
        <v>37</v>
      </c>
      <c r="G2859" t="s">
        <v>33</v>
      </c>
      <c r="H2859" t="s">
        <v>55</v>
      </c>
      <c r="I2859" t="s">
        <v>29</v>
      </c>
      <c r="J2859" t="s">
        <v>43</v>
      </c>
      <c r="K2859" s="2">
        <v>7200</v>
      </c>
      <c r="L2859" s="2">
        <v>21000</v>
      </c>
      <c r="M2859">
        <v>24</v>
      </c>
      <c r="N2859" s="3">
        <v>0.30599999999999999</v>
      </c>
      <c r="O2859" t="s">
        <v>125</v>
      </c>
      <c r="Q2859">
        <v>0</v>
      </c>
      <c r="R2859">
        <v>0</v>
      </c>
      <c r="S2859" s="2">
        <v>0</v>
      </c>
      <c r="T2859" s="4"/>
      <c r="U2859">
        <v>2</v>
      </c>
      <c r="V2859">
        <v>1</v>
      </c>
      <c r="W2859">
        <v>1</v>
      </c>
    </row>
    <row r="2860" spans="1:23" ht="16.5" x14ac:dyDescent="0.3">
      <c r="A2860" t="s">
        <v>2924</v>
      </c>
      <c r="B2860" s="1">
        <v>45714</v>
      </c>
      <c r="C2860">
        <v>2025</v>
      </c>
      <c r="D2860" t="s">
        <v>24</v>
      </c>
      <c r="E2860" t="s">
        <v>284</v>
      </c>
      <c r="F2860" t="s">
        <v>37</v>
      </c>
      <c r="G2860" t="s">
        <v>33</v>
      </c>
      <c r="H2860" t="s">
        <v>34</v>
      </c>
      <c r="I2860" t="s">
        <v>29</v>
      </c>
      <c r="J2860" t="s">
        <v>35</v>
      </c>
      <c r="K2860" s="2">
        <v>3900</v>
      </c>
      <c r="L2860" s="2">
        <v>12000</v>
      </c>
      <c r="M2860">
        <v>12</v>
      </c>
      <c r="N2860" s="3">
        <v>0.52100000000000002</v>
      </c>
      <c r="O2860" t="s">
        <v>17</v>
      </c>
      <c r="P2860" t="s">
        <v>53</v>
      </c>
      <c r="Q2860">
        <v>0</v>
      </c>
      <c r="R2860">
        <v>1</v>
      </c>
      <c r="S2860" s="2">
        <v>0</v>
      </c>
      <c r="T2860" s="4"/>
      <c r="U2860">
        <v>1</v>
      </c>
      <c r="V2860">
        <v>1</v>
      </c>
      <c r="W2860">
        <v>1</v>
      </c>
    </row>
    <row r="2861" spans="1:23" ht="16.5" x14ac:dyDescent="0.3">
      <c r="A2861" t="s">
        <v>2925</v>
      </c>
      <c r="B2861" s="1">
        <v>45715</v>
      </c>
      <c r="C2861">
        <v>2025</v>
      </c>
      <c r="D2861" t="s">
        <v>24</v>
      </c>
      <c r="E2861" t="s">
        <v>284</v>
      </c>
      <c r="F2861" t="s">
        <v>50</v>
      </c>
      <c r="G2861" t="s">
        <v>51</v>
      </c>
      <c r="H2861" t="s">
        <v>55</v>
      </c>
      <c r="I2861" t="s">
        <v>29</v>
      </c>
      <c r="J2861" t="s">
        <v>35</v>
      </c>
      <c r="K2861" s="2">
        <v>7500</v>
      </c>
      <c r="L2861" s="2">
        <v>357000</v>
      </c>
      <c r="M2861">
        <v>240</v>
      </c>
      <c r="N2861" s="3">
        <v>0.39700000000000002</v>
      </c>
      <c r="O2861" t="s">
        <v>16</v>
      </c>
      <c r="Q2861">
        <v>1</v>
      </c>
      <c r="R2861">
        <v>0</v>
      </c>
      <c r="S2861" s="2">
        <v>357000</v>
      </c>
      <c r="T2861" s="4">
        <v>5.6899999999999999E-2</v>
      </c>
      <c r="U2861">
        <v>17</v>
      </c>
      <c r="V2861">
        <v>0</v>
      </c>
      <c r="W2861">
        <v>1</v>
      </c>
    </row>
    <row r="2862" spans="1:23" ht="16.5" x14ac:dyDescent="0.3">
      <c r="A2862" t="s">
        <v>2926</v>
      </c>
      <c r="B2862" s="1">
        <v>45715</v>
      </c>
      <c r="C2862">
        <v>2025</v>
      </c>
      <c r="D2862" t="s">
        <v>24</v>
      </c>
      <c r="E2862" t="s">
        <v>284</v>
      </c>
      <c r="F2862" t="s">
        <v>37</v>
      </c>
      <c r="G2862" t="s">
        <v>51</v>
      </c>
      <c r="H2862" t="s">
        <v>55</v>
      </c>
      <c r="I2862" t="s">
        <v>29</v>
      </c>
      <c r="J2862" t="s">
        <v>30</v>
      </c>
      <c r="K2862" s="2">
        <v>7300</v>
      </c>
      <c r="L2862" s="2">
        <v>11000</v>
      </c>
      <c r="M2862">
        <v>36</v>
      </c>
      <c r="N2862" s="3">
        <v>0.157</v>
      </c>
      <c r="O2862" t="s">
        <v>16</v>
      </c>
      <c r="Q2862">
        <v>1</v>
      </c>
      <c r="R2862">
        <v>0</v>
      </c>
      <c r="S2862" s="2">
        <v>11000</v>
      </c>
      <c r="T2862" s="4">
        <v>0.13880000000000001</v>
      </c>
      <c r="U2862">
        <v>7</v>
      </c>
      <c r="V2862">
        <v>0</v>
      </c>
      <c r="W2862">
        <v>1</v>
      </c>
    </row>
    <row r="2863" spans="1:23" ht="16.5" x14ac:dyDescent="0.3">
      <c r="A2863" t="s">
        <v>2927</v>
      </c>
      <c r="B2863" s="1">
        <v>45715</v>
      </c>
      <c r="C2863">
        <v>2025</v>
      </c>
      <c r="D2863" t="s">
        <v>24</v>
      </c>
      <c r="E2863" t="s">
        <v>284</v>
      </c>
      <c r="F2863" t="s">
        <v>26</v>
      </c>
      <c r="G2863" t="s">
        <v>45</v>
      </c>
      <c r="H2863" t="s">
        <v>38</v>
      </c>
      <c r="I2863" t="s">
        <v>42</v>
      </c>
      <c r="J2863" t="s">
        <v>35</v>
      </c>
      <c r="K2863" s="2">
        <v>6200</v>
      </c>
      <c r="L2863" s="2">
        <v>33500</v>
      </c>
      <c r="M2863">
        <v>60</v>
      </c>
      <c r="N2863" s="3">
        <v>0.28999999999999998</v>
      </c>
      <c r="O2863" t="s">
        <v>16</v>
      </c>
      <c r="Q2863">
        <v>1</v>
      </c>
      <c r="R2863">
        <v>0</v>
      </c>
      <c r="S2863" s="2">
        <v>27000</v>
      </c>
      <c r="T2863" s="4">
        <v>8.7499999999999994E-2</v>
      </c>
      <c r="U2863">
        <v>2</v>
      </c>
      <c r="V2863">
        <v>1</v>
      </c>
      <c r="W2863">
        <v>1</v>
      </c>
    </row>
    <row r="2864" spans="1:23" ht="16.5" x14ac:dyDescent="0.3">
      <c r="A2864" t="s">
        <v>2928</v>
      </c>
      <c r="B2864" s="1">
        <v>45715</v>
      </c>
      <c r="C2864">
        <v>2025</v>
      </c>
      <c r="D2864" t="s">
        <v>24</v>
      </c>
      <c r="E2864" t="s">
        <v>284</v>
      </c>
      <c r="F2864" t="s">
        <v>37</v>
      </c>
      <c r="G2864" t="s">
        <v>33</v>
      </c>
      <c r="H2864" t="s">
        <v>34</v>
      </c>
      <c r="I2864" t="s">
        <v>29</v>
      </c>
      <c r="J2864" t="s">
        <v>52</v>
      </c>
      <c r="K2864" s="2">
        <v>4700</v>
      </c>
      <c r="L2864" s="2">
        <v>10500</v>
      </c>
      <c r="M2864">
        <v>12</v>
      </c>
      <c r="N2864" s="3">
        <v>0.26700000000000002</v>
      </c>
      <c r="O2864" t="s">
        <v>16</v>
      </c>
      <c r="Q2864">
        <v>1</v>
      </c>
      <c r="R2864">
        <v>0</v>
      </c>
      <c r="S2864" s="2">
        <v>10500</v>
      </c>
      <c r="T2864" s="4">
        <v>0.1148</v>
      </c>
      <c r="U2864">
        <v>3</v>
      </c>
      <c r="V2864">
        <v>1</v>
      </c>
      <c r="W2864">
        <v>1</v>
      </c>
    </row>
    <row r="2865" spans="1:23" ht="16.5" x14ac:dyDescent="0.3">
      <c r="A2865" t="s">
        <v>2929</v>
      </c>
      <c r="B2865" s="1">
        <v>45715</v>
      </c>
      <c r="C2865">
        <v>2025</v>
      </c>
      <c r="D2865" t="s">
        <v>24</v>
      </c>
      <c r="E2865" t="s">
        <v>284</v>
      </c>
      <c r="F2865" t="s">
        <v>37</v>
      </c>
      <c r="G2865" t="s">
        <v>33</v>
      </c>
      <c r="H2865" t="s">
        <v>55</v>
      </c>
      <c r="I2865" t="s">
        <v>29</v>
      </c>
      <c r="J2865" t="s">
        <v>52</v>
      </c>
      <c r="K2865" s="2">
        <v>5100</v>
      </c>
      <c r="L2865" s="2">
        <v>7000</v>
      </c>
      <c r="M2865">
        <v>12</v>
      </c>
      <c r="N2865" s="3">
        <v>0.28100000000000003</v>
      </c>
      <c r="O2865" t="s">
        <v>16</v>
      </c>
      <c r="Q2865">
        <v>1</v>
      </c>
      <c r="R2865">
        <v>0</v>
      </c>
      <c r="S2865" s="2">
        <v>6500</v>
      </c>
      <c r="T2865" s="4">
        <v>0.11119999999999999</v>
      </c>
      <c r="U2865">
        <v>2</v>
      </c>
      <c r="V2865">
        <v>1</v>
      </c>
      <c r="W2865">
        <v>1</v>
      </c>
    </row>
    <row r="2866" spans="1:23" ht="16.5" x14ac:dyDescent="0.3">
      <c r="A2866" t="s">
        <v>2930</v>
      </c>
      <c r="B2866" s="1">
        <v>45715</v>
      </c>
      <c r="C2866">
        <v>2025</v>
      </c>
      <c r="D2866" t="s">
        <v>24</v>
      </c>
      <c r="E2866" t="s">
        <v>284</v>
      </c>
      <c r="F2866" t="s">
        <v>37</v>
      </c>
      <c r="G2866" t="s">
        <v>45</v>
      </c>
      <c r="H2866" t="s">
        <v>55</v>
      </c>
      <c r="I2866" t="s">
        <v>42</v>
      </c>
      <c r="J2866" t="s">
        <v>52</v>
      </c>
      <c r="K2866" s="2">
        <v>8750</v>
      </c>
      <c r="L2866" s="2">
        <v>7500</v>
      </c>
      <c r="M2866">
        <v>12</v>
      </c>
      <c r="N2866" s="3">
        <v>0.27500000000000002</v>
      </c>
      <c r="O2866" t="s">
        <v>16</v>
      </c>
      <c r="Q2866">
        <v>1</v>
      </c>
      <c r="R2866">
        <v>0</v>
      </c>
      <c r="S2866" s="2">
        <v>7500</v>
      </c>
      <c r="T2866" s="4">
        <v>0.1202</v>
      </c>
      <c r="U2866">
        <v>1</v>
      </c>
      <c r="V2866">
        <v>1</v>
      </c>
      <c r="W2866">
        <v>1</v>
      </c>
    </row>
    <row r="2867" spans="1:23" ht="16.5" x14ac:dyDescent="0.3">
      <c r="A2867" t="s">
        <v>2931</v>
      </c>
      <c r="B2867" s="1">
        <v>45716</v>
      </c>
      <c r="C2867">
        <v>2025</v>
      </c>
      <c r="D2867" t="s">
        <v>24</v>
      </c>
      <c r="E2867" t="s">
        <v>284</v>
      </c>
      <c r="F2867" t="s">
        <v>37</v>
      </c>
      <c r="G2867" t="s">
        <v>45</v>
      </c>
      <c r="H2867" t="s">
        <v>38</v>
      </c>
      <c r="I2867" t="s">
        <v>42</v>
      </c>
      <c r="J2867" t="s">
        <v>52</v>
      </c>
      <c r="K2867" s="2">
        <v>9150</v>
      </c>
      <c r="L2867" s="2">
        <v>5000</v>
      </c>
      <c r="M2867">
        <v>12</v>
      </c>
      <c r="N2867" s="3">
        <v>0.21099999999999999</v>
      </c>
      <c r="O2867" t="s">
        <v>16</v>
      </c>
      <c r="Q2867">
        <v>1</v>
      </c>
      <c r="R2867">
        <v>0</v>
      </c>
      <c r="S2867" s="2">
        <v>4500</v>
      </c>
      <c r="T2867" s="4">
        <v>0.1158</v>
      </c>
      <c r="U2867">
        <v>3</v>
      </c>
      <c r="V2867">
        <v>1</v>
      </c>
      <c r="W2867">
        <v>1</v>
      </c>
    </row>
    <row r="2868" spans="1:23" ht="16.5" x14ac:dyDescent="0.3">
      <c r="A2868" t="s">
        <v>2932</v>
      </c>
      <c r="B2868" s="1">
        <v>45716</v>
      </c>
      <c r="C2868">
        <v>2025</v>
      </c>
      <c r="D2868" t="s">
        <v>24</v>
      </c>
      <c r="E2868" t="s">
        <v>284</v>
      </c>
      <c r="F2868" t="s">
        <v>37</v>
      </c>
      <c r="G2868" t="s">
        <v>45</v>
      </c>
      <c r="H2868" t="s">
        <v>28</v>
      </c>
      <c r="I2868" t="s">
        <v>42</v>
      </c>
      <c r="J2868" t="s">
        <v>30</v>
      </c>
      <c r="K2868" s="2">
        <v>7700</v>
      </c>
      <c r="L2868" s="2">
        <v>7500</v>
      </c>
      <c r="M2868">
        <v>24</v>
      </c>
      <c r="N2868" s="3">
        <v>0.14199999999999999</v>
      </c>
      <c r="O2868" t="s">
        <v>16</v>
      </c>
      <c r="Q2868">
        <v>1</v>
      </c>
      <c r="R2868">
        <v>0</v>
      </c>
      <c r="S2868" s="2">
        <v>6000</v>
      </c>
      <c r="T2868" s="4">
        <v>0.1424</v>
      </c>
      <c r="U2868">
        <v>3</v>
      </c>
      <c r="V2868">
        <v>1</v>
      </c>
      <c r="W2868">
        <v>1</v>
      </c>
    </row>
    <row r="2869" spans="1:23" ht="16.5" x14ac:dyDescent="0.3">
      <c r="A2869" t="s">
        <v>2933</v>
      </c>
      <c r="B2869" s="1">
        <v>45716</v>
      </c>
      <c r="C2869">
        <v>2025</v>
      </c>
      <c r="D2869" t="s">
        <v>24</v>
      </c>
      <c r="E2869" t="s">
        <v>284</v>
      </c>
      <c r="F2869" t="s">
        <v>37</v>
      </c>
      <c r="G2869" t="s">
        <v>45</v>
      </c>
      <c r="H2869" t="s">
        <v>55</v>
      </c>
      <c r="I2869" t="s">
        <v>29</v>
      </c>
      <c r="J2869" t="s">
        <v>52</v>
      </c>
      <c r="K2869" s="2">
        <v>5050</v>
      </c>
      <c r="L2869" s="2">
        <v>15500</v>
      </c>
      <c r="M2869">
        <v>36</v>
      </c>
      <c r="N2869" s="3">
        <v>0.246</v>
      </c>
      <c r="O2869" t="s">
        <v>16</v>
      </c>
      <c r="Q2869">
        <v>1</v>
      </c>
      <c r="R2869">
        <v>0</v>
      </c>
      <c r="S2869" s="2">
        <v>14000</v>
      </c>
      <c r="T2869" s="4">
        <v>0.1171</v>
      </c>
      <c r="U2869">
        <v>1</v>
      </c>
      <c r="V2869">
        <v>1</v>
      </c>
      <c r="W2869">
        <v>1</v>
      </c>
    </row>
    <row r="2870" spans="1:23" ht="16.5" x14ac:dyDescent="0.3">
      <c r="A2870" t="s">
        <v>2934</v>
      </c>
      <c r="B2870" s="1">
        <v>45716</v>
      </c>
      <c r="C2870">
        <v>2025</v>
      </c>
      <c r="D2870" t="s">
        <v>24</v>
      </c>
      <c r="E2870" t="s">
        <v>284</v>
      </c>
      <c r="F2870" t="s">
        <v>26</v>
      </c>
      <c r="G2870" t="s">
        <v>51</v>
      </c>
      <c r="H2870" t="s">
        <v>38</v>
      </c>
      <c r="I2870" t="s">
        <v>29</v>
      </c>
      <c r="J2870" t="s">
        <v>35</v>
      </c>
      <c r="K2870" s="2">
        <v>7950</v>
      </c>
      <c r="L2870" s="2">
        <v>22000</v>
      </c>
      <c r="M2870">
        <v>48</v>
      </c>
      <c r="N2870" s="3">
        <v>0.28399999999999997</v>
      </c>
      <c r="O2870" t="s">
        <v>16</v>
      </c>
      <c r="Q2870">
        <v>1</v>
      </c>
      <c r="R2870">
        <v>0</v>
      </c>
      <c r="S2870" s="2">
        <v>22000</v>
      </c>
      <c r="T2870" s="4">
        <v>8.2400000000000001E-2</v>
      </c>
      <c r="U2870">
        <v>4</v>
      </c>
      <c r="V2870">
        <v>1</v>
      </c>
      <c r="W2870">
        <v>1</v>
      </c>
    </row>
    <row r="2871" spans="1:23" ht="16.5" x14ac:dyDescent="0.3">
      <c r="A2871" t="s">
        <v>2935</v>
      </c>
      <c r="B2871" s="1">
        <v>45716</v>
      </c>
      <c r="C2871">
        <v>2025</v>
      </c>
      <c r="D2871" t="s">
        <v>24</v>
      </c>
      <c r="E2871" t="s">
        <v>284</v>
      </c>
      <c r="F2871" t="s">
        <v>50</v>
      </c>
      <c r="G2871" t="s">
        <v>33</v>
      </c>
      <c r="H2871" t="s">
        <v>34</v>
      </c>
      <c r="I2871" t="s">
        <v>29</v>
      </c>
      <c r="J2871" t="s">
        <v>30</v>
      </c>
      <c r="K2871" s="2">
        <v>11150</v>
      </c>
      <c r="L2871" s="2">
        <v>435000</v>
      </c>
      <c r="M2871">
        <v>240</v>
      </c>
      <c r="N2871" s="3">
        <v>0.40699999999999997</v>
      </c>
      <c r="O2871" t="s">
        <v>16</v>
      </c>
      <c r="Q2871">
        <v>1</v>
      </c>
      <c r="R2871">
        <v>0</v>
      </c>
      <c r="S2871" s="2">
        <v>435000</v>
      </c>
      <c r="T2871" s="4">
        <v>7.0999999999999994E-2</v>
      </c>
      <c r="U2871">
        <v>8</v>
      </c>
      <c r="V2871">
        <v>1</v>
      </c>
      <c r="W2871">
        <v>1</v>
      </c>
    </row>
    <row r="2872" spans="1:23" ht="16.5" x14ac:dyDescent="0.3">
      <c r="A2872" t="s">
        <v>2936</v>
      </c>
      <c r="B2872" s="1">
        <v>45716</v>
      </c>
      <c r="C2872">
        <v>2025</v>
      </c>
      <c r="D2872" t="s">
        <v>24</v>
      </c>
      <c r="E2872" t="s">
        <v>284</v>
      </c>
      <c r="F2872" t="s">
        <v>26</v>
      </c>
      <c r="G2872" t="s">
        <v>45</v>
      </c>
      <c r="H2872" t="s">
        <v>38</v>
      </c>
      <c r="I2872" t="s">
        <v>39</v>
      </c>
      <c r="J2872" t="s">
        <v>52</v>
      </c>
      <c r="K2872" s="2">
        <v>4500</v>
      </c>
      <c r="L2872" s="2">
        <v>5500</v>
      </c>
      <c r="M2872">
        <v>48</v>
      </c>
      <c r="N2872" s="3">
        <v>0.218</v>
      </c>
      <c r="O2872" t="s">
        <v>16</v>
      </c>
      <c r="Q2872">
        <v>1</v>
      </c>
      <c r="R2872">
        <v>0</v>
      </c>
      <c r="S2872" s="2">
        <v>5500</v>
      </c>
      <c r="T2872" s="4">
        <v>7.0800000000000002E-2</v>
      </c>
      <c r="U2872">
        <v>3</v>
      </c>
      <c r="V2872">
        <v>1</v>
      </c>
      <c r="W2872">
        <v>1</v>
      </c>
    </row>
    <row r="2873" spans="1:23" ht="16.5" x14ac:dyDescent="0.3">
      <c r="A2873" t="s">
        <v>2937</v>
      </c>
      <c r="B2873" s="1">
        <v>45716</v>
      </c>
      <c r="C2873">
        <v>2025</v>
      </c>
      <c r="D2873" t="s">
        <v>24</v>
      </c>
      <c r="E2873" t="s">
        <v>284</v>
      </c>
      <c r="F2873" t="s">
        <v>50</v>
      </c>
      <c r="G2873" t="s">
        <v>51</v>
      </c>
      <c r="H2873" t="s">
        <v>38</v>
      </c>
      <c r="I2873" t="s">
        <v>29</v>
      </c>
      <c r="J2873" t="s">
        <v>30</v>
      </c>
      <c r="K2873" s="2">
        <v>5350</v>
      </c>
      <c r="L2873" s="2">
        <v>198500</v>
      </c>
      <c r="M2873">
        <v>300</v>
      </c>
      <c r="N2873" s="3">
        <v>0.34799999999999998</v>
      </c>
      <c r="O2873" t="s">
        <v>16</v>
      </c>
      <c r="Q2873">
        <v>1</v>
      </c>
      <c r="R2873">
        <v>0</v>
      </c>
      <c r="S2873" s="2">
        <v>198500</v>
      </c>
      <c r="T2873" s="4">
        <v>7.2400000000000006E-2</v>
      </c>
      <c r="U2873">
        <v>14</v>
      </c>
      <c r="V2873">
        <v>1</v>
      </c>
      <c r="W2873">
        <v>1</v>
      </c>
    </row>
    <row r="2874" spans="1:23" ht="16.5" x14ac:dyDescent="0.3">
      <c r="A2874" t="s">
        <v>2938</v>
      </c>
      <c r="B2874" s="1">
        <v>45717</v>
      </c>
      <c r="C2874">
        <v>2025</v>
      </c>
      <c r="D2874" t="s">
        <v>24</v>
      </c>
      <c r="E2874" t="s">
        <v>460</v>
      </c>
      <c r="F2874" t="s">
        <v>50</v>
      </c>
      <c r="G2874" t="s">
        <v>51</v>
      </c>
      <c r="H2874" t="s">
        <v>38</v>
      </c>
      <c r="I2874" t="s">
        <v>29</v>
      </c>
      <c r="J2874" t="s">
        <v>52</v>
      </c>
      <c r="K2874" s="2">
        <v>4500</v>
      </c>
      <c r="L2874" s="2">
        <v>437500</v>
      </c>
      <c r="M2874">
        <v>300</v>
      </c>
      <c r="N2874" s="3">
        <v>0.62</v>
      </c>
      <c r="O2874" t="s">
        <v>16</v>
      </c>
      <c r="Q2874">
        <v>1</v>
      </c>
      <c r="R2874">
        <v>0</v>
      </c>
      <c r="S2874" s="2">
        <v>437500</v>
      </c>
      <c r="T2874" s="4">
        <v>5.0599999999999999E-2</v>
      </c>
      <c r="U2874">
        <v>22</v>
      </c>
      <c r="V2874">
        <v>0</v>
      </c>
      <c r="W2874">
        <v>1</v>
      </c>
    </row>
    <row r="2875" spans="1:23" ht="16.5" x14ac:dyDescent="0.3">
      <c r="A2875" t="s">
        <v>2939</v>
      </c>
      <c r="B2875" s="1">
        <v>45717</v>
      </c>
      <c r="C2875">
        <v>2025</v>
      </c>
      <c r="D2875" t="s">
        <v>24</v>
      </c>
      <c r="E2875" t="s">
        <v>460</v>
      </c>
      <c r="F2875" t="s">
        <v>26</v>
      </c>
      <c r="G2875" t="s">
        <v>45</v>
      </c>
      <c r="H2875" t="s">
        <v>64</v>
      </c>
      <c r="I2875" t="s">
        <v>39</v>
      </c>
      <c r="J2875" t="s">
        <v>35</v>
      </c>
      <c r="K2875" s="2">
        <v>9650</v>
      </c>
      <c r="L2875" s="2">
        <v>29000</v>
      </c>
      <c r="M2875">
        <v>36</v>
      </c>
      <c r="N2875" s="3">
        <v>0.33100000000000002</v>
      </c>
      <c r="O2875" t="s">
        <v>16</v>
      </c>
      <c r="Q2875">
        <v>1</v>
      </c>
      <c r="R2875">
        <v>0</v>
      </c>
      <c r="S2875" s="2">
        <v>29000</v>
      </c>
      <c r="T2875" s="4">
        <v>7.7600000000000002E-2</v>
      </c>
      <c r="U2875">
        <v>3</v>
      </c>
      <c r="V2875">
        <v>1</v>
      </c>
      <c r="W2875">
        <v>1</v>
      </c>
    </row>
    <row r="2876" spans="1:23" ht="16.5" x14ac:dyDescent="0.3">
      <c r="A2876" t="s">
        <v>2940</v>
      </c>
      <c r="B2876" s="1">
        <v>45717</v>
      </c>
      <c r="C2876">
        <v>2025</v>
      </c>
      <c r="D2876" t="s">
        <v>24</v>
      </c>
      <c r="E2876" t="s">
        <v>460</v>
      </c>
      <c r="F2876" t="s">
        <v>41</v>
      </c>
      <c r="G2876" t="s">
        <v>51</v>
      </c>
      <c r="H2876" t="s">
        <v>28</v>
      </c>
      <c r="I2876" t="s">
        <v>39</v>
      </c>
      <c r="J2876" t="s">
        <v>30</v>
      </c>
      <c r="K2876" s="2">
        <v>8900</v>
      </c>
      <c r="L2876" s="2">
        <v>103000</v>
      </c>
      <c r="M2876">
        <v>60</v>
      </c>
      <c r="N2876" s="3">
        <v>0.39500000000000002</v>
      </c>
      <c r="O2876" t="s">
        <v>125</v>
      </c>
      <c r="Q2876">
        <v>0</v>
      </c>
      <c r="R2876">
        <v>0</v>
      </c>
      <c r="S2876" s="2">
        <v>0</v>
      </c>
      <c r="T2876" s="4"/>
      <c r="U2876">
        <v>12</v>
      </c>
      <c r="V2876">
        <v>0</v>
      </c>
      <c r="W2876">
        <v>1</v>
      </c>
    </row>
    <row r="2877" spans="1:23" ht="16.5" x14ac:dyDescent="0.3">
      <c r="A2877" t="s">
        <v>2941</v>
      </c>
      <c r="B2877" s="1">
        <v>45717</v>
      </c>
      <c r="C2877">
        <v>2025</v>
      </c>
      <c r="D2877" t="s">
        <v>24</v>
      </c>
      <c r="E2877" t="s">
        <v>460</v>
      </c>
      <c r="F2877" t="s">
        <v>26</v>
      </c>
      <c r="G2877" t="s">
        <v>27</v>
      </c>
      <c r="H2877" t="s">
        <v>38</v>
      </c>
      <c r="I2877" t="s">
        <v>29</v>
      </c>
      <c r="J2877" t="s">
        <v>35</v>
      </c>
      <c r="K2877" s="2">
        <v>3650</v>
      </c>
      <c r="L2877" s="2">
        <v>27000</v>
      </c>
      <c r="M2877">
        <v>36</v>
      </c>
      <c r="N2877" s="3">
        <v>0.33100000000000002</v>
      </c>
      <c r="O2877" t="s">
        <v>16</v>
      </c>
      <c r="Q2877">
        <v>1</v>
      </c>
      <c r="R2877">
        <v>0</v>
      </c>
      <c r="S2877" s="2">
        <v>27000</v>
      </c>
      <c r="T2877" s="4">
        <v>8.6699999999999999E-2</v>
      </c>
      <c r="U2877">
        <v>7</v>
      </c>
      <c r="V2877">
        <v>0</v>
      </c>
      <c r="W2877">
        <v>1</v>
      </c>
    </row>
    <row r="2878" spans="1:23" ht="16.5" x14ac:dyDescent="0.3">
      <c r="A2878" t="s">
        <v>2942</v>
      </c>
      <c r="B2878" s="1">
        <v>45717</v>
      </c>
      <c r="C2878">
        <v>2025</v>
      </c>
      <c r="D2878" t="s">
        <v>24</v>
      </c>
      <c r="E2878" t="s">
        <v>460</v>
      </c>
      <c r="F2878" t="s">
        <v>26</v>
      </c>
      <c r="G2878" t="s">
        <v>45</v>
      </c>
      <c r="H2878" t="s">
        <v>55</v>
      </c>
      <c r="I2878" t="s">
        <v>29</v>
      </c>
      <c r="J2878" t="s">
        <v>35</v>
      </c>
      <c r="K2878" s="2">
        <v>7150</v>
      </c>
      <c r="L2878" s="2">
        <v>20000</v>
      </c>
      <c r="M2878">
        <v>36</v>
      </c>
      <c r="N2878" s="3">
        <v>0.2</v>
      </c>
      <c r="O2878" t="s">
        <v>16</v>
      </c>
      <c r="Q2878">
        <v>1</v>
      </c>
      <c r="R2878">
        <v>0</v>
      </c>
      <c r="S2878" s="2">
        <v>20000</v>
      </c>
      <c r="T2878" s="4">
        <v>8.3599999999999994E-2</v>
      </c>
      <c r="U2878">
        <v>2</v>
      </c>
      <c r="V2878">
        <v>1</v>
      </c>
      <c r="W2878">
        <v>1</v>
      </c>
    </row>
    <row r="2879" spans="1:23" ht="16.5" x14ac:dyDescent="0.3">
      <c r="A2879" t="s">
        <v>2943</v>
      </c>
      <c r="B2879" s="1">
        <v>45717</v>
      </c>
      <c r="C2879">
        <v>2025</v>
      </c>
      <c r="D2879" t="s">
        <v>24</v>
      </c>
      <c r="E2879" t="s">
        <v>460</v>
      </c>
      <c r="F2879" t="s">
        <v>37</v>
      </c>
      <c r="G2879" t="s">
        <v>51</v>
      </c>
      <c r="H2879" t="s">
        <v>64</v>
      </c>
      <c r="I2879" t="s">
        <v>42</v>
      </c>
      <c r="J2879" t="s">
        <v>46</v>
      </c>
      <c r="K2879" s="2">
        <v>7400</v>
      </c>
      <c r="L2879" s="2">
        <v>12500</v>
      </c>
      <c r="M2879">
        <v>60</v>
      </c>
      <c r="N2879" s="3">
        <v>9.9000000000000005E-2</v>
      </c>
      <c r="O2879" t="s">
        <v>16</v>
      </c>
      <c r="Q2879">
        <v>1</v>
      </c>
      <c r="R2879">
        <v>0</v>
      </c>
      <c r="S2879" s="2">
        <v>10000</v>
      </c>
      <c r="T2879" s="4">
        <v>0.10390000000000001</v>
      </c>
      <c r="U2879">
        <v>7</v>
      </c>
      <c r="V2879">
        <v>0</v>
      </c>
      <c r="W2879">
        <v>1</v>
      </c>
    </row>
    <row r="2880" spans="1:23" ht="16.5" x14ac:dyDescent="0.3">
      <c r="A2880" t="s">
        <v>2944</v>
      </c>
      <c r="B2880" s="1">
        <v>45717</v>
      </c>
      <c r="C2880">
        <v>2025</v>
      </c>
      <c r="D2880" t="s">
        <v>24</v>
      </c>
      <c r="E2880" t="s">
        <v>460</v>
      </c>
      <c r="F2880" t="s">
        <v>37</v>
      </c>
      <c r="G2880" t="s">
        <v>27</v>
      </c>
      <c r="H2880" t="s">
        <v>38</v>
      </c>
      <c r="I2880" t="s">
        <v>29</v>
      </c>
      <c r="J2880" t="s">
        <v>30</v>
      </c>
      <c r="K2880" s="2">
        <v>4550</v>
      </c>
      <c r="L2880" s="2">
        <v>17000</v>
      </c>
      <c r="M2880">
        <v>48</v>
      </c>
      <c r="N2880" s="3">
        <v>0.18099999999999999</v>
      </c>
      <c r="O2880" t="s">
        <v>17</v>
      </c>
      <c r="P2880" t="s">
        <v>60</v>
      </c>
      <c r="Q2880">
        <v>0</v>
      </c>
      <c r="R2880">
        <v>1</v>
      </c>
      <c r="S2880" s="2">
        <v>0</v>
      </c>
      <c r="T2880" s="4"/>
      <c r="U2880">
        <v>7</v>
      </c>
      <c r="V2880">
        <v>0</v>
      </c>
      <c r="W2880">
        <v>1</v>
      </c>
    </row>
    <row r="2881" spans="1:23" ht="16.5" x14ac:dyDescent="0.3">
      <c r="A2881" t="s">
        <v>2945</v>
      </c>
      <c r="B2881" s="1">
        <v>45718</v>
      </c>
      <c r="C2881">
        <v>2025</v>
      </c>
      <c r="D2881" t="s">
        <v>24</v>
      </c>
      <c r="E2881" t="s">
        <v>460</v>
      </c>
      <c r="F2881" t="s">
        <v>26</v>
      </c>
      <c r="G2881" t="s">
        <v>27</v>
      </c>
      <c r="H2881" t="s">
        <v>34</v>
      </c>
      <c r="I2881" t="s">
        <v>29</v>
      </c>
      <c r="J2881" t="s">
        <v>30</v>
      </c>
      <c r="K2881" s="2">
        <v>5250</v>
      </c>
      <c r="L2881" s="2">
        <v>31500</v>
      </c>
      <c r="M2881">
        <v>36</v>
      </c>
      <c r="N2881" s="3">
        <v>0.28699999999999998</v>
      </c>
      <c r="O2881" t="s">
        <v>16</v>
      </c>
      <c r="Q2881">
        <v>1</v>
      </c>
      <c r="R2881">
        <v>0</v>
      </c>
      <c r="S2881" s="2">
        <v>28500</v>
      </c>
      <c r="T2881" s="4">
        <v>0.10249999999999999</v>
      </c>
      <c r="U2881">
        <v>3</v>
      </c>
      <c r="V2881">
        <v>1</v>
      </c>
      <c r="W2881">
        <v>1</v>
      </c>
    </row>
    <row r="2882" spans="1:23" ht="16.5" x14ac:dyDescent="0.3">
      <c r="A2882" t="s">
        <v>2946</v>
      </c>
      <c r="B2882" s="1">
        <v>45718</v>
      </c>
      <c r="C2882">
        <v>2025</v>
      </c>
      <c r="D2882" t="s">
        <v>24</v>
      </c>
      <c r="E2882" t="s">
        <v>460</v>
      </c>
      <c r="F2882" t="s">
        <v>37</v>
      </c>
      <c r="G2882" t="s">
        <v>45</v>
      </c>
      <c r="H2882" t="s">
        <v>64</v>
      </c>
      <c r="I2882" t="s">
        <v>29</v>
      </c>
      <c r="J2882" t="s">
        <v>43</v>
      </c>
      <c r="K2882" s="2">
        <v>3550</v>
      </c>
      <c r="L2882" s="2">
        <v>17500</v>
      </c>
      <c r="M2882">
        <v>12</v>
      </c>
      <c r="N2882" s="3">
        <v>0.66600000000000004</v>
      </c>
      <c r="O2882" t="s">
        <v>17</v>
      </c>
      <c r="P2882" t="s">
        <v>31</v>
      </c>
      <c r="Q2882">
        <v>0</v>
      </c>
      <c r="R2882">
        <v>1</v>
      </c>
      <c r="S2882" s="2">
        <v>0</v>
      </c>
      <c r="T2882" s="4"/>
      <c r="U2882">
        <v>2</v>
      </c>
      <c r="V2882">
        <v>1</v>
      </c>
      <c r="W2882">
        <v>1</v>
      </c>
    </row>
    <row r="2883" spans="1:23" ht="16.5" x14ac:dyDescent="0.3">
      <c r="A2883" t="s">
        <v>2947</v>
      </c>
      <c r="B2883" s="1">
        <v>45718</v>
      </c>
      <c r="C2883">
        <v>2025</v>
      </c>
      <c r="D2883" t="s">
        <v>24</v>
      </c>
      <c r="E2883" t="s">
        <v>460</v>
      </c>
      <c r="F2883" t="s">
        <v>37</v>
      </c>
      <c r="G2883" t="s">
        <v>51</v>
      </c>
      <c r="H2883" t="s">
        <v>38</v>
      </c>
      <c r="I2883" t="s">
        <v>29</v>
      </c>
      <c r="J2883" t="s">
        <v>52</v>
      </c>
      <c r="K2883" s="2">
        <v>2750</v>
      </c>
      <c r="L2883" s="2">
        <v>4000</v>
      </c>
      <c r="M2883">
        <v>48</v>
      </c>
      <c r="N2883" s="3">
        <v>0.17</v>
      </c>
      <c r="O2883" t="s">
        <v>16</v>
      </c>
      <c r="Q2883">
        <v>1</v>
      </c>
      <c r="R2883">
        <v>0</v>
      </c>
      <c r="S2883" s="2">
        <v>4000</v>
      </c>
      <c r="T2883" s="4">
        <v>0.1119</v>
      </c>
      <c r="U2883">
        <v>4</v>
      </c>
      <c r="V2883">
        <v>0</v>
      </c>
      <c r="W2883">
        <v>1</v>
      </c>
    </row>
    <row r="2884" spans="1:23" ht="16.5" x14ac:dyDescent="0.3">
      <c r="A2884" t="s">
        <v>2948</v>
      </c>
      <c r="B2884" s="1">
        <v>45718</v>
      </c>
      <c r="C2884">
        <v>2025</v>
      </c>
      <c r="D2884" t="s">
        <v>24</v>
      </c>
      <c r="E2884" t="s">
        <v>460</v>
      </c>
      <c r="F2884" t="s">
        <v>41</v>
      </c>
      <c r="G2884" t="s">
        <v>27</v>
      </c>
      <c r="H2884" t="s">
        <v>34</v>
      </c>
      <c r="I2884" t="s">
        <v>39</v>
      </c>
      <c r="J2884" t="s">
        <v>52</v>
      </c>
      <c r="K2884" s="2">
        <v>9950</v>
      </c>
      <c r="L2884" s="2">
        <v>124500</v>
      </c>
      <c r="M2884">
        <v>60</v>
      </c>
      <c r="N2884" s="3">
        <v>0.504</v>
      </c>
      <c r="O2884" t="s">
        <v>17</v>
      </c>
      <c r="P2884" t="s">
        <v>60</v>
      </c>
      <c r="Q2884">
        <v>0</v>
      </c>
      <c r="R2884">
        <v>1</v>
      </c>
      <c r="S2884" s="2">
        <v>0</v>
      </c>
      <c r="T2884" s="4"/>
      <c r="U2884">
        <v>16</v>
      </c>
      <c r="V2884">
        <v>0</v>
      </c>
      <c r="W2884">
        <v>1</v>
      </c>
    </row>
    <row r="2885" spans="1:23" ht="16.5" x14ac:dyDescent="0.3">
      <c r="A2885" t="s">
        <v>2949</v>
      </c>
      <c r="B2885" s="1">
        <v>45718</v>
      </c>
      <c r="C2885">
        <v>2025</v>
      </c>
      <c r="D2885" t="s">
        <v>24</v>
      </c>
      <c r="E2885" t="s">
        <v>460</v>
      </c>
      <c r="F2885" t="s">
        <v>41</v>
      </c>
      <c r="G2885" t="s">
        <v>33</v>
      </c>
      <c r="H2885" t="s">
        <v>55</v>
      </c>
      <c r="I2885" t="s">
        <v>29</v>
      </c>
      <c r="J2885" t="s">
        <v>52</v>
      </c>
      <c r="K2885" s="2">
        <v>4700</v>
      </c>
      <c r="L2885" s="2">
        <v>123500</v>
      </c>
      <c r="M2885">
        <v>24</v>
      </c>
      <c r="N2885" s="3">
        <v>1.3069999999999999</v>
      </c>
      <c r="O2885" t="s">
        <v>17</v>
      </c>
      <c r="P2885" t="s">
        <v>53</v>
      </c>
      <c r="Q2885">
        <v>0</v>
      </c>
      <c r="R2885">
        <v>1</v>
      </c>
      <c r="S2885" s="2">
        <v>0</v>
      </c>
      <c r="T2885" s="4"/>
      <c r="U2885">
        <v>3</v>
      </c>
      <c r="V2885">
        <v>1</v>
      </c>
      <c r="W2885">
        <v>1</v>
      </c>
    </row>
    <row r="2886" spans="1:23" ht="16.5" x14ac:dyDescent="0.3">
      <c r="A2886" t="s">
        <v>2950</v>
      </c>
      <c r="B2886" s="1">
        <v>45718</v>
      </c>
      <c r="C2886">
        <v>2025</v>
      </c>
      <c r="D2886" t="s">
        <v>24</v>
      </c>
      <c r="E2886" t="s">
        <v>460</v>
      </c>
      <c r="F2886" t="s">
        <v>50</v>
      </c>
      <c r="G2886" t="s">
        <v>33</v>
      </c>
      <c r="H2886" t="s">
        <v>38</v>
      </c>
      <c r="I2886" t="s">
        <v>39</v>
      </c>
      <c r="J2886" t="s">
        <v>30</v>
      </c>
      <c r="K2886" s="2">
        <v>4800</v>
      </c>
      <c r="L2886" s="2">
        <v>222000</v>
      </c>
      <c r="M2886">
        <v>300</v>
      </c>
      <c r="N2886" s="3">
        <v>0.4</v>
      </c>
      <c r="O2886" t="s">
        <v>16</v>
      </c>
      <c r="Q2886">
        <v>1</v>
      </c>
      <c r="R2886">
        <v>0</v>
      </c>
      <c r="S2886" s="2">
        <v>200000</v>
      </c>
      <c r="T2886" s="4">
        <v>7.5700000000000003E-2</v>
      </c>
      <c r="U2886">
        <v>4</v>
      </c>
      <c r="V2886">
        <v>1</v>
      </c>
      <c r="W2886">
        <v>1</v>
      </c>
    </row>
    <row r="2887" spans="1:23" ht="16.5" x14ac:dyDescent="0.3">
      <c r="A2887" t="s">
        <v>2951</v>
      </c>
      <c r="B2887" s="1">
        <v>45718</v>
      </c>
      <c r="C2887">
        <v>2025</v>
      </c>
      <c r="D2887" t="s">
        <v>24</v>
      </c>
      <c r="E2887" t="s">
        <v>460</v>
      </c>
      <c r="F2887" t="s">
        <v>41</v>
      </c>
      <c r="G2887" t="s">
        <v>51</v>
      </c>
      <c r="H2887" t="s">
        <v>38</v>
      </c>
      <c r="I2887" t="s">
        <v>42</v>
      </c>
      <c r="J2887" t="s">
        <v>43</v>
      </c>
      <c r="K2887" s="2">
        <v>4700</v>
      </c>
      <c r="L2887" s="2">
        <v>57500</v>
      </c>
      <c r="M2887">
        <v>60</v>
      </c>
      <c r="N2887" s="3">
        <v>0.42599999999999999</v>
      </c>
      <c r="O2887" t="s">
        <v>16</v>
      </c>
      <c r="Q2887">
        <v>1</v>
      </c>
      <c r="R2887">
        <v>0</v>
      </c>
      <c r="S2887" s="2">
        <v>57500</v>
      </c>
      <c r="T2887" s="4">
        <v>0.13689999999999999</v>
      </c>
      <c r="U2887">
        <v>11</v>
      </c>
      <c r="V2887">
        <v>0</v>
      </c>
      <c r="W2887">
        <v>1</v>
      </c>
    </row>
    <row r="2888" spans="1:23" ht="16.5" x14ac:dyDescent="0.3">
      <c r="A2888" t="s">
        <v>2952</v>
      </c>
      <c r="B2888" s="1">
        <v>45718</v>
      </c>
      <c r="C2888">
        <v>2025</v>
      </c>
      <c r="D2888" t="s">
        <v>24</v>
      </c>
      <c r="E2888" t="s">
        <v>460</v>
      </c>
      <c r="F2888" t="s">
        <v>37</v>
      </c>
      <c r="G2888" t="s">
        <v>33</v>
      </c>
      <c r="H2888" t="s">
        <v>55</v>
      </c>
      <c r="I2888" t="s">
        <v>39</v>
      </c>
      <c r="J2888" t="s">
        <v>35</v>
      </c>
      <c r="K2888" s="2">
        <v>3650</v>
      </c>
      <c r="L2888" s="2">
        <v>10500</v>
      </c>
      <c r="M2888">
        <v>60</v>
      </c>
      <c r="N2888" s="3">
        <v>0.26700000000000002</v>
      </c>
      <c r="O2888" t="s">
        <v>17</v>
      </c>
      <c r="P2888" t="s">
        <v>31</v>
      </c>
      <c r="Q2888">
        <v>0</v>
      </c>
      <c r="R2888">
        <v>1</v>
      </c>
      <c r="S2888" s="2">
        <v>0</v>
      </c>
      <c r="T2888" s="4"/>
      <c r="U2888">
        <v>2</v>
      </c>
      <c r="V2888">
        <v>1</v>
      </c>
      <c r="W2888">
        <v>1</v>
      </c>
    </row>
    <row r="2889" spans="1:23" ht="16.5" x14ac:dyDescent="0.3">
      <c r="A2889" t="s">
        <v>2953</v>
      </c>
      <c r="B2889" s="1">
        <v>45718</v>
      </c>
      <c r="C2889">
        <v>2025</v>
      </c>
      <c r="D2889" t="s">
        <v>24</v>
      </c>
      <c r="E2889" t="s">
        <v>460</v>
      </c>
      <c r="F2889" t="s">
        <v>41</v>
      </c>
      <c r="G2889" t="s">
        <v>33</v>
      </c>
      <c r="H2889" t="s">
        <v>55</v>
      </c>
      <c r="I2889" t="s">
        <v>39</v>
      </c>
      <c r="J2889" t="s">
        <v>52</v>
      </c>
      <c r="K2889" s="2">
        <v>4150</v>
      </c>
      <c r="L2889" s="2">
        <v>101500</v>
      </c>
      <c r="M2889">
        <v>24</v>
      </c>
      <c r="N2889" s="3">
        <v>1.347</v>
      </c>
      <c r="O2889" t="s">
        <v>17</v>
      </c>
      <c r="P2889" t="s">
        <v>53</v>
      </c>
      <c r="Q2889">
        <v>0</v>
      </c>
      <c r="R2889">
        <v>1</v>
      </c>
      <c r="S2889" s="2">
        <v>0</v>
      </c>
      <c r="T2889" s="4"/>
      <c r="U2889">
        <v>5</v>
      </c>
      <c r="V2889">
        <v>1</v>
      </c>
      <c r="W2889">
        <v>1</v>
      </c>
    </row>
    <row r="2890" spans="1:23" ht="16.5" x14ac:dyDescent="0.3">
      <c r="A2890" t="s">
        <v>2954</v>
      </c>
      <c r="B2890" s="1">
        <v>45718</v>
      </c>
      <c r="C2890">
        <v>2025</v>
      </c>
      <c r="D2890" t="s">
        <v>24</v>
      </c>
      <c r="E2890" t="s">
        <v>460</v>
      </c>
      <c r="F2890" t="s">
        <v>37</v>
      </c>
      <c r="G2890" t="s">
        <v>33</v>
      </c>
      <c r="H2890" t="s">
        <v>55</v>
      </c>
      <c r="I2890" t="s">
        <v>39</v>
      </c>
      <c r="J2890" t="s">
        <v>52</v>
      </c>
      <c r="K2890" s="2">
        <v>3950</v>
      </c>
      <c r="L2890" s="2">
        <v>6000</v>
      </c>
      <c r="M2890">
        <v>24</v>
      </c>
      <c r="N2890" s="3">
        <v>0.161</v>
      </c>
      <c r="O2890" t="s">
        <v>16</v>
      </c>
      <c r="Q2890">
        <v>1</v>
      </c>
      <c r="R2890">
        <v>0</v>
      </c>
      <c r="S2890" s="2">
        <v>5500</v>
      </c>
      <c r="T2890" s="4">
        <v>0.1118</v>
      </c>
      <c r="U2890">
        <v>2</v>
      </c>
      <c r="V2890">
        <v>1</v>
      </c>
      <c r="W2890">
        <v>1</v>
      </c>
    </row>
    <row r="2891" spans="1:23" ht="16.5" x14ac:dyDescent="0.3">
      <c r="A2891" t="s">
        <v>2955</v>
      </c>
      <c r="B2891" s="1">
        <v>45718</v>
      </c>
      <c r="C2891">
        <v>2025</v>
      </c>
      <c r="D2891" t="s">
        <v>24</v>
      </c>
      <c r="E2891" t="s">
        <v>460</v>
      </c>
      <c r="F2891" t="s">
        <v>37</v>
      </c>
      <c r="G2891" t="s">
        <v>27</v>
      </c>
      <c r="H2891" t="s">
        <v>38</v>
      </c>
      <c r="I2891" t="s">
        <v>29</v>
      </c>
      <c r="J2891" t="s">
        <v>35</v>
      </c>
      <c r="K2891" s="2">
        <v>7350</v>
      </c>
      <c r="L2891" s="2">
        <v>7000</v>
      </c>
      <c r="M2891">
        <v>60</v>
      </c>
      <c r="N2891" s="3">
        <v>0.17199999999999999</v>
      </c>
      <c r="O2891" t="s">
        <v>16</v>
      </c>
      <c r="Q2891">
        <v>1</v>
      </c>
      <c r="R2891">
        <v>0</v>
      </c>
      <c r="S2891" s="2">
        <v>6500</v>
      </c>
      <c r="T2891" s="4">
        <v>0.122</v>
      </c>
      <c r="U2891">
        <v>5</v>
      </c>
      <c r="V2891">
        <v>0</v>
      </c>
      <c r="W2891">
        <v>1</v>
      </c>
    </row>
    <row r="2892" spans="1:23" ht="16.5" x14ac:dyDescent="0.3">
      <c r="A2892" t="s">
        <v>2956</v>
      </c>
      <c r="B2892" s="1">
        <v>45719</v>
      </c>
      <c r="C2892">
        <v>2025</v>
      </c>
      <c r="D2892" t="s">
        <v>24</v>
      </c>
      <c r="E2892" t="s">
        <v>460</v>
      </c>
      <c r="F2892" t="s">
        <v>26</v>
      </c>
      <c r="G2892" t="s">
        <v>27</v>
      </c>
      <c r="H2892" t="s">
        <v>55</v>
      </c>
      <c r="I2892" t="s">
        <v>42</v>
      </c>
      <c r="J2892" t="s">
        <v>43</v>
      </c>
      <c r="K2892" s="2">
        <v>3350</v>
      </c>
      <c r="L2892" s="2">
        <v>43500</v>
      </c>
      <c r="M2892">
        <v>48</v>
      </c>
      <c r="N2892" s="3">
        <v>0.52300000000000002</v>
      </c>
      <c r="O2892" t="s">
        <v>17</v>
      </c>
      <c r="P2892" t="s">
        <v>53</v>
      </c>
      <c r="Q2892">
        <v>0</v>
      </c>
      <c r="R2892">
        <v>1</v>
      </c>
      <c r="S2892" s="2">
        <v>0</v>
      </c>
      <c r="T2892" s="4"/>
      <c r="U2892">
        <v>7</v>
      </c>
      <c r="V2892">
        <v>0</v>
      </c>
      <c r="W2892">
        <v>1</v>
      </c>
    </row>
    <row r="2893" spans="1:23" ht="16.5" x14ac:dyDescent="0.3">
      <c r="A2893" t="s">
        <v>2957</v>
      </c>
      <c r="B2893" s="1">
        <v>45719</v>
      </c>
      <c r="C2893">
        <v>2025</v>
      </c>
      <c r="D2893" t="s">
        <v>24</v>
      </c>
      <c r="E2893" t="s">
        <v>460</v>
      </c>
      <c r="F2893" t="s">
        <v>37</v>
      </c>
      <c r="G2893" t="s">
        <v>33</v>
      </c>
      <c r="H2893" t="s">
        <v>38</v>
      </c>
      <c r="I2893" t="s">
        <v>29</v>
      </c>
      <c r="J2893" t="s">
        <v>43</v>
      </c>
      <c r="K2893" s="2">
        <v>7650</v>
      </c>
      <c r="L2893" s="2">
        <v>4500</v>
      </c>
      <c r="M2893">
        <v>12</v>
      </c>
      <c r="N2893" s="3">
        <v>0.13</v>
      </c>
      <c r="O2893" t="s">
        <v>17</v>
      </c>
      <c r="P2893" t="s">
        <v>48</v>
      </c>
      <c r="Q2893">
        <v>0</v>
      </c>
      <c r="R2893">
        <v>1</v>
      </c>
      <c r="S2893" s="2">
        <v>0</v>
      </c>
      <c r="T2893" s="4"/>
      <c r="U2893">
        <v>2</v>
      </c>
      <c r="V2893">
        <v>1</v>
      </c>
      <c r="W2893">
        <v>1</v>
      </c>
    </row>
    <row r="2894" spans="1:23" ht="16.5" x14ac:dyDescent="0.3">
      <c r="A2894" t="s">
        <v>2958</v>
      </c>
      <c r="B2894" s="1">
        <v>45719</v>
      </c>
      <c r="C2894">
        <v>2025</v>
      </c>
      <c r="D2894" t="s">
        <v>24</v>
      </c>
      <c r="E2894" t="s">
        <v>460</v>
      </c>
      <c r="F2894" t="s">
        <v>26</v>
      </c>
      <c r="G2894" t="s">
        <v>51</v>
      </c>
      <c r="H2894" t="s">
        <v>55</v>
      </c>
      <c r="I2894" t="s">
        <v>29</v>
      </c>
      <c r="J2894" t="s">
        <v>35</v>
      </c>
      <c r="K2894" s="2">
        <v>5000</v>
      </c>
      <c r="L2894" s="2">
        <v>21500</v>
      </c>
      <c r="M2894">
        <v>36</v>
      </c>
      <c r="N2894" s="3">
        <v>0.185</v>
      </c>
      <c r="O2894" t="s">
        <v>16</v>
      </c>
      <c r="Q2894">
        <v>1</v>
      </c>
      <c r="R2894">
        <v>0</v>
      </c>
      <c r="S2894" s="2">
        <v>19500</v>
      </c>
      <c r="T2894" s="4">
        <v>7.8899999999999998E-2</v>
      </c>
      <c r="U2894">
        <v>3</v>
      </c>
      <c r="V2894">
        <v>1</v>
      </c>
      <c r="W2894">
        <v>1</v>
      </c>
    </row>
    <row r="2895" spans="1:23" ht="16.5" x14ac:dyDescent="0.3">
      <c r="A2895" t="s">
        <v>2959</v>
      </c>
      <c r="B2895" s="1">
        <v>45719</v>
      </c>
      <c r="C2895">
        <v>2025</v>
      </c>
      <c r="D2895" t="s">
        <v>24</v>
      </c>
      <c r="E2895" t="s">
        <v>460</v>
      </c>
      <c r="F2895" t="s">
        <v>41</v>
      </c>
      <c r="G2895" t="s">
        <v>45</v>
      </c>
      <c r="H2895" t="s">
        <v>38</v>
      </c>
      <c r="I2895" t="s">
        <v>29</v>
      </c>
      <c r="J2895" t="s">
        <v>35</v>
      </c>
      <c r="K2895" s="2">
        <v>6900</v>
      </c>
      <c r="L2895" s="2">
        <v>108000</v>
      </c>
      <c r="M2895">
        <v>24</v>
      </c>
      <c r="N2895" s="3">
        <v>0.83699999999999997</v>
      </c>
      <c r="O2895" t="s">
        <v>16</v>
      </c>
      <c r="Q2895">
        <v>1</v>
      </c>
      <c r="R2895">
        <v>0</v>
      </c>
      <c r="S2895" s="2">
        <v>108000</v>
      </c>
      <c r="T2895" s="4">
        <v>0.10539999999999999</v>
      </c>
      <c r="U2895">
        <v>5</v>
      </c>
      <c r="V2895">
        <v>1</v>
      </c>
      <c r="W2895">
        <v>1</v>
      </c>
    </row>
    <row r="2896" spans="1:23" ht="16.5" x14ac:dyDescent="0.3">
      <c r="A2896" t="s">
        <v>2960</v>
      </c>
      <c r="B2896" s="1">
        <v>45719</v>
      </c>
      <c r="C2896">
        <v>2025</v>
      </c>
      <c r="D2896" t="s">
        <v>24</v>
      </c>
      <c r="E2896" t="s">
        <v>460</v>
      </c>
      <c r="F2896" t="s">
        <v>37</v>
      </c>
      <c r="G2896" t="s">
        <v>51</v>
      </c>
      <c r="H2896" t="s">
        <v>34</v>
      </c>
      <c r="I2896" t="s">
        <v>29</v>
      </c>
      <c r="J2896" t="s">
        <v>30</v>
      </c>
      <c r="K2896" s="2">
        <v>4750</v>
      </c>
      <c r="L2896" s="2">
        <v>10000</v>
      </c>
      <c r="M2896">
        <v>24</v>
      </c>
      <c r="N2896" s="3">
        <v>0.191</v>
      </c>
      <c r="O2896" t="s">
        <v>16</v>
      </c>
      <c r="Q2896">
        <v>1</v>
      </c>
      <c r="R2896">
        <v>0</v>
      </c>
      <c r="S2896" s="2">
        <v>8000</v>
      </c>
      <c r="T2896" s="4">
        <v>0.14480000000000001</v>
      </c>
      <c r="U2896">
        <v>5</v>
      </c>
      <c r="V2896">
        <v>0</v>
      </c>
      <c r="W2896">
        <v>1</v>
      </c>
    </row>
    <row r="2897" spans="1:23" ht="16.5" x14ac:dyDescent="0.3">
      <c r="A2897" t="s">
        <v>2961</v>
      </c>
      <c r="B2897" s="1">
        <v>45719</v>
      </c>
      <c r="C2897">
        <v>2025</v>
      </c>
      <c r="D2897" t="s">
        <v>24</v>
      </c>
      <c r="E2897" t="s">
        <v>460</v>
      </c>
      <c r="F2897" t="s">
        <v>37</v>
      </c>
      <c r="G2897" t="s">
        <v>33</v>
      </c>
      <c r="H2897" t="s">
        <v>55</v>
      </c>
      <c r="I2897" t="s">
        <v>39</v>
      </c>
      <c r="J2897" t="s">
        <v>52</v>
      </c>
      <c r="K2897" s="2">
        <v>8150</v>
      </c>
      <c r="L2897" s="2">
        <v>11500</v>
      </c>
      <c r="M2897">
        <v>12</v>
      </c>
      <c r="N2897" s="3">
        <v>0.20100000000000001</v>
      </c>
      <c r="O2897" t="s">
        <v>16</v>
      </c>
      <c r="Q2897">
        <v>1</v>
      </c>
      <c r="R2897">
        <v>0</v>
      </c>
      <c r="S2897" s="2">
        <v>11500</v>
      </c>
      <c r="T2897" s="4">
        <v>0.1173</v>
      </c>
      <c r="U2897">
        <v>1</v>
      </c>
      <c r="V2897">
        <v>1</v>
      </c>
      <c r="W2897">
        <v>1</v>
      </c>
    </row>
    <row r="2898" spans="1:23" ht="16.5" x14ac:dyDescent="0.3">
      <c r="A2898" t="s">
        <v>2962</v>
      </c>
      <c r="B2898" s="1">
        <v>45719</v>
      </c>
      <c r="C2898">
        <v>2025</v>
      </c>
      <c r="D2898" t="s">
        <v>24</v>
      </c>
      <c r="E2898" t="s">
        <v>460</v>
      </c>
      <c r="F2898" t="s">
        <v>37</v>
      </c>
      <c r="G2898" t="s">
        <v>33</v>
      </c>
      <c r="H2898" t="s">
        <v>55</v>
      </c>
      <c r="I2898" t="s">
        <v>39</v>
      </c>
      <c r="J2898" t="s">
        <v>35</v>
      </c>
      <c r="K2898" s="2">
        <v>2900</v>
      </c>
      <c r="L2898" s="2">
        <v>15000</v>
      </c>
      <c r="M2898">
        <v>36</v>
      </c>
      <c r="N2898" s="3">
        <v>0.22700000000000001</v>
      </c>
      <c r="O2898" t="s">
        <v>16</v>
      </c>
      <c r="Q2898">
        <v>1</v>
      </c>
      <c r="R2898">
        <v>0</v>
      </c>
      <c r="S2898" s="2">
        <v>15000</v>
      </c>
      <c r="T2898" s="4">
        <v>0.1227</v>
      </c>
      <c r="U2898">
        <v>2</v>
      </c>
      <c r="V2898">
        <v>1</v>
      </c>
      <c r="W2898">
        <v>1</v>
      </c>
    </row>
    <row r="2899" spans="1:23" ht="16.5" x14ac:dyDescent="0.3">
      <c r="A2899" t="s">
        <v>2963</v>
      </c>
      <c r="B2899" s="1">
        <v>45719</v>
      </c>
      <c r="C2899">
        <v>2025</v>
      </c>
      <c r="D2899" t="s">
        <v>24</v>
      </c>
      <c r="E2899" t="s">
        <v>460</v>
      </c>
      <c r="F2899" t="s">
        <v>26</v>
      </c>
      <c r="G2899" t="s">
        <v>51</v>
      </c>
      <c r="H2899" t="s">
        <v>55</v>
      </c>
      <c r="I2899" t="s">
        <v>29</v>
      </c>
      <c r="J2899" t="s">
        <v>35</v>
      </c>
      <c r="K2899" s="2">
        <v>6450</v>
      </c>
      <c r="L2899" s="2">
        <v>54500</v>
      </c>
      <c r="M2899">
        <v>60</v>
      </c>
      <c r="N2899" s="3">
        <v>0.4</v>
      </c>
      <c r="O2899" t="s">
        <v>16</v>
      </c>
      <c r="Q2899">
        <v>1</v>
      </c>
      <c r="R2899">
        <v>0</v>
      </c>
      <c r="S2899" s="2">
        <v>54500</v>
      </c>
      <c r="T2899" s="4">
        <v>7.8799999999999995E-2</v>
      </c>
      <c r="U2899">
        <v>5</v>
      </c>
      <c r="V2899">
        <v>0</v>
      </c>
      <c r="W2899">
        <v>1</v>
      </c>
    </row>
    <row r="2900" spans="1:23" ht="16.5" x14ac:dyDescent="0.3">
      <c r="A2900" t="s">
        <v>2964</v>
      </c>
      <c r="B2900" s="1">
        <v>45720</v>
      </c>
      <c r="C2900">
        <v>2025</v>
      </c>
      <c r="D2900" t="s">
        <v>24</v>
      </c>
      <c r="E2900" t="s">
        <v>460</v>
      </c>
      <c r="F2900" t="s">
        <v>37</v>
      </c>
      <c r="G2900" t="s">
        <v>51</v>
      </c>
      <c r="H2900" t="s">
        <v>38</v>
      </c>
      <c r="I2900" t="s">
        <v>42</v>
      </c>
      <c r="J2900" t="s">
        <v>35</v>
      </c>
      <c r="K2900" s="2">
        <v>7800</v>
      </c>
      <c r="L2900" s="2">
        <v>16000</v>
      </c>
      <c r="M2900">
        <v>36</v>
      </c>
      <c r="N2900" s="3">
        <v>0.28499999999999998</v>
      </c>
      <c r="O2900" t="s">
        <v>16</v>
      </c>
      <c r="Q2900">
        <v>1</v>
      </c>
      <c r="R2900">
        <v>0</v>
      </c>
      <c r="S2900" s="2">
        <v>13000</v>
      </c>
      <c r="T2900" s="4">
        <v>0.12970000000000001</v>
      </c>
      <c r="U2900">
        <v>4</v>
      </c>
      <c r="V2900">
        <v>0</v>
      </c>
      <c r="W2900">
        <v>1</v>
      </c>
    </row>
    <row r="2901" spans="1:23" ht="16.5" x14ac:dyDescent="0.3">
      <c r="A2901" t="s">
        <v>2965</v>
      </c>
      <c r="B2901" s="1">
        <v>45720</v>
      </c>
      <c r="C2901">
        <v>2025</v>
      </c>
      <c r="D2901" t="s">
        <v>24</v>
      </c>
      <c r="E2901" t="s">
        <v>460</v>
      </c>
      <c r="F2901" t="s">
        <v>26</v>
      </c>
      <c r="G2901" t="s">
        <v>45</v>
      </c>
      <c r="H2901" t="s">
        <v>34</v>
      </c>
      <c r="I2901" t="s">
        <v>42</v>
      </c>
      <c r="J2901" t="s">
        <v>52</v>
      </c>
      <c r="K2901" s="2">
        <v>4450</v>
      </c>
      <c r="L2901" s="2">
        <v>19500</v>
      </c>
      <c r="M2901">
        <v>60</v>
      </c>
      <c r="N2901" s="3">
        <v>0.28799999999999998</v>
      </c>
      <c r="O2901" t="s">
        <v>17</v>
      </c>
      <c r="P2901" t="s">
        <v>31</v>
      </c>
      <c r="Q2901">
        <v>0</v>
      </c>
      <c r="R2901">
        <v>1</v>
      </c>
      <c r="S2901" s="2">
        <v>0</v>
      </c>
      <c r="T2901" s="4"/>
      <c r="U2901">
        <v>2</v>
      </c>
      <c r="V2901">
        <v>1</v>
      </c>
      <c r="W2901">
        <v>1</v>
      </c>
    </row>
    <row r="2902" spans="1:23" ht="16.5" x14ac:dyDescent="0.3">
      <c r="A2902" t="s">
        <v>2966</v>
      </c>
      <c r="B2902" s="1">
        <v>45720</v>
      </c>
      <c r="C2902">
        <v>2025</v>
      </c>
      <c r="D2902" t="s">
        <v>24</v>
      </c>
      <c r="E2902" t="s">
        <v>460</v>
      </c>
      <c r="F2902" t="s">
        <v>37</v>
      </c>
      <c r="G2902" t="s">
        <v>27</v>
      </c>
      <c r="H2902" t="s">
        <v>38</v>
      </c>
      <c r="I2902" t="s">
        <v>39</v>
      </c>
      <c r="J2902" t="s">
        <v>35</v>
      </c>
      <c r="K2902" s="2">
        <v>4550</v>
      </c>
      <c r="L2902" s="2">
        <v>9500</v>
      </c>
      <c r="M2902">
        <v>36</v>
      </c>
      <c r="N2902" s="3">
        <v>0.121</v>
      </c>
      <c r="O2902" t="s">
        <v>16</v>
      </c>
      <c r="Q2902">
        <v>1</v>
      </c>
      <c r="R2902">
        <v>0</v>
      </c>
      <c r="S2902" s="2">
        <v>7500</v>
      </c>
      <c r="T2902" s="4">
        <v>0.121</v>
      </c>
      <c r="U2902">
        <v>6</v>
      </c>
      <c r="V2902">
        <v>0</v>
      </c>
      <c r="W2902">
        <v>1</v>
      </c>
    </row>
    <row r="2903" spans="1:23" ht="16.5" x14ac:dyDescent="0.3">
      <c r="A2903" t="s">
        <v>2967</v>
      </c>
      <c r="B2903" s="1">
        <v>45720</v>
      </c>
      <c r="C2903">
        <v>2025</v>
      </c>
      <c r="D2903" t="s">
        <v>24</v>
      </c>
      <c r="E2903" t="s">
        <v>460</v>
      </c>
      <c r="F2903" t="s">
        <v>37</v>
      </c>
      <c r="G2903" t="s">
        <v>45</v>
      </c>
      <c r="H2903" t="s">
        <v>38</v>
      </c>
      <c r="I2903" t="s">
        <v>42</v>
      </c>
      <c r="J2903" t="s">
        <v>35</v>
      </c>
      <c r="K2903" s="2">
        <v>4450</v>
      </c>
      <c r="L2903" s="2">
        <v>8000</v>
      </c>
      <c r="M2903">
        <v>24</v>
      </c>
      <c r="N2903" s="3">
        <v>0.28699999999999998</v>
      </c>
      <c r="O2903" t="s">
        <v>17</v>
      </c>
      <c r="P2903" t="s">
        <v>60</v>
      </c>
      <c r="Q2903">
        <v>0</v>
      </c>
      <c r="R2903">
        <v>1</v>
      </c>
      <c r="S2903" s="2">
        <v>0</v>
      </c>
      <c r="T2903" s="4"/>
      <c r="U2903">
        <v>5</v>
      </c>
      <c r="V2903">
        <v>0</v>
      </c>
      <c r="W2903">
        <v>1</v>
      </c>
    </row>
    <row r="2904" spans="1:23" ht="16.5" x14ac:dyDescent="0.3">
      <c r="A2904" t="s">
        <v>2968</v>
      </c>
      <c r="B2904" s="1">
        <v>45720</v>
      </c>
      <c r="C2904">
        <v>2025</v>
      </c>
      <c r="D2904" t="s">
        <v>24</v>
      </c>
      <c r="E2904" t="s">
        <v>460</v>
      </c>
      <c r="F2904" t="s">
        <v>41</v>
      </c>
      <c r="G2904" t="s">
        <v>51</v>
      </c>
      <c r="H2904" t="s">
        <v>55</v>
      </c>
      <c r="I2904" t="s">
        <v>42</v>
      </c>
      <c r="J2904" t="s">
        <v>30</v>
      </c>
      <c r="K2904" s="2">
        <v>6900</v>
      </c>
      <c r="L2904" s="2">
        <v>77000</v>
      </c>
      <c r="M2904">
        <v>60</v>
      </c>
      <c r="N2904" s="3">
        <v>0.38</v>
      </c>
      <c r="O2904" t="s">
        <v>16</v>
      </c>
      <c r="Q2904">
        <v>1</v>
      </c>
      <c r="R2904">
        <v>0</v>
      </c>
      <c r="S2904" s="2">
        <v>77000</v>
      </c>
      <c r="T2904" s="4">
        <v>0.1197</v>
      </c>
      <c r="U2904">
        <v>15</v>
      </c>
      <c r="V2904">
        <v>0</v>
      </c>
      <c r="W2904">
        <v>1</v>
      </c>
    </row>
    <row r="2905" spans="1:23" ht="16.5" x14ac:dyDescent="0.3">
      <c r="A2905" t="s">
        <v>2969</v>
      </c>
      <c r="B2905" s="1">
        <v>45720</v>
      </c>
      <c r="C2905">
        <v>2025</v>
      </c>
      <c r="D2905" t="s">
        <v>24</v>
      </c>
      <c r="E2905" t="s">
        <v>460</v>
      </c>
      <c r="F2905" t="s">
        <v>50</v>
      </c>
      <c r="G2905" t="s">
        <v>45</v>
      </c>
      <c r="H2905" t="s">
        <v>38</v>
      </c>
      <c r="I2905" t="s">
        <v>39</v>
      </c>
      <c r="J2905" t="s">
        <v>30</v>
      </c>
      <c r="K2905" s="2">
        <v>2550</v>
      </c>
      <c r="L2905" s="2">
        <v>258500</v>
      </c>
      <c r="M2905">
        <v>300</v>
      </c>
      <c r="N2905" s="3">
        <v>0.73299999999999998</v>
      </c>
      <c r="O2905" t="s">
        <v>17</v>
      </c>
      <c r="P2905" t="s">
        <v>53</v>
      </c>
      <c r="Q2905">
        <v>0</v>
      </c>
      <c r="R2905">
        <v>1</v>
      </c>
      <c r="S2905" s="2">
        <v>0</v>
      </c>
      <c r="T2905" s="4"/>
      <c r="U2905">
        <v>10</v>
      </c>
      <c r="V2905">
        <v>1</v>
      </c>
      <c r="W2905">
        <v>1</v>
      </c>
    </row>
    <row r="2906" spans="1:23" ht="16.5" x14ac:dyDescent="0.3">
      <c r="A2906" t="s">
        <v>2970</v>
      </c>
      <c r="B2906" s="1">
        <v>45720</v>
      </c>
      <c r="C2906">
        <v>2025</v>
      </c>
      <c r="D2906" t="s">
        <v>24</v>
      </c>
      <c r="E2906" t="s">
        <v>460</v>
      </c>
      <c r="F2906" t="s">
        <v>50</v>
      </c>
      <c r="G2906" t="s">
        <v>51</v>
      </c>
      <c r="H2906" t="s">
        <v>64</v>
      </c>
      <c r="I2906" t="s">
        <v>29</v>
      </c>
      <c r="J2906" t="s">
        <v>30</v>
      </c>
      <c r="K2906" s="2">
        <v>11750</v>
      </c>
      <c r="L2906" s="2">
        <v>231500</v>
      </c>
      <c r="M2906">
        <v>240</v>
      </c>
      <c r="N2906" s="3">
        <v>0.182</v>
      </c>
      <c r="O2906" t="s">
        <v>16</v>
      </c>
      <c r="Q2906">
        <v>1</v>
      </c>
      <c r="R2906">
        <v>0</v>
      </c>
      <c r="S2906" s="2">
        <v>231500</v>
      </c>
      <c r="T2906" s="4">
        <v>6.9099999999999995E-2</v>
      </c>
      <c r="U2906">
        <v>16</v>
      </c>
      <c r="V2906">
        <v>0</v>
      </c>
      <c r="W2906">
        <v>1</v>
      </c>
    </row>
    <row r="2907" spans="1:23" ht="16.5" x14ac:dyDescent="0.3">
      <c r="A2907" t="s">
        <v>2971</v>
      </c>
      <c r="B2907" s="1">
        <v>45720</v>
      </c>
      <c r="C2907">
        <v>2025</v>
      </c>
      <c r="D2907" t="s">
        <v>24</v>
      </c>
      <c r="E2907" t="s">
        <v>460</v>
      </c>
      <c r="F2907" t="s">
        <v>37</v>
      </c>
      <c r="G2907" t="s">
        <v>51</v>
      </c>
      <c r="H2907" t="s">
        <v>38</v>
      </c>
      <c r="I2907" t="s">
        <v>39</v>
      </c>
      <c r="J2907" t="s">
        <v>46</v>
      </c>
      <c r="K2907" s="2">
        <v>6750</v>
      </c>
      <c r="L2907" s="2">
        <v>11000</v>
      </c>
      <c r="M2907">
        <v>36</v>
      </c>
      <c r="N2907" s="3">
        <v>0.26300000000000001</v>
      </c>
      <c r="O2907" t="s">
        <v>16</v>
      </c>
      <c r="Q2907">
        <v>1</v>
      </c>
      <c r="R2907">
        <v>0</v>
      </c>
      <c r="S2907" s="2">
        <v>11000</v>
      </c>
      <c r="T2907" s="4">
        <v>0.10730000000000001</v>
      </c>
      <c r="U2907">
        <v>3</v>
      </c>
      <c r="V2907">
        <v>1</v>
      </c>
      <c r="W2907">
        <v>1</v>
      </c>
    </row>
    <row r="2908" spans="1:23" ht="16.5" x14ac:dyDescent="0.3">
      <c r="A2908" t="s">
        <v>2972</v>
      </c>
      <c r="B2908" s="1">
        <v>45721</v>
      </c>
      <c r="C2908">
        <v>2025</v>
      </c>
      <c r="D2908" t="s">
        <v>24</v>
      </c>
      <c r="E2908" t="s">
        <v>460</v>
      </c>
      <c r="F2908" t="s">
        <v>41</v>
      </c>
      <c r="G2908" t="s">
        <v>45</v>
      </c>
      <c r="H2908" t="s">
        <v>38</v>
      </c>
      <c r="I2908" t="s">
        <v>42</v>
      </c>
      <c r="J2908" t="s">
        <v>52</v>
      </c>
      <c r="K2908" s="2">
        <v>3250</v>
      </c>
      <c r="L2908" s="2">
        <v>109500</v>
      </c>
      <c r="M2908">
        <v>24</v>
      </c>
      <c r="N2908" s="3">
        <v>1.641</v>
      </c>
      <c r="O2908" t="s">
        <v>17</v>
      </c>
      <c r="P2908" t="s">
        <v>60</v>
      </c>
      <c r="Q2908">
        <v>0</v>
      </c>
      <c r="R2908">
        <v>1</v>
      </c>
      <c r="S2908" s="2">
        <v>0</v>
      </c>
      <c r="T2908" s="4"/>
      <c r="U2908">
        <v>7</v>
      </c>
      <c r="V2908">
        <v>1</v>
      </c>
      <c r="W2908">
        <v>1</v>
      </c>
    </row>
    <row r="2909" spans="1:23" ht="16.5" x14ac:dyDescent="0.3">
      <c r="A2909" t="s">
        <v>2973</v>
      </c>
      <c r="B2909" s="1">
        <v>45721</v>
      </c>
      <c r="C2909">
        <v>2025</v>
      </c>
      <c r="D2909" t="s">
        <v>24</v>
      </c>
      <c r="E2909" t="s">
        <v>460</v>
      </c>
      <c r="F2909" t="s">
        <v>41</v>
      </c>
      <c r="G2909" t="s">
        <v>51</v>
      </c>
      <c r="H2909" t="s">
        <v>34</v>
      </c>
      <c r="I2909" t="s">
        <v>29</v>
      </c>
      <c r="J2909" t="s">
        <v>46</v>
      </c>
      <c r="K2909" s="2">
        <v>4150</v>
      </c>
      <c r="L2909" s="2">
        <v>132000</v>
      </c>
      <c r="M2909">
        <v>36</v>
      </c>
      <c r="N2909" s="3">
        <v>1.1950000000000001</v>
      </c>
      <c r="O2909" t="s">
        <v>17</v>
      </c>
      <c r="P2909" t="s">
        <v>53</v>
      </c>
      <c r="Q2909">
        <v>0</v>
      </c>
      <c r="R2909">
        <v>1</v>
      </c>
      <c r="S2909" s="2">
        <v>0</v>
      </c>
      <c r="T2909" s="4"/>
      <c r="U2909">
        <v>7</v>
      </c>
      <c r="V2909">
        <v>1</v>
      </c>
      <c r="W2909">
        <v>1</v>
      </c>
    </row>
    <row r="2910" spans="1:23" ht="16.5" x14ac:dyDescent="0.3">
      <c r="A2910" t="s">
        <v>2974</v>
      </c>
      <c r="B2910" s="1">
        <v>45721</v>
      </c>
      <c r="C2910">
        <v>2025</v>
      </c>
      <c r="D2910" t="s">
        <v>24</v>
      </c>
      <c r="E2910" t="s">
        <v>460</v>
      </c>
      <c r="F2910" t="s">
        <v>37</v>
      </c>
      <c r="G2910" t="s">
        <v>33</v>
      </c>
      <c r="H2910" t="s">
        <v>34</v>
      </c>
      <c r="I2910" t="s">
        <v>42</v>
      </c>
      <c r="J2910" t="s">
        <v>46</v>
      </c>
      <c r="K2910" s="2">
        <v>4700</v>
      </c>
      <c r="L2910" s="2">
        <v>7500</v>
      </c>
      <c r="M2910">
        <v>12</v>
      </c>
      <c r="N2910" s="3">
        <v>0.33100000000000002</v>
      </c>
      <c r="O2910" t="s">
        <v>16</v>
      </c>
      <c r="Q2910">
        <v>1</v>
      </c>
      <c r="R2910">
        <v>0</v>
      </c>
      <c r="S2910" s="2">
        <v>7500</v>
      </c>
      <c r="T2910" s="4">
        <v>0.107</v>
      </c>
      <c r="U2910">
        <v>2</v>
      </c>
      <c r="V2910">
        <v>1</v>
      </c>
      <c r="W2910">
        <v>1</v>
      </c>
    </row>
    <row r="2911" spans="1:23" ht="16.5" x14ac:dyDescent="0.3">
      <c r="A2911" t="s">
        <v>2975</v>
      </c>
      <c r="B2911" s="1">
        <v>45721</v>
      </c>
      <c r="C2911">
        <v>2025</v>
      </c>
      <c r="D2911" t="s">
        <v>24</v>
      </c>
      <c r="E2911" t="s">
        <v>460</v>
      </c>
      <c r="F2911" t="s">
        <v>37</v>
      </c>
      <c r="G2911" t="s">
        <v>27</v>
      </c>
      <c r="H2911" t="s">
        <v>34</v>
      </c>
      <c r="I2911" t="s">
        <v>29</v>
      </c>
      <c r="J2911" t="s">
        <v>43</v>
      </c>
      <c r="K2911" s="2">
        <v>5400</v>
      </c>
      <c r="L2911" s="2">
        <v>17000</v>
      </c>
      <c r="M2911">
        <v>24</v>
      </c>
      <c r="N2911" s="3">
        <v>0.224</v>
      </c>
      <c r="O2911" t="s">
        <v>125</v>
      </c>
      <c r="Q2911">
        <v>0</v>
      </c>
      <c r="R2911">
        <v>0</v>
      </c>
      <c r="S2911" s="2">
        <v>0</v>
      </c>
      <c r="T2911" s="4"/>
      <c r="U2911">
        <v>3</v>
      </c>
      <c r="V2911">
        <v>1</v>
      </c>
      <c r="W2911">
        <v>1</v>
      </c>
    </row>
    <row r="2912" spans="1:23" ht="16.5" x14ac:dyDescent="0.3">
      <c r="A2912" t="s">
        <v>2976</v>
      </c>
      <c r="B2912" s="1">
        <v>45721</v>
      </c>
      <c r="C2912">
        <v>2025</v>
      </c>
      <c r="D2912" t="s">
        <v>24</v>
      </c>
      <c r="E2912" t="s">
        <v>460</v>
      </c>
      <c r="F2912" t="s">
        <v>26</v>
      </c>
      <c r="G2912" t="s">
        <v>27</v>
      </c>
      <c r="H2912" t="s">
        <v>38</v>
      </c>
      <c r="I2912" t="s">
        <v>42</v>
      </c>
      <c r="J2912" t="s">
        <v>52</v>
      </c>
      <c r="K2912" s="2">
        <v>4250</v>
      </c>
      <c r="L2912" s="2">
        <v>24500</v>
      </c>
      <c r="M2912">
        <v>48</v>
      </c>
      <c r="N2912" s="3">
        <v>0.37</v>
      </c>
      <c r="O2912" t="s">
        <v>16</v>
      </c>
      <c r="Q2912">
        <v>1</v>
      </c>
      <c r="R2912">
        <v>0</v>
      </c>
      <c r="S2912" s="2">
        <v>22000</v>
      </c>
      <c r="T2912" s="4">
        <v>6.9699999999999998E-2</v>
      </c>
      <c r="U2912">
        <v>6</v>
      </c>
      <c r="V2912">
        <v>0</v>
      </c>
      <c r="W2912">
        <v>1</v>
      </c>
    </row>
    <row r="2913" spans="1:23" ht="16.5" x14ac:dyDescent="0.3">
      <c r="A2913" t="s">
        <v>2977</v>
      </c>
      <c r="B2913" s="1">
        <v>45721</v>
      </c>
      <c r="C2913">
        <v>2025</v>
      </c>
      <c r="D2913" t="s">
        <v>24</v>
      </c>
      <c r="E2913" t="s">
        <v>460</v>
      </c>
      <c r="F2913" t="s">
        <v>26</v>
      </c>
      <c r="G2913" t="s">
        <v>33</v>
      </c>
      <c r="H2913" t="s">
        <v>55</v>
      </c>
      <c r="I2913" t="s">
        <v>42</v>
      </c>
      <c r="J2913" t="s">
        <v>35</v>
      </c>
      <c r="K2913" s="2">
        <v>3100</v>
      </c>
      <c r="L2913" s="2">
        <v>25000</v>
      </c>
      <c r="M2913">
        <v>60</v>
      </c>
      <c r="N2913" s="3">
        <v>0.26</v>
      </c>
      <c r="O2913" t="s">
        <v>16</v>
      </c>
      <c r="Q2913">
        <v>1</v>
      </c>
      <c r="R2913">
        <v>0</v>
      </c>
      <c r="S2913" s="2">
        <v>25000</v>
      </c>
      <c r="T2913" s="4">
        <v>8.4599999999999995E-2</v>
      </c>
      <c r="U2913">
        <v>2</v>
      </c>
      <c r="V2913">
        <v>1</v>
      </c>
      <c r="W2913">
        <v>1</v>
      </c>
    </row>
    <row r="2914" spans="1:23" ht="16.5" x14ac:dyDescent="0.3">
      <c r="A2914" t="s">
        <v>2978</v>
      </c>
      <c r="B2914" s="1">
        <v>45722</v>
      </c>
      <c r="C2914">
        <v>2025</v>
      </c>
      <c r="D2914" t="s">
        <v>24</v>
      </c>
      <c r="E2914" t="s">
        <v>460</v>
      </c>
      <c r="F2914" t="s">
        <v>26</v>
      </c>
      <c r="G2914" t="s">
        <v>27</v>
      </c>
      <c r="H2914" t="s">
        <v>64</v>
      </c>
      <c r="I2914" t="s">
        <v>29</v>
      </c>
      <c r="J2914" t="s">
        <v>35</v>
      </c>
      <c r="K2914" s="2">
        <v>4050</v>
      </c>
      <c r="L2914" s="2">
        <v>34000</v>
      </c>
      <c r="M2914">
        <v>60</v>
      </c>
      <c r="N2914" s="3">
        <v>0.34699999999999998</v>
      </c>
      <c r="O2914" t="s">
        <v>125</v>
      </c>
      <c r="Q2914">
        <v>0</v>
      </c>
      <c r="R2914">
        <v>0</v>
      </c>
      <c r="S2914" s="2">
        <v>0</v>
      </c>
      <c r="T2914" s="4"/>
      <c r="U2914">
        <v>1</v>
      </c>
      <c r="V2914">
        <v>1</v>
      </c>
      <c r="W2914">
        <v>1</v>
      </c>
    </row>
    <row r="2915" spans="1:23" ht="16.5" x14ac:dyDescent="0.3">
      <c r="A2915" t="s">
        <v>2979</v>
      </c>
      <c r="B2915" s="1">
        <v>45722</v>
      </c>
      <c r="C2915">
        <v>2025</v>
      </c>
      <c r="D2915" t="s">
        <v>24</v>
      </c>
      <c r="E2915" t="s">
        <v>460</v>
      </c>
      <c r="F2915" t="s">
        <v>37</v>
      </c>
      <c r="G2915" t="s">
        <v>45</v>
      </c>
      <c r="H2915" t="s">
        <v>34</v>
      </c>
      <c r="I2915" t="s">
        <v>42</v>
      </c>
      <c r="J2915" t="s">
        <v>30</v>
      </c>
      <c r="K2915" s="2">
        <v>3850</v>
      </c>
      <c r="L2915" s="2">
        <v>10500</v>
      </c>
      <c r="M2915">
        <v>60</v>
      </c>
      <c r="N2915" s="3">
        <v>0.13200000000000001</v>
      </c>
      <c r="O2915" t="s">
        <v>17</v>
      </c>
      <c r="P2915" t="s">
        <v>31</v>
      </c>
      <c r="Q2915">
        <v>0</v>
      </c>
      <c r="R2915">
        <v>1</v>
      </c>
      <c r="S2915" s="2">
        <v>0</v>
      </c>
      <c r="T2915" s="4"/>
      <c r="U2915">
        <v>2</v>
      </c>
      <c r="V2915">
        <v>1</v>
      </c>
      <c r="W2915">
        <v>1</v>
      </c>
    </row>
    <row r="2916" spans="1:23" ht="16.5" x14ac:dyDescent="0.3">
      <c r="A2916" t="s">
        <v>2980</v>
      </c>
      <c r="B2916" s="1">
        <v>45722</v>
      </c>
      <c r="C2916">
        <v>2025</v>
      </c>
      <c r="D2916" t="s">
        <v>24</v>
      </c>
      <c r="E2916" t="s">
        <v>460</v>
      </c>
      <c r="F2916" t="s">
        <v>50</v>
      </c>
      <c r="G2916" t="s">
        <v>33</v>
      </c>
      <c r="H2916" t="s">
        <v>55</v>
      </c>
      <c r="I2916" t="s">
        <v>39</v>
      </c>
      <c r="J2916" t="s">
        <v>35</v>
      </c>
      <c r="K2916" s="2">
        <v>2700</v>
      </c>
      <c r="L2916" s="2">
        <v>420000</v>
      </c>
      <c r="M2916">
        <v>180</v>
      </c>
      <c r="N2916" s="3">
        <v>1.2889999999999999</v>
      </c>
      <c r="O2916" t="s">
        <v>17</v>
      </c>
      <c r="P2916" t="s">
        <v>53</v>
      </c>
      <c r="Q2916">
        <v>0</v>
      </c>
      <c r="R2916">
        <v>1</v>
      </c>
      <c r="S2916" s="2">
        <v>0</v>
      </c>
      <c r="T2916" s="4"/>
      <c r="U2916">
        <v>4</v>
      </c>
      <c r="V2916">
        <v>1</v>
      </c>
      <c r="W2916">
        <v>1</v>
      </c>
    </row>
    <row r="2917" spans="1:23" ht="16.5" x14ac:dyDescent="0.3">
      <c r="A2917" t="s">
        <v>2981</v>
      </c>
      <c r="B2917" s="1">
        <v>45722</v>
      </c>
      <c r="C2917">
        <v>2025</v>
      </c>
      <c r="D2917" t="s">
        <v>24</v>
      </c>
      <c r="E2917" t="s">
        <v>460</v>
      </c>
      <c r="F2917" t="s">
        <v>41</v>
      </c>
      <c r="G2917" t="s">
        <v>51</v>
      </c>
      <c r="H2917" t="s">
        <v>55</v>
      </c>
      <c r="I2917" t="s">
        <v>39</v>
      </c>
      <c r="J2917" t="s">
        <v>35</v>
      </c>
      <c r="K2917" s="2">
        <v>8250</v>
      </c>
      <c r="L2917" s="2">
        <v>64500</v>
      </c>
      <c r="M2917">
        <v>12</v>
      </c>
      <c r="N2917" s="3">
        <v>0.90200000000000002</v>
      </c>
      <c r="O2917" t="s">
        <v>17</v>
      </c>
      <c r="P2917" t="s">
        <v>53</v>
      </c>
      <c r="Q2917">
        <v>0</v>
      </c>
      <c r="R2917">
        <v>1</v>
      </c>
      <c r="S2917" s="2">
        <v>0</v>
      </c>
      <c r="T2917" s="4"/>
      <c r="U2917">
        <v>13</v>
      </c>
      <c r="V2917">
        <v>0</v>
      </c>
      <c r="W2917">
        <v>1</v>
      </c>
    </row>
    <row r="2918" spans="1:23" ht="16.5" x14ac:dyDescent="0.3">
      <c r="A2918" t="s">
        <v>2982</v>
      </c>
      <c r="B2918" s="1">
        <v>45722</v>
      </c>
      <c r="C2918">
        <v>2025</v>
      </c>
      <c r="D2918" t="s">
        <v>24</v>
      </c>
      <c r="E2918" t="s">
        <v>460</v>
      </c>
      <c r="F2918" t="s">
        <v>41</v>
      </c>
      <c r="G2918" t="s">
        <v>51</v>
      </c>
      <c r="H2918" t="s">
        <v>38</v>
      </c>
      <c r="I2918" t="s">
        <v>39</v>
      </c>
      <c r="J2918" t="s">
        <v>30</v>
      </c>
      <c r="K2918" s="2">
        <v>5000</v>
      </c>
      <c r="L2918" s="2">
        <v>82000</v>
      </c>
      <c r="M2918">
        <v>60</v>
      </c>
      <c r="N2918" s="3">
        <v>0.50900000000000001</v>
      </c>
      <c r="O2918" t="s">
        <v>16</v>
      </c>
      <c r="Q2918">
        <v>1</v>
      </c>
      <c r="R2918">
        <v>0</v>
      </c>
      <c r="S2918" s="2">
        <v>82000</v>
      </c>
      <c r="T2918" s="4">
        <v>0.122</v>
      </c>
      <c r="U2918">
        <v>10</v>
      </c>
      <c r="V2918">
        <v>1</v>
      </c>
      <c r="W2918">
        <v>1</v>
      </c>
    </row>
    <row r="2919" spans="1:23" ht="16.5" x14ac:dyDescent="0.3">
      <c r="A2919" t="s">
        <v>2983</v>
      </c>
      <c r="B2919" s="1">
        <v>45722</v>
      </c>
      <c r="C2919">
        <v>2025</v>
      </c>
      <c r="D2919" t="s">
        <v>24</v>
      </c>
      <c r="E2919" t="s">
        <v>460</v>
      </c>
      <c r="F2919" t="s">
        <v>26</v>
      </c>
      <c r="G2919" t="s">
        <v>33</v>
      </c>
      <c r="H2919" t="s">
        <v>34</v>
      </c>
      <c r="I2919" t="s">
        <v>29</v>
      </c>
      <c r="J2919" t="s">
        <v>52</v>
      </c>
      <c r="K2919" s="2">
        <v>10400</v>
      </c>
      <c r="L2919" s="2">
        <v>33500</v>
      </c>
      <c r="M2919">
        <v>48</v>
      </c>
      <c r="N2919" s="3">
        <v>0.27200000000000002</v>
      </c>
      <c r="O2919" t="s">
        <v>16</v>
      </c>
      <c r="Q2919">
        <v>1</v>
      </c>
      <c r="R2919">
        <v>0</v>
      </c>
      <c r="S2919" s="2">
        <v>30000</v>
      </c>
      <c r="T2919" s="4">
        <v>7.2700000000000001E-2</v>
      </c>
      <c r="U2919">
        <v>1</v>
      </c>
      <c r="V2919">
        <v>1</v>
      </c>
      <c r="W2919">
        <v>1</v>
      </c>
    </row>
    <row r="2920" spans="1:23" ht="16.5" x14ac:dyDescent="0.3">
      <c r="A2920" t="s">
        <v>2984</v>
      </c>
      <c r="B2920" s="1">
        <v>45722</v>
      </c>
      <c r="C2920">
        <v>2025</v>
      </c>
      <c r="D2920" t="s">
        <v>24</v>
      </c>
      <c r="E2920" t="s">
        <v>460</v>
      </c>
      <c r="F2920" t="s">
        <v>37</v>
      </c>
      <c r="G2920" t="s">
        <v>33</v>
      </c>
      <c r="H2920" t="s">
        <v>38</v>
      </c>
      <c r="I2920" t="s">
        <v>39</v>
      </c>
      <c r="J2920" t="s">
        <v>30</v>
      </c>
      <c r="K2920" s="2">
        <v>9850</v>
      </c>
      <c r="L2920" s="2">
        <v>9500</v>
      </c>
      <c r="M2920">
        <v>60</v>
      </c>
      <c r="N2920" s="3">
        <v>0.18</v>
      </c>
      <c r="O2920" t="s">
        <v>16</v>
      </c>
      <c r="Q2920">
        <v>1</v>
      </c>
      <c r="R2920">
        <v>0</v>
      </c>
      <c r="S2920" s="2">
        <v>7500</v>
      </c>
      <c r="T2920" s="4">
        <v>0.14549999999999999</v>
      </c>
      <c r="U2920">
        <v>1</v>
      </c>
      <c r="V2920">
        <v>1</v>
      </c>
      <c r="W2920">
        <v>1</v>
      </c>
    </row>
    <row r="2921" spans="1:23" ht="16.5" x14ac:dyDescent="0.3">
      <c r="A2921" t="s">
        <v>2985</v>
      </c>
      <c r="B2921" s="1">
        <v>45722</v>
      </c>
      <c r="C2921">
        <v>2025</v>
      </c>
      <c r="D2921" t="s">
        <v>24</v>
      </c>
      <c r="E2921" t="s">
        <v>460</v>
      </c>
      <c r="F2921" t="s">
        <v>37</v>
      </c>
      <c r="G2921" t="s">
        <v>27</v>
      </c>
      <c r="H2921" t="s">
        <v>34</v>
      </c>
      <c r="I2921" t="s">
        <v>42</v>
      </c>
      <c r="J2921" t="s">
        <v>46</v>
      </c>
      <c r="K2921" s="2">
        <v>5300</v>
      </c>
      <c r="L2921" s="2">
        <v>9000</v>
      </c>
      <c r="M2921">
        <v>48</v>
      </c>
      <c r="N2921" s="3">
        <v>0.253</v>
      </c>
      <c r="O2921" t="s">
        <v>16</v>
      </c>
      <c r="Q2921">
        <v>1</v>
      </c>
      <c r="R2921">
        <v>0</v>
      </c>
      <c r="S2921" s="2">
        <v>7000</v>
      </c>
      <c r="T2921" s="4">
        <v>0.1132</v>
      </c>
      <c r="U2921">
        <v>3</v>
      </c>
      <c r="V2921">
        <v>1</v>
      </c>
      <c r="W2921">
        <v>1</v>
      </c>
    </row>
    <row r="2922" spans="1:23" ht="16.5" x14ac:dyDescent="0.3">
      <c r="A2922" t="s">
        <v>2986</v>
      </c>
      <c r="B2922" s="1">
        <v>45722</v>
      </c>
      <c r="C2922">
        <v>2025</v>
      </c>
      <c r="D2922" t="s">
        <v>24</v>
      </c>
      <c r="E2922" t="s">
        <v>460</v>
      </c>
      <c r="F2922" t="s">
        <v>37</v>
      </c>
      <c r="G2922" t="s">
        <v>27</v>
      </c>
      <c r="H2922" t="s">
        <v>64</v>
      </c>
      <c r="I2922" t="s">
        <v>29</v>
      </c>
      <c r="J2922" t="s">
        <v>46</v>
      </c>
      <c r="K2922" s="2">
        <v>9050</v>
      </c>
      <c r="L2922" s="2">
        <v>21000</v>
      </c>
      <c r="M2922">
        <v>24</v>
      </c>
      <c r="N2922" s="3">
        <v>0.29099999999999998</v>
      </c>
      <c r="O2922" t="s">
        <v>16</v>
      </c>
      <c r="Q2922">
        <v>1</v>
      </c>
      <c r="R2922">
        <v>0</v>
      </c>
      <c r="S2922" s="2">
        <v>19000</v>
      </c>
      <c r="T2922" s="4">
        <v>0.1087</v>
      </c>
      <c r="U2922">
        <v>2</v>
      </c>
      <c r="V2922">
        <v>1</v>
      </c>
      <c r="W2922">
        <v>1</v>
      </c>
    </row>
    <row r="2923" spans="1:23" ht="16.5" x14ac:dyDescent="0.3">
      <c r="A2923" t="s">
        <v>2987</v>
      </c>
      <c r="B2923" s="1">
        <v>45723</v>
      </c>
      <c r="C2923">
        <v>2025</v>
      </c>
      <c r="D2923" t="s">
        <v>24</v>
      </c>
      <c r="E2923" t="s">
        <v>460</v>
      </c>
      <c r="F2923" t="s">
        <v>26</v>
      </c>
      <c r="G2923" t="s">
        <v>33</v>
      </c>
      <c r="H2923" t="s">
        <v>34</v>
      </c>
      <c r="I2923" t="s">
        <v>42</v>
      </c>
      <c r="J2923" t="s">
        <v>35</v>
      </c>
      <c r="K2923" s="2">
        <v>2900</v>
      </c>
      <c r="L2923" s="2">
        <v>117500</v>
      </c>
      <c r="M2923">
        <v>48</v>
      </c>
      <c r="N2923" s="3">
        <v>1.1859999999999999</v>
      </c>
      <c r="O2923" t="s">
        <v>17</v>
      </c>
      <c r="P2923" t="s">
        <v>53</v>
      </c>
      <c r="Q2923">
        <v>0</v>
      </c>
      <c r="R2923">
        <v>1</v>
      </c>
      <c r="S2923" s="2">
        <v>0</v>
      </c>
      <c r="T2923" s="4"/>
      <c r="U2923">
        <v>3</v>
      </c>
      <c r="V2923">
        <v>1</v>
      </c>
      <c r="W2923">
        <v>1</v>
      </c>
    </row>
    <row r="2924" spans="1:23" ht="16.5" x14ac:dyDescent="0.3">
      <c r="A2924" t="s">
        <v>2988</v>
      </c>
      <c r="B2924" s="1">
        <v>45723</v>
      </c>
      <c r="C2924">
        <v>2025</v>
      </c>
      <c r="D2924" t="s">
        <v>24</v>
      </c>
      <c r="E2924" t="s">
        <v>460</v>
      </c>
      <c r="F2924" t="s">
        <v>26</v>
      </c>
      <c r="G2924" t="s">
        <v>45</v>
      </c>
      <c r="H2924" t="s">
        <v>55</v>
      </c>
      <c r="I2924" t="s">
        <v>39</v>
      </c>
      <c r="J2924" t="s">
        <v>46</v>
      </c>
      <c r="K2924" s="2">
        <v>5450</v>
      </c>
      <c r="L2924" s="2">
        <v>43500</v>
      </c>
      <c r="M2924">
        <v>36</v>
      </c>
      <c r="N2924" s="3">
        <v>0.41399999999999998</v>
      </c>
      <c r="O2924" t="s">
        <v>17</v>
      </c>
      <c r="P2924" t="s">
        <v>31</v>
      </c>
      <c r="Q2924">
        <v>0</v>
      </c>
      <c r="R2924">
        <v>1</v>
      </c>
      <c r="S2924" s="2">
        <v>0</v>
      </c>
      <c r="T2924" s="4"/>
      <c r="U2924">
        <v>3</v>
      </c>
      <c r="V2924">
        <v>1</v>
      </c>
      <c r="W2924">
        <v>1</v>
      </c>
    </row>
    <row r="2925" spans="1:23" ht="16.5" x14ac:dyDescent="0.3">
      <c r="A2925" t="s">
        <v>2989</v>
      </c>
      <c r="B2925" s="1">
        <v>45723</v>
      </c>
      <c r="C2925">
        <v>2025</v>
      </c>
      <c r="D2925" t="s">
        <v>24</v>
      </c>
      <c r="E2925" t="s">
        <v>460</v>
      </c>
      <c r="F2925" t="s">
        <v>37</v>
      </c>
      <c r="G2925" t="s">
        <v>51</v>
      </c>
      <c r="H2925" t="s">
        <v>28</v>
      </c>
      <c r="I2925" t="s">
        <v>39</v>
      </c>
      <c r="J2925" t="s">
        <v>35</v>
      </c>
      <c r="K2925" s="2">
        <v>7650</v>
      </c>
      <c r="L2925" s="2">
        <v>13500</v>
      </c>
      <c r="M2925">
        <v>12</v>
      </c>
      <c r="N2925" s="3">
        <v>0.307</v>
      </c>
      <c r="O2925" t="s">
        <v>17</v>
      </c>
      <c r="P2925" t="s">
        <v>65</v>
      </c>
      <c r="Q2925">
        <v>0</v>
      </c>
      <c r="R2925">
        <v>1</v>
      </c>
      <c r="S2925" s="2">
        <v>0</v>
      </c>
      <c r="T2925" s="4"/>
      <c r="U2925">
        <v>3</v>
      </c>
      <c r="V2925">
        <v>1</v>
      </c>
      <c r="W2925">
        <v>1</v>
      </c>
    </row>
    <row r="2926" spans="1:23" ht="16.5" x14ac:dyDescent="0.3">
      <c r="A2926" t="s">
        <v>2990</v>
      </c>
      <c r="B2926" s="1">
        <v>45723</v>
      </c>
      <c r="C2926">
        <v>2025</v>
      </c>
      <c r="D2926" t="s">
        <v>24</v>
      </c>
      <c r="E2926" t="s">
        <v>460</v>
      </c>
      <c r="F2926" t="s">
        <v>26</v>
      </c>
      <c r="G2926" t="s">
        <v>51</v>
      </c>
      <c r="H2926" t="s">
        <v>55</v>
      </c>
      <c r="I2926" t="s">
        <v>29</v>
      </c>
      <c r="J2926" t="s">
        <v>35</v>
      </c>
      <c r="K2926" s="2">
        <v>6600</v>
      </c>
      <c r="L2926" s="2">
        <v>48500</v>
      </c>
      <c r="M2926">
        <v>48</v>
      </c>
      <c r="N2926" s="3">
        <v>0.374</v>
      </c>
      <c r="O2926" t="s">
        <v>17</v>
      </c>
      <c r="P2926" t="s">
        <v>48</v>
      </c>
      <c r="Q2926">
        <v>0</v>
      </c>
      <c r="R2926">
        <v>1</v>
      </c>
      <c r="S2926" s="2">
        <v>0</v>
      </c>
      <c r="T2926" s="4"/>
      <c r="U2926">
        <v>3</v>
      </c>
      <c r="V2926">
        <v>1</v>
      </c>
      <c r="W2926">
        <v>1</v>
      </c>
    </row>
    <row r="2927" spans="1:23" ht="16.5" x14ac:dyDescent="0.3">
      <c r="A2927" t="s">
        <v>2991</v>
      </c>
      <c r="B2927" s="1">
        <v>45723</v>
      </c>
      <c r="C2927">
        <v>2025</v>
      </c>
      <c r="D2927" t="s">
        <v>24</v>
      </c>
      <c r="E2927" t="s">
        <v>460</v>
      </c>
      <c r="F2927" t="s">
        <v>26</v>
      </c>
      <c r="G2927" t="s">
        <v>45</v>
      </c>
      <c r="H2927" t="s">
        <v>28</v>
      </c>
      <c r="I2927" t="s">
        <v>29</v>
      </c>
      <c r="J2927" t="s">
        <v>46</v>
      </c>
      <c r="K2927" s="2">
        <v>12000</v>
      </c>
      <c r="L2927" s="2">
        <v>39000</v>
      </c>
      <c r="M2927">
        <v>60</v>
      </c>
      <c r="N2927" s="3">
        <v>0.20699999999999999</v>
      </c>
      <c r="O2927" t="s">
        <v>16</v>
      </c>
      <c r="Q2927">
        <v>1</v>
      </c>
      <c r="R2927">
        <v>0</v>
      </c>
      <c r="S2927" s="2">
        <v>35000</v>
      </c>
      <c r="T2927" s="4">
        <v>6.8400000000000002E-2</v>
      </c>
      <c r="U2927">
        <v>2</v>
      </c>
      <c r="V2927">
        <v>1</v>
      </c>
      <c r="W2927">
        <v>1</v>
      </c>
    </row>
    <row r="2928" spans="1:23" ht="16.5" x14ac:dyDescent="0.3">
      <c r="A2928" t="s">
        <v>2992</v>
      </c>
      <c r="B2928" s="1">
        <v>45723</v>
      </c>
      <c r="C2928">
        <v>2025</v>
      </c>
      <c r="D2928" t="s">
        <v>24</v>
      </c>
      <c r="E2928" t="s">
        <v>460</v>
      </c>
      <c r="F2928" t="s">
        <v>37</v>
      </c>
      <c r="G2928" t="s">
        <v>45</v>
      </c>
      <c r="H2928" t="s">
        <v>55</v>
      </c>
      <c r="I2928" t="s">
        <v>42</v>
      </c>
      <c r="J2928" t="s">
        <v>52</v>
      </c>
      <c r="K2928" s="2">
        <v>6200</v>
      </c>
      <c r="L2928" s="2">
        <v>8500</v>
      </c>
      <c r="M2928">
        <v>60</v>
      </c>
      <c r="N2928" s="3">
        <v>0.22700000000000001</v>
      </c>
      <c r="O2928" t="s">
        <v>16</v>
      </c>
      <c r="Q2928">
        <v>1</v>
      </c>
      <c r="R2928">
        <v>0</v>
      </c>
      <c r="S2928" s="2">
        <v>7000</v>
      </c>
      <c r="T2928" s="4">
        <v>0.1137</v>
      </c>
      <c r="U2928">
        <v>2</v>
      </c>
      <c r="V2928">
        <v>1</v>
      </c>
      <c r="W2928">
        <v>1</v>
      </c>
    </row>
    <row r="2929" spans="1:23" ht="16.5" x14ac:dyDescent="0.3">
      <c r="A2929" t="s">
        <v>2993</v>
      </c>
      <c r="B2929" s="1">
        <v>45723</v>
      </c>
      <c r="C2929">
        <v>2025</v>
      </c>
      <c r="D2929" t="s">
        <v>24</v>
      </c>
      <c r="E2929" t="s">
        <v>460</v>
      </c>
      <c r="F2929" t="s">
        <v>41</v>
      </c>
      <c r="G2929" t="s">
        <v>33</v>
      </c>
      <c r="H2929" t="s">
        <v>55</v>
      </c>
      <c r="I2929" t="s">
        <v>39</v>
      </c>
      <c r="J2929" t="s">
        <v>35</v>
      </c>
      <c r="K2929" s="2">
        <v>5600</v>
      </c>
      <c r="L2929" s="2">
        <v>76000</v>
      </c>
      <c r="M2929">
        <v>12</v>
      </c>
      <c r="N2929" s="3">
        <v>1.351</v>
      </c>
      <c r="O2929" t="s">
        <v>17</v>
      </c>
      <c r="P2929" t="s">
        <v>53</v>
      </c>
      <c r="Q2929">
        <v>0</v>
      </c>
      <c r="R2929">
        <v>1</v>
      </c>
      <c r="S2929" s="2">
        <v>0</v>
      </c>
      <c r="T2929" s="4"/>
      <c r="U2929">
        <v>5</v>
      </c>
      <c r="V2929">
        <v>1</v>
      </c>
      <c r="W2929">
        <v>1</v>
      </c>
    </row>
    <row r="2930" spans="1:23" ht="16.5" x14ac:dyDescent="0.3">
      <c r="A2930" t="s">
        <v>2994</v>
      </c>
      <c r="B2930" s="1">
        <v>45723</v>
      </c>
      <c r="C2930">
        <v>2025</v>
      </c>
      <c r="D2930" t="s">
        <v>24</v>
      </c>
      <c r="E2930" t="s">
        <v>460</v>
      </c>
      <c r="F2930" t="s">
        <v>41</v>
      </c>
      <c r="G2930" t="s">
        <v>51</v>
      </c>
      <c r="H2930" t="s">
        <v>34</v>
      </c>
      <c r="I2930" t="s">
        <v>42</v>
      </c>
      <c r="J2930" t="s">
        <v>43</v>
      </c>
      <c r="K2930" s="2">
        <v>7750</v>
      </c>
      <c r="L2930" s="2">
        <v>74500</v>
      </c>
      <c r="M2930">
        <v>12</v>
      </c>
      <c r="N2930" s="3">
        <v>1.0029999999999999</v>
      </c>
      <c r="O2930" t="s">
        <v>17</v>
      </c>
      <c r="P2930" t="s">
        <v>53</v>
      </c>
      <c r="Q2930">
        <v>0</v>
      </c>
      <c r="R2930">
        <v>1</v>
      </c>
      <c r="S2930" s="2">
        <v>0</v>
      </c>
      <c r="T2930" s="4"/>
      <c r="U2930">
        <v>15</v>
      </c>
      <c r="V2930">
        <v>0</v>
      </c>
      <c r="W2930">
        <v>1</v>
      </c>
    </row>
    <row r="2931" spans="1:23" ht="16.5" x14ac:dyDescent="0.3">
      <c r="A2931" t="s">
        <v>2995</v>
      </c>
      <c r="B2931" s="1">
        <v>45724</v>
      </c>
      <c r="C2931">
        <v>2025</v>
      </c>
      <c r="D2931" t="s">
        <v>24</v>
      </c>
      <c r="E2931" t="s">
        <v>460</v>
      </c>
      <c r="F2931" t="s">
        <v>37</v>
      </c>
      <c r="G2931" t="s">
        <v>27</v>
      </c>
      <c r="H2931" t="s">
        <v>34</v>
      </c>
      <c r="I2931" t="s">
        <v>29</v>
      </c>
      <c r="J2931" t="s">
        <v>52</v>
      </c>
      <c r="K2931" s="2">
        <v>2250</v>
      </c>
      <c r="L2931" s="2">
        <v>11000</v>
      </c>
      <c r="M2931">
        <v>24</v>
      </c>
      <c r="N2931" s="3">
        <v>0.29399999999999998</v>
      </c>
      <c r="O2931" t="s">
        <v>16</v>
      </c>
      <c r="Q2931">
        <v>1</v>
      </c>
      <c r="R2931">
        <v>0</v>
      </c>
      <c r="S2931" s="2">
        <v>11000</v>
      </c>
      <c r="T2931" s="4">
        <v>0.11509999999999999</v>
      </c>
      <c r="U2931">
        <v>2</v>
      </c>
      <c r="V2931">
        <v>1</v>
      </c>
      <c r="W2931">
        <v>1</v>
      </c>
    </row>
    <row r="2932" spans="1:23" ht="16.5" x14ac:dyDescent="0.3">
      <c r="A2932" t="s">
        <v>2996</v>
      </c>
      <c r="B2932" s="1">
        <v>45724</v>
      </c>
      <c r="C2932">
        <v>2025</v>
      </c>
      <c r="D2932" t="s">
        <v>24</v>
      </c>
      <c r="E2932" t="s">
        <v>460</v>
      </c>
      <c r="F2932" t="s">
        <v>41</v>
      </c>
      <c r="G2932" t="s">
        <v>27</v>
      </c>
      <c r="H2932" t="s">
        <v>34</v>
      </c>
      <c r="I2932" t="s">
        <v>29</v>
      </c>
      <c r="J2932" t="s">
        <v>52</v>
      </c>
      <c r="K2932" s="2">
        <v>7500</v>
      </c>
      <c r="L2932" s="2">
        <v>83000</v>
      </c>
      <c r="M2932">
        <v>24</v>
      </c>
      <c r="N2932" s="3">
        <v>0.69899999999999995</v>
      </c>
      <c r="O2932" t="s">
        <v>17</v>
      </c>
      <c r="P2932" t="s">
        <v>60</v>
      </c>
      <c r="Q2932">
        <v>0</v>
      </c>
      <c r="R2932">
        <v>1</v>
      </c>
      <c r="S2932" s="2">
        <v>0</v>
      </c>
      <c r="T2932" s="4"/>
      <c r="U2932">
        <v>12</v>
      </c>
      <c r="V2932">
        <v>0</v>
      </c>
      <c r="W2932">
        <v>1</v>
      </c>
    </row>
    <row r="2933" spans="1:23" ht="16.5" x14ac:dyDescent="0.3">
      <c r="A2933" t="s">
        <v>2997</v>
      </c>
      <c r="B2933" s="1">
        <v>45724</v>
      </c>
      <c r="C2933">
        <v>2025</v>
      </c>
      <c r="D2933" t="s">
        <v>24</v>
      </c>
      <c r="E2933" t="s">
        <v>460</v>
      </c>
      <c r="F2933" t="s">
        <v>41</v>
      </c>
      <c r="G2933" t="s">
        <v>45</v>
      </c>
      <c r="H2933" t="s">
        <v>34</v>
      </c>
      <c r="I2933" t="s">
        <v>39</v>
      </c>
      <c r="J2933" t="s">
        <v>35</v>
      </c>
      <c r="K2933" s="2">
        <v>4300</v>
      </c>
      <c r="L2933" s="2">
        <v>267000</v>
      </c>
      <c r="M2933">
        <v>60</v>
      </c>
      <c r="N2933" s="3">
        <v>1.4950000000000001</v>
      </c>
      <c r="O2933" t="s">
        <v>125</v>
      </c>
      <c r="Q2933">
        <v>0</v>
      </c>
      <c r="R2933">
        <v>0</v>
      </c>
      <c r="S2933" s="2">
        <v>0</v>
      </c>
      <c r="T2933" s="4"/>
      <c r="U2933">
        <v>5</v>
      </c>
      <c r="V2933">
        <v>1</v>
      </c>
      <c r="W2933">
        <v>1</v>
      </c>
    </row>
    <row r="2934" spans="1:23" ht="16.5" x14ac:dyDescent="0.3">
      <c r="A2934" t="s">
        <v>2998</v>
      </c>
      <c r="B2934" s="1">
        <v>45724</v>
      </c>
      <c r="C2934">
        <v>2025</v>
      </c>
      <c r="D2934" t="s">
        <v>24</v>
      </c>
      <c r="E2934" t="s">
        <v>460</v>
      </c>
      <c r="F2934" t="s">
        <v>26</v>
      </c>
      <c r="G2934" t="s">
        <v>33</v>
      </c>
      <c r="H2934" t="s">
        <v>38</v>
      </c>
      <c r="I2934" t="s">
        <v>29</v>
      </c>
      <c r="J2934" t="s">
        <v>35</v>
      </c>
      <c r="K2934" s="2">
        <v>4550</v>
      </c>
      <c r="L2934" s="2">
        <v>39000</v>
      </c>
      <c r="M2934">
        <v>36</v>
      </c>
      <c r="N2934" s="3">
        <v>0.48299999999999998</v>
      </c>
      <c r="O2934" t="s">
        <v>16</v>
      </c>
      <c r="Q2934">
        <v>1</v>
      </c>
      <c r="R2934">
        <v>0</v>
      </c>
      <c r="S2934" s="2">
        <v>39000</v>
      </c>
      <c r="T2934" s="4">
        <v>8.8099999999999998E-2</v>
      </c>
      <c r="U2934">
        <v>1</v>
      </c>
      <c r="V2934">
        <v>1</v>
      </c>
      <c r="W2934">
        <v>1</v>
      </c>
    </row>
    <row r="2935" spans="1:23" ht="16.5" x14ac:dyDescent="0.3">
      <c r="A2935" t="s">
        <v>2999</v>
      </c>
      <c r="B2935" s="1">
        <v>45725</v>
      </c>
      <c r="C2935">
        <v>2025</v>
      </c>
      <c r="D2935" t="s">
        <v>24</v>
      </c>
      <c r="E2935" t="s">
        <v>460</v>
      </c>
      <c r="F2935" t="s">
        <v>41</v>
      </c>
      <c r="G2935" t="s">
        <v>27</v>
      </c>
      <c r="H2935" t="s">
        <v>55</v>
      </c>
      <c r="I2935" t="s">
        <v>29</v>
      </c>
      <c r="J2935" t="s">
        <v>30</v>
      </c>
      <c r="K2935" s="2">
        <v>5750</v>
      </c>
      <c r="L2935" s="2">
        <v>98000</v>
      </c>
      <c r="M2935">
        <v>60</v>
      </c>
      <c r="N2935" s="3">
        <v>0.56699999999999995</v>
      </c>
      <c r="O2935" t="s">
        <v>17</v>
      </c>
      <c r="P2935" t="s">
        <v>31</v>
      </c>
      <c r="Q2935">
        <v>0</v>
      </c>
      <c r="R2935">
        <v>1</v>
      </c>
      <c r="S2935" s="2">
        <v>0</v>
      </c>
      <c r="T2935" s="4"/>
      <c r="U2935">
        <v>8</v>
      </c>
      <c r="V2935">
        <v>1</v>
      </c>
      <c r="W2935">
        <v>1</v>
      </c>
    </row>
    <row r="2936" spans="1:23" ht="16.5" x14ac:dyDescent="0.3">
      <c r="A2936" t="s">
        <v>3000</v>
      </c>
      <c r="B2936" s="1">
        <v>45725</v>
      </c>
      <c r="C2936">
        <v>2025</v>
      </c>
      <c r="D2936" t="s">
        <v>24</v>
      </c>
      <c r="E2936" t="s">
        <v>460</v>
      </c>
      <c r="F2936" t="s">
        <v>37</v>
      </c>
      <c r="G2936" t="s">
        <v>51</v>
      </c>
      <c r="H2936" t="s">
        <v>55</v>
      </c>
      <c r="I2936" t="s">
        <v>39</v>
      </c>
      <c r="J2936" t="s">
        <v>46</v>
      </c>
      <c r="K2936" s="2">
        <v>1650</v>
      </c>
      <c r="L2936" s="2">
        <v>10000</v>
      </c>
      <c r="M2936">
        <v>36</v>
      </c>
      <c r="N2936" s="3">
        <v>0.4</v>
      </c>
      <c r="O2936" t="s">
        <v>16</v>
      </c>
      <c r="Q2936">
        <v>1</v>
      </c>
      <c r="R2936">
        <v>0</v>
      </c>
      <c r="S2936" s="2">
        <v>8000</v>
      </c>
      <c r="T2936" s="4">
        <v>0.1075</v>
      </c>
      <c r="U2936">
        <v>5</v>
      </c>
      <c r="V2936">
        <v>0</v>
      </c>
      <c r="W2936">
        <v>1</v>
      </c>
    </row>
    <row r="2937" spans="1:23" ht="16.5" x14ac:dyDescent="0.3">
      <c r="A2937" t="s">
        <v>3001</v>
      </c>
      <c r="B2937" s="1">
        <v>45725</v>
      </c>
      <c r="C2937">
        <v>2025</v>
      </c>
      <c r="D2937" t="s">
        <v>24</v>
      </c>
      <c r="E2937" t="s">
        <v>460</v>
      </c>
      <c r="F2937" t="s">
        <v>26</v>
      </c>
      <c r="G2937" t="s">
        <v>51</v>
      </c>
      <c r="H2937" t="s">
        <v>38</v>
      </c>
      <c r="I2937" t="s">
        <v>42</v>
      </c>
      <c r="J2937" t="s">
        <v>52</v>
      </c>
      <c r="K2937" s="2">
        <v>7250</v>
      </c>
      <c r="L2937" s="2">
        <v>27000</v>
      </c>
      <c r="M2937">
        <v>48</v>
      </c>
      <c r="N2937" s="3">
        <v>0.184</v>
      </c>
      <c r="O2937" t="s">
        <v>16</v>
      </c>
      <c r="Q2937">
        <v>1</v>
      </c>
      <c r="R2937">
        <v>0</v>
      </c>
      <c r="S2937" s="2">
        <v>24500</v>
      </c>
      <c r="T2937" s="4">
        <v>6.7900000000000002E-2</v>
      </c>
      <c r="U2937">
        <v>7</v>
      </c>
      <c r="V2937">
        <v>0</v>
      </c>
      <c r="W2937">
        <v>1</v>
      </c>
    </row>
    <row r="2938" spans="1:23" ht="16.5" x14ac:dyDescent="0.3">
      <c r="A2938" t="s">
        <v>3002</v>
      </c>
      <c r="B2938" s="1">
        <v>45725</v>
      </c>
      <c r="C2938">
        <v>2025</v>
      </c>
      <c r="D2938" t="s">
        <v>24</v>
      </c>
      <c r="E2938" t="s">
        <v>460</v>
      </c>
      <c r="F2938" t="s">
        <v>37</v>
      </c>
      <c r="G2938" t="s">
        <v>33</v>
      </c>
      <c r="H2938" t="s">
        <v>55</v>
      </c>
      <c r="I2938" t="s">
        <v>29</v>
      </c>
      <c r="J2938" t="s">
        <v>52</v>
      </c>
      <c r="K2938" s="2">
        <v>4500</v>
      </c>
      <c r="L2938" s="2">
        <v>17000</v>
      </c>
      <c r="M2938">
        <v>24</v>
      </c>
      <c r="N2938" s="3">
        <v>0.33600000000000002</v>
      </c>
      <c r="O2938" t="s">
        <v>16</v>
      </c>
      <c r="Q2938">
        <v>1</v>
      </c>
      <c r="R2938">
        <v>0</v>
      </c>
      <c r="S2938" s="2">
        <v>17000</v>
      </c>
      <c r="T2938" s="4">
        <v>0.10970000000000001</v>
      </c>
      <c r="U2938">
        <v>2</v>
      </c>
      <c r="V2938">
        <v>1</v>
      </c>
      <c r="W2938">
        <v>1</v>
      </c>
    </row>
    <row r="2939" spans="1:23" ht="16.5" x14ac:dyDescent="0.3">
      <c r="A2939" t="s">
        <v>3003</v>
      </c>
      <c r="B2939" s="1">
        <v>45725</v>
      </c>
      <c r="C2939">
        <v>2025</v>
      </c>
      <c r="D2939" t="s">
        <v>24</v>
      </c>
      <c r="E2939" t="s">
        <v>460</v>
      </c>
      <c r="F2939" t="s">
        <v>41</v>
      </c>
      <c r="G2939" t="s">
        <v>45</v>
      </c>
      <c r="H2939" t="s">
        <v>38</v>
      </c>
      <c r="I2939" t="s">
        <v>39</v>
      </c>
      <c r="J2939" t="s">
        <v>46</v>
      </c>
      <c r="K2939" s="2">
        <v>4100</v>
      </c>
      <c r="L2939" s="2">
        <v>106000</v>
      </c>
      <c r="M2939">
        <v>60</v>
      </c>
      <c r="N2939" s="3">
        <v>0.76</v>
      </c>
      <c r="O2939" t="s">
        <v>16</v>
      </c>
      <c r="Q2939">
        <v>1</v>
      </c>
      <c r="R2939">
        <v>0</v>
      </c>
      <c r="S2939" s="2">
        <v>85000</v>
      </c>
      <c r="T2939" s="4">
        <v>9.6299999999999997E-2</v>
      </c>
      <c r="U2939">
        <v>6</v>
      </c>
      <c r="V2939">
        <v>1</v>
      </c>
      <c r="W2939">
        <v>1</v>
      </c>
    </row>
    <row r="2940" spans="1:23" ht="16.5" x14ac:dyDescent="0.3">
      <c r="A2940" t="s">
        <v>3004</v>
      </c>
      <c r="B2940" s="1">
        <v>45725</v>
      </c>
      <c r="C2940">
        <v>2025</v>
      </c>
      <c r="D2940" t="s">
        <v>24</v>
      </c>
      <c r="E2940" t="s">
        <v>460</v>
      </c>
      <c r="F2940" t="s">
        <v>50</v>
      </c>
      <c r="G2940" t="s">
        <v>27</v>
      </c>
      <c r="H2940" t="s">
        <v>38</v>
      </c>
      <c r="I2940" t="s">
        <v>29</v>
      </c>
      <c r="J2940" t="s">
        <v>52</v>
      </c>
      <c r="K2940" s="2">
        <v>3950</v>
      </c>
      <c r="L2940" s="2">
        <v>152000</v>
      </c>
      <c r="M2940">
        <v>240</v>
      </c>
      <c r="N2940" s="3">
        <v>0.441</v>
      </c>
      <c r="O2940" t="s">
        <v>17</v>
      </c>
      <c r="P2940" t="s">
        <v>48</v>
      </c>
      <c r="Q2940">
        <v>0</v>
      </c>
      <c r="R2940">
        <v>1</v>
      </c>
      <c r="S2940" s="2">
        <v>0</v>
      </c>
      <c r="T2940" s="4"/>
      <c r="U2940">
        <v>8</v>
      </c>
      <c r="V2940">
        <v>1</v>
      </c>
      <c r="W2940">
        <v>1</v>
      </c>
    </row>
    <row r="2941" spans="1:23" ht="16.5" x14ac:dyDescent="0.3">
      <c r="A2941" t="s">
        <v>3005</v>
      </c>
      <c r="B2941" s="1">
        <v>45725</v>
      </c>
      <c r="C2941">
        <v>2025</v>
      </c>
      <c r="D2941" t="s">
        <v>24</v>
      </c>
      <c r="E2941" t="s">
        <v>460</v>
      </c>
      <c r="F2941" t="s">
        <v>41</v>
      </c>
      <c r="G2941" t="s">
        <v>33</v>
      </c>
      <c r="H2941" t="s">
        <v>34</v>
      </c>
      <c r="I2941" t="s">
        <v>39</v>
      </c>
      <c r="J2941" t="s">
        <v>52</v>
      </c>
      <c r="K2941" s="2">
        <v>5300</v>
      </c>
      <c r="L2941" s="2">
        <v>66500</v>
      </c>
      <c r="M2941">
        <v>12</v>
      </c>
      <c r="N2941" s="3">
        <v>1.319</v>
      </c>
      <c r="O2941" t="s">
        <v>17</v>
      </c>
      <c r="P2941" t="s">
        <v>53</v>
      </c>
      <c r="Q2941">
        <v>0</v>
      </c>
      <c r="R2941">
        <v>1</v>
      </c>
      <c r="S2941" s="2">
        <v>0</v>
      </c>
      <c r="T2941" s="4"/>
      <c r="U2941">
        <v>5</v>
      </c>
      <c r="V2941">
        <v>1</v>
      </c>
      <c r="W2941">
        <v>1</v>
      </c>
    </row>
    <row r="2942" spans="1:23" ht="16.5" x14ac:dyDescent="0.3">
      <c r="A2942" t="s">
        <v>3006</v>
      </c>
      <c r="B2942" s="1">
        <v>45725</v>
      </c>
      <c r="C2942">
        <v>2025</v>
      </c>
      <c r="D2942" t="s">
        <v>24</v>
      </c>
      <c r="E2942" t="s">
        <v>460</v>
      </c>
      <c r="F2942" t="s">
        <v>50</v>
      </c>
      <c r="G2942" t="s">
        <v>33</v>
      </c>
      <c r="H2942" t="s">
        <v>38</v>
      </c>
      <c r="I2942" t="s">
        <v>42</v>
      </c>
      <c r="J2942" t="s">
        <v>30</v>
      </c>
      <c r="K2942" s="2">
        <v>5350</v>
      </c>
      <c r="L2942" s="2">
        <v>632500</v>
      </c>
      <c r="M2942">
        <v>240</v>
      </c>
      <c r="N2942" s="3">
        <v>0.95799999999999996</v>
      </c>
      <c r="O2942" t="s">
        <v>17</v>
      </c>
      <c r="P2942" t="s">
        <v>31</v>
      </c>
      <c r="Q2942">
        <v>0</v>
      </c>
      <c r="R2942">
        <v>1</v>
      </c>
      <c r="S2942" s="2">
        <v>0</v>
      </c>
      <c r="T2942" s="4"/>
      <c r="U2942">
        <v>9</v>
      </c>
      <c r="V2942">
        <v>1</v>
      </c>
      <c r="W2942">
        <v>1</v>
      </c>
    </row>
    <row r="2943" spans="1:23" ht="16.5" x14ac:dyDescent="0.3">
      <c r="A2943" t="s">
        <v>3007</v>
      </c>
      <c r="B2943" s="1">
        <v>45726</v>
      </c>
      <c r="C2943">
        <v>2025</v>
      </c>
      <c r="D2943" t="s">
        <v>24</v>
      </c>
      <c r="E2943" t="s">
        <v>460</v>
      </c>
      <c r="F2943" t="s">
        <v>37</v>
      </c>
      <c r="G2943" t="s">
        <v>33</v>
      </c>
      <c r="H2943" t="s">
        <v>55</v>
      </c>
      <c r="I2943" t="s">
        <v>39</v>
      </c>
      <c r="J2943" t="s">
        <v>35</v>
      </c>
      <c r="K2943" s="2">
        <v>5800</v>
      </c>
      <c r="L2943" s="2">
        <v>8500</v>
      </c>
      <c r="M2943">
        <v>24</v>
      </c>
      <c r="N2943" s="3">
        <v>0.30299999999999999</v>
      </c>
      <c r="O2943" t="s">
        <v>17</v>
      </c>
      <c r="P2943" t="s">
        <v>31</v>
      </c>
      <c r="Q2943">
        <v>0</v>
      </c>
      <c r="R2943">
        <v>1</v>
      </c>
      <c r="S2943" s="2">
        <v>0</v>
      </c>
      <c r="T2943" s="4"/>
      <c r="U2943">
        <v>2</v>
      </c>
      <c r="V2943">
        <v>1</v>
      </c>
      <c r="W2943">
        <v>1</v>
      </c>
    </row>
    <row r="2944" spans="1:23" ht="16.5" x14ac:dyDescent="0.3">
      <c r="A2944" t="s">
        <v>3008</v>
      </c>
      <c r="B2944" s="1">
        <v>45726</v>
      </c>
      <c r="C2944">
        <v>2025</v>
      </c>
      <c r="D2944" t="s">
        <v>24</v>
      </c>
      <c r="E2944" t="s">
        <v>460</v>
      </c>
      <c r="F2944" t="s">
        <v>26</v>
      </c>
      <c r="G2944" t="s">
        <v>45</v>
      </c>
      <c r="H2944" t="s">
        <v>55</v>
      </c>
      <c r="I2944" t="s">
        <v>39</v>
      </c>
      <c r="J2944" t="s">
        <v>30</v>
      </c>
      <c r="K2944" s="2">
        <v>4150</v>
      </c>
      <c r="L2944" s="2">
        <v>41000</v>
      </c>
      <c r="M2944">
        <v>48</v>
      </c>
      <c r="N2944" s="3">
        <v>0.315</v>
      </c>
      <c r="O2944" t="s">
        <v>17</v>
      </c>
      <c r="P2944" t="s">
        <v>31</v>
      </c>
      <c r="Q2944">
        <v>0</v>
      </c>
      <c r="R2944">
        <v>1</v>
      </c>
      <c r="S2944" s="2">
        <v>0</v>
      </c>
      <c r="T2944" s="4"/>
      <c r="U2944">
        <v>1</v>
      </c>
      <c r="V2944">
        <v>1</v>
      </c>
      <c r="W2944">
        <v>1</v>
      </c>
    </row>
    <row r="2945" spans="1:23" ht="16.5" x14ac:dyDescent="0.3">
      <c r="A2945" t="s">
        <v>3009</v>
      </c>
      <c r="B2945" s="1">
        <v>45726</v>
      </c>
      <c r="C2945">
        <v>2025</v>
      </c>
      <c r="D2945" t="s">
        <v>24</v>
      </c>
      <c r="E2945" t="s">
        <v>460</v>
      </c>
      <c r="F2945" t="s">
        <v>26</v>
      </c>
      <c r="G2945" t="s">
        <v>45</v>
      </c>
      <c r="H2945" t="s">
        <v>34</v>
      </c>
      <c r="I2945" t="s">
        <v>29</v>
      </c>
      <c r="J2945" t="s">
        <v>35</v>
      </c>
      <c r="K2945" s="2">
        <v>2900</v>
      </c>
      <c r="L2945" s="2">
        <v>10500</v>
      </c>
      <c r="M2945">
        <v>48</v>
      </c>
      <c r="N2945" s="3">
        <v>0.26300000000000001</v>
      </c>
      <c r="O2945" t="s">
        <v>16</v>
      </c>
      <c r="Q2945">
        <v>1</v>
      </c>
      <c r="R2945">
        <v>0</v>
      </c>
      <c r="S2945" s="2">
        <v>10500</v>
      </c>
      <c r="T2945" s="4">
        <v>7.8100000000000003E-2</v>
      </c>
      <c r="U2945">
        <v>3</v>
      </c>
      <c r="V2945">
        <v>1</v>
      </c>
      <c r="W2945">
        <v>1</v>
      </c>
    </row>
    <row r="2946" spans="1:23" ht="16.5" x14ac:dyDescent="0.3">
      <c r="A2946" t="s">
        <v>3010</v>
      </c>
      <c r="B2946" s="1">
        <v>45726</v>
      </c>
      <c r="C2946">
        <v>2025</v>
      </c>
      <c r="D2946" t="s">
        <v>24</v>
      </c>
      <c r="E2946" t="s">
        <v>460</v>
      </c>
      <c r="F2946" t="s">
        <v>37</v>
      </c>
      <c r="G2946" t="s">
        <v>33</v>
      </c>
      <c r="H2946" t="s">
        <v>34</v>
      </c>
      <c r="I2946" t="s">
        <v>42</v>
      </c>
      <c r="J2946" t="s">
        <v>52</v>
      </c>
      <c r="K2946" s="2">
        <v>8600</v>
      </c>
      <c r="L2946" s="2">
        <v>21000</v>
      </c>
      <c r="M2946">
        <v>36</v>
      </c>
      <c r="N2946" s="3">
        <v>0.25700000000000001</v>
      </c>
      <c r="O2946" t="s">
        <v>16</v>
      </c>
      <c r="Q2946">
        <v>1</v>
      </c>
      <c r="R2946">
        <v>0</v>
      </c>
      <c r="S2946" s="2">
        <v>21000</v>
      </c>
      <c r="T2946" s="4">
        <v>0.1147</v>
      </c>
      <c r="U2946">
        <v>2</v>
      </c>
      <c r="V2946">
        <v>1</v>
      </c>
      <c r="W2946">
        <v>1</v>
      </c>
    </row>
    <row r="2947" spans="1:23" ht="16.5" x14ac:dyDescent="0.3">
      <c r="A2947" t="s">
        <v>3011</v>
      </c>
      <c r="B2947" s="1">
        <v>45726</v>
      </c>
      <c r="C2947">
        <v>2025</v>
      </c>
      <c r="D2947" t="s">
        <v>24</v>
      </c>
      <c r="E2947" t="s">
        <v>460</v>
      </c>
      <c r="F2947" t="s">
        <v>37</v>
      </c>
      <c r="G2947" t="s">
        <v>51</v>
      </c>
      <c r="H2947" t="s">
        <v>55</v>
      </c>
      <c r="I2947" t="s">
        <v>29</v>
      </c>
      <c r="J2947" t="s">
        <v>30</v>
      </c>
      <c r="K2947" s="2">
        <v>4850</v>
      </c>
      <c r="L2947" s="2">
        <v>13500</v>
      </c>
      <c r="M2947">
        <v>12</v>
      </c>
      <c r="N2947" s="3">
        <v>0.40600000000000003</v>
      </c>
      <c r="O2947" t="s">
        <v>16</v>
      </c>
      <c r="Q2947">
        <v>1</v>
      </c>
      <c r="R2947">
        <v>0</v>
      </c>
      <c r="S2947" s="2">
        <v>12000</v>
      </c>
      <c r="T2947" s="4">
        <v>0.13669999999999999</v>
      </c>
      <c r="U2947">
        <v>7</v>
      </c>
      <c r="V2947">
        <v>0</v>
      </c>
      <c r="W2947">
        <v>1</v>
      </c>
    </row>
    <row r="2948" spans="1:23" ht="16.5" x14ac:dyDescent="0.3">
      <c r="A2948" t="s">
        <v>3012</v>
      </c>
      <c r="B2948" s="1">
        <v>45726</v>
      </c>
      <c r="C2948">
        <v>2025</v>
      </c>
      <c r="D2948" t="s">
        <v>24</v>
      </c>
      <c r="E2948" t="s">
        <v>460</v>
      </c>
      <c r="F2948" t="s">
        <v>50</v>
      </c>
      <c r="G2948" t="s">
        <v>51</v>
      </c>
      <c r="H2948" t="s">
        <v>38</v>
      </c>
      <c r="I2948" t="s">
        <v>42</v>
      </c>
      <c r="J2948" t="s">
        <v>35</v>
      </c>
      <c r="K2948" s="2">
        <v>5200</v>
      </c>
      <c r="L2948" s="2">
        <v>198500</v>
      </c>
      <c r="M2948">
        <v>180</v>
      </c>
      <c r="N2948" s="3">
        <v>0.498</v>
      </c>
      <c r="O2948" t="s">
        <v>17</v>
      </c>
      <c r="P2948" t="s">
        <v>53</v>
      </c>
      <c r="Q2948">
        <v>0</v>
      </c>
      <c r="R2948">
        <v>1</v>
      </c>
      <c r="S2948" s="2">
        <v>0</v>
      </c>
      <c r="T2948" s="4"/>
      <c r="U2948">
        <v>21</v>
      </c>
      <c r="V2948">
        <v>0</v>
      </c>
      <c r="W2948">
        <v>1</v>
      </c>
    </row>
    <row r="2949" spans="1:23" ht="16.5" x14ac:dyDescent="0.3">
      <c r="A2949" t="s">
        <v>3013</v>
      </c>
      <c r="B2949" s="1">
        <v>45726</v>
      </c>
      <c r="C2949">
        <v>2025</v>
      </c>
      <c r="D2949" t="s">
        <v>24</v>
      </c>
      <c r="E2949" t="s">
        <v>460</v>
      </c>
      <c r="F2949" t="s">
        <v>50</v>
      </c>
      <c r="G2949" t="s">
        <v>27</v>
      </c>
      <c r="H2949" t="s">
        <v>34</v>
      </c>
      <c r="I2949" t="s">
        <v>29</v>
      </c>
      <c r="J2949" t="s">
        <v>30</v>
      </c>
      <c r="K2949" s="2">
        <v>7650</v>
      </c>
      <c r="L2949" s="2">
        <v>277000</v>
      </c>
      <c r="M2949">
        <v>240</v>
      </c>
      <c r="N2949" s="3">
        <v>0.37</v>
      </c>
      <c r="O2949" t="s">
        <v>17</v>
      </c>
      <c r="P2949" t="s">
        <v>65</v>
      </c>
      <c r="Q2949">
        <v>0</v>
      </c>
      <c r="R2949">
        <v>1</v>
      </c>
      <c r="S2949" s="2">
        <v>0</v>
      </c>
      <c r="T2949" s="4"/>
      <c r="U2949">
        <v>10</v>
      </c>
      <c r="V2949">
        <v>1</v>
      </c>
      <c r="W2949">
        <v>1</v>
      </c>
    </row>
    <row r="2950" spans="1:23" ht="16.5" x14ac:dyDescent="0.3">
      <c r="A2950" t="s">
        <v>3014</v>
      </c>
      <c r="B2950" s="1">
        <v>45726</v>
      </c>
      <c r="C2950">
        <v>2025</v>
      </c>
      <c r="D2950" t="s">
        <v>24</v>
      </c>
      <c r="E2950" t="s">
        <v>460</v>
      </c>
      <c r="F2950" t="s">
        <v>50</v>
      </c>
      <c r="G2950" t="s">
        <v>33</v>
      </c>
      <c r="H2950" t="s">
        <v>38</v>
      </c>
      <c r="I2950" t="s">
        <v>39</v>
      </c>
      <c r="J2950" t="s">
        <v>35</v>
      </c>
      <c r="K2950" s="2">
        <v>2850</v>
      </c>
      <c r="L2950" s="2">
        <v>283500</v>
      </c>
      <c r="M2950">
        <v>300</v>
      </c>
      <c r="N2950" s="3">
        <v>0.77200000000000002</v>
      </c>
      <c r="O2950" t="s">
        <v>16</v>
      </c>
      <c r="Q2950">
        <v>1</v>
      </c>
      <c r="R2950">
        <v>0</v>
      </c>
      <c r="S2950" s="2">
        <v>283500</v>
      </c>
      <c r="T2950" s="4">
        <v>5.9200000000000003E-2</v>
      </c>
      <c r="U2950">
        <v>5</v>
      </c>
      <c r="V2950">
        <v>1</v>
      </c>
      <c r="W2950">
        <v>1</v>
      </c>
    </row>
    <row r="2951" spans="1:23" ht="16.5" x14ac:dyDescent="0.3">
      <c r="A2951" t="s">
        <v>3015</v>
      </c>
      <c r="B2951" s="1">
        <v>45726</v>
      </c>
      <c r="C2951">
        <v>2025</v>
      </c>
      <c r="D2951" t="s">
        <v>24</v>
      </c>
      <c r="E2951" t="s">
        <v>460</v>
      </c>
      <c r="F2951" t="s">
        <v>26</v>
      </c>
      <c r="G2951" t="s">
        <v>51</v>
      </c>
      <c r="H2951" t="s">
        <v>55</v>
      </c>
      <c r="I2951" t="s">
        <v>42</v>
      </c>
      <c r="J2951" t="s">
        <v>35</v>
      </c>
      <c r="K2951" s="2">
        <v>8100</v>
      </c>
      <c r="L2951" s="2">
        <v>73000</v>
      </c>
      <c r="M2951">
        <v>36</v>
      </c>
      <c r="N2951" s="3">
        <v>0.42</v>
      </c>
      <c r="O2951" t="s">
        <v>16</v>
      </c>
      <c r="Q2951">
        <v>1</v>
      </c>
      <c r="R2951">
        <v>0</v>
      </c>
      <c r="S2951" s="2">
        <v>73000</v>
      </c>
      <c r="T2951" s="4">
        <v>8.3199999999999996E-2</v>
      </c>
      <c r="U2951">
        <v>6</v>
      </c>
      <c r="V2951">
        <v>0</v>
      </c>
      <c r="W2951">
        <v>1</v>
      </c>
    </row>
    <row r="2952" spans="1:23" ht="16.5" x14ac:dyDescent="0.3">
      <c r="A2952" t="s">
        <v>3016</v>
      </c>
      <c r="B2952" s="1">
        <v>45726</v>
      </c>
      <c r="C2952">
        <v>2025</v>
      </c>
      <c r="D2952" t="s">
        <v>24</v>
      </c>
      <c r="E2952" t="s">
        <v>460</v>
      </c>
      <c r="F2952" t="s">
        <v>26</v>
      </c>
      <c r="G2952" t="s">
        <v>33</v>
      </c>
      <c r="H2952" t="s">
        <v>38</v>
      </c>
      <c r="I2952" t="s">
        <v>29</v>
      </c>
      <c r="J2952" t="s">
        <v>46</v>
      </c>
      <c r="K2952" s="2">
        <v>6900</v>
      </c>
      <c r="L2952" s="2">
        <v>20000</v>
      </c>
      <c r="M2952">
        <v>60</v>
      </c>
      <c r="N2952" s="3">
        <v>0.155</v>
      </c>
      <c r="O2952" t="s">
        <v>16</v>
      </c>
      <c r="Q2952">
        <v>1</v>
      </c>
      <c r="R2952">
        <v>0</v>
      </c>
      <c r="S2952" s="2">
        <v>20000</v>
      </c>
      <c r="T2952" s="4">
        <v>6.5500000000000003E-2</v>
      </c>
      <c r="U2952">
        <v>3</v>
      </c>
      <c r="V2952">
        <v>1</v>
      </c>
      <c r="W2952">
        <v>1</v>
      </c>
    </row>
    <row r="2953" spans="1:23" ht="16.5" x14ac:dyDescent="0.3">
      <c r="A2953" t="s">
        <v>3017</v>
      </c>
      <c r="B2953" s="1">
        <v>45727</v>
      </c>
      <c r="C2953">
        <v>2025</v>
      </c>
      <c r="D2953" t="s">
        <v>24</v>
      </c>
      <c r="E2953" t="s">
        <v>460</v>
      </c>
      <c r="F2953" t="s">
        <v>37</v>
      </c>
      <c r="G2953" t="s">
        <v>45</v>
      </c>
      <c r="H2953" t="s">
        <v>28</v>
      </c>
      <c r="I2953" t="s">
        <v>39</v>
      </c>
      <c r="J2953" t="s">
        <v>30</v>
      </c>
      <c r="K2953" s="2">
        <v>3750</v>
      </c>
      <c r="L2953" s="2">
        <v>13000</v>
      </c>
      <c r="M2953">
        <v>24</v>
      </c>
      <c r="N2953" s="3">
        <v>0.38800000000000001</v>
      </c>
      <c r="O2953" t="s">
        <v>16</v>
      </c>
      <c r="Q2953">
        <v>1</v>
      </c>
      <c r="R2953">
        <v>0</v>
      </c>
      <c r="S2953" s="2">
        <v>10500</v>
      </c>
      <c r="T2953" s="4">
        <v>0.13739999999999999</v>
      </c>
      <c r="U2953">
        <v>3</v>
      </c>
      <c r="V2953">
        <v>1</v>
      </c>
      <c r="W2953">
        <v>1</v>
      </c>
    </row>
    <row r="2954" spans="1:23" ht="16.5" x14ac:dyDescent="0.3">
      <c r="A2954" t="s">
        <v>3018</v>
      </c>
      <c r="B2954" s="1">
        <v>45727</v>
      </c>
      <c r="C2954">
        <v>2025</v>
      </c>
      <c r="D2954" t="s">
        <v>24</v>
      </c>
      <c r="E2954" t="s">
        <v>460</v>
      </c>
      <c r="F2954" t="s">
        <v>26</v>
      </c>
      <c r="G2954" t="s">
        <v>33</v>
      </c>
      <c r="H2954" t="s">
        <v>28</v>
      </c>
      <c r="I2954" t="s">
        <v>42</v>
      </c>
      <c r="J2954" t="s">
        <v>52</v>
      </c>
      <c r="K2954" s="2">
        <v>10450</v>
      </c>
      <c r="L2954" s="2">
        <v>32500</v>
      </c>
      <c r="M2954">
        <v>60</v>
      </c>
      <c r="N2954" s="3">
        <v>0.20499999999999999</v>
      </c>
      <c r="O2954" t="s">
        <v>16</v>
      </c>
      <c r="Q2954">
        <v>1</v>
      </c>
      <c r="R2954">
        <v>0</v>
      </c>
      <c r="S2954" s="2">
        <v>32500</v>
      </c>
      <c r="T2954" s="4">
        <v>7.5399999999999995E-2</v>
      </c>
      <c r="U2954">
        <v>3</v>
      </c>
      <c r="V2954">
        <v>1</v>
      </c>
      <c r="W2954">
        <v>1</v>
      </c>
    </row>
    <row r="2955" spans="1:23" ht="16.5" x14ac:dyDescent="0.3">
      <c r="A2955" t="s">
        <v>3019</v>
      </c>
      <c r="B2955" s="1">
        <v>45727</v>
      </c>
      <c r="C2955">
        <v>2025</v>
      </c>
      <c r="D2955" t="s">
        <v>24</v>
      </c>
      <c r="E2955" t="s">
        <v>460</v>
      </c>
      <c r="F2955" t="s">
        <v>26</v>
      </c>
      <c r="G2955" t="s">
        <v>45</v>
      </c>
      <c r="H2955" t="s">
        <v>38</v>
      </c>
      <c r="I2955" t="s">
        <v>29</v>
      </c>
      <c r="J2955" t="s">
        <v>46</v>
      </c>
      <c r="K2955" s="2">
        <v>3500</v>
      </c>
      <c r="L2955" s="2">
        <v>39500</v>
      </c>
      <c r="M2955">
        <v>36</v>
      </c>
      <c r="N2955" s="3">
        <v>0.54900000000000004</v>
      </c>
      <c r="O2955" t="s">
        <v>17</v>
      </c>
      <c r="P2955" t="s">
        <v>53</v>
      </c>
      <c r="Q2955">
        <v>0</v>
      </c>
      <c r="R2955">
        <v>1</v>
      </c>
      <c r="S2955" s="2">
        <v>0</v>
      </c>
      <c r="T2955" s="4"/>
      <c r="U2955">
        <v>4</v>
      </c>
      <c r="V2955">
        <v>1</v>
      </c>
      <c r="W2955">
        <v>1</v>
      </c>
    </row>
    <row r="2956" spans="1:23" ht="16.5" x14ac:dyDescent="0.3">
      <c r="A2956" t="s">
        <v>3020</v>
      </c>
      <c r="B2956" s="1">
        <v>45727</v>
      </c>
      <c r="C2956">
        <v>2025</v>
      </c>
      <c r="D2956" t="s">
        <v>24</v>
      </c>
      <c r="E2956" t="s">
        <v>460</v>
      </c>
      <c r="F2956" t="s">
        <v>26</v>
      </c>
      <c r="G2956" t="s">
        <v>51</v>
      </c>
      <c r="H2956" t="s">
        <v>28</v>
      </c>
      <c r="I2956" t="s">
        <v>29</v>
      </c>
      <c r="J2956" t="s">
        <v>46</v>
      </c>
      <c r="K2956" s="2">
        <v>2850</v>
      </c>
      <c r="L2956" s="2">
        <v>37000</v>
      </c>
      <c r="M2956">
        <v>48</v>
      </c>
      <c r="N2956" s="3">
        <v>0.41199999999999998</v>
      </c>
      <c r="O2956" t="s">
        <v>16</v>
      </c>
      <c r="Q2956">
        <v>1</v>
      </c>
      <c r="R2956">
        <v>0</v>
      </c>
      <c r="S2956" s="2">
        <v>37000</v>
      </c>
      <c r="T2956" s="4">
        <v>6.9199999999999998E-2</v>
      </c>
      <c r="U2956">
        <v>5</v>
      </c>
      <c r="V2956">
        <v>0</v>
      </c>
      <c r="W2956">
        <v>1</v>
      </c>
    </row>
    <row r="2957" spans="1:23" ht="16.5" x14ac:dyDescent="0.3">
      <c r="A2957" t="s">
        <v>3021</v>
      </c>
      <c r="B2957" s="1">
        <v>45727</v>
      </c>
      <c r="C2957">
        <v>2025</v>
      </c>
      <c r="D2957" t="s">
        <v>24</v>
      </c>
      <c r="E2957" t="s">
        <v>460</v>
      </c>
      <c r="F2957" t="s">
        <v>37</v>
      </c>
      <c r="G2957" t="s">
        <v>51</v>
      </c>
      <c r="H2957" t="s">
        <v>34</v>
      </c>
      <c r="I2957" t="s">
        <v>29</v>
      </c>
      <c r="J2957" t="s">
        <v>52</v>
      </c>
      <c r="K2957" s="2">
        <v>6250</v>
      </c>
      <c r="L2957" s="2">
        <v>12000</v>
      </c>
      <c r="M2957">
        <v>60</v>
      </c>
      <c r="N2957" s="3">
        <v>0.151</v>
      </c>
      <c r="O2957" t="s">
        <v>16</v>
      </c>
      <c r="Q2957">
        <v>1</v>
      </c>
      <c r="R2957">
        <v>0</v>
      </c>
      <c r="S2957" s="2">
        <v>9500</v>
      </c>
      <c r="T2957" s="4">
        <v>0.1142</v>
      </c>
      <c r="U2957">
        <v>6</v>
      </c>
      <c r="V2957">
        <v>0</v>
      </c>
      <c r="W2957">
        <v>1</v>
      </c>
    </row>
    <row r="2958" spans="1:23" ht="16.5" x14ac:dyDescent="0.3">
      <c r="A2958" t="s">
        <v>3022</v>
      </c>
      <c r="B2958" s="1">
        <v>45727</v>
      </c>
      <c r="C2958">
        <v>2025</v>
      </c>
      <c r="D2958" t="s">
        <v>24</v>
      </c>
      <c r="E2958" t="s">
        <v>460</v>
      </c>
      <c r="F2958" t="s">
        <v>50</v>
      </c>
      <c r="G2958" t="s">
        <v>33</v>
      </c>
      <c r="H2958" t="s">
        <v>64</v>
      </c>
      <c r="I2958" t="s">
        <v>39</v>
      </c>
      <c r="J2958" t="s">
        <v>35</v>
      </c>
      <c r="K2958" s="2">
        <v>4950</v>
      </c>
      <c r="L2958" s="2">
        <v>424000</v>
      </c>
      <c r="M2958">
        <v>240</v>
      </c>
      <c r="N2958" s="3">
        <v>0.61499999999999999</v>
      </c>
      <c r="O2958" t="s">
        <v>16</v>
      </c>
      <c r="Q2958">
        <v>1</v>
      </c>
      <c r="R2958">
        <v>0</v>
      </c>
      <c r="S2958" s="2">
        <v>424000</v>
      </c>
      <c r="T2958" s="4">
        <v>6.2700000000000006E-2</v>
      </c>
      <c r="U2958">
        <v>7</v>
      </c>
      <c r="V2958">
        <v>1</v>
      </c>
      <c r="W2958">
        <v>1</v>
      </c>
    </row>
    <row r="2959" spans="1:23" ht="16.5" x14ac:dyDescent="0.3">
      <c r="A2959" t="s">
        <v>3023</v>
      </c>
      <c r="B2959" s="1">
        <v>45727</v>
      </c>
      <c r="C2959">
        <v>2025</v>
      </c>
      <c r="D2959" t="s">
        <v>24</v>
      </c>
      <c r="E2959" t="s">
        <v>460</v>
      </c>
      <c r="F2959" t="s">
        <v>26</v>
      </c>
      <c r="G2959" t="s">
        <v>33</v>
      </c>
      <c r="H2959" t="s">
        <v>64</v>
      </c>
      <c r="I2959" t="s">
        <v>39</v>
      </c>
      <c r="J2959" t="s">
        <v>35</v>
      </c>
      <c r="K2959" s="2">
        <v>6300</v>
      </c>
      <c r="L2959" s="2">
        <v>14000</v>
      </c>
      <c r="M2959">
        <v>48</v>
      </c>
      <c r="N2959" s="3">
        <v>0.28100000000000003</v>
      </c>
      <c r="O2959" t="s">
        <v>17</v>
      </c>
      <c r="P2959" t="s">
        <v>48</v>
      </c>
      <c r="Q2959">
        <v>0</v>
      </c>
      <c r="R2959">
        <v>1</v>
      </c>
      <c r="S2959" s="2">
        <v>0</v>
      </c>
      <c r="T2959" s="4"/>
      <c r="U2959">
        <v>2</v>
      </c>
      <c r="V2959">
        <v>1</v>
      </c>
      <c r="W2959">
        <v>1</v>
      </c>
    </row>
    <row r="2960" spans="1:23" ht="16.5" x14ac:dyDescent="0.3">
      <c r="A2960" t="s">
        <v>3024</v>
      </c>
      <c r="B2960" s="1">
        <v>45727</v>
      </c>
      <c r="C2960">
        <v>2025</v>
      </c>
      <c r="D2960" t="s">
        <v>24</v>
      </c>
      <c r="E2960" t="s">
        <v>460</v>
      </c>
      <c r="F2960" t="s">
        <v>26</v>
      </c>
      <c r="G2960" t="s">
        <v>51</v>
      </c>
      <c r="H2960" t="s">
        <v>38</v>
      </c>
      <c r="I2960" t="s">
        <v>29</v>
      </c>
      <c r="J2960" t="s">
        <v>30</v>
      </c>
      <c r="K2960" s="2">
        <v>5200</v>
      </c>
      <c r="L2960" s="2">
        <v>44000</v>
      </c>
      <c r="M2960">
        <v>36</v>
      </c>
      <c r="N2960" s="3">
        <v>0.36899999999999999</v>
      </c>
      <c r="O2960" t="s">
        <v>17</v>
      </c>
      <c r="P2960" t="s">
        <v>60</v>
      </c>
      <c r="Q2960">
        <v>0</v>
      </c>
      <c r="R2960">
        <v>1</v>
      </c>
      <c r="S2960" s="2">
        <v>0</v>
      </c>
      <c r="T2960" s="4"/>
      <c r="U2960">
        <v>10</v>
      </c>
      <c r="V2960">
        <v>0</v>
      </c>
      <c r="W2960">
        <v>1</v>
      </c>
    </row>
    <row r="2961" spans="1:23" ht="16.5" x14ac:dyDescent="0.3">
      <c r="A2961" t="s">
        <v>3025</v>
      </c>
      <c r="B2961" s="1">
        <v>45727</v>
      </c>
      <c r="C2961">
        <v>2025</v>
      </c>
      <c r="D2961" t="s">
        <v>24</v>
      </c>
      <c r="E2961" t="s">
        <v>460</v>
      </c>
      <c r="F2961" t="s">
        <v>37</v>
      </c>
      <c r="G2961" t="s">
        <v>51</v>
      </c>
      <c r="H2961" t="s">
        <v>64</v>
      </c>
      <c r="I2961" t="s">
        <v>39</v>
      </c>
      <c r="J2961" t="s">
        <v>30</v>
      </c>
      <c r="K2961" s="2">
        <v>2350</v>
      </c>
      <c r="L2961" s="2">
        <v>16000</v>
      </c>
      <c r="M2961">
        <v>36</v>
      </c>
      <c r="N2961" s="3">
        <v>0.38600000000000001</v>
      </c>
      <c r="O2961" t="s">
        <v>17</v>
      </c>
      <c r="P2961" t="s">
        <v>31</v>
      </c>
      <c r="Q2961">
        <v>0</v>
      </c>
      <c r="R2961">
        <v>1</v>
      </c>
      <c r="S2961" s="2">
        <v>0</v>
      </c>
      <c r="T2961" s="4"/>
      <c r="U2961">
        <v>7</v>
      </c>
      <c r="V2961">
        <v>0</v>
      </c>
      <c r="W2961">
        <v>1</v>
      </c>
    </row>
    <row r="2962" spans="1:23" ht="16.5" x14ac:dyDescent="0.3">
      <c r="A2962" t="s">
        <v>3026</v>
      </c>
      <c r="B2962" s="1">
        <v>45727</v>
      </c>
      <c r="C2962">
        <v>2025</v>
      </c>
      <c r="D2962" t="s">
        <v>24</v>
      </c>
      <c r="E2962" t="s">
        <v>460</v>
      </c>
      <c r="F2962" t="s">
        <v>37</v>
      </c>
      <c r="G2962" t="s">
        <v>33</v>
      </c>
      <c r="H2962" t="s">
        <v>55</v>
      </c>
      <c r="I2962" t="s">
        <v>42</v>
      </c>
      <c r="J2962" t="s">
        <v>35</v>
      </c>
      <c r="K2962" s="2">
        <v>4200</v>
      </c>
      <c r="L2962" s="2">
        <v>30500</v>
      </c>
      <c r="M2962">
        <v>48</v>
      </c>
      <c r="N2962" s="3">
        <v>0.252</v>
      </c>
      <c r="O2962" t="s">
        <v>17</v>
      </c>
      <c r="P2962" t="s">
        <v>65</v>
      </c>
      <c r="Q2962">
        <v>0</v>
      </c>
      <c r="R2962">
        <v>1</v>
      </c>
      <c r="S2962" s="2">
        <v>0</v>
      </c>
      <c r="T2962" s="4"/>
      <c r="U2962">
        <v>2</v>
      </c>
      <c r="V2962">
        <v>1</v>
      </c>
      <c r="W2962">
        <v>1</v>
      </c>
    </row>
    <row r="2963" spans="1:23" ht="16.5" x14ac:dyDescent="0.3">
      <c r="A2963" t="s">
        <v>3027</v>
      </c>
      <c r="B2963" s="1">
        <v>45727</v>
      </c>
      <c r="C2963">
        <v>2025</v>
      </c>
      <c r="D2963" t="s">
        <v>24</v>
      </c>
      <c r="E2963" t="s">
        <v>460</v>
      </c>
      <c r="F2963" t="s">
        <v>37</v>
      </c>
      <c r="G2963" t="s">
        <v>45</v>
      </c>
      <c r="H2963" t="s">
        <v>34</v>
      </c>
      <c r="I2963" t="s">
        <v>39</v>
      </c>
      <c r="J2963" t="s">
        <v>35</v>
      </c>
      <c r="K2963" s="2">
        <v>2650</v>
      </c>
      <c r="L2963" s="2">
        <v>26000</v>
      </c>
      <c r="M2963">
        <v>12</v>
      </c>
      <c r="N2963" s="3">
        <v>0.95899999999999996</v>
      </c>
      <c r="O2963" t="s">
        <v>16</v>
      </c>
      <c r="Q2963">
        <v>1</v>
      </c>
      <c r="R2963">
        <v>0</v>
      </c>
      <c r="S2963" s="2">
        <v>26000</v>
      </c>
      <c r="T2963" s="4">
        <v>0.1242</v>
      </c>
      <c r="U2963">
        <v>2</v>
      </c>
      <c r="V2963">
        <v>1</v>
      </c>
      <c r="W2963">
        <v>1</v>
      </c>
    </row>
    <row r="2964" spans="1:23" ht="16.5" x14ac:dyDescent="0.3">
      <c r="A2964" t="s">
        <v>3028</v>
      </c>
      <c r="B2964" s="1">
        <v>45727</v>
      </c>
      <c r="C2964">
        <v>2025</v>
      </c>
      <c r="D2964" t="s">
        <v>24</v>
      </c>
      <c r="E2964" t="s">
        <v>460</v>
      </c>
      <c r="F2964" t="s">
        <v>37</v>
      </c>
      <c r="G2964" t="s">
        <v>33</v>
      </c>
      <c r="H2964" t="s">
        <v>34</v>
      </c>
      <c r="I2964" t="s">
        <v>29</v>
      </c>
      <c r="J2964" t="s">
        <v>35</v>
      </c>
      <c r="K2964" s="2">
        <v>4600</v>
      </c>
      <c r="L2964" s="2">
        <v>7000</v>
      </c>
      <c r="M2964">
        <v>24</v>
      </c>
      <c r="N2964" s="3">
        <v>0.23799999999999999</v>
      </c>
      <c r="O2964" t="s">
        <v>16</v>
      </c>
      <c r="Q2964">
        <v>1</v>
      </c>
      <c r="R2964">
        <v>0</v>
      </c>
      <c r="S2964" s="2">
        <v>5500</v>
      </c>
      <c r="T2964" s="4">
        <v>0.12920000000000001</v>
      </c>
      <c r="U2964">
        <v>3</v>
      </c>
      <c r="V2964">
        <v>1</v>
      </c>
      <c r="W2964">
        <v>1</v>
      </c>
    </row>
    <row r="2965" spans="1:23" ht="16.5" x14ac:dyDescent="0.3">
      <c r="A2965" t="s">
        <v>3029</v>
      </c>
      <c r="B2965" s="1">
        <v>45728</v>
      </c>
      <c r="C2965">
        <v>2025</v>
      </c>
      <c r="D2965" t="s">
        <v>24</v>
      </c>
      <c r="E2965" t="s">
        <v>460</v>
      </c>
      <c r="F2965" t="s">
        <v>50</v>
      </c>
      <c r="G2965" t="s">
        <v>45</v>
      </c>
      <c r="H2965" t="s">
        <v>55</v>
      </c>
      <c r="I2965" t="s">
        <v>39</v>
      </c>
      <c r="J2965" t="s">
        <v>35</v>
      </c>
      <c r="K2965" s="2">
        <v>4800</v>
      </c>
      <c r="L2965" s="2">
        <v>577500</v>
      </c>
      <c r="M2965">
        <v>240</v>
      </c>
      <c r="N2965" s="3">
        <v>0.876</v>
      </c>
      <c r="O2965" t="s">
        <v>17</v>
      </c>
      <c r="P2965" t="s">
        <v>53</v>
      </c>
      <c r="Q2965">
        <v>0</v>
      </c>
      <c r="R2965">
        <v>1</v>
      </c>
      <c r="S2965" s="2">
        <v>0</v>
      </c>
      <c r="T2965" s="4"/>
      <c r="U2965">
        <v>4</v>
      </c>
      <c r="V2965">
        <v>1</v>
      </c>
      <c r="W2965">
        <v>1</v>
      </c>
    </row>
    <row r="2966" spans="1:23" ht="16.5" x14ac:dyDescent="0.3">
      <c r="A2966" t="s">
        <v>3030</v>
      </c>
      <c r="B2966" s="1">
        <v>45728</v>
      </c>
      <c r="C2966">
        <v>2025</v>
      </c>
      <c r="D2966" t="s">
        <v>24</v>
      </c>
      <c r="E2966" t="s">
        <v>460</v>
      </c>
      <c r="F2966" t="s">
        <v>26</v>
      </c>
      <c r="G2966" t="s">
        <v>27</v>
      </c>
      <c r="H2966" t="s">
        <v>38</v>
      </c>
      <c r="I2966" t="s">
        <v>29</v>
      </c>
      <c r="J2966" t="s">
        <v>30</v>
      </c>
      <c r="K2966" s="2">
        <v>4250</v>
      </c>
      <c r="L2966" s="2">
        <v>49000</v>
      </c>
      <c r="M2966">
        <v>60</v>
      </c>
      <c r="N2966" s="3">
        <v>0.36899999999999999</v>
      </c>
      <c r="O2966" t="s">
        <v>17</v>
      </c>
      <c r="P2966" t="s">
        <v>31</v>
      </c>
      <c r="Q2966">
        <v>0</v>
      </c>
      <c r="R2966">
        <v>1</v>
      </c>
      <c r="S2966" s="2">
        <v>0</v>
      </c>
      <c r="T2966" s="4"/>
      <c r="U2966">
        <v>4</v>
      </c>
      <c r="V2966">
        <v>1</v>
      </c>
      <c r="W2966">
        <v>1</v>
      </c>
    </row>
    <row r="2967" spans="1:23" ht="16.5" x14ac:dyDescent="0.3">
      <c r="A2967" t="s">
        <v>3031</v>
      </c>
      <c r="B2967" s="1">
        <v>45728</v>
      </c>
      <c r="C2967">
        <v>2025</v>
      </c>
      <c r="D2967" t="s">
        <v>24</v>
      </c>
      <c r="E2967" t="s">
        <v>460</v>
      </c>
      <c r="F2967" t="s">
        <v>50</v>
      </c>
      <c r="G2967" t="s">
        <v>51</v>
      </c>
      <c r="H2967" t="s">
        <v>28</v>
      </c>
      <c r="I2967" t="s">
        <v>29</v>
      </c>
      <c r="J2967" t="s">
        <v>30</v>
      </c>
      <c r="K2967" s="2">
        <v>3050</v>
      </c>
      <c r="L2967" s="2">
        <v>506000</v>
      </c>
      <c r="M2967">
        <v>300</v>
      </c>
      <c r="N2967" s="3">
        <v>1.1879999999999999</v>
      </c>
      <c r="O2967" t="s">
        <v>17</v>
      </c>
      <c r="P2967" t="s">
        <v>31</v>
      </c>
      <c r="Q2967">
        <v>0</v>
      </c>
      <c r="R2967">
        <v>1</v>
      </c>
      <c r="S2967" s="2">
        <v>0</v>
      </c>
      <c r="T2967" s="4"/>
      <c r="U2967">
        <v>17</v>
      </c>
      <c r="V2967">
        <v>0</v>
      </c>
      <c r="W2967">
        <v>1</v>
      </c>
    </row>
    <row r="2968" spans="1:23" ht="16.5" x14ac:dyDescent="0.3">
      <c r="A2968" t="s">
        <v>3032</v>
      </c>
      <c r="B2968" s="1">
        <v>45728</v>
      </c>
      <c r="C2968">
        <v>2025</v>
      </c>
      <c r="D2968" t="s">
        <v>24</v>
      </c>
      <c r="E2968" t="s">
        <v>460</v>
      </c>
      <c r="F2968" t="s">
        <v>37</v>
      </c>
      <c r="G2968" t="s">
        <v>27</v>
      </c>
      <c r="H2968" t="s">
        <v>55</v>
      </c>
      <c r="I2968" t="s">
        <v>42</v>
      </c>
      <c r="J2968" t="s">
        <v>52</v>
      </c>
      <c r="K2968" s="2">
        <v>17600</v>
      </c>
      <c r="L2968" s="2">
        <v>8000</v>
      </c>
      <c r="M2968">
        <v>12</v>
      </c>
      <c r="N2968" s="3">
        <v>0.247</v>
      </c>
      <c r="O2968" t="s">
        <v>16</v>
      </c>
      <c r="Q2968">
        <v>1</v>
      </c>
      <c r="R2968">
        <v>0</v>
      </c>
      <c r="S2968" s="2">
        <v>8000</v>
      </c>
      <c r="T2968" s="4">
        <v>0.1172</v>
      </c>
      <c r="U2968">
        <v>8</v>
      </c>
      <c r="V2968">
        <v>0</v>
      </c>
      <c r="W2968">
        <v>1</v>
      </c>
    </row>
    <row r="2969" spans="1:23" ht="16.5" x14ac:dyDescent="0.3">
      <c r="A2969" t="s">
        <v>3033</v>
      </c>
      <c r="B2969" s="1">
        <v>45728</v>
      </c>
      <c r="C2969">
        <v>2025</v>
      </c>
      <c r="D2969" t="s">
        <v>24</v>
      </c>
      <c r="E2969" t="s">
        <v>460</v>
      </c>
      <c r="F2969" t="s">
        <v>26</v>
      </c>
      <c r="G2969" t="s">
        <v>33</v>
      </c>
      <c r="H2969" t="s">
        <v>55</v>
      </c>
      <c r="I2969" t="s">
        <v>42</v>
      </c>
      <c r="J2969" t="s">
        <v>30</v>
      </c>
      <c r="K2969" s="2">
        <v>3600</v>
      </c>
      <c r="L2969" s="2">
        <v>34500</v>
      </c>
      <c r="M2969">
        <v>48</v>
      </c>
      <c r="N2969" s="3">
        <v>0.307</v>
      </c>
      <c r="O2969" t="s">
        <v>16</v>
      </c>
      <c r="Q2969">
        <v>1</v>
      </c>
      <c r="R2969">
        <v>0</v>
      </c>
      <c r="S2969" s="2">
        <v>34500</v>
      </c>
      <c r="T2969" s="4">
        <v>0.1032</v>
      </c>
      <c r="U2969">
        <v>2</v>
      </c>
      <c r="V2969">
        <v>1</v>
      </c>
      <c r="W2969">
        <v>1</v>
      </c>
    </row>
    <row r="2970" spans="1:23" ht="16.5" x14ac:dyDescent="0.3">
      <c r="A2970" t="s">
        <v>3034</v>
      </c>
      <c r="B2970" s="1">
        <v>45729</v>
      </c>
      <c r="C2970">
        <v>2025</v>
      </c>
      <c r="D2970" t="s">
        <v>24</v>
      </c>
      <c r="E2970" t="s">
        <v>460</v>
      </c>
      <c r="F2970" t="s">
        <v>50</v>
      </c>
      <c r="G2970" t="s">
        <v>45</v>
      </c>
      <c r="H2970" t="s">
        <v>64</v>
      </c>
      <c r="I2970" t="s">
        <v>29</v>
      </c>
      <c r="J2970" t="s">
        <v>52</v>
      </c>
      <c r="K2970" s="2">
        <v>8600</v>
      </c>
      <c r="L2970" s="2">
        <v>374000</v>
      </c>
      <c r="M2970">
        <v>300</v>
      </c>
      <c r="N2970" s="3">
        <v>0.40100000000000002</v>
      </c>
      <c r="O2970" t="s">
        <v>17</v>
      </c>
      <c r="P2970" t="s">
        <v>48</v>
      </c>
      <c r="Q2970">
        <v>0</v>
      </c>
      <c r="R2970">
        <v>1</v>
      </c>
      <c r="S2970" s="2">
        <v>0</v>
      </c>
      <c r="T2970" s="4"/>
      <c r="U2970">
        <v>10</v>
      </c>
      <c r="V2970">
        <v>1</v>
      </c>
      <c r="W2970">
        <v>1</v>
      </c>
    </row>
    <row r="2971" spans="1:23" ht="16.5" x14ac:dyDescent="0.3">
      <c r="A2971" t="s">
        <v>3035</v>
      </c>
      <c r="B2971" s="1">
        <v>45729</v>
      </c>
      <c r="C2971">
        <v>2025</v>
      </c>
      <c r="D2971" t="s">
        <v>24</v>
      </c>
      <c r="E2971" t="s">
        <v>460</v>
      </c>
      <c r="F2971" t="s">
        <v>26</v>
      </c>
      <c r="G2971" t="s">
        <v>27</v>
      </c>
      <c r="H2971" t="s">
        <v>38</v>
      </c>
      <c r="I2971" t="s">
        <v>39</v>
      </c>
      <c r="J2971" t="s">
        <v>30</v>
      </c>
      <c r="K2971" s="2">
        <v>4750</v>
      </c>
      <c r="L2971" s="2">
        <v>31000</v>
      </c>
      <c r="M2971">
        <v>48</v>
      </c>
      <c r="N2971" s="3">
        <v>0.30399999999999999</v>
      </c>
      <c r="O2971" t="s">
        <v>17</v>
      </c>
      <c r="P2971" t="s">
        <v>31</v>
      </c>
      <c r="Q2971">
        <v>0</v>
      </c>
      <c r="R2971">
        <v>1</v>
      </c>
      <c r="S2971" s="2">
        <v>0</v>
      </c>
      <c r="T2971" s="4"/>
      <c r="U2971">
        <v>3</v>
      </c>
      <c r="V2971">
        <v>1</v>
      </c>
      <c r="W2971">
        <v>1</v>
      </c>
    </row>
    <row r="2972" spans="1:23" ht="16.5" x14ac:dyDescent="0.3">
      <c r="A2972" t="s">
        <v>3036</v>
      </c>
      <c r="B2972" s="1">
        <v>45729</v>
      </c>
      <c r="C2972">
        <v>2025</v>
      </c>
      <c r="D2972" t="s">
        <v>24</v>
      </c>
      <c r="E2972" t="s">
        <v>460</v>
      </c>
      <c r="F2972" t="s">
        <v>26</v>
      </c>
      <c r="G2972" t="s">
        <v>51</v>
      </c>
      <c r="H2972" t="s">
        <v>38</v>
      </c>
      <c r="I2972" t="s">
        <v>29</v>
      </c>
      <c r="J2972" t="s">
        <v>43</v>
      </c>
      <c r="K2972" s="2">
        <v>4050</v>
      </c>
      <c r="L2972" s="2">
        <v>49000</v>
      </c>
      <c r="M2972">
        <v>48</v>
      </c>
      <c r="N2972" s="3">
        <v>0.34499999999999997</v>
      </c>
      <c r="O2972" t="s">
        <v>17</v>
      </c>
      <c r="P2972" t="s">
        <v>31</v>
      </c>
      <c r="Q2972">
        <v>0</v>
      </c>
      <c r="R2972">
        <v>1</v>
      </c>
      <c r="S2972" s="2">
        <v>0</v>
      </c>
      <c r="T2972" s="4"/>
      <c r="U2972">
        <v>3</v>
      </c>
      <c r="V2972">
        <v>1</v>
      </c>
      <c r="W2972">
        <v>1</v>
      </c>
    </row>
    <row r="2973" spans="1:23" ht="16.5" x14ac:dyDescent="0.3">
      <c r="A2973" t="s">
        <v>3037</v>
      </c>
      <c r="B2973" s="1">
        <v>45729</v>
      </c>
      <c r="C2973">
        <v>2025</v>
      </c>
      <c r="D2973" t="s">
        <v>24</v>
      </c>
      <c r="E2973" t="s">
        <v>460</v>
      </c>
      <c r="F2973" t="s">
        <v>26</v>
      </c>
      <c r="G2973" t="s">
        <v>33</v>
      </c>
      <c r="H2973" t="s">
        <v>38</v>
      </c>
      <c r="I2973" t="s">
        <v>29</v>
      </c>
      <c r="J2973" t="s">
        <v>43</v>
      </c>
      <c r="K2973" s="2">
        <v>8550</v>
      </c>
      <c r="L2973" s="2">
        <v>34000</v>
      </c>
      <c r="M2973">
        <v>60</v>
      </c>
      <c r="N2973" s="3">
        <v>0.13200000000000001</v>
      </c>
      <c r="O2973" t="s">
        <v>17</v>
      </c>
      <c r="P2973" t="s">
        <v>31</v>
      </c>
      <c r="Q2973">
        <v>0</v>
      </c>
      <c r="R2973">
        <v>1</v>
      </c>
      <c r="S2973" s="2">
        <v>0</v>
      </c>
      <c r="T2973" s="4"/>
      <c r="U2973">
        <v>3</v>
      </c>
      <c r="V2973">
        <v>1</v>
      </c>
      <c r="W2973">
        <v>1</v>
      </c>
    </row>
    <row r="2974" spans="1:23" ht="16.5" x14ac:dyDescent="0.3">
      <c r="A2974" t="s">
        <v>3038</v>
      </c>
      <c r="B2974" s="1">
        <v>45730</v>
      </c>
      <c r="C2974">
        <v>2025</v>
      </c>
      <c r="D2974" t="s">
        <v>24</v>
      </c>
      <c r="E2974" t="s">
        <v>460</v>
      </c>
      <c r="F2974" t="s">
        <v>37</v>
      </c>
      <c r="G2974" t="s">
        <v>33</v>
      </c>
      <c r="H2974" t="s">
        <v>28</v>
      </c>
      <c r="I2974" t="s">
        <v>39</v>
      </c>
      <c r="J2974" t="s">
        <v>35</v>
      </c>
      <c r="K2974" s="2">
        <v>5500</v>
      </c>
      <c r="L2974" s="2">
        <v>9500</v>
      </c>
      <c r="M2974">
        <v>24</v>
      </c>
      <c r="N2974" s="3">
        <v>0.251</v>
      </c>
      <c r="O2974" t="s">
        <v>16</v>
      </c>
      <c r="Q2974">
        <v>1</v>
      </c>
      <c r="R2974">
        <v>0</v>
      </c>
      <c r="S2974" s="2">
        <v>9500</v>
      </c>
      <c r="T2974" s="4">
        <v>0.1217</v>
      </c>
      <c r="U2974">
        <v>1</v>
      </c>
      <c r="V2974">
        <v>1</v>
      </c>
      <c r="W2974">
        <v>1</v>
      </c>
    </row>
    <row r="2975" spans="1:23" ht="16.5" x14ac:dyDescent="0.3">
      <c r="A2975" t="s">
        <v>3039</v>
      </c>
      <c r="B2975" s="1">
        <v>45730</v>
      </c>
      <c r="C2975">
        <v>2025</v>
      </c>
      <c r="D2975" t="s">
        <v>24</v>
      </c>
      <c r="E2975" t="s">
        <v>460</v>
      </c>
      <c r="F2975" t="s">
        <v>41</v>
      </c>
      <c r="G2975" t="s">
        <v>51</v>
      </c>
      <c r="H2975" t="s">
        <v>34</v>
      </c>
      <c r="I2975" t="s">
        <v>29</v>
      </c>
      <c r="J2975" t="s">
        <v>46</v>
      </c>
      <c r="K2975" s="2">
        <v>7500</v>
      </c>
      <c r="L2975" s="2">
        <v>67500</v>
      </c>
      <c r="M2975">
        <v>36</v>
      </c>
      <c r="N2975" s="3">
        <v>0.42599999999999999</v>
      </c>
      <c r="O2975" t="s">
        <v>16</v>
      </c>
      <c r="Q2975">
        <v>1</v>
      </c>
      <c r="R2975">
        <v>0</v>
      </c>
      <c r="S2975" s="2">
        <v>61000</v>
      </c>
      <c r="T2975" s="4">
        <v>9.2899999999999996E-2</v>
      </c>
      <c r="U2975">
        <v>7</v>
      </c>
      <c r="V2975">
        <v>1</v>
      </c>
      <c r="W2975">
        <v>1</v>
      </c>
    </row>
    <row r="2976" spans="1:23" ht="16.5" x14ac:dyDescent="0.3">
      <c r="A2976" t="s">
        <v>3040</v>
      </c>
      <c r="B2976" s="1">
        <v>45730</v>
      </c>
      <c r="C2976">
        <v>2025</v>
      </c>
      <c r="D2976" t="s">
        <v>24</v>
      </c>
      <c r="E2976" t="s">
        <v>460</v>
      </c>
      <c r="F2976" t="s">
        <v>50</v>
      </c>
      <c r="G2976" t="s">
        <v>27</v>
      </c>
      <c r="H2976" t="s">
        <v>38</v>
      </c>
      <c r="I2976" t="s">
        <v>29</v>
      </c>
      <c r="J2976" t="s">
        <v>30</v>
      </c>
      <c r="K2976" s="2">
        <v>6200</v>
      </c>
      <c r="L2976" s="2">
        <v>466000</v>
      </c>
      <c r="M2976">
        <v>300</v>
      </c>
      <c r="N2976" s="3">
        <v>0.61899999999999999</v>
      </c>
      <c r="O2976" t="s">
        <v>16</v>
      </c>
      <c r="Q2976">
        <v>1</v>
      </c>
      <c r="R2976">
        <v>0</v>
      </c>
      <c r="S2976" s="2">
        <v>466000</v>
      </c>
      <c r="T2976" s="4">
        <v>7.6700000000000004E-2</v>
      </c>
      <c r="U2976">
        <v>16</v>
      </c>
      <c r="V2976">
        <v>0</v>
      </c>
      <c r="W2976">
        <v>1</v>
      </c>
    </row>
    <row r="2977" spans="1:23" ht="16.5" x14ac:dyDescent="0.3">
      <c r="A2977" t="s">
        <v>3041</v>
      </c>
      <c r="B2977" s="1">
        <v>45730</v>
      </c>
      <c r="C2977">
        <v>2025</v>
      </c>
      <c r="D2977" t="s">
        <v>24</v>
      </c>
      <c r="E2977" t="s">
        <v>460</v>
      </c>
      <c r="F2977" t="s">
        <v>26</v>
      </c>
      <c r="G2977" t="s">
        <v>27</v>
      </c>
      <c r="H2977" t="s">
        <v>28</v>
      </c>
      <c r="I2977" t="s">
        <v>42</v>
      </c>
      <c r="J2977" t="s">
        <v>35</v>
      </c>
      <c r="K2977" s="2">
        <v>4950</v>
      </c>
      <c r="L2977" s="2">
        <v>40000</v>
      </c>
      <c r="M2977">
        <v>60</v>
      </c>
      <c r="N2977" s="3">
        <v>0.28299999999999997</v>
      </c>
      <c r="O2977" t="s">
        <v>17</v>
      </c>
      <c r="P2977" t="s">
        <v>60</v>
      </c>
      <c r="Q2977">
        <v>0</v>
      </c>
      <c r="R2977">
        <v>1</v>
      </c>
      <c r="S2977" s="2">
        <v>0</v>
      </c>
      <c r="T2977" s="4"/>
      <c r="U2977">
        <v>9</v>
      </c>
      <c r="V2977">
        <v>0</v>
      </c>
      <c r="W2977">
        <v>1</v>
      </c>
    </row>
    <row r="2978" spans="1:23" ht="16.5" x14ac:dyDescent="0.3">
      <c r="A2978" t="s">
        <v>3042</v>
      </c>
      <c r="B2978" s="1">
        <v>45730</v>
      </c>
      <c r="C2978">
        <v>2025</v>
      </c>
      <c r="D2978" t="s">
        <v>24</v>
      </c>
      <c r="E2978" t="s">
        <v>460</v>
      </c>
      <c r="F2978" t="s">
        <v>26</v>
      </c>
      <c r="G2978" t="s">
        <v>45</v>
      </c>
      <c r="H2978" t="s">
        <v>55</v>
      </c>
      <c r="I2978" t="s">
        <v>29</v>
      </c>
      <c r="J2978" t="s">
        <v>35</v>
      </c>
      <c r="K2978" s="2">
        <v>8450</v>
      </c>
      <c r="L2978" s="2">
        <v>27000</v>
      </c>
      <c r="M2978">
        <v>60</v>
      </c>
      <c r="N2978" s="3">
        <v>0.308</v>
      </c>
      <c r="O2978" t="s">
        <v>17</v>
      </c>
      <c r="P2978" t="s">
        <v>65</v>
      </c>
      <c r="Q2978">
        <v>0</v>
      </c>
      <c r="R2978">
        <v>1</v>
      </c>
      <c r="S2978" s="2">
        <v>0</v>
      </c>
      <c r="T2978" s="4"/>
      <c r="U2978">
        <v>2</v>
      </c>
      <c r="V2978">
        <v>1</v>
      </c>
      <c r="W2978">
        <v>1</v>
      </c>
    </row>
    <row r="2979" spans="1:23" ht="16.5" x14ac:dyDescent="0.3">
      <c r="A2979" t="s">
        <v>3043</v>
      </c>
      <c r="B2979" s="1">
        <v>45730</v>
      </c>
      <c r="C2979">
        <v>2025</v>
      </c>
      <c r="D2979" t="s">
        <v>24</v>
      </c>
      <c r="E2979" t="s">
        <v>460</v>
      </c>
      <c r="F2979" t="s">
        <v>26</v>
      </c>
      <c r="G2979" t="s">
        <v>27</v>
      </c>
      <c r="H2979" t="s">
        <v>34</v>
      </c>
      <c r="I2979" t="s">
        <v>39</v>
      </c>
      <c r="J2979" t="s">
        <v>46</v>
      </c>
      <c r="K2979" s="2">
        <v>5550</v>
      </c>
      <c r="L2979" s="2">
        <v>40000</v>
      </c>
      <c r="M2979">
        <v>60</v>
      </c>
      <c r="N2979" s="3">
        <v>0.25700000000000001</v>
      </c>
      <c r="O2979" t="s">
        <v>16</v>
      </c>
      <c r="Q2979">
        <v>1</v>
      </c>
      <c r="R2979">
        <v>0</v>
      </c>
      <c r="S2979" s="2">
        <v>36000</v>
      </c>
      <c r="T2979" s="4">
        <v>6.7100000000000007E-2</v>
      </c>
      <c r="U2979">
        <v>3</v>
      </c>
      <c r="V2979">
        <v>1</v>
      </c>
      <c r="W2979">
        <v>1</v>
      </c>
    </row>
    <row r="2980" spans="1:23" ht="16.5" x14ac:dyDescent="0.3">
      <c r="A2980" t="s">
        <v>3044</v>
      </c>
      <c r="B2980" s="1">
        <v>45730</v>
      </c>
      <c r="C2980">
        <v>2025</v>
      </c>
      <c r="D2980" t="s">
        <v>24</v>
      </c>
      <c r="E2980" t="s">
        <v>460</v>
      </c>
      <c r="F2980" t="s">
        <v>26</v>
      </c>
      <c r="G2980" t="s">
        <v>51</v>
      </c>
      <c r="H2980" t="s">
        <v>34</v>
      </c>
      <c r="I2980" t="s">
        <v>42</v>
      </c>
      <c r="J2980" t="s">
        <v>52</v>
      </c>
      <c r="K2980" s="2">
        <v>7650</v>
      </c>
      <c r="L2980" s="2">
        <v>35000</v>
      </c>
      <c r="M2980">
        <v>36</v>
      </c>
      <c r="N2980" s="3">
        <v>0.34799999999999998</v>
      </c>
      <c r="O2980" t="s">
        <v>16</v>
      </c>
      <c r="Q2980">
        <v>1</v>
      </c>
      <c r="R2980">
        <v>0</v>
      </c>
      <c r="S2980" s="2">
        <v>35000</v>
      </c>
      <c r="T2980" s="4">
        <v>7.8799999999999995E-2</v>
      </c>
      <c r="U2980">
        <v>4</v>
      </c>
      <c r="V2980">
        <v>1</v>
      </c>
      <c r="W2980">
        <v>1</v>
      </c>
    </row>
    <row r="2981" spans="1:23" ht="16.5" x14ac:dyDescent="0.3">
      <c r="A2981" t="s">
        <v>3045</v>
      </c>
      <c r="B2981" s="1">
        <v>45730</v>
      </c>
      <c r="C2981">
        <v>2025</v>
      </c>
      <c r="D2981" t="s">
        <v>24</v>
      </c>
      <c r="E2981" t="s">
        <v>460</v>
      </c>
      <c r="F2981" t="s">
        <v>37</v>
      </c>
      <c r="G2981" t="s">
        <v>33</v>
      </c>
      <c r="H2981" t="s">
        <v>55</v>
      </c>
      <c r="I2981" t="s">
        <v>29</v>
      </c>
      <c r="J2981" t="s">
        <v>35</v>
      </c>
      <c r="K2981" s="2">
        <v>3150</v>
      </c>
      <c r="L2981" s="2">
        <v>11000</v>
      </c>
      <c r="M2981">
        <v>12</v>
      </c>
      <c r="N2981" s="3">
        <v>0.40899999999999997</v>
      </c>
      <c r="O2981" t="s">
        <v>17</v>
      </c>
      <c r="P2981" t="s">
        <v>65</v>
      </c>
      <c r="Q2981">
        <v>0</v>
      </c>
      <c r="R2981">
        <v>1</v>
      </c>
      <c r="S2981" s="2">
        <v>0</v>
      </c>
      <c r="T2981" s="4"/>
      <c r="U2981">
        <v>1</v>
      </c>
      <c r="V2981">
        <v>1</v>
      </c>
      <c r="W2981">
        <v>1</v>
      </c>
    </row>
    <row r="2982" spans="1:23" ht="16.5" x14ac:dyDescent="0.3">
      <c r="A2982" t="s">
        <v>3046</v>
      </c>
      <c r="B2982" s="1">
        <v>45730</v>
      </c>
      <c r="C2982">
        <v>2025</v>
      </c>
      <c r="D2982" t="s">
        <v>24</v>
      </c>
      <c r="E2982" t="s">
        <v>460</v>
      </c>
      <c r="F2982" t="s">
        <v>26</v>
      </c>
      <c r="G2982" t="s">
        <v>51</v>
      </c>
      <c r="H2982" t="s">
        <v>55</v>
      </c>
      <c r="I2982" t="s">
        <v>39</v>
      </c>
      <c r="J2982" t="s">
        <v>35</v>
      </c>
      <c r="K2982" s="2">
        <v>7900</v>
      </c>
      <c r="L2982" s="2">
        <v>46500</v>
      </c>
      <c r="M2982">
        <v>36</v>
      </c>
      <c r="N2982" s="3">
        <v>0.35799999999999998</v>
      </c>
      <c r="O2982" t="s">
        <v>17</v>
      </c>
      <c r="P2982" t="s">
        <v>65</v>
      </c>
      <c r="Q2982">
        <v>0</v>
      </c>
      <c r="R2982">
        <v>1</v>
      </c>
      <c r="S2982" s="2">
        <v>0</v>
      </c>
      <c r="T2982" s="4"/>
      <c r="U2982">
        <v>2</v>
      </c>
      <c r="V2982">
        <v>1</v>
      </c>
      <c r="W2982">
        <v>1</v>
      </c>
    </row>
    <row r="2983" spans="1:23" ht="16.5" x14ac:dyDescent="0.3">
      <c r="A2983" t="s">
        <v>3047</v>
      </c>
      <c r="B2983" s="1">
        <v>45730</v>
      </c>
      <c r="C2983">
        <v>2025</v>
      </c>
      <c r="D2983" t="s">
        <v>24</v>
      </c>
      <c r="E2983" t="s">
        <v>460</v>
      </c>
      <c r="F2983" t="s">
        <v>26</v>
      </c>
      <c r="G2983" t="s">
        <v>33</v>
      </c>
      <c r="H2983" t="s">
        <v>38</v>
      </c>
      <c r="I2983" t="s">
        <v>39</v>
      </c>
      <c r="J2983" t="s">
        <v>52</v>
      </c>
      <c r="K2983" s="2">
        <v>6350</v>
      </c>
      <c r="L2983" s="2">
        <v>23000</v>
      </c>
      <c r="M2983">
        <v>60</v>
      </c>
      <c r="N2983" s="3">
        <v>0.20100000000000001</v>
      </c>
      <c r="O2983" t="s">
        <v>16</v>
      </c>
      <c r="Q2983">
        <v>1</v>
      </c>
      <c r="R2983">
        <v>0</v>
      </c>
      <c r="S2983" s="2">
        <v>20500</v>
      </c>
      <c r="T2983" s="4">
        <v>7.1300000000000002E-2</v>
      </c>
      <c r="U2983">
        <v>3</v>
      </c>
      <c r="V2983">
        <v>1</v>
      </c>
      <c r="W2983">
        <v>1</v>
      </c>
    </row>
    <row r="2984" spans="1:23" ht="16.5" x14ac:dyDescent="0.3">
      <c r="A2984" t="s">
        <v>3048</v>
      </c>
      <c r="B2984" s="1">
        <v>45730</v>
      </c>
      <c r="C2984">
        <v>2025</v>
      </c>
      <c r="D2984" t="s">
        <v>24</v>
      </c>
      <c r="E2984" t="s">
        <v>460</v>
      </c>
      <c r="F2984" t="s">
        <v>37</v>
      </c>
      <c r="G2984" t="s">
        <v>33</v>
      </c>
      <c r="H2984" t="s">
        <v>55</v>
      </c>
      <c r="I2984" t="s">
        <v>42</v>
      </c>
      <c r="J2984" t="s">
        <v>35</v>
      </c>
      <c r="K2984" s="2">
        <v>5950</v>
      </c>
      <c r="L2984" s="2">
        <v>16500</v>
      </c>
      <c r="M2984">
        <v>24</v>
      </c>
      <c r="N2984" s="3">
        <v>0.32</v>
      </c>
      <c r="O2984" t="s">
        <v>17</v>
      </c>
      <c r="P2984" t="s">
        <v>31</v>
      </c>
      <c r="Q2984">
        <v>0</v>
      </c>
      <c r="R2984">
        <v>1</v>
      </c>
      <c r="S2984" s="2">
        <v>0</v>
      </c>
      <c r="T2984" s="4"/>
      <c r="U2984">
        <v>3</v>
      </c>
      <c r="V2984">
        <v>1</v>
      </c>
      <c r="W2984">
        <v>1</v>
      </c>
    </row>
    <row r="2985" spans="1:23" ht="16.5" x14ac:dyDescent="0.3">
      <c r="A2985" t="s">
        <v>3049</v>
      </c>
      <c r="B2985" s="1">
        <v>45730</v>
      </c>
      <c r="C2985">
        <v>2025</v>
      </c>
      <c r="D2985" t="s">
        <v>24</v>
      </c>
      <c r="E2985" t="s">
        <v>460</v>
      </c>
      <c r="F2985" t="s">
        <v>26</v>
      </c>
      <c r="G2985" t="s">
        <v>51</v>
      </c>
      <c r="H2985" t="s">
        <v>38</v>
      </c>
      <c r="I2985" t="s">
        <v>29</v>
      </c>
      <c r="J2985" t="s">
        <v>52</v>
      </c>
      <c r="K2985" s="2">
        <v>4300</v>
      </c>
      <c r="L2985" s="2">
        <v>28000</v>
      </c>
      <c r="M2985">
        <v>60</v>
      </c>
      <c r="N2985" s="3">
        <v>0.25900000000000001</v>
      </c>
      <c r="O2985" t="s">
        <v>16</v>
      </c>
      <c r="Q2985">
        <v>1</v>
      </c>
      <c r="R2985">
        <v>0</v>
      </c>
      <c r="S2985" s="2">
        <v>28000</v>
      </c>
      <c r="T2985" s="4">
        <v>7.1499999999999994E-2</v>
      </c>
      <c r="U2985">
        <v>7</v>
      </c>
      <c r="V2985">
        <v>0</v>
      </c>
      <c r="W2985">
        <v>1</v>
      </c>
    </row>
    <row r="2986" spans="1:23" ht="16.5" x14ac:dyDescent="0.3">
      <c r="A2986" t="s">
        <v>3050</v>
      </c>
      <c r="B2986" s="1">
        <v>45730</v>
      </c>
      <c r="C2986">
        <v>2025</v>
      </c>
      <c r="D2986" t="s">
        <v>24</v>
      </c>
      <c r="E2986" t="s">
        <v>460</v>
      </c>
      <c r="F2986" t="s">
        <v>37</v>
      </c>
      <c r="G2986" t="s">
        <v>27</v>
      </c>
      <c r="H2986" t="s">
        <v>38</v>
      </c>
      <c r="I2986" t="s">
        <v>39</v>
      </c>
      <c r="J2986" t="s">
        <v>52</v>
      </c>
      <c r="K2986" s="2">
        <v>9500</v>
      </c>
      <c r="L2986" s="2">
        <v>20500</v>
      </c>
      <c r="M2986">
        <v>36</v>
      </c>
      <c r="N2986" s="3">
        <v>0.31</v>
      </c>
      <c r="O2986" t="s">
        <v>16</v>
      </c>
      <c r="Q2986">
        <v>1</v>
      </c>
      <c r="R2986">
        <v>0</v>
      </c>
      <c r="S2986" s="2">
        <v>18500</v>
      </c>
      <c r="T2986" s="4">
        <v>0.11260000000000001</v>
      </c>
      <c r="U2986">
        <v>5</v>
      </c>
      <c r="V2986">
        <v>0</v>
      </c>
      <c r="W2986">
        <v>1</v>
      </c>
    </row>
    <row r="2987" spans="1:23" ht="16.5" x14ac:dyDescent="0.3">
      <c r="A2987" t="s">
        <v>3051</v>
      </c>
      <c r="B2987" s="1">
        <v>45730</v>
      </c>
      <c r="C2987">
        <v>2025</v>
      </c>
      <c r="D2987" t="s">
        <v>24</v>
      </c>
      <c r="E2987" t="s">
        <v>460</v>
      </c>
      <c r="F2987" t="s">
        <v>50</v>
      </c>
      <c r="G2987" t="s">
        <v>51</v>
      </c>
      <c r="H2987" t="s">
        <v>64</v>
      </c>
      <c r="I2987" t="s">
        <v>39</v>
      </c>
      <c r="J2987" t="s">
        <v>43</v>
      </c>
      <c r="K2987" s="2">
        <v>4550</v>
      </c>
      <c r="L2987" s="2">
        <v>249000</v>
      </c>
      <c r="M2987">
        <v>240</v>
      </c>
      <c r="N2987" s="3">
        <v>0.44600000000000001</v>
      </c>
      <c r="O2987" t="s">
        <v>17</v>
      </c>
      <c r="P2987" t="s">
        <v>31</v>
      </c>
      <c r="Q2987">
        <v>0</v>
      </c>
      <c r="R2987">
        <v>1</v>
      </c>
      <c r="S2987" s="2">
        <v>0</v>
      </c>
      <c r="T2987" s="4"/>
      <c r="U2987">
        <v>18</v>
      </c>
      <c r="V2987">
        <v>0</v>
      </c>
      <c r="W2987">
        <v>1</v>
      </c>
    </row>
    <row r="2988" spans="1:23" ht="16.5" x14ac:dyDescent="0.3">
      <c r="A2988" t="s">
        <v>3052</v>
      </c>
      <c r="B2988" s="1">
        <v>45731</v>
      </c>
      <c r="C2988">
        <v>2025</v>
      </c>
      <c r="D2988" t="s">
        <v>24</v>
      </c>
      <c r="E2988" t="s">
        <v>460</v>
      </c>
      <c r="F2988" t="s">
        <v>50</v>
      </c>
      <c r="G2988" t="s">
        <v>27</v>
      </c>
      <c r="H2988" t="s">
        <v>55</v>
      </c>
      <c r="I2988" t="s">
        <v>29</v>
      </c>
      <c r="J2988" t="s">
        <v>30</v>
      </c>
      <c r="K2988" s="2">
        <v>12950</v>
      </c>
      <c r="L2988" s="2">
        <v>211000</v>
      </c>
      <c r="M2988">
        <v>240</v>
      </c>
      <c r="N2988" s="3">
        <v>0.20899999999999999</v>
      </c>
      <c r="O2988" t="s">
        <v>17</v>
      </c>
      <c r="P2988" t="s">
        <v>31</v>
      </c>
      <c r="Q2988">
        <v>0</v>
      </c>
      <c r="R2988">
        <v>1</v>
      </c>
      <c r="S2988" s="2">
        <v>0</v>
      </c>
      <c r="T2988" s="4"/>
      <c r="U2988">
        <v>21</v>
      </c>
      <c r="V2988">
        <v>0</v>
      </c>
      <c r="W2988">
        <v>1</v>
      </c>
    </row>
    <row r="2989" spans="1:23" ht="16.5" x14ac:dyDescent="0.3">
      <c r="A2989" t="s">
        <v>3053</v>
      </c>
      <c r="B2989" s="1">
        <v>45731</v>
      </c>
      <c r="C2989">
        <v>2025</v>
      </c>
      <c r="D2989" t="s">
        <v>24</v>
      </c>
      <c r="E2989" t="s">
        <v>460</v>
      </c>
      <c r="F2989" t="s">
        <v>37</v>
      </c>
      <c r="G2989" t="s">
        <v>27</v>
      </c>
      <c r="H2989" t="s">
        <v>34</v>
      </c>
      <c r="I2989" t="s">
        <v>39</v>
      </c>
      <c r="J2989" t="s">
        <v>30</v>
      </c>
      <c r="K2989" s="2">
        <v>7750</v>
      </c>
      <c r="L2989" s="2">
        <v>10000</v>
      </c>
      <c r="M2989">
        <v>24</v>
      </c>
      <c r="N2989" s="3">
        <v>0.30299999999999999</v>
      </c>
      <c r="O2989" t="s">
        <v>17</v>
      </c>
      <c r="P2989" t="s">
        <v>31</v>
      </c>
      <c r="Q2989">
        <v>0</v>
      </c>
      <c r="R2989">
        <v>1</v>
      </c>
      <c r="S2989" s="2">
        <v>0</v>
      </c>
      <c r="T2989" s="4"/>
      <c r="U2989">
        <v>6</v>
      </c>
      <c r="V2989">
        <v>0</v>
      </c>
      <c r="W2989">
        <v>1</v>
      </c>
    </row>
    <row r="2990" spans="1:23" ht="16.5" x14ac:dyDescent="0.3">
      <c r="A2990" t="s">
        <v>3054</v>
      </c>
      <c r="B2990" s="1">
        <v>45731</v>
      </c>
      <c r="C2990">
        <v>2025</v>
      </c>
      <c r="D2990" t="s">
        <v>24</v>
      </c>
      <c r="E2990" t="s">
        <v>460</v>
      </c>
      <c r="F2990" t="s">
        <v>37</v>
      </c>
      <c r="G2990" t="s">
        <v>45</v>
      </c>
      <c r="H2990" t="s">
        <v>38</v>
      </c>
      <c r="I2990" t="s">
        <v>39</v>
      </c>
      <c r="J2990" t="s">
        <v>52</v>
      </c>
      <c r="K2990" s="2">
        <v>4100</v>
      </c>
      <c r="L2990" s="2">
        <v>22000</v>
      </c>
      <c r="M2990">
        <v>24</v>
      </c>
      <c r="N2990" s="3">
        <v>0.40400000000000003</v>
      </c>
      <c r="O2990" t="s">
        <v>17</v>
      </c>
      <c r="P2990" t="s">
        <v>65</v>
      </c>
      <c r="Q2990">
        <v>0</v>
      </c>
      <c r="R2990">
        <v>1</v>
      </c>
      <c r="S2990" s="2">
        <v>0</v>
      </c>
      <c r="T2990" s="4"/>
      <c r="U2990">
        <v>1</v>
      </c>
      <c r="V2990">
        <v>1</v>
      </c>
      <c r="W2990">
        <v>1</v>
      </c>
    </row>
    <row r="2991" spans="1:23" ht="16.5" x14ac:dyDescent="0.3">
      <c r="A2991" t="s">
        <v>3055</v>
      </c>
      <c r="B2991" s="1">
        <v>45731</v>
      </c>
      <c r="C2991">
        <v>2025</v>
      </c>
      <c r="D2991" t="s">
        <v>24</v>
      </c>
      <c r="E2991" t="s">
        <v>460</v>
      </c>
      <c r="F2991" t="s">
        <v>26</v>
      </c>
      <c r="G2991" t="s">
        <v>27</v>
      </c>
      <c r="H2991" t="s">
        <v>34</v>
      </c>
      <c r="I2991" t="s">
        <v>42</v>
      </c>
      <c r="J2991" t="s">
        <v>35</v>
      </c>
      <c r="K2991" s="2">
        <v>5200</v>
      </c>
      <c r="L2991" s="2">
        <v>39000</v>
      </c>
      <c r="M2991">
        <v>60</v>
      </c>
      <c r="N2991" s="3">
        <v>0.309</v>
      </c>
      <c r="O2991" t="s">
        <v>16</v>
      </c>
      <c r="Q2991">
        <v>1</v>
      </c>
      <c r="R2991">
        <v>0</v>
      </c>
      <c r="S2991" s="2">
        <v>39000</v>
      </c>
      <c r="T2991" s="4">
        <v>8.2799999999999999E-2</v>
      </c>
      <c r="U2991">
        <v>3</v>
      </c>
      <c r="V2991">
        <v>1</v>
      </c>
      <c r="W2991">
        <v>1</v>
      </c>
    </row>
    <row r="2992" spans="1:23" ht="16.5" x14ac:dyDescent="0.3">
      <c r="A2992" t="s">
        <v>3056</v>
      </c>
      <c r="B2992" s="1">
        <v>45731</v>
      </c>
      <c r="C2992">
        <v>2025</v>
      </c>
      <c r="D2992" t="s">
        <v>24</v>
      </c>
      <c r="E2992" t="s">
        <v>460</v>
      </c>
      <c r="F2992" t="s">
        <v>41</v>
      </c>
      <c r="G2992" t="s">
        <v>33</v>
      </c>
      <c r="H2992" t="s">
        <v>38</v>
      </c>
      <c r="I2992" t="s">
        <v>42</v>
      </c>
      <c r="J2992" t="s">
        <v>46</v>
      </c>
      <c r="K2992" s="2">
        <v>4450</v>
      </c>
      <c r="L2992" s="2">
        <v>193500</v>
      </c>
      <c r="M2992">
        <v>60</v>
      </c>
      <c r="N2992" s="3">
        <v>0.97799999999999998</v>
      </c>
      <c r="O2992" t="s">
        <v>17</v>
      </c>
      <c r="P2992" t="s">
        <v>53</v>
      </c>
      <c r="Q2992">
        <v>0</v>
      </c>
      <c r="R2992">
        <v>1</v>
      </c>
      <c r="S2992" s="2">
        <v>0</v>
      </c>
      <c r="T2992" s="4"/>
      <c r="U2992">
        <v>4</v>
      </c>
      <c r="V2992">
        <v>1</v>
      </c>
      <c r="W2992">
        <v>1</v>
      </c>
    </row>
    <row r="2993" spans="1:23" ht="16.5" x14ac:dyDescent="0.3">
      <c r="A2993" t="s">
        <v>3057</v>
      </c>
      <c r="B2993" s="1">
        <v>45731</v>
      </c>
      <c r="C2993">
        <v>2025</v>
      </c>
      <c r="D2993" t="s">
        <v>24</v>
      </c>
      <c r="E2993" t="s">
        <v>460</v>
      </c>
      <c r="F2993" t="s">
        <v>37</v>
      </c>
      <c r="G2993" t="s">
        <v>51</v>
      </c>
      <c r="H2993" t="s">
        <v>55</v>
      </c>
      <c r="I2993" t="s">
        <v>29</v>
      </c>
      <c r="J2993" t="s">
        <v>30</v>
      </c>
      <c r="K2993" s="2">
        <v>7250</v>
      </c>
      <c r="L2993" s="2">
        <v>7500</v>
      </c>
      <c r="M2993">
        <v>36</v>
      </c>
      <c r="N2993" s="3">
        <v>0.193</v>
      </c>
      <c r="O2993" t="s">
        <v>16</v>
      </c>
      <c r="Q2993">
        <v>1</v>
      </c>
      <c r="R2993">
        <v>0</v>
      </c>
      <c r="S2993" s="2">
        <v>7500</v>
      </c>
      <c r="T2993" s="4">
        <v>0.14169999999999999</v>
      </c>
      <c r="U2993">
        <v>4</v>
      </c>
      <c r="V2993">
        <v>0</v>
      </c>
      <c r="W2993">
        <v>1</v>
      </c>
    </row>
    <row r="2994" spans="1:23" ht="16.5" x14ac:dyDescent="0.3">
      <c r="A2994" t="s">
        <v>3058</v>
      </c>
      <c r="B2994" s="1">
        <v>45731</v>
      </c>
      <c r="C2994">
        <v>2025</v>
      </c>
      <c r="D2994" t="s">
        <v>24</v>
      </c>
      <c r="E2994" t="s">
        <v>460</v>
      </c>
      <c r="F2994" t="s">
        <v>41</v>
      </c>
      <c r="G2994" t="s">
        <v>33</v>
      </c>
      <c r="H2994" t="s">
        <v>55</v>
      </c>
      <c r="I2994" t="s">
        <v>39</v>
      </c>
      <c r="J2994" t="s">
        <v>52</v>
      </c>
      <c r="K2994" s="2">
        <v>5100</v>
      </c>
      <c r="L2994" s="2">
        <v>81000</v>
      </c>
      <c r="M2994">
        <v>60</v>
      </c>
      <c r="N2994" s="3">
        <v>0.53200000000000003</v>
      </c>
      <c r="O2994" t="s">
        <v>16</v>
      </c>
      <c r="Q2994">
        <v>1</v>
      </c>
      <c r="R2994">
        <v>0</v>
      </c>
      <c r="S2994" s="2">
        <v>73000</v>
      </c>
      <c r="T2994" s="4">
        <v>9.5299999999999996E-2</v>
      </c>
      <c r="U2994">
        <v>5</v>
      </c>
      <c r="V2994">
        <v>1</v>
      </c>
      <c r="W2994">
        <v>1</v>
      </c>
    </row>
    <row r="2995" spans="1:23" ht="16.5" x14ac:dyDescent="0.3">
      <c r="A2995" t="s">
        <v>3059</v>
      </c>
      <c r="B2995" s="1">
        <v>45731</v>
      </c>
      <c r="C2995">
        <v>2025</v>
      </c>
      <c r="D2995" t="s">
        <v>24</v>
      </c>
      <c r="E2995" t="s">
        <v>460</v>
      </c>
      <c r="F2995" t="s">
        <v>26</v>
      </c>
      <c r="G2995" t="s">
        <v>51</v>
      </c>
      <c r="H2995" t="s">
        <v>64</v>
      </c>
      <c r="I2995" t="s">
        <v>29</v>
      </c>
      <c r="J2995" t="s">
        <v>35</v>
      </c>
      <c r="K2995" s="2">
        <v>3150</v>
      </c>
      <c r="L2995" s="2">
        <v>26000</v>
      </c>
      <c r="M2995">
        <v>36</v>
      </c>
      <c r="N2995" s="3">
        <v>0.372</v>
      </c>
      <c r="O2995" t="s">
        <v>16</v>
      </c>
      <c r="Q2995">
        <v>1</v>
      </c>
      <c r="R2995">
        <v>0</v>
      </c>
      <c r="S2995" s="2">
        <v>23500</v>
      </c>
      <c r="T2995" s="4">
        <v>8.14E-2</v>
      </c>
      <c r="U2995">
        <v>5</v>
      </c>
      <c r="V2995">
        <v>0</v>
      </c>
      <c r="W2995">
        <v>1</v>
      </c>
    </row>
    <row r="2996" spans="1:23" ht="16.5" x14ac:dyDescent="0.3">
      <c r="A2996" t="s">
        <v>3060</v>
      </c>
      <c r="B2996" s="1">
        <v>45732</v>
      </c>
      <c r="C2996">
        <v>2025</v>
      </c>
      <c r="D2996" t="s">
        <v>24</v>
      </c>
      <c r="E2996" t="s">
        <v>460</v>
      </c>
      <c r="F2996" t="s">
        <v>37</v>
      </c>
      <c r="G2996" t="s">
        <v>45</v>
      </c>
      <c r="H2996" t="s">
        <v>38</v>
      </c>
      <c r="I2996" t="s">
        <v>29</v>
      </c>
      <c r="J2996" t="s">
        <v>52</v>
      </c>
      <c r="K2996" s="2">
        <v>6800</v>
      </c>
      <c r="L2996" s="2">
        <v>24000</v>
      </c>
      <c r="M2996">
        <v>24</v>
      </c>
      <c r="N2996" s="3">
        <v>0.316</v>
      </c>
      <c r="O2996" t="s">
        <v>16</v>
      </c>
      <c r="Q2996">
        <v>1</v>
      </c>
      <c r="R2996">
        <v>0</v>
      </c>
      <c r="S2996" s="2">
        <v>19000</v>
      </c>
      <c r="T2996" s="4">
        <v>0.1179</v>
      </c>
      <c r="U2996">
        <v>4</v>
      </c>
      <c r="V2996">
        <v>0</v>
      </c>
      <c r="W2996">
        <v>1</v>
      </c>
    </row>
    <row r="2997" spans="1:23" ht="16.5" x14ac:dyDescent="0.3">
      <c r="A2997" t="s">
        <v>3061</v>
      </c>
      <c r="B2997" s="1">
        <v>45732</v>
      </c>
      <c r="C2997">
        <v>2025</v>
      </c>
      <c r="D2997" t="s">
        <v>24</v>
      </c>
      <c r="E2997" t="s">
        <v>460</v>
      </c>
      <c r="F2997" t="s">
        <v>37</v>
      </c>
      <c r="G2997" t="s">
        <v>33</v>
      </c>
      <c r="H2997" t="s">
        <v>55</v>
      </c>
      <c r="I2997" t="s">
        <v>42</v>
      </c>
      <c r="J2997" t="s">
        <v>35</v>
      </c>
      <c r="K2997" s="2">
        <v>4700</v>
      </c>
      <c r="L2997" s="2">
        <v>14500</v>
      </c>
      <c r="M2997">
        <v>36</v>
      </c>
      <c r="N2997" s="3">
        <v>0.16700000000000001</v>
      </c>
      <c r="O2997" t="s">
        <v>17</v>
      </c>
      <c r="P2997" t="s">
        <v>65</v>
      </c>
      <c r="Q2997">
        <v>0</v>
      </c>
      <c r="R2997">
        <v>1</v>
      </c>
      <c r="S2997" s="2">
        <v>0</v>
      </c>
      <c r="T2997" s="4"/>
      <c r="U2997">
        <v>1</v>
      </c>
      <c r="V2997">
        <v>1</v>
      </c>
      <c r="W2997">
        <v>1</v>
      </c>
    </row>
    <row r="2998" spans="1:23" ht="16.5" x14ac:dyDescent="0.3">
      <c r="A2998" t="s">
        <v>3062</v>
      </c>
      <c r="B2998" s="1">
        <v>45732</v>
      </c>
      <c r="C2998">
        <v>2025</v>
      </c>
      <c r="D2998" t="s">
        <v>24</v>
      </c>
      <c r="E2998" t="s">
        <v>460</v>
      </c>
      <c r="F2998" t="s">
        <v>37</v>
      </c>
      <c r="G2998" t="s">
        <v>45</v>
      </c>
      <c r="H2998" t="s">
        <v>38</v>
      </c>
      <c r="I2998" t="s">
        <v>29</v>
      </c>
      <c r="J2998" t="s">
        <v>35</v>
      </c>
      <c r="K2998" s="2">
        <v>5000</v>
      </c>
      <c r="L2998" s="2">
        <v>18500</v>
      </c>
      <c r="M2998">
        <v>12</v>
      </c>
      <c r="N2998" s="3">
        <v>0.44500000000000001</v>
      </c>
      <c r="O2998" t="s">
        <v>17</v>
      </c>
      <c r="P2998" t="s">
        <v>48</v>
      </c>
      <c r="Q2998">
        <v>0</v>
      </c>
      <c r="R2998">
        <v>1</v>
      </c>
      <c r="S2998" s="2">
        <v>0</v>
      </c>
      <c r="T2998" s="4"/>
      <c r="U2998">
        <v>1</v>
      </c>
      <c r="V2998">
        <v>1</v>
      </c>
      <c r="W2998">
        <v>1</v>
      </c>
    </row>
    <row r="2999" spans="1:23" ht="16.5" x14ac:dyDescent="0.3">
      <c r="A2999" t="s">
        <v>3063</v>
      </c>
      <c r="B2999" s="1">
        <v>45732</v>
      </c>
      <c r="C2999">
        <v>2025</v>
      </c>
      <c r="D2999" t="s">
        <v>24</v>
      </c>
      <c r="E2999" t="s">
        <v>460</v>
      </c>
      <c r="F2999" t="s">
        <v>37</v>
      </c>
      <c r="G2999" t="s">
        <v>51</v>
      </c>
      <c r="H2999" t="s">
        <v>34</v>
      </c>
      <c r="I2999" t="s">
        <v>42</v>
      </c>
      <c r="J2999" t="s">
        <v>43</v>
      </c>
      <c r="K2999" s="2">
        <v>4600</v>
      </c>
      <c r="L2999" s="2">
        <v>10500</v>
      </c>
      <c r="M2999">
        <v>24</v>
      </c>
      <c r="N2999" s="3">
        <v>0.33900000000000002</v>
      </c>
      <c r="O2999" t="s">
        <v>17</v>
      </c>
      <c r="P2999" t="s">
        <v>48</v>
      </c>
      <c r="Q2999">
        <v>0</v>
      </c>
      <c r="R2999">
        <v>1</v>
      </c>
      <c r="S2999" s="2">
        <v>0</v>
      </c>
      <c r="T2999" s="4"/>
      <c r="U2999">
        <v>3</v>
      </c>
      <c r="V2999">
        <v>1</v>
      </c>
      <c r="W2999">
        <v>1</v>
      </c>
    </row>
    <row r="3000" spans="1:23" ht="16.5" x14ac:dyDescent="0.3">
      <c r="A3000" t="s">
        <v>3064</v>
      </c>
      <c r="B3000" s="1">
        <v>45732</v>
      </c>
      <c r="C3000">
        <v>2025</v>
      </c>
      <c r="D3000" t="s">
        <v>24</v>
      </c>
      <c r="E3000" t="s">
        <v>460</v>
      </c>
      <c r="F3000" t="s">
        <v>26</v>
      </c>
      <c r="G3000" t="s">
        <v>33</v>
      </c>
      <c r="H3000" t="s">
        <v>34</v>
      </c>
      <c r="I3000" t="s">
        <v>39</v>
      </c>
      <c r="J3000" t="s">
        <v>52</v>
      </c>
      <c r="K3000" s="2">
        <v>5950</v>
      </c>
      <c r="L3000" s="2">
        <v>50000</v>
      </c>
      <c r="M3000">
        <v>36</v>
      </c>
      <c r="N3000" s="3">
        <v>0.35799999999999998</v>
      </c>
      <c r="O3000" t="s">
        <v>16</v>
      </c>
      <c r="Q3000">
        <v>1</v>
      </c>
      <c r="R3000">
        <v>0</v>
      </c>
      <c r="S3000" s="2">
        <v>50000</v>
      </c>
      <c r="T3000" s="4">
        <v>6.7100000000000007E-2</v>
      </c>
      <c r="U3000">
        <v>2</v>
      </c>
      <c r="V3000">
        <v>1</v>
      </c>
      <c r="W3000">
        <v>1</v>
      </c>
    </row>
    <row r="3001" spans="1:23" ht="16.5" x14ac:dyDescent="0.3">
      <c r="A3001" t="s">
        <v>3065</v>
      </c>
      <c r="B3001" s="1">
        <v>45733</v>
      </c>
      <c r="C3001">
        <v>2025</v>
      </c>
      <c r="D3001" t="s">
        <v>24</v>
      </c>
      <c r="E3001" t="s">
        <v>460</v>
      </c>
      <c r="F3001" t="s">
        <v>37</v>
      </c>
      <c r="G3001" t="s">
        <v>33</v>
      </c>
      <c r="H3001" t="s">
        <v>55</v>
      </c>
      <c r="I3001" t="s">
        <v>29</v>
      </c>
      <c r="J3001" t="s">
        <v>46</v>
      </c>
      <c r="K3001" s="2">
        <v>7500</v>
      </c>
      <c r="L3001" s="2">
        <v>12500</v>
      </c>
      <c r="M3001">
        <v>36</v>
      </c>
      <c r="N3001" s="3">
        <v>0.216</v>
      </c>
      <c r="O3001" t="s">
        <v>16</v>
      </c>
      <c r="Q3001">
        <v>1</v>
      </c>
      <c r="R3001">
        <v>0</v>
      </c>
      <c r="S3001" s="2">
        <v>12500</v>
      </c>
      <c r="T3001" s="4">
        <v>0.1084</v>
      </c>
      <c r="U3001">
        <v>1</v>
      </c>
      <c r="V3001">
        <v>1</v>
      </c>
      <c r="W3001">
        <v>1</v>
      </c>
    </row>
    <row r="3002" spans="1:23" ht="16.5" x14ac:dyDescent="0.3">
      <c r="A3002" t="s">
        <v>3066</v>
      </c>
      <c r="B3002" s="1">
        <v>45733</v>
      </c>
      <c r="C3002">
        <v>2025</v>
      </c>
      <c r="D3002" t="s">
        <v>24</v>
      </c>
      <c r="E3002" t="s">
        <v>460</v>
      </c>
      <c r="F3002" t="s">
        <v>41</v>
      </c>
      <c r="G3002" t="s">
        <v>33</v>
      </c>
      <c r="H3002" t="s">
        <v>38</v>
      </c>
      <c r="I3002" t="s">
        <v>29</v>
      </c>
      <c r="J3002" t="s">
        <v>30</v>
      </c>
      <c r="K3002" s="2">
        <v>4700</v>
      </c>
      <c r="L3002" s="2">
        <v>82000</v>
      </c>
      <c r="M3002">
        <v>12</v>
      </c>
      <c r="N3002" s="3">
        <v>1.718</v>
      </c>
      <c r="O3002" t="s">
        <v>17</v>
      </c>
      <c r="P3002" t="s">
        <v>31</v>
      </c>
      <c r="Q3002">
        <v>0</v>
      </c>
      <c r="R3002">
        <v>1</v>
      </c>
      <c r="S3002" s="2">
        <v>0</v>
      </c>
      <c r="T3002" s="4"/>
      <c r="U3002">
        <v>3</v>
      </c>
      <c r="V3002">
        <v>1</v>
      </c>
      <c r="W3002">
        <v>1</v>
      </c>
    </row>
    <row r="3003" spans="1:23" ht="16.5" x14ac:dyDescent="0.3">
      <c r="A3003" t="s">
        <v>3067</v>
      </c>
      <c r="B3003" s="1">
        <v>45733</v>
      </c>
      <c r="C3003">
        <v>2025</v>
      </c>
      <c r="D3003" t="s">
        <v>24</v>
      </c>
      <c r="E3003" t="s">
        <v>460</v>
      </c>
      <c r="F3003" t="s">
        <v>37</v>
      </c>
      <c r="G3003" t="s">
        <v>27</v>
      </c>
      <c r="H3003" t="s">
        <v>55</v>
      </c>
      <c r="I3003" t="s">
        <v>39</v>
      </c>
      <c r="J3003" t="s">
        <v>35</v>
      </c>
      <c r="K3003" s="2">
        <v>3050</v>
      </c>
      <c r="L3003" s="2">
        <v>12000</v>
      </c>
      <c r="M3003">
        <v>48</v>
      </c>
      <c r="N3003" s="3">
        <v>0.33700000000000002</v>
      </c>
      <c r="O3003" t="s">
        <v>16</v>
      </c>
      <c r="Q3003">
        <v>1</v>
      </c>
      <c r="R3003">
        <v>0</v>
      </c>
      <c r="S3003" s="2">
        <v>9500</v>
      </c>
      <c r="T3003" s="4">
        <v>0.1241</v>
      </c>
      <c r="U3003">
        <v>3</v>
      </c>
      <c r="V3003">
        <v>1</v>
      </c>
      <c r="W3003">
        <v>1</v>
      </c>
    </row>
    <row r="3004" spans="1:23" ht="16.5" x14ac:dyDescent="0.3">
      <c r="A3004" t="s">
        <v>3068</v>
      </c>
      <c r="B3004" s="1">
        <v>45733</v>
      </c>
      <c r="C3004">
        <v>2025</v>
      </c>
      <c r="D3004" t="s">
        <v>24</v>
      </c>
      <c r="E3004" t="s">
        <v>460</v>
      </c>
      <c r="F3004" t="s">
        <v>37</v>
      </c>
      <c r="G3004" t="s">
        <v>33</v>
      </c>
      <c r="H3004" t="s">
        <v>55</v>
      </c>
      <c r="I3004" t="s">
        <v>29</v>
      </c>
      <c r="J3004" t="s">
        <v>35</v>
      </c>
      <c r="K3004" s="2">
        <v>2850</v>
      </c>
      <c r="L3004" s="2">
        <v>6500</v>
      </c>
      <c r="M3004">
        <v>36</v>
      </c>
      <c r="N3004" s="3">
        <v>0.20599999999999999</v>
      </c>
      <c r="O3004" t="s">
        <v>17</v>
      </c>
      <c r="P3004" t="s">
        <v>60</v>
      </c>
      <c r="Q3004">
        <v>0</v>
      </c>
      <c r="R3004">
        <v>1</v>
      </c>
      <c r="S3004" s="2">
        <v>0</v>
      </c>
      <c r="T3004" s="4"/>
      <c r="U3004">
        <v>6</v>
      </c>
      <c r="V3004">
        <v>0</v>
      </c>
      <c r="W3004">
        <v>1</v>
      </c>
    </row>
    <row r="3005" spans="1:23" ht="16.5" x14ac:dyDescent="0.3">
      <c r="A3005" t="s">
        <v>3069</v>
      </c>
      <c r="B3005" s="1">
        <v>45733</v>
      </c>
      <c r="C3005">
        <v>2025</v>
      </c>
      <c r="D3005" t="s">
        <v>24</v>
      </c>
      <c r="E3005" t="s">
        <v>460</v>
      </c>
      <c r="F3005" t="s">
        <v>37</v>
      </c>
      <c r="G3005" t="s">
        <v>51</v>
      </c>
      <c r="H3005" t="s">
        <v>64</v>
      </c>
      <c r="I3005" t="s">
        <v>39</v>
      </c>
      <c r="J3005" t="s">
        <v>30</v>
      </c>
      <c r="K3005" s="2">
        <v>5100</v>
      </c>
      <c r="L3005" s="2">
        <v>9000</v>
      </c>
      <c r="M3005">
        <v>12</v>
      </c>
      <c r="N3005" s="3">
        <v>0.28399999999999997</v>
      </c>
      <c r="O3005" t="s">
        <v>16</v>
      </c>
      <c r="Q3005">
        <v>1</v>
      </c>
      <c r="R3005">
        <v>0</v>
      </c>
      <c r="S3005" s="2">
        <v>8000</v>
      </c>
      <c r="T3005" s="4">
        <v>0.1333</v>
      </c>
      <c r="U3005">
        <v>4</v>
      </c>
      <c r="V3005">
        <v>0</v>
      </c>
      <c r="W3005">
        <v>1</v>
      </c>
    </row>
    <row r="3006" spans="1:23" ht="16.5" x14ac:dyDescent="0.3">
      <c r="A3006" t="s">
        <v>3070</v>
      </c>
      <c r="B3006" s="1">
        <v>45733</v>
      </c>
      <c r="C3006">
        <v>2025</v>
      </c>
      <c r="D3006" t="s">
        <v>24</v>
      </c>
      <c r="E3006" t="s">
        <v>460</v>
      </c>
      <c r="F3006" t="s">
        <v>26</v>
      </c>
      <c r="G3006" t="s">
        <v>45</v>
      </c>
      <c r="H3006" t="s">
        <v>38</v>
      </c>
      <c r="I3006" t="s">
        <v>39</v>
      </c>
      <c r="J3006" t="s">
        <v>43</v>
      </c>
      <c r="K3006" s="2">
        <v>4450</v>
      </c>
      <c r="L3006" s="2">
        <v>16500</v>
      </c>
      <c r="M3006">
        <v>48</v>
      </c>
      <c r="N3006" s="3">
        <v>0.14799999999999999</v>
      </c>
      <c r="O3006" t="s">
        <v>17</v>
      </c>
      <c r="P3006" t="s">
        <v>31</v>
      </c>
      <c r="Q3006">
        <v>0</v>
      </c>
      <c r="R3006">
        <v>1</v>
      </c>
      <c r="S3006" s="2">
        <v>0</v>
      </c>
      <c r="T3006" s="4"/>
      <c r="U3006">
        <v>2</v>
      </c>
      <c r="V3006">
        <v>1</v>
      </c>
      <c r="W3006">
        <v>1</v>
      </c>
    </row>
    <row r="3007" spans="1:23" ht="16.5" x14ac:dyDescent="0.3">
      <c r="A3007" t="s">
        <v>3071</v>
      </c>
      <c r="B3007" s="1">
        <v>45733</v>
      </c>
      <c r="C3007">
        <v>2025</v>
      </c>
      <c r="D3007" t="s">
        <v>24</v>
      </c>
      <c r="E3007" t="s">
        <v>460</v>
      </c>
      <c r="F3007" t="s">
        <v>26</v>
      </c>
      <c r="G3007" t="s">
        <v>27</v>
      </c>
      <c r="H3007" t="s">
        <v>55</v>
      </c>
      <c r="I3007" t="s">
        <v>29</v>
      </c>
      <c r="J3007" t="s">
        <v>30</v>
      </c>
      <c r="K3007" s="2">
        <v>5850</v>
      </c>
      <c r="L3007" s="2">
        <v>42000</v>
      </c>
      <c r="M3007">
        <v>36</v>
      </c>
      <c r="N3007" s="3">
        <v>0.39500000000000002</v>
      </c>
      <c r="O3007" t="s">
        <v>16</v>
      </c>
      <c r="Q3007">
        <v>1</v>
      </c>
      <c r="R3007">
        <v>0</v>
      </c>
      <c r="S3007" s="2">
        <v>42000</v>
      </c>
      <c r="T3007" s="4">
        <v>9.9400000000000002E-2</v>
      </c>
      <c r="U3007">
        <v>4</v>
      </c>
      <c r="V3007">
        <v>1</v>
      </c>
      <c r="W3007">
        <v>1</v>
      </c>
    </row>
    <row r="3008" spans="1:23" ht="16.5" x14ac:dyDescent="0.3">
      <c r="A3008" t="s">
        <v>3072</v>
      </c>
      <c r="B3008" s="1">
        <v>45733</v>
      </c>
      <c r="C3008">
        <v>2025</v>
      </c>
      <c r="D3008" t="s">
        <v>24</v>
      </c>
      <c r="E3008" t="s">
        <v>460</v>
      </c>
      <c r="F3008" t="s">
        <v>26</v>
      </c>
      <c r="G3008" t="s">
        <v>33</v>
      </c>
      <c r="H3008" t="s">
        <v>64</v>
      </c>
      <c r="I3008" t="s">
        <v>39</v>
      </c>
      <c r="J3008" t="s">
        <v>30</v>
      </c>
      <c r="K3008" s="2">
        <v>3000</v>
      </c>
      <c r="L3008" s="2">
        <v>48500</v>
      </c>
      <c r="M3008">
        <v>36</v>
      </c>
      <c r="N3008" s="3">
        <v>0.65800000000000003</v>
      </c>
      <c r="O3008" t="s">
        <v>17</v>
      </c>
      <c r="P3008" t="s">
        <v>31</v>
      </c>
      <c r="Q3008">
        <v>0</v>
      </c>
      <c r="R3008">
        <v>1</v>
      </c>
      <c r="S3008" s="2">
        <v>0</v>
      </c>
      <c r="T3008" s="4"/>
      <c r="U3008">
        <v>1</v>
      </c>
      <c r="V3008">
        <v>1</v>
      </c>
      <c r="W3008">
        <v>1</v>
      </c>
    </row>
    <row r="3009" spans="1:23" ht="16.5" x14ac:dyDescent="0.3">
      <c r="A3009" t="s">
        <v>3073</v>
      </c>
      <c r="B3009" s="1">
        <v>45733</v>
      </c>
      <c r="C3009">
        <v>2025</v>
      </c>
      <c r="D3009" t="s">
        <v>24</v>
      </c>
      <c r="E3009" t="s">
        <v>460</v>
      </c>
      <c r="F3009" t="s">
        <v>37</v>
      </c>
      <c r="G3009" t="s">
        <v>33</v>
      </c>
      <c r="H3009" t="s">
        <v>64</v>
      </c>
      <c r="I3009" t="s">
        <v>39</v>
      </c>
      <c r="J3009" t="s">
        <v>35</v>
      </c>
      <c r="K3009" s="2">
        <v>4500</v>
      </c>
      <c r="L3009" s="2">
        <v>5000</v>
      </c>
      <c r="M3009">
        <v>12</v>
      </c>
      <c r="N3009" s="3">
        <v>0.152</v>
      </c>
      <c r="O3009" t="s">
        <v>16</v>
      </c>
      <c r="Q3009">
        <v>1</v>
      </c>
      <c r="R3009">
        <v>0</v>
      </c>
      <c r="S3009" s="2">
        <v>5000</v>
      </c>
      <c r="T3009" s="4">
        <v>0.1234</v>
      </c>
      <c r="U3009">
        <v>1</v>
      </c>
      <c r="V3009">
        <v>1</v>
      </c>
      <c r="W3009">
        <v>1</v>
      </c>
    </row>
    <row r="3010" spans="1:23" ht="16.5" x14ac:dyDescent="0.3">
      <c r="A3010" t="s">
        <v>3074</v>
      </c>
      <c r="B3010" s="1">
        <v>45733</v>
      </c>
      <c r="C3010">
        <v>2025</v>
      </c>
      <c r="D3010" t="s">
        <v>24</v>
      </c>
      <c r="E3010" t="s">
        <v>460</v>
      </c>
      <c r="F3010" t="s">
        <v>26</v>
      </c>
      <c r="G3010" t="s">
        <v>51</v>
      </c>
      <c r="H3010" t="s">
        <v>38</v>
      </c>
      <c r="I3010" t="s">
        <v>42</v>
      </c>
      <c r="J3010" t="s">
        <v>35</v>
      </c>
      <c r="K3010" s="2">
        <v>6450</v>
      </c>
      <c r="L3010" s="2">
        <v>29000</v>
      </c>
      <c r="M3010">
        <v>60</v>
      </c>
      <c r="N3010" s="3">
        <v>0.17899999999999999</v>
      </c>
      <c r="O3010" t="s">
        <v>16</v>
      </c>
      <c r="Q3010">
        <v>1</v>
      </c>
      <c r="R3010">
        <v>0</v>
      </c>
      <c r="S3010" s="2">
        <v>29000</v>
      </c>
      <c r="T3010" s="4">
        <v>8.7900000000000006E-2</v>
      </c>
      <c r="U3010">
        <v>4</v>
      </c>
      <c r="V3010">
        <v>1</v>
      </c>
      <c r="W3010">
        <v>1</v>
      </c>
    </row>
    <row r="3011" spans="1:23" ht="16.5" x14ac:dyDescent="0.3">
      <c r="A3011" t="s">
        <v>3075</v>
      </c>
      <c r="B3011" s="1">
        <v>45733</v>
      </c>
      <c r="C3011">
        <v>2025</v>
      </c>
      <c r="D3011" t="s">
        <v>24</v>
      </c>
      <c r="E3011" t="s">
        <v>460</v>
      </c>
      <c r="F3011" t="s">
        <v>41</v>
      </c>
      <c r="G3011" t="s">
        <v>33</v>
      </c>
      <c r="H3011" t="s">
        <v>38</v>
      </c>
      <c r="I3011" t="s">
        <v>42</v>
      </c>
      <c r="J3011" t="s">
        <v>46</v>
      </c>
      <c r="K3011" s="2">
        <v>3600</v>
      </c>
      <c r="L3011" s="2">
        <v>58000</v>
      </c>
      <c r="M3011">
        <v>60</v>
      </c>
      <c r="N3011" s="3">
        <v>0.45900000000000002</v>
      </c>
      <c r="O3011" t="s">
        <v>17</v>
      </c>
      <c r="P3011" t="s">
        <v>53</v>
      </c>
      <c r="Q3011">
        <v>0</v>
      </c>
      <c r="R3011">
        <v>1</v>
      </c>
      <c r="S3011" s="2">
        <v>0</v>
      </c>
      <c r="T3011" s="4"/>
      <c r="U3011">
        <v>3</v>
      </c>
      <c r="V3011">
        <v>1</v>
      </c>
      <c r="W3011">
        <v>1</v>
      </c>
    </row>
    <row r="3012" spans="1:23" ht="16.5" x14ac:dyDescent="0.3">
      <c r="A3012" t="s">
        <v>3076</v>
      </c>
      <c r="B3012" s="1">
        <v>45734</v>
      </c>
      <c r="C3012">
        <v>2025</v>
      </c>
      <c r="D3012" t="s">
        <v>24</v>
      </c>
      <c r="E3012" t="s">
        <v>460</v>
      </c>
      <c r="F3012" t="s">
        <v>37</v>
      </c>
      <c r="G3012" t="s">
        <v>27</v>
      </c>
      <c r="H3012" t="s">
        <v>34</v>
      </c>
      <c r="I3012" t="s">
        <v>29</v>
      </c>
      <c r="J3012" t="s">
        <v>52</v>
      </c>
      <c r="K3012" s="2">
        <v>3400</v>
      </c>
      <c r="L3012" s="2">
        <v>12500</v>
      </c>
      <c r="M3012">
        <v>48</v>
      </c>
      <c r="N3012" s="3">
        <v>0.16800000000000001</v>
      </c>
      <c r="O3012" t="s">
        <v>16</v>
      </c>
      <c r="Q3012">
        <v>1</v>
      </c>
      <c r="R3012">
        <v>0</v>
      </c>
      <c r="S3012" s="2">
        <v>12500</v>
      </c>
      <c r="T3012" s="4">
        <v>0.1163</v>
      </c>
      <c r="U3012">
        <v>4</v>
      </c>
      <c r="V3012">
        <v>0</v>
      </c>
      <c r="W3012">
        <v>1</v>
      </c>
    </row>
    <row r="3013" spans="1:23" ht="16.5" x14ac:dyDescent="0.3">
      <c r="A3013" t="s">
        <v>3077</v>
      </c>
      <c r="B3013" s="1">
        <v>45734</v>
      </c>
      <c r="C3013">
        <v>2025</v>
      </c>
      <c r="D3013" t="s">
        <v>24</v>
      </c>
      <c r="E3013" t="s">
        <v>460</v>
      </c>
      <c r="F3013" t="s">
        <v>50</v>
      </c>
      <c r="G3013" t="s">
        <v>51</v>
      </c>
      <c r="H3013" t="s">
        <v>38</v>
      </c>
      <c r="I3013" t="s">
        <v>29</v>
      </c>
      <c r="J3013" t="s">
        <v>35</v>
      </c>
      <c r="K3013" s="2">
        <v>5750</v>
      </c>
      <c r="L3013" s="2">
        <v>398000</v>
      </c>
      <c r="M3013">
        <v>180</v>
      </c>
      <c r="N3013" s="3">
        <v>0.73399999999999999</v>
      </c>
      <c r="O3013" t="s">
        <v>17</v>
      </c>
      <c r="P3013" t="s">
        <v>53</v>
      </c>
      <c r="Q3013">
        <v>0</v>
      </c>
      <c r="R3013">
        <v>1</v>
      </c>
      <c r="S3013" s="2">
        <v>0</v>
      </c>
      <c r="T3013" s="4"/>
      <c r="U3013">
        <v>18</v>
      </c>
      <c r="V3013">
        <v>0</v>
      </c>
      <c r="W3013">
        <v>1</v>
      </c>
    </row>
    <row r="3014" spans="1:23" ht="16.5" x14ac:dyDescent="0.3">
      <c r="A3014" t="s">
        <v>3078</v>
      </c>
      <c r="B3014" s="1">
        <v>45734</v>
      </c>
      <c r="C3014">
        <v>2025</v>
      </c>
      <c r="D3014" t="s">
        <v>24</v>
      </c>
      <c r="E3014" t="s">
        <v>460</v>
      </c>
      <c r="F3014" t="s">
        <v>50</v>
      </c>
      <c r="G3014" t="s">
        <v>51</v>
      </c>
      <c r="H3014" t="s">
        <v>38</v>
      </c>
      <c r="I3014" t="s">
        <v>39</v>
      </c>
      <c r="J3014" t="s">
        <v>52</v>
      </c>
      <c r="K3014" s="2">
        <v>4050</v>
      </c>
      <c r="L3014" s="2">
        <v>621500</v>
      </c>
      <c r="M3014">
        <v>300</v>
      </c>
      <c r="N3014" s="3">
        <v>1.0980000000000001</v>
      </c>
      <c r="O3014" t="s">
        <v>17</v>
      </c>
      <c r="P3014" t="s">
        <v>53</v>
      </c>
      <c r="Q3014">
        <v>0</v>
      </c>
      <c r="R3014">
        <v>1</v>
      </c>
      <c r="S3014" s="2">
        <v>0</v>
      </c>
      <c r="T3014" s="4"/>
      <c r="U3014">
        <v>16</v>
      </c>
      <c r="V3014">
        <v>0</v>
      </c>
      <c r="W3014">
        <v>1</v>
      </c>
    </row>
    <row r="3015" spans="1:23" ht="16.5" x14ac:dyDescent="0.3">
      <c r="A3015" t="s">
        <v>3079</v>
      </c>
      <c r="B3015" s="1">
        <v>45734</v>
      </c>
      <c r="C3015">
        <v>2025</v>
      </c>
      <c r="D3015" t="s">
        <v>24</v>
      </c>
      <c r="E3015" t="s">
        <v>460</v>
      </c>
      <c r="F3015" t="s">
        <v>26</v>
      </c>
      <c r="G3015" t="s">
        <v>51</v>
      </c>
      <c r="H3015" t="s">
        <v>55</v>
      </c>
      <c r="I3015" t="s">
        <v>29</v>
      </c>
      <c r="J3015" t="s">
        <v>30</v>
      </c>
      <c r="K3015" s="2">
        <v>3200</v>
      </c>
      <c r="L3015" s="2">
        <v>24500</v>
      </c>
      <c r="M3015">
        <v>48</v>
      </c>
      <c r="N3015" s="3">
        <v>0.247</v>
      </c>
      <c r="O3015" t="s">
        <v>16</v>
      </c>
      <c r="Q3015">
        <v>1</v>
      </c>
      <c r="R3015">
        <v>0</v>
      </c>
      <c r="S3015" s="2">
        <v>24500</v>
      </c>
      <c r="T3015" s="4">
        <v>9.2100000000000001E-2</v>
      </c>
      <c r="U3015">
        <v>9</v>
      </c>
      <c r="V3015">
        <v>0</v>
      </c>
      <c r="W3015">
        <v>1</v>
      </c>
    </row>
    <row r="3016" spans="1:23" ht="16.5" x14ac:dyDescent="0.3">
      <c r="A3016" t="s">
        <v>3080</v>
      </c>
      <c r="B3016" s="1">
        <v>45734</v>
      </c>
      <c r="C3016">
        <v>2025</v>
      </c>
      <c r="D3016" t="s">
        <v>24</v>
      </c>
      <c r="E3016" t="s">
        <v>460</v>
      </c>
      <c r="F3016" t="s">
        <v>37</v>
      </c>
      <c r="G3016" t="s">
        <v>33</v>
      </c>
      <c r="H3016" t="s">
        <v>55</v>
      </c>
      <c r="I3016" t="s">
        <v>39</v>
      </c>
      <c r="J3016" t="s">
        <v>46</v>
      </c>
      <c r="K3016" s="2">
        <v>3600</v>
      </c>
      <c r="L3016" s="2">
        <v>7500</v>
      </c>
      <c r="M3016">
        <v>24</v>
      </c>
      <c r="N3016" s="3">
        <v>0.185</v>
      </c>
      <c r="O3016" t="s">
        <v>16</v>
      </c>
      <c r="Q3016">
        <v>1</v>
      </c>
      <c r="R3016">
        <v>0</v>
      </c>
      <c r="S3016" s="2">
        <v>6000</v>
      </c>
      <c r="T3016" s="4">
        <v>0.1106</v>
      </c>
      <c r="U3016">
        <v>2</v>
      </c>
      <c r="V3016">
        <v>1</v>
      </c>
      <c r="W3016">
        <v>1</v>
      </c>
    </row>
    <row r="3017" spans="1:23" ht="16.5" x14ac:dyDescent="0.3">
      <c r="A3017" t="s">
        <v>3081</v>
      </c>
      <c r="B3017" s="1">
        <v>45734</v>
      </c>
      <c r="C3017">
        <v>2025</v>
      </c>
      <c r="D3017" t="s">
        <v>24</v>
      </c>
      <c r="E3017" t="s">
        <v>460</v>
      </c>
      <c r="F3017" t="s">
        <v>50</v>
      </c>
      <c r="G3017" t="s">
        <v>45</v>
      </c>
      <c r="H3017" t="s">
        <v>34</v>
      </c>
      <c r="I3017" t="s">
        <v>39</v>
      </c>
      <c r="J3017" t="s">
        <v>35</v>
      </c>
      <c r="K3017" s="2">
        <v>7250</v>
      </c>
      <c r="L3017" s="2">
        <v>460500</v>
      </c>
      <c r="M3017">
        <v>240</v>
      </c>
      <c r="N3017" s="3">
        <v>0.54800000000000004</v>
      </c>
      <c r="O3017" t="s">
        <v>16</v>
      </c>
      <c r="Q3017">
        <v>1</v>
      </c>
      <c r="R3017">
        <v>0</v>
      </c>
      <c r="S3017" s="2">
        <v>460500</v>
      </c>
      <c r="T3017" s="4">
        <v>5.5300000000000002E-2</v>
      </c>
      <c r="U3017">
        <v>6</v>
      </c>
      <c r="V3017">
        <v>1</v>
      </c>
      <c r="W3017">
        <v>1</v>
      </c>
    </row>
    <row r="3018" spans="1:23" ht="16.5" x14ac:dyDescent="0.3">
      <c r="A3018" t="s">
        <v>3082</v>
      </c>
      <c r="B3018" s="1">
        <v>45734</v>
      </c>
      <c r="C3018">
        <v>2025</v>
      </c>
      <c r="D3018" t="s">
        <v>24</v>
      </c>
      <c r="E3018" t="s">
        <v>460</v>
      </c>
      <c r="F3018" t="s">
        <v>37</v>
      </c>
      <c r="G3018" t="s">
        <v>45</v>
      </c>
      <c r="H3018" t="s">
        <v>28</v>
      </c>
      <c r="I3018" t="s">
        <v>39</v>
      </c>
      <c r="J3018" t="s">
        <v>52</v>
      </c>
      <c r="K3018" s="2">
        <v>6350</v>
      </c>
      <c r="L3018" s="2">
        <v>9500</v>
      </c>
      <c r="M3018">
        <v>24</v>
      </c>
      <c r="N3018" s="3">
        <v>0.13600000000000001</v>
      </c>
      <c r="O3018" t="s">
        <v>16</v>
      </c>
      <c r="Q3018">
        <v>1</v>
      </c>
      <c r="R3018">
        <v>0</v>
      </c>
      <c r="S3018" s="2">
        <v>8500</v>
      </c>
      <c r="T3018" s="4">
        <v>0.11899999999999999</v>
      </c>
      <c r="U3018">
        <v>2</v>
      </c>
      <c r="V3018">
        <v>1</v>
      </c>
      <c r="W3018">
        <v>1</v>
      </c>
    </row>
    <row r="3019" spans="1:23" ht="16.5" x14ac:dyDescent="0.3">
      <c r="A3019" t="s">
        <v>3083</v>
      </c>
      <c r="B3019" s="1">
        <v>45734</v>
      </c>
      <c r="C3019">
        <v>2025</v>
      </c>
      <c r="D3019" t="s">
        <v>24</v>
      </c>
      <c r="E3019" t="s">
        <v>460</v>
      </c>
      <c r="F3019" t="s">
        <v>37</v>
      </c>
      <c r="G3019" t="s">
        <v>27</v>
      </c>
      <c r="H3019" t="s">
        <v>38</v>
      </c>
      <c r="I3019" t="s">
        <v>39</v>
      </c>
      <c r="J3019" t="s">
        <v>30</v>
      </c>
      <c r="K3019" s="2">
        <v>10200</v>
      </c>
      <c r="L3019" s="2">
        <v>12500</v>
      </c>
      <c r="M3019">
        <v>12</v>
      </c>
      <c r="N3019" s="3">
        <v>0.313</v>
      </c>
      <c r="O3019" t="s">
        <v>16</v>
      </c>
      <c r="Q3019">
        <v>1</v>
      </c>
      <c r="R3019">
        <v>0</v>
      </c>
      <c r="S3019" s="2">
        <v>12500</v>
      </c>
      <c r="T3019" s="4">
        <v>0.1368</v>
      </c>
      <c r="U3019">
        <v>6</v>
      </c>
      <c r="V3019">
        <v>0</v>
      </c>
      <c r="W3019">
        <v>1</v>
      </c>
    </row>
    <row r="3020" spans="1:23" ht="16.5" x14ac:dyDescent="0.3">
      <c r="A3020" t="s">
        <v>3084</v>
      </c>
      <c r="B3020" s="1">
        <v>45734</v>
      </c>
      <c r="C3020">
        <v>2025</v>
      </c>
      <c r="D3020" t="s">
        <v>24</v>
      </c>
      <c r="E3020" t="s">
        <v>460</v>
      </c>
      <c r="F3020" t="s">
        <v>50</v>
      </c>
      <c r="G3020" t="s">
        <v>45</v>
      </c>
      <c r="H3020" t="s">
        <v>55</v>
      </c>
      <c r="I3020" t="s">
        <v>29</v>
      </c>
      <c r="J3020" t="s">
        <v>43</v>
      </c>
      <c r="K3020" s="2">
        <v>6250</v>
      </c>
      <c r="L3020" s="2">
        <v>209500</v>
      </c>
      <c r="M3020">
        <v>180</v>
      </c>
      <c r="N3020" s="3">
        <v>0.33100000000000002</v>
      </c>
      <c r="O3020" t="s">
        <v>17</v>
      </c>
      <c r="P3020" t="s">
        <v>31</v>
      </c>
      <c r="Q3020">
        <v>0</v>
      </c>
      <c r="R3020">
        <v>1</v>
      </c>
      <c r="S3020" s="2">
        <v>0</v>
      </c>
      <c r="T3020" s="4"/>
      <c r="U3020">
        <v>7</v>
      </c>
      <c r="V3020">
        <v>1</v>
      </c>
      <c r="W3020">
        <v>1</v>
      </c>
    </row>
    <row r="3021" spans="1:23" ht="16.5" x14ac:dyDescent="0.3">
      <c r="A3021" t="s">
        <v>3085</v>
      </c>
      <c r="B3021" s="1">
        <v>45734</v>
      </c>
      <c r="C3021">
        <v>2025</v>
      </c>
      <c r="D3021" t="s">
        <v>24</v>
      </c>
      <c r="E3021" t="s">
        <v>460</v>
      </c>
      <c r="F3021" t="s">
        <v>50</v>
      </c>
      <c r="G3021" t="s">
        <v>33</v>
      </c>
      <c r="H3021" t="s">
        <v>64</v>
      </c>
      <c r="I3021" t="s">
        <v>42</v>
      </c>
      <c r="J3021" t="s">
        <v>35</v>
      </c>
      <c r="K3021" s="2">
        <v>9700</v>
      </c>
      <c r="L3021" s="2">
        <v>228500</v>
      </c>
      <c r="M3021">
        <v>300</v>
      </c>
      <c r="N3021" s="3">
        <v>0.22500000000000001</v>
      </c>
      <c r="O3021" t="s">
        <v>16</v>
      </c>
      <c r="Q3021">
        <v>1</v>
      </c>
      <c r="R3021">
        <v>0</v>
      </c>
      <c r="S3021" s="2">
        <v>228500</v>
      </c>
      <c r="T3021" s="4">
        <v>5.5300000000000002E-2</v>
      </c>
      <c r="U3021">
        <v>8</v>
      </c>
      <c r="V3021">
        <v>1</v>
      </c>
      <c r="W3021">
        <v>1</v>
      </c>
    </row>
    <row r="3022" spans="1:23" ht="16.5" x14ac:dyDescent="0.3">
      <c r="A3022" t="s">
        <v>3086</v>
      </c>
      <c r="B3022" s="1">
        <v>45734</v>
      </c>
      <c r="C3022">
        <v>2025</v>
      </c>
      <c r="D3022" t="s">
        <v>24</v>
      </c>
      <c r="E3022" t="s">
        <v>460</v>
      </c>
      <c r="F3022" t="s">
        <v>37</v>
      </c>
      <c r="G3022" t="s">
        <v>33</v>
      </c>
      <c r="H3022" t="s">
        <v>55</v>
      </c>
      <c r="I3022" t="s">
        <v>39</v>
      </c>
      <c r="J3022" t="s">
        <v>52</v>
      </c>
      <c r="K3022" s="2">
        <v>8950</v>
      </c>
      <c r="L3022" s="2">
        <v>9000</v>
      </c>
      <c r="M3022">
        <v>60</v>
      </c>
      <c r="N3022" s="3">
        <v>0.20499999999999999</v>
      </c>
      <c r="O3022" t="s">
        <v>16</v>
      </c>
      <c r="Q3022">
        <v>1</v>
      </c>
      <c r="R3022">
        <v>0</v>
      </c>
      <c r="S3022" s="2">
        <v>9000</v>
      </c>
      <c r="T3022" s="4">
        <v>0.114</v>
      </c>
      <c r="U3022">
        <v>2</v>
      </c>
      <c r="V3022">
        <v>1</v>
      </c>
      <c r="W3022">
        <v>1</v>
      </c>
    </row>
    <row r="3023" spans="1:23" ht="16.5" x14ac:dyDescent="0.3">
      <c r="A3023" t="s">
        <v>3087</v>
      </c>
      <c r="B3023" s="1">
        <v>45734</v>
      </c>
      <c r="C3023">
        <v>2025</v>
      </c>
      <c r="D3023" t="s">
        <v>24</v>
      </c>
      <c r="E3023" t="s">
        <v>460</v>
      </c>
      <c r="F3023" t="s">
        <v>37</v>
      </c>
      <c r="G3023" t="s">
        <v>33</v>
      </c>
      <c r="H3023" t="s">
        <v>34</v>
      </c>
      <c r="I3023" t="s">
        <v>39</v>
      </c>
      <c r="J3023" t="s">
        <v>35</v>
      </c>
      <c r="K3023" s="2">
        <v>4950</v>
      </c>
      <c r="L3023" s="2">
        <v>15000</v>
      </c>
      <c r="M3023">
        <v>60</v>
      </c>
      <c r="N3023" s="3">
        <v>0.254</v>
      </c>
      <c r="O3023" t="s">
        <v>16</v>
      </c>
      <c r="Q3023">
        <v>1</v>
      </c>
      <c r="R3023">
        <v>0</v>
      </c>
      <c r="S3023" s="2">
        <v>13500</v>
      </c>
      <c r="T3023" s="4">
        <v>0.126</v>
      </c>
      <c r="U3023">
        <v>3</v>
      </c>
      <c r="V3023">
        <v>1</v>
      </c>
      <c r="W3023">
        <v>1</v>
      </c>
    </row>
    <row r="3024" spans="1:23" ht="16.5" x14ac:dyDescent="0.3">
      <c r="A3024" t="s">
        <v>3088</v>
      </c>
      <c r="B3024" s="1">
        <v>45734</v>
      </c>
      <c r="C3024">
        <v>2025</v>
      </c>
      <c r="D3024" t="s">
        <v>24</v>
      </c>
      <c r="E3024" t="s">
        <v>460</v>
      </c>
      <c r="F3024" t="s">
        <v>50</v>
      </c>
      <c r="G3024" t="s">
        <v>45</v>
      </c>
      <c r="H3024" t="s">
        <v>38</v>
      </c>
      <c r="I3024" t="s">
        <v>39</v>
      </c>
      <c r="J3024" t="s">
        <v>35</v>
      </c>
      <c r="K3024" s="2">
        <v>6200</v>
      </c>
      <c r="L3024" s="2">
        <v>322000</v>
      </c>
      <c r="M3024">
        <v>300</v>
      </c>
      <c r="N3024" s="3">
        <v>0.49</v>
      </c>
      <c r="O3024" t="s">
        <v>16</v>
      </c>
      <c r="Q3024">
        <v>1</v>
      </c>
      <c r="R3024">
        <v>0</v>
      </c>
      <c r="S3024" s="2">
        <v>257500</v>
      </c>
      <c r="T3024" s="4">
        <v>5.9900000000000002E-2</v>
      </c>
      <c r="U3024">
        <v>7</v>
      </c>
      <c r="V3024">
        <v>1</v>
      </c>
      <c r="W3024">
        <v>1</v>
      </c>
    </row>
    <row r="3025" spans="1:23" ht="16.5" x14ac:dyDescent="0.3">
      <c r="A3025" t="s">
        <v>3089</v>
      </c>
      <c r="B3025" s="1">
        <v>45735</v>
      </c>
      <c r="C3025">
        <v>2025</v>
      </c>
      <c r="D3025" t="s">
        <v>24</v>
      </c>
      <c r="E3025" t="s">
        <v>460</v>
      </c>
      <c r="F3025" t="s">
        <v>26</v>
      </c>
      <c r="G3025" t="s">
        <v>33</v>
      </c>
      <c r="H3025" t="s">
        <v>34</v>
      </c>
      <c r="I3025" t="s">
        <v>39</v>
      </c>
      <c r="J3025" t="s">
        <v>52</v>
      </c>
      <c r="K3025" s="2">
        <v>4750</v>
      </c>
      <c r="L3025" s="2">
        <v>41000</v>
      </c>
      <c r="M3025">
        <v>48</v>
      </c>
      <c r="N3025" s="3">
        <v>0.29299999999999998</v>
      </c>
      <c r="O3025" t="s">
        <v>16</v>
      </c>
      <c r="Q3025">
        <v>1</v>
      </c>
      <c r="R3025">
        <v>0</v>
      </c>
      <c r="S3025" s="2">
        <v>41000</v>
      </c>
      <c r="T3025" s="4">
        <v>7.6300000000000007E-2</v>
      </c>
      <c r="U3025">
        <v>2</v>
      </c>
      <c r="V3025">
        <v>1</v>
      </c>
      <c r="W3025">
        <v>1</v>
      </c>
    </row>
    <row r="3026" spans="1:23" ht="16.5" x14ac:dyDescent="0.3">
      <c r="A3026" t="s">
        <v>3090</v>
      </c>
      <c r="B3026" s="1">
        <v>45735</v>
      </c>
      <c r="C3026">
        <v>2025</v>
      </c>
      <c r="D3026" t="s">
        <v>24</v>
      </c>
      <c r="E3026" t="s">
        <v>460</v>
      </c>
      <c r="F3026" t="s">
        <v>37</v>
      </c>
      <c r="G3026" t="s">
        <v>27</v>
      </c>
      <c r="H3026" t="s">
        <v>34</v>
      </c>
      <c r="I3026" t="s">
        <v>29</v>
      </c>
      <c r="J3026" t="s">
        <v>43</v>
      </c>
      <c r="K3026" s="2">
        <v>4050</v>
      </c>
      <c r="L3026" s="2">
        <v>19000</v>
      </c>
      <c r="M3026">
        <v>48</v>
      </c>
      <c r="N3026" s="3">
        <v>0.35699999999999998</v>
      </c>
      <c r="O3026" t="s">
        <v>17</v>
      </c>
      <c r="P3026" t="s">
        <v>31</v>
      </c>
      <c r="Q3026">
        <v>0</v>
      </c>
      <c r="R3026">
        <v>1</v>
      </c>
      <c r="S3026" s="2">
        <v>0</v>
      </c>
      <c r="T3026" s="4"/>
      <c r="U3026">
        <v>7</v>
      </c>
      <c r="V3026">
        <v>0</v>
      </c>
      <c r="W3026">
        <v>1</v>
      </c>
    </row>
    <row r="3027" spans="1:23" ht="16.5" x14ac:dyDescent="0.3">
      <c r="A3027" t="s">
        <v>3091</v>
      </c>
      <c r="B3027" s="1">
        <v>45735</v>
      </c>
      <c r="C3027">
        <v>2025</v>
      </c>
      <c r="D3027" t="s">
        <v>24</v>
      </c>
      <c r="E3027" t="s">
        <v>460</v>
      </c>
      <c r="F3027" t="s">
        <v>26</v>
      </c>
      <c r="G3027" t="s">
        <v>45</v>
      </c>
      <c r="H3027" t="s">
        <v>64</v>
      </c>
      <c r="I3027" t="s">
        <v>29</v>
      </c>
      <c r="J3027" t="s">
        <v>35</v>
      </c>
      <c r="K3027" s="2">
        <v>3300</v>
      </c>
      <c r="L3027" s="2">
        <v>23000</v>
      </c>
      <c r="M3027">
        <v>48</v>
      </c>
      <c r="N3027" s="3">
        <v>0.29199999999999998</v>
      </c>
      <c r="O3027" t="s">
        <v>17</v>
      </c>
      <c r="P3027" t="s">
        <v>48</v>
      </c>
      <c r="Q3027">
        <v>0</v>
      </c>
      <c r="R3027">
        <v>1</v>
      </c>
      <c r="S3027" s="2">
        <v>0</v>
      </c>
      <c r="T3027" s="4"/>
      <c r="U3027">
        <v>2</v>
      </c>
      <c r="V3027">
        <v>1</v>
      </c>
      <c r="W3027">
        <v>1</v>
      </c>
    </row>
    <row r="3028" spans="1:23" ht="16.5" x14ac:dyDescent="0.3">
      <c r="A3028" t="s">
        <v>3092</v>
      </c>
      <c r="B3028" s="1">
        <v>45735</v>
      </c>
      <c r="C3028">
        <v>2025</v>
      </c>
      <c r="D3028" t="s">
        <v>24</v>
      </c>
      <c r="E3028" t="s">
        <v>460</v>
      </c>
      <c r="F3028" t="s">
        <v>50</v>
      </c>
      <c r="G3028" t="s">
        <v>33</v>
      </c>
      <c r="H3028" t="s">
        <v>38</v>
      </c>
      <c r="I3028" t="s">
        <v>42</v>
      </c>
      <c r="J3028" t="s">
        <v>30</v>
      </c>
      <c r="K3028" s="2">
        <v>12500</v>
      </c>
      <c r="L3028" s="2">
        <v>271000</v>
      </c>
      <c r="M3028">
        <v>300</v>
      </c>
      <c r="N3028" s="3">
        <v>0.32</v>
      </c>
      <c r="O3028" t="s">
        <v>17</v>
      </c>
      <c r="P3028" t="s">
        <v>31</v>
      </c>
      <c r="Q3028">
        <v>0</v>
      </c>
      <c r="R3028">
        <v>1</v>
      </c>
      <c r="S3028" s="2">
        <v>0</v>
      </c>
      <c r="T3028" s="4"/>
      <c r="U3028">
        <v>9</v>
      </c>
      <c r="V3028">
        <v>1</v>
      </c>
      <c r="W3028">
        <v>1</v>
      </c>
    </row>
    <row r="3029" spans="1:23" ht="16.5" x14ac:dyDescent="0.3">
      <c r="A3029" t="s">
        <v>3093</v>
      </c>
      <c r="B3029" s="1">
        <v>45735</v>
      </c>
      <c r="C3029">
        <v>2025</v>
      </c>
      <c r="D3029" t="s">
        <v>24</v>
      </c>
      <c r="E3029" t="s">
        <v>460</v>
      </c>
      <c r="F3029" t="s">
        <v>50</v>
      </c>
      <c r="G3029" t="s">
        <v>51</v>
      </c>
      <c r="H3029" t="s">
        <v>64</v>
      </c>
      <c r="I3029" t="s">
        <v>39</v>
      </c>
      <c r="J3029" t="s">
        <v>52</v>
      </c>
      <c r="K3029" s="2">
        <v>11250</v>
      </c>
      <c r="L3029" s="2">
        <v>317000</v>
      </c>
      <c r="M3029">
        <v>180</v>
      </c>
      <c r="N3029" s="3">
        <v>0.317</v>
      </c>
      <c r="O3029" t="s">
        <v>16</v>
      </c>
      <c r="Q3029">
        <v>1</v>
      </c>
      <c r="R3029">
        <v>0</v>
      </c>
      <c r="S3029" s="2">
        <v>317000</v>
      </c>
      <c r="T3029" s="4">
        <v>4.41E-2</v>
      </c>
      <c r="U3029">
        <v>28</v>
      </c>
      <c r="V3029">
        <v>0</v>
      </c>
      <c r="W3029">
        <v>1</v>
      </c>
    </row>
    <row r="3030" spans="1:23" ht="16.5" x14ac:dyDescent="0.3">
      <c r="A3030" t="s">
        <v>3094</v>
      </c>
      <c r="B3030" s="1">
        <v>45735</v>
      </c>
      <c r="C3030">
        <v>2025</v>
      </c>
      <c r="D3030" t="s">
        <v>24</v>
      </c>
      <c r="E3030" t="s">
        <v>460</v>
      </c>
      <c r="F3030" t="s">
        <v>26</v>
      </c>
      <c r="G3030" t="s">
        <v>45</v>
      </c>
      <c r="H3030" t="s">
        <v>38</v>
      </c>
      <c r="I3030" t="s">
        <v>29</v>
      </c>
      <c r="J3030" t="s">
        <v>52</v>
      </c>
      <c r="K3030" s="2">
        <v>14800</v>
      </c>
      <c r="L3030" s="2">
        <v>31000</v>
      </c>
      <c r="M3030">
        <v>36</v>
      </c>
      <c r="N3030" s="3">
        <v>0.156</v>
      </c>
      <c r="O3030" t="s">
        <v>16</v>
      </c>
      <c r="Q3030">
        <v>1</v>
      </c>
      <c r="R3030">
        <v>0</v>
      </c>
      <c r="S3030" s="2">
        <v>31000</v>
      </c>
      <c r="T3030" s="4">
        <v>7.2400000000000006E-2</v>
      </c>
      <c r="U3030">
        <v>2</v>
      </c>
      <c r="V3030">
        <v>1</v>
      </c>
      <c r="W3030">
        <v>1</v>
      </c>
    </row>
    <row r="3031" spans="1:23" ht="16.5" x14ac:dyDescent="0.3">
      <c r="A3031" t="s">
        <v>3095</v>
      </c>
      <c r="B3031" s="1">
        <v>45735</v>
      </c>
      <c r="C3031">
        <v>2025</v>
      </c>
      <c r="D3031" t="s">
        <v>24</v>
      </c>
      <c r="E3031" t="s">
        <v>460</v>
      </c>
      <c r="F3031" t="s">
        <v>41</v>
      </c>
      <c r="G3031" t="s">
        <v>33</v>
      </c>
      <c r="H3031" t="s">
        <v>38</v>
      </c>
      <c r="I3031" t="s">
        <v>29</v>
      </c>
      <c r="J3031" t="s">
        <v>35</v>
      </c>
      <c r="K3031" s="2">
        <v>5350</v>
      </c>
      <c r="L3031" s="2">
        <v>111500</v>
      </c>
      <c r="M3031">
        <v>36</v>
      </c>
      <c r="N3031" s="3">
        <v>0.78</v>
      </c>
      <c r="O3031" t="s">
        <v>17</v>
      </c>
      <c r="P3031" t="s">
        <v>60</v>
      </c>
      <c r="Q3031">
        <v>0</v>
      </c>
      <c r="R3031">
        <v>1</v>
      </c>
      <c r="S3031" s="2">
        <v>0</v>
      </c>
      <c r="T3031" s="4"/>
      <c r="U3031">
        <v>9</v>
      </c>
      <c r="V3031">
        <v>1</v>
      </c>
      <c r="W3031">
        <v>1</v>
      </c>
    </row>
    <row r="3032" spans="1:23" ht="16.5" x14ac:dyDescent="0.3">
      <c r="A3032" t="s">
        <v>3096</v>
      </c>
      <c r="B3032" s="1">
        <v>45735</v>
      </c>
      <c r="C3032">
        <v>2025</v>
      </c>
      <c r="D3032" t="s">
        <v>24</v>
      </c>
      <c r="E3032" t="s">
        <v>460</v>
      </c>
      <c r="F3032" t="s">
        <v>37</v>
      </c>
      <c r="G3032" t="s">
        <v>51</v>
      </c>
      <c r="H3032" t="s">
        <v>64</v>
      </c>
      <c r="I3032" t="s">
        <v>42</v>
      </c>
      <c r="J3032" t="s">
        <v>43</v>
      </c>
      <c r="K3032" s="2">
        <v>8600</v>
      </c>
      <c r="L3032" s="2">
        <v>15500</v>
      </c>
      <c r="M3032">
        <v>12</v>
      </c>
      <c r="N3032" s="3">
        <v>0.35199999999999998</v>
      </c>
      <c r="O3032" t="s">
        <v>16</v>
      </c>
      <c r="Q3032">
        <v>1</v>
      </c>
      <c r="R3032">
        <v>0</v>
      </c>
      <c r="S3032" s="2">
        <v>12500</v>
      </c>
      <c r="T3032" s="4">
        <v>0.1575</v>
      </c>
      <c r="U3032">
        <v>4</v>
      </c>
      <c r="V3032">
        <v>0</v>
      </c>
      <c r="W3032">
        <v>1</v>
      </c>
    </row>
    <row r="3033" spans="1:23" ht="16.5" x14ac:dyDescent="0.3">
      <c r="A3033" t="s">
        <v>3097</v>
      </c>
      <c r="B3033" s="1">
        <v>45735</v>
      </c>
      <c r="C3033">
        <v>2025</v>
      </c>
      <c r="D3033" t="s">
        <v>24</v>
      </c>
      <c r="E3033" t="s">
        <v>460</v>
      </c>
      <c r="F3033" t="s">
        <v>37</v>
      </c>
      <c r="G3033" t="s">
        <v>45</v>
      </c>
      <c r="H3033" t="s">
        <v>55</v>
      </c>
      <c r="I3033" t="s">
        <v>39</v>
      </c>
      <c r="J3033" t="s">
        <v>46</v>
      </c>
      <c r="K3033" s="2">
        <v>1950</v>
      </c>
      <c r="L3033" s="2">
        <v>17000</v>
      </c>
      <c r="M3033">
        <v>12</v>
      </c>
      <c r="N3033" s="3">
        <v>0.86699999999999999</v>
      </c>
      <c r="O3033" t="s">
        <v>17</v>
      </c>
      <c r="P3033" t="s">
        <v>53</v>
      </c>
      <c r="Q3033">
        <v>0</v>
      </c>
      <c r="R3033">
        <v>1</v>
      </c>
      <c r="S3033" s="2">
        <v>0</v>
      </c>
      <c r="T3033" s="4"/>
      <c r="U3033">
        <v>1</v>
      </c>
      <c r="V3033">
        <v>1</v>
      </c>
      <c r="W3033">
        <v>1</v>
      </c>
    </row>
    <row r="3034" spans="1:23" ht="16.5" x14ac:dyDescent="0.3">
      <c r="A3034" t="s">
        <v>3098</v>
      </c>
      <c r="B3034" s="1">
        <v>45735</v>
      </c>
      <c r="C3034">
        <v>2025</v>
      </c>
      <c r="D3034" t="s">
        <v>24</v>
      </c>
      <c r="E3034" t="s">
        <v>460</v>
      </c>
      <c r="F3034" t="s">
        <v>37</v>
      </c>
      <c r="G3034" t="s">
        <v>51</v>
      </c>
      <c r="H3034" t="s">
        <v>38</v>
      </c>
      <c r="I3034" t="s">
        <v>39</v>
      </c>
      <c r="J3034" t="s">
        <v>30</v>
      </c>
      <c r="K3034" s="2">
        <v>3700</v>
      </c>
      <c r="L3034" s="2">
        <v>13500</v>
      </c>
      <c r="M3034">
        <v>48</v>
      </c>
      <c r="N3034" s="3">
        <v>0.14699999999999999</v>
      </c>
      <c r="O3034" t="s">
        <v>16</v>
      </c>
      <c r="Q3034">
        <v>1</v>
      </c>
      <c r="R3034">
        <v>0</v>
      </c>
      <c r="S3034" s="2">
        <v>12000</v>
      </c>
      <c r="T3034" s="4">
        <v>0.13769999999999999</v>
      </c>
      <c r="U3034">
        <v>10</v>
      </c>
      <c r="V3034">
        <v>0</v>
      </c>
      <c r="W3034">
        <v>1</v>
      </c>
    </row>
    <row r="3035" spans="1:23" ht="16.5" x14ac:dyDescent="0.3">
      <c r="A3035" t="s">
        <v>3099</v>
      </c>
      <c r="B3035" s="1">
        <v>45735</v>
      </c>
      <c r="C3035">
        <v>2025</v>
      </c>
      <c r="D3035" t="s">
        <v>24</v>
      </c>
      <c r="E3035" t="s">
        <v>460</v>
      </c>
      <c r="F3035" t="s">
        <v>41</v>
      </c>
      <c r="G3035" t="s">
        <v>27</v>
      </c>
      <c r="H3035" t="s">
        <v>38</v>
      </c>
      <c r="I3035" t="s">
        <v>29</v>
      </c>
      <c r="J3035" t="s">
        <v>35</v>
      </c>
      <c r="K3035" s="2">
        <v>6250</v>
      </c>
      <c r="L3035" s="2">
        <v>202500</v>
      </c>
      <c r="M3035">
        <v>24</v>
      </c>
      <c r="N3035" s="3">
        <v>1.631</v>
      </c>
      <c r="O3035" t="s">
        <v>17</v>
      </c>
      <c r="P3035" t="s">
        <v>53</v>
      </c>
      <c r="Q3035">
        <v>0</v>
      </c>
      <c r="R3035">
        <v>1</v>
      </c>
      <c r="S3035" s="2">
        <v>0</v>
      </c>
      <c r="T3035" s="4"/>
      <c r="U3035">
        <v>12</v>
      </c>
      <c r="V3035">
        <v>0</v>
      </c>
      <c r="W3035">
        <v>1</v>
      </c>
    </row>
    <row r="3036" spans="1:23" ht="16.5" x14ac:dyDescent="0.3">
      <c r="A3036" t="s">
        <v>3100</v>
      </c>
      <c r="B3036" s="1">
        <v>45735</v>
      </c>
      <c r="C3036">
        <v>2025</v>
      </c>
      <c r="D3036" t="s">
        <v>24</v>
      </c>
      <c r="E3036" t="s">
        <v>460</v>
      </c>
      <c r="F3036" t="s">
        <v>37</v>
      </c>
      <c r="G3036" t="s">
        <v>33</v>
      </c>
      <c r="H3036" t="s">
        <v>38</v>
      </c>
      <c r="I3036" t="s">
        <v>29</v>
      </c>
      <c r="J3036" t="s">
        <v>30</v>
      </c>
      <c r="K3036" s="2">
        <v>5700</v>
      </c>
      <c r="L3036" s="2">
        <v>9500</v>
      </c>
      <c r="M3036">
        <v>36</v>
      </c>
      <c r="N3036" s="3">
        <v>0.11</v>
      </c>
      <c r="O3036" t="s">
        <v>16</v>
      </c>
      <c r="Q3036">
        <v>1</v>
      </c>
      <c r="R3036">
        <v>0</v>
      </c>
      <c r="S3036" s="2">
        <v>8500</v>
      </c>
      <c r="T3036" s="4">
        <v>0.1346</v>
      </c>
      <c r="U3036">
        <v>1</v>
      </c>
      <c r="V3036">
        <v>1</v>
      </c>
      <c r="W3036">
        <v>1</v>
      </c>
    </row>
    <row r="3037" spans="1:23" ht="16.5" x14ac:dyDescent="0.3">
      <c r="A3037" t="s">
        <v>3101</v>
      </c>
      <c r="B3037" s="1">
        <v>45736</v>
      </c>
      <c r="C3037">
        <v>2025</v>
      </c>
      <c r="D3037" t="s">
        <v>24</v>
      </c>
      <c r="E3037" t="s">
        <v>460</v>
      </c>
      <c r="F3037" t="s">
        <v>41</v>
      </c>
      <c r="G3037" t="s">
        <v>45</v>
      </c>
      <c r="H3037" t="s">
        <v>55</v>
      </c>
      <c r="I3037" t="s">
        <v>39</v>
      </c>
      <c r="J3037" t="s">
        <v>30</v>
      </c>
      <c r="K3037" s="2">
        <v>3450</v>
      </c>
      <c r="L3037" s="2">
        <v>75500</v>
      </c>
      <c r="M3037">
        <v>12</v>
      </c>
      <c r="N3037" s="3">
        <v>1.986</v>
      </c>
      <c r="O3037" t="s">
        <v>17</v>
      </c>
      <c r="P3037" t="s">
        <v>31</v>
      </c>
      <c r="Q3037">
        <v>0</v>
      </c>
      <c r="R3037">
        <v>1</v>
      </c>
      <c r="S3037" s="2">
        <v>0</v>
      </c>
      <c r="T3037" s="4"/>
      <c r="U3037">
        <v>5</v>
      </c>
      <c r="V3037">
        <v>1</v>
      </c>
      <c r="W3037">
        <v>1</v>
      </c>
    </row>
    <row r="3038" spans="1:23" ht="16.5" x14ac:dyDescent="0.3">
      <c r="A3038" t="s">
        <v>3102</v>
      </c>
      <c r="B3038" s="1">
        <v>45736</v>
      </c>
      <c r="C3038">
        <v>2025</v>
      </c>
      <c r="D3038" t="s">
        <v>24</v>
      </c>
      <c r="E3038" t="s">
        <v>460</v>
      </c>
      <c r="F3038" t="s">
        <v>37</v>
      </c>
      <c r="G3038" t="s">
        <v>33</v>
      </c>
      <c r="H3038" t="s">
        <v>38</v>
      </c>
      <c r="I3038" t="s">
        <v>29</v>
      </c>
      <c r="J3038" t="s">
        <v>35</v>
      </c>
      <c r="K3038" s="2">
        <v>3650</v>
      </c>
      <c r="L3038" s="2">
        <v>12500</v>
      </c>
      <c r="M3038">
        <v>24</v>
      </c>
      <c r="N3038" s="3">
        <v>0.25900000000000001</v>
      </c>
      <c r="O3038" t="s">
        <v>17</v>
      </c>
      <c r="P3038" t="s">
        <v>31</v>
      </c>
      <c r="Q3038">
        <v>0</v>
      </c>
      <c r="R3038">
        <v>1</v>
      </c>
      <c r="S3038" s="2">
        <v>0</v>
      </c>
      <c r="T3038" s="4"/>
      <c r="U3038">
        <v>1</v>
      </c>
      <c r="V3038">
        <v>1</v>
      </c>
      <c r="W3038">
        <v>1</v>
      </c>
    </row>
    <row r="3039" spans="1:23" ht="16.5" x14ac:dyDescent="0.3">
      <c r="A3039" t="s">
        <v>3103</v>
      </c>
      <c r="B3039" s="1">
        <v>45736</v>
      </c>
      <c r="C3039">
        <v>2025</v>
      </c>
      <c r="D3039" t="s">
        <v>24</v>
      </c>
      <c r="E3039" t="s">
        <v>460</v>
      </c>
      <c r="F3039" t="s">
        <v>41</v>
      </c>
      <c r="G3039" t="s">
        <v>51</v>
      </c>
      <c r="H3039" t="s">
        <v>64</v>
      </c>
      <c r="I3039" t="s">
        <v>42</v>
      </c>
      <c r="J3039" t="s">
        <v>35</v>
      </c>
      <c r="K3039" s="2">
        <v>7950</v>
      </c>
      <c r="L3039" s="2">
        <v>91500</v>
      </c>
      <c r="M3039">
        <v>12</v>
      </c>
      <c r="N3039" s="3">
        <v>1.1579999999999999</v>
      </c>
      <c r="O3039" t="s">
        <v>17</v>
      </c>
      <c r="P3039" t="s">
        <v>53</v>
      </c>
      <c r="Q3039">
        <v>0</v>
      </c>
      <c r="R3039">
        <v>1</v>
      </c>
      <c r="S3039" s="2">
        <v>0</v>
      </c>
      <c r="T3039" s="4"/>
      <c r="U3039">
        <v>12</v>
      </c>
      <c r="V3039">
        <v>0</v>
      </c>
      <c r="W3039">
        <v>1</v>
      </c>
    </row>
    <row r="3040" spans="1:23" ht="16.5" x14ac:dyDescent="0.3">
      <c r="A3040" t="s">
        <v>3104</v>
      </c>
      <c r="B3040" s="1">
        <v>45736</v>
      </c>
      <c r="C3040">
        <v>2025</v>
      </c>
      <c r="D3040" t="s">
        <v>24</v>
      </c>
      <c r="E3040" t="s">
        <v>460</v>
      </c>
      <c r="F3040" t="s">
        <v>37</v>
      </c>
      <c r="G3040" t="s">
        <v>51</v>
      </c>
      <c r="H3040" t="s">
        <v>55</v>
      </c>
      <c r="I3040" t="s">
        <v>39</v>
      </c>
      <c r="J3040" t="s">
        <v>43</v>
      </c>
      <c r="K3040" s="2">
        <v>7250</v>
      </c>
      <c r="L3040" s="2">
        <v>8500</v>
      </c>
      <c r="M3040">
        <v>36</v>
      </c>
      <c r="N3040" s="3">
        <v>0.26100000000000001</v>
      </c>
      <c r="O3040" t="s">
        <v>17</v>
      </c>
      <c r="P3040" t="s">
        <v>31</v>
      </c>
      <c r="Q3040">
        <v>0</v>
      </c>
      <c r="R3040">
        <v>1</v>
      </c>
      <c r="S3040" s="2">
        <v>0</v>
      </c>
      <c r="T3040" s="4"/>
      <c r="U3040">
        <v>4</v>
      </c>
      <c r="V3040">
        <v>0</v>
      </c>
      <c r="W3040">
        <v>1</v>
      </c>
    </row>
    <row r="3041" spans="1:23" ht="16.5" x14ac:dyDescent="0.3">
      <c r="A3041" t="s">
        <v>3105</v>
      </c>
      <c r="B3041" s="1">
        <v>45736</v>
      </c>
      <c r="C3041">
        <v>2025</v>
      </c>
      <c r="D3041" t="s">
        <v>24</v>
      </c>
      <c r="E3041" t="s">
        <v>460</v>
      </c>
      <c r="F3041" t="s">
        <v>37</v>
      </c>
      <c r="G3041" t="s">
        <v>45</v>
      </c>
      <c r="H3041" t="s">
        <v>38</v>
      </c>
      <c r="I3041" t="s">
        <v>39</v>
      </c>
      <c r="J3041" t="s">
        <v>52</v>
      </c>
      <c r="K3041" s="2">
        <v>5250</v>
      </c>
      <c r="L3041" s="2">
        <v>16000</v>
      </c>
      <c r="M3041">
        <v>12</v>
      </c>
      <c r="N3041" s="3">
        <v>0.38400000000000001</v>
      </c>
      <c r="O3041" t="s">
        <v>17</v>
      </c>
      <c r="P3041" t="s">
        <v>65</v>
      </c>
      <c r="Q3041">
        <v>0</v>
      </c>
      <c r="R3041">
        <v>1</v>
      </c>
      <c r="S3041" s="2">
        <v>0</v>
      </c>
      <c r="T3041" s="4"/>
      <c r="U3041">
        <v>2</v>
      </c>
      <c r="V3041">
        <v>1</v>
      </c>
      <c r="W3041">
        <v>1</v>
      </c>
    </row>
    <row r="3042" spans="1:23" ht="16.5" x14ac:dyDescent="0.3">
      <c r="A3042" t="s">
        <v>3106</v>
      </c>
      <c r="B3042" s="1">
        <v>45736</v>
      </c>
      <c r="C3042">
        <v>2025</v>
      </c>
      <c r="D3042" t="s">
        <v>24</v>
      </c>
      <c r="E3042" t="s">
        <v>460</v>
      </c>
      <c r="F3042" t="s">
        <v>37</v>
      </c>
      <c r="G3042" t="s">
        <v>45</v>
      </c>
      <c r="H3042" t="s">
        <v>55</v>
      </c>
      <c r="I3042" t="s">
        <v>29</v>
      </c>
      <c r="J3042" t="s">
        <v>35</v>
      </c>
      <c r="K3042" s="2">
        <v>11650</v>
      </c>
      <c r="L3042" s="2">
        <v>7500</v>
      </c>
      <c r="M3042">
        <v>24</v>
      </c>
      <c r="N3042" s="3">
        <v>0.109</v>
      </c>
      <c r="O3042" t="s">
        <v>17</v>
      </c>
      <c r="P3042" t="s">
        <v>60</v>
      </c>
      <c r="Q3042">
        <v>0</v>
      </c>
      <c r="R3042">
        <v>1</v>
      </c>
      <c r="S3042" s="2">
        <v>0</v>
      </c>
      <c r="T3042" s="4"/>
      <c r="U3042">
        <v>5</v>
      </c>
      <c r="V3042">
        <v>0</v>
      </c>
      <c r="W3042">
        <v>1</v>
      </c>
    </row>
    <row r="3043" spans="1:23" ht="16.5" x14ac:dyDescent="0.3">
      <c r="A3043" t="s">
        <v>3107</v>
      </c>
      <c r="B3043" s="1">
        <v>45736</v>
      </c>
      <c r="C3043">
        <v>2025</v>
      </c>
      <c r="D3043" t="s">
        <v>24</v>
      </c>
      <c r="E3043" t="s">
        <v>460</v>
      </c>
      <c r="F3043" t="s">
        <v>26</v>
      </c>
      <c r="G3043" t="s">
        <v>45</v>
      </c>
      <c r="H3043" t="s">
        <v>64</v>
      </c>
      <c r="I3043" t="s">
        <v>42</v>
      </c>
      <c r="J3043" t="s">
        <v>30</v>
      </c>
      <c r="K3043" s="2">
        <v>5350</v>
      </c>
      <c r="L3043" s="2">
        <v>12000</v>
      </c>
      <c r="M3043">
        <v>36</v>
      </c>
      <c r="N3043" s="3">
        <v>0.13700000000000001</v>
      </c>
      <c r="O3043" t="s">
        <v>17</v>
      </c>
      <c r="P3043" t="s">
        <v>31</v>
      </c>
      <c r="Q3043">
        <v>0</v>
      </c>
      <c r="R3043">
        <v>1</v>
      </c>
      <c r="S3043" s="2">
        <v>0</v>
      </c>
      <c r="T3043" s="4"/>
      <c r="U3043">
        <v>2</v>
      </c>
      <c r="V3043">
        <v>1</v>
      </c>
      <c r="W3043">
        <v>1</v>
      </c>
    </row>
    <row r="3044" spans="1:23" ht="16.5" x14ac:dyDescent="0.3">
      <c r="A3044" t="s">
        <v>3108</v>
      </c>
      <c r="B3044" s="1">
        <v>45736</v>
      </c>
      <c r="C3044">
        <v>2025</v>
      </c>
      <c r="D3044" t="s">
        <v>24</v>
      </c>
      <c r="E3044" t="s">
        <v>460</v>
      </c>
      <c r="F3044" t="s">
        <v>37</v>
      </c>
      <c r="G3044" t="s">
        <v>51</v>
      </c>
      <c r="H3044" t="s">
        <v>34</v>
      </c>
      <c r="I3044" t="s">
        <v>42</v>
      </c>
      <c r="J3044" t="s">
        <v>52</v>
      </c>
      <c r="K3044" s="2">
        <v>4550</v>
      </c>
      <c r="L3044" s="2">
        <v>7000</v>
      </c>
      <c r="M3044">
        <v>36</v>
      </c>
      <c r="N3044" s="3">
        <v>0.214</v>
      </c>
      <c r="O3044" t="s">
        <v>16</v>
      </c>
      <c r="Q3044">
        <v>1</v>
      </c>
      <c r="R3044">
        <v>0</v>
      </c>
      <c r="S3044" s="2">
        <v>5500</v>
      </c>
      <c r="T3044" s="4">
        <v>0.1162</v>
      </c>
      <c r="U3044">
        <v>5</v>
      </c>
      <c r="V3044">
        <v>0</v>
      </c>
      <c r="W3044">
        <v>1</v>
      </c>
    </row>
    <row r="3045" spans="1:23" ht="16.5" x14ac:dyDescent="0.3">
      <c r="A3045" t="s">
        <v>3109</v>
      </c>
      <c r="B3045" s="1">
        <v>45736</v>
      </c>
      <c r="C3045">
        <v>2025</v>
      </c>
      <c r="D3045" t="s">
        <v>24</v>
      </c>
      <c r="E3045" t="s">
        <v>460</v>
      </c>
      <c r="F3045" t="s">
        <v>37</v>
      </c>
      <c r="G3045" t="s">
        <v>27</v>
      </c>
      <c r="H3045" t="s">
        <v>38</v>
      </c>
      <c r="I3045" t="s">
        <v>29</v>
      </c>
      <c r="J3045" t="s">
        <v>52</v>
      </c>
      <c r="K3045" s="2">
        <v>3950</v>
      </c>
      <c r="L3045" s="2">
        <v>9500</v>
      </c>
      <c r="M3045">
        <v>24</v>
      </c>
      <c r="N3045" s="3">
        <v>0.309</v>
      </c>
      <c r="O3045" t="s">
        <v>16</v>
      </c>
      <c r="Q3045">
        <v>1</v>
      </c>
      <c r="R3045">
        <v>0</v>
      </c>
      <c r="S3045" s="2">
        <v>7500</v>
      </c>
      <c r="T3045" s="4">
        <v>0.1106</v>
      </c>
      <c r="U3045">
        <v>4</v>
      </c>
      <c r="V3045">
        <v>0</v>
      </c>
      <c r="W3045">
        <v>1</v>
      </c>
    </row>
    <row r="3046" spans="1:23" ht="16.5" x14ac:dyDescent="0.3">
      <c r="A3046" t="s">
        <v>3110</v>
      </c>
      <c r="B3046" s="1">
        <v>45736</v>
      </c>
      <c r="C3046">
        <v>2025</v>
      </c>
      <c r="D3046" t="s">
        <v>24</v>
      </c>
      <c r="E3046" t="s">
        <v>460</v>
      </c>
      <c r="F3046" t="s">
        <v>50</v>
      </c>
      <c r="G3046" t="s">
        <v>45</v>
      </c>
      <c r="H3046" t="s">
        <v>34</v>
      </c>
      <c r="I3046" t="s">
        <v>39</v>
      </c>
      <c r="J3046" t="s">
        <v>35</v>
      </c>
      <c r="K3046" s="2">
        <v>6200</v>
      </c>
      <c r="L3046" s="2">
        <v>72000</v>
      </c>
      <c r="M3046">
        <v>180</v>
      </c>
      <c r="N3046" s="3">
        <v>0.21299999999999999</v>
      </c>
      <c r="O3046" t="s">
        <v>16</v>
      </c>
      <c r="Q3046">
        <v>1</v>
      </c>
      <c r="R3046">
        <v>0</v>
      </c>
      <c r="S3046" s="2">
        <v>57500</v>
      </c>
      <c r="T3046" s="4">
        <v>6.1699999999999998E-2</v>
      </c>
      <c r="U3046">
        <v>6</v>
      </c>
      <c r="V3046">
        <v>1</v>
      </c>
      <c r="W3046">
        <v>1</v>
      </c>
    </row>
    <row r="3047" spans="1:23" ht="16.5" x14ac:dyDescent="0.3">
      <c r="A3047" t="s">
        <v>3111</v>
      </c>
      <c r="B3047" s="1">
        <v>45736</v>
      </c>
      <c r="C3047">
        <v>2025</v>
      </c>
      <c r="D3047" t="s">
        <v>24</v>
      </c>
      <c r="E3047" t="s">
        <v>460</v>
      </c>
      <c r="F3047" t="s">
        <v>26</v>
      </c>
      <c r="G3047" t="s">
        <v>45</v>
      </c>
      <c r="H3047" t="s">
        <v>64</v>
      </c>
      <c r="I3047" t="s">
        <v>29</v>
      </c>
      <c r="J3047" t="s">
        <v>46</v>
      </c>
      <c r="K3047" s="2">
        <v>5900</v>
      </c>
      <c r="L3047" s="2">
        <v>46500</v>
      </c>
      <c r="M3047">
        <v>60</v>
      </c>
      <c r="N3047" s="3">
        <v>0.23499999999999999</v>
      </c>
      <c r="O3047" t="s">
        <v>16</v>
      </c>
      <c r="Q3047">
        <v>1</v>
      </c>
      <c r="R3047">
        <v>0</v>
      </c>
      <c r="S3047" s="2">
        <v>46500</v>
      </c>
      <c r="T3047" s="4">
        <v>6.0299999999999999E-2</v>
      </c>
      <c r="U3047">
        <v>3</v>
      </c>
      <c r="V3047">
        <v>1</v>
      </c>
      <c r="W3047">
        <v>1</v>
      </c>
    </row>
    <row r="3048" spans="1:23" ht="16.5" x14ac:dyDescent="0.3">
      <c r="A3048" t="s">
        <v>3112</v>
      </c>
      <c r="B3048" s="1">
        <v>45736</v>
      </c>
      <c r="C3048">
        <v>2025</v>
      </c>
      <c r="D3048" t="s">
        <v>24</v>
      </c>
      <c r="E3048" t="s">
        <v>460</v>
      </c>
      <c r="F3048" t="s">
        <v>41</v>
      </c>
      <c r="G3048" t="s">
        <v>33</v>
      </c>
      <c r="H3048" t="s">
        <v>38</v>
      </c>
      <c r="I3048" t="s">
        <v>39</v>
      </c>
      <c r="J3048" t="s">
        <v>35</v>
      </c>
      <c r="K3048" s="2">
        <v>4950</v>
      </c>
      <c r="L3048" s="2">
        <v>194500</v>
      </c>
      <c r="M3048">
        <v>24</v>
      </c>
      <c r="N3048" s="3">
        <v>1.9870000000000001</v>
      </c>
      <c r="O3048" t="s">
        <v>17</v>
      </c>
      <c r="P3048" t="s">
        <v>53</v>
      </c>
      <c r="Q3048">
        <v>0</v>
      </c>
      <c r="R3048">
        <v>1</v>
      </c>
      <c r="S3048" s="2">
        <v>0</v>
      </c>
      <c r="T3048" s="4"/>
      <c r="U3048">
        <v>5</v>
      </c>
      <c r="V3048">
        <v>1</v>
      </c>
      <c r="W3048">
        <v>1</v>
      </c>
    </row>
    <row r="3049" spans="1:23" ht="16.5" x14ac:dyDescent="0.3">
      <c r="A3049" t="s">
        <v>3113</v>
      </c>
      <c r="B3049" s="1">
        <v>45736</v>
      </c>
      <c r="C3049">
        <v>2025</v>
      </c>
      <c r="D3049" t="s">
        <v>24</v>
      </c>
      <c r="E3049" t="s">
        <v>460</v>
      </c>
      <c r="F3049" t="s">
        <v>37</v>
      </c>
      <c r="G3049" t="s">
        <v>51</v>
      </c>
      <c r="H3049" t="s">
        <v>38</v>
      </c>
      <c r="I3049" t="s">
        <v>29</v>
      </c>
      <c r="J3049" t="s">
        <v>30</v>
      </c>
      <c r="K3049" s="2">
        <v>8000</v>
      </c>
      <c r="L3049" s="2">
        <v>9500</v>
      </c>
      <c r="M3049">
        <v>48</v>
      </c>
      <c r="N3049" s="3">
        <v>0.13400000000000001</v>
      </c>
      <c r="O3049" t="s">
        <v>17</v>
      </c>
      <c r="P3049" t="s">
        <v>31</v>
      </c>
      <c r="Q3049">
        <v>0</v>
      </c>
      <c r="R3049">
        <v>1</v>
      </c>
      <c r="S3049" s="2">
        <v>0</v>
      </c>
      <c r="T3049" s="4"/>
      <c r="U3049">
        <v>4</v>
      </c>
      <c r="V3049">
        <v>0</v>
      </c>
      <c r="W3049">
        <v>1</v>
      </c>
    </row>
    <row r="3050" spans="1:23" ht="16.5" x14ac:dyDescent="0.3">
      <c r="A3050" t="s">
        <v>3114</v>
      </c>
      <c r="B3050" s="1">
        <v>45737</v>
      </c>
      <c r="C3050">
        <v>2025</v>
      </c>
      <c r="D3050" t="s">
        <v>24</v>
      </c>
      <c r="E3050" t="s">
        <v>460</v>
      </c>
      <c r="F3050" t="s">
        <v>26</v>
      </c>
      <c r="G3050" t="s">
        <v>27</v>
      </c>
      <c r="H3050" t="s">
        <v>55</v>
      </c>
      <c r="I3050" t="s">
        <v>29</v>
      </c>
      <c r="J3050" t="s">
        <v>52</v>
      </c>
      <c r="K3050" s="2">
        <v>4650</v>
      </c>
      <c r="L3050" s="2">
        <v>42000</v>
      </c>
      <c r="M3050">
        <v>60</v>
      </c>
      <c r="N3050" s="3">
        <v>0.35299999999999998</v>
      </c>
      <c r="O3050" t="s">
        <v>16</v>
      </c>
      <c r="Q3050">
        <v>1</v>
      </c>
      <c r="R3050">
        <v>0</v>
      </c>
      <c r="S3050" s="2">
        <v>38000</v>
      </c>
      <c r="T3050" s="4">
        <v>7.6100000000000001E-2</v>
      </c>
      <c r="U3050">
        <v>4</v>
      </c>
      <c r="V3050">
        <v>1</v>
      </c>
      <c r="W3050">
        <v>1</v>
      </c>
    </row>
    <row r="3051" spans="1:23" ht="16.5" x14ac:dyDescent="0.3">
      <c r="A3051" t="s">
        <v>3115</v>
      </c>
      <c r="B3051" s="1">
        <v>45737</v>
      </c>
      <c r="C3051">
        <v>2025</v>
      </c>
      <c r="D3051" t="s">
        <v>24</v>
      </c>
      <c r="E3051" t="s">
        <v>460</v>
      </c>
      <c r="F3051" t="s">
        <v>37</v>
      </c>
      <c r="G3051" t="s">
        <v>45</v>
      </c>
      <c r="H3051" t="s">
        <v>64</v>
      </c>
      <c r="I3051" t="s">
        <v>29</v>
      </c>
      <c r="J3051" t="s">
        <v>35</v>
      </c>
      <c r="K3051" s="2">
        <v>6650</v>
      </c>
      <c r="L3051" s="2">
        <v>5500</v>
      </c>
      <c r="M3051">
        <v>60</v>
      </c>
      <c r="N3051" s="3">
        <v>0.189</v>
      </c>
      <c r="O3051" t="s">
        <v>16</v>
      </c>
      <c r="Q3051">
        <v>1</v>
      </c>
      <c r="R3051">
        <v>0</v>
      </c>
      <c r="S3051" s="2">
        <v>5500</v>
      </c>
      <c r="T3051" s="4">
        <v>0.13020000000000001</v>
      </c>
      <c r="U3051">
        <v>1</v>
      </c>
      <c r="V3051">
        <v>1</v>
      </c>
      <c r="W3051">
        <v>1</v>
      </c>
    </row>
    <row r="3052" spans="1:23" ht="16.5" x14ac:dyDescent="0.3">
      <c r="A3052" t="s">
        <v>3116</v>
      </c>
      <c r="B3052" s="1">
        <v>45737</v>
      </c>
      <c r="C3052">
        <v>2025</v>
      </c>
      <c r="D3052" t="s">
        <v>24</v>
      </c>
      <c r="E3052" t="s">
        <v>460</v>
      </c>
      <c r="F3052" t="s">
        <v>26</v>
      </c>
      <c r="G3052" t="s">
        <v>51</v>
      </c>
      <c r="H3052" t="s">
        <v>38</v>
      </c>
      <c r="I3052" t="s">
        <v>39</v>
      </c>
      <c r="J3052" t="s">
        <v>52</v>
      </c>
      <c r="K3052" s="2">
        <v>6700</v>
      </c>
      <c r="L3052" s="2">
        <v>11000</v>
      </c>
      <c r="M3052">
        <v>48</v>
      </c>
      <c r="N3052" s="3">
        <v>0.28499999999999998</v>
      </c>
      <c r="O3052" t="s">
        <v>16</v>
      </c>
      <c r="Q3052">
        <v>1</v>
      </c>
      <c r="R3052">
        <v>0</v>
      </c>
      <c r="S3052" s="2">
        <v>11000</v>
      </c>
      <c r="T3052" s="4">
        <v>7.22E-2</v>
      </c>
      <c r="U3052">
        <v>3</v>
      </c>
      <c r="V3052">
        <v>1</v>
      </c>
      <c r="W3052">
        <v>1</v>
      </c>
    </row>
    <row r="3053" spans="1:23" ht="16.5" x14ac:dyDescent="0.3">
      <c r="A3053" t="s">
        <v>3117</v>
      </c>
      <c r="B3053" s="1">
        <v>45737</v>
      </c>
      <c r="C3053">
        <v>2025</v>
      </c>
      <c r="D3053" t="s">
        <v>24</v>
      </c>
      <c r="E3053" t="s">
        <v>460</v>
      </c>
      <c r="F3053" t="s">
        <v>26</v>
      </c>
      <c r="G3053" t="s">
        <v>45</v>
      </c>
      <c r="H3053" t="s">
        <v>34</v>
      </c>
      <c r="I3053" t="s">
        <v>29</v>
      </c>
      <c r="J3053" t="s">
        <v>35</v>
      </c>
      <c r="K3053" s="2">
        <v>2800</v>
      </c>
      <c r="L3053" s="2">
        <v>24500</v>
      </c>
      <c r="M3053">
        <v>60</v>
      </c>
      <c r="N3053" s="3">
        <v>0.30399999999999999</v>
      </c>
      <c r="O3053" t="s">
        <v>16</v>
      </c>
      <c r="Q3053">
        <v>1</v>
      </c>
      <c r="R3053">
        <v>0</v>
      </c>
      <c r="S3053" s="2">
        <v>19500</v>
      </c>
      <c r="T3053" s="4">
        <v>8.3000000000000004E-2</v>
      </c>
      <c r="U3053">
        <v>2</v>
      </c>
      <c r="V3053">
        <v>1</v>
      </c>
      <c r="W3053">
        <v>1</v>
      </c>
    </row>
    <row r="3054" spans="1:23" ht="16.5" x14ac:dyDescent="0.3">
      <c r="A3054" t="s">
        <v>3118</v>
      </c>
      <c r="B3054" s="1">
        <v>45737</v>
      </c>
      <c r="C3054">
        <v>2025</v>
      </c>
      <c r="D3054" t="s">
        <v>24</v>
      </c>
      <c r="E3054" t="s">
        <v>460</v>
      </c>
      <c r="F3054" t="s">
        <v>26</v>
      </c>
      <c r="G3054" t="s">
        <v>33</v>
      </c>
      <c r="H3054" t="s">
        <v>55</v>
      </c>
      <c r="I3054" t="s">
        <v>39</v>
      </c>
      <c r="J3054" t="s">
        <v>43</v>
      </c>
      <c r="K3054" s="2">
        <v>2600</v>
      </c>
      <c r="L3054" s="2">
        <v>56500</v>
      </c>
      <c r="M3054">
        <v>36</v>
      </c>
      <c r="N3054" s="3">
        <v>0.73099999999999998</v>
      </c>
      <c r="O3054" t="s">
        <v>125</v>
      </c>
      <c r="Q3054">
        <v>0</v>
      </c>
      <c r="R3054">
        <v>0</v>
      </c>
      <c r="S3054" s="2">
        <v>0</v>
      </c>
      <c r="T3054" s="4"/>
      <c r="U3054">
        <v>3</v>
      </c>
      <c r="V3054">
        <v>1</v>
      </c>
      <c r="W3054">
        <v>1</v>
      </c>
    </row>
    <row r="3055" spans="1:23" ht="16.5" x14ac:dyDescent="0.3">
      <c r="A3055" t="s">
        <v>3119</v>
      </c>
      <c r="B3055" s="1">
        <v>45737</v>
      </c>
      <c r="C3055">
        <v>2025</v>
      </c>
      <c r="D3055" t="s">
        <v>24</v>
      </c>
      <c r="E3055" t="s">
        <v>460</v>
      </c>
      <c r="F3055" t="s">
        <v>37</v>
      </c>
      <c r="G3055" t="s">
        <v>45</v>
      </c>
      <c r="H3055" t="s">
        <v>38</v>
      </c>
      <c r="I3055" t="s">
        <v>39</v>
      </c>
      <c r="J3055" t="s">
        <v>52</v>
      </c>
      <c r="K3055" s="2">
        <v>6750</v>
      </c>
      <c r="L3055" s="2">
        <v>12000</v>
      </c>
      <c r="M3055">
        <v>36</v>
      </c>
      <c r="N3055" s="3">
        <v>0.254</v>
      </c>
      <c r="O3055" t="s">
        <v>16</v>
      </c>
      <c r="Q3055">
        <v>1</v>
      </c>
      <c r="R3055">
        <v>0</v>
      </c>
      <c r="S3055" s="2">
        <v>12000</v>
      </c>
      <c r="T3055" s="4">
        <v>0.1179</v>
      </c>
      <c r="U3055">
        <v>2</v>
      </c>
      <c r="V3055">
        <v>1</v>
      </c>
      <c r="W3055">
        <v>1</v>
      </c>
    </row>
    <row r="3056" spans="1:23" ht="16.5" x14ac:dyDescent="0.3">
      <c r="A3056" t="s">
        <v>3120</v>
      </c>
      <c r="B3056" s="1">
        <v>45737</v>
      </c>
      <c r="C3056">
        <v>2025</v>
      </c>
      <c r="D3056" t="s">
        <v>24</v>
      </c>
      <c r="E3056" t="s">
        <v>460</v>
      </c>
      <c r="F3056" t="s">
        <v>37</v>
      </c>
      <c r="G3056" t="s">
        <v>51</v>
      </c>
      <c r="H3056" t="s">
        <v>38</v>
      </c>
      <c r="I3056" t="s">
        <v>29</v>
      </c>
      <c r="J3056" t="s">
        <v>30</v>
      </c>
      <c r="K3056" s="2">
        <v>6200</v>
      </c>
      <c r="L3056" s="2">
        <v>6500</v>
      </c>
      <c r="M3056">
        <v>60</v>
      </c>
      <c r="N3056" s="3">
        <v>0.246</v>
      </c>
      <c r="O3056" t="s">
        <v>17</v>
      </c>
      <c r="P3056" t="s">
        <v>31</v>
      </c>
      <c r="Q3056">
        <v>0</v>
      </c>
      <c r="R3056">
        <v>1</v>
      </c>
      <c r="S3056" s="2">
        <v>0</v>
      </c>
      <c r="T3056" s="4"/>
      <c r="U3056">
        <v>3</v>
      </c>
      <c r="V3056">
        <v>1</v>
      </c>
      <c r="W3056">
        <v>1</v>
      </c>
    </row>
    <row r="3057" spans="1:23" ht="16.5" x14ac:dyDescent="0.3">
      <c r="A3057" t="s">
        <v>3121</v>
      </c>
      <c r="B3057" s="1">
        <v>45737</v>
      </c>
      <c r="C3057">
        <v>2025</v>
      </c>
      <c r="D3057" t="s">
        <v>24</v>
      </c>
      <c r="E3057" t="s">
        <v>460</v>
      </c>
      <c r="F3057" t="s">
        <v>37</v>
      </c>
      <c r="G3057" t="s">
        <v>45</v>
      </c>
      <c r="H3057" t="s">
        <v>34</v>
      </c>
      <c r="I3057" t="s">
        <v>39</v>
      </c>
      <c r="J3057" t="s">
        <v>30</v>
      </c>
      <c r="K3057" s="2">
        <v>5400</v>
      </c>
      <c r="L3057" s="2">
        <v>27500</v>
      </c>
      <c r="M3057">
        <v>24</v>
      </c>
      <c r="N3057" s="3">
        <v>0.28999999999999998</v>
      </c>
      <c r="O3057" t="s">
        <v>125</v>
      </c>
      <c r="Q3057">
        <v>0</v>
      </c>
      <c r="R3057">
        <v>0</v>
      </c>
      <c r="S3057" s="2">
        <v>0</v>
      </c>
      <c r="T3057" s="4"/>
      <c r="U3057">
        <v>2</v>
      </c>
      <c r="V3057">
        <v>1</v>
      </c>
      <c r="W3057">
        <v>1</v>
      </c>
    </row>
    <row r="3058" spans="1:23" ht="16.5" x14ac:dyDescent="0.3">
      <c r="A3058" t="s">
        <v>3122</v>
      </c>
      <c r="B3058" s="1">
        <v>45737</v>
      </c>
      <c r="C3058">
        <v>2025</v>
      </c>
      <c r="D3058" t="s">
        <v>24</v>
      </c>
      <c r="E3058" t="s">
        <v>460</v>
      </c>
      <c r="F3058" t="s">
        <v>41</v>
      </c>
      <c r="G3058" t="s">
        <v>33</v>
      </c>
      <c r="H3058" t="s">
        <v>38</v>
      </c>
      <c r="I3058" t="s">
        <v>39</v>
      </c>
      <c r="J3058" t="s">
        <v>35</v>
      </c>
      <c r="K3058" s="2">
        <v>8250</v>
      </c>
      <c r="L3058" s="2">
        <v>114500</v>
      </c>
      <c r="M3058">
        <v>24</v>
      </c>
      <c r="N3058" s="3">
        <v>0.86799999999999999</v>
      </c>
      <c r="O3058" t="s">
        <v>16</v>
      </c>
      <c r="Q3058">
        <v>1</v>
      </c>
      <c r="R3058">
        <v>0</v>
      </c>
      <c r="S3058" s="2">
        <v>114500</v>
      </c>
      <c r="T3058" s="4">
        <v>0.115</v>
      </c>
      <c r="U3058">
        <v>4</v>
      </c>
      <c r="V3058">
        <v>1</v>
      </c>
      <c r="W3058">
        <v>1</v>
      </c>
    </row>
    <row r="3059" spans="1:23" ht="16.5" x14ac:dyDescent="0.3">
      <c r="A3059" t="s">
        <v>3123</v>
      </c>
      <c r="B3059" s="1">
        <v>45737</v>
      </c>
      <c r="C3059">
        <v>2025</v>
      </c>
      <c r="D3059" t="s">
        <v>24</v>
      </c>
      <c r="E3059" t="s">
        <v>460</v>
      </c>
      <c r="F3059" t="s">
        <v>37</v>
      </c>
      <c r="G3059" t="s">
        <v>45</v>
      </c>
      <c r="H3059" t="s">
        <v>28</v>
      </c>
      <c r="I3059" t="s">
        <v>29</v>
      </c>
      <c r="J3059" t="s">
        <v>35</v>
      </c>
      <c r="K3059" s="2">
        <v>3550</v>
      </c>
      <c r="L3059" s="2">
        <v>18500</v>
      </c>
      <c r="M3059">
        <v>48</v>
      </c>
      <c r="N3059" s="3">
        <v>0.223</v>
      </c>
      <c r="O3059" t="s">
        <v>16</v>
      </c>
      <c r="Q3059">
        <v>1</v>
      </c>
      <c r="R3059">
        <v>0</v>
      </c>
      <c r="S3059" s="2">
        <v>18500</v>
      </c>
      <c r="T3059" s="4">
        <v>0.12690000000000001</v>
      </c>
      <c r="U3059">
        <v>1</v>
      </c>
      <c r="V3059">
        <v>1</v>
      </c>
      <c r="W3059">
        <v>1</v>
      </c>
    </row>
    <row r="3060" spans="1:23" ht="16.5" x14ac:dyDescent="0.3">
      <c r="A3060" t="s">
        <v>3124</v>
      </c>
      <c r="B3060" s="1">
        <v>45737</v>
      </c>
      <c r="C3060">
        <v>2025</v>
      </c>
      <c r="D3060" t="s">
        <v>24</v>
      </c>
      <c r="E3060" t="s">
        <v>460</v>
      </c>
      <c r="F3060" t="s">
        <v>26</v>
      </c>
      <c r="G3060" t="s">
        <v>45</v>
      </c>
      <c r="H3060" t="s">
        <v>55</v>
      </c>
      <c r="I3060" t="s">
        <v>42</v>
      </c>
      <c r="J3060" t="s">
        <v>35</v>
      </c>
      <c r="K3060" s="2">
        <v>19000</v>
      </c>
      <c r="L3060" s="2">
        <v>32500</v>
      </c>
      <c r="M3060">
        <v>60</v>
      </c>
      <c r="N3060" s="3">
        <v>9.6000000000000002E-2</v>
      </c>
      <c r="O3060" t="s">
        <v>16</v>
      </c>
      <c r="Q3060">
        <v>1</v>
      </c>
      <c r="R3060">
        <v>0</v>
      </c>
      <c r="S3060" s="2">
        <v>26000</v>
      </c>
      <c r="T3060" s="4">
        <v>7.9299999999999995E-2</v>
      </c>
      <c r="U3060">
        <v>2</v>
      </c>
      <c r="V3060">
        <v>1</v>
      </c>
      <c r="W3060">
        <v>1</v>
      </c>
    </row>
    <row r="3061" spans="1:23" ht="16.5" x14ac:dyDescent="0.3">
      <c r="A3061" t="s">
        <v>3125</v>
      </c>
      <c r="B3061" s="1">
        <v>45738</v>
      </c>
      <c r="C3061">
        <v>2025</v>
      </c>
      <c r="D3061" t="s">
        <v>24</v>
      </c>
      <c r="E3061" t="s">
        <v>460</v>
      </c>
      <c r="F3061" t="s">
        <v>26</v>
      </c>
      <c r="G3061" t="s">
        <v>33</v>
      </c>
      <c r="H3061" t="s">
        <v>55</v>
      </c>
      <c r="I3061" t="s">
        <v>39</v>
      </c>
      <c r="J3061" t="s">
        <v>30</v>
      </c>
      <c r="K3061" s="2">
        <v>5100</v>
      </c>
      <c r="L3061" s="2">
        <v>32000</v>
      </c>
      <c r="M3061">
        <v>36</v>
      </c>
      <c r="N3061" s="3">
        <v>0.438</v>
      </c>
      <c r="O3061" t="s">
        <v>17</v>
      </c>
      <c r="P3061" t="s">
        <v>31</v>
      </c>
      <c r="Q3061">
        <v>0</v>
      </c>
      <c r="R3061">
        <v>1</v>
      </c>
      <c r="S3061" s="2">
        <v>0</v>
      </c>
      <c r="T3061" s="4"/>
      <c r="U3061">
        <v>3</v>
      </c>
      <c r="V3061">
        <v>1</v>
      </c>
      <c r="W3061">
        <v>1</v>
      </c>
    </row>
    <row r="3062" spans="1:23" ht="16.5" x14ac:dyDescent="0.3">
      <c r="A3062" t="s">
        <v>3126</v>
      </c>
      <c r="B3062" s="1">
        <v>45738</v>
      </c>
      <c r="C3062">
        <v>2025</v>
      </c>
      <c r="D3062" t="s">
        <v>24</v>
      </c>
      <c r="E3062" t="s">
        <v>460</v>
      </c>
      <c r="F3062" t="s">
        <v>41</v>
      </c>
      <c r="G3062" t="s">
        <v>45</v>
      </c>
      <c r="H3062" t="s">
        <v>55</v>
      </c>
      <c r="I3062" t="s">
        <v>29</v>
      </c>
      <c r="J3062" t="s">
        <v>30</v>
      </c>
      <c r="K3062" s="2">
        <v>5400</v>
      </c>
      <c r="L3062" s="2">
        <v>98500</v>
      </c>
      <c r="M3062">
        <v>36</v>
      </c>
      <c r="N3062" s="3">
        <v>0.71799999999999997</v>
      </c>
      <c r="O3062" t="s">
        <v>17</v>
      </c>
      <c r="P3062" t="s">
        <v>31</v>
      </c>
      <c r="Q3062">
        <v>0</v>
      </c>
      <c r="R3062">
        <v>1</v>
      </c>
      <c r="S3062" s="2">
        <v>0</v>
      </c>
      <c r="T3062" s="4"/>
      <c r="U3062">
        <v>7</v>
      </c>
      <c r="V3062">
        <v>1</v>
      </c>
      <c r="W3062">
        <v>1</v>
      </c>
    </row>
    <row r="3063" spans="1:23" ht="16.5" x14ac:dyDescent="0.3">
      <c r="A3063" t="s">
        <v>3127</v>
      </c>
      <c r="B3063" s="1">
        <v>45738</v>
      </c>
      <c r="C3063">
        <v>2025</v>
      </c>
      <c r="D3063" t="s">
        <v>24</v>
      </c>
      <c r="E3063" t="s">
        <v>460</v>
      </c>
      <c r="F3063" t="s">
        <v>50</v>
      </c>
      <c r="G3063" t="s">
        <v>27</v>
      </c>
      <c r="H3063" t="s">
        <v>55</v>
      </c>
      <c r="I3063" t="s">
        <v>39</v>
      </c>
      <c r="J3063" t="s">
        <v>30</v>
      </c>
      <c r="K3063" s="2">
        <v>2250</v>
      </c>
      <c r="L3063" s="2">
        <v>106500</v>
      </c>
      <c r="M3063">
        <v>240</v>
      </c>
      <c r="N3063" s="3">
        <v>0.437</v>
      </c>
      <c r="O3063" t="s">
        <v>17</v>
      </c>
      <c r="P3063" t="s">
        <v>31</v>
      </c>
      <c r="Q3063">
        <v>0</v>
      </c>
      <c r="R3063">
        <v>1</v>
      </c>
      <c r="S3063" s="2">
        <v>0</v>
      </c>
      <c r="T3063" s="4"/>
      <c r="U3063">
        <v>26</v>
      </c>
      <c r="V3063">
        <v>0</v>
      </c>
      <c r="W3063">
        <v>1</v>
      </c>
    </row>
    <row r="3064" spans="1:23" ht="16.5" x14ac:dyDescent="0.3">
      <c r="A3064" t="s">
        <v>3128</v>
      </c>
      <c r="B3064" s="1">
        <v>45738</v>
      </c>
      <c r="C3064">
        <v>2025</v>
      </c>
      <c r="D3064" t="s">
        <v>24</v>
      </c>
      <c r="E3064" t="s">
        <v>460</v>
      </c>
      <c r="F3064" t="s">
        <v>41</v>
      </c>
      <c r="G3064" t="s">
        <v>45</v>
      </c>
      <c r="H3064" t="s">
        <v>34</v>
      </c>
      <c r="I3064" t="s">
        <v>29</v>
      </c>
      <c r="J3064" t="s">
        <v>35</v>
      </c>
      <c r="K3064" s="2">
        <v>3100</v>
      </c>
      <c r="L3064" s="2">
        <v>89500</v>
      </c>
      <c r="M3064">
        <v>60</v>
      </c>
      <c r="N3064" s="3">
        <v>0.69299999999999995</v>
      </c>
      <c r="O3064" t="s">
        <v>17</v>
      </c>
      <c r="P3064" t="s">
        <v>53</v>
      </c>
      <c r="Q3064">
        <v>0</v>
      </c>
      <c r="R3064">
        <v>1</v>
      </c>
      <c r="S3064" s="2">
        <v>0</v>
      </c>
      <c r="T3064" s="4"/>
      <c r="U3064">
        <v>7</v>
      </c>
      <c r="V3064">
        <v>1</v>
      </c>
      <c r="W3064">
        <v>1</v>
      </c>
    </row>
    <row r="3065" spans="1:23" ht="16.5" x14ac:dyDescent="0.3">
      <c r="A3065" t="s">
        <v>3129</v>
      </c>
      <c r="B3065" s="1">
        <v>45739</v>
      </c>
      <c r="C3065">
        <v>2025</v>
      </c>
      <c r="D3065" t="s">
        <v>24</v>
      </c>
      <c r="E3065" t="s">
        <v>460</v>
      </c>
      <c r="F3065" t="s">
        <v>26</v>
      </c>
      <c r="G3065" t="s">
        <v>45</v>
      </c>
      <c r="H3065" t="s">
        <v>38</v>
      </c>
      <c r="I3065" t="s">
        <v>42</v>
      </c>
      <c r="J3065" t="s">
        <v>52</v>
      </c>
      <c r="K3065" s="2">
        <v>5300</v>
      </c>
      <c r="L3065" s="2">
        <v>24000</v>
      </c>
      <c r="M3065">
        <v>36</v>
      </c>
      <c r="N3065" s="3">
        <v>0.33200000000000002</v>
      </c>
      <c r="O3065" t="s">
        <v>16</v>
      </c>
      <c r="Q3065">
        <v>1</v>
      </c>
      <c r="R3065">
        <v>0</v>
      </c>
      <c r="S3065" s="2">
        <v>24000</v>
      </c>
      <c r="T3065" s="4">
        <v>7.0499999999999993E-2</v>
      </c>
      <c r="U3065">
        <v>1</v>
      </c>
      <c r="V3065">
        <v>1</v>
      </c>
      <c r="W3065">
        <v>1</v>
      </c>
    </row>
    <row r="3066" spans="1:23" ht="16.5" x14ac:dyDescent="0.3">
      <c r="A3066" t="s">
        <v>3130</v>
      </c>
      <c r="B3066" s="1">
        <v>45739</v>
      </c>
      <c r="C3066">
        <v>2025</v>
      </c>
      <c r="D3066" t="s">
        <v>24</v>
      </c>
      <c r="E3066" t="s">
        <v>460</v>
      </c>
      <c r="F3066" t="s">
        <v>26</v>
      </c>
      <c r="G3066" t="s">
        <v>27</v>
      </c>
      <c r="H3066" t="s">
        <v>64</v>
      </c>
      <c r="I3066" t="s">
        <v>29</v>
      </c>
      <c r="J3066" t="s">
        <v>30</v>
      </c>
      <c r="K3066" s="2">
        <v>2850</v>
      </c>
      <c r="L3066" s="2">
        <v>45500</v>
      </c>
      <c r="M3066">
        <v>60</v>
      </c>
      <c r="N3066" s="3">
        <v>0.54</v>
      </c>
      <c r="O3066" t="s">
        <v>17</v>
      </c>
      <c r="P3066" t="s">
        <v>31</v>
      </c>
      <c r="Q3066">
        <v>0</v>
      </c>
      <c r="R3066">
        <v>1</v>
      </c>
      <c r="S3066" s="2">
        <v>0</v>
      </c>
      <c r="T3066" s="4"/>
      <c r="U3066">
        <v>4</v>
      </c>
      <c r="V3066">
        <v>1</v>
      </c>
      <c r="W3066">
        <v>1</v>
      </c>
    </row>
    <row r="3067" spans="1:23" ht="16.5" x14ac:dyDescent="0.3">
      <c r="A3067" t="s">
        <v>3131</v>
      </c>
      <c r="B3067" s="1">
        <v>45739</v>
      </c>
      <c r="C3067">
        <v>2025</v>
      </c>
      <c r="D3067" t="s">
        <v>24</v>
      </c>
      <c r="E3067" t="s">
        <v>460</v>
      </c>
      <c r="F3067" t="s">
        <v>50</v>
      </c>
      <c r="G3067" t="s">
        <v>45</v>
      </c>
      <c r="H3067" t="s">
        <v>28</v>
      </c>
      <c r="I3067" t="s">
        <v>29</v>
      </c>
      <c r="J3067" t="s">
        <v>43</v>
      </c>
      <c r="K3067" s="2">
        <v>8500</v>
      </c>
      <c r="L3067" s="2">
        <v>645500</v>
      </c>
      <c r="M3067">
        <v>180</v>
      </c>
      <c r="N3067" s="3">
        <v>0.68500000000000005</v>
      </c>
      <c r="O3067" t="s">
        <v>17</v>
      </c>
      <c r="P3067" t="s">
        <v>31</v>
      </c>
      <c r="Q3067">
        <v>0</v>
      </c>
      <c r="R3067">
        <v>1</v>
      </c>
      <c r="S3067" s="2">
        <v>0</v>
      </c>
      <c r="T3067" s="4"/>
      <c r="U3067">
        <v>8</v>
      </c>
      <c r="V3067">
        <v>1</v>
      </c>
      <c r="W3067">
        <v>1</v>
      </c>
    </row>
    <row r="3068" spans="1:23" ht="16.5" x14ac:dyDescent="0.3">
      <c r="A3068" t="s">
        <v>3132</v>
      </c>
      <c r="B3068" s="1">
        <v>45739</v>
      </c>
      <c r="C3068">
        <v>2025</v>
      </c>
      <c r="D3068" t="s">
        <v>24</v>
      </c>
      <c r="E3068" t="s">
        <v>460</v>
      </c>
      <c r="F3068" t="s">
        <v>26</v>
      </c>
      <c r="G3068" t="s">
        <v>33</v>
      </c>
      <c r="H3068" t="s">
        <v>38</v>
      </c>
      <c r="I3068" t="s">
        <v>42</v>
      </c>
      <c r="J3068" t="s">
        <v>43</v>
      </c>
      <c r="K3068" s="2">
        <v>9100</v>
      </c>
      <c r="L3068" s="2">
        <v>15500</v>
      </c>
      <c r="M3068">
        <v>48</v>
      </c>
      <c r="N3068" s="3">
        <v>0.22800000000000001</v>
      </c>
      <c r="O3068" t="s">
        <v>16</v>
      </c>
      <c r="Q3068">
        <v>1</v>
      </c>
      <c r="R3068">
        <v>0</v>
      </c>
      <c r="S3068" s="2">
        <v>14000</v>
      </c>
      <c r="T3068" s="4">
        <v>0.11890000000000001</v>
      </c>
      <c r="U3068">
        <v>3</v>
      </c>
      <c r="V3068">
        <v>1</v>
      </c>
      <c r="W3068">
        <v>1</v>
      </c>
    </row>
    <row r="3069" spans="1:23" ht="16.5" x14ac:dyDescent="0.3">
      <c r="A3069" t="s">
        <v>3133</v>
      </c>
      <c r="B3069" s="1">
        <v>45739</v>
      </c>
      <c r="C3069">
        <v>2025</v>
      </c>
      <c r="D3069" t="s">
        <v>24</v>
      </c>
      <c r="E3069" t="s">
        <v>460</v>
      </c>
      <c r="F3069" t="s">
        <v>37</v>
      </c>
      <c r="G3069" t="s">
        <v>27</v>
      </c>
      <c r="H3069" t="s">
        <v>64</v>
      </c>
      <c r="I3069" t="s">
        <v>39</v>
      </c>
      <c r="J3069" t="s">
        <v>52</v>
      </c>
      <c r="K3069" s="2">
        <v>11750</v>
      </c>
      <c r="L3069" s="2">
        <v>16500</v>
      </c>
      <c r="M3069">
        <v>60</v>
      </c>
      <c r="N3069" s="3">
        <v>0.26800000000000002</v>
      </c>
      <c r="O3069" t="s">
        <v>17</v>
      </c>
      <c r="P3069" t="s">
        <v>60</v>
      </c>
      <c r="Q3069">
        <v>0</v>
      </c>
      <c r="R3069">
        <v>1</v>
      </c>
      <c r="S3069" s="2">
        <v>0</v>
      </c>
      <c r="T3069" s="4"/>
      <c r="U3069">
        <v>8</v>
      </c>
      <c r="V3069">
        <v>0</v>
      </c>
      <c r="W3069">
        <v>1</v>
      </c>
    </row>
    <row r="3070" spans="1:23" ht="16.5" x14ac:dyDescent="0.3">
      <c r="A3070" t="s">
        <v>3134</v>
      </c>
      <c r="B3070" s="1">
        <v>45739</v>
      </c>
      <c r="C3070">
        <v>2025</v>
      </c>
      <c r="D3070" t="s">
        <v>24</v>
      </c>
      <c r="E3070" t="s">
        <v>460</v>
      </c>
      <c r="F3070" t="s">
        <v>26</v>
      </c>
      <c r="G3070" t="s">
        <v>27</v>
      </c>
      <c r="H3070" t="s">
        <v>64</v>
      </c>
      <c r="I3070" t="s">
        <v>29</v>
      </c>
      <c r="J3070" t="s">
        <v>30</v>
      </c>
      <c r="K3070" s="2">
        <v>3150</v>
      </c>
      <c r="L3070" s="2">
        <v>28000</v>
      </c>
      <c r="M3070">
        <v>36</v>
      </c>
      <c r="N3070" s="3">
        <v>0.36399999999999999</v>
      </c>
      <c r="O3070" t="s">
        <v>17</v>
      </c>
      <c r="P3070" t="s">
        <v>60</v>
      </c>
      <c r="Q3070">
        <v>0</v>
      </c>
      <c r="R3070">
        <v>1</v>
      </c>
      <c r="S3070" s="2">
        <v>0</v>
      </c>
      <c r="T3070" s="4"/>
      <c r="U3070">
        <v>8</v>
      </c>
      <c r="V3070">
        <v>0</v>
      </c>
      <c r="W3070">
        <v>1</v>
      </c>
    </row>
    <row r="3071" spans="1:23" ht="16.5" x14ac:dyDescent="0.3">
      <c r="A3071" t="s">
        <v>3135</v>
      </c>
      <c r="B3071" s="1">
        <v>45739</v>
      </c>
      <c r="C3071">
        <v>2025</v>
      </c>
      <c r="D3071" t="s">
        <v>24</v>
      </c>
      <c r="E3071" t="s">
        <v>460</v>
      </c>
      <c r="F3071" t="s">
        <v>50</v>
      </c>
      <c r="G3071" t="s">
        <v>51</v>
      </c>
      <c r="H3071" t="s">
        <v>28</v>
      </c>
      <c r="I3071" t="s">
        <v>29</v>
      </c>
      <c r="J3071" t="s">
        <v>52</v>
      </c>
      <c r="K3071" s="2">
        <v>3650</v>
      </c>
      <c r="L3071" s="2">
        <v>1145000</v>
      </c>
      <c r="M3071">
        <v>240</v>
      </c>
      <c r="N3071" s="3">
        <v>2.1920000000000002</v>
      </c>
      <c r="O3071" t="s">
        <v>17</v>
      </c>
      <c r="P3071" t="s">
        <v>53</v>
      </c>
      <c r="Q3071">
        <v>0</v>
      </c>
      <c r="R3071">
        <v>1</v>
      </c>
      <c r="S3071" s="2">
        <v>0</v>
      </c>
      <c r="T3071" s="4"/>
      <c r="U3071">
        <v>20</v>
      </c>
      <c r="V3071">
        <v>0</v>
      </c>
      <c r="W3071">
        <v>1</v>
      </c>
    </row>
    <row r="3072" spans="1:23" ht="16.5" x14ac:dyDescent="0.3">
      <c r="A3072" t="s">
        <v>3136</v>
      </c>
      <c r="B3072" s="1">
        <v>45739</v>
      </c>
      <c r="C3072">
        <v>2025</v>
      </c>
      <c r="D3072" t="s">
        <v>24</v>
      </c>
      <c r="E3072" t="s">
        <v>460</v>
      </c>
      <c r="F3072" t="s">
        <v>41</v>
      </c>
      <c r="G3072" t="s">
        <v>33</v>
      </c>
      <c r="H3072" t="s">
        <v>38</v>
      </c>
      <c r="I3072" t="s">
        <v>29</v>
      </c>
      <c r="J3072" t="s">
        <v>35</v>
      </c>
      <c r="K3072" s="2">
        <v>3800</v>
      </c>
      <c r="L3072" s="2">
        <v>53500</v>
      </c>
      <c r="M3072">
        <v>60</v>
      </c>
      <c r="N3072" s="3">
        <v>0.49199999999999999</v>
      </c>
      <c r="O3072" t="s">
        <v>16</v>
      </c>
      <c r="Q3072">
        <v>1</v>
      </c>
      <c r="R3072">
        <v>0</v>
      </c>
      <c r="S3072" s="2">
        <v>53500</v>
      </c>
      <c r="T3072" s="4">
        <v>0.109</v>
      </c>
      <c r="U3072">
        <v>6</v>
      </c>
      <c r="V3072">
        <v>1</v>
      </c>
      <c r="W3072">
        <v>1</v>
      </c>
    </row>
    <row r="3073" spans="1:23" ht="16.5" x14ac:dyDescent="0.3">
      <c r="A3073" t="s">
        <v>3137</v>
      </c>
      <c r="B3073" s="1">
        <v>45739</v>
      </c>
      <c r="C3073">
        <v>2025</v>
      </c>
      <c r="D3073" t="s">
        <v>24</v>
      </c>
      <c r="E3073" t="s">
        <v>460</v>
      </c>
      <c r="F3073" t="s">
        <v>37</v>
      </c>
      <c r="G3073" t="s">
        <v>51</v>
      </c>
      <c r="H3073" t="s">
        <v>64</v>
      </c>
      <c r="I3073" t="s">
        <v>42</v>
      </c>
      <c r="J3073" t="s">
        <v>30</v>
      </c>
      <c r="K3073" s="2">
        <v>3100</v>
      </c>
      <c r="L3073" s="2">
        <v>12000</v>
      </c>
      <c r="M3073">
        <v>12</v>
      </c>
      <c r="N3073" s="3">
        <v>0.53900000000000003</v>
      </c>
      <c r="O3073" t="s">
        <v>17</v>
      </c>
      <c r="P3073" t="s">
        <v>31</v>
      </c>
      <c r="Q3073">
        <v>0</v>
      </c>
      <c r="R3073">
        <v>1</v>
      </c>
      <c r="S3073" s="2">
        <v>0</v>
      </c>
      <c r="T3073" s="4"/>
      <c r="U3073">
        <v>4</v>
      </c>
      <c r="V3073">
        <v>0</v>
      </c>
      <c r="W3073">
        <v>1</v>
      </c>
    </row>
    <row r="3074" spans="1:23" ht="16.5" x14ac:dyDescent="0.3">
      <c r="A3074" t="s">
        <v>3138</v>
      </c>
      <c r="B3074" s="1">
        <v>45739</v>
      </c>
      <c r="C3074">
        <v>2025</v>
      </c>
      <c r="D3074" t="s">
        <v>24</v>
      </c>
      <c r="E3074" t="s">
        <v>460</v>
      </c>
      <c r="F3074" t="s">
        <v>50</v>
      </c>
      <c r="G3074" t="s">
        <v>33</v>
      </c>
      <c r="H3074" t="s">
        <v>55</v>
      </c>
      <c r="I3074" t="s">
        <v>39</v>
      </c>
      <c r="J3074" t="s">
        <v>30</v>
      </c>
      <c r="K3074" s="2">
        <v>4250</v>
      </c>
      <c r="L3074" s="2">
        <v>230000</v>
      </c>
      <c r="M3074">
        <v>180</v>
      </c>
      <c r="N3074" s="3">
        <v>0.61199999999999999</v>
      </c>
      <c r="O3074" t="s">
        <v>16</v>
      </c>
      <c r="Q3074">
        <v>1</v>
      </c>
      <c r="R3074">
        <v>0</v>
      </c>
      <c r="S3074" s="2">
        <v>230000</v>
      </c>
      <c r="T3074" s="4">
        <v>7.4999999999999997E-2</v>
      </c>
      <c r="U3074">
        <v>8</v>
      </c>
      <c r="V3074">
        <v>1</v>
      </c>
      <c r="W3074">
        <v>1</v>
      </c>
    </row>
    <row r="3075" spans="1:23" ht="16.5" x14ac:dyDescent="0.3">
      <c r="A3075" t="s">
        <v>3139</v>
      </c>
      <c r="B3075" s="1">
        <v>45739</v>
      </c>
      <c r="C3075">
        <v>2025</v>
      </c>
      <c r="D3075" t="s">
        <v>24</v>
      </c>
      <c r="E3075" t="s">
        <v>460</v>
      </c>
      <c r="F3075" t="s">
        <v>41</v>
      </c>
      <c r="G3075" t="s">
        <v>51</v>
      </c>
      <c r="H3075" t="s">
        <v>28</v>
      </c>
      <c r="I3075" t="s">
        <v>39</v>
      </c>
      <c r="J3075" t="s">
        <v>35</v>
      </c>
      <c r="K3075" s="2">
        <v>3850</v>
      </c>
      <c r="L3075" s="2">
        <v>68000</v>
      </c>
      <c r="M3075">
        <v>24</v>
      </c>
      <c r="N3075" s="3">
        <v>0.87</v>
      </c>
      <c r="O3075" t="s">
        <v>17</v>
      </c>
      <c r="P3075" t="s">
        <v>53</v>
      </c>
      <c r="Q3075">
        <v>0</v>
      </c>
      <c r="R3075">
        <v>1</v>
      </c>
      <c r="S3075" s="2">
        <v>0</v>
      </c>
      <c r="T3075" s="4"/>
      <c r="U3075">
        <v>11</v>
      </c>
      <c r="V3075">
        <v>0</v>
      </c>
      <c r="W3075">
        <v>1</v>
      </c>
    </row>
    <row r="3076" spans="1:23" ht="16.5" x14ac:dyDescent="0.3">
      <c r="A3076" t="s">
        <v>3140</v>
      </c>
      <c r="B3076" s="1">
        <v>45739</v>
      </c>
      <c r="C3076">
        <v>2025</v>
      </c>
      <c r="D3076" t="s">
        <v>24</v>
      </c>
      <c r="E3076" t="s">
        <v>460</v>
      </c>
      <c r="F3076" t="s">
        <v>50</v>
      </c>
      <c r="G3076" t="s">
        <v>45</v>
      </c>
      <c r="H3076" t="s">
        <v>34</v>
      </c>
      <c r="I3076" t="s">
        <v>29</v>
      </c>
      <c r="J3076" t="s">
        <v>35</v>
      </c>
      <c r="K3076" s="2">
        <v>7250</v>
      </c>
      <c r="L3076" s="2">
        <v>224500</v>
      </c>
      <c r="M3076">
        <v>180</v>
      </c>
      <c r="N3076" s="3">
        <v>0.36599999999999999</v>
      </c>
      <c r="O3076" t="s">
        <v>16</v>
      </c>
      <c r="Q3076">
        <v>1</v>
      </c>
      <c r="R3076">
        <v>0</v>
      </c>
      <c r="S3076" s="2">
        <v>224500</v>
      </c>
      <c r="T3076" s="4">
        <v>6.1199999999999997E-2</v>
      </c>
      <c r="U3076">
        <v>6</v>
      </c>
      <c r="V3076">
        <v>1</v>
      </c>
      <c r="W3076">
        <v>1</v>
      </c>
    </row>
    <row r="3077" spans="1:23" ht="16.5" x14ac:dyDescent="0.3">
      <c r="A3077" t="s">
        <v>3141</v>
      </c>
      <c r="B3077" s="1">
        <v>45740</v>
      </c>
      <c r="C3077">
        <v>2025</v>
      </c>
      <c r="D3077" t="s">
        <v>24</v>
      </c>
      <c r="E3077" t="s">
        <v>460</v>
      </c>
      <c r="F3077" t="s">
        <v>26</v>
      </c>
      <c r="G3077" t="s">
        <v>33</v>
      </c>
      <c r="H3077" t="s">
        <v>38</v>
      </c>
      <c r="I3077" t="s">
        <v>29</v>
      </c>
      <c r="J3077" t="s">
        <v>35</v>
      </c>
      <c r="K3077" s="2">
        <v>2950</v>
      </c>
      <c r="L3077" s="2">
        <v>34500</v>
      </c>
      <c r="M3077">
        <v>36</v>
      </c>
      <c r="N3077" s="3">
        <v>0.42099999999999999</v>
      </c>
      <c r="O3077" t="s">
        <v>16</v>
      </c>
      <c r="Q3077">
        <v>1</v>
      </c>
      <c r="R3077">
        <v>0</v>
      </c>
      <c r="S3077" s="2">
        <v>34500</v>
      </c>
      <c r="T3077" s="4">
        <v>7.9399999999999998E-2</v>
      </c>
      <c r="U3077">
        <v>1</v>
      </c>
      <c r="V3077">
        <v>1</v>
      </c>
      <c r="W3077">
        <v>1</v>
      </c>
    </row>
    <row r="3078" spans="1:23" ht="16.5" x14ac:dyDescent="0.3">
      <c r="A3078" t="s">
        <v>3142</v>
      </c>
      <c r="B3078" s="1">
        <v>45740</v>
      </c>
      <c r="C3078">
        <v>2025</v>
      </c>
      <c r="D3078" t="s">
        <v>24</v>
      </c>
      <c r="E3078" t="s">
        <v>460</v>
      </c>
      <c r="F3078" t="s">
        <v>50</v>
      </c>
      <c r="G3078" t="s">
        <v>27</v>
      </c>
      <c r="H3078" t="s">
        <v>38</v>
      </c>
      <c r="I3078" t="s">
        <v>29</v>
      </c>
      <c r="J3078" t="s">
        <v>30</v>
      </c>
      <c r="K3078" s="2">
        <v>5500</v>
      </c>
      <c r="L3078" s="2">
        <v>743000</v>
      </c>
      <c r="M3078">
        <v>240</v>
      </c>
      <c r="N3078" s="3">
        <v>1.097</v>
      </c>
      <c r="O3078" t="s">
        <v>17</v>
      </c>
      <c r="P3078" t="s">
        <v>53</v>
      </c>
      <c r="Q3078">
        <v>0</v>
      </c>
      <c r="R3078">
        <v>1</v>
      </c>
      <c r="S3078" s="2">
        <v>0</v>
      </c>
      <c r="T3078" s="4"/>
      <c r="U3078">
        <v>17</v>
      </c>
      <c r="V3078">
        <v>0</v>
      </c>
      <c r="W3078">
        <v>1</v>
      </c>
    </row>
    <row r="3079" spans="1:23" ht="16.5" x14ac:dyDescent="0.3">
      <c r="A3079" t="s">
        <v>3143</v>
      </c>
      <c r="B3079" s="1">
        <v>45740</v>
      </c>
      <c r="C3079">
        <v>2025</v>
      </c>
      <c r="D3079" t="s">
        <v>24</v>
      </c>
      <c r="E3079" t="s">
        <v>460</v>
      </c>
      <c r="F3079" t="s">
        <v>41</v>
      </c>
      <c r="G3079" t="s">
        <v>45</v>
      </c>
      <c r="H3079" t="s">
        <v>38</v>
      </c>
      <c r="I3079" t="s">
        <v>39</v>
      </c>
      <c r="J3079" t="s">
        <v>35</v>
      </c>
      <c r="K3079" s="2">
        <v>4600</v>
      </c>
      <c r="L3079" s="2">
        <v>100500</v>
      </c>
      <c r="M3079">
        <v>12</v>
      </c>
      <c r="N3079" s="3">
        <v>2.09</v>
      </c>
      <c r="O3079" t="s">
        <v>17</v>
      </c>
      <c r="P3079" t="s">
        <v>53</v>
      </c>
      <c r="Q3079">
        <v>0</v>
      </c>
      <c r="R3079">
        <v>1</v>
      </c>
      <c r="S3079" s="2">
        <v>0</v>
      </c>
      <c r="T3079" s="4"/>
      <c r="U3079">
        <v>8</v>
      </c>
      <c r="V3079">
        <v>1</v>
      </c>
      <c r="W3079">
        <v>1</v>
      </c>
    </row>
    <row r="3080" spans="1:23" ht="16.5" x14ac:dyDescent="0.3">
      <c r="A3080" t="s">
        <v>3144</v>
      </c>
      <c r="B3080" s="1">
        <v>45740</v>
      </c>
      <c r="C3080">
        <v>2025</v>
      </c>
      <c r="D3080" t="s">
        <v>24</v>
      </c>
      <c r="E3080" t="s">
        <v>460</v>
      </c>
      <c r="F3080" t="s">
        <v>37</v>
      </c>
      <c r="G3080" t="s">
        <v>45</v>
      </c>
      <c r="H3080" t="s">
        <v>55</v>
      </c>
      <c r="I3080" t="s">
        <v>29</v>
      </c>
      <c r="J3080" t="s">
        <v>30</v>
      </c>
      <c r="K3080" s="2">
        <v>8950</v>
      </c>
      <c r="L3080" s="2">
        <v>10500</v>
      </c>
      <c r="M3080">
        <v>24</v>
      </c>
      <c r="N3080" s="3">
        <v>0.252</v>
      </c>
      <c r="O3080" t="s">
        <v>17</v>
      </c>
      <c r="P3080" t="s">
        <v>31</v>
      </c>
      <c r="Q3080">
        <v>0</v>
      </c>
      <c r="R3080">
        <v>1</v>
      </c>
      <c r="S3080" s="2">
        <v>0</v>
      </c>
      <c r="T3080" s="4"/>
      <c r="U3080">
        <v>1</v>
      </c>
      <c r="V3080">
        <v>1</v>
      </c>
      <c r="W3080">
        <v>1</v>
      </c>
    </row>
    <row r="3081" spans="1:23" ht="16.5" x14ac:dyDescent="0.3">
      <c r="A3081" t="s">
        <v>3145</v>
      </c>
      <c r="B3081" s="1">
        <v>45740</v>
      </c>
      <c r="C3081">
        <v>2025</v>
      </c>
      <c r="D3081" t="s">
        <v>24</v>
      </c>
      <c r="E3081" t="s">
        <v>460</v>
      </c>
      <c r="F3081" t="s">
        <v>37</v>
      </c>
      <c r="G3081" t="s">
        <v>33</v>
      </c>
      <c r="H3081" t="s">
        <v>55</v>
      </c>
      <c r="I3081" t="s">
        <v>29</v>
      </c>
      <c r="J3081" t="s">
        <v>46</v>
      </c>
      <c r="K3081" s="2">
        <v>5550</v>
      </c>
      <c r="L3081" s="2">
        <v>19000</v>
      </c>
      <c r="M3081">
        <v>24</v>
      </c>
      <c r="N3081" s="3">
        <v>0.379</v>
      </c>
      <c r="O3081" t="s">
        <v>16</v>
      </c>
      <c r="Q3081">
        <v>1</v>
      </c>
      <c r="R3081">
        <v>0</v>
      </c>
      <c r="S3081" s="2">
        <v>19000</v>
      </c>
      <c r="T3081" s="4">
        <v>0.11269999999999999</v>
      </c>
      <c r="U3081">
        <v>3</v>
      </c>
      <c r="V3081">
        <v>1</v>
      </c>
      <c r="W3081">
        <v>1</v>
      </c>
    </row>
    <row r="3082" spans="1:23" ht="16.5" x14ac:dyDescent="0.3">
      <c r="A3082" t="s">
        <v>3146</v>
      </c>
      <c r="B3082" s="1">
        <v>45740</v>
      </c>
      <c r="C3082">
        <v>2025</v>
      </c>
      <c r="D3082" t="s">
        <v>24</v>
      </c>
      <c r="E3082" t="s">
        <v>460</v>
      </c>
      <c r="F3082" t="s">
        <v>26</v>
      </c>
      <c r="G3082" t="s">
        <v>51</v>
      </c>
      <c r="H3082" t="s">
        <v>38</v>
      </c>
      <c r="I3082" t="s">
        <v>42</v>
      </c>
      <c r="J3082" t="s">
        <v>35</v>
      </c>
      <c r="K3082" s="2">
        <v>5450</v>
      </c>
      <c r="L3082" s="2">
        <v>46500</v>
      </c>
      <c r="M3082">
        <v>60</v>
      </c>
      <c r="N3082" s="3">
        <v>0.34100000000000003</v>
      </c>
      <c r="O3082" t="s">
        <v>17</v>
      </c>
      <c r="P3082" t="s">
        <v>65</v>
      </c>
      <c r="Q3082">
        <v>0</v>
      </c>
      <c r="R3082">
        <v>1</v>
      </c>
      <c r="S3082" s="2">
        <v>0</v>
      </c>
      <c r="T3082" s="4"/>
      <c r="U3082">
        <v>12</v>
      </c>
      <c r="V3082">
        <v>0</v>
      </c>
      <c r="W3082">
        <v>1</v>
      </c>
    </row>
    <row r="3083" spans="1:23" ht="16.5" x14ac:dyDescent="0.3">
      <c r="A3083" t="s">
        <v>3147</v>
      </c>
      <c r="B3083" s="1">
        <v>45740</v>
      </c>
      <c r="C3083">
        <v>2025</v>
      </c>
      <c r="D3083" t="s">
        <v>24</v>
      </c>
      <c r="E3083" t="s">
        <v>460</v>
      </c>
      <c r="F3083" t="s">
        <v>41</v>
      </c>
      <c r="G3083" t="s">
        <v>45</v>
      </c>
      <c r="H3083" t="s">
        <v>55</v>
      </c>
      <c r="I3083" t="s">
        <v>29</v>
      </c>
      <c r="J3083" t="s">
        <v>52</v>
      </c>
      <c r="K3083" s="2">
        <v>5550</v>
      </c>
      <c r="L3083" s="2">
        <v>58500</v>
      </c>
      <c r="M3083">
        <v>60</v>
      </c>
      <c r="N3083" s="3">
        <v>0.34399999999999997</v>
      </c>
      <c r="O3083" t="s">
        <v>17</v>
      </c>
      <c r="P3083" t="s">
        <v>65</v>
      </c>
      <c r="Q3083">
        <v>0</v>
      </c>
      <c r="R3083">
        <v>1</v>
      </c>
      <c r="S3083" s="2">
        <v>0</v>
      </c>
      <c r="T3083" s="4"/>
      <c r="U3083">
        <v>4</v>
      </c>
      <c r="V3083">
        <v>1</v>
      </c>
      <c r="W3083">
        <v>1</v>
      </c>
    </row>
    <row r="3084" spans="1:23" ht="16.5" x14ac:dyDescent="0.3">
      <c r="A3084" t="s">
        <v>3148</v>
      </c>
      <c r="B3084" s="1">
        <v>45740</v>
      </c>
      <c r="C3084">
        <v>2025</v>
      </c>
      <c r="D3084" t="s">
        <v>24</v>
      </c>
      <c r="E3084" t="s">
        <v>460</v>
      </c>
      <c r="F3084" t="s">
        <v>26</v>
      </c>
      <c r="G3084" t="s">
        <v>33</v>
      </c>
      <c r="H3084" t="s">
        <v>38</v>
      </c>
      <c r="I3084" t="s">
        <v>29</v>
      </c>
      <c r="J3084" t="s">
        <v>52</v>
      </c>
      <c r="K3084" s="2">
        <v>10700</v>
      </c>
      <c r="L3084" s="2">
        <v>26000</v>
      </c>
      <c r="M3084">
        <v>60</v>
      </c>
      <c r="N3084" s="3">
        <v>0.224</v>
      </c>
      <c r="O3084" t="s">
        <v>16</v>
      </c>
      <c r="Q3084">
        <v>1</v>
      </c>
      <c r="R3084">
        <v>0</v>
      </c>
      <c r="S3084" s="2">
        <v>26000</v>
      </c>
      <c r="T3084" s="4">
        <v>7.2800000000000004E-2</v>
      </c>
      <c r="U3084">
        <v>4</v>
      </c>
      <c r="V3084">
        <v>1</v>
      </c>
      <c r="W3084">
        <v>1</v>
      </c>
    </row>
    <row r="3085" spans="1:23" ht="16.5" x14ac:dyDescent="0.3">
      <c r="A3085" t="s">
        <v>3149</v>
      </c>
      <c r="B3085" s="1">
        <v>45740</v>
      </c>
      <c r="C3085">
        <v>2025</v>
      </c>
      <c r="D3085" t="s">
        <v>24</v>
      </c>
      <c r="E3085" t="s">
        <v>460</v>
      </c>
      <c r="F3085" t="s">
        <v>41</v>
      </c>
      <c r="G3085" t="s">
        <v>45</v>
      </c>
      <c r="H3085" t="s">
        <v>34</v>
      </c>
      <c r="I3085" t="s">
        <v>42</v>
      </c>
      <c r="J3085" t="s">
        <v>46</v>
      </c>
      <c r="K3085" s="2">
        <v>6700</v>
      </c>
      <c r="L3085" s="2">
        <v>83000</v>
      </c>
      <c r="M3085">
        <v>60</v>
      </c>
      <c r="N3085" s="3">
        <v>0.41299999999999998</v>
      </c>
      <c r="O3085" t="s">
        <v>16</v>
      </c>
      <c r="Q3085">
        <v>1</v>
      </c>
      <c r="R3085">
        <v>0</v>
      </c>
      <c r="S3085" s="2">
        <v>83000</v>
      </c>
      <c r="T3085" s="4">
        <v>9.1200000000000003E-2</v>
      </c>
      <c r="U3085">
        <v>6</v>
      </c>
      <c r="V3085">
        <v>1</v>
      </c>
      <c r="W3085">
        <v>1</v>
      </c>
    </row>
    <row r="3086" spans="1:23" ht="16.5" x14ac:dyDescent="0.3">
      <c r="A3086" t="s">
        <v>3150</v>
      </c>
      <c r="B3086" s="1">
        <v>45740</v>
      </c>
      <c r="C3086">
        <v>2025</v>
      </c>
      <c r="D3086" t="s">
        <v>24</v>
      </c>
      <c r="E3086" t="s">
        <v>460</v>
      </c>
      <c r="F3086" t="s">
        <v>37</v>
      </c>
      <c r="G3086" t="s">
        <v>27</v>
      </c>
      <c r="H3086" t="s">
        <v>28</v>
      </c>
      <c r="I3086" t="s">
        <v>42</v>
      </c>
      <c r="J3086" t="s">
        <v>30</v>
      </c>
      <c r="K3086" s="2">
        <v>11000</v>
      </c>
      <c r="L3086" s="2">
        <v>7000</v>
      </c>
      <c r="M3086">
        <v>24</v>
      </c>
      <c r="N3086" s="3">
        <v>0.24299999999999999</v>
      </c>
      <c r="O3086" t="s">
        <v>17</v>
      </c>
      <c r="P3086" t="s">
        <v>65</v>
      </c>
      <c r="Q3086">
        <v>0</v>
      </c>
      <c r="R3086">
        <v>1</v>
      </c>
      <c r="S3086" s="2">
        <v>0</v>
      </c>
      <c r="T3086" s="4"/>
      <c r="U3086">
        <v>6</v>
      </c>
      <c r="V3086">
        <v>0</v>
      </c>
      <c r="W3086">
        <v>1</v>
      </c>
    </row>
    <row r="3087" spans="1:23" ht="16.5" x14ac:dyDescent="0.3">
      <c r="A3087" t="s">
        <v>3151</v>
      </c>
      <c r="B3087" s="1">
        <v>45741</v>
      </c>
      <c r="C3087">
        <v>2025</v>
      </c>
      <c r="D3087" t="s">
        <v>24</v>
      </c>
      <c r="E3087" t="s">
        <v>460</v>
      </c>
      <c r="F3087" t="s">
        <v>26</v>
      </c>
      <c r="G3087" t="s">
        <v>27</v>
      </c>
      <c r="H3087" t="s">
        <v>34</v>
      </c>
      <c r="I3087" t="s">
        <v>29</v>
      </c>
      <c r="J3087" t="s">
        <v>35</v>
      </c>
      <c r="K3087" s="2">
        <v>7200</v>
      </c>
      <c r="L3087" s="2">
        <v>21000</v>
      </c>
      <c r="M3087">
        <v>60</v>
      </c>
      <c r="N3087" s="3">
        <v>0.16</v>
      </c>
      <c r="O3087" t="s">
        <v>16</v>
      </c>
      <c r="Q3087">
        <v>1</v>
      </c>
      <c r="R3087">
        <v>0</v>
      </c>
      <c r="S3087" s="2">
        <v>21000</v>
      </c>
      <c r="T3087" s="4">
        <v>8.0699999999999994E-2</v>
      </c>
      <c r="U3087">
        <v>4</v>
      </c>
      <c r="V3087">
        <v>1</v>
      </c>
      <c r="W3087">
        <v>1</v>
      </c>
    </row>
    <row r="3088" spans="1:23" ht="16.5" x14ac:dyDescent="0.3">
      <c r="A3088" t="s">
        <v>3152</v>
      </c>
      <c r="B3088" s="1">
        <v>45741</v>
      </c>
      <c r="C3088">
        <v>2025</v>
      </c>
      <c r="D3088" t="s">
        <v>24</v>
      </c>
      <c r="E3088" t="s">
        <v>460</v>
      </c>
      <c r="F3088" t="s">
        <v>37</v>
      </c>
      <c r="G3088" t="s">
        <v>27</v>
      </c>
      <c r="H3088" t="s">
        <v>34</v>
      </c>
      <c r="I3088" t="s">
        <v>39</v>
      </c>
      <c r="J3088" t="s">
        <v>30</v>
      </c>
      <c r="K3088" s="2">
        <v>6700</v>
      </c>
      <c r="L3088" s="2">
        <v>12000</v>
      </c>
      <c r="M3088">
        <v>48</v>
      </c>
      <c r="N3088" s="3">
        <v>0.14399999999999999</v>
      </c>
      <c r="O3088" t="s">
        <v>16</v>
      </c>
      <c r="Q3088">
        <v>1</v>
      </c>
      <c r="R3088">
        <v>0</v>
      </c>
      <c r="S3088" s="2">
        <v>9500</v>
      </c>
      <c r="T3088" s="4">
        <v>0.1399</v>
      </c>
      <c r="U3088">
        <v>3</v>
      </c>
      <c r="V3088">
        <v>1</v>
      </c>
      <c r="W3088">
        <v>1</v>
      </c>
    </row>
    <row r="3089" spans="1:23" ht="16.5" x14ac:dyDescent="0.3">
      <c r="A3089" t="s">
        <v>3153</v>
      </c>
      <c r="B3089" s="1">
        <v>45741</v>
      </c>
      <c r="C3089">
        <v>2025</v>
      </c>
      <c r="D3089" t="s">
        <v>24</v>
      </c>
      <c r="E3089" t="s">
        <v>460</v>
      </c>
      <c r="F3089" t="s">
        <v>37</v>
      </c>
      <c r="G3089" t="s">
        <v>45</v>
      </c>
      <c r="H3089" t="s">
        <v>38</v>
      </c>
      <c r="I3089" t="s">
        <v>39</v>
      </c>
      <c r="J3089" t="s">
        <v>30</v>
      </c>
      <c r="K3089" s="2">
        <v>4350</v>
      </c>
      <c r="L3089" s="2">
        <v>11500</v>
      </c>
      <c r="M3089">
        <v>12</v>
      </c>
      <c r="N3089" s="3">
        <v>0.32900000000000001</v>
      </c>
      <c r="O3089" t="s">
        <v>16</v>
      </c>
      <c r="Q3089">
        <v>1</v>
      </c>
      <c r="R3089">
        <v>0</v>
      </c>
      <c r="S3089" s="2">
        <v>11500</v>
      </c>
      <c r="T3089" s="4">
        <v>0.1381</v>
      </c>
      <c r="U3089">
        <v>1</v>
      </c>
      <c r="V3089">
        <v>1</v>
      </c>
      <c r="W3089">
        <v>1</v>
      </c>
    </row>
    <row r="3090" spans="1:23" ht="16.5" x14ac:dyDescent="0.3">
      <c r="A3090" t="s">
        <v>3154</v>
      </c>
      <c r="B3090" s="1">
        <v>45741</v>
      </c>
      <c r="C3090">
        <v>2025</v>
      </c>
      <c r="D3090" t="s">
        <v>24</v>
      </c>
      <c r="E3090" t="s">
        <v>460</v>
      </c>
      <c r="F3090" t="s">
        <v>50</v>
      </c>
      <c r="G3090" t="s">
        <v>27</v>
      </c>
      <c r="H3090" t="s">
        <v>55</v>
      </c>
      <c r="I3090" t="s">
        <v>29</v>
      </c>
      <c r="J3090" t="s">
        <v>52</v>
      </c>
      <c r="K3090" s="2">
        <v>3200</v>
      </c>
      <c r="L3090" s="2">
        <v>334500</v>
      </c>
      <c r="M3090">
        <v>180</v>
      </c>
      <c r="N3090" s="3">
        <v>0.95299999999999996</v>
      </c>
      <c r="O3090" t="s">
        <v>17</v>
      </c>
      <c r="P3090" t="s">
        <v>53</v>
      </c>
      <c r="Q3090">
        <v>0</v>
      </c>
      <c r="R3090">
        <v>1</v>
      </c>
      <c r="S3090" s="2">
        <v>0</v>
      </c>
      <c r="T3090" s="4"/>
      <c r="U3090">
        <v>27</v>
      </c>
      <c r="V3090">
        <v>0</v>
      </c>
      <c r="W3090">
        <v>1</v>
      </c>
    </row>
    <row r="3091" spans="1:23" ht="16.5" x14ac:dyDescent="0.3">
      <c r="A3091" t="s">
        <v>3155</v>
      </c>
      <c r="B3091" s="1">
        <v>45741</v>
      </c>
      <c r="C3091">
        <v>2025</v>
      </c>
      <c r="D3091" t="s">
        <v>24</v>
      </c>
      <c r="E3091" t="s">
        <v>460</v>
      </c>
      <c r="F3091" t="s">
        <v>37</v>
      </c>
      <c r="G3091" t="s">
        <v>27</v>
      </c>
      <c r="H3091" t="s">
        <v>34</v>
      </c>
      <c r="I3091" t="s">
        <v>39</v>
      </c>
      <c r="J3091" t="s">
        <v>52</v>
      </c>
      <c r="K3091" s="2">
        <v>4750</v>
      </c>
      <c r="L3091" s="2">
        <v>12500</v>
      </c>
      <c r="M3091">
        <v>48</v>
      </c>
      <c r="N3091" s="3">
        <v>0.19</v>
      </c>
      <c r="O3091" t="s">
        <v>16</v>
      </c>
      <c r="Q3091">
        <v>1</v>
      </c>
      <c r="R3091">
        <v>0</v>
      </c>
      <c r="S3091" s="2">
        <v>10000</v>
      </c>
      <c r="T3091" s="4">
        <v>0.11990000000000001</v>
      </c>
      <c r="U3091">
        <v>3</v>
      </c>
      <c r="V3091">
        <v>1</v>
      </c>
      <c r="W3091">
        <v>1</v>
      </c>
    </row>
    <row r="3092" spans="1:23" ht="16.5" x14ac:dyDescent="0.3">
      <c r="A3092" t="s">
        <v>3156</v>
      </c>
      <c r="B3092" s="1">
        <v>45741</v>
      </c>
      <c r="C3092">
        <v>2025</v>
      </c>
      <c r="D3092" t="s">
        <v>24</v>
      </c>
      <c r="E3092" t="s">
        <v>460</v>
      </c>
      <c r="F3092" t="s">
        <v>41</v>
      </c>
      <c r="G3092" t="s">
        <v>27</v>
      </c>
      <c r="H3092" t="s">
        <v>55</v>
      </c>
      <c r="I3092" t="s">
        <v>29</v>
      </c>
      <c r="J3092" t="s">
        <v>30</v>
      </c>
      <c r="K3092" s="2">
        <v>3400</v>
      </c>
      <c r="L3092" s="2">
        <v>53000</v>
      </c>
      <c r="M3092">
        <v>24</v>
      </c>
      <c r="N3092" s="3">
        <v>0.8</v>
      </c>
      <c r="O3092" t="s">
        <v>17</v>
      </c>
      <c r="P3092" t="s">
        <v>53</v>
      </c>
      <c r="Q3092">
        <v>0</v>
      </c>
      <c r="R3092">
        <v>1</v>
      </c>
      <c r="S3092" s="2">
        <v>0</v>
      </c>
      <c r="T3092" s="4"/>
      <c r="U3092">
        <v>10</v>
      </c>
      <c r="V3092">
        <v>1</v>
      </c>
      <c r="W3092">
        <v>1</v>
      </c>
    </row>
    <row r="3093" spans="1:23" ht="16.5" x14ac:dyDescent="0.3">
      <c r="A3093" t="s">
        <v>3157</v>
      </c>
      <c r="B3093" s="1">
        <v>45741</v>
      </c>
      <c r="C3093">
        <v>2025</v>
      </c>
      <c r="D3093" t="s">
        <v>24</v>
      </c>
      <c r="E3093" t="s">
        <v>460</v>
      </c>
      <c r="F3093" t="s">
        <v>37</v>
      </c>
      <c r="G3093" t="s">
        <v>27</v>
      </c>
      <c r="H3093" t="s">
        <v>38</v>
      </c>
      <c r="I3093" t="s">
        <v>42</v>
      </c>
      <c r="J3093" t="s">
        <v>52</v>
      </c>
      <c r="K3093" s="2">
        <v>14000</v>
      </c>
      <c r="L3093" s="2">
        <v>8000</v>
      </c>
      <c r="M3093">
        <v>48</v>
      </c>
      <c r="N3093" s="3">
        <v>0.20599999999999999</v>
      </c>
      <c r="O3093" t="s">
        <v>125</v>
      </c>
      <c r="Q3093">
        <v>0</v>
      </c>
      <c r="R3093">
        <v>0</v>
      </c>
      <c r="S3093" s="2">
        <v>0</v>
      </c>
      <c r="T3093" s="4"/>
      <c r="U3093">
        <v>8</v>
      </c>
      <c r="V3093">
        <v>0</v>
      </c>
      <c r="W3093">
        <v>1</v>
      </c>
    </row>
    <row r="3094" spans="1:23" ht="16.5" x14ac:dyDescent="0.3">
      <c r="A3094" t="s">
        <v>3158</v>
      </c>
      <c r="B3094" s="1">
        <v>45741</v>
      </c>
      <c r="C3094">
        <v>2025</v>
      </c>
      <c r="D3094" t="s">
        <v>24</v>
      </c>
      <c r="E3094" t="s">
        <v>460</v>
      </c>
      <c r="F3094" t="s">
        <v>37</v>
      </c>
      <c r="G3094" t="s">
        <v>33</v>
      </c>
      <c r="H3094" t="s">
        <v>38</v>
      </c>
      <c r="I3094" t="s">
        <v>29</v>
      </c>
      <c r="J3094" t="s">
        <v>52</v>
      </c>
      <c r="K3094" s="2">
        <v>8100</v>
      </c>
      <c r="L3094" s="2">
        <v>12000</v>
      </c>
      <c r="M3094">
        <v>24</v>
      </c>
      <c r="N3094" s="3">
        <v>0.27500000000000002</v>
      </c>
      <c r="O3094" t="s">
        <v>17</v>
      </c>
      <c r="P3094" t="s">
        <v>60</v>
      </c>
      <c r="Q3094">
        <v>0</v>
      </c>
      <c r="R3094">
        <v>1</v>
      </c>
      <c r="S3094" s="2">
        <v>0</v>
      </c>
      <c r="T3094" s="4"/>
      <c r="U3094">
        <v>6</v>
      </c>
      <c r="V3094">
        <v>0</v>
      </c>
      <c r="W3094">
        <v>1</v>
      </c>
    </row>
    <row r="3095" spans="1:23" ht="16.5" x14ac:dyDescent="0.3">
      <c r="A3095" t="s">
        <v>3159</v>
      </c>
      <c r="B3095" s="1">
        <v>45741</v>
      </c>
      <c r="C3095">
        <v>2025</v>
      </c>
      <c r="D3095" t="s">
        <v>24</v>
      </c>
      <c r="E3095" t="s">
        <v>460</v>
      </c>
      <c r="F3095" t="s">
        <v>37</v>
      </c>
      <c r="G3095" t="s">
        <v>51</v>
      </c>
      <c r="H3095" t="s">
        <v>38</v>
      </c>
      <c r="I3095" t="s">
        <v>29</v>
      </c>
      <c r="J3095" t="s">
        <v>35</v>
      </c>
      <c r="K3095" s="2">
        <v>5650</v>
      </c>
      <c r="L3095" s="2">
        <v>10500</v>
      </c>
      <c r="M3095">
        <v>24</v>
      </c>
      <c r="N3095" s="3">
        <v>0.33200000000000002</v>
      </c>
      <c r="O3095" t="s">
        <v>16</v>
      </c>
      <c r="Q3095">
        <v>1</v>
      </c>
      <c r="R3095">
        <v>0</v>
      </c>
      <c r="S3095" s="2">
        <v>10500</v>
      </c>
      <c r="T3095" s="4">
        <v>0.1244</v>
      </c>
      <c r="U3095">
        <v>8</v>
      </c>
      <c r="V3095">
        <v>0</v>
      </c>
      <c r="W3095">
        <v>1</v>
      </c>
    </row>
    <row r="3096" spans="1:23" ht="16.5" x14ac:dyDescent="0.3">
      <c r="A3096" t="s">
        <v>3160</v>
      </c>
      <c r="B3096" s="1">
        <v>45741</v>
      </c>
      <c r="C3096">
        <v>2025</v>
      </c>
      <c r="D3096" t="s">
        <v>24</v>
      </c>
      <c r="E3096" t="s">
        <v>460</v>
      </c>
      <c r="F3096" t="s">
        <v>41</v>
      </c>
      <c r="G3096" t="s">
        <v>33</v>
      </c>
      <c r="H3096" t="s">
        <v>55</v>
      </c>
      <c r="I3096" t="s">
        <v>42</v>
      </c>
      <c r="J3096" t="s">
        <v>35</v>
      </c>
      <c r="K3096" s="2">
        <v>6550</v>
      </c>
      <c r="L3096" s="2">
        <v>63000</v>
      </c>
      <c r="M3096">
        <v>60</v>
      </c>
      <c r="N3096" s="3">
        <v>0.28599999999999998</v>
      </c>
      <c r="O3096" t="s">
        <v>17</v>
      </c>
      <c r="P3096" t="s">
        <v>65</v>
      </c>
      <c r="Q3096">
        <v>0</v>
      </c>
      <c r="R3096">
        <v>1</v>
      </c>
      <c r="S3096" s="2">
        <v>0</v>
      </c>
      <c r="T3096" s="4"/>
      <c r="U3096">
        <v>4</v>
      </c>
      <c r="V3096">
        <v>1</v>
      </c>
      <c r="W3096">
        <v>1</v>
      </c>
    </row>
    <row r="3097" spans="1:23" ht="16.5" x14ac:dyDescent="0.3">
      <c r="A3097" t="s">
        <v>3161</v>
      </c>
      <c r="B3097" s="1">
        <v>45741</v>
      </c>
      <c r="C3097">
        <v>2025</v>
      </c>
      <c r="D3097" t="s">
        <v>24</v>
      </c>
      <c r="E3097" t="s">
        <v>460</v>
      </c>
      <c r="F3097" t="s">
        <v>41</v>
      </c>
      <c r="G3097" t="s">
        <v>27</v>
      </c>
      <c r="H3097" t="s">
        <v>38</v>
      </c>
      <c r="I3097" t="s">
        <v>39</v>
      </c>
      <c r="J3097" t="s">
        <v>35</v>
      </c>
      <c r="K3097" s="2">
        <v>3900</v>
      </c>
      <c r="L3097" s="2">
        <v>80000</v>
      </c>
      <c r="M3097">
        <v>60</v>
      </c>
      <c r="N3097" s="3">
        <v>0.55400000000000005</v>
      </c>
      <c r="O3097" t="s">
        <v>17</v>
      </c>
      <c r="P3097" t="s">
        <v>53</v>
      </c>
      <c r="Q3097">
        <v>0</v>
      </c>
      <c r="R3097">
        <v>1</v>
      </c>
      <c r="S3097" s="2">
        <v>0</v>
      </c>
      <c r="T3097" s="4"/>
      <c r="U3097">
        <v>10</v>
      </c>
      <c r="V3097">
        <v>1</v>
      </c>
      <c r="W3097">
        <v>1</v>
      </c>
    </row>
    <row r="3098" spans="1:23" ht="16.5" x14ac:dyDescent="0.3">
      <c r="A3098" t="s">
        <v>3162</v>
      </c>
      <c r="B3098" s="1">
        <v>45742</v>
      </c>
      <c r="C3098">
        <v>2025</v>
      </c>
      <c r="D3098" t="s">
        <v>24</v>
      </c>
      <c r="E3098" t="s">
        <v>460</v>
      </c>
      <c r="F3098" t="s">
        <v>41</v>
      </c>
      <c r="G3098" t="s">
        <v>27</v>
      </c>
      <c r="H3098" t="s">
        <v>55</v>
      </c>
      <c r="I3098" t="s">
        <v>42</v>
      </c>
      <c r="J3098" t="s">
        <v>52</v>
      </c>
      <c r="K3098" s="2">
        <v>5200</v>
      </c>
      <c r="L3098" s="2">
        <v>68500</v>
      </c>
      <c r="M3098">
        <v>36</v>
      </c>
      <c r="N3098" s="3">
        <v>0.622</v>
      </c>
      <c r="O3098" t="s">
        <v>17</v>
      </c>
      <c r="P3098" t="s">
        <v>60</v>
      </c>
      <c r="Q3098">
        <v>0</v>
      </c>
      <c r="R3098">
        <v>1</v>
      </c>
      <c r="S3098" s="2">
        <v>0</v>
      </c>
      <c r="T3098" s="4"/>
      <c r="U3098">
        <v>12</v>
      </c>
      <c r="V3098">
        <v>0</v>
      </c>
      <c r="W3098">
        <v>1</v>
      </c>
    </row>
    <row r="3099" spans="1:23" ht="16.5" x14ac:dyDescent="0.3">
      <c r="A3099" t="s">
        <v>3163</v>
      </c>
      <c r="B3099" s="1">
        <v>45742</v>
      </c>
      <c r="C3099">
        <v>2025</v>
      </c>
      <c r="D3099" t="s">
        <v>24</v>
      </c>
      <c r="E3099" t="s">
        <v>460</v>
      </c>
      <c r="F3099" t="s">
        <v>37</v>
      </c>
      <c r="G3099" t="s">
        <v>27</v>
      </c>
      <c r="H3099" t="s">
        <v>38</v>
      </c>
      <c r="I3099" t="s">
        <v>39</v>
      </c>
      <c r="J3099" t="s">
        <v>30</v>
      </c>
      <c r="K3099" s="2">
        <v>2800</v>
      </c>
      <c r="L3099" s="2">
        <v>6000</v>
      </c>
      <c r="M3099">
        <v>60</v>
      </c>
      <c r="N3099" s="3">
        <v>0.115</v>
      </c>
      <c r="O3099" t="s">
        <v>17</v>
      </c>
      <c r="P3099" t="s">
        <v>60</v>
      </c>
      <c r="Q3099">
        <v>0</v>
      </c>
      <c r="R3099">
        <v>1</v>
      </c>
      <c r="S3099" s="2">
        <v>0</v>
      </c>
      <c r="T3099" s="4"/>
      <c r="U3099">
        <v>8</v>
      </c>
      <c r="V3099">
        <v>0</v>
      </c>
      <c r="W3099">
        <v>1</v>
      </c>
    </row>
    <row r="3100" spans="1:23" ht="16.5" x14ac:dyDescent="0.3">
      <c r="A3100" t="s">
        <v>3164</v>
      </c>
      <c r="B3100" s="1">
        <v>45742</v>
      </c>
      <c r="C3100">
        <v>2025</v>
      </c>
      <c r="D3100" t="s">
        <v>24</v>
      </c>
      <c r="E3100" t="s">
        <v>460</v>
      </c>
      <c r="F3100" t="s">
        <v>26</v>
      </c>
      <c r="G3100" t="s">
        <v>45</v>
      </c>
      <c r="H3100" t="s">
        <v>34</v>
      </c>
      <c r="I3100" t="s">
        <v>39</v>
      </c>
      <c r="J3100" t="s">
        <v>52</v>
      </c>
      <c r="K3100" s="2">
        <v>2550</v>
      </c>
      <c r="L3100" s="2">
        <v>27000</v>
      </c>
      <c r="M3100">
        <v>36</v>
      </c>
      <c r="N3100" s="3">
        <v>0.45600000000000002</v>
      </c>
      <c r="O3100" t="s">
        <v>16</v>
      </c>
      <c r="Q3100">
        <v>1</v>
      </c>
      <c r="R3100">
        <v>0</v>
      </c>
      <c r="S3100" s="2">
        <v>24500</v>
      </c>
      <c r="T3100" s="4">
        <v>7.1499999999999994E-2</v>
      </c>
      <c r="U3100">
        <v>5</v>
      </c>
      <c r="V3100">
        <v>0</v>
      </c>
      <c r="W3100">
        <v>1</v>
      </c>
    </row>
    <row r="3101" spans="1:23" ht="16.5" x14ac:dyDescent="0.3">
      <c r="A3101" t="s">
        <v>3165</v>
      </c>
      <c r="B3101" s="1">
        <v>45742</v>
      </c>
      <c r="C3101">
        <v>2025</v>
      </c>
      <c r="D3101" t="s">
        <v>24</v>
      </c>
      <c r="E3101" t="s">
        <v>460</v>
      </c>
      <c r="F3101" t="s">
        <v>26</v>
      </c>
      <c r="G3101" t="s">
        <v>27</v>
      </c>
      <c r="H3101" t="s">
        <v>34</v>
      </c>
      <c r="I3101" t="s">
        <v>39</v>
      </c>
      <c r="J3101" t="s">
        <v>35</v>
      </c>
      <c r="K3101" s="2">
        <v>4900</v>
      </c>
      <c r="L3101" s="2">
        <v>37500</v>
      </c>
      <c r="M3101">
        <v>60</v>
      </c>
      <c r="N3101" s="3">
        <v>0.21299999999999999</v>
      </c>
      <c r="O3101" t="s">
        <v>16</v>
      </c>
      <c r="Q3101">
        <v>1</v>
      </c>
      <c r="R3101">
        <v>0</v>
      </c>
      <c r="S3101" s="2">
        <v>37500</v>
      </c>
      <c r="T3101" s="4">
        <v>7.9699999999999993E-2</v>
      </c>
      <c r="U3101">
        <v>7</v>
      </c>
      <c r="V3101">
        <v>0</v>
      </c>
      <c r="W3101">
        <v>1</v>
      </c>
    </row>
    <row r="3102" spans="1:23" ht="16.5" x14ac:dyDescent="0.3">
      <c r="A3102" t="s">
        <v>3166</v>
      </c>
      <c r="B3102" s="1">
        <v>45742</v>
      </c>
      <c r="C3102">
        <v>2025</v>
      </c>
      <c r="D3102" t="s">
        <v>24</v>
      </c>
      <c r="E3102" t="s">
        <v>460</v>
      </c>
      <c r="F3102" t="s">
        <v>37</v>
      </c>
      <c r="G3102" t="s">
        <v>51</v>
      </c>
      <c r="H3102" t="s">
        <v>64</v>
      </c>
      <c r="I3102" t="s">
        <v>29</v>
      </c>
      <c r="J3102" t="s">
        <v>46</v>
      </c>
      <c r="K3102" s="2">
        <v>9500</v>
      </c>
      <c r="L3102" s="2">
        <v>8000</v>
      </c>
      <c r="M3102">
        <v>48</v>
      </c>
      <c r="N3102" s="3">
        <v>0.13900000000000001</v>
      </c>
      <c r="O3102" t="s">
        <v>16</v>
      </c>
      <c r="Q3102">
        <v>1</v>
      </c>
      <c r="R3102">
        <v>0</v>
      </c>
      <c r="S3102" s="2">
        <v>8000</v>
      </c>
      <c r="T3102" s="4">
        <v>0.10290000000000001</v>
      </c>
      <c r="U3102">
        <v>7</v>
      </c>
      <c r="V3102">
        <v>0</v>
      </c>
      <c r="W3102">
        <v>1</v>
      </c>
    </row>
    <row r="3103" spans="1:23" ht="16.5" x14ac:dyDescent="0.3">
      <c r="A3103" t="s">
        <v>3167</v>
      </c>
      <c r="B3103" s="1">
        <v>45742</v>
      </c>
      <c r="C3103">
        <v>2025</v>
      </c>
      <c r="D3103" t="s">
        <v>24</v>
      </c>
      <c r="E3103" t="s">
        <v>460</v>
      </c>
      <c r="F3103" t="s">
        <v>26</v>
      </c>
      <c r="G3103" t="s">
        <v>45</v>
      </c>
      <c r="H3103" t="s">
        <v>38</v>
      </c>
      <c r="I3103" t="s">
        <v>42</v>
      </c>
      <c r="J3103" t="s">
        <v>52</v>
      </c>
      <c r="K3103" s="2">
        <v>6750</v>
      </c>
      <c r="L3103" s="2">
        <v>19500</v>
      </c>
      <c r="M3103">
        <v>48</v>
      </c>
      <c r="N3103" s="3">
        <v>0.192</v>
      </c>
      <c r="O3103" t="s">
        <v>16</v>
      </c>
      <c r="Q3103">
        <v>1</v>
      </c>
      <c r="R3103">
        <v>0</v>
      </c>
      <c r="S3103" s="2">
        <v>19500</v>
      </c>
      <c r="T3103" s="4">
        <v>7.2099999999999997E-2</v>
      </c>
      <c r="U3103">
        <v>2</v>
      </c>
      <c r="V3103">
        <v>1</v>
      </c>
      <c r="W3103">
        <v>1</v>
      </c>
    </row>
    <row r="3104" spans="1:23" ht="16.5" x14ac:dyDescent="0.3">
      <c r="A3104" t="s">
        <v>3168</v>
      </c>
      <c r="B3104" s="1">
        <v>45743</v>
      </c>
      <c r="C3104">
        <v>2025</v>
      </c>
      <c r="D3104" t="s">
        <v>24</v>
      </c>
      <c r="E3104" t="s">
        <v>460</v>
      </c>
      <c r="F3104" t="s">
        <v>41</v>
      </c>
      <c r="G3104" t="s">
        <v>27</v>
      </c>
      <c r="H3104" t="s">
        <v>55</v>
      </c>
      <c r="I3104" t="s">
        <v>29</v>
      </c>
      <c r="J3104" t="s">
        <v>46</v>
      </c>
      <c r="K3104" s="2">
        <v>9700</v>
      </c>
      <c r="L3104" s="2">
        <v>59000</v>
      </c>
      <c r="M3104">
        <v>24</v>
      </c>
      <c r="N3104" s="3">
        <v>0.44800000000000001</v>
      </c>
      <c r="O3104" t="s">
        <v>16</v>
      </c>
      <c r="Q3104">
        <v>1</v>
      </c>
      <c r="R3104">
        <v>0</v>
      </c>
      <c r="S3104" s="2">
        <v>53000</v>
      </c>
      <c r="T3104" s="4">
        <v>9.0700000000000003E-2</v>
      </c>
      <c r="U3104">
        <v>9</v>
      </c>
      <c r="V3104">
        <v>1</v>
      </c>
      <c r="W3104">
        <v>1</v>
      </c>
    </row>
    <row r="3105" spans="1:23" ht="16.5" x14ac:dyDescent="0.3">
      <c r="A3105" t="s">
        <v>3169</v>
      </c>
      <c r="B3105" s="1">
        <v>45743</v>
      </c>
      <c r="C3105">
        <v>2025</v>
      </c>
      <c r="D3105" t="s">
        <v>24</v>
      </c>
      <c r="E3105" t="s">
        <v>460</v>
      </c>
      <c r="F3105" t="s">
        <v>37</v>
      </c>
      <c r="G3105" t="s">
        <v>33</v>
      </c>
      <c r="H3105" t="s">
        <v>38</v>
      </c>
      <c r="I3105" t="s">
        <v>29</v>
      </c>
      <c r="J3105" t="s">
        <v>46</v>
      </c>
      <c r="K3105" s="2">
        <v>5550</v>
      </c>
      <c r="L3105" s="2">
        <v>28000</v>
      </c>
      <c r="M3105">
        <v>24</v>
      </c>
      <c r="N3105" s="3">
        <v>0.46700000000000003</v>
      </c>
      <c r="O3105" t="s">
        <v>16</v>
      </c>
      <c r="Q3105">
        <v>1</v>
      </c>
      <c r="R3105">
        <v>0</v>
      </c>
      <c r="S3105" s="2">
        <v>28000</v>
      </c>
      <c r="T3105" s="4">
        <v>0.108</v>
      </c>
      <c r="U3105">
        <v>2</v>
      </c>
      <c r="V3105">
        <v>1</v>
      </c>
      <c r="W3105">
        <v>1</v>
      </c>
    </row>
    <row r="3106" spans="1:23" ht="16.5" x14ac:dyDescent="0.3">
      <c r="A3106" t="s">
        <v>3170</v>
      </c>
      <c r="B3106" s="1">
        <v>45743</v>
      </c>
      <c r="C3106">
        <v>2025</v>
      </c>
      <c r="D3106" t="s">
        <v>24</v>
      </c>
      <c r="E3106" t="s">
        <v>460</v>
      </c>
      <c r="F3106" t="s">
        <v>50</v>
      </c>
      <c r="G3106" t="s">
        <v>33</v>
      </c>
      <c r="H3106" t="s">
        <v>38</v>
      </c>
      <c r="I3106" t="s">
        <v>42</v>
      </c>
      <c r="J3106" t="s">
        <v>52</v>
      </c>
      <c r="K3106" s="2">
        <v>4950</v>
      </c>
      <c r="L3106" s="2">
        <v>283000</v>
      </c>
      <c r="M3106">
        <v>180</v>
      </c>
      <c r="N3106" s="3">
        <v>0.57399999999999995</v>
      </c>
      <c r="O3106" t="s">
        <v>17</v>
      </c>
      <c r="P3106" t="s">
        <v>53</v>
      </c>
      <c r="Q3106">
        <v>0</v>
      </c>
      <c r="R3106">
        <v>1</v>
      </c>
      <c r="S3106" s="2">
        <v>0</v>
      </c>
      <c r="T3106" s="4"/>
      <c r="U3106">
        <v>6</v>
      </c>
      <c r="V3106">
        <v>1</v>
      </c>
      <c r="W3106">
        <v>1</v>
      </c>
    </row>
    <row r="3107" spans="1:23" ht="16.5" x14ac:dyDescent="0.3">
      <c r="A3107" t="s">
        <v>3171</v>
      </c>
      <c r="B3107" s="1">
        <v>45743</v>
      </c>
      <c r="C3107">
        <v>2025</v>
      </c>
      <c r="D3107" t="s">
        <v>24</v>
      </c>
      <c r="E3107" t="s">
        <v>460</v>
      </c>
      <c r="F3107" t="s">
        <v>41</v>
      </c>
      <c r="G3107" t="s">
        <v>45</v>
      </c>
      <c r="H3107" t="s">
        <v>38</v>
      </c>
      <c r="I3107" t="s">
        <v>29</v>
      </c>
      <c r="J3107" t="s">
        <v>52</v>
      </c>
      <c r="K3107" s="2">
        <v>6300</v>
      </c>
      <c r="L3107" s="2">
        <v>220500</v>
      </c>
      <c r="M3107">
        <v>60</v>
      </c>
      <c r="N3107" s="3">
        <v>0.91700000000000004</v>
      </c>
      <c r="O3107" t="s">
        <v>17</v>
      </c>
      <c r="P3107" t="s">
        <v>53</v>
      </c>
      <c r="Q3107">
        <v>0</v>
      </c>
      <c r="R3107">
        <v>1</v>
      </c>
      <c r="S3107" s="2">
        <v>0</v>
      </c>
      <c r="T3107" s="4"/>
      <c r="U3107">
        <v>6</v>
      </c>
      <c r="V3107">
        <v>1</v>
      </c>
      <c r="W3107">
        <v>1</v>
      </c>
    </row>
    <row r="3108" spans="1:23" ht="16.5" x14ac:dyDescent="0.3">
      <c r="A3108" t="s">
        <v>3172</v>
      </c>
      <c r="B3108" s="1">
        <v>45743</v>
      </c>
      <c r="C3108">
        <v>2025</v>
      </c>
      <c r="D3108" t="s">
        <v>24</v>
      </c>
      <c r="E3108" t="s">
        <v>460</v>
      </c>
      <c r="F3108" t="s">
        <v>50</v>
      </c>
      <c r="G3108" t="s">
        <v>51</v>
      </c>
      <c r="H3108" t="s">
        <v>55</v>
      </c>
      <c r="I3108" t="s">
        <v>29</v>
      </c>
      <c r="J3108" t="s">
        <v>35</v>
      </c>
      <c r="K3108" s="2">
        <v>6550</v>
      </c>
      <c r="L3108" s="2">
        <v>140500</v>
      </c>
      <c r="M3108">
        <v>180</v>
      </c>
      <c r="N3108" s="3">
        <v>0.27</v>
      </c>
      <c r="O3108" t="s">
        <v>16</v>
      </c>
      <c r="Q3108">
        <v>1</v>
      </c>
      <c r="R3108">
        <v>0</v>
      </c>
      <c r="S3108" s="2">
        <v>140500</v>
      </c>
      <c r="T3108" s="4">
        <v>5.6099999999999997E-2</v>
      </c>
      <c r="U3108">
        <v>22</v>
      </c>
      <c r="V3108">
        <v>0</v>
      </c>
      <c r="W3108">
        <v>1</v>
      </c>
    </row>
    <row r="3109" spans="1:23" ht="16.5" x14ac:dyDescent="0.3">
      <c r="A3109" t="s">
        <v>3173</v>
      </c>
      <c r="B3109" s="1">
        <v>45744</v>
      </c>
      <c r="C3109">
        <v>2025</v>
      </c>
      <c r="D3109" t="s">
        <v>24</v>
      </c>
      <c r="E3109" t="s">
        <v>460</v>
      </c>
      <c r="F3109" t="s">
        <v>50</v>
      </c>
      <c r="G3109" t="s">
        <v>45</v>
      </c>
      <c r="H3109" t="s">
        <v>38</v>
      </c>
      <c r="I3109" t="s">
        <v>29</v>
      </c>
      <c r="J3109" t="s">
        <v>43</v>
      </c>
      <c r="K3109" s="2">
        <v>3700</v>
      </c>
      <c r="L3109" s="2">
        <v>387000</v>
      </c>
      <c r="M3109">
        <v>240</v>
      </c>
      <c r="N3109" s="3">
        <v>0.76</v>
      </c>
      <c r="O3109" t="s">
        <v>17</v>
      </c>
      <c r="P3109" t="s">
        <v>31</v>
      </c>
      <c r="Q3109">
        <v>0</v>
      </c>
      <c r="R3109">
        <v>1</v>
      </c>
      <c r="S3109" s="2">
        <v>0</v>
      </c>
      <c r="T3109" s="4"/>
      <c r="U3109">
        <v>5</v>
      </c>
      <c r="V3109">
        <v>1</v>
      </c>
      <c r="W3109">
        <v>1</v>
      </c>
    </row>
    <row r="3110" spans="1:23" ht="16.5" x14ac:dyDescent="0.3">
      <c r="A3110" t="s">
        <v>3174</v>
      </c>
      <c r="B3110" s="1">
        <v>45744</v>
      </c>
      <c r="C3110">
        <v>2025</v>
      </c>
      <c r="D3110" t="s">
        <v>24</v>
      </c>
      <c r="E3110" t="s">
        <v>460</v>
      </c>
      <c r="F3110" t="s">
        <v>50</v>
      </c>
      <c r="G3110" t="s">
        <v>51</v>
      </c>
      <c r="H3110" t="s">
        <v>55</v>
      </c>
      <c r="I3110" t="s">
        <v>29</v>
      </c>
      <c r="J3110" t="s">
        <v>52</v>
      </c>
      <c r="K3110" s="2">
        <v>5900</v>
      </c>
      <c r="L3110" s="2">
        <v>254000</v>
      </c>
      <c r="M3110">
        <v>180</v>
      </c>
      <c r="N3110" s="3">
        <v>0.55300000000000005</v>
      </c>
      <c r="O3110" t="s">
        <v>17</v>
      </c>
      <c r="P3110" t="s">
        <v>53</v>
      </c>
      <c r="Q3110">
        <v>0</v>
      </c>
      <c r="R3110">
        <v>1</v>
      </c>
      <c r="S3110" s="2">
        <v>0</v>
      </c>
      <c r="T3110" s="4"/>
      <c r="U3110">
        <v>18</v>
      </c>
      <c r="V3110">
        <v>0</v>
      </c>
      <c r="W3110">
        <v>1</v>
      </c>
    </row>
    <row r="3111" spans="1:23" ht="16.5" x14ac:dyDescent="0.3">
      <c r="A3111" t="s">
        <v>3175</v>
      </c>
      <c r="B3111" s="1">
        <v>45744</v>
      </c>
      <c r="C3111">
        <v>2025</v>
      </c>
      <c r="D3111" t="s">
        <v>24</v>
      </c>
      <c r="E3111" t="s">
        <v>460</v>
      </c>
      <c r="F3111" t="s">
        <v>37</v>
      </c>
      <c r="G3111" t="s">
        <v>45</v>
      </c>
      <c r="H3111" t="s">
        <v>55</v>
      </c>
      <c r="I3111" t="s">
        <v>29</v>
      </c>
      <c r="J3111" t="s">
        <v>30</v>
      </c>
      <c r="K3111" s="2">
        <v>3250</v>
      </c>
      <c r="L3111" s="2">
        <v>10000</v>
      </c>
      <c r="M3111">
        <v>48</v>
      </c>
      <c r="N3111" s="3">
        <v>0.29499999999999998</v>
      </c>
      <c r="O3111" t="s">
        <v>17</v>
      </c>
      <c r="P3111" t="s">
        <v>31</v>
      </c>
      <c r="Q3111">
        <v>0</v>
      </c>
      <c r="R3111">
        <v>1</v>
      </c>
      <c r="S3111" s="2">
        <v>0</v>
      </c>
      <c r="T3111" s="4"/>
      <c r="U3111">
        <v>1</v>
      </c>
      <c r="V3111">
        <v>1</v>
      </c>
      <c r="W3111">
        <v>1</v>
      </c>
    </row>
    <row r="3112" spans="1:23" ht="16.5" x14ac:dyDescent="0.3">
      <c r="A3112" t="s">
        <v>3176</v>
      </c>
      <c r="B3112" s="1">
        <v>45744</v>
      </c>
      <c r="C3112">
        <v>2025</v>
      </c>
      <c r="D3112" t="s">
        <v>24</v>
      </c>
      <c r="E3112" t="s">
        <v>460</v>
      </c>
      <c r="F3112" t="s">
        <v>37</v>
      </c>
      <c r="G3112" t="s">
        <v>45</v>
      </c>
      <c r="H3112" t="s">
        <v>55</v>
      </c>
      <c r="I3112" t="s">
        <v>39</v>
      </c>
      <c r="J3112" t="s">
        <v>35</v>
      </c>
      <c r="K3112" s="2">
        <v>6500</v>
      </c>
      <c r="L3112" s="2">
        <v>9500</v>
      </c>
      <c r="M3112">
        <v>12</v>
      </c>
      <c r="N3112" s="3">
        <v>0.22500000000000001</v>
      </c>
      <c r="O3112" t="s">
        <v>16</v>
      </c>
      <c r="Q3112">
        <v>1</v>
      </c>
      <c r="R3112">
        <v>0</v>
      </c>
      <c r="S3112" s="2">
        <v>9500</v>
      </c>
      <c r="T3112" s="4">
        <v>0.1225</v>
      </c>
      <c r="U3112">
        <v>2</v>
      </c>
      <c r="V3112">
        <v>1</v>
      </c>
      <c r="W3112">
        <v>1</v>
      </c>
    </row>
    <row r="3113" spans="1:23" ht="16.5" x14ac:dyDescent="0.3">
      <c r="A3113" t="s">
        <v>3177</v>
      </c>
      <c r="B3113" s="1">
        <v>45744</v>
      </c>
      <c r="C3113">
        <v>2025</v>
      </c>
      <c r="D3113" t="s">
        <v>24</v>
      </c>
      <c r="E3113" t="s">
        <v>460</v>
      </c>
      <c r="F3113" t="s">
        <v>50</v>
      </c>
      <c r="G3113" t="s">
        <v>51</v>
      </c>
      <c r="H3113" t="s">
        <v>64</v>
      </c>
      <c r="I3113" t="s">
        <v>42</v>
      </c>
      <c r="J3113" t="s">
        <v>52</v>
      </c>
      <c r="K3113" s="2">
        <v>4600</v>
      </c>
      <c r="L3113" s="2">
        <v>387500</v>
      </c>
      <c r="M3113">
        <v>300</v>
      </c>
      <c r="N3113" s="3">
        <v>0.57699999999999996</v>
      </c>
      <c r="O3113" t="s">
        <v>16</v>
      </c>
      <c r="Q3113">
        <v>1</v>
      </c>
      <c r="R3113">
        <v>0</v>
      </c>
      <c r="S3113" s="2">
        <v>387500</v>
      </c>
      <c r="T3113" s="4">
        <v>4.6100000000000002E-2</v>
      </c>
      <c r="U3113">
        <v>13</v>
      </c>
      <c r="V3113">
        <v>1</v>
      </c>
      <c r="W3113">
        <v>1</v>
      </c>
    </row>
    <row r="3114" spans="1:23" ht="16.5" x14ac:dyDescent="0.3">
      <c r="A3114" t="s">
        <v>3178</v>
      </c>
      <c r="B3114" s="1">
        <v>45744</v>
      </c>
      <c r="C3114">
        <v>2025</v>
      </c>
      <c r="D3114" t="s">
        <v>24</v>
      </c>
      <c r="E3114" t="s">
        <v>460</v>
      </c>
      <c r="F3114" t="s">
        <v>50</v>
      </c>
      <c r="G3114" t="s">
        <v>33</v>
      </c>
      <c r="H3114" t="s">
        <v>34</v>
      </c>
      <c r="I3114" t="s">
        <v>29</v>
      </c>
      <c r="J3114" t="s">
        <v>30</v>
      </c>
      <c r="K3114" s="2">
        <v>5550</v>
      </c>
      <c r="L3114" s="2">
        <v>202000</v>
      </c>
      <c r="M3114">
        <v>240</v>
      </c>
      <c r="N3114" s="3">
        <v>0.29199999999999998</v>
      </c>
      <c r="O3114" t="s">
        <v>17</v>
      </c>
      <c r="P3114" t="s">
        <v>65</v>
      </c>
      <c r="Q3114">
        <v>0</v>
      </c>
      <c r="R3114">
        <v>1</v>
      </c>
      <c r="S3114" s="2">
        <v>0</v>
      </c>
      <c r="T3114" s="4"/>
      <c r="U3114">
        <v>7</v>
      </c>
      <c r="V3114">
        <v>1</v>
      </c>
      <c r="W3114">
        <v>1</v>
      </c>
    </row>
    <row r="3115" spans="1:23" ht="16.5" x14ac:dyDescent="0.3">
      <c r="A3115" t="s">
        <v>3179</v>
      </c>
      <c r="B3115" s="1">
        <v>45744</v>
      </c>
      <c r="C3115">
        <v>2025</v>
      </c>
      <c r="D3115" t="s">
        <v>24</v>
      </c>
      <c r="E3115" t="s">
        <v>460</v>
      </c>
      <c r="F3115" t="s">
        <v>50</v>
      </c>
      <c r="G3115" t="s">
        <v>33</v>
      </c>
      <c r="H3115" t="s">
        <v>38</v>
      </c>
      <c r="I3115" t="s">
        <v>29</v>
      </c>
      <c r="J3115" t="s">
        <v>43</v>
      </c>
      <c r="K3115" s="2">
        <v>4000</v>
      </c>
      <c r="L3115" s="2">
        <v>150000</v>
      </c>
      <c r="M3115">
        <v>240</v>
      </c>
      <c r="N3115" s="3">
        <v>0.433</v>
      </c>
      <c r="O3115" t="s">
        <v>17</v>
      </c>
      <c r="P3115" t="s">
        <v>31</v>
      </c>
      <c r="Q3115">
        <v>0</v>
      </c>
      <c r="R3115">
        <v>1</v>
      </c>
      <c r="S3115" s="2">
        <v>0</v>
      </c>
      <c r="T3115" s="4"/>
      <c r="U3115">
        <v>3</v>
      </c>
      <c r="V3115">
        <v>1</v>
      </c>
      <c r="W3115">
        <v>1</v>
      </c>
    </row>
    <row r="3116" spans="1:23" ht="16.5" x14ac:dyDescent="0.3">
      <c r="A3116" t="s">
        <v>3180</v>
      </c>
      <c r="B3116" s="1">
        <v>45744</v>
      </c>
      <c r="C3116">
        <v>2025</v>
      </c>
      <c r="D3116" t="s">
        <v>24</v>
      </c>
      <c r="E3116" t="s">
        <v>460</v>
      </c>
      <c r="F3116" t="s">
        <v>37</v>
      </c>
      <c r="G3116" t="s">
        <v>45</v>
      </c>
      <c r="H3116" t="s">
        <v>34</v>
      </c>
      <c r="I3116" t="s">
        <v>42</v>
      </c>
      <c r="J3116" t="s">
        <v>46</v>
      </c>
      <c r="K3116" s="2">
        <v>4400</v>
      </c>
      <c r="L3116" s="2">
        <v>8000</v>
      </c>
      <c r="M3116">
        <v>24</v>
      </c>
      <c r="N3116" s="3">
        <v>0.155</v>
      </c>
      <c r="O3116" t="s">
        <v>16</v>
      </c>
      <c r="Q3116">
        <v>1</v>
      </c>
      <c r="R3116">
        <v>0</v>
      </c>
      <c r="S3116" s="2">
        <v>8000</v>
      </c>
      <c r="T3116" s="4">
        <v>0.1106</v>
      </c>
      <c r="U3116">
        <v>2</v>
      </c>
      <c r="V3116">
        <v>1</v>
      </c>
      <c r="W3116">
        <v>1</v>
      </c>
    </row>
    <row r="3117" spans="1:23" ht="16.5" x14ac:dyDescent="0.3">
      <c r="A3117" t="s">
        <v>3181</v>
      </c>
      <c r="B3117" s="1">
        <v>45744</v>
      </c>
      <c r="C3117">
        <v>2025</v>
      </c>
      <c r="D3117" t="s">
        <v>24</v>
      </c>
      <c r="E3117" t="s">
        <v>460</v>
      </c>
      <c r="F3117" t="s">
        <v>37</v>
      </c>
      <c r="G3117" t="s">
        <v>33</v>
      </c>
      <c r="H3117" t="s">
        <v>64</v>
      </c>
      <c r="I3117" t="s">
        <v>29</v>
      </c>
      <c r="J3117" t="s">
        <v>52</v>
      </c>
      <c r="K3117" s="2">
        <v>7450</v>
      </c>
      <c r="L3117" s="2">
        <v>16500</v>
      </c>
      <c r="M3117">
        <v>12</v>
      </c>
      <c r="N3117" s="3">
        <v>0.40200000000000002</v>
      </c>
      <c r="O3117" t="s">
        <v>16</v>
      </c>
      <c r="Q3117">
        <v>1</v>
      </c>
      <c r="R3117">
        <v>0</v>
      </c>
      <c r="S3117" s="2">
        <v>15000</v>
      </c>
      <c r="T3117" s="4">
        <v>0.1177</v>
      </c>
      <c r="U3117">
        <v>4</v>
      </c>
      <c r="V3117">
        <v>0</v>
      </c>
      <c r="W3117">
        <v>1</v>
      </c>
    </row>
    <row r="3118" spans="1:23" ht="16.5" x14ac:dyDescent="0.3">
      <c r="A3118" t="s">
        <v>3182</v>
      </c>
      <c r="B3118" s="1">
        <v>45744</v>
      </c>
      <c r="C3118">
        <v>2025</v>
      </c>
      <c r="D3118" t="s">
        <v>24</v>
      </c>
      <c r="E3118" t="s">
        <v>460</v>
      </c>
      <c r="F3118" t="s">
        <v>26</v>
      </c>
      <c r="G3118" t="s">
        <v>33</v>
      </c>
      <c r="H3118" t="s">
        <v>34</v>
      </c>
      <c r="I3118" t="s">
        <v>29</v>
      </c>
      <c r="J3118" t="s">
        <v>52</v>
      </c>
      <c r="K3118" s="2">
        <v>6400</v>
      </c>
      <c r="L3118" s="2">
        <v>33500</v>
      </c>
      <c r="M3118">
        <v>48</v>
      </c>
      <c r="N3118" s="3">
        <v>0.25700000000000001</v>
      </c>
      <c r="O3118" t="s">
        <v>16</v>
      </c>
      <c r="Q3118">
        <v>1</v>
      </c>
      <c r="R3118">
        <v>0</v>
      </c>
      <c r="S3118" s="2">
        <v>33500</v>
      </c>
      <c r="T3118" s="4">
        <v>7.4099999999999999E-2</v>
      </c>
      <c r="U3118">
        <v>3</v>
      </c>
      <c r="V3118">
        <v>1</v>
      </c>
      <c r="W3118">
        <v>1</v>
      </c>
    </row>
    <row r="3119" spans="1:23" ht="16.5" x14ac:dyDescent="0.3">
      <c r="A3119" t="s">
        <v>3183</v>
      </c>
      <c r="B3119" s="1">
        <v>45745</v>
      </c>
      <c r="C3119">
        <v>2025</v>
      </c>
      <c r="D3119" t="s">
        <v>24</v>
      </c>
      <c r="E3119" t="s">
        <v>460</v>
      </c>
      <c r="F3119" t="s">
        <v>50</v>
      </c>
      <c r="G3119" t="s">
        <v>33</v>
      </c>
      <c r="H3119" t="s">
        <v>28</v>
      </c>
      <c r="I3119" t="s">
        <v>29</v>
      </c>
      <c r="J3119" t="s">
        <v>30</v>
      </c>
      <c r="K3119" s="2">
        <v>4050</v>
      </c>
      <c r="L3119" s="2">
        <v>243000</v>
      </c>
      <c r="M3119">
        <v>240</v>
      </c>
      <c r="N3119" s="3">
        <v>0.55400000000000005</v>
      </c>
      <c r="O3119" t="s">
        <v>17</v>
      </c>
      <c r="P3119" t="s">
        <v>31</v>
      </c>
      <c r="Q3119">
        <v>0</v>
      </c>
      <c r="R3119">
        <v>1</v>
      </c>
      <c r="S3119" s="2">
        <v>0</v>
      </c>
      <c r="T3119" s="4"/>
      <c r="U3119">
        <v>5</v>
      </c>
      <c r="V3119">
        <v>1</v>
      </c>
      <c r="W3119">
        <v>1</v>
      </c>
    </row>
    <row r="3120" spans="1:23" ht="16.5" x14ac:dyDescent="0.3">
      <c r="A3120" t="s">
        <v>3184</v>
      </c>
      <c r="B3120" s="1">
        <v>45745</v>
      </c>
      <c r="C3120">
        <v>2025</v>
      </c>
      <c r="D3120" t="s">
        <v>24</v>
      </c>
      <c r="E3120" t="s">
        <v>460</v>
      </c>
      <c r="F3120" t="s">
        <v>50</v>
      </c>
      <c r="G3120" t="s">
        <v>45</v>
      </c>
      <c r="H3120" t="s">
        <v>38</v>
      </c>
      <c r="I3120" t="s">
        <v>29</v>
      </c>
      <c r="J3120" t="s">
        <v>52</v>
      </c>
      <c r="K3120" s="2">
        <v>4150</v>
      </c>
      <c r="L3120" s="2">
        <v>137500</v>
      </c>
      <c r="M3120">
        <v>300</v>
      </c>
      <c r="N3120" s="3">
        <v>0.308</v>
      </c>
      <c r="O3120" t="s">
        <v>16</v>
      </c>
      <c r="Q3120">
        <v>1</v>
      </c>
      <c r="R3120">
        <v>0</v>
      </c>
      <c r="S3120" s="2">
        <v>137500</v>
      </c>
      <c r="T3120" s="4">
        <v>4.9799999999999997E-2</v>
      </c>
      <c r="U3120">
        <v>6</v>
      </c>
      <c r="V3120">
        <v>1</v>
      </c>
      <c r="W3120">
        <v>1</v>
      </c>
    </row>
    <row r="3121" spans="1:23" ht="16.5" x14ac:dyDescent="0.3">
      <c r="A3121" t="s">
        <v>3185</v>
      </c>
      <c r="B3121" s="1">
        <v>45745</v>
      </c>
      <c r="C3121">
        <v>2025</v>
      </c>
      <c r="D3121" t="s">
        <v>24</v>
      </c>
      <c r="E3121" t="s">
        <v>460</v>
      </c>
      <c r="F3121" t="s">
        <v>50</v>
      </c>
      <c r="G3121" t="s">
        <v>45</v>
      </c>
      <c r="H3121" t="s">
        <v>55</v>
      </c>
      <c r="I3121" t="s">
        <v>29</v>
      </c>
      <c r="J3121" t="s">
        <v>46</v>
      </c>
      <c r="K3121" s="2">
        <v>4400</v>
      </c>
      <c r="L3121" s="2">
        <v>305500</v>
      </c>
      <c r="M3121">
        <v>300</v>
      </c>
      <c r="N3121" s="3">
        <v>0.47799999999999998</v>
      </c>
      <c r="O3121" t="s">
        <v>16</v>
      </c>
      <c r="Q3121">
        <v>1</v>
      </c>
      <c r="R3121">
        <v>0</v>
      </c>
      <c r="S3121" s="2">
        <v>244500</v>
      </c>
      <c r="T3121" s="4">
        <v>3.9899999999999998E-2</v>
      </c>
      <c r="U3121">
        <v>4</v>
      </c>
      <c r="V3121">
        <v>1</v>
      </c>
      <c r="W3121">
        <v>1</v>
      </c>
    </row>
    <row r="3122" spans="1:23" ht="16.5" x14ac:dyDescent="0.3">
      <c r="A3122" t="s">
        <v>3186</v>
      </c>
      <c r="B3122" s="1">
        <v>45745</v>
      </c>
      <c r="C3122">
        <v>2025</v>
      </c>
      <c r="D3122" t="s">
        <v>24</v>
      </c>
      <c r="E3122" t="s">
        <v>460</v>
      </c>
      <c r="F3122" t="s">
        <v>26</v>
      </c>
      <c r="G3122" t="s">
        <v>27</v>
      </c>
      <c r="H3122" t="s">
        <v>38</v>
      </c>
      <c r="I3122" t="s">
        <v>29</v>
      </c>
      <c r="J3122" t="s">
        <v>43</v>
      </c>
      <c r="K3122" s="2">
        <v>4400</v>
      </c>
      <c r="L3122" s="2">
        <v>19500</v>
      </c>
      <c r="M3122">
        <v>60</v>
      </c>
      <c r="N3122" s="3">
        <v>0.27400000000000002</v>
      </c>
      <c r="O3122" t="s">
        <v>16</v>
      </c>
      <c r="Q3122">
        <v>1</v>
      </c>
      <c r="R3122">
        <v>0</v>
      </c>
      <c r="S3122" s="2">
        <v>19500</v>
      </c>
      <c r="T3122" s="4">
        <v>0.11890000000000001</v>
      </c>
      <c r="U3122">
        <v>4</v>
      </c>
      <c r="V3122">
        <v>1</v>
      </c>
      <c r="W3122">
        <v>1</v>
      </c>
    </row>
    <row r="3123" spans="1:23" ht="16.5" x14ac:dyDescent="0.3">
      <c r="A3123" t="s">
        <v>3187</v>
      </c>
      <c r="B3123" s="1">
        <v>45745</v>
      </c>
      <c r="C3123">
        <v>2025</v>
      </c>
      <c r="D3123" t="s">
        <v>24</v>
      </c>
      <c r="E3123" t="s">
        <v>460</v>
      </c>
      <c r="F3123" t="s">
        <v>37</v>
      </c>
      <c r="G3123" t="s">
        <v>33</v>
      </c>
      <c r="H3123" t="s">
        <v>34</v>
      </c>
      <c r="I3123" t="s">
        <v>29</v>
      </c>
      <c r="J3123" t="s">
        <v>35</v>
      </c>
      <c r="K3123" s="2">
        <v>7000</v>
      </c>
      <c r="L3123" s="2">
        <v>9500</v>
      </c>
      <c r="M3123">
        <v>36</v>
      </c>
      <c r="N3123" s="3">
        <v>0.187</v>
      </c>
      <c r="O3123" t="s">
        <v>16</v>
      </c>
      <c r="Q3123">
        <v>1</v>
      </c>
      <c r="R3123">
        <v>0</v>
      </c>
      <c r="S3123" s="2">
        <v>9500</v>
      </c>
      <c r="T3123" s="4">
        <v>0.1234</v>
      </c>
      <c r="U3123">
        <v>1</v>
      </c>
      <c r="V3123">
        <v>1</v>
      </c>
      <c r="W3123">
        <v>1</v>
      </c>
    </row>
    <row r="3124" spans="1:23" ht="16.5" x14ac:dyDescent="0.3">
      <c r="A3124" t="s">
        <v>3188</v>
      </c>
      <c r="B3124" s="1">
        <v>45746</v>
      </c>
      <c r="C3124">
        <v>2025</v>
      </c>
      <c r="D3124" t="s">
        <v>24</v>
      </c>
      <c r="E3124" t="s">
        <v>460</v>
      </c>
      <c r="F3124" t="s">
        <v>37</v>
      </c>
      <c r="G3124" t="s">
        <v>51</v>
      </c>
      <c r="H3124" t="s">
        <v>34</v>
      </c>
      <c r="I3124" t="s">
        <v>29</v>
      </c>
      <c r="J3124" t="s">
        <v>30</v>
      </c>
      <c r="K3124" s="2">
        <v>4050</v>
      </c>
      <c r="L3124" s="2">
        <v>8500</v>
      </c>
      <c r="M3124">
        <v>48</v>
      </c>
      <c r="N3124" s="3">
        <v>0.11799999999999999</v>
      </c>
      <c r="O3124" t="s">
        <v>16</v>
      </c>
      <c r="Q3124">
        <v>1</v>
      </c>
      <c r="R3124">
        <v>0</v>
      </c>
      <c r="S3124" s="2">
        <v>8500</v>
      </c>
      <c r="T3124" s="4">
        <v>0.1399</v>
      </c>
      <c r="U3124">
        <v>3</v>
      </c>
      <c r="V3124">
        <v>1</v>
      </c>
      <c r="W3124">
        <v>1</v>
      </c>
    </row>
    <row r="3125" spans="1:23" ht="16.5" x14ac:dyDescent="0.3">
      <c r="A3125" t="s">
        <v>3189</v>
      </c>
      <c r="B3125" s="1">
        <v>45746</v>
      </c>
      <c r="C3125">
        <v>2025</v>
      </c>
      <c r="D3125" t="s">
        <v>24</v>
      </c>
      <c r="E3125" t="s">
        <v>460</v>
      </c>
      <c r="F3125" t="s">
        <v>50</v>
      </c>
      <c r="G3125" t="s">
        <v>33</v>
      </c>
      <c r="H3125" t="s">
        <v>55</v>
      </c>
      <c r="I3125" t="s">
        <v>29</v>
      </c>
      <c r="J3125" t="s">
        <v>43</v>
      </c>
      <c r="K3125" s="2">
        <v>4500</v>
      </c>
      <c r="L3125" s="2">
        <v>396500</v>
      </c>
      <c r="M3125">
        <v>180</v>
      </c>
      <c r="N3125" s="3">
        <v>0.82599999999999996</v>
      </c>
      <c r="O3125" t="s">
        <v>17</v>
      </c>
      <c r="P3125" t="s">
        <v>31</v>
      </c>
      <c r="Q3125">
        <v>0</v>
      </c>
      <c r="R3125">
        <v>1</v>
      </c>
      <c r="S3125" s="2">
        <v>0</v>
      </c>
      <c r="T3125" s="4"/>
      <c r="U3125">
        <v>6</v>
      </c>
      <c r="V3125">
        <v>1</v>
      </c>
      <c r="W3125">
        <v>1</v>
      </c>
    </row>
    <row r="3126" spans="1:23" ht="16.5" x14ac:dyDescent="0.3">
      <c r="A3126" t="s">
        <v>3190</v>
      </c>
      <c r="B3126" s="1">
        <v>45746</v>
      </c>
      <c r="C3126">
        <v>2025</v>
      </c>
      <c r="D3126" t="s">
        <v>24</v>
      </c>
      <c r="E3126" t="s">
        <v>460</v>
      </c>
      <c r="F3126" t="s">
        <v>26</v>
      </c>
      <c r="G3126" t="s">
        <v>51</v>
      </c>
      <c r="H3126" t="s">
        <v>55</v>
      </c>
      <c r="I3126" t="s">
        <v>39</v>
      </c>
      <c r="J3126" t="s">
        <v>30</v>
      </c>
      <c r="K3126" s="2">
        <v>4950</v>
      </c>
      <c r="L3126" s="2">
        <v>29500</v>
      </c>
      <c r="M3126">
        <v>36</v>
      </c>
      <c r="N3126" s="3">
        <v>0.314</v>
      </c>
      <c r="O3126" t="s">
        <v>16</v>
      </c>
      <c r="Q3126">
        <v>1</v>
      </c>
      <c r="R3126">
        <v>0</v>
      </c>
      <c r="S3126" s="2">
        <v>29500</v>
      </c>
      <c r="T3126" s="4">
        <v>0.1018</v>
      </c>
      <c r="U3126">
        <v>7</v>
      </c>
      <c r="V3126">
        <v>0</v>
      </c>
      <c r="W3126">
        <v>1</v>
      </c>
    </row>
    <row r="3127" spans="1:23" ht="16.5" x14ac:dyDescent="0.3">
      <c r="A3127" t="s">
        <v>3191</v>
      </c>
      <c r="B3127" s="1">
        <v>45746</v>
      </c>
      <c r="C3127">
        <v>2025</v>
      </c>
      <c r="D3127" t="s">
        <v>24</v>
      </c>
      <c r="E3127" t="s">
        <v>460</v>
      </c>
      <c r="F3127" t="s">
        <v>37</v>
      </c>
      <c r="G3127" t="s">
        <v>33</v>
      </c>
      <c r="H3127" t="s">
        <v>55</v>
      </c>
      <c r="I3127" t="s">
        <v>29</v>
      </c>
      <c r="J3127" t="s">
        <v>35</v>
      </c>
      <c r="K3127" s="2">
        <v>6000</v>
      </c>
      <c r="L3127" s="2">
        <v>7500</v>
      </c>
      <c r="M3127">
        <v>36</v>
      </c>
      <c r="N3127" s="3">
        <v>0.17599999999999999</v>
      </c>
      <c r="O3127" t="s">
        <v>16</v>
      </c>
      <c r="Q3127">
        <v>1</v>
      </c>
      <c r="R3127">
        <v>0</v>
      </c>
      <c r="S3127" s="2">
        <v>7500</v>
      </c>
      <c r="T3127" s="4">
        <v>0.1283</v>
      </c>
      <c r="U3127">
        <v>1</v>
      </c>
      <c r="V3127">
        <v>1</v>
      </c>
      <c r="W3127">
        <v>1</v>
      </c>
    </row>
    <row r="3128" spans="1:23" ht="16.5" x14ac:dyDescent="0.3">
      <c r="A3128" t="s">
        <v>3192</v>
      </c>
      <c r="B3128" s="1">
        <v>45747</v>
      </c>
      <c r="C3128">
        <v>2025</v>
      </c>
      <c r="D3128" t="s">
        <v>24</v>
      </c>
      <c r="E3128" t="s">
        <v>460</v>
      </c>
      <c r="F3128" t="s">
        <v>50</v>
      </c>
      <c r="G3128" t="s">
        <v>51</v>
      </c>
      <c r="H3128" t="s">
        <v>38</v>
      </c>
      <c r="I3128" t="s">
        <v>39</v>
      </c>
      <c r="J3128" t="s">
        <v>30</v>
      </c>
      <c r="K3128" s="2">
        <v>5800</v>
      </c>
      <c r="L3128" s="2">
        <v>88000</v>
      </c>
      <c r="M3128">
        <v>240</v>
      </c>
      <c r="N3128" s="3">
        <v>0.25700000000000001</v>
      </c>
      <c r="O3128" t="s">
        <v>17</v>
      </c>
      <c r="P3128" t="s">
        <v>31</v>
      </c>
      <c r="Q3128">
        <v>0</v>
      </c>
      <c r="R3128">
        <v>1</v>
      </c>
      <c r="S3128" s="2">
        <v>0</v>
      </c>
      <c r="T3128" s="4"/>
      <c r="U3128">
        <v>13</v>
      </c>
      <c r="V3128">
        <v>1</v>
      </c>
      <c r="W3128">
        <v>1</v>
      </c>
    </row>
    <row r="3129" spans="1:23" ht="16.5" x14ac:dyDescent="0.3">
      <c r="A3129" t="s">
        <v>3193</v>
      </c>
      <c r="B3129" s="1">
        <v>45747</v>
      </c>
      <c r="C3129">
        <v>2025</v>
      </c>
      <c r="D3129" t="s">
        <v>24</v>
      </c>
      <c r="E3129" t="s">
        <v>460</v>
      </c>
      <c r="F3129" t="s">
        <v>41</v>
      </c>
      <c r="G3129" t="s">
        <v>51</v>
      </c>
      <c r="H3129" t="s">
        <v>38</v>
      </c>
      <c r="I3129" t="s">
        <v>29</v>
      </c>
      <c r="J3129" t="s">
        <v>35</v>
      </c>
      <c r="K3129" s="2">
        <v>4050</v>
      </c>
      <c r="L3129" s="2">
        <v>150500</v>
      </c>
      <c r="M3129">
        <v>24</v>
      </c>
      <c r="N3129" s="3">
        <v>1.7969999999999999</v>
      </c>
      <c r="O3129" t="s">
        <v>17</v>
      </c>
      <c r="P3129" t="s">
        <v>53</v>
      </c>
      <c r="Q3129">
        <v>0</v>
      </c>
      <c r="R3129">
        <v>1</v>
      </c>
      <c r="S3129" s="2">
        <v>0</v>
      </c>
      <c r="T3129" s="4"/>
      <c r="U3129">
        <v>15</v>
      </c>
      <c r="V3129">
        <v>0</v>
      </c>
      <c r="W3129">
        <v>1</v>
      </c>
    </row>
    <row r="3130" spans="1:23" ht="16.5" x14ac:dyDescent="0.3">
      <c r="A3130" t="s">
        <v>3194</v>
      </c>
      <c r="B3130" s="1">
        <v>45747</v>
      </c>
      <c r="C3130">
        <v>2025</v>
      </c>
      <c r="D3130" t="s">
        <v>24</v>
      </c>
      <c r="E3130" t="s">
        <v>460</v>
      </c>
      <c r="F3130" t="s">
        <v>37</v>
      </c>
      <c r="G3130" t="s">
        <v>45</v>
      </c>
      <c r="H3130" t="s">
        <v>55</v>
      </c>
      <c r="I3130" t="s">
        <v>39</v>
      </c>
      <c r="J3130" t="s">
        <v>35</v>
      </c>
      <c r="K3130" s="2">
        <v>7800</v>
      </c>
      <c r="L3130" s="2">
        <v>13500</v>
      </c>
      <c r="M3130">
        <v>36</v>
      </c>
      <c r="N3130" s="3">
        <v>0.122</v>
      </c>
      <c r="O3130" t="s">
        <v>17</v>
      </c>
      <c r="P3130" t="s">
        <v>48</v>
      </c>
      <c r="Q3130">
        <v>0</v>
      </c>
      <c r="R3130">
        <v>1</v>
      </c>
      <c r="S3130" s="2">
        <v>0</v>
      </c>
      <c r="T3130" s="4"/>
      <c r="U3130">
        <v>2</v>
      </c>
      <c r="V3130">
        <v>1</v>
      </c>
      <c r="W3130">
        <v>1</v>
      </c>
    </row>
    <row r="3131" spans="1:23" ht="16.5" x14ac:dyDescent="0.3">
      <c r="A3131" t="s">
        <v>3195</v>
      </c>
      <c r="B3131" s="1">
        <v>45747</v>
      </c>
      <c r="C3131">
        <v>2025</v>
      </c>
      <c r="D3131" t="s">
        <v>24</v>
      </c>
      <c r="E3131" t="s">
        <v>460</v>
      </c>
      <c r="F3131" t="s">
        <v>26</v>
      </c>
      <c r="G3131" t="s">
        <v>45</v>
      </c>
      <c r="H3131" t="s">
        <v>34</v>
      </c>
      <c r="I3131" t="s">
        <v>39</v>
      </c>
      <c r="J3131" t="s">
        <v>43</v>
      </c>
      <c r="K3131" s="2">
        <v>7850</v>
      </c>
      <c r="L3131" s="2">
        <v>57500</v>
      </c>
      <c r="M3131">
        <v>48</v>
      </c>
      <c r="N3131" s="3">
        <v>0.3</v>
      </c>
      <c r="O3131" t="s">
        <v>17</v>
      </c>
      <c r="P3131" t="s">
        <v>31</v>
      </c>
      <c r="Q3131">
        <v>0</v>
      </c>
      <c r="R3131">
        <v>1</v>
      </c>
      <c r="S3131" s="2">
        <v>0</v>
      </c>
      <c r="T3131" s="4"/>
      <c r="U3131">
        <v>2</v>
      </c>
      <c r="V3131">
        <v>1</v>
      </c>
      <c r="W3131">
        <v>1</v>
      </c>
    </row>
    <row r="3132" spans="1:23" ht="16.5" x14ac:dyDescent="0.3">
      <c r="A3132" t="s">
        <v>3196</v>
      </c>
      <c r="B3132" s="1">
        <v>45747</v>
      </c>
      <c r="C3132">
        <v>2025</v>
      </c>
      <c r="D3132" t="s">
        <v>24</v>
      </c>
      <c r="E3132" t="s">
        <v>460</v>
      </c>
      <c r="F3132" t="s">
        <v>41</v>
      </c>
      <c r="G3132" t="s">
        <v>51</v>
      </c>
      <c r="H3132" t="s">
        <v>28</v>
      </c>
      <c r="I3132" t="s">
        <v>39</v>
      </c>
      <c r="J3132" t="s">
        <v>30</v>
      </c>
      <c r="K3132" s="2">
        <v>4750</v>
      </c>
      <c r="L3132" s="2">
        <v>82500</v>
      </c>
      <c r="M3132">
        <v>24</v>
      </c>
      <c r="N3132" s="3">
        <v>1.022</v>
      </c>
      <c r="O3132" t="s">
        <v>17</v>
      </c>
      <c r="P3132" t="s">
        <v>31</v>
      </c>
      <c r="Q3132">
        <v>0</v>
      </c>
      <c r="R3132">
        <v>1</v>
      </c>
      <c r="S3132" s="2">
        <v>0</v>
      </c>
      <c r="T3132" s="4"/>
      <c r="U3132">
        <v>9</v>
      </c>
      <c r="V3132">
        <v>1</v>
      </c>
      <c r="W3132">
        <v>1</v>
      </c>
    </row>
    <row r="3133" spans="1:23" ht="16.5" x14ac:dyDescent="0.3">
      <c r="A3133" t="s">
        <v>3197</v>
      </c>
      <c r="B3133" s="1">
        <v>45747</v>
      </c>
      <c r="C3133">
        <v>2025</v>
      </c>
      <c r="D3133" t="s">
        <v>24</v>
      </c>
      <c r="E3133" t="s">
        <v>460</v>
      </c>
      <c r="F3133" t="s">
        <v>26</v>
      </c>
      <c r="G3133" t="s">
        <v>33</v>
      </c>
      <c r="H3133" t="s">
        <v>64</v>
      </c>
      <c r="I3133" t="s">
        <v>29</v>
      </c>
      <c r="J3133" t="s">
        <v>35</v>
      </c>
      <c r="K3133" s="2">
        <v>5250</v>
      </c>
      <c r="L3133" s="2">
        <v>13500</v>
      </c>
      <c r="M3133">
        <v>48</v>
      </c>
      <c r="N3133" s="3">
        <v>0.17799999999999999</v>
      </c>
      <c r="O3133" t="s">
        <v>16</v>
      </c>
      <c r="Q3133">
        <v>1</v>
      </c>
      <c r="R3133">
        <v>0</v>
      </c>
      <c r="S3133" s="2">
        <v>11000</v>
      </c>
      <c r="T3133" s="4">
        <v>8.0500000000000002E-2</v>
      </c>
      <c r="U3133">
        <v>2</v>
      </c>
      <c r="V3133">
        <v>1</v>
      </c>
      <c r="W3133">
        <v>1</v>
      </c>
    </row>
    <row r="3134" spans="1:23" ht="16.5" x14ac:dyDescent="0.3">
      <c r="A3134" t="s">
        <v>3198</v>
      </c>
      <c r="B3134" s="1">
        <v>45747</v>
      </c>
      <c r="C3134">
        <v>2025</v>
      </c>
      <c r="D3134" t="s">
        <v>24</v>
      </c>
      <c r="E3134" t="s">
        <v>460</v>
      </c>
      <c r="F3134" t="s">
        <v>37</v>
      </c>
      <c r="G3134" t="s">
        <v>33</v>
      </c>
      <c r="H3134" t="s">
        <v>64</v>
      </c>
      <c r="I3134" t="s">
        <v>29</v>
      </c>
      <c r="J3134" t="s">
        <v>30</v>
      </c>
      <c r="K3134" s="2">
        <v>4650</v>
      </c>
      <c r="L3134" s="2">
        <v>16000</v>
      </c>
      <c r="M3134">
        <v>48</v>
      </c>
      <c r="N3134" s="3">
        <v>0.318</v>
      </c>
      <c r="O3134" t="s">
        <v>17</v>
      </c>
      <c r="P3134" t="s">
        <v>31</v>
      </c>
      <c r="Q3134">
        <v>0</v>
      </c>
      <c r="R3134">
        <v>1</v>
      </c>
      <c r="S3134" s="2">
        <v>0</v>
      </c>
      <c r="T3134" s="4"/>
      <c r="U3134">
        <v>1</v>
      </c>
      <c r="V3134">
        <v>1</v>
      </c>
      <c r="W3134">
        <v>1</v>
      </c>
    </row>
    <row r="3135" spans="1:23" ht="16.5" x14ac:dyDescent="0.3">
      <c r="A3135" t="s">
        <v>3199</v>
      </c>
      <c r="B3135" s="1">
        <v>45747</v>
      </c>
      <c r="C3135">
        <v>2025</v>
      </c>
      <c r="D3135" t="s">
        <v>24</v>
      </c>
      <c r="E3135" t="s">
        <v>460</v>
      </c>
      <c r="F3135" t="s">
        <v>50</v>
      </c>
      <c r="G3135" t="s">
        <v>45</v>
      </c>
      <c r="H3135" t="s">
        <v>38</v>
      </c>
      <c r="I3135" t="s">
        <v>29</v>
      </c>
      <c r="J3135" t="s">
        <v>46</v>
      </c>
      <c r="K3135" s="2">
        <v>5450</v>
      </c>
      <c r="L3135" s="2">
        <v>190000</v>
      </c>
      <c r="M3135">
        <v>300</v>
      </c>
      <c r="N3135" s="3">
        <v>0.25600000000000001</v>
      </c>
      <c r="O3135" t="s">
        <v>16</v>
      </c>
      <c r="Q3135">
        <v>1</v>
      </c>
      <c r="R3135">
        <v>0</v>
      </c>
      <c r="S3135" s="2">
        <v>171000</v>
      </c>
      <c r="T3135" s="4">
        <v>4.0800000000000003E-2</v>
      </c>
      <c r="U3135">
        <v>10</v>
      </c>
      <c r="V3135">
        <v>1</v>
      </c>
      <c r="W3135">
        <v>1</v>
      </c>
    </row>
    <row r="3136" spans="1:23" ht="16.5" x14ac:dyDescent="0.3">
      <c r="A3136" t="s">
        <v>3200</v>
      </c>
      <c r="B3136" s="1">
        <v>45747</v>
      </c>
      <c r="C3136">
        <v>2025</v>
      </c>
      <c r="D3136" t="s">
        <v>24</v>
      </c>
      <c r="E3136" t="s">
        <v>460</v>
      </c>
      <c r="F3136" t="s">
        <v>50</v>
      </c>
      <c r="G3136" t="s">
        <v>45</v>
      </c>
      <c r="H3136" t="s">
        <v>38</v>
      </c>
      <c r="I3136" t="s">
        <v>29</v>
      </c>
      <c r="J3136" t="s">
        <v>35</v>
      </c>
      <c r="K3136" s="2">
        <v>10250</v>
      </c>
      <c r="L3136" s="2">
        <v>176000</v>
      </c>
      <c r="M3136">
        <v>240</v>
      </c>
      <c r="N3136" s="3">
        <v>0.25600000000000001</v>
      </c>
      <c r="O3136" t="s">
        <v>16</v>
      </c>
      <c r="Q3136">
        <v>1</v>
      </c>
      <c r="R3136">
        <v>0</v>
      </c>
      <c r="S3136" s="2">
        <v>176000</v>
      </c>
      <c r="T3136" s="4">
        <v>6.2199999999999998E-2</v>
      </c>
      <c r="U3136">
        <v>6</v>
      </c>
      <c r="V3136">
        <v>1</v>
      </c>
      <c r="W3136">
        <v>1</v>
      </c>
    </row>
    <row r="3137" spans="1:23" ht="16.5" x14ac:dyDescent="0.3">
      <c r="A3137" t="s">
        <v>3201</v>
      </c>
      <c r="B3137" s="1">
        <v>45748</v>
      </c>
      <c r="C3137">
        <v>2025</v>
      </c>
      <c r="D3137" t="s">
        <v>688</v>
      </c>
      <c r="E3137" t="s">
        <v>689</v>
      </c>
      <c r="F3137" t="s">
        <v>37</v>
      </c>
      <c r="G3137" t="s">
        <v>27</v>
      </c>
      <c r="H3137" t="s">
        <v>55</v>
      </c>
      <c r="I3137" t="s">
        <v>39</v>
      </c>
      <c r="J3137" t="s">
        <v>35</v>
      </c>
      <c r="K3137" s="2">
        <v>8000</v>
      </c>
      <c r="L3137" s="2">
        <v>10500</v>
      </c>
      <c r="M3137">
        <v>48</v>
      </c>
      <c r="N3137" s="3">
        <v>0.251</v>
      </c>
      <c r="O3137" t="s">
        <v>16</v>
      </c>
      <c r="Q3137">
        <v>1</v>
      </c>
      <c r="R3137">
        <v>0</v>
      </c>
      <c r="S3137" s="2">
        <v>10500</v>
      </c>
      <c r="T3137" s="4">
        <v>0.122</v>
      </c>
      <c r="U3137">
        <v>3</v>
      </c>
      <c r="V3137">
        <v>1</v>
      </c>
      <c r="W3137">
        <v>1</v>
      </c>
    </row>
    <row r="3138" spans="1:23" ht="16.5" x14ac:dyDescent="0.3">
      <c r="A3138" t="s">
        <v>3202</v>
      </c>
      <c r="B3138" s="1">
        <v>45748</v>
      </c>
      <c r="C3138">
        <v>2025</v>
      </c>
      <c r="D3138" t="s">
        <v>688</v>
      </c>
      <c r="E3138" t="s">
        <v>689</v>
      </c>
      <c r="F3138" t="s">
        <v>37</v>
      </c>
      <c r="G3138" t="s">
        <v>27</v>
      </c>
      <c r="H3138" t="s">
        <v>28</v>
      </c>
      <c r="I3138" t="s">
        <v>42</v>
      </c>
      <c r="J3138" t="s">
        <v>35</v>
      </c>
      <c r="K3138" s="2">
        <v>5300</v>
      </c>
      <c r="L3138" s="2">
        <v>5000</v>
      </c>
      <c r="M3138">
        <v>36</v>
      </c>
      <c r="N3138" s="3">
        <v>0.248</v>
      </c>
      <c r="O3138" t="s">
        <v>17</v>
      </c>
      <c r="P3138" t="s">
        <v>65</v>
      </c>
      <c r="Q3138">
        <v>0</v>
      </c>
      <c r="R3138">
        <v>1</v>
      </c>
      <c r="S3138" s="2">
        <v>0</v>
      </c>
      <c r="T3138" s="4"/>
      <c r="U3138">
        <v>4</v>
      </c>
      <c r="V3138">
        <v>0</v>
      </c>
      <c r="W3138">
        <v>1</v>
      </c>
    </row>
    <row r="3139" spans="1:23" ht="16.5" x14ac:dyDescent="0.3">
      <c r="A3139" t="s">
        <v>3203</v>
      </c>
      <c r="B3139" s="1">
        <v>45748</v>
      </c>
      <c r="C3139">
        <v>2025</v>
      </c>
      <c r="D3139" t="s">
        <v>688</v>
      </c>
      <c r="E3139" t="s">
        <v>689</v>
      </c>
      <c r="F3139" t="s">
        <v>37</v>
      </c>
      <c r="G3139" t="s">
        <v>45</v>
      </c>
      <c r="H3139" t="s">
        <v>38</v>
      </c>
      <c r="I3139" t="s">
        <v>29</v>
      </c>
      <c r="J3139" t="s">
        <v>52</v>
      </c>
      <c r="K3139" s="2">
        <v>5350</v>
      </c>
      <c r="L3139" s="2">
        <v>5000</v>
      </c>
      <c r="M3139">
        <v>36</v>
      </c>
      <c r="N3139" s="3">
        <v>0.112</v>
      </c>
      <c r="O3139" t="s">
        <v>125</v>
      </c>
      <c r="Q3139">
        <v>0</v>
      </c>
      <c r="R3139">
        <v>0</v>
      </c>
      <c r="S3139" s="2">
        <v>0</v>
      </c>
      <c r="T3139" s="4"/>
      <c r="U3139">
        <v>1</v>
      </c>
      <c r="V3139">
        <v>1</v>
      </c>
      <c r="W3139">
        <v>1</v>
      </c>
    </row>
    <row r="3140" spans="1:23" ht="16.5" x14ac:dyDescent="0.3">
      <c r="A3140" t="s">
        <v>3204</v>
      </c>
      <c r="B3140" s="1">
        <v>45748</v>
      </c>
      <c r="C3140">
        <v>2025</v>
      </c>
      <c r="D3140" t="s">
        <v>688</v>
      </c>
      <c r="E3140" t="s">
        <v>689</v>
      </c>
      <c r="F3140" t="s">
        <v>26</v>
      </c>
      <c r="G3140" t="s">
        <v>33</v>
      </c>
      <c r="H3140" t="s">
        <v>38</v>
      </c>
      <c r="I3140" t="s">
        <v>29</v>
      </c>
      <c r="J3140" t="s">
        <v>46</v>
      </c>
      <c r="K3140" s="2">
        <v>5300</v>
      </c>
      <c r="L3140" s="2">
        <v>16000</v>
      </c>
      <c r="M3140">
        <v>60</v>
      </c>
      <c r="N3140" s="3">
        <v>0.11700000000000001</v>
      </c>
      <c r="O3140" t="s">
        <v>16</v>
      </c>
      <c r="Q3140">
        <v>1</v>
      </c>
      <c r="R3140">
        <v>0</v>
      </c>
      <c r="S3140" s="2">
        <v>16000</v>
      </c>
      <c r="T3140" s="4">
        <v>6.3100000000000003E-2</v>
      </c>
      <c r="U3140">
        <v>3</v>
      </c>
      <c r="V3140">
        <v>1</v>
      </c>
      <c r="W3140">
        <v>1</v>
      </c>
    </row>
    <row r="3141" spans="1:23" ht="16.5" x14ac:dyDescent="0.3">
      <c r="A3141" t="s">
        <v>3205</v>
      </c>
      <c r="B3141" s="1">
        <v>45748</v>
      </c>
      <c r="C3141">
        <v>2025</v>
      </c>
      <c r="D3141" t="s">
        <v>688</v>
      </c>
      <c r="E3141" t="s">
        <v>689</v>
      </c>
      <c r="F3141" t="s">
        <v>26</v>
      </c>
      <c r="G3141" t="s">
        <v>27</v>
      </c>
      <c r="H3141" t="s">
        <v>34</v>
      </c>
      <c r="I3141" t="s">
        <v>29</v>
      </c>
      <c r="J3141" t="s">
        <v>35</v>
      </c>
      <c r="K3141" s="2">
        <v>10600</v>
      </c>
      <c r="L3141" s="2">
        <v>37500</v>
      </c>
      <c r="M3141">
        <v>36</v>
      </c>
      <c r="N3141" s="3">
        <v>0.29899999999999999</v>
      </c>
      <c r="O3141" t="s">
        <v>125</v>
      </c>
      <c r="Q3141">
        <v>0</v>
      </c>
      <c r="R3141">
        <v>0</v>
      </c>
      <c r="S3141" s="2">
        <v>0</v>
      </c>
      <c r="T3141" s="4"/>
      <c r="U3141">
        <v>2</v>
      </c>
      <c r="V3141">
        <v>1</v>
      </c>
      <c r="W3141">
        <v>1</v>
      </c>
    </row>
    <row r="3142" spans="1:23" ht="16.5" x14ac:dyDescent="0.3">
      <c r="A3142" t="s">
        <v>3206</v>
      </c>
      <c r="B3142" s="1">
        <v>45748</v>
      </c>
      <c r="C3142">
        <v>2025</v>
      </c>
      <c r="D3142" t="s">
        <v>688</v>
      </c>
      <c r="E3142" t="s">
        <v>689</v>
      </c>
      <c r="F3142" t="s">
        <v>26</v>
      </c>
      <c r="G3142" t="s">
        <v>33</v>
      </c>
      <c r="H3142" t="s">
        <v>55</v>
      </c>
      <c r="I3142" t="s">
        <v>42</v>
      </c>
      <c r="J3142" t="s">
        <v>52</v>
      </c>
      <c r="K3142" s="2">
        <v>8150</v>
      </c>
      <c r="L3142" s="2">
        <v>49000</v>
      </c>
      <c r="M3142">
        <v>60</v>
      </c>
      <c r="N3142" s="3">
        <v>0.247</v>
      </c>
      <c r="O3142" t="s">
        <v>16</v>
      </c>
      <c r="Q3142">
        <v>1</v>
      </c>
      <c r="R3142">
        <v>0</v>
      </c>
      <c r="S3142" s="2">
        <v>49000</v>
      </c>
      <c r="T3142" s="4">
        <v>7.7700000000000005E-2</v>
      </c>
      <c r="U3142">
        <v>2</v>
      </c>
      <c r="V3142">
        <v>1</v>
      </c>
      <c r="W3142">
        <v>1</v>
      </c>
    </row>
    <row r="3143" spans="1:23" ht="16.5" x14ac:dyDescent="0.3">
      <c r="A3143" t="s">
        <v>3207</v>
      </c>
      <c r="B3143" s="1">
        <v>45748</v>
      </c>
      <c r="C3143">
        <v>2025</v>
      </c>
      <c r="D3143" t="s">
        <v>688</v>
      </c>
      <c r="E3143" t="s">
        <v>689</v>
      </c>
      <c r="F3143" t="s">
        <v>50</v>
      </c>
      <c r="G3143" t="s">
        <v>45</v>
      </c>
      <c r="H3143" t="s">
        <v>34</v>
      </c>
      <c r="I3143" t="s">
        <v>29</v>
      </c>
      <c r="J3143" t="s">
        <v>52</v>
      </c>
      <c r="K3143" s="2">
        <v>3250</v>
      </c>
      <c r="L3143" s="2">
        <v>280000</v>
      </c>
      <c r="M3143">
        <v>300</v>
      </c>
      <c r="N3143" s="3">
        <v>0.73699999999999999</v>
      </c>
      <c r="O3143" t="s">
        <v>16</v>
      </c>
      <c r="Q3143">
        <v>1</v>
      </c>
      <c r="R3143">
        <v>0</v>
      </c>
      <c r="S3143" s="2">
        <v>252000</v>
      </c>
      <c r="T3143" s="4">
        <v>5.1499999999999997E-2</v>
      </c>
      <c r="U3143">
        <v>9</v>
      </c>
      <c r="V3143">
        <v>1</v>
      </c>
      <c r="W3143">
        <v>1</v>
      </c>
    </row>
    <row r="3144" spans="1:23" ht="16.5" x14ac:dyDescent="0.3">
      <c r="A3144" t="s">
        <v>3208</v>
      </c>
      <c r="B3144" s="1">
        <v>45748</v>
      </c>
      <c r="C3144">
        <v>2025</v>
      </c>
      <c r="D3144" t="s">
        <v>688</v>
      </c>
      <c r="E3144" t="s">
        <v>689</v>
      </c>
      <c r="F3144" t="s">
        <v>41</v>
      </c>
      <c r="G3144" t="s">
        <v>45</v>
      </c>
      <c r="H3144" t="s">
        <v>38</v>
      </c>
      <c r="I3144" t="s">
        <v>39</v>
      </c>
      <c r="J3144" t="s">
        <v>52</v>
      </c>
      <c r="K3144" s="2">
        <v>4550</v>
      </c>
      <c r="L3144" s="2">
        <v>141500</v>
      </c>
      <c r="M3144">
        <v>36</v>
      </c>
      <c r="N3144" s="3">
        <v>1.081</v>
      </c>
      <c r="O3144" t="s">
        <v>17</v>
      </c>
      <c r="P3144" t="s">
        <v>53</v>
      </c>
      <c r="Q3144">
        <v>0</v>
      </c>
      <c r="R3144">
        <v>1</v>
      </c>
      <c r="S3144" s="2">
        <v>0</v>
      </c>
      <c r="T3144" s="4"/>
      <c r="U3144">
        <v>6</v>
      </c>
      <c r="V3144">
        <v>1</v>
      </c>
      <c r="W3144">
        <v>1</v>
      </c>
    </row>
    <row r="3145" spans="1:23" ht="16.5" x14ac:dyDescent="0.3">
      <c r="A3145" t="s">
        <v>3209</v>
      </c>
      <c r="B3145" s="1">
        <v>45748</v>
      </c>
      <c r="C3145">
        <v>2025</v>
      </c>
      <c r="D3145" t="s">
        <v>688</v>
      </c>
      <c r="E3145" t="s">
        <v>689</v>
      </c>
      <c r="F3145" t="s">
        <v>50</v>
      </c>
      <c r="G3145" t="s">
        <v>33</v>
      </c>
      <c r="H3145" t="s">
        <v>38</v>
      </c>
      <c r="I3145" t="s">
        <v>29</v>
      </c>
      <c r="J3145" t="s">
        <v>52</v>
      </c>
      <c r="K3145" s="2">
        <v>10250</v>
      </c>
      <c r="L3145" s="2">
        <v>229000</v>
      </c>
      <c r="M3145">
        <v>300</v>
      </c>
      <c r="N3145" s="3">
        <v>0.34300000000000003</v>
      </c>
      <c r="O3145" t="s">
        <v>16</v>
      </c>
      <c r="Q3145">
        <v>1</v>
      </c>
      <c r="R3145">
        <v>0</v>
      </c>
      <c r="S3145" s="2">
        <v>229000</v>
      </c>
      <c r="T3145" s="4">
        <v>4.7600000000000003E-2</v>
      </c>
      <c r="U3145">
        <v>7</v>
      </c>
      <c r="V3145">
        <v>1</v>
      </c>
      <c r="W3145">
        <v>1</v>
      </c>
    </row>
    <row r="3146" spans="1:23" ht="16.5" x14ac:dyDescent="0.3">
      <c r="A3146" t="s">
        <v>3210</v>
      </c>
      <c r="B3146" s="1">
        <v>45748</v>
      </c>
      <c r="C3146">
        <v>2025</v>
      </c>
      <c r="D3146" t="s">
        <v>688</v>
      </c>
      <c r="E3146" t="s">
        <v>689</v>
      </c>
      <c r="F3146" t="s">
        <v>50</v>
      </c>
      <c r="G3146" t="s">
        <v>45</v>
      </c>
      <c r="H3146" t="s">
        <v>38</v>
      </c>
      <c r="I3146" t="s">
        <v>42</v>
      </c>
      <c r="J3146" t="s">
        <v>30</v>
      </c>
      <c r="K3146" s="2">
        <v>2900</v>
      </c>
      <c r="L3146" s="2">
        <v>247000</v>
      </c>
      <c r="M3146">
        <v>240</v>
      </c>
      <c r="N3146" s="3">
        <v>0.71799999999999997</v>
      </c>
      <c r="O3146" t="s">
        <v>125</v>
      </c>
      <c r="Q3146">
        <v>0</v>
      </c>
      <c r="R3146">
        <v>0</v>
      </c>
      <c r="S3146" s="2">
        <v>0</v>
      </c>
      <c r="T3146" s="4"/>
      <c r="U3146">
        <v>7</v>
      </c>
      <c r="V3146">
        <v>1</v>
      </c>
      <c r="W3146">
        <v>1</v>
      </c>
    </row>
    <row r="3147" spans="1:23" ht="16.5" x14ac:dyDescent="0.3">
      <c r="A3147" t="s">
        <v>3211</v>
      </c>
      <c r="B3147" s="1">
        <v>45749</v>
      </c>
      <c r="C3147">
        <v>2025</v>
      </c>
      <c r="D3147" t="s">
        <v>688</v>
      </c>
      <c r="E3147" t="s">
        <v>689</v>
      </c>
      <c r="F3147" t="s">
        <v>37</v>
      </c>
      <c r="G3147" t="s">
        <v>51</v>
      </c>
      <c r="H3147" t="s">
        <v>55</v>
      </c>
      <c r="I3147" t="s">
        <v>42</v>
      </c>
      <c r="J3147" t="s">
        <v>35</v>
      </c>
      <c r="K3147" s="2">
        <v>7850</v>
      </c>
      <c r="L3147" s="2">
        <v>17500</v>
      </c>
      <c r="M3147">
        <v>48</v>
      </c>
      <c r="N3147" s="3">
        <v>0.17199999999999999</v>
      </c>
      <c r="O3147" t="s">
        <v>16</v>
      </c>
      <c r="Q3147">
        <v>1</v>
      </c>
      <c r="R3147">
        <v>0</v>
      </c>
      <c r="S3147" s="2">
        <v>17500</v>
      </c>
      <c r="T3147" s="4">
        <v>0.12820000000000001</v>
      </c>
      <c r="U3147">
        <v>5</v>
      </c>
      <c r="V3147">
        <v>0</v>
      </c>
      <c r="W3147">
        <v>1</v>
      </c>
    </row>
    <row r="3148" spans="1:23" ht="16.5" x14ac:dyDescent="0.3">
      <c r="A3148" t="s">
        <v>3212</v>
      </c>
      <c r="B3148" s="1">
        <v>45749</v>
      </c>
      <c r="C3148">
        <v>2025</v>
      </c>
      <c r="D3148" t="s">
        <v>688</v>
      </c>
      <c r="E3148" t="s">
        <v>689</v>
      </c>
      <c r="F3148" t="s">
        <v>37</v>
      </c>
      <c r="G3148" t="s">
        <v>27</v>
      </c>
      <c r="H3148" t="s">
        <v>55</v>
      </c>
      <c r="I3148" t="s">
        <v>39</v>
      </c>
      <c r="J3148" t="s">
        <v>30</v>
      </c>
      <c r="K3148" s="2">
        <v>6150</v>
      </c>
      <c r="L3148" s="2">
        <v>22000</v>
      </c>
      <c r="M3148">
        <v>36</v>
      </c>
      <c r="N3148" s="3">
        <v>0.33500000000000002</v>
      </c>
      <c r="O3148" t="s">
        <v>16</v>
      </c>
      <c r="Q3148">
        <v>1</v>
      </c>
      <c r="R3148">
        <v>0</v>
      </c>
      <c r="S3148" s="2">
        <v>22000</v>
      </c>
      <c r="T3148" s="4">
        <v>0.13869999999999999</v>
      </c>
      <c r="U3148">
        <v>4</v>
      </c>
      <c r="V3148">
        <v>0</v>
      </c>
      <c r="W3148">
        <v>1</v>
      </c>
    </row>
    <row r="3149" spans="1:23" ht="16.5" x14ac:dyDescent="0.3">
      <c r="A3149" t="s">
        <v>3213</v>
      </c>
      <c r="B3149" s="1">
        <v>45749</v>
      </c>
      <c r="C3149">
        <v>2025</v>
      </c>
      <c r="D3149" t="s">
        <v>688</v>
      </c>
      <c r="E3149" t="s">
        <v>689</v>
      </c>
      <c r="F3149" t="s">
        <v>37</v>
      </c>
      <c r="G3149" t="s">
        <v>45</v>
      </c>
      <c r="H3149" t="s">
        <v>64</v>
      </c>
      <c r="I3149" t="s">
        <v>42</v>
      </c>
      <c r="J3149" t="s">
        <v>30</v>
      </c>
      <c r="K3149" s="2">
        <v>6650</v>
      </c>
      <c r="L3149" s="2">
        <v>9500</v>
      </c>
      <c r="M3149">
        <v>60</v>
      </c>
      <c r="N3149" s="3">
        <v>0.11899999999999999</v>
      </c>
      <c r="O3149" t="s">
        <v>17</v>
      </c>
      <c r="P3149" t="s">
        <v>65</v>
      </c>
      <c r="Q3149">
        <v>0</v>
      </c>
      <c r="R3149">
        <v>1</v>
      </c>
      <c r="S3149" s="2">
        <v>0</v>
      </c>
      <c r="T3149" s="4"/>
      <c r="U3149">
        <v>1</v>
      </c>
      <c r="V3149">
        <v>1</v>
      </c>
      <c r="W3149">
        <v>1</v>
      </c>
    </row>
    <row r="3150" spans="1:23" ht="16.5" x14ac:dyDescent="0.3">
      <c r="A3150" t="s">
        <v>3214</v>
      </c>
      <c r="B3150" s="1">
        <v>45749</v>
      </c>
      <c r="C3150">
        <v>2025</v>
      </c>
      <c r="D3150" t="s">
        <v>688</v>
      </c>
      <c r="E3150" t="s">
        <v>689</v>
      </c>
      <c r="F3150" t="s">
        <v>37</v>
      </c>
      <c r="G3150" t="s">
        <v>33</v>
      </c>
      <c r="H3150" t="s">
        <v>55</v>
      </c>
      <c r="I3150" t="s">
        <v>39</v>
      </c>
      <c r="J3150" t="s">
        <v>30</v>
      </c>
      <c r="K3150" s="2">
        <v>3450</v>
      </c>
      <c r="L3150" s="2">
        <v>11500</v>
      </c>
      <c r="M3150">
        <v>12</v>
      </c>
      <c r="N3150" s="3">
        <v>0.38</v>
      </c>
      <c r="O3150" t="s">
        <v>17</v>
      </c>
      <c r="P3150" t="s">
        <v>31</v>
      </c>
      <c r="Q3150">
        <v>0</v>
      </c>
      <c r="R3150">
        <v>1</v>
      </c>
      <c r="S3150" s="2">
        <v>0</v>
      </c>
      <c r="T3150" s="4"/>
      <c r="U3150">
        <v>2</v>
      </c>
      <c r="V3150">
        <v>1</v>
      </c>
      <c r="W3150">
        <v>1</v>
      </c>
    </row>
    <row r="3151" spans="1:23" ht="16.5" x14ac:dyDescent="0.3">
      <c r="A3151" t="s">
        <v>3215</v>
      </c>
      <c r="B3151" s="1">
        <v>45749</v>
      </c>
      <c r="C3151">
        <v>2025</v>
      </c>
      <c r="D3151" t="s">
        <v>688</v>
      </c>
      <c r="E3151" t="s">
        <v>689</v>
      </c>
      <c r="F3151" t="s">
        <v>41</v>
      </c>
      <c r="G3151" t="s">
        <v>51</v>
      </c>
      <c r="H3151" t="s">
        <v>55</v>
      </c>
      <c r="I3151" t="s">
        <v>29</v>
      </c>
      <c r="J3151" t="s">
        <v>30</v>
      </c>
      <c r="K3151" s="2">
        <v>7950</v>
      </c>
      <c r="L3151" s="2">
        <v>133000</v>
      </c>
      <c r="M3151">
        <v>12</v>
      </c>
      <c r="N3151" s="3">
        <v>1.5720000000000001</v>
      </c>
      <c r="O3151" t="s">
        <v>17</v>
      </c>
      <c r="P3151" t="s">
        <v>31</v>
      </c>
      <c r="Q3151">
        <v>0</v>
      </c>
      <c r="R3151">
        <v>1</v>
      </c>
      <c r="S3151" s="2">
        <v>0</v>
      </c>
      <c r="T3151" s="4"/>
      <c r="U3151">
        <v>17</v>
      </c>
      <c r="V3151">
        <v>0</v>
      </c>
      <c r="W3151">
        <v>1</v>
      </c>
    </row>
    <row r="3152" spans="1:23" ht="16.5" x14ac:dyDescent="0.3">
      <c r="A3152" t="s">
        <v>3216</v>
      </c>
      <c r="B3152" s="1">
        <v>45749</v>
      </c>
      <c r="C3152">
        <v>2025</v>
      </c>
      <c r="D3152" t="s">
        <v>688</v>
      </c>
      <c r="E3152" t="s">
        <v>689</v>
      </c>
      <c r="F3152" t="s">
        <v>50</v>
      </c>
      <c r="G3152" t="s">
        <v>33</v>
      </c>
      <c r="H3152" t="s">
        <v>64</v>
      </c>
      <c r="I3152" t="s">
        <v>29</v>
      </c>
      <c r="J3152" t="s">
        <v>52</v>
      </c>
      <c r="K3152" s="2">
        <v>8550</v>
      </c>
      <c r="L3152" s="2">
        <v>242000</v>
      </c>
      <c r="M3152">
        <v>240</v>
      </c>
      <c r="N3152" s="3">
        <v>0.249</v>
      </c>
      <c r="O3152" t="s">
        <v>16</v>
      </c>
      <c r="Q3152">
        <v>1</v>
      </c>
      <c r="R3152">
        <v>0</v>
      </c>
      <c r="S3152" s="2">
        <v>193500</v>
      </c>
      <c r="T3152" s="4">
        <v>4.6300000000000001E-2</v>
      </c>
      <c r="U3152">
        <v>3</v>
      </c>
      <c r="V3152">
        <v>1</v>
      </c>
      <c r="W3152">
        <v>1</v>
      </c>
    </row>
    <row r="3153" spans="1:23" ht="16.5" x14ac:dyDescent="0.3">
      <c r="A3153" t="s">
        <v>3217</v>
      </c>
      <c r="B3153" s="1">
        <v>45749</v>
      </c>
      <c r="C3153">
        <v>2025</v>
      </c>
      <c r="D3153" t="s">
        <v>688</v>
      </c>
      <c r="E3153" t="s">
        <v>689</v>
      </c>
      <c r="F3153" t="s">
        <v>37</v>
      </c>
      <c r="G3153" t="s">
        <v>45</v>
      </c>
      <c r="H3153" t="s">
        <v>55</v>
      </c>
      <c r="I3153" t="s">
        <v>29</v>
      </c>
      <c r="J3153" t="s">
        <v>52</v>
      </c>
      <c r="K3153" s="2">
        <v>6950</v>
      </c>
      <c r="L3153" s="2">
        <v>9000</v>
      </c>
      <c r="M3153">
        <v>48</v>
      </c>
      <c r="N3153" s="3">
        <v>0.14699999999999999</v>
      </c>
      <c r="O3153" t="s">
        <v>17</v>
      </c>
      <c r="P3153" t="s">
        <v>31</v>
      </c>
      <c r="Q3153">
        <v>0</v>
      </c>
      <c r="R3153">
        <v>1</v>
      </c>
      <c r="S3153" s="2">
        <v>0</v>
      </c>
      <c r="T3153" s="4"/>
      <c r="U3153">
        <v>2</v>
      </c>
      <c r="V3153">
        <v>1</v>
      </c>
      <c r="W3153">
        <v>1</v>
      </c>
    </row>
    <row r="3154" spans="1:23" ht="16.5" x14ac:dyDescent="0.3">
      <c r="A3154" t="s">
        <v>3218</v>
      </c>
      <c r="B3154" s="1">
        <v>45749</v>
      </c>
      <c r="C3154">
        <v>2025</v>
      </c>
      <c r="D3154" t="s">
        <v>688</v>
      </c>
      <c r="E3154" t="s">
        <v>689</v>
      </c>
      <c r="F3154" t="s">
        <v>50</v>
      </c>
      <c r="G3154" t="s">
        <v>45</v>
      </c>
      <c r="H3154" t="s">
        <v>38</v>
      </c>
      <c r="I3154" t="s">
        <v>39</v>
      </c>
      <c r="J3154" t="s">
        <v>35</v>
      </c>
      <c r="K3154" s="2">
        <v>3150</v>
      </c>
      <c r="L3154" s="2">
        <v>287500</v>
      </c>
      <c r="M3154">
        <v>180</v>
      </c>
      <c r="N3154" s="3">
        <v>0.90100000000000002</v>
      </c>
      <c r="O3154" t="s">
        <v>16</v>
      </c>
      <c r="Q3154">
        <v>1</v>
      </c>
      <c r="R3154">
        <v>0</v>
      </c>
      <c r="S3154" s="2">
        <v>287500</v>
      </c>
      <c r="T3154" s="4">
        <v>5.7000000000000002E-2</v>
      </c>
      <c r="U3154">
        <v>4</v>
      </c>
      <c r="V3154">
        <v>1</v>
      </c>
      <c r="W3154">
        <v>1</v>
      </c>
    </row>
    <row r="3155" spans="1:23" ht="16.5" x14ac:dyDescent="0.3">
      <c r="A3155" t="s">
        <v>3219</v>
      </c>
      <c r="B3155" s="1">
        <v>45749</v>
      </c>
      <c r="C3155">
        <v>2025</v>
      </c>
      <c r="D3155" t="s">
        <v>688</v>
      </c>
      <c r="E3155" t="s">
        <v>689</v>
      </c>
      <c r="F3155" t="s">
        <v>37</v>
      </c>
      <c r="G3155" t="s">
        <v>45</v>
      </c>
      <c r="H3155" t="s">
        <v>55</v>
      </c>
      <c r="I3155" t="s">
        <v>29</v>
      </c>
      <c r="J3155" t="s">
        <v>52</v>
      </c>
      <c r="K3155" s="2">
        <v>3500</v>
      </c>
      <c r="L3155" s="2">
        <v>8000</v>
      </c>
      <c r="M3155">
        <v>24</v>
      </c>
      <c r="N3155" s="3">
        <v>0.32</v>
      </c>
      <c r="O3155" t="s">
        <v>16</v>
      </c>
      <c r="Q3155">
        <v>1</v>
      </c>
      <c r="R3155">
        <v>0</v>
      </c>
      <c r="S3155" s="2">
        <v>8000</v>
      </c>
      <c r="T3155" s="4">
        <v>0.1128</v>
      </c>
      <c r="U3155">
        <v>3</v>
      </c>
      <c r="V3155">
        <v>1</v>
      </c>
      <c r="W3155">
        <v>1</v>
      </c>
    </row>
    <row r="3156" spans="1:23" ht="16.5" x14ac:dyDescent="0.3">
      <c r="A3156" t="s">
        <v>3220</v>
      </c>
      <c r="B3156" s="1">
        <v>45750</v>
      </c>
      <c r="C3156">
        <v>2025</v>
      </c>
      <c r="D3156" t="s">
        <v>688</v>
      </c>
      <c r="E3156" t="s">
        <v>689</v>
      </c>
      <c r="F3156" t="s">
        <v>37</v>
      </c>
      <c r="G3156" t="s">
        <v>51</v>
      </c>
      <c r="H3156" t="s">
        <v>34</v>
      </c>
      <c r="I3156" t="s">
        <v>29</v>
      </c>
      <c r="J3156" t="s">
        <v>30</v>
      </c>
      <c r="K3156" s="2">
        <v>10400</v>
      </c>
      <c r="L3156" s="2">
        <v>6000</v>
      </c>
      <c r="M3156">
        <v>36</v>
      </c>
      <c r="N3156" s="3">
        <v>8.6999999999999994E-2</v>
      </c>
      <c r="O3156" t="s">
        <v>16</v>
      </c>
      <c r="Q3156">
        <v>1</v>
      </c>
      <c r="R3156">
        <v>0</v>
      </c>
      <c r="S3156" s="2">
        <v>6000</v>
      </c>
      <c r="T3156" s="4">
        <v>0.14019999999999999</v>
      </c>
      <c r="U3156">
        <v>5</v>
      </c>
      <c r="V3156">
        <v>0</v>
      </c>
      <c r="W3156">
        <v>1</v>
      </c>
    </row>
    <row r="3157" spans="1:23" ht="16.5" x14ac:dyDescent="0.3">
      <c r="A3157" t="s">
        <v>3221</v>
      </c>
      <c r="B3157" s="1">
        <v>45750</v>
      </c>
      <c r="C3157">
        <v>2025</v>
      </c>
      <c r="D3157" t="s">
        <v>688</v>
      </c>
      <c r="E3157" t="s">
        <v>689</v>
      </c>
      <c r="F3157" t="s">
        <v>37</v>
      </c>
      <c r="G3157" t="s">
        <v>45</v>
      </c>
      <c r="H3157" t="s">
        <v>55</v>
      </c>
      <c r="I3157" t="s">
        <v>29</v>
      </c>
      <c r="J3157" t="s">
        <v>46</v>
      </c>
      <c r="K3157" s="2">
        <v>6000</v>
      </c>
      <c r="L3157" s="2">
        <v>10500</v>
      </c>
      <c r="M3157">
        <v>48</v>
      </c>
      <c r="N3157" s="3">
        <v>0.13600000000000001</v>
      </c>
      <c r="O3157" t="s">
        <v>16</v>
      </c>
      <c r="Q3157">
        <v>1</v>
      </c>
      <c r="R3157">
        <v>0</v>
      </c>
      <c r="S3157" s="2">
        <v>10500</v>
      </c>
      <c r="T3157" s="4">
        <v>0.114</v>
      </c>
      <c r="U3157">
        <v>1</v>
      </c>
      <c r="V3157">
        <v>1</v>
      </c>
      <c r="W3157">
        <v>1</v>
      </c>
    </row>
    <row r="3158" spans="1:23" ht="16.5" x14ac:dyDescent="0.3">
      <c r="A3158" t="s">
        <v>3222</v>
      </c>
      <c r="B3158" s="1">
        <v>45750</v>
      </c>
      <c r="C3158">
        <v>2025</v>
      </c>
      <c r="D3158" t="s">
        <v>688</v>
      </c>
      <c r="E3158" t="s">
        <v>689</v>
      </c>
      <c r="F3158" t="s">
        <v>26</v>
      </c>
      <c r="G3158" t="s">
        <v>33</v>
      </c>
      <c r="H3158" t="s">
        <v>55</v>
      </c>
      <c r="I3158" t="s">
        <v>29</v>
      </c>
      <c r="J3158" t="s">
        <v>52</v>
      </c>
      <c r="K3158" s="2">
        <v>3850</v>
      </c>
      <c r="L3158" s="2">
        <v>22500</v>
      </c>
      <c r="M3158">
        <v>36</v>
      </c>
      <c r="N3158" s="3">
        <v>0.24099999999999999</v>
      </c>
      <c r="O3158" t="s">
        <v>16</v>
      </c>
      <c r="Q3158">
        <v>1</v>
      </c>
      <c r="R3158">
        <v>0</v>
      </c>
      <c r="S3158" s="2">
        <v>22500</v>
      </c>
      <c r="T3158" s="4">
        <v>7.3200000000000001E-2</v>
      </c>
      <c r="U3158">
        <v>3</v>
      </c>
      <c r="V3158">
        <v>1</v>
      </c>
      <c r="W3158">
        <v>1</v>
      </c>
    </row>
    <row r="3159" spans="1:23" ht="16.5" x14ac:dyDescent="0.3">
      <c r="A3159" t="s">
        <v>3223</v>
      </c>
      <c r="B3159" s="1">
        <v>45750</v>
      </c>
      <c r="C3159">
        <v>2025</v>
      </c>
      <c r="D3159" t="s">
        <v>688</v>
      </c>
      <c r="E3159" t="s">
        <v>689</v>
      </c>
      <c r="F3159" t="s">
        <v>37</v>
      </c>
      <c r="G3159" t="s">
        <v>33</v>
      </c>
      <c r="H3159" t="s">
        <v>34</v>
      </c>
      <c r="I3159" t="s">
        <v>29</v>
      </c>
      <c r="J3159" t="s">
        <v>30</v>
      </c>
      <c r="K3159" s="2">
        <v>6900</v>
      </c>
      <c r="L3159" s="2">
        <v>13000</v>
      </c>
      <c r="M3159">
        <v>48</v>
      </c>
      <c r="N3159" s="3">
        <v>0.14399999999999999</v>
      </c>
      <c r="O3159" t="s">
        <v>17</v>
      </c>
      <c r="P3159" t="s">
        <v>48</v>
      </c>
      <c r="Q3159">
        <v>0</v>
      </c>
      <c r="R3159">
        <v>1</v>
      </c>
      <c r="S3159" s="2">
        <v>0</v>
      </c>
      <c r="T3159" s="4"/>
      <c r="U3159">
        <v>3</v>
      </c>
      <c r="V3159">
        <v>1</v>
      </c>
      <c r="W3159">
        <v>1</v>
      </c>
    </row>
    <row r="3160" spans="1:23" ht="16.5" x14ac:dyDescent="0.3">
      <c r="A3160" t="s">
        <v>3224</v>
      </c>
      <c r="B3160" s="1">
        <v>45750</v>
      </c>
      <c r="C3160">
        <v>2025</v>
      </c>
      <c r="D3160" t="s">
        <v>688</v>
      </c>
      <c r="E3160" t="s">
        <v>689</v>
      </c>
      <c r="F3160" t="s">
        <v>41</v>
      </c>
      <c r="G3160" t="s">
        <v>33</v>
      </c>
      <c r="H3160" t="s">
        <v>34</v>
      </c>
      <c r="I3160" t="s">
        <v>29</v>
      </c>
      <c r="J3160" t="s">
        <v>35</v>
      </c>
      <c r="K3160" s="2">
        <v>5600</v>
      </c>
      <c r="L3160" s="2">
        <v>84000</v>
      </c>
      <c r="M3160">
        <v>24</v>
      </c>
      <c r="N3160" s="3">
        <v>0.84799999999999998</v>
      </c>
      <c r="O3160" t="s">
        <v>17</v>
      </c>
      <c r="P3160" t="s">
        <v>53</v>
      </c>
      <c r="Q3160">
        <v>0</v>
      </c>
      <c r="R3160">
        <v>1</v>
      </c>
      <c r="S3160" s="2">
        <v>0</v>
      </c>
      <c r="T3160" s="4"/>
      <c r="U3160">
        <v>4</v>
      </c>
      <c r="V3160">
        <v>1</v>
      </c>
      <c r="W3160">
        <v>1</v>
      </c>
    </row>
    <row r="3161" spans="1:23" ht="16.5" x14ac:dyDescent="0.3">
      <c r="A3161" t="s">
        <v>3225</v>
      </c>
      <c r="B3161" s="1">
        <v>45750</v>
      </c>
      <c r="C3161">
        <v>2025</v>
      </c>
      <c r="D3161" t="s">
        <v>688</v>
      </c>
      <c r="E3161" t="s">
        <v>689</v>
      </c>
      <c r="F3161" t="s">
        <v>37</v>
      </c>
      <c r="G3161" t="s">
        <v>33</v>
      </c>
      <c r="H3161" t="s">
        <v>34</v>
      </c>
      <c r="I3161" t="s">
        <v>29</v>
      </c>
      <c r="J3161" t="s">
        <v>35</v>
      </c>
      <c r="K3161" s="2">
        <v>6350</v>
      </c>
      <c r="L3161" s="2">
        <v>8500</v>
      </c>
      <c r="M3161">
        <v>36</v>
      </c>
      <c r="N3161" s="3">
        <v>0.17299999999999999</v>
      </c>
      <c r="O3161" t="s">
        <v>16</v>
      </c>
      <c r="Q3161">
        <v>1</v>
      </c>
      <c r="R3161">
        <v>0</v>
      </c>
      <c r="S3161" s="2">
        <v>7000</v>
      </c>
      <c r="T3161" s="4">
        <v>0.13039999999999999</v>
      </c>
      <c r="U3161">
        <v>1</v>
      </c>
      <c r="V3161">
        <v>1</v>
      </c>
      <c r="W3161">
        <v>1</v>
      </c>
    </row>
    <row r="3162" spans="1:23" ht="16.5" x14ac:dyDescent="0.3">
      <c r="A3162" t="s">
        <v>3226</v>
      </c>
      <c r="B3162" s="1">
        <v>45750</v>
      </c>
      <c r="C3162">
        <v>2025</v>
      </c>
      <c r="D3162" t="s">
        <v>688</v>
      </c>
      <c r="E3162" t="s">
        <v>689</v>
      </c>
      <c r="F3162" t="s">
        <v>37</v>
      </c>
      <c r="G3162" t="s">
        <v>51</v>
      </c>
      <c r="H3162" t="s">
        <v>55</v>
      </c>
      <c r="I3162" t="s">
        <v>29</v>
      </c>
      <c r="J3162" t="s">
        <v>52</v>
      </c>
      <c r="K3162" s="2">
        <v>2150</v>
      </c>
      <c r="L3162" s="2">
        <v>15000</v>
      </c>
      <c r="M3162">
        <v>24</v>
      </c>
      <c r="N3162" s="3">
        <v>0.38400000000000001</v>
      </c>
      <c r="O3162" t="s">
        <v>16</v>
      </c>
      <c r="Q3162">
        <v>1</v>
      </c>
      <c r="R3162">
        <v>0</v>
      </c>
      <c r="S3162" s="2">
        <v>15000</v>
      </c>
      <c r="T3162" s="4">
        <v>0.1125</v>
      </c>
      <c r="U3162">
        <v>6</v>
      </c>
      <c r="V3162">
        <v>0</v>
      </c>
      <c r="W3162">
        <v>1</v>
      </c>
    </row>
    <row r="3163" spans="1:23" ht="16.5" x14ac:dyDescent="0.3">
      <c r="A3163" t="s">
        <v>3227</v>
      </c>
      <c r="B3163" s="1">
        <v>45751</v>
      </c>
      <c r="C3163">
        <v>2025</v>
      </c>
      <c r="D3163" t="s">
        <v>688</v>
      </c>
      <c r="E3163" t="s">
        <v>689</v>
      </c>
      <c r="F3163" t="s">
        <v>26</v>
      </c>
      <c r="G3163" t="s">
        <v>27</v>
      </c>
      <c r="H3163" t="s">
        <v>64</v>
      </c>
      <c r="I3163" t="s">
        <v>29</v>
      </c>
      <c r="J3163" t="s">
        <v>35</v>
      </c>
      <c r="K3163" s="2">
        <v>4950</v>
      </c>
      <c r="L3163" s="2">
        <v>34000</v>
      </c>
      <c r="M3163">
        <v>36</v>
      </c>
      <c r="N3163" s="3">
        <v>0.34699999999999998</v>
      </c>
      <c r="O3163" t="s">
        <v>16</v>
      </c>
      <c r="Q3163">
        <v>1</v>
      </c>
      <c r="R3163">
        <v>0</v>
      </c>
      <c r="S3163" s="2">
        <v>34000</v>
      </c>
      <c r="T3163" s="4">
        <v>8.7099999999999997E-2</v>
      </c>
      <c r="U3163">
        <v>5</v>
      </c>
      <c r="V3163">
        <v>0</v>
      </c>
      <c r="W3163">
        <v>1</v>
      </c>
    </row>
    <row r="3164" spans="1:23" ht="16.5" x14ac:dyDescent="0.3">
      <c r="A3164" t="s">
        <v>3228</v>
      </c>
      <c r="B3164" s="1">
        <v>45751</v>
      </c>
      <c r="C3164">
        <v>2025</v>
      </c>
      <c r="D3164" t="s">
        <v>688</v>
      </c>
      <c r="E3164" t="s">
        <v>689</v>
      </c>
      <c r="F3164" t="s">
        <v>37</v>
      </c>
      <c r="G3164" t="s">
        <v>33</v>
      </c>
      <c r="H3164" t="s">
        <v>55</v>
      </c>
      <c r="I3164" t="s">
        <v>39</v>
      </c>
      <c r="J3164" t="s">
        <v>30</v>
      </c>
      <c r="K3164" s="2">
        <v>5700</v>
      </c>
      <c r="L3164" s="2">
        <v>8000</v>
      </c>
      <c r="M3164">
        <v>36</v>
      </c>
      <c r="N3164" s="3">
        <v>0.27700000000000002</v>
      </c>
      <c r="O3164" t="s">
        <v>17</v>
      </c>
      <c r="P3164" t="s">
        <v>31</v>
      </c>
      <c r="Q3164">
        <v>0</v>
      </c>
      <c r="R3164">
        <v>1</v>
      </c>
      <c r="S3164" s="2">
        <v>0</v>
      </c>
      <c r="T3164" s="4"/>
      <c r="U3164">
        <v>2</v>
      </c>
      <c r="V3164">
        <v>1</v>
      </c>
      <c r="W3164">
        <v>1</v>
      </c>
    </row>
    <row r="3165" spans="1:23" ht="16.5" x14ac:dyDescent="0.3">
      <c r="A3165" t="s">
        <v>3229</v>
      </c>
      <c r="B3165" s="1">
        <v>45751</v>
      </c>
      <c r="C3165">
        <v>2025</v>
      </c>
      <c r="D3165" t="s">
        <v>688</v>
      </c>
      <c r="E3165" t="s">
        <v>689</v>
      </c>
      <c r="F3165" t="s">
        <v>37</v>
      </c>
      <c r="G3165" t="s">
        <v>33</v>
      </c>
      <c r="H3165" t="s">
        <v>55</v>
      </c>
      <c r="I3165" t="s">
        <v>39</v>
      </c>
      <c r="J3165" t="s">
        <v>30</v>
      </c>
      <c r="K3165" s="2">
        <v>2800</v>
      </c>
      <c r="L3165" s="2">
        <v>13500</v>
      </c>
      <c r="M3165">
        <v>12</v>
      </c>
      <c r="N3165" s="3">
        <v>0.58699999999999997</v>
      </c>
      <c r="O3165" t="s">
        <v>125</v>
      </c>
      <c r="Q3165">
        <v>0</v>
      </c>
      <c r="R3165">
        <v>0</v>
      </c>
      <c r="S3165" s="2">
        <v>0</v>
      </c>
      <c r="T3165" s="4"/>
      <c r="U3165">
        <v>1</v>
      </c>
      <c r="V3165">
        <v>1</v>
      </c>
      <c r="W3165">
        <v>1</v>
      </c>
    </row>
    <row r="3166" spans="1:23" ht="16.5" x14ac:dyDescent="0.3">
      <c r="A3166" t="s">
        <v>3230</v>
      </c>
      <c r="B3166" s="1">
        <v>45751</v>
      </c>
      <c r="C3166">
        <v>2025</v>
      </c>
      <c r="D3166" t="s">
        <v>688</v>
      </c>
      <c r="E3166" t="s">
        <v>689</v>
      </c>
      <c r="F3166" t="s">
        <v>26</v>
      </c>
      <c r="G3166" t="s">
        <v>33</v>
      </c>
      <c r="H3166" t="s">
        <v>38</v>
      </c>
      <c r="I3166" t="s">
        <v>29</v>
      </c>
      <c r="J3166" t="s">
        <v>35</v>
      </c>
      <c r="K3166" s="2">
        <v>8700</v>
      </c>
      <c r="L3166" s="2">
        <v>21000</v>
      </c>
      <c r="M3166">
        <v>48</v>
      </c>
      <c r="N3166" s="3">
        <v>0.29099999999999998</v>
      </c>
      <c r="O3166" t="s">
        <v>16</v>
      </c>
      <c r="Q3166">
        <v>1</v>
      </c>
      <c r="R3166">
        <v>0</v>
      </c>
      <c r="S3166" s="2">
        <v>17000</v>
      </c>
      <c r="T3166" s="4">
        <v>7.4899999999999994E-2</v>
      </c>
      <c r="U3166">
        <v>2</v>
      </c>
      <c r="V3166">
        <v>1</v>
      </c>
      <c r="W3166">
        <v>1</v>
      </c>
    </row>
    <row r="3167" spans="1:23" ht="16.5" x14ac:dyDescent="0.3">
      <c r="A3167" t="s">
        <v>3231</v>
      </c>
      <c r="B3167" s="1">
        <v>45751</v>
      </c>
      <c r="C3167">
        <v>2025</v>
      </c>
      <c r="D3167" t="s">
        <v>688</v>
      </c>
      <c r="E3167" t="s">
        <v>689</v>
      </c>
      <c r="F3167" t="s">
        <v>37</v>
      </c>
      <c r="G3167" t="s">
        <v>45</v>
      </c>
      <c r="H3167" t="s">
        <v>64</v>
      </c>
      <c r="I3167" t="s">
        <v>39</v>
      </c>
      <c r="J3167" t="s">
        <v>43</v>
      </c>
      <c r="K3167" s="2">
        <v>4650</v>
      </c>
      <c r="L3167" s="2">
        <v>15000</v>
      </c>
      <c r="M3167">
        <v>36</v>
      </c>
      <c r="N3167" s="3">
        <v>0.20799999999999999</v>
      </c>
      <c r="O3167" t="s">
        <v>17</v>
      </c>
      <c r="P3167" t="s">
        <v>31</v>
      </c>
      <c r="Q3167">
        <v>0</v>
      </c>
      <c r="R3167">
        <v>1</v>
      </c>
      <c r="S3167" s="2">
        <v>0</v>
      </c>
      <c r="T3167" s="4"/>
      <c r="U3167">
        <v>3</v>
      </c>
      <c r="V3167">
        <v>1</v>
      </c>
      <c r="W3167">
        <v>1</v>
      </c>
    </row>
    <row r="3168" spans="1:23" ht="16.5" x14ac:dyDescent="0.3">
      <c r="A3168" t="s">
        <v>3232</v>
      </c>
      <c r="B3168" s="1">
        <v>45751</v>
      </c>
      <c r="C3168">
        <v>2025</v>
      </c>
      <c r="D3168" t="s">
        <v>688</v>
      </c>
      <c r="E3168" t="s">
        <v>689</v>
      </c>
      <c r="F3168" t="s">
        <v>26</v>
      </c>
      <c r="G3168" t="s">
        <v>45</v>
      </c>
      <c r="H3168" t="s">
        <v>38</v>
      </c>
      <c r="I3168" t="s">
        <v>39</v>
      </c>
      <c r="J3168" t="s">
        <v>35</v>
      </c>
      <c r="K3168" s="2">
        <v>5700</v>
      </c>
      <c r="L3168" s="2">
        <v>27500</v>
      </c>
      <c r="M3168">
        <v>36</v>
      </c>
      <c r="N3168" s="3">
        <v>0.26900000000000002</v>
      </c>
      <c r="O3168" t="s">
        <v>16</v>
      </c>
      <c r="Q3168">
        <v>1</v>
      </c>
      <c r="R3168">
        <v>0</v>
      </c>
      <c r="S3168" s="2">
        <v>22000</v>
      </c>
      <c r="T3168" s="4">
        <v>8.09E-2</v>
      </c>
      <c r="U3168">
        <v>2</v>
      </c>
      <c r="V3168">
        <v>1</v>
      </c>
      <c r="W3168">
        <v>1</v>
      </c>
    </row>
    <row r="3169" spans="1:23" ht="16.5" x14ac:dyDescent="0.3">
      <c r="A3169" t="s">
        <v>3233</v>
      </c>
      <c r="B3169" s="1">
        <v>45751</v>
      </c>
      <c r="C3169">
        <v>2025</v>
      </c>
      <c r="D3169" t="s">
        <v>688</v>
      </c>
      <c r="E3169" t="s">
        <v>689</v>
      </c>
      <c r="F3169" t="s">
        <v>37</v>
      </c>
      <c r="G3169" t="s">
        <v>45</v>
      </c>
      <c r="H3169" t="s">
        <v>28</v>
      </c>
      <c r="I3169" t="s">
        <v>42</v>
      </c>
      <c r="J3169" t="s">
        <v>52</v>
      </c>
      <c r="K3169" s="2">
        <v>6500</v>
      </c>
      <c r="L3169" s="2">
        <v>14500</v>
      </c>
      <c r="M3169">
        <v>48</v>
      </c>
      <c r="N3169" s="3">
        <v>0.11899999999999999</v>
      </c>
      <c r="O3169" t="s">
        <v>16</v>
      </c>
      <c r="Q3169">
        <v>1</v>
      </c>
      <c r="R3169">
        <v>0</v>
      </c>
      <c r="S3169" s="2">
        <v>14500</v>
      </c>
      <c r="T3169" s="4">
        <v>0.11360000000000001</v>
      </c>
      <c r="U3169">
        <v>1</v>
      </c>
      <c r="V3169">
        <v>1</v>
      </c>
      <c r="W3169">
        <v>1</v>
      </c>
    </row>
    <row r="3170" spans="1:23" ht="16.5" x14ac:dyDescent="0.3">
      <c r="A3170" t="s">
        <v>3234</v>
      </c>
      <c r="B3170" s="1">
        <v>45752</v>
      </c>
      <c r="C3170">
        <v>2025</v>
      </c>
      <c r="D3170" t="s">
        <v>688</v>
      </c>
      <c r="E3170" t="s">
        <v>689</v>
      </c>
      <c r="F3170" t="s">
        <v>26</v>
      </c>
      <c r="G3170" t="s">
        <v>33</v>
      </c>
      <c r="H3170" t="s">
        <v>34</v>
      </c>
      <c r="I3170" t="s">
        <v>39</v>
      </c>
      <c r="J3170" t="s">
        <v>35</v>
      </c>
      <c r="K3170" s="2">
        <v>3350</v>
      </c>
      <c r="L3170" s="2">
        <v>32000</v>
      </c>
      <c r="M3170">
        <v>36</v>
      </c>
      <c r="N3170" s="3">
        <v>0.433</v>
      </c>
      <c r="O3170" t="s">
        <v>17</v>
      </c>
      <c r="P3170" t="s">
        <v>48</v>
      </c>
      <c r="Q3170">
        <v>0</v>
      </c>
      <c r="R3170">
        <v>1</v>
      </c>
      <c r="S3170" s="2">
        <v>0</v>
      </c>
      <c r="T3170" s="4"/>
      <c r="U3170">
        <v>1</v>
      </c>
      <c r="V3170">
        <v>1</v>
      </c>
      <c r="W3170">
        <v>1</v>
      </c>
    </row>
    <row r="3171" spans="1:23" ht="16.5" x14ac:dyDescent="0.3">
      <c r="A3171" t="s">
        <v>3235</v>
      </c>
      <c r="B3171" s="1">
        <v>45752</v>
      </c>
      <c r="C3171">
        <v>2025</v>
      </c>
      <c r="D3171" t="s">
        <v>688</v>
      </c>
      <c r="E3171" t="s">
        <v>689</v>
      </c>
      <c r="F3171" t="s">
        <v>41</v>
      </c>
      <c r="G3171" t="s">
        <v>33</v>
      </c>
      <c r="H3171" t="s">
        <v>55</v>
      </c>
      <c r="I3171" t="s">
        <v>39</v>
      </c>
      <c r="J3171" t="s">
        <v>35</v>
      </c>
      <c r="K3171" s="2">
        <v>4450</v>
      </c>
      <c r="L3171" s="2">
        <v>88000</v>
      </c>
      <c r="M3171">
        <v>60</v>
      </c>
      <c r="N3171" s="3">
        <v>0.60399999999999998</v>
      </c>
      <c r="O3171" t="s">
        <v>16</v>
      </c>
      <c r="Q3171">
        <v>1</v>
      </c>
      <c r="R3171">
        <v>0</v>
      </c>
      <c r="S3171" s="2">
        <v>88000</v>
      </c>
      <c r="T3171" s="4">
        <v>0.10630000000000001</v>
      </c>
      <c r="U3171">
        <v>3</v>
      </c>
      <c r="V3171">
        <v>1</v>
      </c>
      <c r="W3171">
        <v>1</v>
      </c>
    </row>
    <row r="3172" spans="1:23" ht="16.5" x14ac:dyDescent="0.3">
      <c r="A3172" t="s">
        <v>3236</v>
      </c>
      <c r="B3172" s="1">
        <v>45752</v>
      </c>
      <c r="C3172">
        <v>2025</v>
      </c>
      <c r="D3172" t="s">
        <v>688</v>
      </c>
      <c r="E3172" t="s">
        <v>689</v>
      </c>
      <c r="F3172" t="s">
        <v>37</v>
      </c>
      <c r="G3172" t="s">
        <v>45</v>
      </c>
      <c r="H3172" t="s">
        <v>28</v>
      </c>
      <c r="I3172" t="s">
        <v>29</v>
      </c>
      <c r="J3172" t="s">
        <v>30</v>
      </c>
      <c r="K3172" s="2">
        <v>4300</v>
      </c>
      <c r="L3172" s="2">
        <v>6000</v>
      </c>
      <c r="M3172">
        <v>24</v>
      </c>
      <c r="N3172" s="3">
        <v>0.25700000000000001</v>
      </c>
      <c r="O3172" t="s">
        <v>16</v>
      </c>
      <c r="Q3172">
        <v>1</v>
      </c>
      <c r="R3172">
        <v>0</v>
      </c>
      <c r="S3172" s="2">
        <v>6000</v>
      </c>
      <c r="T3172" s="4">
        <v>0.13739999999999999</v>
      </c>
      <c r="U3172">
        <v>1</v>
      </c>
      <c r="V3172">
        <v>1</v>
      </c>
      <c r="W3172">
        <v>1</v>
      </c>
    </row>
    <row r="3173" spans="1:23" ht="16.5" x14ac:dyDescent="0.3">
      <c r="A3173" t="s">
        <v>3237</v>
      </c>
      <c r="B3173" s="1">
        <v>45752</v>
      </c>
      <c r="C3173">
        <v>2025</v>
      </c>
      <c r="D3173" t="s">
        <v>688</v>
      </c>
      <c r="E3173" t="s">
        <v>689</v>
      </c>
      <c r="F3173" t="s">
        <v>37</v>
      </c>
      <c r="G3173" t="s">
        <v>45</v>
      </c>
      <c r="H3173" t="s">
        <v>55</v>
      </c>
      <c r="I3173" t="s">
        <v>29</v>
      </c>
      <c r="J3173" t="s">
        <v>52</v>
      </c>
      <c r="K3173" s="2">
        <v>3650</v>
      </c>
      <c r="L3173" s="2">
        <v>5500</v>
      </c>
      <c r="M3173">
        <v>12</v>
      </c>
      <c r="N3173" s="3">
        <v>0.35899999999999999</v>
      </c>
      <c r="O3173" t="s">
        <v>17</v>
      </c>
      <c r="P3173" t="s">
        <v>60</v>
      </c>
      <c r="Q3173">
        <v>0</v>
      </c>
      <c r="R3173">
        <v>1</v>
      </c>
      <c r="S3173" s="2">
        <v>0</v>
      </c>
      <c r="T3173" s="4"/>
      <c r="U3173">
        <v>6</v>
      </c>
      <c r="V3173">
        <v>0</v>
      </c>
      <c r="W3173">
        <v>1</v>
      </c>
    </row>
    <row r="3174" spans="1:23" ht="16.5" x14ac:dyDescent="0.3">
      <c r="A3174" t="s">
        <v>3238</v>
      </c>
      <c r="B3174" s="1">
        <v>45752</v>
      </c>
      <c r="C3174">
        <v>2025</v>
      </c>
      <c r="D3174" t="s">
        <v>688</v>
      </c>
      <c r="E3174" t="s">
        <v>689</v>
      </c>
      <c r="F3174" t="s">
        <v>37</v>
      </c>
      <c r="G3174" t="s">
        <v>51</v>
      </c>
      <c r="H3174" t="s">
        <v>28</v>
      </c>
      <c r="I3174" t="s">
        <v>42</v>
      </c>
      <c r="J3174" t="s">
        <v>35</v>
      </c>
      <c r="K3174" s="2">
        <v>3950</v>
      </c>
      <c r="L3174" s="2">
        <v>14000</v>
      </c>
      <c r="M3174">
        <v>48</v>
      </c>
      <c r="N3174" s="3">
        <v>0.30099999999999999</v>
      </c>
      <c r="O3174" t="s">
        <v>16</v>
      </c>
      <c r="Q3174">
        <v>1</v>
      </c>
      <c r="R3174">
        <v>0</v>
      </c>
      <c r="S3174" s="2">
        <v>14000</v>
      </c>
      <c r="T3174" s="4">
        <v>0.1249</v>
      </c>
      <c r="U3174">
        <v>3</v>
      </c>
      <c r="V3174">
        <v>1</v>
      </c>
      <c r="W3174">
        <v>1</v>
      </c>
    </row>
    <row r="3175" spans="1:23" ht="16.5" x14ac:dyDescent="0.3">
      <c r="A3175" t="s">
        <v>3239</v>
      </c>
      <c r="B3175" s="1">
        <v>45753</v>
      </c>
      <c r="C3175">
        <v>2025</v>
      </c>
      <c r="D3175" t="s">
        <v>688</v>
      </c>
      <c r="E3175" t="s">
        <v>689</v>
      </c>
      <c r="F3175" t="s">
        <v>37</v>
      </c>
      <c r="G3175" t="s">
        <v>51</v>
      </c>
      <c r="H3175" t="s">
        <v>28</v>
      </c>
      <c r="I3175" t="s">
        <v>39</v>
      </c>
      <c r="J3175" t="s">
        <v>46</v>
      </c>
      <c r="K3175" s="2">
        <v>8950</v>
      </c>
      <c r="L3175" s="2">
        <v>11500</v>
      </c>
      <c r="M3175">
        <v>24</v>
      </c>
      <c r="N3175" s="3">
        <v>0.28199999999999997</v>
      </c>
      <c r="O3175" t="s">
        <v>16</v>
      </c>
      <c r="Q3175">
        <v>1</v>
      </c>
      <c r="R3175">
        <v>0</v>
      </c>
      <c r="S3175" s="2">
        <v>11500</v>
      </c>
      <c r="T3175" s="4">
        <v>0.1056</v>
      </c>
      <c r="U3175">
        <v>3</v>
      </c>
      <c r="V3175">
        <v>1</v>
      </c>
      <c r="W3175">
        <v>1</v>
      </c>
    </row>
    <row r="3176" spans="1:23" ht="16.5" x14ac:dyDescent="0.3">
      <c r="A3176" t="s">
        <v>3240</v>
      </c>
      <c r="B3176" s="1">
        <v>45753</v>
      </c>
      <c r="C3176">
        <v>2025</v>
      </c>
      <c r="D3176" t="s">
        <v>688</v>
      </c>
      <c r="E3176" t="s">
        <v>689</v>
      </c>
      <c r="F3176" t="s">
        <v>37</v>
      </c>
      <c r="G3176" t="s">
        <v>33</v>
      </c>
      <c r="H3176" t="s">
        <v>34</v>
      </c>
      <c r="I3176" t="s">
        <v>29</v>
      </c>
      <c r="J3176" t="s">
        <v>35</v>
      </c>
      <c r="K3176" s="2">
        <v>1500</v>
      </c>
      <c r="L3176" s="2">
        <v>4500</v>
      </c>
      <c r="M3176">
        <v>60</v>
      </c>
      <c r="N3176" s="3">
        <v>0.27500000000000002</v>
      </c>
      <c r="O3176" t="s">
        <v>16</v>
      </c>
      <c r="Q3176">
        <v>1</v>
      </c>
      <c r="R3176">
        <v>0</v>
      </c>
      <c r="S3176" s="2">
        <v>4500</v>
      </c>
      <c r="T3176" s="4">
        <v>0.121</v>
      </c>
      <c r="U3176">
        <v>1</v>
      </c>
      <c r="V3176">
        <v>1</v>
      </c>
      <c r="W3176">
        <v>1</v>
      </c>
    </row>
    <row r="3177" spans="1:23" ht="16.5" x14ac:dyDescent="0.3">
      <c r="A3177" t="s">
        <v>3241</v>
      </c>
      <c r="B3177" s="1">
        <v>45753</v>
      </c>
      <c r="C3177">
        <v>2025</v>
      </c>
      <c r="D3177" t="s">
        <v>688</v>
      </c>
      <c r="E3177" t="s">
        <v>689</v>
      </c>
      <c r="F3177" t="s">
        <v>50</v>
      </c>
      <c r="G3177" t="s">
        <v>33</v>
      </c>
      <c r="H3177" t="s">
        <v>38</v>
      </c>
      <c r="I3177" t="s">
        <v>29</v>
      </c>
      <c r="J3177" t="s">
        <v>30</v>
      </c>
      <c r="K3177" s="2">
        <v>7300</v>
      </c>
      <c r="L3177" s="2">
        <v>270000</v>
      </c>
      <c r="M3177">
        <v>180</v>
      </c>
      <c r="N3177" s="3">
        <v>0.52</v>
      </c>
      <c r="O3177" t="s">
        <v>16</v>
      </c>
      <c r="Q3177">
        <v>1</v>
      </c>
      <c r="R3177">
        <v>0</v>
      </c>
      <c r="S3177" s="2">
        <v>270000</v>
      </c>
      <c r="T3177" s="4">
        <v>6.6100000000000006E-2</v>
      </c>
      <c r="U3177">
        <v>8</v>
      </c>
      <c r="V3177">
        <v>1</v>
      </c>
      <c r="W3177">
        <v>1</v>
      </c>
    </row>
    <row r="3178" spans="1:23" ht="16.5" x14ac:dyDescent="0.3">
      <c r="A3178" t="s">
        <v>3242</v>
      </c>
      <c r="B3178" s="1">
        <v>45753</v>
      </c>
      <c r="C3178">
        <v>2025</v>
      </c>
      <c r="D3178" t="s">
        <v>688</v>
      </c>
      <c r="E3178" t="s">
        <v>689</v>
      </c>
      <c r="F3178" t="s">
        <v>37</v>
      </c>
      <c r="G3178" t="s">
        <v>45</v>
      </c>
      <c r="H3178" t="s">
        <v>64</v>
      </c>
      <c r="I3178" t="s">
        <v>39</v>
      </c>
      <c r="J3178" t="s">
        <v>43</v>
      </c>
      <c r="K3178" s="2">
        <v>9200</v>
      </c>
      <c r="L3178" s="2">
        <v>12000</v>
      </c>
      <c r="M3178">
        <v>36</v>
      </c>
      <c r="N3178" s="3">
        <v>0.11600000000000001</v>
      </c>
      <c r="O3178" t="s">
        <v>16</v>
      </c>
      <c r="Q3178">
        <v>1</v>
      </c>
      <c r="R3178">
        <v>0</v>
      </c>
      <c r="S3178" s="2">
        <v>12000</v>
      </c>
      <c r="T3178" s="4">
        <v>0.16120000000000001</v>
      </c>
      <c r="U3178">
        <v>2</v>
      </c>
      <c r="V3178">
        <v>1</v>
      </c>
      <c r="W3178">
        <v>1</v>
      </c>
    </row>
    <row r="3179" spans="1:23" ht="16.5" x14ac:dyDescent="0.3">
      <c r="A3179" t="s">
        <v>3243</v>
      </c>
      <c r="B3179" s="1">
        <v>45753</v>
      </c>
      <c r="C3179">
        <v>2025</v>
      </c>
      <c r="D3179" t="s">
        <v>688</v>
      </c>
      <c r="E3179" t="s">
        <v>689</v>
      </c>
      <c r="F3179" t="s">
        <v>26</v>
      </c>
      <c r="G3179" t="s">
        <v>33</v>
      </c>
      <c r="H3179" t="s">
        <v>34</v>
      </c>
      <c r="I3179" t="s">
        <v>39</v>
      </c>
      <c r="J3179" t="s">
        <v>30</v>
      </c>
      <c r="K3179" s="2">
        <v>7450</v>
      </c>
      <c r="L3179" s="2">
        <v>66000</v>
      </c>
      <c r="M3179">
        <v>48</v>
      </c>
      <c r="N3179" s="3">
        <v>0.41799999999999998</v>
      </c>
      <c r="O3179" t="s">
        <v>17</v>
      </c>
      <c r="P3179" t="s">
        <v>31</v>
      </c>
      <c r="Q3179">
        <v>0</v>
      </c>
      <c r="R3179">
        <v>1</v>
      </c>
      <c r="S3179" s="2">
        <v>0</v>
      </c>
      <c r="T3179" s="4"/>
      <c r="U3179">
        <v>1</v>
      </c>
      <c r="V3179">
        <v>1</v>
      </c>
      <c r="W3179">
        <v>1</v>
      </c>
    </row>
    <row r="3180" spans="1:23" ht="16.5" x14ac:dyDescent="0.3">
      <c r="A3180" t="s">
        <v>3244</v>
      </c>
      <c r="B3180" s="1">
        <v>45753</v>
      </c>
      <c r="C3180">
        <v>2025</v>
      </c>
      <c r="D3180" t="s">
        <v>688</v>
      </c>
      <c r="E3180" t="s">
        <v>689</v>
      </c>
      <c r="F3180" t="s">
        <v>26</v>
      </c>
      <c r="G3180" t="s">
        <v>45</v>
      </c>
      <c r="H3180" t="s">
        <v>38</v>
      </c>
      <c r="I3180" t="s">
        <v>29</v>
      </c>
      <c r="J3180" t="s">
        <v>30</v>
      </c>
      <c r="K3180" s="2">
        <v>6050</v>
      </c>
      <c r="L3180" s="2">
        <v>17000</v>
      </c>
      <c r="M3180">
        <v>60</v>
      </c>
      <c r="N3180" s="3">
        <v>0.128</v>
      </c>
      <c r="O3180" t="s">
        <v>16</v>
      </c>
      <c r="Q3180">
        <v>1</v>
      </c>
      <c r="R3180">
        <v>0</v>
      </c>
      <c r="S3180" s="2">
        <v>17000</v>
      </c>
      <c r="T3180" s="4">
        <v>9.2999999999999999E-2</v>
      </c>
      <c r="U3180">
        <v>1</v>
      </c>
      <c r="V3180">
        <v>1</v>
      </c>
      <c r="W3180">
        <v>1</v>
      </c>
    </row>
    <row r="3181" spans="1:23" ht="16.5" x14ac:dyDescent="0.3">
      <c r="A3181" t="s">
        <v>3245</v>
      </c>
      <c r="B3181" s="1">
        <v>45753</v>
      </c>
      <c r="C3181">
        <v>2025</v>
      </c>
      <c r="D3181" t="s">
        <v>688</v>
      </c>
      <c r="E3181" t="s">
        <v>689</v>
      </c>
      <c r="F3181" t="s">
        <v>26</v>
      </c>
      <c r="G3181" t="s">
        <v>45</v>
      </c>
      <c r="H3181" t="s">
        <v>55</v>
      </c>
      <c r="I3181" t="s">
        <v>29</v>
      </c>
      <c r="J3181" t="s">
        <v>46</v>
      </c>
      <c r="K3181" s="2">
        <v>3150</v>
      </c>
      <c r="L3181" s="2">
        <v>26000</v>
      </c>
      <c r="M3181">
        <v>60</v>
      </c>
      <c r="N3181" s="3">
        <v>0.39500000000000002</v>
      </c>
      <c r="O3181" t="s">
        <v>17</v>
      </c>
      <c r="P3181" t="s">
        <v>65</v>
      </c>
      <c r="Q3181">
        <v>0</v>
      </c>
      <c r="R3181">
        <v>1</v>
      </c>
      <c r="S3181" s="2">
        <v>0</v>
      </c>
      <c r="T3181" s="4"/>
      <c r="U3181">
        <v>3</v>
      </c>
      <c r="V3181">
        <v>1</v>
      </c>
      <c r="W3181">
        <v>1</v>
      </c>
    </row>
    <row r="3182" spans="1:23" ht="16.5" x14ac:dyDescent="0.3">
      <c r="A3182" t="s">
        <v>3246</v>
      </c>
      <c r="B3182" s="1">
        <v>45753</v>
      </c>
      <c r="C3182">
        <v>2025</v>
      </c>
      <c r="D3182" t="s">
        <v>688</v>
      </c>
      <c r="E3182" t="s">
        <v>689</v>
      </c>
      <c r="F3182" t="s">
        <v>41</v>
      </c>
      <c r="G3182" t="s">
        <v>45</v>
      </c>
      <c r="H3182" t="s">
        <v>38</v>
      </c>
      <c r="I3182" t="s">
        <v>39</v>
      </c>
      <c r="J3182" t="s">
        <v>52</v>
      </c>
      <c r="K3182" s="2">
        <v>6900</v>
      </c>
      <c r="L3182" s="2">
        <v>119500</v>
      </c>
      <c r="M3182">
        <v>24</v>
      </c>
      <c r="N3182" s="3">
        <v>1.0249999999999999</v>
      </c>
      <c r="O3182" t="s">
        <v>17</v>
      </c>
      <c r="P3182" t="s">
        <v>53</v>
      </c>
      <c r="Q3182">
        <v>0</v>
      </c>
      <c r="R3182">
        <v>1</v>
      </c>
      <c r="S3182" s="2">
        <v>0</v>
      </c>
      <c r="T3182" s="4"/>
      <c r="U3182">
        <v>5</v>
      </c>
      <c r="V3182">
        <v>1</v>
      </c>
      <c r="W3182">
        <v>1</v>
      </c>
    </row>
    <row r="3183" spans="1:23" ht="16.5" x14ac:dyDescent="0.3">
      <c r="A3183" t="s">
        <v>3247</v>
      </c>
      <c r="B3183" s="1">
        <v>45754</v>
      </c>
      <c r="C3183">
        <v>2025</v>
      </c>
      <c r="D3183" t="s">
        <v>688</v>
      </c>
      <c r="E3183" t="s">
        <v>689</v>
      </c>
      <c r="F3183" t="s">
        <v>41</v>
      </c>
      <c r="G3183" t="s">
        <v>51</v>
      </c>
      <c r="H3183" t="s">
        <v>34</v>
      </c>
      <c r="I3183" t="s">
        <v>29</v>
      </c>
      <c r="J3183" t="s">
        <v>43</v>
      </c>
      <c r="K3183" s="2">
        <v>3800</v>
      </c>
      <c r="L3183" s="2">
        <v>77000</v>
      </c>
      <c r="M3183">
        <v>36</v>
      </c>
      <c r="N3183" s="3">
        <v>0.71499999999999997</v>
      </c>
      <c r="O3183" t="s">
        <v>16</v>
      </c>
      <c r="Q3183">
        <v>1</v>
      </c>
      <c r="R3183">
        <v>0</v>
      </c>
      <c r="S3183" s="2">
        <v>77000</v>
      </c>
      <c r="T3183" s="4">
        <v>0.14419999999999999</v>
      </c>
      <c r="U3183">
        <v>15</v>
      </c>
      <c r="V3183">
        <v>0</v>
      </c>
      <c r="W3183">
        <v>1</v>
      </c>
    </row>
    <row r="3184" spans="1:23" ht="16.5" x14ac:dyDescent="0.3">
      <c r="A3184" t="s">
        <v>3248</v>
      </c>
      <c r="B3184" s="1">
        <v>45754</v>
      </c>
      <c r="C3184">
        <v>2025</v>
      </c>
      <c r="D3184" t="s">
        <v>688</v>
      </c>
      <c r="E3184" t="s">
        <v>689</v>
      </c>
      <c r="F3184" t="s">
        <v>41</v>
      </c>
      <c r="G3184" t="s">
        <v>51</v>
      </c>
      <c r="H3184" t="s">
        <v>55</v>
      </c>
      <c r="I3184" t="s">
        <v>42</v>
      </c>
      <c r="J3184" t="s">
        <v>30</v>
      </c>
      <c r="K3184" s="2">
        <v>5650</v>
      </c>
      <c r="L3184" s="2">
        <v>52500</v>
      </c>
      <c r="M3184">
        <v>24</v>
      </c>
      <c r="N3184" s="3">
        <v>0.63100000000000001</v>
      </c>
      <c r="O3184" t="s">
        <v>125</v>
      </c>
      <c r="Q3184">
        <v>0</v>
      </c>
      <c r="R3184">
        <v>0</v>
      </c>
      <c r="S3184" s="2">
        <v>0</v>
      </c>
      <c r="T3184" s="4"/>
      <c r="U3184">
        <v>9</v>
      </c>
      <c r="V3184">
        <v>1</v>
      </c>
      <c r="W3184">
        <v>1</v>
      </c>
    </row>
    <row r="3185" spans="1:23" ht="16.5" x14ac:dyDescent="0.3">
      <c r="A3185" t="s">
        <v>3249</v>
      </c>
      <c r="B3185" s="1">
        <v>45754</v>
      </c>
      <c r="C3185">
        <v>2025</v>
      </c>
      <c r="D3185" t="s">
        <v>688</v>
      </c>
      <c r="E3185" t="s">
        <v>689</v>
      </c>
      <c r="F3185" t="s">
        <v>37</v>
      </c>
      <c r="G3185" t="s">
        <v>51</v>
      </c>
      <c r="H3185" t="s">
        <v>38</v>
      </c>
      <c r="I3185" t="s">
        <v>29</v>
      </c>
      <c r="J3185" t="s">
        <v>52</v>
      </c>
      <c r="K3185" s="2">
        <v>3200</v>
      </c>
      <c r="L3185" s="2">
        <v>6500</v>
      </c>
      <c r="M3185">
        <v>36</v>
      </c>
      <c r="N3185" s="3">
        <v>0.28499999999999998</v>
      </c>
      <c r="O3185" t="s">
        <v>16</v>
      </c>
      <c r="Q3185">
        <v>1</v>
      </c>
      <c r="R3185">
        <v>0</v>
      </c>
      <c r="S3185" s="2">
        <v>6500</v>
      </c>
      <c r="T3185" s="4">
        <v>0.1157</v>
      </c>
      <c r="U3185">
        <v>6</v>
      </c>
      <c r="V3185">
        <v>0</v>
      </c>
      <c r="W3185">
        <v>1</v>
      </c>
    </row>
    <row r="3186" spans="1:23" ht="16.5" x14ac:dyDescent="0.3">
      <c r="A3186" t="s">
        <v>3250</v>
      </c>
      <c r="B3186" s="1">
        <v>45754</v>
      </c>
      <c r="C3186">
        <v>2025</v>
      </c>
      <c r="D3186" t="s">
        <v>688</v>
      </c>
      <c r="E3186" t="s">
        <v>689</v>
      </c>
      <c r="F3186" t="s">
        <v>41</v>
      </c>
      <c r="G3186" t="s">
        <v>33</v>
      </c>
      <c r="H3186" t="s">
        <v>38</v>
      </c>
      <c r="I3186" t="s">
        <v>39</v>
      </c>
      <c r="J3186" t="s">
        <v>35</v>
      </c>
      <c r="K3186" s="2">
        <v>10400</v>
      </c>
      <c r="L3186" s="2">
        <v>72500</v>
      </c>
      <c r="M3186">
        <v>24</v>
      </c>
      <c r="N3186" s="3">
        <v>0.46100000000000002</v>
      </c>
      <c r="O3186" t="s">
        <v>16</v>
      </c>
      <c r="Q3186">
        <v>1</v>
      </c>
      <c r="R3186">
        <v>0</v>
      </c>
      <c r="S3186" s="2">
        <v>65000</v>
      </c>
      <c r="T3186" s="4">
        <v>0.10630000000000001</v>
      </c>
      <c r="U3186">
        <v>4</v>
      </c>
      <c r="V3186">
        <v>1</v>
      </c>
      <c r="W3186">
        <v>1</v>
      </c>
    </row>
    <row r="3187" spans="1:23" ht="16.5" x14ac:dyDescent="0.3">
      <c r="A3187" t="s">
        <v>3251</v>
      </c>
      <c r="B3187" s="1">
        <v>45754</v>
      </c>
      <c r="C3187">
        <v>2025</v>
      </c>
      <c r="D3187" t="s">
        <v>688</v>
      </c>
      <c r="E3187" t="s">
        <v>689</v>
      </c>
      <c r="F3187" t="s">
        <v>37</v>
      </c>
      <c r="G3187" t="s">
        <v>33</v>
      </c>
      <c r="H3187" t="s">
        <v>28</v>
      </c>
      <c r="I3187" t="s">
        <v>42</v>
      </c>
      <c r="J3187" t="s">
        <v>46</v>
      </c>
      <c r="K3187" s="2">
        <v>6550</v>
      </c>
      <c r="L3187" s="2">
        <v>18000</v>
      </c>
      <c r="M3187">
        <v>48</v>
      </c>
      <c r="N3187" s="3">
        <v>0.247</v>
      </c>
      <c r="O3187" t="s">
        <v>16</v>
      </c>
      <c r="Q3187">
        <v>1</v>
      </c>
      <c r="R3187">
        <v>0</v>
      </c>
      <c r="S3187" s="2">
        <v>18000</v>
      </c>
      <c r="T3187" s="4">
        <v>0.10920000000000001</v>
      </c>
      <c r="U3187">
        <v>3</v>
      </c>
      <c r="V3187">
        <v>1</v>
      </c>
      <c r="W3187">
        <v>1</v>
      </c>
    </row>
    <row r="3188" spans="1:23" ht="16.5" x14ac:dyDescent="0.3">
      <c r="A3188" t="s">
        <v>3252</v>
      </c>
      <c r="B3188" s="1">
        <v>45754</v>
      </c>
      <c r="C3188">
        <v>2025</v>
      </c>
      <c r="D3188" t="s">
        <v>688</v>
      </c>
      <c r="E3188" t="s">
        <v>689</v>
      </c>
      <c r="F3188" t="s">
        <v>41</v>
      </c>
      <c r="G3188" t="s">
        <v>51</v>
      </c>
      <c r="H3188" t="s">
        <v>38</v>
      </c>
      <c r="I3188" t="s">
        <v>29</v>
      </c>
      <c r="J3188" t="s">
        <v>30</v>
      </c>
      <c r="K3188" s="2">
        <v>3850</v>
      </c>
      <c r="L3188" s="2">
        <v>117000</v>
      </c>
      <c r="M3188">
        <v>24</v>
      </c>
      <c r="N3188" s="3">
        <v>1.637</v>
      </c>
      <c r="O3188" t="s">
        <v>17</v>
      </c>
      <c r="P3188" t="s">
        <v>53</v>
      </c>
      <c r="Q3188">
        <v>0</v>
      </c>
      <c r="R3188">
        <v>1</v>
      </c>
      <c r="S3188" s="2">
        <v>0</v>
      </c>
      <c r="T3188" s="4"/>
      <c r="U3188">
        <v>5</v>
      </c>
      <c r="V3188">
        <v>1</v>
      </c>
      <c r="W3188">
        <v>1</v>
      </c>
    </row>
    <row r="3189" spans="1:23" ht="16.5" x14ac:dyDescent="0.3">
      <c r="A3189" t="s">
        <v>3253</v>
      </c>
      <c r="B3189" s="1">
        <v>45754</v>
      </c>
      <c r="C3189">
        <v>2025</v>
      </c>
      <c r="D3189" t="s">
        <v>688</v>
      </c>
      <c r="E3189" t="s">
        <v>689</v>
      </c>
      <c r="F3189" t="s">
        <v>37</v>
      </c>
      <c r="G3189" t="s">
        <v>33</v>
      </c>
      <c r="H3189" t="s">
        <v>55</v>
      </c>
      <c r="I3189" t="s">
        <v>29</v>
      </c>
      <c r="J3189" t="s">
        <v>52</v>
      </c>
      <c r="K3189" s="2">
        <v>4750</v>
      </c>
      <c r="L3189" s="2">
        <v>10000</v>
      </c>
      <c r="M3189">
        <v>60</v>
      </c>
      <c r="N3189" s="3">
        <v>0.121</v>
      </c>
      <c r="O3189" t="s">
        <v>16</v>
      </c>
      <c r="Q3189">
        <v>1</v>
      </c>
      <c r="R3189">
        <v>0</v>
      </c>
      <c r="S3189" s="2">
        <v>10000</v>
      </c>
      <c r="T3189" s="4">
        <v>0.1211</v>
      </c>
      <c r="U3189">
        <v>2</v>
      </c>
      <c r="V3189">
        <v>1</v>
      </c>
      <c r="W3189">
        <v>1</v>
      </c>
    </row>
    <row r="3190" spans="1:23" ht="16.5" x14ac:dyDescent="0.3">
      <c r="A3190" t="s">
        <v>3254</v>
      </c>
      <c r="B3190" s="1">
        <v>45754</v>
      </c>
      <c r="C3190">
        <v>2025</v>
      </c>
      <c r="D3190" t="s">
        <v>688</v>
      </c>
      <c r="E3190" t="s">
        <v>689</v>
      </c>
      <c r="F3190" t="s">
        <v>50</v>
      </c>
      <c r="G3190" t="s">
        <v>27</v>
      </c>
      <c r="H3190" t="s">
        <v>55</v>
      </c>
      <c r="I3190" t="s">
        <v>42</v>
      </c>
      <c r="J3190" t="s">
        <v>46</v>
      </c>
      <c r="K3190" s="2">
        <v>6150</v>
      </c>
      <c r="L3190" s="2">
        <v>332500</v>
      </c>
      <c r="M3190">
        <v>240</v>
      </c>
      <c r="N3190" s="3">
        <v>0.441</v>
      </c>
      <c r="O3190" t="s">
        <v>16</v>
      </c>
      <c r="Q3190">
        <v>1</v>
      </c>
      <c r="R3190">
        <v>0</v>
      </c>
      <c r="S3190" s="2">
        <v>332500</v>
      </c>
      <c r="T3190" s="4">
        <v>4.24E-2</v>
      </c>
      <c r="U3190">
        <v>16</v>
      </c>
      <c r="V3190">
        <v>0</v>
      </c>
      <c r="W3190">
        <v>1</v>
      </c>
    </row>
    <row r="3191" spans="1:23" ht="16.5" x14ac:dyDescent="0.3">
      <c r="A3191" t="s">
        <v>3255</v>
      </c>
      <c r="B3191" s="1">
        <v>45754</v>
      </c>
      <c r="C3191">
        <v>2025</v>
      </c>
      <c r="D3191" t="s">
        <v>688</v>
      </c>
      <c r="E3191" t="s">
        <v>689</v>
      </c>
      <c r="F3191" t="s">
        <v>26</v>
      </c>
      <c r="G3191" t="s">
        <v>27</v>
      </c>
      <c r="H3191" t="s">
        <v>55</v>
      </c>
      <c r="I3191" t="s">
        <v>42</v>
      </c>
      <c r="J3191" t="s">
        <v>35</v>
      </c>
      <c r="K3191" s="2">
        <v>7500</v>
      </c>
      <c r="L3191" s="2">
        <v>22500</v>
      </c>
      <c r="M3191">
        <v>60</v>
      </c>
      <c r="N3191" s="3">
        <v>0.28199999999999997</v>
      </c>
      <c r="O3191" t="s">
        <v>16</v>
      </c>
      <c r="Q3191">
        <v>1</v>
      </c>
      <c r="R3191">
        <v>0</v>
      </c>
      <c r="S3191" s="2">
        <v>22500</v>
      </c>
      <c r="T3191" s="4">
        <v>8.1100000000000005E-2</v>
      </c>
      <c r="U3191">
        <v>3</v>
      </c>
      <c r="V3191">
        <v>1</v>
      </c>
      <c r="W3191">
        <v>1</v>
      </c>
    </row>
    <row r="3192" spans="1:23" ht="16.5" x14ac:dyDescent="0.3">
      <c r="A3192" t="s">
        <v>3256</v>
      </c>
      <c r="B3192" s="1">
        <v>45754</v>
      </c>
      <c r="C3192">
        <v>2025</v>
      </c>
      <c r="D3192" t="s">
        <v>688</v>
      </c>
      <c r="E3192" t="s">
        <v>689</v>
      </c>
      <c r="F3192" t="s">
        <v>37</v>
      </c>
      <c r="G3192" t="s">
        <v>33</v>
      </c>
      <c r="H3192" t="s">
        <v>38</v>
      </c>
      <c r="I3192" t="s">
        <v>29</v>
      </c>
      <c r="J3192" t="s">
        <v>52</v>
      </c>
      <c r="K3192" s="2">
        <v>3450</v>
      </c>
      <c r="L3192" s="2">
        <v>4500</v>
      </c>
      <c r="M3192">
        <v>24</v>
      </c>
      <c r="N3192" s="3">
        <v>0.17899999999999999</v>
      </c>
      <c r="O3192" t="s">
        <v>16</v>
      </c>
      <c r="Q3192">
        <v>1</v>
      </c>
      <c r="R3192">
        <v>0</v>
      </c>
      <c r="S3192" s="2">
        <v>4000</v>
      </c>
      <c r="T3192" s="4">
        <v>0.1179</v>
      </c>
      <c r="U3192">
        <v>2</v>
      </c>
      <c r="V3192">
        <v>1</v>
      </c>
      <c r="W3192">
        <v>1</v>
      </c>
    </row>
    <row r="3193" spans="1:23" ht="16.5" x14ac:dyDescent="0.3">
      <c r="A3193" t="s">
        <v>3257</v>
      </c>
      <c r="B3193" s="1">
        <v>45754</v>
      </c>
      <c r="C3193">
        <v>2025</v>
      </c>
      <c r="D3193" t="s">
        <v>688</v>
      </c>
      <c r="E3193" t="s">
        <v>689</v>
      </c>
      <c r="F3193" t="s">
        <v>26</v>
      </c>
      <c r="G3193" t="s">
        <v>45</v>
      </c>
      <c r="H3193" t="s">
        <v>55</v>
      </c>
      <c r="I3193" t="s">
        <v>29</v>
      </c>
      <c r="J3193" t="s">
        <v>35</v>
      </c>
      <c r="K3193" s="2">
        <v>2750</v>
      </c>
      <c r="L3193" s="2">
        <v>28000</v>
      </c>
      <c r="M3193">
        <v>48</v>
      </c>
      <c r="N3193" s="3">
        <v>0.30199999999999999</v>
      </c>
      <c r="O3193" t="s">
        <v>16</v>
      </c>
      <c r="Q3193">
        <v>1</v>
      </c>
      <c r="R3193">
        <v>0</v>
      </c>
      <c r="S3193" s="2">
        <v>25000</v>
      </c>
      <c r="T3193" s="4">
        <v>8.0500000000000002E-2</v>
      </c>
      <c r="U3193">
        <v>2</v>
      </c>
      <c r="V3193">
        <v>1</v>
      </c>
      <c r="W3193">
        <v>1</v>
      </c>
    </row>
    <row r="3194" spans="1:23" ht="16.5" x14ac:dyDescent="0.3">
      <c r="A3194" t="s">
        <v>3258</v>
      </c>
      <c r="B3194" s="1">
        <v>45755</v>
      </c>
      <c r="C3194">
        <v>2025</v>
      </c>
      <c r="D3194" t="s">
        <v>688</v>
      </c>
      <c r="E3194" t="s">
        <v>689</v>
      </c>
      <c r="F3194" t="s">
        <v>37</v>
      </c>
      <c r="G3194" t="s">
        <v>33</v>
      </c>
      <c r="H3194" t="s">
        <v>38</v>
      </c>
      <c r="I3194" t="s">
        <v>29</v>
      </c>
      <c r="J3194" t="s">
        <v>43</v>
      </c>
      <c r="K3194" s="2">
        <v>10950</v>
      </c>
      <c r="L3194" s="2">
        <v>8000</v>
      </c>
      <c r="M3194">
        <v>12</v>
      </c>
      <c r="N3194" s="3">
        <v>0.189</v>
      </c>
      <c r="O3194" t="s">
        <v>16</v>
      </c>
      <c r="Q3194">
        <v>1</v>
      </c>
      <c r="R3194">
        <v>0</v>
      </c>
      <c r="S3194" s="2">
        <v>6500</v>
      </c>
      <c r="T3194" s="4">
        <v>0.16520000000000001</v>
      </c>
      <c r="U3194">
        <v>1</v>
      </c>
      <c r="V3194">
        <v>1</v>
      </c>
      <c r="W3194">
        <v>1</v>
      </c>
    </row>
    <row r="3195" spans="1:23" ht="16.5" x14ac:dyDescent="0.3">
      <c r="A3195" t="s">
        <v>3259</v>
      </c>
      <c r="B3195" s="1">
        <v>45755</v>
      </c>
      <c r="C3195">
        <v>2025</v>
      </c>
      <c r="D3195" t="s">
        <v>688</v>
      </c>
      <c r="E3195" t="s">
        <v>689</v>
      </c>
      <c r="F3195" t="s">
        <v>37</v>
      </c>
      <c r="G3195" t="s">
        <v>45</v>
      </c>
      <c r="H3195" t="s">
        <v>34</v>
      </c>
      <c r="I3195" t="s">
        <v>39</v>
      </c>
      <c r="J3195" t="s">
        <v>35</v>
      </c>
      <c r="K3195" s="2">
        <v>4650</v>
      </c>
      <c r="L3195" s="2">
        <v>6500</v>
      </c>
      <c r="M3195">
        <v>24</v>
      </c>
      <c r="N3195" s="3">
        <v>0.11799999999999999</v>
      </c>
      <c r="O3195" t="s">
        <v>16</v>
      </c>
      <c r="Q3195">
        <v>1</v>
      </c>
      <c r="R3195">
        <v>0</v>
      </c>
      <c r="S3195" s="2">
        <v>6000</v>
      </c>
      <c r="T3195" s="4">
        <v>0.12180000000000001</v>
      </c>
      <c r="U3195">
        <v>2</v>
      </c>
      <c r="V3195">
        <v>1</v>
      </c>
      <c r="W3195">
        <v>1</v>
      </c>
    </row>
    <row r="3196" spans="1:23" ht="16.5" x14ac:dyDescent="0.3">
      <c r="A3196" t="s">
        <v>3260</v>
      </c>
      <c r="B3196" s="1">
        <v>45755</v>
      </c>
      <c r="C3196">
        <v>2025</v>
      </c>
      <c r="D3196" t="s">
        <v>688</v>
      </c>
      <c r="E3196" t="s">
        <v>689</v>
      </c>
      <c r="F3196" t="s">
        <v>37</v>
      </c>
      <c r="G3196" t="s">
        <v>45</v>
      </c>
      <c r="H3196" t="s">
        <v>34</v>
      </c>
      <c r="I3196" t="s">
        <v>39</v>
      </c>
      <c r="J3196" t="s">
        <v>35</v>
      </c>
      <c r="K3196" s="2">
        <v>4300</v>
      </c>
      <c r="L3196" s="2">
        <v>16500</v>
      </c>
      <c r="M3196">
        <v>36</v>
      </c>
      <c r="N3196" s="3">
        <v>0.221</v>
      </c>
      <c r="O3196" t="s">
        <v>16</v>
      </c>
      <c r="Q3196">
        <v>1</v>
      </c>
      <c r="R3196">
        <v>0</v>
      </c>
      <c r="S3196" s="2">
        <v>16500</v>
      </c>
      <c r="T3196" s="4">
        <v>0.1201</v>
      </c>
      <c r="U3196">
        <v>1</v>
      </c>
      <c r="V3196">
        <v>1</v>
      </c>
      <c r="W3196">
        <v>1</v>
      </c>
    </row>
    <row r="3197" spans="1:23" ht="16.5" x14ac:dyDescent="0.3">
      <c r="A3197" t="s">
        <v>3261</v>
      </c>
      <c r="B3197" s="1">
        <v>45755</v>
      </c>
      <c r="C3197">
        <v>2025</v>
      </c>
      <c r="D3197" t="s">
        <v>688</v>
      </c>
      <c r="E3197" t="s">
        <v>689</v>
      </c>
      <c r="F3197" t="s">
        <v>41</v>
      </c>
      <c r="G3197" t="s">
        <v>33</v>
      </c>
      <c r="H3197" t="s">
        <v>34</v>
      </c>
      <c r="I3197" t="s">
        <v>42</v>
      </c>
      <c r="J3197" t="s">
        <v>52</v>
      </c>
      <c r="K3197" s="2">
        <v>10550</v>
      </c>
      <c r="L3197" s="2">
        <v>79000</v>
      </c>
      <c r="M3197">
        <v>24</v>
      </c>
      <c r="N3197" s="3">
        <v>0.433</v>
      </c>
      <c r="O3197" t="s">
        <v>16</v>
      </c>
      <c r="Q3197">
        <v>1</v>
      </c>
      <c r="R3197">
        <v>0</v>
      </c>
      <c r="S3197" s="2">
        <v>79000</v>
      </c>
      <c r="T3197" s="4">
        <v>9.7600000000000006E-2</v>
      </c>
      <c r="U3197">
        <v>8</v>
      </c>
      <c r="V3197">
        <v>1</v>
      </c>
      <c r="W3197">
        <v>1</v>
      </c>
    </row>
    <row r="3198" spans="1:23" ht="16.5" x14ac:dyDescent="0.3">
      <c r="A3198" t="s">
        <v>3262</v>
      </c>
      <c r="B3198" s="1">
        <v>45755</v>
      </c>
      <c r="C3198">
        <v>2025</v>
      </c>
      <c r="D3198" t="s">
        <v>688</v>
      </c>
      <c r="E3198" t="s">
        <v>689</v>
      </c>
      <c r="F3198" t="s">
        <v>50</v>
      </c>
      <c r="G3198" t="s">
        <v>45</v>
      </c>
      <c r="H3198" t="s">
        <v>38</v>
      </c>
      <c r="I3198" t="s">
        <v>39</v>
      </c>
      <c r="J3198" t="s">
        <v>52</v>
      </c>
      <c r="K3198" s="2">
        <v>7400</v>
      </c>
      <c r="L3198" s="2">
        <v>287000</v>
      </c>
      <c r="M3198">
        <v>300</v>
      </c>
      <c r="N3198" s="3">
        <v>0.315</v>
      </c>
      <c r="O3198" t="s">
        <v>16</v>
      </c>
      <c r="Q3198">
        <v>1</v>
      </c>
      <c r="R3198">
        <v>0</v>
      </c>
      <c r="S3198" s="2">
        <v>287000</v>
      </c>
      <c r="T3198" s="4">
        <v>5.0599999999999999E-2</v>
      </c>
      <c r="U3198">
        <v>6</v>
      </c>
      <c r="V3198">
        <v>1</v>
      </c>
      <c r="W3198">
        <v>1</v>
      </c>
    </row>
    <row r="3199" spans="1:23" ht="16.5" x14ac:dyDescent="0.3">
      <c r="A3199" t="s">
        <v>3263</v>
      </c>
      <c r="B3199" s="1">
        <v>45755</v>
      </c>
      <c r="C3199">
        <v>2025</v>
      </c>
      <c r="D3199" t="s">
        <v>688</v>
      </c>
      <c r="E3199" t="s">
        <v>689</v>
      </c>
      <c r="F3199" t="s">
        <v>37</v>
      </c>
      <c r="G3199" t="s">
        <v>27</v>
      </c>
      <c r="H3199" t="s">
        <v>55</v>
      </c>
      <c r="I3199" t="s">
        <v>39</v>
      </c>
      <c r="J3199" t="s">
        <v>52</v>
      </c>
      <c r="K3199" s="2">
        <v>3400</v>
      </c>
      <c r="L3199" s="2">
        <v>14000</v>
      </c>
      <c r="M3199">
        <v>36</v>
      </c>
      <c r="N3199" s="3">
        <v>0.2</v>
      </c>
      <c r="O3199" t="s">
        <v>16</v>
      </c>
      <c r="Q3199">
        <v>1</v>
      </c>
      <c r="R3199">
        <v>0</v>
      </c>
      <c r="S3199" s="2">
        <v>14000</v>
      </c>
      <c r="T3199" s="4">
        <v>0.1164</v>
      </c>
      <c r="U3199">
        <v>3</v>
      </c>
      <c r="V3199">
        <v>1</v>
      </c>
      <c r="W3199">
        <v>1</v>
      </c>
    </row>
    <row r="3200" spans="1:23" ht="16.5" x14ac:dyDescent="0.3">
      <c r="A3200" t="s">
        <v>3264</v>
      </c>
      <c r="B3200" s="1">
        <v>45755</v>
      </c>
      <c r="C3200">
        <v>2025</v>
      </c>
      <c r="D3200" t="s">
        <v>688</v>
      </c>
      <c r="E3200" t="s">
        <v>689</v>
      </c>
      <c r="F3200" t="s">
        <v>26</v>
      </c>
      <c r="G3200" t="s">
        <v>51</v>
      </c>
      <c r="H3200" t="s">
        <v>38</v>
      </c>
      <c r="I3200" t="s">
        <v>39</v>
      </c>
      <c r="J3200" t="s">
        <v>35</v>
      </c>
      <c r="K3200" s="2">
        <v>7400</v>
      </c>
      <c r="L3200" s="2">
        <v>28000</v>
      </c>
      <c r="M3200">
        <v>60</v>
      </c>
      <c r="N3200" s="3">
        <v>0.217</v>
      </c>
      <c r="O3200" t="s">
        <v>16</v>
      </c>
      <c r="Q3200">
        <v>1</v>
      </c>
      <c r="R3200">
        <v>0</v>
      </c>
      <c r="S3200" s="2">
        <v>25000</v>
      </c>
      <c r="T3200" s="4">
        <v>8.1500000000000003E-2</v>
      </c>
      <c r="U3200">
        <v>10</v>
      </c>
      <c r="V3200">
        <v>0</v>
      </c>
      <c r="W3200">
        <v>1</v>
      </c>
    </row>
    <row r="3201" spans="1:23" ht="16.5" x14ac:dyDescent="0.3">
      <c r="A3201" t="s">
        <v>3265</v>
      </c>
      <c r="B3201" s="1">
        <v>45755</v>
      </c>
      <c r="C3201">
        <v>2025</v>
      </c>
      <c r="D3201" t="s">
        <v>688</v>
      </c>
      <c r="E3201" t="s">
        <v>689</v>
      </c>
      <c r="F3201" t="s">
        <v>37</v>
      </c>
      <c r="G3201" t="s">
        <v>51</v>
      </c>
      <c r="H3201" t="s">
        <v>34</v>
      </c>
      <c r="I3201" t="s">
        <v>29</v>
      </c>
      <c r="J3201" t="s">
        <v>35</v>
      </c>
      <c r="K3201" s="2">
        <v>4450</v>
      </c>
      <c r="L3201" s="2">
        <v>17500</v>
      </c>
      <c r="M3201">
        <v>36</v>
      </c>
      <c r="N3201" s="3">
        <v>0.36099999999999999</v>
      </c>
      <c r="O3201" t="s">
        <v>16</v>
      </c>
      <c r="Q3201">
        <v>1</v>
      </c>
      <c r="R3201">
        <v>0</v>
      </c>
      <c r="S3201" s="2">
        <v>17500</v>
      </c>
      <c r="T3201" s="4">
        <v>0.1288</v>
      </c>
      <c r="U3201">
        <v>4</v>
      </c>
      <c r="V3201">
        <v>0</v>
      </c>
      <c r="W3201">
        <v>1</v>
      </c>
    </row>
    <row r="3202" spans="1:23" ht="16.5" x14ac:dyDescent="0.3">
      <c r="A3202" t="s">
        <v>3266</v>
      </c>
      <c r="B3202" s="1">
        <v>45755</v>
      </c>
      <c r="C3202">
        <v>2025</v>
      </c>
      <c r="D3202" t="s">
        <v>688</v>
      </c>
      <c r="E3202" t="s">
        <v>689</v>
      </c>
      <c r="F3202" t="s">
        <v>41</v>
      </c>
      <c r="G3202" t="s">
        <v>45</v>
      </c>
      <c r="H3202" t="s">
        <v>38</v>
      </c>
      <c r="I3202" t="s">
        <v>29</v>
      </c>
      <c r="J3202" t="s">
        <v>35</v>
      </c>
      <c r="K3202" s="2">
        <v>4250</v>
      </c>
      <c r="L3202" s="2">
        <v>47500</v>
      </c>
      <c r="M3202">
        <v>24</v>
      </c>
      <c r="N3202" s="3">
        <v>0.60599999999999998</v>
      </c>
      <c r="O3202" t="s">
        <v>17</v>
      </c>
      <c r="P3202" t="s">
        <v>53</v>
      </c>
      <c r="Q3202">
        <v>0</v>
      </c>
      <c r="R3202">
        <v>1</v>
      </c>
      <c r="S3202" s="2">
        <v>0</v>
      </c>
      <c r="T3202" s="4"/>
      <c r="U3202">
        <v>7</v>
      </c>
      <c r="V3202">
        <v>1</v>
      </c>
      <c r="W3202">
        <v>1</v>
      </c>
    </row>
    <row r="3203" spans="1:23" ht="16.5" x14ac:dyDescent="0.3">
      <c r="A3203" t="s">
        <v>3267</v>
      </c>
      <c r="B3203" s="1">
        <v>45755</v>
      </c>
      <c r="C3203">
        <v>2025</v>
      </c>
      <c r="D3203" t="s">
        <v>688</v>
      </c>
      <c r="E3203" t="s">
        <v>689</v>
      </c>
      <c r="F3203" t="s">
        <v>37</v>
      </c>
      <c r="G3203" t="s">
        <v>51</v>
      </c>
      <c r="H3203" t="s">
        <v>38</v>
      </c>
      <c r="I3203" t="s">
        <v>29</v>
      </c>
      <c r="J3203" t="s">
        <v>35</v>
      </c>
      <c r="K3203" s="2">
        <v>4950</v>
      </c>
      <c r="L3203" s="2">
        <v>8000</v>
      </c>
      <c r="M3203">
        <v>24</v>
      </c>
      <c r="N3203" s="3">
        <v>0.30099999999999999</v>
      </c>
      <c r="O3203" t="s">
        <v>16</v>
      </c>
      <c r="Q3203">
        <v>1</v>
      </c>
      <c r="R3203">
        <v>0</v>
      </c>
      <c r="S3203" s="2">
        <v>8000</v>
      </c>
      <c r="T3203" s="4">
        <v>0.1268</v>
      </c>
      <c r="U3203">
        <v>3</v>
      </c>
      <c r="V3203">
        <v>1</v>
      </c>
      <c r="W3203">
        <v>1</v>
      </c>
    </row>
    <row r="3204" spans="1:23" ht="16.5" x14ac:dyDescent="0.3">
      <c r="A3204" t="s">
        <v>3268</v>
      </c>
      <c r="B3204" s="1">
        <v>45755</v>
      </c>
      <c r="C3204">
        <v>2025</v>
      </c>
      <c r="D3204" t="s">
        <v>688</v>
      </c>
      <c r="E3204" t="s">
        <v>689</v>
      </c>
      <c r="F3204" t="s">
        <v>50</v>
      </c>
      <c r="G3204" t="s">
        <v>33</v>
      </c>
      <c r="H3204" t="s">
        <v>55</v>
      </c>
      <c r="I3204" t="s">
        <v>29</v>
      </c>
      <c r="J3204" t="s">
        <v>35</v>
      </c>
      <c r="K3204" s="2">
        <v>10950</v>
      </c>
      <c r="L3204" s="2">
        <v>153000</v>
      </c>
      <c r="M3204">
        <v>240</v>
      </c>
      <c r="N3204" s="3">
        <v>0.17599999999999999</v>
      </c>
      <c r="O3204" t="s">
        <v>16</v>
      </c>
      <c r="Q3204">
        <v>1</v>
      </c>
      <c r="R3204">
        <v>0</v>
      </c>
      <c r="S3204" s="2">
        <v>122500</v>
      </c>
      <c r="T3204" s="4">
        <v>6.3899999999999998E-2</v>
      </c>
      <c r="U3204">
        <v>10</v>
      </c>
      <c r="V3204">
        <v>1</v>
      </c>
      <c r="W3204">
        <v>1</v>
      </c>
    </row>
    <row r="3205" spans="1:23" ht="16.5" x14ac:dyDescent="0.3">
      <c r="A3205" t="s">
        <v>3269</v>
      </c>
      <c r="B3205" s="1">
        <v>45755</v>
      </c>
      <c r="C3205">
        <v>2025</v>
      </c>
      <c r="D3205" t="s">
        <v>688</v>
      </c>
      <c r="E3205" t="s">
        <v>689</v>
      </c>
      <c r="F3205" t="s">
        <v>26</v>
      </c>
      <c r="G3205" t="s">
        <v>33</v>
      </c>
      <c r="H3205" t="s">
        <v>34</v>
      </c>
      <c r="I3205" t="s">
        <v>29</v>
      </c>
      <c r="J3205" t="s">
        <v>35</v>
      </c>
      <c r="K3205" s="2">
        <v>10200</v>
      </c>
      <c r="L3205" s="2">
        <v>17500</v>
      </c>
      <c r="M3205">
        <v>36</v>
      </c>
      <c r="N3205" s="3">
        <v>0.14299999999999999</v>
      </c>
      <c r="O3205" t="s">
        <v>17</v>
      </c>
      <c r="P3205" t="s">
        <v>60</v>
      </c>
      <c r="Q3205">
        <v>0</v>
      </c>
      <c r="R3205">
        <v>1</v>
      </c>
      <c r="S3205" s="2">
        <v>0</v>
      </c>
      <c r="T3205" s="4"/>
      <c r="U3205">
        <v>5</v>
      </c>
      <c r="V3205">
        <v>0</v>
      </c>
      <c r="W3205">
        <v>1</v>
      </c>
    </row>
    <row r="3206" spans="1:23" ht="16.5" x14ac:dyDescent="0.3">
      <c r="A3206" t="s">
        <v>3270</v>
      </c>
      <c r="B3206" s="1">
        <v>45756</v>
      </c>
      <c r="C3206">
        <v>2025</v>
      </c>
      <c r="D3206" t="s">
        <v>688</v>
      </c>
      <c r="E3206" t="s">
        <v>689</v>
      </c>
      <c r="F3206" t="s">
        <v>37</v>
      </c>
      <c r="G3206" t="s">
        <v>33</v>
      </c>
      <c r="H3206" t="s">
        <v>38</v>
      </c>
      <c r="I3206" t="s">
        <v>39</v>
      </c>
      <c r="J3206" t="s">
        <v>43</v>
      </c>
      <c r="K3206" s="2">
        <v>2900</v>
      </c>
      <c r="L3206" s="2">
        <v>10500</v>
      </c>
      <c r="M3206">
        <v>36</v>
      </c>
      <c r="N3206" s="3">
        <v>0.33900000000000002</v>
      </c>
      <c r="O3206" t="s">
        <v>17</v>
      </c>
      <c r="P3206" t="s">
        <v>65</v>
      </c>
      <c r="Q3206">
        <v>0</v>
      </c>
      <c r="R3206">
        <v>1</v>
      </c>
      <c r="S3206" s="2">
        <v>0</v>
      </c>
      <c r="T3206" s="4"/>
      <c r="U3206">
        <v>1</v>
      </c>
      <c r="V3206">
        <v>1</v>
      </c>
      <c r="W3206">
        <v>1</v>
      </c>
    </row>
    <row r="3207" spans="1:23" ht="16.5" x14ac:dyDescent="0.3">
      <c r="A3207" t="s">
        <v>3271</v>
      </c>
      <c r="B3207" s="1">
        <v>45756</v>
      </c>
      <c r="C3207">
        <v>2025</v>
      </c>
      <c r="D3207" t="s">
        <v>688</v>
      </c>
      <c r="E3207" t="s">
        <v>689</v>
      </c>
      <c r="F3207" t="s">
        <v>37</v>
      </c>
      <c r="G3207" t="s">
        <v>45</v>
      </c>
      <c r="H3207" t="s">
        <v>64</v>
      </c>
      <c r="I3207" t="s">
        <v>42</v>
      </c>
      <c r="J3207" t="s">
        <v>52</v>
      </c>
      <c r="K3207" s="2">
        <v>3150</v>
      </c>
      <c r="L3207" s="2">
        <v>12000</v>
      </c>
      <c r="M3207">
        <v>36</v>
      </c>
      <c r="N3207" s="3">
        <v>0.314</v>
      </c>
      <c r="O3207" t="s">
        <v>16</v>
      </c>
      <c r="Q3207">
        <v>1</v>
      </c>
      <c r="R3207">
        <v>0</v>
      </c>
      <c r="S3207" s="2">
        <v>9500</v>
      </c>
      <c r="T3207" s="4">
        <v>0.1094</v>
      </c>
      <c r="U3207">
        <v>1</v>
      </c>
      <c r="V3207">
        <v>1</v>
      </c>
      <c r="W3207">
        <v>1</v>
      </c>
    </row>
    <row r="3208" spans="1:23" ht="16.5" x14ac:dyDescent="0.3">
      <c r="A3208" t="s">
        <v>3272</v>
      </c>
      <c r="B3208" s="1">
        <v>45756</v>
      </c>
      <c r="C3208">
        <v>2025</v>
      </c>
      <c r="D3208" t="s">
        <v>688</v>
      </c>
      <c r="E3208" t="s">
        <v>689</v>
      </c>
      <c r="F3208" t="s">
        <v>37</v>
      </c>
      <c r="G3208" t="s">
        <v>51</v>
      </c>
      <c r="H3208" t="s">
        <v>38</v>
      </c>
      <c r="I3208" t="s">
        <v>29</v>
      </c>
      <c r="J3208" t="s">
        <v>52</v>
      </c>
      <c r="K3208" s="2">
        <v>3200</v>
      </c>
      <c r="L3208" s="2">
        <v>15500</v>
      </c>
      <c r="M3208">
        <v>48</v>
      </c>
      <c r="N3208" s="3">
        <v>0.29099999999999998</v>
      </c>
      <c r="O3208" t="s">
        <v>17</v>
      </c>
      <c r="P3208" t="s">
        <v>65</v>
      </c>
      <c r="Q3208">
        <v>0</v>
      </c>
      <c r="R3208">
        <v>1</v>
      </c>
      <c r="S3208" s="2">
        <v>0</v>
      </c>
      <c r="T3208" s="4"/>
      <c r="U3208">
        <v>3</v>
      </c>
      <c r="V3208">
        <v>1</v>
      </c>
      <c r="W3208">
        <v>1</v>
      </c>
    </row>
    <row r="3209" spans="1:23" ht="16.5" x14ac:dyDescent="0.3">
      <c r="A3209" t="s">
        <v>3273</v>
      </c>
      <c r="B3209" s="1">
        <v>45756</v>
      </c>
      <c r="C3209">
        <v>2025</v>
      </c>
      <c r="D3209" t="s">
        <v>688</v>
      </c>
      <c r="E3209" t="s">
        <v>689</v>
      </c>
      <c r="F3209" t="s">
        <v>41</v>
      </c>
      <c r="G3209" t="s">
        <v>45</v>
      </c>
      <c r="H3209" t="s">
        <v>28</v>
      </c>
      <c r="I3209" t="s">
        <v>29</v>
      </c>
      <c r="J3209" t="s">
        <v>52</v>
      </c>
      <c r="K3209" s="2">
        <v>3100</v>
      </c>
      <c r="L3209" s="2">
        <v>100500</v>
      </c>
      <c r="M3209">
        <v>12</v>
      </c>
      <c r="N3209" s="3">
        <v>2.9350000000000001</v>
      </c>
      <c r="O3209" t="s">
        <v>17</v>
      </c>
      <c r="P3209" t="s">
        <v>53</v>
      </c>
      <c r="Q3209">
        <v>0</v>
      </c>
      <c r="R3209">
        <v>1</v>
      </c>
      <c r="S3209" s="2">
        <v>0</v>
      </c>
      <c r="T3209" s="4"/>
      <c r="U3209">
        <v>4</v>
      </c>
      <c r="V3209">
        <v>1</v>
      </c>
      <c r="W3209">
        <v>1</v>
      </c>
    </row>
    <row r="3210" spans="1:23" ht="16.5" x14ac:dyDescent="0.3">
      <c r="A3210" t="s">
        <v>3274</v>
      </c>
      <c r="B3210" s="1">
        <v>45756</v>
      </c>
      <c r="C3210">
        <v>2025</v>
      </c>
      <c r="D3210" t="s">
        <v>688</v>
      </c>
      <c r="E3210" t="s">
        <v>689</v>
      </c>
      <c r="F3210" t="s">
        <v>37</v>
      </c>
      <c r="G3210" t="s">
        <v>45</v>
      </c>
      <c r="H3210" t="s">
        <v>28</v>
      </c>
      <c r="I3210" t="s">
        <v>29</v>
      </c>
      <c r="J3210" t="s">
        <v>52</v>
      </c>
      <c r="K3210" s="2">
        <v>6900</v>
      </c>
      <c r="L3210" s="2">
        <v>12500</v>
      </c>
      <c r="M3210">
        <v>24</v>
      </c>
      <c r="N3210" s="3">
        <v>0.158</v>
      </c>
      <c r="O3210" t="s">
        <v>16</v>
      </c>
      <c r="Q3210">
        <v>1</v>
      </c>
      <c r="R3210">
        <v>0</v>
      </c>
      <c r="S3210" s="2">
        <v>12500</v>
      </c>
      <c r="T3210" s="4">
        <v>0.1188</v>
      </c>
      <c r="U3210">
        <v>2</v>
      </c>
      <c r="V3210">
        <v>1</v>
      </c>
      <c r="W3210">
        <v>1</v>
      </c>
    </row>
    <row r="3211" spans="1:23" ht="16.5" x14ac:dyDescent="0.3">
      <c r="A3211" t="s">
        <v>3275</v>
      </c>
      <c r="B3211" s="1">
        <v>45756</v>
      </c>
      <c r="C3211">
        <v>2025</v>
      </c>
      <c r="D3211" t="s">
        <v>688</v>
      </c>
      <c r="E3211" t="s">
        <v>689</v>
      </c>
      <c r="F3211" t="s">
        <v>41</v>
      </c>
      <c r="G3211" t="s">
        <v>27</v>
      </c>
      <c r="H3211" t="s">
        <v>28</v>
      </c>
      <c r="I3211" t="s">
        <v>39</v>
      </c>
      <c r="J3211" t="s">
        <v>52</v>
      </c>
      <c r="K3211" s="2">
        <v>4300</v>
      </c>
      <c r="L3211" s="2">
        <v>81500</v>
      </c>
      <c r="M3211">
        <v>12</v>
      </c>
      <c r="N3211" s="3">
        <v>1.915</v>
      </c>
      <c r="O3211" t="s">
        <v>17</v>
      </c>
      <c r="P3211" t="s">
        <v>60</v>
      </c>
      <c r="Q3211">
        <v>0</v>
      </c>
      <c r="R3211">
        <v>1</v>
      </c>
      <c r="S3211" s="2">
        <v>0</v>
      </c>
      <c r="T3211" s="4"/>
      <c r="U3211">
        <v>15</v>
      </c>
      <c r="V3211">
        <v>0</v>
      </c>
      <c r="W3211">
        <v>1</v>
      </c>
    </row>
    <row r="3212" spans="1:23" ht="16.5" x14ac:dyDescent="0.3">
      <c r="A3212" t="s">
        <v>3276</v>
      </c>
      <c r="B3212" s="1">
        <v>45756</v>
      </c>
      <c r="C3212">
        <v>2025</v>
      </c>
      <c r="D3212" t="s">
        <v>688</v>
      </c>
      <c r="E3212" t="s">
        <v>689</v>
      </c>
      <c r="F3212" t="s">
        <v>37</v>
      </c>
      <c r="G3212" t="s">
        <v>51</v>
      </c>
      <c r="H3212" t="s">
        <v>64</v>
      </c>
      <c r="I3212" t="s">
        <v>42</v>
      </c>
      <c r="J3212" t="s">
        <v>35</v>
      </c>
      <c r="K3212" s="2">
        <v>5850</v>
      </c>
      <c r="L3212" s="2">
        <v>5000</v>
      </c>
      <c r="M3212">
        <v>36</v>
      </c>
      <c r="N3212" s="3">
        <v>0.13700000000000001</v>
      </c>
      <c r="O3212" t="s">
        <v>16</v>
      </c>
      <c r="Q3212">
        <v>1</v>
      </c>
      <c r="R3212">
        <v>0</v>
      </c>
      <c r="S3212" s="2">
        <v>5000</v>
      </c>
      <c r="T3212" s="4">
        <v>0.13059999999999999</v>
      </c>
      <c r="U3212">
        <v>4</v>
      </c>
      <c r="V3212">
        <v>0</v>
      </c>
      <c r="W3212">
        <v>1</v>
      </c>
    </row>
    <row r="3213" spans="1:23" ht="16.5" x14ac:dyDescent="0.3">
      <c r="A3213" t="s">
        <v>3277</v>
      </c>
      <c r="B3213" s="1">
        <v>45756</v>
      </c>
      <c r="C3213">
        <v>2025</v>
      </c>
      <c r="D3213" t="s">
        <v>688</v>
      </c>
      <c r="E3213" t="s">
        <v>689</v>
      </c>
      <c r="F3213" t="s">
        <v>41</v>
      </c>
      <c r="G3213" t="s">
        <v>45</v>
      </c>
      <c r="H3213" t="s">
        <v>34</v>
      </c>
      <c r="I3213" t="s">
        <v>42</v>
      </c>
      <c r="J3213" t="s">
        <v>35</v>
      </c>
      <c r="K3213" s="2">
        <v>5500</v>
      </c>
      <c r="L3213" s="2">
        <v>39000</v>
      </c>
      <c r="M3213">
        <v>60</v>
      </c>
      <c r="N3213" s="3">
        <v>0.24399999999999999</v>
      </c>
      <c r="O3213" t="s">
        <v>16</v>
      </c>
      <c r="Q3213">
        <v>1</v>
      </c>
      <c r="R3213">
        <v>0</v>
      </c>
      <c r="S3213" s="2">
        <v>39000</v>
      </c>
      <c r="T3213" s="4">
        <v>0.1075</v>
      </c>
      <c r="U3213">
        <v>8</v>
      </c>
      <c r="V3213">
        <v>1</v>
      </c>
      <c r="W3213">
        <v>1</v>
      </c>
    </row>
    <row r="3214" spans="1:23" ht="16.5" x14ac:dyDescent="0.3">
      <c r="A3214" t="s">
        <v>3278</v>
      </c>
      <c r="B3214" s="1">
        <v>45756</v>
      </c>
      <c r="C3214">
        <v>2025</v>
      </c>
      <c r="D3214" t="s">
        <v>688</v>
      </c>
      <c r="E3214" t="s">
        <v>689</v>
      </c>
      <c r="F3214" t="s">
        <v>50</v>
      </c>
      <c r="G3214" t="s">
        <v>51</v>
      </c>
      <c r="H3214" t="s">
        <v>38</v>
      </c>
      <c r="I3214" t="s">
        <v>42</v>
      </c>
      <c r="J3214" t="s">
        <v>35</v>
      </c>
      <c r="K3214" s="2">
        <v>7800</v>
      </c>
      <c r="L3214" s="2">
        <v>341000</v>
      </c>
      <c r="M3214">
        <v>180</v>
      </c>
      <c r="N3214" s="3">
        <v>0.50800000000000001</v>
      </c>
      <c r="O3214" t="s">
        <v>16</v>
      </c>
      <c r="Q3214">
        <v>1</v>
      </c>
      <c r="R3214">
        <v>0</v>
      </c>
      <c r="S3214" s="2">
        <v>341000</v>
      </c>
      <c r="T3214" s="4">
        <v>6.2399999999999997E-2</v>
      </c>
      <c r="U3214">
        <v>18</v>
      </c>
      <c r="V3214">
        <v>0</v>
      </c>
      <c r="W3214">
        <v>1</v>
      </c>
    </row>
    <row r="3215" spans="1:23" ht="16.5" x14ac:dyDescent="0.3">
      <c r="A3215" t="s">
        <v>3279</v>
      </c>
      <c r="B3215" s="1">
        <v>45756</v>
      </c>
      <c r="C3215">
        <v>2025</v>
      </c>
      <c r="D3215" t="s">
        <v>688</v>
      </c>
      <c r="E3215" t="s">
        <v>689</v>
      </c>
      <c r="F3215" t="s">
        <v>26</v>
      </c>
      <c r="G3215" t="s">
        <v>51</v>
      </c>
      <c r="H3215" t="s">
        <v>55</v>
      </c>
      <c r="I3215" t="s">
        <v>29</v>
      </c>
      <c r="J3215" t="s">
        <v>43</v>
      </c>
      <c r="K3215" s="2">
        <v>7950</v>
      </c>
      <c r="L3215" s="2">
        <v>39500</v>
      </c>
      <c r="M3215">
        <v>60</v>
      </c>
      <c r="N3215" s="3">
        <v>0.255</v>
      </c>
      <c r="O3215" t="s">
        <v>16</v>
      </c>
      <c r="Q3215">
        <v>1</v>
      </c>
      <c r="R3215">
        <v>0</v>
      </c>
      <c r="S3215" s="2">
        <v>39500</v>
      </c>
      <c r="T3215" s="4">
        <v>0.12139999999999999</v>
      </c>
      <c r="U3215">
        <v>5</v>
      </c>
      <c r="V3215">
        <v>0</v>
      </c>
      <c r="W3215">
        <v>1</v>
      </c>
    </row>
    <row r="3216" spans="1:23" ht="16.5" x14ac:dyDescent="0.3">
      <c r="A3216" t="s">
        <v>3280</v>
      </c>
      <c r="B3216" s="1">
        <v>45756</v>
      </c>
      <c r="C3216">
        <v>2025</v>
      </c>
      <c r="D3216" t="s">
        <v>688</v>
      </c>
      <c r="E3216" t="s">
        <v>689</v>
      </c>
      <c r="F3216" t="s">
        <v>37</v>
      </c>
      <c r="G3216" t="s">
        <v>45</v>
      </c>
      <c r="H3216" t="s">
        <v>55</v>
      </c>
      <c r="I3216" t="s">
        <v>42</v>
      </c>
      <c r="J3216" t="s">
        <v>35</v>
      </c>
      <c r="K3216" s="2">
        <v>4850</v>
      </c>
      <c r="L3216" s="2">
        <v>12000</v>
      </c>
      <c r="M3216">
        <v>24</v>
      </c>
      <c r="N3216" s="3">
        <v>0.23899999999999999</v>
      </c>
      <c r="O3216" t="s">
        <v>17</v>
      </c>
      <c r="P3216" t="s">
        <v>60</v>
      </c>
      <c r="Q3216">
        <v>0</v>
      </c>
      <c r="R3216">
        <v>1</v>
      </c>
      <c r="S3216" s="2">
        <v>0</v>
      </c>
      <c r="T3216" s="4"/>
      <c r="U3216">
        <v>5</v>
      </c>
      <c r="V3216">
        <v>0</v>
      </c>
      <c r="W3216">
        <v>1</v>
      </c>
    </row>
    <row r="3217" spans="1:23" ht="16.5" x14ac:dyDescent="0.3">
      <c r="A3217" t="s">
        <v>3281</v>
      </c>
      <c r="B3217" s="1">
        <v>45756</v>
      </c>
      <c r="C3217">
        <v>2025</v>
      </c>
      <c r="D3217" t="s">
        <v>688</v>
      </c>
      <c r="E3217" t="s">
        <v>689</v>
      </c>
      <c r="F3217" t="s">
        <v>26</v>
      </c>
      <c r="G3217" t="s">
        <v>51</v>
      </c>
      <c r="H3217" t="s">
        <v>64</v>
      </c>
      <c r="I3217" t="s">
        <v>29</v>
      </c>
      <c r="J3217" t="s">
        <v>52</v>
      </c>
      <c r="K3217" s="2">
        <v>3750</v>
      </c>
      <c r="L3217" s="2">
        <v>26500</v>
      </c>
      <c r="M3217">
        <v>48</v>
      </c>
      <c r="N3217" s="3">
        <v>0.41399999999999998</v>
      </c>
      <c r="O3217" t="s">
        <v>16</v>
      </c>
      <c r="Q3217">
        <v>1</v>
      </c>
      <c r="R3217">
        <v>0</v>
      </c>
      <c r="S3217" s="2">
        <v>26500</v>
      </c>
      <c r="T3217" s="4">
        <v>7.0499999999999993E-2</v>
      </c>
      <c r="U3217">
        <v>3</v>
      </c>
      <c r="V3217">
        <v>1</v>
      </c>
      <c r="W3217">
        <v>1</v>
      </c>
    </row>
    <row r="3218" spans="1:23" ht="16.5" x14ac:dyDescent="0.3">
      <c r="A3218" t="s">
        <v>3282</v>
      </c>
      <c r="B3218" s="1">
        <v>45757</v>
      </c>
      <c r="C3218">
        <v>2025</v>
      </c>
      <c r="D3218" t="s">
        <v>688</v>
      </c>
      <c r="E3218" t="s">
        <v>689</v>
      </c>
      <c r="F3218" t="s">
        <v>37</v>
      </c>
      <c r="G3218" t="s">
        <v>33</v>
      </c>
      <c r="H3218" t="s">
        <v>55</v>
      </c>
      <c r="I3218" t="s">
        <v>39</v>
      </c>
      <c r="J3218" t="s">
        <v>43</v>
      </c>
      <c r="K3218" s="2">
        <v>4400</v>
      </c>
      <c r="L3218" s="2">
        <v>17000</v>
      </c>
      <c r="M3218">
        <v>48</v>
      </c>
      <c r="N3218" s="3">
        <v>0.23799999999999999</v>
      </c>
      <c r="O3218" t="s">
        <v>17</v>
      </c>
      <c r="P3218" t="s">
        <v>31</v>
      </c>
      <c r="Q3218">
        <v>0</v>
      </c>
      <c r="R3218">
        <v>1</v>
      </c>
      <c r="S3218" s="2">
        <v>0</v>
      </c>
      <c r="T3218" s="4"/>
      <c r="U3218">
        <v>1</v>
      </c>
      <c r="V3218">
        <v>1</v>
      </c>
      <c r="W3218">
        <v>1</v>
      </c>
    </row>
    <row r="3219" spans="1:23" ht="16.5" x14ac:dyDescent="0.3">
      <c r="A3219" t="s">
        <v>3283</v>
      </c>
      <c r="B3219" s="1">
        <v>45757</v>
      </c>
      <c r="C3219">
        <v>2025</v>
      </c>
      <c r="D3219" t="s">
        <v>688</v>
      </c>
      <c r="E3219" t="s">
        <v>689</v>
      </c>
      <c r="F3219" t="s">
        <v>50</v>
      </c>
      <c r="G3219" t="s">
        <v>45</v>
      </c>
      <c r="H3219" t="s">
        <v>38</v>
      </c>
      <c r="I3219" t="s">
        <v>29</v>
      </c>
      <c r="J3219" t="s">
        <v>43</v>
      </c>
      <c r="K3219" s="2">
        <v>5100</v>
      </c>
      <c r="L3219" s="2">
        <v>198500</v>
      </c>
      <c r="M3219">
        <v>240</v>
      </c>
      <c r="N3219" s="3">
        <v>0.48799999999999999</v>
      </c>
      <c r="O3219" t="s">
        <v>17</v>
      </c>
      <c r="P3219" t="s">
        <v>31</v>
      </c>
      <c r="Q3219">
        <v>0</v>
      </c>
      <c r="R3219">
        <v>1</v>
      </c>
      <c r="S3219" s="2">
        <v>0</v>
      </c>
      <c r="T3219" s="4"/>
      <c r="U3219">
        <v>7</v>
      </c>
      <c r="V3219">
        <v>1</v>
      </c>
      <c r="W3219">
        <v>1</v>
      </c>
    </row>
    <row r="3220" spans="1:23" ht="16.5" x14ac:dyDescent="0.3">
      <c r="A3220" t="s">
        <v>3284</v>
      </c>
      <c r="B3220" s="1">
        <v>45757</v>
      </c>
      <c r="C3220">
        <v>2025</v>
      </c>
      <c r="D3220" t="s">
        <v>688</v>
      </c>
      <c r="E3220" t="s">
        <v>689</v>
      </c>
      <c r="F3220" t="s">
        <v>50</v>
      </c>
      <c r="G3220" t="s">
        <v>45</v>
      </c>
      <c r="H3220" t="s">
        <v>38</v>
      </c>
      <c r="I3220" t="s">
        <v>29</v>
      </c>
      <c r="J3220" t="s">
        <v>35</v>
      </c>
      <c r="K3220" s="2">
        <v>4550</v>
      </c>
      <c r="L3220" s="2">
        <v>241500</v>
      </c>
      <c r="M3220">
        <v>300</v>
      </c>
      <c r="N3220" s="3">
        <v>0.55100000000000005</v>
      </c>
      <c r="O3220" t="s">
        <v>16</v>
      </c>
      <c r="Q3220">
        <v>1</v>
      </c>
      <c r="R3220">
        <v>0</v>
      </c>
      <c r="S3220" s="2">
        <v>193000</v>
      </c>
      <c r="T3220" s="4">
        <v>5.2999999999999999E-2</v>
      </c>
      <c r="U3220">
        <v>4</v>
      </c>
      <c r="V3220">
        <v>1</v>
      </c>
      <c r="W3220">
        <v>1</v>
      </c>
    </row>
    <row r="3221" spans="1:23" ht="16.5" x14ac:dyDescent="0.3">
      <c r="A3221" t="s">
        <v>3285</v>
      </c>
      <c r="B3221" s="1">
        <v>45757</v>
      </c>
      <c r="C3221">
        <v>2025</v>
      </c>
      <c r="D3221" t="s">
        <v>688</v>
      </c>
      <c r="E3221" t="s">
        <v>689</v>
      </c>
      <c r="F3221" t="s">
        <v>41</v>
      </c>
      <c r="G3221" t="s">
        <v>27</v>
      </c>
      <c r="H3221" t="s">
        <v>38</v>
      </c>
      <c r="I3221" t="s">
        <v>39</v>
      </c>
      <c r="J3221" t="s">
        <v>46</v>
      </c>
      <c r="K3221" s="2">
        <v>6650</v>
      </c>
      <c r="L3221" s="2">
        <v>153000</v>
      </c>
      <c r="M3221">
        <v>36</v>
      </c>
      <c r="N3221" s="3">
        <v>0.89500000000000002</v>
      </c>
      <c r="O3221" t="s">
        <v>17</v>
      </c>
      <c r="P3221" t="s">
        <v>53</v>
      </c>
      <c r="Q3221">
        <v>0</v>
      </c>
      <c r="R3221">
        <v>1</v>
      </c>
      <c r="S3221" s="2">
        <v>0</v>
      </c>
      <c r="T3221" s="4"/>
      <c r="U3221">
        <v>10</v>
      </c>
      <c r="V3221">
        <v>1</v>
      </c>
      <c r="W3221">
        <v>1</v>
      </c>
    </row>
    <row r="3222" spans="1:23" ht="16.5" x14ac:dyDescent="0.3">
      <c r="A3222" t="s">
        <v>3286</v>
      </c>
      <c r="B3222" s="1">
        <v>45757</v>
      </c>
      <c r="C3222">
        <v>2025</v>
      </c>
      <c r="D3222" t="s">
        <v>688</v>
      </c>
      <c r="E3222" t="s">
        <v>689</v>
      </c>
      <c r="F3222" t="s">
        <v>50</v>
      </c>
      <c r="G3222" t="s">
        <v>45</v>
      </c>
      <c r="H3222" t="s">
        <v>38</v>
      </c>
      <c r="I3222" t="s">
        <v>42</v>
      </c>
      <c r="J3222" t="s">
        <v>52</v>
      </c>
      <c r="K3222" s="2">
        <v>4750</v>
      </c>
      <c r="L3222" s="2">
        <v>436500</v>
      </c>
      <c r="M3222">
        <v>240</v>
      </c>
      <c r="N3222" s="3">
        <v>0.75600000000000001</v>
      </c>
      <c r="O3222" t="s">
        <v>16</v>
      </c>
      <c r="Q3222">
        <v>1</v>
      </c>
      <c r="R3222">
        <v>0</v>
      </c>
      <c r="S3222" s="2">
        <v>436500</v>
      </c>
      <c r="T3222" s="4">
        <v>5.0900000000000001E-2</v>
      </c>
      <c r="U3222">
        <v>7</v>
      </c>
      <c r="V3222">
        <v>1</v>
      </c>
      <c r="W3222">
        <v>1</v>
      </c>
    </row>
    <row r="3223" spans="1:23" ht="16.5" x14ac:dyDescent="0.3">
      <c r="A3223" t="s">
        <v>3287</v>
      </c>
      <c r="B3223" s="1">
        <v>45757</v>
      </c>
      <c r="C3223">
        <v>2025</v>
      </c>
      <c r="D3223" t="s">
        <v>688</v>
      </c>
      <c r="E3223" t="s">
        <v>689</v>
      </c>
      <c r="F3223" t="s">
        <v>26</v>
      </c>
      <c r="G3223" t="s">
        <v>45</v>
      </c>
      <c r="H3223" t="s">
        <v>34</v>
      </c>
      <c r="I3223" t="s">
        <v>39</v>
      </c>
      <c r="J3223" t="s">
        <v>35</v>
      </c>
      <c r="K3223" s="2">
        <v>5550</v>
      </c>
      <c r="L3223" s="2">
        <v>17000</v>
      </c>
      <c r="M3223">
        <v>36</v>
      </c>
      <c r="N3223" s="3">
        <v>0.32400000000000001</v>
      </c>
      <c r="O3223" t="s">
        <v>16</v>
      </c>
      <c r="Q3223">
        <v>1</v>
      </c>
      <c r="R3223">
        <v>0</v>
      </c>
      <c r="S3223" s="2">
        <v>13500</v>
      </c>
      <c r="T3223" s="4">
        <v>8.2500000000000004E-2</v>
      </c>
      <c r="U3223">
        <v>2</v>
      </c>
      <c r="V3223">
        <v>1</v>
      </c>
      <c r="W3223">
        <v>1</v>
      </c>
    </row>
    <row r="3224" spans="1:23" ht="16.5" x14ac:dyDescent="0.3">
      <c r="A3224" t="s">
        <v>3288</v>
      </c>
      <c r="B3224" s="1">
        <v>45757</v>
      </c>
      <c r="C3224">
        <v>2025</v>
      </c>
      <c r="D3224" t="s">
        <v>688</v>
      </c>
      <c r="E3224" t="s">
        <v>689</v>
      </c>
      <c r="F3224" t="s">
        <v>26</v>
      </c>
      <c r="G3224" t="s">
        <v>51</v>
      </c>
      <c r="H3224" t="s">
        <v>55</v>
      </c>
      <c r="I3224" t="s">
        <v>42</v>
      </c>
      <c r="J3224" t="s">
        <v>43</v>
      </c>
      <c r="K3224" s="2">
        <v>7750</v>
      </c>
      <c r="L3224" s="2">
        <v>37500</v>
      </c>
      <c r="M3224">
        <v>36</v>
      </c>
      <c r="N3224" s="3">
        <v>0.23899999999999999</v>
      </c>
      <c r="O3224" t="s">
        <v>17</v>
      </c>
      <c r="P3224" t="s">
        <v>31</v>
      </c>
      <c r="Q3224">
        <v>0</v>
      </c>
      <c r="R3224">
        <v>1</v>
      </c>
      <c r="S3224" s="2">
        <v>0</v>
      </c>
      <c r="T3224" s="4"/>
      <c r="U3224">
        <v>6</v>
      </c>
      <c r="V3224">
        <v>0</v>
      </c>
      <c r="W3224">
        <v>1</v>
      </c>
    </row>
    <row r="3225" spans="1:23" ht="16.5" x14ac:dyDescent="0.3">
      <c r="A3225" t="s">
        <v>3289</v>
      </c>
      <c r="B3225" s="1">
        <v>45757</v>
      </c>
      <c r="C3225">
        <v>2025</v>
      </c>
      <c r="D3225" t="s">
        <v>688</v>
      </c>
      <c r="E3225" t="s">
        <v>689</v>
      </c>
      <c r="F3225" t="s">
        <v>26</v>
      </c>
      <c r="G3225" t="s">
        <v>45</v>
      </c>
      <c r="H3225" t="s">
        <v>34</v>
      </c>
      <c r="I3225" t="s">
        <v>39</v>
      </c>
      <c r="J3225" t="s">
        <v>52</v>
      </c>
      <c r="K3225" s="2">
        <v>4100</v>
      </c>
      <c r="L3225" s="2">
        <v>39500</v>
      </c>
      <c r="M3225">
        <v>60</v>
      </c>
      <c r="N3225" s="3">
        <v>0.42</v>
      </c>
      <c r="O3225" t="s">
        <v>16</v>
      </c>
      <c r="Q3225">
        <v>1</v>
      </c>
      <c r="R3225">
        <v>0</v>
      </c>
      <c r="S3225" s="2">
        <v>35500</v>
      </c>
      <c r="T3225" s="4">
        <v>7.2999999999999995E-2</v>
      </c>
      <c r="U3225">
        <v>3</v>
      </c>
      <c r="V3225">
        <v>1</v>
      </c>
      <c r="W3225">
        <v>1</v>
      </c>
    </row>
    <row r="3226" spans="1:23" ht="16.5" x14ac:dyDescent="0.3">
      <c r="A3226" t="s">
        <v>3290</v>
      </c>
      <c r="B3226" s="1">
        <v>45757</v>
      </c>
      <c r="C3226">
        <v>2025</v>
      </c>
      <c r="D3226" t="s">
        <v>688</v>
      </c>
      <c r="E3226" t="s">
        <v>689</v>
      </c>
      <c r="F3226" t="s">
        <v>26</v>
      </c>
      <c r="G3226" t="s">
        <v>45</v>
      </c>
      <c r="H3226" t="s">
        <v>55</v>
      </c>
      <c r="I3226" t="s">
        <v>29</v>
      </c>
      <c r="J3226" t="s">
        <v>52</v>
      </c>
      <c r="K3226" s="2">
        <v>7800</v>
      </c>
      <c r="L3226" s="2">
        <v>29000</v>
      </c>
      <c r="M3226">
        <v>36</v>
      </c>
      <c r="N3226" s="3">
        <v>0.221</v>
      </c>
      <c r="O3226" t="s">
        <v>125</v>
      </c>
      <c r="Q3226">
        <v>0</v>
      </c>
      <c r="R3226">
        <v>0</v>
      </c>
      <c r="S3226" s="2">
        <v>0</v>
      </c>
      <c r="T3226" s="4"/>
      <c r="U3226">
        <v>6</v>
      </c>
      <c r="V3226">
        <v>0</v>
      </c>
      <c r="W3226">
        <v>1</v>
      </c>
    </row>
    <row r="3227" spans="1:23" ht="16.5" x14ac:dyDescent="0.3">
      <c r="A3227" t="s">
        <v>3291</v>
      </c>
      <c r="B3227" s="1">
        <v>45758</v>
      </c>
      <c r="C3227">
        <v>2025</v>
      </c>
      <c r="D3227" t="s">
        <v>688</v>
      </c>
      <c r="E3227" t="s">
        <v>689</v>
      </c>
      <c r="F3227" t="s">
        <v>26</v>
      </c>
      <c r="G3227" t="s">
        <v>33</v>
      </c>
      <c r="H3227" t="s">
        <v>38</v>
      </c>
      <c r="I3227" t="s">
        <v>42</v>
      </c>
      <c r="J3227" t="s">
        <v>35</v>
      </c>
      <c r="K3227" s="2">
        <v>2450</v>
      </c>
      <c r="L3227" s="2">
        <v>32000</v>
      </c>
      <c r="M3227">
        <v>60</v>
      </c>
      <c r="N3227" s="3">
        <v>0.42599999999999999</v>
      </c>
      <c r="O3227" t="s">
        <v>17</v>
      </c>
      <c r="P3227" t="s">
        <v>48</v>
      </c>
      <c r="Q3227">
        <v>0</v>
      </c>
      <c r="R3227">
        <v>1</v>
      </c>
      <c r="S3227" s="2">
        <v>0</v>
      </c>
      <c r="T3227" s="4"/>
      <c r="U3227">
        <v>1</v>
      </c>
      <c r="V3227">
        <v>1</v>
      </c>
      <c r="W3227">
        <v>1</v>
      </c>
    </row>
    <row r="3228" spans="1:23" ht="16.5" x14ac:dyDescent="0.3">
      <c r="A3228" t="s">
        <v>3292</v>
      </c>
      <c r="B3228" s="1">
        <v>45758</v>
      </c>
      <c r="C3228">
        <v>2025</v>
      </c>
      <c r="D3228" t="s">
        <v>688</v>
      </c>
      <c r="E3228" t="s">
        <v>689</v>
      </c>
      <c r="F3228" t="s">
        <v>50</v>
      </c>
      <c r="G3228" t="s">
        <v>51</v>
      </c>
      <c r="H3228" t="s">
        <v>38</v>
      </c>
      <c r="I3228" t="s">
        <v>29</v>
      </c>
      <c r="J3228" t="s">
        <v>30</v>
      </c>
      <c r="K3228" s="2">
        <v>5900</v>
      </c>
      <c r="L3228" s="2">
        <v>374500</v>
      </c>
      <c r="M3228">
        <v>180</v>
      </c>
      <c r="N3228" s="3">
        <v>0.626</v>
      </c>
      <c r="O3228" t="s">
        <v>17</v>
      </c>
      <c r="P3228" t="s">
        <v>31</v>
      </c>
      <c r="Q3228">
        <v>0</v>
      </c>
      <c r="R3228">
        <v>1</v>
      </c>
      <c r="S3228" s="2">
        <v>0</v>
      </c>
      <c r="T3228" s="4"/>
      <c r="U3228">
        <v>18</v>
      </c>
      <c r="V3228">
        <v>0</v>
      </c>
      <c r="W3228">
        <v>1</v>
      </c>
    </row>
    <row r="3229" spans="1:23" ht="16.5" x14ac:dyDescent="0.3">
      <c r="A3229" t="s">
        <v>3293</v>
      </c>
      <c r="B3229" s="1">
        <v>45758</v>
      </c>
      <c r="C3229">
        <v>2025</v>
      </c>
      <c r="D3229" t="s">
        <v>688</v>
      </c>
      <c r="E3229" t="s">
        <v>689</v>
      </c>
      <c r="F3229" t="s">
        <v>26</v>
      </c>
      <c r="G3229" t="s">
        <v>45</v>
      </c>
      <c r="H3229" t="s">
        <v>38</v>
      </c>
      <c r="I3229" t="s">
        <v>39</v>
      </c>
      <c r="J3229" t="s">
        <v>30</v>
      </c>
      <c r="K3229" s="2">
        <v>3600</v>
      </c>
      <c r="L3229" s="2">
        <v>107000</v>
      </c>
      <c r="M3229">
        <v>60</v>
      </c>
      <c r="N3229" s="3">
        <v>0.748</v>
      </c>
      <c r="O3229" t="s">
        <v>17</v>
      </c>
      <c r="P3229" t="s">
        <v>31</v>
      </c>
      <c r="Q3229">
        <v>0</v>
      </c>
      <c r="R3229">
        <v>1</v>
      </c>
      <c r="S3229" s="2">
        <v>0</v>
      </c>
      <c r="T3229" s="4"/>
      <c r="U3229">
        <v>2</v>
      </c>
      <c r="V3229">
        <v>1</v>
      </c>
      <c r="W3229">
        <v>1</v>
      </c>
    </row>
    <row r="3230" spans="1:23" ht="16.5" x14ac:dyDescent="0.3">
      <c r="A3230" t="s">
        <v>3294</v>
      </c>
      <c r="B3230" s="1">
        <v>45758</v>
      </c>
      <c r="C3230">
        <v>2025</v>
      </c>
      <c r="D3230" t="s">
        <v>688</v>
      </c>
      <c r="E3230" t="s">
        <v>689</v>
      </c>
      <c r="F3230" t="s">
        <v>41</v>
      </c>
      <c r="G3230" t="s">
        <v>51</v>
      </c>
      <c r="H3230" t="s">
        <v>64</v>
      </c>
      <c r="I3230" t="s">
        <v>39</v>
      </c>
      <c r="J3230" t="s">
        <v>46</v>
      </c>
      <c r="K3230" s="2">
        <v>7550</v>
      </c>
      <c r="L3230" s="2">
        <v>78500</v>
      </c>
      <c r="M3230">
        <v>60</v>
      </c>
      <c r="N3230" s="3">
        <v>0.32600000000000001</v>
      </c>
      <c r="O3230" t="s">
        <v>16</v>
      </c>
      <c r="Q3230">
        <v>1</v>
      </c>
      <c r="R3230">
        <v>0</v>
      </c>
      <c r="S3230" s="2">
        <v>78500</v>
      </c>
      <c r="T3230" s="4">
        <v>9.5899999999999999E-2</v>
      </c>
      <c r="U3230">
        <v>11</v>
      </c>
      <c r="V3230">
        <v>0</v>
      </c>
      <c r="W3230">
        <v>1</v>
      </c>
    </row>
    <row r="3231" spans="1:23" ht="16.5" x14ac:dyDescent="0.3">
      <c r="A3231" t="s">
        <v>3295</v>
      </c>
      <c r="B3231" s="1">
        <v>45758</v>
      </c>
      <c r="C3231">
        <v>2025</v>
      </c>
      <c r="D3231" t="s">
        <v>688</v>
      </c>
      <c r="E3231" t="s">
        <v>689</v>
      </c>
      <c r="F3231" t="s">
        <v>37</v>
      </c>
      <c r="G3231" t="s">
        <v>33</v>
      </c>
      <c r="H3231" t="s">
        <v>38</v>
      </c>
      <c r="I3231" t="s">
        <v>29</v>
      </c>
      <c r="J3231" t="s">
        <v>30</v>
      </c>
      <c r="K3231" s="2">
        <v>6600</v>
      </c>
      <c r="L3231" s="2">
        <v>7000</v>
      </c>
      <c r="M3231">
        <v>36</v>
      </c>
      <c r="N3231" s="3">
        <v>0.115</v>
      </c>
      <c r="O3231" t="s">
        <v>16</v>
      </c>
      <c r="Q3231">
        <v>1</v>
      </c>
      <c r="R3231">
        <v>0</v>
      </c>
      <c r="S3231" s="2">
        <v>7000</v>
      </c>
      <c r="T3231" s="4">
        <v>0.1391</v>
      </c>
      <c r="U3231">
        <v>2</v>
      </c>
      <c r="V3231">
        <v>1</v>
      </c>
      <c r="W3231">
        <v>1</v>
      </c>
    </row>
    <row r="3232" spans="1:23" ht="16.5" x14ac:dyDescent="0.3">
      <c r="A3232" t="s">
        <v>3296</v>
      </c>
      <c r="B3232" s="1">
        <v>45758</v>
      </c>
      <c r="C3232">
        <v>2025</v>
      </c>
      <c r="D3232" t="s">
        <v>688</v>
      </c>
      <c r="E3232" t="s">
        <v>689</v>
      </c>
      <c r="F3232" t="s">
        <v>41</v>
      </c>
      <c r="G3232" t="s">
        <v>45</v>
      </c>
      <c r="H3232" t="s">
        <v>38</v>
      </c>
      <c r="I3232" t="s">
        <v>39</v>
      </c>
      <c r="J3232" t="s">
        <v>35</v>
      </c>
      <c r="K3232" s="2">
        <v>12450</v>
      </c>
      <c r="L3232" s="2">
        <v>116500</v>
      </c>
      <c r="M3232">
        <v>36</v>
      </c>
      <c r="N3232" s="3">
        <v>0.45100000000000001</v>
      </c>
      <c r="O3232" t="s">
        <v>16</v>
      </c>
      <c r="Q3232">
        <v>1</v>
      </c>
      <c r="R3232">
        <v>0</v>
      </c>
      <c r="S3232" s="2">
        <v>116500</v>
      </c>
      <c r="T3232" s="4">
        <v>0.11020000000000001</v>
      </c>
      <c r="U3232">
        <v>4</v>
      </c>
      <c r="V3232">
        <v>1</v>
      </c>
      <c r="W3232">
        <v>1</v>
      </c>
    </row>
    <row r="3233" spans="1:23" ht="16.5" x14ac:dyDescent="0.3">
      <c r="A3233" t="s">
        <v>3297</v>
      </c>
      <c r="B3233" s="1">
        <v>45758</v>
      </c>
      <c r="C3233">
        <v>2025</v>
      </c>
      <c r="D3233" t="s">
        <v>688</v>
      </c>
      <c r="E3233" t="s">
        <v>689</v>
      </c>
      <c r="F3233" t="s">
        <v>26</v>
      </c>
      <c r="G3233" t="s">
        <v>45</v>
      </c>
      <c r="H3233" t="s">
        <v>55</v>
      </c>
      <c r="I3233" t="s">
        <v>39</v>
      </c>
      <c r="J3233" t="s">
        <v>35</v>
      </c>
      <c r="K3233" s="2">
        <v>4800</v>
      </c>
      <c r="L3233" s="2">
        <v>40000</v>
      </c>
      <c r="M3233">
        <v>48</v>
      </c>
      <c r="N3233" s="3">
        <v>0.26</v>
      </c>
      <c r="O3233" t="s">
        <v>17</v>
      </c>
      <c r="P3233" t="s">
        <v>60</v>
      </c>
      <c r="Q3233">
        <v>0</v>
      </c>
      <c r="R3233">
        <v>1</v>
      </c>
      <c r="S3233" s="2">
        <v>0</v>
      </c>
      <c r="T3233" s="4"/>
      <c r="U3233">
        <v>6</v>
      </c>
      <c r="V3233">
        <v>0</v>
      </c>
      <c r="W3233">
        <v>1</v>
      </c>
    </row>
    <row r="3234" spans="1:23" ht="16.5" x14ac:dyDescent="0.3">
      <c r="A3234" t="s">
        <v>3298</v>
      </c>
      <c r="B3234" s="1">
        <v>45758</v>
      </c>
      <c r="C3234">
        <v>2025</v>
      </c>
      <c r="D3234" t="s">
        <v>688</v>
      </c>
      <c r="E3234" t="s">
        <v>689</v>
      </c>
      <c r="F3234" t="s">
        <v>37</v>
      </c>
      <c r="G3234" t="s">
        <v>45</v>
      </c>
      <c r="H3234" t="s">
        <v>55</v>
      </c>
      <c r="I3234" t="s">
        <v>39</v>
      </c>
      <c r="J3234" t="s">
        <v>30</v>
      </c>
      <c r="K3234" s="2">
        <v>4850</v>
      </c>
      <c r="L3234" s="2">
        <v>8000</v>
      </c>
      <c r="M3234">
        <v>24</v>
      </c>
      <c r="N3234" s="3">
        <v>0.182</v>
      </c>
      <c r="O3234" t="s">
        <v>17</v>
      </c>
      <c r="P3234" t="s">
        <v>31</v>
      </c>
      <c r="Q3234">
        <v>0</v>
      </c>
      <c r="R3234">
        <v>1</v>
      </c>
      <c r="S3234" s="2">
        <v>0</v>
      </c>
      <c r="T3234" s="4"/>
      <c r="U3234">
        <v>3</v>
      </c>
      <c r="V3234">
        <v>1</v>
      </c>
      <c r="W3234">
        <v>1</v>
      </c>
    </row>
    <row r="3235" spans="1:23" ht="16.5" x14ac:dyDescent="0.3">
      <c r="A3235" t="s">
        <v>3299</v>
      </c>
      <c r="B3235" s="1">
        <v>45758</v>
      </c>
      <c r="C3235">
        <v>2025</v>
      </c>
      <c r="D3235" t="s">
        <v>688</v>
      </c>
      <c r="E3235" t="s">
        <v>689</v>
      </c>
      <c r="F3235" t="s">
        <v>37</v>
      </c>
      <c r="G3235" t="s">
        <v>51</v>
      </c>
      <c r="H3235" t="s">
        <v>38</v>
      </c>
      <c r="I3235" t="s">
        <v>29</v>
      </c>
      <c r="J3235" t="s">
        <v>43</v>
      </c>
      <c r="K3235" s="2">
        <v>7750</v>
      </c>
      <c r="L3235" s="2">
        <v>25500</v>
      </c>
      <c r="M3235">
        <v>60</v>
      </c>
      <c r="N3235" s="3">
        <v>0.13300000000000001</v>
      </c>
      <c r="O3235" t="s">
        <v>125</v>
      </c>
      <c r="Q3235">
        <v>0</v>
      </c>
      <c r="R3235">
        <v>0</v>
      </c>
      <c r="S3235" s="2">
        <v>0</v>
      </c>
      <c r="T3235" s="4"/>
      <c r="U3235">
        <v>4</v>
      </c>
      <c r="V3235">
        <v>0</v>
      </c>
      <c r="W3235">
        <v>1</v>
      </c>
    </row>
    <row r="3236" spans="1:23" ht="16.5" x14ac:dyDescent="0.3">
      <c r="A3236" t="s">
        <v>3300</v>
      </c>
      <c r="B3236" s="1">
        <v>45758</v>
      </c>
      <c r="C3236">
        <v>2025</v>
      </c>
      <c r="D3236" t="s">
        <v>688</v>
      </c>
      <c r="E3236" t="s">
        <v>689</v>
      </c>
      <c r="F3236" t="s">
        <v>41</v>
      </c>
      <c r="G3236" t="s">
        <v>33</v>
      </c>
      <c r="H3236" t="s">
        <v>28</v>
      </c>
      <c r="I3236" t="s">
        <v>29</v>
      </c>
      <c r="J3236" t="s">
        <v>43</v>
      </c>
      <c r="K3236" s="2">
        <v>6200</v>
      </c>
      <c r="L3236" s="2">
        <v>60500</v>
      </c>
      <c r="M3236">
        <v>24</v>
      </c>
      <c r="N3236" s="3">
        <v>0.56899999999999995</v>
      </c>
      <c r="O3236" t="s">
        <v>17</v>
      </c>
      <c r="P3236" t="s">
        <v>53</v>
      </c>
      <c r="Q3236">
        <v>0</v>
      </c>
      <c r="R3236">
        <v>1</v>
      </c>
      <c r="S3236" s="2">
        <v>0</v>
      </c>
      <c r="T3236" s="4"/>
      <c r="U3236">
        <v>4</v>
      </c>
      <c r="V3236">
        <v>1</v>
      </c>
      <c r="W3236">
        <v>1</v>
      </c>
    </row>
    <row r="3237" spans="1:23" ht="16.5" x14ac:dyDescent="0.3">
      <c r="A3237" t="s">
        <v>3301</v>
      </c>
      <c r="B3237" s="1">
        <v>45758</v>
      </c>
      <c r="C3237">
        <v>2025</v>
      </c>
      <c r="D3237" t="s">
        <v>688</v>
      </c>
      <c r="E3237" t="s">
        <v>689</v>
      </c>
      <c r="F3237" t="s">
        <v>37</v>
      </c>
      <c r="G3237" t="s">
        <v>45</v>
      </c>
      <c r="H3237" t="s">
        <v>55</v>
      </c>
      <c r="I3237" t="s">
        <v>29</v>
      </c>
      <c r="J3237" t="s">
        <v>46</v>
      </c>
      <c r="K3237" s="2">
        <v>7150</v>
      </c>
      <c r="L3237" s="2">
        <v>14500</v>
      </c>
      <c r="M3237">
        <v>60</v>
      </c>
      <c r="N3237" s="3">
        <v>0.27800000000000002</v>
      </c>
      <c r="O3237" t="s">
        <v>16</v>
      </c>
      <c r="Q3237">
        <v>1</v>
      </c>
      <c r="R3237">
        <v>0</v>
      </c>
      <c r="S3237" s="2">
        <v>11500</v>
      </c>
      <c r="T3237" s="4">
        <v>0.10979999999999999</v>
      </c>
      <c r="U3237">
        <v>2</v>
      </c>
      <c r="V3237">
        <v>1</v>
      </c>
      <c r="W3237">
        <v>1</v>
      </c>
    </row>
    <row r="3238" spans="1:23" ht="16.5" x14ac:dyDescent="0.3">
      <c r="A3238" t="s">
        <v>3302</v>
      </c>
      <c r="B3238" s="1">
        <v>45758</v>
      </c>
      <c r="C3238">
        <v>2025</v>
      </c>
      <c r="D3238" t="s">
        <v>688</v>
      </c>
      <c r="E3238" t="s">
        <v>689</v>
      </c>
      <c r="F3238" t="s">
        <v>41</v>
      </c>
      <c r="G3238" t="s">
        <v>51</v>
      </c>
      <c r="H3238" t="s">
        <v>34</v>
      </c>
      <c r="I3238" t="s">
        <v>29</v>
      </c>
      <c r="J3238" t="s">
        <v>35</v>
      </c>
      <c r="K3238" s="2">
        <v>10900</v>
      </c>
      <c r="L3238" s="2">
        <v>100500</v>
      </c>
      <c r="M3238">
        <v>24</v>
      </c>
      <c r="N3238" s="3">
        <v>0.61499999999999999</v>
      </c>
      <c r="O3238" t="s">
        <v>125</v>
      </c>
      <c r="Q3238">
        <v>0</v>
      </c>
      <c r="R3238">
        <v>0</v>
      </c>
      <c r="S3238" s="2">
        <v>0</v>
      </c>
      <c r="T3238" s="4"/>
      <c r="U3238">
        <v>17</v>
      </c>
      <c r="V3238">
        <v>0</v>
      </c>
      <c r="W3238">
        <v>1</v>
      </c>
    </row>
    <row r="3239" spans="1:23" ht="16.5" x14ac:dyDescent="0.3">
      <c r="A3239" t="s">
        <v>3303</v>
      </c>
      <c r="B3239" s="1">
        <v>45758</v>
      </c>
      <c r="C3239">
        <v>2025</v>
      </c>
      <c r="D3239" t="s">
        <v>688</v>
      </c>
      <c r="E3239" t="s">
        <v>689</v>
      </c>
      <c r="F3239" t="s">
        <v>41</v>
      </c>
      <c r="G3239" t="s">
        <v>45</v>
      </c>
      <c r="H3239" t="s">
        <v>34</v>
      </c>
      <c r="I3239" t="s">
        <v>29</v>
      </c>
      <c r="J3239" t="s">
        <v>30</v>
      </c>
      <c r="K3239" s="2">
        <v>2850</v>
      </c>
      <c r="L3239" s="2">
        <v>118000</v>
      </c>
      <c r="M3239">
        <v>24</v>
      </c>
      <c r="N3239" s="3">
        <v>2.077</v>
      </c>
      <c r="O3239" t="s">
        <v>17</v>
      </c>
      <c r="P3239" t="s">
        <v>31</v>
      </c>
      <c r="Q3239">
        <v>0</v>
      </c>
      <c r="R3239">
        <v>1</v>
      </c>
      <c r="S3239" s="2">
        <v>0</v>
      </c>
      <c r="T3239" s="4"/>
      <c r="U3239">
        <v>3</v>
      </c>
      <c r="V3239">
        <v>1</v>
      </c>
      <c r="W3239">
        <v>1</v>
      </c>
    </row>
    <row r="3240" spans="1:23" ht="16.5" x14ac:dyDescent="0.3">
      <c r="A3240" t="s">
        <v>3304</v>
      </c>
      <c r="B3240" s="1">
        <v>45758</v>
      </c>
      <c r="C3240">
        <v>2025</v>
      </c>
      <c r="D3240" t="s">
        <v>688</v>
      </c>
      <c r="E3240" t="s">
        <v>689</v>
      </c>
      <c r="F3240" t="s">
        <v>41</v>
      </c>
      <c r="G3240" t="s">
        <v>51</v>
      </c>
      <c r="H3240" t="s">
        <v>38</v>
      </c>
      <c r="I3240" t="s">
        <v>39</v>
      </c>
      <c r="J3240" t="s">
        <v>52</v>
      </c>
      <c r="K3240" s="2">
        <v>5950</v>
      </c>
      <c r="L3240" s="2">
        <v>128500</v>
      </c>
      <c r="M3240">
        <v>36</v>
      </c>
      <c r="N3240" s="3">
        <v>0.85299999999999998</v>
      </c>
      <c r="O3240" t="s">
        <v>16</v>
      </c>
      <c r="Q3240">
        <v>1</v>
      </c>
      <c r="R3240">
        <v>0</v>
      </c>
      <c r="S3240" s="2">
        <v>128500</v>
      </c>
      <c r="T3240" s="4">
        <v>9.7900000000000001E-2</v>
      </c>
      <c r="U3240">
        <v>14</v>
      </c>
      <c r="V3240">
        <v>0</v>
      </c>
      <c r="W3240">
        <v>1</v>
      </c>
    </row>
    <row r="3241" spans="1:23" ht="16.5" x14ac:dyDescent="0.3">
      <c r="A3241" t="s">
        <v>3305</v>
      </c>
      <c r="B3241" s="1">
        <v>45758</v>
      </c>
      <c r="C3241">
        <v>2025</v>
      </c>
      <c r="D3241" t="s">
        <v>688</v>
      </c>
      <c r="E3241" t="s">
        <v>689</v>
      </c>
      <c r="F3241" t="s">
        <v>50</v>
      </c>
      <c r="G3241" t="s">
        <v>33</v>
      </c>
      <c r="H3241" t="s">
        <v>55</v>
      </c>
      <c r="I3241" t="s">
        <v>39</v>
      </c>
      <c r="J3241" t="s">
        <v>30</v>
      </c>
      <c r="K3241" s="2">
        <v>5400</v>
      </c>
      <c r="L3241" s="2">
        <v>145000</v>
      </c>
      <c r="M3241">
        <v>180</v>
      </c>
      <c r="N3241" s="3">
        <v>0.42499999999999999</v>
      </c>
      <c r="O3241" t="s">
        <v>16</v>
      </c>
      <c r="Q3241">
        <v>1</v>
      </c>
      <c r="R3241">
        <v>0</v>
      </c>
      <c r="S3241" s="2">
        <v>145000</v>
      </c>
      <c r="T3241" s="4">
        <v>7.1800000000000003E-2</v>
      </c>
      <c r="U3241">
        <v>6</v>
      </c>
      <c r="V3241">
        <v>1</v>
      </c>
      <c r="W3241">
        <v>1</v>
      </c>
    </row>
    <row r="3242" spans="1:23" ht="16.5" x14ac:dyDescent="0.3">
      <c r="A3242" t="s">
        <v>3306</v>
      </c>
      <c r="B3242" s="1">
        <v>45759</v>
      </c>
      <c r="C3242">
        <v>2025</v>
      </c>
      <c r="D3242" t="s">
        <v>688</v>
      </c>
      <c r="E3242" t="s">
        <v>689</v>
      </c>
      <c r="F3242" t="s">
        <v>37</v>
      </c>
      <c r="G3242" t="s">
        <v>45</v>
      </c>
      <c r="H3242" t="s">
        <v>38</v>
      </c>
      <c r="I3242" t="s">
        <v>29</v>
      </c>
      <c r="J3242" t="s">
        <v>52</v>
      </c>
      <c r="K3242" s="2">
        <v>3500</v>
      </c>
      <c r="L3242" s="2">
        <v>10000</v>
      </c>
      <c r="M3242">
        <v>24</v>
      </c>
      <c r="N3242" s="3">
        <v>0.33900000000000002</v>
      </c>
      <c r="O3242" t="s">
        <v>16</v>
      </c>
      <c r="Q3242">
        <v>1</v>
      </c>
      <c r="R3242">
        <v>0</v>
      </c>
      <c r="S3242" s="2">
        <v>10000</v>
      </c>
      <c r="T3242" s="4">
        <v>0.1124</v>
      </c>
      <c r="U3242">
        <v>2</v>
      </c>
      <c r="V3242">
        <v>1</v>
      </c>
      <c r="W3242">
        <v>1</v>
      </c>
    </row>
    <row r="3243" spans="1:23" ht="16.5" x14ac:dyDescent="0.3">
      <c r="A3243" t="s">
        <v>3307</v>
      </c>
      <c r="B3243" s="1">
        <v>45759</v>
      </c>
      <c r="C3243">
        <v>2025</v>
      </c>
      <c r="D3243" t="s">
        <v>688</v>
      </c>
      <c r="E3243" t="s">
        <v>689</v>
      </c>
      <c r="F3243" t="s">
        <v>37</v>
      </c>
      <c r="G3243" t="s">
        <v>45</v>
      </c>
      <c r="H3243" t="s">
        <v>34</v>
      </c>
      <c r="I3243" t="s">
        <v>29</v>
      </c>
      <c r="J3243" t="s">
        <v>30</v>
      </c>
      <c r="K3243" s="2">
        <v>3650</v>
      </c>
      <c r="L3243" s="2">
        <v>12500</v>
      </c>
      <c r="M3243">
        <v>60</v>
      </c>
      <c r="N3243" s="3">
        <v>0.30299999999999999</v>
      </c>
      <c r="O3243" t="s">
        <v>17</v>
      </c>
      <c r="P3243" t="s">
        <v>31</v>
      </c>
      <c r="Q3243">
        <v>0</v>
      </c>
      <c r="R3243">
        <v>1</v>
      </c>
      <c r="S3243" s="2">
        <v>0</v>
      </c>
      <c r="T3243" s="4"/>
      <c r="U3243">
        <v>1</v>
      </c>
      <c r="V3243">
        <v>1</v>
      </c>
      <c r="W3243">
        <v>1</v>
      </c>
    </row>
    <row r="3244" spans="1:23" ht="16.5" x14ac:dyDescent="0.3">
      <c r="A3244" t="s">
        <v>3308</v>
      </c>
      <c r="B3244" s="1">
        <v>45759</v>
      </c>
      <c r="C3244">
        <v>2025</v>
      </c>
      <c r="D3244" t="s">
        <v>688</v>
      </c>
      <c r="E3244" t="s">
        <v>689</v>
      </c>
      <c r="F3244" t="s">
        <v>37</v>
      </c>
      <c r="G3244" t="s">
        <v>45</v>
      </c>
      <c r="H3244" t="s">
        <v>55</v>
      </c>
      <c r="I3244" t="s">
        <v>29</v>
      </c>
      <c r="J3244" t="s">
        <v>35</v>
      </c>
      <c r="K3244" s="2">
        <v>3350</v>
      </c>
      <c r="L3244" s="2">
        <v>6500</v>
      </c>
      <c r="M3244">
        <v>48</v>
      </c>
      <c r="N3244" s="3">
        <v>0.20100000000000001</v>
      </c>
      <c r="O3244" t="s">
        <v>16</v>
      </c>
      <c r="Q3244">
        <v>1</v>
      </c>
      <c r="R3244">
        <v>0</v>
      </c>
      <c r="S3244" s="2">
        <v>6000</v>
      </c>
      <c r="T3244" s="4">
        <v>0.1235</v>
      </c>
      <c r="U3244">
        <v>2</v>
      </c>
      <c r="V3244">
        <v>1</v>
      </c>
      <c r="W3244">
        <v>1</v>
      </c>
    </row>
    <row r="3245" spans="1:23" ht="16.5" x14ac:dyDescent="0.3">
      <c r="A3245" t="s">
        <v>3309</v>
      </c>
      <c r="B3245" s="1">
        <v>45759</v>
      </c>
      <c r="C3245">
        <v>2025</v>
      </c>
      <c r="D3245" t="s">
        <v>688</v>
      </c>
      <c r="E3245" t="s">
        <v>689</v>
      </c>
      <c r="F3245" t="s">
        <v>41</v>
      </c>
      <c r="G3245" t="s">
        <v>33</v>
      </c>
      <c r="H3245" t="s">
        <v>55</v>
      </c>
      <c r="I3245" t="s">
        <v>39</v>
      </c>
      <c r="J3245" t="s">
        <v>46</v>
      </c>
      <c r="K3245" s="2">
        <v>6750</v>
      </c>
      <c r="L3245" s="2">
        <v>89500</v>
      </c>
      <c r="M3245">
        <v>36</v>
      </c>
      <c r="N3245" s="3">
        <v>0.60599999999999998</v>
      </c>
      <c r="O3245" t="s">
        <v>16</v>
      </c>
      <c r="Q3245">
        <v>1</v>
      </c>
      <c r="R3245">
        <v>0</v>
      </c>
      <c r="S3245" s="2">
        <v>89500</v>
      </c>
      <c r="T3245" s="4">
        <v>9.5100000000000004E-2</v>
      </c>
      <c r="U3245">
        <v>3</v>
      </c>
      <c r="V3245">
        <v>1</v>
      </c>
      <c r="W3245">
        <v>1</v>
      </c>
    </row>
    <row r="3246" spans="1:23" ht="16.5" x14ac:dyDescent="0.3">
      <c r="A3246" t="s">
        <v>3310</v>
      </c>
      <c r="B3246" s="1">
        <v>45759</v>
      </c>
      <c r="C3246">
        <v>2025</v>
      </c>
      <c r="D3246" t="s">
        <v>688</v>
      </c>
      <c r="E3246" t="s">
        <v>689</v>
      </c>
      <c r="F3246" t="s">
        <v>37</v>
      </c>
      <c r="G3246" t="s">
        <v>33</v>
      </c>
      <c r="H3246" t="s">
        <v>38</v>
      </c>
      <c r="I3246" t="s">
        <v>39</v>
      </c>
      <c r="J3246" t="s">
        <v>30</v>
      </c>
      <c r="K3246" s="2">
        <v>10250</v>
      </c>
      <c r="L3246" s="2">
        <v>16000</v>
      </c>
      <c r="M3246">
        <v>36</v>
      </c>
      <c r="N3246" s="3">
        <v>0.22700000000000001</v>
      </c>
      <c r="O3246" t="s">
        <v>17</v>
      </c>
      <c r="P3246" t="s">
        <v>31</v>
      </c>
      <c r="Q3246">
        <v>0</v>
      </c>
      <c r="R3246">
        <v>1</v>
      </c>
      <c r="S3246" s="2">
        <v>0</v>
      </c>
      <c r="T3246" s="4"/>
      <c r="U3246">
        <v>2</v>
      </c>
      <c r="V3246">
        <v>1</v>
      </c>
      <c r="W3246">
        <v>1</v>
      </c>
    </row>
    <row r="3247" spans="1:23" ht="16.5" x14ac:dyDescent="0.3">
      <c r="A3247" t="s">
        <v>3311</v>
      </c>
      <c r="B3247" s="1">
        <v>45759</v>
      </c>
      <c r="C3247">
        <v>2025</v>
      </c>
      <c r="D3247" t="s">
        <v>688</v>
      </c>
      <c r="E3247" t="s">
        <v>689</v>
      </c>
      <c r="F3247" t="s">
        <v>50</v>
      </c>
      <c r="G3247" t="s">
        <v>45</v>
      </c>
      <c r="H3247" t="s">
        <v>38</v>
      </c>
      <c r="I3247" t="s">
        <v>29</v>
      </c>
      <c r="J3247" t="s">
        <v>30</v>
      </c>
      <c r="K3247" s="2">
        <v>3750</v>
      </c>
      <c r="L3247" s="2">
        <v>508000</v>
      </c>
      <c r="M3247">
        <v>300</v>
      </c>
      <c r="N3247" s="3">
        <v>0.98899999999999999</v>
      </c>
      <c r="O3247" t="s">
        <v>17</v>
      </c>
      <c r="P3247" t="s">
        <v>31</v>
      </c>
      <c r="Q3247">
        <v>0</v>
      </c>
      <c r="R3247">
        <v>1</v>
      </c>
      <c r="S3247" s="2">
        <v>0</v>
      </c>
      <c r="T3247" s="4"/>
      <c r="U3247">
        <v>6</v>
      </c>
      <c r="V3247">
        <v>1</v>
      </c>
      <c r="W3247">
        <v>1</v>
      </c>
    </row>
    <row r="3248" spans="1:23" ht="16.5" x14ac:dyDescent="0.3">
      <c r="A3248" t="s">
        <v>3312</v>
      </c>
      <c r="B3248" s="1">
        <v>45759</v>
      </c>
      <c r="C3248">
        <v>2025</v>
      </c>
      <c r="D3248" t="s">
        <v>688</v>
      </c>
      <c r="E3248" t="s">
        <v>689</v>
      </c>
      <c r="F3248" t="s">
        <v>50</v>
      </c>
      <c r="G3248" t="s">
        <v>51</v>
      </c>
      <c r="H3248" t="s">
        <v>38</v>
      </c>
      <c r="I3248" t="s">
        <v>39</v>
      </c>
      <c r="J3248" t="s">
        <v>35</v>
      </c>
      <c r="K3248" s="2">
        <v>3600</v>
      </c>
      <c r="L3248" s="2">
        <v>151500</v>
      </c>
      <c r="M3248">
        <v>180</v>
      </c>
      <c r="N3248" s="3">
        <v>0.49199999999999999</v>
      </c>
      <c r="O3248" t="s">
        <v>16</v>
      </c>
      <c r="Q3248">
        <v>1</v>
      </c>
      <c r="R3248">
        <v>0</v>
      </c>
      <c r="S3248" s="2">
        <v>121000</v>
      </c>
      <c r="T3248" s="4">
        <v>5.8400000000000001E-2</v>
      </c>
      <c r="U3248">
        <v>10</v>
      </c>
      <c r="V3248">
        <v>1</v>
      </c>
      <c r="W3248">
        <v>1</v>
      </c>
    </row>
    <row r="3249" spans="1:23" ht="16.5" x14ac:dyDescent="0.3">
      <c r="A3249" t="s">
        <v>3313</v>
      </c>
      <c r="B3249" s="1">
        <v>45759</v>
      </c>
      <c r="C3249">
        <v>2025</v>
      </c>
      <c r="D3249" t="s">
        <v>688</v>
      </c>
      <c r="E3249" t="s">
        <v>689</v>
      </c>
      <c r="F3249" t="s">
        <v>41</v>
      </c>
      <c r="G3249" t="s">
        <v>33</v>
      </c>
      <c r="H3249" t="s">
        <v>38</v>
      </c>
      <c r="I3249" t="s">
        <v>29</v>
      </c>
      <c r="J3249" t="s">
        <v>52</v>
      </c>
      <c r="K3249" s="2">
        <v>5500</v>
      </c>
      <c r="L3249" s="2">
        <v>219000</v>
      </c>
      <c r="M3249">
        <v>60</v>
      </c>
      <c r="N3249" s="3">
        <v>1.0680000000000001</v>
      </c>
      <c r="O3249" t="s">
        <v>17</v>
      </c>
      <c r="P3249" t="s">
        <v>53</v>
      </c>
      <c r="Q3249">
        <v>0</v>
      </c>
      <c r="R3249">
        <v>1</v>
      </c>
      <c r="S3249" s="2">
        <v>0</v>
      </c>
      <c r="T3249" s="4"/>
      <c r="U3249">
        <v>5</v>
      </c>
      <c r="V3249">
        <v>1</v>
      </c>
      <c r="W3249">
        <v>1</v>
      </c>
    </row>
    <row r="3250" spans="1:23" ht="16.5" x14ac:dyDescent="0.3">
      <c r="A3250" t="s">
        <v>3314</v>
      </c>
      <c r="B3250" s="1">
        <v>45759</v>
      </c>
      <c r="C3250">
        <v>2025</v>
      </c>
      <c r="D3250" t="s">
        <v>688</v>
      </c>
      <c r="E3250" t="s">
        <v>689</v>
      </c>
      <c r="F3250" t="s">
        <v>37</v>
      </c>
      <c r="G3250" t="s">
        <v>51</v>
      </c>
      <c r="H3250" t="s">
        <v>64</v>
      </c>
      <c r="I3250" t="s">
        <v>29</v>
      </c>
      <c r="J3250" t="s">
        <v>35</v>
      </c>
      <c r="K3250" s="2">
        <v>3400</v>
      </c>
      <c r="L3250" s="2">
        <v>16500</v>
      </c>
      <c r="M3250">
        <v>60</v>
      </c>
      <c r="N3250" s="3">
        <v>0.2</v>
      </c>
      <c r="O3250" t="s">
        <v>17</v>
      </c>
      <c r="P3250" t="s">
        <v>48</v>
      </c>
      <c r="Q3250">
        <v>0</v>
      </c>
      <c r="R3250">
        <v>1</v>
      </c>
      <c r="S3250" s="2">
        <v>0</v>
      </c>
      <c r="T3250" s="4"/>
      <c r="U3250">
        <v>2</v>
      </c>
      <c r="V3250">
        <v>1</v>
      </c>
      <c r="W3250">
        <v>1</v>
      </c>
    </row>
    <row r="3251" spans="1:23" ht="16.5" x14ac:dyDescent="0.3">
      <c r="A3251" t="s">
        <v>3315</v>
      </c>
      <c r="B3251" s="1">
        <v>45760</v>
      </c>
      <c r="C3251">
        <v>2025</v>
      </c>
      <c r="D3251" t="s">
        <v>688</v>
      </c>
      <c r="E3251" t="s">
        <v>689</v>
      </c>
      <c r="F3251" t="s">
        <v>26</v>
      </c>
      <c r="G3251" t="s">
        <v>51</v>
      </c>
      <c r="H3251" t="s">
        <v>38</v>
      </c>
      <c r="I3251" t="s">
        <v>39</v>
      </c>
      <c r="J3251" t="s">
        <v>35</v>
      </c>
      <c r="K3251" s="2">
        <v>8350</v>
      </c>
      <c r="L3251" s="2">
        <v>22500</v>
      </c>
      <c r="M3251">
        <v>48</v>
      </c>
      <c r="N3251" s="3">
        <v>0.14199999999999999</v>
      </c>
      <c r="O3251" t="s">
        <v>16</v>
      </c>
      <c r="Q3251">
        <v>1</v>
      </c>
      <c r="R3251">
        <v>0</v>
      </c>
      <c r="S3251" s="2">
        <v>22500</v>
      </c>
      <c r="T3251" s="4">
        <v>8.1699999999999995E-2</v>
      </c>
      <c r="U3251">
        <v>3</v>
      </c>
      <c r="V3251">
        <v>1</v>
      </c>
      <c r="W3251">
        <v>1</v>
      </c>
    </row>
    <row r="3252" spans="1:23" ht="16.5" x14ac:dyDescent="0.3">
      <c r="A3252" t="s">
        <v>3316</v>
      </c>
      <c r="B3252" s="1">
        <v>45760</v>
      </c>
      <c r="C3252">
        <v>2025</v>
      </c>
      <c r="D3252" t="s">
        <v>688</v>
      </c>
      <c r="E3252" t="s">
        <v>689</v>
      </c>
      <c r="F3252" t="s">
        <v>26</v>
      </c>
      <c r="G3252" t="s">
        <v>51</v>
      </c>
      <c r="H3252" t="s">
        <v>38</v>
      </c>
      <c r="I3252" t="s">
        <v>39</v>
      </c>
      <c r="J3252" t="s">
        <v>35</v>
      </c>
      <c r="K3252" s="2">
        <v>3900</v>
      </c>
      <c r="L3252" s="2">
        <v>50000</v>
      </c>
      <c r="M3252">
        <v>36</v>
      </c>
      <c r="N3252" s="3">
        <v>0.55500000000000005</v>
      </c>
      <c r="O3252" t="s">
        <v>16</v>
      </c>
      <c r="Q3252">
        <v>1</v>
      </c>
      <c r="R3252">
        <v>0</v>
      </c>
      <c r="S3252" s="2">
        <v>50000</v>
      </c>
      <c r="T3252" s="4">
        <v>7.8E-2</v>
      </c>
      <c r="U3252">
        <v>7</v>
      </c>
      <c r="V3252">
        <v>0</v>
      </c>
      <c r="W3252">
        <v>1</v>
      </c>
    </row>
    <row r="3253" spans="1:23" ht="16.5" x14ac:dyDescent="0.3">
      <c r="A3253" t="s">
        <v>3317</v>
      </c>
      <c r="B3253" s="1">
        <v>45760</v>
      </c>
      <c r="C3253">
        <v>2025</v>
      </c>
      <c r="D3253" t="s">
        <v>688</v>
      </c>
      <c r="E3253" t="s">
        <v>689</v>
      </c>
      <c r="F3253" t="s">
        <v>26</v>
      </c>
      <c r="G3253" t="s">
        <v>33</v>
      </c>
      <c r="H3253" t="s">
        <v>55</v>
      </c>
      <c r="I3253" t="s">
        <v>29</v>
      </c>
      <c r="J3253" t="s">
        <v>52</v>
      </c>
      <c r="K3253" s="2">
        <v>4900</v>
      </c>
      <c r="L3253" s="2">
        <v>12000</v>
      </c>
      <c r="M3253">
        <v>60</v>
      </c>
      <c r="N3253" s="3">
        <v>0.13600000000000001</v>
      </c>
      <c r="O3253" t="s">
        <v>16</v>
      </c>
      <c r="Q3253">
        <v>1</v>
      </c>
      <c r="R3253">
        <v>0</v>
      </c>
      <c r="S3253" s="2">
        <v>12000</v>
      </c>
      <c r="T3253" s="4">
        <v>7.9100000000000004E-2</v>
      </c>
      <c r="U3253">
        <v>2</v>
      </c>
      <c r="V3253">
        <v>1</v>
      </c>
      <c r="W3253">
        <v>1</v>
      </c>
    </row>
    <row r="3254" spans="1:23" ht="16.5" x14ac:dyDescent="0.3">
      <c r="A3254" t="s">
        <v>3318</v>
      </c>
      <c r="B3254" s="1">
        <v>45760</v>
      </c>
      <c r="C3254">
        <v>2025</v>
      </c>
      <c r="D3254" t="s">
        <v>688</v>
      </c>
      <c r="E3254" t="s">
        <v>689</v>
      </c>
      <c r="F3254" t="s">
        <v>26</v>
      </c>
      <c r="G3254" t="s">
        <v>27</v>
      </c>
      <c r="H3254" t="s">
        <v>38</v>
      </c>
      <c r="I3254" t="s">
        <v>39</v>
      </c>
      <c r="J3254" t="s">
        <v>35</v>
      </c>
      <c r="K3254" s="2">
        <v>9300</v>
      </c>
      <c r="L3254" s="2">
        <v>30000</v>
      </c>
      <c r="M3254">
        <v>48</v>
      </c>
      <c r="N3254" s="3">
        <v>0.23</v>
      </c>
      <c r="O3254" t="s">
        <v>17</v>
      </c>
      <c r="P3254" t="s">
        <v>60</v>
      </c>
      <c r="Q3254">
        <v>0</v>
      </c>
      <c r="R3254">
        <v>1</v>
      </c>
      <c r="S3254" s="2">
        <v>0</v>
      </c>
      <c r="T3254" s="4"/>
      <c r="U3254">
        <v>10</v>
      </c>
      <c r="V3254">
        <v>0</v>
      </c>
      <c r="W3254">
        <v>1</v>
      </c>
    </row>
    <row r="3255" spans="1:23" ht="16.5" x14ac:dyDescent="0.3">
      <c r="A3255" t="s">
        <v>3319</v>
      </c>
      <c r="B3255" s="1">
        <v>45761</v>
      </c>
      <c r="C3255">
        <v>2025</v>
      </c>
      <c r="D3255" t="s">
        <v>688</v>
      </c>
      <c r="E3255" t="s">
        <v>689</v>
      </c>
      <c r="F3255" t="s">
        <v>37</v>
      </c>
      <c r="G3255" t="s">
        <v>45</v>
      </c>
      <c r="H3255" t="s">
        <v>55</v>
      </c>
      <c r="I3255" t="s">
        <v>39</v>
      </c>
      <c r="J3255" t="s">
        <v>30</v>
      </c>
      <c r="K3255" s="2">
        <v>2850</v>
      </c>
      <c r="L3255" s="2">
        <v>8500</v>
      </c>
      <c r="M3255">
        <v>36</v>
      </c>
      <c r="N3255" s="3">
        <v>0.26100000000000001</v>
      </c>
      <c r="O3255" t="s">
        <v>17</v>
      </c>
      <c r="P3255" t="s">
        <v>31</v>
      </c>
      <c r="Q3255">
        <v>0</v>
      </c>
      <c r="R3255">
        <v>1</v>
      </c>
      <c r="S3255" s="2">
        <v>0</v>
      </c>
      <c r="T3255" s="4"/>
      <c r="U3255">
        <v>1</v>
      </c>
      <c r="V3255">
        <v>1</v>
      </c>
      <c r="W3255">
        <v>1</v>
      </c>
    </row>
    <row r="3256" spans="1:23" ht="16.5" x14ac:dyDescent="0.3">
      <c r="A3256" t="s">
        <v>3320</v>
      </c>
      <c r="B3256" s="1">
        <v>45761</v>
      </c>
      <c r="C3256">
        <v>2025</v>
      </c>
      <c r="D3256" t="s">
        <v>688</v>
      </c>
      <c r="E3256" t="s">
        <v>689</v>
      </c>
      <c r="F3256" t="s">
        <v>26</v>
      </c>
      <c r="G3256" t="s">
        <v>27</v>
      </c>
      <c r="H3256" t="s">
        <v>38</v>
      </c>
      <c r="I3256" t="s">
        <v>29</v>
      </c>
      <c r="J3256" t="s">
        <v>46</v>
      </c>
      <c r="K3256" s="2">
        <v>7100</v>
      </c>
      <c r="L3256" s="2">
        <v>65500</v>
      </c>
      <c r="M3256">
        <v>60</v>
      </c>
      <c r="N3256" s="3">
        <v>0.32700000000000001</v>
      </c>
      <c r="O3256" t="s">
        <v>16</v>
      </c>
      <c r="Q3256">
        <v>1</v>
      </c>
      <c r="R3256">
        <v>0</v>
      </c>
      <c r="S3256" s="2">
        <v>65500</v>
      </c>
      <c r="T3256" s="4">
        <v>6.4600000000000005E-2</v>
      </c>
      <c r="U3256">
        <v>2</v>
      </c>
      <c r="V3256">
        <v>1</v>
      </c>
      <c r="W3256">
        <v>1</v>
      </c>
    </row>
    <row r="3257" spans="1:23" ht="16.5" x14ac:dyDescent="0.3">
      <c r="A3257" t="s">
        <v>3321</v>
      </c>
      <c r="B3257" s="1">
        <v>45761</v>
      </c>
      <c r="C3257">
        <v>2025</v>
      </c>
      <c r="D3257" t="s">
        <v>688</v>
      </c>
      <c r="E3257" t="s">
        <v>689</v>
      </c>
      <c r="F3257" t="s">
        <v>26</v>
      </c>
      <c r="G3257" t="s">
        <v>51</v>
      </c>
      <c r="H3257" t="s">
        <v>38</v>
      </c>
      <c r="I3257" t="s">
        <v>39</v>
      </c>
      <c r="J3257" t="s">
        <v>43</v>
      </c>
      <c r="K3257" s="2">
        <v>5100</v>
      </c>
      <c r="L3257" s="2">
        <v>25000</v>
      </c>
      <c r="M3257">
        <v>60</v>
      </c>
      <c r="N3257" s="3">
        <v>0.33100000000000002</v>
      </c>
      <c r="O3257" t="s">
        <v>17</v>
      </c>
      <c r="P3257" t="s">
        <v>31</v>
      </c>
      <c r="Q3257">
        <v>0</v>
      </c>
      <c r="R3257">
        <v>1</v>
      </c>
      <c r="S3257" s="2">
        <v>0</v>
      </c>
      <c r="T3257" s="4"/>
      <c r="U3257">
        <v>5</v>
      </c>
      <c r="V3257">
        <v>0</v>
      </c>
      <c r="W3257">
        <v>1</v>
      </c>
    </row>
    <row r="3258" spans="1:23" ht="16.5" x14ac:dyDescent="0.3">
      <c r="A3258" t="s">
        <v>3322</v>
      </c>
      <c r="B3258" s="1">
        <v>45761</v>
      </c>
      <c r="C3258">
        <v>2025</v>
      </c>
      <c r="D3258" t="s">
        <v>688</v>
      </c>
      <c r="E3258" t="s">
        <v>689</v>
      </c>
      <c r="F3258" t="s">
        <v>26</v>
      </c>
      <c r="G3258" t="s">
        <v>27</v>
      </c>
      <c r="H3258" t="s">
        <v>55</v>
      </c>
      <c r="I3258" t="s">
        <v>42</v>
      </c>
      <c r="J3258" t="s">
        <v>46</v>
      </c>
      <c r="K3258" s="2">
        <v>11550</v>
      </c>
      <c r="L3258" s="2">
        <v>29000</v>
      </c>
      <c r="M3258">
        <v>36</v>
      </c>
      <c r="N3258" s="3">
        <v>0.16200000000000001</v>
      </c>
      <c r="O3258" t="s">
        <v>16</v>
      </c>
      <c r="Q3258">
        <v>1</v>
      </c>
      <c r="R3258">
        <v>0</v>
      </c>
      <c r="S3258" s="2">
        <v>29000</v>
      </c>
      <c r="T3258" s="4">
        <v>6.59E-2</v>
      </c>
      <c r="U3258">
        <v>5</v>
      </c>
      <c r="V3258">
        <v>0</v>
      </c>
      <c r="W3258">
        <v>1</v>
      </c>
    </row>
    <row r="3259" spans="1:23" ht="16.5" x14ac:dyDescent="0.3">
      <c r="A3259" t="s">
        <v>3323</v>
      </c>
      <c r="B3259" s="1">
        <v>45761</v>
      </c>
      <c r="C3259">
        <v>2025</v>
      </c>
      <c r="D3259" t="s">
        <v>688</v>
      </c>
      <c r="E3259" t="s">
        <v>689</v>
      </c>
      <c r="F3259" t="s">
        <v>37</v>
      </c>
      <c r="G3259" t="s">
        <v>27</v>
      </c>
      <c r="H3259" t="s">
        <v>38</v>
      </c>
      <c r="I3259" t="s">
        <v>39</v>
      </c>
      <c r="J3259" t="s">
        <v>46</v>
      </c>
      <c r="K3259" s="2">
        <v>7300</v>
      </c>
      <c r="L3259" s="2">
        <v>6500</v>
      </c>
      <c r="M3259">
        <v>24</v>
      </c>
      <c r="N3259" s="3">
        <v>0.16900000000000001</v>
      </c>
      <c r="O3259" t="s">
        <v>17</v>
      </c>
      <c r="P3259" t="s">
        <v>48</v>
      </c>
      <c r="Q3259">
        <v>0</v>
      </c>
      <c r="R3259">
        <v>1</v>
      </c>
      <c r="S3259" s="2">
        <v>0</v>
      </c>
      <c r="T3259" s="4"/>
      <c r="U3259">
        <v>4</v>
      </c>
      <c r="V3259">
        <v>0</v>
      </c>
      <c r="W3259">
        <v>1</v>
      </c>
    </row>
    <row r="3260" spans="1:23" ht="16.5" x14ac:dyDescent="0.3">
      <c r="A3260" t="s">
        <v>3324</v>
      </c>
      <c r="B3260" s="1">
        <v>45761</v>
      </c>
      <c r="C3260">
        <v>2025</v>
      </c>
      <c r="D3260" t="s">
        <v>688</v>
      </c>
      <c r="E3260" t="s">
        <v>689</v>
      </c>
      <c r="F3260" t="s">
        <v>37</v>
      </c>
      <c r="G3260" t="s">
        <v>27</v>
      </c>
      <c r="H3260" t="s">
        <v>55</v>
      </c>
      <c r="I3260" t="s">
        <v>42</v>
      </c>
      <c r="J3260" t="s">
        <v>35</v>
      </c>
      <c r="K3260" s="2">
        <v>5500</v>
      </c>
      <c r="L3260" s="2">
        <v>8500</v>
      </c>
      <c r="M3260">
        <v>48</v>
      </c>
      <c r="N3260" s="3">
        <v>9.7000000000000003E-2</v>
      </c>
      <c r="O3260" t="s">
        <v>17</v>
      </c>
      <c r="P3260" t="s">
        <v>31</v>
      </c>
      <c r="Q3260">
        <v>0</v>
      </c>
      <c r="R3260">
        <v>1</v>
      </c>
      <c r="S3260" s="2">
        <v>0</v>
      </c>
      <c r="T3260" s="4"/>
      <c r="U3260">
        <v>3</v>
      </c>
      <c r="V3260">
        <v>1</v>
      </c>
      <c r="W3260">
        <v>1</v>
      </c>
    </row>
    <row r="3261" spans="1:23" ht="16.5" x14ac:dyDescent="0.3">
      <c r="A3261" t="s">
        <v>3325</v>
      </c>
      <c r="B3261" s="1">
        <v>45761</v>
      </c>
      <c r="C3261">
        <v>2025</v>
      </c>
      <c r="D3261" t="s">
        <v>688</v>
      </c>
      <c r="E3261" t="s">
        <v>689</v>
      </c>
      <c r="F3261" t="s">
        <v>26</v>
      </c>
      <c r="G3261" t="s">
        <v>45</v>
      </c>
      <c r="H3261" t="s">
        <v>34</v>
      </c>
      <c r="I3261" t="s">
        <v>29</v>
      </c>
      <c r="J3261" t="s">
        <v>35</v>
      </c>
      <c r="K3261" s="2">
        <v>6850</v>
      </c>
      <c r="L3261" s="2">
        <v>29000</v>
      </c>
      <c r="M3261">
        <v>36</v>
      </c>
      <c r="N3261" s="3">
        <v>0.31900000000000001</v>
      </c>
      <c r="O3261" t="s">
        <v>16</v>
      </c>
      <c r="Q3261">
        <v>1</v>
      </c>
      <c r="R3261">
        <v>0</v>
      </c>
      <c r="S3261" s="2">
        <v>29000</v>
      </c>
      <c r="T3261" s="4">
        <v>8.3000000000000004E-2</v>
      </c>
      <c r="U3261">
        <v>2</v>
      </c>
      <c r="V3261">
        <v>1</v>
      </c>
      <c r="W3261">
        <v>1</v>
      </c>
    </row>
    <row r="3262" spans="1:23" ht="16.5" x14ac:dyDescent="0.3">
      <c r="A3262" t="s">
        <v>3326</v>
      </c>
      <c r="B3262" s="1">
        <v>45762</v>
      </c>
      <c r="C3262">
        <v>2025</v>
      </c>
      <c r="D3262" t="s">
        <v>688</v>
      </c>
      <c r="E3262" t="s">
        <v>689</v>
      </c>
      <c r="F3262" t="s">
        <v>26</v>
      </c>
      <c r="G3262" t="s">
        <v>51</v>
      </c>
      <c r="H3262" t="s">
        <v>55</v>
      </c>
      <c r="I3262" t="s">
        <v>39</v>
      </c>
      <c r="J3262" t="s">
        <v>43</v>
      </c>
      <c r="K3262" s="2">
        <v>5000</v>
      </c>
      <c r="L3262" s="2">
        <v>62500</v>
      </c>
      <c r="M3262">
        <v>36</v>
      </c>
      <c r="N3262" s="3">
        <v>0.58399999999999996</v>
      </c>
      <c r="O3262" t="s">
        <v>17</v>
      </c>
      <c r="P3262" t="s">
        <v>53</v>
      </c>
      <c r="Q3262">
        <v>0</v>
      </c>
      <c r="R3262">
        <v>1</v>
      </c>
      <c r="S3262" s="2">
        <v>0</v>
      </c>
      <c r="T3262" s="4"/>
      <c r="U3262">
        <v>8</v>
      </c>
      <c r="V3262">
        <v>0</v>
      </c>
      <c r="W3262">
        <v>1</v>
      </c>
    </row>
    <row r="3263" spans="1:23" ht="16.5" x14ac:dyDescent="0.3">
      <c r="A3263" t="s">
        <v>3327</v>
      </c>
      <c r="B3263" s="1">
        <v>45762</v>
      </c>
      <c r="C3263">
        <v>2025</v>
      </c>
      <c r="D3263" t="s">
        <v>688</v>
      </c>
      <c r="E3263" t="s">
        <v>689</v>
      </c>
      <c r="F3263" t="s">
        <v>26</v>
      </c>
      <c r="G3263" t="s">
        <v>33</v>
      </c>
      <c r="H3263" t="s">
        <v>38</v>
      </c>
      <c r="I3263" t="s">
        <v>29</v>
      </c>
      <c r="J3263" t="s">
        <v>52</v>
      </c>
      <c r="K3263" s="2">
        <v>4600</v>
      </c>
      <c r="L3263" s="2">
        <v>16000</v>
      </c>
      <c r="M3263">
        <v>48</v>
      </c>
      <c r="N3263" s="3">
        <v>0.17399999999999999</v>
      </c>
      <c r="O3263" t="s">
        <v>16</v>
      </c>
      <c r="Q3263">
        <v>1</v>
      </c>
      <c r="R3263">
        <v>0</v>
      </c>
      <c r="S3263" s="2">
        <v>13000</v>
      </c>
      <c r="T3263" s="4">
        <v>6.9699999999999998E-2</v>
      </c>
      <c r="U3263">
        <v>2</v>
      </c>
      <c r="V3263">
        <v>1</v>
      </c>
      <c r="W3263">
        <v>1</v>
      </c>
    </row>
    <row r="3264" spans="1:23" ht="16.5" x14ac:dyDescent="0.3">
      <c r="A3264" t="s">
        <v>3328</v>
      </c>
      <c r="B3264" s="1">
        <v>45762</v>
      </c>
      <c r="C3264">
        <v>2025</v>
      </c>
      <c r="D3264" t="s">
        <v>688</v>
      </c>
      <c r="E3264" t="s">
        <v>689</v>
      </c>
      <c r="F3264" t="s">
        <v>50</v>
      </c>
      <c r="G3264" t="s">
        <v>33</v>
      </c>
      <c r="H3264" t="s">
        <v>34</v>
      </c>
      <c r="I3264" t="s">
        <v>29</v>
      </c>
      <c r="J3264" t="s">
        <v>35</v>
      </c>
      <c r="K3264" s="2">
        <v>10850</v>
      </c>
      <c r="L3264" s="2">
        <v>371500</v>
      </c>
      <c r="M3264">
        <v>300</v>
      </c>
      <c r="N3264" s="3">
        <v>0.38600000000000001</v>
      </c>
      <c r="O3264" t="s">
        <v>17</v>
      </c>
      <c r="P3264" t="s">
        <v>48</v>
      </c>
      <c r="Q3264">
        <v>0</v>
      </c>
      <c r="R3264">
        <v>1</v>
      </c>
      <c r="S3264" s="2">
        <v>0</v>
      </c>
      <c r="T3264" s="4"/>
      <c r="U3264">
        <v>8</v>
      </c>
      <c r="V3264">
        <v>1</v>
      </c>
      <c r="W3264">
        <v>1</v>
      </c>
    </row>
    <row r="3265" spans="1:23" ht="16.5" x14ac:dyDescent="0.3">
      <c r="A3265" t="s">
        <v>3329</v>
      </c>
      <c r="B3265" s="1">
        <v>45762</v>
      </c>
      <c r="C3265">
        <v>2025</v>
      </c>
      <c r="D3265" t="s">
        <v>688</v>
      </c>
      <c r="E3265" t="s">
        <v>689</v>
      </c>
      <c r="F3265" t="s">
        <v>41</v>
      </c>
      <c r="G3265" t="s">
        <v>45</v>
      </c>
      <c r="H3265" t="s">
        <v>38</v>
      </c>
      <c r="I3265" t="s">
        <v>29</v>
      </c>
      <c r="J3265" t="s">
        <v>30</v>
      </c>
      <c r="K3265" s="2">
        <v>3950</v>
      </c>
      <c r="L3265" s="2">
        <v>40500</v>
      </c>
      <c r="M3265">
        <v>24</v>
      </c>
      <c r="N3265" s="3">
        <v>0.57499999999999996</v>
      </c>
      <c r="O3265" t="s">
        <v>17</v>
      </c>
      <c r="P3265" t="s">
        <v>31</v>
      </c>
      <c r="Q3265">
        <v>0</v>
      </c>
      <c r="R3265">
        <v>1</v>
      </c>
      <c r="S3265" s="2">
        <v>0</v>
      </c>
      <c r="T3265" s="4"/>
      <c r="U3265">
        <v>6</v>
      </c>
      <c r="V3265">
        <v>1</v>
      </c>
      <c r="W3265">
        <v>1</v>
      </c>
    </row>
    <row r="3266" spans="1:23" ht="16.5" x14ac:dyDescent="0.3">
      <c r="A3266" t="s">
        <v>3330</v>
      </c>
      <c r="B3266" s="1">
        <v>45762</v>
      </c>
      <c r="C3266">
        <v>2025</v>
      </c>
      <c r="D3266" t="s">
        <v>688</v>
      </c>
      <c r="E3266" t="s">
        <v>689</v>
      </c>
      <c r="F3266" t="s">
        <v>37</v>
      </c>
      <c r="G3266" t="s">
        <v>45</v>
      </c>
      <c r="H3266" t="s">
        <v>34</v>
      </c>
      <c r="I3266" t="s">
        <v>39</v>
      </c>
      <c r="J3266" t="s">
        <v>52</v>
      </c>
      <c r="K3266" s="2">
        <v>4100</v>
      </c>
      <c r="L3266" s="2">
        <v>15500</v>
      </c>
      <c r="M3266">
        <v>48</v>
      </c>
      <c r="N3266" s="3">
        <v>0.30099999999999999</v>
      </c>
      <c r="O3266" t="s">
        <v>16</v>
      </c>
      <c r="Q3266">
        <v>1</v>
      </c>
      <c r="R3266">
        <v>0</v>
      </c>
      <c r="S3266" s="2">
        <v>15500</v>
      </c>
      <c r="T3266" s="4">
        <v>0.11890000000000001</v>
      </c>
      <c r="U3266">
        <v>2</v>
      </c>
      <c r="V3266">
        <v>1</v>
      </c>
      <c r="W3266">
        <v>1</v>
      </c>
    </row>
    <row r="3267" spans="1:23" ht="16.5" x14ac:dyDescent="0.3">
      <c r="A3267" t="s">
        <v>3331</v>
      </c>
      <c r="B3267" s="1">
        <v>45762</v>
      </c>
      <c r="C3267">
        <v>2025</v>
      </c>
      <c r="D3267" t="s">
        <v>688</v>
      </c>
      <c r="E3267" t="s">
        <v>689</v>
      </c>
      <c r="F3267" t="s">
        <v>37</v>
      </c>
      <c r="G3267" t="s">
        <v>51</v>
      </c>
      <c r="H3267" t="s">
        <v>34</v>
      </c>
      <c r="I3267" t="s">
        <v>42</v>
      </c>
      <c r="J3267" t="s">
        <v>52</v>
      </c>
      <c r="K3267" s="2">
        <v>7650</v>
      </c>
      <c r="L3267" s="2">
        <v>23500</v>
      </c>
      <c r="M3267">
        <v>24</v>
      </c>
      <c r="N3267" s="3">
        <v>0.30199999999999999</v>
      </c>
      <c r="O3267" t="s">
        <v>16</v>
      </c>
      <c r="Q3267">
        <v>1</v>
      </c>
      <c r="R3267">
        <v>0</v>
      </c>
      <c r="S3267" s="2">
        <v>21000</v>
      </c>
      <c r="T3267" s="4">
        <v>0.1137</v>
      </c>
      <c r="U3267">
        <v>6</v>
      </c>
      <c r="V3267">
        <v>0</v>
      </c>
      <c r="W3267">
        <v>1</v>
      </c>
    </row>
    <row r="3268" spans="1:23" ht="16.5" x14ac:dyDescent="0.3">
      <c r="A3268" t="s">
        <v>3332</v>
      </c>
      <c r="B3268" s="1">
        <v>45762</v>
      </c>
      <c r="C3268">
        <v>2025</v>
      </c>
      <c r="D3268" t="s">
        <v>688</v>
      </c>
      <c r="E3268" t="s">
        <v>689</v>
      </c>
      <c r="F3268" t="s">
        <v>26</v>
      </c>
      <c r="G3268" t="s">
        <v>45</v>
      </c>
      <c r="H3268" t="s">
        <v>55</v>
      </c>
      <c r="I3268" t="s">
        <v>42</v>
      </c>
      <c r="J3268" t="s">
        <v>35</v>
      </c>
      <c r="K3268" s="2">
        <v>7000</v>
      </c>
      <c r="L3268" s="2">
        <v>16000</v>
      </c>
      <c r="M3268">
        <v>60</v>
      </c>
      <c r="N3268" s="3">
        <v>0.28799999999999998</v>
      </c>
      <c r="O3268" t="s">
        <v>16</v>
      </c>
      <c r="Q3268">
        <v>1</v>
      </c>
      <c r="R3268">
        <v>0</v>
      </c>
      <c r="S3268" s="2">
        <v>16000</v>
      </c>
      <c r="T3268" s="4">
        <v>8.0799999999999997E-2</v>
      </c>
      <c r="U3268">
        <v>3</v>
      </c>
      <c r="V3268">
        <v>1</v>
      </c>
      <c r="W3268">
        <v>1</v>
      </c>
    </row>
    <row r="3269" spans="1:23" ht="16.5" x14ac:dyDescent="0.3">
      <c r="A3269" t="s">
        <v>3333</v>
      </c>
      <c r="B3269" s="1">
        <v>45762</v>
      </c>
      <c r="C3269">
        <v>2025</v>
      </c>
      <c r="D3269" t="s">
        <v>688</v>
      </c>
      <c r="E3269" t="s">
        <v>689</v>
      </c>
      <c r="F3269" t="s">
        <v>41</v>
      </c>
      <c r="G3269" t="s">
        <v>27</v>
      </c>
      <c r="H3269" t="s">
        <v>34</v>
      </c>
      <c r="I3269" t="s">
        <v>39</v>
      </c>
      <c r="J3269" t="s">
        <v>30</v>
      </c>
      <c r="K3269" s="2">
        <v>3550</v>
      </c>
      <c r="L3269" s="2">
        <v>62000</v>
      </c>
      <c r="M3269">
        <v>24</v>
      </c>
      <c r="N3269" s="3">
        <v>0.92400000000000004</v>
      </c>
      <c r="O3269" t="s">
        <v>17</v>
      </c>
      <c r="P3269" t="s">
        <v>60</v>
      </c>
      <c r="Q3269">
        <v>0</v>
      </c>
      <c r="R3269">
        <v>1</v>
      </c>
      <c r="S3269" s="2">
        <v>0</v>
      </c>
      <c r="T3269" s="4"/>
      <c r="U3269">
        <v>13</v>
      </c>
      <c r="V3269">
        <v>0</v>
      </c>
      <c r="W3269">
        <v>1</v>
      </c>
    </row>
    <row r="3270" spans="1:23" ht="16.5" x14ac:dyDescent="0.3">
      <c r="A3270" t="s">
        <v>3334</v>
      </c>
      <c r="B3270" s="1">
        <v>45762</v>
      </c>
      <c r="C3270">
        <v>2025</v>
      </c>
      <c r="D3270" t="s">
        <v>688</v>
      </c>
      <c r="E3270" t="s">
        <v>689</v>
      </c>
      <c r="F3270" t="s">
        <v>41</v>
      </c>
      <c r="G3270" t="s">
        <v>45</v>
      </c>
      <c r="H3270" t="s">
        <v>34</v>
      </c>
      <c r="I3270" t="s">
        <v>39</v>
      </c>
      <c r="J3270" t="s">
        <v>43</v>
      </c>
      <c r="K3270" s="2">
        <v>4550</v>
      </c>
      <c r="L3270" s="2">
        <v>58500</v>
      </c>
      <c r="M3270">
        <v>60</v>
      </c>
      <c r="N3270" s="3">
        <v>0.50600000000000001</v>
      </c>
      <c r="O3270" t="s">
        <v>17</v>
      </c>
      <c r="P3270" t="s">
        <v>53</v>
      </c>
      <c r="Q3270">
        <v>0</v>
      </c>
      <c r="R3270">
        <v>1</v>
      </c>
      <c r="S3270" s="2">
        <v>0</v>
      </c>
      <c r="T3270" s="4"/>
      <c r="U3270">
        <v>8</v>
      </c>
      <c r="V3270">
        <v>1</v>
      </c>
      <c r="W3270">
        <v>1</v>
      </c>
    </row>
    <row r="3271" spans="1:23" ht="16.5" x14ac:dyDescent="0.3">
      <c r="A3271" t="s">
        <v>3335</v>
      </c>
      <c r="B3271" s="1">
        <v>45762</v>
      </c>
      <c r="C3271">
        <v>2025</v>
      </c>
      <c r="D3271" t="s">
        <v>688</v>
      </c>
      <c r="E3271" t="s">
        <v>689</v>
      </c>
      <c r="F3271" t="s">
        <v>26</v>
      </c>
      <c r="G3271" t="s">
        <v>51</v>
      </c>
      <c r="H3271" t="s">
        <v>55</v>
      </c>
      <c r="I3271" t="s">
        <v>39</v>
      </c>
      <c r="J3271" t="s">
        <v>35</v>
      </c>
      <c r="K3271" s="2">
        <v>11650</v>
      </c>
      <c r="L3271" s="2">
        <v>35500</v>
      </c>
      <c r="M3271">
        <v>60</v>
      </c>
      <c r="N3271" s="3">
        <v>0.18099999999999999</v>
      </c>
      <c r="O3271" t="s">
        <v>16</v>
      </c>
      <c r="Q3271">
        <v>1</v>
      </c>
      <c r="R3271">
        <v>0</v>
      </c>
      <c r="S3271" s="2">
        <v>35500</v>
      </c>
      <c r="T3271" s="4">
        <v>8.6199999999999999E-2</v>
      </c>
      <c r="U3271">
        <v>9</v>
      </c>
      <c r="V3271">
        <v>0</v>
      </c>
      <c r="W3271">
        <v>1</v>
      </c>
    </row>
    <row r="3272" spans="1:23" ht="16.5" x14ac:dyDescent="0.3">
      <c r="A3272" t="s">
        <v>3336</v>
      </c>
      <c r="B3272" s="1">
        <v>45762</v>
      </c>
      <c r="C3272">
        <v>2025</v>
      </c>
      <c r="D3272" t="s">
        <v>688</v>
      </c>
      <c r="E3272" t="s">
        <v>689</v>
      </c>
      <c r="F3272" t="s">
        <v>26</v>
      </c>
      <c r="G3272" t="s">
        <v>33</v>
      </c>
      <c r="H3272" t="s">
        <v>55</v>
      </c>
      <c r="I3272" t="s">
        <v>42</v>
      </c>
      <c r="J3272" t="s">
        <v>35</v>
      </c>
      <c r="K3272" s="2">
        <v>7450</v>
      </c>
      <c r="L3272" s="2">
        <v>29000</v>
      </c>
      <c r="M3272">
        <v>48</v>
      </c>
      <c r="N3272" s="3">
        <v>0.19</v>
      </c>
      <c r="O3272" t="s">
        <v>17</v>
      </c>
      <c r="P3272" t="s">
        <v>65</v>
      </c>
      <c r="Q3272">
        <v>0</v>
      </c>
      <c r="R3272">
        <v>1</v>
      </c>
      <c r="S3272" s="2">
        <v>0</v>
      </c>
      <c r="T3272" s="4"/>
      <c r="U3272">
        <v>2</v>
      </c>
      <c r="V3272">
        <v>1</v>
      </c>
      <c r="W3272">
        <v>1</v>
      </c>
    </row>
    <row r="3273" spans="1:23" ht="16.5" x14ac:dyDescent="0.3">
      <c r="A3273" t="s">
        <v>3337</v>
      </c>
      <c r="B3273" s="1">
        <v>45763</v>
      </c>
      <c r="C3273">
        <v>2025</v>
      </c>
      <c r="D3273" t="s">
        <v>688</v>
      </c>
      <c r="E3273" t="s">
        <v>689</v>
      </c>
      <c r="F3273" t="s">
        <v>26</v>
      </c>
      <c r="G3273" t="s">
        <v>45</v>
      </c>
      <c r="H3273" t="s">
        <v>34</v>
      </c>
      <c r="I3273" t="s">
        <v>42</v>
      </c>
      <c r="J3273" t="s">
        <v>35</v>
      </c>
      <c r="K3273" s="2">
        <v>4950</v>
      </c>
      <c r="L3273" s="2">
        <v>29500</v>
      </c>
      <c r="M3273">
        <v>36</v>
      </c>
      <c r="N3273" s="3">
        <v>0.39200000000000002</v>
      </c>
      <c r="O3273" t="s">
        <v>16</v>
      </c>
      <c r="Q3273">
        <v>1</v>
      </c>
      <c r="R3273">
        <v>0</v>
      </c>
      <c r="S3273" s="2">
        <v>23500</v>
      </c>
      <c r="T3273" s="4">
        <v>8.2000000000000003E-2</v>
      </c>
      <c r="U3273">
        <v>3</v>
      </c>
      <c r="V3273">
        <v>1</v>
      </c>
      <c r="W3273">
        <v>1</v>
      </c>
    </row>
    <row r="3274" spans="1:23" ht="16.5" x14ac:dyDescent="0.3">
      <c r="A3274" t="s">
        <v>3338</v>
      </c>
      <c r="B3274" s="1">
        <v>45763</v>
      </c>
      <c r="C3274">
        <v>2025</v>
      </c>
      <c r="D3274" t="s">
        <v>688</v>
      </c>
      <c r="E3274" t="s">
        <v>689</v>
      </c>
      <c r="F3274" t="s">
        <v>41</v>
      </c>
      <c r="G3274" t="s">
        <v>33</v>
      </c>
      <c r="H3274" t="s">
        <v>38</v>
      </c>
      <c r="I3274" t="s">
        <v>39</v>
      </c>
      <c r="J3274" t="s">
        <v>30</v>
      </c>
      <c r="K3274" s="2">
        <v>3100</v>
      </c>
      <c r="L3274" s="2">
        <v>41000</v>
      </c>
      <c r="M3274">
        <v>24</v>
      </c>
      <c r="N3274" s="3">
        <v>0.83199999999999996</v>
      </c>
      <c r="O3274" t="s">
        <v>17</v>
      </c>
      <c r="P3274" t="s">
        <v>31</v>
      </c>
      <c r="Q3274">
        <v>0</v>
      </c>
      <c r="R3274">
        <v>1</v>
      </c>
      <c r="S3274" s="2">
        <v>0</v>
      </c>
      <c r="T3274" s="4"/>
      <c r="U3274">
        <v>3</v>
      </c>
      <c r="V3274">
        <v>1</v>
      </c>
      <c r="W3274">
        <v>1</v>
      </c>
    </row>
    <row r="3275" spans="1:23" ht="16.5" x14ac:dyDescent="0.3">
      <c r="A3275" t="s">
        <v>3339</v>
      </c>
      <c r="B3275" s="1">
        <v>45763</v>
      </c>
      <c r="C3275">
        <v>2025</v>
      </c>
      <c r="D3275" t="s">
        <v>688</v>
      </c>
      <c r="E3275" t="s">
        <v>689</v>
      </c>
      <c r="F3275" t="s">
        <v>41</v>
      </c>
      <c r="G3275" t="s">
        <v>33</v>
      </c>
      <c r="H3275" t="s">
        <v>38</v>
      </c>
      <c r="I3275" t="s">
        <v>42</v>
      </c>
      <c r="J3275" t="s">
        <v>35</v>
      </c>
      <c r="K3275" s="2">
        <v>5400</v>
      </c>
      <c r="L3275" s="2">
        <v>43500</v>
      </c>
      <c r="M3275">
        <v>12</v>
      </c>
      <c r="N3275" s="3">
        <v>0.78300000000000003</v>
      </c>
      <c r="O3275" t="s">
        <v>17</v>
      </c>
      <c r="P3275" t="s">
        <v>60</v>
      </c>
      <c r="Q3275">
        <v>0</v>
      </c>
      <c r="R3275">
        <v>1</v>
      </c>
      <c r="S3275" s="2">
        <v>0</v>
      </c>
      <c r="T3275" s="4"/>
      <c r="U3275">
        <v>7</v>
      </c>
      <c r="V3275">
        <v>1</v>
      </c>
      <c r="W3275">
        <v>1</v>
      </c>
    </row>
    <row r="3276" spans="1:23" ht="16.5" x14ac:dyDescent="0.3">
      <c r="A3276" t="s">
        <v>3340</v>
      </c>
      <c r="B3276" s="1">
        <v>45764</v>
      </c>
      <c r="C3276">
        <v>2025</v>
      </c>
      <c r="D3276" t="s">
        <v>688</v>
      </c>
      <c r="E3276" t="s">
        <v>689</v>
      </c>
      <c r="F3276" t="s">
        <v>26</v>
      </c>
      <c r="G3276" t="s">
        <v>33</v>
      </c>
      <c r="H3276" t="s">
        <v>34</v>
      </c>
      <c r="I3276" t="s">
        <v>29</v>
      </c>
      <c r="J3276" t="s">
        <v>52</v>
      </c>
      <c r="K3276" s="2">
        <v>5850</v>
      </c>
      <c r="L3276" s="2">
        <v>23500</v>
      </c>
      <c r="M3276">
        <v>36</v>
      </c>
      <c r="N3276" s="3">
        <v>0.249</v>
      </c>
      <c r="O3276" t="s">
        <v>17</v>
      </c>
      <c r="P3276" t="s">
        <v>65</v>
      </c>
      <c r="Q3276">
        <v>0</v>
      </c>
      <c r="R3276">
        <v>1</v>
      </c>
      <c r="S3276" s="2">
        <v>0</v>
      </c>
      <c r="T3276" s="4"/>
      <c r="U3276">
        <v>2</v>
      </c>
      <c r="V3276">
        <v>1</v>
      </c>
      <c r="W3276">
        <v>1</v>
      </c>
    </row>
    <row r="3277" spans="1:23" ht="16.5" x14ac:dyDescent="0.3">
      <c r="A3277" t="s">
        <v>3341</v>
      </c>
      <c r="B3277" s="1">
        <v>45764</v>
      </c>
      <c r="C3277">
        <v>2025</v>
      </c>
      <c r="D3277" t="s">
        <v>688</v>
      </c>
      <c r="E3277" t="s">
        <v>689</v>
      </c>
      <c r="F3277" t="s">
        <v>37</v>
      </c>
      <c r="G3277" t="s">
        <v>33</v>
      </c>
      <c r="H3277" t="s">
        <v>38</v>
      </c>
      <c r="I3277" t="s">
        <v>29</v>
      </c>
      <c r="J3277" t="s">
        <v>52</v>
      </c>
      <c r="K3277" s="2">
        <v>12050</v>
      </c>
      <c r="L3277" s="2">
        <v>39000</v>
      </c>
      <c r="M3277">
        <v>12</v>
      </c>
      <c r="N3277" s="3">
        <v>0.47399999999999998</v>
      </c>
      <c r="O3277" t="s">
        <v>17</v>
      </c>
      <c r="P3277" t="s">
        <v>53</v>
      </c>
      <c r="Q3277">
        <v>0</v>
      </c>
      <c r="R3277">
        <v>1</v>
      </c>
      <c r="S3277" s="2">
        <v>0</v>
      </c>
      <c r="T3277" s="4"/>
      <c r="U3277">
        <v>1</v>
      </c>
      <c r="V3277">
        <v>1</v>
      </c>
      <c r="W3277">
        <v>1</v>
      </c>
    </row>
    <row r="3278" spans="1:23" ht="16.5" x14ac:dyDescent="0.3">
      <c r="A3278" t="s">
        <v>3342</v>
      </c>
      <c r="B3278" s="1">
        <v>45764</v>
      </c>
      <c r="C3278">
        <v>2025</v>
      </c>
      <c r="D3278" t="s">
        <v>688</v>
      </c>
      <c r="E3278" t="s">
        <v>689</v>
      </c>
      <c r="F3278" t="s">
        <v>37</v>
      </c>
      <c r="G3278" t="s">
        <v>51</v>
      </c>
      <c r="H3278" t="s">
        <v>34</v>
      </c>
      <c r="I3278" t="s">
        <v>42</v>
      </c>
      <c r="J3278" t="s">
        <v>46</v>
      </c>
      <c r="K3278" s="2">
        <v>3300</v>
      </c>
      <c r="L3278" s="2">
        <v>10500</v>
      </c>
      <c r="M3278">
        <v>12</v>
      </c>
      <c r="N3278" s="3">
        <v>0.39600000000000002</v>
      </c>
      <c r="O3278" t="s">
        <v>16</v>
      </c>
      <c r="Q3278">
        <v>1</v>
      </c>
      <c r="R3278">
        <v>0</v>
      </c>
      <c r="S3278" s="2">
        <v>9500</v>
      </c>
      <c r="T3278" s="4">
        <v>0.1087</v>
      </c>
      <c r="U3278">
        <v>4</v>
      </c>
      <c r="V3278">
        <v>0</v>
      </c>
      <c r="W3278">
        <v>1</v>
      </c>
    </row>
    <row r="3279" spans="1:23" ht="16.5" x14ac:dyDescent="0.3">
      <c r="A3279" t="s">
        <v>3343</v>
      </c>
      <c r="B3279" s="1">
        <v>45764</v>
      </c>
      <c r="C3279">
        <v>2025</v>
      </c>
      <c r="D3279" t="s">
        <v>688</v>
      </c>
      <c r="E3279" t="s">
        <v>689</v>
      </c>
      <c r="F3279" t="s">
        <v>26</v>
      </c>
      <c r="G3279" t="s">
        <v>33</v>
      </c>
      <c r="H3279" t="s">
        <v>64</v>
      </c>
      <c r="I3279" t="s">
        <v>29</v>
      </c>
      <c r="J3279" t="s">
        <v>52</v>
      </c>
      <c r="K3279" s="2">
        <v>9100</v>
      </c>
      <c r="L3279" s="2">
        <v>37000</v>
      </c>
      <c r="M3279">
        <v>36</v>
      </c>
      <c r="N3279" s="3">
        <v>0.33400000000000002</v>
      </c>
      <c r="O3279" t="s">
        <v>16</v>
      </c>
      <c r="Q3279">
        <v>1</v>
      </c>
      <c r="R3279">
        <v>0</v>
      </c>
      <c r="S3279" s="2">
        <v>37000</v>
      </c>
      <c r="T3279" s="4">
        <v>7.6300000000000007E-2</v>
      </c>
      <c r="U3279">
        <v>2</v>
      </c>
      <c r="V3279">
        <v>1</v>
      </c>
      <c r="W3279">
        <v>1</v>
      </c>
    </row>
    <row r="3280" spans="1:23" ht="16.5" x14ac:dyDescent="0.3">
      <c r="A3280" t="s">
        <v>3344</v>
      </c>
      <c r="B3280" s="1">
        <v>45764</v>
      </c>
      <c r="C3280">
        <v>2025</v>
      </c>
      <c r="D3280" t="s">
        <v>688</v>
      </c>
      <c r="E3280" t="s">
        <v>689</v>
      </c>
      <c r="F3280" t="s">
        <v>37</v>
      </c>
      <c r="G3280" t="s">
        <v>33</v>
      </c>
      <c r="H3280" t="s">
        <v>55</v>
      </c>
      <c r="I3280" t="s">
        <v>29</v>
      </c>
      <c r="J3280" t="s">
        <v>30</v>
      </c>
      <c r="K3280" s="2">
        <v>4950</v>
      </c>
      <c r="L3280" s="2">
        <v>15000</v>
      </c>
      <c r="M3280">
        <v>12</v>
      </c>
      <c r="N3280" s="3">
        <v>0.41399999999999998</v>
      </c>
      <c r="O3280" t="s">
        <v>16</v>
      </c>
      <c r="Q3280">
        <v>1</v>
      </c>
      <c r="R3280">
        <v>0</v>
      </c>
      <c r="S3280" s="2">
        <v>13500</v>
      </c>
      <c r="T3280" s="4">
        <v>0.1439</v>
      </c>
      <c r="U3280">
        <v>1</v>
      </c>
      <c r="V3280">
        <v>1</v>
      </c>
      <c r="W3280">
        <v>1</v>
      </c>
    </row>
    <row r="3281" spans="1:23" ht="16.5" x14ac:dyDescent="0.3">
      <c r="A3281" t="s">
        <v>3345</v>
      </c>
      <c r="B3281" s="1">
        <v>45764</v>
      </c>
      <c r="C3281">
        <v>2025</v>
      </c>
      <c r="D3281" t="s">
        <v>688</v>
      </c>
      <c r="E3281" t="s">
        <v>689</v>
      </c>
      <c r="F3281" t="s">
        <v>26</v>
      </c>
      <c r="G3281" t="s">
        <v>33</v>
      </c>
      <c r="H3281" t="s">
        <v>55</v>
      </c>
      <c r="I3281" t="s">
        <v>39</v>
      </c>
      <c r="J3281" t="s">
        <v>35</v>
      </c>
      <c r="K3281" s="2">
        <v>4500</v>
      </c>
      <c r="L3281" s="2">
        <v>40500</v>
      </c>
      <c r="M3281">
        <v>48</v>
      </c>
      <c r="N3281" s="3">
        <v>0.33100000000000002</v>
      </c>
      <c r="O3281" t="s">
        <v>16</v>
      </c>
      <c r="Q3281">
        <v>1</v>
      </c>
      <c r="R3281">
        <v>0</v>
      </c>
      <c r="S3281" s="2">
        <v>32500</v>
      </c>
      <c r="T3281" s="4">
        <v>8.2199999999999995E-2</v>
      </c>
      <c r="U3281">
        <v>2</v>
      </c>
      <c r="V3281">
        <v>1</v>
      </c>
      <c r="W3281">
        <v>1</v>
      </c>
    </row>
    <row r="3282" spans="1:23" ht="16.5" x14ac:dyDescent="0.3">
      <c r="A3282" t="s">
        <v>3346</v>
      </c>
      <c r="B3282" s="1">
        <v>45764</v>
      </c>
      <c r="C3282">
        <v>2025</v>
      </c>
      <c r="D3282" t="s">
        <v>688</v>
      </c>
      <c r="E3282" t="s">
        <v>689</v>
      </c>
      <c r="F3282" t="s">
        <v>41</v>
      </c>
      <c r="G3282" t="s">
        <v>51</v>
      </c>
      <c r="H3282" t="s">
        <v>34</v>
      </c>
      <c r="I3282" t="s">
        <v>42</v>
      </c>
      <c r="J3282" t="s">
        <v>30</v>
      </c>
      <c r="K3282" s="2">
        <v>8100</v>
      </c>
      <c r="L3282" s="2">
        <v>82000</v>
      </c>
      <c r="M3282">
        <v>24</v>
      </c>
      <c r="N3282" s="3">
        <v>0.57999999999999996</v>
      </c>
      <c r="O3282" t="s">
        <v>16</v>
      </c>
      <c r="Q3282">
        <v>1</v>
      </c>
      <c r="R3282">
        <v>0</v>
      </c>
      <c r="S3282" s="2">
        <v>82000</v>
      </c>
      <c r="T3282" s="4">
        <v>0.1229</v>
      </c>
      <c r="U3282">
        <v>7</v>
      </c>
      <c r="V3282">
        <v>1</v>
      </c>
      <c r="W3282">
        <v>1</v>
      </c>
    </row>
    <row r="3283" spans="1:23" ht="16.5" x14ac:dyDescent="0.3">
      <c r="A3283" t="s">
        <v>3347</v>
      </c>
      <c r="B3283" s="1">
        <v>45765</v>
      </c>
      <c r="C3283">
        <v>2025</v>
      </c>
      <c r="D3283" t="s">
        <v>688</v>
      </c>
      <c r="E3283" t="s">
        <v>689</v>
      </c>
      <c r="F3283" t="s">
        <v>26</v>
      </c>
      <c r="G3283" t="s">
        <v>51</v>
      </c>
      <c r="H3283" t="s">
        <v>38</v>
      </c>
      <c r="I3283" t="s">
        <v>39</v>
      </c>
      <c r="J3283" t="s">
        <v>46</v>
      </c>
      <c r="K3283" s="2">
        <v>3500</v>
      </c>
      <c r="L3283" s="2">
        <v>32000</v>
      </c>
      <c r="M3283">
        <v>48</v>
      </c>
      <c r="N3283" s="3">
        <v>0.44</v>
      </c>
      <c r="O3283" t="s">
        <v>16</v>
      </c>
      <c r="Q3283">
        <v>1</v>
      </c>
      <c r="R3283">
        <v>0</v>
      </c>
      <c r="S3283" s="2">
        <v>29000</v>
      </c>
      <c r="T3283" s="4">
        <v>6.4799999999999996E-2</v>
      </c>
      <c r="U3283">
        <v>4</v>
      </c>
      <c r="V3283">
        <v>1</v>
      </c>
      <c r="W3283">
        <v>1</v>
      </c>
    </row>
    <row r="3284" spans="1:23" ht="16.5" x14ac:dyDescent="0.3">
      <c r="A3284" t="s">
        <v>3348</v>
      </c>
      <c r="B3284" s="1">
        <v>45765</v>
      </c>
      <c r="C3284">
        <v>2025</v>
      </c>
      <c r="D3284" t="s">
        <v>688</v>
      </c>
      <c r="E3284" t="s">
        <v>689</v>
      </c>
      <c r="F3284" t="s">
        <v>50</v>
      </c>
      <c r="G3284" t="s">
        <v>33</v>
      </c>
      <c r="H3284" t="s">
        <v>55</v>
      </c>
      <c r="I3284" t="s">
        <v>29</v>
      </c>
      <c r="J3284" t="s">
        <v>30</v>
      </c>
      <c r="K3284" s="2">
        <v>6550</v>
      </c>
      <c r="L3284" s="2">
        <v>398000</v>
      </c>
      <c r="M3284">
        <v>240</v>
      </c>
      <c r="N3284" s="3">
        <v>0.45200000000000001</v>
      </c>
      <c r="O3284" t="s">
        <v>17</v>
      </c>
      <c r="P3284" t="s">
        <v>31</v>
      </c>
      <c r="Q3284">
        <v>0</v>
      </c>
      <c r="R3284">
        <v>1</v>
      </c>
      <c r="S3284" s="2">
        <v>0</v>
      </c>
      <c r="T3284" s="4"/>
      <c r="U3284">
        <v>7</v>
      </c>
      <c r="V3284">
        <v>1</v>
      </c>
      <c r="W3284">
        <v>1</v>
      </c>
    </row>
    <row r="3285" spans="1:23" ht="16.5" x14ac:dyDescent="0.3">
      <c r="A3285" t="s">
        <v>3349</v>
      </c>
      <c r="B3285" s="1">
        <v>45765</v>
      </c>
      <c r="C3285">
        <v>2025</v>
      </c>
      <c r="D3285" t="s">
        <v>688</v>
      </c>
      <c r="E3285" t="s">
        <v>689</v>
      </c>
      <c r="F3285" t="s">
        <v>37</v>
      </c>
      <c r="G3285" t="s">
        <v>51</v>
      </c>
      <c r="H3285" t="s">
        <v>38</v>
      </c>
      <c r="I3285" t="s">
        <v>29</v>
      </c>
      <c r="J3285" t="s">
        <v>46</v>
      </c>
      <c r="K3285" s="2">
        <v>3900</v>
      </c>
      <c r="L3285" s="2">
        <v>22000</v>
      </c>
      <c r="M3285">
        <v>36</v>
      </c>
      <c r="N3285" s="3">
        <v>0.42299999999999999</v>
      </c>
      <c r="O3285" t="s">
        <v>16</v>
      </c>
      <c r="Q3285">
        <v>1</v>
      </c>
      <c r="R3285">
        <v>0</v>
      </c>
      <c r="S3285" s="2">
        <v>17500</v>
      </c>
      <c r="T3285" s="4">
        <v>0.1118</v>
      </c>
      <c r="U3285">
        <v>2</v>
      </c>
      <c r="V3285">
        <v>1</v>
      </c>
      <c r="W3285">
        <v>1</v>
      </c>
    </row>
    <row r="3286" spans="1:23" ht="16.5" x14ac:dyDescent="0.3">
      <c r="A3286" t="s">
        <v>3350</v>
      </c>
      <c r="B3286" s="1">
        <v>45765</v>
      </c>
      <c r="C3286">
        <v>2025</v>
      </c>
      <c r="D3286" t="s">
        <v>688</v>
      </c>
      <c r="E3286" t="s">
        <v>689</v>
      </c>
      <c r="F3286" t="s">
        <v>37</v>
      </c>
      <c r="G3286" t="s">
        <v>33</v>
      </c>
      <c r="H3286" t="s">
        <v>38</v>
      </c>
      <c r="I3286" t="s">
        <v>39</v>
      </c>
      <c r="J3286" t="s">
        <v>46</v>
      </c>
      <c r="K3286" s="2">
        <v>4200</v>
      </c>
      <c r="L3286" s="2">
        <v>28500</v>
      </c>
      <c r="M3286">
        <v>48</v>
      </c>
      <c r="N3286" s="3">
        <v>0.24099999999999999</v>
      </c>
      <c r="O3286" t="s">
        <v>16</v>
      </c>
      <c r="Q3286">
        <v>1</v>
      </c>
      <c r="R3286">
        <v>0</v>
      </c>
      <c r="S3286" s="2">
        <v>28500</v>
      </c>
      <c r="T3286" s="4">
        <v>0.1087</v>
      </c>
      <c r="U3286">
        <v>2</v>
      </c>
      <c r="V3286">
        <v>1</v>
      </c>
      <c r="W3286">
        <v>1</v>
      </c>
    </row>
    <row r="3287" spans="1:23" ht="16.5" x14ac:dyDescent="0.3">
      <c r="A3287" t="s">
        <v>3351</v>
      </c>
      <c r="B3287" s="1">
        <v>45765</v>
      </c>
      <c r="C3287">
        <v>2025</v>
      </c>
      <c r="D3287" t="s">
        <v>688</v>
      </c>
      <c r="E3287" t="s">
        <v>689</v>
      </c>
      <c r="F3287" t="s">
        <v>41</v>
      </c>
      <c r="G3287" t="s">
        <v>51</v>
      </c>
      <c r="H3287" t="s">
        <v>55</v>
      </c>
      <c r="I3287" t="s">
        <v>39</v>
      </c>
      <c r="J3287" t="s">
        <v>52</v>
      </c>
      <c r="K3287" s="2">
        <v>3150</v>
      </c>
      <c r="L3287" s="2">
        <v>117500</v>
      </c>
      <c r="M3287">
        <v>12</v>
      </c>
      <c r="N3287" s="3">
        <v>3.4279999999999999</v>
      </c>
      <c r="O3287" t="s">
        <v>125</v>
      </c>
      <c r="Q3287">
        <v>0</v>
      </c>
      <c r="R3287">
        <v>0</v>
      </c>
      <c r="S3287" s="2">
        <v>0</v>
      </c>
      <c r="T3287" s="4"/>
      <c r="U3287">
        <v>12</v>
      </c>
      <c r="V3287">
        <v>0</v>
      </c>
      <c r="W3287">
        <v>1</v>
      </c>
    </row>
    <row r="3288" spans="1:23" ht="16.5" x14ac:dyDescent="0.3">
      <c r="A3288" t="s">
        <v>3352</v>
      </c>
      <c r="B3288" s="1">
        <v>45766</v>
      </c>
      <c r="C3288">
        <v>2025</v>
      </c>
      <c r="D3288" t="s">
        <v>688</v>
      </c>
      <c r="E3288" t="s">
        <v>689</v>
      </c>
      <c r="F3288" t="s">
        <v>37</v>
      </c>
      <c r="G3288" t="s">
        <v>33</v>
      </c>
      <c r="H3288" t="s">
        <v>55</v>
      </c>
      <c r="I3288" t="s">
        <v>42</v>
      </c>
      <c r="J3288" t="s">
        <v>30</v>
      </c>
      <c r="K3288" s="2">
        <v>4550</v>
      </c>
      <c r="L3288" s="2">
        <v>10500</v>
      </c>
      <c r="M3288">
        <v>36</v>
      </c>
      <c r="N3288" s="3">
        <v>0.24099999999999999</v>
      </c>
      <c r="O3288" t="s">
        <v>16</v>
      </c>
      <c r="Q3288">
        <v>1</v>
      </c>
      <c r="R3288">
        <v>0</v>
      </c>
      <c r="S3288" s="2">
        <v>8500</v>
      </c>
      <c r="T3288" s="4">
        <v>0.1348</v>
      </c>
      <c r="U3288">
        <v>1</v>
      </c>
      <c r="V3288">
        <v>1</v>
      </c>
      <c r="W3288">
        <v>1</v>
      </c>
    </row>
    <row r="3289" spans="1:23" ht="16.5" x14ac:dyDescent="0.3">
      <c r="A3289" t="s">
        <v>3353</v>
      </c>
      <c r="B3289" s="1">
        <v>45766</v>
      </c>
      <c r="C3289">
        <v>2025</v>
      </c>
      <c r="D3289" t="s">
        <v>688</v>
      </c>
      <c r="E3289" t="s">
        <v>689</v>
      </c>
      <c r="F3289" t="s">
        <v>37</v>
      </c>
      <c r="G3289" t="s">
        <v>33</v>
      </c>
      <c r="H3289" t="s">
        <v>28</v>
      </c>
      <c r="I3289" t="s">
        <v>39</v>
      </c>
      <c r="J3289" t="s">
        <v>35</v>
      </c>
      <c r="K3289" s="2">
        <v>3850</v>
      </c>
      <c r="L3289" s="2">
        <v>11000</v>
      </c>
      <c r="M3289">
        <v>24</v>
      </c>
      <c r="N3289" s="3">
        <v>0.22900000000000001</v>
      </c>
      <c r="O3289" t="s">
        <v>16</v>
      </c>
      <c r="Q3289">
        <v>1</v>
      </c>
      <c r="R3289">
        <v>0</v>
      </c>
      <c r="S3289" s="2">
        <v>9000</v>
      </c>
      <c r="T3289" s="4">
        <v>0.1235</v>
      </c>
      <c r="U3289">
        <v>1</v>
      </c>
      <c r="V3289">
        <v>1</v>
      </c>
      <c r="W3289">
        <v>1</v>
      </c>
    </row>
    <row r="3290" spans="1:23" ht="16.5" x14ac:dyDescent="0.3">
      <c r="A3290" t="s">
        <v>3354</v>
      </c>
      <c r="B3290" s="1">
        <v>45766</v>
      </c>
      <c r="C3290">
        <v>2025</v>
      </c>
      <c r="D3290" t="s">
        <v>688</v>
      </c>
      <c r="E3290" t="s">
        <v>689</v>
      </c>
      <c r="F3290" t="s">
        <v>50</v>
      </c>
      <c r="G3290" t="s">
        <v>33</v>
      </c>
      <c r="H3290" t="s">
        <v>38</v>
      </c>
      <c r="I3290" t="s">
        <v>39</v>
      </c>
      <c r="J3290" t="s">
        <v>30</v>
      </c>
      <c r="K3290" s="2">
        <v>5950</v>
      </c>
      <c r="L3290" s="2">
        <v>192000</v>
      </c>
      <c r="M3290">
        <v>240</v>
      </c>
      <c r="N3290" s="3">
        <v>0.38900000000000001</v>
      </c>
      <c r="O3290" t="s">
        <v>16</v>
      </c>
      <c r="Q3290">
        <v>1</v>
      </c>
      <c r="R3290">
        <v>0</v>
      </c>
      <c r="S3290" s="2">
        <v>192000</v>
      </c>
      <c r="T3290" s="4">
        <v>7.9899999999999999E-2</v>
      </c>
      <c r="U3290">
        <v>7</v>
      </c>
      <c r="V3290">
        <v>1</v>
      </c>
      <c r="W3290">
        <v>1</v>
      </c>
    </row>
    <row r="3291" spans="1:23" ht="16.5" x14ac:dyDescent="0.3">
      <c r="A3291" t="s">
        <v>3355</v>
      </c>
      <c r="B3291" s="1">
        <v>45767</v>
      </c>
      <c r="C3291">
        <v>2025</v>
      </c>
      <c r="D3291" t="s">
        <v>688</v>
      </c>
      <c r="E3291" t="s">
        <v>689</v>
      </c>
      <c r="F3291" t="s">
        <v>41</v>
      </c>
      <c r="G3291" t="s">
        <v>33</v>
      </c>
      <c r="H3291" t="s">
        <v>55</v>
      </c>
      <c r="I3291" t="s">
        <v>42</v>
      </c>
      <c r="J3291" t="s">
        <v>52</v>
      </c>
      <c r="K3291" s="2">
        <v>4700</v>
      </c>
      <c r="L3291" s="2">
        <v>75000</v>
      </c>
      <c r="M3291">
        <v>24</v>
      </c>
      <c r="N3291" s="3">
        <v>0.94399999999999995</v>
      </c>
      <c r="O3291" t="s">
        <v>17</v>
      </c>
      <c r="P3291" t="s">
        <v>53</v>
      </c>
      <c r="Q3291">
        <v>0</v>
      </c>
      <c r="R3291">
        <v>1</v>
      </c>
      <c r="S3291" s="2">
        <v>0</v>
      </c>
      <c r="T3291" s="4"/>
      <c r="U3291">
        <v>2</v>
      </c>
      <c r="V3291">
        <v>1</v>
      </c>
      <c r="W3291">
        <v>1</v>
      </c>
    </row>
    <row r="3292" spans="1:23" ht="16.5" x14ac:dyDescent="0.3">
      <c r="A3292" t="s">
        <v>3356</v>
      </c>
      <c r="B3292" s="1">
        <v>45767</v>
      </c>
      <c r="C3292">
        <v>2025</v>
      </c>
      <c r="D3292" t="s">
        <v>688</v>
      </c>
      <c r="E3292" t="s">
        <v>689</v>
      </c>
      <c r="F3292" t="s">
        <v>37</v>
      </c>
      <c r="G3292" t="s">
        <v>51</v>
      </c>
      <c r="H3292" t="s">
        <v>64</v>
      </c>
      <c r="I3292" t="s">
        <v>29</v>
      </c>
      <c r="J3292" t="s">
        <v>30</v>
      </c>
      <c r="K3292" s="2">
        <v>5500</v>
      </c>
      <c r="L3292" s="2">
        <v>7000</v>
      </c>
      <c r="M3292">
        <v>24</v>
      </c>
      <c r="N3292" s="3">
        <v>0.23899999999999999</v>
      </c>
      <c r="O3292" t="s">
        <v>16</v>
      </c>
      <c r="Q3292">
        <v>1</v>
      </c>
      <c r="R3292">
        <v>0</v>
      </c>
      <c r="S3292" s="2">
        <v>7000</v>
      </c>
      <c r="T3292" s="4">
        <v>0.14230000000000001</v>
      </c>
      <c r="U3292">
        <v>3</v>
      </c>
      <c r="V3292">
        <v>1</v>
      </c>
      <c r="W3292">
        <v>1</v>
      </c>
    </row>
    <row r="3293" spans="1:23" ht="16.5" x14ac:dyDescent="0.3">
      <c r="A3293" t="s">
        <v>3357</v>
      </c>
      <c r="B3293" s="1">
        <v>45768</v>
      </c>
      <c r="C3293">
        <v>2025</v>
      </c>
      <c r="D3293" t="s">
        <v>688</v>
      </c>
      <c r="E3293" t="s">
        <v>689</v>
      </c>
      <c r="F3293" t="s">
        <v>26</v>
      </c>
      <c r="G3293" t="s">
        <v>27</v>
      </c>
      <c r="H3293" t="s">
        <v>34</v>
      </c>
      <c r="I3293" t="s">
        <v>29</v>
      </c>
      <c r="J3293" t="s">
        <v>35</v>
      </c>
      <c r="K3293" s="2">
        <v>6050</v>
      </c>
      <c r="L3293" s="2">
        <v>61000</v>
      </c>
      <c r="M3293">
        <v>48</v>
      </c>
      <c r="N3293" s="3">
        <v>0.37</v>
      </c>
      <c r="O3293" t="s">
        <v>16</v>
      </c>
      <c r="Q3293">
        <v>1</v>
      </c>
      <c r="R3293">
        <v>0</v>
      </c>
      <c r="S3293" s="2">
        <v>61000</v>
      </c>
      <c r="T3293" s="4">
        <v>8.4500000000000006E-2</v>
      </c>
      <c r="U3293">
        <v>6</v>
      </c>
      <c r="V3293">
        <v>0</v>
      </c>
      <c r="W3293">
        <v>1</v>
      </c>
    </row>
    <row r="3294" spans="1:23" ht="16.5" x14ac:dyDescent="0.3">
      <c r="A3294" t="s">
        <v>3358</v>
      </c>
      <c r="B3294" s="1">
        <v>45768</v>
      </c>
      <c r="C3294">
        <v>2025</v>
      </c>
      <c r="D3294" t="s">
        <v>688</v>
      </c>
      <c r="E3294" t="s">
        <v>689</v>
      </c>
      <c r="F3294" t="s">
        <v>37</v>
      </c>
      <c r="G3294" t="s">
        <v>33</v>
      </c>
      <c r="H3294" t="s">
        <v>55</v>
      </c>
      <c r="I3294" t="s">
        <v>29</v>
      </c>
      <c r="J3294" t="s">
        <v>35</v>
      </c>
      <c r="K3294" s="2">
        <v>8100</v>
      </c>
      <c r="L3294" s="2">
        <v>5000</v>
      </c>
      <c r="M3294">
        <v>36</v>
      </c>
      <c r="N3294" s="3">
        <v>0.17499999999999999</v>
      </c>
      <c r="O3294" t="s">
        <v>16</v>
      </c>
      <c r="Q3294">
        <v>1</v>
      </c>
      <c r="R3294">
        <v>0</v>
      </c>
      <c r="S3294" s="2">
        <v>4500</v>
      </c>
      <c r="T3294" s="4">
        <v>0.1211</v>
      </c>
      <c r="U3294">
        <v>1</v>
      </c>
      <c r="V3294">
        <v>1</v>
      </c>
      <c r="W3294">
        <v>1</v>
      </c>
    </row>
    <row r="3295" spans="1:23" ht="16.5" x14ac:dyDescent="0.3">
      <c r="A3295" t="s">
        <v>3359</v>
      </c>
      <c r="B3295" s="1">
        <v>45768</v>
      </c>
      <c r="C3295">
        <v>2025</v>
      </c>
      <c r="D3295" t="s">
        <v>688</v>
      </c>
      <c r="E3295" t="s">
        <v>689</v>
      </c>
      <c r="F3295" t="s">
        <v>37</v>
      </c>
      <c r="G3295" t="s">
        <v>27</v>
      </c>
      <c r="H3295" t="s">
        <v>38</v>
      </c>
      <c r="I3295" t="s">
        <v>39</v>
      </c>
      <c r="J3295" t="s">
        <v>43</v>
      </c>
      <c r="K3295" s="2">
        <v>6550</v>
      </c>
      <c r="L3295" s="2">
        <v>4000</v>
      </c>
      <c r="M3295">
        <v>12</v>
      </c>
      <c r="N3295" s="3">
        <v>0.14399999999999999</v>
      </c>
      <c r="O3295" t="s">
        <v>125</v>
      </c>
      <c r="Q3295">
        <v>0</v>
      </c>
      <c r="R3295">
        <v>0</v>
      </c>
      <c r="S3295" s="2">
        <v>0</v>
      </c>
      <c r="T3295" s="4"/>
      <c r="U3295">
        <v>3</v>
      </c>
      <c r="V3295">
        <v>1</v>
      </c>
      <c r="W3295">
        <v>1</v>
      </c>
    </row>
    <row r="3296" spans="1:23" ht="16.5" x14ac:dyDescent="0.3">
      <c r="A3296" t="s">
        <v>3360</v>
      </c>
      <c r="B3296" s="1">
        <v>45768</v>
      </c>
      <c r="C3296">
        <v>2025</v>
      </c>
      <c r="D3296" t="s">
        <v>688</v>
      </c>
      <c r="E3296" t="s">
        <v>689</v>
      </c>
      <c r="F3296" t="s">
        <v>37</v>
      </c>
      <c r="G3296" t="s">
        <v>51</v>
      </c>
      <c r="H3296" t="s">
        <v>38</v>
      </c>
      <c r="I3296" t="s">
        <v>29</v>
      </c>
      <c r="J3296" t="s">
        <v>46</v>
      </c>
      <c r="K3296" s="2">
        <v>7650</v>
      </c>
      <c r="L3296" s="2">
        <v>6500</v>
      </c>
      <c r="M3296">
        <v>24</v>
      </c>
      <c r="N3296" s="3">
        <v>0.128</v>
      </c>
      <c r="O3296" t="s">
        <v>16</v>
      </c>
      <c r="Q3296">
        <v>1</v>
      </c>
      <c r="R3296">
        <v>0</v>
      </c>
      <c r="S3296" s="2">
        <v>5000</v>
      </c>
      <c r="T3296" s="4">
        <v>0.10390000000000001</v>
      </c>
      <c r="U3296">
        <v>2</v>
      </c>
      <c r="V3296">
        <v>1</v>
      </c>
      <c r="W3296">
        <v>1</v>
      </c>
    </row>
    <row r="3297" spans="1:23" ht="16.5" x14ac:dyDescent="0.3">
      <c r="A3297" t="s">
        <v>3361</v>
      </c>
      <c r="B3297" s="1">
        <v>45768</v>
      </c>
      <c r="C3297">
        <v>2025</v>
      </c>
      <c r="D3297" t="s">
        <v>688</v>
      </c>
      <c r="E3297" t="s">
        <v>689</v>
      </c>
      <c r="F3297" t="s">
        <v>26</v>
      </c>
      <c r="G3297" t="s">
        <v>45</v>
      </c>
      <c r="H3297" t="s">
        <v>55</v>
      </c>
      <c r="I3297" t="s">
        <v>29</v>
      </c>
      <c r="J3297" t="s">
        <v>52</v>
      </c>
      <c r="K3297" s="2">
        <v>4350</v>
      </c>
      <c r="L3297" s="2">
        <v>21500</v>
      </c>
      <c r="M3297">
        <v>36</v>
      </c>
      <c r="N3297" s="3">
        <v>0.246</v>
      </c>
      <c r="O3297" t="s">
        <v>16</v>
      </c>
      <c r="Q3297">
        <v>1</v>
      </c>
      <c r="R3297">
        <v>0</v>
      </c>
      <c r="S3297" s="2">
        <v>21500</v>
      </c>
      <c r="T3297" s="4">
        <v>7.5399999999999995E-2</v>
      </c>
      <c r="U3297">
        <v>2</v>
      </c>
      <c r="V3297">
        <v>1</v>
      </c>
      <c r="W3297">
        <v>1</v>
      </c>
    </row>
    <row r="3298" spans="1:23" ht="16.5" x14ac:dyDescent="0.3">
      <c r="A3298" t="s">
        <v>3362</v>
      </c>
      <c r="B3298" s="1">
        <v>45768</v>
      </c>
      <c r="C3298">
        <v>2025</v>
      </c>
      <c r="D3298" t="s">
        <v>688</v>
      </c>
      <c r="E3298" t="s">
        <v>689</v>
      </c>
      <c r="F3298" t="s">
        <v>26</v>
      </c>
      <c r="G3298" t="s">
        <v>27</v>
      </c>
      <c r="H3298" t="s">
        <v>28</v>
      </c>
      <c r="I3298" t="s">
        <v>29</v>
      </c>
      <c r="J3298" t="s">
        <v>35</v>
      </c>
      <c r="K3298" s="2">
        <v>5150</v>
      </c>
      <c r="L3298" s="2">
        <v>52000</v>
      </c>
      <c r="M3298">
        <v>36</v>
      </c>
      <c r="N3298" s="3">
        <v>0.48899999999999999</v>
      </c>
      <c r="O3298" t="s">
        <v>17</v>
      </c>
      <c r="P3298" t="s">
        <v>53</v>
      </c>
      <c r="Q3298">
        <v>0</v>
      </c>
      <c r="R3298">
        <v>1</v>
      </c>
      <c r="S3298" s="2">
        <v>0</v>
      </c>
      <c r="T3298" s="4"/>
      <c r="U3298">
        <v>6</v>
      </c>
      <c r="V3298">
        <v>0</v>
      </c>
      <c r="W3298">
        <v>1</v>
      </c>
    </row>
    <row r="3299" spans="1:23" ht="16.5" x14ac:dyDescent="0.3">
      <c r="A3299" t="s">
        <v>3363</v>
      </c>
      <c r="B3299" s="1">
        <v>45768</v>
      </c>
      <c r="C3299">
        <v>2025</v>
      </c>
      <c r="D3299" t="s">
        <v>688</v>
      </c>
      <c r="E3299" t="s">
        <v>689</v>
      </c>
      <c r="F3299" t="s">
        <v>41</v>
      </c>
      <c r="G3299" t="s">
        <v>51</v>
      </c>
      <c r="H3299" t="s">
        <v>34</v>
      </c>
      <c r="I3299" t="s">
        <v>39</v>
      </c>
      <c r="J3299" t="s">
        <v>35</v>
      </c>
      <c r="K3299" s="2">
        <v>2350</v>
      </c>
      <c r="L3299" s="2">
        <v>49000</v>
      </c>
      <c r="M3299">
        <v>60</v>
      </c>
      <c r="N3299" s="3">
        <v>0.55700000000000005</v>
      </c>
      <c r="O3299" t="s">
        <v>16</v>
      </c>
      <c r="Q3299">
        <v>1</v>
      </c>
      <c r="R3299">
        <v>0</v>
      </c>
      <c r="S3299" s="2">
        <v>44000</v>
      </c>
      <c r="T3299" s="4">
        <v>0.1123</v>
      </c>
      <c r="U3299">
        <v>16</v>
      </c>
      <c r="V3299">
        <v>0</v>
      </c>
      <c r="W3299">
        <v>1</v>
      </c>
    </row>
    <row r="3300" spans="1:23" ht="16.5" x14ac:dyDescent="0.3">
      <c r="A3300" t="s">
        <v>3364</v>
      </c>
      <c r="B3300" s="1">
        <v>45768</v>
      </c>
      <c r="C3300">
        <v>2025</v>
      </c>
      <c r="D3300" t="s">
        <v>688</v>
      </c>
      <c r="E3300" t="s">
        <v>689</v>
      </c>
      <c r="F3300" t="s">
        <v>26</v>
      </c>
      <c r="G3300" t="s">
        <v>51</v>
      </c>
      <c r="H3300" t="s">
        <v>38</v>
      </c>
      <c r="I3300" t="s">
        <v>39</v>
      </c>
      <c r="J3300" t="s">
        <v>30</v>
      </c>
      <c r="K3300" s="2">
        <v>5900</v>
      </c>
      <c r="L3300" s="2">
        <v>23500</v>
      </c>
      <c r="M3300">
        <v>36</v>
      </c>
      <c r="N3300" s="3">
        <v>0.20799999999999999</v>
      </c>
      <c r="O3300" t="s">
        <v>17</v>
      </c>
      <c r="P3300" t="s">
        <v>31</v>
      </c>
      <c r="Q3300">
        <v>0</v>
      </c>
      <c r="R3300">
        <v>1</v>
      </c>
      <c r="S3300" s="2">
        <v>0</v>
      </c>
      <c r="T3300" s="4"/>
      <c r="U3300">
        <v>5</v>
      </c>
      <c r="V3300">
        <v>0</v>
      </c>
      <c r="W3300">
        <v>1</v>
      </c>
    </row>
    <row r="3301" spans="1:23" ht="16.5" x14ac:dyDescent="0.3">
      <c r="A3301" t="s">
        <v>3365</v>
      </c>
      <c r="B3301" s="1">
        <v>45769</v>
      </c>
      <c r="C3301">
        <v>2025</v>
      </c>
      <c r="D3301" t="s">
        <v>688</v>
      </c>
      <c r="E3301" t="s">
        <v>689</v>
      </c>
      <c r="F3301" t="s">
        <v>26</v>
      </c>
      <c r="G3301" t="s">
        <v>27</v>
      </c>
      <c r="H3301" t="s">
        <v>28</v>
      </c>
      <c r="I3301" t="s">
        <v>42</v>
      </c>
      <c r="J3301" t="s">
        <v>52</v>
      </c>
      <c r="K3301" s="2">
        <v>3500</v>
      </c>
      <c r="L3301" s="2">
        <v>109000</v>
      </c>
      <c r="M3301">
        <v>48</v>
      </c>
      <c r="N3301" s="3">
        <v>0.88400000000000001</v>
      </c>
      <c r="O3301" t="s">
        <v>16</v>
      </c>
      <c r="Q3301">
        <v>1</v>
      </c>
      <c r="R3301">
        <v>0</v>
      </c>
      <c r="S3301" s="2">
        <v>109000</v>
      </c>
      <c r="T3301" s="4">
        <v>6.9699999999999998E-2</v>
      </c>
      <c r="U3301">
        <v>3</v>
      </c>
      <c r="V3301">
        <v>1</v>
      </c>
      <c r="W3301">
        <v>1</v>
      </c>
    </row>
    <row r="3302" spans="1:23" ht="16.5" x14ac:dyDescent="0.3">
      <c r="A3302" t="s">
        <v>3366</v>
      </c>
      <c r="B3302" s="1">
        <v>45769</v>
      </c>
      <c r="C3302">
        <v>2025</v>
      </c>
      <c r="D3302" t="s">
        <v>688</v>
      </c>
      <c r="E3302" t="s">
        <v>689</v>
      </c>
      <c r="F3302" t="s">
        <v>26</v>
      </c>
      <c r="G3302" t="s">
        <v>45</v>
      </c>
      <c r="H3302" t="s">
        <v>55</v>
      </c>
      <c r="I3302" t="s">
        <v>39</v>
      </c>
      <c r="J3302" t="s">
        <v>52</v>
      </c>
      <c r="K3302" s="2">
        <v>4650</v>
      </c>
      <c r="L3302" s="2">
        <v>32000</v>
      </c>
      <c r="M3302">
        <v>48</v>
      </c>
      <c r="N3302" s="3">
        <v>0.32800000000000001</v>
      </c>
      <c r="O3302" t="s">
        <v>16</v>
      </c>
      <c r="Q3302">
        <v>1</v>
      </c>
      <c r="R3302">
        <v>0</v>
      </c>
      <c r="S3302" s="2">
        <v>32000</v>
      </c>
      <c r="T3302" s="4">
        <v>6.6000000000000003E-2</v>
      </c>
      <c r="U3302">
        <v>4</v>
      </c>
      <c r="V3302">
        <v>1</v>
      </c>
      <c r="W3302">
        <v>1</v>
      </c>
    </row>
    <row r="3303" spans="1:23" ht="16.5" x14ac:dyDescent="0.3">
      <c r="A3303" t="s">
        <v>3367</v>
      </c>
      <c r="B3303" s="1">
        <v>45769</v>
      </c>
      <c r="C3303">
        <v>2025</v>
      </c>
      <c r="D3303" t="s">
        <v>688</v>
      </c>
      <c r="E3303" t="s">
        <v>689</v>
      </c>
      <c r="F3303" t="s">
        <v>50</v>
      </c>
      <c r="G3303" t="s">
        <v>51</v>
      </c>
      <c r="H3303" t="s">
        <v>38</v>
      </c>
      <c r="I3303" t="s">
        <v>39</v>
      </c>
      <c r="J3303" t="s">
        <v>46</v>
      </c>
      <c r="K3303" s="2">
        <v>5550</v>
      </c>
      <c r="L3303" s="2">
        <v>400000</v>
      </c>
      <c r="M3303">
        <v>300</v>
      </c>
      <c r="N3303" s="3">
        <v>0.51400000000000001</v>
      </c>
      <c r="O3303" t="s">
        <v>16</v>
      </c>
      <c r="Q3303">
        <v>1</v>
      </c>
      <c r="R3303">
        <v>0</v>
      </c>
      <c r="S3303" s="2">
        <v>360000</v>
      </c>
      <c r="T3303" s="4">
        <v>4.1200000000000001E-2</v>
      </c>
      <c r="U3303">
        <v>20</v>
      </c>
      <c r="V3303">
        <v>0</v>
      </c>
      <c r="W3303">
        <v>1</v>
      </c>
    </row>
    <row r="3304" spans="1:23" ht="16.5" x14ac:dyDescent="0.3">
      <c r="A3304" t="s">
        <v>3368</v>
      </c>
      <c r="B3304" s="1">
        <v>45769</v>
      </c>
      <c r="C3304">
        <v>2025</v>
      </c>
      <c r="D3304" t="s">
        <v>688</v>
      </c>
      <c r="E3304" t="s">
        <v>689</v>
      </c>
      <c r="F3304" t="s">
        <v>37</v>
      </c>
      <c r="G3304" t="s">
        <v>45</v>
      </c>
      <c r="H3304" t="s">
        <v>55</v>
      </c>
      <c r="I3304" t="s">
        <v>29</v>
      </c>
      <c r="J3304" t="s">
        <v>30</v>
      </c>
      <c r="K3304" s="2">
        <v>6000</v>
      </c>
      <c r="L3304" s="2">
        <v>24000</v>
      </c>
      <c r="M3304">
        <v>60</v>
      </c>
      <c r="N3304" s="3">
        <v>0.19800000000000001</v>
      </c>
      <c r="O3304" t="s">
        <v>16</v>
      </c>
      <c r="Q3304">
        <v>1</v>
      </c>
      <c r="R3304">
        <v>0</v>
      </c>
      <c r="S3304" s="2">
        <v>19000</v>
      </c>
      <c r="T3304" s="4">
        <v>0.13789999999999999</v>
      </c>
      <c r="U3304">
        <v>2</v>
      </c>
      <c r="V3304">
        <v>1</v>
      </c>
      <c r="W3304">
        <v>1</v>
      </c>
    </row>
    <row r="3305" spans="1:23" ht="16.5" x14ac:dyDescent="0.3">
      <c r="A3305" t="s">
        <v>3369</v>
      </c>
      <c r="B3305" s="1">
        <v>45770</v>
      </c>
      <c r="C3305">
        <v>2025</v>
      </c>
      <c r="D3305" t="s">
        <v>688</v>
      </c>
      <c r="E3305" t="s">
        <v>689</v>
      </c>
      <c r="F3305" t="s">
        <v>37</v>
      </c>
      <c r="G3305" t="s">
        <v>33</v>
      </c>
      <c r="H3305" t="s">
        <v>34</v>
      </c>
      <c r="I3305" t="s">
        <v>29</v>
      </c>
      <c r="J3305" t="s">
        <v>35</v>
      </c>
      <c r="K3305" s="2">
        <v>8000</v>
      </c>
      <c r="L3305" s="2">
        <v>12500</v>
      </c>
      <c r="M3305">
        <v>60</v>
      </c>
      <c r="N3305" s="3">
        <v>0.104</v>
      </c>
      <c r="O3305" t="s">
        <v>17</v>
      </c>
      <c r="P3305" t="s">
        <v>60</v>
      </c>
      <c r="Q3305">
        <v>0</v>
      </c>
      <c r="R3305">
        <v>1</v>
      </c>
      <c r="S3305" s="2">
        <v>0</v>
      </c>
      <c r="T3305" s="4"/>
      <c r="U3305">
        <v>5</v>
      </c>
      <c r="V3305">
        <v>0</v>
      </c>
      <c r="W3305">
        <v>1</v>
      </c>
    </row>
    <row r="3306" spans="1:23" ht="16.5" x14ac:dyDescent="0.3">
      <c r="A3306" t="s">
        <v>3370</v>
      </c>
      <c r="B3306" s="1">
        <v>45770</v>
      </c>
      <c r="C3306">
        <v>2025</v>
      </c>
      <c r="D3306" t="s">
        <v>688</v>
      </c>
      <c r="E3306" t="s">
        <v>689</v>
      </c>
      <c r="F3306" t="s">
        <v>37</v>
      </c>
      <c r="G3306" t="s">
        <v>33</v>
      </c>
      <c r="H3306" t="s">
        <v>64</v>
      </c>
      <c r="I3306" t="s">
        <v>42</v>
      </c>
      <c r="J3306" t="s">
        <v>30</v>
      </c>
      <c r="K3306" s="2">
        <v>6900</v>
      </c>
      <c r="L3306" s="2">
        <v>19000</v>
      </c>
      <c r="M3306">
        <v>60</v>
      </c>
      <c r="N3306" s="3">
        <v>0.307</v>
      </c>
      <c r="O3306" t="s">
        <v>16</v>
      </c>
      <c r="Q3306">
        <v>1</v>
      </c>
      <c r="R3306">
        <v>0</v>
      </c>
      <c r="S3306" s="2">
        <v>19000</v>
      </c>
      <c r="T3306" s="4">
        <v>0.1439</v>
      </c>
      <c r="U3306">
        <v>2</v>
      </c>
      <c r="V3306">
        <v>1</v>
      </c>
      <c r="W3306">
        <v>1</v>
      </c>
    </row>
    <row r="3307" spans="1:23" ht="16.5" x14ac:dyDescent="0.3">
      <c r="A3307" t="s">
        <v>3371</v>
      </c>
      <c r="B3307" s="1">
        <v>45770</v>
      </c>
      <c r="C3307">
        <v>2025</v>
      </c>
      <c r="D3307" t="s">
        <v>688</v>
      </c>
      <c r="E3307" t="s">
        <v>689</v>
      </c>
      <c r="F3307" t="s">
        <v>37</v>
      </c>
      <c r="G3307" t="s">
        <v>45</v>
      </c>
      <c r="H3307" t="s">
        <v>64</v>
      </c>
      <c r="I3307" t="s">
        <v>29</v>
      </c>
      <c r="J3307" t="s">
        <v>52</v>
      </c>
      <c r="K3307" s="2">
        <v>3800</v>
      </c>
      <c r="L3307" s="2">
        <v>12500</v>
      </c>
      <c r="M3307">
        <v>48</v>
      </c>
      <c r="N3307" s="3">
        <v>0.26300000000000001</v>
      </c>
      <c r="O3307" t="s">
        <v>16</v>
      </c>
      <c r="Q3307">
        <v>1</v>
      </c>
      <c r="R3307">
        <v>0</v>
      </c>
      <c r="S3307" s="2">
        <v>11000</v>
      </c>
      <c r="T3307" s="4">
        <v>0.1172</v>
      </c>
      <c r="U3307">
        <v>3</v>
      </c>
      <c r="V3307">
        <v>1</v>
      </c>
      <c r="W3307">
        <v>1</v>
      </c>
    </row>
    <row r="3308" spans="1:23" ht="16.5" x14ac:dyDescent="0.3">
      <c r="A3308" t="s">
        <v>3372</v>
      </c>
      <c r="B3308" s="1">
        <v>45770</v>
      </c>
      <c r="C3308">
        <v>2025</v>
      </c>
      <c r="D3308" t="s">
        <v>688</v>
      </c>
      <c r="E3308" t="s">
        <v>689</v>
      </c>
      <c r="F3308" t="s">
        <v>50</v>
      </c>
      <c r="G3308" t="s">
        <v>51</v>
      </c>
      <c r="H3308" t="s">
        <v>55</v>
      </c>
      <c r="I3308" t="s">
        <v>29</v>
      </c>
      <c r="J3308" t="s">
        <v>52</v>
      </c>
      <c r="K3308" s="2">
        <v>11300</v>
      </c>
      <c r="L3308" s="2">
        <v>185000</v>
      </c>
      <c r="M3308">
        <v>240</v>
      </c>
      <c r="N3308" s="3">
        <v>0.28699999999999998</v>
      </c>
      <c r="O3308" t="s">
        <v>16</v>
      </c>
      <c r="Q3308">
        <v>1</v>
      </c>
      <c r="R3308">
        <v>0</v>
      </c>
      <c r="S3308" s="2">
        <v>185000</v>
      </c>
      <c r="T3308" s="4">
        <v>4.5600000000000002E-2</v>
      </c>
      <c r="U3308">
        <v>23</v>
      </c>
      <c r="V3308">
        <v>0</v>
      </c>
      <c r="W3308">
        <v>1</v>
      </c>
    </row>
    <row r="3309" spans="1:23" ht="16.5" x14ac:dyDescent="0.3">
      <c r="A3309" t="s">
        <v>3373</v>
      </c>
      <c r="B3309" s="1">
        <v>45770</v>
      </c>
      <c r="C3309">
        <v>2025</v>
      </c>
      <c r="D3309" t="s">
        <v>688</v>
      </c>
      <c r="E3309" t="s">
        <v>689</v>
      </c>
      <c r="F3309" t="s">
        <v>37</v>
      </c>
      <c r="G3309" t="s">
        <v>33</v>
      </c>
      <c r="H3309" t="s">
        <v>55</v>
      </c>
      <c r="I3309" t="s">
        <v>29</v>
      </c>
      <c r="J3309" t="s">
        <v>35</v>
      </c>
      <c r="K3309" s="2">
        <v>4600</v>
      </c>
      <c r="L3309" s="2">
        <v>15500</v>
      </c>
      <c r="M3309">
        <v>48</v>
      </c>
      <c r="N3309" s="3">
        <v>0.22</v>
      </c>
      <c r="O3309" t="s">
        <v>16</v>
      </c>
      <c r="Q3309">
        <v>1</v>
      </c>
      <c r="R3309">
        <v>0</v>
      </c>
      <c r="S3309" s="2">
        <v>14000</v>
      </c>
      <c r="T3309" s="4">
        <v>0.12189999999999999</v>
      </c>
      <c r="U3309">
        <v>1</v>
      </c>
      <c r="V3309">
        <v>1</v>
      </c>
      <c r="W3309">
        <v>1</v>
      </c>
    </row>
    <row r="3310" spans="1:23" ht="16.5" x14ac:dyDescent="0.3">
      <c r="A3310" t="s">
        <v>3374</v>
      </c>
      <c r="B3310" s="1">
        <v>45770</v>
      </c>
      <c r="C3310">
        <v>2025</v>
      </c>
      <c r="D3310" t="s">
        <v>688</v>
      </c>
      <c r="E3310" t="s">
        <v>689</v>
      </c>
      <c r="F3310" t="s">
        <v>37</v>
      </c>
      <c r="G3310" t="s">
        <v>33</v>
      </c>
      <c r="H3310" t="s">
        <v>38</v>
      </c>
      <c r="I3310" t="s">
        <v>39</v>
      </c>
      <c r="J3310" t="s">
        <v>52</v>
      </c>
      <c r="K3310" s="2">
        <v>2300</v>
      </c>
      <c r="L3310" s="2">
        <v>6000</v>
      </c>
      <c r="M3310">
        <v>48</v>
      </c>
      <c r="N3310" s="3">
        <v>0.29599999999999999</v>
      </c>
      <c r="O3310" t="s">
        <v>16</v>
      </c>
      <c r="Q3310">
        <v>1</v>
      </c>
      <c r="R3310">
        <v>0</v>
      </c>
      <c r="S3310" s="2">
        <v>6000</v>
      </c>
      <c r="T3310" s="4">
        <v>0.1164</v>
      </c>
      <c r="U3310">
        <v>1</v>
      </c>
      <c r="V3310">
        <v>1</v>
      </c>
      <c r="W3310">
        <v>1</v>
      </c>
    </row>
    <row r="3311" spans="1:23" ht="16.5" x14ac:dyDescent="0.3">
      <c r="A3311" t="s">
        <v>3375</v>
      </c>
      <c r="B3311" s="1">
        <v>45770</v>
      </c>
      <c r="C3311">
        <v>2025</v>
      </c>
      <c r="D3311" t="s">
        <v>688</v>
      </c>
      <c r="E3311" t="s">
        <v>689</v>
      </c>
      <c r="F3311" t="s">
        <v>26</v>
      </c>
      <c r="G3311" t="s">
        <v>27</v>
      </c>
      <c r="H3311" t="s">
        <v>34</v>
      </c>
      <c r="I3311" t="s">
        <v>39</v>
      </c>
      <c r="J3311" t="s">
        <v>46</v>
      </c>
      <c r="K3311" s="2">
        <v>3400</v>
      </c>
      <c r="L3311" s="2">
        <v>28000</v>
      </c>
      <c r="M3311">
        <v>36</v>
      </c>
      <c r="N3311" s="3">
        <v>0.33900000000000002</v>
      </c>
      <c r="O3311" t="s">
        <v>16</v>
      </c>
      <c r="Q3311">
        <v>1</v>
      </c>
      <c r="R3311">
        <v>0</v>
      </c>
      <c r="S3311" s="2">
        <v>25000</v>
      </c>
      <c r="T3311" s="4">
        <v>6.3E-2</v>
      </c>
      <c r="U3311">
        <v>4</v>
      </c>
      <c r="V3311">
        <v>1</v>
      </c>
      <c r="W3311">
        <v>1</v>
      </c>
    </row>
    <row r="3312" spans="1:23" ht="16.5" x14ac:dyDescent="0.3">
      <c r="A3312" t="s">
        <v>3376</v>
      </c>
      <c r="B3312" s="1">
        <v>45770</v>
      </c>
      <c r="C3312">
        <v>2025</v>
      </c>
      <c r="D3312" t="s">
        <v>688</v>
      </c>
      <c r="E3312" t="s">
        <v>689</v>
      </c>
      <c r="F3312" t="s">
        <v>26</v>
      </c>
      <c r="G3312" t="s">
        <v>51</v>
      </c>
      <c r="H3312" t="s">
        <v>55</v>
      </c>
      <c r="I3312" t="s">
        <v>29</v>
      </c>
      <c r="J3312" t="s">
        <v>52</v>
      </c>
      <c r="K3312" s="2">
        <v>3850</v>
      </c>
      <c r="L3312" s="2">
        <v>53000</v>
      </c>
      <c r="M3312">
        <v>36</v>
      </c>
      <c r="N3312" s="3">
        <v>0.57299999999999995</v>
      </c>
      <c r="O3312" t="s">
        <v>16</v>
      </c>
      <c r="Q3312">
        <v>1</v>
      </c>
      <c r="R3312">
        <v>0</v>
      </c>
      <c r="S3312" s="2">
        <v>53000</v>
      </c>
      <c r="T3312" s="4">
        <v>7.2999999999999995E-2</v>
      </c>
      <c r="U3312">
        <v>7</v>
      </c>
      <c r="V3312">
        <v>0</v>
      </c>
      <c r="W3312">
        <v>1</v>
      </c>
    </row>
    <row r="3313" spans="1:23" ht="16.5" x14ac:dyDescent="0.3">
      <c r="A3313" t="s">
        <v>3377</v>
      </c>
      <c r="B3313" s="1">
        <v>45771</v>
      </c>
      <c r="C3313">
        <v>2025</v>
      </c>
      <c r="D3313" t="s">
        <v>688</v>
      </c>
      <c r="E3313" t="s">
        <v>689</v>
      </c>
      <c r="F3313" t="s">
        <v>37</v>
      </c>
      <c r="G3313" t="s">
        <v>27</v>
      </c>
      <c r="H3313" t="s">
        <v>34</v>
      </c>
      <c r="I3313" t="s">
        <v>39</v>
      </c>
      <c r="J3313" t="s">
        <v>52</v>
      </c>
      <c r="K3313" s="2">
        <v>6150</v>
      </c>
      <c r="L3313" s="2">
        <v>13000</v>
      </c>
      <c r="M3313">
        <v>48</v>
      </c>
      <c r="N3313" s="3">
        <v>0.3</v>
      </c>
      <c r="O3313" t="s">
        <v>17</v>
      </c>
      <c r="P3313" t="s">
        <v>60</v>
      </c>
      <c r="Q3313">
        <v>0</v>
      </c>
      <c r="R3313">
        <v>1</v>
      </c>
      <c r="S3313" s="2">
        <v>0</v>
      </c>
      <c r="T3313" s="4"/>
      <c r="U3313">
        <v>8</v>
      </c>
      <c r="V3313">
        <v>0</v>
      </c>
      <c r="W3313">
        <v>1</v>
      </c>
    </row>
    <row r="3314" spans="1:23" ht="16.5" x14ac:dyDescent="0.3">
      <c r="A3314" t="s">
        <v>3378</v>
      </c>
      <c r="B3314" s="1">
        <v>45771</v>
      </c>
      <c r="C3314">
        <v>2025</v>
      </c>
      <c r="D3314" t="s">
        <v>688</v>
      </c>
      <c r="E3314" t="s">
        <v>689</v>
      </c>
      <c r="F3314" t="s">
        <v>26</v>
      </c>
      <c r="G3314" t="s">
        <v>27</v>
      </c>
      <c r="H3314" t="s">
        <v>38</v>
      </c>
      <c r="I3314" t="s">
        <v>42</v>
      </c>
      <c r="J3314" t="s">
        <v>30</v>
      </c>
      <c r="K3314" s="2">
        <v>6800</v>
      </c>
      <c r="L3314" s="2">
        <v>32000</v>
      </c>
      <c r="M3314">
        <v>36</v>
      </c>
      <c r="N3314" s="3">
        <v>0.34300000000000003</v>
      </c>
      <c r="O3314" t="s">
        <v>16</v>
      </c>
      <c r="Q3314">
        <v>1</v>
      </c>
      <c r="R3314">
        <v>0</v>
      </c>
      <c r="S3314" s="2">
        <v>32000</v>
      </c>
      <c r="T3314" s="4">
        <v>9.2499999999999999E-2</v>
      </c>
      <c r="U3314">
        <v>3</v>
      </c>
      <c r="V3314">
        <v>1</v>
      </c>
      <c r="W3314">
        <v>1</v>
      </c>
    </row>
    <row r="3315" spans="1:23" ht="16.5" x14ac:dyDescent="0.3">
      <c r="A3315" t="s">
        <v>3379</v>
      </c>
      <c r="B3315" s="1">
        <v>45771</v>
      </c>
      <c r="C3315">
        <v>2025</v>
      </c>
      <c r="D3315" t="s">
        <v>688</v>
      </c>
      <c r="E3315" t="s">
        <v>689</v>
      </c>
      <c r="F3315" t="s">
        <v>26</v>
      </c>
      <c r="G3315" t="s">
        <v>51</v>
      </c>
      <c r="H3315" t="s">
        <v>64</v>
      </c>
      <c r="I3315" t="s">
        <v>42</v>
      </c>
      <c r="J3315" t="s">
        <v>35</v>
      </c>
      <c r="K3315" s="2">
        <v>7500</v>
      </c>
      <c r="L3315" s="2">
        <v>12000</v>
      </c>
      <c r="M3315">
        <v>36</v>
      </c>
      <c r="N3315" s="3">
        <v>0.158</v>
      </c>
      <c r="O3315" t="s">
        <v>17</v>
      </c>
      <c r="P3315" t="s">
        <v>31</v>
      </c>
      <c r="Q3315">
        <v>0</v>
      </c>
      <c r="R3315">
        <v>1</v>
      </c>
      <c r="S3315" s="2">
        <v>0</v>
      </c>
      <c r="T3315" s="4"/>
      <c r="U3315">
        <v>4</v>
      </c>
      <c r="V3315">
        <v>1</v>
      </c>
      <c r="W3315">
        <v>1</v>
      </c>
    </row>
    <row r="3316" spans="1:23" ht="16.5" x14ac:dyDescent="0.3">
      <c r="A3316" t="s">
        <v>3380</v>
      </c>
      <c r="B3316" s="1">
        <v>45771</v>
      </c>
      <c r="C3316">
        <v>2025</v>
      </c>
      <c r="D3316" t="s">
        <v>688</v>
      </c>
      <c r="E3316" t="s">
        <v>689</v>
      </c>
      <c r="F3316" t="s">
        <v>37</v>
      </c>
      <c r="G3316" t="s">
        <v>51</v>
      </c>
      <c r="H3316" t="s">
        <v>55</v>
      </c>
      <c r="I3316" t="s">
        <v>42</v>
      </c>
      <c r="J3316" t="s">
        <v>46</v>
      </c>
      <c r="K3316" s="2">
        <v>11300</v>
      </c>
      <c r="L3316" s="2">
        <v>17000</v>
      </c>
      <c r="M3316">
        <v>36</v>
      </c>
      <c r="N3316" s="3">
        <v>0.27</v>
      </c>
      <c r="O3316" t="s">
        <v>16</v>
      </c>
      <c r="Q3316">
        <v>1</v>
      </c>
      <c r="R3316">
        <v>0</v>
      </c>
      <c r="S3316" s="2">
        <v>17000</v>
      </c>
      <c r="T3316" s="4">
        <v>0.10539999999999999</v>
      </c>
      <c r="U3316">
        <v>5</v>
      </c>
      <c r="V3316">
        <v>0</v>
      </c>
      <c r="W3316">
        <v>1</v>
      </c>
    </row>
    <row r="3317" spans="1:23" ht="16.5" x14ac:dyDescent="0.3">
      <c r="A3317" t="s">
        <v>3381</v>
      </c>
      <c r="B3317" s="1">
        <v>45771</v>
      </c>
      <c r="C3317">
        <v>2025</v>
      </c>
      <c r="D3317" t="s">
        <v>688</v>
      </c>
      <c r="E3317" t="s">
        <v>689</v>
      </c>
      <c r="F3317" t="s">
        <v>37</v>
      </c>
      <c r="G3317" t="s">
        <v>51</v>
      </c>
      <c r="H3317" t="s">
        <v>34</v>
      </c>
      <c r="I3317" t="s">
        <v>29</v>
      </c>
      <c r="J3317" t="s">
        <v>35</v>
      </c>
      <c r="K3317" s="2">
        <v>7350</v>
      </c>
      <c r="L3317" s="2">
        <v>16000</v>
      </c>
      <c r="M3317">
        <v>36</v>
      </c>
      <c r="N3317" s="3">
        <v>0.20699999999999999</v>
      </c>
      <c r="O3317" t="s">
        <v>16</v>
      </c>
      <c r="Q3317">
        <v>1</v>
      </c>
      <c r="R3317">
        <v>0</v>
      </c>
      <c r="S3317" s="2">
        <v>13000</v>
      </c>
      <c r="T3317" s="4">
        <v>0.13200000000000001</v>
      </c>
      <c r="U3317">
        <v>4</v>
      </c>
      <c r="V3317">
        <v>0</v>
      </c>
      <c r="W3317">
        <v>1</v>
      </c>
    </row>
    <row r="3318" spans="1:23" ht="16.5" x14ac:dyDescent="0.3">
      <c r="A3318" t="s">
        <v>3382</v>
      </c>
      <c r="B3318" s="1">
        <v>45771</v>
      </c>
      <c r="C3318">
        <v>2025</v>
      </c>
      <c r="D3318" t="s">
        <v>688</v>
      </c>
      <c r="E3318" t="s">
        <v>689</v>
      </c>
      <c r="F3318" t="s">
        <v>37</v>
      </c>
      <c r="G3318" t="s">
        <v>51</v>
      </c>
      <c r="H3318" t="s">
        <v>38</v>
      </c>
      <c r="I3318" t="s">
        <v>29</v>
      </c>
      <c r="J3318" t="s">
        <v>52</v>
      </c>
      <c r="K3318" s="2">
        <v>5900</v>
      </c>
      <c r="L3318" s="2">
        <v>7500</v>
      </c>
      <c r="M3318">
        <v>48</v>
      </c>
      <c r="N3318" s="3">
        <v>8.5000000000000006E-2</v>
      </c>
      <c r="O3318" t="s">
        <v>16</v>
      </c>
      <c r="Q3318">
        <v>1</v>
      </c>
      <c r="R3318">
        <v>0</v>
      </c>
      <c r="S3318" s="2">
        <v>7500</v>
      </c>
      <c r="T3318" s="4">
        <v>0.1183</v>
      </c>
      <c r="U3318">
        <v>7</v>
      </c>
      <c r="V3318">
        <v>0</v>
      </c>
      <c r="W3318">
        <v>1</v>
      </c>
    </row>
    <row r="3319" spans="1:23" ht="16.5" x14ac:dyDescent="0.3">
      <c r="A3319" t="s">
        <v>3383</v>
      </c>
      <c r="B3319" s="1">
        <v>45772</v>
      </c>
      <c r="C3319">
        <v>2025</v>
      </c>
      <c r="D3319" t="s">
        <v>688</v>
      </c>
      <c r="E3319" t="s">
        <v>689</v>
      </c>
      <c r="F3319" t="s">
        <v>37</v>
      </c>
      <c r="G3319" t="s">
        <v>51</v>
      </c>
      <c r="H3319" t="s">
        <v>38</v>
      </c>
      <c r="I3319" t="s">
        <v>39</v>
      </c>
      <c r="J3319" t="s">
        <v>52</v>
      </c>
      <c r="K3319" s="2">
        <v>7100</v>
      </c>
      <c r="L3319" s="2">
        <v>20000</v>
      </c>
      <c r="M3319">
        <v>12</v>
      </c>
      <c r="N3319" s="3">
        <v>0.48299999999999998</v>
      </c>
      <c r="O3319" t="s">
        <v>16</v>
      </c>
      <c r="Q3319">
        <v>1</v>
      </c>
      <c r="R3319">
        <v>0</v>
      </c>
      <c r="S3319" s="2">
        <v>20000</v>
      </c>
      <c r="T3319" s="4">
        <v>0.1172</v>
      </c>
      <c r="U3319">
        <v>3</v>
      </c>
      <c r="V3319">
        <v>1</v>
      </c>
      <c r="W3319">
        <v>1</v>
      </c>
    </row>
    <row r="3320" spans="1:23" ht="16.5" x14ac:dyDescent="0.3">
      <c r="A3320" t="s">
        <v>3384</v>
      </c>
      <c r="B3320" s="1">
        <v>45772</v>
      </c>
      <c r="C3320">
        <v>2025</v>
      </c>
      <c r="D3320" t="s">
        <v>688</v>
      </c>
      <c r="E3320" t="s">
        <v>689</v>
      </c>
      <c r="F3320" t="s">
        <v>41</v>
      </c>
      <c r="G3320" t="s">
        <v>51</v>
      </c>
      <c r="H3320" t="s">
        <v>64</v>
      </c>
      <c r="I3320" t="s">
        <v>39</v>
      </c>
      <c r="J3320" t="s">
        <v>35</v>
      </c>
      <c r="K3320" s="2">
        <v>7050</v>
      </c>
      <c r="L3320" s="2">
        <v>120000</v>
      </c>
      <c r="M3320">
        <v>60</v>
      </c>
      <c r="N3320" s="3">
        <v>0.60799999999999998</v>
      </c>
      <c r="O3320" t="s">
        <v>16</v>
      </c>
      <c r="Q3320">
        <v>1</v>
      </c>
      <c r="R3320">
        <v>0</v>
      </c>
      <c r="S3320" s="2">
        <v>120000</v>
      </c>
      <c r="T3320" s="4">
        <v>0.10680000000000001</v>
      </c>
      <c r="U3320">
        <v>9</v>
      </c>
      <c r="V3320">
        <v>1</v>
      </c>
      <c r="W3320">
        <v>1</v>
      </c>
    </row>
    <row r="3321" spans="1:23" ht="16.5" x14ac:dyDescent="0.3">
      <c r="A3321" t="s">
        <v>3385</v>
      </c>
      <c r="B3321" s="1">
        <v>45772</v>
      </c>
      <c r="C3321">
        <v>2025</v>
      </c>
      <c r="D3321" t="s">
        <v>688</v>
      </c>
      <c r="E3321" t="s">
        <v>689</v>
      </c>
      <c r="F3321" t="s">
        <v>26</v>
      </c>
      <c r="G3321" t="s">
        <v>45</v>
      </c>
      <c r="H3321" t="s">
        <v>55</v>
      </c>
      <c r="I3321" t="s">
        <v>39</v>
      </c>
      <c r="J3321" t="s">
        <v>43</v>
      </c>
      <c r="K3321" s="2">
        <v>4200</v>
      </c>
      <c r="L3321" s="2">
        <v>55000</v>
      </c>
      <c r="M3321">
        <v>48</v>
      </c>
      <c r="N3321" s="3">
        <v>0.39900000000000002</v>
      </c>
      <c r="O3321" t="s">
        <v>17</v>
      </c>
      <c r="P3321" t="s">
        <v>31</v>
      </c>
      <c r="Q3321">
        <v>0</v>
      </c>
      <c r="R3321">
        <v>1</v>
      </c>
      <c r="S3321" s="2">
        <v>0</v>
      </c>
      <c r="T3321" s="4"/>
      <c r="U3321">
        <v>2</v>
      </c>
      <c r="V3321">
        <v>1</v>
      </c>
      <c r="W3321">
        <v>1</v>
      </c>
    </row>
    <row r="3322" spans="1:23" ht="16.5" x14ac:dyDescent="0.3">
      <c r="A3322" t="s">
        <v>3386</v>
      </c>
      <c r="B3322" s="1">
        <v>45772</v>
      </c>
      <c r="C3322">
        <v>2025</v>
      </c>
      <c r="D3322" t="s">
        <v>688</v>
      </c>
      <c r="E3322" t="s">
        <v>689</v>
      </c>
      <c r="F3322" t="s">
        <v>37</v>
      </c>
      <c r="G3322" t="s">
        <v>33</v>
      </c>
      <c r="H3322" t="s">
        <v>55</v>
      </c>
      <c r="I3322" t="s">
        <v>39</v>
      </c>
      <c r="J3322" t="s">
        <v>52</v>
      </c>
      <c r="K3322" s="2">
        <v>6650</v>
      </c>
      <c r="L3322" s="2">
        <v>25000</v>
      </c>
      <c r="M3322">
        <v>36</v>
      </c>
      <c r="N3322" s="3">
        <v>0.20599999999999999</v>
      </c>
      <c r="O3322" t="s">
        <v>16</v>
      </c>
      <c r="Q3322">
        <v>1</v>
      </c>
      <c r="R3322">
        <v>0</v>
      </c>
      <c r="S3322" s="2">
        <v>25000</v>
      </c>
      <c r="T3322" s="4">
        <v>0.1099</v>
      </c>
      <c r="U3322">
        <v>1</v>
      </c>
      <c r="V3322">
        <v>1</v>
      </c>
      <c r="W3322">
        <v>1</v>
      </c>
    </row>
    <row r="3323" spans="1:23" ht="16.5" x14ac:dyDescent="0.3">
      <c r="A3323" t="s">
        <v>3387</v>
      </c>
      <c r="B3323" s="1">
        <v>45772</v>
      </c>
      <c r="C3323">
        <v>2025</v>
      </c>
      <c r="D3323" t="s">
        <v>688</v>
      </c>
      <c r="E3323" t="s">
        <v>689</v>
      </c>
      <c r="F3323" t="s">
        <v>26</v>
      </c>
      <c r="G3323" t="s">
        <v>27</v>
      </c>
      <c r="H3323" t="s">
        <v>38</v>
      </c>
      <c r="I3323" t="s">
        <v>29</v>
      </c>
      <c r="J3323" t="s">
        <v>35</v>
      </c>
      <c r="K3323" s="2">
        <v>7750</v>
      </c>
      <c r="L3323" s="2">
        <v>36500</v>
      </c>
      <c r="M3323">
        <v>60</v>
      </c>
      <c r="N3323" s="3">
        <v>0.16500000000000001</v>
      </c>
      <c r="O3323" t="s">
        <v>16</v>
      </c>
      <c r="Q3323">
        <v>1</v>
      </c>
      <c r="R3323">
        <v>0</v>
      </c>
      <c r="S3323" s="2">
        <v>36500</v>
      </c>
      <c r="T3323" s="4">
        <v>8.3000000000000004E-2</v>
      </c>
      <c r="U3323">
        <v>8</v>
      </c>
      <c r="V3323">
        <v>0</v>
      </c>
      <c r="W3323">
        <v>1</v>
      </c>
    </row>
    <row r="3324" spans="1:23" ht="16.5" x14ac:dyDescent="0.3">
      <c r="A3324" t="s">
        <v>3388</v>
      </c>
      <c r="B3324" s="1">
        <v>45772</v>
      </c>
      <c r="C3324">
        <v>2025</v>
      </c>
      <c r="D3324" t="s">
        <v>688</v>
      </c>
      <c r="E3324" t="s">
        <v>689</v>
      </c>
      <c r="F3324" t="s">
        <v>37</v>
      </c>
      <c r="G3324" t="s">
        <v>45</v>
      </c>
      <c r="H3324" t="s">
        <v>64</v>
      </c>
      <c r="I3324" t="s">
        <v>42</v>
      </c>
      <c r="J3324" t="s">
        <v>46</v>
      </c>
      <c r="K3324" s="2">
        <v>5300</v>
      </c>
      <c r="L3324" s="2">
        <v>5000</v>
      </c>
      <c r="M3324">
        <v>12</v>
      </c>
      <c r="N3324" s="3">
        <v>0.30499999999999999</v>
      </c>
      <c r="O3324" t="s">
        <v>16</v>
      </c>
      <c r="Q3324">
        <v>1</v>
      </c>
      <c r="R3324">
        <v>0</v>
      </c>
      <c r="S3324" s="2">
        <v>4500</v>
      </c>
      <c r="T3324" s="4">
        <v>0.1074</v>
      </c>
      <c r="U3324">
        <v>2</v>
      </c>
      <c r="V3324">
        <v>1</v>
      </c>
      <c r="W3324">
        <v>1</v>
      </c>
    </row>
    <row r="3325" spans="1:23" ht="16.5" x14ac:dyDescent="0.3">
      <c r="A3325" t="s">
        <v>3389</v>
      </c>
      <c r="B3325" s="1">
        <v>45772</v>
      </c>
      <c r="C3325">
        <v>2025</v>
      </c>
      <c r="D3325" t="s">
        <v>688</v>
      </c>
      <c r="E3325" t="s">
        <v>689</v>
      </c>
      <c r="F3325" t="s">
        <v>26</v>
      </c>
      <c r="G3325" t="s">
        <v>33</v>
      </c>
      <c r="H3325" t="s">
        <v>34</v>
      </c>
      <c r="I3325" t="s">
        <v>39</v>
      </c>
      <c r="J3325" t="s">
        <v>35</v>
      </c>
      <c r="K3325" s="2">
        <v>6950</v>
      </c>
      <c r="L3325" s="2">
        <v>12000</v>
      </c>
      <c r="M3325">
        <v>48</v>
      </c>
      <c r="N3325" s="3">
        <v>0.12</v>
      </c>
      <c r="O3325" t="s">
        <v>16</v>
      </c>
      <c r="Q3325">
        <v>1</v>
      </c>
      <c r="R3325">
        <v>0</v>
      </c>
      <c r="S3325" s="2">
        <v>11000</v>
      </c>
      <c r="T3325" s="4">
        <v>8.5099999999999995E-2</v>
      </c>
      <c r="U3325">
        <v>2</v>
      </c>
      <c r="V3325">
        <v>1</v>
      </c>
      <c r="W3325">
        <v>1</v>
      </c>
    </row>
    <row r="3326" spans="1:23" ht="16.5" x14ac:dyDescent="0.3">
      <c r="A3326" t="s">
        <v>3390</v>
      </c>
      <c r="B3326" s="1">
        <v>45772</v>
      </c>
      <c r="C3326">
        <v>2025</v>
      </c>
      <c r="D3326" t="s">
        <v>688</v>
      </c>
      <c r="E3326" t="s">
        <v>689</v>
      </c>
      <c r="F3326" t="s">
        <v>37</v>
      </c>
      <c r="G3326" t="s">
        <v>51</v>
      </c>
      <c r="H3326" t="s">
        <v>55</v>
      </c>
      <c r="I3326" t="s">
        <v>29</v>
      </c>
      <c r="J3326" t="s">
        <v>43</v>
      </c>
      <c r="K3326" s="2">
        <v>4600</v>
      </c>
      <c r="L3326" s="2">
        <v>12000</v>
      </c>
      <c r="M3326">
        <v>24</v>
      </c>
      <c r="N3326" s="3">
        <v>0.28699999999999998</v>
      </c>
      <c r="O3326" t="s">
        <v>17</v>
      </c>
      <c r="P3326" t="s">
        <v>65</v>
      </c>
      <c r="Q3326">
        <v>0</v>
      </c>
      <c r="R3326">
        <v>1</v>
      </c>
      <c r="S3326" s="2">
        <v>0</v>
      </c>
      <c r="T3326" s="4"/>
      <c r="U3326">
        <v>4</v>
      </c>
      <c r="V3326">
        <v>0</v>
      </c>
      <c r="W3326">
        <v>1</v>
      </c>
    </row>
    <row r="3327" spans="1:23" ht="16.5" x14ac:dyDescent="0.3">
      <c r="A3327" t="s">
        <v>3391</v>
      </c>
      <c r="B3327" s="1">
        <v>45772</v>
      </c>
      <c r="C3327">
        <v>2025</v>
      </c>
      <c r="D3327" t="s">
        <v>688</v>
      </c>
      <c r="E3327" t="s">
        <v>689</v>
      </c>
      <c r="F3327" t="s">
        <v>26</v>
      </c>
      <c r="G3327" t="s">
        <v>51</v>
      </c>
      <c r="H3327" t="s">
        <v>64</v>
      </c>
      <c r="I3327" t="s">
        <v>39</v>
      </c>
      <c r="J3327" t="s">
        <v>35</v>
      </c>
      <c r="K3327" s="2">
        <v>6750</v>
      </c>
      <c r="L3327" s="2">
        <v>49500</v>
      </c>
      <c r="M3327">
        <v>60</v>
      </c>
      <c r="N3327" s="3">
        <v>0.24</v>
      </c>
      <c r="O3327" t="s">
        <v>16</v>
      </c>
      <c r="Q3327">
        <v>1</v>
      </c>
      <c r="R3327">
        <v>0</v>
      </c>
      <c r="S3327" s="2">
        <v>39500</v>
      </c>
      <c r="T3327" s="4">
        <v>8.2299999999999998E-2</v>
      </c>
      <c r="U3327">
        <v>4</v>
      </c>
      <c r="V3327">
        <v>1</v>
      </c>
      <c r="W3327">
        <v>1</v>
      </c>
    </row>
    <row r="3328" spans="1:23" ht="16.5" x14ac:dyDescent="0.3">
      <c r="A3328" t="s">
        <v>3392</v>
      </c>
      <c r="B3328" s="1">
        <v>45773</v>
      </c>
      <c r="C3328">
        <v>2025</v>
      </c>
      <c r="D3328" t="s">
        <v>688</v>
      </c>
      <c r="E3328" t="s">
        <v>689</v>
      </c>
      <c r="F3328" t="s">
        <v>26</v>
      </c>
      <c r="G3328" t="s">
        <v>33</v>
      </c>
      <c r="H3328" t="s">
        <v>28</v>
      </c>
      <c r="I3328" t="s">
        <v>29</v>
      </c>
      <c r="J3328" t="s">
        <v>52</v>
      </c>
      <c r="K3328" s="2">
        <v>4400</v>
      </c>
      <c r="L3328" s="2">
        <v>51000</v>
      </c>
      <c r="M3328">
        <v>60</v>
      </c>
      <c r="N3328" s="3">
        <v>0.47199999999999998</v>
      </c>
      <c r="O3328" t="s">
        <v>16</v>
      </c>
      <c r="Q3328">
        <v>1</v>
      </c>
      <c r="R3328">
        <v>0</v>
      </c>
      <c r="S3328" s="2">
        <v>46000</v>
      </c>
      <c r="T3328" s="4">
        <v>7.2599999999999998E-2</v>
      </c>
      <c r="U3328">
        <v>1</v>
      </c>
      <c r="V3328">
        <v>1</v>
      </c>
      <c r="W3328">
        <v>1</v>
      </c>
    </row>
    <row r="3329" spans="1:23" ht="16.5" x14ac:dyDescent="0.3">
      <c r="A3329" t="s">
        <v>3393</v>
      </c>
      <c r="B3329" s="1">
        <v>45773</v>
      </c>
      <c r="C3329">
        <v>2025</v>
      </c>
      <c r="D3329" t="s">
        <v>688</v>
      </c>
      <c r="E3329" t="s">
        <v>689</v>
      </c>
      <c r="F3329" t="s">
        <v>37</v>
      </c>
      <c r="G3329" t="s">
        <v>33</v>
      </c>
      <c r="H3329" t="s">
        <v>38</v>
      </c>
      <c r="I3329" t="s">
        <v>39</v>
      </c>
      <c r="J3329" t="s">
        <v>52</v>
      </c>
      <c r="K3329" s="2">
        <v>2200</v>
      </c>
      <c r="L3329" s="2">
        <v>14500</v>
      </c>
      <c r="M3329">
        <v>24</v>
      </c>
      <c r="N3329" s="3">
        <v>0.54200000000000004</v>
      </c>
      <c r="O3329" t="s">
        <v>17</v>
      </c>
      <c r="P3329" t="s">
        <v>53</v>
      </c>
      <c r="Q3329">
        <v>0</v>
      </c>
      <c r="R3329">
        <v>1</v>
      </c>
      <c r="S3329" s="2">
        <v>0</v>
      </c>
      <c r="T3329" s="4"/>
      <c r="U3329">
        <v>1</v>
      </c>
      <c r="V3329">
        <v>1</v>
      </c>
      <c r="W3329">
        <v>1</v>
      </c>
    </row>
    <row r="3330" spans="1:23" ht="16.5" x14ac:dyDescent="0.3">
      <c r="A3330" t="s">
        <v>3394</v>
      </c>
      <c r="B3330" s="1">
        <v>45773</v>
      </c>
      <c r="C3330">
        <v>2025</v>
      </c>
      <c r="D3330" t="s">
        <v>688</v>
      </c>
      <c r="E3330" t="s">
        <v>689</v>
      </c>
      <c r="F3330" t="s">
        <v>37</v>
      </c>
      <c r="G3330" t="s">
        <v>27</v>
      </c>
      <c r="H3330" t="s">
        <v>34</v>
      </c>
      <c r="I3330" t="s">
        <v>39</v>
      </c>
      <c r="J3330" t="s">
        <v>43</v>
      </c>
      <c r="K3330" s="2">
        <v>13800</v>
      </c>
      <c r="L3330" s="2">
        <v>6000</v>
      </c>
      <c r="M3330">
        <v>12</v>
      </c>
      <c r="N3330" s="3">
        <v>0.151</v>
      </c>
      <c r="O3330" t="s">
        <v>17</v>
      </c>
      <c r="P3330" t="s">
        <v>31</v>
      </c>
      <c r="Q3330">
        <v>0</v>
      </c>
      <c r="R3330">
        <v>1</v>
      </c>
      <c r="S3330" s="2">
        <v>0</v>
      </c>
      <c r="T3330" s="4"/>
      <c r="U3330">
        <v>4</v>
      </c>
      <c r="V3330">
        <v>0</v>
      </c>
      <c r="W3330">
        <v>1</v>
      </c>
    </row>
    <row r="3331" spans="1:23" ht="16.5" x14ac:dyDescent="0.3">
      <c r="A3331" t="s">
        <v>3395</v>
      </c>
      <c r="B3331" s="1">
        <v>45773</v>
      </c>
      <c r="C3331">
        <v>2025</v>
      </c>
      <c r="D3331" t="s">
        <v>688</v>
      </c>
      <c r="E3331" t="s">
        <v>689</v>
      </c>
      <c r="F3331" t="s">
        <v>41</v>
      </c>
      <c r="G3331" t="s">
        <v>51</v>
      </c>
      <c r="H3331" t="s">
        <v>64</v>
      </c>
      <c r="I3331" t="s">
        <v>29</v>
      </c>
      <c r="J3331" t="s">
        <v>35</v>
      </c>
      <c r="K3331" s="2">
        <v>7050</v>
      </c>
      <c r="L3331" s="2">
        <v>62500</v>
      </c>
      <c r="M3331">
        <v>24</v>
      </c>
      <c r="N3331" s="3">
        <v>0.61199999999999999</v>
      </c>
      <c r="O3331" t="s">
        <v>16</v>
      </c>
      <c r="Q3331">
        <v>1</v>
      </c>
      <c r="R3331">
        <v>0</v>
      </c>
      <c r="S3331" s="2">
        <v>56000</v>
      </c>
      <c r="T3331" s="4">
        <v>0.1125</v>
      </c>
      <c r="U3331">
        <v>14</v>
      </c>
      <c r="V3331">
        <v>0</v>
      </c>
      <c r="W3331">
        <v>1</v>
      </c>
    </row>
    <row r="3332" spans="1:23" ht="16.5" x14ac:dyDescent="0.3">
      <c r="A3332" t="s">
        <v>3396</v>
      </c>
      <c r="B3332" s="1">
        <v>45773</v>
      </c>
      <c r="C3332">
        <v>2025</v>
      </c>
      <c r="D3332" t="s">
        <v>688</v>
      </c>
      <c r="E3332" t="s">
        <v>689</v>
      </c>
      <c r="F3332" t="s">
        <v>37</v>
      </c>
      <c r="G3332" t="s">
        <v>27</v>
      </c>
      <c r="H3332" t="s">
        <v>64</v>
      </c>
      <c r="I3332" t="s">
        <v>42</v>
      </c>
      <c r="J3332" t="s">
        <v>35</v>
      </c>
      <c r="K3332" s="2">
        <v>4250</v>
      </c>
      <c r="L3332" s="2">
        <v>13500</v>
      </c>
      <c r="M3332">
        <v>12</v>
      </c>
      <c r="N3332" s="3">
        <v>0.376</v>
      </c>
      <c r="O3332" t="s">
        <v>17</v>
      </c>
      <c r="P3332" t="s">
        <v>60</v>
      </c>
      <c r="Q3332">
        <v>0</v>
      </c>
      <c r="R3332">
        <v>1</v>
      </c>
      <c r="S3332" s="2">
        <v>0</v>
      </c>
      <c r="T3332" s="4"/>
      <c r="U3332">
        <v>9</v>
      </c>
      <c r="V3332">
        <v>0</v>
      </c>
      <c r="W3332">
        <v>1</v>
      </c>
    </row>
    <row r="3333" spans="1:23" ht="16.5" x14ac:dyDescent="0.3">
      <c r="A3333" t="s">
        <v>3397</v>
      </c>
      <c r="B3333" s="1">
        <v>45773</v>
      </c>
      <c r="C3333">
        <v>2025</v>
      </c>
      <c r="D3333" t="s">
        <v>688</v>
      </c>
      <c r="E3333" t="s">
        <v>689</v>
      </c>
      <c r="F3333" t="s">
        <v>37</v>
      </c>
      <c r="G3333" t="s">
        <v>51</v>
      </c>
      <c r="H3333" t="s">
        <v>38</v>
      </c>
      <c r="I3333" t="s">
        <v>42</v>
      </c>
      <c r="J3333" t="s">
        <v>30</v>
      </c>
      <c r="K3333" s="2">
        <v>5550</v>
      </c>
      <c r="L3333" s="2">
        <v>12000</v>
      </c>
      <c r="M3333">
        <v>36</v>
      </c>
      <c r="N3333" s="3">
        <v>0.16700000000000001</v>
      </c>
      <c r="O3333" t="s">
        <v>17</v>
      </c>
      <c r="P3333" t="s">
        <v>31</v>
      </c>
      <c r="Q3333">
        <v>0</v>
      </c>
      <c r="R3333">
        <v>1</v>
      </c>
      <c r="S3333" s="2">
        <v>0</v>
      </c>
      <c r="T3333" s="4"/>
      <c r="U3333">
        <v>3</v>
      </c>
      <c r="V3333">
        <v>1</v>
      </c>
      <c r="W3333">
        <v>1</v>
      </c>
    </row>
    <row r="3334" spans="1:23" ht="16.5" x14ac:dyDescent="0.3">
      <c r="A3334" t="s">
        <v>3398</v>
      </c>
      <c r="B3334" s="1">
        <v>45774</v>
      </c>
      <c r="C3334">
        <v>2025</v>
      </c>
      <c r="D3334" t="s">
        <v>688</v>
      </c>
      <c r="E3334" t="s">
        <v>689</v>
      </c>
      <c r="F3334" t="s">
        <v>41</v>
      </c>
      <c r="G3334" t="s">
        <v>45</v>
      </c>
      <c r="H3334" t="s">
        <v>64</v>
      </c>
      <c r="I3334" t="s">
        <v>29</v>
      </c>
      <c r="J3334" t="s">
        <v>52</v>
      </c>
      <c r="K3334" s="2">
        <v>3300</v>
      </c>
      <c r="L3334" s="2">
        <v>79000</v>
      </c>
      <c r="M3334">
        <v>36</v>
      </c>
      <c r="N3334" s="3">
        <v>0.87</v>
      </c>
      <c r="O3334" t="s">
        <v>17</v>
      </c>
      <c r="P3334" t="s">
        <v>60</v>
      </c>
      <c r="Q3334">
        <v>0</v>
      </c>
      <c r="R3334">
        <v>1</v>
      </c>
      <c r="S3334" s="2">
        <v>0</v>
      </c>
      <c r="T3334" s="4"/>
      <c r="U3334">
        <v>8</v>
      </c>
      <c r="V3334">
        <v>1</v>
      </c>
      <c r="W3334">
        <v>1</v>
      </c>
    </row>
    <row r="3335" spans="1:23" ht="16.5" x14ac:dyDescent="0.3">
      <c r="A3335" t="s">
        <v>3399</v>
      </c>
      <c r="B3335" s="1">
        <v>45774</v>
      </c>
      <c r="C3335">
        <v>2025</v>
      </c>
      <c r="D3335" t="s">
        <v>688</v>
      </c>
      <c r="E3335" t="s">
        <v>689</v>
      </c>
      <c r="F3335" t="s">
        <v>37</v>
      </c>
      <c r="G3335" t="s">
        <v>33</v>
      </c>
      <c r="H3335" t="s">
        <v>64</v>
      </c>
      <c r="I3335" t="s">
        <v>29</v>
      </c>
      <c r="J3335" t="s">
        <v>30</v>
      </c>
      <c r="K3335" s="2">
        <v>3900</v>
      </c>
      <c r="L3335" s="2">
        <v>9000</v>
      </c>
      <c r="M3335">
        <v>48</v>
      </c>
      <c r="N3335" s="3">
        <v>0.11799999999999999</v>
      </c>
      <c r="O3335" t="s">
        <v>16</v>
      </c>
      <c r="Q3335">
        <v>1</v>
      </c>
      <c r="R3335">
        <v>0</v>
      </c>
      <c r="S3335" s="2">
        <v>9000</v>
      </c>
      <c r="T3335" s="4">
        <v>0.1444</v>
      </c>
      <c r="U3335">
        <v>1</v>
      </c>
      <c r="V3335">
        <v>1</v>
      </c>
      <c r="W3335">
        <v>1</v>
      </c>
    </row>
    <row r="3336" spans="1:23" ht="16.5" x14ac:dyDescent="0.3">
      <c r="A3336" t="s">
        <v>3400</v>
      </c>
      <c r="B3336" s="1">
        <v>45774</v>
      </c>
      <c r="C3336">
        <v>2025</v>
      </c>
      <c r="D3336" t="s">
        <v>688</v>
      </c>
      <c r="E3336" t="s">
        <v>689</v>
      </c>
      <c r="F3336" t="s">
        <v>37</v>
      </c>
      <c r="G3336" t="s">
        <v>45</v>
      </c>
      <c r="H3336" t="s">
        <v>38</v>
      </c>
      <c r="I3336" t="s">
        <v>42</v>
      </c>
      <c r="J3336" t="s">
        <v>35</v>
      </c>
      <c r="K3336" s="2">
        <v>9800</v>
      </c>
      <c r="L3336" s="2">
        <v>4500</v>
      </c>
      <c r="M3336">
        <v>48</v>
      </c>
      <c r="N3336" s="3">
        <v>0.253</v>
      </c>
      <c r="O3336" t="s">
        <v>16</v>
      </c>
      <c r="Q3336">
        <v>1</v>
      </c>
      <c r="R3336">
        <v>0</v>
      </c>
      <c r="S3336" s="2">
        <v>4500</v>
      </c>
      <c r="T3336" s="4">
        <v>0.12759999999999999</v>
      </c>
      <c r="U3336">
        <v>3</v>
      </c>
      <c r="V3336">
        <v>1</v>
      </c>
      <c r="W3336">
        <v>1</v>
      </c>
    </row>
    <row r="3337" spans="1:23" ht="16.5" x14ac:dyDescent="0.3">
      <c r="A3337" t="s">
        <v>3401</v>
      </c>
      <c r="B3337" s="1">
        <v>45775</v>
      </c>
      <c r="C3337">
        <v>2025</v>
      </c>
      <c r="D3337" t="s">
        <v>688</v>
      </c>
      <c r="E3337" t="s">
        <v>689</v>
      </c>
      <c r="F3337" t="s">
        <v>50</v>
      </c>
      <c r="G3337" t="s">
        <v>27</v>
      </c>
      <c r="H3337" t="s">
        <v>38</v>
      </c>
      <c r="I3337" t="s">
        <v>29</v>
      </c>
      <c r="J3337" t="s">
        <v>30</v>
      </c>
      <c r="K3337" s="2">
        <v>5650</v>
      </c>
      <c r="L3337" s="2">
        <v>403500</v>
      </c>
      <c r="M3337">
        <v>180</v>
      </c>
      <c r="N3337" s="3">
        <v>0.78300000000000003</v>
      </c>
      <c r="O3337" t="s">
        <v>17</v>
      </c>
      <c r="P3337" t="s">
        <v>31</v>
      </c>
      <c r="Q3337">
        <v>0</v>
      </c>
      <c r="R3337">
        <v>1</v>
      </c>
      <c r="S3337" s="2">
        <v>0</v>
      </c>
      <c r="T3337" s="4"/>
      <c r="U3337">
        <v>5</v>
      </c>
      <c r="V3337">
        <v>1</v>
      </c>
      <c r="W3337">
        <v>1</v>
      </c>
    </row>
    <row r="3338" spans="1:23" ht="16.5" x14ac:dyDescent="0.3">
      <c r="A3338" t="s">
        <v>3402</v>
      </c>
      <c r="B3338" s="1">
        <v>45775</v>
      </c>
      <c r="C3338">
        <v>2025</v>
      </c>
      <c r="D3338" t="s">
        <v>688</v>
      </c>
      <c r="E3338" t="s">
        <v>689</v>
      </c>
      <c r="F3338" t="s">
        <v>41</v>
      </c>
      <c r="G3338" t="s">
        <v>33</v>
      </c>
      <c r="H3338" t="s">
        <v>55</v>
      </c>
      <c r="I3338" t="s">
        <v>39</v>
      </c>
      <c r="J3338" t="s">
        <v>52</v>
      </c>
      <c r="K3338" s="2">
        <v>5250</v>
      </c>
      <c r="L3338" s="2">
        <v>159500</v>
      </c>
      <c r="M3338">
        <v>24</v>
      </c>
      <c r="N3338" s="3">
        <v>1.6459999999999999</v>
      </c>
      <c r="O3338" t="s">
        <v>17</v>
      </c>
      <c r="P3338" t="s">
        <v>53</v>
      </c>
      <c r="Q3338">
        <v>0</v>
      </c>
      <c r="R3338">
        <v>1</v>
      </c>
      <c r="S3338" s="2">
        <v>0</v>
      </c>
      <c r="T3338" s="4"/>
      <c r="U3338">
        <v>4</v>
      </c>
      <c r="V3338">
        <v>1</v>
      </c>
      <c r="W3338">
        <v>1</v>
      </c>
    </row>
    <row r="3339" spans="1:23" ht="16.5" x14ac:dyDescent="0.3">
      <c r="A3339" t="s">
        <v>3403</v>
      </c>
      <c r="B3339" s="1">
        <v>45775</v>
      </c>
      <c r="C3339">
        <v>2025</v>
      </c>
      <c r="D3339" t="s">
        <v>688</v>
      </c>
      <c r="E3339" t="s">
        <v>689</v>
      </c>
      <c r="F3339" t="s">
        <v>41</v>
      </c>
      <c r="G3339" t="s">
        <v>51</v>
      </c>
      <c r="H3339" t="s">
        <v>34</v>
      </c>
      <c r="I3339" t="s">
        <v>39</v>
      </c>
      <c r="J3339" t="s">
        <v>35</v>
      </c>
      <c r="K3339" s="2">
        <v>9250</v>
      </c>
      <c r="L3339" s="2">
        <v>67500</v>
      </c>
      <c r="M3339">
        <v>60</v>
      </c>
      <c r="N3339" s="3">
        <v>0.251</v>
      </c>
      <c r="O3339" t="s">
        <v>16</v>
      </c>
      <c r="Q3339">
        <v>1</v>
      </c>
      <c r="R3339">
        <v>0</v>
      </c>
      <c r="S3339" s="2">
        <v>54000</v>
      </c>
      <c r="T3339" s="4">
        <v>0.10440000000000001</v>
      </c>
      <c r="U3339">
        <v>19</v>
      </c>
      <c r="V3339">
        <v>0</v>
      </c>
      <c r="W3339">
        <v>1</v>
      </c>
    </row>
    <row r="3340" spans="1:23" ht="16.5" x14ac:dyDescent="0.3">
      <c r="A3340" t="s">
        <v>3404</v>
      </c>
      <c r="B3340" s="1">
        <v>45775</v>
      </c>
      <c r="C3340">
        <v>2025</v>
      </c>
      <c r="D3340" t="s">
        <v>688</v>
      </c>
      <c r="E3340" t="s">
        <v>689</v>
      </c>
      <c r="F3340" t="s">
        <v>37</v>
      </c>
      <c r="G3340" t="s">
        <v>51</v>
      </c>
      <c r="H3340" t="s">
        <v>38</v>
      </c>
      <c r="I3340" t="s">
        <v>29</v>
      </c>
      <c r="J3340" t="s">
        <v>30</v>
      </c>
      <c r="K3340" s="2">
        <v>6900</v>
      </c>
      <c r="L3340" s="2">
        <v>11500</v>
      </c>
      <c r="M3340">
        <v>48</v>
      </c>
      <c r="N3340" s="3">
        <v>0.14099999999999999</v>
      </c>
      <c r="O3340" t="s">
        <v>16</v>
      </c>
      <c r="Q3340">
        <v>1</v>
      </c>
      <c r="R3340">
        <v>0</v>
      </c>
      <c r="S3340" s="2">
        <v>11500</v>
      </c>
      <c r="T3340" s="4">
        <v>0.1439</v>
      </c>
      <c r="U3340">
        <v>4</v>
      </c>
      <c r="V3340">
        <v>0</v>
      </c>
      <c r="W3340">
        <v>1</v>
      </c>
    </row>
    <row r="3341" spans="1:23" ht="16.5" x14ac:dyDescent="0.3">
      <c r="A3341" t="s">
        <v>3405</v>
      </c>
      <c r="B3341" s="1">
        <v>45775</v>
      </c>
      <c r="C3341">
        <v>2025</v>
      </c>
      <c r="D3341" t="s">
        <v>688</v>
      </c>
      <c r="E3341" t="s">
        <v>689</v>
      </c>
      <c r="F3341" t="s">
        <v>37</v>
      </c>
      <c r="G3341" t="s">
        <v>33</v>
      </c>
      <c r="H3341" t="s">
        <v>34</v>
      </c>
      <c r="I3341" t="s">
        <v>42</v>
      </c>
      <c r="J3341" t="s">
        <v>43</v>
      </c>
      <c r="K3341" s="2">
        <v>6750</v>
      </c>
      <c r="L3341" s="2">
        <v>5500</v>
      </c>
      <c r="M3341">
        <v>48</v>
      </c>
      <c r="N3341" s="3">
        <v>0.152</v>
      </c>
      <c r="O3341" t="s">
        <v>17</v>
      </c>
      <c r="P3341" t="s">
        <v>31</v>
      </c>
      <c r="Q3341">
        <v>0</v>
      </c>
      <c r="R3341">
        <v>1</v>
      </c>
      <c r="S3341" s="2">
        <v>0</v>
      </c>
      <c r="T3341" s="4"/>
      <c r="U3341">
        <v>1</v>
      </c>
      <c r="V3341">
        <v>1</v>
      </c>
      <c r="W3341">
        <v>1</v>
      </c>
    </row>
    <row r="3342" spans="1:23" ht="16.5" x14ac:dyDescent="0.3">
      <c r="A3342" t="s">
        <v>3406</v>
      </c>
      <c r="B3342" s="1">
        <v>45775</v>
      </c>
      <c r="C3342">
        <v>2025</v>
      </c>
      <c r="D3342" t="s">
        <v>688</v>
      </c>
      <c r="E3342" t="s">
        <v>689</v>
      </c>
      <c r="F3342" t="s">
        <v>26</v>
      </c>
      <c r="G3342" t="s">
        <v>51</v>
      </c>
      <c r="H3342" t="s">
        <v>38</v>
      </c>
      <c r="I3342" t="s">
        <v>29</v>
      </c>
      <c r="J3342" t="s">
        <v>52</v>
      </c>
      <c r="K3342" s="2">
        <v>2000</v>
      </c>
      <c r="L3342" s="2">
        <v>21000</v>
      </c>
      <c r="M3342">
        <v>60</v>
      </c>
      <c r="N3342" s="3">
        <v>0.28100000000000003</v>
      </c>
      <c r="O3342" t="s">
        <v>16</v>
      </c>
      <c r="Q3342">
        <v>1</v>
      </c>
      <c r="R3342">
        <v>0</v>
      </c>
      <c r="S3342" s="2">
        <v>21000</v>
      </c>
      <c r="T3342" s="4">
        <v>7.2099999999999997E-2</v>
      </c>
      <c r="U3342">
        <v>6</v>
      </c>
      <c r="V3342">
        <v>0</v>
      </c>
      <c r="W3342">
        <v>1</v>
      </c>
    </row>
    <row r="3343" spans="1:23" ht="16.5" x14ac:dyDescent="0.3">
      <c r="A3343" t="s">
        <v>3407</v>
      </c>
      <c r="B3343" s="1">
        <v>45775</v>
      </c>
      <c r="C3343">
        <v>2025</v>
      </c>
      <c r="D3343" t="s">
        <v>688</v>
      </c>
      <c r="E3343" t="s">
        <v>689</v>
      </c>
      <c r="F3343" t="s">
        <v>26</v>
      </c>
      <c r="G3343" t="s">
        <v>51</v>
      </c>
      <c r="H3343" t="s">
        <v>55</v>
      </c>
      <c r="I3343" t="s">
        <v>39</v>
      </c>
      <c r="J3343" t="s">
        <v>30</v>
      </c>
      <c r="K3343" s="2">
        <v>4450</v>
      </c>
      <c r="L3343" s="2">
        <v>38000</v>
      </c>
      <c r="M3343">
        <v>60</v>
      </c>
      <c r="N3343" s="3">
        <v>0.35899999999999999</v>
      </c>
      <c r="O3343" t="s">
        <v>17</v>
      </c>
      <c r="P3343" t="s">
        <v>31</v>
      </c>
      <c r="Q3343">
        <v>0</v>
      </c>
      <c r="R3343">
        <v>1</v>
      </c>
      <c r="S3343" s="2">
        <v>0</v>
      </c>
      <c r="T3343" s="4"/>
      <c r="U3343">
        <v>7</v>
      </c>
      <c r="V3343">
        <v>0</v>
      </c>
      <c r="W3343">
        <v>1</v>
      </c>
    </row>
    <row r="3344" spans="1:23" ht="16.5" x14ac:dyDescent="0.3">
      <c r="A3344" t="s">
        <v>3408</v>
      </c>
      <c r="B3344" s="1">
        <v>45775</v>
      </c>
      <c r="C3344">
        <v>2025</v>
      </c>
      <c r="D3344" t="s">
        <v>688</v>
      </c>
      <c r="E3344" t="s">
        <v>689</v>
      </c>
      <c r="F3344" t="s">
        <v>26</v>
      </c>
      <c r="G3344" t="s">
        <v>27</v>
      </c>
      <c r="H3344" t="s">
        <v>55</v>
      </c>
      <c r="I3344" t="s">
        <v>42</v>
      </c>
      <c r="J3344" t="s">
        <v>52</v>
      </c>
      <c r="K3344" s="2">
        <v>4300</v>
      </c>
      <c r="L3344" s="2">
        <v>25000</v>
      </c>
      <c r="M3344">
        <v>48</v>
      </c>
      <c r="N3344" s="3">
        <v>0.3</v>
      </c>
      <c r="O3344" t="s">
        <v>16</v>
      </c>
      <c r="Q3344">
        <v>1</v>
      </c>
      <c r="R3344">
        <v>0</v>
      </c>
      <c r="S3344" s="2">
        <v>22500</v>
      </c>
      <c r="T3344" s="4">
        <v>6.7100000000000007E-2</v>
      </c>
      <c r="U3344">
        <v>4</v>
      </c>
      <c r="V3344">
        <v>1</v>
      </c>
      <c r="W3344">
        <v>1</v>
      </c>
    </row>
    <row r="3345" spans="1:23" ht="16.5" x14ac:dyDescent="0.3">
      <c r="A3345" t="s">
        <v>3409</v>
      </c>
      <c r="B3345" s="1">
        <v>45775</v>
      </c>
      <c r="C3345">
        <v>2025</v>
      </c>
      <c r="D3345" t="s">
        <v>688</v>
      </c>
      <c r="E3345" t="s">
        <v>689</v>
      </c>
      <c r="F3345" t="s">
        <v>37</v>
      </c>
      <c r="G3345" t="s">
        <v>45</v>
      </c>
      <c r="H3345" t="s">
        <v>28</v>
      </c>
      <c r="I3345" t="s">
        <v>29</v>
      </c>
      <c r="J3345" t="s">
        <v>30</v>
      </c>
      <c r="K3345" s="2">
        <v>3000</v>
      </c>
      <c r="L3345" s="2">
        <v>13000</v>
      </c>
      <c r="M3345">
        <v>36</v>
      </c>
      <c r="N3345" s="3">
        <v>0.32400000000000001</v>
      </c>
      <c r="O3345" t="s">
        <v>16</v>
      </c>
      <c r="Q3345">
        <v>1</v>
      </c>
      <c r="R3345">
        <v>0</v>
      </c>
      <c r="S3345" s="2">
        <v>13000</v>
      </c>
      <c r="T3345" s="4">
        <v>0.1401</v>
      </c>
      <c r="U3345">
        <v>1</v>
      </c>
      <c r="V3345">
        <v>1</v>
      </c>
      <c r="W3345">
        <v>1</v>
      </c>
    </row>
    <row r="3346" spans="1:23" ht="16.5" x14ac:dyDescent="0.3">
      <c r="A3346" t="s">
        <v>3410</v>
      </c>
      <c r="B3346" s="1">
        <v>45776</v>
      </c>
      <c r="C3346">
        <v>2025</v>
      </c>
      <c r="D3346" t="s">
        <v>688</v>
      </c>
      <c r="E3346" t="s">
        <v>689</v>
      </c>
      <c r="F3346" t="s">
        <v>37</v>
      </c>
      <c r="G3346" t="s">
        <v>45</v>
      </c>
      <c r="H3346" t="s">
        <v>38</v>
      </c>
      <c r="I3346" t="s">
        <v>39</v>
      </c>
      <c r="J3346" t="s">
        <v>30</v>
      </c>
      <c r="K3346" s="2">
        <v>6600</v>
      </c>
      <c r="L3346" s="2">
        <v>36000</v>
      </c>
      <c r="M3346">
        <v>60</v>
      </c>
      <c r="N3346" s="3">
        <v>0.312</v>
      </c>
      <c r="O3346" t="s">
        <v>17</v>
      </c>
      <c r="P3346" t="s">
        <v>31</v>
      </c>
      <c r="Q3346">
        <v>0</v>
      </c>
      <c r="R3346">
        <v>1</v>
      </c>
      <c r="S3346" s="2">
        <v>0</v>
      </c>
      <c r="T3346" s="4"/>
      <c r="U3346">
        <v>1</v>
      </c>
      <c r="V3346">
        <v>1</v>
      </c>
      <c r="W3346">
        <v>1</v>
      </c>
    </row>
    <row r="3347" spans="1:23" ht="16.5" x14ac:dyDescent="0.3">
      <c r="A3347" t="s">
        <v>3411</v>
      </c>
      <c r="B3347" s="1">
        <v>45776</v>
      </c>
      <c r="C3347">
        <v>2025</v>
      </c>
      <c r="D3347" t="s">
        <v>688</v>
      </c>
      <c r="E3347" t="s">
        <v>689</v>
      </c>
      <c r="F3347" t="s">
        <v>50</v>
      </c>
      <c r="G3347" t="s">
        <v>51</v>
      </c>
      <c r="H3347" t="s">
        <v>34</v>
      </c>
      <c r="I3347" t="s">
        <v>29</v>
      </c>
      <c r="J3347" t="s">
        <v>52</v>
      </c>
      <c r="K3347" s="2">
        <v>8050</v>
      </c>
      <c r="L3347" s="2">
        <v>236000</v>
      </c>
      <c r="M3347">
        <v>240</v>
      </c>
      <c r="N3347" s="3">
        <v>0.35</v>
      </c>
      <c r="O3347" t="s">
        <v>16</v>
      </c>
      <c r="Q3347">
        <v>1</v>
      </c>
      <c r="R3347">
        <v>0</v>
      </c>
      <c r="S3347" s="2">
        <v>189000</v>
      </c>
      <c r="T3347" s="4">
        <v>4.9299999999999997E-2</v>
      </c>
      <c r="U3347">
        <v>22</v>
      </c>
      <c r="V3347">
        <v>0</v>
      </c>
      <c r="W3347">
        <v>1</v>
      </c>
    </row>
    <row r="3348" spans="1:23" ht="16.5" x14ac:dyDescent="0.3">
      <c r="A3348" t="s">
        <v>3412</v>
      </c>
      <c r="B3348" s="1">
        <v>45776</v>
      </c>
      <c r="C3348">
        <v>2025</v>
      </c>
      <c r="D3348" t="s">
        <v>688</v>
      </c>
      <c r="E3348" t="s">
        <v>689</v>
      </c>
      <c r="F3348" t="s">
        <v>37</v>
      </c>
      <c r="G3348" t="s">
        <v>33</v>
      </c>
      <c r="H3348" t="s">
        <v>55</v>
      </c>
      <c r="I3348" t="s">
        <v>29</v>
      </c>
      <c r="J3348" t="s">
        <v>52</v>
      </c>
      <c r="K3348" s="2">
        <v>8700</v>
      </c>
      <c r="L3348" s="2">
        <v>10500</v>
      </c>
      <c r="M3348">
        <v>24</v>
      </c>
      <c r="N3348" s="3">
        <v>0.158</v>
      </c>
      <c r="O3348" t="s">
        <v>16</v>
      </c>
      <c r="Q3348">
        <v>1</v>
      </c>
      <c r="R3348">
        <v>0</v>
      </c>
      <c r="S3348" s="2">
        <v>8500</v>
      </c>
      <c r="T3348" s="4">
        <v>0.1169</v>
      </c>
      <c r="U3348">
        <v>3</v>
      </c>
      <c r="V3348">
        <v>1</v>
      </c>
      <c r="W3348">
        <v>1</v>
      </c>
    </row>
    <row r="3349" spans="1:23" ht="16.5" x14ac:dyDescent="0.3">
      <c r="A3349" t="s">
        <v>3413</v>
      </c>
      <c r="B3349" s="1">
        <v>45776</v>
      </c>
      <c r="C3349">
        <v>2025</v>
      </c>
      <c r="D3349" t="s">
        <v>688</v>
      </c>
      <c r="E3349" t="s">
        <v>689</v>
      </c>
      <c r="F3349" t="s">
        <v>41</v>
      </c>
      <c r="G3349" t="s">
        <v>51</v>
      </c>
      <c r="H3349" t="s">
        <v>55</v>
      </c>
      <c r="I3349" t="s">
        <v>29</v>
      </c>
      <c r="J3349" t="s">
        <v>30</v>
      </c>
      <c r="K3349" s="2">
        <v>2550</v>
      </c>
      <c r="L3349" s="2">
        <v>48500</v>
      </c>
      <c r="M3349">
        <v>36</v>
      </c>
      <c r="N3349" s="3">
        <v>0.80200000000000005</v>
      </c>
      <c r="O3349" t="s">
        <v>16</v>
      </c>
      <c r="Q3349">
        <v>1</v>
      </c>
      <c r="R3349">
        <v>0</v>
      </c>
      <c r="S3349" s="2">
        <v>48500</v>
      </c>
      <c r="T3349" s="4">
        <v>0.1166</v>
      </c>
      <c r="U3349">
        <v>11</v>
      </c>
      <c r="V3349">
        <v>0</v>
      </c>
      <c r="W3349">
        <v>1</v>
      </c>
    </row>
    <row r="3350" spans="1:23" ht="16.5" x14ac:dyDescent="0.3">
      <c r="A3350" t="s">
        <v>3414</v>
      </c>
      <c r="B3350" s="1">
        <v>45776</v>
      </c>
      <c r="C3350">
        <v>2025</v>
      </c>
      <c r="D3350" t="s">
        <v>688</v>
      </c>
      <c r="E3350" t="s">
        <v>689</v>
      </c>
      <c r="F3350" t="s">
        <v>26</v>
      </c>
      <c r="G3350" t="s">
        <v>27</v>
      </c>
      <c r="H3350" t="s">
        <v>34</v>
      </c>
      <c r="I3350" t="s">
        <v>29</v>
      </c>
      <c r="J3350" t="s">
        <v>35</v>
      </c>
      <c r="K3350" s="2">
        <v>5250</v>
      </c>
      <c r="L3350" s="2">
        <v>32500</v>
      </c>
      <c r="M3350">
        <v>48</v>
      </c>
      <c r="N3350" s="3">
        <v>0.3</v>
      </c>
      <c r="O3350" t="s">
        <v>16</v>
      </c>
      <c r="Q3350">
        <v>1</v>
      </c>
      <c r="R3350">
        <v>0</v>
      </c>
      <c r="S3350" s="2">
        <v>29000</v>
      </c>
      <c r="T3350" s="4">
        <v>8.5300000000000001E-2</v>
      </c>
      <c r="U3350">
        <v>8</v>
      </c>
      <c r="V3350">
        <v>0</v>
      </c>
      <c r="W3350">
        <v>1</v>
      </c>
    </row>
    <row r="3351" spans="1:23" ht="16.5" x14ac:dyDescent="0.3">
      <c r="A3351" t="s">
        <v>3415</v>
      </c>
      <c r="B3351" s="1">
        <v>45776</v>
      </c>
      <c r="C3351">
        <v>2025</v>
      </c>
      <c r="D3351" t="s">
        <v>688</v>
      </c>
      <c r="E3351" t="s">
        <v>689</v>
      </c>
      <c r="F3351" t="s">
        <v>37</v>
      </c>
      <c r="G3351" t="s">
        <v>45</v>
      </c>
      <c r="H3351" t="s">
        <v>38</v>
      </c>
      <c r="I3351" t="s">
        <v>29</v>
      </c>
      <c r="J3351" t="s">
        <v>46</v>
      </c>
      <c r="K3351" s="2">
        <v>2750</v>
      </c>
      <c r="L3351" s="2">
        <v>19500</v>
      </c>
      <c r="M3351">
        <v>12</v>
      </c>
      <c r="N3351" s="3">
        <v>0.71699999999999997</v>
      </c>
      <c r="O3351" t="s">
        <v>17</v>
      </c>
      <c r="P3351" t="s">
        <v>53</v>
      </c>
      <c r="Q3351">
        <v>0</v>
      </c>
      <c r="R3351">
        <v>1</v>
      </c>
      <c r="S3351" s="2">
        <v>0</v>
      </c>
      <c r="T3351" s="4"/>
      <c r="U3351">
        <v>5</v>
      </c>
      <c r="V3351">
        <v>0</v>
      </c>
      <c r="W3351">
        <v>1</v>
      </c>
    </row>
    <row r="3352" spans="1:23" ht="16.5" x14ac:dyDescent="0.3">
      <c r="A3352" t="s">
        <v>3416</v>
      </c>
      <c r="B3352" s="1">
        <v>45776</v>
      </c>
      <c r="C3352">
        <v>2025</v>
      </c>
      <c r="D3352" t="s">
        <v>688</v>
      </c>
      <c r="E3352" t="s">
        <v>689</v>
      </c>
      <c r="F3352" t="s">
        <v>37</v>
      </c>
      <c r="G3352" t="s">
        <v>33</v>
      </c>
      <c r="H3352" t="s">
        <v>38</v>
      </c>
      <c r="I3352" t="s">
        <v>42</v>
      </c>
      <c r="J3352" t="s">
        <v>35</v>
      </c>
      <c r="K3352" s="2">
        <v>3750</v>
      </c>
      <c r="L3352" s="2">
        <v>5000</v>
      </c>
      <c r="M3352">
        <v>36</v>
      </c>
      <c r="N3352" s="3">
        <v>0.219</v>
      </c>
      <c r="O3352" t="s">
        <v>16</v>
      </c>
      <c r="Q3352">
        <v>1</v>
      </c>
      <c r="R3352">
        <v>0</v>
      </c>
      <c r="S3352" s="2">
        <v>4000</v>
      </c>
      <c r="T3352" s="4">
        <v>0.1225</v>
      </c>
      <c r="U3352">
        <v>3</v>
      </c>
      <c r="V3352">
        <v>1</v>
      </c>
      <c r="W3352">
        <v>1</v>
      </c>
    </row>
    <row r="3353" spans="1:23" ht="16.5" x14ac:dyDescent="0.3">
      <c r="A3353" t="s">
        <v>3417</v>
      </c>
      <c r="B3353" s="1">
        <v>45776</v>
      </c>
      <c r="C3353">
        <v>2025</v>
      </c>
      <c r="D3353" t="s">
        <v>688</v>
      </c>
      <c r="E3353" t="s">
        <v>689</v>
      </c>
      <c r="F3353" t="s">
        <v>26</v>
      </c>
      <c r="G3353" t="s">
        <v>51</v>
      </c>
      <c r="H3353" t="s">
        <v>38</v>
      </c>
      <c r="I3353" t="s">
        <v>42</v>
      </c>
      <c r="J3353" t="s">
        <v>46</v>
      </c>
      <c r="K3353" s="2">
        <v>4650</v>
      </c>
      <c r="L3353" s="2">
        <v>28500</v>
      </c>
      <c r="M3353">
        <v>60</v>
      </c>
      <c r="N3353" s="3">
        <v>0.22800000000000001</v>
      </c>
      <c r="O3353" t="s">
        <v>16</v>
      </c>
      <c r="Q3353">
        <v>1</v>
      </c>
      <c r="R3353">
        <v>0</v>
      </c>
      <c r="S3353" s="2">
        <v>28500</v>
      </c>
      <c r="T3353" s="4">
        <v>6.5600000000000006E-2</v>
      </c>
      <c r="U3353">
        <v>4</v>
      </c>
      <c r="V3353">
        <v>1</v>
      </c>
      <c r="W3353">
        <v>1</v>
      </c>
    </row>
    <row r="3354" spans="1:23" ht="16.5" x14ac:dyDescent="0.3">
      <c r="A3354" t="s">
        <v>3418</v>
      </c>
      <c r="B3354" s="1">
        <v>45777</v>
      </c>
      <c r="C3354">
        <v>2025</v>
      </c>
      <c r="D3354" t="s">
        <v>688</v>
      </c>
      <c r="E3354" t="s">
        <v>689</v>
      </c>
      <c r="F3354" t="s">
        <v>26</v>
      </c>
      <c r="G3354" t="s">
        <v>27</v>
      </c>
      <c r="H3354" t="s">
        <v>34</v>
      </c>
      <c r="I3354" t="s">
        <v>42</v>
      </c>
      <c r="J3354" t="s">
        <v>30</v>
      </c>
      <c r="K3354" s="2">
        <v>4100</v>
      </c>
      <c r="L3354" s="2">
        <v>41500</v>
      </c>
      <c r="M3354">
        <v>48</v>
      </c>
      <c r="N3354" s="3">
        <v>0.36799999999999999</v>
      </c>
      <c r="O3354" t="s">
        <v>17</v>
      </c>
      <c r="P3354" t="s">
        <v>31</v>
      </c>
      <c r="Q3354">
        <v>0</v>
      </c>
      <c r="R3354">
        <v>1</v>
      </c>
      <c r="S3354" s="2">
        <v>0</v>
      </c>
      <c r="T3354" s="4"/>
      <c r="U3354">
        <v>4</v>
      </c>
      <c r="V3354">
        <v>1</v>
      </c>
      <c r="W3354">
        <v>1</v>
      </c>
    </row>
    <row r="3355" spans="1:23" ht="16.5" x14ac:dyDescent="0.3">
      <c r="A3355" t="s">
        <v>3419</v>
      </c>
      <c r="B3355" s="1">
        <v>45777</v>
      </c>
      <c r="C3355">
        <v>2025</v>
      </c>
      <c r="D3355" t="s">
        <v>688</v>
      </c>
      <c r="E3355" t="s">
        <v>689</v>
      </c>
      <c r="F3355" t="s">
        <v>26</v>
      </c>
      <c r="G3355" t="s">
        <v>45</v>
      </c>
      <c r="H3355" t="s">
        <v>34</v>
      </c>
      <c r="I3355" t="s">
        <v>29</v>
      </c>
      <c r="J3355" t="s">
        <v>46</v>
      </c>
      <c r="K3355" s="2">
        <v>3550</v>
      </c>
      <c r="L3355" s="2">
        <v>32000</v>
      </c>
      <c r="M3355">
        <v>60</v>
      </c>
      <c r="N3355" s="3">
        <v>0.371</v>
      </c>
      <c r="O3355" t="s">
        <v>16</v>
      </c>
      <c r="Q3355">
        <v>1</v>
      </c>
      <c r="R3355">
        <v>0</v>
      </c>
      <c r="S3355" s="2">
        <v>32000</v>
      </c>
      <c r="T3355" s="4">
        <v>6.4699999999999994E-2</v>
      </c>
      <c r="U3355">
        <v>4</v>
      </c>
      <c r="V3355">
        <v>1</v>
      </c>
      <c r="W3355">
        <v>1</v>
      </c>
    </row>
    <row r="3356" spans="1:23" ht="16.5" x14ac:dyDescent="0.3">
      <c r="A3356" t="s">
        <v>3420</v>
      </c>
      <c r="B3356" s="1">
        <v>45777</v>
      </c>
      <c r="C3356">
        <v>2025</v>
      </c>
      <c r="D3356" t="s">
        <v>688</v>
      </c>
      <c r="E3356" t="s">
        <v>689</v>
      </c>
      <c r="F3356" t="s">
        <v>26</v>
      </c>
      <c r="G3356" t="s">
        <v>27</v>
      </c>
      <c r="H3356" t="s">
        <v>55</v>
      </c>
      <c r="I3356" t="s">
        <v>29</v>
      </c>
      <c r="J3356" t="s">
        <v>35</v>
      </c>
      <c r="K3356" s="2">
        <v>5350</v>
      </c>
      <c r="L3356" s="2">
        <v>24000</v>
      </c>
      <c r="M3356">
        <v>60</v>
      </c>
      <c r="N3356" s="3">
        <v>0.193</v>
      </c>
      <c r="O3356" t="s">
        <v>16</v>
      </c>
      <c r="Q3356">
        <v>1</v>
      </c>
      <c r="R3356">
        <v>0</v>
      </c>
      <c r="S3356" s="2">
        <v>24000</v>
      </c>
      <c r="T3356" s="4">
        <v>8.2900000000000001E-2</v>
      </c>
      <c r="U3356">
        <v>7</v>
      </c>
      <c r="V3356">
        <v>0</v>
      </c>
      <c r="W3356">
        <v>1</v>
      </c>
    </row>
    <row r="3357" spans="1:23" ht="16.5" x14ac:dyDescent="0.3">
      <c r="A3357" t="s">
        <v>3421</v>
      </c>
      <c r="B3357" s="1">
        <v>45777</v>
      </c>
      <c r="C3357">
        <v>2025</v>
      </c>
      <c r="D3357" t="s">
        <v>688</v>
      </c>
      <c r="E3357" t="s">
        <v>689</v>
      </c>
      <c r="F3357" t="s">
        <v>41</v>
      </c>
      <c r="G3357" t="s">
        <v>51</v>
      </c>
      <c r="H3357" t="s">
        <v>55</v>
      </c>
      <c r="I3357" t="s">
        <v>39</v>
      </c>
      <c r="J3357" t="s">
        <v>35</v>
      </c>
      <c r="K3357" s="2">
        <v>3050</v>
      </c>
      <c r="L3357" s="2">
        <v>116000</v>
      </c>
      <c r="M3357">
        <v>60</v>
      </c>
      <c r="N3357" s="3">
        <v>0.93899999999999995</v>
      </c>
      <c r="O3357" t="s">
        <v>17</v>
      </c>
      <c r="P3357" t="s">
        <v>53</v>
      </c>
      <c r="Q3357">
        <v>0</v>
      </c>
      <c r="R3357">
        <v>1</v>
      </c>
      <c r="S3357" s="2">
        <v>0</v>
      </c>
      <c r="T3357" s="4"/>
      <c r="U3357">
        <v>15</v>
      </c>
      <c r="V3357">
        <v>0</v>
      </c>
      <c r="W3357">
        <v>1</v>
      </c>
    </row>
    <row r="3358" spans="1:23" ht="16.5" x14ac:dyDescent="0.3">
      <c r="A3358" t="s">
        <v>3422</v>
      </c>
      <c r="B3358" s="1">
        <v>45777</v>
      </c>
      <c r="C3358">
        <v>2025</v>
      </c>
      <c r="D3358" t="s">
        <v>688</v>
      </c>
      <c r="E3358" t="s">
        <v>689</v>
      </c>
      <c r="F3358" t="s">
        <v>41</v>
      </c>
      <c r="G3358" t="s">
        <v>33</v>
      </c>
      <c r="H3358" t="s">
        <v>38</v>
      </c>
      <c r="I3358" t="s">
        <v>29</v>
      </c>
      <c r="J3358" t="s">
        <v>35</v>
      </c>
      <c r="K3358" s="2">
        <v>5750</v>
      </c>
      <c r="L3358" s="2">
        <v>103000</v>
      </c>
      <c r="M3358">
        <v>12</v>
      </c>
      <c r="N3358" s="3">
        <v>1.802</v>
      </c>
      <c r="O3358" t="s">
        <v>17</v>
      </c>
      <c r="P3358" t="s">
        <v>53</v>
      </c>
      <c r="Q3358">
        <v>0</v>
      </c>
      <c r="R3358">
        <v>1</v>
      </c>
      <c r="S3358" s="2">
        <v>0</v>
      </c>
      <c r="T3358" s="4"/>
      <c r="U3358">
        <v>2</v>
      </c>
      <c r="V3358">
        <v>1</v>
      </c>
      <c r="W3358">
        <v>1</v>
      </c>
    </row>
    <row r="3359" spans="1:23" ht="16.5" x14ac:dyDescent="0.3">
      <c r="A3359" t="s">
        <v>3423</v>
      </c>
      <c r="B3359" s="1">
        <v>45777</v>
      </c>
      <c r="C3359">
        <v>2025</v>
      </c>
      <c r="D3359" t="s">
        <v>688</v>
      </c>
      <c r="E3359" t="s">
        <v>689</v>
      </c>
      <c r="F3359" t="s">
        <v>26</v>
      </c>
      <c r="G3359" t="s">
        <v>51</v>
      </c>
      <c r="H3359" t="s">
        <v>64</v>
      </c>
      <c r="I3359" t="s">
        <v>39</v>
      </c>
      <c r="J3359" t="s">
        <v>52</v>
      </c>
      <c r="K3359" s="2">
        <v>2350</v>
      </c>
      <c r="L3359" s="2">
        <v>21500</v>
      </c>
      <c r="M3359">
        <v>48</v>
      </c>
      <c r="N3359" s="3">
        <v>0.28499999999999998</v>
      </c>
      <c r="O3359" t="s">
        <v>16</v>
      </c>
      <c r="Q3359">
        <v>1</v>
      </c>
      <c r="R3359">
        <v>0</v>
      </c>
      <c r="S3359" s="2">
        <v>21500</v>
      </c>
      <c r="T3359" s="4">
        <v>7.46E-2</v>
      </c>
      <c r="U3359">
        <v>4</v>
      </c>
      <c r="V3359">
        <v>1</v>
      </c>
      <c r="W3359">
        <v>1</v>
      </c>
    </row>
    <row r="3360" spans="1:23" ht="16.5" x14ac:dyDescent="0.3">
      <c r="A3360" t="s">
        <v>3424</v>
      </c>
      <c r="B3360" s="1">
        <v>45777</v>
      </c>
      <c r="C3360">
        <v>2025</v>
      </c>
      <c r="D3360" t="s">
        <v>688</v>
      </c>
      <c r="E3360" t="s">
        <v>689</v>
      </c>
      <c r="F3360" t="s">
        <v>26</v>
      </c>
      <c r="G3360" t="s">
        <v>45</v>
      </c>
      <c r="H3360" t="s">
        <v>34</v>
      </c>
      <c r="I3360" t="s">
        <v>39</v>
      </c>
      <c r="J3360" t="s">
        <v>46</v>
      </c>
      <c r="K3360" s="2">
        <v>5900</v>
      </c>
      <c r="L3360" s="2">
        <v>7500</v>
      </c>
      <c r="M3360">
        <v>60</v>
      </c>
      <c r="N3360" s="3">
        <v>0.254</v>
      </c>
      <c r="O3360" t="s">
        <v>16</v>
      </c>
      <c r="Q3360">
        <v>1</v>
      </c>
      <c r="R3360">
        <v>0</v>
      </c>
      <c r="S3360" s="2">
        <v>7500</v>
      </c>
      <c r="T3360" s="4">
        <v>7.0400000000000004E-2</v>
      </c>
      <c r="U3360">
        <v>3</v>
      </c>
      <c r="V3360">
        <v>1</v>
      </c>
      <c r="W3360">
        <v>1</v>
      </c>
    </row>
    <row r="3361" spans="1:23" ht="16.5" x14ac:dyDescent="0.3">
      <c r="A3361" t="s">
        <v>3425</v>
      </c>
      <c r="B3361" s="1">
        <v>45778</v>
      </c>
      <c r="C3361">
        <v>2025</v>
      </c>
      <c r="D3361" t="s">
        <v>688</v>
      </c>
      <c r="E3361" t="s">
        <v>885</v>
      </c>
      <c r="F3361" t="s">
        <v>41</v>
      </c>
      <c r="G3361" t="s">
        <v>51</v>
      </c>
      <c r="H3361" t="s">
        <v>34</v>
      </c>
      <c r="I3361" t="s">
        <v>39</v>
      </c>
      <c r="J3361" t="s">
        <v>43</v>
      </c>
      <c r="K3361" s="2">
        <v>4000</v>
      </c>
      <c r="L3361" s="2">
        <v>65000</v>
      </c>
      <c r="M3361">
        <v>12</v>
      </c>
      <c r="N3361" s="3">
        <v>1.58</v>
      </c>
      <c r="O3361" t="s">
        <v>17</v>
      </c>
      <c r="P3361" t="s">
        <v>31</v>
      </c>
      <c r="Q3361">
        <v>0</v>
      </c>
      <c r="R3361">
        <v>1</v>
      </c>
      <c r="S3361" s="2">
        <v>0</v>
      </c>
      <c r="T3361" s="4"/>
      <c r="U3361">
        <v>8</v>
      </c>
      <c r="V3361">
        <v>1</v>
      </c>
      <c r="W3361">
        <v>1</v>
      </c>
    </row>
    <row r="3362" spans="1:23" ht="16.5" x14ac:dyDescent="0.3">
      <c r="A3362" t="s">
        <v>3426</v>
      </c>
      <c r="B3362" s="1">
        <v>45778</v>
      </c>
      <c r="C3362">
        <v>2025</v>
      </c>
      <c r="D3362" t="s">
        <v>688</v>
      </c>
      <c r="E3362" t="s">
        <v>885</v>
      </c>
      <c r="F3362" t="s">
        <v>37</v>
      </c>
      <c r="G3362" t="s">
        <v>51</v>
      </c>
      <c r="H3362" t="s">
        <v>34</v>
      </c>
      <c r="I3362" t="s">
        <v>29</v>
      </c>
      <c r="J3362" t="s">
        <v>35</v>
      </c>
      <c r="K3362" s="2">
        <v>2200</v>
      </c>
      <c r="L3362" s="2">
        <v>19000</v>
      </c>
      <c r="M3362">
        <v>24</v>
      </c>
      <c r="N3362" s="3">
        <v>0.48299999999999998</v>
      </c>
      <c r="O3362" t="s">
        <v>16</v>
      </c>
      <c r="Q3362">
        <v>1</v>
      </c>
      <c r="R3362">
        <v>0</v>
      </c>
      <c r="S3362" s="2">
        <v>15000</v>
      </c>
      <c r="T3362" s="4">
        <v>0.1249</v>
      </c>
      <c r="U3362">
        <v>3</v>
      </c>
      <c r="V3362">
        <v>1</v>
      </c>
      <c r="W3362">
        <v>1</v>
      </c>
    </row>
    <row r="3363" spans="1:23" ht="16.5" x14ac:dyDescent="0.3">
      <c r="A3363" t="s">
        <v>3427</v>
      </c>
      <c r="B3363" s="1">
        <v>45778</v>
      </c>
      <c r="C3363">
        <v>2025</v>
      </c>
      <c r="D3363" t="s">
        <v>688</v>
      </c>
      <c r="E3363" t="s">
        <v>885</v>
      </c>
      <c r="F3363" t="s">
        <v>37</v>
      </c>
      <c r="G3363" t="s">
        <v>33</v>
      </c>
      <c r="H3363" t="s">
        <v>38</v>
      </c>
      <c r="I3363" t="s">
        <v>39</v>
      </c>
      <c r="J3363" t="s">
        <v>35</v>
      </c>
      <c r="K3363" s="2">
        <v>3700</v>
      </c>
      <c r="L3363" s="2">
        <v>7000</v>
      </c>
      <c r="M3363">
        <v>48</v>
      </c>
      <c r="N3363" s="3">
        <v>0.252</v>
      </c>
      <c r="O3363" t="s">
        <v>125</v>
      </c>
      <c r="Q3363">
        <v>0</v>
      </c>
      <c r="R3363">
        <v>0</v>
      </c>
      <c r="S3363" s="2">
        <v>0</v>
      </c>
      <c r="T3363" s="4"/>
      <c r="U3363">
        <v>1</v>
      </c>
      <c r="V3363">
        <v>1</v>
      </c>
      <c r="W3363">
        <v>1</v>
      </c>
    </row>
    <row r="3364" spans="1:23" ht="16.5" x14ac:dyDescent="0.3">
      <c r="A3364" t="s">
        <v>3428</v>
      </c>
      <c r="B3364" s="1">
        <v>45778</v>
      </c>
      <c r="C3364">
        <v>2025</v>
      </c>
      <c r="D3364" t="s">
        <v>688</v>
      </c>
      <c r="E3364" t="s">
        <v>885</v>
      </c>
      <c r="F3364" t="s">
        <v>37</v>
      </c>
      <c r="G3364" t="s">
        <v>27</v>
      </c>
      <c r="H3364" t="s">
        <v>34</v>
      </c>
      <c r="I3364" t="s">
        <v>39</v>
      </c>
      <c r="J3364" t="s">
        <v>35</v>
      </c>
      <c r="K3364" s="2">
        <v>4050</v>
      </c>
      <c r="L3364" s="2">
        <v>15000</v>
      </c>
      <c r="M3364">
        <v>12</v>
      </c>
      <c r="N3364" s="3">
        <v>0.47599999999999998</v>
      </c>
      <c r="O3364" t="s">
        <v>17</v>
      </c>
      <c r="P3364" t="s">
        <v>53</v>
      </c>
      <c r="Q3364">
        <v>0</v>
      </c>
      <c r="R3364">
        <v>1</v>
      </c>
      <c r="S3364" s="2">
        <v>0</v>
      </c>
      <c r="T3364" s="4"/>
      <c r="U3364">
        <v>2</v>
      </c>
      <c r="V3364">
        <v>1</v>
      </c>
      <c r="W3364">
        <v>1</v>
      </c>
    </row>
    <row r="3365" spans="1:23" ht="16.5" x14ac:dyDescent="0.3">
      <c r="A3365" t="s">
        <v>3429</v>
      </c>
      <c r="B3365" s="1">
        <v>45778</v>
      </c>
      <c r="C3365">
        <v>2025</v>
      </c>
      <c r="D3365" t="s">
        <v>688</v>
      </c>
      <c r="E3365" t="s">
        <v>885</v>
      </c>
      <c r="F3365" t="s">
        <v>41</v>
      </c>
      <c r="G3365" t="s">
        <v>33</v>
      </c>
      <c r="H3365" t="s">
        <v>38</v>
      </c>
      <c r="I3365" t="s">
        <v>29</v>
      </c>
      <c r="J3365" t="s">
        <v>35</v>
      </c>
      <c r="K3365" s="2">
        <v>6050</v>
      </c>
      <c r="L3365" s="2">
        <v>42500</v>
      </c>
      <c r="M3365">
        <v>36</v>
      </c>
      <c r="N3365" s="3">
        <v>0.47399999999999998</v>
      </c>
      <c r="O3365" t="s">
        <v>16</v>
      </c>
      <c r="Q3365">
        <v>1</v>
      </c>
      <c r="R3365">
        <v>0</v>
      </c>
      <c r="S3365" s="2">
        <v>42500</v>
      </c>
      <c r="T3365" s="4">
        <v>0.1116</v>
      </c>
      <c r="U3365">
        <v>4</v>
      </c>
      <c r="V3365">
        <v>1</v>
      </c>
      <c r="W3365">
        <v>1</v>
      </c>
    </row>
    <row r="3366" spans="1:23" ht="16.5" x14ac:dyDescent="0.3">
      <c r="A3366" t="s">
        <v>3430</v>
      </c>
      <c r="B3366" s="1">
        <v>45778</v>
      </c>
      <c r="C3366">
        <v>2025</v>
      </c>
      <c r="D3366" t="s">
        <v>688</v>
      </c>
      <c r="E3366" t="s">
        <v>885</v>
      </c>
      <c r="F3366" t="s">
        <v>37</v>
      </c>
      <c r="G3366" t="s">
        <v>51</v>
      </c>
      <c r="H3366" t="s">
        <v>34</v>
      </c>
      <c r="I3366" t="s">
        <v>42</v>
      </c>
      <c r="J3366" t="s">
        <v>52</v>
      </c>
      <c r="K3366" s="2">
        <v>9300</v>
      </c>
      <c r="L3366" s="2">
        <v>13000</v>
      </c>
      <c r="M3366">
        <v>60</v>
      </c>
      <c r="N3366" s="3">
        <v>0.26600000000000001</v>
      </c>
      <c r="O3366" t="s">
        <v>16</v>
      </c>
      <c r="Q3366">
        <v>1</v>
      </c>
      <c r="R3366">
        <v>0</v>
      </c>
      <c r="S3366" s="2">
        <v>11500</v>
      </c>
      <c r="T3366" s="4">
        <v>0.1178</v>
      </c>
      <c r="U3366">
        <v>6</v>
      </c>
      <c r="V3366">
        <v>0</v>
      </c>
      <c r="W3366">
        <v>1</v>
      </c>
    </row>
    <row r="3367" spans="1:23" ht="16.5" x14ac:dyDescent="0.3">
      <c r="A3367" t="s">
        <v>3431</v>
      </c>
      <c r="B3367" s="1">
        <v>45778</v>
      </c>
      <c r="C3367">
        <v>2025</v>
      </c>
      <c r="D3367" t="s">
        <v>688</v>
      </c>
      <c r="E3367" t="s">
        <v>885</v>
      </c>
      <c r="F3367" t="s">
        <v>37</v>
      </c>
      <c r="G3367" t="s">
        <v>33</v>
      </c>
      <c r="H3367" t="s">
        <v>38</v>
      </c>
      <c r="I3367" t="s">
        <v>39</v>
      </c>
      <c r="J3367" t="s">
        <v>35</v>
      </c>
      <c r="K3367" s="2">
        <v>2900</v>
      </c>
      <c r="L3367" s="2">
        <v>15500</v>
      </c>
      <c r="M3367">
        <v>60</v>
      </c>
      <c r="N3367" s="3">
        <v>0.25</v>
      </c>
      <c r="O3367" t="s">
        <v>16</v>
      </c>
      <c r="Q3367">
        <v>1</v>
      </c>
      <c r="R3367">
        <v>0</v>
      </c>
      <c r="S3367" s="2">
        <v>12500</v>
      </c>
      <c r="T3367" s="4">
        <v>0.1268</v>
      </c>
      <c r="U3367">
        <v>2</v>
      </c>
      <c r="V3367">
        <v>1</v>
      </c>
      <c r="W3367">
        <v>1</v>
      </c>
    </row>
    <row r="3368" spans="1:23" ht="16.5" x14ac:dyDescent="0.3">
      <c r="A3368" t="s">
        <v>3432</v>
      </c>
      <c r="B3368" s="1">
        <v>45779</v>
      </c>
      <c r="C3368">
        <v>2025</v>
      </c>
      <c r="D3368" t="s">
        <v>688</v>
      </c>
      <c r="E3368" t="s">
        <v>885</v>
      </c>
      <c r="F3368" t="s">
        <v>26</v>
      </c>
      <c r="G3368" t="s">
        <v>45</v>
      </c>
      <c r="H3368" t="s">
        <v>34</v>
      </c>
      <c r="I3368" t="s">
        <v>29</v>
      </c>
      <c r="J3368" t="s">
        <v>35</v>
      </c>
      <c r="K3368" s="2">
        <v>10100</v>
      </c>
      <c r="L3368" s="2">
        <v>16500</v>
      </c>
      <c r="M3368">
        <v>60</v>
      </c>
      <c r="N3368" s="3">
        <v>0.2</v>
      </c>
      <c r="O3368" t="s">
        <v>16</v>
      </c>
      <c r="Q3368">
        <v>1</v>
      </c>
      <c r="R3368">
        <v>0</v>
      </c>
      <c r="S3368" s="2">
        <v>16500</v>
      </c>
      <c r="T3368" s="4">
        <v>8.5500000000000007E-2</v>
      </c>
      <c r="U3368">
        <v>3</v>
      </c>
      <c r="V3368">
        <v>1</v>
      </c>
      <c r="W3368">
        <v>1</v>
      </c>
    </row>
    <row r="3369" spans="1:23" ht="16.5" x14ac:dyDescent="0.3">
      <c r="A3369" t="s">
        <v>3433</v>
      </c>
      <c r="B3369" s="1">
        <v>45779</v>
      </c>
      <c r="C3369">
        <v>2025</v>
      </c>
      <c r="D3369" t="s">
        <v>688</v>
      </c>
      <c r="E3369" t="s">
        <v>885</v>
      </c>
      <c r="F3369" t="s">
        <v>26</v>
      </c>
      <c r="G3369" t="s">
        <v>45</v>
      </c>
      <c r="H3369" t="s">
        <v>38</v>
      </c>
      <c r="I3369" t="s">
        <v>39</v>
      </c>
      <c r="J3369" t="s">
        <v>30</v>
      </c>
      <c r="K3369" s="2">
        <v>5350</v>
      </c>
      <c r="L3369" s="2">
        <v>15000</v>
      </c>
      <c r="M3369">
        <v>36</v>
      </c>
      <c r="N3369" s="3">
        <v>0.32900000000000001</v>
      </c>
      <c r="O3369" t="s">
        <v>17</v>
      </c>
      <c r="P3369" t="s">
        <v>31</v>
      </c>
      <c r="Q3369">
        <v>0</v>
      </c>
      <c r="R3369">
        <v>1</v>
      </c>
      <c r="S3369" s="2">
        <v>0</v>
      </c>
      <c r="T3369" s="4"/>
      <c r="U3369">
        <v>2</v>
      </c>
      <c r="V3369">
        <v>1</v>
      </c>
      <c r="W3369">
        <v>1</v>
      </c>
    </row>
    <row r="3370" spans="1:23" ht="16.5" x14ac:dyDescent="0.3">
      <c r="A3370" t="s">
        <v>3434</v>
      </c>
      <c r="B3370" s="1">
        <v>45779</v>
      </c>
      <c r="C3370">
        <v>2025</v>
      </c>
      <c r="D3370" t="s">
        <v>688</v>
      </c>
      <c r="E3370" t="s">
        <v>885</v>
      </c>
      <c r="F3370" t="s">
        <v>26</v>
      </c>
      <c r="G3370" t="s">
        <v>45</v>
      </c>
      <c r="H3370" t="s">
        <v>55</v>
      </c>
      <c r="I3370" t="s">
        <v>42</v>
      </c>
      <c r="J3370" t="s">
        <v>52</v>
      </c>
      <c r="K3370" s="2">
        <v>5850</v>
      </c>
      <c r="L3370" s="2">
        <v>21500</v>
      </c>
      <c r="M3370">
        <v>36</v>
      </c>
      <c r="N3370" s="3">
        <v>0.31900000000000001</v>
      </c>
      <c r="O3370" t="s">
        <v>16</v>
      </c>
      <c r="Q3370">
        <v>1</v>
      </c>
      <c r="R3370">
        <v>0</v>
      </c>
      <c r="S3370" s="2">
        <v>21500</v>
      </c>
      <c r="T3370" s="4">
        <v>7.22E-2</v>
      </c>
      <c r="U3370">
        <v>2</v>
      </c>
      <c r="V3370">
        <v>1</v>
      </c>
      <c r="W3370">
        <v>1</v>
      </c>
    </row>
    <row r="3371" spans="1:23" ht="16.5" x14ac:dyDescent="0.3">
      <c r="A3371" t="s">
        <v>3435</v>
      </c>
      <c r="B3371" s="1">
        <v>45779</v>
      </c>
      <c r="C3371">
        <v>2025</v>
      </c>
      <c r="D3371" t="s">
        <v>688</v>
      </c>
      <c r="E3371" t="s">
        <v>885</v>
      </c>
      <c r="F3371" t="s">
        <v>50</v>
      </c>
      <c r="G3371" t="s">
        <v>33</v>
      </c>
      <c r="H3371" t="s">
        <v>34</v>
      </c>
      <c r="I3371" t="s">
        <v>39</v>
      </c>
      <c r="J3371" t="s">
        <v>46</v>
      </c>
      <c r="K3371" s="2">
        <v>7800</v>
      </c>
      <c r="L3371" s="2">
        <v>367500</v>
      </c>
      <c r="M3371">
        <v>240</v>
      </c>
      <c r="N3371" s="3">
        <v>0.53500000000000003</v>
      </c>
      <c r="O3371" t="s">
        <v>17</v>
      </c>
      <c r="P3371" t="s">
        <v>53</v>
      </c>
      <c r="Q3371">
        <v>0</v>
      </c>
      <c r="R3371">
        <v>1</v>
      </c>
      <c r="S3371" s="2">
        <v>0</v>
      </c>
      <c r="T3371" s="4"/>
      <c r="U3371">
        <v>8</v>
      </c>
      <c r="V3371">
        <v>1</v>
      </c>
      <c r="W3371">
        <v>1</v>
      </c>
    </row>
    <row r="3372" spans="1:23" ht="16.5" x14ac:dyDescent="0.3">
      <c r="A3372" t="s">
        <v>3436</v>
      </c>
      <c r="B3372" s="1">
        <v>45779</v>
      </c>
      <c r="C3372">
        <v>2025</v>
      </c>
      <c r="D3372" t="s">
        <v>688</v>
      </c>
      <c r="E3372" t="s">
        <v>885</v>
      </c>
      <c r="F3372" t="s">
        <v>37</v>
      </c>
      <c r="G3372" t="s">
        <v>51</v>
      </c>
      <c r="H3372" t="s">
        <v>38</v>
      </c>
      <c r="I3372" t="s">
        <v>39</v>
      </c>
      <c r="J3372" t="s">
        <v>52</v>
      </c>
      <c r="K3372" s="2">
        <v>2650</v>
      </c>
      <c r="L3372" s="2">
        <v>10500</v>
      </c>
      <c r="M3372">
        <v>24</v>
      </c>
      <c r="N3372" s="3">
        <v>0.39400000000000002</v>
      </c>
      <c r="O3372" t="s">
        <v>17</v>
      </c>
      <c r="P3372" t="s">
        <v>65</v>
      </c>
      <c r="Q3372">
        <v>0</v>
      </c>
      <c r="R3372">
        <v>1</v>
      </c>
      <c r="S3372" s="2">
        <v>0</v>
      </c>
      <c r="T3372" s="4"/>
      <c r="U3372">
        <v>4</v>
      </c>
      <c r="V3372">
        <v>0</v>
      </c>
      <c r="W3372">
        <v>1</v>
      </c>
    </row>
    <row r="3373" spans="1:23" ht="16.5" x14ac:dyDescent="0.3">
      <c r="A3373" t="s">
        <v>3437</v>
      </c>
      <c r="B3373" s="1">
        <v>45779</v>
      </c>
      <c r="C3373">
        <v>2025</v>
      </c>
      <c r="D3373" t="s">
        <v>688</v>
      </c>
      <c r="E3373" t="s">
        <v>885</v>
      </c>
      <c r="F3373" t="s">
        <v>50</v>
      </c>
      <c r="G3373" t="s">
        <v>33</v>
      </c>
      <c r="H3373" t="s">
        <v>38</v>
      </c>
      <c r="I3373" t="s">
        <v>29</v>
      </c>
      <c r="J3373" t="s">
        <v>52</v>
      </c>
      <c r="K3373" s="2">
        <v>4800</v>
      </c>
      <c r="L3373" s="2">
        <v>380500</v>
      </c>
      <c r="M3373">
        <v>300</v>
      </c>
      <c r="N3373" s="3">
        <v>0.52500000000000002</v>
      </c>
      <c r="O3373" t="s">
        <v>16</v>
      </c>
      <c r="Q3373">
        <v>1</v>
      </c>
      <c r="R3373">
        <v>0</v>
      </c>
      <c r="S3373" s="2">
        <v>380500</v>
      </c>
      <c r="T3373" s="4">
        <v>4.7300000000000002E-2</v>
      </c>
      <c r="U3373">
        <v>4</v>
      </c>
      <c r="V3373">
        <v>1</v>
      </c>
      <c r="W3373">
        <v>1</v>
      </c>
    </row>
    <row r="3374" spans="1:23" ht="16.5" x14ac:dyDescent="0.3">
      <c r="A3374" t="s">
        <v>3438</v>
      </c>
      <c r="B3374" s="1">
        <v>45779</v>
      </c>
      <c r="C3374">
        <v>2025</v>
      </c>
      <c r="D3374" t="s">
        <v>688</v>
      </c>
      <c r="E3374" t="s">
        <v>885</v>
      </c>
      <c r="F3374" t="s">
        <v>37</v>
      </c>
      <c r="G3374" t="s">
        <v>45</v>
      </c>
      <c r="H3374" t="s">
        <v>38</v>
      </c>
      <c r="I3374" t="s">
        <v>42</v>
      </c>
      <c r="J3374" t="s">
        <v>35</v>
      </c>
      <c r="K3374" s="2">
        <v>6400</v>
      </c>
      <c r="L3374" s="2">
        <v>7500</v>
      </c>
      <c r="M3374">
        <v>48</v>
      </c>
      <c r="N3374" s="3">
        <v>0.14399999999999999</v>
      </c>
      <c r="O3374" t="s">
        <v>16</v>
      </c>
      <c r="Q3374">
        <v>1</v>
      </c>
      <c r="R3374">
        <v>0</v>
      </c>
      <c r="S3374" s="2">
        <v>7500</v>
      </c>
      <c r="T3374" s="4">
        <v>0.12770000000000001</v>
      </c>
      <c r="U3374">
        <v>1</v>
      </c>
      <c r="V3374">
        <v>1</v>
      </c>
      <c r="W3374">
        <v>1</v>
      </c>
    </row>
    <row r="3375" spans="1:23" ht="16.5" x14ac:dyDescent="0.3">
      <c r="A3375" t="s">
        <v>3439</v>
      </c>
      <c r="B3375" s="1">
        <v>45779</v>
      </c>
      <c r="C3375">
        <v>2025</v>
      </c>
      <c r="D3375" t="s">
        <v>688</v>
      </c>
      <c r="E3375" t="s">
        <v>885</v>
      </c>
      <c r="F3375" t="s">
        <v>50</v>
      </c>
      <c r="G3375" t="s">
        <v>51</v>
      </c>
      <c r="H3375" t="s">
        <v>55</v>
      </c>
      <c r="I3375" t="s">
        <v>29</v>
      </c>
      <c r="J3375" t="s">
        <v>30</v>
      </c>
      <c r="K3375" s="2">
        <v>3000</v>
      </c>
      <c r="L3375" s="2">
        <v>446000</v>
      </c>
      <c r="M3375">
        <v>300</v>
      </c>
      <c r="N3375" s="3">
        <v>1.054</v>
      </c>
      <c r="O3375" t="s">
        <v>17</v>
      </c>
      <c r="P3375" t="s">
        <v>53</v>
      </c>
      <c r="Q3375">
        <v>0</v>
      </c>
      <c r="R3375">
        <v>1</v>
      </c>
      <c r="S3375" s="2">
        <v>0</v>
      </c>
      <c r="T3375" s="4"/>
      <c r="U3375">
        <v>17</v>
      </c>
      <c r="V3375">
        <v>0</v>
      </c>
      <c r="W3375">
        <v>1</v>
      </c>
    </row>
    <row r="3376" spans="1:23" ht="16.5" x14ac:dyDescent="0.3">
      <c r="A3376" t="s">
        <v>3440</v>
      </c>
      <c r="B3376" s="1">
        <v>45779</v>
      </c>
      <c r="C3376">
        <v>2025</v>
      </c>
      <c r="D3376" t="s">
        <v>688</v>
      </c>
      <c r="E3376" t="s">
        <v>885</v>
      </c>
      <c r="F3376" t="s">
        <v>26</v>
      </c>
      <c r="G3376" t="s">
        <v>33</v>
      </c>
      <c r="H3376" t="s">
        <v>38</v>
      </c>
      <c r="I3376" t="s">
        <v>42</v>
      </c>
      <c r="J3376" t="s">
        <v>52</v>
      </c>
      <c r="K3376" s="2">
        <v>9800</v>
      </c>
      <c r="L3376" s="2">
        <v>27500</v>
      </c>
      <c r="M3376">
        <v>60</v>
      </c>
      <c r="N3376" s="3">
        <v>0.16200000000000001</v>
      </c>
      <c r="O3376" t="s">
        <v>16</v>
      </c>
      <c r="Q3376">
        <v>1</v>
      </c>
      <c r="R3376">
        <v>0</v>
      </c>
      <c r="S3376" s="2">
        <v>27500</v>
      </c>
      <c r="T3376" s="4">
        <v>7.5899999999999995E-2</v>
      </c>
      <c r="U3376">
        <v>3</v>
      </c>
      <c r="V3376">
        <v>1</v>
      </c>
      <c r="W3376">
        <v>1</v>
      </c>
    </row>
    <row r="3377" spans="1:23" ht="16.5" x14ac:dyDescent="0.3">
      <c r="A3377" t="s">
        <v>3441</v>
      </c>
      <c r="B3377" s="1">
        <v>45779</v>
      </c>
      <c r="C3377">
        <v>2025</v>
      </c>
      <c r="D3377" t="s">
        <v>688</v>
      </c>
      <c r="E3377" t="s">
        <v>885</v>
      </c>
      <c r="F3377" t="s">
        <v>50</v>
      </c>
      <c r="G3377" t="s">
        <v>51</v>
      </c>
      <c r="H3377" t="s">
        <v>38</v>
      </c>
      <c r="I3377" t="s">
        <v>39</v>
      </c>
      <c r="J3377" t="s">
        <v>30</v>
      </c>
      <c r="K3377" s="2">
        <v>3800</v>
      </c>
      <c r="L3377" s="2">
        <v>210500</v>
      </c>
      <c r="M3377">
        <v>180</v>
      </c>
      <c r="N3377" s="3">
        <v>0.52400000000000002</v>
      </c>
      <c r="O3377" t="s">
        <v>16</v>
      </c>
      <c r="Q3377">
        <v>1</v>
      </c>
      <c r="R3377">
        <v>0</v>
      </c>
      <c r="S3377" s="2">
        <v>210500</v>
      </c>
      <c r="T3377" s="4">
        <v>7.0000000000000007E-2</v>
      </c>
      <c r="U3377">
        <v>23</v>
      </c>
      <c r="V3377">
        <v>0</v>
      </c>
      <c r="W3377">
        <v>1</v>
      </c>
    </row>
    <row r="3378" spans="1:23" ht="16.5" x14ac:dyDescent="0.3">
      <c r="A3378" t="s">
        <v>3442</v>
      </c>
      <c r="B3378" s="1">
        <v>45779</v>
      </c>
      <c r="C3378">
        <v>2025</v>
      </c>
      <c r="D3378" t="s">
        <v>688</v>
      </c>
      <c r="E3378" t="s">
        <v>885</v>
      </c>
      <c r="F3378" t="s">
        <v>26</v>
      </c>
      <c r="G3378" t="s">
        <v>27</v>
      </c>
      <c r="H3378" t="s">
        <v>55</v>
      </c>
      <c r="I3378" t="s">
        <v>39</v>
      </c>
      <c r="J3378" t="s">
        <v>46</v>
      </c>
      <c r="K3378" s="2">
        <v>10300</v>
      </c>
      <c r="L3378" s="2">
        <v>24000</v>
      </c>
      <c r="M3378">
        <v>60</v>
      </c>
      <c r="N3378" s="3">
        <v>0.221</v>
      </c>
      <c r="O3378" t="s">
        <v>16</v>
      </c>
      <c r="Q3378">
        <v>1</v>
      </c>
      <c r="R3378">
        <v>0</v>
      </c>
      <c r="S3378" s="2">
        <v>24000</v>
      </c>
      <c r="T3378" s="4">
        <v>6.9599999999999995E-2</v>
      </c>
      <c r="U3378">
        <v>2</v>
      </c>
      <c r="V3378">
        <v>1</v>
      </c>
      <c r="W3378">
        <v>1</v>
      </c>
    </row>
    <row r="3379" spans="1:23" ht="16.5" x14ac:dyDescent="0.3">
      <c r="A3379" t="s">
        <v>3443</v>
      </c>
      <c r="B3379" s="1">
        <v>45780</v>
      </c>
      <c r="C3379">
        <v>2025</v>
      </c>
      <c r="D3379" t="s">
        <v>688</v>
      </c>
      <c r="E3379" t="s">
        <v>885</v>
      </c>
      <c r="F3379" t="s">
        <v>37</v>
      </c>
      <c r="G3379" t="s">
        <v>33</v>
      </c>
      <c r="H3379" t="s">
        <v>64</v>
      </c>
      <c r="I3379" t="s">
        <v>29</v>
      </c>
      <c r="J3379" t="s">
        <v>46</v>
      </c>
      <c r="K3379" s="2">
        <v>4500</v>
      </c>
      <c r="L3379" s="2">
        <v>9500</v>
      </c>
      <c r="M3379">
        <v>24</v>
      </c>
      <c r="N3379" s="3">
        <v>0.27900000000000003</v>
      </c>
      <c r="O3379" t="s">
        <v>16</v>
      </c>
      <c r="Q3379">
        <v>1</v>
      </c>
      <c r="R3379">
        <v>0</v>
      </c>
      <c r="S3379" s="2">
        <v>9500</v>
      </c>
      <c r="T3379" s="4">
        <v>0.1085</v>
      </c>
      <c r="U3379">
        <v>2</v>
      </c>
      <c r="V3379">
        <v>1</v>
      </c>
      <c r="W3379">
        <v>1</v>
      </c>
    </row>
    <row r="3380" spans="1:23" ht="16.5" x14ac:dyDescent="0.3">
      <c r="A3380" t="s">
        <v>3444</v>
      </c>
      <c r="B3380" s="1">
        <v>45780</v>
      </c>
      <c r="C3380">
        <v>2025</v>
      </c>
      <c r="D3380" t="s">
        <v>688</v>
      </c>
      <c r="E3380" t="s">
        <v>885</v>
      </c>
      <c r="F3380" t="s">
        <v>37</v>
      </c>
      <c r="G3380" t="s">
        <v>51</v>
      </c>
      <c r="H3380" t="s">
        <v>38</v>
      </c>
      <c r="I3380" t="s">
        <v>39</v>
      </c>
      <c r="J3380" t="s">
        <v>52</v>
      </c>
      <c r="K3380" s="2">
        <v>7050</v>
      </c>
      <c r="L3380" s="2">
        <v>7500</v>
      </c>
      <c r="M3380">
        <v>60</v>
      </c>
      <c r="N3380" s="3">
        <v>0.23899999999999999</v>
      </c>
      <c r="O3380" t="s">
        <v>16</v>
      </c>
      <c r="Q3380">
        <v>1</v>
      </c>
      <c r="R3380">
        <v>0</v>
      </c>
      <c r="S3380" s="2">
        <v>6000</v>
      </c>
      <c r="T3380" s="4">
        <v>0.1171</v>
      </c>
      <c r="U3380">
        <v>3</v>
      </c>
      <c r="V3380">
        <v>1</v>
      </c>
      <c r="W3380">
        <v>1</v>
      </c>
    </row>
    <row r="3381" spans="1:23" ht="16.5" x14ac:dyDescent="0.3">
      <c r="A3381" t="s">
        <v>3445</v>
      </c>
      <c r="B3381" s="1">
        <v>45780</v>
      </c>
      <c r="C3381">
        <v>2025</v>
      </c>
      <c r="D3381" t="s">
        <v>688</v>
      </c>
      <c r="E3381" t="s">
        <v>885</v>
      </c>
      <c r="F3381" t="s">
        <v>37</v>
      </c>
      <c r="G3381" t="s">
        <v>33</v>
      </c>
      <c r="H3381" t="s">
        <v>55</v>
      </c>
      <c r="I3381" t="s">
        <v>29</v>
      </c>
      <c r="J3381" t="s">
        <v>35</v>
      </c>
      <c r="K3381" s="2">
        <v>3350</v>
      </c>
      <c r="L3381" s="2">
        <v>10000</v>
      </c>
      <c r="M3381">
        <v>60</v>
      </c>
      <c r="N3381" s="3">
        <v>0.29899999999999999</v>
      </c>
      <c r="O3381" t="s">
        <v>16</v>
      </c>
      <c r="Q3381">
        <v>1</v>
      </c>
      <c r="R3381">
        <v>0</v>
      </c>
      <c r="S3381" s="2">
        <v>10000</v>
      </c>
      <c r="T3381" s="4">
        <v>0.1245</v>
      </c>
      <c r="U3381">
        <v>2</v>
      </c>
      <c r="V3381">
        <v>1</v>
      </c>
      <c r="W3381">
        <v>1</v>
      </c>
    </row>
    <row r="3382" spans="1:23" ht="16.5" x14ac:dyDescent="0.3">
      <c r="A3382" t="s">
        <v>3446</v>
      </c>
      <c r="B3382" s="1">
        <v>45780</v>
      </c>
      <c r="C3382">
        <v>2025</v>
      </c>
      <c r="D3382" t="s">
        <v>688</v>
      </c>
      <c r="E3382" t="s">
        <v>885</v>
      </c>
      <c r="F3382" t="s">
        <v>41</v>
      </c>
      <c r="G3382" t="s">
        <v>45</v>
      </c>
      <c r="H3382" t="s">
        <v>38</v>
      </c>
      <c r="I3382" t="s">
        <v>39</v>
      </c>
      <c r="J3382" t="s">
        <v>35</v>
      </c>
      <c r="K3382" s="2">
        <v>4000</v>
      </c>
      <c r="L3382" s="2">
        <v>118500</v>
      </c>
      <c r="M3382">
        <v>12</v>
      </c>
      <c r="N3382" s="3">
        <v>2.718</v>
      </c>
      <c r="O3382" t="s">
        <v>17</v>
      </c>
      <c r="P3382" t="s">
        <v>53</v>
      </c>
      <c r="Q3382">
        <v>0</v>
      </c>
      <c r="R3382">
        <v>1</v>
      </c>
      <c r="S3382" s="2">
        <v>0</v>
      </c>
      <c r="T3382" s="4"/>
      <c r="U3382">
        <v>2</v>
      </c>
      <c r="V3382">
        <v>1</v>
      </c>
      <c r="W3382">
        <v>1</v>
      </c>
    </row>
    <row r="3383" spans="1:23" ht="16.5" x14ac:dyDescent="0.3">
      <c r="A3383" t="s">
        <v>3447</v>
      </c>
      <c r="B3383" s="1">
        <v>45780</v>
      </c>
      <c r="C3383">
        <v>2025</v>
      </c>
      <c r="D3383" t="s">
        <v>688</v>
      </c>
      <c r="E3383" t="s">
        <v>885</v>
      </c>
      <c r="F3383" t="s">
        <v>50</v>
      </c>
      <c r="G3383" t="s">
        <v>45</v>
      </c>
      <c r="H3383" t="s">
        <v>38</v>
      </c>
      <c r="I3383" t="s">
        <v>39</v>
      </c>
      <c r="J3383" t="s">
        <v>46</v>
      </c>
      <c r="K3383" s="2">
        <v>6950</v>
      </c>
      <c r="L3383" s="2">
        <v>374000</v>
      </c>
      <c r="M3383">
        <v>240</v>
      </c>
      <c r="N3383" s="3">
        <v>0.42599999999999999</v>
      </c>
      <c r="O3383" t="s">
        <v>16</v>
      </c>
      <c r="Q3383">
        <v>1</v>
      </c>
      <c r="R3383">
        <v>0</v>
      </c>
      <c r="S3383" s="2">
        <v>374000</v>
      </c>
      <c r="T3383" s="4">
        <v>4.5900000000000003E-2</v>
      </c>
      <c r="U3383">
        <v>9</v>
      </c>
      <c r="V3383">
        <v>1</v>
      </c>
      <c r="W3383">
        <v>1</v>
      </c>
    </row>
    <row r="3384" spans="1:23" ht="16.5" x14ac:dyDescent="0.3">
      <c r="A3384" t="s">
        <v>3448</v>
      </c>
      <c r="B3384" s="1">
        <v>45781</v>
      </c>
      <c r="C3384">
        <v>2025</v>
      </c>
      <c r="D3384" t="s">
        <v>688</v>
      </c>
      <c r="E3384" t="s">
        <v>885</v>
      </c>
      <c r="F3384" t="s">
        <v>26</v>
      </c>
      <c r="G3384" t="s">
        <v>51</v>
      </c>
      <c r="H3384" t="s">
        <v>28</v>
      </c>
      <c r="I3384" t="s">
        <v>39</v>
      </c>
      <c r="J3384" t="s">
        <v>46</v>
      </c>
      <c r="K3384" s="2">
        <v>5800</v>
      </c>
      <c r="L3384" s="2">
        <v>39000</v>
      </c>
      <c r="M3384">
        <v>36</v>
      </c>
      <c r="N3384" s="3">
        <v>0.33100000000000002</v>
      </c>
      <c r="O3384" t="s">
        <v>16</v>
      </c>
      <c r="Q3384">
        <v>1</v>
      </c>
      <c r="R3384">
        <v>0</v>
      </c>
      <c r="S3384" s="2">
        <v>35000</v>
      </c>
      <c r="T3384" s="4">
        <v>6.6900000000000001E-2</v>
      </c>
      <c r="U3384">
        <v>4</v>
      </c>
      <c r="V3384">
        <v>1</v>
      </c>
      <c r="W3384">
        <v>1</v>
      </c>
    </row>
    <row r="3385" spans="1:23" ht="16.5" x14ac:dyDescent="0.3">
      <c r="A3385" t="s">
        <v>3449</v>
      </c>
      <c r="B3385" s="1">
        <v>45781</v>
      </c>
      <c r="C3385">
        <v>2025</v>
      </c>
      <c r="D3385" t="s">
        <v>688</v>
      </c>
      <c r="E3385" t="s">
        <v>885</v>
      </c>
      <c r="F3385" t="s">
        <v>41</v>
      </c>
      <c r="G3385" t="s">
        <v>51</v>
      </c>
      <c r="H3385" t="s">
        <v>55</v>
      </c>
      <c r="I3385" t="s">
        <v>42</v>
      </c>
      <c r="J3385" t="s">
        <v>46</v>
      </c>
      <c r="K3385" s="2">
        <v>9200</v>
      </c>
      <c r="L3385" s="2">
        <v>89000</v>
      </c>
      <c r="M3385">
        <v>36</v>
      </c>
      <c r="N3385" s="3">
        <v>0.435</v>
      </c>
      <c r="O3385" t="s">
        <v>17</v>
      </c>
      <c r="P3385" t="s">
        <v>60</v>
      </c>
      <c r="Q3385">
        <v>0</v>
      </c>
      <c r="R3385">
        <v>1</v>
      </c>
      <c r="S3385" s="2">
        <v>0</v>
      </c>
      <c r="T3385" s="4"/>
      <c r="U3385">
        <v>15</v>
      </c>
      <c r="V3385">
        <v>0</v>
      </c>
      <c r="W3385">
        <v>1</v>
      </c>
    </row>
    <row r="3386" spans="1:23" ht="16.5" x14ac:dyDescent="0.3">
      <c r="A3386" t="s">
        <v>3450</v>
      </c>
      <c r="B3386" s="1">
        <v>45781</v>
      </c>
      <c r="C3386">
        <v>2025</v>
      </c>
      <c r="D3386" t="s">
        <v>688</v>
      </c>
      <c r="E3386" t="s">
        <v>885</v>
      </c>
      <c r="F3386" t="s">
        <v>41</v>
      </c>
      <c r="G3386" t="s">
        <v>27</v>
      </c>
      <c r="H3386" t="s">
        <v>28</v>
      </c>
      <c r="I3386" t="s">
        <v>29</v>
      </c>
      <c r="J3386" t="s">
        <v>52</v>
      </c>
      <c r="K3386" s="2">
        <v>7950</v>
      </c>
      <c r="L3386" s="2">
        <v>83500</v>
      </c>
      <c r="M3386">
        <v>36</v>
      </c>
      <c r="N3386" s="3">
        <v>0.40300000000000002</v>
      </c>
      <c r="O3386" t="s">
        <v>16</v>
      </c>
      <c r="Q3386">
        <v>1</v>
      </c>
      <c r="R3386">
        <v>0</v>
      </c>
      <c r="S3386" s="2">
        <v>75000</v>
      </c>
      <c r="T3386" s="4">
        <v>9.9199999999999997E-2</v>
      </c>
      <c r="U3386">
        <v>11</v>
      </c>
      <c r="V3386">
        <v>0</v>
      </c>
      <c r="W3386">
        <v>1</v>
      </c>
    </row>
    <row r="3387" spans="1:23" ht="16.5" x14ac:dyDescent="0.3">
      <c r="A3387" t="s">
        <v>3451</v>
      </c>
      <c r="B3387" s="1">
        <v>45781</v>
      </c>
      <c r="C3387">
        <v>2025</v>
      </c>
      <c r="D3387" t="s">
        <v>688</v>
      </c>
      <c r="E3387" t="s">
        <v>885</v>
      </c>
      <c r="F3387" t="s">
        <v>37</v>
      </c>
      <c r="G3387" t="s">
        <v>33</v>
      </c>
      <c r="H3387" t="s">
        <v>64</v>
      </c>
      <c r="I3387" t="s">
        <v>29</v>
      </c>
      <c r="J3387" t="s">
        <v>35</v>
      </c>
      <c r="K3387" s="2">
        <v>5300</v>
      </c>
      <c r="L3387" s="2">
        <v>10000</v>
      </c>
      <c r="M3387">
        <v>24</v>
      </c>
      <c r="N3387" s="3">
        <v>0.28299999999999997</v>
      </c>
      <c r="O3387" t="s">
        <v>16</v>
      </c>
      <c r="Q3387">
        <v>1</v>
      </c>
      <c r="R3387">
        <v>0</v>
      </c>
      <c r="S3387" s="2">
        <v>10000</v>
      </c>
      <c r="T3387" s="4">
        <v>0.1206</v>
      </c>
      <c r="U3387">
        <v>1</v>
      </c>
      <c r="V3387">
        <v>1</v>
      </c>
      <c r="W3387">
        <v>1</v>
      </c>
    </row>
    <row r="3388" spans="1:23" ht="16.5" x14ac:dyDescent="0.3">
      <c r="A3388" t="s">
        <v>3452</v>
      </c>
      <c r="B3388" s="1">
        <v>45781</v>
      </c>
      <c r="C3388">
        <v>2025</v>
      </c>
      <c r="D3388" t="s">
        <v>688</v>
      </c>
      <c r="E3388" t="s">
        <v>885</v>
      </c>
      <c r="F3388" t="s">
        <v>37</v>
      </c>
      <c r="G3388" t="s">
        <v>33</v>
      </c>
      <c r="H3388" t="s">
        <v>55</v>
      </c>
      <c r="I3388" t="s">
        <v>29</v>
      </c>
      <c r="J3388" t="s">
        <v>46</v>
      </c>
      <c r="K3388" s="2">
        <v>3750</v>
      </c>
      <c r="L3388" s="2">
        <v>11000</v>
      </c>
      <c r="M3388">
        <v>36</v>
      </c>
      <c r="N3388" s="3">
        <v>0.255</v>
      </c>
      <c r="O3388" t="s">
        <v>16</v>
      </c>
      <c r="Q3388">
        <v>1</v>
      </c>
      <c r="R3388">
        <v>0</v>
      </c>
      <c r="S3388" s="2">
        <v>11000</v>
      </c>
      <c r="T3388" s="4">
        <v>0.1075</v>
      </c>
      <c r="U3388">
        <v>3</v>
      </c>
      <c r="V3388">
        <v>1</v>
      </c>
      <c r="W3388">
        <v>1</v>
      </c>
    </row>
    <row r="3389" spans="1:23" ht="16.5" x14ac:dyDescent="0.3">
      <c r="A3389" t="s">
        <v>3453</v>
      </c>
      <c r="B3389" s="1">
        <v>45782</v>
      </c>
      <c r="C3389">
        <v>2025</v>
      </c>
      <c r="D3389" t="s">
        <v>688</v>
      </c>
      <c r="E3389" t="s">
        <v>885</v>
      </c>
      <c r="F3389" t="s">
        <v>26</v>
      </c>
      <c r="G3389" t="s">
        <v>33</v>
      </c>
      <c r="H3389" t="s">
        <v>38</v>
      </c>
      <c r="I3389" t="s">
        <v>39</v>
      </c>
      <c r="J3389" t="s">
        <v>35</v>
      </c>
      <c r="K3389" s="2">
        <v>5600</v>
      </c>
      <c r="L3389" s="2">
        <v>29500</v>
      </c>
      <c r="M3389">
        <v>60</v>
      </c>
      <c r="N3389" s="3">
        <v>0.26100000000000001</v>
      </c>
      <c r="O3389" t="s">
        <v>16</v>
      </c>
      <c r="Q3389">
        <v>1</v>
      </c>
      <c r="R3389">
        <v>0</v>
      </c>
      <c r="S3389" s="2">
        <v>23500</v>
      </c>
      <c r="T3389" s="4">
        <v>8.6199999999999999E-2</v>
      </c>
      <c r="U3389">
        <v>1</v>
      </c>
      <c r="V3389">
        <v>1</v>
      </c>
      <c r="W3389">
        <v>1</v>
      </c>
    </row>
    <row r="3390" spans="1:23" ht="16.5" x14ac:dyDescent="0.3">
      <c r="A3390" t="s">
        <v>3454</v>
      </c>
      <c r="B3390" s="1">
        <v>45782</v>
      </c>
      <c r="C3390">
        <v>2025</v>
      </c>
      <c r="D3390" t="s">
        <v>688</v>
      </c>
      <c r="E3390" t="s">
        <v>885</v>
      </c>
      <c r="F3390" t="s">
        <v>41</v>
      </c>
      <c r="G3390" t="s">
        <v>33</v>
      </c>
      <c r="H3390" t="s">
        <v>38</v>
      </c>
      <c r="I3390" t="s">
        <v>29</v>
      </c>
      <c r="J3390" t="s">
        <v>46</v>
      </c>
      <c r="K3390" s="2">
        <v>4550</v>
      </c>
      <c r="L3390" s="2">
        <v>81000</v>
      </c>
      <c r="M3390">
        <v>36</v>
      </c>
      <c r="N3390" s="3">
        <v>0.65200000000000002</v>
      </c>
      <c r="O3390" t="s">
        <v>17</v>
      </c>
      <c r="P3390" t="s">
        <v>60</v>
      </c>
      <c r="Q3390">
        <v>0</v>
      </c>
      <c r="R3390">
        <v>1</v>
      </c>
      <c r="S3390" s="2">
        <v>0</v>
      </c>
      <c r="T3390" s="4"/>
      <c r="U3390">
        <v>8</v>
      </c>
      <c r="V3390">
        <v>1</v>
      </c>
      <c r="W3390">
        <v>1</v>
      </c>
    </row>
    <row r="3391" spans="1:23" ht="16.5" x14ac:dyDescent="0.3">
      <c r="A3391" t="s">
        <v>3455</v>
      </c>
      <c r="B3391" s="1">
        <v>45782</v>
      </c>
      <c r="C3391">
        <v>2025</v>
      </c>
      <c r="D3391" t="s">
        <v>688</v>
      </c>
      <c r="E3391" t="s">
        <v>885</v>
      </c>
      <c r="F3391" t="s">
        <v>37</v>
      </c>
      <c r="G3391" t="s">
        <v>45</v>
      </c>
      <c r="H3391" t="s">
        <v>64</v>
      </c>
      <c r="I3391" t="s">
        <v>29</v>
      </c>
      <c r="J3391" t="s">
        <v>35</v>
      </c>
      <c r="K3391" s="2">
        <v>5500</v>
      </c>
      <c r="L3391" s="2">
        <v>10000</v>
      </c>
      <c r="M3391">
        <v>24</v>
      </c>
      <c r="N3391" s="3">
        <v>0.248</v>
      </c>
      <c r="O3391" t="s">
        <v>17</v>
      </c>
      <c r="P3391" t="s">
        <v>31</v>
      </c>
      <c r="Q3391">
        <v>0</v>
      </c>
      <c r="R3391">
        <v>1</v>
      </c>
      <c r="S3391" s="2">
        <v>0</v>
      </c>
      <c r="T3391" s="4"/>
      <c r="U3391">
        <v>2</v>
      </c>
      <c r="V3391">
        <v>1</v>
      </c>
      <c r="W3391">
        <v>1</v>
      </c>
    </row>
    <row r="3392" spans="1:23" ht="16.5" x14ac:dyDescent="0.3">
      <c r="A3392" t="s">
        <v>3456</v>
      </c>
      <c r="B3392" s="1">
        <v>45782</v>
      </c>
      <c r="C3392">
        <v>2025</v>
      </c>
      <c r="D3392" t="s">
        <v>688</v>
      </c>
      <c r="E3392" t="s">
        <v>885</v>
      </c>
      <c r="F3392" t="s">
        <v>37</v>
      </c>
      <c r="G3392" t="s">
        <v>51</v>
      </c>
      <c r="H3392" t="s">
        <v>34</v>
      </c>
      <c r="I3392" t="s">
        <v>29</v>
      </c>
      <c r="J3392" t="s">
        <v>30</v>
      </c>
      <c r="K3392" s="2">
        <v>5450</v>
      </c>
      <c r="L3392" s="2">
        <v>10000</v>
      </c>
      <c r="M3392">
        <v>36</v>
      </c>
      <c r="N3392" s="3">
        <v>0.29799999999999999</v>
      </c>
      <c r="O3392" t="s">
        <v>16</v>
      </c>
      <c r="Q3392">
        <v>1</v>
      </c>
      <c r="R3392">
        <v>0</v>
      </c>
      <c r="S3392" s="2">
        <v>10000</v>
      </c>
      <c r="T3392" s="4">
        <v>0.14269999999999999</v>
      </c>
      <c r="U3392">
        <v>4</v>
      </c>
      <c r="V3392">
        <v>0</v>
      </c>
      <c r="W3392">
        <v>1</v>
      </c>
    </row>
    <row r="3393" spans="1:23" ht="16.5" x14ac:dyDescent="0.3">
      <c r="A3393" t="s">
        <v>3457</v>
      </c>
      <c r="B3393" s="1">
        <v>45782</v>
      </c>
      <c r="C3393">
        <v>2025</v>
      </c>
      <c r="D3393" t="s">
        <v>688</v>
      </c>
      <c r="E3393" t="s">
        <v>885</v>
      </c>
      <c r="F3393" t="s">
        <v>41</v>
      </c>
      <c r="G3393" t="s">
        <v>51</v>
      </c>
      <c r="H3393" t="s">
        <v>55</v>
      </c>
      <c r="I3393" t="s">
        <v>39</v>
      </c>
      <c r="J3393" t="s">
        <v>30</v>
      </c>
      <c r="K3393" s="2">
        <v>4500</v>
      </c>
      <c r="L3393" s="2">
        <v>60500</v>
      </c>
      <c r="M3393">
        <v>12</v>
      </c>
      <c r="N3393" s="3">
        <v>1.333</v>
      </c>
      <c r="O3393" t="s">
        <v>17</v>
      </c>
      <c r="P3393" t="s">
        <v>31</v>
      </c>
      <c r="Q3393">
        <v>0</v>
      </c>
      <c r="R3393">
        <v>1</v>
      </c>
      <c r="S3393" s="2">
        <v>0</v>
      </c>
      <c r="T3393" s="4"/>
      <c r="U3393">
        <v>17</v>
      </c>
      <c r="V3393">
        <v>0</v>
      </c>
      <c r="W3393">
        <v>1</v>
      </c>
    </row>
    <row r="3394" spans="1:23" ht="16.5" x14ac:dyDescent="0.3">
      <c r="A3394" t="s">
        <v>3458</v>
      </c>
      <c r="B3394" s="1">
        <v>45782</v>
      </c>
      <c r="C3394">
        <v>2025</v>
      </c>
      <c r="D3394" t="s">
        <v>688</v>
      </c>
      <c r="E3394" t="s">
        <v>885</v>
      </c>
      <c r="F3394" t="s">
        <v>41</v>
      </c>
      <c r="G3394" t="s">
        <v>45</v>
      </c>
      <c r="H3394" t="s">
        <v>34</v>
      </c>
      <c r="I3394" t="s">
        <v>42</v>
      </c>
      <c r="J3394" t="s">
        <v>35</v>
      </c>
      <c r="K3394" s="2">
        <v>5750</v>
      </c>
      <c r="L3394" s="2">
        <v>42500</v>
      </c>
      <c r="M3394">
        <v>36</v>
      </c>
      <c r="N3394" s="3">
        <v>0.34</v>
      </c>
      <c r="O3394" t="s">
        <v>17</v>
      </c>
      <c r="P3394" t="s">
        <v>31</v>
      </c>
      <c r="Q3394">
        <v>0</v>
      </c>
      <c r="R3394">
        <v>1</v>
      </c>
      <c r="S3394" s="2">
        <v>0</v>
      </c>
      <c r="T3394" s="4"/>
      <c r="U3394">
        <v>5</v>
      </c>
      <c r="V3394">
        <v>1</v>
      </c>
      <c r="W3394">
        <v>1</v>
      </c>
    </row>
    <row r="3395" spans="1:23" ht="16.5" x14ac:dyDescent="0.3">
      <c r="A3395" t="s">
        <v>3459</v>
      </c>
      <c r="B3395" s="1">
        <v>45782</v>
      </c>
      <c r="C3395">
        <v>2025</v>
      </c>
      <c r="D3395" t="s">
        <v>688</v>
      </c>
      <c r="E3395" t="s">
        <v>885</v>
      </c>
      <c r="F3395" t="s">
        <v>37</v>
      </c>
      <c r="G3395" t="s">
        <v>27</v>
      </c>
      <c r="H3395" t="s">
        <v>34</v>
      </c>
      <c r="I3395" t="s">
        <v>42</v>
      </c>
      <c r="J3395" t="s">
        <v>30</v>
      </c>
      <c r="K3395" s="2">
        <v>7850</v>
      </c>
      <c r="L3395" s="2">
        <v>8500</v>
      </c>
      <c r="M3395">
        <v>60</v>
      </c>
      <c r="N3395" s="3">
        <v>0.14199999999999999</v>
      </c>
      <c r="O3395" t="s">
        <v>16</v>
      </c>
      <c r="Q3395">
        <v>1</v>
      </c>
      <c r="R3395">
        <v>0</v>
      </c>
      <c r="S3395" s="2">
        <v>8500</v>
      </c>
      <c r="T3395" s="4">
        <v>0.14380000000000001</v>
      </c>
      <c r="U3395">
        <v>4</v>
      </c>
      <c r="V3395">
        <v>0</v>
      </c>
      <c r="W3395">
        <v>1</v>
      </c>
    </row>
    <row r="3396" spans="1:23" ht="16.5" x14ac:dyDescent="0.3">
      <c r="A3396" t="s">
        <v>3460</v>
      </c>
      <c r="B3396" s="1">
        <v>45783</v>
      </c>
      <c r="C3396">
        <v>2025</v>
      </c>
      <c r="D3396" t="s">
        <v>688</v>
      </c>
      <c r="E3396" t="s">
        <v>885</v>
      </c>
      <c r="F3396" t="s">
        <v>37</v>
      </c>
      <c r="G3396" t="s">
        <v>51</v>
      </c>
      <c r="H3396" t="s">
        <v>55</v>
      </c>
      <c r="I3396" t="s">
        <v>29</v>
      </c>
      <c r="J3396" t="s">
        <v>43</v>
      </c>
      <c r="K3396" s="2">
        <v>2900</v>
      </c>
      <c r="L3396" s="2">
        <v>4000</v>
      </c>
      <c r="M3396">
        <v>12</v>
      </c>
      <c r="N3396" s="3">
        <v>0.34300000000000003</v>
      </c>
      <c r="O3396" t="s">
        <v>17</v>
      </c>
      <c r="P3396" t="s">
        <v>31</v>
      </c>
      <c r="Q3396">
        <v>0</v>
      </c>
      <c r="R3396">
        <v>1</v>
      </c>
      <c r="S3396" s="2">
        <v>0</v>
      </c>
      <c r="T3396" s="4"/>
      <c r="U3396">
        <v>5</v>
      </c>
      <c r="V3396">
        <v>0</v>
      </c>
      <c r="W3396">
        <v>1</v>
      </c>
    </row>
    <row r="3397" spans="1:23" ht="16.5" x14ac:dyDescent="0.3">
      <c r="A3397" t="s">
        <v>3461</v>
      </c>
      <c r="B3397" s="1">
        <v>45783</v>
      </c>
      <c r="C3397">
        <v>2025</v>
      </c>
      <c r="D3397" t="s">
        <v>688</v>
      </c>
      <c r="E3397" t="s">
        <v>885</v>
      </c>
      <c r="F3397" t="s">
        <v>26</v>
      </c>
      <c r="G3397" t="s">
        <v>51</v>
      </c>
      <c r="H3397" t="s">
        <v>38</v>
      </c>
      <c r="I3397" t="s">
        <v>42</v>
      </c>
      <c r="J3397" t="s">
        <v>35</v>
      </c>
      <c r="K3397" s="2">
        <v>4250</v>
      </c>
      <c r="L3397" s="2">
        <v>36000</v>
      </c>
      <c r="M3397">
        <v>60</v>
      </c>
      <c r="N3397" s="3">
        <v>0.223</v>
      </c>
      <c r="O3397" t="s">
        <v>17</v>
      </c>
      <c r="P3397" t="s">
        <v>65</v>
      </c>
      <c r="Q3397">
        <v>0</v>
      </c>
      <c r="R3397">
        <v>1</v>
      </c>
      <c r="S3397" s="2">
        <v>0</v>
      </c>
      <c r="T3397" s="4"/>
      <c r="U3397">
        <v>6</v>
      </c>
      <c r="V3397">
        <v>0</v>
      </c>
      <c r="W3397">
        <v>1</v>
      </c>
    </row>
    <row r="3398" spans="1:23" ht="16.5" x14ac:dyDescent="0.3">
      <c r="A3398" t="s">
        <v>3462</v>
      </c>
      <c r="B3398" s="1">
        <v>45783</v>
      </c>
      <c r="C3398">
        <v>2025</v>
      </c>
      <c r="D3398" t="s">
        <v>688</v>
      </c>
      <c r="E3398" t="s">
        <v>885</v>
      </c>
      <c r="F3398" t="s">
        <v>50</v>
      </c>
      <c r="G3398" t="s">
        <v>51</v>
      </c>
      <c r="H3398" t="s">
        <v>34</v>
      </c>
      <c r="I3398" t="s">
        <v>29</v>
      </c>
      <c r="J3398" t="s">
        <v>46</v>
      </c>
      <c r="K3398" s="2">
        <v>3100</v>
      </c>
      <c r="L3398" s="2">
        <v>194000</v>
      </c>
      <c r="M3398">
        <v>240</v>
      </c>
      <c r="N3398" s="3">
        <v>0.623</v>
      </c>
      <c r="O3398" t="s">
        <v>17</v>
      </c>
      <c r="P3398" t="s">
        <v>60</v>
      </c>
      <c r="Q3398">
        <v>0</v>
      </c>
      <c r="R3398">
        <v>1</v>
      </c>
      <c r="S3398" s="2">
        <v>0</v>
      </c>
      <c r="T3398" s="4"/>
      <c r="U3398">
        <v>17</v>
      </c>
      <c r="V3398">
        <v>0</v>
      </c>
      <c r="W3398">
        <v>1</v>
      </c>
    </row>
    <row r="3399" spans="1:23" ht="16.5" x14ac:dyDescent="0.3">
      <c r="A3399" t="s">
        <v>3463</v>
      </c>
      <c r="B3399" s="1">
        <v>45783</v>
      </c>
      <c r="C3399">
        <v>2025</v>
      </c>
      <c r="D3399" t="s">
        <v>688</v>
      </c>
      <c r="E3399" t="s">
        <v>885</v>
      </c>
      <c r="F3399" t="s">
        <v>37</v>
      </c>
      <c r="G3399" t="s">
        <v>33</v>
      </c>
      <c r="H3399" t="s">
        <v>28</v>
      </c>
      <c r="I3399" t="s">
        <v>29</v>
      </c>
      <c r="J3399" t="s">
        <v>35</v>
      </c>
      <c r="K3399" s="2">
        <v>4250</v>
      </c>
      <c r="L3399" s="2">
        <v>8500</v>
      </c>
      <c r="M3399">
        <v>24</v>
      </c>
      <c r="N3399" s="3">
        <v>0.224</v>
      </c>
      <c r="O3399" t="s">
        <v>17</v>
      </c>
      <c r="P3399" t="s">
        <v>60</v>
      </c>
      <c r="Q3399">
        <v>0</v>
      </c>
      <c r="R3399">
        <v>1</v>
      </c>
      <c r="S3399" s="2">
        <v>0</v>
      </c>
      <c r="T3399" s="4"/>
      <c r="U3399">
        <v>5</v>
      </c>
      <c r="V3399">
        <v>0</v>
      </c>
      <c r="W3399">
        <v>1</v>
      </c>
    </row>
    <row r="3400" spans="1:23" ht="16.5" x14ac:dyDescent="0.3">
      <c r="A3400" t="s">
        <v>3464</v>
      </c>
      <c r="B3400" s="1">
        <v>45783</v>
      </c>
      <c r="C3400">
        <v>2025</v>
      </c>
      <c r="D3400" t="s">
        <v>688</v>
      </c>
      <c r="E3400" t="s">
        <v>885</v>
      </c>
      <c r="F3400" t="s">
        <v>50</v>
      </c>
      <c r="G3400" t="s">
        <v>45</v>
      </c>
      <c r="H3400" t="s">
        <v>55</v>
      </c>
      <c r="I3400" t="s">
        <v>39</v>
      </c>
      <c r="J3400" t="s">
        <v>52</v>
      </c>
      <c r="K3400" s="2">
        <v>6700</v>
      </c>
      <c r="L3400" s="2">
        <v>223500</v>
      </c>
      <c r="M3400">
        <v>240</v>
      </c>
      <c r="N3400" s="3">
        <v>0.32300000000000001</v>
      </c>
      <c r="O3400" t="s">
        <v>16</v>
      </c>
      <c r="Q3400">
        <v>1</v>
      </c>
      <c r="R3400">
        <v>0</v>
      </c>
      <c r="S3400" s="2">
        <v>223500</v>
      </c>
      <c r="T3400" s="4">
        <v>5.3900000000000003E-2</v>
      </c>
      <c r="U3400">
        <v>6</v>
      </c>
      <c r="V3400">
        <v>1</v>
      </c>
      <c r="W3400">
        <v>1</v>
      </c>
    </row>
    <row r="3401" spans="1:23" ht="16.5" x14ac:dyDescent="0.3">
      <c r="A3401" t="s">
        <v>3465</v>
      </c>
      <c r="B3401" s="1">
        <v>45783</v>
      </c>
      <c r="C3401">
        <v>2025</v>
      </c>
      <c r="D3401" t="s">
        <v>688</v>
      </c>
      <c r="E3401" t="s">
        <v>885</v>
      </c>
      <c r="F3401" t="s">
        <v>41</v>
      </c>
      <c r="G3401" t="s">
        <v>33</v>
      </c>
      <c r="H3401" t="s">
        <v>55</v>
      </c>
      <c r="I3401" t="s">
        <v>29</v>
      </c>
      <c r="J3401" t="s">
        <v>35</v>
      </c>
      <c r="K3401" s="2">
        <v>4600</v>
      </c>
      <c r="L3401" s="2">
        <v>110500</v>
      </c>
      <c r="M3401">
        <v>24</v>
      </c>
      <c r="N3401" s="3">
        <v>1.25</v>
      </c>
      <c r="O3401" t="s">
        <v>125</v>
      </c>
      <c r="Q3401">
        <v>0</v>
      </c>
      <c r="R3401">
        <v>0</v>
      </c>
      <c r="S3401" s="2">
        <v>0</v>
      </c>
      <c r="T3401" s="4"/>
      <c r="U3401">
        <v>6</v>
      </c>
      <c r="V3401">
        <v>1</v>
      </c>
      <c r="W3401">
        <v>1</v>
      </c>
    </row>
    <row r="3402" spans="1:23" ht="16.5" x14ac:dyDescent="0.3">
      <c r="A3402" t="s">
        <v>3466</v>
      </c>
      <c r="B3402" s="1">
        <v>45783</v>
      </c>
      <c r="C3402">
        <v>2025</v>
      </c>
      <c r="D3402" t="s">
        <v>688</v>
      </c>
      <c r="E3402" t="s">
        <v>885</v>
      </c>
      <c r="F3402" t="s">
        <v>37</v>
      </c>
      <c r="G3402" t="s">
        <v>27</v>
      </c>
      <c r="H3402" t="s">
        <v>34</v>
      </c>
      <c r="I3402" t="s">
        <v>29</v>
      </c>
      <c r="J3402" t="s">
        <v>30</v>
      </c>
      <c r="K3402" s="2">
        <v>6550</v>
      </c>
      <c r="L3402" s="2">
        <v>8000</v>
      </c>
      <c r="M3402">
        <v>48</v>
      </c>
      <c r="N3402" s="3">
        <v>0.10299999999999999</v>
      </c>
      <c r="O3402" t="s">
        <v>17</v>
      </c>
      <c r="P3402" t="s">
        <v>31</v>
      </c>
      <c r="Q3402">
        <v>0</v>
      </c>
      <c r="R3402">
        <v>1</v>
      </c>
      <c r="S3402" s="2">
        <v>0</v>
      </c>
      <c r="T3402" s="4"/>
      <c r="U3402">
        <v>2</v>
      </c>
      <c r="V3402">
        <v>1</v>
      </c>
      <c r="W3402">
        <v>1</v>
      </c>
    </row>
    <row r="3403" spans="1:23" ht="16.5" x14ac:dyDescent="0.3">
      <c r="A3403" t="s">
        <v>3467</v>
      </c>
      <c r="B3403" s="1">
        <v>45784</v>
      </c>
      <c r="C3403">
        <v>2025</v>
      </c>
      <c r="D3403" t="s">
        <v>688</v>
      </c>
      <c r="E3403" t="s">
        <v>885</v>
      </c>
      <c r="F3403" t="s">
        <v>41</v>
      </c>
      <c r="G3403" t="s">
        <v>27</v>
      </c>
      <c r="H3403" t="s">
        <v>38</v>
      </c>
      <c r="I3403" t="s">
        <v>39</v>
      </c>
      <c r="J3403" t="s">
        <v>35</v>
      </c>
      <c r="K3403" s="2">
        <v>7450</v>
      </c>
      <c r="L3403" s="2">
        <v>59500</v>
      </c>
      <c r="M3403">
        <v>12</v>
      </c>
      <c r="N3403" s="3">
        <v>0.86899999999999999</v>
      </c>
      <c r="O3403" t="s">
        <v>17</v>
      </c>
      <c r="P3403" t="s">
        <v>60</v>
      </c>
      <c r="Q3403">
        <v>0</v>
      </c>
      <c r="R3403">
        <v>1</v>
      </c>
      <c r="S3403" s="2">
        <v>0</v>
      </c>
      <c r="T3403" s="4"/>
      <c r="U3403">
        <v>14</v>
      </c>
      <c r="V3403">
        <v>0</v>
      </c>
      <c r="W3403">
        <v>1</v>
      </c>
    </row>
    <row r="3404" spans="1:23" ht="16.5" x14ac:dyDescent="0.3">
      <c r="A3404" t="s">
        <v>3468</v>
      </c>
      <c r="B3404" s="1">
        <v>45784</v>
      </c>
      <c r="C3404">
        <v>2025</v>
      </c>
      <c r="D3404" t="s">
        <v>688</v>
      </c>
      <c r="E3404" t="s">
        <v>885</v>
      </c>
      <c r="F3404" t="s">
        <v>37</v>
      </c>
      <c r="G3404" t="s">
        <v>33</v>
      </c>
      <c r="H3404" t="s">
        <v>38</v>
      </c>
      <c r="I3404" t="s">
        <v>29</v>
      </c>
      <c r="J3404" t="s">
        <v>43</v>
      </c>
      <c r="K3404" s="2">
        <v>8700</v>
      </c>
      <c r="L3404" s="2">
        <v>9500</v>
      </c>
      <c r="M3404">
        <v>48</v>
      </c>
      <c r="N3404" s="3">
        <v>0.25900000000000001</v>
      </c>
      <c r="O3404" t="s">
        <v>16</v>
      </c>
      <c r="Q3404">
        <v>1</v>
      </c>
      <c r="R3404">
        <v>0</v>
      </c>
      <c r="S3404" s="2">
        <v>9500</v>
      </c>
      <c r="T3404" s="4">
        <v>0.1593</v>
      </c>
      <c r="U3404">
        <v>2</v>
      </c>
      <c r="V3404">
        <v>1</v>
      </c>
      <c r="W3404">
        <v>1</v>
      </c>
    </row>
    <row r="3405" spans="1:23" ht="16.5" x14ac:dyDescent="0.3">
      <c r="A3405" t="s">
        <v>3469</v>
      </c>
      <c r="B3405" s="1">
        <v>45784</v>
      </c>
      <c r="C3405">
        <v>2025</v>
      </c>
      <c r="D3405" t="s">
        <v>688</v>
      </c>
      <c r="E3405" t="s">
        <v>885</v>
      </c>
      <c r="F3405" t="s">
        <v>26</v>
      </c>
      <c r="G3405" t="s">
        <v>33</v>
      </c>
      <c r="H3405" t="s">
        <v>38</v>
      </c>
      <c r="I3405" t="s">
        <v>39</v>
      </c>
      <c r="J3405" t="s">
        <v>43</v>
      </c>
      <c r="K3405" s="2">
        <v>5450</v>
      </c>
      <c r="L3405" s="2">
        <v>22000</v>
      </c>
      <c r="M3405">
        <v>48</v>
      </c>
      <c r="N3405" s="3">
        <v>0.33100000000000002</v>
      </c>
      <c r="O3405" t="s">
        <v>17</v>
      </c>
      <c r="P3405" t="s">
        <v>31</v>
      </c>
      <c r="Q3405">
        <v>0</v>
      </c>
      <c r="R3405">
        <v>1</v>
      </c>
      <c r="S3405" s="2">
        <v>0</v>
      </c>
      <c r="T3405" s="4"/>
      <c r="U3405">
        <v>1</v>
      </c>
      <c r="V3405">
        <v>1</v>
      </c>
      <c r="W3405">
        <v>1</v>
      </c>
    </row>
    <row r="3406" spans="1:23" ht="16.5" x14ac:dyDescent="0.3">
      <c r="A3406" t="s">
        <v>3470</v>
      </c>
      <c r="B3406" s="1">
        <v>45784</v>
      </c>
      <c r="C3406">
        <v>2025</v>
      </c>
      <c r="D3406" t="s">
        <v>688</v>
      </c>
      <c r="E3406" t="s">
        <v>885</v>
      </c>
      <c r="F3406" t="s">
        <v>37</v>
      </c>
      <c r="G3406" t="s">
        <v>51</v>
      </c>
      <c r="H3406" t="s">
        <v>38</v>
      </c>
      <c r="I3406" t="s">
        <v>39</v>
      </c>
      <c r="J3406" t="s">
        <v>30</v>
      </c>
      <c r="K3406" s="2">
        <v>4600</v>
      </c>
      <c r="L3406" s="2">
        <v>34000</v>
      </c>
      <c r="M3406">
        <v>36</v>
      </c>
      <c r="N3406" s="3">
        <v>0.48599999999999999</v>
      </c>
      <c r="O3406" t="s">
        <v>17</v>
      </c>
      <c r="P3406" t="s">
        <v>53</v>
      </c>
      <c r="Q3406">
        <v>0</v>
      </c>
      <c r="R3406">
        <v>1</v>
      </c>
      <c r="S3406" s="2">
        <v>0</v>
      </c>
      <c r="T3406" s="4"/>
      <c r="U3406">
        <v>4</v>
      </c>
      <c r="V3406">
        <v>0</v>
      </c>
      <c r="W3406">
        <v>1</v>
      </c>
    </row>
    <row r="3407" spans="1:23" ht="16.5" x14ac:dyDescent="0.3">
      <c r="A3407" t="s">
        <v>3471</v>
      </c>
      <c r="B3407" s="1">
        <v>45784</v>
      </c>
      <c r="C3407">
        <v>2025</v>
      </c>
      <c r="D3407" t="s">
        <v>688</v>
      </c>
      <c r="E3407" t="s">
        <v>885</v>
      </c>
      <c r="F3407" t="s">
        <v>26</v>
      </c>
      <c r="G3407" t="s">
        <v>45</v>
      </c>
      <c r="H3407" t="s">
        <v>55</v>
      </c>
      <c r="I3407" t="s">
        <v>29</v>
      </c>
      <c r="J3407" t="s">
        <v>52</v>
      </c>
      <c r="K3407" s="2">
        <v>5950</v>
      </c>
      <c r="L3407" s="2">
        <v>26500</v>
      </c>
      <c r="M3407">
        <v>48</v>
      </c>
      <c r="N3407" s="3">
        <v>0.20300000000000001</v>
      </c>
      <c r="O3407" t="s">
        <v>16</v>
      </c>
      <c r="Q3407">
        <v>1</v>
      </c>
      <c r="R3407">
        <v>0</v>
      </c>
      <c r="S3407" s="2">
        <v>26500</v>
      </c>
      <c r="T3407" s="4">
        <v>6.7900000000000002E-2</v>
      </c>
      <c r="U3407">
        <v>2</v>
      </c>
      <c r="V3407">
        <v>1</v>
      </c>
      <c r="W3407">
        <v>1</v>
      </c>
    </row>
    <row r="3408" spans="1:23" ht="16.5" x14ac:dyDescent="0.3">
      <c r="A3408" t="s">
        <v>3472</v>
      </c>
      <c r="B3408" s="1">
        <v>45784</v>
      </c>
      <c r="C3408">
        <v>2025</v>
      </c>
      <c r="D3408" t="s">
        <v>688</v>
      </c>
      <c r="E3408" t="s">
        <v>885</v>
      </c>
      <c r="F3408" t="s">
        <v>37</v>
      </c>
      <c r="G3408" t="s">
        <v>51</v>
      </c>
      <c r="H3408" t="s">
        <v>34</v>
      </c>
      <c r="I3408" t="s">
        <v>29</v>
      </c>
      <c r="J3408" t="s">
        <v>52</v>
      </c>
      <c r="K3408" s="2">
        <v>5550</v>
      </c>
      <c r="L3408" s="2">
        <v>18000</v>
      </c>
      <c r="M3408">
        <v>24</v>
      </c>
      <c r="N3408" s="3">
        <v>0.36199999999999999</v>
      </c>
      <c r="O3408" t="s">
        <v>17</v>
      </c>
      <c r="P3408" t="s">
        <v>48</v>
      </c>
      <c r="Q3408">
        <v>0</v>
      </c>
      <c r="R3408">
        <v>1</v>
      </c>
      <c r="S3408" s="2">
        <v>0</v>
      </c>
      <c r="T3408" s="4"/>
      <c r="U3408">
        <v>7</v>
      </c>
      <c r="V3408">
        <v>0</v>
      </c>
      <c r="W3408">
        <v>1</v>
      </c>
    </row>
    <row r="3409" spans="1:23" ht="16.5" x14ac:dyDescent="0.3">
      <c r="A3409" t="s">
        <v>3473</v>
      </c>
      <c r="B3409" s="1">
        <v>45784</v>
      </c>
      <c r="C3409">
        <v>2025</v>
      </c>
      <c r="D3409" t="s">
        <v>688</v>
      </c>
      <c r="E3409" t="s">
        <v>885</v>
      </c>
      <c r="F3409" t="s">
        <v>50</v>
      </c>
      <c r="G3409" t="s">
        <v>51</v>
      </c>
      <c r="H3409" t="s">
        <v>34</v>
      </c>
      <c r="I3409" t="s">
        <v>29</v>
      </c>
      <c r="J3409" t="s">
        <v>46</v>
      </c>
      <c r="K3409" s="2">
        <v>5050</v>
      </c>
      <c r="L3409" s="2">
        <v>284000</v>
      </c>
      <c r="M3409">
        <v>180</v>
      </c>
      <c r="N3409" s="3">
        <v>0.51400000000000001</v>
      </c>
      <c r="O3409" t="s">
        <v>16</v>
      </c>
      <c r="Q3409">
        <v>1</v>
      </c>
      <c r="R3409">
        <v>0</v>
      </c>
      <c r="S3409" s="2">
        <v>284000</v>
      </c>
      <c r="T3409" s="4">
        <v>0.04</v>
      </c>
      <c r="U3409">
        <v>24</v>
      </c>
      <c r="V3409">
        <v>0</v>
      </c>
      <c r="W3409">
        <v>1</v>
      </c>
    </row>
    <row r="3410" spans="1:23" ht="16.5" x14ac:dyDescent="0.3">
      <c r="A3410" t="s">
        <v>3474</v>
      </c>
      <c r="B3410" s="1">
        <v>45784</v>
      </c>
      <c r="C3410">
        <v>2025</v>
      </c>
      <c r="D3410" t="s">
        <v>688</v>
      </c>
      <c r="E3410" t="s">
        <v>885</v>
      </c>
      <c r="F3410" t="s">
        <v>37</v>
      </c>
      <c r="G3410" t="s">
        <v>51</v>
      </c>
      <c r="H3410" t="s">
        <v>55</v>
      </c>
      <c r="I3410" t="s">
        <v>42</v>
      </c>
      <c r="J3410" t="s">
        <v>35</v>
      </c>
      <c r="K3410" s="2">
        <v>8650</v>
      </c>
      <c r="L3410" s="2">
        <v>8000</v>
      </c>
      <c r="M3410">
        <v>12</v>
      </c>
      <c r="N3410" s="3">
        <v>0.22800000000000001</v>
      </c>
      <c r="O3410" t="s">
        <v>16</v>
      </c>
      <c r="Q3410">
        <v>1</v>
      </c>
      <c r="R3410">
        <v>0</v>
      </c>
      <c r="S3410" s="2">
        <v>8000</v>
      </c>
      <c r="T3410" s="4">
        <v>0.12889999999999999</v>
      </c>
      <c r="U3410">
        <v>6</v>
      </c>
      <c r="V3410">
        <v>0</v>
      </c>
      <c r="W3410">
        <v>1</v>
      </c>
    </row>
    <row r="3411" spans="1:23" ht="16.5" x14ac:dyDescent="0.3">
      <c r="A3411" t="s">
        <v>3475</v>
      </c>
      <c r="B3411" s="1">
        <v>45784</v>
      </c>
      <c r="C3411">
        <v>2025</v>
      </c>
      <c r="D3411" t="s">
        <v>688</v>
      </c>
      <c r="E3411" t="s">
        <v>885</v>
      </c>
      <c r="F3411" t="s">
        <v>37</v>
      </c>
      <c r="G3411" t="s">
        <v>51</v>
      </c>
      <c r="H3411" t="s">
        <v>38</v>
      </c>
      <c r="I3411" t="s">
        <v>29</v>
      </c>
      <c r="J3411" t="s">
        <v>30</v>
      </c>
      <c r="K3411" s="2">
        <v>3550</v>
      </c>
      <c r="L3411" s="2">
        <v>9500</v>
      </c>
      <c r="M3411">
        <v>24</v>
      </c>
      <c r="N3411" s="3">
        <v>0.27300000000000002</v>
      </c>
      <c r="O3411" t="s">
        <v>16</v>
      </c>
      <c r="Q3411">
        <v>1</v>
      </c>
      <c r="R3411">
        <v>0</v>
      </c>
      <c r="S3411" s="2">
        <v>7500</v>
      </c>
      <c r="T3411" s="4">
        <v>0.13519999999999999</v>
      </c>
      <c r="U3411">
        <v>3</v>
      </c>
      <c r="V3411">
        <v>1</v>
      </c>
      <c r="W3411">
        <v>1</v>
      </c>
    </row>
    <row r="3412" spans="1:23" ht="16.5" x14ac:dyDescent="0.3">
      <c r="A3412" t="s">
        <v>3476</v>
      </c>
      <c r="B3412" s="1">
        <v>45784</v>
      </c>
      <c r="C3412">
        <v>2025</v>
      </c>
      <c r="D3412" t="s">
        <v>688</v>
      </c>
      <c r="E3412" t="s">
        <v>885</v>
      </c>
      <c r="F3412" t="s">
        <v>50</v>
      </c>
      <c r="G3412" t="s">
        <v>33</v>
      </c>
      <c r="H3412" t="s">
        <v>55</v>
      </c>
      <c r="I3412" t="s">
        <v>39</v>
      </c>
      <c r="J3412" t="s">
        <v>35</v>
      </c>
      <c r="K3412" s="2">
        <v>3400</v>
      </c>
      <c r="L3412" s="2">
        <v>206000</v>
      </c>
      <c r="M3412">
        <v>180</v>
      </c>
      <c r="N3412" s="3">
        <v>0.58799999999999997</v>
      </c>
      <c r="O3412" t="s">
        <v>17</v>
      </c>
      <c r="P3412" t="s">
        <v>60</v>
      </c>
      <c r="Q3412">
        <v>0</v>
      </c>
      <c r="R3412">
        <v>1</v>
      </c>
      <c r="S3412" s="2">
        <v>0</v>
      </c>
      <c r="T3412" s="4"/>
      <c r="U3412">
        <v>14</v>
      </c>
      <c r="V3412">
        <v>1</v>
      </c>
      <c r="W3412">
        <v>1</v>
      </c>
    </row>
    <row r="3413" spans="1:23" ht="16.5" x14ac:dyDescent="0.3">
      <c r="A3413" t="s">
        <v>3477</v>
      </c>
      <c r="B3413" s="1">
        <v>45784</v>
      </c>
      <c r="C3413">
        <v>2025</v>
      </c>
      <c r="D3413" t="s">
        <v>688</v>
      </c>
      <c r="E3413" t="s">
        <v>885</v>
      </c>
      <c r="F3413" t="s">
        <v>37</v>
      </c>
      <c r="G3413" t="s">
        <v>27</v>
      </c>
      <c r="H3413" t="s">
        <v>55</v>
      </c>
      <c r="I3413" t="s">
        <v>29</v>
      </c>
      <c r="J3413" t="s">
        <v>52</v>
      </c>
      <c r="K3413" s="2">
        <v>4250</v>
      </c>
      <c r="L3413" s="2">
        <v>11000</v>
      </c>
      <c r="M3413">
        <v>24</v>
      </c>
      <c r="N3413" s="3">
        <v>0.23699999999999999</v>
      </c>
      <c r="O3413" t="s">
        <v>16</v>
      </c>
      <c r="Q3413">
        <v>1</v>
      </c>
      <c r="R3413">
        <v>0</v>
      </c>
      <c r="S3413" s="2">
        <v>11000</v>
      </c>
      <c r="T3413" s="4">
        <v>0.11700000000000001</v>
      </c>
      <c r="U3413">
        <v>4</v>
      </c>
      <c r="V3413">
        <v>0</v>
      </c>
      <c r="W3413">
        <v>1</v>
      </c>
    </row>
    <row r="3414" spans="1:23" ht="16.5" x14ac:dyDescent="0.3">
      <c r="A3414" t="s">
        <v>3478</v>
      </c>
      <c r="B3414" s="1">
        <v>45784</v>
      </c>
      <c r="C3414">
        <v>2025</v>
      </c>
      <c r="D3414" t="s">
        <v>688</v>
      </c>
      <c r="E3414" t="s">
        <v>885</v>
      </c>
      <c r="F3414" t="s">
        <v>50</v>
      </c>
      <c r="G3414" t="s">
        <v>33</v>
      </c>
      <c r="H3414" t="s">
        <v>38</v>
      </c>
      <c r="I3414" t="s">
        <v>39</v>
      </c>
      <c r="J3414" t="s">
        <v>30</v>
      </c>
      <c r="K3414" s="2">
        <v>5050</v>
      </c>
      <c r="L3414" s="2">
        <v>245500</v>
      </c>
      <c r="M3414">
        <v>300</v>
      </c>
      <c r="N3414" s="3">
        <v>0.51700000000000002</v>
      </c>
      <c r="O3414" t="s">
        <v>17</v>
      </c>
      <c r="P3414" t="s">
        <v>31</v>
      </c>
      <c r="Q3414">
        <v>0</v>
      </c>
      <c r="R3414">
        <v>1</v>
      </c>
      <c r="S3414" s="2">
        <v>0</v>
      </c>
      <c r="T3414" s="4"/>
      <c r="U3414">
        <v>5</v>
      </c>
      <c r="V3414">
        <v>1</v>
      </c>
      <c r="W3414">
        <v>1</v>
      </c>
    </row>
    <row r="3415" spans="1:23" ht="16.5" x14ac:dyDescent="0.3">
      <c r="A3415" t="s">
        <v>3479</v>
      </c>
      <c r="B3415" s="1">
        <v>45784</v>
      </c>
      <c r="C3415">
        <v>2025</v>
      </c>
      <c r="D3415" t="s">
        <v>688</v>
      </c>
      <c r="E3415" t="s">
        <v>885</v>
      </c>
      <c r="F3415" t="s">
        <v>50</v>
      </c>
      <c r="G3415" t="s">
        <v>51</v>
      </c>
      <c r="H3415" t="s">
        <v>34</v>
      </c>
      <c r="I3415" t="s">
        <v>42</v>
      </c>
      <c r="J3415" t="s">
        <v>30</v>
      </c>
      <c r="K3415" s="2">
        <v>4900</v>
      </c>
      <c r="L3415" s="2">
        <v>315500</v>
      </c>
      <c r="M3415">
        <v>180</v>
      </c>
      <c r="N3415" s="3">
        <v>0.57999999999999996</v>
      </c>
      <c r="O3415" t="s">
        <v>16</v>
      </c>
      <c r="Q3415">
        <v>1</v>
      </c>
      <c r="R3415">
        <v>0</v>
      </c>
      <c r="S3415" s="2">
        <v>315500</v>
      </c>
      <c r="T3415" s="4">
        <v>7.0599999999999996E-2</v>
      </c>
      <c r="U3415">
        <v>24</v>
      </c>
      <c r="V3415">
        <v>0</v>
      </c>
      <c r="W3415">
        <v>1</v>
      </c>
    </row>
    <row r="3416" spans="1:23" ht="16.5" x14ac:dyDescent="0.3">
      <c r="A3416" t="s">
        <v>3480</v>
      </c>
      <c r="B3416" s="1">
        <v>45784</v>
      </c>
      <c r="C3416">
        <v>2025</v>
      </c>
      <c r="D3416" t="s">
        <v>688</v>
      </c>
      <c r="E3416" t="s">
        <v>885</v>
      </c>
      <c r="F3416" t="s">
        <v>37</v>
      </c>
      <c r="G3416" t="s">
        <v>45</v>
      </c>
      <c r="H3416" t="s">
        <v>64</v>
      </c>
      <c r="I3416" t="s">
        <v>29</v>
      </c>
      <c r="J3416" t="s">
        <v>46</v>
      </c>
      <c r="K3416" s="2">
        <v>6200</v>
      </c>
      <c r="L3416" s="2">
        <v>21000</v>
      </c>
      <c r="M3416">
        <v>48</v>
      </c>
      <c r="N3416" s="3">
        <v>0.216</v>
      </c>
      <c r="O3416" t="s">
        <v>16</v>
      </c>
      <c r="Q3416">
        <v>1</v>
      </c>
      <c r="R3416">
        <v>0</v>
      </c>
      <c r="S3416" s="2">
        <v>21000</v>
      </c>
      <c r="T3416" s="4">
        <v>0.1079</v>
      </c>
      <c r="U3416">
        <v>2</v>
      </c>
      <c r="V3416">
        <v>1</v>
      </c>
      <c r="W3416">
        <v>1</v>
      </c>
    </row>
    <row r="3417" spans="1:23" ht="16.5" x14ac:dyDescent="0.3">
      <c r="A3417" t="s">
        <v>3481</v>
      </c>
      <c r="B3417" s="1">
        <v>45784</v>
      </c>
      <c r="C3417">
        <v>2025</v>
      </c>
      <c r="D3417" t="s">
        <v>688</v>
      </c>
      <c r="E3417" t="s">
        <v>885</v>
      </c>
      <c r="F3417" t="s">
        <v>26</v>
      </c>
      <c r="G3417" t="s">
        <v>51</v>
      </c>
      <c r="H3417" t="s">
        <v>55</v>
      </c>
      <c r="I3417" t="s">
        <v>29</v>
      </c>
      <c r="J3417" t="s">
        <v>52</v>
      </c>
      <c r="K3417" s="2">
        <v>3700</v>
      </c>
      <c r="L3417" s="2">
        <v>21000</v>
      </c>
      <c r="M3417">
        <v>36</v>
      </c>
      <c r="N3417" s="3">
        <v>0.32700000000000001</v>
      </c>
      <c r="O3417" t="s">
        <v>16</v>
      </c>
      <c r="Q3417">
        <v>1</v>
      </c>
      <c r="R3417">
        <v>0</v>
      </c>
      <c r="S3417" s="2">
        <v>19000</v>
      </c>
      <c r="T3417" s="4">
        <v>6.7199999999999996E-2</v>
      </c>
      <c r="U3417">
        <v>5</v>
      </c>
      <c r="V3417">
        <v>0</v>
      </c>
      <c r="W3417">
        <v>1</v>
      </c>
    </row>
    <row r="3418" spans="1:23" ht="16.5" x14ac:dyDescent="0.3">
      <c r="A3418" t="s">
        <v>3482</v>
      </c>
      <c r="B3418" s="1">
        <v>45785</v>
      </c>
      <c r="C3418">
        <v>2025</v>
      </c>
      <c r="D3418" t="s">
        <v>688</v>
      </c>
      <c r="E3418" t="s">
        <v>885</v>
      </c>
      <c r="F3418" t="s">
        <v>26</v>
      </c>
      <c r="G3418" t="s">
        <v>33</v>
      </c>
      <c r="H3418" t="s">
        <v>34</v>
      </c>
      <c r="I3418" t="s">
        <v>29</v>
      </c>
      <c r="J3418" t="s">
        <v>46</v>
      </c>
      <c r="K3418" s="2">
        <v>3450</v>
      </c>
      <c r="L3418" s="2">
        <v>41500</v>
      </c>
      <c r="M3418">
        <v>48</v>
      </c>
      <c r="N3418" s="3">
        <v>0.432</v>
      </c>
      <c r="O3418" t="s">
        <v>16</v>
      </c>
      <c r="Q3418">
        <v>1</v>
      </c>
      <c r="R3418">
        <v>0</v>
      </c>
      <c r="S3418" s="2">
        <v>37500</v>
      </c>
      <c r="T3418" s="4">
        <v>6.5299999999999997E-2</v>
      </c>
      <c r="U3418">
        <v>1</v>
      </c>
      <c r="V3418">
        <v>1</v>
      </c>
      <c r="W3418">
        <v>1</v>
      </c>
    </row>
    <row r="3419" spans="1:23" ht="16.5" x14ac:dyDescent="0.3">
      <c r="A3419" t="s">
        <v>3483</v>
      </c>
      <c r="B3419" s="1">
        <v>45785</v>
      </c>
      <c r="C3419">
        <v>2025</v>
      </c>
      <c r="D3419" t="s">
        <v>688</v>
      </c>
      <c r="E3419" t="s">
        <v>885</v>
      </c>
      <c r="F3419" t="s">
        <v>37</v>
      </c>
      <c r="G3419" t="s">
        <v>51</v>
      </c>
      <c r="H3419" t="s">
        <v>28</v>
      </c>
      <c r="I3419" t="s">
        <v>39</v>
      </c>
      <c r="J3419" t="s">
        <v>35</v>
      </c>
      <c r="K3419" s="2">
        <v>3100</v>
      </c>
      <c r="L3419" s="2">
        <v>23000</v>
      </c>
      <c r="M3419">
        <v>24</v>
      </c>
      <c r="N3419" s="3">
        <v>0.52400000000000002</v>
      </c>
      <c r="O3419" t="s">
        <v>16</v>
      </c>
      <c r="Q3419">
        <v>1</v>
      </c>
      <c r="R3419">
        <v>0</v>
      </c>
      <c r="S3419" s="2">
        <v>23000</v>
      </c>
      <c r="T3419" s="4">
        <v>0.1205</v>
      </c>
      <c r="U3419">
        <v>4</v>
      </c>
      <c r="V3419">
        <v>0</v>
      </c>
      <c r="W3419">
        <v>1</v>
      </c>
    </row>
    <row r="3420" spans="1:23" ht="16.5" x14ac:dyDescent="0.3">
      <c r="A3420" t="s">
        <v>3484</v>
      </c>
      <c r="B3420" s="1">
        <v>45785</v>
      </c>
      <c r="C3420">
        <v>2025</v>
      </c>
      <c r="D3420" t="s">
        <v>688</v>
      </c>
      <c r="E3420" t="s">
        <v>885</v>
      </c>
      <c r="F3420" t="s">
        <v>41</v>
      </c>
      <c r="G3420" t="s">
        <v>45</v>
      </c>
      <c r="H3420" t="s">
        <v>55</v>
      </c>
      <c r="I3420" t="s">
        <v>39</v>
      </c>
      <c r="J3420" t="s">
        <v>35</v>
      </c>
      <c r="K3420" s="2">
        <v>4750</v>
      </c>
      <c r="L3420" s="2">
        <v>142000</v>
      </c>
      <c r="M3420">
        <v>60</v>
      </c>
      <c r="N3420" s="3">
        <v>0.86799999999999999</v>
      </c>
      <c r="O3420" t="s">
        <v>17</v>
      </c>
      <c r="P3420" t="s">
        <v>60</v>
      </c>
      <c r="Q3420">
        <v>0</v>
      </c>
      <c r="R3420">
        <v>1</v>
      </c>
      <c r="S3420" s="2">
        <v>0</v>
      </c>
      <c r="T3420" s="4"/>
      <c r="U3420">
        <v>25</v>
      </c>
      <c r="V3420">
        <v>0</v>
      </c>
      <c r="W3420">
        <v>1</v>
      </c>
    </row>
    <row r="3421" spans="1:23" ht="16.5" x14ac:dyDescent="0.3">
      <c r="A3421" t="s">
        <v>3485</v>
      </c>
      <c r="B3421" s="1">
        <v>45785</v>
      </c>
      <c r="C3421">
        <v>2025</v>
      </c>
      <c r="D3421" t="s">
        <v>688</v>
      </c>
      <c r="E3421" t="s">
        <v>885</v>
      </c>
      <c r="F3421" t="s">
        <v>26</v>
      </c>
      <c r="G3421" t="s">
        <v>45</v>
      </c>
      <c r="H3421" t="s">
        <v>34</v>
      </c>
      <c r="I3421" t="s">
        <v>29</v>
      </c>
      <c r="J3421" t="s">
        <v>30</v>
      </c>
      <c r="K3421" s="2">
        <v>3800</v>
      </c>
      <c r="L3421" s="2">
        <v>26000</v>
      </c>
      <c r="M3421">
        <v>48</v>
      </c>
      <c r="N3421" s="3">
        <v>0.28499999999999998</v>
      </c>
      <c r="O3421" t="s">
        <v>16</v>
      </c>
      <c r="Q3421">
        <v>1</v>
      </c>
      <c r="R3421">
        <v>0</v>
      </c>
      <c r="S3421" s="2">
        <v>23500</v>
      </c>
      <c r="T3421" s="4">
        <v>9.4500000000000001E-2</v>
      </c>
      <c r="U3421">
        <v>3</v>
      </c>
      <c r="V3421">
        <v>1</v>
      </c>
      <c r="W3421">
        <v>1</v>
      </c>
    </row>
    <row r="3422" spans="1:23" ht="16.5" x14ac:dyDescent="0.3">
      <c r="A3422" t="s">
        <v>3486</v>
      </c>
      <c r="B3422" s="1">
        <v>45785</v>
      </c>
      <c r="C3422">
        <v>2025</v>
      </c>
      <c r="D3422" t="s">
        <v>688</v>
      </c>
      <c r="E3422" t="s">
        <v>885</v>
      </c>
      <c r="F3422" t="s">
        <v>37</v>
      </c>
      <c r="G3422" t="s">
        <v>33</v>
      </c>
      <c r="H3422" t="s">
        <v>34</v>
      </c>
      <c r="I3422" t="s">
        <v>39</v>
      </c>
      <c r="J3422" t="s">
        <v>35</v>
      </c>
      <c r="K3422" s="2">
        <v>6250</v>
      </c>
      <c r="L3422" s="2">
        <v>10000</v>
      </c>
      <c r="M3422">
        <v>36</v>
      </c>
      <c r="N3422" s="3">
        <v>0.23</v>
      </c>
      <c r="O3422" t="s">
        <v>17</v>
      </c>
      <c r="P3422" t="s">
        <v>65</v>
      </c>
      <c r="Q3422">
        <v>0</v>
      </c>
      <c r="R3422">
        <v>1</v>
      </c>
      <c r="S3422" s="2">
        <v>0</v>
      </c>
      <c r="T3422" s="4"/>
      <c r="U3422">
        <v>1</v>
      </c>
      <c r="V3422">
        <v>1</v>
      </c>
      <c r="W3422">
        <v>1</v>
      </c>
    </row>
    <row r="3423" spans="1:23" ht="16.5" x14ac:dyDescent="0.3">
      <c r="A3423" t="s">
        <v>3487</v>
      </c>
      <c r="B3423" s="1">
        <v>45785</v>
      </c>
      <c r="C3423">
        <v>2025</v>
      </c>
      <c r="D3423" t="s">
        <v>688</v>
      </c>
      <c r="E3423" t="s">
        <v>885</v>
      </c>
      <c r="F3423" t="s">
        <v>37</v>
      </c>
      <c r="G3423" t="s">
        <v>51</v>
      </c>
      <c r="H3423" t="s">
        <v>34</v>
      </c>
      <c r="I3423" t="s">
        <v>29</v>
      </c>
      <c r="J3423" t="s">
        <v>30</v>
      </c>
      <c r="K3423" s="2">
        <v>8500</v>
      </c>
      <c r="L3423" s="2">
        <v>14000</v>
      </c>
      <c r="M3423">
        <v>48</v>
      </c>
      <c r="N3423" s="3">
        <v>0.13</v>
      </c>
      <c r="O3423" t="s">
        <v>16</v>
      </c>
      <c r="Q3423">
        <v>1</v>
      </c>
      <c r="R3423">
        <v>0</v>
      </c>
      <c r="S3423" s="2">
        <v>12500</v>
      </c>
      <c r="T3423" s="4">
        <v>0.1434</v>
      </c>
      <c r="U3423">
        <v>5</v>
      </c>
      <c r="V3423">
        <v>0</v>
      </c>
      <c r="W3423">
        <v>1</v>
      </c>
    </row>
    <row r="3424" spans="1:23" ht="16.5" x14ac:dyDescent="0.3">
      <c r="A3424" t="s">
        <v>3488</v>
      </c>
      <c r="B3424" s="1">
        <v>45786</v>
      </c>
      <c r="C3424">
        <v>2025</v>
      </c>
      <c r="D3424" t="s">
        <v>688</v>
      </c>
      <c r="E3424" t="s">
        <v>885</v>
      </c>
      <c r="F3424" t="s">
        <v>37</v>
      </c>
      <c r="G3424" t="s">
        <v>33</v>
      </c>
      <c r="H3424" t="s">
        <v>38</v>
      </c>
      <c r="I3424" t="s">
        <v>42</v>
      </c>
      <c r="J3424" t="s">
        <v>30</v>
      </c>
      <c r="K3424" s="2">
        <v>8750</v>
      </c>
      <c r="L3424" s="2">
        <v>9500</v>
      </c>
      <c r="M3424">
        <v>24</v>
      </c>
      <c r="N3424" s="3">
        <v>0.14099999999999999</v>
      </c>
      <c r="O3424" t="s">
        <v>16</v>
      </c>
      <c r="Q3424">
        <v>1</v>
      </c>
      <c r="R3424">
        <v>0</v>
      </c>
      <c r="S3424" s="2">
        <v>9500</v>
      </c>
      <c r="T3424" s="4">
        <v>0.13930000000000001</v>
      </c>
      <c r="U3424">
        <v>1</v>
      </c>
      <c r="V3424">
        <v>1</v>
      </c>
      <c r="W3424">
        <v>1</v>
      </c>
    </row>
    <row r="3425" spans="1:23" ht="16.5" x14ac:dyDescent="0.3">
      <c r="A3425" t="s">
        <v>3489</v>
      </c>
      <c r="B3425" s="1">
        <v>45786</v>
      </c>
      <c r="C3425">
        <v>2025</v>
      </c>
      <c r="D3425" t="s">
        <v>688</v>
      </c>
      <c r="E3425" t="s">
        <v>885</v>
      </c>
      <c r="F3425" t="s">
        <v>37</v>
      </c>
      <c r="G3425" t="s">
        <v>45</v>
      </c>
      <c r="H3425" t="s">
        <v>55</v>
      </c>
      <c r="I3425" t="s">
        <v>29</v>
      </c>
      <c r="J3425" t="s">
        <v>30</v>
      </c>
      <c r="K3425" s="2">
        <v>4550</v>
      </c>
      <c r="L3425" s="2">
        <v>18500</v>
      </c>
      <c r="M3425">
        <v>60</v>
      </c>
      <c r="N3425" s="3">
        <v>0.25600000000000001</v>
      </c>
      <c r="O3425" t="s">
        <v>17</v>
      </c>
      <c r="P3425" t="s">
        <v>60</v>
      </c>
      <c r="Q3425">
        <v>0</v>
      </c>
      <c r="R3425">
        <v>1</v>
      </c>
      <c r="S3425" s="2">
        <v>0</v>
      </c>
      <c r="T3425" s="4"/>
      <c r="U3425">
        <v>6</v>
      </c>
      <c r="V3425">
        <v>0</v>
      </c>
      <c r="W3425">
        <v>1</v>
      </c>
    </row>
    <row r="3426" spans="1:23" ht="16.5" x14ac:dyDescent="0.3">
      <c r="A3426" t="s">
        <v>3490</v>
      </c>
      <c r="B3426" s="1">
        <v>45786</v>
      </c>
      <c r="C3426">
        <v>2025</v>
      </c>
      <c r="D3426" t="s">
        <v>688</v>
      </c>
      <c r="E3426" t="s">
        <v>885</v>
      </c>
      <c r="F3426" t="s">
        <v>37</v>
      </c>
      <c r="G3426" t="s">
        <v>45</v>
      </c>
      <c r="H3426" t="s">
        <v>38</v>
      </c>
      <c r="I3426" t="s">
        <v>39</v>
      </c>
      <c r="J3426" t="s">
        <v>35</v>
      </c>
      <c r="K3426" s="2">
        <v>18650</v>
      </c>
      <c r="L3426" s="2">
        <v>11500</v>
      </c>
      <c r="M3426">
        <v>48</v>
      </c>
      <c r="N3426" s="3">
        <v>0.191</v>
      </c>
      <c r="O3426" t="s">
        <v>16</v>
      </c>
      <c r="Q3426">
        <v>1</v>
      </c>
      <c r="R3426">
        <v>0</v>
      </c>
      <c r="S3426" s="2">
        <v>11500</v>
      </c>
      <c r="T3426" s="4">
        <v>0.1234</v>
      </c>
      <c r="U3426">
        <v>3</v>
      </c>
      <c r="V3426">
        <v>1</v>
      </c>
      <c r="W3426">
        <v>1</v>
      </c>
    </row>
    <row r="3427" spans="1:23" ht="16.5" x14ac:dyDescent="0.3">
      <c r="A3427" t="s">
        <v>3491</v>
      </c>
      <c r="B3427" s="1">
        <v>45786</v>
      </c>
      <c r="C3427">
        <v>2025</v>
      </c>
      <c r="D3427" t="s">
        <v>688</v>
      </c>
      <c r="E3427" t="s">
        <v>885</v>
      </c>
      <c r="F3427" t="s">
        <v>41</v>
      </c>
      <c r="G3427" t="s">
        <v>33</v>
      </c>
      <c r="H3427" t="s">
        <v>34</v>
      </c>
      <c r="I3427" t="s">
        <v>29</v>
      </c>
      <c r="J3427" t="s">
        <v>52</v>
      </c>
      <c r="K3427" s="2">
        <v>2850</v>
      </c>
      <c r="L3427" s="2">
        <v>138500</v>
      </c>
      <c r="M3427">
        <v>36</v>
      </c>
      <c r="N3427" s="3">
        <v>1.698</v>
      </c>
      <c r="O3427" t="s">
        <v>17</v>
      </c>
      <c r="P3427" t="s">
        <v>53</v>
      </c>
      <c r="Q3427">
        <v>0</v>
      </c>
      <c r="R3427">
        <v>1</v>
      </c>
      <c r="S3427" s="2">
        <v>0</v>
      </c>
      <c r="T3427" s="4"/>
      <c r="U3427">
        <v>6</v>
      </c>
      <c r="V3427">
        <v>1</v>
      </c>
      <c r="W3427">
        <v>1</v>
      </c>
    </row>
    <row r="3428" spans="1:23" ht="16.5" x14ac:dyDescent="0.3">
      <c r="A3428" t="s">
        <v>3492</v>
      </c>
      <c r="B3428" s="1">
        <v>45787</v>
      </c>
      <c r="C3428">
        <v>2025</v>
      </c>
      <c r="D3428" t="s">
        <v>688</v>
      </c>
      <c r="E3428" t="s">
        <v>885</v>
      </c>
      <c r="F3428" t="s">
        <v>37</v>
      </c>
      <c r="G3428" t="s">
        <v>33</v>
      </c>
      <c r="H3428" t="s">
        <v>28</v>
      </c>
      <c r="I3428" t="s">
        <v>42</v>
      </c>
      <c r="J3428" t="s">
        <v>30</v>
      </c>
      <c r="K3428" s="2">
        <v>5050</v>
      </c>
      <c r="L3428" s="2">
        <v>12500</v>
      </c>
      <c r="M3428">
        <v>60</v>
      </c>
      <c r="N3428" s="3">
        <v>0.223</v>
      </c>
      <c r="O3428" t="s">
        <v>125</v>
      </c>
      <c r="Q3428">
        <v>0</v>
      </c>
      <c r="R3428">
        <v>0</v>
      </c>
      <c r="S3428" s="2">
        <v>0</v>
      </c>
      <c r="T3428" s="4"/>
      <c r="U3428">
        <v>2</v>
      </c>
      <c r="V3428">
        <v>1</v>
      </c>
      <c r="W3428">
        <v>1</v>
      </c>
    </row>
    <row r="3429" spans="1:23" ht="16.5" x14ac:dyDescent="0.3">
      <c r="A3429" t="s">
        <v>3493</v>
      </c>
      <c r="B3429" s="1">
        <v>45787</v>
      </c>
      <c r="C3429">
        <v>2025</v>
      </c>
      <c r="D3429" t="s">
        <v>688</v>
      </c>
      <c r="E3429" t="s">
        <v>885</v>
      </c>
      <c r="F3429" t="s">
        <v>26</v>
      </c>
      <c r="G3429" t="s">
        <v>51</v>
      </c>
      <c r="H3429" t="s">
        <v>34</v>
      </c>
      <c r="I3429" t="s">
        <v>39</v>
      </c>
      <c r="J3429" t="s">
        <v>43</v>
      </c>
      <c r="K3429" s="2">
        <v>5250</v>
      </c>
      <c r="L3429" s="2">
        <v>27500</v>
      </c>
      <c r="M3429">
        <v>48</v>
      </c>
      <c r="N3429" s="3">
        <v>0.22700000000000001</v>
      </c>
      <c r="O3429" t="s">
        <v>17</v>
      </c>
      <c r="P3429" t="s">
        <v>65</v>
      </c>
      <c r="Q3429">
        <v>0</v>
      </c>
      <c r="R3429">
        <v>1</v>
      </c>
      <c r="S3429" s="2">
        <v>0</v>
      </c>
      <c r="T3429" s="4"/>
      <c r="U3429">
        <v>6</v>
      </c>
      <c r="V3429">
        <v>0</v>
      </c>
      <c r="W3429">
        <v>1</v>
      </c>
    </row>
    <row r="3430" spans="1:23" ht="16.5" x14ac:dyDescent="0.3">
      <c r="A3430" t="s">
        <v>3494</v>
      </c>
      <c r="B3430" s="1">
        <v>45787</v>
      </c>
      <c r="C3430">
        <v>2025</v>
      </c>
      <c r="D3430" t="s">
        <v>688</v>
      </c>
      <c r="E3430" t="s">
        <v>885</v>
      </c>
      <c r="F3430" t="s">
        <v>50</v>
      </c>
      <c r="G3430" t="s">
        <v>51</v>
      </c>
      <c r="H3430" t="s">
        <v>55</v>
      </c>
      <c r="I3430" t="s">
        <v>29</v>
      </c>
      <c r="J3430" t="s">
        <v>43</v>
      </c>
      <c r="K3430" s="2">
        <v>13050</v>
      </c>
      <c r="L3430" s="2">
        <v>400500</v>
      </c>
      <c r="M3430">
        <v>300</v>
      </c>
      <c r="N3430" s="3">
        <v>0.35799999999999998</v>
      </c>
      <c r="O3430" t="s">
        <v>17</v>
      </c>
      <c r="P3430" t="s">
        <v>31</v>
      </c>
      <c r="Q3430">
        <v>0</v>
      </c>
      <c r="R3430">
        <v>1</v>
      </c>
      <c r="S3430" s="2">
        <v>0</v>
      </c>
      <c r="T3430" s="4"/>
      <c r="U3430">
        <v>17</v>
      </c>
      <c r="V3430">
        <v>0</v>
      </c>
      <c r="W3430">
        <v>1</v>
      </c>
    </row>
    <row r="3431" spans="1:23" ht="16.5" x14ac:dyDescent="0.3">
      <c r="A3431" t="s">
        <v>3495</v>
      </c>
      <c r="B3431" s="1">
        <v>45787</v>
      </c>
      <c r="C3431">
        <v>2025</v>
      </c>
      <c r="D3431" t="s">
        <v>688</v>
      </c>
      <c r="E3431" t="s">
        <v>885</v>
      </c>
      <c r="F3431" t="s">
        <v>37</v>
      </c>
      <c r="G3431" t="s">
        <v>51</v>
      </c>
      <c r="H3431" t="s">
        <v>38</v>
      </c>
      <c r="I3431" t="s">
        <v>29</v>
      </c>
      <c r="J3431" t="s">
        <v>30</v>
      </c>
      <c r="K3431" s="2">
        <v>10200</v>
      </c>
      <c r="L3431" s="2">
        <v>10000</v>
      </c>
      <c r="M3431">
        <v>36</v>
      </c>
      <c r="N3431" s="3">
        <v>0.10100000000000001</v>
      </c>
      <c r="O3431" t="s">
        <v>16</v>
      </c>
      <c r="Q3431">
        <v>1</v>
      </c>
      <c r="R3431">
        <v>0</v>
      </c>
      <c r="S3431" s="2">
        <v>9000</v>
      </c>
      <c r="T3431" s="4">
        <v>0.1371</v>
      </c>
      <c r="U3431">
        <v>5</v>
      </c>
      <c r="V3431">
        <v>0</v>
      </c>
      <c r="W3431">
        <v>1</v>
      </c>
    </row>
    <row r="3432" spans="1:23" ht="16.5" x14ac:dyDescent="0.3">
      <c r="A3432" t="s">
        <v>3496</v>
      </c>
      <c r="B3432" s="1">
        <v>45787</v>
      </c>
      <c r="C3432">
        <v>2025</v>
      </c>
      <c r="D3432" t="s">
        <v>688</v>
      </c>
      <c r="E3432" t="s">
        <v>885</v>
      </c>
      <c r="F3432" t="s">
        <v>41</v>
      </c>
      <c r="G3432" t="s">
        <v>33</v>
      </c>
      <c r="H3432" t="s">
        <v>64</v>
      </c>
      <c r="I3432" t="s">
        <v>42</v>
      </c>
      <c r="J3432" t="s">
        <v>46</v>
      </c>
      <c r="K3432" s="2">
        <v>9950</v>
      </c>
      <c r="L3432" s="2">
        <v>73000</v>
      </c>
      <c r="M3432">
        <v>60</v>
      </c>
      <c r="N3432" s="3">
        <v>0.20799999999999999</v>
      </c>
      <c r="O3432" t="s">
        <v>16</v>
      </c>
      <c r="Q3432">
        <v>1</v>
      </c>
      <c r="R3432">
        <v>0</v>
      </c>
      <c r="S3432" s="2">
        <v>65500</v>
      </c>
      <c r="T3432" s="4">
        <v>9.3299999999999994E-2</v>
      </c>
      <c r="U3432">
        <v>3</v>
      </c>
      <c r="V3432">
        <v>1</v>
      </c>
      <c r="W3432">
        <v>1</v>
      </c>
    </row>
    <row r="3433" spans="1:23" ht="16.5" x14ac:dyDescent="0.3">
      <c r="A3433" t="s">
        <v>3497</v>
      </c>
      <c r="B3433" s="1">
        <v>45787</v>
      </c>
      <c r="C3433">
        <v>2025</v>
      </c>
      <c r="D3433" t="s">
        <v>688</v>
      </c>
      <c r="E3433" t="s">
        <v>885</v>
      </c>
      <c r="F3433" t="s">
        <v>41</v>
      </c>
      <c r="G3433" t="s">
        <v>27</v>
      </c>
      <c r="H3433" t="s">
        <v>55</v>
      </c>
      <c r="I3433" t="s">
        <v>29</v>
      </c>
      <c r="J3433" t="s">
        <v>30</v>
      </c>
      <c r="K3433" s="2">
        <v>3500</v>
      </c>
      <c r="L3433" s="2">
        <v>36500</v>
      </c>
      <c r="M3433">
        <v>36</v>
      </c>
      <c r="N3433" s="3">
        <v>0.55500000000000005</v>
      </c>
      <c r="O3433" t="s">
        <v>125</v>
      </c>
      <c r="Q3433">
        <v>0</v>
      </c>
      <c r="R3433">
        <v>0</v>
      </c>
      <c r="S3433" s="2">
        <v>0</v>
      </c>
      <c r="T3433" s="4"/>
      <c r="U3433">
        <v>12</v>
      </c>
      <c r="V3433">
        <v>0</v>
      </c>
      <c r="W3433">
        <v>1</v>
      </c>
    </row>
    <row r="3434" spans="1:23" ht="16.5" x14ac:dyDescent="0.3">
      <c r="A3434" t="s">
        <v>3498</v>
      </c>
      <c r="B3434" s="1">
        <v>45788</v>
      </c>
      <c r="C3434">
        <v>2025</v>
      </c>
      <c r="D3434" t="s">
        <v>688</v>
      </c>
      <c r="E3434" t="s">
        <v>885</v>
      </c>
      <c r="F3434" t="s">
        <v>37</v>
      </c>
      <c r="G3434" t="s">
        <v>33</v>
      </c>
      <c r="H3434" t="s">
        <v>55</v>
      </c>
      <c r="I3434" t="s">
        <v>42</v>
      </c>
      <c r="J3434" t="s">
        <v>35</v>
      </c>
      <c r="K3434" s="2">
        <v>2750</v>
      </c>
      <c r="L3434" s="2">
        <v>10500</v>
      </c>
      <c r="M3434">
        <v>60</v>
      </c>
      <c r="N3434" s="3">
        <v>0.27300000000000002</v>
      </c>
      <c r="O3434" t="s">
        <v>16</v>
      </c>
      <c r="Q3434">
        <v>1</v>
      </c>
      <c r="R3434">
        <v>0</v>
      </c>
      <c r="S3434" s="2">
        <v>8500</v>
      </c>
      <c r="T3434" s="4">
        <v>0.1235</v>
      </c>
      <c r="U3434">
        <v>1</v>
      </c>
      <c r="V3434">
        <v>1</v>
      </c>
      <c r="W3434">
        <v>1</v>
      </c>
    </row>
    <row r="3435" spans="1:23" ht="16.5" x14ac:dyDescent="0.3">
      <c r="A3435" t="s">
        <v>3499</v>
      </c>
      <c r="B3435" s="1">
        <v>45788</v>
      </c>
      <c r="C3435">
        <v>2025</v>
      </c>
      <c r="D3435" t="s">
        <v>688</v>
      </c>
      <c r="E3435" t="s">
        <v>885</v>
      </c>
      <c r="F3435" t="s">
        <v>37</v>
      </c>
      <c r="G3435" t="s">
        <v>33</v>
      </c>
      <c r="H3435" t="s">
        <v>55</v>
      </c>
      <c r="I3435" t="s">
        <v>29</v>
      </c>
      <c r="J3435" t="s">
        <v>30</v>
      </c>
      <c r="K3435" s="2">
        <v>3900</v>
      </c>
      <c r="L3435" s="2">
        <v>8000</v>
      </c>
      <c r="M3435">
        <v>48</v>
      </c>
      <c r="N3435" s="3">
        <v>0.20499999999999999</v>
      </c>
      <c r="O3435" t="s">
        <v>16</v>
      </c>
      <c r="Q3435">
        <v>1</v>
      </c>
      <c r="R3435">
        <v>0</v>
      </c>
      <c r="S3435" s="2">
        <v>8000</v>
      </c>
      <c r="T3435" s="4">
        <v>0.14219999999999999</v>
      </c>
      <c r="U3435">
        <v>2</v>
      </c>
      <c r="V3435">
        <v>1</v>
      </c>
      <c r="W3435">
        <v>1</v>
      </c>
    </row>
    <row r="3436" spans="1:23" ht="16.5" x14ac:dyDescent="0.3">
      <c r="A3436" t="s">
        <v>3500</v>
      </c>
      <c r="B3436" s="1">
        <v>45789</v>
      </c>
      <c r="C3436">
        <v>2025</v>
      </c>
      <c r="D3436" t="s">
        <v>688</v>
      </c>
      <c r="E3436" t="s">
        <v>885</v>
      </c>
      <c r="F3436" t="s">
        <v>37</v>
      </c>
      <c r="G3436" t="s">
        <v>51</v>
      </c>
      <c r="H3436" t="s">
        <v>38</v>
      </c>
      <c r="I3436" t="s">
        <v>29</v>
      </c>
      <c r="J3436" t="s">
        <v>30</v>
      </c>
      <c r="K3436" s="2">
        <v>7300</v>
      </c>
      <c r="L3436" s="2">
        <v>12500</v>
      </c>
      <c r="M3436">
        <v>12</v>
      </c>
      <c r="N3436" s="3">
        <v>0.25600000000000001</v>
      </c>
      <c r="O3436" t="s">
        <v>17</v>
      </c>
      <c r="P3436" t="s">
        <v>31</v>
      </c>
      <c r="Q3436">
        <v>0</v>
      </c>
      <c r="R3436">
        <v>1</v>
      </c>
      <c r="S3436" s="2">
        <v>0</v>
      </c>
      <c r="T3436" s="4"/>
      <c r="U3436">
        <v>3</v>
      </c>
      <c r="V3436">
        <v>1</v>
      </c>
      <c r="W3436">
        <v>1</v>
      </c>
    </row>
    <row r="3437" spans="1:23" ht="16.5" x14ac:dyDescent="0.3">
      <c r="A3437" t="s">
        <v>3501</v>
      </c>
      <c r="B3437" s="1">
        <v>45789</v>
      </c>
      <c r="C3437">
        <v>2025</v>
      </c>
      <c r="D3437" t="s">
        <v>688</v>
      </c>
      <c r="E3437" t="s">
        <v>885</v>
      </c>
      <c r="F3437" t="s">
        <v>41</v>
      </c>
      <c r="G3437" t="s">
        <v>33</v>
      </c>
      <c r="H3437" t="s">
        <v>38</v>
      </c>
      <c r="I3437" t="s">
        <v>39</v>
      </c>
      <c r="J3437" t="s">
        <v>35</v>
      </c>
      <c r="K3437" s="2">
        <v>3400</v>
      </c>
      <c r="L3437" s="2">
        <v>80500</v>
      </c>
      <c r="M3437">
        <v>12</v>
      </c>
      <c r="N3437" s="3">
        <v>2.1970000000000001</v>
      </c>
      <c r="O3437" t="s">
        <v>17</v>
      </c>
      <c r="P3437" t="s">
        <v>60</v>
      </c>
      <c r="Q3437">
        <v>0</v>
      </c>
      <c r="R3437">
        <v>1</v>
      </c>
      <c r="S3437" s="2">
        <v>0</v>
      </c>
      <c r="T3437" s="4"/>
      <c r="U3437">
        <v>8</v>
      </c>
      <c r="V3437">
        <v>1</v>
      </c>
      <c r="W3437">
        <v>1</v>
      </c>
    </row>
    <row r="3438" spans="1:23" ht="16.5" x14ac:dyDescent="0.3">
      <c r="A3438" t="s">
        <v>3502</v>
      </c>
      <c r="B3438" s="1">
        <v>45789</v>
      </c>
      <c r="C3438">
        <v>2025</v>
      </c>
      <c r="D3438" t="s">
        <v>688</v>
      </c>
      <c r="E3438" t="s">
        <v>885</v>
      </c>
      <c r="F3438" t="s">
        <v>37</v>
      </c>
      <c r="G3438" t="s">
        <v>33</v>
      </c>
      <c r="H3438" t="s">
        <v>55</v>
      </c>
      <c r="I3438" t="s">
        <v>42</v>
      </c>
      <c r="J3438" t="s">
        <v>35</v>
      </c>
      <c r="K3438" s="2">
        <v>8550</v>
      </c>
      <c r="L3438" s="2">
        <v>12500</v>
      </c>
      <c r="M3438">
        <v>48</v>
      </c>
      <c r="N3438" s="3">
        <v>0.27</v>
      </c>
      <c r="O3438" t="s">
        <v>16</v>
      </c>
      <c r="Q3438">
        <v>1</v>
      </c>
      <c r="R3438">
        <v>0</v>
      </c>
      <c r="S3438" s="2">
        <v>11000</v>
      </c>
      <c r="T3438" s="4">
        <v>0.12590000000000001</v>
      </c>
      <c r="U3438">
        <v>2</v>
      </c>
      <c r="V3438">
        <v>1</v>
      </c>
      <c r="W3438">
        <v>1</v>
      </c>
    </row>
    <row r="3439" spans="1:23" ht="16.5" x14ac:dyDescent="0.3">
      <c r="A3439" t="s">
        <v>3503</v>
      </c>
      <c r="B3439" s="1">
        <v>45789</v>
      </c>
      <c r="C3439">
        <v>2025</v>
      </c>
      <c r="D3439" t="s">
        <v>688</v>
      </c>
      <c r="E3439" t="s">
        <v>885</v>
      </c>
      <c r="F3439" t="s">
        <v>37</v>
      </c>
      <c r="G3439" t="s">
        <v>33</v>
      </c>
      <c r="H3439" t="s">
        <v>38</v>
      </c>
      <c r="I3439" t="s">
        <v>29</v>
      </c>
      <c r="J3439" t="s">
        <v>35</v>
      </c>
      <c r="K3439" s="2">
        <v>3050</v>
      </c>
      <c r="L3439" s="2">
        <v>21000</v>
      </c>
      <c r="M3439">
        <v>36</v>
      </c>
      <c r="N3439" s="3">
        <v>0.40600000000000003</v>
      </c>
      <c r="O3439" t="s">
        <v>16</v>
      </c>
      <c r="Q3439">
        <v>1</v>
      </c>
      <c r="R3439">
        <v>0</v>
      </c>
      <c r="S3439" s="2">
        <v>19000</v>
      </c>
      <c r="T3439" s="4">
        <v>0.1246</v>
      </c>
      <c r="U3439">
        <v>1</v>
      </c>
      <c r="V3439">
        <v>1</v>
      </c>
      <c r="W3439">
        <v>1</v>
      </c>
    </row>
    <row r="3440" spans="1:23" ht="16.5" x14ac:dyDescent="0.3">
      <c r="A3440" t="s">
        <v>3504</v>
      </c>
      <c r="B3440" s="1">
        <v>45789</v>
      </c>
      <c r="C3440">
        <v>2025</v>
      </c>
      <c r="D3440" t="s">
        <v>688</v>
      </c>
      <c r="E3440" t="s">
        <v>885</v>
      </c>
      <c r="F3440" t="s">
        <v>26</v>
      </c>
      <c r="G3440" t="s">
        <v>45</v>
      </c>
      <c r="H3440" t="s">
        <v>38</v>
      </c>
      <c r="I3440" t="s">
        <v>39</v>
      </c>
      <c r="J3440" t="s">
        <v>30</v>
      </c>
      <c r="K3440" s="2">
        <v>8000</v>
      </c>
      <c r="L3440" s="2">
        <v>30000</v>
      </c>
      <c r="M3440">
        <v>36</v>
      </c>
      <c r="N3440" s="3">
        <v>0.253</v>
      </c>
      <c r="O3440" t="s">
        <v>16</v>
      </c>
      <c r="Q3440">
        <v>1</v>
      </c>
      <c r="R3440">
        <v>0</v>
      </c>
      <c r="S3440" s="2">
        <v>27000</v>
      </c>
      <c r="T3440" s="4">
        <v>9.2499999999999999E-2</v>
      </c>
      <c r="U3440">
        <v>3</v>
      </c>
      <c r="V3440">
        <v>1</v>
      </c>
      <c r="W3440">
        <v>1</v>
      </c>
    </row>
    <row r="3441" spans="1:23" ht="16.5" x14ac:dyDescent="0.3">
      <c r="A3441" t="s">
        <v>3505</v>
      </c>
      <c r="B3441" s="1">
        <v>45789</v>
      </c>
      <c r="C3441">
        <v>2025</v>
      </c>
      <c r="D3441" t="s">
        <v>688</v>
      </c>
      <c r="E3441" t="s">
        <v>885</v>
      </c>
      <c r="F3441" t="s">
        <v>26</v>
      </c>
      <c r="G3441" t="s">
        <v>27</v>
      </c>
      <c r="H3441" t="s">
        <v>34</v>
      </c>
      <c r="I3441" t="s">
        <v>29</v>
      </c>
      <c r="J3441" t="s">
        <v>35</v>
      </c>
      <c r="K3441" s="2">
        <v>6500</v>
      </c>
      <c r="L3441" s="2">
        <v>29000</v>
      </c>
      <c r="M3441">
        <v>48</v>
      </c>
      <c r="N3441" s="3">
        <v>0.187</v>
      </c>
      <c r="O3441" t="s">
        <v>17</v>
      </c>
      <c r="P3441" t="s">
        <v>60</v>
      </c>
      <c r="Q3441">
        <v>0</v>
      </c>
      <c r="R3441">
        <v>1</v>
      </c>
      <c r="S3441" s="2">
        <v>0</v>
      </c>
      <c r="T3441" s="4"/>
      <c r="U3441">
        <v>10</v>
      </c>
      <c r="V3441">
        <v>0</v>
      </c>
      <c r="W3441">
        <v>1</v>
      </c>
    </row>
    <row r="3442" spans="1:23" ht="16.5" x14ac:dyDescent="0.3">
      <c r="A3442" t="s">
        <v>3506</v>
      </c>
      <c r="B3442" s="1">
        <v>45789</v>
      </c>
      <c r="C3442">
        <v>2025</v>
      </c>
      <c r="D3442" t="s">
        <v>688</v>
      </c>
      <c r="E3442" t="s">
        <v>885</v>
      </c>
      <c r="F3442" t="s">
        <v>37</v>
      </c>
      <c r="G3442" t="s">
        <v>33</v>
      </c>
      <c r="H3442" t="s">
        <v>38</v>
      </c>
      <c r="I3442" t="s">
        <v>39</v>
      </c>
      <c r="J3442" t="s">
        <v>35</v>
      </c>
      <c r="K3442" s="2">
        <v>17200</v>
      </c>
      <c r="L3442" s="2">
        <v>17500</v>
      </c>
      <c r="M3442">
        <v>24</v>
      </c>
      <c r="N3442" s="3">
        <v>0.19900000000000001</v>
      </c>
      <c r="O3442" t="s">
        <v>16</v>
      </c>
      <c r="Q3442">
        <v>1</v>
      </c>
      <c r="R3442">
        <v>0</v>
      </c>
      <c r="S3442" s="2">
        <v>17500</v>
      </c>
      <c r="T3442" s="4">
        <v>0.122</v>
      </c>
      <c r="U3442">
        <v>2</v>
      </c>
      <c r="V3442">
        <v>1</v>
      </c>
      <c r="W3442">
        <v>1</v>
      </c>
    </row>
    <row r="3443" spans="1:23" ht="16.5" x14ac:dyDescent="0.3">
      <c r="A3443" t="s">
        <v>3507</v>
      </c>
      <c r="B3443" s="1">
        <v>45789</v>
      </c>
      <c r="C3443">
        <v>2025</v>
      </c>
      <c r="D3443" t="s">
        <v>688</v>
      </c>
      <c r="E3443" t="s">
        <v>885</v>
      </c>
      <c r="F3443" t="s">
        <v>37</v>
      </c>
      <c r="G3443" t="s">
        <v>45</v>
      </c>
      <c r="H3443" t="s">
        <v>64</v>
      </c>
      <c r="I3443" t="s">
        <v>39</v>
      </c>
      <c r="J3443" t="s">
        <v>35</v>
      </c>
      <c r="K3443" s="2">
        <v>9000</v>
      </c>
      <c r="L3443" s="2">
        <v>17500</v>
      </c>
      <c r="M3443">
        <v>24</v>
      </c>
      <c r="N3443" s="3">
        <v>0.314</v>
      </c>
      <c r="O3443" t="s">
        <v>16</v>
      </c>
      <c r="Q3443">
        <v>1</v>
      </c>
      <c r="R3443">
        <v>0</v>
      </c>
      <c r="S3443" s="2">
        <v>17500</v>
      </c>
      <c r="T3443" s="4">
        <v>0.1229</v>
      </c>
      <c r="U3443">
        <v>2</v>
      </c>
      <c r="V3443">
        <v>1</v>
      </c>
      <c r="W3443">
        <v>1</v>
      </c>
    </row>
    <row r="3444" spans="1:23" ht="16.5" x14ac:dyDescent="0.3">
      <c r="A3444" t="s">
        <v>3508</v>
      </c>
      <c r="B3444" s="1">
        <v>45790</v>
      </c>
      <c r="C3444">
        <v>2025</v>
      </c>
      <c r="D3444" t="s">
        <v>688</v>
      </c>
      <c r="E3444" t="s">
        <v>885</v>
      </c>
      <c r="F3444" t="s">
        <v>37</v>
      </c>
      <c r="G3444" t="s">
        <v>51</v>
      </c>
      <c r="H3444" t="s">
        <v>28</v>
      </c>
      <c r="I3444" t="s">
        <v>42</v>
      </c>
      <c r="J3444" t="s">
        <v>46</v>
      </c>
      <c r="K3444" s="2">
        <v>1950</v>
      </c>
      <c r="L3444" s="2">
        <v>18500</v>
      </c>
      <c r="M3444">
        <v>12</v>
      </c>
      <c r="N3444" s="3">
        <v>0.97799999999999998</v>
      </c>
      <c r="O3444" t="s">
        <v>16</v>
      </c>
      <c r="Q3444">
        <v>1</v>
      </c>
      <c r="R3444">
        <v>0</v>
      </c>
      <c r="S3444" s="2">
        <v>18500</v>
      </c>
      <c r="T3444" s="4">
        <v>0.10920000000000001</v>
      </c>
      <c r="U3444">
        <v>3</v>
      </c>
      <c r="V3444">
        <v>1</v>
      </c>
      <c r="W3444">
        <v>1</v>
      </c>
    </row>
    <row r="3445" spans="1:23" ht="16.5" x14ac:dyDescent="0.3">
      <c r="A3445" t="s">
        <v>3509</v>
      </c>
      <c r="B3445" s="1">
        <v>45790</v>
      </c>
      <c r="C3445">
        <v>2025</v>
      </c>
      <c r="D3445" t="s">
        <v>688</v>
      </c>
      <c r="E3445" t="s">
        <v>885</v>
      </c>
      <c r="F3445" t="s">
        <v>37</v>
      </c>
      <c r="G3445" t="s">
        <v>27</v>
      </c>
      <c r="H3445" t="s">
        <v>34</v>
      </c>
      <c r="I3445" t="s">
        <v>42</v>
      </c>
      <c r="J3445" t="s">
        <v>30</v>
      </c>
      <c r="K3445" s="2">
        <v>3350</v>
      </c>
      <c r="L3445" s="2">
        <v>25500</v>
      </c>
      <c r="M3445">
        <v>36</v>
      </c>
      <c r="N3445" s="3">
        <v>0.40300000000000002</v>
      </c>
      <c r="O3445" t="s">
        <v>17</v>
      </c>
      <c r="P3445" t="s">
        <v>65</v>
      </c>
      <c r="Q3445">
        <v>0</v>
      </c>
      <c r="R3445">
        <v>1</v>
      </c>
      <c r="S3445" s="2">
        <v>0</v>
      </c>
      <c r="T3445" s="4"/>
      <c r="U3445">
        <v>1</v>
      </c>
      <c r="V3445">
        <v>1</v>
      </c>
      <c r="W3445">
        <v>1</v>
      </c>
    </row>
    <row r="3446" spans="1:23" ht="16.5" x14ac:dyDescent="0.3">
      <c r="A3446" t="s">
        <v>3510</v>
      </c>
      <c r="B3446" s="1">
        <v>45790</v>
      </c>
      <c r="C3446">
        <v>2025</v>
      </c>
      <c r="D3446" t="s">
        <v>688</v>
      </c>
      <c r="E3446" t="s">
        <v>885</v>
      </c>
      <c r="F3446" t="s">
        <v>37</v>
      </c>
      <c r="G3446" t="s">
        <v>45</v>
      </c>
      <c r="H3446" t="s">
        <v>38</v>
      </c>
      <c r="I3446" t="s">
        <v>29</v>
      </c>
      <c r="J3446" t="s">
        <v>43</v>
      </c>
      <c r="K3446" s="2">
        <v>5050</v>
      </c>
      <c r="L3446" s="2">
        <v>13000</v>
      </c>
      <c r="M3446">
        <v>48</v>
      </c>
      <c r="N3446" s="3">
        <v>0.28599999999999998</v>
      </c>
      <c r="O3446" t="s">
        <v>17</v>
      </c>
      <c r="P3446" t="s">
        <v>60</v>
      </c>
      <c r="Q3446">
        <v>0</v>
      </c>
      <c r="R3446">
        <v>1</v>
      </c>
      <c r="S3446" s="2">
        <v>0</v>
      </c>
      <c r="T3446" s="4"/>
      <c r="U3446">
        <v>6</v>
      </c>
      <c r="V3446">
        <v>0</v>
      </c>
      <c r="W3446">
        <v>1</v>
      </c>
    </row>
    <row r="3447" spans="1:23" ht="16.5" x14ac:dyDescent="0.3">
      <c r="A3447" t="s">
        <v>3511</v>
      </c>
      <c r="B3447" s="1">
        <v>45790</v>
      </c>
      <c r="C3447">
        <v>2025</v>
      </c>
      <c r="D3447" t="s">
        <v>688</v>
      </c>
      <c r="E3447" t="s">
        <v>885</v>
      </c>
      <c r="F3447" t="s">
        <v>41</v>
      </c>
      <c r="G3447" t="s">
        <v>51</v>
      </c>
      <c r="H3447" t="s">
        <v>34</v>
      </c>
      <c r="I3447" t="s">
        <v>39</v>
      </c>
      <c r="J3447" t="s">
        <v>30</v>
      </c>
      <c r="K3447" s="2">
        <v>4700</v>
      </c>
      <c r="L3447" s="2">
        <v>171500</v>
      </c>
      <c r="M3447">
        <v>12</v>
      </c>
      <c r="N3447" s="3">
        <v>3.3679999999999999</v>
      </c>
      <c r="O3447" t="s">
        <v>17</v>
      </c>
      <c r="P3447" t="s">
        <v>31</v>
      </c>
      <c r="Q3447">
        <v>0</v>
      </c>
      <c r="R3447">
        <v>1</v>
      </c>
      <c r="S3447" s="2">
        <v>0</v>
      </c>
      <c r="T3447" s="4"/>
      <c r="U3447">
        <v>13</v>
      </c>
      <c r="V3447">
        <v>0</v>
      </c>
      <c r="W3447">
        <v>1</v>
      </c>
    </row>
    <row r="3448" spans="1:23" ht="16.5" x14ac:dyDescent="0.3">
      <c r="A3448" t="s">
        <v>3512</v>
      </c>
      <c r="B3448" s="1">
        <v>45790</v>
      </c>
      <c r="C3448">
        <v>2025</v>
      </c>
      <c r="D3448" t="s">
        <v>688</v>
      </c>
      <c r="E3448" t="s">
        <v>885</v>
      </c>
      <c r="F3448" t="s">
        <v>50</v>
      </c>
      <c r="G3448" t="s">
        <v>45</v>
      </c>
      <c r="H3448" t="s">
        <v>38</v>
      </c>
      <c r="I3448" t="s">
        <v>39</v>
      </c>
      <c r="J3448" t="s">
        <v>35</v>
      </c>
      <c r="K3448" s="2">
        <v>4250</v>
      </c>
      <c r="L3448" s="2">
        <v>162000</v>
      </c>
      <c r="M3448">
        <v>300</v>
      </c>
      <c r="N3448" s="3">
        <v>0.39100000000000001</v>
      </c>
      <c r="O3448" t="s">
        <v>16</v>
      </c>
      <c r="Q3448">
        <v>1</v>
      </c>
      <c r="R3448">
        <v>0</v>
      </c>
      <c r="S3448" s="2">
        <v>162000</v>
      </c>
      <c r="T3448" s="4">
        <v>5.6899999999999999E-2</v>
      </c>
      <c r="U3448">
        <v>5</v>
      </c>
      <c r="V3448">
        <v>1</v>
      </c>
      <c r="W3448">
        <v>1</v>
      </c>
    </row>
    <row r="3449" spans="1:23" ht="16.5" x14ac:dyDescent="0.3">
      <c r="A3449" t="s">
        <v>3513</v>
      </c>
      <c r="B3449" s="1">
        <v>45790</v>
      </c>
      <c r="C3449">
        <v>2025</v>
      </c>
      <c r="D3449" t="s">
        <v>688</v>
      </c>
      <c r="E3449" t="s">
        <v>885</v>
      </c>
      <c r="F3449" t="s">
        <v>41</v>
      </c>
      <c r="G3449" t="s">
        <v>51</v>
      </c>
      <c r="H3449" t="s">
        <v>34</v>
      </c>
      <c r="I3449" t="s">
        <v>42</v>
      </c>
      <c r="J3449" t="s">
        <v>30</v>
      </c>
      <c r="K3449" s="2">
        <v>5150</v>
      </c>
      <c r="L3449" s="2">
        <v>91000</v>
      </c>
      <c r="M3449">
        <v>36</v>
      </c>
      <c r="N3449" s="3">
        <v>0.72899999999999998</v>
      </c>
      <c r="O3449" t="s">
        <v>125</v>
      </c>
      <c r="Q3449">
        <v>0</v>
      </c>
      <c r="R3449">
        <v>0</v>
      </c>
      <c r="S3449" s="2">
        <v>0</v>
      </c>
      <c r="T3449" s="4"/>
      <c r="U3449">
        <v>13</v>
      </c>
      <c r="V3449">
        <v>0</v>
      </c>
      <c r="W3449">
        <v>1</v>
      </c>
    </row>
    <row r="3450" spans="1:23" ht="16.5" x14ac:dyDescent="0.3">
      <c r="A3450" t="s">
        <v>3514</v>
      </c>
      <c r="B3450" s="1">
        <v>45790</v>
      </c>
      <c r="C3450">
        <v>2025</v>
      </c>
      <c r="D3450" t="s">
        <v>688</v>
      </c>
      <c r="E3450" t="s">
        <v>885</v>
      </c>
      <c r="F3450" t="s">
        <v>41</v>
      </c>
      <c r="G3450" t="s">
        <v>51</v>
      </c>
      <c r="H3450" t="s">
        <v>38</v>
      </c>
      <c r="I3450" t="s">
        <v>39</v>
      </c>
      <c r="J3450" t="s">
        <v>35</v>
      </c>
      <c r="K3450" s="2">
        <v>6200</v>
      </c>
      <c r="L3450" s="2">
        <v>183500</v>
      </c>
      <c r="M3450">
        <v>12</v>
      </c>
      <c r="N3450" s="3">
        <v>2.673</v>
      </c>
      <c r="O3450" t="s">
        <v>17</v>
      </c>
      <c r="P3450" t="s">
        <v>53</v>
      </c>
      <c r="Q3450">
        <v>0</v>
      </c>
      <c r="R3450">
        <v>1</v>
      </c>
      <c r="S3450" s="2">
        <v>0</v>
      </c>
      <c r="T3450" s="4"/>
      <c r="U3450">
        <v>12</v>
      </c>
      <c r="V3450">
        <v>0</v>
      </c>
      <c r="W3450">
        <v>1</v>
      </c>
    </row>
    <row r="3451" spans="1:23" ht="16.5" x14ac:dyDescent="0.3">
      <c r="A3451" t="s">
        <v>3515</v>
      </c>
      <c r="B3451" s="1">
        <v>45790</v>
      </c>
      <c r="C3451">
        <v>2025</v>
      </c>
      <c r="D3451" t="s">
        <v>688</v>
      </c>
      <c r="E3451" t="s">
        <v>885</v>
      </c>
      <c r="F3451" t="s">
        <v>37</v>
      </c>
      <c r="G3451" t="s">
        <v>33</v>
      </c>
      <c r="H3451" t="s">
        <v>34</v>
      </c>
      <c r="I3451" t="s">
        <v>29</v>
      </c>
      <c r="J3451" t="s">
        <v>52</v>
      </c>
      <c r="K3451" s="2">
        <v>9900</v>
      </c>
      <c r="L3451" s="2">
        <v>13500</v>
      </c>
      <c r="M3451">
        <v>48</v>
      </c>
      <c r="N3451" s="3">
        <v>9.4E-2</v>
      </c>
      <c r="O3451" t="s">
        <v>16</v>
      </c>
      <c r="Q3451">
        <v>1</v>
      </c>
      <c r="R3451">
        <v>0</v>
      </c>
      <c r="S3451" s="2">
        <v>13500</v>
      </c>
      <c r="T3451" s="4">
        <v>0.1137</v>
      </c>
      <c r="U3451">
        <v>1</v>
      </c>
      <c r="V3451">
        <v>1</v>
      </c>
      <c r="W3451">
        <v>1</v>
      </c>
    </row>
    <row r="3452" spans="1:23" ht="16.5" x14ac:dyDescent="0.3">
      <c r="A3452" t="s">
        <v>3516</v>
      </c>
      <c r="B3452" s="1">
        <v>45790</v>
      </c>
      <c r="C3452">
        <v>2025</v>
      </c>
      <c r="D3452" t="s">
        <v>688</v>
      </c>
      <c r="E3452" t="s">
        <v>885</v>
      </c>
      <c r="F3452" t="s">
        <v>26</v>
      </c>
      <c r="G3452" t="s">
        <v>51</v>
      </c>
      <c r="H3452" t="s">
        <v>55</v>
      </c>
      <c r="I3452" t="s">
        <v>29</v>
      </c>
      <c r="J3452" t="s">
        <v>52</v>
      </c>
      <c r="K3452" s="2">
        <v>2700</v>
      </c>
      <c r="L3452" s="2">
        <v>69000</v>
      </c>
      <c r="M3452">
        <v>60</v>
      </c>
      <c r="N3452" s="3">
        <v>0.57799999999999996</v>
      </c>
      <c r="O3452" t="s">
        <v>16</v>
      </c>
      <c r="Q3452">
        <v>1</v>
      </c>
      <c r="R3452">
        <v>0</v>
      </c>
      <c r="S3452" s="2">
        <v>62000</v>
      </c>
      <c r="T3452" s="4">
        <v>7.6300000000000007E-2</v>
      </c>
      <c r="U3452">
        <v>9</v>
      </c>
      <c r="V3452">
        <v>0</v>
      </c>
      <c r="W3452">
        <v>1</v>
      </c>
    </row>
    <row r="3453" spans="1:23" ht="16.5" x14ac:dyDescent="0.3">
      <c r="A3453" t="s">
        <v>3517</v>
      </c>
      <c r="B3453" s="1">
        <v>45790</v>
      </c>
      <c r="C3453">
        <v>2025</v>
      </c>
      <c r="D3453" t="s">
        <v>688</v>
      </c>
      <c r="E3453" t="s">
        <v>885</v>
      </c>
      <c r="F3453" t="s">
        <v>41</v>
      </c>
      <c r="G3453" t="s">
        <v>51</v>
      </c>
      <c r="H3453" t="s">
        <v>28</v>
      </c>
      <c r="I3453" t="s">
        <v>39</v>
      </c>
      <c r="J3453" t="s">
        <v>35</v>
      </c>
      <c r="K3453" s="2">
        <v>5800</v>
      </c>
      <c r="L3453" s="2">
        <v>121500</v>
      </c>
      <c r="M3453">
        <v>24</v>
      </c>
      <c r="N3453" s="3">
        <v>1.0269999999999999</v>
      </c>
      <c r="O3453" t="s">
        <v>16</v>
      </c>
      <c r="Q3453">
        <v>1</v>
      </c>
      <c r="R3453">
        <v>0</v>
      </c>
      <c r="S3453" s="2">
        <v>121500</v>
      </c>
      <c r="T3453" s="4">
        <v>0.10730000000000001</v>
      </c>
      <c r="U3453">
        <v>18</v>
      </c>
      <c r="V3453">
        <v>0</v>
      </c>
      <c r="W3453">
        <v>1</v>
      </c>
    </row>
    <row r="3454" spans="1:23" ht="16.5" x14ac:dyDescent="0.3">
      <c r="A3454" t="s">
        <v>3518</v>
      </c>
      <c r="B3454" s="1">
        <v>45791</v>
      </c>
      <c r="C3454">
        <v>2025</v>
      </c>
      <c r="D3454" t="s">
        <v>688</v>
      </c>
      <c r="E3454" t="s">
        <v>885</v>
      </c>
      <c r="F3454" t="s">
        <v>50</v>
      </c>
      <c r="G3454" t="s">
        <v>33</v>
      </c>
      <c r="H3454" t="s">
        <v>38</v>
      </c>
      <c r="I3454" t="s">
        <v>29</v>
      </c>
      <c r="J3454" t="s">
        <v>52</v>
      </c>
      <c r="K3454" s="2">
        <v>11550</v>
      </c>
      <c r="L3454" s="2">
        <v>557000</v>
      </c>
      <c r="M3454">
        <v>240</v>
      </c>
      <c r="N3454" s="3">
        <v>0.38700000000000001</v>
      </c>
      <c r="O3454" t="s">
        <v>16</v>
      </c>
      <c r="Q3454">
        <v>1</v>
      </c>
      <c r="R3454">
        <v>0</v>
      </c>
      <c r="S3454" s="2">
        <v>557000</v>
      </c>
      <c r="T3454" s="4">
        <v>5.3699999999999998E-2</v>
      </c>
      <c r="U3454">
        <v>8</v>
      </c>
      <c r="V3454">
        <v>1</v>
      </c>
      <c r="W3454">
        <v>1</v>
      </c>
    </row>
    <row r="3455" spans="1:23" ht="16.5" x14ac:dyDescent="0.3">
      <c r="A3455" t="s">
        <v>3519</v>
      </c>
      <c r="B3455" s="1">
        <v>45791</v>
      </c>
      <c r="C3455">
        <v>2025</v>
      </c>
      <c r="D3455" t="s">
        <v>688</v>
      </c>
      <c r="E3455" t="s">
        <v>885</v>
      </c>
      <c r="F3455" t="s">
        <v>26</v>
      </c>
      <c r="G3455" t="s">
        <v>51</v>
      </c>
      <c r="H3455" t="s">
        <v>38</v>
      </c>
      <c r="I3455" t="s">
        <v>29</v>
      </c>
      <c r="J3455" t="s">
        <v>46</v>
      </c>
      <c r="K3455" s="2">
        <v>3000</v>
      </c>
      <c r="L3455" s="2">
        <v>29000</v>
      </c>
      <c r="M3455">
        <v>48</v>
      </c>
      <c r="N3455" s="3">
        <v>0.47499999999999998</v>
      </c>
      <c r="O3455" t="s">
        <v>16</v>
      </c>
      <c r="Q3455">
        <v>1</v>
      </c>
      <c r="R3455">
        <v>0</v>
      </c>
      <c r="S3455" s="2">
        <v>29000</v>
      </c>
      <c r="T3455" s="4">
        <v>6.8400000000000002E-2</v>
      </c>
      <c r="U3455">
        <v>8</v>
      </c>
      <c r="V3455">
        <v>0</v>
      </c>
      <c r="W3455">
        <v>1</v>
      </c>
    </row>
    <row r="3456" spans="1:23" ht="16.5" x14ac:dyDescent="0.3">
      <c r="A3456" t="s">
        <v>3520</v>
      </c>
      <c r="B3456" s="1">
        <v>45791</v>
      </c>
      <c r="C3456">
        <v>2025</v>
      </c>
      <c r="D3456" t="s">
        <v>688</v>
      </c>
      <c r="E3456" t="s">
        <v>885</v>
      </c>
      <c r="F3456" t="s">
        <v>26</v>
      </c>
      <c r="G3456" t="s">
        <v>27</v>
      </c>
      <c r="H3456" t="s">
        <v>55</v>
      </c>
      <c r="I3456" t="s">
        <v>29</v>
      </c>
      <c r="J3456" t="s">
        <v>46</v>
      </c>
      <c r="K3456" s="2">
        <v>5900</v>
      </c>
      <c r="L3456" s="2">
        <v>19000</v>
      </c>
      <c r="M3456">
        <v>48</v>
      </c>
      <c r="N3456" s="3">
        <v>0.25800000000000001</v>
      </c>
      <c r="O3456" t="s">
        <v>16</v>
      </c>
      <c r="Q3456">
        <v>1</v>
      </c>
      <c r="R3456">
        <v>0</v>
      </c>
      <c r="S3456" s="2">
        <v>17000</v>
      </c>
      <c r="T3456" s="4">
        <v>6.93E-2</v>
      </c>
      <c r="U3456">
        <v>3</v>
      </c>
      <c r="V3456">
        <v>1</v>
      </c>
      <c r="W3456">
        <v>1</v>
      </c>
    </row>
    <row r="3457" spans="1:23" ht="16.5" x14ac:dyDescent="0.3">
      <c r="A3457" t="s">
        <v>3521</v>
      </c>
      <c r="B3457" s="1">
        <v>45791</v>
      </c>
      <c r="C3457">
        <v>2025</v>
      </c>
      <c r="D3457" t="s">
        <v>688</v>
      </c>
      <c r="E3457" t="s">
        <v>885</v>
      </c>
      <c r="F3457" t="s">
        <v>26</v>
      </c>
      <c r="G3457" t="s">
        <v>45</v>
      </c>
      <c r="H3457" t="s">
        <v>55</v>
      </c>
      <c r="I3457" t="s">
        <v>39</v>
      </c>
      <c r="J3457" t="s">
        <v>46</v>
      </c>
      <c r="K3457" s="2">
        <v>4850</v>
      </c>
      <c r="L3457" s="2">
        <v>22000</v>
      </c>
      <c r="M3457">
        <v>60</v>
      </c>
      <c r="N3457" s="3">
        <v>0.193</v>
      </c>
      <c r="O3457" t="s">
        <v>16</v>
      </c>
      <c r="Q3457">
        <v>1</v>
      </c>
      <c r="R3457">
        <v>0</v>
      </c>
      <c r="S3457" s="2">
        <v>20000</v>
      </c>
      <c r="T3457" s="4">
        <v>6.6500000000000004E-2</v>
      </c>
      <c r="U3457">
        <v>4</v>
      </c>
      <c r="V3457">
        <v>1</v>
      </c>
      <c r="W3457">
        <v>1</v>
      </c>
    </row>
    <row r="3458" spans="1:23" ht="16.5" x14ac:dyDescent="0.3">
      <c r="A3458" t="s">
        <v>3522</v>
      </c>
      <c r="B3458" s="1">
        <v>45791</v>
      </c>
      <c r="C3458">
        <v>2025</v>
      </c>
      <c r="D3458" t="s">
        <v>688</v>
      </c>
      <c r="E3458" t="s">
        <v>885</v>
      </c>
      <c r="F3458" t="s">
        <v>26</v>
      </c>
      <c r="G3458" t="s">
        <v>51</v>
      </c>
      <c r="H3458" t="s">
        <v>38</v>
      </c>
      <c r="I3458" t="s">
        <v>39</v>
      </c>
      <c r="J3458" t="s">
        <v>35</v>
      </c>
      <c r="K3458" s="2">
        <v>8400</v>
      </c>
      <c r="L3458" s="2">
        <v>62500</v>
      </c>
      <c r="M3458">
        <v>48</v>
      </c>
      <c r="N3458" s="3">
        <v>0.245</v>
      </c>
      <c r="O3458" t="s">
        <v>16</v>
      </c>
      <c r="Q3458">
        <v>1</v>
      </c>
      <c r="R3458">
        <v>0</v>
      </c>
      <c r="S3458" s="2">
        <v>56000</v>
      </c>
      <c r="T3458" s="4">
        <v>8.3000000000000004E-2</v>
      </c>
      <c r="U3458">
        <v>3</v>
      </c>
      <c r="V3458">
        <v>1</v>
      </c>
      <c r="W3458">
        <v>1</v>
      </c>
    </row>
    <row r="3459" spans="1:23" ht="16.5" x14ac:dyDescent="0.3">
      <c r="A3459" t="s">
        <v>3523</v>
      </c>
      <c r="B3459" s="1">
        <v>45791</v>
      </c>
      <c r="C3459">
        <v>2025</v>
      </c>
      <c r="D3459" t="s">
        <v>688</v>
      </c>
      <c r="E3459" t="s">
        <v>885</v>
      </c>
      <c r="F3459" t="s">
        <v>37</v>
      </c>
      <c r="G3459" t="s">
        <v>33</v>
      </c>
      <c r="H3459" t="s">
        <v>38</v>
      </c>
      <c r="I3459" t="s">
        <v>42</v>
      </c>
      <c r="J3459" t="s">
        <v>35</v>
      </c>
      <c r="K3459" s="2">
        <v>3150</v>
      </c>
      <c r="L3459" s="2">
        <v>16000</v>
      </c>
      <c r="M3459">
        <v>12</v>
      </c>
      <c r="N3459" s="3">
        <v>0.69299999999999995</v>
      </c>
      <c r="O3459" t="s">
        <v>17</v>
      </c>
      <c r="P3459" t="s">
        <v>53</v>
      </c>
      <c r="Q3459">
        <v>0</v>
      </c>
      <c r="R3459">
        <v>1</v>
      </c>
      <c r="S3459" s="2">
        <v>0</v>
      </c>
      <c r="T3459" s="4"/>
      <c r="U3459">
        <v>2</v>
      </c>
      <c r="V3459">
        <v>1</v>
      </c>
      <c r="W3459">
        <v>1</v>
      </c>
    </row>
    <row r="3460" spans="1:23" ht="16.5" x14ac:dyDescent="0.3">
      <c r="A3460" t="s">
        <v>3524</v>
      </c>
      <c r="B3460" s="1">
        <v>45791</v>
      </c>
      <c r="C3460">
        <v>2025</v>
      </c>
      <c r="D3460" t="s">
        <v>688</v>
      </c>
      <c r="E3460" t="s">
        <v>885</v>
      </c>
      <c r="F3460" t="s">
        <v>37</v>
      </c>
      <c r="G3460" t="s">
        <v>45</v>
      </c>
      <c r="H3460" t="s">
        <v>28</v>
      </c>
      <c r="I3460" t="s">
        <v>29</v>
      </c>
      <c r="J3460" t="s">
        <v>30</v>
      </c>
      <c r="K3460" s="2">
        <v>5250</v>
      </c>
      <c r="L3460" s="2">
        <v>7500</v>
      </c>
      <c r="M3460">
        <v>36</v>
      </c>
      <c r="N3460" s="3">
        <v>0.26800000000000002</v>
      </c>
      <c r="O3460" t="s">
        <v>16</v>
      </c>
      <c r="Q3460">
        <v>1</v>
      </c>
      <c r="R3460">
        <v>0</v>
      </c>
      <c r="S3460" s="2">
        <v>7000</v>
      </c>
      <c r="T3460" s="4">
        <v>0.1424</v>
      </c>
      <c r="U3460">
        <v>2</v>
      </c>
      <c r="V3460">
        <v>1</v>
      </c>
      <c r="W3460">
        <v>1</v>
      </c>
    </row>
    <row r="3461" spans="1:23" ht="16.5" x14ac:dyDescent="0.3">
      <c r="A3461" t="s">
        <v>3525</v>
      </c>
      <c r="B3461" s="1">
        <v>45791</v>
      </c>
      <c r="C3461">
        <v>2025</v>
      </c>
      <c r="D3461" t="s">
        <v>688</v>
      </c>
      <c r="E3461" t="s">
        <v>885</v>
      </c>
      <c r="F3461" t="s">
        <v>26</v>
      </c>
      <c r="G3461" t="s">
        <v>45</v>
      </c>
      <c r="H3461" t="s">
        <v>38</v>
      </c>
      <c r="I3461" t="s">
        <v>39</v>
      </c>
      <c r="J3461" t="s">
        <v>43</v>
      </c>
      <c r="K3461" s="2">
        <v>3300</v>
      </c>
      <c r="L3461" s="2">
        <v>29500</v>
      </c>
      <c r="M3461">
        <v>60</v>
      </c>
      <c r="N3461" s="3">
        <v>0.38900000000000001</v>
      </c>
      <c r="O3461" t="s">
        <v>16</v>
      </c>
      <c r="Q3461">
        <v>1</v>
      </c>
      <c r="R3461">
        <v>0</v>
      </c>
      <c r="S3461" s="2">
        <v>29500</v>
      </c>
      <c r="T3461" s="4">
        <v>0.1159</v>
      </c>
      <c r="U3461">
        <v>2</v>
      </c>
      <c r="V3461">
        <v>1</v>
      </c>
      <c r="W3461">
        <v>1</v>
      </c>
    </row>
    <row r="3462" spans="1:23" ht="16.5" x14ac:dyDescent="0.3">
      <c r="A3462" t="s">
        <v>3526</v>
      </c>
      <c r="B3462" s="1">
        <v>45791</v>
      </c>
      <c r="C3462">
        <v>2025</v>
      </c>
      <c r="D3462" t="s">
        <v>688</v>
      </c>
      <c r="E3462" t="s">
        <v>885</v>
      </c>
      <c r="F3462" t="s">
        <v>37</v>
      </c>
      <c r="G3462" t="s">
        <v>33</v>
      </c>
      <c r="H3462" t="s">
        <v>64</v>
      </c>
      <c r="I3462" t="s">
        <v>29</v>
      </c>
      <c r="J3462" t="s">
        <v>35</v>
      </c>
      <c r="K3462" s="2">
        <v>4900</v>
      </c>
      <c r="L3462" s="2">
        <v>16500</v>
      </c>
      <c r="M3462">
        <v>24</v>
      </c>
      <c r="N3462" s="3">
        <v>0.30499999999999999</v>
      </c>
      <c r="O3462" t="s">
        <v>16</v>
      </c>
      <c r="Q3462">
        <v>1</v>
      </c>
      <c r="R3462">
        <v>0</v>
      </c>
      <c r="S3462" s="2">
        <v>16500</v>
      </c>
      <c r="T3462" s="4">
        <v>0.1211</v>
      </c>
      <c r="U3462">
        <v>1</v>
      </c>
      <c r="V3462">
        <v>1</v>
      </c>
      <c r="W3462">
        <v>1</v>
      </c>
    </row>
    <row r="3463" spans="1:23" ht="16.5" x14ac:dyDescent="0.3">
      <c r="A3463" t="s">
        <v>3527</v>
      </c>
      <c r="B3463" s="1">
        <v>45791</v>
      </c>
      <c r="C3463">
        <v>2025</v>
      </c>
      <c r="D3463" t="s">
        <v>688</v>
      </c>
      <c r="E3463" t="s">
        <v>885</v>
      </c>
      <c r="F3463" t="s">
        <v>41</v>
      </c>
      <c r="G3463" t="s">
        <v>51</v>
      </c>
      <c r="H3463" t="s">
        <v>38</v>
      </c>
      <c r="I3463" t="s">
        <v>42</v>
      </c>
      <c r="J3463" t="s">
        <v>30</v>
      </c>
      <c r="K3463" s="2">
        <v>15250</v>
      </c>
      <c r="L3463" s="2">
        <v>39500</v>
      </c>
      <c r="M3463">
        <v>12</v>
      </c>
      <c r="N3463" s="3">
        <v>0.35499999999999998</v>
      </c>
      <c r="O3463" t="s">
        <v>16</v>
      </c>
      <c r="Q3463">
        <v>1</v>
      </c>
      <c r="R3463">
        <v>0</v>
      </c>
      <c r="S3463" s="2">
        <v>39500</v>
      </c>
      <c r="T3463" s="4">
        <v>0.12039999999999999</v>
      </c>
      <c r="U3463">
        <v>10</v>
      </c>
      <c r="V3463">
        <v>1</v>
      </c>
      <c r="W3463">
        <v>1</v>
      </c>
    </row>
    <row r="3464" spans="1:23" ht="16.5" x14ac:dyDescent="0.3">
      <c r="A3464" t="s">
        <v>3528</v>
      </c>
      <c r="B3464" s="1">
        <v>45792</v>
      </c>
      <c r="C3464">
        <v>2025</v>
      </c>
      <c r="D3464" t="s">
        <v>688</v>
      </c>
      <c r="E3464" t="s">
        <v>885</v>
      </c>
      <c r="F3464" t="s">
        <v>50</v>
      </c>
      <c r="G3464" t="s">
        <v>33</v>
      </c>
      <c r="H3464" t="s">
        <v>55</v>
      </c>
      <c r="I3464" t="s">
        <v>29</v>
      </c>
      <c r="J3464" t="s">
        <v>35</v>
      </c>
      <c r="K3464" s="2">
        <v>5700</v>
      </c>
      <c r="L3464" s="2">
        <v>182500</v>
      </c>
      <c r="M3464">
        <v>300</v>
      </c>
      <c r="N3464" s="3">
        <v>0.36499999999999999</v>
      </c>
      <c r="O3464" t="s">
        <v>16</v>
      </c>
      <c r="Q3464">
        <v>1</v>
      </c>
      <c r="R3464">
        <v>0</v>
      </c>
      <c r="S3464" s="2">
        <v>146000</v>
      </c>
      <c r="T3464" s="4">
        <v>5.8599999999999999E-2</v>
      </c>
      <c r="U3464">
        <v>4</v>
      </c>
      <c r="V3464">
        <v>1</v>
      </c>
      <c r="W3464">
        <v>1</v>
      </c>
    </row>
    <row r="3465" spans="1:23" ht="16.5" x14ac:dyDescent="0.3">
      <c r="A3465" t="s">
        <v>3529</v>
      </c>
      <c r="B3465" s="1">
        <v>45792</v>
      </c>
      <c r="C3465">
        <v>2025</v>
      </c>
      <c r="D3465" t="s">
        <v>688</v>
      </c>
      <c r="E3465" t="s">
        <v>885</v>
      </c>
      <c r="F3465" t="s">
        <v>26</v>
      </c>
      <c r="G3465" t="s">
        <v>51</v>
      </c>
      <c r="H3465" t="s">
        <v>55</v>
      </c>
      <c r="I3465" t="s">
        <v>39</v>
      </c>
      <c r="J3465" t="s">
        <v>35</v>
      </c>
      <c r="K3465" s="2">
        <v>3850</v>
      </c>
      <c r="L3465" s="2">
        <v>17500</v>
      </c>
      <c r="M3465">
        <v>60</v>
      </c>
      <c r="N3465" s="3">
        <v>0.151</v>
      </c>
      <c r="O3465" t="s">
        <v>17</v>
      </c>
      <c r="P3465" t="s">
        <v>31</v>
      </c>
      <c r="Q3465">
        <v>0</v>
      </c>
      <c r="R3465">
        <v>1</v>
      </c>
      <c r="S3465" s="2">
        <v>0</v>
      </c>
      <c r="T3465" s="4"/>
      <c r="U3465">
        <v>7</v>
      </c>
      <c r="V3465">
        <v>0</v>
      </c>
      <c r="W3465">
        <v>1</v>
      </c>
    </row>
    <row r="3466" spans="1:23" ht="16.5" x14ac:dyDescent="0.3">
      <c r="A3466" t="s">
        <v>3530</v>
      </c>
      <c r="B3466" s="1">
        <v>45792</v>
      </c>
      <c r="C3466">
        <v>2025</v>
      </c>
      <c r="D3466" t="s">
        <v>688</v>
      </c>
      <c r="E3466" t="s">
        <v>885</v>
      </c>
      <c r="F3466" t="s">
        <v>26</v>
      </c>
      <c r="G3466" t="s">
        <v>51</v>
      </c>
      <c r="H3466" t="s">
        <v>38</v>
      </c>
      <c r="I3466" t="s">
        <v>42</v>
      </c>
      <c r="J3466" t="s">
        <v>35</v>
      </c>
      <c r="K3466" s="2">
        <v>5850</v>
      </c>
      <c r="L3466" s="2">
        <v>17000</v>
      </c>
      <c r="M3466">
        <v>48</v>
      </c>
      <c r="N3466" s="3">
        <v>0.127</v>
      </c>
      <c r="O3466" t="s">
        <v>17</v>
      </c>
      <c r="P3466" t="s">
        <v>48</v>
      </c>
      <c r="Q3466">
        <v>0</v>
      </c>
      <c r="R3466">
        <v>1</v>
      </c>
      <c r="S3466" s="2">
        <v>0</v>
      </c>
      <c r="T3466" s="4"/>
      <c r="U3466">
        <v>4</v>
      </c>
      <c r="V3466">
        <v>1</v>
      </c>
      <c r="W3466">
        <v>1</v>
      </c>
    </row>
    <row r="3467" spans="1:23" ht="16.5" x14ac:dyDescent="0.3">
      <c r="A3467" t="s">
        <v>3531</v>
      </c>
      <c r="B3467" s="1">
        <v>45792</v>
      </c>
      <c r="C3467">
        <v>2025</v>
      </c>
      <c r="D3467" t="s">
        <v>688</v>
      </c>
      <c r="E3467" t="s">
        <v>885</v>
      </c>
      <c r="F3467" t="s">
        <v>37</v>
      </c>
      <c r="G3467" t="s">
        <v>51</v>
      </c>
      <c r="H3467" t="s">
        <v>55</v>
      </c>
      <c r="I3467" t="s">
        <v>42</v>
      </c>
      <c r="J3467" t="s">
        <v>35</v>
      </c>
      <c r="K3467" s="2">
        <v>3250</v>
      </c>
      <c r="L3467" s="2">
        <v>22000</v>
      </c>
      <c r="M3467">
        <v>60</v>
      </c>
      <c r="N3467" s="3">
        <v>0.28599999999999998</v>
      </c>
      <c r="O3467" t="s">
        <v>17</v>
      </c>
      <c r="P3467" t="s">
        <v>65</v>
      </c>
      <c r="Q3467">
        <v>0</v>
      </c>
      <c r="R3467">
        <v>1</v>
      </c>
      <c r="S3467" s="2">
        <v>0</v>
      </c>
      <c r="T3467" s="4"/>
      <c r="U3467">
        <v>4</v>
      </c>
      <c r="V3467">
        <v>0</v>
      </c>
      <c r="W3467">
        <v>1</v>
      </c>
    </row>
    <row r="3468" spans="1:23" ht="16.5" x14ac:dyDescent="0.3">
      <c r="A3468" t="s">
        <v>3532</v>
      </c>
      <c r="B3468" s="1">
        <v>45792</v>
      </c>
      <c r="C3468">
        <v>2025</v>
      </c>
      <c r="D3468" t="s">
        <v>688</v>
      </c>
      <c r="E3468" t="s">
        <v>885</v>
      </c>
      <c r="F3468" t="s">
        <v>50</v>
      </c>
      <c r="G3468" t="s">
        <v>33</v>
      </c>
      <c r="H3468" t="s">
        <v>34</v>
      </c>
      <c r="I3468" t="s">
        <v>39</v>
      </c>
      <c r="J3468" t="s">
        <v>35</v>
      </c>
      <c r="K3468" s="2">
        <v>4650</v>
      </c>
      <c r="L3468" s="2">
        <v>404000</v>
      </c>
      <c r="M3468">
        <v>240</v>
      </c>
      <c r="N3468" s="3">
        <v>0.64500000000000002</v>
      </c>
      <c r="O3468" t="s">
        <v>16</v>
      </c>
      <c r="Q3468">
        <v>1</v>
      </c>
      <c r="R3468">
        <v>0</v>
      </c>
      <c r="S3468" s="2">
        <v>404000</v>
      </c>
      <c r="T3468" s="4">
        <v>6.1499999999999999E-2</v>
      </c>
      <c r="U3468">
        <v>3</v>
      </c>
      <c r="V3468">
        <v>1</v>
      </c>
      <c r="W3468">
        <v>1</v>
      </c>
    </row>
    <row r="3469" spans="1:23" ht="16.5" x14ac:dyDescent="0.3">
      <c r="A3469" t="s">
        <v>3533</v>
      </c>
      <c r="B3469" s="1">
        <v>45792</v>
      </c>
      <c r="C3469">
        <v>2025</v>
      </c>
      <c r="D3469" t="s">
        <v>688</v>
      </c>
      <c r="E3469" t="s">
        <v>885</v>
      </c>
      <c r="F3469" t="s">
        <v>37</v>
      </c>
      <c r="G3469" t="s">
        <v>51</v>
      </c>
      <c r="H3469" t="s">
        <v>28</v>
      </c>
      <c r="I3469" t="s">
        <v>42</v>
      </c>
      <c r="J3469" t="s">
        <v>46</v>
      </c>
      <c r="K3469" s="2">
        <v>3950</v>
      </c>
      <c r="L3469" s="2">
        <v>11000</v>
      </c>
      <c r="M3469">
        <v>36</v>
      </c>
      <c r="N3469" s="3">
        <v>0.17599999999999999</v>
      </c>
      <c r="O3469" t="s">
        <v>16</v>
      </c>
      <c r="Q3469">
        <v>1</v>
      </c>
      <c r="R3469">
        <v>0</v>
      </c>
      <c r="S3469" s="2">
        <v>11000</v>
      </c>
      <c r="T3469" s="4">
        <v>0.1037</v>
      </c>
      <c r="U3469">
        <v>5</v>
      </c>
      <c r="V3469">
        <v>0</v>
      </c>
      <c r="W3469">
        <v>1</v>
      </c>
    </row>
    <row r="3470" spans="1:23" ht="16.5" x14ac:dyDescent="0.3">
      <c r="A3470" t="s">
        <v>3534</v>
      </c>
      <c r="B3470" s="1">
        <v>45792</v>
      </c>
      <c r="C3470">
        <v>2025</v>
      </c>
      <c r="D3470" t="s">
        <v>688</v>
      </c>
      <c r="E3470" t="s">
        <v>885</v>
      </c>
      <c r="F3470" t="s">
        <v>37</v>
      </c>
      <c r="G3470" t="s">
        <v>45</v>
      </c>
      <c r="H3470" t="s">
        <v>38</v>
      </c>
      <c r="I3470" t="s">
        <v>39</v>
      </c>
      <c r="J3470" t="s">
        <v>52</v>
      </c>
      <c r="K3470" s="2">
        <v>4350</v>
      </c>
      <c r="L3470" s="2">
        <v>11000</v>
      </c>
      <c r="M3470">
        <v>60</v>
      </c>
      <c r="N3470" s="3">
        <v>0.252</v>
      </c>
      <c r="O3470" t="s">
        <v>16</v>
      </c>
      <c r="Q3470">
        <v>1</v>
      </c>
      <c r="R3470">
        <v>0</v>
      </c>
      <c r="S3470" s="2">
        <v>11000</v>
      </c>
      <c r="T3470" s="4">
        <v>0.11849999999999999</v>
      </c>
      <c r="U3470">
        <v>2</v>
      </c>
      <c r="V3470">
        <v>1</v>
      </c>
      <c r="W3470">
        <v>1</v>
      </c>
    </row>
    <row r="3471" spans="1:23" ht="16.5" x14ac:dyDescent="0.3">
      <c r="A3471" t="s">
        <v>3535</v>
      </c>
      <c r="B3471" s="1">
        <v>45792</v>
      </c>
      <c r="C3471">
        <v>2025</v>
      </c>
      <c r="D3471" t="s">
        <v>688</v>
      </c>
      <c r="E3471" t="s">
        <v>885</v>
      </c>
      <c r="F3471" t="s">
        <v>26</v>
      </c>
      <c r="G3471" t="s">
        <v>33</v>
      </c>
      <c r="H3471" t="s">
        <v>55</v>
      </c>
      <c r="I3471" t="s">
        <v>29</v>
      </c>
      <c r="J3471" t="s">
        <v>52</v>
      </c>
      <c r="K3471" s="2">
        <v>7550</v>
      </c>
      <c r="L3471" s="2">
        <v>22000</v>
      </c>
      <c r="M3471">
        <v>60</v>
      </c>
      <c r="N3471" s="3">
        <v>0.14099999999999999</v>
      </c>
      <c r="O3471" t="s">
        <v>16</v>
      </c>
      <c r="Q3471">
        <v>1</v>
      </c>
      <c r="R3471">
        <v>0</v>
      </c>
      <c r="S3471" s="2">
        <v>22000</v>
      </c>
      <c r="T3471" s="4">
        <v>7.3899999999999993E-2</v>
      </c>
      <c r="U3471">
        <v>1</v>
      </c>
      <c r="V3471">
        <v>1</v>
      </c>
      <c r="W3471">
        <v>1</v>
      </c>
    </row>
    <row r="3472" spans="1:23" ht="16.5" x14ac:dyDescent="0.3">
      <c r="A3472" t="s">
        <v>3536</v>
      </c>
      <c r="B3472" s="1">
        <v>45792</v>
      </c>
      <c r="C3472">
        <v>2025</v>
      </c>
      <c r="D3472" t="s">
        <v>688</v>
      </c>
      <c r="E3472" t="s">
        <v>885</v>
      </c>
      <c r="F3472" t="s">
        <v>50</v>
      </c>
      <c r="G3472" t="s">
        <v>51</v>
      </c>
      <c r="H3472" t="s">
        <v>28</v>
      </c>
      <c r="I3472" t="s">
        <v>29</v>
      </c>
      <c r="J3472" t="s">
        <v>35</v>
      </c>
      <c r="K3472" s="2">
        <v>3400</v>
      </c>
      <c r="L3472" s="2">
        <v>236500</v>
      </c>
      <c r="M3472">
        <v>240</v>
      </c>
      <c r="N3472" s="3">
        <v>0.59699999999999998</v>
      </c>
      <c r="O3472" t="s">
        <v>16</v>
      </c>
      <c r="Q3472">
        <v>1</v>
      </c>
      <c r="R3472">
        <v>0</v>
      </c>
      <c r="S3472" s="2">
        <v>236500</v>
      </c>
      <c r="T3472" s="4">
        <v>5.7500000000000002E-2</v>
      </c>
      <c r="U3472">
        <v>9</v>
      </c>
      <c r="V3472">
        <v>1</v>
      </c>
      <c r="W3472">
        <v>1</v>
      </c>
    </row>
    <row r="3473" spans="1:23" ht="16.5" x14ac:dyDescent="0.3">
      <c r="A3473" t="s">
        <v>3537</v>
      </c>
      <c r="B3473" s="1">
        <v>45792</v>
      </c>
      <c r="C3473">
        <v>2025</v>
      </c>
      <c r="D3473" t="s">
        <v>688</v>
      </c>
      <c r="E3473" t="s">
        <v>885</v>
      </c>
      <c r="F3473" t="s">
        <v>37</v>
      </c>
      <c r="G3473" t="s">
        <v>51</v>
      </c>
      <c r="H3473" t="s">
        <v>38</v>
      </c>
      <c r="I3473" t="s">
        <v>39</v>
      </c>
      <c r="J3473" t="s">
        <v>52</v>
      </c>
      <c r="K3473" s="2">
        <v>4750</v>
      </c>
      <c r="L3473" s="2">
        <v>8000</v>
      </c>
      <c r="M3473">
        <v>48</v>
      </c>
      <c r="N3473" s="3">
        <v>0.28899999999999998</v>
      </c>
      <c r="O3473" t="s">
        <v>16</v>
      </c>
      <c r="Q3473">
        <v>1</v>
      </c>
      <c r="R3473">
        <v>0</v>
      </c>
      <c r="S3473" s="2">
        <v>7000</v>
      </c>
      <c r="T3473" s="4">
        <v>0.1187</v>
      </c>
      <c r="U3473">
        <v>3</v>
      </c>
      <c r="V3473">
        <v>1</v>
      </c>
      <c r="W3473">
        <v>1</v>
      </c>
    </row>
    <row r="3474" spans="1:23" ht="16.5" x14ac:dyDescent="0.3">
      <c r="A3474" t="s">
        <v>3538</v>
      </c>
      <c r="B3474" s="1">
        <v>45792</v>
      </c>
      <c r="C3474">
        <v>2025</v>
      </c>
      <c r="D3474" t="s">
        <v>688</v>
      </c>
      <c r="E3474" t="s">
        <v>885</v>
      </c>
      <c r="F3474" t="s">
        <v>41</v>
      </c>
      <c r="G3474" t="s">
        <v>45</v>
      </c>
      <c r="H3474" t="s">
        <v>34</v>
      </c>
      <c r="I3474" t="s">
        <v>39</v>
      </c>
      <c r="J3474" t="s">
        <v>35</v>
      </c>
      <c r="K3474" s="2">
        <v>5400</v>
      </c>
      <c r="L3474" s="2">
        <v>94000</v>
      </c>
      <c r="M3474">
        <v>60</v>
      </c>
      <c r="N3474" s="3">
        <v>0.53</v>
      </c>
      <c r="O3474" t="s">
        <v>16</v>
      </c>
      <c r="Q3474">
        <v>1</v>
      </c>
      <c r="R3474">
        <v>0</v>
      </c>
      <c r="S3474" s="2">
        <v>75000</v>
      </c>
      <c r="T3474" s="4">
        <v>0.1028</v>
      </c>
      <c r="U3474">
        <v>4</v>
      </c>
      <c r="V3474">
        <v>1</v>
      </c>
      <c r="W3474">
        <v>1</v>
      </c>
    </row>
    <row r="3475" spans="1:23" ht="16.5" x14ac:dyDescent="0.3">
      <c r="A3475" t="s">
        <v>3539</v>
      </c>
      <c r="B3475" s="1">
        <v>45793</v>
      </c>
      <c r="C3475">
        <v>2025</v>
      </c>
      <c r="D3475" t="s">
        <v>688</v>
      </c>
      <c r="E3475" t="s">
        <v>885</v>
      </c>
      <c r="F3475" t="s">
        <v>26</v>
      </c>
      <c r="G3475" t="s">
        <v>33</v>
      </c>
      <c r="H3475" t="s">
        <v>38</v>
      </c>
      <c r="I3475" t="s">
        <v>39</v>
      </c>
      <c r="J3475" t="s">
        <v>46</v>
      </c>
      <c r="K3475" s="2">
        <v>4750</v>
      </c>
      <c r="L3475" s="2">
        <v>31000</v>
      </c>
      <c r="M3475">
        <v>60</v>
      </c>
      <c r="N3475" s="3">
        <v>0.191</v>
      </c>
      <c r="O3475" t="s">
        <v>16</v>
      </c>
      <c r="Q3475">
        <v>1</v>
      </c>
      <c r="R3475">
        <v>0</v>
      </c>
      <c r="S3475" s="2">
        <v>25000</v>
      </c>
      <c r="T3475" s="4">
        <v>6.8199999999999997E-2</v>
      </c>
      <c r="U3475">
        <v>2</v>
      </c>
      <c r="V3475">
        <v>1</v>
      </c>
      <c r="W3475">
        <v>1</v>
      </c>
    </row>
    <row r="3476" spans="1:23" ht="16.5" x14ac:dyDescent="0.3">
      <c r="A3476" t="s">
        <v>3540</v>
      </c>
      <c r="B3476" s="1">
        <v>45793</v>
      </c>
      <c r="C3476">
        <v>2025</v>
      </c>
      <c r="D3476" t="s">
        <v>688</v>
      </c>
      <c r="E3476" t="s">
        <v>885</v>
      </c>
      <c r="F3476" t="s">
        <v>37</v>
      </c>
      <c r="G3476" t="s">
        <v>51</v>
      </c>
      <c r="H3476" t="s">
        <v>34</v>
      </c>
      <c r="I3476" t="s">
        <v>39</v>
      </c>
      <c r="J3476" t="s">
        <v>46</v>
      </c>
      <c r="K3476" s="2">
        <v>6600</v>
      </c>
      <c r="L3476" s="2">
        <v>15000</v>
      </c>
      <c r="M3476">
        <v>48</v>
      </c>
      <c r="N3476" s="3">
        <v>0.29099999999999998</v>
      </c>
      <c r="O3476" t="s">
        <v>17</v>
      </c>
      <c r="P3476" t="s">
        <v>65</v>
      </c>
      <c r="Q3476">
        <v>0</v>
      </c>
      <c r="R3476">
        <v>1</v>
      </c>
      <c r="S3476" s="2">
        <v>0</v>
      </c>
      <c r="T3476" s="4"/>
      <c r="U3476">
        <v>1</v>
      </c>
      <c r="V3476">
        <v>1</v>
      </c>
      <c r="W3476">
        <v>1</v>
      </c>
    </row>
    <row r="3477" spans="1:23" ht="16.5" x14ac:dyDescent="0.3">
      <c r="A3477" t="s">
        <v>3541</v>
      </c>
      <c r="B3477" s="1">
        <v>45793</v>
      </c>
      <c r="C3477">
        <v>2025</v>
      </c>
      <c r="D3477" t="s">
        <v>688</v>
      </c>
      <c r="E3477" t="s">
        <v>885</v>
      </c>
      <c r="F3477" t="s">
        <v>37</v>
      </c>
      <c r="G3477" t="s">
        <v>33</v>
      </c>
      <c r="H3477" t="s">
        <v>34</v>
      </c>
      <c r="I3477" t="s">
        <v>29</v>
      </c>
      <c r="J3477" t="s">
        <v>30</v>
      </c>
      <c r="K3477" s="2">
        <v>6300</v>
      </c>
      <c r="L3477" s="2">
        <v>7500</v>
      </c>
      <c r="M3477">
        <v>24</v>
      </c>
      <c r="N3477" s="3">
        <v>0.17599999999999999</v>
      </c>
      <c r="O3477" t="s">
        <v>17</v>
      </c>
      <c r="P3477" t="s">
        <v>31</v>
      </c>
      <c r="Q3477">
        <v>0</v>
      </c>
      <c r="R3477">
        <v>1</v>
      </c>
      <c r="S3477" s="2">
        <v>0</v>
      </c>
      <c r="T3477" s="4"/>
      <c r="U3477">
        <v>1</v>
      </c>
      <c r="V3477">
        <v>1</v>
      </c>
      <c r="W3477">
        <v>1</v>
      </c>
    </row>
    <row r="3478" spans="1:23" ht="16.5" x14ac:dyDescent="0.3">
      <c r="A3478" t="s">
        <v>3542</v>
      </c>
      <c r="B3478" s="1">
        <v>45793</v>
      </c>
      <c r="C3478">
        <v>2025</v>
      </c>
      <c r="D3478" t="s">
        <v>688</v>
      </c>
      <c r="E3478" t="s">
        <v>885</v>
      </c>
      <c r="F3478" t="s">
        <v>37</v>
      </c>
      <c r="G3478" t="s">
        <v>45</v>
      </c>
      <c r="H3478" t="s">
        <v>34</v>
      </c>
      <c r="I3478" t="s">
        <v>29</v>
      </c>
      <c r="J3478" t="s">
        <v>52</v>
      </c>
      <c r="K3478" s="2">
        <v>3650</v>
      </c>
      <c r="L3478" s="2">
        <v>10500</v>
      </c>
      <c r="M3478">
        <v>24</v>
      </c>
      <c r="N3478" s="3">
        <v>0.21199999999999999</v>
      </c>
      <c r="O3478" t="s">
        <v>16</v>
      </c>
      <c r="Q3478">
        <v>1</v>
      </c>
      <c r="R3478">
        <v>0</v>
      </c>
      <c r="S3478" s="2">
        <v>9500</v>
      </c>
      <c r="T3478" s="4">
        <v>0.11600000000000001</v>
      </c>
      <c r="U3478">
        <v>1</v>
      </c>
      <c r="V3478">
        <v>1</v>
      </c>
      <c r="W3478">
        <v>1</v>
      </c>
    </row>
    <row r="3479" spans="1:23" ht="16.5" x14ac:dyDescent="0.3">
      <c r="A3479" t="s">
        <v>3543</v>
      </c>
      <c r="B3479" s="1">
        <v>45793</v>
      </c>
      <c r="C3479">
        <v>2025</v>
      </c>
      <c r="D3479" t="s">
        <v>688</v>
      </c>
      <c r="E3479" t="s">
        <v>885</v>
      </c>
      <c r="F3479" t="s">
        <v>41</v>
      </c>
      <c r="G3479" t="s">
        <v>27</v>
      </c>
      <c r="H3479" t="s">
        <v>34</v>
      </c>
      <c r="I3479" t="s">
        <v>29</v>
      </c>
      <c r="J3479" t="s">
        <v>52</v>
      </c>
      <c r="K3479" s="2">
        <v>2800</v>
      </c>
      <c r="L3479" s="2">
        <v>33000</v>
      </c>
      <c r="M3479">
        <v>60</v>
      </c>
      <c r="N3479" s="3">
        <v>0.42499999999999999</v>
      </c>
      <c r="O3479" t="s">
        <v>17</v>
      </c>
      <c r="P3479" t="s">
        <v>65</v>
      </c>
      <c r="Q3479">
        <v>0</v>
      </c>
      <c r="R3479">
        <v>1</v>
      </c>
      <c r="S3479" s="2">
        <v>0</v>
      </c>
      <c r="T3479" s="4"/>
      <c r="U3479">
        <v>10</v>
      </c>
      <c r="V3479">
        <v>1</v>
      </c>
      <c r="W3479">
        <v>1</v>
      </c>
    </row>
    <row r="3480" spans="1:23" ht="16.5" x14ac:dyDescent="0.3">
      <c r="A3480" t="s">
        <v>3544</v>
      </c>
      <c r="B3480" s="1">
        <v>45793</v>
      </c>
      <c r="C3480">
        <v>2025</v>
      </c>
      <c r="D3480" t="s">
        <v>688</v>
      </c>
      <c r="E3480" t="s">
        <v>885</v>
      </c>
      <c r="F3480" t="s">
        <v>37</v>
      </c>
      <c r="G3480" t="s">
        <v>33</v>
      </c>
      <c r="H3480" t="s">
        <v>34</v>
      </c>
      <c r="I3480" t="s">
        <v>42</v>
      </c>
      <c r="J3480" t="s">
        <v>30</v>
      </c>
      <c r="K3480" s="2">
        <v>2500</v>
      </c>
      <c r="L3480" s="2">
        <v>16500</v>
      </c>
      <c r="M3480">
        <v>36</v>
      </c>
      <c r="N3480" s="3">
        <v>0.37</v>
      </c>
      <c r="O3480" t="s">
        <v>16</v>
      </c>
      <c r="Q3480">
        <v>1</v>
      </c>
      <c r="R3480">
        <v>0</v>
      </c>
      <c r="S3480" s="2">
        <v>13000</v>
      </c>
      <c r="T3480" s="4">
        <v>0.14000000000000001</v>
      </c>
      <c r="U3480">
        <v>2</v>
      </c>
      <c r="V3480">
        <v>1</v>
      </c>
      <c r="W3480">
        <v>1</v>
      </c>
    </row>
    <row r="3481" spans="1:23" ht="16.5" x14ac:dyDescent="0.3">
      <c r="A3481" t="s">
        <v>3545</v>
      </c>
      <c r="B3481" s="1">
        <v>45793</v>
      </c>
      <c r="C3481">
        <v>2025</v>
      </c>
      <c r="D3481" t="s">
        <v>688</v>
      </c>
      <c r="E3481" t="s">
        <v>885</v>
      </c>
      <c r="F3481" t="s">
        <v>37</v>
      </c>
      <c r="G3481" t="s">
        <v>51</v>
      </c>
      <c r="H3481" t="s">
        <v>28</v>
      </c>
      <c r="I3481" t="s">
        <v>39</v>
      </c>
      <c r="J3481" t="s">
        <v>46</v>
      </c>
      <c r="K3481" s="2">
        <v>2950</v>
      </c>
      <c r="L3481" s="2">
        <v>11500</v>
      </c>
      <c r="M3481">
        <v>48</v>
      </c>
      <c r="N3481" s="3">
        <v>0.246</v>
      </c>
      <c r="O3481" t="s">
        <v>16</v>
      </c>
      <c r="Q3481">
        <v>1</v>
      </c>
      <c r="R3481">
        <v>0</v>
      </c>
      <c r="S3481" s="2">
        <v>11500</v>
      </c>
      <c r="T3481" s="4">
        <v>0.1085</v>
      </c>
      <c r="U3481">
        <v>3</v>
      </c>
      <c r="V3481">
        <v>1</v>
      </c>
      <c r="W3481">
        <v>1</v>
      </c>
    </row>
    <row r="3482" spans="1:23" ht="16.5" x14ac:dyDescent="0.3">
      <c r="A3482" t="s">
        <v>3546</v>
      </c>
      <c r="B3482" s="1">
        <v>45793</v>
      </c>
      <c r="C3482">
        <v>2025</v>
      </c>
      <c r="D3482" t="s">
        <v>688</v>
      </c>
      <c r="E3482" t="s">
        <v>885</v>
      </c>
      <c r="F3482" t="s">
        <v>41</v>
      </c>
      <c r="G3482" t="s">
        <v>33</v>
      </c>
      <c r="H3482" t="s">
        <v>28</v>
      </c>
      <c r="I3482" t="s">
        <v>42</v>
      </c>
      <c r="J3482" t="s">
        <v>52</v>
      </c>
      <c r="K3482" s="2">
        <v>4550</v>
      </c>
      <c r="L3482" s="2">
        <v>74000</v>
      </c>
      <c r="M3482">
        <v>12</v>
      </c>
      <c r="N3482" s="3">
        <v>1.504</v>
      </c>
      <c r="O3482" t="s">
        <v>17</v>
      </c>
      <c r="P3482" t="s">
        <v>53</v>
      </c>
      <c r="Q3482">
        <v>0</v>
      </c>
      <c r="R3482">
        <v>1</v>
      </c>
      <c r="S3482" s="2">
        <v>0</v>
      </c>
      <c r="T3482" s="4"/>
      <c r="U3482">
        <v>11</v>
      </c>
      <c r="V3482">
        <v>0</v>
      </c>
      <c r="W3482">
        <v>1</v>
      </c>
    </row>
    <row r="3483" spans="1:23" ht="16.5" x14ac:dyDescent="0.3">
      <c r="A3483" t="s">
        <v>3547</v>
      </c>
      <c r="B3483" s="1">
        <v>45794</v>
      </c>
      <c r="C3483">
        <v>2025</v>
      </c>
      <c r="D3483" t="s">
        <v>688</v>
      </c>
      <c r="E3483" t="s">
        <v>885</v>
      </c>
      <c r="F3483" t="s">
        <v>41</v>
      </c>
      <c r="G3483" t="s">
        <v>51</v>
      </c>
      <c r="H3483" t="s">
        <v>55</v>
      </c>
      <c r="I3483" t="s">
        <v>39</v>
      </c>
      <c r="J3483" t="s">
        <v>30</v>
      </c>
      <c r="K3483" s="2">
        <v>5350</v>
      </c>
      <c r="L3483" s="2">
        <v>73500</v>
      </c>
      <c r="M3483">
        <v>60</v>
      </c>
      <c r="N3483" s="3">
        <v>0.436</v>
      </c>
      <c r="O3483" t="s">
        <v>17</v>
      </c>
      <c r="P3483" t="s">
        <v>31</v>
      </c>
      <c r="Q3483">
        <v>0</v>
      </c>
      <c r="R3483">
        <v>1</v>
      </c>
      <c r="S3483" s="2">
        <v>0</v>
      </c>
      <c r="T3483" s="4"/>
      <c r="U3483">
        <v>9</v>
      </c>
      <c r="V3483">
        <v>1</v>
      </c>
      <c r="W3483">
        <v>1</v>
      </c>
    </row>
    <row r="3484" spans="1:23" ht="16.5" x14ac:dyDescent="0.3">
      <c r="A3484" t="s">
        <v>3548</v>
      </c>
      <c r="B3484" s="1">
        <v>45794</v>
      </c>
      <c r="C3484">
        <v>2025</v>
      </c>
      <c r="D3484" t="s">
        <v>688</v>
      </c>
      <c r="E3484" t="s">
        <v>885</v>
      </c>
      <c r="F3484" t="s">
        <v>41</v>
      </c>
      <c r="G3484" t="s">
        <v>33</v>
      </c>
      <c r="H3484" t="s">
        <v>38</v>
      </c>
      <c r="I3484" t="s">
        <v>39</v>
      </c>
      <c r="J3484" t="s">
        <v>30</v>
      </c>
      <c r="K3484" s="2">
        <v>3400</v>
      </c>
      <c r="L3484" s="2">
        <v>31000</v>
      </c>
      <c r="M3484">
        <v>36</v>
      </c>
      <c r="N3484" s="3">
        <v>0.497</v>
      </c>
      <c r="O3484" t="s">
        <v>17</v>
      </c>
      <c r="P3484" t="s">
        <v>31</v>
      </c>
      <c r="Q3484">
        <v>0</v>
      </c>
      <c r="R3484">
        <v>1</v>
      </c>
      <c r="S3484" s="2">
        <v>0</v>
      </c>
      <c r="T3484" s="4"/>
      <c r="U3484">
        <v>7</v>
      </c>
      <c r="V3484">
        <v>1</v>
      </c>
      <c r="W3484">
        <v>1</v>
      </c>
    </row>
    <row r="3485" spans="1:23" ht="16.5" x14ac:dyDescent="0.3">
      <c r="A3485" t="s">
        <v>3549</v>
      </c>
      <c r="B3485" s="1">
        <v>45794</v>
      </c>
      <c r="C3485">
        <v>2025</v>
      </c>
      <c r="D3485" t="s">
        <v>688</v>
      </c>
      <c r="E3485" t="s">
        <v>885</v>
      </c>
      <c r="F3485" t="s">
        <v>37</v>
      </c>
      <c r="G3485" t="s">
        <v>45</v>
      </c>
      <c r="H3485" t="s">
        <v>64</v>
      </c>
      <c r="I3485" t="s">
        <v>39</v>
      </c>
      <c r="J3485" t="s">
        <v>35</v>
      </c>
      <c r="K3485" s="2">
        <v>7350</v>
      </c>
      <c r="L3485" s="2">
        <v>9000</v>
      </c>
      <c r="M3485">
        <v>12</v>
      </c>
      <c r="N3485" s="3">
        <v>0.217</v>
      </c>
      <c r="O3485" t="s">
        <v>17</v>
      </c>
      <c r="P3485" t="s">
        <v>65</v>
      </c>
      <c r="Q3485">
        <v>0</v>
      </c>
      <c r="R3485">
        <v>1</v>
      </c>
      <c r="S3485" s="2">
        <v>0</v>
      </c>
      <c r="T3485" s="4"/>
      <c r="U3485">
        <v>1</v>
      </c>
      <c r="V3485">
        <v>1</v>
      </c>
      <c r="W3485">
        <v>1</v>
      </c>
    </row>
    <row r="3486" spans="1:23" ht="16.5" x14ac:dyDescent="0.3">
      <c r="A3486" t="s">
        <v>3550</v>
      </c>
      <c r="B3486" s="1">
        <v>45794</v>
      </c>
      <c r="C3486">
        <v>2025</v>
      </c>
      <c r="D3486" t="s">
        <v>688</v>
      </c>
      <c r="E3486" t="s">
        <v>885</v>
      </c>
      <c r="F3486" t="s">
        <v>41</v>
      </c>
      <c r="G3486" t="s">
        <v>33</v>
      </c>
      <c r="H3486" t="s">
        <v>55</v>
      </c>
      <c r="I3486" t="s">
        <v>42</v>
      </c>
      <c r="J3486" t="s">
        <v>43</v>
      </c>
      <c r="K3486" s="2">
        <v>9150</v>
      </c>
      <c r="L3486" s="2">
        <v>66500</v>
      </c>
      <c r="M3486">
        <v>60</v>
      </c>
      <c r="N3486" s="3">
        <v>0.33</v>
      </c>
      <c r="O3486" t="s">
        <v>17</v>
      </c>
      <c r="P3486" t="s">
        <v>31</v>
      </c>
      <c r="Q3486">
        <v>0</v>
      </c>
      <c r="R3486">
        <v>1</v>
      </c>
      <c r="S3486" s="2">
        <v>0</v>
      </c>
      <c r="T3486" s="4"/>
      <c r="U3486">
        <v>4</v>
      </c>
      <c r="V3486">
        <v>1</v>
      </c>
      <c r="W3486">
        <v>1</v>
      </c>
    </row>
    <row r="3487" spans="1:23" ht="16.5" x14ac:dyDescent="0.3">
      <c r="A3487" t="s">
        <v>3551</v>
      </c>
      <c r="B3487" s="1">
        <v>45795</v>
      </c>
      <c r="C3487">
        <v>2025</v>
      </c>
      <c r="D3487" t="s">
        <v>688</v>
      </c>
      <c r="E3487" t="s">
        <v>885</v>
      </c>
      <c r="F3487" t="s">
        <v>26</v>
      </c>
      <c r="G3487" t="s">
        <v>33</v>
      </c>
      <c r="H3487" t="s">
        <v>64</v>
      </c>
      <c r="I3487" t="s">
        <v>42</v>
      </c>
      <c r="J3487" t="s">
        <v>52</v>
      </c>
      <c r="K3487" s="2">
        <v>4050</v>
      </c>
      <c r="L3487" s="2">
        <v>23500</v>
      </c>
      <c r="M3487">
        <v>36</v>
      </c>
      <c r="N3487" s="3">
        <v>0.33200000000000002</v>
      </c>
      <c r="O3487" t="s">
        <v>16</v>
      </c>
      <c r="Q3487">
        <v>1</v>
      </c>
      <c r="R3487">
        <v>0</v>
      </c>
      <c r="S3487" s="2">
        <v>23500</v>
      </c>
      <c r="T3487" s="4">
        <v>6.93E-2</v>
      </c>
      <c r="U3487">
        <v>1</v>
      </c>
      <c r="V3487">
        <v>1</v>
      </c>
      <c r="W3487">
        <v>1</v>
      </c>
    </row>
    <row r="3488" spans="1:23" ht="16.5" x14ac:dyDescent="0.3">
      <c r="A3488" t="s">
        <v>3552</v>
      </c>
      <c r="B3488" s="1">
        <v>45796</v>
      </c>
      <c r="C3488">
        <v>2025</v>
      </c>
      <c r="D3488" t="s">
        <v>688</v>
      </c>
      <c r="E3488" t="s">
        <v>885</v>
      </c>
      <c r="F3488" t="s">
        <v>37</v>
      </c>
      <c r="G3488" t="s">
        <v>33</v>
      </c>
      <c r="H3488" t="s">
        <v>55</v>
      </c>
      <c r="I3488" t="s">
        <v>29</v>
      </c>
      <c r="J3488" t="s">
        <v>35</v>
      </c>
      <c r="K3488" s="2">
        <v>7750</v>
      </c>
      <c r="L3488" s="2">
        <v>21500</v>
      </c>
      <c r="M3488">
        <v>12</v>
      </c>
      <c r="N3488" s="3">
        <v>0.47699999999999998</v>
      </c>
      <c r="O3488" t="s">
        <v>17</v>
      </c>
      <c r="P3488" t="s">
        <v>53</v>
      </c>
      <c r="Q3488">
        <v>0</v>
      </c>
      <c r="R3488">
        <v>1</v>
      </c>
      <c r="S3488" s="2">
        <v>0</v>
      </c>
      <c r="T3488" s="4"/>
      <c r="U3488">
        <v>2</v>
      </c>
      <c r="V3488">
        <v>1</v>
      </c>
      <c r="W3488">
        <v>1</v>
      </c>
    </row>
    <row r="3489" spans="1:23" ht="16.5" x14ac:dyDescent="0.3">
      <c r="A3489" t="s">
        <v>3553</v>
      </c>
      <c r="B3489" s="1">
        <v>45796</v>
      </c>
      <c r="C3489">
        <v>2025</v>
      </c>
      <c r="D3489" t="s">
        <v>688</v>
      </c>
      <c r="E3489" t="s">
        <v>885</v>
      </c>
      <c r="F3489" t="s">
        <v>37</v>
      </c>
      <c r="G3489" t="s">
        <v>45</v>
      </c>
      <c r="H3489" t="s">
        <v>38</v>
      </c>
      <c r="I3489" t="s">
        <v>29</v>
      </c>
      <c r="J3489" t="s">
        <v>52</v>
      </c>
      <c r="K3489" s="2">
        <v>3200</v>
      </c>
      <c r="L3489" s="2">
        <v>7500</v>
      </c>
      <c r="M3489">
        <v>60</v>
      </c>
      <c r="N3489" s="3">
        <v>0.13800000000000001</v>
      </c>
      <c r="O3489" t="s">
        <v>16</v>
      </c>
      <c r="Q3489">
        <v>1</v>
      </c>
      <c r="R3489">
        <v>0</v>
      </c>
      <c r="S3489" s="2">
        <v>7500</v>
      </c>
      <c r="T3489" s="4">
        <v>0.1132</v>
      </c>
      <c r="U3489">
        <v>1</v>
      </c>
      <c r="V3489">
        <v>1</v>
      </c>
      <c r="W3489">
        <v>1</v>
      </c>
    </row>
    <row r="3490" spans="1:23" ht="16.5" x14ac:dyDescent="0.3">
      <c r="A3490" t="s">
        <v>3554</v>
      </c>
      <c r="B3490" s="1">
        <v>45796</v>
      </c>
      <c r="C3490">
        <v>2025</v>
      </c>
      <c r="D3490" t="s">
        <v>688</v>
      </c>
      <c r="E3490" t="s">
        <v>885</v>
      </c>
      <c r="F3490" t="s">
        <v>26</v>
      </c>
      <c r="G3490" t="s">
        <v>51</v>
      </c>
      <c r="H3490" t="s">
        <v>55</v>
      </c>
      <c r="I3490" t="s">
        <v>42</v>
      </c>
      <c r="J3490" t="s">
        <v>52</v>
      </c>
      <c r="K3490" s="2">
        <v>2800</v>
      </c>
      <c r="L3490" s="2">
        <v>28500</v>
      </c>
      <c r="M3490">
        <v>60</v>
      </c>
      <c r="N3490" s="3">
        <v>0.33200000000000002</v>
      </c>
      <c r="O3490" t="s">
        <v>16</v>
      </c>
      <c r="Q3490">
        <v>1</v>
      </c>
      <c r="R3490">
        <v>0</v>
      </c>
      <c r="S3490" s="2">
        <v>28500</v>
      </c>
      <c r="T3490" s="4">
        <v>7.3400000000000007E-2</v>
      </c>
      <c r="U3490">
        <v>6</v>
      </c>
      <c r="V3490">
        <v>0</v>
      </c>
      <c r="W3490">
        <v>1</v>
      </c>
    </row>
    <row r="3491" spans="1:23" ht="16.5" x14ac:dyDescent="0.3">
      <c r="A3491" t="s">
        <v>3555</v>
      </c>
      <c r="B3491" s="1">
        <v>45796</v>
      </c>
      <c r="C3491">
        <v>2025</v>
      </c>
      <c r="D3491" t="s">
        <v>688</v>
      </c>
      <c r="E3491" t="s">
        <v>885</v>
      </c>
      <c r="F3491" t="s">
        <v>50</v>
      </c>
      <c r="G3491" t="s">
        <v>45</v>
      </c>
      <c r="H3491" t="s">
        <v>34</v>
      </c>
      <c r="I3491" t="s">
        <v>39</v>
      </c>
      <c r="J3491" t="s">
        <v>30</v>
      </c>
      <c r="K3491" s="2">
        <v>3150</v>
      </c>
      <c r="L3491" s="2">
        <v>186000</v>
      </c>
      <c r="M3491">
        <v>240</v>
      </c>
      <c r="N3491" s="3">
        <v>0.59499999999999997</v>
      </c>
      <c r="O3491" t="s">
        <v>17</v>
      </c>
      <c r="P3491" t="s">
        <v>31</v>
      </c>
      <c r="Q3491">
        <v>0</v>
      </c>
      <c r="R3491">
        <v>1</v>
      </c>
      <c r="S3491" s="2">
        <v>0</v>
      </c>
      <c r="T3491" s="4"/>
      <c r="U3491">
        <v>12</v>
      </c>
      <c r="V3491">
        <v>1</v>
      </c>
      <c r="W3491">
        <v>1</v>
      </c>
    </row>
    <row r="3492" spans="1:23" ht="16.5" x14ac:dyDescent="0.3">
      <c r="A3492" t="s">
        <v>3556</v>
      </c>
      <c r="B3492" s="1">
        <v>45796</v>
      </c>
      <c r="C3492">
        <v>2025</v>
      </c>
      <c r="D3492" t="s">
        <v>688</v>
      </c>
      <c r="E3492" t="s">
        <v>885</v>
      </c>
      <c r="F3492" t="s">
        <v>37</v>
      </c>
      <c r="G3492" t="s">
        <v>33</v>
      </c>
      <c r="H3492" t="s">
        <v>38</v>
      </c>
      <c r="I3492" t="s">
        <v>29</v>
      </c>
      <c r="J3492" t="s">
        <v>30</v>
      </c>
      <c r="K3492" s="2">
        <v>4300</v>
      </c>
      <c r="L3492" s="2">
        <v>8000</v>
      </c>
      <c r="M3492">
        <v>24</v>
      </c>
      <c r="N3492" s="3">
        <v>0.159</v>
      </c>
      <c r="O3492" t="s">
        <v>17</v>
      </c>
      <c r="P3492" t="s">
        <v>31</v>
      </c>
      <c r="Q3492">
        <v>0</v>
      </c>
      <c r="R3492">
        <v>1</v>
      </c>
      <c r="S3492" s="2">
        <v>0</v>
      </c>
      <c r="T3492" s="4"/>
      <c r="U3492">
        <v>2</v>
      </c>
      <c r="V3492">
        <v>1</v>
      </c>
      <c r="W3492">
        <v>1</v>
      </c>
    </row>
    <row r="3493" spans="1:23" ht="16.5" x14ac:dyDescent="0.3">
      <c r="A3493" t="s">
        <v>3557</v>
      </c>
      <c r="B3493" s="1">
        <v>45796</v>
      </c>
      <c r="C3493">
        <v>2025</v>
      </c>
      <c r="D3493" t="s">
        <v>688</v>
      </c>
      <c r="E3493" t="s">
        <v>885</v>
      </c>
      <c r="F3493" t="s">
        <v>50</v>
      </c>
      <c r="G3493" t="s">
        <v>45</v>
      </c>
      <c r="H3493" t="s">
        <v>28</v>
      </c>
      <c r="I3493" t="s">
        <v>29</v>
      </c>
      <c r="J3493" t="s">
        <v>35</v>
      </c>
      <c r="K3493" s="2">
        <v>5100</v>
      </c>
      <c r="L3493" s="2">
        <v>739000</v>
      </c>
      <c r="M3493">
        <v>180</v>
      </c>
      <c r="N3493" s="3">
        <v>1.35</v>
      </c>
      <c r="O3493" t="s">
        <v>17</v>
      </c>
      <c r="P3493" t="s">
        <v>53</v>
      </c>
      <c r="Q3493">
        <v>0</v>
      </c>
      <c r="R3493">
        <v>1</v>
      </c>
      <c r="S3493" s="2">
        <v>0</v>
      </c>
      <c r="T3493" s="4"/>
      <c r="U3493">
        <v>7</v>
      </c>
      <c r="V3493">
        <v>1</v>
      </c>
      <c r="W3493">
        <v>1</v>
      </c>
    </row>
    <row r="3494" spans="1:23" ht="16.5" x14ac:dyDescent="0.3">
      <c r="A3494" t="s">
        <v>3558</v>
      </c>
      <c r="B3494" s="1">
        <v>45796</v>
      </c>
      <c r="C3494">
        <v>2025</v>
      </c>
      <c r="D3494" t="s">
        <v>688</v>
      </c>
      <c r="E3494" t="s">
        <v>885</v>
      </c>
      <c r="F3494" t="s">
        <v>26</v>
      </c>
      <c r="G3494" t="s">
        <v>27</v>
      </c>
      <c r="H3494" t="s">
        <v>38</v>
      </c>
      <c r="I3494" t="s">
        <v>29</v>
      </c>
      <c r="J3494" t="s">
        <v>35</v>
      </c>
      <c r="K3494" s="2">
        <v>4200</v>
      </c>
      <c r="L3494" s="2">
        <v>35500</v>
      </c>
      <c r="M3494">
        <v>36</v>
      </c>
      <c r="N3494" s="3">
        <v>0.45500000000000002</v>
      </c>
      <c r="O3494" t="s">
        <v>16</v>
      </c>
      <c r="Q3494">
        <v>1</v>
      </c>
      <c r="R3494">
        <v>0</v>
      </c>
      <c r="S3494" s="2">
        <v>35500</v>
      </c>
      <c r="T3494" s="4">
        <v>7.6999999999999999E-2</v>
      </c>
      <c r="U3494">
        <v>6</v>
      </c>
      <c r="V3494">
        <v>0</v>
      </c>
      <c r="W3494">
        <v>1</v>
      </c>
    </row>
    <row r="3495" spans="1:23" ht="16.5" x14ac:dyDescent="0.3">
      <c r="A3495" t="s">
        <v>3559</v>
      </c>
      <c r="B3495" s="1">
        <v>45796</v>
      </c>
      <c r="C3495">
        <v>2025</v>
      </c>
      <c r="D3495" t="s">
        <v>688</v>
      </c>
      <c r="E3495" t="s">
        <v>885</v>
      </c>
      <c r="F3495" t="s">
        <v>26</v>
      </c>
      <c r="G3495" t="s">
        <v>45</v>
      </c>
      <c r="H3495" t="s">
        <v>64</v>
      </c>
      <c r="I3495" t="s">
        <v>29</v>
      </c>
      <c r="J3495" t="s">
        <v>35</v>
      </c>
      <c r="K3495" s="2">
        <v>3800</v>
      </c>
      <c r="L3495" s="2">
        <v>25000</v>
      </c>
      <c r="M3495">
        <v>60</v>
      </c>
      <c r="N3495" s="3">
        <v>0.308</v>
      </c>
      <c r="O3495" t="s">
        <v>16</v>
      </c>
      <c r="Q3495">
        <v>1</v>
      </c>
      <c r="R3495">
        <v>0</v>
      </c>
      <c r="S3495" s="2">
        <v>22500</v>
      </c>
      <c r="T3495" s="4">
        <v>8.5199999999999998E-2</v>
      </c>
      <c r="U3495">
        <v>2</v>
      </c>
      <c r="V3495">
        <v>1</v>
      </c>
      <c r="W3495">
        <v>1</v>
      </c>
    </row>
    <row r="3496" spans="1:23" ht="16.5" x14ac:dyDescent="0.3">
      <c r="A3496" t="s">
        <v>3560</v>
      </c>
      <c r="B3496" s="1">
        <v>45796</v>
      </c>
      <c r="C3496">
        <v>2025</v>
      </c>
      <c r="D3496" t="s">
        <v>688</v>
      </c>
      <c r="E3496" t="s">
        <v>885</v>
      </c>
      <c r="F3496" t="s">
        <v>26</v>
      </c>
      <c r="G3496" t="s">
        <v>33</v>
      </c>
      <c r="H3496" t="s">
        <v>55</v>
      </c>
      <c r="I3496" t="s">
        <v>29</v>
      </c>
      <c r="J3496" t="s">
        <v>52</v>
      </c>
      <c r="K3496" s="2">
        <v>2950</v>
      </c>
      <c r="L3496" s="2">
        <v>34000</v>
      </c>
      <c r="M3496">
        <v>36</v>
      </c>
      <c r="N3496" s="3">
        <v>0.52</v>
      </c>
      <c r="O3496" t="s">
        <v>16</v>
      </c>
      <c r="Q3496">
        <v>1</v>
      </c>
      <c r="R3496">
        <v>0</v>
      </c>
      <c r="S3496" s="2">
        <v>30500</v>
      </c>
      <c r="T3496" s="4">
        <v>7.3300000000000004E-2</v>
      </c>
      <c r="U3496">
        <v>1</v>
      </c>
      <c r="V3496">
        <v>1</v>
      </c>
      <c r="W3496">
        <v>1</v>
      </c>
    </row>
    <row r="3497" spans="1:23" ht="16.5" x14ac:dyDescent="0.3">
      <c r="A3497" t="s">
        <v>3561</v>
      </c>
      <c r="B3497" s="1">
        <v>45796</v>
      </c>
      <c r="C3497">
        <v>2025</v>
      </c>
      <c r="D3497" t="s">
        <v>688</v>
      </c>
      <c r="E3497" t="s">
        <v>885</v>
      </c>
      <c r="F3497" t="s">
        <v>37</v>
      </c>
      <c r="G3497" t="s">
        <v>51</v>
      </c>
      <c r="H3497" t="s">
        <v>34</v>
      </c>
      <c r="I3497" t="s">
        <v>29</v>
      </c>
      <c r="J3497" t="s">
        <v>52</v>
      </c>
      <c r="K3497" s="2">
        <v>4950</v>
      </c>
      <c r="L3497" s="2">
        <v>6500</v>
      </c>
      <c r="M3497">
        <v>24</v>
      </c>
      <c r="N3497" s="3">
        <v>0.254</v>
      </c>
      <c r="O3497" t="s">
        <v>17</v>
      </c>
      <c r="P3497" t="s">
        <v>60</v>
      </c>
      <c r="Q3497">
        <v>0</v>
      </c>
      <c r="R3497">
        <v>1</v>
      </c>
      <c r="S3497" s="2">
        <v>0</v>
      </c>
      <c r="T3497" s="4"/>
      <c r="U3497">
        <v>8</v>
      </c>
      <c r="V3497">
        <v>0</v>
      </c>
      <c r="W3497">
        <v>1</v>
      </c>
    </row>
    <row r="3498" spans="1:23" ht="16.5" x14ac:dyDescent="0.3">
      <c r="A3498" t="s">
        <v>3562</v>
      </c>
      <c r="B3498" s="1">
        <v>45796</v>
      </c>
      <c r="C3498">
        <v>2025</v>
      </c>
      <c r="D3498" t="s">
        <v>688</v>
      </c>
      <c r="E3498" t="s">
        <v>885</v>
      </c>
      <c r="F3498" t="s">
        <v>37</v>
      </c>
      <c r="G3498" t="s">
        <v>33</v>
      </c>
      <c r="H3498" t="s">
        <v>34</v>
      </c>
      <c r="I3498" t="s">
        <v>42</v>
      </c>
      <c r="J3498" t="s">
        <v>35</v>
      </c>
      <c r="K3498" s="2">
        <v>6350</v>
      </c>
      <c r="L3498" s="2">
        <v>10000</v>
      </c>
      <c r="M3498">
        <v>12</v>
      </c>
      <c r="N3498" s="3">
        <v>0.25700000000000001</v>
      </c>
      <c r="O3498" t="s">
        <v>16</v>
      </c>
      <c r="Q3498">
        <v>1</v>
      </c>
      <c r="R3498">
        <v>0</v>
      </c>
      <c r="S3498" s="2">
        <v>8000</v>
      </c>
      <c r="T3498" s="4">
        <v>0.12239999999999999</v>
      </c>
      <c r="U3498">
        <v>1</v>
      </c>
      <c r="V3498">
        <v>1</v>
      </c>
      <c r="W3498">
        <v>1</v>
      </c>
    </row>
    <row r="3499" spans="1:23" ht="16.5" x14ac:dyDescent="0.3">
      <c r="A3499" t="s">
        <v>3563</v>
      </c>
      <c r="B3499" s="1">
        <v>45797</v>
      </c>
      <c r="C3499">
        <v>2025</v>
      </c>
      <c r="D3499" t="s">
        <v>688</v>
      </c>
      <c r="E3499" t="s">
        <v>885</v>
      </c>
      <c r="F3499" t="s">
        <v>37</v>
      </c>
      <c r="G3499" t="s">
        <v>51</v>
      </c>
      <c r="H3499" t="s">
        <v>38</v>
      </c>
      <c r="I3499" t="s">
        <v>42</v>
      </c>
      <c r="J3499" t="s">
        <v>35</v>
      </c>
      <c r="K3499" s="2">
        <v>3700</v>
      </c>
      <c r="L3499" s="2">
        <v>10500</v>
      </c>
      <c r="M3499">
        <v>24</v>
      </c>
      <c r="N3499" s="3">
        <v>0.20599999999999999</v>
      </c>
      <c r="O3499" t="s">
        <v>16</v>
      </c>
      <c r="Q3499">
        <v>1</v>
      </c>
      <c r="R3499">
        <v>0</v>
      </c>
      <c r="S3499" s="2">
        <v>10500</v>
      </c>
      <c r="T3499" s="4">
        <v>0.1255</v>
      </c>
      <c r="U3499">
        <v>5</v>
      </c>
      <c r="V3499">
        <v>0</v>
      </c>
      <c r="W3499">
        <v>1</v>
      </c>
    </row>
    <row r="3500" spans="1:23" ht="16.5" x14ac:dyDescent="0.3">
      <c r="A3500" t="s">
        <v>3564</v>
      </c>
      <c r="B3500" s="1">
        <v>45797</v>
      </c>
      <c r="C3500">
        <v>2025</v>
      </c>
      <c r="D3500" t="s">
        <v>688</v>
      </c>
      <c r="E3500" t="s">
        <v>885</v>
      </c>
      <c r="F3500" t="s">
        <v>26</v>
      </c>
      <c r="G3500" t="s">
        <v>51</v>
      </c>
      <c r="H3500" t="s">
        <v>38</v>
      </c>
      <c r="I3500" t="s">
        <v>42</v>
      </c>
      <c r="J3500" t="s">
        <v>43</v>
      </c>
      <c r="K3500" s="2">
        <v>7550</v>
      </c>
      <c r="L3500" s="2">
        <v>24500</v>
      </c>
      <c r="M3500">
        <v>48</v>
      </c>
      <c r="N3500" s="3">
        <v>0.20799999999999999</v>
      </c>
      <c r="O3500" t="s">
        <v>17</v>
      </c>
      <c r="P3500" t="s">
        <v>31</v>
      </c>
      <c r="Q3500">
        <v>0</v>
      </c>
      <c r="R3500">
        <v>1</v>
      </c>
      <c r="S3500" s="2">
        <v>0</v>
      </c>
      <c r="T3500" s="4"/>
      <c r="U3500">
        <v>5</v>
      </c>
      <c r="V3500">
        <v>0</v>
      </c>
      <c r="W3500">
        <v>1</v>
      </c>
    </row>
    <row r="3501" spans="1:23" ht="16.5" x14ac:dyDescent="0.3">
      <c r="A3501" t="s">
        <v>3565</v>
      </c>
      <c r="B3501" s="1">
        <v>45797</v>
      </c>
      <c r="C3501">
        <v>2025</v>
      </c>
      <c r="D3501" t="s">
        <v>688</v>
      </c>
      <c r="E3501" t="s">
        <v>885</v>
      </c>
      <c r="F3501" t="s">
        <v>37</v>
      </c>
      <c r="G3501" t="s">
        <v>51</v>
      </c>
      <c r="H3501" t="s">
        <v>64</v>
      </c>
      <c r="I3501" t="s">
        <v>29</v>
      </c>
      <c r="J3501" t="s">
        <v>35</v>
      </c>
      <c r="K3501" s="2">
        <v>4150</v>
      </c>
      <c r="L3501" s="2">
        <v>15000</v>
      </c>
      <c r="M3501">
        <v>12</v>
      </c>
      <c r="N3501" s="3">
        <v>0.56999999999999995</v>
      </c>
      <c r="O3501" t="s">
        <v>125</v>
      </c>
      <c r="Q3501">
        <v>0</v>
      </c>
      <c r="R3501">
        <v>0</v>
      </c>
      <c r="S3501" s="2">
        <v>0</v>
      </c>
      <c r="T3501" s="4"/>
      <c r="U3501">
        <v>3</v>
      </c>
      <c r="V3501">
        <v>1</v>
      </c>
      <c r="W3501">
        <v>1</v>
      </c>
    </row>
    <row r="3502" spans="1:23" ht="16.5" x14ac:dyDescent="0.3">
      <c r="A3502" t="s">
        <v>3566</v>
      </c>
      <c r="B3502" s="1">
        <v>45797</v>
      </c>
      <c r="C3502">
        <v>2025</v>
      </c>
      <c r="D3502" t="s">
        <v>688</v>
      </c>
      <c r="E3502" t="s">
        <v>885</v>
      </c>
      <c r="F3502" t="s">
        <v>50</v>
      </c>
      <c r="G3502" t="s">
        <v>27</v>
      </c>
      <c r="H3502" t="s">
        <v>34</v>
      </c>
      <c r="I3502" t="s">
        <v>39</v>
      </c>
      <c r="J3502" t="s">
        <v>35</v>
      </c>
      <c r="K3502" s="2">
        <v>4900</v>
      </c>
      <c r="L3502" s="2">
        <v>274500</v>
      </c>
      <c r="M3502">
        <v>240</v>
      </c>
      <c r="N3502" s="3">
        <v>0.54300000000000004</v>
      </c>
      <c r="O3502" t="s">
        <v>17</v>
      </c>
      <c r="P3502" t="s">
        <v>60</v>
      </c>
      <c r="Q3502">
        <v>0</v>
      </c>
      <c r="R3502">
        <v>1</v>
      </c>
      <c r="S3502" s="2">
        <v>0</v>
      </c>
      <c r="T3502" s="4"/>
      <c r="U3502">
        <v>11</v>
      </c>
      <c r="V3502">
        <v>1</v>
      </c>
      <c r="W3502">
        <v>1</v>
      </c>
    </row>
    <row r="3503" spans="1:23" ht="16.5" x14ac:dyDescent="0.3">
      <c r="A3503" t="s">
        <v>3567</v>
      </c>
      <c r="B3503" s="1">
        <v>45797</v>
      </c>
      <c r="C3503">
        <v>2025</v>
      </c>
      <c r="D3503" t="s">
        <v>688</v>
      </c>
      <c r="E3503" t="s">
        <v>885</v>
      </c>
      <c r="F3503" t="s">
        <v>37</v>
      </c>
      <c r="G3503" t="s">
        <v>45</v>
      </c>
      <c r="H3503" t="s">
        <v>38</v>
      </c>
      <c r="I3503" t="s">
        <v>29</v>
      </c>
      <c r="J3503" t="s">
        <v>52</v>
      </c>
      <c r="K3503" s="2">
        <v>6550</v>
      </c>
      <c r="L3503" s="2">
        <v>8500</v>
      </c>
      <c r="M3503">
        <v>48</v>
      </c>
      <c r="N3503" s="3">
        <v>0.27100000000000002</v>
      </c>
      <c r="O3503" t="s">
        <v>16</v>
      </c>
      <c r="Q3503">
        <v>1</v>
      </c>
      <c r="R3503">
        <v>0</v>
      </c>
      <c r="S3503" s="2">
        <v>8500</v>
      </c>
      <c r="T3503" s="4">
        <v>0.1179</v>
      </c>
      <c r="U3503">
        <v>3</v>
      </c>
      <c r="V3503">
        <v>1</v>
      </c>
      <c r="W3503">
        <v>1</v>
      </c>
    </row>
    <row r="3504" spans="1:23" ht="16.5" x14ac:dyDescent="0.3">
      <c r="A3504" t="s">
        <v>3568</v>
      </c>
      <c r="B3504" s="1">
        <v>45797</v>
      </c>
      <c r="C3504">
        <v>2025</v>
      </c>
      <c r="D3504" t="s">
        <v>688</v>
      </c>
      <c r="E3504" t="s">
        <v>885</v>
      </c>
      <c r="F3504" t="s">
        <v>50</v>
      </c>
      <c r="G3504" t="s">
        <v>45</v>
      </c>
      <c r="H3504" t="s">
        <v>34</v>
      </c>
      <c r="I3504" t="s">
        <v>42</v>
      </c>
      <c r="J3504" t="s">
        <v>52</v>
      </c>
      <c r="K3504" s="2">
        <v>2800</v>
      </c>
      <c r="L3504" s="2">
        <v>200500</v>
      </c>
      <c r="M3504">
        <v>300</v>
      </c>
      <c r="N3504" s="3">
        <v>0.58299999999999996</v>
      </c>
      <c r="O3504" t="s">
        <v>16</v>
      </c>
      <c r="Q3504">
        <v>1</v>
      </c>
      <c r="R3504">
        <v>0</v>
      </c>
      <c r="S3504" s="2">
        <v>180500</v>
      </c>
      <c r="T3504" s="4">
        <v>5.2600000000000001E-2</v>
      </c>
      <c r="U3504">
        <v>6</v>
      </c>
      <c r="V3504">
        <v>1</v>
      </c>
      <c r="W3504">
        <v>1</v>
      </c>
    </row>
    <row r="3505" spans="1:23" ht="16.5" x14ac:dyDescent="0.3">
      <c r="A3505" t="s">
        <v>3569</v>
      </c>
      <c r="B3505" s="1">
        <v>45797</v>
      </c>
      <c r="C3505">
        <v>2025</v>
      </c>
      <c r="D3505" t="s">
        <v>688</v>
      </c>
      <c r="E3505" t="s">
        <v>885</v>
      </c>
      <c r="F3505" t="s">
        <v>41</v>
      </c>
      <c r="G3505" t="s">
        <v>51</v>
      </c>
      <c r="H3505" t="s">
        <v>28</v>
      </c>
      <c r="I3505" t="s">
        <v>39</v>
      </c>
      <c r="J3505" t="s">
        <v>35</v>
      </c>
      <c r="K3505" s="2">
        <v>6850</v>
      </c>
      <c r="L3505" s="2">
        <v>103000</v>
      </c>
      <c r="M3505">
        <v>24</v>
      </c>
      <c r="N3505" s="3">
        <v>0.83699999999999997</v>
      </c>
      <c r="O3505" t="s">
        <v>16</v>
      </c>
      <c r="Q3505">
        <v>1</v>
      </c>
      <c r="R3505">
        <v>0</v>
      </c>
      <c r="S3505" s="2">
        <v>103000</v>
      </c>
      <c r="T3505" s="4">
        <v>0.1041</v>
      </c>
      <c r="U3505">
        <v>11</v>
      </c>
      <c r="V3505">
        <v>0</v>
      </c>
      <c r="W3505">
        <v>1</v>
      </c>
    </row>
    <row r="3506" spans="1:23" ht="16.5" x14ac:dyDescent="0.3">
      <c r="A3506" t="s">
        <v>3570</v>
      </c>
      <c r="B3506" s="1">
        <v>45797</v>
      </c>
      <c r="C3506">
        <v>2025</v>
      </c>
      <c r="D3506" t="s">
        <v>688</v>
      </c>
      <c r="E3506" t="s">
        <v>885</v>
      </c>
      <c r="F3506" t="s">
        <v>26</v>
      </c>
      <c r="G3506" t="s">
        <v>33</v>
      </c>
      <c r="H3506" t="s">
        <v>38</v>
      </c>
      <c r="I3506" t="s">
        <v>42</v>
      </c>
      <c r="J3506" t="s">
        <v>30</v>
      </c>
      <c r="K3506" s="2">
        <v>7650</v>
      </c>
      <c r="L3506" s="2">
        <v>16000</v>
      </c>
      <c r="M3506">
        <v>60</v>
      </c>
      <c r="N3506" s="3">
        <v>0.19900000000000001</v>
      </c>
      <c r="O3506" t="s">
        <v>16</v>
      </c>
      <c r="Q3506">
        <v>1</v>
      </c>
      <c r="R3506">
        <v>0</v>
      </c>
      <c r="S3506" s="2">
        <v>16000</v>
      </c>
      <c r="T3506" s="4">
        <v>9.9400000000000002E-2</v>
      </c>
      <c r="U3506">
        <v>1</v>
      </c>
      <c r="V3506">
        <v>1</v>
      </c>
      <c r="W3506">
        <v>1</v>
      </c>
    </row>
    <row r="3507" spans="1:23" ht="16.5" x14ac:dyDescent="0.3">
      <c r="A3507" t="s">
        <v>3571</v>
      </c>
      <c r="B3507" s="1">
        <v>45797</v>
      </c>
      <c r="C3507">
        <v>2025</v>
      </c>
      <c r="D3507" t="s">
        <v>688</v>
      </c>
      <c r="E3507" t="s">
        <v>885</v>
      </c>
      <c r="F3507" t="s">
        <v>37</v>
      </c>
      <c r="G3507" t="s">
        <v>45</v>
      </c>
      <c r="H3507" t="s">
        <v>55</v>
      </c>
      <c r="I3507" t="s">
        <v>29</v>
      </c>
      <c r="J3507" t="s">
        <v>30</v>
      </c>
      <c r="K3507" s="2">
        <v>5300</v>
      </c>
      <c r="L3507" s="2">
        <v>13500</v>
      </c>
      <c r="M3507">
        <v>24</v>
      </c>
      <c r="N3507" s="3">
        <v>0.218</v>
      </c>
      <c r="O3507" t="s">
        <v>17</v>
      </c>
      <c r="P3507" t="s">
        <v>31</v>
      </c>
      <c r="Q3507">
        <v>0</v>
      </c>
      <c r="R3507">
        <v>1</v>
      </c>
      <c r="S3507" s="2">
        <v>0</v>
      </c>
      <c r="T3507" s="4"/>
      <c r="U3507">
        <v>2</v>
      </c>
      <c r="V3507">
        <v>1</v>
      </c>
      <c r="W3507">
        <v>1</v>
      </c>
    </row>
    <row r="3508" spans="1:23" ht="16.5" x14ac:dyDescent="0.3">
      <c r="A3508" t="s">
        <v>3572</v>
      </c>
      <c r="B3508" s="1">
        <v>45797</v>
      </c>
      <c r="C3508">
        <v>2025</v>
      </c>
      <c r="D3508" t="s">
        <v>688</v>
      </c>
      <c r="E3508" t="s">
        <v>885</v>
      </c>
      <c r="F3508" t="s">
        <v>37</v>
      </c>
      <c r="G3508" t="s">
        <v>33</v>
      </c>
      <c r="H3508" t="s">
        <v>38</v>
      </c>
      <c r="I3508" t="s">
        <v>42</v>
      </c>
      <c r="J3508" t="s">
        <v>30</v>
      </c>
      <c r="K3508" s="2">
        <v>9000</v>
      </c>
      <c r="L3508" s="2">
        <v>36500</v>
      </c>
      <c r="M3508">
        <v>36</v>
      </c>
      <c r="N3508" s="3">
        <v>0.38200000000000001</v>
      </c>
      <c r="O3508" t="s">
        <v>16</v>
      </c>
      <c r="Q3508">
        <v>1</v>
      </c>
      <c r="R3508">
        <v>0</v>
      </c>
      <c r="S3508" s="2">
        <v>36500</v>
      </c>
      <c r="T3508" s="4">
        <v>0.14000000000000001</v>
      </c>
      <c r="U3508">
        <v>2</v>
      </c>
      <c r="V3508">
        <v>1</v>
      </c>
      <c r="W3508">
        <v>1</v>
      </c>
    </row>
    <row r="3509" spans="1:23" ht="16.5" x14ac:dyDescent="0.3">
      <c r="A3509" t="s">
        <v>3573</v>
      </c>
      <c r="B3509" s="1">
        <v>45797</v>
      </c>
      <c r="C3509">
        <v>2025</v>
      </c>
      <c r="D3509" t="s">
        <v>688</v>
      </c>
      <c r="E3509" t="s">
        <v>885</v>
      </c>
      <c r="F3509" t="s">
        <v>26</v>
      </c>
      <c r="G3509" t="s">
        <v>51</v>
      </c>
      <c r="H3509" t="s">
        <v>38</v>
      </c>
      <c r="I3509" t="s">
        <v>39</v>
      </c>
      <c r="J3509" t="s">
        <v>35</v>
      </c>
      <c r="K3509" s="2">
        <v>3300</v>
      </c>
      <c r="L3509" s="2">
        <v>17000</v>
      </c>
      <c r="M3509">
        <v>60</v>
      </c>
      <c r="N3509" s="3">
        <v>0.2</v>
      </c>
      <c r="O3509" t="s">
        <v>16</v>
      </c>
      <c r="Q3509">
        <v>1</v>
      </c>
      <c r="R3509">
        <v>0</v>
      </c>
      <c r="S3509" s="2">
        <v>17000</v>
      </c>
      <c r="T3509" s="4">
        <v>8.6699999999999999E-2</v>
      </c>
      <c r="U3509">
        <v>5</v>
      </c>
      <c r="V3509">
        <v>0</v>
      </c>
      <c r="W3509">
        <v>1</v>
      </c>
    </row>
    <row r="3510" spans="1:23" ht="16.5" x14ac:dyDescent="0.3">
      <c r="A3510" t="s">
        <v>3574</v>
      </c>
      <c r="B3510" s="1">
        <v>45797</v>
      </c>
      <c r="C3510">
        <v>2025</v>
      </c>
      <c r="D3510" t="s">
        <v>688</v>
      </c>
      <c r="E3510" t="s">
        <v>885</v>
      </c>
      <c r="F3510" t="s">
        <v>26</v>
      </c>
      <c r="G3510" t="s">
        <v>27</v>
      </c>
      <c r="H3510" t="s">
        <v>55</v>
      </c>
      <c r="I3510" t="s">
        <v>42</v>
      </c>
      <c r="J3510" t="s">
        <v>30</v>
      </c>
      <c r="K3510" s="2">
        <v>4500</v>
      </c>
      <c r="L3510" s="2">
        <v>52500</v>
      </c>
      <c r="M3510">
        <v>60</v>
      </c>
      <c r="N3510" s="3">
        <v>0.28599999999999998</v>
      </c>
      <c r="O3510" t="s">
        <v>17</v>
      </c>
      <c r="P3510" t="s">
        <v>60</v>
      </c>
      <c r="Q3510">
        <v>0</v>
      </c>
      <c r="R3510">
        <v>1</v>
      </c>
      <c r="S3510" s="2">
        <v>0</v>
      </c>
      <c r="T3510" s="4"/>
      <c r="U3510">
        <v>9</v>
      </c>
      <c r="V3510">
        <v>0</v>
      </c>
      <c r="W3510">
        <v>1</v>
      </c>
    </row>
    <row r="3511" spans="1:23" ht="16.5" x14ac:dyDescent="0.3">
      <c r="A3511" t="s">
        <v>3575</v>
      </c>
      <c r="B3511" s="1">
        <v>45797</v>
      </c>
      <c r="C3511">
        <v>2025</v>
      </c>
      <c r="D3511" t="s">
        <v>688</v>
      </c>
      <c r="E3511" t="s">
        <v>885</v>
      </c>
      <c r="F3511" t="s">
        <v>26</v>
      </c>
      <c r="G3511" t="s">
        <v>27</v>
      </c>
      <c r="H3511" t="s">
        <v>55</v>
      </c>
      <c r="I3511" t="s">
        <v>29</v>
      </c>
      <c r="J3511" t="s">
        <v>43</v>
      </c>
      <c r="K3511" s="2">
        <v>4150</v>
      </c>
      <c r="L3511" s="2">
        <v>41500</v>
      </c>
      <c r="M3511">
        <v>36</v>
      </c>
      <c r="N3511" s="3">
        <v>0.41699999999999998</v>
      </c>
      <c r="O3511" t="s">
        <v>17</v>
      </c>
      <c r="P3511" t="s">
        <v>31</v>
      </c>
      <c r="Q3511">
        <v>0</v>
      </c>
      <c r="R3511">
        <v>1</v>
      </c>
      <c r="S3511" s="2">
        <v>0</v>
      </c>
      <c r="T3511" s="4"/>
      <c r="U3511">
        <v>4</v>
      </c>
      <c r="V3511">
        <v>1</v>
      </c>
      <c r="W3511">
        <v>1</v>
      </c>
    </row>
    <row r="3512" spans="1:23" ht="16.5" x14ac:dyDescent="0.3">
      <c r="A3512" t="s">
        <v>3576</v>
      </c>
      <c r="B3512" s="1">
        <v>45797</v>
      </c>
      <c r="C3512">
        <v>2025</v>
      </c>
      <c r="D3512" t="s">
        <v>688</v>
      </c>
      <c r="E3512" t="s">
        <v>885</v>
      </c>
      <c r="F3512" t="s">
        <v>37</v>
      </c>
      <c r="G3512" t="s">
        <v>27</v>
      </c>
      <c r="H3512" t="s">
        <v>34</v>
      </c>
      <c r="I3512" t="s">
        <v>39</v>
      </c>
      <c r="J3512" t="s">
        <v>30</v>
      </c>
      <c r="K3512" s="2">
        <v>4250</v>
      </c>
      <c r="L3512" s="2">
        <v>24000</v>
      </c>
      <c r="M3512">
        <v>24</v>
      </c>
      <c r="N3512" s="3">
        <v>0.438</v>
      </c>
      <c r="O3512" t="s">
        <v>17</v>
      </c>
      <c r="P3512" t="s">
        <v>65</v>
      </c>
      <c r="Q3512">
        <v>0</v>
      </c>
      <c r="R3512">
        <v>1</v>
      </c>
      <c r="S3512" s="2">
        <v>0</v>
      </c>
      <c r="T3512" s="4"/>
      <c r="U3512">
        <v>3</v>
      </c>
      <c r="V3512">
        <v>1</v>
      </c>
      <c r="W3512">
        <v>1</v>
      </c>
    </row>
    <row r="3513" spans="1:23" ht="16.5" x14ac:dyDescent="0.3">
      <c r="A3513" t="s">
        <v>3577</v>
      </c>
      <c r="B3513" s="1">
        <v>45797</v>
      </c>
      <c r="C3513">
        <v>2025</v>
      </c>
      <c r="D3513" t="s">
        <v>688</v>
      </c>
      <c r="E3513" t="s">
        <v>885</v>
      </c>
      <c r="F3513" t="s">
        <v>37</v>
      </c>
      <c r="G3513" t="s">
        <v>51</v>
      </c>
      <c r="H3513" t="s">
        <v>34</v>
      </c>
      <c r="I3513" t="s">
        <v>39</v>
      </c>
      <c r="J3513" t="s">
        <v>52</v>
      </c>
      <c r="K3513" s="2">
        <v>3700</v>
      </c>
      <c r="L3513" s="2">
        <v>21000</v>
      </c>
      <c r="M3513">
        <v>36</v>
      </c>
      <c r="N3513" s="3">
        <v>0.41</v>
      </c>
      <c r="O3513" t="s">
        <v>16</v>
      </c>
      <c r="Q3513">
        <v>1</v>
      </c>
      <c r="R3513">
        <v>0</v>
      </c>
      <c r="S3513" s="2">
        <v>21000</v>
      </c>
      <c r="T3513" s="4">
        <v>0.1143</v>
      </c>
      <c r="U3513">
        <v>7</v>
      </c>
      <c r="V3513">
        <v>0</v>
      </c>
      <c r="W3513">
        <v>1</v>
      </c>
    </row>
    <row r="3514" spans="1:23" ht="16.5" x14ac:dyDescent="0.3">
      <c r="A3514" t="s">
        <v>3578</v>
      </c>
      <c r="B3514" s="1">
        <v>45797</v>
      </c>
      <c r="C3514">
        <v>2025</v>
      </c>
      <c r="D3514" t="s">
        <v>688</v>
      </c>
      <c r="E3514" t="s">
        <v>885</v>
      </c>
      <c r="F3514" t="s">
        <v>26</v>
      </c>
      <c r="G3514" t="s">
        <v>33</v>
      </c>
      <c r="H3514" t="s">
        <v>55</v>
      </c>
      <c r="I3514" t="s">
        <v>29</v>
      </c>
      <c r="J3514" t="s">
        <v>30</v>
      </c>
      <c r="K3514" s="2">
        <v>9050</v>
      </c>
      <c r="L3514" s="2">
        <v>12500</v>
      </c>
      <c r="M3514">
        <v>36</v>
      </c>
      <c r="N3514" s="3">
        <v>0.29199999999999998</v>
      </c>
      <c r="O3514" t="s">
        <v>17</v>
      </c>
      <c r="P3514" t="s">
        <v>31</v>
      </c>
      <c r="Q3514">
        <v>0</v>
      </c>
      <c r="R3514">
        <v>1</v>
      </c>
      <c r="S3514" s="2">
        <v>0</v>
      </c>
      <c r="T3514" s="4"/>
      <c r="U3514">
        <v>2</v>
      </c>
      <c r="V3514">
        <v>1</v>
      </c>
      <c r="W3514">
        <v>1</v>
      </c>
    </row>
    <row r="3515" spans="1:23" ht="16.5" x14ac:dyDescent="0.3">
      <c r="A3515" t="s">
        <v>3579</v>
      </c>
      <c r="B3515" s="1">
        <v>45798</v>
      </c>
      <c r="C3515">
        <v>2025</v>
      </c>
      <c r="D3515" t="s">
        <v>688</v>
      </c>
      <c r="E3515" t="s">
        <v>885</v>
      </c>
      <c r="F3515" t="s">
        <v>50</v>
      </c>
      <c r="G3515" t="s">
        <v>45</v>
      </c>
      <c r="H3515" t="s">
        <v>38</v>
      </c>
      <c r="I3515" t="s">
        <v>29</v>
      </c>
      <c r="J3515" t="s">
        <v>46</v>
      </c>
      <c r="K3515" s="2">
        <v>6350</v>
      </c>
      <c r="L3515" s="2">
        <v>485000</v>
      </c>
      <c r="M3515">
        <v>240</v>
      </c>
      <c r="N3515" s="3">
        <v>0.73399999999999999</v>
      </c>
      <c r="O3515" t="s">
        <v>17</v>
      </c>
      <c r="P3515" t="s">
        <v>53</v>
      </c>
      <c r="Q3515">
        <v>0</v>
      </c>
      <c r="R3515">
        <v>1</v>
      </c>
      <c r="S3515" s="2">
        <v>0</v>
      </c>
      <c r="T3515" s="4"/>
      <c r="U3515">
        <v>4</v>
      </c>
      <c r="V3515">
        <v>1</v>
      </c>
      <c r="W3515">
        <v>1</v>
      </c>
    </row>
    <row r="3516" spans="1:23" ht="16.5" x14ac:dyDescent="0.3">
      <c r="A3516" t="s">
        <v>3580</v>
      </c>
      <c r="B3516" s="1">
        <v>45798</v>
      </c>
      <c r="C3516">
        <v>2025</v>
      </c>
      <c r="D3516" t="s">
        <v>688</v>
      </c>
      <c r="E3516" t="s">
        <v>885</v>
      </c>
      <c r="F3516" t="s">
        <v>37</v>
      </c>
      <c r="G3516" t="s">
        <v>33</v>
      </c>
      <c r="H3516" t="s">
        <v>55</v>
      </c>
      <c r="I3516" t="s">
        <v>39</v>
      </c>
      <c r="J3516" t="s">
        <v>35</v>
      </c>
      <c r="K3516" s="2">
        <v>9000</v>
      </c>
      <c r="L3516" s="2">
        <v>15000</v>
      </c>
      <c r="M3516">
        <v>12</v>
      </c>
      <c r="N3516" s="3">
        <v>0.33600000000000002</v>
      </c>
      <c r="O3516" t="s">
        <v>16</v>
      </c>
      <c r="Q3516">
        <v>1</v>
      </c>
      <c r="R3516">
        <v>0</v>
      </c>
      <c r="S3516" s="2">
        <v>12000</v>
      </c>
      <c r="T3516" s="4">
        <v>0.12709999999999999</v>
      </c>
      <c r="U3516">
        <v>1</v>
      </c>
      <c r="V3516">
        <v>1</v>
      </c>
      <c r="W3516">
        <v>1</v>
      </c>
    </row>
    <row r="3517" spans="1:23" ht="16.5" x14ac:dyDescent="0.3">
      <c r="A3517" t="s">
        <v>3581</v>
      </c>
      <c r="B3517" s="1">
        <v>45798</v>
      </c>
      <c r="C3517">
        <v>2025</v>
      </c>
      <c r="D3517" t="s">
        <v>688</v>
      </c>
      <c r="E3517" t="s">
        <v>885</v>
      </c>
      <c r="F3517" t="s">
        <v>41</v>
      </c>
      <c r="G3517" t="s">
        <v>51</v>
      </c>
      <c r="H3517" t="s">
        <v>28</v>
      </c>
      <c r="I3517" t="s">
        <v>39</v>
      </c>
      <c r="J3517" t="s">
        <v>35</v>
      </c>
      <c r="K3517" s="2">
        <v>4900</v>
      </c>
      <c r="L3517" s="2">
        <v>66000</v>
      </c>
      <c r="M3517">
        <v>60</v>
      </c>
      <c r="N3517" s="3">
        <v>0.47599999999999998</v>
      </c>
      <c r="O3517" t="s">
        <v>17</v>
      </c>
      <c r="P3517" t="s">
        <v>53</v>
      </c>
      <c r="Q3517">
        <v>0</v>
      </c>
      <c r="R3517">
        <v>1</v>
      </c>
      <c r="S3517" s="2">
        <v>0</v>
      </c>
      <c r="T3517" s="4"/>
      <c r="U3517">
        <v>23</v>
      </c>
      <c r="V3517">
        <v>0</v>
      </c>
      <c r="W3517">
        <v>1</v>
      </c>
    </row>
    <row r="3518" spans="1:23" ht="16.5" x14ac:dyDescent="0.3">
      <c r="A3518" t="s">
        <v>3582</v>
      </c>
      <c r="B3518" s="1">
        <v>45798</v>
      </c>
      <c r="C3518">
        <v>2025</v>
      </c>
      <c r="D3518" t="s">
        <v>688</v>
      </c>
      <c r="E3518" t="s">
        <v>885</v>
      </c>
      <c r="F3518" t="s">
        <v>50</v>
      </c>
      <c r="G3518" t="s">
        <v>33</v>
      </c>
      <c r="H3518" t="s">
        <v>38</v>
      </c>
      <c r="I3518" t="s">
        <v>29</v>
      </c>
      <c r="J3518" t="s">
        <v>52</v>
      </c>
      <c r="K3518" s="2">
        <v>4450</v>
      </c>
      <c r="L3518" s="2">
        <v>140500</v>
      </c>
      <c r="M3518">
        <v>240</v>
      </c>
      <c r="N3518" s="3">
        <v>0.32500000000000001</v>
      </c>
      <c r="O3518" t="s">
        <v>16</v>
      </c>
      <c r="Q3518">
        <v>1</v>
      </c>
      <c r="R3518">
        <v>0</v>
      </c>
      <c r="S3518" s="2">
        <v>112500</v>
      </c>
      <c r="T3518" s="4">
        <v>0.05</v>
      </c>
      <c r="U3518">
        <v>6</v>
      </c>
      <c r="V3518">
        <v>1</v>
      </c>
      <c r="W3518">
        <v>1</v>
      </c>
    </row>
    <row r="3519" spans="1:23" ht="16.5" x14ac:dyDescent="0.3">
      <c r="A3519" t="s">
        <v>3583</v>
      </c>
      <c r="B3519" s="1">
        <v>45798</v>
      </c>
      <c r="C3519">
        <v>2025</v>
      </c>
      <c r="D3519" t="s">
        <v>688</v>
      </c>
      <c r="E3519" t="s">
        <v>885</v>
      </c>
      <c r="F3519" t="s">
        <v>50</v>
      </c>
      <c r="G3519" t="s">
        <v>27</v>
      </c>
      <c r="H3519" t="s">
        <v>28</v>
      </c>
      <c r="I3519" t="s">
        <v>29</v>
      </c>
      <c r="J3519" t="s">
        <v>30</v>
      </c>
      <c r="K3519" s="2">
        <v>5500</v>
      </c>
      <c r="L3519" s="2">
        <v>359000</v>
      </c>
      <c r="M3519">
        <v>180</v>
      </c>
      <c r="N3519" s="3">
        <v>0.66400000000000003</v>
      </c>
      <c r="O3519" t="s">
        <v>17</v>
      </c>
      <c r="P3519" t="s">
        <v>31</v>
      </c>
      <c r="Q3519">
        <v>0</v>
      </c>
      <c r="R3519">
        <v>1</v>
      </c>
      <c r="S3519" s="2">
        <v>0</v>
      </c>
      <c r="T3519" s="4"/>
      <c r="U3519">
        <v>16</v>
      </c>
      <c r="V3519">
        <v>0</v>
      </c>
      <c r="W3519">
        <v>1</v>
      </c>
    </row>
    <row r="3520" spans="1:23" ht="16.5" x14ac:dyDescent="0.3">
      <c r="A3520" t="s">
        <v>3584</v>
      </c>
      <c r="B3520" s="1">
        <v>45798</v>
      </c>
      <c r="C3520">
        <v>2025</v>
      </c>
      <c r="D3520" t="s">
        <v>688</v>
      </c>
      <c r="E3520" t="s">
        <v>885</v>
      </c>
      <c r="F3520" t="s">
        <v>41</v>
      </c>
      <c r="G3520" t="s">
        <v>45</v>
      </c>
      <c r="H3520" t="s">
        <v>38</v>
      </c>
      <c r="I3520" t="s">
        <v>42</v>
      </c>
      <c r="J3520" t="s">
        <v>35</v>
      </c>
      <c r="K3520" s="2">
        <v>9250</v>
      </c>
      <c r="L3520" s="2">
        <v>61000</v>
      </c>
      <c r="M3520">
        <v>24</v>
      </c>
      <c r="N3520" s="3">
        <v>0.50900000000000001</v>
      </c>
      <c r="O3520" t="s">
        <v>17</v>
      </c>
      <c r="P3520" t="s">
        <v>53</v>
      </c>
      <c r="Q3520">
        <v>0</v>
      </c>
      <c r="R3520">
        <v>1</v>
      </c>
      <c r="S3520" s="2">
        <v>0</v>
      </c>
      <c r="T3520" s="4"/>
      <c r="U3520">
        <v>7</v>
      </c>
      <c r="V3520">
        <v>1</v>
      </c>
      <c r="W3520">
        <v>1</v>
      </c>
    </row>
    <row r="3521" spans="1:23" ht="16.5" x14ac:dyDescent="0.3">
      <c r="A3521" t="s">
        <v>3585</v>
      </c>
      <c r="B3521" s="1">
        <v>45798</v>
      </c>
      <c r="C3521">
        <v>2025</v>
      </c>
      <c r="D3521" t="s">
        <v>688</v>
      </c>
      <c r="E3521" t="s">
        <v>885</v>
      </c>
      <c r="F3521" t="s">
        <v>37</v>
      </c>
      <c r="G3521" t="s">
        <v>33</v>
      </c>
      <c r="H3521" t="s">
        <v>28</v>
      </c>
      <c r="I3521" t="s">
        <v>29</v>
      </c>
      <c r="J3521" t="s">
        <v>35</v>
      </c>
      <c r="K3521" s="2">
        <v>4700</v>
      </c>
      <c r="L3521" s="2">
        <v>6000</v>
      </c>
      <c r="M3521">
        <v>36</v>
      </c>
      <c r="N3521" s="3">
        <v>0.214</v>
      </c>
      <c r="O3521" t="s">
        <v>17</v>
      </c>
      <c r="P3521" t="s">
        <v>65</v>
      </c>
      <c r="Q3521">
        <v>0</v>
      </c>
      <c r="R3521">
        <v>1</v>
      </c>
      <c r="S3521" s="2">
        <v>0</v>
      </c>
      <c r="T3521" s="4"/>
      <c r="U3521">
        <v>1</v>
      </c>
      <c r="V3521">
        <v>1</v>
      </c>
      <c r="W3521">
        <v>1</v>
      </c>
    </row>
    <row r="3522" spans="1:23" ht="16.5" x14ac:dyDescent="0.3">
      <c r="A3522" t="s">
        <v>3586</v>
      </c>
      <c r="B3522" s="1">
        <v>45798</v>
      </c>
      <c r="C3522">
        <v>2025</v>
      </c>
      <c r="D3522" t="s">
        <v>688</v>
      </c>
      <c r="E3522" t="s">
        <v>885</v>
      </c>
      <c r="F3522" t="s">
        <v>41</v>
      </c>
      <c r="G3522" t="s">
        <v>33</v>
      </c>
      <c r="H3522" t="s">
        <v>38</v>
      </c>
      <c r="I3522" t="s">
        <v>39</v>
      </c>
      <c r="J3522" t="s">
        <v>52</v>
      </c>
      <c r="K3522" s="2">
        <v>5550</v>
      </c>
      <c r="L3522" s="2">
        <v>84500</v>
      </c>
      <c r="M3522">
        <v>24</v>
      </c>
      <c r="N3522" s="3">
        <v>0.85199999999999998</v>
      </c>
      <c r="O3522" t="s">
        <v>16</v>
      </c>
      <c r="Q3522">
        <v>1</v>
      </c>
      <c r="R3522">
        <v>0</v>
      </c>
      <c r="S3522" s="2">
        <v>76000</v>
      </c>
      <c r="T3522" s="4">
        <v>0.10059999999999999</v>
      </c>
      <c r="U3522">
        <v>4</v>
      </c>
      <c r="V3522">
        <v>1</v>
      </c>
      <c r="W3522">
        <v>1</v>
      </c>
    </row>
    <row r="3523" spans="1:23" ht="16.5" x14ac:dyDescent="0.3">
      <c r="A3523" t="s">
        <v>3587</v>
      </c>
      <c r="B3523" s="1">
        <v>45798</v>
      </c>
      <c r="C3523">
        <v>2025</v>
      </c>
      <c r="D3523" t="s">
        <v>688</v>
      </c>
      <c r="E3523" t="s">
        <v>885</v>
      </c>
      <c r="F3523" t="s">
        <v>37</v>
      </c>
      <c r="G3523" t="s">
        <v>33</v>
      </c>
      <c r="H3523" t="s">
        <v>38</v>
      </c>
      <c r="I3523" t="s">
        <v>39</v>
      </c>
      <c r="J3523" t="s">
        <v>52</v>
      </c>
      <c r="K3523" s="2">
        <v>6250</v>
      </c>
      <c r="L3523" s="2">
        <v>10500</v>
      </c>
      <c r="M3523">
        <v>36</v>
      </c>
      <c r="N3523" s="3">
        <v>0.19400000000000001</v>
      </c>
      <c r="O3523" t="s">
        <v>16</v>
      </c>
      <c r="Q3523">
        <v>1</v>
      </c>
      <c r="R3523">
        <v>0</v>
      </c>
      <c r="S3523" s="2">
        <v>10500</v>
      </c>
      <c r="T3523" s="4">
        <v>0.11899999999999999</v>
      </c>
      <c r="U3523">
        <v>2</v>
      </c>
      <c r="V3523">
        <v>1</v>
      </c>
      <c r="W3523">
        <v>1</v>
      </c>
    </row>
    <row r="3524" spans="1:23" ht="16.5" x14ac:dyDescent="0.3">
      <c r="A3524" t="s">
        <v>3588</v>
      </c>
      <c r="B3524" s="1">
        <v>45798</v>
      </c>
      <c r="C3524">
        <v>2025</v>
      </c>
      <c r="D3524" t="s">
        <v>688</v>
      </c>
      <c r="E3524" t="s">
        <v>885</v>
      </c>
      <c r="F3524" t="s">
        <v>50</v>
      </c>
      <c r="G3524" t="s">
        <v>27</v>
      </c>
      <c r="H3524" t="s">
        <v>38</v>
      </c>
      <c r="I3524" t="s">
        <v>29</v>
      </c>
      <c r="J3524" t="s">
        <v>35</v>
      </c>
      <c r="K3524" s="2">
        <v>3450</v>
      </c>
      <c r="L3524" s="2">
        <v>206000</v>
      </c>
      <c r="M3524">
        <v>240</v>
      </c>
      <c r="N3524" s="3">
        <v>0.63800000000000001</v>
      </c>
      <c r="O3524" t="s">
        <v>17</v>
      </c>
      <c r="P3524" t="s">
        <v>53</v>
      </c>
      <c r="Q3524">
        <v>0</v>
      </c>
      <c r="R3524">
        <v>1</v>
      </c>
      <c r="S3524" s="2">
        <v>0</v>
      </c>
      <c r="T3524" s="4"/>
      <c r="U3524">
        <v>18</v>
      </c>
      <c r="V3524">
        <v>0</v>
      </c>
      <c r="W3524">
        <v>1</v>
      </c>
    </row>
    <row r="3525" spans="1:23" ht="16.5" x14ac:dyDescent="0.3">
      <c r="A3525" t="s">
        <v>3589</v>
      </c>
      <c r="B3525" s="1">
        <v>45798</v>
      </c>
      <c r="C3525">
        <v>2025</v>
      </c>
      <c r="D3525" t="s">
        <v>688</v>
      </c>
      <c r="E3525" t="s">
        <v>885</v>
      </c>
      <c r="F3525" t="s">
        <v>37</v>
      </c>
      <c r="G3525" t="s">
        <v>51</v>
      </c>
      <c r="H3525" t="s">
        <v>64</v>
      </c>
      <c r="I3525" t="s">
        <v>29</v>
      </c>
      <c r="J3525" t="s">
        <v>35</v>
      </c>
      <c r="K3525" s="2">
        <v>5100</v>
      </c>
      <c r="L3525" s="2">
        <v>24500</v>
      </c>
      <c r="M3525">
        <v>60</v>
      </c>
      <c r="N3525" s="3">
        <v>0.309</v>
      </c>
      <c r="O3525" t="s">
        <v>16</v>
      </c>
      <c r="Q3525">
        <v>1</v>
      </c>
      <c r="R3525">
        <v>0</v>
      </c>
      <c r="S3525" s="2">
        <v>19500</v>
      </c>
      <c r="T3525" s="4">
        <v>0.1216</v>
      </c>
      <c r="U3525">
        <v>4</v>
      </c>
      <c r="V3525">
        <v>0</v>
      </c>
      <c r="W3525">
        <v>1</v>
      </c>
    </row>
    <row r="3526" spans="1:23" ht="16.5" x14ac:dyDescent="0.3">
      <c r="A3526" t="s">
        <v>3590</v>
      </c>
      <c r="B3526" s="1">
        <v>45798</v>
      </c>
      <c r="C3526">
        <v>2025</v>
      </c>
      <c r="D3526" t="s">
        <v>688</v>
      </c>
      <c r="E3526" t="s">
        <v>885</v>
      </c>
      <c r="F3526" t="s">
        <v>41</v>
      </c>
      <c r="G3526" t="s">
        <v>33</v>
      </c>
      <c r="H3526" t="s">
        <v>55</v>
      </c>
      <c r="I3526" t="s">
        <v>39</v>
      </c>
      <c r="J3526" t="s">
        <v>35</v>
      </c>
      <c r="K3526" s="2">
        <v>1750</v>
      </c>
      <c r="L3526" s="2">
        <v>124500</v>
      </c>
      <c r="M3526">
        <v>36</v>
      </c>
      <c r="N3526" s="3">
        <v>2.5379999999999998</v>
      </c>
      <c r="O3526" t="s">
        <v>17</v>
      </c>
      <c r="P3526" t="s">
        <v>53</v>
      </c>
      <c r="Q3526">
        <v>0</v>
      </c>
      <c r="R3526">
        <v>1</v>
      </c>
      <c r="S3526" s="2">
        <v>0</v>
      </c>
      <c r="T3526" s="4"/>
      <c r="U3526">
        <v>4</v>
      </c>
      <c r="V3526">
        <v>1</v>
      </c>
      <c r="W3526">
        <v>1</v>
      </c>
    </row>
    <row r="3527" spans="1:23" ht="16.5" x14ac:dyDescent="0.3">
      <c r="A3527" t="s">
        <v>3591</v>
      </c>
      <c r="B3527" s="1">
        <v>45799</v>
      </c>
      <c r="C3527">
        <v>2025</v>
      </c>
      <c r="D3527" t="s">
        <v>688</v>
      </c>
      <c r="E3527" t="s">
        <v>885</v>
      </c>
      <c r="F3527" t="s">
        <v>41</v>
      </c>
      <c r="G3527" t="s">
        <v>33</v>
      </c>
      <c r="H3527" t="s">
        <v>55</v>
      </c>
      <c r="I3527" t="s">
        <v>29</v>
      </c>
      <c r="J3527" t="s">
        <v>35</v>
      </c>
      <c r="K3527" s="2">
        <v>4200</v>
      </c>
      <c r="L3527" s="2">
        <v>116500</v>
      </c>
      <c r="M3527">
        <v>24</v>
      </c>
      <c r="N3527" s="3">
        <v>1.5189999999999999</v>
      </c>
      <c r="O3527" t="s">
        <v>17</v>
      </c>
      <c r="P3527" t="s">
        <v>53</v>
      </c>
      <c r="Q3527">
        <v>0</v>
      </c>
      <c r="R3527">
        <v>1</v>
      </c>
      <c r="S3527" s="2">
        <v>0</v>
      </c>
      <c r="T3527" s="4"/>
      <c r="U3527">
        <v>4</v>
      </c>
      <c r="V3527">
        <v>1</v>
      </c>
      <c r="W3527">
        <v>1</v>
      </c>
    </row>
    <row r="3528" spans="1:23" ht="16.5" x14ac:dyDescent="0.3">
      <c r="A3528" t="s">
        <v>3592</v>
      </c>
      <c r="B3528" s="1">
        <v>45799</v>
      </c>
      <c r="C3528">
        <v>2025</v>
      </c>
      <c r="D3528" t="s">
        <v>688</v>
      </c>
      <c r="E3528" t="s">
        <v>885</v>
      </c>
      <c r="F3528" t="s">
        <v>37</v>
      </c>
      <c r="G3528" t="s">
        <v>51</v>
      </c>
      <c r="H3528" t="s">
        <v>55</v>
      </c>
      <c r="I3528" t="s">
        <v>42</v>
      </c>
      <c r="J3528" t="s">
        <v>46</v>
      </c>
      <c r="K3528" s="2">
        <v>10300</v>
      </c>
      <c r="L3528" s="2">
        <v>7000</v>
      </c>
      <c r="M3528">
        <v>48</v>
      </c>
      <c r="N3528" s="3">
        <v>0.255</v>
      </c>
      <c r="O3528" t="s">
        <v>16</v>
      </c>
      <c r="Q3528">
        <v>1</v>
      </c>
      <c r="R3528">
        <v>0</v>
      </c>
      <c r="S3528" s="2">
        <v>5500</v>
      </c>
      <c r="T3528" s="4">
        <v>0.1072</v>
      </c>
      <c r="U3528">
        <v>5</v>
      </c>
      <c r="V3528">
        <v>0</v>
      </c>
      <c r="W3528">
        <v>1</v>
      </c>
    </row>
    <row r="3529" spans="1:23" ht="16.5" x14ac:dyDescent="0.3">
      <c r="A3529" t="s">
        <v>3593</v>
      </c>
      <c r="B3529" s="1">
        <v>45799</v>
      </c>
      <c r="C3529">
        <v>2025</v>
      </c>
      <c r="D3529" t="s">
        <v>688</v>
      </c>
      <c r="E3529" t="s">
        <v>885</v>
      </c>
      <c r="F3529" t="s">
        <v>37</v>
      </c>
      <c r="G3529" t="s">
        <v>27</v>
      </c>
      <c r="H3529" t="s">
        <v>34</v>
      </c>
      <c r="I3529" t="s">
        <v>39</v>
      </c>
      <c r="J3529" t="s">
        <v>35</v>
      </c>
      <c r="K3529" s="2">
        <v>5500</v>
      </c>
      <c r="L3529" s="2">
        <v>11500</v>
      </c>
      <c r="M3529">
        <v>60</v>
      </c>
      <c r="N3529" s="3">
        <v>0.26700000000000002</v>
      </c>
      <c r="O3529" t="s">
        <v>16</v>
      </c>
      <c r="Q3529">
        <v>1</v>
      </c>
      <c r="R3529">
        <v>0</v>
      </c>
      <c r="S3529" s="2">
        <v>9000</v>
      </c>
      <c r="T3529" s="4">
        <v>0.1227</v>
      </c>
      <c r="U3529">
        <v>3</v>
      </c>
      <c r="V3529">
        <v>1</v>
      </c>
      <c r="W3529">
        <v>1</v>
      </c>
    </row>
    <row r="3530" spans="1:23" ht="16.5" x14ac:dyDescent="0.3">
      <c r="A3530" t="s">
        <v>3594</v>
      </c>
      <c r="B3530" s="1">
        <v>45799</v>
      </c>
      <c r="C3530">
        <v>2025</v>
      </c>
      <c r="D3530" t="s">
        <v>688</v>
      </c>
      <c r="E3530" t="s">
        <v>885</v>
      </c>
      <c r="F3530" t="s">
        <v>26</v>
      </c>
      <c r="G3530" t="s">
        <v>27</v>
      </c>
      <c r="H3530" t="s">
        <v>38</v>
      </c>
      <c r="I3530" t="s">
        <v>29</v>
      </c>
      <c r="J3530" t="s">
        <v>43</v>
      </c>
      <c r="K3530" s="2">
        <v>5250</v>
      </c>
      <c r="L3530" s="2">
        <v>17000</v>
      </c>
      <c r="M3530">
        <v>60</v>
      </c>
      <c r="N3530" s="3">
        <v>0.20899999999999999</v>
      </c>
      <c r="O3530" t="s">
        <v>16</v>
      </c>
      <c r="Q3530">
        <v>1</v>
      </c>
      <c r="R3530">
        <v>0</v>
      </c>
      <c r="S3530" s="2">
        <v>13500</v>
      </c>
      <c r="T3530" s="4">
        <v>0.11269999999999999</v>
      </c>
      <c r="U3530">
        <v>4</v>
      </c>
      <c r="V3530">
        <v>1</v>
      </c>
      <c r="W3530">
        <v>1</v>
      </c>
    </row>
    <row r="3531" spans="1:23" ht="16.5" x14ac:dyDescent="0.3">
      <c r="A3531" t="s">
        <v>3595</v>
      </c>
      <c r="B3531" s="1">
        <v>45799</v>
      </c>
      <c r="C3531">
        <v>2025</v>
      </c>
      <c r="D3531" t="s">
        <v>688</v>
      </c>
      <c r="E3531" t="s">
        <v>885</v>
      </c>
      <c r="F3531" t="s">
        <v>26</v>
      </c>
      <c r="G3531" t="s">
        <v>33</v>
      </c>
      <c r="H3531" t="s">
        <v>34</v>
      </c>
      <c r="I3531" t="s">
        <v>39</v>
      </c>
      <c r="J3531" t="s">
        <v>52</v>
      </c>
      <c r="K3531" s="2">
        <v>3650</v>
      </c>
      <c r="L3531" s="2">
        <v>45500</v>
      </c>
      <c r="M3531">
        <v>36</v>
      </c>
      <c r="N3531" s="3">
        <v>0.56000000000000005</v>
      </c>
      <c r="O3531" t="s">
        <v>16</v>
      </c>
      <c r="Q3531">
        <v>1</v>
      </c>
      <c r="R3531">
        <v>0</v>
      </c>
      <c r="S3531" s="2">
        <v>45500</v>
      </c>
      <c r="T3531" s="4">
        <v>7.1800000000000003E-2</v>
      </c>
      <c r="U3531">
        <v>2</v>
      </c>
      <c r="V3531">
        <v>1</v>
      </c>
      <c r="W3531">
        <v>1</v>
      </c>
    </row>
    <row r="3532" spans="1:23" ht="16.5" x14ac:dyDescent="0.3">
      <c r="A3532" t="s">
        <v>3596</v>
      </c>
      <c r="B3532" s="1">
        <v>45799</v>
      </c>
      <c r="C3532">
        <v>2025</v>
      </c>
      <c r="D3532" t="s">
        <v>688</v>
      </c>
      <c r="E3532" t="s">
        <v>885</v>
      </c>
      <c r="F3532" t="s">
        <v>50</v>
      </c>
      <c r="G3532" t="s">
        <v>45</v>
      </c>
      <c r="H3532" t="s">
        <v>55</v>
      </c>
      <c r="I3532" t="s">
        <v>39</v>
      </c>
      <c r="J3532" t="s">
        <v>52</v>
      </c>
      <c r="K3532" s="2">
        <v>5050</v>
      </c>
      <c r="L3532" s="2">
        <v>123500</v>
      </c>
      <c r="M3532">
        <v>240</v>
      </c>
      <c r="N3532" s="3">
        <v>0.251</v>
      </c>
      <c r="O3532" t="s">
        <v>16</v>
      </c>
      <c r="Q3532">
        <v>1</v>
      </c>
      <c r="R3532">
        <v>0</v>
      </c>
      <c r="S3532" s="2">
        <v>123500</v>
      </c>
      <c r="T3532" s="4">
        <v>5.4300000000000001E-2</v>
      </c>
      <c r="U3532">
        <v>11</v>
      </c>
      <c r="V3532">
        <v>1</v>
      </c>
      <c r="W3532">
        <v>1</v>
      </c>
    </row>
    <row r="3533" spans="1:23" ht="16.5" x14ac:dyDescent="0.3">
      <c r="A3533" t="s">
        <v>3597</v>
      </c>
      <c r="B3533" s="1">
        <v>45799</v>
      </c>
      <c r="C3533">
        <v>2025</v>
      </c>
      <c r="D3533" t="s">
        <v>688</v>
      </c>
      <c r="E3533" t="s">
        <v>885</v>
      </c>
      <c r="F3533" t="s">
        <v>26</v>
      </c>
      <c r="G3533" t="s">
        <v>33</v>
      </c>
      <c r="H3533" t="s">
        <v>55</v>
      </c>
      <c r="I3533" t="s">
        <v>29</v>
      </c>
      <c r="J3533" t="s">
        <v>43</v>
      </c>
      <c r="K3533" s="2">
        <v>8200</v>
      </c>
      <c r="L3533" s="2">
        <v>17000</v>
      </c>
      <c r="M3533">
        <v>60</v>
      </c>
      <c r="N3533" s="3">
        <v>0.245</v>
      </c>
      <c r="O3533" t="s">
        <v>16</v>
      </c>
      <c r="Q3533">
        <v>1</v>
      </c>
      <c r="R3533">
        <v>0</v>
      </c>
      <c r="S3533" s="2">
        <v>17000</v>
      </c>
      <c r="T3533" s="4">
        <v>0.1192</v>
      </c>
      <c r="U3533">
        <v>2</v>
      </c>
      <c r="V3533">
        <v>1</v>
      </c>
      <c r="W3533">
        <v>1</v>
      </c>
    </row>
    <row r="3534" spans="1:23" ht="16.5" x14ac:dyDescent="0.3">
      <c r="A3534" t="s">
        <v>3598</v>
      </c>
      <c r="B3534" s="1">
        <v>45799</v>
      </c>
      <c r="C3534">
        <v>2025</v>
      </c>
      <c r="D3534" t="s">
        <v>688</v>
      </c>
      <c r="E3534" t="s">
        <v>885</v>
      </c>
      <c r="F3534" t="s">
        <v>26</v>
      </c>
      <c r="G3534" t="s">
        <v>33</v>
      </c>
      <c r="H3534" t="s">
        <v>38</v>
      </c>
      <c r="I3534" t="s">
        <v>29</v>
      </c>
      <c r="J3534" t="s">
        <v>30</v>
      </c>
      <c r="K3534" s="2">
        <v>4750</v>
      </c>
      <c r="L3534" s="2">
        <v>16000</v>
      </c>
      <c r="M3534">
        <v>36</v>
      </c>
      <c r="N3534" s="3">
        <v>0.245</v>
      </c>
      <c r="O3534" t="s">
        <v>16</v>
      </c>
      <c r="Q3534">
        <v>1</v>
      </c>
      <c r="R3534">
        <v>0</v>
      </c>
      <c r="S3534" s="2">
        <v>16000</v>
      </c>
      <c r="T3534" s="4">
        <v>9.0999999999999998E-2</v>
      </c>
      <c r="U3534">
        <v>2</v>
      </c>
      <c r="V3534">
        <v>1</v>
      </c>
      <c r="W3534">
        <v>1</v>
      </c>
    </row>
    <row r="3535" spans="1:23" ht="16.5" x14ac:dyDescent="0.3">
      <c r="A3535" t="s">
        <v>3599</v>
      </c>
      <c r="B3535" s="1">
        <v>45799</v>
      </c>
      <c r="C3535">
        <v>2025</v>
      </c>
      <c r="D3535" t="s">
        <v>688</v>
      </c>
      <c r="E3535" t="s">
        <v>885</v>
      </c>
      <c r="F3535" t="s">
        <v>50</v>
      </c>
      <c r="G3535" t="s">
        <v>51</v>
      </c>
      <c r="H3535" t="s">
        <v>38</v>
      </c>
      <c r="I3535" t="s">
        <v>42</v>
      </c>
      <c r="J3535" t="s">
        <v>46</v>
      </c>
      <c r="K3535" s="2">
        <v>6800</v>
      </c>
      <c r="L3535" s="2">
        <v>453000</v>
      </c>
      <c r="M3535">
        <v>180</v>
      </c>
      <c r="N3535" s="3">
        <v>0.69499999999999995</v>
      </c>
      <c r="O3535" t="s">
        <v>17</v>
      </c>
      <c r="P3535" t="s">
        <v>53</v>
      </c>
      <c r="Q3535">
        <v>0</v>
      </c>
      <c r="R3535">
        <v>1</v>
      </c>
      <c r="S3535" s="2">
        <v>0</v>
      </c>
      <c r="T3535" s="4"/>
      <c r="U3535">
        <v>17</v>
      </c>
      <c r="V3535">
        <v>0</v>
      </c>
      <c r="W3535">
        <v>1</v>
      </c>
    </row>
    <row r="3536" spans="1:23" ht="16.5" x14ac:dyDescent="0.3">
      <c r="A3536" t="s">
        <v>3600</v>
      </c>
      <c r="B3536" s="1">
        <v>45799</v>
      </c>
      <c r="C3536">
        <v>2025</v>
      </c>
      <c r="D3536" t="s">
        <v>688</v>
      </c>
      <c r="E3536" t="s">
        <v>885</v>
      </c>
      <c r="F3536" t="s">
        <v>26</v>
      </c>
      <c r="G3536" t="s">
        <v>45</v>
      </c>
      <c r="H3536" t="s">
        <v>38</v>
      </c>
      <c r="I3536" t="s">
        <v>39</v>
      </c>
      <c r="J3536" t="s">
        <v>35</v>
      </c>
      <c r="K3536" s="2">
        <v>4100</v>
      </c>
      <c r="L3536" s="2">
        <v>31500</v>
      </c>
      <c r="M3536">
        <v>48</v>
      </c>
      <c r="N3536" s="3">
        <v>0.40300000000000002</v>
      </c>
      <c r="O3536" t="s">
        <v>16</v>
      </c>
      <c r="Q3536">
        <v>1</v>
      </c>
      <c r="R3536">
        <v>0</v>
      </c>
      <c r="S3536" s="2">
        <v>28500</v>
      </c>
      <c r="T3536" s="4">
        <v>8.4599999999999995E-2</v>
      </c>
      <c r="U3536">
        <v>1</v>
      </c>
      <c r="V3536">
        <v>1</v>
      </c>
      <c r="W3536">
        <v>1</v>
      </c>
    </row>
    <row r="3537" spans="1:23" ht="16.5" x14ac:dyDescent="0.3">
      <c r="A3537" t="s">
        <v>3601</v>
      </c>
      <c r="B3537" s="1">
        <v>45799</v>
      </c>
      <c r="C3537">
        <v>2025</v>
      </c>
      <c r="D3537" t="s">
        <v>688</v>
      </c>
      <c r="E3537" t="s">
        <v>885</v>
      </c>
      <c r="F3537" t="s">
        <v>50</v>
      </c>
      <c r="G3537" t="s">
        <v>51</v>
      </c>
      <c r="H3537" t="s">
        <v>55</v>
      </c>
      <c r="I3537" t="s">
        <v>29</v>
      </c>
      <c r="J3537" t="s">
        <v>46</v>
      </c>
      <c r="K3537" s="2">
        <v>3850</v>
      </c>
      <c r="L3537" s="2">
        <v>175000</v>
      </c>
      <c r="M3537">
        <v>300</v>
      </c>
      <c r="N3537" s="3">
        <v>0.40799999999999997</v>
      </c>
      <c r="O3537" t="s">
        <v>17</v>
      </c>
      <c r="P3537" t="s">
        <v>48</v>
      </c>
      <c r="Q3537">
        <v>0</v>
      </c>
      <c r="R3537">
        <v>1</v>
      </c>
      <c r="S3537" s="2">
        <v>0</v>
      </c>
      <c r="T3537" s="4"/>
      <c r="U3537">
        <v>16</v>
      </c>
      <c r="V3537">
        <v>0</v>
      </c>
      <c r="W3537">
        <v>1</v>
      </c>
    </row>
    <row r="3538" spans="1:23" ht="16.5" x14ac:dyDescent="0.3">
      <c r="A3538" t="s">
        <v>3602</v>
      </c>
      <c r="B3538" s="1">
        <v>45800</v>
      </c>
      <c r="C3538">
        <v>2025</v>
      </c>
      <c r="D3538" t="s">
        <v>688</v>
      </c>
      <c r="E3538" t="s">
        <v>885</v>
      </c>
      <c r="F3538" t="s">
        <v>41</v>
      </c>
      <c r="G3538" t="s">
        <v>33</v>
      </c>
      <c r="H3538" t="s">
        <v>55</v>
      </c>
      <c r="I3538" t="s">
        <v>39</v>
      </c>
      <c r="J3538" t="s">
        <v>35</v>
      </c>
      <c r="K3538" s="2">
        <v>4900</v>
      </c>
      <c r="L3538" s="2">
        <v>51000</v>
      </c>
      <c r="M3538">
        <v>12</v>
      </c>
      <c r="N3538" s="3">
        <v>1.0209999999999999</v>
      </c>
      <c r="O3538" t="s">
        <v>17</v>
      </c>
      <c r="P3538" t="s">
        <v>53</v>
      </c>
      <c r="Q3538">
        <v>0</v>
      </c>
      <c r="R3538">
        <v>1</v>
      </c>
      <c r="S3538" s="2">
        <v>0</v>
      </c>
      <c r="T3538" s="4"/>
      <c r="U3538">
        <v>4</v>
      </c>
      <c r="V3538">
        <v>1</v>
      </c>
      <c r="W3538">
        <v>1</v>
      </c>
    </row>
    <row r="3539" spans="1:23" ht="16.5" x14ac:dyDescent="0.3">
      <c r="A3539" t="s">
        <v>3603</v>
      </c>
      <c r="B3539" s="1">
        <v>45800</v>
      </c>
      <c r="C3539">
        <v>2025</v>
      </c>
      <c r="D3539" t="s">
        <v>688</v>
      </c>
      <c r="E3539" t="s">
        <v>885</v>
      </c>
      <c r="F3539" t="s">
        <v>41</v>
      </c>
      <c r="G3539" t="s">
        <v>45</v>
      </c>
      <c r="H3539" t="s">
        <v>38</v>
      </c>
      <c r="I3539" t="s">
        <v>42</v>
      </c>
      <c r="J3539" t="s">
        <v>46</v>
      </c>
      <c r="K3539" s="2">
        <v>3850</v>
      </c>
      <c r="L3539" s="2">
        <v>120500</v>
      </c>
      <c r="M3539">
        <v>12</v>
      </c>
      <c r="N3539" s="3">
        <v>2.847</v>
      </c>
      <c r="O3539" t="s">
        <v>17</v>
      </c>
      <c r="P3539" t="s">
        <v>60</v>
      </c>
      <c r="Q3539">
        <v>0</v>
      </c>
      <c r="R3539">
        <v>1</v>
      </c>
      <c r="S3539" s="2">
        <v>0</v>
      </c>
      <c r="T3539" s="4"/>
      <c r="U3539">
        <v>14</v>
      </c>
      <c r="V3539">
        <v>0</v>
      </c>
      <c r="W3539">
        <v>1</v>
      </c>
    </row>
    <row r="3540" spans="1:23" ht="16.5" x14ac:dyDescent="0.3">
      <c r="A3540" t="s">
        <v>3604</v>
      </c>
      <c r="B3540" s="1">
        <v>45800</v>
      </c>
      <c r="C3540">
        <v>2025</v>
      </c>
      <c r="D3540" t="s">
        <v>688</v>
      </c>
      <c r="E3540" t="s">
        <v>885</v>
      </c>
      <c r="F3540" t="s">
        <v>37</v>
      </c>
      <c r="G3540" t="s">
        <v>45</v>
      </c>
      <c r="H3540" t="s">
        <v>38</v>
      </c>
      <c r="I3540" t="s">
        <v>42</v>
      </c>
      <c r="J3540" t="s">
        <v>52</v>
      </c>
      <c r="K3540" s="2">
        <v>8200</v>
      </c>
      <c r="L3540" s="2">
        <v>21000</v>
      </c>
      <c r="M3540">
        <v>24</v>
      </c>
      <c r="N3540" s="3">
        <v>0.251</v>
      </c>
      <c r="O3540" t="s">
        <v>16</v>
      </c>
      <c r="Q3540">
        <v>1</v>
      </c>
      <c r="R3540">
        <v>0</v>
      </c>
      <c r="S3540" s="2">
        <v>19000</v>
      </c>
      <c r="T3540" s="4">
        <v>0.1101</v>
      </c>
      <c r="U3540">
        <v>2</v>
      </c>
      <c r="V3540">
        <v>1</v>
      </c>
      <c r="W3540">
        <v>1</v>
      </c>
    </row>
    <row r="3541" spans="1:23" ht="16.5" x14ac:dyDescent="0.3">
      <c r="A3541" t="s">
        <v>3605</v>
      </c>
      <c r="B3541" s="1">
        <v>45800</v>
      </c>
      <c r="C3541">
        <v>2025</v>
      </c>
      <c r="D3541" t="s">
        <v>688</v>
      </c>
      <c r="E3541" t="s">
        <v>885</v>
      </c>
      <c r="F3541" t="s">
        <v>37</v>
      </c>
      <c r="G3541" t="s">
        <v>45</v>
      </c>
      <c r="H3541" t="s">
        <v>55</v>
      </c>
      <c r="I3541" t="s">
        <v>29</v>
      </c>
      <c r="J3541" t="s">
        <v>43</v>
      </c>
      <c r="K3541" s="2">
        <v>3450</v>
      </c>
      <c r="L3541" s="2">
        <v>7500</v>
      </c>
      <c r="M3541">
        <v>60</v>
      </c>
      <c r="N3541" s="3">
        <v>0.19600000000000001</v>
      </c>
      <c r="O3541" t="s">
        <v>17</v>
      </c>
      <c r="P3541" t="s">
        <v>31</v>
      </c>
      <c r="Q3541">
        <v>0</v>
      </c>
      <c r="R3541">
        <v>1</v>
      </c>
      <c r="S3541" s="2">
        <v>0</v>
      </c>
      <c r="T3541" s="4"/>
      <c r="U3541">
        <v>1</v>
      </c>
      <c r="V3541">
        <v>1</v>
      </c>
      <c r="W3541">
        <v>1</v>
      </c>
    </row>
    <row r="3542" spans="1:23" ht="16.5" x14ac:dyDescent="0.3">
      <c r="A3542" t="s">
        <v>3606</v>
      </c>
      <c r="B3542" s="1">
        <v>45800</v>
      </c>
      <c r="C3542">
        <v>2025</v>
      </c>
      <c r="D3542" t="s">
        <v>688</v>
      </c>
      <c r="E3542" t="s">
        <v>885</v>
      </c>
      <c r="F3542" t="s">
        <v>37</v>
      </c>
      <c r="G3542" t="s">
        <v>27</v>
      </c>
      <c r="H3542" t="s">
        <v>38</v>
      </c>
      <c r="I3542" t="s">
        <v>29</v>
      </c>
      <c r="J3542" t="s">
        <v>46</v>
      </c>
      <c r="K3542" s="2">
        <v>3450</v>
      </c>
      <c r="L3542" s="2">
        <v>13500</v>
      </c>
      <c r="M3542">
        <v>48</v>
      </c>
      <c r="N3542" s="3">
        <v>0.315</v>
      </c>
      <c r="O3542" t="s">
        <v>16</v>
      </c>
      <c r="Q3542">
        <v>1</v>
      </c>
      <c r="R3542">
        <v>0</v>
      </c>
      <c r="S3542" s="2">
        <v>13500</v>
      </c>
      <c r="T3542" s="4">
        <v>0.1082</v>
      </c>
      <c r="U3542">
        <v>4</v>
      </c>
      <c r="V3542">
        <v>0</v>
      </c>
      <c r="W3542">
        <v>1</v>
      </c>
    </row>
    <row r="3543" spans="1:23" ht="16.5" x14ac:dyDescent="0.3">
      <c r="A3543" t="s">
        <v>3607</v>
      </c>
      <c r="B3543" s="1">
        <v>45800</v>
      </c>
      <c r="C3543">
        <v>2025</v>
      </c>
      <c r="D3543" t="s">
        <v>688</v>
      </c>
      <c r="E3543" t="s">
        <v>885</v>
      </c>
      <c r="F3543" t="s">
        <v>41</v>
      </c>
      <c r="G3543" t="s">
        <v>33</v>
      </c>
      <c r="H3543" t="s">
        <v>64</v>
      </c>
      <c r="I3543" t="s">
        <v>39</v>
      </c>
      <c r="J3543" t="s">
        <v>35</v>
      </c>
      <c r="K3543" s="2">
        <v>7550</v>
      </c>
      <c r="L3543" s="2">
        <v>116500</v>
      </c>
      <c r="M3543">
        <v>24</v>
      </c>
      <c r="N3543" s="3">
        <v>0.86399999999999999</v>
      </c>
      <c r="O3543" t="s">
        <v>17</v>
      </c>
      <c r="P3543" t="s">
        <v>53</v>
      </c>
      <c r="Q3543">
        <v>0</v>
      </c>
      <c r="R3543">
        <v>1</v>
      </c>
      <c r="S3543" s="2">
        <v>0</v>
      </c>
      <c r="T3543" s="4"/>
      <c r="U3543">
        <v>5</v>
      </c>
      <c r="V3543">
        <v>1</v>
      </c>
      <c r="W3543">
        <v>1</v>
      </c>
    </row>
    <row r="3544" spans="1:23" ht="16.5" x14ac:dyDescent="0.3">
      <c r="A3544" t="s">
        <v>3608</v>
      </c>
      <c r="B3544" s="1">
        <v>45800</v>
      </c>
      <c r="C3544">
        <v>2025</v>
      </c>
      <c r="D3544" t="s">
        <v>688</v>
      </c>
      <c r="E3544" t="s">
        <v>885</v>
      </c>
      <c r="F3544" t="s">
        <v>37</v>
      </c>
      <c r="G3544" t="s">
        <v>33</v>
      </c>
      <c r="H3544" t="s">
        <v>28</v>
      </c>
      <c r="I3544" t="s">
        <v>42</v>
      </c>
      <c r="J3544" t="s">
        <v>30</v>
      </c>
      <c r="K3544" s="2">
        <v>5500</v>
      </c>
      <c r="L3544" s="2">
        <v>7000</v>
      </c>
      <c r="M3544">
        <v>48</v>
      </c>
      <c r="N3544" s="3">
        <v>0.159</v>
      </c>
      <c r="O3544" t="s">
        <v>17</v>
      </c>
      <c r="P3544" t="s">
        <v>31</v>
      </c>
      <c r="Q3544">
        <v>0</v>
      </c>
      <c r="R3544">
        <v>1</v>
      </c>
      <c r="S3544" s="2">
        <v>0</v>
      </c>
      <c r="T3544" s="4"/>
      <c r="U3544">
        <v>1</v>
      </c>
      <c r="V3544">
        <v>1</v>
      </c>
      <c r="W3544">
        <v>1</v>
      </c>
    </row>
    <row r="3545" spans="1:23" ht="16.5" x14ac:dyDescent="0.3">
      <c r="A3545" t="s">
        <v>3609</v>
      </c>
      <c r="B3545" s="1">
        <v>45800</v>
      </c>
      <c r="C3545">
        <v>2025</v>
      </c>
      <c r="D3545" t="s">
        <v>688</v>
      </c>
      <c r="E3545" t="s">
        <v>885</v>
      </c>
      <c r="F3545" t="s">
        <v>37</v>
      </c>
      <c r="G3545" t="s">
        <v>45</v>
      </c>
      <c r="H3545" t="s">
        <v>55</v>
      </c>
      <c r="I3545" t="s">
        <v>39</v>
      </c>
      <c r="J3545" t="s">
        <v>43</v>
      </c>
      <c r="K3545" s="2">
        <v>3750</v>
      </c>
      <c r="L3545" s="2">
        <v>15000</v>
      </c>
      <c r="M3545">
        <v>60</v>
      </c>
      <c r="N3545" s="3">
        <v>0.156</v>
      </c>
      <c r="O3545" t="s">
        <v>17</v>
      </c>
      <c r="P3545" t="s">
        <v>31</v>
      </c>
      <c r="Q3545">
        <v>0</v>
      </c>
      <c r="R3545">
        <v>1</v>
      </c>
      <c r="S3545" s="2">
        <v>0</v>
      </c>
      <c r="T3545" s="4"/>
      <c r="U3545">
        <v>2</v>
      </c>
      <c r="V3545">
        <v>1</v>
      </c>
      <c r="W3545">
        <v>1</v>
      </c>
    </row>
    <row r="3546" spans="1:23" ht="16.5" x14ac:dyDescent="0.3">
      <c r="A3546" t="s">
        <v>3610</v>
      </c>
      <c r="B3546" s="1">
        <v>45800</v>
      </c>
      <c r="C3546">
        <v>2025</v>
      </c>
      <c r="D3546" t="s">
        <v>688</v>
      </c>
      <c r="E3546" t="s">
        <v>885</v>
      </c>
      <c r="F3546" t="s">
        <v>37</v>
      </c>
      <c r="G3546" t="s">
        <v>51</v>
      </c>
      <c r="H3546" t="s">
        <v>34</v>
      </c>
      <c r="I3546" t="s">
        <v>29</v>
      </c>
      <c r="J3546" t="s">
        <v>35</v>
      </c>
      <c r="K3546" s="2">
        <v>3300</v>
      </c>
      <c r="L3546" s="2">
        <v>11000</v>
      </c>
      <c r="M3546">
        <v>24</v>
      </c>
      <c r="N3546" s="3">
        <v>0.34399999999999997</v>
      </c>
      <c r="O3546" t="s">
        <v>16</v>
      </c>
      <c r="Q3546">
        <v>1</v>
      </c>
      <c r="R3546">
        <v>0</v>
      </c>
      <c r="S3546" s="2">
        <v>11000</v>
      </c>
      <c r="T3546" s="4">
        <v>0.1221</v>
      </c>
      <c r="U3546">
        <v>3</v>
      </c>
      <c r="V3546">
        <v>1</v>
      </c>
      <c r="W3546">
        <v>1</v>
      </c>
    </row>
    <row r="3547" spans="1:23" ht="16.5" x14ac:dyDescent="0.3">
      <c r="A3547" t="s">
        <v>3611</v>
      </c>
      <c r="B3547" s="1">
        <v>45800</v>
      </c>
      <c r="C3547">
        <v>2025</v>
      </c>
      <c r="D3547" t="s">
        <v>688</v>
      </c>
      <c r="E3547" t="s">
        <v>885</v>
      </c>
      <c r="F3547" t="s">
        <v>50</v>
      </c>
      <c r="G3547" t="s">
        <v>27</v>
      </c>
      <c r="H3547" t="s">
        <v>34</v>
      </c>
      <c r="I3547" t="s">
        <v>39</v>
      </c>
      <c r="J3547" t="s">
        <v>35</v>
      </c>
      <c r="K3547" s="2">
        <v>4500</v>
      </c>
      <c r="L3547" s="2">
        <v>426000</v>
      </c>
      <c r="M3547">
        <v>240</v>
      </c>
      <c r="N3547" s="3">
        <v>0.74</v>
      </c>
      <c r="O3547" t="s">
        <v>16</v>
      </c>
      <c r="Q3547">
        <v>1</v>
      </c>
      <c r="R3547">
        <v>0</v>
      </c>
      <c r="S3547" s="2">
        <v>383500</v>
      </c>
      <c r="T3547" s="4">
        <v>6.3600000000000004E-2</v>
      </c>
      <c r="U3547">
        <v>10</v>
      </c>
      <c r="V3547">
        <v>1</v>
      </c>
      <c r="W3547">
        <v>1</v>
      </c>
    </row>
    <row r="3548" spans="1:23" ht="16.5" x14ac:dyDescent="0.3">
      <c r="A3548" t="s">
        <v>3612</v>
      </c>
      <c r="B3548" s="1">
        <v>45800</v>
      </c>
      <c r="C3548">
        <v>2025</v>
      </c>
      <c r="D3548" t="s">
        <v>688</v>
      </c>
      <c r="E3548" t="s">
        <v>885</v>
      </c>
      <c r="F3548" t="s">
        <v>50</v>
      </c>
      <c r="G3548" t="s">
        <v>27</v>
      </c>
      <c r="H3548" t="s">
        <v>28</v>
      </c>
      <c r="I3548" t="s">
        <v>29</v>
      </c>
      <c r="J3548" t="s">
        <v>43</v>
      </c>
      <c r="K3548" s="2">
        <v>8300</v>
      </c>
      <c r="L3548" s="2">
        <v>236500</v>
      </c>
      <c r="M3548">
        <v>240</v>
      </c>
      <c r="N3548" s="3">
        <v>0.42799999999999999</v>
      </c>
      <c r="O3548" t="s">
        <v>17</v>
      </c>
      <c r="P3548" t="s">
        <v>31</v>
      </c>
      <c r="Q3548">
        <v>0</v>
      </c>
      <c r="R3548">
        <v>1</v>
      </c>
      <c r="S3548" s="2">
        <v>0</v>
      </c>
      <c r="T3548" s="4"/>
      <c r="U3548">
        <v>23</v>
      </c>
      <c r="V3548">
        <v>0</v>
      </c>
      <c r="W3548">
        <v>1</v>
      </c>
    </row>
    <row r="3549" spans="1:23" ht="16.5" x14ac:dyDescent="0.3">
      <c r="A3549" t="s">
        <v>3613</v>
      </c>
      <c r="B3549" s="1">
        <v>45801</v>
      </c>
      <c r="C3549">
        <v>2025</v>
      </c>
      <c r="D3549" t="s">
        <v>688</v>
      </c>
      <c r="E3549" t="s">
        <v>885</v>
      </c>
      <c r="F3549" t="s">
        <v>26</v>
      </c>
      <c r="G3549" t="s">
        <v>51</v>
      </c>
      <c r="H3549" t="s">
        <v>38</v>
      </c>
      <c r="I3549" t="s">
        <v>29</v>
      </c>
      <c r="J3549" t="s">
        <v>52</v>
      </c>
      <c r="K3549" s="2">
        <v>8150</v>
      </c>
      <c r="L3549" s="2">
        <v>20500</v>
      </c>
      <c r="M3549">
        <v>48</v>
      </c>
      <c r="N3549" s="3">
        <v>0.28499999999999998</v>
      </c>
      <c r="O3549" t="s">
        <v>17</v>
      </c>
      <c r="P3549" t="s">
        <v>65</v>
      </c>
      <c r="Q3549">
        <v>0</v>
      </c>
      <c r="R3549">
        <v>1</v>
      </c>
      <c r="S3549" s="2">
        <v>0</v>
      </c>
      <c r="T3549" s="4"/>
      <c r="U3549">
        <v>8</v>
      </c>
      <c r="V3549">
        <v>0</v>
      </c>
      <c r="W3549">
        <v>1</v>
      </c>
    </row>
    <row r="3550" spans="1:23" ht="16.5" x14ac:dyDescent="0.3">
      <c r="A3550" t="s">
        <v>3614</v>
      </c>
      <c r="B3550" s="1">
        <v>45801</v>
      </c>
      <c r="C3550">
        <v>2025</v>
      </c>
      <c r="D3550" t="s">
        <v>688</v>
      </c>
      <c r="E3550" t="s">
        <v>885</v>
      </c>
      <c r="F3550" t="s">
        <v>41</v>
      </c>
      <c r="G3550" t="s">
        <v>33</v>
      </c>
      <c r="H3550" t="s">
        <v>38</v>
      </c>
      <c r="I3550" t="s">
        <v>29</v>
      </c>
      <c r="J3550" t="s">
        <v>35</v>
      </c>
      <c r="K3550" s="2">
        <v>8700</v>
      </c>
      <c r="L3550" s="2">
        <v>67000</v>
      </c>
      <c r="M3550">
        <v>24</v>
      </c>
      <c r="N3550" s="3">
        <v>0.432</v>
      </c>
      <c r="O3550" t="s">
        <v>17</v>
      </c>
      <c r="P3550" t="s">
        <v>48</v>
      </c>
      <c r="Q3550">
        <v>0</v>
      </c>
      <c r="R3550">
        <v>1</v>
      </c>
      <c r="S3550" s="2">
        <v>0</v>
      </c>
      <c r="T3550" s="4"/>
      <c r="U3550">
        <v>4</v>
      </c>
      <c r="V3550">
        <v>1</v>
      </c>
      <c r="W3550">
        <v>1</v>
      </c>
    </row>
    <row r="3551" spans="1:23" ht="16.5" x14ac:dyDescent="0.3">
      <c r="A3551" t="s">
        <v>3615</v>
      </c>
      <c r="B3551" s="1">
        <v>45801</v>
      </c>
      <c r="C3551">
        <v>2025</v>
      </c>
      <c r="D3551" t="s">
        <v>688</v>
      </c>
      <c r="E3551" t="s">
        <v>885</v>
      </c>
      <c r="F3551" t="s">
        <v>37</v>
      </c>
      <c r="G3551" t="s">
        <v>45</v>
      </c>
      <c r="H3551" t="s">
        <v>38</v>
      </c>
      <c r="I3551" t="s">
        <v>42</v>
      </c>
      <c r="J3551" t="s">
        <v>46</v>
      </c>
      <c r="K3551" s="2">
        <v>7100</v>
      </c>
      <c r="L3551" s="2">
        <v>13500</v>
      </c>
      <c r="M3551">
        <v>24</v>
      </c>
      <c r="N3551" s="3">
        <v>0.27</v>
      </c>
      <c r="O3551" t="s">
        <v>16</v>
      </c>
      <c r="Q3551">
        <v>1</v>
      </c>
      <c r="R3551">
        <v>0</v>
      </c>
      <c r="S3551" s="2">
        <v>13500</v>
      </c>
      <c r="T3551" s="4">
        <v>0.10630000000000001</v>
      </c>
      <c r="U3551">
        <v>3</v>
      </c>
      <c r="V3551">
        <v>1</v>
      </c>
      <c r="W3551">
        <v>1</v>
      </c>
    </row>
    <row r="3552" spans="1:23" ht="16.5" x14ac:dyDescent="0.3">
      <c r="A3552" t="s">
        <v>3616</v>
      </c>
      <c r="B3552" s="1">
        <v>45802</v>
      </c>
      <c r="C3552">
        <v>2025</v>
      </c>
      <c r="D3552" t="s">
        <v>688</v>
      </c>
      <c r="E3552" t="s">
        <v>885</v>
      </c>
      <c r="F3552" t="s">
        <v>37</v>
      </c>
      <c r="G3552" t="s">
        <v>51</v>
      </c>
      <c r="H3552" t="s">
        <v>38</v>
      </c>
      <c r="I3552" t="s">
        <v>39</v>
      </c>
      <c r="J3552" t="s">
        <v>30</v>
      </c>
      <c r="K3552" s="2">
        <v>5950</v>
      </c>
      <c r="L3552" s="2">
        <v>24500</v>
      </c>
      <c r="M3552">
        <v>12</v>
      </c>
      <c r="N3552" s="3">
        <v>0.58299999999999996</v>
      </c>
      <c r="O3552" t="s">
        <v>17</v>
      </c>
      <c r="P3552" t="s">
        <v>31</v>
      </c>
      <c r="Q3552">
        <v>0</v>
      </c>
      <c r="R3552">
        <v>1</v>
      </c>
      <c r="S3552" s="2">
        <v>0</v>
      </c>
      <c r="T3552" s="4"/>
      <c r="U3552">
        <v>4</v>
      </c>
      <c r="V3552">
        <v>0</v>
      </c>
      <c r="W3552">
        <v>1</v>
      </c>
    </row>
    <row r="3553" spans="1:23" ht="16.5" x14ac:dyDescent="0.3">
      <c r="A3553" t="s">
        <v>3617</v>
      </c>
      <c r="B3553" s="1">
        <v>45802</v>
      </c>
      <c r="C3553">
        <v>2025</v>
      </c>
      <c r="D3553" t="s">
        <v>688</v>
      </c>
      <c r="E3553" t="s">
        <v>885</v>
      </c>
      <c r="F3553" t="s">
        <v>50</v>
      </c>
      <c r="G3553" t="s">
        <v>45</v>
      </c>
      <c r="H3553" t="s">
        <v>34</v>
      </c>
      <c r="I3553" t="s">
        <v>39</v>
      </c>
      <c r="J3553" t="s">
        <v>30</v>
      </c>
      <c r="K3553" s="2">
        <v>4550</v>
      </c>
      <c r="L3553" s="2">
        <v>496000</v>
      </c>
      <c r="M3553">
        <v>240</v>
      </c>
      <c r="N3553" s="3">
        <v>0.77400000000000002</v>
      </c>
      <c r="O3553" t="s">
        <v>17</v>
      </c>
      <c r="P3553" t="s">
        <v>31</v>
      </c>
      <c r="Q3553">
        <v>0</v>
      </c>
      <c r="R3553">
        <v>1</v>
      </c>
      <c r="S3553" s="2">
        <v>0</v>
      </c>
      <c r="T3553" s="4"/>
      <c r="U3553">
        <v>9</v>
      </c>
      <c r="V3553">
        <v>1</v>
      </c>
      <c r="W3553">
        <v>1</v>
      </c>
    </row>
    <row r="3554" spans="1:23" ht="16.5" x14ac:dyDescent="0.3">
      <c r="A3554" t="s">
        <v>3618</v>
      </c>
      <c r="B3554" s="1">
        <v>45802</v>
      </c>
      <c r="C3554">
        <v>2025</v>
      </c>
      <c r="D3554" t="s">
        <v>688</v>
      </c>
      <c r="E3554" t="s">
        <v>885</v>
      </c>
      <c r="F3554" t="s">
        <v>37</v>
      </c>
      <c r="G3554" t="s">
        <v>27</v>
      </c>
      <c r="H3554" t="s">
        <v>28</v>
      </c>
      <c r="I3554" t="s">
        <v>39</v>
      </c>
      <c r="J3554" t="s">
        <v>35</v>
      </c>
      <c r="K3554" s="2">
        <v>6350</v>
      </c>
      <c r="L3554" s="2">
        <v>10000</v>
      </c>
      <c r="M3554">
        <v>36</v>
      </c>
      <c r="N3554" s="3">
        <v>0.16600000000000001</v>
      </c>
      <c r="O3554" t="s">
        <v>17</v>
      </c>
      <c r="P3554" t="s">
        <v>60</v>
      </c>
      <c r="Q3554">
        <v>0</v>
      </c>
      <c r="R3554">
        <v>1</v>
      </c>
      <c r="S3554" s="2">
        <v>0</v>
      </c>
      <c r="T3554" s="4"/>
      <c r="U3554">
        <v>7</v>
      </c>
      <c r="V3554">
        <v>0</v>
      </c>
      <c r="W3554">
        <v>1</v>
      </c>
    </row>
    <row r="3555" spans="1:23" ht="16.5" x14ac:dyDescent="0.3">
      <c r="A3555" t="s">
        <v>3619</v>
      </c>
      <c r="B3555" s="1">
        <v>45802</v>
      </c>
      <c r="C3555">
        <v>2025</v>
      </c>
      <c r="D3555" t="s">
        <v>688</v>
      </c>
      <c r="E3555" t="s">
        <v>885</v>
      </c>
      <c r="F3555" t="s">
        <v>26</v>
      </c>
      <c r="G3555" t="s">
        <v>33</v>
      </c>
      <c r="H3555" t="s">
        <v>55</v>
      </c>
      <c r="I3555" t="s">
        <v>29</v>
      </c>
      <c r="J3555" t="s">
        <v>35</v>
      </c>
      <c r="K3555" s="2">
        <v>5200</v>
      </c>
      <c r="L3555" s="2">
        <v>35000</v>
      </c>
      <c r="M3555">
        <v>48</v>
      </c>
      <c r="N3555" s="3">
        <v>0.249</v>
      </c>
      <c r="O3555" t="s">
        <v>16</v>
      </c>
      <c r="Q3555">
        <v>1</v>
      </c>
      <c r="R3555">
        <v>0</v>
      </c>
      <c r="S3555" s="2">
        <v>35000</v>
      </c>
      <c r="T3555" s="4">
        <v>7.46E-2</v>
      </c>
      <c r="U3555">
        <v>3</v>
      </c>
      <c r="V3555">
        <v>1</v>
      </c>
      <c r="W3555">
        <v>1</v>
      </c>
    </row>
    <row r="3556" spans="1:23" ht="16.5" x14ac:dyDescent="0.3">
      <c r="A3556" t="s">
        <v>3620</v>
      </c>
      <c r="B3556" s="1">
        <v>45803</v>
      </c>
      <c r="C3556">
        <v>2025</v>
      </c>
      <c r="D3556" t="s">
        <v>688</v>
      </c>
      <c r="E3556" t="s">
        <v>885</v>
      </c>
      <c r="F3556" t="s">
        <v>37</v>
      </c>
      <c r="G3556" t="s">
        <v>51</v>
      </c>
      <c r="H3556" t="s">
        <v>38</v>
      </c>
      <c r="I3556" t="s">
        <v>42</v>
      </c>
      <c r="J3556" t="s">
        <v>35</v>
      </c>
      <c r="K3556" s="2">
        <v>2300</v>
      </c>
      <c r="L3556" s="2">
        <v>37000</v>
      </c>
      <c r="M3556">
        <v>36</v>
      </c>
      <c r="N3556" s="3">
        <v>0.60599999999999998</v>
      </c>
      <c r="O3556" t="s">
        <v>17</v>
      </c>
      <c r="P3556" t="s">
        <v>53</v>
      </c>
      <c r="Q3556">
        <v>0</v>
      </c>
      <c r="R3556">
        <v>1</v>
      </c>
      <c r="S3556" s="2">
        <v>0</v>
      </c>
      <c r="T3556" s="4"/>
      <c r="U3556">
        <v>3</v>
      </c>
      <c r="V3556">
        <v>1</v>
      </c>
      <c r="W3556">
        <v>1</v>
      </c>
    </row>
    <row r="3557" spans="1:23" ht="16.5" x14ac:dyDescent="0.3">
      <c r="A3557" t="s">
        <v>3621</v>
      </c>
      <c r="B3557" s="1">
        <v>45803</v>
      </c>
      <c r="C3557">
        <v>2025</v>
      </c>
      <c r="D3557" t="s">
        <v>688</v>
      </c>
      <c r="E3557" t="s">
        <v>885</v>
      </c>
      <c r="F3557" t="s">
        <v>26</v>
      </c>
      <c r="G3557" t="s">
        <v>33</v>
      </c>
      <c r="H3557" t="s">
        <v>38</v>
      </c>
      <c r="I3557" t="s">
        <v>29</v>
      </c>
      <c r="J3557" t="s">
        <v>30</v>
      </c>
      <c r="K3557" s="2">
        <v>3350</v>
      </c>
      <c r="L3557" s="2">
        <v>46000</v>
      </c>
      <c r="M3557">
        <v>36</v>
      </c>
      <c r="N3557" s="3">
        <v>0.65400000000000003</v>
      </c>
      <c r="O3557" t="s">
        <v>17</v>
      </c>
      <c r="P3557" t="s">
        <v>31</v>
      </c>
      <c r="Q3557">
        <v>0</v>
      </c>
      <c r="R3557">
        <v>1</v>
      </c>
      <c r="S3557" s="2">
        <v>0</v>
      </c>
      <c r="T3557" s="4"/>
      <c r="U3557">
        <v>2</v>
      </c>
      <c r="V3557">
        <v>1</v>
      </c>
      <c r="W3557">
        <v>1</v>
      </c>
    </row>
    <row r="3558" spans="1:23" ht="16.5" x14ac:dyDescent="0.3">
      <c r="A3558" t="s">
        <v>3622</v>
      </c>
      <c r="B3558" s="1">
        <v>45803</v>
      </c>
      <c r="C3558">
        <v>2025</v>
      </c>
      <c r="D3558" t="s">
        <v>688</v>
      </c>
      <c r="E3558" t="s">
        <v>885</v>
      </c>
      <c r="F3558" t="s">
        <v>50</v>
      </c>
      <c r="G3558" t="s">
        <v>45</v>
      </c>
      <c r="H3558" t="s">
        <v>38</v>
      </c>
      <c r="I3558" t="s">
        <v>39</v>
      </c>
      <c r="J3558" t="s">
        <v>46</v>
      </c>
      <c r="K3558" s="2">
        <v>7400</v>
      </c>
      <c r="L3558" s="2">
        <v>471500</v>
      </c>
      <c r="M3558">
        <v>240</v>
      </c>
      <c r="N3558" s="3">
        <v>0.64900000000000002</v>
      </c>
      <c r="O3558" t="s">
        <v>16</v>
      </c>
      <c r="Q3558">
        <v>1</v>
      </c>
      <c r="R3558">
        <v>0</v>
      </c>
      <c r="S3558" s="2">
        <v>377000</v>
      </c>
      <c r="T3558" s="4">
        <v>4.4999999999999998E-2</v>
      </c>
      <c r="U3558">
        <v>6</v>
      </c>
      <c r="V3558">
        <v>1</v>
      </c>
      <c r="W3558">
        <v>1</v>
      </c>
    </row>
    <row r="3559" spans="1:23" ht="16.5" x14ac:dyDescent="0.3">
      <c r="A3559" t="s">
        <v>3623</v>
      </c>
      <c r="B3559" s="1">
        <v>45803</v>
      </c>
      <c r="C3559">
        <v>2025</v>
      </c>
      <c r="D3559" t="s">
        <v>688</v>
      </c>
      <c r="E3559" t="s">
        <v>885</v>
      </c>
      <c r="F3559" t="s">
        <v>37</v>
      </c>
      <c r="G3559" t="s">
        <v>51</v>
      </c>
      <c r="H3559" t="s">
        <v>55</v>
      </c>
      <c r="I3559" t="s">
        <v>29</v>
      </c>
      <c r="J3559" t="s">
        <v>43</v>
      </c>
      <c r="K3559" s="2">
        <v>7100</v>
      </c>
      <c r="L3559" s="2">
        <v>43500</v>
      </c>
      <c r="M3559">
        <v>48</v>
      </c>
      <c r="N3559" s="3">
        <v>0.217</v>
      </c>
      <c r="O3559" t="s">
        <v>16</v>
      </c>
      <c r="Q3559">
        <v>1</v>
      </c>
      <c r="R3559">
        <v>0</v>
      </c>
      <c r="S3559" s="2">
        <v>35000</v>
      </c>
      <c r="T3559" s="4">
        <v>0.1578</v>
      </c>
      <c r="U3559">
        <v>8</v>
      </c>
      <c r="V3559">
        <v>0</v>
      </c>
      <c r="W3559">
        <v>1</v>
      </c>
    </row>
    <row r="3560" spans="1:23" ht="16.5" x14ac:dyDescent="0.3">
      <c r="A3560" t="s">
        <v>3624</v>
      </c>
      <c r="B3560" s="1">
        <v>45803</v>
      </c>
      <c r="C3560">
        <v>2025</v>
      </c>
      <c r="D3560" t="s">
        <v>688</v>
      </c>
      <c r="E3560" t="s">
        <v>885</v>
      </c>
      <c r="F3560" t="s">
        <v>37</v>
      </c>
      <c r="G3560" t="s">
        <v>45</v>
      </c>
      <c r="H3560" t="s">
        <v>38</v>
      </c>
      <c r="I3560" t="s">
        <v>42</v>
      </c>
      <c r="J3560" t="s">
        <v>30</v>
      </c>
      <c r="K3560" s="2">
        <v>6550</v>
      </c>
      <c r="L3560" s="2">
        <v>27500</v>
      </c>
      <c r="M3560">
        <v>60</v>
      </c>
      <c r="N3560" s="3">
        <v>0.33500000000000002</v>
      </c>
      <c r="O3560" t="s">
        <v>16</v>
      </c>
      <c r="Q3560">
        <v>1</v>
      </c>
      <c r="R3560">
        <v>0</v>
      </c>
      <c r="S3560" s="2">
        <v>25000</v>
      </c>
      <c r="T3560" s="4">
        <v>0.14319999999999999</v>
      </c>
      <c r="U3560">
        <v>1</v>
      </c>
      <c r="V3560">
        <v>1</v>
      </c>
      <c r="W3560">
        <v>1</v>
      </c>
    </row>
    <row r="3561" spans="1:23" ht="16.5" x14ac:dyDescent="0.3">
      <c r="A3561" t="s">
        <v>3625</v>
      </c>
      <c r="B3561" s="1">
        <v>45803</v>
      </c>
      <c r="C3561">
        <v>2025</v>
      </c>
      <c r="D3561" t="s">
        <v>688</v>
      </c>
      <c r="E3561" t="s">
        <v>885</v>
      </c>
      <c r="F3561" t="s">
        <v>26</v>
      </c>
      <c r="G3561" t="s">
        <v>33</v>
      </c>
      <c r="H3561" t="s">
        <v>34</v>
      </c>
      <c r="I3561" t="s">
        <v>29</v>
      </c>
      <c r="J3561" t="s">
        <v>46</v>
      </c>
      <c r="K3561" s="2">
        <v>6650</v>
      </c>
      <c r="L3561" s="2">
        <v>25500</v>
      </c>
      <c r="M3561">
        <v>48</v>
      </c>
      <c r="N3561" s="3">
        <v>0.21299999999999999</v>
      </c>
      <c r="O3561" t="s">
        <v>16</v>
      </c>
      <c r="Q3561">
        <v>1</v>
      </c>
      <c r="R3561">
        <v>0</v>
      </c>
      <c r="S3561" s="2">
        <v>25500</v>
      </c>
      <c r="T3561" s="4">
        <v>6.6699999999999995E-2</v>
      </c>
      <c r="U3561">
        <v>2</v>
      </c>
      <c r="V3561">
        <v>1</v>
      </c>
      <c r="W3561">
        <v>1</v>
      </c>
    </row>
    <row r="3562" spans="1:23" ht="16.5" x14ac:dyDescent="0.3">
      <c r="A3562" t="s">
        <v>3626</v>
      </c>
      <c r="B3562" s="1">
        <v>45803</v>
      </c>
      <c r="C3562">
        <v>2025</v>
      </c>
      <c r="D3562" t="s">
        <v>688</v>
      </c>
      <c r="E3562" t="s">
        <v>885</v>
      </c>
      <c r="F3562" t="s">
        <v>37</v>
      </c>
      <c r="G3562" t="s">
        <v>45</v>
      </c>
      <c r="H3562" t="s">
        <v>55</v>
      </c>
      <c r="I3562" t="s">
        <v>39</v>
      </c>
      <c r="J3562" t="s">
        <v>30</v>
      </c>
      <c r="K3562" s="2">
        <v>6200</v>
      </c>
      <c r="L3562" s="2">
        <v>11500</v>
      </c>
      <c r="M3562">
        <v>48</v>
      </c>
      <c r="N3562" s="3">
        <v>0.19800000000000001</v>
      </c>
      <c r="O3562" t="s">
        <v>17</v>
      </c>
      <c r="P3562" t="s">
        <v>31</v>
      </c>
      <c r="Q3562">
        <v>0</v>
      </c>
      <c r="R3562">
        <v>1</v>
      </c>
      <c r="S3562" s="2">
        <v>0</v>
      </c>
      <c r="T3562" s="4"/>
      <c r="U3562">
        <v>3</v>
      </c>
      <c r="V3562">
        <v>1</v>
      </c>
      <c r="W3562">
        <v>1</v>
      </c>
    </row>
    <row r="3563" spans="1:23" ht="16.5" x14ac:dyDescent="0.3">
      <c r="A3563" t="s">
        <v>3627</v>
      </c>
      <c r="B3563" s="1">
        <v>45803</v>
      </c>
      <c r="C3563">
        <v>2025</v>
      </c>
      <c r="D3563" t="s">
        <v>688</v>
      </c>
      <c r="E3563" t="s">
        <v>885</v>
      </c>
      <c r="F3563" t="s">
        <v>37</v>
      </c>
      <c r="G3563" t="s">
        <v>27</v>
      </c>
      <c r="H3563" t="s">
        <v>64</v>
      </c>
      <c r="I3563" t="s">
        <v>42</v>
      </c>
      <c r="J3563" t="s">
        <v>52</v>
      </c>
      <c r="K3563" s="2">
        <v>9550</v>
      </c>
      <c r="L3563" s="2">
        <v>10000</v>
      </c>
      <c r="M3563">
        <v>24</v>
      </c>
      <c r="N3563" s="3">
        <v>0.20399999999999999</v>
      </c>
      <c r="O3563" t="s">
        <v>16</v>
      </c>
      <c r="Q3563">
        <v>1</v>
      </c>
      <c r="R3563">
        <v>0</v>
      </c>
      <c r="S3563" s="2">
        <v>10000</v>
      </c>
      <c r="T3563" s="4">
        <v>0.11509999999999999</v>
      </c>
      <c r="U3563">
        <v>2</v>
      </c>
      <c r="V3563">
        <v>1</v>
      </c>
      <c r="W3563">
        <v>1</v>
      </c>
    </row>
    <row r="3564" spans="1:23" ht="16.5" x14ac:dyDescent="0.3">
      <c r="A3564" t="s">
        <v>3628</v>
      </c>
      <c r="B3564" s="1">
        <v>45803</v>
      </c>
      <c r="C3564">
        <v>2025</v>
      </c>
      <c r="D3564" t="s">
        <v>688</v>
      </c>
      <c r="E3564" t="s">
        <v>885</v>
      </c>
      <c r="F3564" t="s">
        <v>37</v>
      </c>
      <c r="G3564" t="s">
        <v>51</v>
      </c>
      <c r="H3564" t="s">
        <v>38</v>
      </c>
      <c r="I3564" t="s">
        <v>29</v>
      </c>
      <c r="J3564" t="s">
        <v>43</v>
      </c>
      <c r="K3564" s="2">
        <v>6800</v>
      </c>
      <c r="L3564" s="2">
        <v>16000</v>
      </c>
      <c r="M3564">
        <v>24</v>
      </c>
      <c r="N3564" s="3">
        <v>0.22</v>
      </c>
      <c r="O3564" t="s">
        <v>17</v>
      </c>
      <c r="P3564" t="s">
        <v>31</v>
      </c>
      <c r="Q3564">
        <v>0</v>
      </c>
      <c r="R3564">
        <v>1</v>
      </c>
      <c r="S3564" s="2">
        <v>0</v>
      </c>
      <c r="T3564" s="4"/>
      <c r="U3564">
        <v>7</v>
      </c>
      <c r="V3564">
        <v>0</v>
      </c>
      <c r="W3564">
        <v>1</v>
      </c>
    </row>
    <row r="3565" spans="1:23" ht="16.5" x14ac:dyDescent="0.3">
      <c r="A3565" t="s">
        <v>3629</v>
      </c>
      <c r="B3565" s="1">
        <v>45803</v>
      </c>
      <c r="C3565">
        <v>2025</v>
      </c>
      <c r="D3565" t="s">
        <v>688</v>
      </c>
      <c r="E3565" t="s">
        <v>885</v>
      </c>
      <c r="F3565" t="s">
        <v>41</v>
      </c>
      <c r="G3565" t="s">
        <v>27</v>
      </c>
      <c r="H3565" t="s">
        <v>38</v>
      </c>
      <c r="I3565" t="s">
        <v>29</v>
      </c>
      <c r="J3565" t="s">
        <v>35</v>
      </c>
      <c r="K3565" s="2">
        <v>5750</v>
      </c>
      <c r="L3565" s="2">
        <v>99500</v>
      </c>
      <c r="M3565">
        <v>36</v>
      </c>
      <c r="N3565" s="3">
        <v>0.77400000000000002</v>
      </c>
      <c r="O3565" t="s">
        <v>17</v>
      </c>
      <c r="P3565" t="s">
        <v>53</v>
      </c>
      <c r="Q3565">
        <v>0</v>
      </c>
      <c r="R3565">
        <v>1</v>
      </c>
      <c r="S3565" s="2">
        <v>0</v>
      </c>
      <c r="T3565" s="4"/>
      <c r="U3565">
        <v>6</v>
      </c>
      <c r="V3565">
        <v>1</v>
      </c>
      <c r="W3565">
        <v>1</v>
      </c>
    </row>
    <row r="3566" spans="1:23" ht="16.5" x14ac:dyDescent="0.3">
      <c r="A3566" t="s">
        <v>3630</v>
      </c>
      <c r="B3566" s="1">
        <v>45804</v>
      </c>
      <c r="C3566">
        <v>2025</v>
      </c>
      <c r="D3566" t="s">
        <v>688</v>
      </c>
      <c r="E3566" t="s">
        <v>885</v>
      </c>
      <c r="F3566" t="s">
        <v>26</v>
      </c>
      <c r="G3566" t="s">
        <v>33</v>
      </c>
      <c r="H3566" t="s">
        <v>28</v>
      </c>
      <c r="I3566" t="s">
        <v>29</v>
      </c>
      <c r="J3566" t="s">
        <v>30</v>
      </c>
      <c r="K3566" s="2">
        <v>2700</v>
      </c>
      <c r="L3566" s="2">
        <v>20000</v>
      </c>
      <c r="M3566">
        <v>60</v>
      </c>
      <c r="N3566" s="3">
        <v>0.20200000000000001</v>
      </c>
      <c r="O3566" t="s">
        <v>17</v>
      </c>
      <c r="P3566" t="s">
        <v>31</v>
      </c>
      <c r="Q3566">
        <v>0</v>
      </c>
      <c r="R3566">
        <v>1</v>
      </c>
      <c r="S3566" s="2">
        <v>0</v>
      </c>
      <c r="T3566" s="4"/>
      <c r="U3566">
        <v>1</v>
      </c>
      <c r="V3566">
        <v>1</v>
      </c>
      <c r="W3566">
        <v>1</v>
      </c>
    </row>
    <row r="3567" spans="1:23" ht="16.5" x14ac:dyDescent="0.3">
      <c r="A3567" t="s">
        <v>3631</v>
      </c>
      <c r="B3567" s="1">
        <v>45804</v>
      </c>
      <c r="C3567">
        <v>2025</v>
      </c>
      <c r="D3567" t="s">
        <v>688</v>
      </c>
      <c r="E3567" t="s">
        <v>885</v>
      </c>
      <c r="F3567" t="s">
        <v>37</v>
      </c>
      <c r="G3567" t="s">
        <v>33</v>
      </c>
      <c r="H3567" t="s">
        <v>55</v>
      </c>
      <c r="I3567" t="s">
        <v>29</v>
      </c>
      <c r="J3567" t="s">
        <v>35</v>
      </c>
      <c r="K3567" s="2">
        <v>7300</v>
      </c>
      <c r="L3567" s="2">
        <v>12500</v>
      </c>
      <c r="M3567">
        <v>12</v>
      </c>
      <c r="N3567" s="3">
        <v>0.27800000000000002</v>
      </c>
      <c r="O3567" t="s">
        <v>16</v>
      </c>
      <c r="Q3567">
        <v>1</v>
      </c>
      <c r="R3567">
        <v>0</v>
      </c>
      <c r="S3567" s="2">
        <v>12500</v>
      </c>
      <c r="T3567" s="4">
        <v>0.12670000000000001</v>
      </c>
      <c r="U3567">
        <v>2</v>
      </c>
      <c r="V3567">
        <v>1</v>
      </c>
      <c r="W3567">
        <v>1</v>
      </c>
    </row>
    <row r="3568" spans="1:23" ht="16.5" x14ac:dyDescent="0.3">
      <c r="A3568" t="s">
        <v>3632</v>
      </c>
      <c r="B3568" s="1">
        <v>45804</v>
      </c>
      <c r="C3568">
        <v>2025</v>
      </c>
      <c r="D3568" t="s">
        <v>688</v>
      </c>
      <c r="E3568" t="s">
        <v>885</v>
      </c>
      <c r="F3568" t="s">
        <v>37</v>
      </c>
      <c r="G3568" t="s">
        <v>27</v>
      </c>
      <c r="H3568" t="s">
        <v>38</v>
      </c>
      <c r="I3568" t="s">
        <v>29</v>
      </c>
      <c r="J3568" t="s">
        <v>35</v>
      </c>
      <c r="K3568" s="2">
        <v>3900</v>
      </c>
      <c r="L3568" s="2">
        <v>11500</v>
      </c>
      <c r="M3568">
        <v>60</v>
      </c>
      <c r="N3568" s="3">
        <v>0.23</v>
      </c>
      <c r="O3568" t="s">
        <v>17</v>
      </c>
      <c r="P3568" t="s">
        <v>60</v>
      </c>
      <c r="Q3568">
        <v>0</v>
      </c>
      <c r="R3568">
        <v>1</v>
      </c>
      <c r="S3568" s="2">
        <v>0</v>
      </c>
      <c r="T3568" s="4"/>
      <c r="U3568">
        <v>9</v>
      </c>
      <c r="V3568">
        <v>0</v>
      </c>
      <c r="W3568">
        <v>1</v>
      </c>
    </row>
    <row r="3569" spans="1:23" ht="16.5" x14ac:dyDescent="0.3">
      <c r="A3569" t="s">
        <v>3633</v>
      </c>
      <c r="B3569" s="1">
        <v>45804</v>
      </c>
      <c r="C3569">
        <v>2025</v>
      </c>
      <c r="D3569" t="s">
        <v>688</v>
      </c>
      <c r="E3569" t="s">
        <v>885</v>
      </c>
      <c r="F3569" t="s">
        <v>26</v>
      </c>
      <c r="G3569" t="s">
        <v>51</v>
      </c>
      <c r="H3569" t="s">
        <v>38</v>
      </c>
      <c r="I3569" t="s">
        <v>39</v>
      </c>
      <c r="J3569" t="s">
        <v>35</v>
      </c>
      <c r="K3569" s="2">
        <v>6950</v>
      </c>
      <c r="L3569" s="2">
        <v>14000</v>
      </c>
      <c r="M3569">
        <v>60</v>
      </c>
      <c r="N3569" s="3">
        <v>0.152</v>
      </c>
      <c r="O3569" t="s">
        <v>16</v>
      </c>
      <c r="Q3569">
        <v>1</v>
      </c>
      <c r="R3569">
        <v>0</v>
      </c>
      <c r="S3569" s="2">
        <v>14000</v>
      </c>
      <c r="T3569" s="4">
        <v>8.1100000000000005E-2</v>
      </c>
      <c r="U3569">
        <v>9</v>
      </c>
      <c r="V3569">
        <v>0</v>
      </c>
      <c r="W3569">
        <v>1</v>
      </c>
    </row>
    <row r="3570" spans="1:23" ht="16.5" x14ac:dyDescent="0.3">
      <c r="A3570" t="s">
        <v>3634</v>
      </c>
      <c r="B3570" s="1">
        <v>45804</v>
      </c>
      <c r="C3570">
        <v>2025</v>
      </c>
      <c r="D3570" t="s">
        <v>688</v>
      </c>
      <c r="E3570" t="s">
        <v>885</v>
      </c>
      <c r="F3570" t="s">
        <v>37</v>
      </c>
      <c r="G3570" t="s">
        <v>27</v>
      </c>
      <c r="H3570" t="s">
        <v>38</v>
      </c>
      <c r="I3570" t="s">
        <v>29</v>
      </c>
      <c r="J3570" t="s">
        <v>43</v>
      </c>
      <c r="K3570" s="2">
        <v>4950</v>
      </c>
      <c r="L3570" s="2">
        <v>15500</v>
      </c>
      <c r="M3570">
        <v>36</v>
      </c>
      <c r="N3570" s="3">
        <v>0.223</v>
      </c>
      <c r="O3570" t="s">
        <v>17</v>
      </c>
      <c r="P3570" t="s">
        <v>31</v>
      </c>
      <c r="Q3570">
        <v>0</v>
      </c>
      <c r="R3570">
        <v>1</v>
      </c>
      <c r="S3570" s="2">
        <v>0</v>
      </c>
      <c r="T3570" s="4"/>
      <c r="U3570">
        <v>4</v>
      </c>
      <c r="V3570">
        <v>0</v>
      </c>
      <c r="W3570">
        <v>1</v>
      </c>
    </row>
    <row r="3571" spans="1:23" ht="16.5" x14ac:dyDescent="0.3">
      <c r="A3571" t="s">
        <v>3635</v>
      </c>
      <c r="B3571" s="1">
        <v>45804</v>
      </c>
      <c r="C3571">
        <v>2025</v>
      </c>
      <c r="D3571" t="s">
        <v>688</v>
      </c>
      <c r="E3571" t="s">
        <v>885</v>
      </c>
      <c r="F3571" t="s">
        <v>41</v>
      </c>
      <c r="G3571" t="s">
        <v>51</v>
      </c>
      <c r="H3571" t="s">
        <v>34</v>
      </c>
      <c r="I3571" t="s">
        <v>29</v>
      </c>
      <c r="J3571" t="s">
        <v>35</v>
      </c>
      <c r="K3571" s="2">
        <v>6050</v>
      </c>
      <c r="L3571" s="2">
        <v>158000</v>
      </c>
      <c r="M3571">
        <v>60</v>
      </c>
      <c r="N3571" s="3">
        <v>0.61499999999999999</v>
      </c>
      <c r="O3571" t="s">
        <v>16</v>
      </c>
      <c r="Q3571">
        <v>1</v>
      </c>
      <c r="R3571">
        <v>0</v>
      </c>
      <c r="S3571" s="2">
        <v>158000</v>
      </c>
      <c r="T3571" s="4">
        <v>0.10780000000000001</v>
      </c>
      <c r="U3571">
        <v>14</v>
      </c>
      <c r="V3571">
        <v>0</v>
      </c>
      <c r="W3571">
        <v>1</v>
      </c>
    </row>
    <row r="3572" spans="1:23" ht="16.5" x14ac:dyDescent="0.3">
      <c r="A3572" t="s">
        <v>3636</v>
      </c>
      <c r="B3572" s="1">
        <v>45804</v>
      </c>
      <c r="C3572">
        <v>2025</v>
      </c>
      <c r="D3572" t="s">
        <v>688</v>
      </c>
      <c r="E3572" t="s">
        <v>885</v>
      </c>
      <c r="F3572" t="s">
        <v>37</v>
      </c>
      <c r="G3572" t="s">
        <v>45</v>
      </c>
      <c r="H3572" t="s">
        <v>55</v>
      </c>
      <c r="I3572" t="s">
        <v>39</v>
      </c>
      <c r="J3572" t="s">
        <v>52</v>
      </c>
      <c r="K3572" s="2">
        <v>3150</v>
      </c>
      <c r="L3572" s="2">
        <v>7500</v>
      </c>
      <c r="M3572">
        <v>12</v>
      </c>
      <c r="N3572" s="3">
        <v>0.38900000000000001</v>
      </c>
      <c r="O3572" t="s">
        <v>17</v>
      </c>
      <c r="P3572" t="s">
        <v>60</v>
      </c>
      <c r="Q3572">
        <v>0</v>
      </c>
      <c r="R3572">
        <v>1</v>
      </c>
      <c r="S3572" s="2">
        <v>0</v>
      </c>
      <c r="T3572" s="4"/>
      <c r="U3572">
        <v>5</v>
      </c>
      <c r="V3572">
        <v>0</v>
      </c>
      <c r="W3572">
        <v>1</v>
      </c>
    </row>
    <row r="3573" spans="1:23" ht="16.5" x14ac:dyDescent="0.3">
      <c r="A3573" t="s">
        <v>3637</v>
      </c>
      <c r="B3573" s="1">
        <v>45804</v>
      </c>
      <c r="C3573">
        <v>2025</v>
      </c>
      <c r="D3573" t="s">
        <v>688</v>
      </c>
      <c r="E3573" t="s">
        <v>885</v>
      </c>
      <c r="F3573" t="s">
        <v>26</v>
      </c>
      <c r="G3573" t="s">
        <v>27</v>
      </c>
      <c r="H3573" t="s">
        <v>55</v>
      </c>
      <c r="I3573" t="s">
        <v>39</v>
      </c>
      <c r="J3573" t="s">
        <v>30</v>
      </c>
      <c r="K3573" s="2">
        <v>3150</v>
      </c>
      <c r="L3573" s="2">
        <v>26000</v>
      </c>
      <c r="M3573">
        <v>48</v>
      </c>
      <c r="N3573" s="3">
        <v>0.27200000000000002</v>
      </c>
      <c r="O3573" t="s">
        <v>16</v>
      </c>
      <c r="Q3573">
        <v>1</v>
      </c>
      <c r="R3573">
        <v>0</v>
      </c>
      <c r="S3573" s="2">
        <v>23500</v>
      </c>
      <c r="T3573" s="4">
        <v>9.64E-2</v>
      </c>
      <c r="U3573">
        <v>2</v>
      </c>
      <c r="V3573">
        <v>1</v>
      </c>
      <c r="W3573">
        <v>1</v>
      </c>
    </row>
    <row r="3574" spans="1:23" ht="16.5" x14ac:dyDescent="0.3">
      <c r="A3574" t="s">
        <v>3638</v>
      </c>
      <c r="B3574" s="1">
        <v>45804</v>
      </c>
      <c r="C3574">
        <v>2025</v>
      </c>
      <c r="D3574" t="s">
        <v>688</v>
      </c>
      <c r="E3574" t="s">
        <v>885</v>
      </c>
      <c r="F3574" t="s">
        <v>26</v>
      </c>
      <c r="G3574" t="s">
        <v>45</v>
      </c>
      <c r="H3574" t="s">
        <v>34</v>
      </c>
      <c r="I3574" t="s">
        <v>39</v>
      </c>
      <c r="J3574" t="s">
        <v>52</v>
      </c>
      <c r="K3574" s="2">
        <v>6500</v>
      </c>
      <c r="L3574" s="2">
        <v>12000</v>
      </c>
      <c r="M3574">
        <v>48</v>
      </c>
      <c r="N3574" s="3">
        <v>0.14599999999999999</v>
      </c>
      <c r="O3574" t="s">
        <v>17</v>
      </c>
      <c r="P3574" t="s">
        <v>65</v>
      </c>
      <c r="Q3574">
        <v>0</v>
      </c>
      <c r="R3574">
        <v>1</v>
      </c>
      <c r="S3574" s="2">
        <v>0</v>
      </c>
      <c r="T3574" s="4"/>
      <c r="U3574">
        <v>2</v>
      </c>
      <c r="V3574">
        <v>1</v>
      </c>
      <c r="W3574">
        <v>1</v>
      </c>
    </row>
    <row r="3575" spans="1:23" ht="16.5" x14ac:dyDescent="0.3">
      <c r="A3575" t="s">
        <v>3639</v>
      </c>
      <c r="B3575" s="1">
        <v>45804</v>
      </c>
      <c r="C3575">
        <v>2025</v>
      </c>
      <c r="D3575" t="s">
        <v>688</v>
      </c>
      <c r="E3575" t="s">
        <v>885</v>
      </c>
      <c r="F3575" t="s">
        <v>41</v>
      </c>
      <c r="G3575" t="s">
        <v>33</v>
      </c>
      <c r="H3575" t="s">
        <v>38</v>
      </c>
      <c r="I3575" t="s">
        <v>29</v>
      </c>
      <c r="J3575" t="s">
        <v>30</v>
      </c>
      <c r="K3575" s="2">
        <v>6750</v>
      </c>
      <c r="L3575" s="2">
        <v>81500</v>
      </c>
      <c r="M3575">
        <v>36</v>
      </c>
      <c r="N3575" s="3">
        <v>0.55800000000000005</v>
      </c>
      <c r="O3575" t="s">
        <v>17</v>
      </c>
      <c r="P3575" t="s">
        <v>31</v>
      </c>
      <c r="Q3575">
        <v>0</v>
      </c>
      <c r="R3575">
        <v>1</v>
      </c>
      <c r="S3575" s="2">
        <v>0</v>
      </c>
      <c r="T3575" s="4"/>
      <c r="U3575">
        <v>6</v>
      </c>
      <c r="V3575">
        <v>1</v>
      </c>
      <c r="W3575">
        <v>1</v>
      </c>
    </row>
    <row r="3576" spans="1:23" ht="16.5" x14ac:dyDescent="0.3">
      <c r="A3576" t="s">
        <v>3640</v>
      </c>
      <c r="B3576" s="1">
        <v>45804</v>
      </c>
      <c r="C3576">
        <v>2025</v>
      </c>
      <c r="D3576" t="s">
        <v>688</v>
      </c>
      <c r="E3576" t="s">
        <v>885</v>
      </c>
      <c r="F3576" t="s">
        <v>37</v>
      </c>
      <c r="G3576" t="s">
        <v>33</v>
      </c>
      <c r="H3576" t="s">
        <v>28</v>
      </c>
      <c r="I3576" t="s">
        <v>39</v>
      </c>
      <c r="J3576" t="s">
        <v>35</v>
      </c>
      <c r="K3576" s="2">
        <v>5750</v>
      </c>
      <c r="L3576" s="2">
        <v>19500</v>
      </c>
      <c r="M3576">
        <v>24</v>
      </c>
      <c r="N3576" s="3">
        <v>0.38800000000000001</v>
      </c>
      <c r="O3576" t="s">
        <v>16</v>
      </c>
      <c r="Q3576">
        <v>1</v>
      </c>
      <c r="R3576">
        <v>0</v>
      </c>
      <c r="S3576" s="2">
        <v>17500</v>
      </c>
      <c r="T3576" s="4">
        <v>0.1333</v>
      </c>
      <c r="U3576">
        <v>1</v>
      </c>
      <c r="V3576">
        <v>1</v>
      </c>
      <c r="W3576">
        <v>1</v>
      </c>
    </row>
    <row r="3577" spans="1:23" ht="16.5" x14ac:dyDescent="0.3">
      <c r="A3577" t="s">
        <v>3641</v>
      </c>
      <c r="B3577" s="1">
        <v>45804</v>
      </c>
      <c r="C3577">
        <v>2025</v>
      </c>
      <c r="D3577" t="s">
        <v>688</v>
      </c>
      <c r="E3577" t="s">
        <v>885</v>
      </c>
      <c r="F3577" t="s">
        <v>37</v>
      </c>
      <c r="G3577" t="s">
        <v>33</v>
      </c>
      <c r="H3577" t="s">
        <v>38</v>
      </c>
      <c r="I3577" t="s">
        <v>29</v>
      </c>
      <c r="J3577" t="s">
        <v>35</v>
      </c>
      <c r="K3577" s="2">
        <v>10500</v>
      </c>
      <c r="L3577" s="2">
        <v>10500</v>
      </c>
      <c r="M3577">
        <v>48</v>
      </c>
      <c r="N3577" s="3">
        <v>0.27400000000000002</v>
      </c>
      <c r="O3577" t="s">
        <v>17</v>
      </c>
      <c r="P3577" t="s">
        <v>65</v>
      </c>
      <c r="Q3577">
        <v>0</v>
      </c>
      <c r="R3577">
        <v>1</v>
      </c>
      <c r="S3577" s="2">
        <v>0</v>
      </c>
      <c r="T3577" s="4"/>
      <c r="U3577">
        <v>2</v>
      </c>
      <c r="V3577">
        <v>1</v>
      </c>
      <c r="W3577">
        <v>1</v>
      </c>
    </row>
    <row r="3578" spans="1:23" ht="16.5" x14ac:dyDescent="0.3">
      <c r="A3578" t="s">
        <v>3642</v>
      </c>
      <c r="B3578" s="1">
        <v>45805</v>
      </c>
      <c r="C3578">
        <v>2025</v>
      </c>
      <c r="D3578" t="s">
        <v>688</v>
      </c>
      <c r="E3578" t="s">
        <v>885</v>
      </c>
      <c r="F3578" t="s">
        <v>37</v>
      </c>
      <c r="G3578" t="s">
        <v>45</v>
      </c>
      <c r="H3578" t="s">
        <v>64</v>
      </c>
      <c r="I3578" t="s">
        <v>42</v>
      </c>
      <c r="J3578" t="s">
        <v>35</v>
      </c>
      <c r="K3578" s="2">
        <v>8000</v>
      </c>
      <c r="L3578" s="2">
        <v>22000</v>
      </c>
      <c r="M3578">
        <v>48</v>
      </c>
      <c r="N3578" s="3">
        <v>0.188</v>
      </c>
      <c r="O3578" t="s">
        <v>16</v>
      </c>
      <c r="Q3578">
        <v>1</v>
      </c>
      <c r="R3578">
        <v>0</v>
      </c>
      <c r="S3578" s="2">
        <v>17500</v>
      </c>
      <c r="T3578" s="4">
        <v>0.1293</v>
      </c>
      <c r="U3578">
        <v>3</v>
      </c>
      <c r="V3578">
        <v>1</v>
      </c>
      <c r="W3578">
        <v>1</v>
      </c>
    </row>
    <row r="3579" spans="1:23" ht="16.5" x14ac:dyDescent="0.3">
      <c r="A3579" t="s">
        <v>3643</v>
      </c>
      <c r="B3579" s="1">
        <v>45805</v>
      </c>
      <c r="C3579">
        <v>2025</v>
      </c>
      <c r="D3579" t="s">
        <v>688</v>
      </c>
      <c r="E3579" t="s">
        <v>885</v>
      </c>
      <c r="F3579" t="s">
        <v>37</v>
      </c>
      <c r="G3579" t="s">
        <v>33</v>
      </c>
      <c r="H3579" t="s">
        <v>55</v>
      </c>
      <c r="I3579" t="s">
        <v>42</v>
      </c>
      <c r="J3579" t="s">
        <v>30</v>
      </c>
      <c r="K3579" s="2">
        <v>4350</v>
      </c>
      <c r="L3579" s="2">
        <v>13000</v>
      </c>
      <c r="M3579">
        <v>36</v>
      </c>
      <c r="N3579" s="3">
        <v>0.32100000000000001</v>
      </c>
      <c r="O3579" t="s">
        <v>16</v>
      </c>
      <c r="Q3579">
        <v>1</v>
      </c>
      <c r="R3579">
        <v>0</v>
      </c>
      <c r="S3579" s="2">
        <v>13000</v>
      </c>
      <c r="T3579" s="4">
        <v>0.1454</v>
      </c>
      <c r="U3579">
        <v>2</v>
      </c>
      <c r="V3579">
        <v>1</v>
      </c>
      <c r="W3579">
        <v>1</v>
      </c>
    </row>
    <row r="3580" spans="1:23" ht="16.5" x14ac:dyDescent="0.3">
      <c r="A3580" t="s">
        <v>3644</v>
      </c>
      <c r="B3580" s="1">
        <v>45805</v>
      </c>
      <c r="C3580">
        <v>2025</v>
      </c>
      <c r="D3580" t="s">
        <v>688</v>
      </c>
      <c r="E3580" t="s">
        <v>885</v>
      </c>
      <c r="F3580" t="s">
        <v>37</v>
      </c>
      <c r="G3580" t="s">
        <v>45</v>
      </c>
      <c r="H3580" t="s">
        <v>38</v>
      </c>
      <c r="I3580" t="s">
        <v>42</v>
      </c>
      <c r="J3580" t="s">
        <v>35</v>
      </c>
      <c r="K3580" s="2">
        <v>3100</v>
      </c>
      <c r="L3580" s="2">
        <v>25500</v>
      </c>
      <c r="M3580">
        <v>60</v>
      </c>
      <c r="N3580" s="3">
        <v>0.33200000000000002</v>
      </c>
      <c r="O3580" t="s">
        <v>16</v>
      </c>
      <c r="Q3580">
        <v>1</v>
      </c>
      <c r="R3580">
        <v>0</v>
      </c>
      <c r="S3580" s="2">
        <v>23000</v>
      </c>
      <c r="T3580" s="4">
        <v>0.13270000000000001</v>
      </c>
      <c r="U3580">
        <v>2</v>
      </c>
      <c r="V3580">
        <v>1</v>
      </c>
      <c r="W3580">
        <v>1</v>
      </c>
    </row>
    <row r="3581" spans="1:23" ht="16.5" x14ac:dyDescent="0.3">
      <c r="A3581" t="s">
        <v>3645</v>
      </c>
      <c r="B3581" s="1">
        <v>45805</v>
      </c>
      <c r="C3581">
        <v>2025</v>
      </c>
      <c r="D3581" t="s">
        <v>688</v>
      </c>
      <c r="E3581" t="s">
        <v>885</v>
      </c>
      <c r="F3581" t="s">
        <v>26</v>
      </c>
      <c r="G3581" t="s">
        <v>33</v>
      </c>
      <c r="H3581" t="s">
        <v>28</v>
      </c>
      <c r="I3581" t="s">
        <v>42</v>
      </c>
      <c r="J3581" t="s">
        <v>52</v>
      </c>
      <c r="K3581" s="2">
        <v>9200</v>
      </c>
      <c r="L3581" s="2">
        <v>68500</v>
      </c>
      <c r="M3581">
        <v>60</v>
      </c>
      <c r="N3581" s="3">
        <v>0.21</v>
      </c>
      <c r="O3581" t="s">
        <v>16</v>
      </c>
      <c r="Q3581">
        <v>1</v>
      </c>
      <c r="R3581">
        <v>0</v>
      </c>
      <c r="S3581" s="2">
        <v>61500</v>
      </c>
      <c r="T3581" s="4">
        <v>7.2900000000000006E-2</v>
      </c>
      <c r="U3581">
        <v>3</v>
      </c>
      <c r="V3581">
        <v>1</v>
      </c>
      <c r="W3581">
        <v>1</v>
      </c>
    </row>
    <row r="3582" spans="1:23" ht="16.5" x14ac:dyDescent="0.3">
      <c r="A3582" t="s">
        <v>3646</v>
      </c>
      <c r="B3582" s="1">
        <v>45805</v>
      </c>
      <c r="C3582">
        <v>2025</v>
      </c>
      <c r="D3582" t="s">
        <v>688</v>
      </c>
      <c r="E3582" t="s">
        <v>885</v>
      </c>
      <c r="F3582" t="s">
        <v>50</v>
      </c>
      <c r="G3582" t="s">
        <v>33</v>
      </c>
      <c r="H3582" t="s">
        <v>38</v>
      </c>
      <c r="I3582" t="s">
        <v>29</v>
      </c>
      <c r="J3582" t="s">
        <v>52</v>
      </c>
      <c r="K3582" s="2">
        <v>7500</v>
      </c>
      <c r="L3582" s="2">
        <v>175500</v>
      </c>
      <c r="M3582">
        <v>300</v>
      </c>
      <c r="N3582" s="3">
        <v>0.33</v>
      </c>
      <c r="O3582" t="s">
        <v>16</v>
      </c>
      <c r="Q3582">
        <v>1</v>
      </c>
      <c r="R3582">
        <v>0</v>
      </c>
      <c r="S3582" s="2">
        <v>140500</v>
      </c>
      <c r="T3582" s="4">
        <v>5.1299999999999998E-2</v>
      </c>
      <c r="U3582">
        <v>7</v>
      </c>
      <c r="V3582">
        <v>1</v>
      </c>
      <c r="W3582">
        <v>1</v>
      </c>
    </row>
    <row r="3583" spans="1:23" ht="16.5" x14ac:dyDescent="0.3">
      <c r="A3583" t="s">
        <v>3647</v>
      </c>
      <c r="B3583" s="1">
        <v>45805</v>
      </c>
      <c r="C3583">
        <v>2025</v>
      </c>
      <c r="D3583" t="s">
        <v>688</v>
      </c>
      <c r="E3583" t="s">
        <v>885</v>
      </c>
      <c r="F3583" t="s">
        <v>37</v>
      </c>
      <c r="G3583" t="s">
        <v>33</v>
      </c>
      <c r="H3583" t="s">
        <v>55</v>
      </c>
      <c r="I3583" t="s">
        <v>39</v>
      </c>
      <c r="J3583" t="s">
        <v>30</v>
      </c>
      <c r="K3583" s="2">
        <v>6800</v>
      </c>
      <c r="L3583" s="2">
        <v>6500</v>
      </c>
      <c r="M3583">
        <v>36</v>
      </c>
      <c r="N3583" s="3">
        <v>0.188</v>
      </c>
      <c r="O3583" t="s">
        <v>17</v>
      </c>
      <c r="P3583" t="s">
        <v>31</v>
      </c>
      <c r="Q3583">
        <v>0</v>
      </c>
      <c r="R3583">
        <v>1</v>
      </c>
      <c r="S3583" s="2">
        <v>0</v>
      </c>
      <c r="T3583" s="4"/>
      <c r="U3583">
        <v>1</v>
      </c>
      <c r="V3583">
        <v>1</v>
      </c>
      <c r="W3583">
        <v>1</v>
      </c>
    </row>
    <row r="3584" spans="1:23" ht="16.5" x14ac:dyDescent="0.3">
      <c r="A3584" t="s">
        <v>3648</v>
      </c>
      <c r="B3584" s="1">
        <v>45805</v>
      </c>
      <c r="C3584">
        <v>2025</v>
      </c>
      <c r="D3584" t="s">
        <v>688</v>
      </c>
      <c r="E3584" t="s">
        <v>885</v>
      </c>
      <c r="F3584" t="s">
        <v>37</v>
      </c>
      <c r="G3584" t="s">
        <v>27</v>
      </c>
      <c r="H3584" t="s">
        <v>55</v>
      </c>
      <c r="I3584" t="s">
        <v>29</v>
      </c>
      <c r="J3584" t="s">
        <v>35</v>
      </c>
      <c r="K3584" s="2">
        <v>3950</v>
      </c>
      <c r="L3584" s="2">
        <v>24000</v>
      </c>
      <c r="M3584">
        <v>12</v>
      </c>
      <c r="N3584" s="3">
        <v>0.65100000000000002</v>
      </c>
      <c r="O3584" t="s">
        <v>16</v>
      </c>
      <c r="Q3584">
        <v>1</v>
      </c>
      <c r="R3584">
        <v>0</v>
      </c>
      <c r="S3584" s="2">
        <v>21500</v>
      </c>
      <c r="T3584" s="4">
        <v>0.12540000000000001</v>
      </c>
      <c r="U3584">
        <v>3</v>
      </c>
      <c r="V3584">
        <v>1</v>
      </c>
      <c r="W3584">
        <v>1</v>
      </c>
    </row>
    <row r="3585" spans="1:23" ht="16.5" x14ac:dyDescent="0.3">
      <c r="A3585" t="s">
        <v>3649</v>
      </c>
      <c r="B3585" s="1">
        <v>45805</v>
      </c>
      <c r="C3585">
        <v>2025</v>
      </c>
      <c r="D3585" t="s">
        <v>688</v>
      </c>
      <c r="E3585" t="s">
        <v>885</v>
      </c>
      <c r="F3585" t="s">
        <v>37</v>
      </c>
      <c r="G3585" t="s">
        <v>51</v>
      </c>
      <c r="H3585" t="s">
        <v>38</v>
      </c>
      <c r="I3585" t="s">
        <v>39</v>
      </c>
      <c r="J3585" t="s">
        <v>46</v>
      </c>
      <c r="K3585" s="2">
        <v>3300</v>
      </c>
      <c r="L3585" s="2">
        <v>8000</v>
      </c>
      <c r="M3585">
        <v>36</v>
      </c>
      <c r="N3585" s="3">
        <v>0.28599999999999998</v>
      </c>
      <c r="O3585" t="s">
        <v>17</v>
      </c>
      <c r="P3585" t="s">
        <v>48</v>
      </c>
      <c r="Q3585">
        <v>0</v>
      </c>
      <c r="R3585">
        <v>1</v>
      </c>
      <c r="S3585" s="2">
        <v>0</v>
      </c>
      <c r="T3585" s="4"/>
      <c r="U3585">
        <v>3</v>
      </c>
      <c r="V3585">
        <v>1</v>
      </c>
      <c r="W3585">
        <v>1</v>
      </c>
    </row>
    <row r="3586" spans="1:23" ht="16.5" x14ac:dyDescent="0.3">
      <c r="A3586" t="s">
        <v>3650</v>
      </c>
      <c r="B3586" s="1">
        <v>45805</v>
      </c>
      <c r="C3586">
        <v>2025</v>
      </c>
      <c r="D3586" t="s">
        <v>688</v>
      </c>
      <c r="E3586" t="s">
        <v>885</v>
      </c>
      <c r="F3586" t="s">
        <v>50</v>
      </c>
      <c r="G3586" t="s">
        <v>45</v>
      </c>
      <c r="H3586" t="s">
        <v>64</v>
      </c>
      <c r="I3586" t="s">
        <v>39</v>
      </c>
      <c r="J3586" t="s">
        <v>52</v>
      </c>
      <c r="K3586" s="2">
        <v>5450</v>
      </c>
      <c r="L3586" s="2">
        <v>314500</v>
      </c>
      <c r="M3586">
        <v>240</v>
      </c>
      <c r="N3586" s="3">
        <v>0.47099999999999997</v>
      </c>
      <c r="O3586" t="s">
        <v>16</v>
      </c>
      <c r="Q3586">
        <v>1</v>
      </c>
      <c r="R3586">
        <v>0</v>
      </c>
      <c r="S3586" s="2">
        <v>314500</v>
      </c>
      <c r="T3586" s="4">
        <v>5.1900000000000002E-2</v>
      </c>
      <c r="U3586">
        <v>7</v>
      </c>
      <c r="V3586">
        <v>1</v>
      </c>
      <c r="W3586">
        <v>1</v>
      </c>
    </row>
    <row r="3587" spans="1:23" ht="16.5" x14ac:dyDescent="0.3">
      <c r="A3587" t="s">
        <v>3651</v>
      </c>
      <c r="B3587" s="1">
        <v>45806</v>
      </c>
      <c r="C3587">
        <v>2025</v>
      </c>
      <c r="D3587" t="s">
        <v>688</v>
      </c>
      <c r="E3587" t="s">
        <v>885</v>
      </c>
      <c r="F3587" t="s">
        <v>41</v>
      </c>
      <c r="G3587" t="s">
        <v>33</v>
      </c>
      <c r="H3587" t="s">
        <v>55</v>
      </c>
      <c r="I3587" t="s">
        <v>29</v>
      </c>
      <c r="J3587" t="s">
        <v>52</v>
      </c>
      <c r="K3587" s="2">
        <v>8150</v>
      </c>
      <c r="L3587" s="2">
        <v>118000</v>
      </c>
      <c r="M3587">
        <v>36</v>
      </c>
      <c r="N3587" s="3">
        <v>0.60499999999999998</v>
      </c>
      <c r="O3587" t="s">
        <v>16</v>
      </c>
      <c r="Q3587">
        <v>1</v>
      </c>
      <c r="R3587">
        <v>0</v>
      </c>
      <c r="S3587" s="2">
        <v>118000</v>
      </c>
      <c r="T3587" s="4">
        <v>0.10249999999999999</v>
      </c>
      <c r="U3587">
        <v>2</v>
      </c>
      <c r="V3587">
        <v>1</v>
      </c>
      <c r="W3587">
        <v>1</v>
      </c>
    </row>
    <row r="3588" spans="1:23" ht="16.5" x14ac:dyDescent="0.3">
      <c r="A3588" t="s">
        <v>3652</v>
      </c>
      <c r="B3588" s="1">
        <v>45806</v>
      </c>
      <c r="C3588">
        <v>2025</v>
      </c>
      <c r="D3588" t="s">
        <v>688</v>
      </c>
      <c r="E3588" t="s">
        <v>885</v>
      </c>
      <c r="F3588" t="s">
        <v>37</v>
      </c>
      <c r="G3588" t="s">
        <v>33</v>
      </c>
      <c r="H3588" t="s">
        <v>34</v>
      </c>
      <c r="I3588" t="s">
        <v>29</v>
      </c>
      <c r="J3588" t="s">
        <v>52</v>
      </c>
      <c r="K3588" s="2">
        <v>3550</v>
      </c>
      <c r="L3588" s="2">
        <v>17500</v>
      </c>
      <c r="M3588">
        <v>60</v>
      </c>
      <c r="N3588" s="3">
        <v>0.24</v>
      </c>
      <c r="O3588" t="s">
        <v>16</v>
      </c>
      <c r="Q3588">
        <v>1</v>
      </c>
      <c r="R3588">
        <v>0</v>
      </c>
      <c r="S3588" s="2">
        <v>14000</v>
      </c>
      <c r="T3588" s="4">
        <v>0.1163</v>
      </c>
      <c r="U3588">
        <v>1</v>
      </c>
      <c r="V3588">
        <v>1</v>
      </c>
      <c r="W3588">
        <v>1</v>
      </c>
    </row>
    <row r="3589" spans="1:23" ht="16.5" x14ac:dyDescent="0.3">
      <c r="A3589" t="s">
        <v>3653</v>
      </c>
      <c r="B3589" s="1">
        <v>45806</v>
      </c>
      <c r="C3589">
        <v>2025</v>
      </c>
      <c r="D3589" t="s">
        <v>688</v>
      </c>
      <c r="E3589" t="s">
        <v>885</v>
      </c>
      <c r="F3589" t="s">
        <v>26</v>
      </c>
      <c r="G3589" t="s">
        <v>33</v>
      </c>
      <c r="H3589" t="s">
        <v>34</v>
      </c>
      <c r="I3589" t="s">
        <v>39</v>
      </c>
      <c r="J3589" t="s">
        <v>30</v>
      </c>
      <c r="K3589" s="2">
        <v>4150</v>
      </c>
      <c r="L3589" s="2">
        <v>30500</v>
      </c>
      <c r="M3589">
        <v>60</v>
      </c>
      <c r="N3589" s="3">
        <v>0.28000000000000003</v>
      </c>
      <c r="O3589" t="s">
        <v>17</v>
      </c>
      <c r="P3589" t="s">
        <v>31</v>
      </c>
      <c r="Q3589">
        <v>0</v>
      </c>
      <c r="R3589">
        <v>1</v>
      </c>
      <c r="S3589" s="2">
        <v>0</v>
      </c>
      <c r="T3589" s="4"/>
      <c r="U3589">
        <v>1</v>
      </c>
      <c r="V3589">
        <v>1</v>
      </c>
      <c r="W3589">
        <v>1</v>
      </c>
    </row>
    <row r="3590" spans="1:23" ht="16.5" x14ac:dyDescent="0.3">
      <c r="A3590" t="s">
        <v>3654</v>
      </c>
      <c r="B3590" s="1">
        <v>45806</v>
      </c>
      <c r="C3590">
        <v>2025</v>
      </c>
      <c r="D3590" t="s">
        <v>688</v>
      </c>
      <c r="E3590" t="s">
        <v>885</v>
      </c>
      <c r="F3590" t="s">
        <v>26</v>
      </c>
      <c r="G3590" t="s">
        <v>33</v>
      </c>
      <c r="H3590" t="s">
        <v>55</v>
      </c>
      <c r="I3590" t="s">
        <v>29</v>
      </c>
      <c r="J3590" t="s">
        <v>52</v>
      </c>
      <c r="K3590" s="2">
        <v>3750</v>
      </c>
      <c r="L3590" s="2">
        <v>22500</v>
      </c>
      <c r="M3590">
        <v>36</v>
      </c>
      <c r="N3590" s="3">
        <v>0.432</v>
      </c>
      <c r="O3590" t="s">
        <v>16</v>
      </c>
      <c r="Q3590">
        <v>1</v>
      </c>
      <c r="R3590">
        <v>0</v>
      </c>
      <c r="S3590" s="2">
        <v>18000</v>
      </c>
      <c r="T3590" s="4">
        <v>7.1999999999999995E-2</v>
      </c>
      <c r="U3590">
        <v>2</v>
      </c>
      <c r="V3590">
        <v>1</v>
      </c>
      <c r="W3590">
        <v>1</v>
      </c>
    </row>
    <row r="3591" spans="1:23" ht="16.5" x14ac:dyDescent="0.3">
      <c r="A3591" t="s">
        <v>3655</v>
      </c>
      <c r="B3591" s="1">
        <v>45806</v>
      </c>
      <c r="C3591">
        <v>2025</v>
      </c>
      <c r="D3591" t="s">
        <v>688</v>
      </c>
      <c r="E3591" t="s">
        <v>885</v>
      </c>
      <c r="F3591" t="s">
        <v>37</v>
      </c>
      <c r="G3591" t="s">
        <v>27</v>
      </c>
      <c r="H3591" t="s">
        <v>64</v>
      </c>
      <c r="I3591" t="s">
        <v>29</v>
      </c>
      <c r="J3591" t="s">
        <v>52</v>
      </c>
      <c r="K3591" s="2">
        <v>6650</v>
      </c>
      <c r="L3591" s="2">
        <v>29000</v>
      </c>
      <c r="M3591">
        <v>36</v>
      </c>
      <c r="N3591" s="3">
        <v>0.33100000000000002</v>
      </c>
      <c r="O3591" t="s">
        <v>16</v>
      </c>
      <c r="Q3591">
        <v>1</v>
      </c>
      <c r="R3591">
        <v>0</v>
      </c>
      <c r="S3591" s="2">
        <v>26000</v>
      </c>
      <c r="T3591" s="4">
        <v>0.1118</v>
      </c>
      <c r="U3591">
        <v>4</v>
      </c>
      <c r="V3591">
        <v>0</v>
      </c>
      <c r="W3591">
        <v>1</v>
      </c>
    </row>
    <row r="3592" spans="1:23" ht="16.5" x14ac:dyDescent="0.3">
      <c r="A3592" t="s">
        <v>3656</v>
      </c>
      <c r="B3592" s="1">
        <v>45806</v>
      </c>
      <c r="C3592">
        <v>2025</v>
      </c>
      <c r="D3592" t="s">
        <v>688</v>
      </c>
      <c r="E3592" t="s">
        <v>885</v>
      </c>
      <c r="F3592" t="s">
        <v>37</v>
      </c>
      <c r="G3592" t="s">
        <v>33</v>
      </c>
      <c r="H3592" t="s">
        <v>34</v>
      </c>
      <c r="I3592" t="s">
        <v>29</v>
      </c>
      <c r="J3592" t="s">
        <v>30</v>
      </c>
      <c r="K3592" s="2">
        <v>6950</v>
      </c>
      <c r="L3592" s="2">
        <v>10000</v>
      </c>
      <c r="M3592">
        <v>12</v>
      </c>
      <c r="N3592" s="3">
        <v>0.36699999999999999</v>
      </c>
      <c r="O3592" t="s">
        <v>16</v>
      </c>
      <c r="Q3592">
        <v>1</v>
      </c>
      <c r="R3592">
        <v>0</v>
      </c>
      <c r="S3592" s="2">
        <v>10000</v>
      </c>
      <c r="T3592" s="4">
        <v>0.13869999999999999</v>
      </c>
      <c r="U3592">
        <v>1</v>
      </c>
      <c r="V3592">
        <v>1</v>
      </c>
      <c r="W3592">
        <v>1</v>
      </c>
    </row>
    <row r="3593" spans="1:23" ht="16.5" x14ac:dyDescent="0.3">
      <c r="A3593" t="s">
        <v>3657</v>
      </c>
      <c r="B3593" s="1">
        <v>45806</v>
      </c>
      <c r="C3593">
        <v>2025</v>
      </c>
      <c r="D3593" t="s">
        <v>688</v>
      </c>
      <c r="E3593" t="s">
        <v>885</v>
      </c>
      <c r="F3593" t="s">
        <v>50</v>
      </c>
      <c r="G3593" t="s">
        <v>33</v>
      </c>
      <c r="H3593" t="s">
        <v>34</v>
      </c>
      <c r="I3593" t="s">
        <v>29</v>
      </c>
      <c r="J3593" t="s">
        <v>52</v>
      </c>
      <c r="K3593" s="2">
        <v>2700</v>
      </c>
      <c r="L3593" s="2">
        <v>175000</v>
      </c>
      <c r="M3593">
        <v>240</v>
      </c>
      <c r="N3593" s="3">
        <v>0.59299999999999997</v>
      </c>
      <c r="O3593" t="s">
        <v>16</v>
      </c>
      <c r="Q3593">
        <v>1</v>
      </c>
      <c r="R3593">
        <v>0</v>
      </c>
      <c r="S3593" s="2">
        <v>175000</v>
      </c>
      <c r="T3593" s="4">
        <v>5.1999999999999998E-2</v>
      </c>
      <c r="U3593">
        <v>4</v>
      </c>
      <c r="V3593">
        <v>1</v>
      </c>
      <c r="W3593">
        <v>1</v>
      </c>
    </row>
    <row r="3594" spans="1:23" ht="16.5" x14ac:dyDescent="0.3">
      <c r="A3594" t="s">
        <v>3658</v>
      </c>
      <c r="B3594" s="1">
        <v>45806</v>
      </c>
      <c r="C3594">
        <v>2025</v>
      </c>
      <c r="D3594" t="s">
        <v>688</v>
      </c>
      <c r="E3594" t="s">
        <v>885</v>
      </c>
      <c r="F3594" t="s">
        <v>41</v>
      </c>
      <c r="G3594" t="s">
        <v>45</v>
      </c>
      <c r="H3594" t="s">
        <v>55</v>
      </c>
      <c r="I3594" t="s">
        <v>29</v>
      </c>
      <c r="J3594" t="s">
        <v>52</v>
      </c>
      <c r="K3594" s="2">
        <v>5500</v>
      </c>
      <c r="L3594" s="2">
        <v>146500</v>
      </c>
      <c r="M3594">
        <v>12</v>
      </c>
      <c r="N3594" s="3">
        <v>2.4929999999999999</v>
      </c>
      <c r="O3594" t="s">
        <v>17</v>
      </c>
      <c r="P3594" t="s">
        <v>53</v>
      </c>
      <c r="Q3594">
        <v>0</v>
      </c>
      <c r="R3594">
        <v>1</v>
      </c>
      <c r="S3594" s="2">
        <v>0</v>
      </c>
      <c r="T3594" s="4"/>
      <c r="U3594">
        <v>8</v>
      </c>
      <c r="V3594">
        <v>1</v>
      </c>
      <c r="W3594">
        <v>1</v>
      </c>
    </row>
    <row r="3595" spans="1:23" ht="16.5" x14ac:dyDescent="0.3">
      <c r="A3595" t="s">
        <v>3659</v>
      </c>
      <c r="B3595" s="1">
        <v>45806</v>
      </c>
      <c r="C3595">
        <v>2025</v>
      </c>
      <c r="D3595" t="s">
        <v>688</v>
      </c>
      <c r="E3595" t="s">
        <v>885</v>
      </c>
      <c r="F3595" t="s">
        <v>41</v>
      </c>
      <c r="G3595" t="s">
        <v>45</v>
      </c>
      <c r="H3595" t="s">
        <v>38</v>
      </c>
      <c r="I3595" t="s">
        <v>39</v>
      </c>
      <c r="J3595" t="s">
        <v>35</v>
      </c>
      <c r="K3595" s="2">
        <v>4900</v>
      </c>
      <c r="L3595" s="2">
        <v>131500</v>
      </c>
      <c r="M3595">
        <v>12</v>
      </c>
      <c r="N3595" s="3">
        <v>2.5760000000000001</v>
      </c>
      <c r="O3595" t="s">
        <v>17</v>
      </c>
      <c r="P3595" t="s">
        <v>53</v>
      </c>
      <c r="Q3595">
        <v>0</v>
      </c>
      <c r="R3595">
        <v>1</v>
      </c>
      <c r="S3595" s="2">
        <v>0</v>
      </c>
      <c r="T3595" s="4"/>
      <c r="U3595">
        <v>5</v>
      </c>
      <c r="V3595">
        <v>1</v>
      </c>
      <c r="W3595">
        <v>1</v>
      </c>
    </row>
    <row r="3596" spans="1:23" ht="16.5" x14ac:dyDescent="0.3">
      <c r="A3596" t="s">
        <v>3660</v>
      </c>
      <c r="B3596" s="1">
        <v>45806</v>
      </c>
      <c r="C3596">
        <v>2025</v>
      </c>
      <c r="D3596" t="s">
        <v>688</v>
      </c>
      <c r="E3596" t="s">
        <v>885</v>
      </c>
      <c r="F3596" t="s">
        <v>26</v>
      </c>
      <c r="G3596" t="s">
        <v>51</v>
      </c>
      <c r="H3596" t="s">
        <v>34</v>
      </c>
      <c r="I3596" t="s">
        <v>29</v>
      </c>
      <c r="J3596" t="s">
        <v>30</v>
      </c>
      <c r="K3596" s="2">
        <v>4150</v>
      </c>
      <c r="L3596" s="2">
        <v>15000</v>
      </c>
      <c r="M3596">
        <v>48</v>
      </c>
      <c r="N3596" s="3">
        <v>0.29499999999999998</v>
      </c>
      <c r="O3596" t="s">
        <v>17</v>
      </c>
      <c r="P3596" t="s">
        <v>31</v>
      </c>
      <c r="Q3596">
        <v>0</v>
      </c>
      <c r="R3596">
        <v>1</v>
      </c>
      <c r="S3596" s="2">
        <v>0</v>
      </c>
      <c r="T3596" s="4"/>
      <c r="U3596">
        <v>6</v>
      </c>
      <c r="V3596">
        <v>0</v>
      </c>
      <c r="W3596">
        <v>1</v>
      </c>
    </row>
    <row r="3597" spans="1:23" ht="16.5" x14ac:dyDescent="0.3">
      <c r="A3597" t="s">
        <v>3661</v>
      </c>
      <c r="B3597" s="1">
        <v>45806</v>
      </c>
      <c r="C3597">
        <v>2025</v>
      </c>
      <c r="D3597" t="s">
        <v>688</v>
      </c>
      <c r="E3597" t="s">
        <v>885</v>
      </c>
      <c r="F3597" t="s">
        <v>26</v>
      </c>
      <c r="G3597" t="s">
        <v>33</v>
      </c>
      <c r="H3597" t="s">
        <v>55</v>
      </c>
      <c r="I3597" t="s">
        <v>42</v>
      </c>
      <c r="J3597" t="s">
        <v>52</v>
      </c>
      <c r="K3597" s="2">
        <v>8400</v>
      </c>
      <c r="L3597" s="2">
        <v>14000</v>
      </c>
      <c r="M3597">
        <v>48</v>
      </c>
      <c r="N3597" s="3">
        <v>0.27</v>
      </c>
      <c r="O3597" t="s">
        <v>16</v>
      </c>
      <c r="Q3597">
        <v>1</v>
      </c>
      <c r="R3597">
        <v>0</v>
      </c>
      <c r="S3597" s="2">
        <v>14000</v>
      </c>
      <c r="T3597" s="4">
        <v>6.8400000000000002E-2</v>
      </c>
      <c r="U3597">
        <v>2</v>
      </c>
      <c r="V3597">
        <v>1</v>
      </c>
      <c r="W3597">
        <v>1</v>
      </c>
    </row>
    <row r="3598" spans="1:23" ht="16.5" x14ac:dyDescent="0.3">
      <c r="A3598" t="s">
        <v>3662</v>
      </c>
      <c r="B3598" s="1">
        <v>45806</v>
      </c>
      <c r="C3598">
        <v>2025</v>
      </c>
      <c r="D3598" t="s">
        <v>688</v>
      </c>
      <c r="E3598" t="s">
        <v>885</v>
      </c>
      <c r="F3598" t="s">
        <v>37</v>
      </c>
      <c r="G3598" t="s">
        <v>51</v>
      </c>
      <c r="H3598" t="s">
        <v>28</v>
      </c>
      <c r="I3598" t="s">
        <v>29</v>
      </c>
      <c r="J3598" t="s">
        <v>35</v>
      </c>
      <c r="K3598" s="2">
        <v>6100</v>
      </c>
      <c r="L3598" s="2">
        <v>10500</v>
      </c>
      <c r="M3598">
        <v>36</v>
      </c>
      <c r="N3598" s="3">
        <v>0.25700000000000001</v>
      </c>
      <c r="O3598" t="s">
        <v>16</v>
      </c>
      <c r="Q3598">
        <v>1</v>
      </c>
      <c r="R3598">
        <v>0</v>
      </c>
      <c r="S3598" s="2">
        <v>9500</v>
      </c>
      <c r="T3598" s="4">
        <v>0.12759999999999999</v>
      </c>
      <c r="U3598">
        <v>9</v>
      </c>
      <c r="V3598">
        <v>0</v>
      </c>
      <c r="W3598">
        <v>1</v>
      </c>
    </row>
    <row r="3599" spans="1:23" ht="16.5" x14ac:dyDescent="0.3">
      <c r="A3599" t="s">
        <v>3663</v>
      </c>
      <c r="B3599" s="1">
        <v>45806</v>
      </c>
      <c r="C3599">
        <v>2025</v>
      </c>
      <c r="D3599" t="s">
        <v>688</v>
      </c>
      <c r="E3599" t="s">
        <v>885</v>
      </c>
      <c r="F3599" t="s">
        <v>37</v>
      </c>
      <c r="G3599" t="s">
        <v>45</v>
      </c>
      <c r="H3599" t="s">
        <v>28</v>
      </c>
      <c r="I3599" t="s">
        <v>29</v>
      </c>
      <c r="J3599" t="s">
        <v>46</v>
      </c>
      <c r="K3599" s="2">
        <v>11800</v>
      </c>
      <c r="L3599" s="2">
        <v>6500</v>
      </c>
      <c r="M3599">
        <v>24</v>
      </c>
      <c r="N3599" s="3">
        <v>0.124</v>
      </c>
      <c r="O3599" t="s">
        <v>16</v>
      </c>
      <c r="Q3599">
        <v>1</v>
      </c>
      <c r="R3599">
        <v>0</v>
      </c>
      <c r="S3599" s="2">
        <v>6500</v>
      </c>
      <c r="T3599" s="4">
        <v>0.11020000000000001</v>
      </c>
      <c r="U3599">
        <v>2</v>
      </c>
      <c r="V3599">
        <v>1</v>
      </c>
      <c r="W3599">
        <v>1</v>
      </c>
    </row>
    <row r="3600" spans="1:23" ht="16.5" x14ac:dyDescent="0.3">
      <c r="A3600" t="s">
        <v>3664</v>
      </c>
      <c r="B3600" s="1">
        <v>45806</v>
      </c>
      <c r="C3600">
        <v>2025</v>
      </c>
      <c r="D3600" t="s">
        <v>688</v>
      </c>
      <c r="E3600" t="s">
        <v>885</v>
      </c>
      <c r="F3600" t="s">
        <v>26</v>
      </c>
      <c r="G3600" t="s">
        <v>33</v>
      </c>
      <c r="H3600" t="s">
        <v>55</v>
      </c>
      <c r="I3600" t="s">
        <v>39</v>
      </c>
      <c r="J3600" t="s">
        <v>35</v>
      </c>
      <c r="K3600" s="2">
        <v>4100</v>
      </c>
      <c r="L3600" s="2">
        <v>24500</v>
      </c>
      <c r="M3600">
        <v>36</v>
      </c>
      <c r="N3600" s="3">
        <v>0.41099999999999998</v>
      </c>
      <c r="O3600" t="s">
        <v>16</v>
      </c>
      <c r="Q3600">
        <v>1</v>
      </c>
      <c r="R3600">
        <v>0</v>
      </c>
      <c r="S3600" s="2">
        <v>22000</v>
      </c>
      <c r="T3600" s="4">
        <v>8.2500000000000004E-2</v>
      </c>
      <c r="U3600">
        <v>1</v>
      </c>
      <c r="V3600">
        <v>1</v>
      </c>
      <c r="W3600">
        <v>1</v>
      </c>
    </row>
    <row r="3601" spans="1:23" ht="16.5" x14ac:dyDescent="0.3">
      <c r="A3601" t="s">
        <v>3665</v>
      </c>
      <c r="B3601" s="1">
        <v>45806</v>
      </c>
      <c r="C3601">
        <v>2025</v>
      </c>
      <c r="D3601" t="s">
        <v>688</v>
      </c>
      <c r="E3601" t="s">
        <v>885</v>
      </c>
      <c r="F3601" t="s">
        <v>26</v>
      </c>
      <c r="G3601" t="s">
        <v>51</v>
      </c>
      <c r="H3601" t="s">
        <v>64</v>
      </c>
      <c r="I3601" t="s">
        <v>39</v>
      </c>
      <c r="J3601" t="s">
        <v>30</v>
      </c>
      <c r="K3601" s="2">
        <v>6100</v>
      </c>
      <c r="L3601" s="2">
        <v>26500</v>
      </c>
      <c r="M3601">
        <v>48</v>
      </c>
      <c r="N3601" s="3">
        <v>0.253</v>
      </c>
      <c r="O3601" t="s">
        <v>16</v>
      </c>
      <c r="Q3601">
        <v>1</v>
      </c>
      <c r="R3601">
        <v>0</v>
      </c>
      <c r="S3601" s="2">
        <v>26500</v>
      </c>
      <c r="T3601" s="4">
        <v>9.9400000000000002E-2</v>
      </c>
      <c r="U3601">
        <v>6</v>
      </c>
      <c r="V3601">
        <v>0</v>
      </c>
      <c r="W3601">
        <v>1</v>
      </c>
    </row>
    <row r="3602" spans="1:23" ht="16.5" x14ac:dyDescent="0.3">
      <c r="A3602" t="s">
        <v>3666</v>
      </c>
      <c r="B3602" s="1">
        <v>45807</v>
      </c>
      <c r="C3602">
        <v>2025</v>
      </c>
      <c r="D3602" t="s">
        <v>688</v>
      </c>
      <c r="E3602" t="s">
        <v>885</v>
      </c>
      <c r="F3602" t="s">
        <v>37</v>
      </c>
      <c r="G3602" t="s">
        <v>51</v>
      </c>
      <c r="H3602" t="s">
        <v>38</v>
      </c>
      <c r="I3602" t="s">
        <v>29</v>
      </c>
      <c r="J3602" t="s">
        <v>46</v>
      </c>
      <c r="K3602" s="2">
        <v>8700</v>
      </c>
      <c r="L3602" s="2">
        <v>13500</v>
      </c>
      <c r="M3602">
        <v>12</v>
      </c>
      <c r="N3602" s="3">
        <v>0.32500000000000001</v>
      </c>
      <c r="O3602" t="s">
        <v>17</v>
      </c>
      <c r="P3602" t="s">
        <v>31</v>
      </c>
      <c r="Q3602">
        <v>0</v>
      </c>
      <c r="R3602">
        <v>1</v>
      </c>
      <c r="S3602" s="2">
        <v>0</v>
      </c>
      <c r="T3602" s="4"/>
      <c r="U3602">
        <v>3</v>
      </c>
      <c r="V3602">
        <v>1</v>
      </c>
      <c r="W3602">
        <v>1</v>
      </c>
    </row>
    <row r="3603" spans="1:23" ht="16.5" x14ac:dyDescent="0.3">
      <c r="A3603" t="s">
        <v>3667</v>
      </c>
      <c r="B3603" s="1">
        <v>45807</v>
      </c>
      <c r="C3603">
        <v>2025</v>
      </c>
      <c r="D3603" t="s">
        <v>688</v>
      </c>
      <c r="E3603" t="s">
        <v>885</v>
      </c>
      <c r="F3603" t="s">
        <v>26</v>
      </c>
      <c r="G3603" t="s">
        <v>51</v>
      </c>
      <c r="H3603" t="s">
        <v>64</v>
      </c>
      <c r="I3603" t="s">
        <v>42</v>
      </c>
      <c r="J3603" t="s">
        <v>35</v>
      </c>
      <c r="K3603" s="2">
        <v>3850</v>
      </c>
      <c r="L3603" s="2">
        <v>46000</v>
      </c>
      <c r="M3603">
        <v>60</v>
      </c>
      <c r="N3603" s="3">
        <v>0.32400000000000001</v>
      </c>
      <c r="O3603" t="s">
        <v>16</v>
      </c>
      <c r="Q3603">
        <v>1</v>
      </c>
      <c r="R3603">
        <v>0</v>
      </c>
      <c r="S3603" s="2">
        <v>46000</v>
      </c>
      <c r="T3603" s="4">
        <v>8.1299999999999997E-2</v>
      </c>
      <c r="U3603">
        <v>6</v>
      </c>
      <c r="V3603">
        <v>0</v>
      </c>
      <c r="W3603">
        <v>1</v>
      </c>
    </row>
    <row r="3604" spans="1:23" ht="16.5" x14ac:dyDescent="0.3">
      <c r="A3604" t="s">
        <v>3668</v>
      </c>
      <c r="B3604" s="1">
        <v>45807</v>
      </c>
      <c r="C3604">
        <v>2025</v>
      </c>
      <c r="D3604" t="s">
        <v>688</v>
      </c>
      <c r="E3604" t="s">
        <v>885</v>
      </c>
      <c r="F3604" t="s">
        <v>37</v>
      </c>
      <c r="G3604" t="s">
        <v>45</v>
      </c>
      <c r="H3604" t="s">
        <v>34</v>
      </c>
      <c r="I3604" t="s">
        <v>29</v>
      </c>
      <c r="J3604" t="s">
        <v>43</v>
      </c>
      <c r="K3604" s="2">
        <v>6650</v>
      </c>
      <c r="L3604" s="2">
        <v>8000</v>
      </c>
      <c r="M3604">
        <v>60</v>
      </c>
      <c r="N3604" s="3">
        <v>0.23899999999999999</v>
      </c>
      <c r="O3604" t="s">
        <v>16</v>
      </c>
      <c r="Q3604">
        <v>1</v>
      </c>
      <c r="R3604">
        <v>0</v>
      </c>
      <c r="S3604" s="2">
        <v>7000</v>
      </c>
      <c r="T3604" s="4">
        <v>0.15920000000000001</v>
      </c>
      <c r="U3604">
        <v>1</v>
      </c>
      <c r="V3604">
        <v>1</v>
      </c>
      <c r="W3604">
        <v>1</v>
      </c>
    </row>
    <row r="3605" spans="1:23" ht="16.5" x14ac:dyDescent="0.3">
      <c r="A3605" t="s">
        <v>3669</v>
      </c>
      <c r="B3605" s="1">
        <v>45807</v>
      </c>
      <c r="C3605">
        <v>2025</v>
      </c>
      <c r="D3605" t="s">
        <v>688</v>
      </c>
      <c r="E3605" t="s">
        <v>885</v>
      </c>
      <c r="F3605" t="s">
        <v>37</v>
      </c>
      <c r="G3605" t="s">
        <v>33</v>
      </c>
      <c r="H3605" t="s">
        <v>34</v>
      </c>
      <c r="I3605" t="s">
        <v>29</v>
      </c>
      <c r="J3605" t="s">
        <v>30</v>
      </c>
      <c r="K3605" s="2">
        <v>7150</v>
      </c>
      <c r="L3605" s="2">
        <v>19500</v>
      </c>
      <c r="M3605">
        <v>60</v>
      </c>
      <c r="N3605" s="3">
        <v>0.25900000000000001</v>
      </c>
      <c r="O3605" t="s">
        <v>16</v>
      </c>
      <c r="Q3605">
        <v>1</v>
      </c>
      <c r="R3605">
        <v>0</v>
      </c>
      <c r="S3605" s="2">
        <v>19500</v>
      </c>
      <c r="T3605" s="4">
        <v>0.14030000000000001</v>
      </c>
      <c r="U3605">
        <v>2</v>
      </c>
      <c r="V3605">
        <v>1</v>
      </c>
      <c r="W3605">
        <v>1</v>
      </c>
    </row>
    <row r="3606" spans="1:23" ht="16.5" x14ac:dyDescent="0.3">
      <c r="A3606" t="s">
        <v>3670</v>
      </c>
      <c r="B3606" s="1">
        <v>45807</v>
      </c>
      <c r="C3606">
        <v>2025</v>
      </c>
      <c r="D3606" t="s">
        <v>688</v>
      </c>
      <c r="E3606" t="s">
        <v>885</v>
      </c>
      <c r="F3606" t="s">
        <v>37</v>
      </c>
      <c r="G3606" t="s">
        <v>51</v>
      </c>
      <c r="H3606" t="s">
        <v>34</v>
      </c>
      <c r="I3606" t="s">
        <v>29</v>
      </c>
      <c r="J3606" t="s">
        <v>43</v>
      </c>
      <c r="K3606" s="2">
        <v>10150</v>
      </c>
      <c r="L3606" s="2">
        <v>18000</v>
      </c>
      <c r="M3606">
        <v>12</v>
      </c>
      <c r="N3606" s="3">
        <v>0.246</v>
      </c>
      <c r="O3606" t="s">
        <v>17</v>
      </c>
      <c r="P3606" t="s">
        <v>31</v>
      </c>
      <c r="Q3606">
        <v>0</v>
      </c>
      <c r="R3606">
        <v>1</v>
      </c>
      <c r="S3606" s="2">
        <v>0</v>
      </c>
      <c r="T3606" s="4"/>
      <c r="U3606">
        <v>5</v>
      </c>
      <c r="V3606">
        <v>0</v>
      </c>
      <c r="W3606">
        <v>1</v>
      </c>
    </row>
    <row r="3607" spans="1:23" ht="16.5" x14ac:dyDescent="0.3">
      <c r="A3607" t="s">
        <v>3671</v>
      </c>
      <c r="B3607" s="1">
        <v>45807</v>
      </c>
      <c r="C3607">
        <v>2025</v>
      </c>
      <c r="D3607" t="s">
        <v>688</v>
      </c>
      <c r="E3607" t="s">
        <v>885</v>
      </c>
      <c r="F3607" t="s">
        <v>37</v>
      </c>
      <c r="G3607" t="s">
        <v>51</v>
      </c>
      <c r="H3607" t="s">
        <v>38</v>
      </c>
      <c r="I3607" t="s">
        <v>29</v>
      </c>
      <c r="J3607" t="s">
        <v>52</v>
      </c>
      <c r="K3607" s="2">
        <v>5400</v>
      </c>
      <c r="L3607" s="2">
        <v>18500</v>
      </c>
      <c r="M3607">
        <v>24</v>
      </c>
      <c r="N3607" s="3">
        <v>0.35799999999999998</v>
      </c>
      <c r="O3607" t="s">
        <v>16</v>
      </c>
      <c r="Q3607">
        <v>1</v>
      </c>
      <c r="R3607">
        <v>0</v>
      </c>
      <c r="S3607" s="2">
        <v>18500</v>
      </c>
      <c r="T3607" s="4">
        <v>0.11899999999999999</v>
      </c>
      <c r="U3607">
        <v>3</v>
      </c>
      <c r="V3607">
        <v>1</v>
      </c>
      <c r="W3607">
        <v>1</v>
      </c>
    </row>
    <row r="3608" spans="1:23" ht="16.5" x14ac:dyDescent="0.3">
      <c r="A3608" t="s">
        <v>3672</v>
      </c>
      <c r="B3608" s="1">
        <v>45807</v>
      </c>
      <c r="C3608">
        <v>2025</v>
      </c>
      <c r="D3608" t="s">
        <v>688</v>
      </c>
      <c r="E3608" t="s">
        <v>885</v>
      </c>
      <c r="F3608" t="s">
        <v>37</v>
      </c>
      <c r="G3608" t="s">
        <v>27</v>
      </c>
      <c r="H3608" t="s">
        <v>34</v>
      </c>
      <c r="I3608" t="s">
        <v>29</v>
      </c>
      <c r="J3608" t="s">
        <v>46</v>
      </c>
      <c r="K3608" s="2">
        <v>3300</v>
      </c>
      <c r="L3608" s="2">
        <v>15000</v>
      </c>
      <c r="M3608">
        <v>24</v>
      </c>
      <c r="N3608" s="3">
        <v>0.371</v>
      </c>
      <c r="O3608" t="s">
        <v>17</v>
      </c>
      <c r="P3608" t="s">
        <v>60</v>
      </c>
      <c r="Q3608">
        <v>0</v>
      </c>
      <c r="R3608">
        <v>1</v>
      </c>
      <c r="S3608" s="2">
        <v>0</v>
      </c>
      <c r="T3608" s="4"/>
      <c r="U3608">
        <v>6</v>
      </c>
      <c r="V3608">
        <v>0</v>
      </c>
      <c r="W3608">
        <v>1</v>
      </c>
    </row>
    <row r="3609" spans="1:23" ht="16.5" x14ac:dyDescent="0.3">
      <c r="A3609" t="s">
        <v>3673</v>
      </c>
      <c r="B3609" s="1">
        <v>45807</v>
      </c>
      <c r="C3609">
        <v>2025</v>
      </c>
      <c r="D3609" t="s">
        <v>688</v>
      </c>
      <c r="E3609" t="s">
        <v>885</v>
      </c>
      <c r="F3609" t="s">
        <v>37</v>
      </c>
      <c r="G3609" t="s">
        <v>33</v>
      </c>
      <c r="H3609" t="s">
        <v>28</v>
      </c>
      <c r="I3609" t="s">
        <v>29</v>
      </c>
      <c r="J3609" t="s">
        <v>35</v>
      </c>
      <c r="K3609" s="2">
        <v>8300</v>
      </c>
      <c r="L3609" s="2">
        <v>12500</v>
      </c>
      <c r="M3609">
        <v>60</v>
      </c>
      <c r="N3609" s="3">
        <v>0.249</v>
      </c>
      <c r="O3609" t="s">
        <v>16</v>
      </c>
      <c r="Q3609">
        <v>1</v>
      </c>
      <c r="R3609">
        <v>0</v>
      </c>
      <c r="S3609" s="2">
        <v>12500</v>
      </c>
      <c r="T3609" s="4">
        <v>0.12609999999999999</v>
      </c>
      <c r="U3609">
        <v>1</v>
      </c>
      <c r="V3609">
        <v>1</v>
      </c>
      <c r="W3609">
        <v>1</v>
      </c>
    </row>
    <row r="3610" spans="1:23" ht="16.5" x14ac:dyDescent="0.3">
      <c r="A3610" t="s">
        <v>3674</v>
      </c>
      <c r="B3610" s="1">
        <v>45807</v>
      </c>
      <c r="C3610">
        <v>2025</v>
      </c>
      <c r="D3610" t="s">
        <v>688</v>
      </c>
      <c r="E3610" t="s">
        <v>885</v>
      </c>
      <c r="F3610" t="s">
        <v>37</v>
      </c>
      <c r="G3610" t="s">
        <v>51</v>
      </c>
      <c r="H3610" t="s">
        <v>34</v>
      </c>
      <c r="I3610" t="s">
        <v>39</v>
      </c>
      <c r="J3610" t="s">
        <v>35</v>
      </c>
      <c r="K3610" s="2">
        <v>4000</v>
      </c>
      <c r="L3610" s="2">
        <v>9500</v>
      </c>
      <c r="M3610">
        <v>24</v>
      </c>
      <c r="N3610" s="3">
        <v>0.17499999999999999</v>
      </c>
      <c r="O3610" t="s">
        <v>17</v>
      </c>
      <c r="P3610" t="s">
        <v>65</v>
      </c>
      <c r="Q3610">
        <v>0</v>
      </c>
      <c r="R3610">
        <v>1</v>
      </c>
      <c r="S3610" s="2">
        <v>0</v>
      </c>
      <c r="T3610" s="4"/>
      <c r="U3610">
        <v>3</v>
      </c>
      <c r="V3610">
        <v>1</v>
      </c>
      <c r="W3610">
        <v>1</v>
      </c>
    </row>
    <row r="3611" spans="1:23" ht="16.5" x14ac:dyDescent="0.3">
      <c r="A3611" t="s">
        <v>3675</v>
      </c>
      <c r="B3611" s="1">
        <v>45807</v>
      </c>
      <c r="C3611">
        <v>2025</v>
      </c>
      <c r="D3611" t="s">
        <v>688</v>
      </c>
      <c r="E3611" t="s">
        <v>885</v>
      </c>
      <c r="F3611" t="s">
        <v>26</v>
      </c>
      <c r="G3611" t="s">
        <v>45</v>
      </c>
      <c r="H3611" t="s">
        <v>38</v>
      </c>
      <c r="I3611" t="s">
        <v>39</v>
      </c>
      <c r="J3611" t="s">
        <v>30</v>
      </c>
      <c r="K3611" s="2">
        <v>6950</v>
      </c>
      <c r="L3611" s="2">
        <v>17000</v>
      </c>
      <c r="M3611">
        <v>60</v>
      </c>
      <c r="N3611" s="3">
        <v>0.159</v>
      </c>
      <c r="O3611" t="s">
        <v>16</v>
      </c>
      <c r="Q3611">
        <v>1</v>
      </c>
      <c r="R3611">
        <v>0</v>
      </c>
      <c r="S3611" s="2">
        <v>15500</v>
      </c>
      <c r="T3611" s="4">
        <v>9.4E-2</v>
      </c>
      <c r="U3611">
        <v>1</v>
      </c>
      <c r="V3611">
        <v>1</v>
      </c>
      <c r="W3611">
        <v>1</v>
      </c>
    </row>
    <row r="3612" spans="1:23" ht="16.5" x14ac:dyDescent="0.3">
      <c r="A3612" t="s">
        <v>3676</v>
      </c>
      <c r="B3612" s="1">
        <v>45808</v>
      </c>
      <c r="C3612">
        <v>2025</v>
      </c>
      <c r="D3612" t="s">
        <v>688</v>
      </c>
      <c r="E3612" t="s">
        <v>885</v>
      </c>
      <c r="F3612" t="s">
        <v>50</v>
      </c>
      <c r="G3612" t="s">
        <v>51</v>
      </c>
      <c r="H3612" t="s">
        <v>34</v>
      </c>
      <c r="I3612" t="s">
        <v>29</v>
      </c>
      <c r="J3612" t="s">
        <v>43</v>
      </c>
      <c r="K3612" s="2">
        <v>6950</v>
      </c>
      <c r="L3612" s="2">
        <v>195500</v>
      </c>
      <c r="M3612">
        <v>300</v>
      </c>
      <c r="N3612" s="3">
        <v>0.28000000000000003</v>
      </c>
      <c r="O3612" t="s">
        <v>17</v>
      </c>
      <c r="P3612" t="s">
        <v>31</v>
      </c>
      <c r="Q3612">
        <v>0</v>
      </c>
      <c r="R3612">
        <v>1</v>
      </c>
      <c r="S3612" s="2">
        <v>0</v>
      </c>
      <c r="T3612" s="4"/>
      <c r="U3612">
        <v>13</v>
      </c>
      <c r="V3612">
        <v>1</v>
      </c>
      <c r="W3612">
        <v>1</v>
      </c>
    </row>
    <row r="3613" spans="1:23" ht="16.5" x14ac:dyDescent="0.3">
      <c r="A3613" t="s">
        <v>3677</v>
      </c>
      <c r="B3613" s="1">
        <v>45808</v>
      </c>
      <c r="C3613">
        <v>2025</v>
      </c>
      <c r="D3613" t="s">
        <v>688</v>
      </c>
      <c r="E3613" t="s">
        <v>885</v>
      </c>
      <c r="F3613" t="s">
        <v>37</v>
      </c>
      <c r="G3613" t="s">
        <v>27</v>
      </c>
      <c r="H3613" t="s">
        <v>38</v>
      </c>
      <c r="I3613" t="s">
        <v>42</v>
      </c>
      <c r="J3613" t="s">
        <v>30</v>
      </c>
      <c r="K3613" s="2">
        <v>5150</v>
      </c>
      <c r="L3613" s="2">
        <v>18500</v>
      </c>
      <c r="M3613">
        <v>24</v>
      </c>
      <c r="N3613" s="3">
        <v>0.251</v>
      </c>
      <c r="O3613" t="s">
        <v>17</v>
      </c>
      <c r="P3613" t="s">
        <v>31</v>
      </c>
      <c r="Q3613">
        <v>0</v>
      </c>
      <c r="R3613">
        <v>1</v>
      </c>
      <c r="S3613" s="2">
        <v>0</v>
      </c>
      <c r="T3613" s="4"/>
      <c r="U3613">
        <v>2</v>
      </c>
      <c r="V3613">
        <v>1</v>
      </c>
      <c r="W3613">
        <v>1</v>
      </c>
    </row>
    <row r="3614" spans="1:23" ht="16.5" x14ac:dyDescent="0.3">
      <c r="A3614" t="s">
        <v>3678</v>
      </c>
      <c r="B3614" s="1">
        <v>45808</v>
      </c>
      <c r="C3614">
        <v>2025</v>
      </c>
      <c r="D3614" t="s">
        <v>688</v>
      </c>
      <c r="E3614" t="s">
        <v>885</v>
      </c>
      <c r="F3614" t="s">
        <v>37</v>
      </c>
      <c r="G3614" t="s">
        <v>27</v>
      </c>
      <c r="H3614" t="s">
        <v>38</v>
      </c>
      <c r="I3614" t="s">
        <v>39</v>
      </c>
      <c r="J3614" t="s">
        <v>52</v>
      </c>
      <c r="K3614" s="2">
        <v>8600</v>
      </c>
      <c r="L3614" s="2">
        <v>10000</v>
      </c>
      <c r="M3614">
        <v>60</v>
      </c>
      <c r="N3614" s="3">
        <v>0.14399999999999999</v>
      </c>
      <c r="O3614" t="s">
        <v>16</v>
      </c>
      <c r="Q3614">
        <v>1</v>
      </c>
      <c r="R3614">
        <v>0</v>
      </c>
      <c r="S3614" s="2">
        <v>10000</v>
      </c>
      <c r="T3614" s="4">
        <v>0.1158</v>
      </c>
      <c r="U3614">
        <v>3</v>
      </c>
      <c r="V3614">
        <v>1</v>
      </c>
      <c r="W3614">
        <v>1</v>
      </c>
    </row>
    <row r="3615" spans="1:23" ht="16.5" x14ac:dyDescent="0.3">
      <c r="A3615" t="s">
        <v>3679</v>
      </c>
      <c r="B3615" s="1">
        <v>45810</v>
      </c>
      <c r="C3615">
        <v>2025</v>
      </c>
      <c r="D3615" t="s">
        <v>688</v>
      </c>
      <c r="E3615" t="s">
        <v>1096</v>
      </c>
      <c r="F3615" t="s">
        <v>37</v>
      </c>
      <c r="G3615" t="s">
        <v>33</v>
      </c>
      <c r="H3615" t="s">
        <v>38</v>
      </c>
      <c r="I3615" t="s">
        <v>29</v>
      </c>
      <c r="J3615" t="s">
        <v>52</v>
      </c>
      <c r="K3615" s="2">
        <v>2950</v>
      </c>
      <c r="L3615" s="2">
        <v>21000</v>
      </c>
      <c r="M3615">
        <v>12</v>
      </c>
      <c r="N3615" s="3">
        <v>0.71799999999999997</v>
      </c>
      <c r="O3615" t="s">
        <v>17</v>
      </c>
      <c r="P3615" t="s">
        <v>53</v>
      </c>
      <c r="Q3615">
        <v>0</v>
      </c>
      <c r="R3615">
        <v>1</v>
      </c>
      <c r="S3615" s="2">
        <v>0</v>
      </c>
      <c r="T3615" s="4"/>
      <c r="U3615">
        <v>2</v>
      </c>
      <c r="V3615">
        <v>1</v>
      </c>
      <c r="W3615">
        <v>1</v>
      </c>
    </row>
    <row r="3616" spans="1:23" ht="16.5" x14ac:dyDescent="0.3">
      <c r="A3616" t="s">
        <v>3680</v>
      </c>
      <c r="B3616" s="1">
        <v>45810</v>
      </c>
      <c r="C3616">
        <v>2025</v>
      </c>
      <c r="D3616" t="s">
        <v>688</v>
      </c>
      <c r="E3616" t="s">
        <v>1096</v>
      </c>
      <c r="F3616" t="s">
        <v>37</v>
      </c>
      <c r="G3616" t="s">
        <v>51</v>
      </c>
      <c r="H3616" t="s">
        <v>55</v>
      </c>
      <c r="I3616" t="s">
        <v>39</v>
      </c>
      <c r="J3616" t="s">
        <v>30</v>
      </c>
      <c r="K3616" s="2">
        <v>4600</v>
      </c>
      <c r="L3616" s="2">
        <v>22500</v>
      </c>
      <c r="M3616">
        <v>48</v>
      </c>
      <c r="N3616" s="3">
        <v>0.312</v>
      </c>
      <c r="O3616" t="s">
        <v>17</v>
      </c>
      <c r="P3616" t="s">
        <v>31</v>
      </c>
      <c r="Q3616">
        <v>0</v>
      </c>
      <c r="R3616">
        <v>1</v>
      </c>
      <c r="S3616" s="2">
        <v>0</v>
      </c>
      <c r="T3616" s="4"/>
      <c r="U3616">
        <v>5</v>
      </c>
      <c r="V3616">
        <v>0</v>
      </c>
      <c r="W3616">
        <v>1</v>
      </c>
    </row>
    <row r="3617" spans="1:23" ht="16.5" x14ac:dyDescent="0.3">
      <c r="A3617" t="s">
        <v>3681</v>
      </c>
      <c r="B3617" s="1">
        <v>45810</v>
      </c>
      <c r="C3617">
        <v>2025</v>
      </c>
      <c r="D3617" t="s">
        <v>688</v>
      </c>
      <c r="E3617" t="s">
        <v>1096</v>
      </c>
      <c r="F3617" t="s">
        <v>41</v>
      </c>
      <c r="G3617" t="s">
        <v>51</v>
      </c>
      <c r="H3617" t="s">
        <v>38</v>
      </c>
      <c r="I3617" t="s">
        <v>42</v>
      </c>
      <c r="J3617" t="s">
        <v>46</v>
      </c>
      <c r="K3617" s="2">
        <v>7250</v>
      </c>
      <c r="L3617" s="2">
        <v>171000</v>
      </c>
      <c r="M3617">
        <v>12</v>
      </c>
      <c r="N3617" s="3">
        <v>2.1579999999999999</v>
      </c>
      <c r="O3617" t="s">
        <v>17</v>
      </c>
      <c r="P3617" t="s">
        <v>53</v>
      </c>
      <c r="Q3617">
        <v>0</v>
      </c>
      <c r="R3617">
        <v>1</v>
      </c>
      <c r="S3617" s="2">
        <v>0</v>
      </c>
      <c r="T3617" s="4"/>
      <c r="U3617">
        <v>9</v>
      </c>
      <c r="V3617">
        <v>1</v>
      </c>
      <c r="W3617">
        <v>1</v>
      </c>
    </row>
    <row r="3618" spans="1:23" ht="16.5" x14ac:dyDescent="0.3">
      <c r="A3618" t="s">
        <v>3682</v>
      </c>
      <c r="B3618" s="1">
        <v>45810</v>
      </c>
      <c r="C3618">
        <v>2025</v>
      </c>
      <c r="D3618" t="s">
        <v>688</v>
      </c>
      <c r="E3618" t="s">
        <v>1096</v>
      </c>
      <c r="F3618" t="s">
        <v>26</v>
      </c>
      <c r="G3618" t="s">
        <v>51</v>
      </c>
      <c r="H3618" t="s">
        <v>34</v>
      </c>
      <c r="I3618" t="s">
        <v>39</v>
      </c>
      <c r="J3618" t="s">
        <v>30</v>
      </c>
      <c r="K3618" s="2">
        <v>5300</v>
      </c>
      <c r="L3618" s="2">
        <v>40000</v>
      </c>
      <c r="M3618">
        <v>60</v>
      </c>
      <c r="N3618" s="3">
        <v>0.318</v>
      </c>
      <c r="O3618" t="s">
        <v>17</v>
      </c>
      <c r="P3618" t="s">
        <v>31</v>
      </c>
      <c r="Q3618">
        <v>0</v>
      </c>
      <c r="R3618">
        <v>1</v>
      </c>
      <c r="S3618" s="2">
        <v>0</v>
      </c>
      <c r="T3618" s="4"/>
      <c r="U3618">
        <v>6</v>
      </c>
      <c r="V3618">
        <v>0</v>
      </c>
      <c r="W3618">
        <v>1</v>
      </c>
    </row>
    <row r="3619" spans="1:23" ht="16.5" x14ac:dyDescent="0.3">
      <c r="A3619" t="s">
        <v>3683</v>
      </c>
      <c r="B3619" s="1">
        <v>45810</v>
      </c>
      <c r="C3619">
        <v>2025</v>
      </c>
      <c r="D3619" t="s">
        <v>688</v>
      </c>
      <c r="E3619" t="s">
        <v>1096</v>
      </c>
      <c r="F3619" t="s">
        <v>37</v>
      </c>
      <c r="G3619" t="s">
        <v>51</v>
      </c>
      <c r="H3619" t="s">
        <v>55</v>
      </c>
      <c r="I3619" t="s">
        <v>29</v>
      </c>
      <c r="J3619" t="s">
        <v>35</v>
      </c>
      <c r="K3619" s="2">
        <v>4050</v>
      </c>
      <c r="L3619" s="2">
        <v>10000</v>
      </c>
      <c r="M3619">
        <v>12</v>
      </c>
      <c r="N3619" s="3">
        <v>0.33500000000000002</v>
      </c>
      <c r="O3619" t="s">
        <v>16</v>
      </c>
      <c r="Q3619">
        <v>1</v>
      </c>
      <c r="R3619">
        <v>0</v>
      </c>
      <c r="S3619" s="2">
        <v>10000</v>
      </c>
      <c r="T3619" s="4">
        <v>0.12920000000000001</v>
      </c>
      <c r="U3619">
        <v>4</v>
      </c>
      <c r="V3619">
        <v>0</v>
      </c>
      <c r="W3619">
        <v>1</v>
      </c>
    </row>
    <row r="3620" spans="1:23" ht="16.5" x14ac:dyDescent="0.3">
      <c r="A3620" t="s">
        <v>3684</v>
      </c>
      <c r="B3620" s="1">
        <v>45810</v>
      </c>
      <c r="C3620">
        <v>2025</v>
      </c>
      <c r="D3620" t="s">
        <v>688</v>
      </c>
      <c r="E3620" t="s">
        <v>1096</v>
      </c>
      <c r="F3620" t="s">
        <v>41</v>
      </c>
      <c r="G3620" t="s">
        <v>45</v>
      </c>
      <c r="H3620" t="s">
        <v>34</v>
      </c>
      <c r="I3620" t="s">
        <v>42</v>
      </c>
      <c r="J3620" t="s">
        <v>52</v>
      </c>
      <c r="K3620" s="2">
        <v>3200</v>
      </c>
      <c r="L3620" s="2">
        <v>44000</v>
      </c>
      <c r="M3620">
        <v>24</v>
      </c>
      <c r="N3620" s="3">
        <v>0.83099999999999996</v>
      </c>
      <c r="O3620" t="s">
        <v>16</v>
      </c>
      <c r="Q3620">
        <v>1</v>
      </c>
      <c r="R3620">
        <v>0</v>
      </c>
      <c r="S3620" s="2">
        <v>44000</v>
      </c>
      <c r="T3620" s="4">
        <v>9.6799999999999997E-2</v>
      </c>
      <c r="U3620">
        <v>3</v>
      </c>
      <c r="V3620">
        <v>1</v>
      </c>
      <c r="W3620">
        <v>1</v>
      </c>
    </row>
    <row r="3621" spans="1:23" ht="16.5" x14ac:dyDescent="0.3">
      <c r="A3621" t="s">
        <v>3685</v>
      </c>
      <c r="B3621" s="1">
        <v>45811</v>
      </c>
      <c r="C3621">
        <v>2025</v>
      </c>
      <c r="D3621" t="s">
        <v>688</v>
      </c>
      <c r="E3621" t="s">
        <v>1096</v>
      </c>
      <c r="F3621" t="s">
        <v>26</v>
      </c>
      <c r="G3621" t="s">
        <v>27</v>
      </c>
      <c r="H3621" t="s">
        <v>38</v>
      </c>
      <c r="I3621" t="s">
        <v>29</v>
      </c>
      <c r="J3621" t="s">
        <v>46</v>
      </c>
      <c r="K3621" s="2">
        <v>5500</v>
      </c>
      <c r="L3621" s="2">
        <v>13500</v>
      </c>
      <c r="M3621">
        <v>48</v>
      </c>
      <c r="N3621" s="3">
        <v>0.151</v>
      </c>
      <c r="O3621" t="s">
        <v>16</v>
      </c>
      <c r="Q3621">
        <v>1</v>
      </c>
      <c r="R3621">
        <v>0</v>
      </c>
      <c r="S3621" s="2">
        <v>11000</v>
      </c>
      <c r="T3621" s="4">
        <v>6.5699999999999995E-2</v>
      </c>
      <c r="U3621">
        <v>3</v>
      </c>
      <c r="V3621">
        <v>1</v>
      </c>
      <c r="W3621">
        <v>1</v>
      </c>
    </row>
    <row r="3622" spans="1:23" ht="16.5" x14ac:dyDescent="0.3">
      <c r="A3622" t="s">
        <v>3686</v>
      </c>
      <c r="B3622" s="1">
        <v>45811</v>
      </c>
      <c r="C3622">
        <v>2025</v>
      </c>
      <c r="D3622" t="s">
        <v>688</v>
      </c>
      <c r="E3622" t="s">
        <v>1096</v>
      </c>
      <c r="F3622" t="s">
        <v>37</v>
      </c>
      <c r="G3622" t="s">
        <v>33</v>
      </c>
      <c r="H3622" t="s">
        <v>55</v>
      </c>
      <c r="I3622" t="s">
        <v>29</v>
      </c>
      <c r="J3622" t="s">
        <v>35</v>
      </c>
      <c r="K3622" s="2">
        <v>3900</v>
      </c>
      <c r="L3622" s="2">
        <v>10000</v>
      </c>
      <c r="M3622">
        <v>24</v>
      </c>
      <c r="N3622" s="3">
        <v>0.32100000000000001</v>
      </c>
      <c r="O3622" t="s">
        <v>16</v>
      </c>
      <c r="Q3622">
        <v>1</v>
      </c>
      <c r="R3622">
        <v>0</v>
      </c>
      <c r="S3622" s="2">
        <v>10000</v>
      </c>
      <c r="T3622" s="4">
        <v>0.1293</v>
      </c>
      <c r="U3622">
        <v>1</v>
      </c>
      <c r="V3622">
        <v>1</v>
      </c>
      <c r="W3622">
        <v>1</v>
      </c>
    </row>
    <row r="3623" spans="1:23" ht="16.5" x14ac:dyDescent="0.3">
      <c r="A3623" t="s">
        <v>3687</v>
      </c>
      <c r="B3623" s="1">
        <v>45811</v>
      </c>
      <c r="C3623">
        <v>2025</v>
      </c>
      <c r="D3623" t="s">
        <v>688</v>
      </c>
      <c r="E3623" t="s">
        <v>1096</v>
      </c>
      <c r="F3623" t="s">
        <v>37</v>
      </c>
      <c r="G3623" t="s">
        <v>45</v>
      </c>
      <c r="H3623" t="s">
        <v>55</v>
      </c>
      <c r="I3623" t="s">
        <v>42</v>
      </c>
      <c r="J3623" t="s">
        <v>46</v>
      </c>
      <c r="K3623" s="2">
        <v>5300</v>
      </c>
      <c r="L3623" s="2">
        <v>7000</v>
      </c>
      <c r="M3623">
        <v>36</v>
      </c>
      <c r="N3623" s="3">
        <v>0.214</v>
      </c>
      <c r="O3623" t="s">
        <v>16</v>
      </c>
      <c r="Q3623">
        <v>1</v>
      </c>
      <c r="R3623">
        <v>0</v>
      </c>
      <c r="S3623" s="2">
        <v>6500</v>
      </c>
      <c r="T3623" s="4">
        <v>0.1094</v>
      </c>
      <c r="U3623">
        <v>2</v>
      </c>
      <c r="V3623">
        <v>1</v>
      </c>
      <c r="W3623">
        <v>1</v>
      </c>
    </row>
    <row r="3624" spans="1:23" ht="16.5" x14ac:dyDescent="0.3">
      <c r="A3624" t="s">
        <v>3688</v>
      </c>
      <c r="B3624" s="1">
        <v>45811</v>
      </c>
      <c r="C3624">
        <v>2025</v>
      </c>
      <c r="D3624" t="s">
        <v>688</v>
      </c>
      <c r="E3624" t="s">
        <v>1096</v>
      </c>
      <c r="F3624" t="s">
        <v>26</v>
      </c>
      <c r="G3624" t="s">
        <v>51</v>
      </c>
      <c r="H3624" t="s">
        <v>38</v>
      </c>
      <c r="I3624" t="s">
        <v>39</v>
      </c>
      <c r="J3624" t="s">
        <v>52</v>
      </c>
      <c r="K3624" s="2">
        <v>3600</v>
      </c>
      <c r="L3624" s="2">
        <v>21000</v>
      </c>
      <c r="M3624">
        <v>48</v>
      </c>
      <c r="N3624" s="3">
        <v>0.26100000000000001</v>
      </c>
      <c r="O3624" t="s">
        <v>16</v>
      </c>
      <c r="Q3624">
        <v>1</v>
      </c>
      <c r="R3624">
        <v>0</v>
      </c>
      <c r="S3624" s="2">
        <v>21000</v>
      </c>
      <c r="T3624" s="4">
        <v>7.1400000000000005E-2</v>
      </c>
      <c r="U3624">
        <v>7</v>
      </c>
      <c r="V3624">
        <v>0</v>
      </c>
      <c r="W3624">
        <v>1</v>
      </c>
    </row>
    <row r="3625" spans="1:23" ht="16.5" x14ac:dyDescent="0.3">
      <c r="A3625" t="s">
        <v>3689</v>
      </c>
      <c r="B3625" s="1">
        <v>45811</v>
      </c>
      <c r="C3625">
        <v>2025</v>
      </c>
      <c r="D3625" t="s">
        <v>688</v>
      </c>
      <c r="E3625" t="s">
        <v>1096</v>
      </c>
      <c r="F3625" t="s">
        <v>26</v>
      </c>
      <c r="G3625" t="s">
        <v>33</v>
      </c>
      <c r="H3625" t="s">
        <v>64</v>
      </c>
      <c r="I3625" t="s">
        <v>42</v>
      </c>
      <c r="J3625" t="s">
        <v>30</v>
      </c>
      <c r="K3625" s="2">
        <v>4000</v>
      </c>
      <c r="L3625" s="2">
        <v>36000</v>
      </c>
      <c r="M3625">
        <v>36</v>
      </c>
      <c r="N3625" s="3">
        <v>0.44500000000000001</v>
      </c>
      <c r="O3625" t="s">
        <v>17</v>
      </c>
      <c r="P3625" t="s">
        <v>31</v>
      </c>
      <c r="Q3625">
        <v>0</v>
      </c>
      <c r="R3625">
        <v>1</v>
      </c>
      <c r="S3625" s="2">
        <v>0</v>
      </c>
      <c r="T3625" s="4"/>
      <c r="U3625">
        <v>1</v>
      </c>
      <c r="V3625">
        <v>1</v>
      </c>
      <c r="W3625">
        <v>1</v>
      </c>
    </row>
    <row r="3626" spans="1:23" ht="16.5" x14ac:dyDescent="0.3">
      <c r="A3626" t="s">
        <v>3690</v>
      </c>
      <c r="B3626" s="1">
        <v>45811</v>
      </c>
      <c r="C3626">
        <v>2025</v>
      </c>
      <c r="D3626" t="s">
        <v>688</v>
      </c>
      <c r="E3626" t="s">
        <v>1096</v>
      </c>
      <c r="F3626" t="s">
        <v>50</v>
      </c>
      <c r="G3626" t="s">
        <v>51</v>
      </c>
      <c r="H3626" t="s">
        <v>38</v>
      </c>
      <c r="I3626" t="s">
        <v>29</v>
      </c>
      <c r="J3626" t="s">
        <v>35</v>
      </c>
      <c r="K3626" s="2">
        <v>6200</v>
      </c>
      <c r="L3626" s="2">
        <v>285000</v>
      </c>
      <c r="M3626">
        <v>180</v>
      </c>
      <c r="N3626" s="3">
        <v>0.50700000000000001</v>
      </c>
      <c r="O3626" t="s">
        <v>16</v>
      </c>
      <c r="Q3626">
        <v>1</v>
      </c>
      <c r="R3626">
        <v>0</v>
      </c>
      <c r="S3626" s="2">
        <v>285000</v>
      </c>
      <c r="T3626" s="4">
        <v>5.8200000000000002E-2</v>
      </c>
      <c r="U3626">
        <v>23</v>
      </c>
      <c r="V3626">
        <v>0</v>
      </c>
      <c r="W3626">
        <v>1</v>
      </c>
    </row>
    <row r="3627" spans="1:23" ht="16.5" x14ac:dyDescent="0.3">
      <c r="A3627" t="s">
        <v>3691</v>
      </c>
      <c r="B3627" s="1">
        <v>45812</v>
      </c>
      <c r="C3627">
        <v>2025</v>
      </c>
      <c r="D3627" t="s">
        <v>688</v>
      </c>
      <c r="E3627" t="s">
        <v>1096</v>
      </c>
      <c r="F3627" t="s">
        <v>41</v>
      </c>
      <c r="G3627" t="s">
        <v>51</v>
      </c>
      <c r="H3627" t="s">
        <v>34</v>
      </c>
      <c r="I3627" t="s">
        <v>42</v>
      </c>
      <c r="J3627" t="s">
        <v>46</v>
      </c>
      <c r="K3627" s="2">
        <v>3950</v>
      </c>
      <c r="L3627" s="2">
        <v>42000</v>
      </c>
      <c r="M3627">
        <v>36</v>
      </c>
      <c r="N3627" s="3">
        <v>0.55500000000000005</v>
      </c>
      <c r="O3627" t="s">
        <v>17</v>
      </c>
      <c r="P3627" t="s">
        <v>53</v>
      </c>
      <c r="Q3627">
        <v>0</v>
      </c>
      <c r="R3627">
        <v>1</v>
      </c>
      <c r="S3627" s="2">
        <v>0</v>
      </c>
      <c r="T3627" s="4"/>
      <c r="U3627">
        <v>15</v>
      </c>
      <c r="V3627">
        <v>0</v>
      </c>
      <c r="W3627">
        <v>1</v>
      </c>
    </row>
    <row r="3628" spans="1:23" ht="16.5" x14ac:dyDescent="0.3">
      <c r="A3628" t="s">
        <v>3692</v>
      </c>
      <c r="B3628" s="1">
        <v>45812</v>
      </c>
      <c r="C3628">
        <v>2025</v>
      </c>
      <c r="D3628" t="s">
        <v>688</v>
      </c>
      <c r="E3628" t="s">
        <v>1096</v>
      </c>
      <c r="F3628" t="s">
        <v>37</v>
      </c>
      <c r="G3628" t="s">
        <v>51</v>
      </c>
      <c r="H3628" t="s">
        <v>55</v>
      </c>
      <c r="I3628" t="s">
        <v>42</v>
      </c>
      <c r="J3628" t="s">
        <v>52</v>
      </c>
      <c r="K3628" s="2">
        <v>18350</v>
      </c>
      <c r="L3628" s="2">
        <v>16000</v>
      </c>
      <c r="M3628">
        <v>24</v>
      </c>
      <c r="N3628" s="3">
        <v>0.2</v>
      </c>
      <c r="O3628" t="s">
        <v>16</v>
      </c>
      <c r="Q3628">
        <v>1</v>
      </c>
      <c r="R3628">
        <v>0</v>
      </c>
      <c r="S3628" s="2">
        <v>16000</v>
      </c>
      <c r="T3628" s="4">
        <v>0.1113</v>
      </c>
      <c r="U3628">
        <v>4</v>
      </c>
      <c r="V3628">
        <v>0</v>
      </c>
      <c r="W3628">
        <v>1</v>
      </c>
    </row>
    <row r="3629" spans="1:23" ht="16.5" x14ac:dyDescent="0.3">
      <c r="A3629" t="s">
        <v>3693</v>
      </c>
      <c r="B3629" s="1">
        <v>45812</v>
      </c>
      <c r="C3629">
        <v>2025</v>
      </c>
      <c r="D3629" t="s">
        <v>688</v>
      </c>
      <c r="E3629" t="s">
        <v>1096</v>
      </c>
      <c r="F3629" t="s">
        <v>50</v>
      </c>
      <c r="G3629" t="s">
        <v>51</v>
      </c>
      <c r="H3629" t="s">
        <v>38</v>
      </c>
      <c r="I3629" t="s">
        <v>39</v>
      </c>
      <c r="J3629" t="s">
        <v>30</v>
      </c>
      <c r="K3629" s="2">
        <v>6300</v>
      </c>
      <c r="L3629" s="2">
        <v>235000</v>
      </c>
      <c r="M3629">
        <v>240</v>
      </c>
      <c r="N3629" s="3">
        <v>0.42399999999999999</v>
      </c>
      <c r="O3629" t="s">
        <v>16</v>
      </c>
      <c r="Q3629">
        <v>1</v>
      </c>
      <c r="R3629">
        <v>0</v>
      </c>
      <c r="S3629" s="2">
        <v>235000</v>
      </c>
      <c r="T3629" s="4">
        <v>7.7100000000000002E-2</v>
      </c>
      <c r="U3629">
        <v>13</v>
      </c>
      <c r="V3629">
        <v>1</v>
      </c>
      <c r="W3629">
        <v>1</v>
      </c>
    </row>
    <row r="3630" spans="1:23" ht="16.5" x14ac:dyDescent="0.3">
      <c r="A3630" t="s">
        <v>3694</v>
      </c>
      <c r="B3630" s="1">
        <v>45812</v>
      </c>
      <c r="C3630">
        <v>2025</v>
      </c>
      <c r="D3630" t="s">
        <v>688</v>
      </c>
      <c r="E3630" t="s">
        <v>1096</v>
      </c>
      <c r="F3630" t="s">
        <v>26</v>
      </c>
      <c r="G3630" t="s">
        <v>45</v>
      </c>
      <c r="H3630" t="s">
        <v>34</v>
      </c>
      <c r="I3630" t="s">
        <v>39</v>
      </c>
      <c r="J3630" t="s">
        <v>30</v>
      </c>
      <c r="K3630" s="2">
        <v>3600</v>
      </c>
      <c r="L3630" s="2">
        <v>29000</v>
      </c>
      <c r="M3630">
        <v>36</v>
      </c>
      <c r="N3630" s="3">
        <v>0.34300000000000003</v>
      </c>
      <c r="O3630" t="s">
        <v>16</v>
      </c>
      <c r="Q3630">
        <v>1</v>
      </c>
      <c r="R3630">
        <v>0</v>
      </c>
      <c r="S3630" s="2">
        <v>26000</v>
      </c>
      <c r="T3630" s="4">
        <v>0.10199999999999999</v>
      </c>
      <c r="U3630">
        <v>2</v>
      </c>
      <c r="V3630">
        <v>1</v>
      </c>
      <c r="W3630">
        <v>1</v>
      </c>
    </row>
    <row r="3631" spans="1:23" ht="16.5" x14ac:dyDescent="0.3">
      <c r="A3631" t="s">
        <v>3695</v>
      </c>
      <c r="B3631" s="1">
        <v>45812</v>
      </c>
      <c r="C3631">
        <v>2025</v>
      </c>
      <c r="D3631" t="s">
        <v>688</v>
      </c>
      <c r="E3631" t="s">
        <v>1096</v>
      </c>
      <c r="F3631" t="s">
        <v>50</v>
      </c>
      <c r="G3631" t="s">
        <v>51</v>
      </c>
      <c r="H3631" t="s">
        <v>38</v>
      </c>
      <c r="I3631" t="s">
        <v>39</v>
      </c>
      <c r="J3631" t="s">
        <v>46</v>
      </c>
      <c r="K3631" s="2">
        <v>4200</v>
      </c>
      <c r="L3631" s="2">
        <v>197500</v>
      </c>
      <c r="M3631">
        <v>300</v>
      </c>
      <c r="N3631" s="3">
        <v>0.47399999999999998</v>
      </c>
      <c r="O3631" t="s">
        <v>17</v>
      </c>
      <c r="P3631" t="s">
        <v>53</v>
      </c>
      <c r="Q3631">
        <v>0</v>
      </c>
      <c r="R3631">
        <v>1</v>
      </c>
      <c r="S3631" s="2">
        <v>0</v>
      </c>
      <c r="T3631" s="4"/>
      <c r="U3631">
        <v>22</v>
      </c>
      <c r="V3631">
        <v>0</v>
      </c>
      <c r="W3631">
        <v>1</v>
      </c>
    </row>
    <row r="3632" spans="1:23" ht="16.5" x14ac:dyDescent="0.3">
      <c r="A3632" t="s">
        <v>3696</v>
      </c>
      <c r="B3632" s="1">
        <v>45812</v>
      </c>
      <c r="C3632">
        <v>2025</v>
      </c>
      <c r="D3632" t="s">
        <v>688</v>
      </c>
      <c r="E3632" t="s">
        <v>1096</v>
      </c>
      <c r="F3632" t="s">
        <v>37</v>
      </c>
      <c r="G3632" t="s">
        <v>33</v>
      </c>
      <c r="H3632" t="s">
        <v>55</v>
      </c>
      <c r="I3632" t="s">
        <v>29</v>
      </c>
      <c r="J3632" t="s">
        <v>52</v>
      </c>
      <c r="K3632" s="2">
        <v>4800</v>
      </c>
      <c r="L3632" s="2">
        <v>8000</v>
      </c>
      <c r="M3632">
        <v>24</v>
      </c>
      <c r="N3632" s="3">
        <v>0.30299999999999999</v>
      </c>
      <c r="O3632" t="s">
        <v>17</v>
      </c>
      <c r="P3632" t="s">
        <v>60</v>
      </c>
      <c r="Q3632">
        <v>0</v>
      </c>
      <c r="R3632">
        <v>1</v>
      </c>
      <c r="S3632" s="2">
        <v>0</v>
      </c>
      <c r="T3632" s="4"/>
      <c r="U3632">
        <v>7</v>
      </c>
      <c r="V3632">
        <v>0</v>
      </c>
      <c r="W3632">
        <v>1</v>
      </c>
    </row>
    <row r="3633" spans="1:23" ht="16.5" x14ac:dyDescent="0.3">
      <c r="A3633" t="s">
        <v>3697</v>
      </c>
      <c r="B3633" s="1">
        <v>45812</v>
      </c>
      <c r="C3633">
        <v>2025</v>
      </c>
      <c r="D3633" t="s">
        <v>688</v>
      </c>
      <c r="E3633" t="s">
        <v>1096</v>
      </c>
      <c r="F3633" t="s">
        <v>26</v>
      </c>
      <c r="G3633" t="s">
        <v>51</v>
      </c>
      <c r="H3633" t="s">
        <v>55</v>
      </c>
      <c r="I3633" t="s">
        <v>42</v>
      </c>
      <c r="J3633" t="s">
        <v>52</v>
      </c>
      <c r="K3633" s="2">
        <v>3350</v>
      </c>
      <c r="L3633" s="2">
        <v>46500</v>
      </c>
      <c r="M3633">
        <v>48</v>
      </c>
      <c r="N3633" s="3">
        <v>0.40500000000000003</v>
      </c>
      <c r="O3633" t="s">
        <v>16</v>
      </c>
      <c r="Q3633">
        <v>1</v>
      </c>
      <c r="R3633">
        <v>0</v>
      </c>
      <c r="S3633" s="2">
        <v>37000</v>
      </c>
      <c r="T3633" s="4">
        <v>6.8599999999999994E-2</v>
      </c>
      <c r="U3633">
        <v>4</v>
      </c>
      <c r="V3633">
        <v>1</v>
      </c>
      <c r="W3633">
        <v>1</v>
      </c>
    </row>
    <row r="3634" spans="1:23" ht="16.5" x14ac:dyDescent="0.3">
      <c r="A3634" t="s">
        <v>3698</v>
      </c>
      <c r="B3634" s="1">
        <v>45812</v>
      </c>
      <c r="C3634">
        <v>2025</v>
      </c>
      <c r="D3634" t="s">
        <v>688</v>
      </c>
      <c r="E3634" t="s">
        <v>1096</v>
      </c>
      <c r="F3634" t="s">
        <v>41</v>
      </c>
      <c r="G3634" t="s">
        <v>33</v>
      </c>
      <c r="H3634" t="s">
        <v>38</v>
      </c>
      <c r="I3634" t="s">
        <v>29</v>
      </c>
      <c r="J3634" t="s">
        <v>46</v>
      </c>
      <c r="K3634" s="2">
        <v>3250</v>
      </c>
      <c r="L3634" s="2">
        <v>109500</v>
      </c>
      <c r="M3634">
        <v>60</v>
      </c>
      <c r="N3634" s="3">
        <v>0.81499999999999995</v>
      </c>
      <c r="O3634" t="s">
        <v>16</v>
      </c>
      <c r="Q3634">
        <v>1</v>
      </c>
      <c r="R3634">
        <v>0</v>
      </c>
      <c r="S3634" s="2">
        <v>98500</v>
      </c>
      <c r="T3634" s="4">
        <v>9.0800000000000006E-2</v>
      </c>
      <c r="U3634">
        <v>4</v>
      </c>
      <c r="V3634">
        <v>1</v>
      </c>
      <c r="W3634">
        <v>1</v>
      </c>
    </row>
    <row r="3635" spans="1:23" ht="16.5" x14ac:dyDescent="0.3">
      <c r="A3635" t="s">
        <v>3699</v>
      </c>
      <c r="B3635" s="1">
        <v>45812</v>
      </c>
      <c r="C3635">
        <v>2025</v>
      </c>
      <c r="D3635" t="s">
        <v>688</v>
      </c>
      <c r="E3635" t="s">
        <v>1096</v>
      </c>
      <c r="F3635" t="s">
        <v>37</v>
      </c>
      <c r="G3635" t="s">
        <v>45</v>
      </c>
      <c r="H3635" t="s">
        <v>34</v>
      </c>
      <c r="I3635" t="s">
        <v>29</v>
      </c>
      <c r="J3635" t="s">
        <v>30</v>
      </c>
      <c r="K3635" s="2">
        <v>10500</v>
      </c>
      <c r="L3635" s="2">
        <v>12000</v>
      </c>
      <c r="M3635">
        <v>36</v>
      </c>
      <c r="N3635" s="3">
        <v>0.11700000000000001</v>
      </c>
      <c r="O3635" t="s">
        <v>17</v>
      </c>
      <c r="P3635" t="s">
        <v>65</v>
      </c>
      <c r="Q3635">
        <v>0</v>
      </c>
      <c r="R3635">
        <v>1</v>
      </c>
      <c r="S3635" s="2">
        <v>0</v>
      </c>
      <c r="T3635" s="4"/>
      <c r="U3635">
        <v>2</v>
      </c>
      <c r="V3635">
        <v>1</v>
      </c>
      <c r="W3635">
        <v>1</v>
      </c>
    </row>
    <row r="3636" spans="1:23" ht="16.5" x14ac:dyDescent="0.3">
      <c r="A3636" t="s">
        <v>3700</v>
      </c>
      <c r="B3636" s="1">
        <v>45812</v>
      </c>
      <c r="C3636">
        <v>2025</v>
      </c>
      <c r="D3636" t="s">
        <v>688</v>
      </c>
      <c r="E3636" t="s">
        <v>1096</v>
      </c>
      <c r="F3636" t="s">
        <v>37</v>
      </c>
      <c r="G3636" t="s">
        <v>51</v>
      </c>
      <c r="H3636" t="s">
        <v>55</v>
      </c>
      <c r="I3636" t="s">
        <v>39</v>
      </c>
      <c r="J3636" t="s">
        <v>52</v>
      </c>
      <c r="K3636" s="2">
        <v>4150</v>
      </c>
      <c r="L3636" s="2">
        <v>13000</v>
      </c>
      <c r="M3636">
        <v>12</v>
      </c>
      <c r="N3636" s="3">
        <v>0.44600000000000001</v>
      </c>
      <c r="O3636" t="s">
        <v>16</v>
      </c>
      <c r="Q3636">
        <v>1</v>
      </c>
      <c r="R3636">
        <v>0</v>
      </c>
      <c r="S3636" s="2">
        <v>13000</v>
      </c>
      <c r="T3636" s="4">
        <v>0.1113</v>
      </c>
      <c r="U3636">
        <v>2</v>
      </c>
      <c r="V3636">
        <v>1</v>
      </c>
      <c r="W3636">
        <v>1</v>
      </c>
    </row>
    <row r="3637" spans="1:23" ht="16.5" x14ac:dyDescent="0.3">
      <c r="A3637" t="s">
        <v>3701</v>
      </c>
      <c r="B3637" s="1">
        <v>45813</v>
      </c>
      <c r="C3637">
        <v>2025</v>
      </c>
      <c r="D3637" t="s">
        <v>688</v>
      </c>
      <c r="E3637" t="s">
        <v>1096</v>
      </c>
      <c r="F3637" t="s">
        <v>37</v>
      </c>
      <c r="G3637" t="s">
        <v>33</v>
      </c>
      <c r="H3637" t="s">
        <v>38</v>
      </c>
      <c r="I3637" t="s">
        <v>39</v>
      </c>
      <c r="J3637" t="s">
        <v>52</v>
      </c>
      <c r="K3637" s="2">
        <v>9650</v>
      </c>
      <c r="L3637" s="2">
        <v>14000</v>
      </c>
      <c r="M3637">
        <v>48</v>
      </c>
      <c r="N3637" s="3">
        <v>0.27900000000000003</v>
      </c>
      <c r="O3637" t="s">
        <v>16</v>
      </c>
      <c r="Q3637">
        <v>1</v>
      </c>
      <c r="R3637">
        <v>0</v>
      </c>
      <c r="S3637" s="2">
        <v>14000</v>
      </c>
      <c r="T3637" s="4">
        <v>0.11650000000000001</v>
      </c>
      <c r="U3637">
        <v>1</v>
      </c>
      <c r="V3637">
        <v>1</v>
      </c>
      <c r="W3637">
        <v>1</v>
      </c>
    </row>
    <row r="3638" spans="1:23" ht="16.5" x14ac:dyDescent="0.3">
      <c r="A3638" t="s">
        <v>3702</v>
      </c>
      <c r="B3638" s="1">
        <v>45813</v>
      </c>
      <c r="C3638">
        <v>2025</v>
      </c>
      <c r="D3638" t="s">
        <v>688</v>
      </c>
      <c r="E3638" t="s">
        <v>1096</v>
      </c>
      <c r="F3638" t="s">
        <v>50</v>
      </c>
      <c r="G3638" t="s">
        <v>45</v>
      </c>
      <c r="H3638" t="s">
        <v>38</v>
      </c>
      <c r="I3638" t="s">
        <v>42</v>
      </c>
      <c r="J3638" t="s">
        <v>52</v>
      </c>
      <c r="K3638" s="2">
        <v>8250</v>
      </c>
      <c r="L3638" s="2">
        <v>327000</v>
      </c>
      <c r="M3638">
        <v>180</v>
      </c>
      <c r="N3638" s="3">
        <v>0.53900000000000003</v>
      </c>
      <c r="O3638" t="s">
        <v>16</v>
      </c>
      <c r="Q3638">
        <v>1</v>
      </c>
      <c r="R3638">
        <v>0</v>
      </c>
      <c r="S3638" s="2">
        <v>327000</v>
      </c>
      <c r="T3638" s="4">
        <v>5.2200000000000003E-2</v>
      </c>
      <c r="U3638">
        <v>6</v>
      </c>
      <c r="V3638">
        <v>1</v>
      </c>
      <c r="W3638">
        <v>1</v>
      </c>
    </row>
    <row r="3639" spans="1:23" ht="16.5" x14ac:dyDescent="0.3">
      <c r="A3639" t="s">
        <v>3703</v>
      </c>
      <c r="B3639" s="1">
        <v>45813</v>
      </c>
      <c r="C3639">
        <v>2025</v>
      </c>
      <c r="D3639" t="s">
        <v>688</v>
      </c>
      <c r="E3639" t="s">
        <v>1096</v>
      </c>
      <c r="F3639" t="s">
        <v>26</v>
      </c>
      <c r="G3639" t="s">
        <v>33</v>
      </c>
      <c r="H3639" t="s">
        <v>38</v>
      </c>
      <c r="I3639" t="s">
        <v>29</v>
      </c>
      <c r="J3639" t="s">
        <v>46</v>
      </c>
      <c r="K3639" s="2">
        <v>4300</v>
      </c>
      <c r="L3639" s="2">
        <v>32500</v>
      </c>
      <c r="M3639">
        <v>48</v>
      </c>
      <c r="N3639" s="3">
        <v>0.23699999999999999</v>
      </c>
      <c r="O3639" t="s">
        <v>16</v>
      </c>
      <c r="Q3639">
        <v>1</v>
      </c>
      <c r="R3639">
        <v>0</v>
      </c>
      <c r="S3639" s="2">
        <v>26000</v>
      </c>
      <c r="T3639" s="4">
        <v>6.6000000000000003E-2</v>
      </c>
      <c r="U3639">
        <v>2</v>
      </c>
      <c r="V3639">
        <v>1</v>
      </c>
      <c r="W3639">
        <v>1</v>
      </c>
    </row>
    <row r="3640" spans="1:23" ht="16.5" x14ac:dyDescent="0.3">
      <c r="A3640" t="s">
        <v>3704</v>
      </c>
      <c r="B3640" s="1">
        <v>45813</v>
      </c>
      <c r="C3640">
        <v>2025</v>
      </c>
      <c r="D3640" t="s">
        <v>688</v>
      </c>
      <c r="E3640" t="s">
        <v>1096</v>
      </c>
      <c r="F3640" t="s">
        <v>37</v>
      </c>
      <c r="G3640" t="s">
        <v>33</v>
      </c>
      <c r="H3640" t="s">
        <v>34</v>
      </c>
      <c r="I3640" t="s">
        <v>39</v>
      </c>
      <c r="J3640" t="s">
        <v>46</v>
      </c>
      <c r="K3640" s="2">
        <v>6400</v>
      </c>
      <c r="L3640" s="2">
        <v>8500</v>
      </c>
      <c r="M3640">
        <v>24</v>
      </c>
      <c r="N3640" s="3">
        <v>0.252</v>
      </c>
      <c r="O3640" t="s">
        <v>16</v>
      </c>
      <c r="Q3640">
        <v>1</v>
      </c>
      <c r="R3640">
        <v>0</v>
      </c>
      <c r="S3640" s="2">
        <v>7500</v>
      </c>
      <c r="T3640" s="4">
        <v>0.11020000000000001</v>
      </c>
      <c r="U3640">
        <v>2</v>
      </c>
      <c r="V3640">
        <v>1</v>
      </c>
      <c r="W3640">
        <v>1</v>
      </c>
    </row>
    <row r="3641" spans="1:23" ht="16.5" x14ac:dyDescent="0.3">
      <c r="A3641" t="s">
        <v>3705</v>
      </c>
      <c r="B3641" s="1">
        <v>45813</v>
      </c>
      <c r="C3641">
        <v>2025</v>
      </c>
      <c r="D3641" t="s">
        <v>688</v>
      </c>
      <c r="E3641" t="s">
        <v>1096</v>
      </c>
      <c r="F3641" t="s">
        <v>37</v>
      </c>
      <c r="G3641" t="s">
        <v>33</v>
      </c>
      <c r="H3641" t="s">
        <v>38</v>
      </c>
      <c r="I3641" t="s">
        <v>29</v>
      </c>
      <c r="J3641" t="s">
        <v>46</v>
      </c>
      <c r="K3641" s="2">
        <v>4900</v>
      </c>
      <c r="L3641" s="2">
        <v>7000</v>
      </c>
      <c r="M3641">
        <v>36</v>
      </c>
      <c r="N3641" s="3">
        <v>0.13500000000000001</v>
      </c>
      <c r="O3641" t="s">
        <v>16</v>
      </c>
      <c r="Q3641">
        <v>1</v>
      </c>
      <c r="R3641">
        <v>0</v>
      </c>
      <c r="S3641" s="2">
        <v>7000</v>
      </c>
      <c r="T3641" s="4">
        <v>0.1094</v>
      </c>
      <c r="U3641">
        <v>1</v>
      </c>
      <c r="V3641">
        <v>1</v>
      </c>
      <c r="W3641">
        <v>1</v>
      </c>
    </row>
    <row r="3642" spans="1:23" ht="16.5" x14ac:dyDescent="0.3">
      <c r="A3642" t="s">
        <v>3706</v>
      </c>
      <c r="B3642" s="1">
        <v>45813</v>
      </c>
      <c r="C3642">
        <v>2025</v>
      </c>
      <c r="D3642" t="s">
        <v>688</v>
      </c>
      <c r="E3642" t="s">
        <v>1096</v>
      </c>
      <c r="F3642" t="s">
        <v>26</v>
      </c>
      <c r="G3642" t="s">
        <v>51</v>
      </c>
      <c r="H3642" t="s">
        <v>64</v>
      </c>
      <c r="I3642" t="s">
        <v>29</v>
      </c>
      <c r="J3642" t="s">
        <v>35</v>
      </c>
      <c r="K3642" s="2">
        <v>3800</v>
      </c>
      <c r="L3642" s="2">
        <v>21500</v>
      </c>
      <c r="M3642">
        <v>36</v>
      </c>
      <c r="N3642" s="3">
        <v>0.26500000000000001</v>
      </c>
      <c r="O3642" t="s">
        <v>16</v>
      </c>
      <c r="Q3642">
        <v>1</v>
      </c>
      <c r="R3642">
        <v>0</v>
      </c>
      <c r="S3642" s="2">
        <v>19500</v>
      </c>
      <c r="T3642" s="4">
        <v>7.8700000000000006E-2</v>
      </c>
      <c r="U3642">
        <v>6</v>
      </c>
      <c r="V3642">
        <v>0</v>
      </c>
      <c r="W3642">
        <v>1</v>
      </c>
    </row>
    <row r="3643" spans="1:23" ht="16.5" x14ac:dyDescent="0.3">
      <c r="A3643" t="s">
        <v>3707</v>
      </c>
      <c r="B3643" s="1">
        <v>45813</v>
      </c>
      <c r="C3643">
        <v>2025</v>
      </c>
      <c r="D3643" t="s">
        <v>688</v>
      </c>
      <c r="E3643" t="s">
        <v>1096</v>
      </c>
      <c r="F3643" t="s">
        <v>26</v>
      </c>
      <c r="G3643" t="s">
        <v>45</v>
      </c>
      <c r="H3643" t="s">
        <v>38</v>
      </c>
      <c r="I3643" t="s">
        <v>29</v>
      </c>
      <c r="J3643" t="s">
        <v>30</v>
      </c>
      <c r="K3643" s="2">
        <v>6000</v>
      </c>
      <c r="L3643" s="2">
        <v>33500</v>
      </c>
      <c r="M3643">
        <v>60</v>
      </c>
      <c r="N3643" s="3">
        <v>0.23100000000000001</v>
      </c>
      <c r="O3643" t="s">
        <v>17</v>
      </c>
      <c r="P3643" t="s">
        <v>31</v>
      </c>
      <c r="Q3643">
        <v>0</v>
      </c>
      <c r="R3643">
        <v>1</v>
      </c>
      <c r="S3643" s="2">
        <v>0</v>
      </c>
      <c r="T3643" s="4"/>
      <c r="U3643">
        <v>1</v>
      </c>
      <c r="V3643">
        <v>1</v>
      </c>
      <c r="W3643">
        <v>1</v>
      </c>
    </row>
    <row r="3644" spans="1:23" ht="16.5" x14ac:dyDescent="0.3">
      <c r="A3644" t="s">
        <v>3708</v>
      </c>
      <c r="B3644" s="1">
        <v>45813</v>
      </c>
      <c r="C3644">
        <v>2025</v>
      </c>
      <c r="D3644" t="s">
        <v>688</v>
      </c>
      <c r="E3644" t="s">
        <v>1096</v>
      </c>
      <c r="F3644" t="s">
        <v>37</v>
      </c>
      <c r="G3644" t="s">
        <v>33</v>
      </c>
      <c r="H3644" t="s">
        <v>38</v>
      </c>
      <c r="I3644" t="s">
        <v>42</v>
      </c>
      <c r="J3644" t="s">
        <v>52</v>
      </c>
      <c r="K3644" s="2">
        <v>17500</v>
      </c>
      <c r="L3644" s="2">
        <v>23000</v>
      </c>
      <c r="M3644">
        <v>12</v>
      </c>
      <c r="N3644" s="3">
        <v>0.17</v>
      </c>
      <c r="O3644" t="s">
        <v>16</v>
      </c>
      <c r="Q3644">
        <v>1</v>
      </c>
      <c r="R3644">
        <v>0</v>
      </c>
      <c r="S3644" s="2">
        <v>20500</v>
      </c>
      <c r="T3644" s="4">
        <v>0.1123</v>
      </c>
      <c r="U3644">
        <v>1</v>
      </c>
      <c r="V3644">
        <v>1</v>
      </c>
      <c r="W3644">
        <v>1</v>
      </c>
    </row>
    <row r="3645" spans="1:23" ht="16.5" x14ac:dyDescent="0.3">
      <c r="A3645" t="s">
        <v>3709</v>
      </c>
      <c r="B3645" s="1">
        <v>45814</v>
      </c>
      <c r="C3645">
        <v>2025</v>
      </c>
      <c r="D3645" t="s">
        <v>688</v>
      </c>
      <c r="E3645" t="s">
        <v>1096</v>
      </c>
      <c r="F3645" t="s">
        <v>37</v>
      </c>
      <c r="G3645" t="s">
        <v>51</v>
      </c>
      <c r="H3645" t="s">
        <v>55</v>
      </c>
      <c r="I3645" t="s">
        <v>29</v>
      </c>
      <c r="J3645" t="s">
        <v>35</v>
      </c>
      <c r="K3645" s="2">
        <v>4050</v>
      </c>
      <c r="L3645" s="2">
        <v>15500</v>
      </c>
      <c r="M3645">
        <v>36</v>
      </c>
      <c r="N3645" s="3">
        <v>0.25900000000000001</v>
      </c>
      <c r="O3645" t="s">
        <v>16</v>
      </c>
      <c r="Q3645">
        <v>1</v>
      </c>
      <c r="R3645">
        <v>0</v>
      </c>
      <c r="S3645" s="2">
        <v>15500</v>
      </c>
      <c r="T3645" s="4">
        <v>0.1241</v>
      </c>
      <c r="U3645">
        <v>4</v>
      </c>
      <c r="V3645">
        <v>0</v>
      </c>
      <c r="W3645">
        <v>1</v>
      </c>
    </row>
    <row r="3646" spans="1:23" ht="16.5" x14ac:dyDescent="0.3">
      <c r="A3646" t="s">
        <v>3710</v>
      </c>
      <c r="B3646" s="1">
        <v>45814</v>
      </c>
      <c r="C3646">
        <v>2025</v>
      </c>
      <c r="D3646" t="s">
        <v>688</v>
      </c>
      <c r="E3646" t="s">
        <v>1096</v>
      </c>
      <c r="F3646" t="s">
        <v>37</v>
      </c>
      <c r="G3646" t="s">
        <v>51</v>
      </c>
      <c r="H3646" t="s">
        <v>28</v>
      </c>
      <c r="I3646" t="s">
        <v>42</v>
      </c>
      <c r="J3646" t="s">
        <v>30</v>
      </c>
      <c r="K3646" s="2">
        <v>10100</v>
      </c>
      <c r="L3646" s="2">
        <v>19000</v>
      </c>
      <c r="M3646">
        <v>36</v>
      </c>
      <c r="N3646" s="3">
        <v>0.2</v>
      </c>
      <c r="O3646" t="s">
        <v>16</v>
      </c>
      <c r="Q3646">
        <v>1</v>
      </c>
      <c r="R3646">
        <v>0</v>
      </c>
      <c r="S3646" s="2">
        <v>17000</v>
      </c>
      <c r="T3646" s="4">
        <v>0.1363</v>
      </c>
      <c r="U3646">
        <v>5</v>
      </c>
      <c r="V3646">
        <v>0</v>
      </c>
      <c r="W3646">
        <v>1</v>
      </c>
    </row>
    <row r="3647" spans="1:23" ht="16.5" x14ac:dyDescent="0.3">
      <c r="A3647" t="s">
        <v>3711</v>
      </c>
      <c r="B3647" s="1">
        <v>45814</v>
      </c>
      <c r="C3647">
        <v>2025</v>
      </c>
      <c r="D3647" t="s">
        <v>688</v>
      </c>
      <c r="E3647" t="s">
        <v>1096</v>
      </c>
      <c r="F3647" t="s">
        <v>37</v>
      </c>
      <c r="G3647" t="s">
        <v>51</v>
      </c>
      <c r="H3647" t="s">
        <v>38</v>
      </c>
      <c r="I3647" t="s">
        <v>39</v>
      </c>
      <c r="J3647" t="s">
        <v>35</v>
      </c>
      <c r="K3647" s="2">
        <v>5650</v>
      </c>
      <c r="L3647" s="2">
        <v>14500</v>
      </c>
      <c r="M3647">
        <v>12</v>
      </c>
      <c r="N3647" s="3">
        <v>0.39200000000000002</v>
      </c>
      <c r="O3647" t="s">
        <v>16</v>
      </c>
      <c r="Q3647">
        <v>1</v>
      </c>
      <c r="R3647">
        <v>0</v>
      </c>
      <c r="S3647" s="2">
        <v>14500</v>
      </c>
      <c r="T3647" s="4">
        <v>0.1245</v>
      </c>
      <c r="U3647">
        <v>3</v>
      </c>
      <c r="V3647">
        <v>1</v>
      </c>
      <c r="W3647">
        <v>1</v>
      </c>
    </row>
    <row r="3648" spans="1:23" ht="16.5" x14ac:dyDescent="0.3">
      <c r="A3648" t="s">
        <v>3712</v>
      </c>
      <c r="B3648" s="1">
        <v>45814</v>
      </c>
      <c r="C3648">
        <v>2025</v>
      </c>
      <c r="D3648" t="s">
        <v>688</v>
      </c>
      <c r="E3648" t="s">
        <v>1096</v>
      </c>
      <c r="F3648" t="s">
        <v>37</v>
      </c>
      <c r="G3648" t="s">
        <v>45</v>
      </c>
      <c r="H3648" t="s">
        <v>55</v>
      </c>
      <c r="I3648" t="s">
        <v>29</v>
      </c>
      <c r="J3648" t="s">
        <v>30</v>
      </c>
      <c r="K3648" s="2">
        <v>4250</v>
      </c>
      <c r="L3648" s="2">
        <v>7000</v>
      </c>
      <c r="M3648">
        <v>24</v>
      </c>
      <c r="N3648" s="3">
        <v>0.17100000000000001</v>
      </c>
      <c r="O3648" t="s">
        <v>17</v>
      </c>
      <c r="P3648" t="s">
        <v>65</v>
      </c>
      <c r="Q3648">
        <v>0</v>
      </c>
      <c r="R3648">
        <v>1</v>
      </c>
      <c r="S3648" s="2">
        <v>0</v>
      </c>
      <c r="T3648" s="4"/>
      <c r="U3648">
        <v>3</v>
      </c>
      <c r="V3648">
        <v>1</v>
      </c>
      <c r="W3648">
        <v>1</v>
      </c>
    </row>
    <row r="3649" spans="1:23" ht="16.5" x14ac:dyDescent="0.3">
      <c r="A3649" t="s">
        <v>3713</v>
      </c>
      <c r="B3649" s="1">
        <v>45814</v>
      </c>
      <c r="C3649">
        <v>2025</v>
      </c>
      <c r="D3649" t="s">
        <v>688</v>
      </c>
      <c r="E3649" t="s">
        <v>1096</v>
      </c>
      <c r="F3649" t="s">
        <v>41</v>
      </c>
      <c r="G3649" t="s">
        <v>33</v>
      </c>
      <c r="H3649" t="s">
        <v>28</v>
      </c>
      <c r="I3649" t="s">
        <v>39</v>
      </c>
      <c r="J3649" t="s">
        <v>30</v>
      </c>
      <c r="K3649" s="2">
        <v>2950</v>
      </c>
      <c r="L3649" s="2">
        <v>157500</v>
      </c>
      <c r="M3649">
        <v>60</v>
      </c>
      <c r="N3649" s="3">
        <v>1.35</v>
      </c>
      <c r="O3649" t="s">
        <v>17</v>
      </c>
      <c r="P3649" t="s">
        <v>31</v>
      </c>
      <c r="Q3649">
        <v>0</v>
      </c>
      <c r="R3649">
        <v>1</v>
      </c>
      <c r="S3649" s="2">
        <v>0</v>
      </c>
      <c r="T3649" s="4"/>
      <c r="U3649">
        <v>5</v>
      </c>
      <c r="V3649">
        <v>1</v>
      </c>
      <c r="W3649">
        <v>1</v>
      </c>
    </row>
    <row r="3650" spans="1:23" ht="16.5" x14ac:dyDescent="0.3">
      <c r="A3650" t="s">
        <v>3714</v>
      </c>
      <c r="B3650" s="1">
        <v>45814</v>
      </c>
      <c r="C3650">
        <v>2025</v>
      </c>
      <c r="D3650" t="s">
        <v>688</v>
      </c>
      <c r="E3650" t="s">
        <v>1096</v>
      </c>
      <c r="F3650" t="s">
        <v>26</v>
      </c>
      <c r="G3650" t="s">
        <v>45</v>
      </c>
      <c r="H3650" t="s">
        <v>38</v>
      </c>
      <c r="I3650" t="s">
        <v>29</v>
      </c>
      <c r="J3650" t="s">
        <v>30</v>
      </c>
      <c r="K3650" s="2">
        <v>6950</v>
      </c>
      <c r="L3650" s="2">
        <v>24500</v>
      </c>
      <c r="M3650">
        <v>60</v>
      </c>
      <c r="N3650" s="3">
        <v>0.26</v>
      </c>
      <c r="O3650" t="s">
        <v>16</v>
      </c>
      <c r="Q3650">
        <v>1</v>
      </c>
      <c r="R3650">
        <v>0</v>
      </c>
      <c r="S3650" s="2">
        <v>24500</v>
      </c>
      <c r="T3650" s="4">
        <v>9.5100000000000004E-2</v>
      </c>
      <c r="U3650">
        <v>1</v>
      </c>
      <c r="V3650">
        <v>1</v>
      </c>
      <c r="W3650">
        <v>1</v>
      </c>
    </row>
    <row r="3651" spans="1:23" ht="16.5" x14ac:dyDescent="0.3">
      <c r="A3651" t="s">
        <v>3715</v>
      </c>
      <c r="B3651" s="1">
        <v>45814</v>
      </c>
      <c r="C3651">
        <v>2025</v>
      </c>
      <c r="D3651" t="s">
        <v>688</v>
      </c>
      <c r="E3651" t="s">
        <v>1096</v>
      </c>
      <c r="F3651" t="s">
        <v>37</v>
      </c>
      <c r="G3651" t="s">
        <v>45</v>
      </c>
      <c r="H3651" t="s">
        <v>38</v>
      </c>
      <c r="I3651" t="s">
        <v>39</v>
      </c>
      <c r="J3651" t="s">
        <v>52</v>
      </c>
      <c r="K3651" s="2">
        <v>4250</v>
      </c>
      <c r="L3651" s="2">
        <v>17500</v>
      </c>
      <c r="M3651">
        <v>12</v>
      </c>
      <c r="N3651" s="3">
        <v>0.442</v>
      </c>
      <c r="O3651" t="s">
        <v>16</v>
      </c>
      <c r="Q3651">
        <v>1</v>
      </c>
      <c r="R3651">
        <v>0</v>
      </c>
      <c r="S3651" s="2">
        <v>17500</v>
      </c>
      <c r="T3651" s="4">
        <v>0.1167</v>
      </c>
      <c r="U3651">
        <v>2</v>
      </c>
      <c r="V3651">
        <v>1</v>
      </c>
      <c r="W3651">
        <v>1</v>
      </c>
    </row>
    <row r="3652" spans="1:23" ht="16.5" x14ac:dyDescent="0.3">
      <c r="A3652" t="s">
        <v>3716</v>
      </c>
      <c r="B3652" s="1">
        <v>45814</v>
      </c>
      <c r="C3652">
        <v>2025</v>
      </c>
      <c r="D3652" t="s">
        <v>688</v>
      </c>
      <c r="E3652" t="s">
        <v>1096</v>
      </c>
      <c r="F3652" t="s">
        <v>41</v>
      </c>
      <c r="G3652" t="s">
        <v>51</v>
      </c>
      <c r="H3652" t="s">
        <v>38</v>
      </c>
      <c r="I3652" t="s">
        <v>29</v>
      </c>
      <c r="J3652" t="s">
        <v>35</v>
      </c>
      <c r="K3652" s="2">
        <v>5800</v>
      </c>
      <c r="L3652" s="2">
        <v>55000</v>
      </c>
      <c r="M3652">
        <v>24</v>
      </c>
      <c r="N3652" s="3">
        <v>0.56000000000000005</v>
      </c>
      <c r="O3652" t="s">
        <v>16</v>
      </c>
      <c r="Q3652">
        <v>1</v>
      </c>
      <c r="R3652">
        <v>0</v>
      </c>
      <c r="S3652" s="2">
        <v>55000</v>
      </c>
      <c r="T3652" s="4">
        <v>0.1017</v>
      </c>
      <c r="U3652">
        <v>14</v>
      </c>
      <c r="V3652">
        <v>0</v>
      </c>
      <c r="W3652">
        <v>1</v>
      </c>
    </row>
    <row r="3653" spans="1:23" ht="16.5" x14ac:dyDescent="0.3">
      <c r="A3653" t="s">
        <v>3717</v>
      </c>
      <c r="B3653" s="1">
        <v>45814</v>
      </c>
      <c r="C3653">
        <v>2025</v>
      </c>
      <c r="D3653" t="s">
        <v>688</v>
      </c>
      <c r="E3653" t="s">
        <v>1096</v>
      </c>
      <c r="F3653" t="s">
        <v>37</v>
      </c>
      <c r="G3653" t="s">
        <v>27</v>
      </c>
      <c r="H3653" t="s">
        <v>55</v>
      </c>
      <c r="I3653" t="s">
        <v>42</v>
      </c>
      <c r="J3653" t="s">
        <v>35</v>
      </c>
      <c r="K3653" s="2">
        <v>12250</v>
      </c>
      <c r="L3653" s="2">
        <v>10000</v>
      </c>
      <c r="M3653">
        <v>12</v>
      </c>
      <c r="N3653" s="3">
        <v>0.251</v>
      </c>
      <c r="O3653" t="s">
        <v>17</v>
      </c>
      <c r="P3653" t="s">
        <v>48</v>
      </c>
      <c r="Q3653">
        <v>0</v>
      </c>
      <c r="R3653">
        <v>1</v>
      </c>
      <c r="S3653" s="2">
        <v>0</v>
      </c>
      <c r="T3653" s="4"/>
      <c r="U3653">
        <v>4</v>
      </c>
      <c r="V3653">
        <v>0</v>
      </c>
      <c r="W3653">
        <v>1</v>
      </c>
    </row>
    <row r="3654" spans="1:23" ht="16.5" x14ac:dyDescent="0.3">
      <c r="A3654" t="s">
        <v>3718</v>
      </c>
      <c r="B3654" s="1">
        <v>45814</v>
      </c>
      <c r="C3654">
        <v>2025</v>
      </c>
      <c r="D3654" t="s">
        <v>688</v>
      </c>
      <c r="E3654" t="s">
        <v>1096</v>
      </c>
      <c r="F3654" t="s">
        <v>50</v>
      </c>
      <c r="G3654" t="s">
        <v>51</v>
      </c>
      <c r="H3654" t="s">
        <v>38</v>
      </c>
      <c r="I3654" t="s">
        <v>42</v>
      </c>
      <c r="J3654" t="s">
        <v>46</v>
      </c>
      <c r="K3654" s="2">
        <v>3900</v>
      </c>
      <c r="L3654" s="2">
        <v>189500</v>
      </c>
      <c r="M3654">
        <v>240</v>
      </c>
      <c r="N3654" s="3">
        <v>0.56599999999999995</v>
      </c>
      <c r="O3654" t="s">
        <v>16</v>
      </c>
      <c r="Q3654">
        <v>1</v>
      </c>
      <c r="R3654">
        <v>0</v>
      </c>
      <c r="S3654" s="2">
        <v>189500</v>
      </c>
      <c r="T3654" s="4">
        <v>4.5199999999999997E-2</v>
      </c>
      <c r="U3654">
        <v>21</v>
      </c>
      <c r="V3654">
        <v>0</v>
      </c>
      <c r="W3654">
        <v>1</v>
      </c>
    </row>
    <row r="3655" spans="1:23" ht="16.5" x14ac:dyDescent="0.3">
      <c r="A3655" t="s">
        <v>3719</v>
      </c>
      <c r="B3655" s="1">
        <v>45815</v>
      </c>
      <c r="C3655">
        <v>2025</v>
      </c>
      <c r="D3655" t="s">
        <v>688</v>
      </c>
      <c r="E3655" t="s">
        <v>1096</v>
      </c>
      <c r="F3655" t="s">
        <v>37</v>
      </c>
      <c r="G3655" t="s">
        <v>51</v>
      </c>
      <c r="H3655" t="s">
        <v>55</v>
      </c>
      <c r="I3655" t="s">
        <v>29</v>
      </c>
      <c r="J3655" t="s">
        <v>35</v>
      </c>
      <c r="K3655" s="2">
        <v>6250</v>
      </c>
      <c r="L3655" s="2">
        <v>10500</v>
      </c>
      <c r="M3655">
        <v>12</v>
      </c>
      <c r="N3655" s="3">
        <v>0.219</v>
      </c>
      <c r="O3655" t="s">
        <v>16</v>
      </c>
      <c r="Q3655">
        <v>1</v>
      </c>
      <c r="R3655">
        <v>0</v>
      </c>
      <c r="S3655" s="2">
        <v>10500</v>
      </c>
      <c r="T3655" s="4">
        <v>0.1229</v>
      </c>
      <c r="U3655">
        <v>4</v>
      </c>
      <c r="V3655">
        <v>0</v>
      </c>
      <c r="W3655">
        <v>1</v>
      </c>
    </row>
    <row r="3656" spans="1:23" ht="16.5" x14ac:dyDescent="0.3">
      <c r="A3656" t="s">
        <v>3720</v>
      </c>
      <c r="B3656" s="1">
        <v>45815</v>
      </c>
      <c r="C3656">
        <v>2025</v>
      </c>
      <c r="D3656" t="s">
        <v>688</v>
      </c>
      <c r="E3656" t="s">
        <v>1096</v>
      </c>
      <c r="F3656" t="s">
        <v>50</v>
      </c>
      <c r="G3656" t="s">
        <v>33</v>
      </c>
      <c r="H3656" t="s">
        <v>55</v>
      </c>
      <c r="I3656" t="s">
        <v>42</v>
      </c>
      <c r="J3656" t="s">
        <v>35</v>
      </c>
      <c r="K3656" s="2">
        <v>17000</v>
      </c>
      <c r="L3656" s="2">
        <v>240000</v>
      </c>
      <c r="M3656">
        <v>180</v>
      </c>
      <c r="N3656" s="3">
        <v>0.34599999999999997</v>
      </c>
      <c r="O3656" t="s">
        <v>16</v>
      </c>
      <c r="Q3656">
        <v>1</v>
      </c>
      <c r="R3656">
        <v>0</v>
      </c>
      <c r="S3656" s="2">
        <v>216000</v>
      </c>
      <c r="T3656" s="4">
        <v>6.13E-2</v>
      </c>
      <c r="U3656">
        <v>6</v>
      </c>
      <c r="V3656">
        <v>1</v>
      </c>
      <c r="W3656">
        <v>1</v>
      </c>
    </row>
    <row r="3657" spans="1:23" ht="16.5" x14ac:dyDescent="0.3">
      <c r="A3657" t="s">
        <v>3721</v>
      </c>
      <c r="B3657" s="1">
        <v>45815</v>
      </c>
      <c r="C3657">
        <v>2025</v>
      </c>
      <c r="D3657" t="s">
        <v>688</v>
      </c>
      <c r="E3657" t="s">
        <v>1096</v>
      </c>
      <c r="F3657" t="s">
        <v>26</v>
      </c>
      <c r="G3657" t="s">
        <v>33</v>
      </c>
      <c r="H3657" t="s">
        <v>28</v>
      </c>
      <c r="I3657" t="s">
        <v>42</v>
      </c>
      <c r="J3657" t="s">
        <v>52</v>
      </c>
      <c r="K3657" s="2">
        <v>8600</v>
      </c>
      <c r="L3657" s="2">
        <v>14000</v>
      </c>
      <c r="M3657">
        <v>60</v>
      </c>
      <c r="N3657" s="3">
        <v>0.249</v>
      </c>
      <c r="O3657" t="s">
        <v>16</v>
      </c>
      <c r="Q3657">
        <v>1</v>
      </c>
      <c r="R3657">
        <v>0</v>
      </c>
      <c r="S3657" s="2">
        <v>12500</v>
      </c>
      <c r="T3657" s="4">
        <v>7.2900000000000006E-2</v>
      </c>
      <c r="U3657">
        <v>2</v>
      </c>
      <c r="V3657">
        <v>1</v>
      </c>
      <c r="W3657">
        <v>1</v>
      </c>
    </row>
    <row r="3658" spans="1:23" ht="16.5" x14ac:dyDescent="0.3">
      <c r="A3658" t="s">
        <v>3722</v>
      </c>
      <c r="B3658" s="1">
        <v>45815</v>
      </c>
      <c r="C3658">
        <v>2025</v>
      </c>
      <c r="D3658" t="s">
        <v>688</v>
      </c>
      <c r="E3658" t="s">
        <v>1096</v>
      </c>
      <c r="F3658" t="s">
        <v>37</v>
      </c>
      <c r="G3658" t="s">
        <v>51</v>
      </c>
      <c r="H3658" t="s">
        <v>38</v>
      </c>
      <c r="I3658" t="s">
        <v>29</v>
      </c>
      <c r="J3658" t="s">
        <v>35</v>
      </c>
      <c r="K3658" s="2">
        <v>3250</v>
      </c>
      <c r="L3658" s="2">
        <v>17500</v>
      </c>
      <c r="M3658">
        <v>60</v>
      </c>
      <c r="N3658" s="3">
        <v>0.23699999999999999</v>
      </c>
      <c r="O3658" t="s">
        <v>16</v>
      </c>
      <c r="Q3658">
        <v>1</v>
      </c>
      <c r="R3658">
        <v>0</v>
      </c>
      <c r="S3658" s="2">
        <v>16000</v>
      </c>
      <c r="T3658" s="4">
        <v>0.12540000000000001</v>
      </c>
      <c r="U3658">
        <v>5</v>
      </c>
      <c r="V3658">
        <v>0</v>
      </c>
      <c r="W3658">
        <v>1</v>
      </c>
    </row>
    <row r="3659" spans="1:23" ht="16.5" x14ac:dyDescent="0.3">
      <c r="A3659" t="s">
        <v>3723</v>
      </c>
      <c r="B3659" s="1">
        <v>45815</v>
      </c>
      <c r="C3659">
        <v>2025</v>
      </c>
      <c r="D3659" t="s">
        <v>688</v>
      </c>
      <c r="E3659" t="s">
        <v>1096</v>
      </c>
      <c r="F3659" t="s">
        <v>50</v>
      </c>
      <c r="G3659" t="s">
        <v>27</v>
      </c>
      <c r="H3659" t="s">
        <v>55</v>
      </c>
      <c r="I3659" t="s">
        <v>29</v>
      </c>
      <c r="J3659" t="s">
        <v>30</v>
      </c>
      <c r="K3659" s="2">
        <v>6150</v>
      </c>
      <c r="L3659" s="2">
        <v>335000</v>
      </c>
      <c r="M3659">
        <v>300</v>
      </c>
      <c r="N3659" s="3">
        <v>0.56100000000000005</v>
      </c>
      <c r="O3659" t="s">
        <v>125</v>
      </c>
      <c r="Q3659">
        <v>0</v>
      </c>
      <c r="R3659">
        <v>0</v>
      </c>
      <c r="S3659" s="2">
        <v>0</v>
      </c>
      <c r="T3659" s="4"/>
      <c r="U3659">
        <v>13</v>
      </c>
      <c r="V3659">
        <v>1</v>
      </c>
      <c r="W3659">
        <v>1</v>
      </c>
    </row>
    <row r="3660" spans="1:23" ht="16.5" x14ac:dyDescent="0.3">
      <c r="A3660" t="s">
        <v>3724</v>
      </c>
      <c r="B3660" s="1">
        <v>45816</v>
      </c>
      <c r="C3660">
        <v>2025</v>
      </c>
      <c r="D3660" t="s">
        <v>688</v>
      </c>
      <c r="E3660" t="s">
        <v>1096</v>
      </c>
      <c r="F3660" t="s">
        <v>37</v>
      </c>
      <c r="G3660" t="s">
        <v>45</v>
      </c>
      <c r="H3660" t="s">
        <v>34</v>
      </c>
      <c r="I3660" t="s">
        <v>29</v>
      </c>
      <c r="J3660" t="s">
        <v>35</v>
      </c>
      <c r="K3660" s="2">
        <v>3200</v>
      </c>
      <c r="L3660" s="2">
        <v>11500</v>
      </c>
      <c r="M3660">
        <v>24</v>
      </c>
      <c r="N3660" s="3">
        <v>0.24</v>
      </c>
      <c r="O3660" t="s">
        <v>16</v>
      </c>
      <c r="Q3660">
        <v>1</v>
      </c>
      <c r="R3660">
        <v>0</v>
      </c>
      <c r="S3660" s="2">
        <v>10500</v>
      </c>
      <c r="T3660" s="4">
        <v>0.13059999999999999</v>
      </c>
      <c r="U3660">
        <v>2</v>
      </c>
      <c r="V3660">
        <v>1</v>
      </c>
      <c r="W3660">
        <v>1</v>
      </c>
    </row>
    <row r="3661" spans="1:23" ht="16.5" x14ac:dyDescent="0.3">
      <c r="A3661" t="s">
        <v>3725</v>
      </c>
      <c r="B3661" s="1">
        <v>45816</v>
      </c>
      <c r="C3661">
        <v>2025</v>
      </c>
      <c r="D3661" t="s">
        <v>688</v>
      </c>
      <c r="E3661" t="s">
        <v>1096</v>
      </c>
      <c r="F3661" t="s">
        <v>37</v>
      </c>
      <c r="G3661" t="s">
        <v>33</v>
      </c>
      <c r="H3661" t="s">
        <v>34</v>
      </c>
      <c r="I3661" t="s">
        <v>29</v>
      </c>
      <c r="J3661" t="s">
        <v>35</v>
      </c>
      <c r="K3661" s="2">
        <v>7750</v>
      </c>
      <c r="L3661" s="2">
        <v>7000</v>
      </c>
      <c r="M3661">
        <v>12</v>
      </c>
      <c r="N3661" s="3">
        <v>0.31</v>
      </c>
      <c r="O3661" t="s">
        <v>16</v>
      </c>
      <c r="Q3661">
        <v>1</v>
      </c>
      <c r="R3661">
        <v>0</v>
      </c>
      <c r="S3661" s="2">
        <v>6500</v>
      </c>
      <c r="T3661" s="4">
        <v>0.1221</v>
      </c>
      <c r="U3661">
        <v>1</v>
      </c>
      <c r="V3661">
        <v>1</v>
      </c>
      <c r="W3661">
        <v>1</v>
      </c>
    </row>
    <row r="3662" spans="1:23" ht="16.5" x14ac:dyDescent="0.3">
      <c r="A3662" t="s">
        <v>3726</v>
      </c>
      <c r="B3662" s="1">
        <v>45816</v>
      </c>
      <c r="C3662">
        <v>2025</v>
      </c>
      <c r="D3662" t="s">
        <v>688</v>
      </c>
      <c r="E3662" t="s">
        <v>1096</v>
      </c>
      <c r="F3662" t="s">
        <v>26</v>
      </c>
      <c r="G3662" t="s">
        <v>27</v>
      </c>
      <c r="H3662" t="s">
        <v>55</v>
      </c>
      <c r="I3662" t="s">
        <v>39</v>
      </c>
      <c r="J3662" t="s">
        <v>30</v>
      </c>
      <c r="K3662" s="2">
        <v>2750</v>
      </c>
      <c r="L3662" s="2">
        <v>35000</v>
      </c>
      <c r="M3662">
        <v>36</v>
      </c>
      <c r="N3662" s="3">
        <v>0.58499999999999996</v>
      </c>
      <c r="O3662" t="s">
        <v>16</v>
      </c>
      <c r="Q3662">
        <v>1</v>
      </c>
      <c r="R3662">
        <v>0</v>
      </c>
      <c r="S3662" s="2">
        <v>35000</v>
      </c>
      <c r="T3662" s="4">
        <v>9.8100000000000007E-2</v>
      </c>
      <c r="U3662">
        <v>4</v>
      </c>
      <c r="V3662">
        <v>1</v>
      </c>
      <c r="W3662">
        <v>1</v>
      </c>
    </row>
    <row r="3663" spans="1:23" ht="16.5" x14ac:dyDescent="0.3">
      <c r="A3663" t="s">
        <v>3727</v>
      </c>
      <c r="B3663" s="1">
        <v>45817</v>
      </c>
      <c r="C3663">
        <v>2025</v>
      </c>
      <c r="D3663" t="s">
        <v>688</v>
      </c>
      <c r="E3663" t="s">
        <v>1096</v>
      </c>
      <c r="F3663" t="s">
        <v>37</v>
      </c>
      <c r="G3663" t="s">
        <v>33</v>
      </c>
      <c r="H3663" t="s">
        <v>55</v>
      </c>
      <c r="I3663" t="s">
        <v>29</v>
      </c>
      <c r="J3663" t="s">
        <v>35</v>
      </c>
      <c r="K3663" s="2">
        <v>7750</v>
      </c>
      <c r="L3663" s="2">
        <v>12000</v>
      </c>
      <c r="M3663">
        <v>48</v>
      </c>
      <c r="N3663" s="3">
        <v>0.248</v>
      </c>
      <c r="O3663" t="s">
        <v>16</v>
      </c>
      <c r="Q3663">
        <v>1</v>
      </c>
      <c r="R3663">
        <v>0</v>
      </c>
      <c r="S3663" s="2">
        <v>9500</v>
      </c>
      <c r="T3663" s="4">
        <v>0.12</v>
      </c>
      <c r="U3663">
        <v>1</v>
      </c>
      <c r="V3663">
        <v>1</v>
      </c>
      <c r="W3663">
        <v>1</v>
      </c>
    </row>
    <row r="3664" spans="1:23" ht="16.5" x14ac:dyDescent="0.3">
      <c r="A3664" t="s">
        <v>3728</v>
      </c>
      <c r="B3664" s="1">
        <v>45817</v>
      </c>
      <c r="C3664">
        <v>2025</v>
      </c>
      <c r="D3664" t="s">
        <v>688</v>
      </c>
      <c r="E3664" t="s">
        <v>1096</v>
      </c>
      <c r="F3664" t="s">
        <v>41</v>
      </c>
      <c r="G3664" t="s">
        <v>51</v>
      </c>
      <c r="H3664" t="s">
        <v>55</v>
      </c>
      <c r="I3664" t="s">
        <v>29</v>
      </c>
      <c r="J3664" t="s">
        <v>52</v>
      </c>
      <c r="K3664" s="2">
        <v>9150</v>
      </c>
      <c r="L3664" s="2">
        <v>102000</v>
      </c>
      <c r="M3664">
        <v>24</v>
      </c>
      <c r="N3664" s="3">
        <v>0.623</v>
      </c>
      <c r="O3664" t="s">
        <v>16</v>
      </c>
      <c r="Q3664">
        <v>1</v>
      </c>
      <c r="R3664">
        <v>0</v>
      </c>
      <c r="S3664" s="2">
        <v>92000</v>
      </c>
      <c r="T3664" s="4">
        <v>9.6000000000000002E-2</v>
      </c>
      <c r="U3664">
        <v>14</v>
      </c>
      <c r="V3664">
        <v>0</v>
      </c>
      <c r="W3664">
        <v>1</v>
      </c>
    </row>
    <row r="3665" spans="1:23" ht="16.5" x14ac:dyDescent="0.3">
      <c r="A3665" t="s">
        <v>3729</v>
      </c>
      <c r="B3665" s="1">
        <v>45817</v>
      </c>
      <c r="C3665">
        <v>2025</v>
      </c>
      <c r="D3665" t="s">
        <v>688</v>
      </c>
      <c r="E3665" t="s">
        <v>1096</v>
      </c>
      <c r="F3665" t="s">
        <v>41</v>
      </c>
      <c r="G3665" t="s">
        <v>27</v>
      </c>
      <c r="H3665" t="s">
        <v>55</v>
      </c>
      <c r="I3665" t="s">
        <v>29</v>
      </c>
      <c r="J3665" t="s">
        <v>46</v>
      </c>
      <c r="K3665" s="2">
        <v>2350</v>
      </c>
      <c r="L3665" s="2">
        <v>60000</v>
      </c>
      <c r="M3665">
        <v>12</v>
      </c>
      <c r="N3665" s="3">
        <v>2.3980000000000001</v>
      </c>
      <c r="O3665" t="s">
        <v>17</v>
      </c>
      <c r="P3665" t="s">
        <v>53</v>
      </c>
      <c r="Q3665">
        <v>0</v>
      </c>
      <c r="R3665">
        <v>1</v>
      </c>
      <c r="S3665" s="2">
        <v>0</v>
      </c>
      <c r="T3665" s="4"/>
      <c r="U3665">
        <v>15</v>
      </c>
      <c r="V3665">
        <v>0</v>
      </c>
      <c r="W3665">
        <v>1</v>
      </c>
    </row>
    <row r="3666" spans="1:23" ht="16.5" x14ac:dyDescent="0.3">
      <c r="A3666" t="s">
        <v>3730</v>
      </c>
      <c r="B3666" s="1">
        <v>45817</v>
      </c>
      <c r="C3666">
        <v>2025</v>
      </c>
      <c r="D3666" t="s">
        <v>688</v>
      </c>
      <c r="E3666" t="s">
        <v>1096</v>
      </c>
      <c r="F3666" t="s">
        <v>37</v>
      </c>
      <c r="G3666" t="s">
        <v>51</v>
      </c>
      <c r="H3666" t="s">
        <v>55</v>
      </c>
      <c r="I3666" t="s">
        <v>42</v>
      </c>
      <c r="J3666" t="s">
        <v>52</v>
      </c>
      <c r="K3666" s="2">
        <v>7050</v>
      </c>
      <c r="L3666" s="2">
        <v>17500</v>
      </c>
      <c r="M3666">
        <v>36</v>
      </c>
      <c r="N3666" s="3">
        <v>0.19500000000000001</v>
      </c>
      <c r="O3666" t="s">
        <v>16</v>
      </c>
      <c r="Q3666">
        <v>1</v>
      </c>
      <c r="R3666">
        <v>0</v>
      </c>
      <c r="S3666" s="2">
        <v>17500</v>
      </c>
      <c r="T3666" s="4">
        <v>0.11269999999999999</v>
      </c>
      <c r="U3666">
        <v>6</v>
      </c>
      <c r="V3666">
        <v>0</v>
      </c>
      <c r="W3666">
        <v>1</v>
      </c>
    </row>
    <row r="3667" spans="1:23" ht="16.5" x14ac:dyDescent="0.3">
      <c r="A3667" t="s">
        <v>3731</v>
      </c>
      <c r="B3667" s="1">
        <v>45817</v>
      </c>
      <c r="C3667">
        <v>2025</v>
      </c>
      <c r="D3667" t="s">
        <v>688</v>
      </c>
      <c r="E3667" t="s">
        <v>1096</v>
      </c>
      <c r="F3667" t="s">
        <v>50</v>
      </c>
      <c r="G3667" t="s">
        <v>27</v>
      </c>
      <c r="H3667" t="s">
        <v>34</v>
      </c>
      <c r="I3667" t="s">
        <v>29</v>
      </c>
      <c r="J3667" t="s">
        <v>30</v>
      </c>
      <c r="K3667" s="2">
        <v>3550</v>
      </c>
      <c r="L3667" s="2">
        <v>511500</v>
      </c>
      <c r="M3667">
        <v>240</v>
      </c>
      <c r="N3667" s="3">
        <v>1.0960000000000001</v>
      </c>
      <c r="O3667" t="s">
        <v>125</v>
      </c>
      <c r="Q3667">
        <v>0</v>
      </c>
      <c r="R3667">
        <v>0</v>
      </c>
      <c r="S3667" s="2">
        <v>0</v>
      </c>
      <c r="T3667" s="4"/>
      <c r="U3667">
        <v>10</v>
      </c>
      <c r="V3667">
        <v>1</v>
      </c>
      <c r="W3667">
        <v>1</v>
      </c>
    </row>
    <row r="3668" spans="1:23" ht="16.5" x14ac:dyDescent="0.3">
      <c r="A3668" t="s">
        <v>3732</v>
      </c>
      <c r="B3668" s="1">
        <v>45817</v>
      </c>
      <c r="C3668">
        <v>2025</v>
      </c>
      <c r="D3668" t="s">
        <v>688</v>
      </c>
      <c r="E3668" t="s">
        <v>1096</v>
      </c>
      <c r="F3668" t="s">
        <v>26</v>
      </c>
      <c r="G3668" t="s">
        <v>33</v>
      </c>
      <c r="H3668" t="s">
        <v>38</v>
      </c>
      <c r="I3668" t="s">
        <v>42</v>
      </c>
      <c r="J3668" t="s">
        <v>30</v>
      </c>
      <c r="K3668" s="2">
        <v>21600</v>
      </c>
      <c r="L3668" s="2">
        <v>32500</v>
      </c>
      <c r="M3668">
        <v>60</v>
      </c>
      <c r="N3668" s="3">
        <v>0.26</v>
      </c>
      <c r="O3668" t="s">
        <v>16</v>
      </c>
      <c r="Q3668">
        <v>1</v>
      </c>
      <c r="R3668">
        <v>0</v>
      </c>
      <c r="S3668" s="2">
        <v>29000</v>
      </c>
      <c r="T3668" s="4">
        <v>0.1013</v>
      </c>
      <c r="U3668">
        <v>1</v>
      </c>
      <c r="V3668">
        <v>1</v>
      </c>
      <c r="W3668">
        <v>1</v>
      </c>
    </row>
    <row r="3669" spans="1:23" ht="16.5" x14ac:dyDescent="0.3">
      <c r="A3669" t="s">
        <v>3733</v>
      </c>
      <c r="B3669" s="1">
        <v>45817</v>
      </c>
      <c r="C3669">
        <v>2025</v>
      </c>
      <c r="D3669" t="s">
        <v>688</v>
      </c>
      <c r="E3669" t="s">
        <v>1096</v>
      </c>
      <c r="F3669" t="s">
        <v>50</v>
      </c>
      <c r="G3669" t="s">
        <v>33</v>
      </c>
      <c r="H3669" t="s">
        <v>55</v>
      </c>
      <c r="I3669" t="s">
        <v>39</v>
      </c>
      <c r="J3669" t="s">
        <v>30</v>
      </c>
      <c r="K3669" s="2">
        <v>14450</v>
      </c>
      <c r="L3669" s="2">
        <v>137000</v>
      </c>
      <c r="M3669">
        <v>180</v>
      </c>
      <c r="N3669" s="3">
        <v>0.23599999999999999</v>
      </c>
      <c r="O3669" t="s">
        <v>17</v>
      </c>
      <c r="P3669" t="s">
        <v>31</v>
      </c>
      <c r="Q3669">
        <v>0</v>
      </c>
      <c r="R3669">
        <v>1</v>
      </c>
      <c r="S3669" s="2">
        <v>0</v>
      </c>
      <c r="T3669" s="4"/>
      <c r="U3669">
        <v>4</v>
      </c>
      <c r="V3669">
        <v>1</v>
      </c>
      <c r="W3669">
        <v>1</v>
      </c>
    </row>
    <row r="3670" spans="1:23" ht="16.5" x14ac:dyDescent="0.3">
      <c r="A3670" t="s">
        <v>3734</v>
      </c>
      <c r="B3670" s="1">
        <v>45817</v>
      </c>
      <c r="C3670">
        <v>2025</v>
      </c>
      <c r="D3670" t="s">
        <v>688</v>
      </c>
      <c r="E3670" t="s">
        <v>1096</v>
      </c>
      <c r="F3670" t="s">
        <v>37</v>
      </c>
      <c r="G3670" t="s">
        <v>45</v>
      </c>
      <c r="H3670" t="s">
        <v>34</v>
      </c>
      <c r="I3670" t="s">
        <v>29</v>
      </c>
      <c r="J3670" t="s">
        <v>35</v>
      </c>
      <c r="K3670" s="2">
        <v>5300</v>
      </c>
      <c r="L3670" s="2">
        <v>30000</v>
      </c>
      <c r="M3670">
        <v>48</v>
      </c>
      <c r="N3670" s="3">
        <v>0.23599999999999999</v>
      </c>
      <c r="O3670" t="s">
        <v>16</v>
      </c>
      <c r="Q3670">
        <v>1</v>
      </c>
      <c r="R3670">
        <v>0</v>
      </c>
      <c r="S3670" s="2">
        <v>30000</v>
      </c>
      <c r="T3670" s="4">
        <v>0.12139999999999999</v>
      </c>
      <c r="U3670">
        <v>3</v>
      </c>
      <c r="V3670">
        <v>1</v>
      </c>
      <c r="W3670">
        <v>1</v>
      </c>
    </row>
    <row r="3671" spans="1:23" ht="16.5" x14ac:dyDescent="0.3">
      <c r="A3671" t="s">
        <v>3735</v>
      </c>
      <c r="B3671" s="1">
        <v>45817</v>
      </c>
      <c r="C3671">
        <v>2025</v>
      </c>
      <c r="D3671" t="s">
        <v>688</v>
      </c>
      <c r="E3671" t="s">
        <v>1096</v>
      </c>
      <c r="F3671" t="s">
        <v>41</v>
      </c>
      <c r="G3671" t="s">
        <v>51</v>
      </c>
      <c r="H3671" t="s">
        <v>34</v>
      </c>
      <c r="I3671" t="s">
        <v>29</v>
      </c>
      <c r="J3671" t="s">
        <v>30</v>
      </c>
      <c r="K3671" s="2">
        <v>3600</v>
      </c>
      <c r="L3671" s="2">
        <v>73000</v>
      </c>
      <c r="M3671">
        <v>60</v>
      </c>
      <c r="N3671" s="3">
        <v>0.53500000000000003</v>
      </c>
      <c r="O3671" t="s">
        <v>16</v>
      </c>
      <c r="Q3671">
        <v>1</v>
      </c>
      <c r="R3671">
        <v>0</v>
      </c>
      <c r="S3671" s="2">
        <v>73000</v>
      </c>
      <c r="T3671" s="4">
        <v>0.1234</v>
      </c>
      <c r="U3671">
        <v>17</v>
      </c>
      <c r="V3671">
        <v>0</v>
      </c>
      <c r="W3671">
        <v>1</v>
      </c>
    </row>
    <row r="3672" spans="1:23" ht="16.5" x14ac:dyDescent="0.3">
      <c r="A3672" t="s">
        <v>3736</v>
      </c>
      <c r="B3672" s="1">
        <v>45818</v>
      </c>
      <c r="C3672">
        <v>2025</v>
      </c>
      <c r="D3672" t="s">
        <v>688</v>
      </c>
      <c r="E3672" t="s">
        <v>1096</v>
      </c>
      <c r="F3672" t="s">
        <v>50</v>
      </c>
      <c r="G3672" t="s">
        <v>33</v>
      </c>
      <c r="H3672" t="s">
        <v>55</v>
      </c>
      <c r="I3672" t="s">
        <v>42</v>
      </c>
      <c r="J3672" t="s">
        <v>35</v>
      </c>
      <c r="K3672" s="2">
        <v>2750</v>
      </c>
      <c r="L3672" s="2">
        <v>342000</v>
      </c>
      <c r="M3672">
        <v>180</v>
      </c>
      <c r="N3672" s="3">
        <v>1.0289999999999999</v>
      </c>
      <c r="O3672" t="s">
        <v>17</v>
      </c>
      <c r="P3672" t="s">
        <v>53</v>
      </c>
      <c r="Q3672">
        <v>0</v>
      </c>
      <c r="R3672">
        <v>1</v>
      </c>
      <c r="S3672" s="2">
        <v>0</v>
      </c>
      <c r="T3672" s="4"/>
      <c r="U3672">
        <v>9</v>
      </c>
      <c r="V3672">
        <v>1</v>
      </c>
      <c r="W3672">
        <v>1</v>
      </c>
    </row>
    <row r="3673" spans="1:23" ht="16.5" x14ac:dyDescent="0.3">
      <c r="A3673" t="s">
        <v>3737</v>
      </c>
      <c r="B3673" s="1">
        <v>45818</v>
      </c>
      <c r="C3673">
        <v>2025</v>
      </c>
      <c r="D3673" t="s">
        <v>688</v>
      </c>
      <c r="E3673" t="s">
        <v>1096</v>
      </c>
      <c r="F3673" t="s">
        <v>37</v>
      </c>
      <c r="G3673" t="s">
        <v>33</v>
      </c>
      <c r="H3673" t="s">
        <v>38</v>
      </c>
      <c r="I3673" t="s">
        <v>39</v>
      </c>
      <c r="J3673" t="s">
        <v>52</v>
      </c>
      <c r="K3673" s="2">
        <v>6700</v>
      </c>
      <c r="L3673" s="2">
        <v>8000</v>
      </c>
      <c r="M3673">
        <v>60</v>
      </c>
      <c r="N3673" s="3">
        <v>9.9000000000000005E-2</v>
      </c>
      <c r="O3673" t="s">
        <v>16</v>
      </c>
      <c r="Q3673">
        <v>1</v>
      </c>
      <c r="R3673">
        <v>0</v>
      </c>
      <c r="S3673" s="2">
        <v>8000</v>
      </c>
      <c r="T3673" s="4">
        <v>0.1038</v>
      </c>
      <c r="U3673">
        <v>1</v>
      </c>
      <c r="V3673">
        <v>1</v>
      </c>
      <c r="W3673">
        <v>1</v>
      </c>
    </row>
    <row r="3674" spans="1:23" ht="16.5" x14ac:dyDescent="0.3">
      <c r="A3674" t="s">
        <v>3738</v>
      </c>
      <c r="B3674" s="1">
        <v>45818</v>
      </c>
      <c r="C3674">
        <v>2025</v>
      </c>
      <c r="D3674" t="s">
        <v>688</v>
      </c>
      <c r="E3674" t="s">
        <v>1096</v>
      </c>
      <c r="F3674" t="s">
        <v>41</v>
      </c>
      <c r="G3674" t="s">
        <v>45</v>
      </c>
      <c r="H3674" t="s">
        <v>38</v>
      </c>
      <c r="I3674" t="s">
        <v>29</v>
      </c>
      <c r="J3674" t="s">
        <v>30</v>
      </c>
      <c r="K3674" s="2">
        <v>4900</v>
      </c>
      <c r="L3674" s="2">
        <v>136000</v>
      </c>
      <c r="M3674">
        <v>36</v>
      </c>
      <c r="N3674" s="3">
        <v>1.0649999999999999</v>
      </c>
      <c r="O3674" t="s">
        <v>17</v>
      </c>
      <c r="P3674" t="s">
        <v>53</v>
      </c>
      <c r="Q3674">
        <v>0</v>
      </c>
      <c r="R3674">
        <v>1</v>
      </c>
      <c r="S3674" s="2">
        <v>0</v>
      </c>
      <c r="T3674" s="4"/>
      <c r="U3674">
        <v>6</v>
      </c>
      <c r="V3674">
        <v>1</v>
      </c>
      <c r="W3674">
        <v>1</v>
      </c>
    </row>
    <row r="3675" spans="1:23" ht="16.5" x14ac:dyDescent="0.3">
      <c r="A3675" t="s">
        <v>3739</v>
      </c>
      <c r="B3675" s="1">
        <v>45818</v>
      </c>
      <c r="C3675">
        <v>2025</v>
      </c>
      <c r="D3675" t="s">
        <v>688</v>
      </c>
      <c r="E3675" t="s">
        <v>1096</v>
      </c>
      <c r="F3675" t="s">
        <v>26</v>
      </c>
      <c r="G3675" t="s">
        <v>27</v>
      </c>
      <c r="H3675" t="s">
        <v>34</v>
      </c>
      <c r="I3675" t="s">
        <v>29</v>
      </c>
      <c r="J3675" t="s">
        <v>35</v>
      </c>
      <c r="K3675" s="2">
        <v>6550</v>
      </c>
      <c r="L3675" s="2">
        <v>27500</v>
      </c>
      <c r="M3675">
        <v>60</v>
      </c>
      <c r="N3675" s="3">
        <v>0.27900000000000003</v>
      </c>
      <c r="O3675" t="s">
        <v>16</v>
      </c>
      <c r="Q3675">
        <v>1</v>
      </c>
      <c r="R3675">
        <v>0</v>
      </c>
      <c r="S3675" s="2">
        <v>27500</v>
      </c>
      <c r="T3675" s="4">
        <v>8.43E-2</v>
      </c>
      <c r="U3675">
        <v>7</v>
      </c>
      <c r="V3675">
        <v>0</v>
      </c>
      <c r="W3675">
        <v>1</v>
      </c>
    </row>
    <row r="3676" spans="1:23" ht="16.5" x14ac:dyDescent="0.3">
      <c r="A3676" t="s">
        <v>3740</v>
      </c>
      <c r="B3676" s="1">
        <v>45819</v>
      </c>
      <c r="C3676">
        <v>2025</v>
      </c>
      <c r="D3676" t="s">
        <v>688</v>
      </c>
      <c r="E3676" t="s">
        <v>1096</v>
      </c>
      <c r="F3676" t="s">
        <v>26</v>
      </c>
      <c r="G3676" t="s">
        <v>33</v>
      </c>
      <c r="H3676" t="s">
        <v>55</v>
      </c>
      <c r="I3676" t="s">
        <v>39</v>
      </c>
      <c r="J3676" t="s">
        <v>30</v>
      </c>
      <c r="K3676" s="2">
        <v>4750</v>
      </c>
      <c r="L3676" s="2">
        <v>68500</v>
      </c>
      <c r="M3676">
        <v>48</v>
      </c>
      <c r="N3676" s="3">
        <v>0.40799999999999997</v>
      </c>
      <c r="O3676" t="s">
        <v>16</v>
      </c>
      <c r="Q3676">
        <v>1</v>
      </c>
      <c r="R3676">
        <v>0</v>
      </c>
      <c r="S3676" s="2">
        <v>68500</v>
      </c>
      <c r="T3676" s="4">
        <v>9.6100000000000005E-2</v>
      </c>
      <c r="U3676">
        <v>2</v>
      </c>
      <c r="V3676">
        <v>1</v>
      </c>
      <c r="W3676">
        <v>1</v>
      </c>
    </row>
    <row r="3677" spans="1:23" ht="16.5" x14ac:dyDescent="0.3">
      <c r="A3677" t="s">
        <v>3741</v>
      </c>
      <c r="B3677" s="1">
        <v>45819</v>
      </c>
      <c r="C3677">
        <v>2025</v>
      </c>
      <c r="D3677" t="s">
        <v>688</v>
      </c>
      <c r="E3677" t="s">
        <v>1096</v>
      </c>
      <c r="F3677" t="s">
        <v>37</v>
      </c>
      <c r="G3677" t="s">
        <v>45</v>
      </c>
      <c r="H3677" t="s">
        <v>38</v>
      </c>
      <c r="I3677" t="s">
        <v>39</v>
      </c>
      <c r="J3677" t="s">
        <v>35</v>
      </c>
      <c r="K3677" s="2">
        <v>4800</v>
      </c>
      <c r="L3677" s="2">
        <v>11000</v>
      </c>
      <c r="M3677">
        <v>36</v>
      </c>
      <c r="N3677" s="3">
        <v>0.19</v>
      </c>
      <c r="O3677" t="s">
        <v>16</v>
      </c>
      <c r="Q3677">
        <v>1</v>
      </c>
      <c r="R3677">
        <v>0</v>
      </c>
      <c r="S3677" s="2">
        <v>11000</v>
      </c>
      <c r="T3677" s="4">
        <v>0.122</v>
      </c>
      <c r="U3677">
        <v>1</v>
      </c>
      <c r="V3677">
        <v>1</v>
      </c>
      <c r="W3677">
        <v>1</v>
      </c>
    </row>
    <row r="3678" spans="1:23" ht="16.5" x14ac:dyDescent="0.3">
      <c r="A3678" t="s">
        <v>3742</v>
      </c>
      <c r="B3678" s="1">
        <v>45819</v>
      </c>
      <c r="C3678">
        <v>2025</v>
      </c>
      <c r="D3678" t="s">
        <v>688</v>
      </c>
      <c r="E3678" t="s">
        <v>1096</v>
      </c>
      <c r="F3678" t="s">
        <v>37</v>
      </c>
      <c r="G3678" t="s">
        <v>51</v>
      </c>
      <c r="H3678" t="s">
        <v>38</v>
      </c>
      <c r="I3678" t="s">
        <v>42</v>
      </c>
      <c r="J3678" t="s">
        <v>35</v>
      </c>
      <c r="K3678" s="2">
        <v>10200</v>
      </c>
      <c r="L3678" s="2">
        <v>20000</v>
      </c>
      <c r="M3678">
        <v>12</v>
      </c>
      <c r="N3678" s="3">
        <v>0.30499999999999999</v>
      </c>
      <c r="O3678" t="s">
        <v>16</v>
      </c>
      <c r="Q3678">
        <v>1</v>
      </c>
      <c r="R3678">
        <v>0</v>
      </c>
      <c r="S3678" s="2">
        <v>18000</v>
      </c>
      <c r="T3678" s="4">
        <v>0.13089999999999999</v>
      </c>
      <c r="U3678">
        <v>7</v>
      </c>
      <c r="V3678">
        <v>0</v>
      </c>
      <c r="W3678">
        <v>1</v>
      </c>
    </row>
    <row r="3679" spans="1:23" ht="16.5" x14ac:dyDescent="0.3">
      <c r="A3679" t="s">
        <v>3743</v>
      </c>
      <c r="B3679" s="1">
        <v>45819</v>
      </c>
      <c r="C3679">
        <v>2025</v>
      </c>
      <c r="D3679" t="s">
        <v>688</v>
      </c>
      <c r="E3679" t="s">
        <v>1096</v>
      </c>
      <c r="F3679" t="s">
        <v>37</v>
      </c>
      <c r="G3679" t="s">
        <v>27</v>
      </c>
      <c r="H3679" t="s">
        <v>38</v>
      </c>
      <c r="I3679" t="s">
        <v>29</v>
      </c>
      <c r="J3679" t="s">
        <v>30</v>
      </c>
      <c r="K3679" s="2">
        <v>6150</v>
      </c>
      <c r="L3679" s="2">
        <v>9500</v>
      </c>
      <c r="M3679">
        <v>36</v>
      </c>
      <c r="N3679" s="3">
        <v>0.114</v>
      </c>
      <c r="O3679" t="s">
        <v>17</v>
      </c>
      <c r="P3679" t="s">
        <v>31</v>
      </c>
      <c r="Q3679">
        <v>0</v>
      </c>
      <c r="R3679">
        <v>1</v>
      </c>
      <c r="S3679" s="2">
        <v>0</v>
      </c>
      <c r="T3679" s="4"/>
      <c r="U3679">
        <v>3</v>
      </c>
      <c r="V3679">
        <v>1</v>
      </c>
      <c r="W3679">
        <v>1</v>
      </c>
    </row>
    <row r="3680" spans="1:23" ht="16.5" x14ac:dyDescent="0.3">
      <c r="A3680" t="s">
        <v>3744</v>
      </c>
      <c r="B3680" s="1">
        <v>45819</v>
      </c>
      <c r="C3680">
        <v>2025</v>
      </c>
      <c r="D3680" t="s">
        <v>688</v>
      </c>
      <c r="E3680" t="s">
        <v>1096</v>
      </c>
      <c r="F3680" t="s">
        <v>26</v>
      </c>
      <c r="G3680" t="s">
        <v>51</v>
      </c>
      <c r="H3680" t="s">
        <v>34</v>
      </c>
      <c r="I3680" t="s">
        <v>42</v>
      </c>
      <c r="J3680" t="s">
        <v>30</v>
      </c>
      <c r="K3680" s="2">
        <v>5000</v>
      </c>
      <c r="L3680" s="2">
        <v>13500</v>
      </c>
      <c r="M3680">
        <v>36</v>
      </c>
      <c r="N3680" s="3">
        <v>0.33100000000000002</v>
      </c>
      <c r="O3680" t="s">
        <v>16</v>
      </c>
      <c r="Q3680">
        <v>1</v>
      </c>
      <c r="R3680">
        <v>0</v>
      </c>
      <c r="S3680" s="2">
        <v>13500</v>
      </c>
      <c r="T3680" s="4">
        <v>9.9400000000000002E-2</v>
      </c>
      <c r="U3680">
        <v>10</v>
      </c>
      <c r="V3680">
        <v>0</v>
      </c>
      <c r="W3680">
        <v>1</v>
      </c>
    </row>
    <row r="3681" spans="1:23" ht="16.5" x14ac:dyDescent="0.3">
      <c r="A3681" t="s">
        <v>3745</v>
      </c>
      <c r="B3681" s="1">
        <v>45819</v>
      </c>
      <c r="C3681">
        <v>2025</v>
      </c>
      <c r="D3681" t="s">
        <v>688</v>
      </c>
      <c r="E3681" t="s">
        <v>1096</v>
      </c>
      <c r="F3681" t="s">
        <v>41</v>
      </c>
      <c r="G3681" t="s">
        <v>27</v>
      </c>
      <c r="H3681" t="s">
        <v>34</v>
      </c>
      <c r="I3681" t="s">
        <v>29</v>
      </c>
      <c r="J3681" t="s">
        <v>30</v>
      </c>
      <c r="K3681" s="2">
        <v>4200</v>
      </c>
      <c r="L3681" s="2">
        <v>99500</v>
      </c>
      <c r="M3681">
        <v>60</v>
      </c>
      <c r="N3681" s="3">
        <v>0.71199999999999997</v>
      </c>
      <c r="O3681" t="s">
        <v>16</v>
      </c>
      <c r="Q3681">
        <v>1</v>
      </c>
      <c r="R3681">
        <v>0</v>
      </c>
      <c r="S3681" s="2">
        <v>99500</v>
      </c>
      <c r="T3681" s="4">
        <v>0.12379999999999999</v>
      </c>
      <c r="U3681">
        <v>19</v>
      </c>
      <c r="V3681">
        <v>0</v>
      </c>
      <c r="W3681">
        <v>1</v>
      </c>
    </row>
    <row r="3682" spans="1:23" ht="16.5" x14ac:dyDescent="0.3">
      <c r="A3682" t="s">
        <v>3746</v>
      </c>
      <c r="B3682" s="1">
        <v>45819</v>
      </c>
      <c r="C3682">
        <v>2025</v>
      </c>
      <c r="D3682" t="s">
        <v>688</v>
      </c>
      <c r="E3682" t="s">
        <v>1096</v>
      </c>
      <c r="F3682" t="s">
        <v>26</v>
      </c>
      <c r="G3682" t="s">
        <v>51</v>
      </c>
      <c r="H3682" t="s">
        <v>38</v>
      </c>
      <c r="I3682" t="s">
        <v>29</v>
      </c>
      <c r="J3682" t="s">
        <v>52</v>
      </c>
      <c r="K3682" s="2">
        <v>4050</v>
      </c>
      <c r="L3682" s="2">
        <v>33000</v>
      </c>
      <c r="M3682">
        <v>36</v>
      </c>
      <c r="N3682" s="3">
        <v>0.378</v>
      </c>
      <c r="O3682" t="s">
        <v>16</v>
      </c>
      <c r="Q3682">
        <v>1</v>
      </c>
      <c r="R3682">
        <v>0</v>
      </c>
      <c r="S3682" s="2">
        <v>29500</v>
      </c>
      <c r="T3682" s="4">
        <v>7.3099999999999998E-2</v>
      </c>
      <c r="U3682">
        <v>6</v>
      </c>
      <c r="V3682">
        <v>0</v>
      </c>
      <c r="W3682">
        <v>1</v>
      </c>
    </row>
    <row r="3683" spans="1:23" ht="16.5" x14ac:dyDescent="0.3">
      <c r="A3683" t="s">
        <v>3747</v>
      </c>
      <c r="B3683" s="1">
        <v>45819</v>
      </c>
      <c r="C3683">
        <v>2025</v>
      </c>
      <c r="D3683" t="s">
        <v>688</v>
      </c>
      <c r="E3683" t="s">
        <v>1096</v>
      </c>
      <c r="F3683" t="s">
        <v>37</v>
      </c>
      <c r="G3683" t="s">
        <v>45</v>
      </c>
      <c r="H3683" t="s">
        <v>55</v>
      </c>
      <c r="I3683" t="s">
        <v>42</v>
      </c>
      <c r="J3683" t="s">
        <v>30</v>
      </c>
      <c r="K3683" s="2">
        <v>14000</v>
      </c>
      <c r="L3683" s="2">
        <v>17500</v>
      </c>
      <c r="M3683">
        <v>36</v>
      </c>
      <c r="N3683" s="3">
        <v>0.14499999999999999</v>
      </c>
      <c r="O3683" t="s">
        <v>17</v>
      </c>
      <c r="P3683" t="s">
        <v>31</v>
      </c>
      <c r="Q3683">
        <v>0</v>
      </c>
      <c r="R3683">
        <v>1</v>
      </c>
      <c r="S3683" s="2">
        <v>0</v>
      </c>
      <c r="T3683" s="4"/>
      <c r="U3683">
        <v>3</v>
      </c>
      <c r="V3683">
        <v>1</v>
      </c>
      <c r="W3683">
        <v>1</v>
      </c>
    </row>
    <row r="3684" spans="1:23" ht="16.5" x14ac:dyDescent="0.3">
      <c r="A3684" t="s">
        <v>3748</v>
      </c>
      <c r="B3684" s="1">
        <v>45819</v>
      </c>
      <c r="C3684">
        <v>2025</v>
      </c>
      <c r="D3684" t="s">
        <v>688</v>
      </c>
      <c r="E3684" t="s">
        <v>1096</v>
      </c>
      <c r="F3684" t="s">
        <v>41</v>
      </c>
      <c r="G3684" t="s">
        <v>33</v>
      </c>
      <c r="H3684" t="s">
        <v>64</v>
      </c>
      <c r="I3684" t="s">
        <v>29</v>
      </c>
      <c r="J3684" t="s">
        <v>35</v>
      </c>
      <c r="K3684" s="2">
        <v>3950</v>
      </c>
      <c r="L3684" s="2">
        <v>62000</v>
      </c>
      <c r="M3684">
        <v>12</v>
      </c>
      <c r="N3684" s="3">
        <v>1.587</v>
      </c>
      <c r="O3684" t="s">
        <v>17</v>
      </c>
      <c r="P3684" t="s">
        <v>53</v>
      </c>
      <c r="Q3684">
        <v>0</v>
      </c>
      <c r="R3684">
        <v>1</v>
      </c>
      <c r="S3684" s="2">
        <v>0</v>
      </c>
      <c r="T3684" s="4"/>
      <c r="U3684">
        <v>5</v>
      </c>
      <c r="V3684">
        <v>1</v>
      </c>
      <c r="W3684">
        <v>1</v>
      </c>
    </row>
    <row r="3685" spans="1:23" ht="16.5" x14ac:dyDescent="0.3">
      <c r="A3685" t="s">
        <v>3749</v>
      </c>
      <c r="B3685" s="1">
        <v>45819</v>
      </c>
      <c r="C3685">
        <v>2025</v>
      </c>
      <c r="D3685" t="s">
        <v>688</v>
      </c>
      <c r="E3685" t="s">
        <v>1096</v>
      </c>
      <c r="F3685" t="s">
        <v>37</v>
      </c>
      <c r="G3685" t="s">
        <v>33</v>
      </c>
      <c r="H3685" t="s">
        <v>64</v>
      </c>
      <c r="I3685" t="s">
        <v>29</v>
      </c>
      <c r="J3685" t="s">
        <v>46</v>
      </c>
      <c r="K3685" s="2">
        <v>4500</v>
      </c>
      <c r="L3685" s="2">
        <v>14000</v>
      </c>
      <c r="M3685">
        <v>48</v>
      </c>
      <c r="N3685" s="3">
        <v>0.26800000000000002</v>
      </c>
      <c r="O3685" t="s">
        <v>17</v>
      </c>
      <c r="P3685" t="s">
        <v>65</v>
      </c>
      <c r="Q3685">
        <v>0</v>
      </c>
      <c r="R3685">
        <v>1</v>
      </c>
      <c r="S3685" s="2">
        <v>0</v>
      </c>
      <c r="T3685" s="4"/>
      <c r="U3685">
        <v>1</v>
      </c>
      <c r="V3685">
        <v>1</v>
      </c>
      <c r="W3685">
        <v>1</v>
      </c>
    </row>
    <row r="3686" spans="1:23" ht="16.5" x14ac:dyDescent="0.3">
      <c r="A3686" t="s">
        <v>3750</v>
      </c>
      <c r="B3686" s="1">
        <v>45819</v>
      </c>
      <c r="C3686">
        <v>2025</v>
      </c>
      <c r="D3686" t="s">
        <v>688</v>
      </c>
      <c r="E3686" t="s">
        <v>1096</v>
      </c>
      <c r="F3686" t="s">
        <v>26</v>
      </c>
      <c r="G3686" t="s">
        <v>51</v>
      </c>
      <c r="H3686" t="s">
        <v>55</v>
      </c>
      <c r="I3686" t="s">
        <v>39</v>
      </c>
      <c r="J3686" t="s">
        <v>30</v>
      </c>
      <c r="K3686" s="2">
        <v>4850</v>
      </c>
      <c r="L3686" s="2">
        <v>23500</v>
      </c>
      <c r="M3686">
        <v>36</v>
      </c>
      <c r="N3686" s="3">
        <v>0.29399999999999998</v>
      </c>
      <c r="O3686" t="s">
        <v>17</v>
      </c>
      <c r="P3686" t="s">
        <v>31</v>
      </c>
      <c r="Q3686">
        <v>0</v>
      </c>
      <c r="R3686">
        <v>1</v>
      </c>
      <c r="S3686" s="2">
        <v>0</v>
      </c>
      <c r="T3686" s="4"/>
      <c r="U3686">
        <v>4</v>
      </c>
      <c r="V3686">
        <v>1</v>
      </c>
      <c r="W3686">
        <v>1</v>
      </c>
    </row>
    <row r="3687" spans="1:23" ht="16.5" x14ac:dyDescent="0.3">
      <c r="A3687" t="s">
        <v>3751</v>
      </c>
      <c r="B3687" s="1">
        <v>45819</v>
      </c>
      <c r="C3687">
        <v>2025</v>
      </c>
      <c r="D3687" t="s">
        <v>688</v>
      </c>
      <c r="E3687" t="s">
        <v>1096</v>
      </c>
      <c r="F3687" t="s">
        <v>37</v>
      </c>
      <c r="G3687" t="s">
        <v>27</v>
      </c>
      <c r="H3687" t="s">
        <v>38</v>
      </c>
      <c r="I3687" t="s">
        <v>39</v>
      </c>
      <c r="J3687" t="s">
        <v>35</v>
      </c>
      <c r="K3687" s="2">
        <v>6100</v>
      </c>
      <c r="L3687" s="2">
        <v>12500</v>
      </c>
      <c r="M3687">
        <v>48</v>
      </c>
      <c r="N3687" s="3">
        <v>0.12</v>
      </c>
      <c r="O3687" t="s">
        <v>17</v>
      </c>
      <c r="P3687" t="s">
        <v>60</v>
      </c>
      <c r="Q3687">
        <v>0</v>
      </c>
      <c r="R3687">
        <v>1</v>
      </c>
      <c r="S3687" s="2">
        <v>0</v>
      </c>
      <c r="T3687" s="4"/>
      <c r="U3687">
        <v>6</v>
      </c>
      <c r="V3687">
        <v>0</v>
      </c>
      <c r="W3687">
        <v>1</v>
      </c>
    </row>
    <row r="3688" spans="1:23" ht="16.5" x14ac:dyDescent="0.3">
      <c r="A3688" t="s">
        <v>3752</v>
      </c>
      <c r="B3688" s="1">
        <v>45819</v>
      </c>
      <c r="C3688">
        <v>2025</v>
      </c>
      <c r="D3688" t="s">
        <v>688</v>
      </c>
      <c r="E3688" t="s">
        <v>1096</v>
      </c>
      <c r="F3688" t="s">
        <v>41</v>
      </c>
      <c r="G3688" t="s">
        <v>33</v>
      </c>
      <c r="H3688" t="s">
        <v>34</v>
      </c>
      <c r="I3688" t="s">
        <v>29</v>
      </c>
      <c r="J3688" t="s">
        <v>35</v>
      </c>
      <c r="K3688" s="2">
        <v>4050</v>
      </c>
      <c r="L3688" s="2">
        <v>35000</v>
      </c>
      <c r="M3688">
        <v>24</v>
      </c>
      <c r="N3688" s="3">
        <v>0.59499999999999997</v>
      </c>
      <c r="O3688" t="s">
        <v>16</v>
      </c>
      <c r="Q3688">
        <v>1</v>
      </c>
      <c r="R3688">
        <v>0</v>
      </c>
      <c r="S3688" s="2">
        <v>35000</v>
      </c>
      <c r="T3688" s="4">
        <v>0.1091</v>
      </c>
      <c r="U3688">
        <v>5</v>
      </c>
      <c r="V3688">
        <v>1</v>
      </c>
      <c r="W3688">
        <v>1</v>
      </c>
    </row>
    <row r="3689" spans="1:23" ht="16.5" x14ac:dyDescent="0.3">
      <c r="A3689" t="s">
        <v>3753</v>
      </c>
      <c r="B3689" s="1">
        <v>45820</v>
      </c>
      <c r="C3689">
        <v>2025</v>
      </c>
      <c r="D3689" t="s">
        <v>688</v>
      </c>
      <c r="E3689" t="s">
        <v>1096</v>
      </c>
      <c r="F3689" t="s">
        <v>37</v>
      </c>
      <c r="G3689" t="s">
        <v>33</v>
      </c>
      <c r="H3689" t="s">
        <v>55</v>
      </c>
      <c r="I3689" t="s">
        <v>39</v>
      </c>
      <c r="J3689" t="s">
        <v>52</v>
      </c>
      <c r="K3689" s="2">
        <v>5400</v>
      </c>
      <c r="L3689" s="2">
        <v>29000</v>
      </c>
      <c r="M3689">
        <v>12</v>
      </c>
      <c r="N3689" s="3">
        <v>0.56100000000000005</v>
      </c>
      <c r="O3689" t="s">
        <v>125</v>
      </c>
      <c r="Q3689">
        <v>0</v>
      </c>
      <c r="R3689">
        <v>0</v>
      </c>
      <c r="S3689" s="2">
        <v>0</v>
      </c>
      <c r="T3689" s="4"/>
      <c r="U3689">
        <v>2</v>
      </c>
      <c r="V3689">
        <v>1</v>
      </c>
      <c r="W3689">
        <v>1</v>
      </c>
    </row>
    <row r="3690" spans="1:23" ht="16.5" x14ac:dyDescent="0.3">
      <c r="A3690" t="s">
        <v>3754</v>
      </c>
      <c r="B3690" s="1">
        <v>45820</v>
      </c>
      <c r="C3690">
        <v>2025</v>
      </c>
      <c r="D3690" t="s">
        <v>688</v>
      </c>
      <c r="E3690" t="s">
        <v>1096</v>
      </c>
      <c r="F3690" t="s">
        <v>50</v>
      </c>
      <c r="G3690" t="s">
        <v>33</v>
      </c>
      <c r="H3690" t="s">
        <v>34</v>
      </c>
      <c r="I3690" t="s">
        <v>39</v>
      </c>
      <c r="J3690" t="s">
        <v>35</v>
      </c>
      <c r="K3690" s="2">
        <v>6500</v>
      </c>
      <c r="L3690" s="2">
        <v>158500</v>
      </c>
      <c r="M3690">
        <v>180</v>
      </c>
      <c r="N3690" s="3">
        <v>0.42099999999999999</v>
      </c>
      <c r="O3690" t="s">
        <v>16</v>
      </c>
      <c r="Q3690">
        <v>1</v>
      </c>
      <c r="R3690">
        <v>0</v>
      </c>
      <c r="S3690" s="2">
        <v>158500</v>
      </c>
      <c r="T3690" s="4">
        <v>5.8099999999999999E-2</v>
      </c>
      <c r="U3690">
        <v>10</v>
      </c>
      <c r="V3690">
        <v>1</v>
      </c>
      <c r="W3690">
        <v>1</v>
      </c>
    </row>
    <row r="3691" spans="1:23" ht="16.5" x14ac:dyDescent="0.3">
      <c r="A3691" t="s">
        <v>3755</v>
      </c>
      <c r="B3691" s="1">
        <v>45820</v>
      </c>
      <c r="C3691">
        <v>2025</v>
      </c>
      <c r="D3691" t="s">
        <v>688</v>
      </c>
      <c r="E3691" t="s">
        <v>1096</v>
      </c>
      <c r="F3691" t="s">
        <v>37</v>
      </c>
      <c r="G3691" t="s">
        <v>51</v>
      </c>
      <c r="H3691" t="s">
        <v>55</v>
      </c>
      <c r="I3691" t="s">
        <v>42</v>
      </c>
      <c r="J3691" t="s">
        <v>52</v>
      </c>
      <c r="K3691" s="2">
        <v>6350</v>
      </c>
      <c r="L3691" s="2">
        <v>10000</v>
      </c>
      <c r="M3691">
        <v>36</v>
      </c>
      <c r="N3691" s="3">
        <v>0.21099999999999999</v>
      </c>
      <c r="O3691" t="s">
        <v>16</v>
      </c>
      <c r="Q3691">
        <v>1</v>
      </c>
      <c r="R3691">
        <v>0</v>
      </c>
      <c r="S3691" s="2">
        <v>8000</v>
      </c>
      <c r="T3691" s="4">
        <v>0.1154</v>
      </c>
      <c r="U3691">
        <v>8</v>
      </c>
      <c r="V3691">
        <v>0</v>
      </c>
      <c r="W3691">
        <v>1</v>
      </c>
    </row>
    <row r="3692" spans="1:23" ht="16.5" x14ac:dyDescent="0.3">
      <c r="A3692" t="s">
        <v>3756</v>
      </c>
      <c r="B3692" s="1">
        <v>45820</v>
      </c>
      <c r="C3692">
        <v>2025</v>
      </c>
      <c r="D3692" t="s">
        <v>688</v>
      </c>
      <c r="E3692" t="s">
        <v>1096</v>
      </c>
      <c r="F3692" t="s">
        <v>37</v>
      </c>
      <c r="G3692" t="s">
        <v>27</v>
      </c>
      <c r="H3692" t="s">
        <v>28</v>
      </c>
      <c r="I3692" t="s">
        <v>29</v>
      </c>
      <c r="J3692" t="s">
        <v>35</v>
      </c>
      <c r="K3692" s="2">
        <v>6800</v>
      </c>
      <c r="L3692" s="2">
        <v>14000</v>
      </c>
      <c r="M3692">
        <v>60</v>
      </c>
      <c r="N3692" s="3">
        <v>0.123</v>
      </c>
      <c r="O3692" t="s">
        <v>16</v>
      </c>
      <c r="Q3692">
        <v>1</v>
      </c>
      <c r="R3692">
        <v>0</v>
      </c>
      <c r="S3692" s="2">
        <v>12500</v>
      </c>
      <c r="T3692" s="4">
        <v>0.12139999999999999</v>
      </c>
      <c r="U3692">
        <v>3</v>
      </c>
      <c r="V3692">
        <v>1</v>
      </c>
      <c r="W3692">
        <v>1</v>
      </c>
    </row>
    <row r="3693" spans="1:23" ht="16.5" x14ac:dyDescent="0.3">
      <c r="A3693" t="s">
        <v>3757</v>
      </c>
      <c r="B3693" s="1">
        <v>45821</v>
      </c>
      <c r="C3693">
        <v>2025</v>
      </c>
      <c r="D3693" t="s">
        <v>688</v>
      </c>
      <c r="E3693" t="s">
        <v>1096</v>
      </c>
      <c r="F3693" t="s">
        <v>41</v>
      </c>
      <c r="G3693" t="s">
        <v>27</v>
      </c>
      <c r="H3693" t="s">
        <v>38</v>
      </c>
      <c r="I3693" t="s">
        <v>42</v>
      </c>
      <c r="J3693" t="s">
        <v>30</v>
      </c>
      <c r="K3693" s="2">
        <v>7850</v>
      </c>
      <c r="L3693" s="2">
        <v>49500</v>
      </c>
      <c r="M3693">
        <v>24</v>
      </c>
      <c r="N3693" s="3">
        <v>0.40699999999999997</v>
      </c>
      <c r="O3693" t="s">
        <v>16</v>
      </c>
      <c r="Q3693">
        <v>1</v>
      </c>
      <c r="R3693">
        <v>0</v>
      </c>
      <c r="S3693" s="2">
        <v>49500</v>
      </c>
      <c r="T3693" s="4">
        <v>0.11990000000000001</v>
      </c>
      <c r="U3693">
        <v>13</v>
      </c>
      <c r="V3693">
        <v>0</v>
      </c>
      <c r="W3693">
        <v>1</v>
      </c>
    </row>
    <row r="3694" spans="1:23" ht="16.5" x14ac:dyDescent="0.3">
      <c r="A3694" t="s">
        <v>3758</v>
      </c>
      <c r="B3694" s="1">
        <v>45822</v>
      </c>
      <c r="C3694">
        <v>2025</v>
      </c>
      <c r="D3694" t="s">
        <v>688</v>
      </c>
      <c r="E3694" t="s">
        <v>1096</v>
      </c>
      <c r="F3694" t="s">
        <v>37</v>
      </c>
      <c r="G3694" t="s">
        <v>33</v>
      </c>
      <c r="H3694" t="s">
        <v>28</v>
      </c>
      <c r="I3694" t="s">
        <v>29</v>
      </c>
      <c r="J3694" t="s">
        <v>52</v>
      </c>
      <c r="K3694" s="2">
        <v>4750</v>
      </c>
      <c r="L3694" s="2">
        <v>7500</v>
      </c>
      <c r="M3694">
        <v>12</v>
      </c>
      <c r="N3694" s="3">
        <v>0.24099999999999999</v>
      </c>
      <c r="O3694" t="s">
        <v>16</v>
      </c>
      <c r="Q3694">
        <v>1</v>
      </c>
      <c r="R3694">
        <v>0</v>
      </c>
      <c r="S3694" s="2">
        <v>6000</v>
      </c>
      <c r="T3694" s="4">
        <v>0.1133</v>
      </c>
      <c r="U3694">
        <v>2</v>
      </c>
      <c r="V3694">
        <v>1</v>
      </c>
      <c r="W3694">
        <v>1</v>
      </c>
    </row>
    <row r="3695" spans="1:23" ht="16.5" x14ac:dyDescent="0.3">
      <c r="A3695" t="s">
        <v>3759</v>
      </c>
      <c r="B3695" s="1">
        <v>45822</v>
      </c>
      <c r="C3695">
        <v>2025</v>
      </c>
      <c r="D3695" t="s">
        <v>688</v>
      </c>
      <c r="E3695" t="s">
        <v>1096</v>
      </c>
      <c r="F3695" t="s">
        <v>26</v>
      </c>
      <c r="G3695" t="s">
        <v>45</v>
      </c>
      <c r="H3695" t="s">
        <v>38</v>
      </c>
      <c r="I3695" t="s">
        <v>29</v>
      </c>
      <c r="J3695" t="s">
        <v>43</v>
      </c>
      <c r="K3695" s="2">
        <v>3450</v>
      </c>
      <c r="L3695" s="2">
        <v>25500</v>
      </c>
      <c r="M3695">
        <v>60</v>
      </c>
      <c r="N3695" s="3">
        <v>0.30099999999999999</v>
      </c>
      <c r="O3695" t="s">
        <v>17</v>
      </c>
      <c r="P3695" t="s">
        <v>65</v>
      </c>
      <c r="Q3695">
        <v>0</v>
      </c>
      <c r="R3695">
        <v>1</v>
      </c>
      <c r="S3695" s="2">
        <v>0</v>
      </c>
      <c r="T3695" s="4"/>
      <c r="U3695">
        <v>3</v>
      </c>
      <c r="V3695">
        <v>1</v>
      </c>
      <c r="W3695">
        <v>1</v>
      </c>
    </row>
    <row r="3696" spans="1:23" ht="16.5" x14ac:dyDescent="0.3">
      <c r="A3696" t="s">
        <v>3760</v>
      </c>
      <c r="B3696" s="1">
        <v>45822</v>
      </c>
      <c r="C3696">
        <v>2025</v>
      </c>
      <c r="D3696" t="s">
        <v>688</v>
      </c>
      <c r="E3696" t="s">
        <v>1096</v>
      </c>
      <c r="F3696" t="s">
        <v>41</v>
      </c>
      <c r="G3696" t="s">
        <v>45</v>
      </c>
      <c r="H3696" t="s">
        <v>55</v>
      </c>
      <c r="I3696" t="s">
        <v>29</v>
      </c>
      <c r="J3696" t="s">
        <v>30</v>
      </c>
      <c r="K3696" s="2">
        <v>7100</v>
      </c>
      <c r="L3696" s="2">
        <v>90000</v>
      </c>
      <c r="M3696">
        <v>36</v>
      </c>
      <c r="N3696" s="3">
        <v>0.55300000000000005</v>
      </c>
      <c r="O3696" t="s">
        <v>16</v>
      </c>
      <c r="Q3696">
        <v>1</v>
      </c>
      <c r="R3696">
        <v>0</v>
      </c>
      <c r="S3696" s="2">
        <v>81000</v>
      </c>
      <c r="T3696" s="4">
        <v>0.12529999999999999</v>
      </c>
      <c r="U3696">
        <v>6</v>
      </c>
      <c r="V3696">
        <v>1</v>
      </c>
      <c r="W3696">
        <v>1</v>
      </c>
    </row>
    <row r="3697" spans="1:23" ht="16.5" x14ac:dyDescent="0.3">
      <c r="A3697" t="s">
        <v>3761</v>
      </c>
      <c r="B3697" s="1">
        <v>45822</v>
      </c>
      <c r="C3697">
        <v>2025</v>
      </c>
      <c r="D3697" t="s">
        <v>688</v>
      </c>
      <c r="E3697" t="s">
        <v>1096</v>
      </c>
      <c r="F3697" t="s">
        <v>50</v>
      </c>
      <c r="G3697" t="s">
        <v>45</v>
      </c>
      <c r="H3697" t="s">
        <v>55</v>
      </c>
      <c r="I3697" t="s">
        <v>42</v>
      </c>
      <c r="J3697" t="s">
        <v>30</v>
      </c>
      <c r="K3697" s="2">
        <v>6350</v>
      </c>
      <c r="L3697" s="2">
        <v>205500</v>
      </c>
      <c r="M3697">
        <v>180</v>
      </c>
      <c r="N3697" s="3">
        <v>0.38</v>
      </c>
      <c r="O3697" t="s">
        <v>16</v>
      </c>
      <c r="Q3697">
        <v>1</v>
      </c>
      <c r="R3697">
        <v>0</v>
      </c>
      <c r="S3697" s="2">
        <v>205500</v>
      </c>
      <c r="T3697" s="4">
        <v>6.93E-2</v>
      </c>
      <c r="U3697">
        <v>9</v>
      </c>
      <c r="V3697">
        <v>1</v>
      </c>
      <c r="W3697">
        <v>1</v>
      </c>
    </row>
    <row r="3698" spans="1:23" ht="16.5" x14ac:dyDescent="0.3">
      <c r="A3698" t="s">
        <v>3762</v>
      </c>
      <c r="B3698" s="1">
        <v>45822</v>
      </c>
      <c r="C3698">
        <v>2025</v>
      </c>
      <c r="D3698" t="s">
        <v>688</v>
      </c>
      <c r="E3698" t="s">
        <v>1096</v>
      </c>
      <c r="F3698" t="s">
        <v>37</v>
      </c>
      <c r="G3698" t="s">
        <v>45</v>
      </c>
      <c r="H3698" t="s">
        <v>55</v>
      </c>
      <c r="I3698" t="s">
        <v>29</v>
      </c>
      <c r="J3698" t="s">
        <v>43</v>
      </c>
      <c r="K3698" s="2">
        <v>7550</v>
      </c>
      <c r="L3698" s="2">
        <v>25500</v>
      </c>
      <c r="M3698">
        <v>60</v>
      </c>
      <c r="N3698" s="3">
        <v>0.14000000000000001</v>
      </c>
      <c r="O3698" t="s">
        <v>17</v>
      </c>
      <c r="P3698" t="s">
        <v>65</v>
      </c>
      <c r="Q3698">
        <v>0</v>
      </c>
      <c r="R3698">
        <v>1</v>
      </c>
      <c r="S3698" s="2">
        <v>0</v>
      </c>
      <c r="T3698" s="4"/>
      <c r="U3698">
        <v>2</v>
      </c>
      <c r="V3698">
        <v>1</v>
      </c>
      <c r="W3698">
        <v>1</v>
      </c>
    </row>
    <row r="3699" spans="1:23" ht="16.5" x14ac:dyDescent="0.3">
      <c r="A3699" t="s">
        <v>3763</v>
      </c>
      <c r="B3699" s="1">
        <v>45822</v>
      </c>
      <c r="C3699">
        <v>2025</v>
      </c>
      <c r="D3699" t="s">
        <v>688</v>
      </c>
      <c r="E3699" t="s">
        <v>1096</v>
      </c>
      <c r="F3699" t="s">
        <v>37</v>
      </c>
      <c r="G3699" t="s">
        <v>51</v>
      </c>
      <c r="H3699" t="s">
        <v>38</v>
      </c>
      <c r="I3699" t="s">
        <v>29</v>
      </c>
      <c r="J3699" t="s">
        <v>30</v>
      </c>
      <c r="K3699" s="2">
        <v>9200</v>
      </c>
      <c r="L3699" s="2">
        <v>16000</v>
      </c>
      <c r="M3699">
        <v>60</v>
      </c>
      <c r="N3699" s="3">
        <v>0.28000000000000003</v>
      </c>
      <c r="O3699" t="s">
        <v>16</v>
      </c>
      <c r="Q3699">
        <v>1</v>
      </c>
      <c r="R3699">
        <v>0</v>
      </c>
      <c r="S3699" s="2">
        <v>16000</v>
      </c>
      <c r="T3699" s="4">
        <v>0.13450000000000001</v>
      </c>
      <c r="U3699">
        <v>3</v>
      </c>
      <c r="V3699">
        <v>1</v>
      </c>
      <c r="W3699">
        <v>1</v>
      </c>
    </row>
    <row r="3700" spans="1:23" ht="16.5" x14ac:dyDescent="0.3">
      <c r="A3700" t="s">
        <v>3764</v>
      </c>
      <c r="B3700" s="1">
        <v>45822</v>
      </c>
      <c r="C3700">
        <v>2025</v>
      </c>
      <c r="D3700" t="s">
        <v>688</v>
      </c>
      <c r="E3700" t="s">
        <v>1096</v>
      </c>
      <c r="F3700" t="s">
        <v>26</v>
      </c>
      <c r="G3700" t="s">
        <v>51</v>
      </c>
      <c r="H3700" t="s">
        <v>55</v>
      </c>
      <c r="I3700" t="s">
        <v>42</v>
      </c>
      <c r="J3700" t="s">
        <v>52</v>
      </c>
      <c r="K3700" s="2">
        <v>4350</v>
      </c>
      <c r="L3700" s="2">
        <v>15500</v>
      </c>
      <c r="M3700">
        <v>36</v>
      </c>
      <c r="N3700" s="3">
        <v>0.32500000000000001</v>
      </c>
      <c r="O3700" t="s">
        <v>16</v>
      </c>
      <c r="Q3700">
        <v>1</v>
      </c>
      <c r="R3700">
        <v>0</v>
      </c>
      <c r="S3700" s="2">
        <v>14000</v>
      </c>
      <c r="T3700" s="4">
        <v>7.1800000000000003E-2</v>
      </c>
      <c r="U3700">
        <v>5</v>
      </c>
      <c r="V3700">
        <v>0</v>
      </c>
      <c r="W3700">
        <v>1</v>
      </c>
    </row>
    <row r="3701" spans="1:23" ht="16.5" x14ac:dyDescent="0.3">
      <c r="A3701" t="s">
        <v>3765</v>
      </c>
      <c r="B3701" s="1">
        <v>45822</v>
      </c>
      <c r="C3701">
        <v>2025</v>
      </c>
      <c r="D3701" t="s">
        <v>688</v>
      </c>
      <c r="E3701" t="s">
        <v>1096</v>
      </c>
      <c r="F3701" t="s">
        <v>26</v>
      </c>
      <c r="G3701" t="s">
        <v>51</v>
      </c>
      <c r="H3701" t="s">
        <v>55</v>
      </c>
      <c r="I3701" t="s">
        <v>29</v>
      </c>
      <c r="J3701" t="s">
        <v>35</v>
      </c>
      <c r="K3701" s="2">
        <v>1500</v>
      </c>
      <c r="L3701" s="2">
        <v>40000</v>
      </c>
      <c r="M3701">
        <v>60</v>
      </c>
      <c r="N3701" s="3">
        <v>0.73899999999999999</v>
      </c>
      <c r="O3701" t="s">
        <v>16</v>
      </c>
      <c r="Q3701">
        <v>1</v>
      </c>
      <c r="R3701">
        <v>0</v>
      </c>
      <c r="S3701" s="2">
        <v>40000</v>
      </c>
      <c r="T3701" s="4">
        <v>8.2500000000000004E-2</v>
      </c>
      <c r="U3701">
        <v>4</v>
      </c>
      <c r="V3701">
        <v>1</v>
      </c>
      <c r="W3701">
        <v>1</v>
      </c>
    </row>
    <row r="3702" spans="1:23" ht="16.5" x14ac:dyDescent="0.3">
      <c r="A3702" t="s">
        <v>3766</v>
      </c>
      <c r="B3702" s="1">
        <v>45822</v>
      </c>
      <c r="C3702">
        <v>2025</v>
      </c>
      <c r="D3702" t="s">
        <v>688</v>
      </c>
      <c r="E3702" t="s">
        <v>1096</v>
      </c>
      <c r="F3702" t="s">
        <v>26</v>
      </c>
      <c r="G3702" t="s">
        <v>51</v>
      </c>
      <c r="H3702" t="s">
        <v>55</v>
      </c>
      <c r="I3702" t="s">
        <v>39</v>
      </c>
      <c r="J3702" t="s">
        <v>35</v>
      </c>
      <c r="K3702" s="2">
        <v>10850</v>
      </c>
      <c r="L3702" s="2">
        <v>54500</v>
      </c>
      <c r="M3702">
        <v>60</v>
      </c>
      <c r="N3702" s="3">
        <v>0.27600000000000002</v>
      </c>
      <c r="O3702" t="s">
        <v>17</v>
      </c>
      <c r="P3702" t="s">
        <v>31</v>
      </c>
      <c r="Q3702">
        <v>0</v>
      </c>
      <c r="R3702">
        <v>1</v>
      </c>
      <c r="S3702" s="2">
        <v>0</v>
      </c>
      <c r="T3702" s="4"/>
      <c r="U3702">
        <v>3</v>
      </c>
      <c r="V3702">
        <v>1</v>
      </c>
      <c r="W3702">
        <v>1</v>
      </c>
    </row>
    <row r="3703" spans="1:23" ht="16.5" x14ac:dyDescent="0.3">
      <c r="A3703" t="s">
        <v>3767</v>
      </c>
      <c r="B3703" s="1">
        <v>45822</v>
      </c>
      <c r="C3703">
        <v>2025</v>
      </c>
      <c r="D3703" t="s">
        <v>688</v>
      </c>
      <c r="E3703" t="s">
        <v>1096</v>
      </c>
      <c r="F3703" t="s">
        <v>50</v>
      </c>
      <c r="G3703" t="s">
        <v>33</v>
      </c>
      <c r="H3703" t="s">
        <v>55</v>
      </c>
      <c r="I3703" t="s">
        <v>39</v>
      </c>
      <c r="J3703" t="s">
        <v>46</v>
      </c>
      <c r="K3703" s="2">
        <v>5600</v>
      </c>
      <c r="L3703" s="2">
        <v>224000</v>
      </c>
      <c r="M3703">
        <v>240</v>
      </c>
      <c r="N3703" s="3">
        <v>0.498</v>
      </c>
      <c r="O3703" t="s">
        <v>16</v>
      </c>
      <c r="Q3703">
        <v>1</v>
      </c>
      <c r="R3703">
        <v>0</v>
      </c>
      <c r="S3703" s="2">
        <v>201500</v>
      </c>
      <c r="T3703" s="4">
        <v>3.9600000000000003E-2</v>
      </c>
      <c r="U3703">
        <v>6</v>
      </c>
      <c r="V3703">
        <v>1</v>
      </c>
      <c r="W3703">
        <v>1</v>
      </c>
    </row>
    <row r="3704" spans="1:23" ht="16.5" x14ac:dyDescent="0.3">
      <c r="A3704" t="s">
        <v>3768</v>
      </c>
      <c r="B3704" s="1">
        <v>45823</v>
      </c>
      <c r="C3704">
        <v>2025</v>
      </c>
      <c r="D3704" t="s">
        <v>688</v>
      </c>
      <c r="E3704" t="s">
        <v>1096</v>
      </c>
      <c r="F3704" t="s">
        <v>37</v>
      </c>
      <c r="G3704" t="s">
        <v>51</v>
      </c>
      <c r="H3704" t="s">
        <v>34</v>
      </c>
      <c r="I3704" t="s">
        <v>29</v>
      </c>
      <c r="J3704" t="s">
        <v>52</v>
      </c>
      <c r="K3704" s="2">
        <v>6600</v>
      </c>
      <c r="L3704" s="2">
        <v>16500</v>
      </c>
      <c r="M3704">
        <v>48</v>
      </c>
      <c r="N3704" s="3">
        <v>0.154</v>
      </c>
      <c r="O3704" t="s">
        <v>16</v>
      </c>
      <c r="Q3704">
        <v>1</v>
      </c>
      <c r="R3704">
        <v>0</v>
      </c>
      <c r="S3704" s="2">
        <v>16500</v>
      </c>
      <c r="T3704" s="4">
        <v>0.1147</v>
      </c>
      <c r="U3704">
        <v>3</v>
      </c>
      <c r="V3704">
        <v>1</v>
      </c>
      <c r="W3704">
        <v>1</v>
      </c>
    </row>
    <row r="3705" spans="1:23" ht="16.5" x14ac:dyDescent="0.3">
      <c r="A3705" t="s">
        <v>3769</v>
      </c>
      <c r="B3705" s="1">
        <v>45823</v>
      </c>
      <c r="C3705">
        <v>2025</v>
      </c>
      <c r="D3705" t="s">
        <v>688</v>
      </c>
      <c r="E3705" t="s">
        <v>1096</v>
      </c>
      <c r="F3705" t="s">
        <v>37</v>
      </c>
      <c r="G3705" t="s">
        <v>45</v>
      </c>
      <c r="H3705" t="s">
        <v>38</v>
      </c>
      <c r="I3705" t="s">
        <v>42</v>
      </c>
      <c r="J3705" t="s">
        <v>43</v>
      </c>
      <c r="K3705" s="2">
        <v>4800</v>
      </c>
      <c r="L3705" s="2">
        <v>6000</v>
      </c>
      <c r="M3705">
        <v>60</v>
      </c>
      <c r="N3705" s="3">
        <v>0.152</v>
      </c>
      <c r="O3705" t="s">
        <v>16</v>
      </c>
      <c r="Q3705">
        <v>1</v>
      </c>
      <c r="R3705">
        <v>0</v>
      </c>
      <c r="S3705" s="2">
        <v>6000</v>
      </c>
      <c r="T3705" s="4">
        <v>0.16209999999999999</v>
      </c>
      <c r="U3705">
        <v>1</v>
      </c>
      <c r="V3705">
        <v>1</v>
      </c>
      <c r="W3705">
        <v>1</v>
      </c>
    </row>
    <row r="3706" spans="1:23" ht="16.5" x14ac:dyDescent="0.3">
      <c r="A3706" t="s">
        <v>3770</v>
      </c>
      <c r="B3706" s="1">
        <v>45823</v>
      </c>
      <c r="C3706">
        <v>2025</v>
      </c>
      <c r="D3706" t="s">
        <v>688</v>
      </c>
      <c r="E3706" t="s">
        <v>1096</v>
      </c>
      <c r="F3706" t="s">
        <v>37</v>
      </c>
      <c r="G3706" t="s">
        <v>33</v>
      </c>
      <c r="H3706" t="s">
        <v>34</v>
      </c>
      <c r="I3706" t="s">
        <v>29</v>
      </c>
      <c r="J3706" t="s">
        <v>35</v>
      </c>
      <c r="K3706" s="2">
        <v>9650</v>
      </c>
      <c r="L3706" s="2">
        <v>10500</v>
      </c>
      <c r="M3706">
        <v>60</v>
      </c>
      <c r="N3706" s="3">
        <v>0.127</v>
      </c>
      <c r="O3706" t="s">
        <v>16</v>
      </c>
      <c r="Q3706">
        <v>1</v>
      </c>
      <c r="R3706">
        <v>0</v>
      </c>
      <c r="S3706" s="2">
        <v>10500</v>
      </c>
      <c r="T3706" s="4">
        <v>0.12790000000000001</v>
      </c>
      <c r="U3706">
        <v>1</v>
      </c>
      <c r="V3706">
        <v>1</v>
      </c>
      <c r="W3706">
        <v>1</v>
      </c>
    </row>
    <row r="3707" spans="1:23" ht="16.5" x14ac:dyDescent="0.3">
      <c r="A3707" t="s">
        <v>3771</v>
      </c>
      <c r="B3707" s="1">
        <v>45823</v>
      </c>
      <c r="C3707">
        <v>2025</v>
      </c>
      <c r="D3707" t="s">
        <v>688</v>
      </c>
      <c r="E3707" t="s">
        <v>1096</v>
      </c>
      <c r="F3707" t="s">
        <v>41</v>
      </c>
      <c r="G3707" t="s">
        <v>51</v>
      </c>
      <c r="H3707" t="s">
        <v>64</v>
      </c>
      <c r="I3707" t="s">
        <v>39</v>
      </c>
      <c r="J3707" t="s">
        <v>30</v>
      </c>
      <c r="K3707" s="2">
        <v>2400</v>
      </c>
      <c r="L3707" s="2">
        <v>128000</v>
      </c>
      <c r="M3707">
        <v>24</v>
      </c>
      <c r="N3707" s="3">
        <v>2.548</v>
      </c>
      <c r="O3707" t="s">
        <v>17</v>
      </c>
      <c r="P3707" t="s">
        <v>53</v>
      </c>
      <c r="Q3707">
        <v>0</v>
      </c>
      <c r="R3707">
        <v>1</v>
      </c>
      <c r="S3707" s="2">
        <v>0</v>
      </c>
      <c r="T3707" s="4"/>
      <c r="U3707">
        <v>15</v>
      </c>
      <c r="V3707">
        <v>0</v>
      </c>
      <c r="W3707">
        <v>1</v>
      </c>
    </row>
    <row r="3708" spans="1:23" ht="16.5" x14ac:dyDescent="0.3">
      <c r="A3708" t="s">
        <v>3772</v>
      </c>
      <c r="B3708" s="1">
        <v>45824</v>
      </c>
      <c r="C3708">
        <v>2025</v>
      </c>
      <c r="D3708" t="s">
        <v>688</v>
      </c>
      <c r="E3708" t="s">
        <v>1096</v>
      </c>
      <c r="F3708" t="s">
        <v>37</v>
      </c>
      <c r="G3708" t="s">
        <v>45</v>
      </c>
      <c r="H3708" t="s">
        <v>38</v>
      </c>
      <c r="I3708" t="s">
        <v>42</v>
      </c>
      <c r="J3708" t="s">
        <v>30</v>
      </c>
      <c r="K3708" s="2">
        <v>9400</v>
      </c>
      <c r="L3708" s="2">
        <v>18000</v>
      </c>
      <c r="M3708">
        <v>12</v>
      </c>
      <c r="N3708" s="3">
        <v>0.245</v>
      </c>
      <c r="O3708" t="s">
        <v>125</v>
      </c>
      <c r="Q3708">
        <v>0</v>
      </c>
      <c r="R3708">
        <v>0</v>
      </c>
      <c r="S3708" s="2">
        <v>0</v>
      </c>
      <c r="T3708" s="4"/>
      <c r="U3708">
        <v>1</v>
      </c>
      <c r="V3708">
        <v>1</v>
      </c>
      <c r="W3708">
        <v>1</v>
      </c>
    </row>
    <row r="3709" spans="1:23" ht="16.5" x14ac:dyDescent="0.3">
      <c r="A3709" t="s">
        <v>3773</v>
      </c>
      <c r="B3709" s="1">
        <v>45824</v>
      </c>
      <c r="C3709">
        <v>2025</v>
      </c>
      <c r="D3709" t="s">
        <v>688</v>
      </c>
      <c r="E3709" t="s">
        <v>1096</v>
      </c>
      <c r="F3709" t="s">
        <v>37</v>
      </c>
      <c r="G3709" t="s">
        <v>51</v>
      </c>
      <c r="H3709" t="s">
        <v>55</v>
      </c>
      <c r="I3709" t="s">
        <v>29</v>
      </c>
      <c r="J3709" t="s">
        <v>30</v>
      </c>
      <c r="K3709" s="2">
        <v>4950</v>
      </c>
      <c r="L3709" s="2">
        <v>9500</v>
      </c>
      <c r="M3709">
        <v>36</v>
      </c>
      <c r="N3709" s="3">
        <v>0.24</v>
      </c>
      <c r="O3709" t="s">
        <v>16</v>
      </c>
      <c r="Q3709">
        <v>1</v>
      </c>
      <c r="R3709">
        <v>0</v>
      </c>
      <c r="S3709" s="2">
        <v>9500</v>
      </c>
      <c r="T3709" s="4">
        <v>0.13619999999999999</v>
      </c>
      <c r="U3709">
        <v>2</v>
      </c>
      <c r="V3709">
        <v>1</v>
      </c>
      <c r="W3709">
        <v>1</v>
      </c>
    </row>
    <row r="3710" spans="1:23" ht="16.5" x14ac:dyDescent="0.3">
      <c r="A3710" t="s">
        <v>3774</v>
      </c>
      <c r="B3710" s="1">
        <v>45824</v>
      </c>
      <c r="C3710">
        <v>2025</v>
      </c>
      <c r="D3710" t="s">
        <v>688</v>
      </c>
      <c r="E3710" t="s">
        <v>1096</v>
      </c>
      <c r="F3710" t="s">
        <v>50</v>
      </c>
      <c r="G3710" t="s">
        <v>27</v>
      </c>
      <c r="H3710" t="s">
        <v>34</v>
      </c>
      <c r="I3710" t="s">
        <v>29</v>
      </c>
      <c r="J3710" t="s">
        <v>46</v>
      </c>
      <c r="K3710" s="2">
        <v>3900</v>
      </c>
      <c r="L3710" s="2">
        <v>249000</v>
      </c>
      <c r="M3710">
        <v>180</v>
      </c>
      <c r="N3710" s="3">
        <v>0.67900000000000005</v>
      </c>
      <c r="O3710" t="s">
        <v>17</v>
      </c>
      <c r="P3710" t="s">
        <v>53</v>
      </c>
      <c r="Q3710">
        <v>0</v>
      </c>
      <c r="R3710">
        <v>1</v>
      </c>
      <c r="S3710" s="2">
        <v>0</v>
      </c>
      <c r="T3710" s="4"/>
      <c r="U3710">
        <v>12</v>
      </c>
      <c r="V3710">
        <v>1</v>
      </c>
      <c r="W3710">
        <v>1</v>
      </c>
    </row>
    <row r="3711" spans="1:23" ht="16.5" x14ac:dyDescent="0.3">
      <c r="A3711" t="s">
        <v>3775</v>
      </c>
      <c r="B3711" s="1">
        <v>45824</v>
      </c>
      <c r="C3711">
        <v>2025</v>
      </c>
      <c r="D3711" t="s">
        <v>688</v>
      </c>
      <c r="E3711" t="s">
        <v>1096</v>
      </c>
      <c r="F3711" t="s">
        <v>26</v>
      </c>
      <c r="G3711" t="s">
        <v>45</v>
      </c>
      <c r="H3711" t="s">
        <v>64</v>
      </c>
      <c r="I3711" t="s">
        <v>29</v>
      </c>
      <c r="J3711" t="s">
        <v>52</v>
      </c>
      <c r="K3711" s="2">
        <v>4850</v>
      </c>
      <c r="L3711" s="2">
        <v>44000</v>
      </c>
      <c r="M3711">
        <v>36</v>
      </c>
      <c r="N3711" s="3">
        <v>0.48799999999999999</v>
      </c>
      <c r="O3711" t="s">
        <v>16</v>
      </c>
      <c r="Q3711">
        <v>1</v>
      </c>
      <c r="R3711">
        <v>0</v>
      </c>
      <c r="S3711" s="2">
        <v>44000</v>
      </c>
      <c r="T3711" s="4">
        <v>7.9899999999999999E-2</v>
      </c>
      <c r="U3711">
        <v>3</v>
      </c>
      <c r="V3711">
        <v>1</v>
      </c>
      <c r="W3711">
        <v>1</v>
      </c>
    </row>
    <row r="3712" spans="1:23" ht="16.5" x14ac:dyDescent="0.3">
      <c r="A3712" t="s">
        <v>3776</v>
      </c>
      <c r="B3712" s="1">
        <v>45824</v>
      </c>
      <c r="C3712">
        <v>2025</v>
      </c>
      <c r="D3712" t="s">
        <v>688</v>
      </c>
      <c r="E3712" t="s">
        <v>1096</v>
      </c>
      <c r="F3712" t="s">
        <v>41</v>
      </c>
      <c r="G3712" t="s">
        <v>27</v>
      </c>
      <c r="H3712" t="s">
        <v>38</v>
      </c>
      <c r="I3712" t="s">
        <v>29</v>
      </c>
      <c r="J3712" t="s">
        <v>43</v>
      </c>
      <c r="K3712" s="2">
        <v>7550</v>
      </c>
      <c r="L3712" s="2">
        <v>83000</v>
      </c>
      <c r="M3712">
        <v>36</v>
      </c>
      <c r="N3712" s="3">
        <v>0.49199999999999999</v>
      </c>
      <c r="O3712" t="s">
        <v>17</v>
      </c>
      <c r="P3712" t="s">
        <v>53</v>
      </c>
      <c r="Q3712">
        <v>0</v>
      </c>
      <c r="R3712">
        <v>1</v>
      </c>
      <c r="S3712" s="2">
        <v>0</v>
      </c>
      <c r="T3712" s="4"/>
      <c r="U3712">
        <v>7</v>
      </c>
      <c r="V3712">
        <v>1</v>
      </c>
      <c r="W3712">
        <v>1</v>
      </c>
    </row>
    <row r="3713" spans="1:23" ht="16.5" x14ac:dyDescent="0.3">
      <c r="A3713" t="s">
        <v>3777</v>
      </c>
      <c r="B3713" s="1">
        <v>45825</v>
      </c>
      <c r="C3713">
        <v>2025</v>
      </c>
      <c r="D3713" t="s">
        <v>688</v>
      </c>
      <c r="E3713" t="s">
        <v>1096</v>
      </c>
      <c r="F3713" t="s">
        <v>26</v>
      </c>
      <c r="G3713" t="s">
        <v>51</v>
      </c>
      <c r="H3713" t="s">
        <v>28</v>
      </c>
      <c r="I3713" t="s">
        <v>29</v>
      </c>
      <c r="J3713" t="s">
        <v>35</v>
      </c>
      <c r="K3713" s="2">
        <v>2800</v>
      </c>
      <c r="L3713" s="2">
        <v>54000</v>
      </c>
      <c r="M3713">
        <v>48</v>
      </c>
      <c r="N3713" s="3">
        <v>0.64300000000000002</v>
      </c>
      <c r="O3713" t="s">
        <v>16</v>
      </c>
      <c r="Q3713">
        <v>1</v>
      </c>
      <c r="R3713">
        <v>0</v>
      </c>
      <c r="S3713" s="2">
        <v>48500</v>
      </c>
      <c r="T3713" s="4">
        <v>8.2000000000000003E-2</v>
      </c>
      <c r="U3713">
        <v>7</v>
      </c>
      <c r="V3713">
        <v>0</v>
      </c>
      <c r="W3713">
        <v>1</v>
      </c>
    </row>
    <row r="3714" spans="1:23" ht="16.5" x14ac:dyDescent="0.3">
      <c r="A3714" t="s">
        <v>3778</v>
      </c>
      <c r="B3714" s="1">
        <v>45825</v>
      </c>
      <c r="C3714">
        <v>2025</v>
      </c>
      <c r="D3714" t="s">
        <v>688</v>
      </c>
      <c r="E3714" t="s">
        <v>1096</v>
      </c>
      <c r="F3714" t="s">
        <v>26</v>
      </c>
      <c r="G3714" t="s">
        <v>45</v>
      </c>
      <c r="H3714" t="s">
        <v>34</v>
      </c>
      <c r="I3714" t="s">
        <v>29</v>
      </c>
      <c r="J3714" t="s">
        <v>46</v>
      </c>
      <c r="K3714" s="2">
        <v>7300</v>
      </c>
      <c r="L3714" s="2">
        <v>29500</v>
      </c>
      <c r="M3714">
        <v>36</v>
      </c>
      <c r="N3714" s="3">
        <v>0.32600000000000001</v>
      </c>
      <c r="O3714" t="s">
        <v>16</v>
      </c>
      <c r="Q3714">
        <v>1</v>
      </c>
      <c r="R3714">
        <v>0</v>
      </c>
      <c r="S3714" s="2">
        <v>29500</v>
      </c>
      <c r="T3714" s="4">
        <v>6.3899999999999998E-2</v>
      </c>
      <c r="U3714">
        <v>2</v>
      </c>
      <c r="V3714">
        <v>1</v>
      </c>
      <c r="W3714">
        <v>1</v>
      </c>
    </row>
    <row r="3715" spans="1:23" ht="16.5" x14ac:dyDescent="0.3">
      <c r="A3715" t="s">
        <v>3779</v>
      </c>
      <c r="B3715" s="1">
        <v>45825</v>
      </c>
      <c r="C3715">
        <v>2025</v>
      </c>
      <c r="D3715" t="s">
        <v>688</v>
      </c>
      <c r="E3715" t="s">
        <v>1096</v>
      </c>
      <c r="F3715" t="s">
        <v>41</v>
      </c>
      <c r="G3715" t="s">
        <v>51</v>
      </c>
      <c r="H3715" t="s">
        <v>34</v>
      </c>
      <c r="I3715" t="s">
        <v>29</v>
      </c>
      <c r="J3715" t="s">
        <v>35</v>
      </c>
      <c r="K3715" s="2">
        <v>4700</v>
      </c>
      <c r="L3715" s="2">
        <v>65000</v>
      </c>
      <c r="M3715">
        <v>60</v>
      </c>
      <c r="N3715" s="3">
        <v>0.52</v>
      </c>
      <c r="O3715" t="s">
        <v>17</v>
      </c>
      <c r="P3715" t="s">
        <v>53</v>
      </c>
      <c r="Q3715">
        <v>0</v>
      </c>
      <c r="R3715">
        <v>1</v>
      </c>
      <c r="S3715" s="2">
        <v>0</v>
      </c>
      <c r="T3715" s="4"/>
      <c r="U3715">
        <v>15</v>
      </c>
      <c r="V3715">
        <v>0</v>
      </c>
      <c r="W3715">
        <v>1</v>
      </c>
    </row>
    <row r="3716" spans="1:23" ht="16.5" x14ac:dyDescent="0.3">
      <c r="A3716" t="s">
        <v>3780</v>
      </c>
      <c r="B3716" s="1">
        <v>45825</v>
      </c>
      <c r="C3716">
        <v>2025</v>
      </c>
      <c r="D3716" t="s">
        <v>688</v>
      </c>
      <c r="E3716" t="s">
        <v>1096</v>
      </c>
      <c r="F3716" t="s">
        <v>26</v>
      </c>
      <c r="G3716" t="s">
        <v>45</v>
      </c>
      <c r="H3716" t="s">
        <v>38</v>
      </c>
      <c r="I3716" t="s">
        <v>42</v>
      </c>
      <c r="J3716" t="s">
        <v>35</v>
      </c>
      <c r="K3716" s="2">
        <v>2250</v>
      </c>
      <c r="L3716" s="2">
        <v>26000</v>
      </c>
      <c r="M3716">
        <v>60</v>
      </c>
      <c r="N3716" s="3">
        <v>0.373</v>
      </c>
      <c r="O3716" t="s">
        <v>16</v>
      </c>
      <c r="Q3716">
        <v>1</v>
      </c>
      <c r="R3716">
        <v>0</v>
      </c>
      <c r="S3716" s="2">
        <v>21000</v>
      </c>
      <c r="T3716" s="4">
        <v>8.4599999999999995E-2</v>
      </c>
      <c r="U3716">
        <v>1</v>
      </c>
      <c r="V3716">
        <v>1</v>
      </c>
      <c r="W3716">
        <v>1</v>
      </c>
    </row>
    <row r="3717" spans="1:23" ht="16.5" x14ac:dyDescent="0.3">
      <c r="A3717" t="s">
        <v>3781</v>
      </c>
      <c r="B3717" s="1">
        <v>45825</v>
      </c>
      <c r="C3717">
        <v>2025</v>
      </c>
      <c r="D3717" t="s">
        <v>688</v>
      </c>
      <c r="E3717" t="s">
        <v>1096</v>
      </c>
      <c r="F3717" t="s">
        <v>37</v>
      </c>
      <c r="G3717" t="s">
        <v>51</v>
      </c>
      <c r="H3717" t="s">
        <v>55</v>
      </c>
      <c r="I3717" t="s">
        <v>39</v>
      </c>
      <c r="J3717" t="s">
        <v>35</v>
      </c>
      <c r="K3717" s="2">
        <v>9900</v>
      </c>
      <c r="L3717" s="2">
        <v>17000</v>
      </c>
      <c r="M3717">
        <v>48</v>
      </c>
      <c r="N3717" s="3">
        <v>0.28799999999999998</v>
      </c>
      <c r="O3717" t="s">
        <v>17</v>
      </c>
      <c r="P3717" t="s">
        <v>31</v>
      </c>
      <c r="Q3717">
        <v>0</v>
      </c>
      <c r="R3717">
        <v>1</v>
      </c>
      <c r="S3717" s="2">
        <v>0</v>
      </c>
      <c r="T3717" s="4"/>
      <c r="U3717">
        <v>2</v>
      </c>
      <c r="V3717">
        <v>1</v>
      </c>
      <c r="W3717">
        <v>1</v>
      </c>
    </row>
    <row r="3718" spans="1:23" ht="16.5" x14ac:dyDescent="0.3">
      <c r="A3718" t="s">
        <v>3782</v>
      </c>
      <c r="B3718" s="1">
        <v>45825</v>
      </c>
      <c r="C3718">
        <v>2025</v>
      </c>
      <c r="D3718" t="s">
        <v>688</v>
      </c>
      <c r="E3718" t="s">
        <v>1096</v>
      </c>
      <c r="F3718" t="s">
        <v>37</v>
      </c>
      <c r="G3718" t="s">
        <v>33</v>
      </c>
      <c r="H3718" t="s">
        <v>38</v>
      </c>
      <c r="I3718" t="s">
        <v>42</v>
      </c>
      <c r="J3718" t="s">
        <v>52</v>
      </c>
      <c r="K3718" s="2">
        <v>17900</v>
      </c>
      <c r="L3718" s="2">
        <v>17500</v>
      </c>
      <c r="M3718">
        <v>24</v>
      </c>
      <c r="N3718" s="3">
        <v>0.106</v>
      </c>
      <c r="O3718" t="s">
        <v>17</v>
      </c>
      <c r="P3718" t="s">
        <v>60</v>
      </c>
      <c r="Q3718">
        <v>0</v>
      </c>
      <c r="R3718">
        <v>1</v>
      </c>
      <c r="S3718" s="2">
        <v>0</v>
      </c>
      <c r="T3718" s="4"/>
      <c r="U3718">
        <v>5</v>
      </c>
      <c r="V3718">
        <v>0</v>
      </c>
      <c r="W3718">
        <v>1</v>
      </c>
    </row>
    <row r="3719" spans="1:23" ht="16.5" x14ac:dyDescent="0.3">
      <c r="A3719" t="s">
        <v>3783</v>
      </c>
      <c r="B3719" s="1">
        <v>45825</v>
      </c>
      <c r="C3719">
        <v>2025</v>
      </c>
      <c r="D3719" t="s">
        <v>688</v>
      </c>
      <c r="E3719" t="s">
        <v>1096</v>
      </c>
      <c r="F3719" t="s">
        <v>26</v>
      </c>
      <c r="G3719" t="s">
        <v>27</v>
      </c>
      <c r="H3719" t="s">
        <v>55</v>
      </c>
      <c r="I3719" t="s">
        <v>29</v>
      </c>
      <c r="J3719" t="s">
        <v>52</v>
      </c>
      <c r="K3719" s="2">
        <v>5000</v>
      </c>
      <c r="L3719" s="2">
        <v>36000</v>
      </c>
      <c r="M3719">
        <v>48</v>
      </c>
      <c r="N3719" s="3">
        <v>0.34300000000000003</v>
      </c>
      <c r="O3719" t="s">
        <v>17</v>
      </c>
      <c r="P3719" t="s">
        <v>60</v>
      </c>
      <c r="Q3719">
        <v>0</v>
      </c>
      <c r="R3719">
        <v>1</v>
      </c>
      <c r="S3719" s="2">
        <v>0</v>
      </c>
      <c r="T3719" s="4"/>
      <c r="U3719">
        <v>8</v>
      </c>
      <c r="V3719">
        <v>0</v>
      </c>
      <c r="W3719">
        <v>1</v>
      </c>
    </row>
    <row r="3720" spans="1:23" ht="16.5" x14ac:dyDescent="0.3">
      <c r="A3720" t="s">
        <v>3784</v>
      </c>
      <c r="B3720" s="1">
        <v>45825</v>
      </c>
      <c r="C3720">
        <v>2025</v>
      </c>
      <c r="D3720" t="s">
        <v>688</v>
      </c>
      <c r="E3720" t="s">
        <v>1096</v>
      </c>
      <c r="F3720" t="s">
        <v>26</v>
      </c>
      <c r="G3720" t="s">
        <v>33</v>
      </c>
      <c r="H3720" t="s">
        <v>38</v>
      </c>
      <c r="I3720" t="s">
        <v>39</v>
      </c>
      <c r="J3720" t="s">
        <v>46</v>
      </c>
      <c r="K3720" s="2">
        <v>3200</v>
      </c>
      <c r="L3720" s="2">
        <v>35500</v>
      </c>
      <c r="M3720">
        <v>60</v>
      </c>
      <c r="N3720" s="3">
        <v>0.374</v>
      </c>
      <c r="O3720" t="s">
        <v>16</v>
      </c>
      <c r="Q3720">
        <v>1</v>
      </c>
      <c r="R3720">
        <v>0</v>
      </c>
      <c r="S3720" s="2">
        <v>35500</v>
      </c>
      <c r="T3720" s="4">
        <v>7.2800000000000004E-2</v>
      </c>
      <c r="U3720">
        <v>2</v>
      </c>
      <c r="V3720">
        <v>1</v>
      </c>
      <c r="W3720">
        <v>1</v>
      </c>
    </row>
    <row r="3721" spans="1:23" ht="16.5" x14ac:dyDescent="0.3">
      <c r="A3721" t="s">
        <v>3785</v>
      </c>
      <c r="B3721" s="1">
        <v>45825</v>
      </c>
      <c r="C3721">
        <v>2025</v>
      </c>
      <c r="D3721" t="s">
        <v>688</v>
      </c>
      <c r="E3721" t="s">
        <v>1096</v>
      </c>
      <c r="F3721" t="s">
        <v>37</v>
      </c>
      <c r="G3721" t="s">
        <v>27</v>
      </c>
      <c r="H3721" t="s">
        <v>34</v>
      </c>
      <c r="I3721" t="s">
        <v>39</v>
      </c>
      <c r="J3721" t="s">
        <v>35</v>
      </c>
      <c r="K3721" s="2">
        <v>7350</v>
      </c>
      <c r="L3721" s="2">
        <v>6500</v>
      </c>
      <c r="M3721">
        <v>60</v>
      </c>
      <c r="N3721" s="3">
        <v>0.13500000000000001</v>
      </c>
      <c r="O3721" t="s">
        <v>16</v>
      </c>
      <c r="Q3721">
        <v>1</v>
      </c>
      <c r="R3721">
        <v>0</v>
      </c>
      <c r="S3721" s="2">
        <v>6500</v>
      </c>
      <c r="T3721" s="4">
        <v>0.12620000000000001</v>
      </c>
      <c r="U3721">
        <v>5</v>
      </c>
      <c r="V3721">
        <v>0</v>
      </c>
      <c r="W3721">
        <v>1</v>
      </c>
    </row>
    <row r="3722" spans="1:23" ht="16.5" x14ac:dyDescent="0.3">
      <c r="A3722" t="s">
        <v>3786</v>
      </c>
      <c r="B3722" s="1">
        <v>45825</v>
      </c>
      <c r="C3722">
        <v>2025</v>
      </c>
      <c r="D3722" t="s">
        <v>688</v>
      </c>
      <c r="E3722" t="s">
        <v>1096</v>
      </c>
      <c r="F3722" t="s">
        <v>41</v>
      </c>
      <c r="G3722" t="s">
        <v>33</v>
      </c>
      <c r="H3722" t="s">
        <v>55</v>
      </c>
      <c r="I3722" t="s">
        <v>29</v>
      </c>
      <c r="J3722" t="s">
        <v>35</v>
      </c>
      <c r="K3722" s="2">
        <v>5200</v>
      </c>
      <c r="L3722" s="2">
        <v>50500</v>
      </c>
      <c r="M3722">
        <v>60</v>
      </c>
      <c r="N3722" s="3">
        <v>0.36599999999999999</v>
      </c>
      <c r="O3722" t="s">
        <v>17</v>
      </c>
      <c r="P3722" t="s">
        <v>65</v>
      </c>
      <c r="Q3722">
        <v>0</v>
      </c>
      <c r="R3722">
        <v>1</v>
      </c>
      <c r="S3722" s="2">
        <v>0</v>
      </c>
      <c r="T3722" s="4"/>
      <c r="U3722">
        <v>5</v>
      </c>
      <c r="V3722">
        <v>1</v>
      </c>
      <c r="W3722">
        <v>1</v>
      </c>
    </row>
    <row r="3723" spans="1:23" ht="16.5" x14ac:dyDescent="0.3">
      <c r="A3723" t="s">
        <v>3787</v>
      </c>
      <c r="B3723" s="1">
        <v>45825</v>
      </c>
      <c r="C3723">
        <v>2025</v>
      </c>
      <c r="D3723" t="s">
        <v>688</v>
      </c>
      <c r="E3723" t="s">
        <v>1096</v>
      </c>
      <c r="F3723" t="s">
        <v>26</v>
      </c>
      <c r="G3723" t="s">
        <v>51</v>
      </c>
      <c r="H3723" t="s">
        <v>34</v>
      </c>
      <c r="I3723" t="s">
        <v>29</v>
      </c>
      <c r="J3723" t="s">
        <v>52</v>
      </c>
      <c r="K3723" s="2">
        <v>4250</v>
      </c>
      <c r="L3723" s="2">
        <v>18000</v>
      </c>
      <c r="M3723">
        <v>60</v>
      </c>
      <c r="N3723" s="3">
        <v>0.22</v>
      </c>
      <c r="O3723" t="s">
        <v>16</v>
      </c>
      <c r="Q3723">
        <v>1</v>
      </c>
      <c r="R3723">
        <v>0</v>
      </c>
      <c r="S3723" s="2">
        <v>16000</v>
      </c>
      <c r="T3723" s="4">
        <v>7.6100000000000001E-2</v>
      </c>
      <c r="U3723">
        <v>7</v>
      </c>
      <c r="V3723">
        <v>0</v>
      </c>
      <c r="W3723">
        <v>1</v>
      </c>
    </row>
    <row r="3724" spans="1:23" ht="16.5" x14ac:dyDescent="0.3">
      <c r="A3724" t="s">
        <v>3788</v>
      </c>
      <c r="B3724" s="1">
        <v>45826</v>
      </c>
      <c r="C3724">
        <v>2025</v>
      </c>
      <c r="D3724" t="s">
        <v>688</v>
      </c>
      <c r="E3724" t="s">
        <v>1096</v>
      </c>
      <c r="F3724" t="s">
        <v>50</v>
      </c>
      <c r="G3724" t="s">
        <v>33</v>
      </c>
      <c r="H3724" t="s">
        <v>34</v>
      </c>
      <c r="I3724" t="s">
        <v>29</v>
      </c>
      <c r="J3724" t="s">
        <v>43</v>
      </c>
      <c r="K3724" s="2">
        <v>2950</v>
      </c>
      <c r="L3724" s="2">
        <v>529500</v>
      </c>
      <c r="M3724">
        <v>180</v>
      </c>
      <c r="N3724" s="3">
        <v>1.58</v>
      </c>
      <c r="O3724" t="s">
        <v>125</v>
      </c>
      <c r="Q3724">
        <v>0</v>
      </c>
      <c r="R3724">
        <v>0</v>
      </c>
      <c r="S3724" s="2">
        <v>0</v>
      </c>
      <c r="T3724" s="4"/>
      <c r="U3724">
        <v>4</v>
      </c>
      <c r="V3724">
        <v>1</v>
      </c>
      <c r="W3724">
        <v>1</v>
      </c>
    </row>
    <row r="3725" spans="1:23" ht="16.5" x14ac:dyDescent="0.3">
      <c r="A3725" t="s">
        <v>3789</v>
      </c>
      <c r="B3725" s="1">
        <v>45826</v>
      </c>
      <c r="C3725">
        <v>2025</v>
      </c>
      <c r="D3725" t="s">
        <v>688</v>
      </c>
      <c r="E3725" t="s">
        <v>1096</v>
      </c>
      <c r="F3725" t="s">
        <v>41</v>
      </c>
      <c r="G3725" t="s">
        <v>33</v>
      </c>
      <c r="H3725" t="s">
        <v>64</v>
      </c>
      <c r="I3725" t="s">
        <v>42</v>
      </c>
      <c r="J3725" t="s">
        <v>35</v>
      </c>
      <c r="K3725" s="2">
        <v>8100</v>
      </c>
      <c r="L3725" s="2">
        <v>109000</v>
      </c>
      <c r="M3725">
        <v>12</v>
      </c>
      <c r="N3725" s="3">
        <v>1.254</v>
      </c>
      <c r="O3725" t="s">
        <v>16</v>
      </c>
      <c r="Q3725">
        <v>1</v>
      </c>
      <c r="R3725">
        <v>0</v>
      </c>
      <c r="S3725" s="2">
        <v>109000</v>
      </c>
      <c r="T3725" s="4">
        <v>0.1103</v>
      </c>
      <c r="U3725">
        <v>9</v>
      </c>
      <c r="V3725">
        <v>1</v>
      </c>
      <c r="W3725">
        <v>1</v>
      </c>
    </row>
    <row r="3726" spans="1:23" ht="16.5" x14ac:dyDescent="0.3">
      <c r="A3726" t="s">
        <v>3790</v>
      </c>
      <c r="B3726" s="1">
        <v>45826</v>
      </c>
      <c r="C3726">
        <v>2025</v>
      </c>
      <c r="D3726" t="s">
        <v>688</v>
      </c>
      <c r="E3726" t="s">
        <v>1096</v>
      </c>
      <c r="F3726" t="s">
        <v>26</v>
      </c>
      <c r="G3726" t="s">
        <v>51</v>
      </c>
      <c r="H3726" t="s">
        <v>38</v>
      </c>
      <c r="I3726" t="s">
        <v>29</v>
      </c>
      <c r="J3726" t="s">
        <v>43</v>
      </c>
      <c r="K3726" s="2">
        <v>9150</v>
      </c>
      <c r="L3726" s="2">
        <v>42500</v>
      </c>
      <c r="M3726">
        <v>60</v>
      </c>
      <c r="N3726" s="3">
        <v>0.34</v>
      </c>
      <c r="O3726" t="s">
        <v>17</v>
      </c>
      <c r="P3726" t="s">
        <v>31</v>
      </c>
      <c r="Q3726">
        <v>0</v>
      </c>
      <c r="R3726">
        <v>1</v>
      </c>
      <c r="S3726" s="2">
        <v>0</v>
      </c>
      <c r="T3726" s="4"/>
      <c r="U3726">
        <v>8</v>
      </c>
      <c r="V3726">
        <v>0</v>
      </c>
      <c r="W3726">
        <v>1</v>
      </c>
    </row>
    <row r="3727" spans="1:23" ht="16.5" x14ac:dyDescent="0.3">
      <c r="A3727" t="s">
        <v>3791</v>
      </c>
      <c r="B3727" s="1">
        <v>45826</v>
      </c>
      <c r="C3727">
        <v>2025</v>
      </c>
      <c r="D3727" t="s">
        <v>688</v>
      </c>
      <c r="E3727" t="s">
        <v>1096</v>
      </c>
      <c r="F3727" t="s">
        <v>41</v>
      </c>
      <c r="G3727" t="s">
        <v>45</v>
      </c>
      <c r="H3727" t="s">
        <v>38</v>
      </c>
      <c r="I3727" t="s">
        <v>29</v>
      </c>
      <c r="J3727" t="s">
        <v>52</v>
      </c>
      <c r="K3727" s="2">
        <v>2350</v>
      </c>
      <c r="L3727" s="2">
        <v>161000</v>
      </c>
      <c r="M3727">
        <v>12</v>
      </c>
      <c r="N3727" s="3">
        <v>6.2380000000000004</v>
      </c>
      <c r="O3727" t="s">
        <v>17</v>
      </c>
      <c r="P3727" t="s">
        <v>53</v>
      </c>
      <c r="Q3727">
        <v>0</v>
      </c>
      <c r="R3727">
        <v>1</v>
      </c>
      <c r="S3727" s="2">
        <v>0</v>
      </c>
      <c r="T3727" s="4"/>
      <c r="U3727">
        <v>14</v>
      </c>
      <c r="V3727">
        <v>0</v>
      </c>
      <c r="W3727">
        <v>1</v>
      </c>
    </row>
    <row r="3728" spans="1:23" ht="16.5" x14ac:dyDescent="0.3">
      <c r="A3728" t="s">
        <v>3792</v>
      </c>
      <c r="B3728" s="1">
        <v>45826</v>
      </c>
      <c r="C3728">
        <v>2025</v>
      </c>
      <c r="D3728" t="s">
        <v>688</v>
      </c>
      <c r="E3728" t="s">
        <v>1096</v>
      </c>
      <c r="F3728" t="s">
        <v>26</v>
      </c>
      <c r="G3728" t="s">
        <v>51</v>
      </c>
      <c r="H3728" t="s">
        <v>55</v>
      </c>
      <c r="I3728" t="s">
        <v>29</v>
      </c>
      <c r="J3728" t="s">
        <v>35</v>
      </c>
      <c r="K3728" s="2">
        <v>8350</v>
      </c>
      <c r="L3728" s="2">
        <v>28000</v>
      </c>
      <c r="M3728">
        <v>36</v>
      </c>
      <c r="N3728" s="3">
        <v>0.28199999999999997</v>
      </c>
      <c r="O3728" t="s">
        <v>16</v>
      </c>
      <c r="Q3728">
        <v>1</v>
      </c>
      <c r="R3728">
        <v>0</v>
      </c>
      <c r="S3728" s="2">
        <v>22500</v>
      </c>
      <c r="T3728" s="4">
        <v>8.4000000000000005E-2</v>
      </c>
      <c r="U3728">
        <v>3</v>
      </c>
      <c r="V3728">
        <v>1</v>
      </c>
      <c r="W3728">
        <v>1</v>
      </c>
    </row>
    <row r="3729" spans="1:23" ht="16.5" x14ac:dyDescent="0.3">
      <c r="A3729" t="s">
        <v>3793</v>
      </c>
      <c r="B3729" s="1">
        <v>45826</v>
      </c>
      <c r="C3729">
        <v>2025</v>
      </c>
      <c r="D3729" t="s">
        <v>688</v>
      </c>
      <c r="E3729" t="s">
        <v>1096</v>
      </c>
      <c r="F3729" t="s">
        <v>26</v>
      </c>
      <c r="G3729" t="s">
        <v>33</v>
      </c>
      <c r="H3729" t="s">
        <v>55</v>
      </c>
      <c r="I3729" t="s">
        <v>29</v>
      </c>
      <c r="J3729" t="s">
        <v>35</v>
      </c>
      <c r="K3729" s="2">
        <v>3650</v>
      </c>
      <c r="L3729" s="2">
        <v>39500</v>
      </c>
      <c r="M3729">
        <v>36</v>
      </c>
      <c r="N3729" s="3">
        <v>0.45300000000000001</v>
      </c>
      <c r="O3729" t="s">
        <v>16</v>
      </c>
      <c r="Q3729">
        <v>1</v>
      </c>
      <c r="R3729">
        <v>0</v>
      </c>
      <c r="S3729" s="2">
        <v>31500</v>
      </c>
      <c r="T3729" s="4">
        <v>8.0500000000000002E-2</v>
      </c>
      <c r="U3729">
        <v>2</v>
      </c>
      <c r="V3729">
        <v>1</v>
      </c>
      <c r="W3729">
        <v>1</v>
      </c>
    </row>
    <row r="3730" spans="1:23" ht="16.5" x14ac:dyDescent="0.3">
      <c r="A3730" t="s">
        <v>3794</v>
      </c>
      <c r="B3730" s="1">
        <v>45827</v>
      </c>
      <c r="C3730">
        <v>2025</v>
      </c>
      <c r="D3730" t="s">
        <v>688</v>
      </c>
      <c r="E3730" t="s">
        <v>1096</v>
      </c>
      <c r="F3730" t="s">
        <v>26</v>
      </c>
      <c r="G3730" t="s">
        <v>45</v>
      </c>
      <c r="H3730" t="s">
        <v>38</v>
      </c>
      <c r="I3730" t="s">
        <v>29</v>
      </c>
      <c r="J3730" t="s">
        <v>43</v>
      </c>
      <c r="K3730" s="2">
        <v>4000</v>
      </c>
      <c r="L3730" s="2">
        <v>26500</v>
      </c>
      <c r="M3730">
        <v>36</v>
      </c>
      <c r="N3730" s="3">
        <v>0.442</v>
      </c>
      <c r="O3730" t="s">
        <v>16</v>
      </c>
      <c r="Q3730">
        <v>1</v>
      </c>
      <c r="R3730">
        <v>0</v>
      </c>
      <c r="S3730" s="2">
        <v>26500</v>
      </c>
      <c r="T3730" s="4">
        <v>0.11020000000000001</v>
      </c>
      <c r="U3730">
        <v>2</v>
      </c>
      <c r="V3730">
        <v>1</v>
      </c>
      <c r="W3730">
        <v>1</v>
      </c>
    </row>
    <row r="3731" spans="1:23" ht="16.5" x14ac:dyDescent="0.3">
      <c r="A3731" t="s">
        <v>3795</v>
      </c>
      <c r="B3731" s="1">
        <v>45827</v>
      </c>
      <c r="C3731">
        <v>2025</v>
      </c>
      <c r="D3731" t="s">
        <v>688</v>
      </c>
      <c r="E3731" t="s">
        <v>1096</v>
      </c>
      <c r="F3731" t="s">
        <v>37</v>
      </c>
      <c r="G3731" t="s">
        <v>45</v>
      </c>
      <c r="H3731" t="s">
        <v>64</v>
      </c>
      <c r="I3731" t="s">
        <v>29</v>
      </c>
      <c r="J3731" t="s">
        <v>46</v>
      </c>
      <c r="K3731" s="2">
        <v>4350</v>
      </c>
      <c r="L3731" s="2">
        <v>7500</v>
      </c>
      <c r="M3731">
        <v>48</v>
      </c>
      <c r="N3731" s="3">
        <v>0.23200000000000001</v>
      </c>
      <c r="O3731" t="s">
        <v>17</v>
      </c>
      <c r="P3731" t="s">
        <v>31</v>
      </c>
      <c r="Q3731">
        <v>0</v>
      </c>
      <c r="R3731">
        <v>1</v>
      </c>
      <c r="S3731" s="2">
        <v>0</v>
      </c>
      <c r="T3731" s="4"/>
      <c r="U3731">
        <v>2</v>
      </c>
      <c r="V3731">
        <v>1</v>
      </c>
      <c r="W3731">
        <v>1</v>
      </c>
    </row>
    <row r="3732" spans="1:23" ht="16.5" x14ac:dyDescent="0.3">
      <c r="A3732" t="s">
        <v>3796</v>
      </c>
      <c r="B3732" s="1">
        <v>45827</v>
      </c>
      <c r="C3732">
        <v>2025</v>
      </c>
      <c r="D3732" t="s">
        <v>688</v>
      </c>
      <c r="E3732" t="s">
        <v>1096</v>
      </c>
      <c r="F3732" t="s">
        <v>26</v>
      </c>
      <c r="G3732" t="s">
        <v>33</v>
      </c>
      <c r="H3732" t="s">
        <v>55</v>
      </c>
      <c r="I3732" t="s">
        <v>42</v>
      </c>
      <c r="J3732" t="s">
        <v>43</v>
      </c>
      <c r="K3732" s="2">
        <v>9550</v>
      </c>
      <c r="L3732" s="2">
        <v>43500</v>
      </c>
      <c r="M3732">
        <v>36</v>
      </c>
      <c r="N3732" s="3">
        <v>0.39</v>
      </c>
      <c r="O3732" t="s">
        <v>17</v>
      </c>
      <c r="P3732" t="s">
        <v>31</v>
      </c>
      <c r="Q3732">
        <v>0</v>
      </c>
      <c r="R3732">
        <v>1</v>
      </c>
      <c r="S3732" s="2">
        <v>0</v>
      </c>
      <c r="T3732" s="4"/>
      <c r="U3732">
        <v>1</v>
      </c>
      <c r="V3732">
        <v>1</v>
      </c>
      <c r="W3732">
        <v>1</v>
      </c>
    </row>
    <row r="3733" spans="1:23" ht="16.5" x14ac:dyDescent="0.3">
      <c r="A3733" t="s">
        <v>3797</v>
      </c>
      <c r="B3733" s="1">
        <v>45827</v>
      </c>
      <c r="C3733">
        <v>2025</v>
      </c>
      <c r="D3733" t="s">
        <v>688</v>
      </c>
      <c r="E3733" t="s">
        <v>1096</v>
      </c>
      <c r="F3733" t="s">
        <v>37</v>
      </c>
      <c r="G3733" t="s">
        <v>33</v>
      </c>
      <c r="H3733" t="s">
        <v>64</v>
      </c>
      <c r="I3733" t="s">
        <v>39</v>
      </c>
      <c r="J3733" t="s">
        <v>30</v>
      </c>
      <c r="K3733" s="2">
        <v>3750</v>
      </c>
      <c r="L3733" s="2">
        <v>13000</v>
      </c>
      <c r="M3733">
        <v>48</v>
      </c>
      <c r="N3733" s="3">
        <v>0.23400000000000001</v>
      </c>
      <c r="O3733" t="s">
        <v>16</v>
      </c>
      <c r="Q3733">
        <v>1</v>
      </c>
      <c r="R3733">
        <v>0</v>
      </c>
      <c r="S3733" s="2">
        <v>13000</v>
      </c>
      <c r="T3733" s="4">
        <v>0.13739999999999999</v>
      </c>
      <c r="U3733">
        <v>1</v>
      </c>
      <c r="V3733">
        <v>1</v>
      </c>
      <c r="W3733">
        <v>1</v>
      </c>
    </row>
    <row r="3734" spans="1:23" ht="16.5" x14ac:dyDescent="0.3">
      <c r="A3734" t="s">
        <v>3798</v>
      </c>
      <c r="B3734" s="1">
        <v>45827</v>
      </c>
      <c r="C3734">
        <v>2025</v>
      </c>
      <c r="D3734" t="s">
        <v>688</v>
      </c>
      <c r="E3734" t="s">
        <v>1096</v>
      </c>
      <c r="F3734" t="s">
        <v>50</v>
      </c>
      <c r="G3734" t="s">
        <v>51</v>
      </c>
      <c r="H3734" t="s">
        <v>34</v>
      </c>
      <c r="I3734" t="s">
        <v>39</v>
      </c>
      <c r="J3734" t="s">
        <v>30</v>
      </c>
      <c r="K3734" s="2">
        <v>5600</v>
      </c>
      <c r="L3734" s="2">
        <v>530500</v>
      </c>
      <c r="M3734">
        <v>180</v>
      </c>
      <c r="N3734" s="3">
        <v>0.871</v>
      </c>
      <c r="O3734" t="s">
        <v>17</v>
      </c>
      <c r="P3734" t="s">
        <v>53</v>
      </c>
      <c r="Q3734">
        <v>0</v>
      </c>
      <c r="R3734">
        <v>1</v>
      </c>
      <c r="S3734" s="2">
        <v>0</v>
      </c>
      <c r="T3734" s="4"/>
      <c r="U3734">
        <v>12</v>
      </c>
      <c r="V3734">
        <v>1</v>
      </c>
      <c r="W3734">
        <v>1</v>
      </c>
    </row>
    <row r="3735" spans="1:23" ht="16.5" x14ac:dyDescent="0.3">
      <c r="A3735" t="s">
        <v>3799</v>
      </c>
      <c r="B3735" s="1">
        <v>45827</v>
      </c>
      <c r="C3735">
        <v>2025</v>
      </c>
      <c r="D3735" t="s">
        <v>688</v>
      </c>
      <c r="E3735" t="s">
        <v>1096</v>
      </c>
      <c r="F3735" t="s">
        <v>37</v>
      </c>
      <c r="G3735" t="s">
        <v>51</v>
      </c>
      <c r="H3735" t="s">
        <v>38</v>
      </c>
      <c r="I3735" t="s">
        <v>29</v>
      </c>
      <c r="J3735" t="s">
        <v>30</v>
      </c>
      <c r="K3735" s="2">
        <v>4950</v>
      </c>
      <c r="L3735" s="2">
        <v>10500</v>
      </c>
      <c r="M3735">
        <v>60</v>
      </c>
      <c r="N3735" s="3">
        <v>0.27400000000000002</v>
      </c>
      <c r="O3735" t="s">
        <v>17</v>
      </c>
      <c r="P3735" t="s">
        <v>31</v>
      </c>
      <c r="Q3735">
        <v>0</v>
      </c>
      <c r="R3735">
        <v>1</v>
      </c>
      <c r="S3735" s="2">
        <v>0</v>
      </c>
      <c r="T3735" s="4"/>
      <c r="U3735">
        <v>3</v>
      </c>
      <c r="V3735">
        <v>1</v>
      </c>
      <c r="W3735">
        <v>1</v>
      </c>
    </row>
    <row r="3736" spans="1:23" ht="16.5" x14ac:dyDescent="0.3">
      <c r="A3736" t="s">
        <v>3800</v>
      </c>
      <c r="B3736" s="1">
        <v>45827</v>
      </c>
      <c r="C3736">
        <v>2025</v>
      </c>
      <c r="D3736" t="s">
        <v>688</v>
      </c>
      <c r="E3736" t="s">
        <v>1096</v>
      </c>
      <c r="F3736" t="s">
        <v>26</v>
      </c>
      <c r="G3736" t="s">
        <v>33</v>
      </c>
      <c r="H3736" t="s">
        <v>38</v>
      </c>
      <c r="I3736" t="s">
        <v>42</v>
      </c>
      <c r="J3736" t="s">
        <v>43</v>
      </c>
      <c r="K3736" s="2">
        <v>8500</v>
      </c>
      <c r="L3736" s="2">
        <v>21500</v>
      </c>
      <c r="M3736">
        <v>36</v>
      </c>
      <c r="N3736" s="3">
        <v>0.25900000000000001</v>
      </c>
      <c r="O3736" t="s">
        <v>17</v>
      </c>
      <c r="P3736" t="s">
        <v>31</v>
      </c>
      <c r="Q3736">
        <v>0</v>
      </c>
      <c r="R3736">
        <v>1</v>
      </c>
      <c r="S3736" s="2">
        <v>0</v>
      </c>
      <c r="T3736" s="4"/>
      <c r="U3736">
        <v>3</v>
      </c>
      <c r="V3736">
        <v>1</v>
      </c>
      <c r="W3736">
        <v>1</v>
      </c>
    </row>
    <row r="3737" spans="1:23" ht="16.5" x14ac:dyDescent="0.3">
      <c r="A3737" t="s">
        <v>3801</v>
      </c>
      <c r="B3737" s="1">
        <v>45827</v>
      </c>
      <c r="C3737">
        <v>2025</v>
      </c>
      <c r="D3737" t="s">
        <v>688</v>
      </c>
      <c r="E3737" t="s">
        <v>1096</v>
      </c>
      <c r="F3737" t="s">
        <v>50</v>
      </c>
      <c r="G3737" t="s">
        <v>51</v>
      </c>
      <c r="H3737" t="s">
        <v>38</v>
      </c>
      <c r="I3737" t="s">
        <v>29</v>
      </c>
      <c r="J3737" t="s">
        <v>35</v>
      </c>
      <c r="K3737" s="2">
        <v>5400</v>
      </c>
      <c r="L3737" s="2">
        <v>370000</v>
      </c>
      <c r="M3737">
        <v>300</v>
      </c>
      <c r="N3737" s="3">
        <v>0.51</v>
      </c>
      <c r="O3737" t="s">
        <v>17</v>
      </c>
      <c r="P3737" t="s">
        <v>60</v>
      </c>
      <c r="Q3737">
        <v>0</v>
      </c>
      <c r="R3737">
        <v>1</v>
      </c>
      <c r="S3737" s="2">
        <v>0</v>
      </c>
      <c r="T3737" s="4"/>
      <c r="U3737">
        <v>15</v>
      </c>
      <c r="V3737">
        <v>1</v>
      </c>
      <c r="W3737">
        <v>1</v>
      </c>
    </row>
    <row r="3738" spans="1:23" ht="16.5" x14ac:dyDescent="0.3">
      <c r="A3738" t="s">
        <v>3802</v>
      </c>
      <c r="B3738" s="1">
        <v>45827</v>
      </c>
      <c r="C3738">
        <v>2025</v>
      </c>
      <c r="D3738" t="s">
        <v>688</v>
      </c>
      <c r="E3738" t="s">
        <v>1096</v>
      </c>
      <c r="F3738" t="s">
        <v>26</v>
      </c>
      <c r="G3738" t="s">
        <v>51</v>
      </c>
      <c r="H3738" t="s">
        <v>34</v>
      </c>
      <c r="I3738" t="s">
        <v>29</v>
      </c>
      <c r="J3738" t="s">
        <v>35</v>
      </c>
      <c r="K3738" s="2">
        <v>2950</v>
      </c>
      <c r="L3738" s="2">
        <v>46500</v>
      </c>
      <c r="M3738">
        <v>48</v>
      </c>
      <c r="N3738" s="3">
        <v>0.45</v>
      </c>
      <c r="O3738" t="s">
        <v>16</v>
      </c>
      <c r="Q3738">
        <v>1</v>
      </c>
      <c r="R3738">
        <v>0</v>
      </c>
      <c r="S3738" s="2">
        <v>37000</v>
      </c>
      <c r="T3738" s="4">
        <v>8.3900000000000002E-2</v>
      </c>
      <c r="U3738">
        <v>2</v>
      </c>
      <c r="V3738">
        <v>1</v>
      </c>
      <c r="W3738">
        <v>1</v>
      </c>
    </row>
    <row r="3739" spans="1:23" ht="16.5" x14ac:dyDescent="0.3">
      <c r="A3739" t="s">
        <v>3803</v>
      </c>
      <c r="B3739" s="1">
        <v>45827</v>
      </c>
      <c r="C3739">
        <v>2025</v>
      </c>
      <c r="D3739" t="s">
        <v>688</v>
      </c>
      <c r="E3739" t="s">
        <v>1096</v>
      </c>
      <c r="F3739" t="s">
        <v>41</v>
      </c>
      <c r="G3739" t="s">
        <v>45</v>
      </c>
      <c r="H3739" t="s">
        <v>34</v>
      </c>
      <c r="I3739" t="s">
        <v>39</v>
      </c>
      <c r="J3739" t="s">
        <v>35</v>
      </c>
      <c r="K3739" s="2">
        <v>5600</v>
      </c>
      <c r="L3739" s="2">
        <v>93500</v>
      </c>
      <c r="M3739">
        <v>24</v>
      </c>
      <c r="N3739" s="3">
        <v>0.89100000000000001</v>
      </c>
      <c r="O3739" t="s">
        <v>17</v>
      </c>
      <c r="P3739" t="s">
        <v>53</v>
      </c>
      <c r="Q3739">
        <v>0</v>
      </c>
      <c r="R3739">
        <v>1</v>
      </c>
      <c r="S3739" s="2">
        <v>0</v>
      </c>
      <c r="T3739" s="4"/>
      <c r="U3739">
        <v>7</v>
      </c>
      <c r="V3739">
        <v>1</v>
      </c>
      <c r="W3739">
        <v>1</v>
      </c>
    </row>
    <row r="3740" spans="1:23" ht="16.5" x14ac:dyDescent="0.3">
      <c r="A3740" t="s">
        <v>3804</v>
      </c>
      <c r="B3740" s="1">
        <v>45827</v>
      </c>
      <c r="C3740">
        <v>2025</v>
      </c>
      <c r="D3740" t="s">
        <v>688</v>
      </c>
      <c r="E3740" t="s">
        <v>1096</v>
      </c>
      <c r="F3740" t="s">
        <v>37</v>
      </c>
      <c r="G3740" t="s">
        <v>51</v>
      </c>
      <c r="H3740" t="s">
        <v>55</v>
      </c>
      <c r="I3740" t="s">
        <v>39</v>
      </c>
      <c r="J3740" t="s">
        <v>43</v>
      </c>
      <c r="K3740" s="2">
        <v>6400</v>
      </c>
      <c r="L3740" s="2">
        <v>14000</v>
      </c>
      <c r="M3740">
        <v>24</v>
      </c>
      <c r="N3740" s="3">
        <v>0.26200000000000001</v>
      </c>
      <c r="O3740" t="s">
        <v>17</v>
      </c>
      <c r="P3740" t="s">
        <v>31</v>
      </c>
      <c r="Q3740">
        <v>0</v>
      </c>
      <c r="R3740">
        <v>1</v>
      </c>
      <c r="S3740" s="2">
        <v>0</v>
      </c>
      <c r="T3740" s="4"/>
      <c r="U3740">
        <v>4</v>
      </c>
      <c r="V3740">
        <v>0</v>
      </c>
      <c r="W3740">
        <v>1</v>
      </c>
    </row>
    <row r="3741" spans="1:23" ht="16.5" x14ac:dyDescent="0.3">
      <c r="A3741" t="s">
        <v>3805</v>
      </c>
      <c r="B3741" s="1">
        <v>45827</v>
      </c>
      <c r="C3741">
        <v>2025</v>
      </c>
      <c r="D3741" t="s">
        <v>688</v>
      </c>
      <c r="E3741" t="s">
        <v>1096</v>
      </c>
      <c r="F3741" t="s">
        <v>41</v>
      </c>
      <c r="G3741" t="s">
        <v>33</v>
      </c>
      <c r="H3741" t="s">
        <v>55</v>
      </c>
      <c r="I3741" t="s">
        <v>42</v>
      </c>
      <c r="J3741" t="s">
        <v>35</v>
      </c>
      <c r="K3741" s="2">
        <v>8800</v>
      </c>
      <c r="L3741" s="2">
        <v>43000</v>
      </c>
      <c r="M3741">
        <v>12</v>
      </c>
      <c r="N3741" s="3">
        <v>0.52300000000000002</v>
      </c>
      <c r="O3741" t="s">
        <v>125</v>
      </c>
      <c r="Q3741">
        <v>0</v>
      </c>
      <c r="R3741">
        <v>0</v>
      </c>
      <c r="S3741" s="2">
        <v>0</v>
      </c>
      <c r="T3741" s="4"/>
      <c r="U3741">
        <v>5</v>
      </c>
      <c r="V3741">
        <v>1</v>
      </c>
      <c r="W3741">
        <v>1</v>
      </c>
    </row>
    <row r="3742" spans="1:23" ht="16.5" x14ac:dyDescent="0.3">
      <c r="A3742" t="s">
        <v>3806</v>
      </c>
      <c r="B3742" s="1">
        <v>45828</v>
      </c>
      <c r="C3742">
        <v>2025</v>
      </c>
      <c r="D3742" t="s">
        <v>688</v>
      </c>
      <c r="E3742" t="s">
        <v>1096</v>
      </c>
      <c r="F3742" t="s">
        <v>37</v>
      </c>
      <c r="G3742" t="s">
        <v>33</v>
      </c>
      <c r="H3742" t="s">
        <v>38</v>
      </c>
      <c r="I3742" t="s">
        <v>29</v>
      </c>
      <c r="J3742" t="s">
        <v>52</v>
      </c>
      <c r="K3742" s="2">
        <v>6700</v>
      </c>
      <c r="L3742" s="2">
        <v>13500</v>
      </c>
      <c r="M3742">
        <v>12</v>
      </c>
      <c r="N3742" s="3">
        <v>0.35599999999999998</v>
      </c>
      <c r="O3742" t="s">
        <v>16</v>
      </c>
      <c r="Q3742">
        <v>1</v>
      </c>
      <c r="R3742">
        <v>0</v>
      </c>
      <c r="S3742" s="2">
        <v>13500</v>
      </c>
      <c r="T3742" s="4">
        <v>0.11360000000000001</v>
      </c>
      <c r="U3742">
        <v>1</v>
      </c>
      <c r="V3742">
        <v>1</v>
      </c>
      <c r="W3742">
        <v>1</v>
      </c>
    </row>
    <row r="3743" spans="1:23" ht="16.5" x14ac:dyDescent="0.3">
      <c r="A3743" t="s">
        <v>3807</v>
      </c>
      <c r="B3743" s="1">
        <v>45828</v>
      </c>
      <c r="C3743">
        <v>2025</v>
      </c>
      <c r="D3743" t="s">
        <v>688</v>
      </c>
      <c r="E3743" t="s">
        <v>1096</v>
      </c>
      <c r="F3743" t="s">
        <v>41</v>
      </c>
      <c r="G3743" t="s">
        <v>45</v>
      </c>
      <c r="H3743" t="s">
        <v>38</v>
      </c>
      <c r="I3743" t="s">
        <v>39</v>
      </c>
      <c r="J3743" t="s">
        <v>52</v>
      </c>
      <c r="K3743" s="2">
        <v>6650</v>
      </c>
      <c r="L3743" s="2">
        <v>28000</v>
      </c>
      <c r="M3743">
        <v>36</v>
      </c>
      <c r="N3743" s="3">
        <v>0.20399999999999999</v>
      </c>
      <c r="O3743" t="s">
        <v>16</v>
      </c>
      <c r="Q3743">
        <v>1</v>
      </c>
      <c r="R3743">
        <v>0</v>
      </c>
      <c r="S3743" s="2">
        <v>28000</v>
      </c>
      <c r="T3743" s="4">
        <v>9.9000000000000005E-2</v>
      </c>
      <c r="U3743">
        <v>6</v>
      </c>
      <c r="V3743">
        <v>1</v>
      </c>
      <c r="W3743">
        <v>1</v>
      </c>
    </row>
    <row r="3744" spans="1:23" ht="16.5" x14ac:dyDescent="0.3">
      <c r="A3744" t="s">
        <v>3808</v>
      </c>
      <c r="B3744" s="1">
        <v>45828</v>
      </c>
      <c r="C3744">
        <v>2025</v>
      </c>
      <c r="D3744" t="s">
        <v>688</v>
      </c>
      <c r="E3744" t="s">
        <v>1096</v>
      </c>
      <c r="F3744" t="s">
        <v>41</v>
      </c>
      <c r="G3744" t="s">
        <v>51</v>
      </c>
      <c r="H3744" t="s">
        <v>55</v>
      </c>
      <c r="I3744" t="s">
        <v>39</v>
      </c>
      <c r="J3744" t="s">
        <v>52</v>
      </c>
      <c r="K3744" s="2">
        <v>4850</v>
      </c>
      <c r="L3744" s="2">
        <v>66000</v>
      </c>
      <c r="M3744">
        <v>60</v>
      </c>
      <c r="N3744" s="3">
        <v>0.48799999999999999</v>
      </c>
      <c r="O3744" t="s">
        <v>16</v>
      </c>
      <c r="Q3744">
        <v>1</v>
      </c>
      <c r="R3744">
        <v>0</v>
      </c>
      <c r="S3744" s="2">
        <v>53000</v>
      </c>
      <c r="T3744" s="4">
        <v>9.9299999999999999E-2</v>
      </c>
      <c r="U3744">
        <v>14</v>
      </c>
      <c r="V3744">
        <v>0</v>
      </c>
      <c r="W3744">
        <v>1</v>
      </c>
    </row>
    <row r="3745" spans="1:23" ht="16.5" x14ac:dyDescent="0.3">
      <c r="A3745" t="s">
        <v>3809</v>
      </c>
      <c r="B3745" s="1">
        <v>45828</v>
      </c>
      <c r="C3745">
        <v>2025</v>
      </c>
      <c r="D3745" t="s">
        <v>688</v>
      </c>
      <c r="E3745" t="s">
        <v>1096</v>
      </c>
      <c r="F3745" t="s">
        <v>26</v>
      </c>
      <c r="G3745" t="s">
        <v>33</v>
      </c>
      <c r="H3745" t="s">
        <v>38</v>
      </c>
      <c r="I3745" t="s">
        <v>29</v>
      </c>
      <c r="J3745" t="s">
        <v>30</v>
      </c>
      <c r="K3745" s="2">
        <v>3700</v>
      </c>
      <c r="L3745" s="2">
        <v>25000</v>
      </c>
      <c r="M3745">
        <v>48</v>
      </c>
      <c r="N3745" s="3">
        <v>0.27300000000000002</v>
      </c>
      <c r="O3745" t="s">
        <v>17</v>
      </c>
      <c r="P3745" t="s">
        <v>31</v>
      </c>
      <c r="Q3745">
        <v>0</v>
      </c>
      <c r="R3745">
        <v>1</v>
      </c>
      <c r="S3745" s="2">
        <v>0</v>
      </c>
      <c r="T3745" s="4"/>
      <c r="U3745">
        <v>2</v>
      </c>
      <c r="V3745">
        <v>1</v>
      </c>
      <c r="W3745">
        <v>1</v>
      </c>
    </row>
    <row r="3746" spans="1:23" ht="16.5" x14ac:dyDescent="0.3">
      <c r="A3746" t="s">
        <v>3810</v>
      </c>
      <c r="B3746" s="1">
        <v>45828</v>
      </c>
      <c r="C3746">
        <v>2025</v>
      </c>
      <c r="D3746" t="s">
        <v>688</v>
      </c>
      <c r="E3746" t="s">
        <v>1096</v>
      </c>
      <c r="F3746" t="s">
        <v>41</v>
      </c>
      <c r="G3746" t="s">
        <v>51</v>
      </c>
      <c r="H3746" t="s">
        <v>34</v>
      </c>
      <c r="I3746" t="s">
        <v>29</v>
      </c>
      <c r="J3746" t="s">
        <v>35</v>
      </c>
      <c r="K3746" s="2">
        <v>4950</v>
      </c>
      <c r="L3746" s="2">
        <v>72000</v>
      </c>
      <c r="M3746">
        <v>12</v>
      </c>
      <c r="N3746" s="3">
        <v>1.34</v>
      </c>
      <c r="O3746" t="s">
        <v>17</v>
      </c>
      <c r="P3746" t="s">
        <v>53</v>
      </c>
      <c r="Q3746">
        <v>0</v>
      </c>
      <c r="R3746">
        <v>1</v>
      </c>
      <c r="S3746" s="2">
        <v>0</v>
      </c>
      <c r="T3746" s="4"/>
      <c r="U3746">
        <v>10</v>
      </c>
      <c r="V3746">
        <v>1</v>
      </c>
      <c r="W3746">
        <v>1</v>
      </c>
    </row>
    <row r="3747" spans="1:23" ht="16.5" x14ac:dyDescent="0.3">
      <c r="A3747" t="s">
        <v>3811</v>
      </c>
      <c r="B3747" s="1">
        <v>45828</v>
      </c>
      <c r="C3747">
        <v>2025</v>
      </c>
      <c r="D3747" t="s">
        <v>688</v>
      </c>
      <c r="E3747" t="s">
        <v>1096</v>
      </c>
      <c r="F3747" t="s">
        <v>37</v>
      </c>
      <c r="G3747" t="s">
        <v>33</v>
      </c>
      <c r="H3747" t="s">
        <v>28</v>
      </c>
      <c r="I3747" t="s">
        <v>39</v>
      </c>
      <c r="J3747" t="s">
        <v>43</v>
      </c>
      <c r="K3747" s="2">
        <v>2250</v>
      </c>
      <c r="L3747" s="2">
        <v>11000</v>
      </c>
      <c r="M3747">
        <v>36</v>
      </c>
      <c r="N3747" s="3">
        <v>0.36799999999999999</v>
      </c>
      <c r="O3747" t="s">
        <v>17</v>
      </c>
      <c r="P3747" t="s">
        <v>31</v>
      </c>
      <c r="Q3747">
        <v>0</v>
      </c>
      <c r="R3747">
        <v>1</v>
      </c>
      <c r="S3747" s="2">
        <v>0</v>
      </c>
      <c r="T3747" s="4"/>
      <c r="U3747">
        <v>1</v>
      </c>
      <c r="V3747">
        <v>1</v>
      </c>
      <c r="W3747">
        <v>1</v>
      </c>
    </row>
    <row r="3748" spans="1:23" ht="16.5" x14ac:dyDescent="0.3">
      <c r="A3748" t="s">
        <v>3812</v>
      </c>
      <c r="B3748" s="1">
        <v>45828</v>
      </c>
      <c r="C3748">
        <v>2025</v>
      </c>
      <c r="D3748" t="s">
        <v>688</v>
      </c>
      <c r="E3748" t="s">
        <v>1096</v>
      </c>
      <c r="F3748" t="s">
        <v>41</v>
      </c>
      <c r="G3748" t="s">
        <v>45</v>
      </c>
      <c r="H3748" t="s">
        <v>38</v>
      </c>
      <c r="I3748" t="s">
        <v>29</v>
      </c>
      <c r="J3748" t="s">
        <v>30</v>
      </c>
      <c r="K3748" s="2">
        <v>4450</v>
      </c>
      <c r="L3748" s="2">
        <v>84500</v>
      </c>
      <c r="M3748">
        <v>36</v>
      </c>
      <c r="N3748" s="3">
        <v>0.68500000000000005</v>
      </c>
      <c r="O3748" t="s">
        <v>17</v>
      </c>
      <c r="P3748" t="s">
        <v>31</v>
      </c>
      <c r="Q3748">
        <v>0</v>
      </c>
      <c r="R3748">
        <v>1</v>
      </c>
      <c r="S3748" s="2">
        <v>0</v>
      </c>
      <c r="T3748" s="4"/>
      <c r="U3748">
        <v>5</v>
      </c>
      <c r="V3748">
        <v>1</v>
      </c>
      <c r="W3748">
        <v>1</v>
      </c>
    </row>
    <row r="3749" spans="1:23" ht="16.5" x14ac:dyDescent="0.3">
      <c r="A3749" t="s">
        <v>3813</v>
      </c>
      <c r="B3749" s="1">
        <v>45828</v>
      </c>
      <c r="C3749">
        <v>2025</v>
      </c>
      <c r="D3749" t="s">
        <v>688</v>
      </c>
      <c r="E3749" t="s">
        <v>1096</v>
      </c>
      <c r="F3749" t="s">
        <v>41</v>
      </c>
      <c r="G3749" t="s">
        <v>45</v>
      </c>
      <c r="H3749" t="s">
        <v>55</v>
      </c>
      <c r="I3749" t="s">
        <v>29</v>
      </c>
      <c r="J3749" t="s">
        <v>30</v>
      </c>
      <c r="K3749" s="2">
        <v>4850</v>
      </c>
      <c r="L3749" s="2">
        <v>106500</v>
      </c>
      <c r="M3749">
        <v>24</v>
      </c>
      <c r="N3749" s="3">
        <v>1.08</v>
      </c>
      <c r="O3749" t="s">
        <v>125</v>
      </c>
      <c r="Q3749">
        <v>0</v>
      </c>
      <c r="R3749">
        <v>0</v>
      </c>
      <c r="S3749" s="2">
        <v>0</v>
      </c>
      <c r="T3749" s="4"/>
      <c r="U3749">
        <v>11</v>
      </c>
      <c r="V3749">
        <v>0</v>
      </c>
      <c r="W3749">
        <v>1</v>
      </c>
    </row>
    <row r="3750" spans="1:23" ht="16.5" x14ac:dyDescent="0.3">
      <c r="A3750" t="s">
        <v>3814</v>
      </c>
      <c r="B3750" s="1">
        <v>45828</v>
      </c>
      <c r="C3750">
        <v>2025</v>
      </c>
      <c r="D3750" t="s">
        <v>688</v>
      </c>
      <c r="E3750" t="s">
        <v>1096</v>
      </c>
      <c r="F3750" t="s">
        <v>37</v>
      </c>
      <c r="G3750" t="s">
        <v>45</v>
      </c>
      <c r="H3750" t="s">
        <v>34</v>
      </c>
      <c r="I3750" t="s">
        <v>42</v>
      </c>
      <c r="J3750" t="s">
        <v>52</v>
      </c>
      <c r="K3750" s="2">
        <v>3550</v>
      </c>
      <c r="L3750" s="2">
        <v>13000</v>
      </c>
      <c r="M3750">
        <v>36</v>
      </c>
      <c r="N3750" s="3">
        <v>0.23899999999999999</v>
      </c>
      <c r="O3750" t="s">
        <v>16</v>
      </c>
      <c r="Q3750">
        <v>1</v>
      </c>
      <c r="R3750">
        <v>0</v>
      </c>
      <c r="S3750" s="2">
        <v>13000</v>
      </c>
      <c r="T3750" s="4">
        <v>0.1095</v>
      </c>
      <c r="U3750">
        <v>2</v>
      </c>
      <c r="V3750">
        <v>1</v>
      </c>
      <c r="W3750">
        <v>1</v>
      </c>
    </row>
    <row r="3751" spans="1:23" ht="16.5" x14ac:dyDescent="0.3">
      <c r="A3751" t="s">
        <v>3815</v>
      </c>
      <c r="B3751" s="1">
        <v>45828</v>
      </c>
      <c r="C3751">
        <v>2025</v>
      </c>
      <c r="D3751" t="s">
        <v>688</v>
      </c>
      <c r="E3751" t="s">
        <v>1096</v>
      </c>
      <c r="F3751" t="s">
        <v>37</v>
      </c>
      <c r="G3751" t="s">
        <v>45</v>
      </c>
      <c r="H3751" t="s">
        <v>64</v>
      </c>
      <c r="I3751" t="s">
        <v>39</v>
      </c>
      <c r="J3751" t="s">
        <v>46</v>
      </c>
      <c r="K3751" s="2">
        <v>1600</v>
      </c>
      <c r="L3751" s="2">
        <v>14000</v>
      </c>
      <c r="M3751">
        <v>48</v>
      </c>
      <c r="N3751" s="3">
        <v>0.45600000000000002</v>
      </c>
      <c r="O3751" t="s">
        <v>16</v>
      </c>
      <c r="Q3751">
        <v>1</v>
      </c>
      <c r="R3751">
        <v>0</v>
      </c>
      <c r="S3751" s="2">
        <v>14000</v>
      </c>
      <c r="T3751" s="4">
        <v>0.1045</v>
      </c>
      <c r="U3751">
        <v>1</v>
      </c>
      <c r="V3751">
        <v>1</v>
      </c>
      <c r="W3751">
        <v>1</v>
      </c>
    </row>
    <row r="3752" spans="1:23" ht="16.5" x14ac:dyDescent="0.3">
      <c r="A3752" t="s">
        <v>3816</v>
      </c>
      <c r="B3752" s="1">
        <v>45829</v>
      </c>
      <c r="C3752">
        <v>2025</v>
      </c>
      <c r="D3752" t="s">
        <v>688</v>
      </c>
      <c r="E3752" t="s">
        <v>1096</v>
      </c>
      <c r="F3752" t="s">
        <v>41</v>
      </c>
      <c r="G3752" t="s">
        <v>51</v>
      </c>
      <c r="H3752" t="s">
        <v>38</v>
      </c>
      <c r="I3752" t="s">
        <v>42</v>
      </c>
      <c r="J3752" t="s">
        <v>52</v>
      </c>
      <c r="K3752" s="2">
        <v>5800</v>
      </c>
      <c r="L3752" s="2">
        <v>42500</v>
      </c>
      <c r="M3752">
        <v>24</v>
      </c>
      <c r="N3752" s="3">
        <v>0.55900000000000005</v>
      </c>
      <c r="O3752" t="s">
        <v>16</v>
      </c>
      <c r="Q3752">
        <v>1</v>
      </c>
      <c r="R3752">
        <v>0</v>
      </c>
      <c r="S3752" s="2">
        <v>42500</v>
      </c>
      <c r="T3752" s="4">
        <v>9.4899999999999998E-2</v>
      </c>
      <c r="U3752">
        <v>17</v>
      </c>
      <c r="V3752">
        <v>0</v>
      </c>
      <c r="W3752">
        <v>1</v>
      </c>
    </row>
    <row r="3753" spans="1:23" ht="16.5" x14ac:dyDescent="0.3">
      <c r="A3753" t="s">
        <v>3817</v>
      </c>
      <c r="B3753" s="1">
        <v>45829</v>
      </c>
      <c r="C3753">
        <v>2025</v>
      </c>
      <c r="D3753" t="s">
        <v>688</v>
      </c>
      <c r="E3753" t="s">
        <v>1096</v>
      </c>
      <c r="F3753" t="s">
        <v>41</v>
      </c>
      <c r="G3753" t="s">
        <v>27</v>
      </c>
      <c r="H3753" t="s">
        <v>38</v>
      </c>
      <c r="I3753" t="s">
        <v>29</v>
      </c>
      <c r="J3753" t="s">
        <v>52</v>
      </c>
      <c r="K3753" s="2">
        <v>3950</v>
      </c>
      <c r="L3753" s="2">
        <v>158500</v>
      </c>
      <c r="M3753">
        <v>36</v>
      </c>
      <c r="N3753" s="3">
        <v>1.5049999999999999</v>
      </c>
      <c r="O3753" t="s">
        <v>17</v>
      </c>
      <c r="P3753" t="s">
        <v>53</v>
      </c>
      <c r="Q3753">
        <v>0</v>
      </c>
      <c r="R3753">
        <v>1</v>
      </c>
      <c r="S3753" s="2">
        <v>0</v>
      </c>
      <c r="T3753" s="4"/>
      <c r="U3753">
        <v>12</v>
      </c>
      <c r="V3753">
        <v>0</v>
      </c>
      <c r="W3753">
        <v>1</v>
      </c>
    </row>
    <row r="3754" spans="1:23" ht="16.5" x14ac:dyDescent="0.3">
      <c r="A3754" t="s">
        <v>3818</v>
      </c>
      <c r="B3754" s="1">
        <v>45829</v>
      </c>
      <c r="C3754">
        <v>2025</v>
      </c>
      <c r="D3754" t="s">
        <v>688</v>
      </c>
      <c r="E3754" t="s">
        <v>1096</v>
      </c>
      <c r="F3754" t="s">
        <v>26</v>
      </c>
      <c r="G3754" t="s">
        <v>45</v>
      </c>
      <c r="H3754" t="s">
        <v>38</v>
      </c>
      <c r="I3754" t="s">
        <v>42</v>
      </c>
      <c r="J3754" t="s">
        <v>35</v>
      </c>
      <c r="K3754" s="2">
        <v>6800</v>
      </c>
      <c r="L3754" s="2">
        <v>30000</v>
      </c>
      <c r="M3754">
        <v>60</v>
      </c>
      <c r="N3754" s="3">
        <v>0.32900000000000001</v>
      </c>
      <c r="O3754" t="s">
        <v>16</v>
      </c>
      <c r="Q3754">
        <v>1</v>
      </c>
      <c r="R3754">
        <v>0</v>
      </c>
      <c r="S3754" s="2">
        <v>30000</v>
      </c>
      <c r="T3754" s="4">
        <v>8.3599999999999994E-2</v>
      </c>
      <c r="U3754">
        <v>4</v>
      </c>
      <c r="V3754">
        <v>1</v>
      </c>
      <c r="W3754">
        <v>1</v>
      </c>
    </row>
    <row r="3755" spans="1:23" ht="16.5" x14ac:dyDescent="0.3">
      <c r="A3755" t="s">
        <v>3819</v>
      </c>
      <c r="B3755" s="1">
        <v>45830</v>
      </c>
      <c r="C3755">
        <v>2025</v>
      </c>
      <c r="D3755" t="s">
        <v>688</v>
      </c>
      <c r="E3755" t="s">
        <v>1096</v>
      </c>
      <c r="F3755" t="s">
        <v>26</v>
      </c>
      <c r="G3755" t="s">
        <v>33</v>
      </c>
      <c r="H3755" t="s">
        <v>64</v>
      </c>
      <c r="I3755" t="s">
        <v>29</v>
      </c>
      <c r="J3755" t="s">
        <v>52</v>
      </c>
      <c r="K3755" s="2">
        <v>8200</v>
      </c>
      <c r="L3755" s="2">
        <v>57500</v>
      </c>
      <c r="M3755">
        <v>48</v>
      </c>
      <c r="N3755" s="3">
        <v>0.39200000000000002</v>
      </c>
      <c r="O3755" t="s">
        <v>16</v>
      </c>
      <c r="Q3755">
        <v>1</v>
      </c>
      <c r="R3755">
        <v>0</v>
      </c>
      <c r="S3755" s="2">
        <v>46000</v>
      </c>
      <c r="T3755" s="4">
        <v>6.5600000000000006E-2</v>
      </c>
      <c r="U3755">
        <v>2</v>
      </c>
      <c r="V3755">
        <v>1</v>
      </c>
      <c r="W3755">
        <v>1</v>
      </c>
    </row>
    <row r="3756" spans="1:23" ht="16.5" x14ac:dyDescent="0.3">
      <c r="A3756" t="s">
        <v>3820</v>
      </c>
      <c r="B3756" s="1">
        <v>45831</v>
      </c>
      <c r="C3756">
        <v>2025</v>
      </c>
      <c r="D3756" t="s">
        <v>688</v>
      </c>
      <c r="E3756" t="s">
        <v>1096</v>
      </c>
      <c r="F3756" t="s">
        <v>50</v>
      </c>
      <c r="G3756" t="s">
        <v>33</v>
      </c>
      <c r="H3756" t="s">
        <v>38</v>
      </c>
      <c r="I3756" t="s">
        <v>39</v>
      </c>
      <c r="J3756" t="s">
        <v>35</v>
      </c>
      <c r="K3756" s="2">
        <v>9400</v>
      </c>
      <c r="L3756" s="2">
        <v>196000</v>
      </c>
      <c r="M3756">
        <v>240</v>
      </c>
      <c r="N3756" s="3">
        <v>0.20100000000000001</v>
      </c>
      <c r="O3756" t="s">
        <v>17</v>
      </c>
      <c r="P3756" t="s">
        <v>48</v>
      </c>
      <c r="Q3756">
        <v>0</v>
      </c>
      <c r="R3756">
        <v>1</v>
      </c>
      <c r="S3756" s="2">
        <v>0</v>
      </c>
      <c r="T3756" s="4"/>
      <c r="U3756">
        <v>5</v>
      </c>
      <c r="V3756">
        <v>1</v>
      </c>
      <c r="W3756">
        <v>1</v>
      </c>
    </row>
    <row r="3757" spans="1:23" ht="16.5" x14ac:dyDescent="0.3">
      <c r="A3757" t="s">
        <v>3821</v>
      </c>
      <c r="B3757" s="1">
        <v>45831</v>
      </c>
      <c r="C3757">
        <v>2025</v>
      </c>
      <c r="D3757" t="s">
        <v>688</v>
      </c>
      <c r="E3757" t="s">
        <v>1096</v>
      </c>
      <c r="F3757" t="s">
        <v>26</v>
      </c>
      <c r="G3757" t="s">
        <v>33</v>
      </c>
      <c r="H3757" t="s">
        <v>38</v>
      </c>
      <c r="I3757" t="s">
        <v>39</v>
      </c>
      <c r="J3757" t="s">
        <v>52</v>
      </c>
      <c r="K3757" s="2">
        <v>7100</v>
      </c>
      <c r="L3757" s="2">
        <v>17500</v>
      </c>
      <c r="M3757">
        <v>60</v>
      </c>
      <c r="N3757" s="3">
        <v>0.24399999999999999</v>
      </c>
      <c r="O3757" t="s">
        <v>16</v>
      </c>
      <c r="Q3757">
        <v>1</v>
      </c>
      <c r="R3757">
        <v>0</v>
      </c>
      <c r="S3757" s="2">
        <v>17500</v>
      </c>
      <c r="T3757" s="4">
        <v>7.3800000000000004E-2</v>
      </c>
      <c r="U3757">
        <v>3</v>
      </c>
      <c r="V3757">
        <v>1</v>
      </c>
      <c r="W3757">
        <v>1</v>
      </c>
    </row>
    <row r="3758" spans="1:23" ht="16.5" x14ac:dyDescent="0.3">
      <c r="A3758" t="s">
        <v>3822</v>
      </c>
      <c r="B3758" s="1">
        <v>45831</v>
      </c>
      <c r="C3758">
        <v>2025</v>
      </c>
      <c r="D3758" t="s">
        <v>688</v>
      </c>
      <c r="E3758" t="s">
        <v>1096</v>
      </c>
      <c r="F3758" t="s">
        <v>26</v>
      </c>
      <c r="G3758" t="s">
        <v>33</v>
      </c>
      <c r="H3758" t="s">
        <v>55</v>
      </c>
      <c r="I3758" t="s">
        <v>39</v>
      </c>
      <c r="J3758" t="s">
        <v>35</v>
      </c>
      <c r="K3758" s="2">
        <v>3600</v>
      </c>
      <c r="L3758" s="2">
        <v>17500</v>
      </c>
      <c r="M3758">
        <v>60</v>
      </c>
      <c r="N3758" s="3">
        <v>0.30199999999999999</v>
      </c>
      <c r="O3758" t="s">
        <v>17</v>
      </c>
      <c r="P3758" t="s">
        <v>65</v>
      </c>
      <c r="Q3758">
        <v>0</v>
      </c>
      <c r="R3758">
        <v>1</v>
      </c>
      <c r="S3758" s="2">
        <v>0</v>
      </c>
      <c r="T3758" s="4"/>
      <c r="U3758">
        <v>2</v>
      </c>
      <c r="V3758">
        <v>1</v>
      </c>
      <c r="W3758">
        <v>1</v>
      </c>
    </row>
    <row r="3759" spans="1:23" ht="16.5" x14ac:dyDescent="0.3">
      <c r="A3759" t="s">
        <v>3823</v>
      </c>
      <c r="B3759" s="1">
        <v>45831</v>
      </c>
      <c r="C3759">
        <v>2025</v>
      </c>
      <c r="D3759" t="s">
        <v>688</v>
      </c>
      <c r="E3759" t="s">
        <v>1096</v>
      </c>
      <c r="F3759" t="s">
        <v>41</v>
      </c>
      <c r="G3759" t="s">
        <v>33</v>
      </c>
      <c r="H3759" t="s">
        <v>55</v>
      </c>
      <c r="I3759" t="s">
        <v>29</v>
      </c>
      <c r="J3759" t="s">
        <v>35</v>
      </c>
      <c r="K3759" s="2">
        <v>12600</v>
      </c>
      <c r="L3759" s="2">
        <v>98000</v>
      </c>
      <c r="M3759">
        <v>24</v>
      </c>
      <c r="N3759" s="3">
        <v>0.51600000000000001</v>
      </c>
      <c r="O3759" t="s">
        <v>16</v>
      </c>
      <c r="Q3759">
        <v>1</v>
      </c>
      <c r="R3759">
        <v>0</v>
      </c>
      <c r="S3759" s="2">
        <v>78500</v>
      </c>
      <c r="T3759" s="4">
        <v>0.1103</v>
      </c>
      <c r="U3759">
        <v>13</v>
      </c>
      <c r="V3759">
        <v>0</v>
      </c>
      <c r="W3759">
        <v>1</v>
      </c>
    </row>
    <row r="3760" spans="1:23" ht="16.5" x14ac:dyDescent="0.3">
      <c r="A3760" t="s">
        <v>3824</v>
      </c>
      <c r="B3760" s="1">
        <v>45831</v>
      </c>
      <c r="C3760">
        <v>2025</v>
      </c>
      <c r="D3760" t="s">
        <v>688</v>
      </c>
      <c r="E3760" t="s">
        <v>1096</v>
      </c>
      <c r="F3760" t="s">
        <v>26</v>
      </c>
      <c r="G3760" t="s">
        <v>27</v>
      </c>
      <c r="H3760" t="s">
        <v>34</v>
      </c>
      <c r="I3760" t="s">
        <v>39</v>
      </c>
      <c r="J3760" t="s">
        <v>46</v>
      </c>
      <c r="K3760" s="2">
        <v>3000</v>
      </c>
      <c r="L3760" s="2">
        <v>39500</v>
      </c>
      <c r="M3760">
        <v>60</v>
      </c>
      <c r="N3760" s="3">
        <v>0.45900000000000002</v>
      </c>
      <c r="O3760" t="s">
        <v>16</v>
      </c>
      <c r="Q3760">
        <v>1</v>
      </c>
      <c r="R3760">
        <v>0</v>
      </c>
      <c r="S3760" s="2">
        <v>31500</v>
      </c>
      <c r="T3760" s="4">
        <v>6.93E-2</v>
      </c>
      <c r="U3760">
        <v>6</v>
      </c>
      <c r="V3760">
        <v>0</v>
      </c>
      <c r="W3760">
        <v>1</v>
      </c>
    </row>
    <row r="3761" spans="1:23" ht="16.5" x14ac:dyDescent="0.3">
      <c r="A3761" t="s">
        <v>3825</v>
      </c>
      <c r="B3761" s="1">
        <v>45831</v>
      </c>
      <c r="C3761">
        <v>2025</v>
      </c>
      <c r="D3761" t="s">
        <v>688</v>
      </c>
      <c r="E3761" t="s">
        <v>1096</v>
      </c>
      <c r="F3761" t="s">
        <v>37</v>
      </c>
      <c r="G3761" t="s">
        <v>45</v>
      </c>
      <c r="H3761" t="s">
        <v>64</v>
      </c>
      <c r="I3761" t="s">
        <v>42</v>
      </c>
      <c r="J3761" t="s">
        <v>46</v>
      </c>
      <c r="K3761" s="2">
        <v>4650</v>
      </c>
      <c r="L3761" s="2">
        <v>8000</v>
      </c>
      <c r="M3761">
        <v>36</v>
      </c>
      <c r="N3761" s="3">
        <v>0.28799999999999998</v>
      </c>
      <c r="O3761" t="s">
        <v>16</v>
      </c>
      <c r="Q3761">
        <v>1</v>
      </c>
      <c r="R3761">
        <v>0</v>
      </c>
      <c r="S3761" s="2">
        <v>6500</v>
      </c>
      <c r="T3761" s="4">
        <v>0.1076</v>
      </c>
      <c r="U3761">
        <v>1</v>
      </c>
      <c r="V3761">
        <v>1</v>
      </c>
      <c r="W3761">
        <v>1</v>
      </c>
    </row>
    <row r="3762" spans="1:23" ht="16.5" x14ac:dyDescent="0.3">
      <c r="A3762" t="s">
        <v>3826</v>
      </c>
      <c r="B3762" s="1">
        <v>45831</v>
      </c>
      <c r="C3762">
        <v>2025</v>
      </c>
      <c r="D3762" t="s">
        <v>688</v>
      </c>
      <c r="E3762" t="s">
        <v>1096</v>
      </c>
      <c r="F3762" t="s">
        <v>41</v>
      </c>
      <c r="G3762" t="s">
        <v>27</v>
      </c>
      <c r="H3762" t="s">
        <v>38</v>
      </c>
      <c r="I3762" t="s">
        <v>29</v>
      </c>
      <c r="J3762" t="s">
        <v>30</v>
      </c>
      <c r="K3762" s="2">
        <v>4700</v>
      </c>
      <c r="L3762" s="2">
        <v>98500</v>
      </c>
      <c r="M3762">
        <v>12</v>
      </c>
      <c r="N3762" s="3">
        <v>1.901</v>
      </c>
      <c r="O3762" t="s">
        <v>17</v>
      </c>
      <c r="P3762" t="s">
        <v>31</v>
      </c>
      <c r="Q3762">
        <v>0</v>
      </c>
      <c r="R3762">
        <v>1</v>
      </c>
      <c r="S3762" s="2">
        <v>0</v>
      </c>
      <c r="T3762" s="4"/>
      <c r="U3762">
        <v>10</v>
      </c>
      <c r="V3762">
        <v>1</v>
      </c>
      <c r="W3762">
        <v>1</v>
      </c>
    </row>
    <row r="3763" spans="1:23" ht="16.5" x14ac:dyDescent="0.3">
      <c r="A3763" t="s">
        <v>3827</v>
      </c>
      <c r="B3763" s="1">
        <v>45831</v>
      </c>
      <c r="C3763">
        <v>2025</v>
      </c>
      <c r="D3763" t="s">
        <v>688</v>
      </c>
      <c r="E3763" t="s">
        <v>1096</v>
      </c>
      <c r="F3763" t="s">
        <v>41</v>
      </c>
      <c r="G3763" t="s">
        <v>45</v>
      </c>
      <c r="H3763" t="s">
        <v>55</v>
      </c>
      <c r="I3763" t="s">
        <v>29</v>
      </c>
      <c r="J3763" t="s">
        <v>52</v>
      </c>
      <c r="K3763" s="2">
        <v>6700</v>
      </c>
      <c r="L3763" s="2">
        <v>142000</v>
      </c>
      <c r="M3763">
        <v>60</v>
      </c>
      <c r="N3763" s="3">
        <v>0.69099999999999995</v>
      </c>
      <c r="O3763" t="s">
        <v>17</v>
      </c>
      <c r="P3763" t="s">
        <v>53</v>
      </c>
      <c r="Q3763">
        <v>0</v>
      </c>
      <c r="R3763">
        <v>1</v>
      </c>
      <c r="S3763" s="2">
        <v>0</v>
      </c>
      <c r="T3763" s="4"/>
      <c r="U3763">
        <v>8</v>
      </c>
      <c r="V3763">
        <v>1</v>
      </c>
      <c r="W3763">
        <v>1</v>
      </c>
    </row>
    <row r="3764" spans="1:23" ht="16.5" x14ac:dyDescent="0.3">
      <c r="A3764" t="s">
        <v>3828</v>
      </c>
      <c r="B3764" s="1">
        <v>45831</v>
      </c>
      <c r="C3764">
        <v>2025</v>
      </c>
      <c r="D3764" t="s">
        <v>688</v>
      </c>
      <c r="E3764" t="s">
        <v>1096</v>
      </c>
      <c r="F3764" t="s">
        <v>37</v>
      </c>
      <c r="G3764" t="s">
        <v>51</v>
      </c>
      <c r="H3764" t="s">
        <v>55</v>
      </c>
      <c r="I3764" t="s">
        <v>39</v>
      </c>
      <c r="J3764" t="s">
        <v>30</v>
      </c>
      <c r="K3764" s="2">
        <v>6450</v>
      </c>
      <c r="L3764" s="2">
        <v>19500</v>
      </c>
      <c r="M3764">
        <v>24</v>
      </c>
      <c r="N3764" s="3">
        <v>0.317</v>
      </c>
      <c r="O3764" t="s">
        <v>16</v>
      </c>
      <c r="Q3764">
        <v>1</v>
      </c>
      <c r="R3764">
        <v>0</v>
      </c>
      <c r="S3764" s="2">
        <v>19500</v>
      </c>
      <c r="T3764" s="4">
        <v>0.1434</v>
      </c>
      <c r="U3764">
        <v>4</v>
      </c>
      <c r="V3764">
        <v>0</v>
      </c>
      <c r="W3764">
        <v>1</v>
      </c>
    </row>
    <row r="3765" spans="1:23" ht="16.5" x14ac:dyDescent="0.3">
      <c r="A3765" t="s">
        <v>3829</v>
      </c>
      <c r="B3765" s="1">
        <v>45831</v>
      </c>
      <c r="C3765">
        <v>2025</v>
      </c>
      <c r="D3765" t="s">
        <v>688</v>
      </c>
      <c r="E3765" t="s">
        <v>1096</v>
      </c>
      <c r="F3765" t="s">
        <v>26</v>
      </c>
      <c r="G3765" t="s">
        <v>45</v>
      </c>
      <c r="H3765" t="s">
        <v>55</v>
      </c>
      <c r="I3765" t="s">
        <v>29</v>
      </c>
      <c r="J3765" t="s">
        <v>46</v>
      </c>
      <c r="K3765" s="2">
        <v>9800</v>
      </c>
      <c r="L3765" s="2">
        <v>26500</v>
      </c>
      <c r="M3765">
        <v>60</v>
      </c>
      <c r="N3765" s="3">
        <v>0.3</v>
      </c>
      <c r="O3765" t="s">
        <v>16</v>
      </c>
      <c r="Q3765">
        <v>1</v>
      </c>
      <c r="R3765">
        <v>0</v>
      </c>
      <c r="S3765" s="2">
        <v>21000</v>
      </c>
      <c r="T3765" s="4">
        <v>6.2799999999999995E-2</v>
      </c>
      <c r="U3765">
        <v>3</v>
      </c>
      <c r="V3765">
        <v>1</v>
      </c>
      <c r="W3765">
        <v>1</v>
      </c>
    </row>
    <row r="3766" spans="1:23" ht="16.5" x14ac:dyDescent="0.3">
      <c r="A3766" t="s">
        <v>3830</v>
      </c>
      <c r="B3766" s="1">
        <v>45832</v>
      </c>
      <c r="C3766">
        <v>2025</v>
      </c>
      <c r="D3766" t="s">
        <v>688</v>
      </c>
      <c r="E3766" t="s">
        <v>1096</v>
      </c>
      <c r="F3766" t="s">
        <v>37</v>
      </c>
      <c r="G3766" t="s">
        <v>51</v>
      </c>
      <c r="H3766" t="s">
        <v>34</v>
      </c>
      <c r="I3766" t="s">
        <v>29</v>
      </c>
      <c r="J3766" t="s">
        <v>35</v>
      </c>
      <c r="K3766" s="2">
        <v>6500</v>
      </c>
      <c r="L3766" s="2">
        <v>19500</v>
      </c>
      <c r="M3766">
        <v>24</v>
      </c>
      <c r="N3766" s="3">
        <v>0.219</v>
      </c>
      <c r="O3766" t="s">
        <v>16</v>
      </c>
      <c r="Q3766">
        <v>1</v>
      </c>
      <c r="R3766">
        <v>0</v>
      </c>
      <c r="S3766" s="2">
        <v>17500</v>
      </c>
      <c r="T3766" s="4">
        <v>0.13009999999999999</v>
      </c>
      <c r="U3766">
        <v>3</v>
      </c>
      <c r="V3766">
        <v>1</v>
      </c>
      <c r="W3766">
        <v>1</v>
      </c>
    </row>
    <row r="3767" spans="1:23" ht="16.5" x14ac:dyDescent="0.3">
      <c r="A3767" t="s">
        <v>3831</v>
      </c>
      <c r="B3767" s="1">
        <v>45832</v>
      </c>
      <c r="C3767">
        <v>2025</v>
      </c>
      <c r="D3767" t="s">
        <v>688</v>
      </c>
      <c r="E3767" t="s">
        <v>1096</v>
      </c>
      <c r="F3767" t="s">
        <v>37</v>
      </c>
      <c r="G3767" t="s">
        <v>45</v>
      </c>
      <c r="H3767" t="s">
        <v>34</v>
      </c>
      <c r="I3767" t="s">
        <v>39</v>
      </c>
      <c r="J3767" t="s">
        <v>52</v>
      </c>
      <c r="K3767" s="2">
        <v>7450</v>
      </c>
      <c r="L3767" s="2">
        <v>12500</v>
      </c>
      <c r="M3767">
        <v>24</v>
      </c>
      <c r="N3767" s="3">
        <v>0.187</v>
      </c>
      <c r="O3767" t="s">
        <v>16</v>
      </c>
      <c r="Q3767">
        <v>1</v>
      </c>
      <c r="R3767">
        <v>0</v>
      </c>
      <c r="S3767" s="2">
        <v>11000</v>
      </c>
      <c r="T3767" s="4">
        <v>0.1183</v>
      </c>
      <c r="U3767">
        <v>1</v>
      </c>
      <c r="V3767">
        <v>1</v>
      </c>
      <c r="W3767">
        <v>1</v>
      </c>
    </row>
    <row r="3768" spans="1:23" ht="16.5" x14ac:dyDescent="0.3">
      <c r="A3768" t="s">
        <v>3832</v>
      </c>
      <c r="B3768" s="1">
        <v>45832</v>
      </c>
      <c r="C3768">
        <v>2025</v>
      </c>
      <c r="D3768" t="s">
        <v>688</v>
      </c>
      <c r="E3768" t="s">
        <v>1096</v>
      </c>
      <c r="F3768" t="s">
        <v>26</v>
      </c>
      <c r="G3768" t="s">
        <v>33</v>
      </c>
      <c r="H3768" t="s">
        <v>28</v>
      </c>
      <c r="I3768" t="s">
        <v>39</v>
      </c>
      <c r="J3768" t="s">
        <v>30</v>
      </c>
      <c r="K3768" s="2">
        <v>8950</v>
      </c>
      <c r="L3768" s="2">
        <v>57500</v>
      </c>
      <c r="M3768">
        <v>48</v>
      </c>
      <c r="N3768" s="3">
        <v>0.246</v>
      </c>
      <c r="O3768" t="s">
        <v>16</v>
      </c>
      <c r="Q3768">
        <v>1</v>
      </c>
      <c r="R3768">
        <v>0</v>
      </c>
      <c r="S3768" s="2">
        <v>57500</v>
      </c>
      <c r="T3768" s="4">
        <v>9.7900000000000001E-2</v>
      </c>
      <c r="U3768">
        <v>4</v>
      </c>
      <c r="V3768">
        <v>1</v>
      </c>
      <c r="W3768">
        <v>1</v>
      </c>
    </row>
    <row r="3769" spans="1:23" ht="16.5" x14ac:dyDescent="0.3">
      <c r="A3769" t="s">
        <v>3833</v>
      </c>
      <c r="B3769" s="1">
        <v>45832</v>
      </c>
      <c r="C3769">
        <v>2025</v>
      </c>
      <c r="D3769" t="s">
        <v>688</v>
      </c>
      <c r="E3769" t="s">
        <v>1096</v>
      </c>
      <c r="F3769" t="s">
        <v>26</v>
      </c>
      <c r="G3769" t="s">
        <v>27</v>
      </c>
      <c r="H3769" t="s">
        <v>34</v>
      </c>
      <c r="I3769" t="s">
        <v>42</v>
      </c>
      <c r="J3769" t="s">
        <v>43</v>
      </c>
      <c r="K3769" s="2">
        <v>9100</v>
      </c>
      <c r="L3769" s="2">
        <v>49500</v>
      </c>
      <c r="M3769">
        <v>48</v>
      </c>
      <c r="N3769" s="3">
        <v>0.34100000000000003</v>
      </c>
      <c r="O3769" t="s">
        <v>17</v>
      </c>
      <c r="P3769" t="s">
        <v>60</v>
      </c>
      <c r="Q3769">
        <v>0</v>
      </c>
      <c r="R3769">
        <v>1</v>
      </c>
      <c r="S3769" s="2">
        <v>0</v>
      </c>
      <c r="T3769" s="4"/>
      <c r="U3769">
        <v>6</v>
      </c>
      <c r="V3769">
        <v>0</v>
      </c>
      <c r="W3769">
        <v>1</v>
      </c>
    </row>
    <row r="3770" spans="1:23" ht="16.5" x14ac:dyDescent="0.3">
      <c r="A3770" t="s">
        <v>3834</v>
      </c>
      <c r="B3770" s="1">
        <v>45832</v>
      </c>
      <c r="C3770">
        <v>2025</v>
      </c>
      <c r="D3770" t="s">
        <v>688</v>
      </c>
      <c r="E3770" t="s">
        <v>1096</v>
      </c>
      <c r="F3770" t="s">
        <v>41</v>
      </c>
      <c r="G3770" t="s">
        <v>45</v>
      </c>
      <c r="H3770" t="s">
        <v>55</v>
      </c>
      <c r="I3770" t="s">
        <v>42</v>
      </c>
      <c r="J3770" t="s">
        <v>35</v>
      </c>
      <c r="K3770" s="2">
        <v>7550</v>
      </c>
      <c r="L3770" s="2">
        <v>89000</v>
      </c>
      <c r="M3770">
        <v>36</v>
      </c>
      <c r="N3770" s="3">
        <v>0.47799999999999998</v>
      </c>
      <c r="O3770" t="s">
        <v>16</v>
      </c>
      <c r="Q3770">
        <v>1</v>
      </c>
      <c r="R3770">
        <v>0</v>
      </c>
      <c r="S3770" s="2">
        <v>89000</v>
      </c>
      <c r="T3770" s="4">
        <v>0.10730000000000001</v>
      </c>
      <c r="U3770">
        <v>7</v>
      </c>
      <c r="V3770">
        <v>1</v>
      </c>
      <c r="W3770">
        <v>1</v>
      </c>
    </row>
    <row r="3771" spans="1:23" ht="16.5" x14ac:dyDescent="0.3">
      <c r="A3771" t="s">
        <v>3835</v>
      </c>
      <c r="B3771" s="1">
        <v>45832</v>
      </c>
      <c r="C3771">
        <v>2025</v>
      </c>
      <c r="D3771" t="s">
        <v>688</v>
      </c>
      <c r="E3771" t="s">
        <v>1096</v>
      </c>
      <c r="F3771" t="s">
        <v>50</v>
      </c>
      <c r="G3771" t="s">
        <v>33</v>
      </c>
      <c r="H3771" t="s">
        <v>55</v>
      </c>
      <c r="I3771" t="s">
        <v>42</v>
      </c>
      <c r="J3771" t="s">
        <v>35</v>
      </c>
      <c r="K3771" s="2">
        <v>7950</v>
      </c>
      <c r="L3771" s="2">
        <v>185500</v>
      </c>
      <c r="M3771">
        <v>240</v>
      </c>
      <c r="N3771" s="3">
        <v>0.23400000000000001</v>
      </c>
      <c r="O3771" t="s">
        <v>16</v>
      </c>
      <c r="Q3771">
        <v>1</v>
      </c>
      <c r="R3771">
        <v>0</v>
      </c>
      <c r="S3771" s="2">
        <v>148500</v>
      </c>
      <c r="T3771" s="4">
        <v>5.7599999999999998E-2</v>
      </c>
      <c r="U3771">
        <v>7</v>
      </c>
      <c r="V3771">
        <v>1</v>
      </c>
      <c r="W3771">
        <v>1</v>
      </c>
    </row>
    <row r="3772" spans="1:23" ht="16.5" x14ac:dyDescent="0.3">
      <c r="A3772" t="s">
        <v>3836</v>
      </c>
      <c r="B3772" s="1">
        <v>45832</v>
      </c>
      <c r="C3772">
        <v>2025</v>
      </c>
      <c r="D3772" t="s">
        <v>688</v>
      </c>
      <c r="E3772" t="s">
        <v>1096</v>
      </c>
      <c r="F3772" t="s">
        <v>26</v>
      </c>
      <c r="G3772" t="s">
        <v>45</v>
      </c>
      <c r="H3772" t="s">
        <v>34</v>
      </c>
      <c r="I3772" t="s">
        <v>29</v>
      </c>
      <c r="J3772" t="s">
        <v>46</v>
      </c>
      <c r="K3772" s="2">
        <v>6600</v>
      </c>
      <c r="L3772" s="2">
        <v>19000</v>
      </c>
      <c r="M3772">
        <v>60</v>
      </c>
      <c r="N3772" s="3">
        <v>0.23599999999999999</v>
      </c>
      <c r="O3772" t="s">
        <v>16</v>
      </c>
      <c r="Q3772">
        <v>1</v>
      </c>
      <c r="R3772">
        <v>0</v>
      </c>
      <c r="S3772" s="2">
        <v>19000</v>
      </c>
      <c r="T3772" s="4">
        <v>6.2100000000000002E-2</v>
      </c>
      <c r="U3772">
        <v>2</v>
      </c>
      <c r="V3772">
        <v>1</v>
      </c>
      <c r="W3772">
        <v>1</v>
      </c>
    </row>
    <row r="3773" spans="1:23" ht="16.5" x14ac:dyDescent="0.3">
      <c r="A3773" t="s">
        <v>3837</v>
      </c>
      <c r="B3773" s="1">
        <v>45832</v>
      </c>
      <c r="C3773">
        <v>2025</v>
      </c>
      <c r="D3773" t="s">
        <v>688</v>
      </c>
      <c r="E3773" t="s">
        <v>1096</v>
      </c>
      <c r="F3773" t="s">
        <v>26</v>
      </c>
      <c r="G3773" t="s">
        <v>33</v>
      </c>
      <c r="H3773" t="s">
        <v>38</v>
      </c>
      <c r="I3773" t="s">
        <v>42</v>
      </c>
      <c r="J3773" t="s">
        <v>35</v>
      </c>
      <c r="K3773" s="2">
        <v>4950</v>
      </c>
      <c r="L3773" s="2">
        <v>27000</v>
      </c>
      <c r="M3773">
        <v>60</v>
      </c>
      <c r="N3773" s="3">
        <v>0.19900000000000001</v>
      </c>
      <c r="O3773" t="s">
        <v>16</v>
      </c>
      <c r="Q3773">
        <v>1</v>
      </c>
      <c r="R3773">
        <v>0</v>
      </c>
      <c r="S3773" s="2">
        <v>21500</v>
      </c>
      <c r="T3773" s="4">
        <v>8.0600000000000005E-2</v>
      </c>
      <c r="U3773">
        <v>2</v>
      </c>
      <c r="V3773">
        <v>1</v>
      </c>
      <c r="W3773">
        <v>1</v>
      </c>
    </row>
    <row r="3774" spans="1:23" ht="16.5" x14ac:dyDescent="0.3">
      <c r="A3774" t="s">
        <v>3838</v>
      </c>
      <c r="B3774" s="1">
        <v>45832</v>
      </c>
      <c r="C3774">
        <v>2025</v>
      </c>
      <c r="D3774" t="s">
        <v>688</v>
      </c>
      <c r="E3774" t="s">
        <v>1096</v>
      </c>
      <c r="F3774" t="s">
        <v>41</v>
      </c>
      <c r="G3774" t="s">
        <v>51</v>
      </c>
      <c r="H3774" t="s">
        <v>38</v>
      </c>
      <c r="I3774" t="s">
        <v>29</v>
      </c>
      <c r="J3774" t="s">
        <v>52</v>
      </c>
      <c r="K3774" s="2">
        <v>4350</v>
      </c>
      <c r="L3774" s="2">
        <v>52000</v>
      </c>
      <c r="M3774">
        <v>36</v>
      </c>
      <c r="N3774" s="3">
        <v>0.48</v>
      </c>
      <c r="O3774" t="s">
        <v>16</v>
      </c>
      <c r="Q3774">
        <v>1</v>
      </c>
      <c r="R3774">
        <v>0</v>
      </c>
      <c r="S3774" s="2">
        <v>52000</v>
      </c>
      <c r="T3774" s="4">
        <v>9.69E-2</v>
      </c>
      <c r="U3774">
        <v>15</v>
      </c>
      <c r="V3774">
        <v>0</v>
      </c>
      <c r="W3774">
        <v>1</v>
      </c>
    </row>
    <row r="3775" spans="1:23" ht="16.5" x14ac:dyDescent="0.3">
      <c r="A3775" t="s">
        <v>3839</v>
      </c>
      <c r="B3775" s="1">
        <v>45832</v>
      </c>
      <c r="C3775">
        <v>2025</v>
      </c>
      <c r="D3775" t="s">
        <v>688</v>
      </c>
      <c r="E3775" t="s">
        <v>1096</v>
      </c>
      <c r="F3775" t="s">
        <v>26</v>
      </c>
      <c r="G3775" t="s">
        <v>51</v>
      </c>
      <c r="H3775" t="s">
        <v>38</v>
      </c>
      <c r="I3775" t="s">
        <v>29</v>
      </c>
      <c r="J3775" t="s">
        <v>52</v>
      </c>
      <c r="K3775" s="2">
        <v>8650</v>
      </c>
      <c r="L3775" s="2">
        <v>18500</v>
      </c>
      <c r="M3775">
        <v>48</v>
      </c>
      <c r="N3775" s="3">
        <v>0.217</v>
      </c>
      <c r="O3775" t="s">
        <v>16</v>
      </c>
      <c r="Q3775">
        <v>1</v>
      </c>
      <c r="R3775">
        <v>0</v>
      </c>
      <c r="S3775" s="2">
        <v>18500</v>
      </c>
      <c r="T3775" s="4">
        <v>6.7100000000000007E-2</v>
      </c>
      <c r="U3775">
        <v>5</v>
      </c>
      <c r="V3775">
        <v>0</v>
      </c>
      <c r="W3775">
        <v>1</v>
      </c>
    </row>
    <row r="3776" spans="1:23" ht="16.5" x14ac:dyDescent="0.3">
      <c r="A3776" t="s">
        <v>3840</v>
      </c>
      <c r="B3776" s="1">
        <v>45832</v>
      </c>
      <c r="C3776">
        <v>2025</v>
      </c>
      <c r="D3776" t="s">
        <v>688</v>
      </c>
      <c r="E3776" t="s">
        <v>1096</v>
      </c>
      <c r="F3776" t="s">
        <v>41</v>
      </c>
      <c r="G3776" t="s">
        <v>33</v>
      </c>
      <c r="H3776" t="s">
        <v>34</v>
      </c>
      <c r="I3776" t="s">
        <v>29</v>
      </c>
      <c r="J3776" t="s">
        <v>43</v>
      </c>
      <c r="K3776" s="2">
        <v>8500</v>
      </c>
      <c r="L3776" s="2">
        <v>102500</v>
      </c>
      <c r="M3776">
        <v>36</v>
      </c>
      <c r="N3776" s="3">
        <v>0.55400000000000005</v>
      </c>
      <c r="O3776" t="s">
        <v>17</v>
      </c>
      <c r="P3776" t="s">
        <v>31</v>
      </c>
      <c r="Q3776">
        <v>0</v>
      </c>
      <c r="R3776">
        <v>1</v>
      </c>
      <c r="S3776" s="2">
        <v>0</v>
      </c>
      <c r="T3776" s="4"/>
      <c r="U3776">
        <v>7</v>
      </c>
      <c r="V3776">
        <v>1</v>
      </c>
      <c r="W3776">
        <v>1</v>
      </c>
    </row>
    <row r="3777" spans="1:23" ht="16.5" x14ac:dyDescent="0.3">
      <c r="A3777" t="s">
        <v>3841</v>
      </c>
      <c r="B3777" s="1">
        <v>45833</v>
      </c>
      <c r="C3777">
        <v>2025</v>
      </c>
      <c r="D3777" t="s">
        <v>688</v>
      </c>
      <c r="E3777" t="s">
        <v>1096</v>
      </c>
      <c r="F3777" t="s">
        <v>37</v>
      </c>
      <c r="G3777" t="s">
        <v>51</v>
      </c>
      <c r="H3777" t="s">
        <v>55</v>
      </c>
      <c r="I3777" t="s">
        <v>29</v>
      </c>
      <c r="J3777" t="s">
        <v>52</v>
      </c>
      <c r="K3777" s="2">
        <v>4300</v>
      </c>
      <c r="L3777" s="2">
        <v>35500</v>
      </c>
      <c r="M3777">
        <v>48</v>
      </c>
      <c r="N3777" s="3">
        <v>0.433</v>
      </c>
      <c r="O3777" t="s">
        <v>17</v>
      </c>
      <c r="P3777" t="s">
        <v>60</v>
      </c>
      <c r="Q3777">
        <v>0</v>
      </c>
      <c r="R3777">
        <v>1</v>
      </c>
      <c r="S3777" s="2">
        <v>0</v>
      </c>
      <c r="T3777" s="4"/>
      <c r="U3777">
        <v>7</v>
      </c>
      <c r="V3777">
        <v>0</v>
      </c>
      <c r="W3777">
        <v>1</v>
      </c>
    </row>
    <row r="3778" spans="1:23" ht="16.5" x14ac:dyDescent="0.3">
      <c r="A3778" t="s">
        <v>3842</v>
      </c>
      <c r="B3778" s="1">
        <v>45833</v>
      </c>
      <c r="C3778">
        <v>2025</v>
      </c>
      <c r="D3778" t="s">
        <v>688</v>
      </c>
      <c r="E3778" t="s">
        <v>1096</v>
      </c>
      <c r="F3778" t="s">
        <v>41</v>
      </c>
      <c r="G3778" t="s">
        <v>33</v>
      </c>
      <c r="H3778" t="s">
        <v>38</v>
      </c>
      <c r="I3778" t="s">
        <v>29</v>
      </c>
      <c r="J3778" t="s">
        <v>52</v>
      </c>
      <c r="K3778" s="2">
        <v>2300</v>
      </c>
      <c r="L3778" s="2">
        <v>160500</v>
      </c>
      <c r="M3778">
        <v>36</v>
      </c>
      <c r="N3778" s="3">
        <v>2.444</v>
      </c>
      <c r="O3778" t="s">
        <v>17</v>
      </c>
      <c r="P3778" t="s">
        <v>53</v>
      </c>
      <c r="Q3778">
        <v>0</v>
      </c>
      <c r="R3778">
        <v>1</v>
      </c>
      <c r="S3778" s="2">
        <v>0</v>
      </c>
      <c r="T3778" s="4"/>
      <c r="U3778">
        <v>3</v>
      </c>
      <c r="V3778">
        <v>1</v>
      </c>
      <c r="W3778">
        <v>1</v>
      </c>
    </row>
    <row r="3779" spans="1:23" ht="16.5" x14ac:dyDescent="0.3">
      <c r="A3779" t="s">
        <v>3843</v>
      </c>
      <c r="B3779" s="1">
        <v>45833</v>
      </c>
      <c r="C3779">
        <v>2025</v>
      </c>
      <c r="D3779" t="s">
        <v>688</v>
      </c>
      <c r="E3779" t="s">
        <v>1096</v>
      </c>
      <c r="F3779" t="s">
        <v>50</v>
      </c>
      <c r="G3779" t="s">
        <v>45</v>
      </c>
      <c r="H3779" t="s">
        <v>55</v>
      </c>
      <c r="I3779" t="s">
        <v>29</v>
      </c>
      <c r="J3779" t="s">
        <v>35</v>
      </c>
      <c r="K3779" s="2">
        <v>6150</v>
      </c>
      <c r="L3779" s="2">
        <v>281000</v>
      </c>
      <c r="M3779">
        <v>300</v>
      </c>
      <c r="N3779" s="3">
        <v>0.46500000000000002</v>
      </c>
      <c r="O3779" t="s">
        <v>16</v>
      </c>
      <c r="Q3779">
        <v>1</v>
      </c>
      <c r="R3779">
        <v>0</v>
      </c>
      <c r="S3779" s="2">
        <v>281000</v>
      </c>
      <c r="T3779" s="4">
        <v>6.1199999999999997E-2</v>
      </c>
      <c r="U3779">
        <v>4</v>
      </c>
      <c r="V3779">
        <v>1</v>
      </c>
      <c r="W3779">
        <v>1</v>
      </c>
    </row>
    <row r="3780" spans="1:23" ht="16.5" x14ac:dyDescent="0.3">
      <c r="A3780" t="s">
        <v>3844</v>
      </c>
      <c r="B3780" s="1">
        <v>45833</v>
      </c>
      <c r="C3780">
        <v>2025</v>
      </c>
      <c r="D3780" t="s">
        <v>688</v>
      </c>
      <c r="E3780" t="s">
        <v>1096</v>
      </c>
      <c r="F3780" t="s">
        <v>50</v>
      </c>
      <c r="G3780" t="s">
        <v>45</v>
      </c>
      <c r="H3780" t="s">
        <v>55</v>
      </c>
      <c r="I3780" t="s">
        <v>29</v>
      </c>
      <c r="J3780" t="s">
        <v>35</v>
      </c>
      <c r="K3780" s="2">
        <v>4850</v>
      </c>
      <c r="L3780" s="2">
        <v>197500</v>
      </c>
      <c r="M3780">
        <v>300</v>
      </c>
      <c r="N3780" s="3">
        <v>0.40500000000000003</v>
      </c>
      <c r="O3780" t="s">
        <v>16</v>
      </c>
      <c r="Q3780">
        <v>1</v>
      </c>
      <c r="R3780">
        <v>0</v>
      </c>
      <c r="S3780" s="2">
        <v>178000</v>
      </c>
      <c r="T3780" s="4">
        <v>5.7700000000000001E-2</v>
      </c>
      <c r="U3780">
        <v>9</v>
      </c>
      <c r="V3780">
        <v>1</v>
      </c>
      <c r="W3780">
        <v>1</v>
      </c>
    </row>
    <row r="3781" spans="1:23" ht="16.5" x14ac:dyDescent="0.3">
      <c r="A3781" t="s">
        <v>3845</v>
      </c>
      <c r="B3781" s="1">
        <v>45833</v>
      </c>
      <c r="C3781">
        <v>2025</v>
      </c>
      <c r="D3781" t="s">
        <v>688</v>
      </c>
      <c r="E3781" t="s">
        <v>1096</v>
      </c>
      <c r="F3781" t="s">
        <v>41</v>
      </c>
      <c r="G3781" t="s">
        <v>51</v>
      </c>
      <c r="H3781" t="s">
        <v>55</v>
      </c>
      <c r="I3781" t="s">
        <v>42</v>
      </c>
      <c r="J3781" t="s">
        <v>43</v>
      </c>
      <c r="K3781" s="2">
        <v>7850</v>
      </c>
      <c r="L3781" s="2">
        <v>76000</v>
      </c>
      <c r="M3781">
        <v>60</v>
      </c>
      <c r="N3781" s="3">
        <v>0.36699999999999999</v>
      </c>
      <c r="O3781" t="s">
        <v>17</v>
      </c>
      <c r="P3781" t="s">
        <v>31</v>
      </c>
      <c r="Q3781">
        <v>0</v>
      </c>
      <c r="R3781">
        <v>1</v>
      </c>
      <c r="S3781" s="2">
        <v>0</v>
      </c>
      <c r="T3781" s="4"/>
      <c r="U3781">
        <v>8</v>
      </c>
      <c r="V3781">
        <v>1</v>
      </c>
      <c r="W3781">
        <v>1</v>
      </c>
    </row>
    <row r="3782" spans="1:23" ht="16.5" x14ac:dyDescent="0.3">
      <c r="A3782" t="s">
        <v>3846</v>
      </c>
      <c r="B3782" s="1">
        <v>45834</v>
      </c>
      <c r="C3782">
        <v>2025</v>
      </c>
      <c r="D3782" t="s">
        <v>688</v>
      </c>
      <c r="E3782" t="s">
        <v>1096</v>
      </c>
      <c r="F3782" t="s">
        <v>26</v>
      </c>
      <c r="G3782" t="s">
        <v>45</v>
      </c>
      <c r="H3782" t="s">
        <v>64</v>
      </c>
      <c r="I3782" t="s">
        <v>29</v>
      </c>
      <c r="J3782" t="s">
        <v>35</v>
      </c>
      <c r="K3782" s="2">
        <v>5800</v>
      </c>
      <c r="L3782" s="2">
        <v>40500</v>
      </c>
      <c r="M3782">
        <v>48</v>
      </c>
      <c r="N3782" s="3">
        <v>0.30299999999999999</v>
      </c>
      <c r="O3782" t="s">
        <v>16</v>
      </c>
      <c r="Q3782">
        <v>1</v>
      </c>
      <c r="R3782">
        <v>0</v>
      </c>
      <c r="S3782" s="2">
        <v>36500</v>
      </c>
      <c r="T3782" s="4">
        <v>7.6200000000000004E-2</v>
      </c>
      <c r="U3782">
        <v>2</v>
      </c>
      <c r="V3782">
        <v>1</v>
      </c>
      <c r="W3782">
        <v>1</v>
      </c>
    </row>
    <row r="3783" spans="1:23" ht="16.5" x14ac:dyDescent="0.3">
      <c r="A3783" t="s">
        <v>3847</v>
      </c>
      <c r="B3783" s="1">
        <v>45834</v>
      </c>
      <c r="C3783">
        <v>2025</v>
      </c>
      <c r="D3783" t="s">
        <v>688</v>
      </c>
      <c r="E3783" t="s">
        <v>1096</v>
      </c>
      <c r="F3783" t="s">
        <v>41</v>
      </c>
      <c r="G3783" t="s">
        <v>27</v>
      </c>
      <c r="H3783" t="s">
        <v>38</v>
      </c>
      <c r="I3783" t="s">
        <v>29</v>
      </c>
      <c r="J3783" t="s">
        <v>43</v>
      </c>
      <c r="K3783" s="2">
        <v>3150</v>
      </c>
      <c r="L3783" s="2">
        <v>112500</v>
      </c>
      <c r="M3783">
        <v>60</v>
      </c>
      <c r="N3783" s="3">
        <v>0.85399999999999998</v>
      </c>
      <c r="O3783" t="s">
        <v>17</v>
      </c>
      <c r="P3783" t="s">
        <v>31</v>
      </c>
      <c r="Q3783">
        <v>0</v>
      </c>
      <c r="R3783">
        <v>1</v>
      </c>
      <c r="S3783" s="2">
        <v>0</v>
      </c>
      <c r="T3783" s="4"/>
      <c r="U3783">
        <v>8</v>
      </c>
      <c r="V3783">
        <v>1</v>
      </c>
      <c r="W3783">
        <v>1</v>
      </c>
    </row>
    <row r="3784" spans="1:23" ht="16.5" x14ac:dyDescent="0.3">
      <c r="A3784" t="s">
        <v>3848</v>
      </c>
      <c r="B3784" s="1">
        <v>45834</v>
      </c>
      <c r="C3784">
        <v>2025</v>
      </c>
      <c r="D3784" t="s">
        <v>688</v>
      </c>
      <c r="E3784" t="s">
        <v>1096</v>
      </c>
      <c r="F3784" t="s">
        <v>41</v>
      </c>
      <c r="G3784" t="s">
        <v>51</v>
      </c>
      <c r="H3784" t="s">
        <v>38</v>
      </c>
      <c r="I3784" t="s">
        <v>42</v>
      </c>
      <c r="J3784" t="s">
        <v>52</v>
      </c>
      <c r="K3784" s="2">
        <v>4600</v>
      </c>
      <c r="L3784" s="2">
        <v>128500</v>
      </c>
      <c r="M3784">
        <v>36</v>
      </c>
      <c r="N3784" s="3">
        <v>0.99399999999999999</v>
      </c>
      <c r="O3784" t="s">
        <v>17</v>
      </c>
      <c r="P3784" t="s">
        <v>53</v>
      </c>
      <c r="Q3784">
        <v>0</v>
      </c>
      <c r="R3784">
        <v>1</v>
      </c>
      <c r="S3784" s="2">
        <v>0</v>
      </c>
      <c r="T3784" s="4"/>
      <c r="U3784">
        <v>9</v>
      </c>
      <c r="V3784">
        <v>1</v>
      </c>
      <c r="W3784">
        <v>1</v>
      </c>
    </row>
    <row r="3785" spans="1:23" ht="16.5" x14ac:dyDescent="0.3">
      <c r="A3785" t="s">
        <v>3849</v>
      </c>
      <c r="B3785" s="1">
        <v>45834</v>
      </c>
      <c r="C3785">
        <v>2025</v>
      </c>
      <c r="D3785" t="s">
        <v>688</v>
      </c>
      <c r="E3785" t="s">
        <v>1096</v>
      </c>
      <c r="F3785" t="s">
        <v>26</v>
      </c>
      <c r="G3785" t="s">
        <v>51</v>
      </c>
      <c r="H3785" t="s">
        <v>38</v>
      </c>
      <c r="I3785" t="s">
        <v>29</v>
      </c>
      <c r="J3785" t="s">
        <v>30</v>
      </c>
      <c r="K3785" s="2">
        <v>3200</v>
      </c>
      <c r="L3785" s="2">
        <v>40500</v>
      </c>
      <c r="M3785">
        <v>48</v>
      </c>
      <c r="N3785" s="3">
        <v>0.40699999999999997</v>
      </c>
      <c r="O3785" t="s">
        <v>17</v>
      </c>
      <c r="P3785" t="s">
        <v>31</v>
      </c>
      <c r="Q3785">
        <v>0</v>
      </c>
      <c r="R3785">
        <v>1</v>
      </c>
      <c r="S3785" s="2">
        <v>0</v>
      </c>
      <c r="T3785" s="4"/>
      <c r="U3785">
        <v>7</v>
      </c>
      <c r="V3785">
        <v>0</v>
      </c>
      <c r="W3785">
        <v>1</v>
      </c>
    </row>
    <row r="3786" spans="1:23" ht="16.5" x14ac:dyDescent="0.3">
      <c r="A3786" t="s">
        <v>3850</v>
      </c>
      <c r="B3786" s="1">
        <v>45834</v>
      </c>
      <c r="C3786">
        <v>2025</v>
      </c>
      <c r="D3786" t="s">
        <v>688</v>
      </c>
      <c r="E3786" t="s">
        <v>1096</v>
      </c>
      <c r="F3786" t="s">
        <v>26</v>
      </c>
      <c r="G3786" t="s">
        <v>51</v>
      </c>
      <c r="H3786" t="s">
        <v>55</v>
      </c>
      <c r="I3786" t="s">
        <v>42</v>
      </c>
      <c r="J3786" t="s">
        <v>35</v>
      </c>
      <c r="K3786" s="2">
        <v>7750</v>
      </c>
      <c r="L3786" s="2">
        <v>42000</v>
      </c>
      <c r="M3786">
        <v>48</v>
      </c>
      <c r="N3786" s="3">
        <v>0.27300000000000002</v>
      </c>
      <c r="O3786" t="s">
        <v>17</v>
      </c>
      <c r="P3786" t="s">
        <v>48</v>
      </c>
      <c r="Q3786">
        <v>0</v>
      </c>
      <c r="R3786">
        <v>1</v>
      </c>
      <c r="S3786" s="2">
        <v>0</v>
      </c>
      <c r="T3786" s="4"/>
      <c r="U3786">
        <v>6</v>
      </c>
      <c r="V3786">
        <v>0</v>
      </c>
      <c r="W3786">
        <v>1</v>
      </c>
    </row>
    <row r="3787" spans="1:23" ht="16.5" x14ac:dyDescent="0.3">
      <c r="A3787" t="s">
        <v>3851</v>
      </c>
      <c r="B3787" s="1">
        <v>45835</v>
      </c>
      <c r="C3787">
        <v>2025</v>
      </c>
      <c r="D3787" t="s">
        <v>688</v>
      </c>
      <c r="E3787" t="s">
        <v>1096</v>
      </c>
      <c r="F3787" t="s">
        <v>26</v>
      </c>
      <c r="G3787" t="s">
        <v>45</v>
      </c>
      <c r="H3787" t="s">
        <v>55</v>
      </c>
      <c r="I3787" t="s">
        <v>39</v>
      </c>
      <c r="J3787" t="s">
        <v>30</v>
      </c>
      <c r="K3787" s="2">
        <v>6350</v>
      </c>
      <c r="L3787" s="2">
        <v>22000</v>
      </c>
      <c r="M3787">
        <v>36</v>
      </c>
      <c r="N3787" s="3">
        <v>0.317</v>
      </c>
      <c r="O3787" t="s">
        <v>16</v>
      </c>
      <c r="Q3787">
        <v>1</v>
      </c>
      <c r="R3787">
        <v>0</v>
      </c>
      <c r="S3787" s="2">
        <v>22000</v>
      </c>
      <c r="T3787" s="4">
        <v>9.4799999999999995E-2</v>
      </c>
      <c r="U3787">
        <v>1</v>
      </c>
      <c r="V3787">
        <v>1</v>
      </c>
      <c r="W3787">
        <v>1</v>
      </c>
    </row>
    <row r="3788" spans="1:23" ht="16.5" x14ac:dyDescent="0.3">
      <c r="A3788" t="s">
        <v>3852</v>
      </c>
      <c r="B3788" s="1">
        <v>45835</v>
      </c>
      <c r="C3788">
        <v>2025</v>
      </c>
      <c r="D3788" t="s">
        <v>688</v>
      </c>
      <c r="E3788" t="s">
        <v>1096</v>
      </c>
      <c r="F3788" t="s">
        <v>41</v>
      </c>
      <c r="G3788" t="s">
        <v>27</v>
      </c>
      <c r="H3788" t="s">
        <v>55</v>
      </c>
      <c r="I3788" t="s">
        <v>39</v>
      </c>
      <c r="J3788" t="s">
        <v>35</v>
      </c>
      <c r="K3788" s="2">
        <v>4600</v>
      </c>
      <c r="L3788" s="2">
        <v>74500</v>
      </c>
      <c r="M3788">
        <v>12</v>
      </c>
      <c r="N3788" s="3">
        <v>1.5</v>
      </c>
      <c r="O3788" t="s">
        <v>17</v>
      </c>
      <c r="P3788" t="s">
        <v>53</v>
      </c>
      <c r="Q3788">
        <v>0</v>
      </c>
      <c r="R3788">
        <v>1</v>
      </c>
      <c r="S3788" s="2">
        <v>0</v>
      </c>
      <c r="T3788" s="4"/>
      <c r="U3788">
        <v>6</v>
      </c>
      <c r="V3788">
        <v>1</v>
      </c>
      <c r="W3788">
        <v>1</v>
      </c>
    </row>
    <row r="3789" spans="1:23" ht="16.5" x14ac:dyDescent="0.3">
      <c r="A3789" t="s">
        <v>3853</v>
      </c>
      <c r="B3789" s="1">
        <v>45835</v>
      </c>
      <c r="C3789">
        <v>2025</v>
      </c>
      <c r="D3789" t="s">
        <v>688</v>
      </c>
      <c r="E3789" t="s">
        <v>1096</v>
      </c>
      <c r="F3789" t="s">
        <v>37</v>
      </c>
      <c r="G3789" t="s">
        <v>45</v>
      </c>
      <c r="H3789" t="s">
        <v>64</v>
      </c>
      <c r="I3789" t="s">
        <v>39</v>
      </c>
      <c r="J3789" t="s">
        <v>35</v>
      </c>
      <c r="K3789" s="2">
        <v>3200</v>
      </c>
      <c r="L3789" s="2">
        <v>10000</v>
      </c>
      <c r="M3789">
        <v>48</v>
      </c>
      <c r="N3789" s="3">
        <v>0.189</v>
      </c>
      <c r="O3789" t="s">
        <v>16</v>
      </c>
      <c r="Q3789">
        <v>1</v>
      </c>
      <c r="R3789">
        <v>0</v>
      </c>
      <c r="S3789" s="2">
        <v>10000</v>
      </c>
      <c r="T3789" s="4">
        <v>0.12759999999999999</v>
      </c>
      <c r="U3789">
        <v>3</v>
      </c>
      <c r="V3789">
        <v>1</v>
      </c>
      <c r="W3789">
        <v>1</v>
      </c>
    </row>
    <row r="3790" spans="1:23" ht="16.5" x14ac:dyDescent="0.3">
      <c r="A3790" t="s">
        <v>3854</v>
      </c>
      <c r="B3790" s="1">
        <v>45838</v>
      </c>
      <c r="C3790">
        <v>2025</v>
      </c>
      <c r="D3790" t="s">
        <v>688</v>
      </c>
      <c r="E3790" t="s">
        <v>1096</v>
      </c>
      <c r="F3790" t="s">
        <v>26</v>
      </c>
      <c r="G3790" t="s">
        <v>33</v>
      </c>
      <c r="H3790" t="s">
        <v>34</v>
      </c>
      <c r="I3790" t="s">
        <v>39</v>
      </c>
      <c r="J3790" t="s">
        <v>30</v>
      </c>
      <c r="K3790" s="2">
        <v>4450</v>
      </c>
      <c r="L3790" s="2">
        <v>19000</v>
      </c>
      <c r="M3790">
        <v>36</v>
      </c>
      <c r="N3790" s="3">
        <v>0.21099999999999999</v>
      </c>
      <c r="O3790" t="s">
        <v>16</v>
      </c>
      <c r="Q3790">
        <v>1</v>
      </c>
      <c r="R3790">
        <v>0</v>
      </c>
      <c r="S3790" s="2">
        <v>17000</v>
      </c>
      <c r="T3790" s="4">
        <v>9.8100000000000007E-2</v>
      </c>
      <c r="U3790">
        <v>2</v>
      </c>
      <c r="V3790">
        <v>1</v>
      </c>
      <c r="W3790">
        <v>1</v>
      </c>
    </row>
    <row r="3791" spans="1:23" ht="16.5" x14ac:dyDescent="0.3">
      <c r="A3791" t="s">
        <v>3855</v>
      </c>
      <c r="B3791" s="1">
        <v>45838</v>
      </c>
      <c r="C3791">
        <v>2025</v>
      </c>
      <c r="D3791" t="s">
        <v>688</v>
      </c>
      <c r="E3791" t="s">
        <v>1096</v>
      </c>
      <c r="F3791" t="s">
        <v>26</v>
      </c>
      <c r="G3791" t="s">
        <v>45</v>
      </c>
      <c r="H3791" t="s">
        <v>38</v>
      </c>
      <c r="I3791" t="s">
        <v>29</v>
      </c>
      <c r="J3791" t="s">
        <v>52</v>
      </c>
      <c r="K3791" s="2">
        <v>4950</v>
      </c>
      <c r="L3791" s="2">
        <v>15000</v>
      </c>
      <c r="M3791">
        <v>36</v>
      </c>
      <c r="N3791" s="3">
        <v>0.22700000000000001</v>
      </c>
      <c r="O3791" t="s">
        <v>16</v>
      </c>
      <c r="Q3791">
        <v>1</v>
      </c>
      <c r="R3791">
        <v>0</v>
      </c>
      <c r="S3791" s="2">
        <v>15000</v>
      </c>
      <c r="T3791" s="4">
        <v>7.2300000000000003E-2</v>
      </c>
      <c r="U3791">
        <v>3</v>
      </c>
      <c r="V3791">
        <v>1</v>
      </c>
      <c r="W3791">
        <v>1</v>
      </c>
    </row>
    <row r="3792" spans="1:23" ht="16.5" x14ac:dyDescent="0.3">
      <c r="A3792" t="s">
        <v>3856</v>
      </c>
      <c r="B3792" s="1">
        <v>45838</v>
      </c>
      <c r="C3792">
        <v>2025</v>
      </c>
      <c r="D3792" t="s">
        <v>688</v>
      </c>
      <c r="E3792" t="s">
        <v>1096</v>
      </c>
      <c r="F3792" t="s">
        <v>41</v>
      </c>
      <c r="G3792" t="s">
        <v>45</v>
      </c>
      <c r="H3792" t="s">
        <v>64</v>
      </c>
      <c r="I3792" t="s">
        <v>29</v>
      </c>
      <c r="J3792" t="s">
        <v>52</v>
      </c>
      <c r="K3792" s="2">
        <v>3700</v>
      </c>
      <c r="L3792" s="2">
        <v>88000</v>
      </c>
      <c r="M3792">
        <v>60</v>
      </c>
      <c r="N3792" s="3">
        <v>0.66500000000000004</v>
      </c>
      <c r="O3792" t="s">
        <v>16</v>
      </c>
      <c r="Q3792">
        <v>1</v>
      </c>
      <c r="R3792">
        <v>0</v>
      </c>
      <c r="S3792" s="2">
        <v>88000</v>
      </c>
      <c r="T3792" s="4">
        <v>0.10009999999999999</v>
      </c>
      <c r="U3792">
        <v>12</v>
      </c>
      <c r="V3792">
        <v>0</v>
      </c>
      <c r="W3792">
        <v>1</v>
      </c>
    </row>
    <row r="3793" spans="1:23" ht="16.5" x14ac:dyDescent="0.3">
      <c r="A3793" t="s">
        <v>3857</v>
      </c>
      <c r="B3793" s="1">
        <v>45838</v>
      </c>
      <c r="C3793">
        <v>2025</v>
      </c>
      <c r="D3793" t="s">
        <v>688</v>
      </c>
      <c r="E3793" t="s">
        <v>1096</v>
      </c>
      <c r="F3793" t="s">
        <v>37</v>
      </c>
      <c r="G3793" t="s">
        <v>51</v>
      </c>
      <c r="H3793" t="s">
        <v>55</v>
      </c>
      <c r="I3793" t="s">
        <v>42</v>
      </c>
      <c r="J3793" t="s">
        <v>43</v>
      </c>
      <c r="K3793" s="2">
        <v>7200</v>
      </c>
      <c r="L3793" s="2">
        <v>11000</v>
      </c>
      <c r="M3793">
        <v>36</v>
      </c>
      <c r="N3793" s="3">
        <v>0.182</v>
      </c>
      <c r="O3793" t="s">
        <v>17</v>
      </c>
      <c r="P3793" t="s">
        <v>48</v>
      </c>
      <c r="Q3793">
        <v>0</v>
      </c>
      <c r="R3793">
        <v>1</v>
      </c>
      <c r="S3793" s="2">
        <v>0</v>
      </c>
      <c r="T3793" s="4"/>
      <c r="U3793">
        <v>4</v>
      </c>
      <c r="V3793">
        <v>0</v>
      </c>
      <c r="W3793">
        <v>1</v>
      </c>
    </row>
    <row r="3794" spans="1:23" ht="16.5" x14ac:dyDescent="0.3">
      <c r="A3794" t="s">
        <v>3858</v>
      </c>
      <c r="B3794" s="1">
        <v>45838</v>
      </c>
      <c r="C3794">
        <v>2025</v>
      </c>
      <c r="D3794" t="s">
        <v>688</v>
      </c>
      <c r="E3794" t="s">
        <v>1096</v>
      </c>
      <c r="F3794" t="s">
        <v>26</v>
      </c>
      <c r="G3794" t="s">
        <v>27</v>
      </c>
      <c r="H3794" t="s">
        <v>34</v>
      </c>
      <c r="I3794" t="s">
        <v>29</v>
      </c>
      <c r="J3794" t="s">
        <v>52</v>
      </c>
      <c r="K3794" s="2">
        <v>15700</v>
      </c>
      <c r="L3794" s="2">
        <v>34500</v>
      </c>
      <c r="M3794">
        <v>36</v>
      </c>
      <c r="N3794" s="3">
        <v>0.17899999999999999</v>
      </c>
      <c r="O3794" t="s">
        <v>16</v>
      </c>
      <c r="Q3794">
        <v>1</v>
      </c>
      <c r="R3794">
        <v>0</v>
      </c>
      <c r="S3794" s="2">
        <v>34500</v>
      </c>
      <c r="T3794" s="4">
        <v>7.1300000000000002E-2</v>
      </c>
      <c r="U3794">
        <v>4</v>
      </c>
      <c r="V3794">
        <v>1</v>
      </c>
      <c r="W3794">
        <v>1</v>
      </c>
    </row>
    <row r="3795" spans="1:23" ht="16.5" x14ac:dyDescent="0.3">
      <c r="A3795" t="s">
        <v>3859</v>
      </c>
      <c r="B3795" s="1">
        <v>45838</v>
      </c>
      <c r="C3795">
        <v>2025</v>
      </c>
      <c r="D3795" t="s">
        <v>688</v>
      </c>
      <c r="E3795" t="s">
        <v>1096</v>
      </c>
      <c r="F3795" t="s">
        <v>37</v>
      </c>
      <c r="G3795" t="s">
        <v>33</v>
      </c>
      <c r="H3795" t="s">
        <v>34</v>
      </c>
      <c r="I3795" t="s">
        <v>39</v>
      </c>
      <c r="J3795" t="s">
        <v>35</v>
      </c>
      <c r="K3795" s="2">
        <v>4650</v>
      </c>
      <c r="L3795" s="2">
        <v>8000</v>
      </c>
      <c r="M3795">
        <v>36</v>
      </c>
      <c r="N3795" s="3">
        <v>0.16800000000000001</v>
      </c>
      <c r="O3795" t="s">
        <v>16</v>
      </c>
      <c r="Q3795">
        <v>1</v>
      </c>
      <c r="R3795">
        <v>0</v>
      </c>
      <c r="S3795" s="2">
        <v>6500</v>
      </c>
      <c r="T3795" s="4">
        <v>0.12809999999999999</v>
      </c>
      <c r="U3795">
        <v>1</v>
      </c>
      <c r="V3795">
        <v>1</v>
      </c>
      <c r="W3795">
        <v>1</v>
      </c>
    </row>
    <row r="3796" spans="1:23" ht="16.5" x14ac:dyDescent="0.3">
      <c r="A3796" t="s">
        <v>3860</v>
      </c>
      <c r="B3796" s="1">
        <v>45838</v>
      </c>
      <c r="C3796">
        <v>2025</v>
      </c>
      <c r="D3796" t="s">
        <v>688</v>
      </c>
      <c r="E3796" t="s">
        <v>1096</v>
      </c>
      <c r="F3796" t="s">
        <v>37</v>
      </c>
      <c r="G3796" t="s">
        <v>45</v>
      </c>
      <c r="H3796" t="s">
        <v>55</v>
      </c>
      <c r="I3796" t="s">
        <v>42</v>
      </c>
      <c r="J3796" t="s">
        <v>43</v>
      </c>
      <c r="K3796" s="2">
        <v>12550</v>
      </c>
      <c r="L3796" s="2">
        <v>7500</v>
      </c>
      <c r="M3796">
        <v>48</v>
      </c>
      <c r="N3796" s="3">
        <v>8.2000000000000003E-2</v>
      </c>
      <c r="O3796" t="s">
        <v>17</v>
      </c>
      <c r="P3796" t="s">
        <v>60</v>
      </c>
      <c r="Q3796">
        <v>0</v>
      </c>
      <c r="R3796">
        <v>1</v>
      </c>
      <c r="S3796" s="2">
        <v>0</v>
      </c>
      <c r="T3796" s="4"/>
      <c r="U3796">
        <v>7</v>
      </c>
      <c r="V3796">
        <v>0</v>
      </c>
      <c r="W3796">
        <v>1</v>
      </c>
    </row>
    <row r="3797" spans="1:23" ht="16.5" x14ac:dyDescent="0.3">
      <c r="A3797" t="s">
        <v>3861</v>
      </c>
      <c r="B3797" s="1">
        <v>45838</v>
      </c>
      <c r="C3797">
        <v>2025</v>
      </c>
      <c r="D3797" t="s">
        <v>688</v>
      </c>
      <c r="E3797" t="s">
        <v>1096</v>
      </c>
      <c r="F3797" t="s">
        <v>50</v>
      </c>
      <c r="G3797" t="s">
        <v>27</v>
      </c>
      <c r="H3797" t="s">
        <v>38</v>
      </c>
      <c r="I3797" t="s">
        <v>39</v>
      </c>
      <c r="J3797" t="s">
        <v>35</v>
      </c>
      <c r="K3797" s="2">
        <v>12250</v>
      </c>
      <c r="L3797" s="2">
        <v>405500</v>
      </c>
      <c r="M3797">
        <v>240</v>
      </c>
      <c r="N3797" s="3">
        <v>0.35299999999999998</v>
      </c>
      <c r="O3797" t="s">
        <v>17</v>
      </c>
      <c r="P3797" t="s">
        <v>48</v>
      </c>
      <c r="Q3797">
        <v>0</v>
      </c>
      <c r="R3797">
        <v>1</v>
      </c>
      <c r="S3797" s="2">
        <v>0</v>
      </c>
      <c r="T3797" s="4"/>
      <c r="U3797">
        <v>15</v>
      </c>
      <c r="V3797">
        <v>1</v>
      </c>
      <c r="W3797">
        <v>1</v>
      </c>
    </row>
    <row r="3798" spans="1:23" ht="16.5" x14ac:dyDescent="0.3">
      <c r="A3798" t="s">
        <v>3862</v>
      </c>
      <c r="B3798" s="1">
        <v>45838</v>
      </c>
      <c r="C3798">
        <v>2025</v>
      </c>
      <c r="D3798" t="s">
        <v>688</v>
      </c>
      <c r="E3798" t="s">
        <v>1096</v>
      </c>
      <c r="F3798" t="s">
        <v>50</v>
      </c>
      <c r="G3798" t="s">
        <v>45</v>
      </c>
      <c r="H3798" t="s">
        <v>64</v>
      </c>
      <c r="I3798" t="s">
        <v>39</v>
      </c>
      <c r="J3798" t="s">
        <v>30</v>
      </c>
      <c r="K3798" s="2">
        <v>4750</v>
      </c>
      <c r="L3798" s="2">
        <v>575500</v>
      </c>
      <c r="M3798">
        <v>180</v>
      </c>
      <c r="N3798" s="3">
        <v>1.0469999999999999</v>
      </c>
      <c r="O3798" t="s">
        <v>17</v>
      </c>
      <c r="P3798" t="s">
        <v>31</v>
      </c>
      <c r="Q3798">
        <v>0</v>
      </c>
      <c r="R3798">
        <v>1</v>
      </c>
      <c r="S3798" s="2">
        <v>0</v>
      </c>
      <c r="T3798" s="4"/>
      <c r="U3798">
        <v>7</v>
      </c>
      <c r="V3798">
        <v>1</v>
      </c>
      <c r="W3798">
        <v>1</v>
      </c>
    </row>
    <row r="3799" spans="1:23" ht="16.5" x14ac:dyDescent="0.3">
      <c r="A3799" t="s">
        <v>3863</v>
      </c>
      <c r="B3799" s="1">
        <v>45838</v>
      </c>
      <c r="C3799">
        <v>2025</v>
      </c>
      <c r="D3799" t="s">
        <v>688</v>
      </c>
      <c r="E3799" t="s">
        <v>1096</v>
      </c>
      <c r="F3799" t="s">
        <v>26</v>
      </c>
      <c r="G3799" t="s">
        <v>51</v>
      </c>
      <c r="H3799" t="s">
        <v>55</v>
      </c>
      <c r="I3799" t="s">
        <v>29</v>
      </c>
      <c r="J3799" t="s">
        <v>35</v>
      </c>
      <c r="K3799" s="2">
        <v>4950</v>
      </c>
      <c r="L3799" s="2">
        <v>21500</v>
      </c>
      <c r="M3799">
        <v>48</v>
      </c>
      <c r="N3799" s="3">
        <v>0.312</v>
      </c>
      <c r="O3799" t="s">
        <v>16</v>
      </c>
      <c r="Q3799">
        <v>1</v>
      </c>
      <c r="R3799">
        <v>0</v>
      </c>
      <c r="S3799" s="2">
        <v>21500</v>
      </c>
      <c r="T3799" s="4">
        <v>7.8899999999999998E-2</v>
      </c>
      <c r="U3799">
        <v>9</v>
      </c>
      <c r="V3799">
        <v>0</v>
      </c>
      <c r="W3799">
        <v>1</v>
      </c>
    </row>
    <row r="3800" spans="1:23" ht="16.5" x14ac:dyDescent="0.3">
      <c r="A3800" t="s">
        <v>3864</v>
      </c>
      <c r="B3800" s="1">
        <v>45839</v>
      </c>
      <c r="C3800">
        <v>2025</v>
      </c>
      <c r="D3800" t="s">
        <v>1255</v>
      </c>
      <c r="E3800" t="s">
        <v>1256</v>
      </c>
      <c r="F3800" t="s">
        <v>37</v>
      </c>
      <c r="G3800" t="s">
        <v>51</v>
      </c>
      <c r="H3800" t="s">
        <v>38</v>
      </c>
      <c r="I3800" t="s">
        <v>39</v>
      </c>
      <c r="J3800" t="s">
        <v>35</v>
      </c>
      <c r="K3800" s="2">
        <v>3500</v>
      </c>
      <c r="L3800" s="2">
        <v>12000</v>
      </c>
      <c r="M3800">
        <v>24</v>
      </c>
      <c r="N3800" s="3">
        <v>0.22500000000000001</v>
      </c>
      <c r="O3800" t="s">
        <v>16</v>
      </c>
      <c r="Q3800">
        <v>1</v>
      </c>
      <c r="R3800">
        <v>0</v>
      </c>
      <c r="S3800" s="2">
        <v>11000</v>
      </c>
      <c r="T3800" s="4">
        <v>0.1237</v>
      </c>
      <c r="U3800">
        <v>6</v>
      </c>
      <c r="V3800">
        <v>0</v>
      </c>
      <c r="W3800">
        <v>1</v>
      </c>
    </row>
    <row r="3801" spans="1:23" ht="16.5" x14ac:dyDescent="0.3">
      <c r="A3801" t="s">
        <v>3865</v>
      </c>
      <c r="B3801" s="1">
        <v>45839</v>
      </c>
      <c r="C3801">
        <v>2025</v>
      </c>
      <c r="D3801" t="s">
        <v>1255</v>
      </c>
      <c r="E3801" t="s">
        <v>1256</v>
      </c>
      <c r="F3801" t="s">
        <v>26</v>
      </c>
      <c r="G3801" t="s">
        <v>51</v>
      </c>
      <c r="H3801" t="s">
        <v>34</v>
      </c>
      <c r="I3801" t="s">
        <v>42</v>
      </c>
      <c r="J3801" t="s">
        <v>52</v>
      </c>
      <c r="K3801" s="2">
        <v>4550</v>
      </c>
      <c r="L3801" s="2">
        <v>37500</v>
      </c>
      <c r="M3801">
        <v>60</v>
      </c>
      <c r="N3801" s="3">
        <v>0.22600000000000001</v>
      </c>
      <c r="O3801" t="s">
        <v>16</v>
      </c>
      <c r="Q3801">
        <v>1</v>
      </c>
      <c r="R3801">
        <v>0</v>
      </c>
      <c r="S3801" s="2">
        <v>34000</v>
      </c>
      <c r="T3801" s="4">
        <v>7.5499999999999998E-2</v>
      </c>
      <c r="U3801">
        <v>4</v>
      </c>
      <c r="V3801">
        <v>1</v>
      </c>
      <c r="W3801">
        <v>1</v>
      </c>
    </row>
    <row r="3802" spans="1:23" ht="16.5" x14ac:dyDescent="0.3">
      <c r="A3802" t="s">
        <v>3866</v>
      </c>
      <c r="B3802" s="1">
        <v>45839</v>
      </c>
      <c r="C3802">
        <v>2025</v>
      </c>
      <c r="D3802" t="s">
        <v>1255</v>
      </c>
      <c r="E3802" t="s">
        <v>1256</v>
      </c>
      <c r="F3802" t="s">
        <v>37</v>
      </c>
      <c r="G3802" t="s">
        <v>45</v>
      </c>
      <c r="H3802" t="s">
        <v>55</v>
      </c>
      <c r="I3802" t="s">
        <v>39</v>
      </c>
      <c r="J3802" t="s">
        <v>30</v>
      </c>
      <c r="K3802" s="2">
        <v>7950</v>
      </c>
      <c r="L3802" s="2">
        <v>19000</v>
      </c>
      <c r="M3802">
        <v>12</v>
      </c>
      <c r="N3802" s="3">
        <v>0.33500000000000002</v>
      </c>
      <c r="O3802" t="s">
        <v>17</v>
      </c>
      <c r="P3802" t="s">
        <v>31</v>
      </c>
      <c r="Q3802">
        <v>0</v>
      </c>
      <c r="R3802">
        <v>1</v>
      </c>
      <c r="S3802" s="2">
        <v>0</v>
      </c>
      <c r="T3802" s="4"/>
      <c r="U3802">
        <v>2</v>
      </c>
      <c r="V3802">
        <v>1</v>
      </c>
      <c r="W3802">
        <v>1</v>
      </c>
    </row>
    <row r="3803" spans="1:23" ht="16.5" x14ac:dyDescent="0.3">
      <c r="A3803" t="s">
        <v>3867</v>
      </c>
      <c r="B3803" s="1">
        <v>45839</v>
      </c>
      <c r="C3803">
        <v>2025</v>
      </c>
      <c r="D3803" t="s">
        <v>1255</v>
      </c>
      <c r="E3803" t="s">
        <v>1256</v>
      </c>
      <c r="F3803" t="s">
        <v>50</v>
      </c>
      <c r="G3803" t="s">
        <v>27</v>
      </c>
      <c r="H3803" t="s">
        <v>34</v>
      </c>
      <c r="I3803" t="s">
        <v>29</v>
      </c>
      <c r="J3803" t="s">
        <v>30</v>
      </c>
      <c r="K3803" s="2">
        <v>2200</v>
      </c>
      <c r="L3803" s="2">
        <v>153500</v>
      </c>
      <c r="M3803">
        <v>300</v>
      </c>
      <c r="N3803" s="3">
        <v>0.57699999999999996</v>
      </c>
      <c r="O3803" t="s">
        <v>16</v>
      </c>
      <c r="Q3803">
        <v>1</v>
      </c>
      <c r="R3803">
        <v>0</v>
      </c>
      <c r="S3803" s="2">
        <v>153500</v>
      </c>
      <c r="T3803" s="4">
        <v>7.1800000000000003E-2</v>
      </c>
      <c r="U3803">
        <v>10</v>
      </c>
      <c r="V3803">
        <v>1</v>
      </c>
      <c r="W3803">
        <v>1</v>
      </c>
    </row>
    <row r="3804" spans="1:23" ht="16.5" x14ac:dyDescent="0.3">
      <c r="A3804" t="s">
        <v>3868</v>
      </c>
      <c r="B3804" s="1">
        <v>45839</v>
      </c>
      <c r="C3804">
        <v>2025</v>
      </c>
      <c r="D3804" t="s">
        <v>1255</v>
      </c>
      <c r="E3804" t="s">
        <v>1256</v>
      </c>
      <c r="F3804" t="s">
        <v>41</v>
      </c>
      <c r="G3804" t="s">
        <v>45</v>
      </c>
      <c r="H3804" t="s">
        <v>38</v>
      </c>
      <c r="I3804" t="s">
        <v>39</v>
      </c>
      <c r="J3804" t="s">
        <v>35</v>
      </c>
      <c r="K3804" s="2">
        <v>6700</v>
      </c>
      <c r="L3804" s="2">
        <v>212000</v>
      </c>
      <c r="M3804">
        <v>24</v>
      </c>
      <c r="N3804" s="3">
        <v>1.6339999999999999</v>
      </c>
      <c r="O3804" t="s">
        <v>17</v>
      </c>
      <c r="P3804" t="s">
        <v>53</v>
      </c>
      <c r="Q3804">
        <v>0</v>
      </c>
      <c r="R3804">
        <v>1</v>
      </c>
      <c r="S3804" s="2">
        <v>0</v>
      </c>
      <c r="T3804" s="4"/>
      <c r="U3804">
        <v>8</v>
      </c>
      <c r="V3804">
        <v>1</v>
      </c>
      <c r="W3804">
        <v>1</v>
      </c>
    </row>
    <row r="3805" spans="1:23" ht="16.5" x14ac:dyDescent="0.3">
      <c r="A3805" t="s">
        <v>3869</v>
      </c>
      <c r="B3805" s="1">
        <v>45839</v>
      </c>
      <c r="C3805">
        <v>2025</v>
      </c>
      <c r="D3805" t="s">
        <v>1255</v>
      </c>
      <c r="E3805" t="s">
        <v>1256</v>
      </c>
      <c r="F3805" t="s">
        <v>41</v>
      </c>
      <c r="G3805" t="s">
        <v>51</v>
      </c>
      <c r="H3805" t="s">
        <v>55</v>
      </c>
      <c r="I3805" t="s">
        <v>39</v>
      </c>
      <c r="J3805" t="s">
        <v>52</v>
      </c>
      <c r="K3805" s="2">
        <v>5150</v>
      </c>
      <c r="L3805" s="2">
        <v>132000</v>
      </c>
      <c r="M3805">
        <v>60</v>
      </c>
      <c r="N3805" s="3">
        <v>0.68400000000000005</v>
      </c>
      <c r="O3805" t="s">
        <v>17</v>
      </c>
      <c r="P3805" t="s">
        <v>53</v>
      </c>
      <c r="Q3805">
        <v>0</v>
      </c>
      <c r="R3805">
        <v>1</v>
      </c>
      <c r="S3805" s="2">
        <v>0</v>
      </c>
      <c r="T3805" s="4"/>
      <c r="U3805">
        <v>16</v>
      </c>
      <c r="V3805">
        <v>0</v>
      </c>
      <c r="W3805">
        <v>1</v>
      </c>
    </row>
    <row r="3806" spans="1:23" ht="16.5" x14ac:dyDescent="0.3">
      <c r="A3806" t="s">
        <v>3870</v>
      </c>
      <c r="B3806" s="1">
        <v>45840</v>
      </c>
      <c r="C3806">
        <v>2025</v>
      </c>
      <c r="D3806" t="s">
        <v>1255</v>
      </c>
      <c r="E3806" t="s">
        <v>1256</v>
      </c>
      <c r="F3806" t="s">
        <v>37</v>
      </c>
      <c r="G3806" t="s">
        <v>45</v>
      </c>
      <c r="H3806" t="s">
        <v>55</v>
      </c>
      <c r="I3806" t="s">
        <v>29</v>
      </c>
      <c r="J3806" t="s">
        <v>52</v>
      </c>
      <c r="K3806" s="2">
        <v>5900</v>
      </c>
      <c r="L3806" s="2">
        <v>17500</v>
      </c>
      <c r="M3806">
        <v>36</v>
      </c>
      <c r="N3806" s="3">
        <v>0.29199999999999998</v>
      </c>
      <c r="O3806" t="s">
        <v>16</v>
      </c>
      <c r="Q3806">
        <v>1</v>
      </c>
      <c r="R3806">
        <v>0</v>
      </c>
      <c r="S3806" s="2">
        <v>17500</v>
      </c>
      <c r="T3806" s="4">
        <v>0.1147</v>
      </c>
      <c r="U3806">
        <v>2</v>
      </c>
      <c r="V3806">
        <v>1</v>
      </c>
      <c r="W3806">
        <v>1</v>
      </c>
    </row>
    <row r="3807" spans="1:23" ht="16.5" x14ac:dyDescent="0.3">
      <c r="A3807" t="s">
        <v>3871</v>
      </c>
      <c r="B3807" s="1">
        <v>45840</v>
      </c>
      <c r="C3807">
        <v>2025</v>
      </c>
      <c r="D3807" t="s">
        <v>1255</v>
      </c>
      <c r="E3807" t="s">
        <v>1256</v>
      </c>
      <c r="F3807" t="s">
        <v>37</v>
      </c>
      <c r="G3807" t="s">
        <v>33</v>
      </c>
      <c r="H3807" t="s">
        <v>34</v>
      </c>
      <c r="I3807" t="s">
        <v>39</v>
      </c>
      <c r="J3807" t="s">
        <v>52</v>
      </c>
      <c r="K3807" s="2">
        <v>5500</v>
      </c>
      <c r="L3807" s="2">
        <v>9000</v>
      </c>
      <c r="M3807">
        <v>36</v>
      </c>
      <c r="N3807" s="3">
        <v>0.19500000000000001</v>
      </c>
      <c r="O3807" t="s">
        <v>16</v>
      </c>
      <c r="Q3807">
        <v>1</v>
      </c>
      <c r="R3807">
        <v>0</v>
      </c>
      <c r="S3807" s="2">
        <v>7000</v>
      </c>
      <c r="T3807" s="4">
        <v>0.11509999999999999</v>
      </c>
      <c r="U3807">
        <v>2</v>
      </c>
      <c r="V3807">
        <v>1</v>
      </c>
      <c r="W3807">
        <v>1</v>
      </c>
    </row>
    <row r="3808" spans="1:23" ht="16.5" x14ac:dyDescent="0.3">
      <c r="A3808" t="s">
        <v>3872</v>
      </c>
      <c r="B3808" s="1">
        <v>45840</v>
      </c>
      <c r="C3808">
        <v>2025</v>
      </c>
      <c r="D3808" t="s">
        <v>1255</v>
      </c>
      <c r="E3808" t="s">
        <v>1256</v>
      </c>
      <c r="F3808" t="s">
        <v>26</v>
      </c>
      <c r="G3808" t="s">
        <v>45</v>
      </c>
      <c r="H3808" t="s">
        <v>64</v>
      </c>
      <c r="I3808" t="s">
        <v>29</v>
      </c>
      <c r="J3808" t="s">
        <v>52</v>
      </c>
      <c r="K3808" s="2">
        <v>11350</v>
      </c>
      <c r="L3808" s="2">
        <v>18500</v>
      </c>
      <c r="M3808">
        <v>48</v>
      </c>
      <c r="N3808" s="3">
        <v>0.25900000000000001</v>
      </c>
      <c r="O3808" t="s">
        <v>16</v>
      </c>
      <c r="Q3808">
        <v>1</v>
      </c>
      <c r="R3808">
        <v>0</v>
      </c>
      <c r="S3808" s="2">
        <v>18500</v>
      </c>
      <c r="T3808" s="4">
        <v>7.2300000000000003E-2</v>
      </c>
      <c r="U3808">
        <v>2</v>
      </c>
      <c r="V3808">
        <v>1</v>
      </c>
      <c r="W3808">
        <v>1</v>
      </c>
    </row>
    <row r="3809" spans="1:23" ht="16.5" x14ac:dyDescent="0.3">
      <c r="A3809" t="s">
        <v>3873</v>
      </c>
      <c r="B3809" s="1">
        <v>45840</v>
      </c>
      <c r="C3809">
        <v>2025</v>
      </c>
      <c r="D3809" t="s">
        <v>1255</v>
      </c>
      <c r="E3809" t="s">
        <v>1256</v>
      </c>
      <c r="F3809" t="s">
        <v>41</v>
      </c>
      <c r="G3809" t="s">
        <v>27</v>
      </c>
      <c r="H3809" t="s">
        <v>38</v>
      </c>
      <c r="I3809" t="s">
        <v>29</v>
      </c>
      <c r="J3809" t="s">
        <v>46</v>
      </c>
      <c r="K3809" s="2">
        <v>5700</v>
      </c>
      <c r="L3809" s="2">
        <v>87500</v>
      </c>
      <c r="M3809">
        <v>12</v>
      </c>
      <c r="N3809" s="3">
        <v>1.4930000000000001</v>
      </c>
      <c r="O3809" t="s">
        <v>125</v>
      </c>
      <c r="Q3809">
        <v>0</v>
      </c>
      <c r="R3809">
        <v>0</v>
      </c>
      <c r="S3809" s="2">
        <v>0</v>
      </c>
      <c r="T3809" s="4"/>
      <c r="U3809">
        <v>6</v>
      </c>
      <c r="V3809">
        <v>1</v>
      </c>
      <c r="W3809">
        <v>1</v>
      </c>
    </row>
    <row r="3810" spans="1:23" ht="16.5" x14ac:dyDescent="0.3">
      <c r="A3810" t="s">
        <v>3874</v>
      </c>
      <c r="B3810" s="1">
        <v>45840</v>
      </c>
      <c r="C3810">
        <v>2025</v>
      </c>
      <c r="D3810" t="s">
        <v>1255</v>
      </c>
      <c r="E3810" t="s">
        <v>1256</v>
      </c>
      <c r="F3810" t="s">
        <v>26</v>
      </c>
      <c r="G3810" t="s">
        <v>51</v>
      </c>
      <c r="H3810" t="s">
        <v>38</v>
      </c>
      <c r="I3810" t="s">
        <v>42</v>
      </c>
      <c r="J3810" t="s">
        <v>30</v>
      </c>
      <c r="K3810" s="2">
        <v>9550</v>
      </c>
      <c r="L3810" s="2">
        <v>22000</v>
      </c>
      <c r="M3810">
        <v>48</v>
      </c>
      <c r="N3810" s="3">
        <v>0.21199999999999999</v>
      </c>
      <c r="O3810" t="s">
        <v>17</v>
      </c>
      <c r="P3810" t="s">
        <v>48</v>
      </c>
      <c r="Q3810">
        <v>0</v>
      </c>
      <c r="R3810">
        <v>1</v>
      </c>
      <c r="S3810" s="2">
        <v>0</v>
      </c>
      <c r="T3810" s="4"/>
      <c r="U3810">
        <v>6</v>
      </c>
      <c r="V3810">
        <v>0</v>
      </c>
      <c r="W3810">
        <v>1</v>
      </c>
    </row>
    <row r="3811" spans="1:23" ht="16.5" x14ac:dyDescent="0.3">
      <c r="A3811" t="s">
        <v>3875</v>
      </c>
      <c r="B3811" s="1">
        <v>45840</v>
      </c>
      <c r="C3811">
        <v>2025</v>
      </c>
      <c r="D3811" t="s">
        <v>1255</v>
      </c>
      <c r="E3811" t="s">
        <v>1256</v>
      </c>
      <c r="F3811" t="s">
        <v>26</v>
      </c>
      <c r="G3811" t="s">
        <v>33</v>
      </c>
      <c r="H3811" t="s">
        <v>28</v>
      </c>
      <c r="I3811" t="s">
        <v>42</v>
      </c>
      <c r="J3811" t="s">
        <v>35</v>
      </c>
      <c r="K3811" s="2">
        <v>7400</v>
      </c>
      <c r="L3811" s="2">
        <v>45000</v>
      </c>
      <c r="M3811">
        <v>48</v>
      </c>
      <c r="N3811" s="3">
        <v>0.34200000000000003</v>
      </c>
      <c r="O3811" t="s">
        <v>16</v>
      </c>
      <c r="Q3811">
        <v>1</v>
      </c>
      <c r="R3811">
        <v>0</v>
      </c>
      <c r="S3811" s="2">
        <v>40500</v>
      </c>
      <c r="T3811" s="4">
        <v>8.3599999999999994E-2</v>
      </c>
      <c r="U3811">
        <v>3</v>
      </c>
      <c r="V3811">
        <v>1</v>
      </c>
      <c r="W3811">
        <v>1</v>
      </c>
    </row>
    <row r="3812" spans="1:23" ht="16.5" x14ac:dyDescent="0.3">
      <c r="A3812" t="s">
        <v>3876</v>
      </c>
      <c r="B3812" s="1">
        <v>45840</v>
      </c>
      <c r="C3812">
        <v>2025</v>
      </c>
      <c r="D3812" t="s">
        <v>1255</v>
      </c>
      <c r="E3812" t="s">
        <v>1256</v>
      </c>
      <c r="F3812" t="s">
        <v>41</v>
      </c>
      <c r="G3812" t="s">
        <v>33</v>
      </c>
      <c r="H3812" t="s">
        <v>38</v>
      </c>
      <c r="I3812" t="s">
        <v>29</v>
      </c>
      <c r="J3812" t="s">
        <v>30</v>
      </c>
      <c r="K3812" s="2">
        <v>5350</v>
      </c>
      <c r="L3812" s="2">
        <v>63500</v>
      </c>
      <c r="M3812">
        <v>60</v>
      </c>
      <c r="N3812" s="3">
        <v>0.45900000000000002</v>
      </c>
      <c r="O3812" t="s">
        <v>17</v>
      </c>
      <c r="P3812" t="s">
        <v>60</v>
      </c>
      <c r="Q3812">
        <v>0</v>
      </c>
      <c r="R3812">
        <v>1</v>
      </c>
      <c r="S3812" s="2">
        <v>0</v>
      </c>
      <c r="T3812" s="4"/>
      <c r="U3812">
        <v>8</v>
      </c>
      <c r="V3812">
        <v>1</v>
      </c>
      <c r="W3812">
        <v>1</v>
      </c>
    </row>
    <row r="3813" spans="1:23" ht="16.5" x14ac:dyDescent="0.3">
      <c r="A3813" t="s">
        <v>3877</v>
      </c>
      <c r="B3813" s="1">
        <v>45840</v>
      </c>
      <c r="C3813">
        <v>2025</v>
      </c>
      <c r="D3813" t="s">
        <v>1255</v>
      </c>
      <c r="E3813" t="s">
        <v>1256</v>
      </c>
      <c r="F3813" t="s">
        <v>37</v>
      </c>
      <c r="G3813" t="s">
        <v>51</v>
      </c>
      <c r="H3813" t="s">
        <v>55</v>
      </c>
      <c r="I3813" t="s">
        <v>29</v>
      </c>
      <c r="J3813" t="s">
        <v>46</v>
      </c>
      <c r="K3813" s="2">
        <v>6400</v>
      </c>
      <c r="L3813" s="2">
        <v>18000</v>
      </c>
      <c r="M3813">
        <v>48</v>
      </c>
      <c r="N3813" s="3">
        <v>0.156</v>
      </c>
      <c r="O3813" t="s">
        <v>16</v>
      </c>
      <c r="Q3813">
        <v>1</v>
      </c>
      <c r="R3813">
        <v>0</v>
      </c>
      <c r="S3813" s="2">
        <v>18000</v>
      </c>
      <c r="T3813" s="4">
        <v>0.1075</v>
      </c>
      <c r="U3813">
        <v>2</v>
      </c>
      <c r="V3813">
        <v>1</v>
      </c>
      <c r="W3813">
        <v>1</v>
      </c>
    </row>
    <row r="3814" spans="1:23" ht="16.5" x14ac:dyDescent="0.3">
      <c r="A3814" t="s">
        <v>3878</v>
      </c>
      <c r="B3814" s="1">
        <v>45841</v>
      </c>
      <c r="C3814">
        <v>2025</v>
      </c>
      <c r="D3814" t="s">
        <v>1255</v>
      </c>
      <c r="E3814" t="s">
        <v>1256</v>
      </c>
      <c r="F3814" t="s">
        <v>41</v>
      </c>
      <c r="G3814" t="s">
        <v>45</v>
      </c>
      <c r="H3814" t="s">
        <v>38</v>
      </c>
      <c r="I3814" t="s">
        <v>42</v>
      </c>
      <c r="J3814" t="s">
        <v>35</v>
      </c>
      <c r="K3814" s="2">
        <v>10100</v>
      </c>
      <c r="L3814" s="2">
        <v>50000</v>
      </c>
      <c r="M3814">
        <v>36</v>
      </c>
      <c r="N3814" s="3">
        <v>0.35199999999999998</v>
      </c>
      <c r="O3814" t="s">
        <v>16</v>
      </c>
      <c r="Q3814">
        <v>1</v>
      </c>
      <c r="R3814">
        <v>0</v>
      </c>
      <c r="S3814" s="2">
        <v>45000</v>
      </c>
      <c r="T3814" s="4">
        <v>0.107</v>
      </c>
      <c r="U3814">
        <v>8</v>
      </c>
      <c r="V3814">
        <v>1</v>
      </c>
      <c r="W3814">
        <v>1</v>
      </c>
    </row>
    <row r="3815" spans="1:23" ht="16.5" x14ac:dyDescent="0.3">
      <c r="A3815" t="s">
        <v>3879</v>
      </c>
      <c r="B3815" s="1">
        <v>45841</v>
      </c>
      <c r="C3815">
        <v>2025</v>
      </c>
      <c r="D3815" t="s">
        <v>1255</v>
      </c>
      <c r="E3815" t="s">
        <v>1256</v>
      </c>
      <c r="F3815" t="s">
        <v>41</v>
      </c>
      <c r="G3815" t="s">
        <v>33</v>
      </c>
      <c r="H3815" t="s">
        <v>64</v>
      </c>
      <c r="I3815" t="s">
        <v>29</v>
      </c>
      <c r="J3815" t="s">
        <v>35</v>
      </c>
      <c r="K3815" s="2">
        <v>8600</v>
      </c>
      <c r="L3815" s="2">
        <v>37500</v>
      </c>
      <c r="M3815">
        <v>12</v>
      </c>
      <c r="N3815" s="3">
        <v>0.53600000000000003</v>
      </c>
      <c r="O3815" t="s">
        <v>16</v>
      </c>
      <c r="Q3815">
        <v>1</v>
      </c>
      <c r="R3815">
        <v>0</v>
      </c>
      <c r="S3815" s="2">
        <v>37500</v>
      </c>
      <c r="T3815" s="4">
        <v>0.1072</v>
      </c>
      <c r="U3815">
        <v>4</v>
      </c>
      <c r="V3815">
        <v>1</v>
      </c>
      <c r="W3815">
        <v>1</v>
      </c>
    </row>
    <row r="3816" spans="1:23" ht="16.5" x14ac:dyDescent="0.3">
      <c r="A3816" t="s">
        <v>3880</v>
      </c>
      <c r="B3816" s="1">
        <v>45841</v>
      </c>
      <c r="C3816">
        <v>2025</v>
      </c>
      <c r="D3816" t="s">
        <v>1255</v>
      </c>
      <c r="E3816" t="s">
        <v>1256</v>
      </c>
      <c r="F3816" t="s">
        <v>41</v>
      </c>
      <c r="G3816" t="s">
        <v>45</v>
      </c>
      <c r="H3816" t="s">
        <v>55</v>
      </c>
      <c r="I3816" t="s">
        <v>39</v>
      </c>
      <c r="J3816" t="s">
        <v>30</v>
      </c>
      <c r="K3816" s="2">
        <v>3250</v>
      </c>
      <c r="L3816" s="2">
        <v>99000</v>
      </c>
      <c r="M3816">
        <v>60</v>
      </c>
      <c r="N3816" s="3">
        <v>0.71099999999999997</v>
      </c>
      <c r="O3816" t="s">
        <v>16</v>
      </c>
      <c r="Q3816">
        <v>1</v>
      </c>
      <c r="R3816">
        <v>0</v>
      </c>
      <c r="S3816" s="2">
        <v>79000</v>
      </c>
      <c r="T3816" s="4">
        <v>0.125</v>
      </c>
      <c r="U3816">
        <v>4</v>
      </c>
      <c r="V3816">
        <v>1</v>
      </c>
      <c r="W3816">
        <v>1</v>
      </c>
    </row>
    <row r="3817" spans="1:23" ht="16.5" x14ac:dyDescent="0.3">
      <c r="A3817" t="s">
        <v>3881</v>
      </c>
      <c r="B3817" s="1">
        <v>45841</v>
      </c>
      <c r="C3817">
        <v>2025</v>
      </c>
      <c r="D3817" t="s">
        <v>1255</v>
      </c>
      <c r="E3817" t="s">
        <v>1256</v>
      </c>
      <c r="F3817" t="s">
        <v>26</v>
      </c>
      <c r="G3817" t="s">
        <v>27</v>
      </c>
      <c r="H3817" t="s">
        <v>38</v>
      </c>
      <c r="I3817" t="s">
        <v>39</v>
      </c>
      <c r="J3817" t="s">
        <v>35</v>
      </c>
      <c r="K3817" s="2">
        <v>6000</v>
      </c>
      <c r="L3817" s="2">
        <v>36500</v>
      </c>
      <c r="M3817">
        <v>60</v>
      </c>
      <c r="N3817" s="3">
        <v>0.27500000000000002</v>
      </c>
      <c r="O3817" t="s">
        <v>17</v>
      </c>
      <c r="P3817" t="s">
        <v>65</v>
      </c>
      <c r="Q3817">
        <v>0</v>
      </c>
      <c r="R3817">
        <v>1</v>
      </c>
      <c r="S3817" s="2">
        <v>0</v>
      </c>
      <c r="T3817" s="4"/>
      <c r="U3817">
        <v>3</v>
      </c>
      <c r="V3817">
        <v>1</v>
      </c>
      <c r="W3817">
        <v>1</v>
      </c>
    </row>
    <row r="3818" spans="1:23" ht="16.5" x14ac:dyDescent="0.3">
      <c r="A3818" t="s">
        <v>3882</v>
      </c>
      <c r="B3818" s="1">
        <v>45841</v>
      </c>
      <c r="C3818">
        <v>2025</v>
      </c>
      <c r="D3818" t="s">
        <v>1255</v>
      </c>
      <c r="E3818" t="s">
        <v>1256</v>
      </c>
      <c r="F3818" t="s">
        <v>50</v>
      </c>
      <c r="G3818" t="s">
        <v>33</v>
      </c>
      <c r="H3818" t="s">
        <v>55</v>
      </c>
      <c r="I3818" t="s">
        <v>29</v>
      </c>
      <c r="J3818" t="s">
        <v>46</v>
      </c>
      <c r="K3818" s="2">
        <v>6300</v>
      </c>
      <c r="L3818" s="2">
        <v>118000</v>
      </c>
      <c r="M3818">
        <v>180</v>
      </c>
      <c r="N3818" s="3">
        <v>0.30299999999999999</v>
      </c>
      <c r="O3818" t="s">
        <v>17</v>
      </c>
      <c r="P3818" t="s">
        <v>60</v>
      </c>
      <c r="Q3818">
        <v>0</v>
      </c>
      <c r="R3818">
        <v>1</v>
      </c>
      <c r="S3818" s="2">
        <v>0</v>
      </c>
      <c r="T3818" s="4"/>
      <c r="U3818">
        <v>12</v>
      </c>
      <c r="V3818">
        <v>1</v>
      </c>
      <c r="W3818">
        <v>1</v>
      </c>
    </row>
    <row r="3819" spans="1:23" ht="16.5" x14ac:dyDescent="0.3">
      <c r="A3819" t="s">
        <v>3883</v>
      </c>
      <c r="B3819" s="1">
        <v>45841</v>
      </c>
      <c r="C3819">
        <v>2025</v>
      </c>
      <c r="D3819" t="s">
        <v>1255</v>
      </c>
      <c r="E3819" t="s">
        <v>1256</v>
      </c>
      <c r="F3819" t="s">
        <v>26</v>
      </c>
      <c r="G3819" t="s">
        <v>45</v>
      </c>
      <c r="H3819" t="s">
        <v>38</v>
      </c>
      <c r="I3819" t="s">
        <v>42</v>
      </c>
      <c r="J3819" t="s">
        <v>35</v>
      </c>
      <c r="K3819" s="2">
        <v>7550</v>
      </c>
      <c r="L3819" s="2">
        <v>46500</v>
      </c>
      <c r="M3819">
        <v>60</v>
      </c>
      <c r="N3819" s="3">
        <v>0.21299999999999999</v>
      </c>
      <c r="O3819" t="s">
        <v>17</v>
      </c>
      <c r="P3819" t="s">
        <v>65</v>
      </c>
      <c r="Q3819">
        <v>0</v>
      </c>
      <c r="R3819">
        <v>1</v>
      </c>
      <c r="S3819" s="2">
        <v>0</v>
      </c>
      <c r="T3819" s="4"/>
      <c r="U3819">
        <v>7</v>
      </c>
      <c r="V3819">
        <v>0</v>
      </c>
      <c r="W3819">
        <v>1</v>
      </c>
    </row>
    <row r="3820" spans="1:23" ht="16.5" x14ac:dyDescent="0.3">
      <c r="A3820" t="s">
        <v>3884</v>
      </c>
      <c r="B3820" s="1">
        <v>45841</v>
      </c>
      <c r="C3820">
        <v>2025</v>
      </c>
      <c r="D3820" t="s">
        <v>1255</v>
      </c>
      <c r="E3820" t="s">
        <v>1256</v>
      </c>
      <c r="F3820" t="s">
        <v>37</v>
      </c>
      <c r="G3820" t="s">
        <v>45</v>
      </c>
      <c r="H3820" t="s">
        <v>34</v>
      </c>
      <c r="I3820" t="s">
        <v>29</v>
      </c>
      <c r="J3820" t="s">
        <v>43</v>
      </c>
      <c r="K3820" s="2">
        <v>4200</v>
      </c>
      <c r="L3820" s="2">
        <v>15000</v>
      </c>
      <c r="M3820">
        <v>36</v>
      </c>
      <c r="N3820" s="3">
        <v>0.26800000000000002</v>
      </c>
      <c r="O3820" t="s">
        <v>17</v>
      </c>
      <c r="P3820" t="s">
        <v>31</v>
      </c>
      <c r="Q3820">
        <v>0</v>
      </c>
      <c r="R3820">
        <v>1</v>
      </c>
      <c r="S3820" s="2">
        <v>0</v>
      </c>
      <c r="T3820" s="4"/>
      <c r="U3820">
        <v>1</v>
      </c>
      <c r="V3820">
        <v>1</v>
      </c>
      <c r="W3820">
        <v>1</v>
      </c>
    </row>
    <row r="3821" spans="1:23" ht="16.5" x14ac:dyDescent="0.3">
      <c r="A3821" t="s">
        <v>3885</v>
      </c>
      <c r="B3821" s="1">
        <v>45841</v>
      </c>
      <c r="C3821">
        <v>2025</v>
      </c>
      <c r="D3821" t="s">
        <v>1255</v>
      </c>
      <c r="E3821" t="s">
        <v>1256</v>
      </c>
      <c r="F3821" t="s">
        <v>50</v>
      </c>
      <c r="G3821" t="s">
        <v>51</v>
      </c>
      <c r="H3821" t="s">
        <v>28</v>
      </c>
      <c r="I3821" t="s">
        <v>29</v>
      </c>
      <c r="J3821" t="s">
        <v>43</v>
      </c>
      <c r="K3821" s="2">
        <v>5150</v>
      </c>
      <c r="L3821" s="2">
        <v>324000</v>
      </c>
      <c r="M3821">
        <v>240</v>
      </c>
      <c r="N3821" s="3">
        <v>0.52200000000000002</v>
      </c>
      <c r="O3821" t="s">
        <v>17</v>
      </c>
      <c r="P3821" t="s">
        <v>31</v>
      </c>
      <c r="Q3821">
        <v>0</v>
      </c>
      <c r="R3821">
        <v>1</v>
      </c>
      <c r="S3821" s="2">
        <v>0</v>
      </c>
      <c r="T3821" s="4"/>
      <c r="U3821">
        <v>17</v>
      </c>
      <c r="V3821">
        <v>0</v>
      </c>
      <c r="W3821">
        <v>1</v>
      </c>
    </row>
    <row r="3822" spans="1:23" ht="16.5" x14ac:dyDescent="0.3">
      <c r="A3822" t="s">
        <v>3886</v>
      </c>
      <c r="B3822" s="1">
        <v>45842</v>
      </c>
      <c r="C3822">
        <v>2025</v>
      </c>
      <c r="D3822" t="s">
        <v>1255</v>
      </c>
      <c r="E3822" t="s">
        <v>1256</v>
      </c>
      <c r="F3822" t="s">
        <v>26</v>
      </c>
      <c r="G3822" t="s">
        <v>33</v>
      </c>
      <c r="H3822" t="s">
        <v>34</v>
      </c>
      <c r="I3822" t="s">
        <v>39</v>
      </c>
      <c r="J3822" t="s">
        <v>30</v>
      </c>
      <c r="K3822" s="2">
        <v>5100</v>
      </c>
      <c r="L3822" s="2">
        <v>31500</v>
      </c>
      <c r="M3822">
        <v>60</v>
      </c>
      <c r="N3822" s="3">
        <v>0.33500000000000002</v>
      </c>
      <c r="O3822" t="s">
        <v>17</v>
      </c>
      <c r="P3822" t="s">
        <v>31</v>
      </c>
      <c r="Q3822">
        <v>0</v>
      </c>
      <c r="R3822">
        <v>1</v>
      </c>
      <c r="S3822" s="2">
        <v>0</v>
      </c>
      <c r="T3822" s="4"/>
      <c r="U3822">
        <v>3</v>
      </c>
      <c r="V3822">
        <v>1</v>
      </c>
      <c r="W3822">
        <v>1</v>
      </c>
    </row>
    <row r="3823" spans="1:23" ht="16.5" x14ac:dyDescent="0.3">
      <c r="A3823" t="s">
        <v>3887</v>
      </c>
      <c r="B3823" s="1">
        <v>45842</v>
      </c>
      <c r="C3823">
        <v>2025</v>
      </c>
      <c r="D3823" t="s">
        <v>1255</v>
      </c>
      <c r="E3823" t="s">
        <v>1256</v>
      </c>
      <c r="F3823" t="s">
        <v>37</v>
      </c>
      <c r="G3823" t="s">
        <v>51</v>
      </c>
      <c r="H3823" t="s">
        <v>38</v>
      </c>
      <c r="I3823" t="s">
        <v>39</v>
      </c>
      <c r="J3823" t="s">
        <v>43</v>
      </c>
      <c r="K3823" s="2">
        <v>10550</v>
      </c>
      <c r="L3823" s="2">
        <v>11500</v>
      </c>
      <c r="M3823">
        <v>48</v>
      </c>
      <c r="N3823" s="3">
        <v>0.27100000000000002</v>
      </c>
      <c r="O3823" t="s">
        <v>17</v>
      </c>
      <c r="P3823" t="s">
        <v>65</v>
      </c>
      <c r="Q3823">
        <v>0</v>
      </c>
      <c r="R3823">
        <v>1</v>
      </c>
      <c r="S3823" s="2">
        <v>0</v>
      </c>
      <c r="T3823" s="4"/>
      <c r="U3823">
        <v>3</v>
      </c>
      <c r="V3823">
        <v>1</v>
      </c>
      <c r="W3823">
        <v>1</v>
      </c>
    </row>
    <row r="3824" spans="1:23" ht="16.5" x14ac:dyDescent="0.3">
      <c r="A3824" t="s">
        <v>3888</v>
      </c>
      <c r="B3824" s="1">
        <v>45842</v>
      </c>
      <c r="C3824">
        <v>2025</v>
      </c>
      <c r="D3824" t="s">
        <v>1255</v>
      </c>
      <c r="E3824" t="s">
        <v>1256</v>
      </c>
      <c r="F3824" t="s">
        <v>41</v>
      </c>
      <c r="G3824" t="s">
        <v>33</v>
      </c>
      <c r="H3824" t="s">
        <v>55</v>
      </c>
      <c r="I3824" t="s">
        <v>29</v>
      </c>
      <c r="J3824" t="s">
        <v>35</v>
      </c>
      <c r="K3824" s="2">
        <v>3500</v>
      </c>
      <c r="L3824" s="2">
        <v>72500</v>
      </c>
      <c r="M3824">
        <v>12</v>
      </c>
      <c r="N3824" s="3">
        <v>1.9630000000000001</v>
      </c>
      <c r="O3824" t="s">
        <v>17</v>
      </c>
      <c r="P3824" t="s">
        <v>53</v>
      </c>
      <c r="Q3824">
        <v>0</v>
      </c>
      <c r="R3824">
        <v>1</v>
      </c>
      <c r="S3824" s="2">
        <v>0</v>
      </c>
      <c r="T3824" s="4"/>
      <c r="U3824">
        <v>7</v>
      </c>
      <c r="V3824">
        <v>1</v>
      </c>
      <c r="W3824">
        <v>1</v>
      </c>
    </row>
    <row r="3825" spans="1:23" ht="16.5" x14ac:dyDescent="0.3">
      <c r="A3825" t="s">
        <v>3889</v>
      </c>
      <c r="B3825" s="1">
        <v>45842</v>
      </c>
      <c r="C3825">
        <v>2025</v>
      </c>
      <c r="D3825" t="s">
        <v>1255</v>
      </c>
      <c r="E3825" t="s">
        <v>1256</v>
      </c>
      <c r="F3825" t="s">
        <v>41</v>
      </c>
      <c r="G3825" t="s">
        <v>33</v>
      </c>
      <c r="H3825" t="s">
        <v>38</v>
      </c>
      <c r="I3825" t="s">
        <v>39</v>
      </c>
      <c r="J3825" t="s">
        <v>52</v>
      </c>
      <c r="K3825" s="2">
        <v>7650</v>
      </c>
      <c r="L3825" s="2">
        <v>46500</v>
      </c>
      <c r="M3825">
        <v>24</v>
      </c>
      <c r="N3825" s="3">
        <v>0.46700000000000003</v>
      </c>
      <c r="O3825" t="s">
        <v>17</v>
      </c>
      <c r="P3825" t="s">
        <v>53</v>
      </c>
      <c r="Q3825">
        <v>0</v>
      </c>
      <c r="R3825">
        <v>1</v>
      </c>
      <c r="S3825" s="2">
        <v>0</v>
      </c>
      <c r="T3825" s="4"/>
      <c r="U3825">
        <v>3</v>
      </c>
      <c r="V3825">
        <v>1</v>
      </c>
      <c r="W3825">
        <v>1</v>
      </c>
    </row>
    <row r="3826" spans="1:23" ht="16.5" x14ac:dyDescent="0.3">
      <c r="A3826" t="s">
        <v>3890</v>
      </c>
      <c r="B3826" s="1">
        <v>45842</v>
      </c>
      <c r="C3826">
        <v>2025</v>
      </c>
      <c r="D3826" t="s">
        <v>1255</v>
      </c>
      <c r="E3826" t="s">
        <v>1256</v>
      </c>
      <c r="F3826" t="s">
        <v>26</v>
      </c>
      <c r="G3826" t="s">
        <v>27</v>
      </c>
      <c r="H3826" t="s">
        <v>34</v>
      </c>
      <c r="I3826" t="s">
        <v>29</v>
      </c>
      <c r="J3826" t="s">
        <v>30</v>
      </c>
      <c r="K3826" s="2">
        <v>4950</v>
      </c>
      <c r="L3826" s="2">
        <v>16500</v>
      </c>
      <c r="M3826">
        <v>48</v>
      </c>
      <c r="N3826" s="3">
        <v>0.22</v>
      </c>
      <c r="O3826" t="s">
        <v>17</v>
      </c>
      <c r="P3826" t="s">
        <v>48</v>
      </c>
      <c r="Q3826">
        <v>0</v>
      </c>
      <c r="R3826">
        <v>1</v>
      </c>
      <c r="S3826" s="2">
        <v>0</v>
      </c>
      <c r="T3826" s="4"/>
      <c r="U3826">
        <v>4</v>
      </c>
      <c r="V3826">
        <v>1</v>
      </c>
      <c r="W3826">
        <v>1</v>
      </c>
    </row>
    <row r="3827" spans="1:23" ht="16.5" x14ac:dyDescent="0.3">
      <c r="A3827" t="s">
        <v>3891</v>
      </c>
      <c r="B3827" s="1">
        <v>45843</v>
      </c>
      <c r="C3827">
        <v>2025</v>
      </c>
      <c r="D3827" t="s">
        <v>1255</v>
      </c>
      <c r="E3827" t="s">
        <v>1256</v>
      </c>
      <c r="F3827" t="s">
        <v>26</v>
      </c>
      <c r="G3827" t="s">
        <v>33</v>
      </c>
      <c r="H3827" t="s">
        <v>38</v>
      </c>
      <c r="I3827" t="s">
        <v>29</v>
      </c>
      <c r="J3827" t="s">
        <v>46</v>
      </c>
      <c r="K3827" s="2">
        <v>9950</v>
      </c>
      <c r="L3827" s="2">
        <v>32000</v>
      </c>
      <c r="M3827">
        <v>60</v>
      </c>
      <c r="N3827" s="3">
        <v>0.22700000000000001</v>
      </c>
      <c r="O3827" t="s">
        <v>16</v>
      </c>
      <c r="Q3827">
        <v>1</v>
      </c>
      <c r="R3827">
        <v>0</v>
      </c>
      <c r="S3827" s="2">
        <v>25500</v>
      </c>
      <c r="T3827" s="4">
        <v>6.8400000000000002E-2</v>
      </c>
      <c r="U3827">
        <v>2</v>
      </c>
      <c r="V3827">
        <v>1</v>
      </c>
      <c r="W3827">
        <v>1</v>
      </c>
    </row>
    <row r="3828" spans="1:23" ht="16.5" x14ac:dyDescent="0.3">
      <c r="A3828" t="s">
        <v>3892</v>
      </c>
      <c r="B3828" s="1">
        <v>45843</v>
      </c>
      <c r="C3828">
        <v>2025</v>
      </c>
      <c r="D3828" t="s">
        <v>1255</v>
      </c>
      <c r="E3828" t="s">
        <v>1256</v>
      </c>
      <c r="F3828" t="s">
        <v>37</v>
      </c>
      <c r="G3828" t="s">
        <v>45</v>
      </c>
      <c r="H3828" t="s">
        <v>55</v>
      </c>
      <c r="I3828" t="s">
        <v>39</v>
      </c>
      <c r="J3828" t="s">
        <v>46</v>
      </c>
      <c r="K3828" s="2">
        <v>4100</v>
      </c>
      <c r="L3828" s="2">
        <v>6000</v>
      </c>
      <c r="M3828">
        <v>36</v>
      </c>
      <c r="N3828" s="3">
        <v>0.121</v>
      </c>
      <c r="O3828" t="s">
        <v>16</v>
      </c>
      <c r="Q3828">
        <v>1</v>
      </c>
      <c r="R3828">
        <v>0</v>
      </c>
      <c r="S3828" s="2">
        <v>6000</v>
      </c>
      <c r="T3828" s="4">
        <v>0.1099</v>
      </c>
      <c r="U3828">
        <v>1</v>
      </c>
      <c r="V3828">
        <v>1</v>
      </c>
      <c r="W3828">
        <v>1</v>
      </c>
    </row>
    <row r="3829" spans="1:23" ht="16.5" x14ac:dyDescent="0.3">
      <c r="A3829" t="s">
        <v>3893</v>
      </c>
      <c r="B3829" s="1">
        <v>45843</v>
      </c>
      <c r="C3829">
        <v>2025</v>
      </c>
      <c r="D3829" t="s">
        <v>1255</v>
      </c>
      <c r="E3829" t="s">
        <v>1256</v>
      </c>
      <c r="F3829" t="s">
        <v>26</v>
      </c>
      <c r="G3829" t="s">
        <v>45</v>
      </c>
      <c r="H3829" t="s">
        <v>38</v>
      </c>
      <c r="I3829" t="s">
        <v>42</v>
      </c>
      <c r="J3829" t="s">
        <v>43</v>
      </c>
      <c r="K3829" s="2">
        <v>2300</v>
      </c>
      <c r="L3829" s="2">
        <v>11000</v>
      </c>
      <c r="M3829">
        <v>48</v>
      </c>
      <c r="N3829" s="3">
        <v>0.193</v>
      </c>
      <c r="O3829" t="s">
        <v>17</v>
      </c>
      <c r="P3829" t="s">
        <v>48</v>
      </c>
      <c r="Q3829">
        <v>0</v>
      </c>
      <c r="R3829">
        <v>1</v>
      </c>
      <c r="S3829" s="2">
        <v>0</v>
      </c>
      <c r="T3829" s="4"/>
      <c r="U3829">
        <v>3</v>
      </c>
      <c r="V3829">
        <v>1</v>
      </c>
      <c r="W3829">
        <v>1</v>
      </c>
    </row>
    <row r="3830" spans="1:23" ht="16.5" x14ac:dyDescent="0.3">
      <c r="A3830" t="s">
        <v>3894</v>
      </c>
      <c r="B3830" s="1">
        <v>45843</v>
      </c>
      <c r="C3830">
        <v>2025</v>
      </c>
      <c r="D3830" t="s">
        <v>1255</v>
      </c>
      <c r="E3830" t="s">
        <v>1256</v>
      </c>
      <c r="F3830" t="s">
        <v>37</v>
      </c>
      <c r="G3830" t="s">
        <v>33</v>
      </c>
      <c r="H3830" t="s">
        <v>34</v>
      </c>
      <c r="I3830" t="s">
        <v>42</v>
      </c>
      <c r="J3830" t="s">
        <v>35</v>
      </c>
      <c r="K3830" s="2">
        <v>14650</v>
      </c>
      <c r="L3830" s="2">
        <v>13500</v>
      </c>
      <c r="M3830">
        <v>48</v>
      </c>
      <c r="N3830" s="3">
        <v>0.158</v>
      </c>
      <c r="O3830" t="s">
        <v>16</v>
      </c>
      <c r="Q3830">
        <v>1</v>
      </c>
      <c r="R3830">
        <v>0</v>
      </c>
      <c r="S3830" s="2">
        <v>13500</v>
      </c>
      <c r="T3830" s="4">
        <v>0.12740000000000001</v>
      </c>
      <c r="U3830">
        <v>2</v>
      </c>
      <c r="V3830">
        <v>1</v>
      </c>
      <c r="W3830">
        <v>1</v>
      </c>
    </row>
    <row r="3831" spans="1:23" ht="16.5" x14ac:dyDescent="0.3">
      <c r="A3831" t="s">
        <v>3895</v>
      </c>
      <c r="B3831" s="1">
        <v>45843</v>
      </c>
      <c r="C3831">
        <v>2025</v>
      </c>
      <c r="D3831" t="s">
        <v>1255</v>
      </c>
      <c r="E3831" t="s">
        <v>1256</v>
      </c>
      <c r="F3831" t="s">
        <v>37</v>
      </c>
      <c r="G3831" t="s">
        <v>33</v>
      </c>
      <c r="H3831" t="s">
        <v>38</v>
      </c>
      <c r="I3831" t="s">
        <v>39</v>
      </c>
      <c r="J3831" t="s">
        <v>30</v>
      </c>
      <c r="K3831" s="2">
        <v>5850</v>
      </c>
      <c r="L3831" s="2">
        <v>8000</v>
      </c>
      <c r="M3831">
        <v>60</v>
      </c>
      <c r="N3831" s="3">
        <v>0.27300000000000002</v>
      </c>
      <c r="O3831" t="s">
        <v>16</v>
      </c>
      <c r="Q3831">
        <v>1</v>
      </c>
      <c r="R3831">
        <v>0</v>
      </c>
      <c r="S3831" s="2">
        <v>8000</v>
      </c>
      <c r="T3831" s="4">
        <v>0.1416</v>
      </c>
      <c r="U3831">
        <v>1</v>
      </c>
      <c r="V3831">
        <v>1</v>
      </c>
      <c r="W3831">
        <v>1</v>
      </c>
    </row>
    <row r="3832" spans="1:23" ht="16.5" x14ac:dyDescent="0.3">
      <c r="A3832" t="s">
        <v>3896</v>
      </c>
      <c r="B3832" s="1">
        <v>45844</v>
      </c>
      <c r="C3832">
        <v>2025</v>
      </c>
      <c r="D3832" t="s">
        <v>1255</v>
      </c>
      <c r="E3832" t="s">
        <v>1256</v>
      </c>
      <c r="F3832" t="s">
        <v>37</v>
      </c>
      <c r="G3832" t="s">
        <v>51</v>
      </c>
      <c r="H3832" t="s">
        <v>28</v>
      </c>
      <c r="I3832" t="s">
        <v>29</v>
      </c>
      <c r="J3832" t="s">
        <v>46</v>
      </c>
      <c r="K3832" s="2">
        <v>2950</v>
      </c>
      <c r="L3832" s="2">
        <v>14000</v>
      </c>
      <c r="M3832">
        <v>12</v>
      </c>
      <c r="N3832" s="3">
        <v>0.64</v>
      </c>
      <c r="O3832" t="s">
        <v>125</v>
      </c>
      <c r="Q3832">
        <v>0</v>
      </c>
      <c r="R3832">
        <v>0</v>
      </c>
      <c r="S3832" s="2">
        <v>0</v>
      </c>
      <c r="T3832" s="4"/>
      <c r="U3832">
        <v>4</v>
      </c>
      <c r="V3832">
        <v>0</v>
      </c>
      <c r="W3832">
        <v>1</v>
      </c>
    </row>
    <row r="3833" spans="1:23" ht="16.5" x14ac:dyDescent="0.3">
      <c r="A3833" t="s">
        <v>3897</v>
      </c>
      <c r="B3833" s="1">
        <v>45844</v>
      </c>
      <c r="C3833">
        <v>2025</v>
      </c>
      <c r="D3833" t="s">
        <v>1255</v>
      </c>
      <c r="E3833" t="s">
        <v>1256</v>
      </c>
      <c r="F3833" t="s">
        <v>41</v>
      </c>
      <c r="G3833" t="s">
        <v>33</v>
      </c>
      <c r="H3833" t="s">
        <v>38</v>
      </c>
      <c r="I3833" t="s">
        <v>29</v>
      </c>
      <c r="J3833" t="s">
        <v>30</v>
      </c>
      <c r="K3833" s="2">
        <v>6400</v>
      </c>
      <c r="L3833" s="2">
        <v>79500</v>
      </c>
      <c r="M3833">
        <v>12</v>
      </c>
      <c r="N3833" s="3">
        <v>1.306</v>
      </c>
      <c r="O3833" t="s">
        <v>17</v>
      </c>
      <c r="P3833" t="s">
        <v>31</v>
      </c>
      <c r="Q3833">
        <v>0</v>
      </c>
      <c r="R3833">
        <v>1</v>
      </c>
      <c r="S3833" s="2">
        <v>0</v>
      </c>
      <c r="T3833" s="4"/>
      <c r="U3833">
        <v>3</v>
      </c>
      <c r="V3833">
        <v>1</v>
      </c>
      <c r="W3833">
        <v>1</v>
      </c>
    </row>
    <row r="3834" spans="1:23" ht="16.5" x14ac:dyDescent="0.3">
      <c r="A3834" t="s">
        <v>3898</v>
      </c>
      <c r="B3834" s="1">
        <v>45845</v>
      </c>
      <c r="C3834">
        <v>2025</v>
      </c>
      <c r="D3834" t="s">
        <v>1255</v>
      </c>
      <c r="E3834" t="s">
        <v>1256</v>
      </c>
      <c r="F3834" t="s">
        <v>37</v>
      </c>
      <c r="G3834" t="s">
        <v>27</v>
      </c>
      <c r="H3834" t="s">
        <v>38</v>
      </c>
      <c r="I3834" t="s">
        <v>39</v>
      </c>
      <c r="J3834" t="s">
        <v>35</v>
      </c>
      <c r="K3834" s="2">
        <v>3550</v>
      </c>
      <c r="L3834" s="2">
        <v>8500</v>
      </c>
      <c r="M3834">
        <v>24</v>
      </c>
      <c r="N3834" s="3">
        <v>0.28100000000000003</v>
      </c>
      <c r="O3834" t="s">
        <v>17</v>
      </c>
      <c r="P3834" t="s">
        <v>65</v>
      </c>
      <c r="Q3834">
        <v>0</v>
      </c>
      <c r="R3834">
        <v>1</v>
      </c>
      <c r="S3834" s="2">
        <v>0</v>
      </c>
      <c r="T3834" s="4"/>
      <c r="U3834">
        <v>3</v>
      </c>
      <c r="V3834">
        <v>1</v>
      </c>
      <c r="W3834">
        <v>1</v>
      </c>
    </row>
    <row r="3835" spans="1:23" ht="16.5" x14ac:dyDescent="0.3">
      <c r="A3835" t="s">
        <v>3899</v>
      </c>
      <c r="B3835" s="1">
        <v>45845</v>
      </c>
      <c r="C3835">
        <v>2025</v>
      </c>
      <c r="D3835" t="s">
        <v>1255</v>
      </c>
      <c r="E3835" t="s">
        <v>1256</v>
      </c>
      <c r="F3835" t="s">
        <v>37</v>
      </c>
      <c r="G3835" t="s">
        <v>45</v>
      </c>
      <c r="H3835" t="s">
        <v>38</v>
      </c>
      <c r="I3835" t="s">
        <v>42</v>
      </c>
      <c r="J3835" t="s">
        <v>46</v>
      </c>
      <c r="K3835" s="2">
        <v>4800</v>
      </c>
      <c r="L3835" s="2">
        <v>13000</v>
      </c>
      <c r="M3835">
        <v>12</v>
      </c>
      <c r="N3835" s="3">
        <v>0.30599999999999999</v>
      </c>
      <c r="O3835" t="s">
        <v>16</v>
      </c>
      <c r="Q3835">
        <v>1</v>
      </c>
      <c r="R3835">
        <v>0</v>
      </c>
      <c r="S3835" s="2">
        <v>11500</v>
      </c>
      <c r="T3835" s="4">
        <v>0.10979999999999999</v>
      </c>
      <c r="U3835">
        <v>2</v>
      </c>
      <c r="V3835">
        <v>1</v>
      </c>
      <c r="W3835">
        <v>1</v>
      </c>
    </row>
    <row r="3836" spans="1:23" ht="16.5" x14ac:dyDescent="0.3">
      <c r="A3836" t="s">
        <v>3900</v>
      </c>
      <c r="B3836" s="1">
        <v>45845</v>
      </c>
      <c r="C3836">
        <v>2025</v>
      </c>
      <c r="D3836" t="s">
        <v>1255</v>
      </c>
      <c r="E3836" t="s">
        <v>1256</v>
      </c>
      <c r="F3836" t="s">
        <v>26</v>
      </c>
      <c r="G3836" t="s">
        <v>33</v>
      </c>
      <c r="H3836" t="s">
        <v>55</v>
      </c>
      <c r="I3836" t="s">
        <v>39</v>
      </c>
      <c r="J3836" t="s">
        <v>35</v>
      </c>
      <c r="K3836" s="2">
        <v>5300</v>
      </c>
      <c r="L3836" s="2">
        <v>13000</v>
      </c>
      <c r="M3836">
        <v>48</v>
      </c>
      <c r="N3836" s="3">
        <v>0.224</v>
      </c>
      <c r="O3836" t="s">
        <v>16</v>
      </c>
      <c r="Q3836">
        <v>1</v>
      </c>
      <c r="R3836">
        <v>0</v>
      </c>
      <c r="S3836" s="2">
        <v>10500</v>
      </c>
      <c r="T3836" s="4">
        <v>7.9899999999999999E-2</v>
      </c>
      <c r="U3836">
        <v>2</v>
      </c>
      <c r="V3836">
        <v>1</v>
      </c>
      <c r="W3836">
        <v>1</v>
      </c>
    </row>
    <row r="3837" spans="1:23" ht="16.5" x14ac:dyDescent="0.3">
      <c r="A3837" t="s">
        <v>3901</v>
      </c>
      <c r="B3837" s="1">
        <v>45845</v>
      </c>
      <c r="C3837">
        <v>2025</v>
      </c>
      <c r="D3837" t="s">
        <v>1255</v>
      </c>
      <c r="E3837" t="s">
        <v>1256</v>
      </c>
      <c r="F3837" t="s">
        <v>37</v>
      </c>
      <c r="G3837" t="s">
        <v>51</v>
      </c>
      <c r="H3837" t="s">
        <v>64</v>
      </c>
      <c r="I3837" t="s">
        <v>42</v>
      </c>
      <c r="J3837" t="s">
        <v>46</v>
      </c>
      <c r="K3837" s="2">
        <v>5500</v>
      </c>
      <c r="L3837" s="2">
        <v>11500</v>
      </c>
      <c r="M3837">
        <v>12</v>
      </c>
      <c r="N3837" s="3">
        <v>0.38400000000000001</v>
      </c>
      <c r="O3837" t="s">
        <v>16</v>
      </c>
      <c r="Q3837">
        <v>1</v>
      </c>
      <c r="R3837">
        <v>0</v>
      </c>
      <c r="S3837" s="2">
        <v>11500</v>
      </c>
      <c r="T3837" s="4">
        <v>0.1119</v>
      </c>
      <c r="U3837">
        <v>4</v>
      </c>
      <c r="V3837">
        <v>0</v>
      </c>
      <c r="W3837">
        <v>1</v>
      </c>
    </row>
    <row r="3838" spans="1:23" ht="16.5" x14ac:dyDescent="0.3">
      <c r="A3838" t="s">
        <v>3902</v>
      </c>
      <c r="B3838" s="1">
        <v>45845</v>
      </c>
      <c r="C3838">
        <v>2025</v>
      </c>
      <c r="D3838" t="s">
        <v>1255</v>
      </c>
      <c r="E3838" t="s">
        <v>1256</v>
      </c>
      <c r="F3838" t="s">
        <v>41</v>
      </c>
      <c r="G3838" t="s">
        <v>33</v>
      </c>
      <c r="H3838" t="s">
        <v>34</v>
      </c>
      <c r="I3838" t="s">
        <v>29</v>
      </c>
      <c r="J3838" t="s">
        <v>35</v>
      </c>
      <c r="K3838" s="2">
        <v>10900</v>
      </c>
      <c r="L3838" s="2">
        <v>61500</v>
      </c>
      <c r="M3838">
        <v>60</v>
      </c>
      <c r="N3838" s="3">
        <v>0.34699999999999998</v>
      </c>
      <c r="O3838" t="s">
        <v>16</v>
      </c>
      <c r="Q3838">
        <v>1</v>
      </c>
      <c r="R3838">
        <v>0</v>
      </c>
      <c r="S3838" s="2">
        <v>55500</v>
      </c>
      <c r="T3838" s="4">
        <v>0.1048</v>
      </c>
      <c r="U3838">
        <v>3</v>
      </c>
      <c r="V3838">
        <v>1</v>
      </c>
      <c r="W3838">
        <v>1</v>
      </c>
    </row>
    <row r="3839" spans="1:23" ht="16.5" x14ac:dyDescent="0.3">
      <c r="A3839" t="s">
        <v>3903</v>
      </c>
      <c r="B3839" s="1">
        <v>45845</v>
      </c>
      <c r="C3839">
        <v>2025</v>
      </c>
      <c r="D3839" t="s">
        <v>1255</v>
      </c>
      <c r="E3839" t="s">
        <v>1256</v>
      </c>
      <c r="F3839" t="s">
        <v>37</v>
      </c>
      <c r="G3839" t="s">
        <v>51</v>
      </c>
      <c r="H3839" t="s">
        <v>28</v>
      </c>
      <c r="I3839" t="s">
        <v>29</v>
      </c>
      <c r="J3839" t="s">
        <v>52</v>
      </c>
      <c r="K3839" s="2">
        <v>2800</v>
      </c>
      <c r="L3839" s="2">
        <v>18000</v>
      </c>
      <c r="M3839">
        <v>24</v>
      </c>
      <c r="N3839" s="3">
        <v>0.47699999999999998</v>
      </c>
      <c r="O3839" t="s">
        <v>16</v>
      </c>
      <c r="Q3839">
        <v>1</v>
      </c>
      <c r="R3839">
        <v>0</v>
      </c>
      <c r="S3839" s="2">
        <v>18000</v>
      </c>
      <c r="T3839" s="4">
        <v>0.1104</v>
      </c>
      <c r="U3839">
        <v>5</v>
      </c>
      <c r="V3839">
        <v>0</v>
      </c>
      <c r="W3839">
        <v>1</v>
      </c>
    </row>
    <row r="3840" spans="1:23" ht="16.5" x14ac:dyDescent="0.3">
      <c r="A3840" t="s">
        <v>3904</v>
      </c>
      <c r="B3840" s="1">
        <v>45845</v>
      </c>
      <c r="C3840">
        <v>2025</v>
      </c>
      <c r="D3840" t="s">
        <v>1255</v>
      </c>
      <c r="E3840" t="s">
        <v>1256</v>
      </c>
      <c r="F3840" t="s">
        <v>37</v>
      </c>
      <c r="G3840" t="s">
        <v>27</v>
      </c>
      <c r="H3840" t="s">
        <v>38</v>
      </c>
      <c r="I3840" t="s">
        <v>29</v>
      </c>
      <c r="J3840" t="s">
        <v>35</v>
      </c>
      <c r="K3840" s="2">
        <v>8200</v>
      </c>
      <c r="L3840" s="2">
        <v>9000</v>
      </c>
      <c r="M3840">
        <v>36</v>
      </c>
      <c r="N3840" s="3">
        <v>0.193</v>
      </c>
      <c r="O3840" t="s">
        <v>16</v>
      </c>
      <c r="Q3840">
        <v>1</v>
      </c>
      <c r="R3840">
        <v>0</v>
      </c>
      <c r="S3840" s="2">
        <v>7000</v>
      </c>
      <c r="T3840" s="4">
        <v>0.12889999999999999</v>
      </c>
      <c r="U3840">
        <v>3</v>
      </c>
      <c r="V3840">
        <v>1</v>
      </c>
      <c r="W3840">
        <v>1</v>
      </c>
    </row>
    <row r="3841" spans="1:23" ht="16.5" x14ac:dyDescent="0.3">
      <c r="A3841" t="s">
        <v>3905</v>
      </c>
      <c r="B3841" s="1">
        <v>45845</v>
      </c>
      <c r="C3841">
        <v>2025</v>
      </c>
      <c r="D3841" t="s">
        <v>1255</v>
      </c>
      <c r="E3841" t="s">
        <v>1256</v>
      </c>
      <c r="F3841" t="s">
        <v>41</v>
      </c>
      <c r="G3841" t="s">
        <v>27</v>
      </c>
      <c r="H3841" t="s">
        <v>55</v>
      </c>
      <c r="I3841" t="s">
        <v>29</v>
      </c>
      <c r="J3841" t="s">
        <v>43</v>
      </c>
      <c r="K3841" s="2">
        <v>5200</v>
      </c>
      <c r="L3841" s="2">
        <v>60000</v>
      </c>
      <c r="M3841">
        <v>36</v>
      </c>
      <c r="N3841" s="3">
        <v>0.61899999999999999</v>
      </c>
      <c r="O3841" t="s">
        <v>17</v>
      </c>
      <c r="P3841" t="s">
        <v>60</v>
      </c>
      <c r="Q3841">
        <v>0</v>
      </c>
      <c r="R3841">
        <v>1</v>
      </c>
      <c r="S3841" s="2">
        <v>0</v>
      </c>
      <c r="T3841" s="4"/>
      <c r="U3841">
        <v>9</v>
      </c>
      <c r="V3841">
        <v>1</v>
      </c>
      <c r="W3841">
        <v>1</v>
      </c>
    </row>
    <row r="3842" spans="1:23" ht="16.5" x14ac:dyDescent="0.3">
      <c r="A3842" t="s">
        <v>3906</v>
      </c>
      <c r="B3842" s="1">
        <v>45845</v>
      </c>
      <c r="C3842">
        <v>2025</v>
      </c>
      <c r="D3842" t="s">
        <v>1255</v>
      </c>
      <c r="E3842" t="s">
        <v>1256</v>
      </c>
      <c r="F3842" t="s">
        <v>37</v>
      </c>
      <c r="G3842" t="s">
        <v>51</v>
      </c>
      <c r="H3842" t="s">
        <v>38</v>
      </c>
      <c r="I3842" t="s">
        <v>39</v>
      </c>
      <c r="J3842" t="s">
        <v>35</v>
      </c>
      <c r="K3842" s="2">
        <v>6500</v>
      </c>
      <c r="L3842" s="2">
        <v>9000</v>
      </c>
      <c r="M3842">
        <v>12</v>
      </c>
      <c r="N3842" s="3">
        <v>0.247</v>
      </c>
      <c r="O3842" t="s">
        <v>17</v>
      </c>
      <c r="P3842" t="s">
        <v>60</v>
      </c>
      <c r="Q3842">
        <v>0</v>
      </c>
      <c r="R3842">
        <v>1</v>
      </c>
      <c r="S3842" s="2">
        <v>0</v>
      </c>
      <c r="T3842" s="4"/>
      <c r="U3842">
        <v>6</v>
      </c>
      <c r="V3842">
        <v>0</v>
      </c>
      <c r="W3842">
        <v>1</v>
      </c>
    </row>
    <row r="3843" spans="1:23" ht="16.5" x14ac:dyDescent="0.3">
      <c r="A3843" t="s">
        <v>3907</v>
      </c>
      <c r="B3843" s="1">
        <v>45845</v>
      </c>
      <c r="C3843">
        <v>2025</v>
      </c>
      <c r="D3843" t="s">
        <v>1255</v>
      </c>
      <c r="E3843" t="s">
        <v>1256</v>
      </c>
      <c r="F3843" t="s">
        <v>37</v>
      </c>
      <c r="G3843" t="s">
        <v>51</v>
      </c>
      <c r="H3843" t="s">
        <v>38</v>
      </c>
      <c r="I3843" t="s">
        <v>42</v>
      </c>
      <c r="J3843" t="s">
        <v>35</v>
      </c>
      <c r="K3843" s="2">
        <v>8600</v>
      </c>
      <c r="L3843" s="2">
        <v>12500</v>
      </c>
      <c r="M3843">
        <v>60</v>
      </c>
      <c r="N3843" s="3">
        <v>0.247</v>
      </c>
      <c r="O3843" t="s">
        <v>17</v>
      </c>
      <c r="P3843" t="s">
        <v>31</v>
      </c>
      <c r="Q3843">
        <v>0</v>
      </c>
      <c r="R3843">
        <v>1</v>
      </c>
      <c r="S3843" s="2">
        <v>0</v>
      </c>
      <c r="T3843" s="4"/>
      <c r="U3843">
        <v>3</v>
      </c>
      <c r="V3843">
        <v>1</v>
      </c>
      <c r="W3843">
        <v>1</v>
      </c>
    </row>
    <row r="3844" spans="1:23" ht="16.5" x14ac:dyDescent="0.3">
      <c r="A3844" t="s">
        <v>3908</v>
      </c>
      <c r="B3844" s="1">
        <v>45846</v>
      </c>
      <c r="C3844">
        <v>2025</v>
      </c>
      <c r="D3844" t="s">
        <v>1255</v>
      </c>
      <c r="E3844" t="s">
        <v>1256</v>
      </c>
      <c r="F3844" t="s">
        <v>37</v>
      </c>
      <c r="G3844" t="s">
        <v>51</v>
      </c>
      <c r="H3844" t="s">
        <v>38</v>
      </c>
      <c r="I3844" t="s">
        <v>39</v>
      </c>
      <c r="J3844" t="s">
        <v>30</v>
      </c>
      <c r="K3844" s="2">
        <v>2200</v>
      </c>
      <c r="L3844" s="2">
        <v>10500</v>
      </c>
      <c r="M3844">
        <v>24</v>
      </c>
      <c r="N3844" s="3">
        <v>0.46400000000000002</v>
      </c>
      <c r="O3844" t="s">
        <v>17</v>
      </c>
      <c r="P3844" t="s">
        <v>53</v>
      </c>
      <c r="Q3844">
        <v>0</v>
      </c>
      <c r="R3844">
        <v>1</v>
      </c>
      <c r="S3844" s="2">
        <v>0</v>
      </c>
      <c r="T3844" s="4"/>
      <c r="U3844">
        <v>6</v>
      </c>
      <c r="V3844">
        <v>0</v>
      </c>
      <c r="W3844">
        <v>1</v>
      </c>
    </row>
    <row r="3845" spans="1:23" ht="16.5" x14ac:dyDescent="0.3">
      <c r="A3845" t="s">
        <v>3909</v>
      </c>
      <c r="B3845" s="1">
        <v>45846</v>
      </c>
      <c r="C3845">
        <v>2025</v>
      </c>
      <c r="D3845" t="s">
        <v>1255</v>
      </c>
      <c r="E3845" t="s">
        <v>1256</v>
      </c>
      <c r="F3845" t="s">
        <v>41</v>
      </c>
      <c r="G3845" t="s">
        <v>45</v>
      </c>
      <c r="H3845" t="s">
        <v>34</v>
      </c>
      <c r="I3845" t="s">
        <v>29</v>
      </c>
      <c r="J3845" t="s">
        <v>43</v>
      </c>
      <c r="K3845" s="2">
        <v>3700</v>
      </c>
      <c r="L3845" s="2">
        <v>32000</v>
      </c>
      <c r="M3845">
        <v>36</v>
      </c>
      <c r="N3845" s="3">
        <v>0.34899999999999998</v>
      </c>
      <c r="O3845" t="s">
        <v>125</v>
      </c>
      <c r="Q3845">
        <v>0</v>
      </c>
      <c r="R3845">
        <v>0</v>
      </c>
      <c r="S3845" s="2">
        <v>0</v>
      </c>
      <c r="T3845" s="4"/>
      <c r="U3845">
        <v>6</v>
      </c>
      <c r="V3845">
        <v>1</v>
      </c>
      <c r="W3845">
        <v>1</v>
      </c>
    </row>
    <row r="3846" spans="1:23" ht="16.5" x14ac:dyDescent="0.3">
      <c r="A3846" t="s">
        <v>3910</v>
      </c>
      <c r="B3846" s="1">
        <v>45846</v>
      </c>
      <c r="C3846">
        <v>2025</v>
      </c>
      <c r="D3846" t="s">
        <v>1255</v>
      </c>
      <c r="E3846" t="s">
        <v>1256</v>
      </c>
      <c r="F3846" t="s">
        <v>50</v>
      </c>
      <c r="G3846" t="s">
        <v>51</v>
      </c>
      <c r="H3846" t="s">
        <v>64</v>
      </c>
      <c r="I3846" t="s">
        <v>29</v>
      </c>
      <c r="J3846" t="s">
        <v>30</v>
      </c>
      <c r="K3846" s="2">
        <v>7150</v>
      </c>
      <c r="L3846" s="2">
        <v>828500</v>
      </c>
      <c r="M3846">
        <v>240</v>
      </c>
      <c r="N3846" s="3">
        <v>0.81599999999999995</v>
      </c>
      <c r="O3846" t="s">
        <v>125</v>
      </c>
      <c r="Q3846">
        <v>0</v>
      </c>
      <c r="R3846">
        <v>0</v>
      </c>
      <c r="S3846" s="2">
        <v>0</v>
      </c>
      <c r="T3846" s="4"/>
      <c r="U3846">
        <v>18</v>
      </c>
      <c r="V3846">
        <v>0</v>
      </c>
      <c r="W3846">
        <v>1</v>
      </c>
    </row>
    <row r="3847" spans="1:23" ht="16.5" x14ac:dyDescent="0.3">
      <c r="A3847" t="s">
        <v>3911</v>
      </c>
      <c r="B3847" s="1">
        <v>45846</v>
      </c>
      <c r="C3847">
        <v>2025</v>
      </c>
      <c r="D3847" t="s">
        <v>1255</v>
      </c>
      <c r="E3847" t="s">
        <v>1256</v>
      </c>
      <c r="F3847" t="s">
        <v>26</v>
      </c>
      <c r="G3847" t="s">
        <v>51</v>
      </c>
      <c r="H3847" t="s">
        <v>55</v>
      </c>
      <c r="I3847" t="s">
        <v>39</v>
      </c>
      <c r="J3847" t="s">
        <v>35</v>
      </c>
      <c r="K3847" s="2">
        <v>3650</v>
      </c>
      <c r="L3847" s="2">
        <v>34000</v>
      </c>
      <c r="M3847">
        <v>60</v>
      </c>
      <c r="N3847" s="3">
        <v>0.32200000000000001</v>
      </c>
      <c r="O3847" t="s">
        <v>16</v>
      </c>
      <c r="Q3847">
        <v>1</v>
      </c>
      <c r="R3847">
        <v>0</v>
      </c>
      <c r="S3847" s="2">
        <v>27000</v>
      </c>
      <c r="T3847" s="4">
        <v>8.3500000000000005E-2</v>
      </c>
      <c r="U3847">
        <v>11</v>
      </c>
      <c r="V3847">
        <v>0</v>
      </c>
      <c r="W3847">
        <v>1</v>
      </c>
    </row>
    <row r="3848" spans="1:23" ht="16.5" x14ac:dyDescent="0.3">
      <c r="A3848" t="s">
        <v>3912</v>
      </c>
      <c r="B3848" s="1">
        <v>45846</v>
      </c>
      <c r="C3848">
        <v>2025</v>
      </c>
      <c r="D3848" t="s">
        <v>1255</v>
      </c>
      <c r="E3848" t="s">
        <v>1256</v>
      </c>
      <c r="F3848" t="s">
        <v>37</v>
      </c>
      <c r="G3848" t="s">
        <v>51</v>
      </c>
      <c r="H3848" t="s">
        <v>64</v>
      </c>
      <c r="I3848" t="s">
        <v>39</v>
      </c>
      <c r="J3848" t="s">
        <v>43</v>
      </c>
      <c r="K3848" s="2">
        <v>3750</v>
      </c>
      <c r="L3848" s="2">
        <v>16000</v>
      </c>
      <c r="M3848">
        <v>24</v>
      </c>
      <c r="N3848" s="3">
        <v>0.27600000000000002</v>
      </c>
      <c r="O3848" t="s">
        <v>17</v>
      </c>
      <c r="P3848" t="s">
        <v>60</v>
      </c>
      <c r="Q3848">
        <v>0</v>
      </c>
      <c r="R3848">
        <v>1</v>
      </c>
      <c r="S3848" s="2">
        <v>0</v>
      </c>
      <c r="T3848" s="4"/>
      <c r="U3848">
        <v>10</v>
      </c>
      <c r="V3848">
        <v>0</v>
      </c>
      <c r="W3848">
        <v>1</v>
      </c>
    </row>
    <row r="3849" spans="1:23" ht="16.5" x14ac:dyDescent="0.3">
      <c r="A3849" t="s">
        <v>3913</v>
      </c>
      <c r="B3849" s="1">
        <v>45846</v>
      </c>
      <c r="C3849">
        <v>2025</v>
      </c>
      <c r="D3849" t="s">
        <v>1255</v>
      </c>
      <c r="E3849" t="s">
        <v>1256</v>
      </c>
      <c r="F3849" t="s">
        <v>37</v>
      </c>
      <c r="G3849" t="s">
        <v>51</v>
      </c>
      <c r="H3849" t="s">
        <v>38</v>
      </c>
      <c r="I3849" t="s">
        <v>29</v>
      </c>
      <c r="J3849" t="s">
        <v>30</v>
      </c>
      <c r="K3849" s="2">
        <v>4750</v>
      </c>
      <c r="L3849" s="2">
        <v>11000</v>
      </c>
      <c r="M3849">
        <v>60</v>
      </c>
      <c r="N3849" s="3">
        <v>0.189</v>
      </c>
      <c r="O3849" t="s">
        <v>16</v>
      </c>
      <c r="Q3849">
        <v>1</v>
      </c>
      <c r="R3849">
        <v>0</v>
      </c>
      <c r="S3849" s="2">
        <v>9000</v>
      </c>
      <c r="T3849" s="4">
        <v>0.13730000000000001</v>
      </c>
      <c r="U3849">
        <v>3</v>
      </c>
      <c r="V3849">
        <v>1</v>
      </c>
      <c r="W3849">
        <v>1</v>
      </c>
    </row>
    <row r="3850" spans="1:23" ht="16.5" x14ac:dyDescent="0.3">
      <c r="A3850" t="s">
        <v>3914</v>
      </c>
      <c r="B3850" s="1">
        <v>45847</v>
      </c>
      <c r="C3850">
        <v>2025</v>
      </c>
      <c r="D3850" t="s">
        <v>1255</v>
      </c>
      <c r="E3850" t="s">
        <v>1256</v>
      </c>
      <c r="F3850" t="s">
        <v>41</v>
      </c>
      <c r="G3850" t="s">
        <v>45</v>
      </c>
      <c r="H3850" t="s">
        <v>64</v>
      </c>
      <c r="I3850" t="s">
        <v>29</v>
      </c>
      <c r="J3850" t="s">
        <v>30</v>
      </c>
      <c r="K3850" s="2">
        <v>4250</v>
      </c>
      <c r="L3850" s="2">
        <v>70500</v>
      </c>
      <c r="M3850">
        <v>36</v>
      </c>
      <c r="N3850" s="3">
        <v>0.59599999999999997</v>
      </c>
      <c r="O3850" t="s">
        <v>16</v>
      </c>
      <c r="Q3850">
        <v>1</v>
      </c>
      <c r="R3850">
        <v>0</v>
      </c>
      <c r="S3850" s="2">
        <v>70500</v>
      </c>
      <c r="T3850" s="4">
        <v>0.123</v>
      </c>
      <c r="U3850">
        <v>5</v>
      </c>
      <c r="V3850">
        <v>1</v>
      </c>
      <c r="W3850">
        <v>1</v>
      </c>
    </row>
    <row r="3851" spans="1:23" ht="16.5" x14ac:dyDescent="0.3">
      <c r="A3851" t="s">
        <v>3915</v>
      </c>
      <c r="B3851" s="1">
        <v>45847</v>
      </c>
      <c r="C3851">
        <v>2025</v>
      </c>
      <c r="D3851" t="s">
        <v>1255</v>
      </c>
      <c r="E3851" t="s">
        <v>1256</v>
      </c>
      <c r="F3851" t="s">
        <v>37</v>
      </c>
      <c r="G3851" t="s">
        <v>33</v>
      </c>
      <c r="H3851" t="s">
        <v>34</v>
      </c>
      <c r="I3851" t="s">
        <v>29</v>
      </c>
      <c r="J3851" t="s">
        <v>35</v>
      </c>
      <c r="K3851" s="2">
        <v>2800</v>
      </c>
      <c r="L3851" s="2">
        <v>13000</v>
      </c>
      <c r="M3851">
        <v>36</v>
      </c>
      <c r="N3851" s="3">
        <v>0.217</v>
      </c>
      <c r="O3851" t="s">
        <v>16</v>
      </c>
      <c r="Q3851">
        <v>1</v>
      </c>
      <c r="R3851">
        <v>0</v>
      </c>
      <c r="S3851" s="2">
        <v>13000</v>
      </c>
      <c r="T3851" s="4">
        <v>0.11990000000000001</v>
      </c>
      <c r="U3851">
        <v>1</v>
      </c>
      <c r="V3851">
        <v>1</v>
      </c>
      <c r="W3851">
        <v>1</v>
      </c>
    </row>
    <row r="3852" spans="1:23" ht="16.5" x14ac:dyDescent="0.3">
      <c r="A3852" t="s">
        <v>3916</v>
      </c>
      <c r="B3852" s="1">
        <v>45847</v>
      </c>
      <c r="C3852">
        <v>2025</v>
      </c>
      <c r="D3852" t="s">
        <v>1255</v>
      </c>
      <c r="E3852" t="s">
        <v>1256</v>
      </c>
      <c r="F3852" t="s">
        <v>37</v>
      </c>
      <c r="G3852" t="s">
        <v>51</v>
      </c>
      <c r="H3852" t="s">
        <v>38</v>
      </c>
      <c r="I3852" t="s">
        <v>42</v>
      </c>
      <c r="J3852" t="s">
        <v>46</v>
      </c>
      <c r="K3852" s="2">
        <v>5300</v>
      </c>
      <c r="L3852" s="2">
        <v>14500</v>
      </c>
      <c r="M3852">
        <v>60</v>
      </c>
      <c r="N3852" s="3">
        <v>0.22600000000000001</v>
      </c>
      <c r="O3852" t="s">
        <v>16</v>
      </c>
      <c r="Q3852">
        <v>1</v>
      </c>
      <c r="R3852">
        <v>0</v>
      </c>
      <c r="S3852" s="2">
        <v>11500</v>
      </c>
      <c r="T3852" s="4">
        <v>0.1087</v>
      </c>
      <c r="U3852">
        <v>5</v>
      </c>
      <c r="V3852">
        <v>0</v>
      </c>
      <c r="W3852">
        <v>1</v>
      </c>
    </row>
    <row r="3853" spans="1:23" ht="16.5" x14ac:dyDescent="0.3">
      <c r="A3853" t="s">
        <v>3917</v>
      </c>
      <c r="B3853" s="1">
        <v>45847</v>
      </c>
      <c r="C3853">
        <v>2025</v>
      </c>
      <c r="D3853" t="s">
        <v>1255</v>
      </c>
      <c r="E3853" t="s">
        <v>1256</v>
      </c>
      <c r="F3853" t="s">
        <v>37</v>
      </c>
      <c r="G3853" t="s">
        <v>33</v>
      </c>
      <c r="H3853" t="s">
        <v>55</v>
      </c>
      <c r="I3853" t="s">
        <v>39</v>
      </c>
      <c r="J3853" t="s">
        <v>35</v>
      </c>
      <c r="K3853" s="2">
        <v>5750</v>
      </c>
      <c r="L3853" s="2">
        <v>12000</v>
      </c>
      <c r="M3853">
        <v>24</v>
      </c>
      <c r="N3853" s="3">
        <v>0.33400000000000002</v>
      </c>
      <c r="O3853" t="s">
        <v>17</v>
      </c>
      <c r="P3853" t="s">
        <v>31</v>
      </c>
      <c r="Q3853">
        <v>0</v>
      </c>
      <c r="R3853">
        <v>1</v>
      </c>
      <c r="S3853" s="2">
        <v>0</v>
      </c>
      <c r="T3853" s="4"/>
      <c r="U3853">
        <v>2</v>
      </c>
      <c r="V3853">
        <v>1</v>
      </c>
      <c r="W3853">
        <v>1</v>
      </c>
    </row>
    <row r="3854" spans="1:23" ht="16.5" x14ac:dyDescent="0.3">
      <c r="A3854" t="s">
        <v>3918</v>
      </c>
      <c r="B3854" s="1">
        <v>45847</v>
      </c>
      <c r="C3854">
        <v>2025</v>
      </c>
      <c r="D3854" t="s">
        <v>1255</v>
      </c>
      <c r="E3854" t="s">
        <v>1256</v>
      </c>
      <c r="F3854" t="s">
        <v>37</v>
      </c>
      <c r="G3854" t="s">
        <v>51</v>
      </c>
      <c r="H3854" t="s">
        <v>38</v>
      </c>
      <c r="I3854" t="s">
        <v>29</v>
      </c>
      <c r="J3854" t="s">
        <v>35</v>
      </c>
      <c r="K3854" s="2">
        <v>3450</v>
      </c>
      <c r="L3854" s="2">
        <v>34000</v>
      </c>
      <c r="M3854">
        <v>60</v>
      </c>
      <c r="N3854" s="3">
        <v>0.39500000000000002</v>
      </c>
      <c r="O3854" t="s">
        <v>16</v>
      </c>
      <c r="Q3854">
        <v>1</v>
      </c>
      <c r="R3854">
        <v>0</v>
      </c>
      <c r="S3854" s="2">
        <v>30500</v>
      </c>
      <c r="T3854" s="4">
        <v>0.1242</v>
      </c>
      <c r="U3854">
        <v>4</v>
      </c>
      <c r="V3854">
        <v>0</v>
      </c>
      <c r="W3854">
        <v>1</v>
      </c>
    </row>
    <row r="3855" spans="1:23" ht="16.5" x14ac:dyDescent="0.3">
      <c r="A3855" t="s">
        <v>3919</v>
      </c>
      <c r="B3855" s="1">
        <v>45847</v>
      </c>
      <c r="C3855">
        <v>2025</v>
      </c>
      <c r="D3855" t="s">
        <v>1255</v>
      </c>
      <c r="E3855" t="s">
        <v>1256</v>
      </c>
      <c r="F3855" t="s">
        <v>37</v>
      </c>
      <c r="G3855" t="s">
        <v>51</v>
      </c>
      <c r="H3855" t="s">
        <v>55</v>
      </c>
      <c r="I3855" t="s">
        <v>29</v>
      </c>
      <c r="J3855" t="s">
        <v>52</v>
      </c>
      <c r="K3855" s="2">
        <v>2800</v>
      </c>
      <c r="L3855" s="2">
        <v>20500</v>
      </c>
      <c r="M3855">
        <v>36</v>
      </c>
      <c r="N3855" s="3">
        <v>0.40899999999999997</v>
      </c>
      <c r="O3855" t="s">
        <v>16</v>
      </c>
      <c r="Q3855">
        <v>1</v>
      </c>
      <c r="R3855">
        <v>0</v>
      </c>
      <c r="S3855" s="2">
        <v>16500</v>
      </c>
      <c r="T3855" s="4">
        <v>0.1179</v>
      </c>
      <c r="U3855">
        <v>4</v>
      </c>
      <c r="V3855">
        <v>0</v>
      </c>
      <c r="W3855">
        <v>1</v>
      </c>
    </row>
    <row r="3856" spans="1:23" ht="16.5" x14ac:dyDescent="0.3">
      <c r="A3856" t="s">
        <v>3920</v>
      </c>
      <c r="B3856" s="1">
        <v>45847</v>
      </c>
      <c r="C3856">
        <v>2025</v>
      </c>
      <c r="D3856" t="s">
        <v>1255</v>
      </c>
      <c r="E3856" t="s">
        <v>1256</v>
      </c>
      <c r="F3856" t="s">
        <v>37</v>
      </c>
      <c r="G3856" t="s">
        <v>27</v>
      </c>
      <c r="H3856" t="s">
        <v>38</v>
      </c>
      <c r="I3856" t="s">
        <v>42</v>
      </c>
      <c r="J3856" t="s">
        <v>35</v>
      </c>
      <c r="K3856" s="2">
        <v>4550</v>
      </c>
      <c r="L3856" s="2">
        <v>13500</v>
      </c>
      <c r="M3856">
        <v>48</v>
      </c>
      <c r="N3856" s="3">
        <v>0.29299999999999998</v>
      </c>
      <c r="O3856" t="s">
        <v>17</v>
      </c>
      <c r="P3856" t="s">
        <v>65</v>
      </c>
      <c r="Q3856">
        <v>0</v>
      </c>
      <c r="R3856">
        <v>1</v>
      </c>
      <c r="S3856" s="2">
        <v>0</v>
      </c>
      <c r="T3856" s="4"/>
      <c r="U3856">
        <v>2</v>
      </c>
      <c r="V3856">
        <v>1</v>
      </c>
      <c r="W3856">
        <v>1</v>
      </c>
    </row>
    <row r="3857" spans="1:23" ht="16.5" x14ac:dyDescent="0.3">
      <c r="A3857" t="s">
        <v>3921</v>
      </c>
      <c r="B3857" s="1">
        <v>45848</v>
      </c>
      <c r="C3857">
        <v>2025</v>
      </c>
      <c r="D3857" t="s">
        <v>1255</v>
      </c>
      <c r="E3857" t="s">
        <v>1256</v>
      </c>
      <c r="F3857" t="s">
        <v>50</v>
      </c>
      <c r="G3857" t="s">
        <v>51</v>
      </c>
      <c r="H3857" t="s">
        <v>38</v>
      </c>
      <c r="I3857" t="s">
        <v>29</v>
      </c>
      <c r="J3857" t="s">
        <v>52</v>
      </c>
      <c r="K3857" s="2">
        <v>4600</v>
      </c>
      <c r="L3857" s="2">
        <v>333500</v>
      </c>
      <c r="M3857">
        <v>240</v>
      </c>
      <c r="N3857" s="3">
        <v>0.67600000000000005</v>
      </c>
      <c r="O3857" t="s">
        <v>16</v>
      </c>
      <c r="Q3857">
        <v>1</v>
      </c>
      <c r="R3857">
        <v>0</v>
      </c>
      <c r="S3857" s="2">
        <v>267000</v>
      </c>
      <c r="T3857" s="4">
        <v>5.1400000000000001E-2</v>
      </c>
      <c r="U3857">
        <v>26</v>
      </c>
      <c r="V3857">
        <v>0</v>
      </c>
      <c r="W3857">
        <v>1</v>
      </c>
    </row>
    <row r="3858" spans="1:23" ht="16.5" x14ac:dyDescent="0.3">
      <c r="A3858" t="s">
        <v>3922</v>
      </c>
      <c r="B3858" s="1">
        <v>45848</v>
      </c>
      <c r="C3858">
        <v>2025</v>
      </c>
      <c r="D3858" t="s">
        <v>1255</v>
      </c>
      <c r="E3858" t="s">
        <v>1256</v>
      </c>
      <c r="F3858" t="s">
        <v>37</v>
      </c>
      <c r="G3858" t="s">
        <v>45</v>
      </c>
      <c r="H3858" t="s">
        <v>64</v>
      </c>
      <c r="I3858" t="s">
        <v>29</v>
      </c>
      <c r="J3858" t="s">
        <v>52</v>
      </c>
      <c r="K3858" s="2">
        <v>3000</v>
      </c>
      <c r="L3858" s="2">
        <v>9000</v>
      </c>
      <c r="M3858">
        <v>36</v>
      </c>
      <c r="N3858" s="3">
        <v>0.33100000000000002</v>
      </c>
      <c r="O3858" t="s">
        <v>16</v>
      </c>
      <c r="Q3858">
        <v>1</v>
      </c>
      <c r="R3858">
        <v>0</v>
      </c>
      <c r="S3858" s="2">
        <v>9000</v>
      </c>
      <c r="T3858" s="4">
        <v>0.1139</v>
      </c>
      <c r="U3858">
        <v>4</v>
      </c>
      <c r="V3858">
        <v>0</v>
      </c>
      <c r="W3858">
        <v>1</v>
      </c>
    </row>
    <row r="3859" spans="1:23" ht="16.5" x14ac:dyDescent="0.3">
      <c r="A3859" t="s">
        <v>3923</v>
      </c>
      <c r="B3859" s="1">
        <v>45848</v>
      </c>
      <c r="C3859">
        <v>2025</v>
      </c>
      <c r="D3859" t="s">
        <v>1255</v>
      </c>
      <c r="E3859" t="s">
        <v>1256</v>
      </c>
      <c r="F3859" t="s">
        <v>50</v>
      </c>
      <c r="G3859" t="s">
        <v>27</v>
      </c>
      <c r="H3859" t="s">
        <v>34</v>
      </c>
      <c r="I3859" t="s">
        <v>29</v>
      </c>
      <c r="J3859" t="s">
        <v>43</v>
      </c>
      <c r="K3859" s="2">
        <v>8850</v>
      </c>
      <c r="L3859" s="2">
        <v>771500</v>
      </c>
      <c r="M3859">
        <v>240</v>
      </c>
      <c r="N3859" s="3">
        <v>0.77800000000000002</v>
      </c>
      <c r="O3859" t="s">
        <v>17</v>
      </c>
      <c r="P3859" t="s">
        <v>31</v>
      </c>
      <c r="Q3859">
        <v>0</v>
      </c>
      <c r="R3859">
        <v>1</v>
      </c>
      <c r="S3859" s="2">
        <v>0</v>
      </c>
      <c r="T3859" s="4"/>
      <c r="U3859">
        <v>8</v>
      </c>
      <c r="V3859">
        <v>1</v>
      </c>
      <c r="W3859">
        <v>1</v>
      </c>
    </row>
    <row r="3860" spans="1:23" ht="16.5" x14ac:dyDescent="0.3">
      <c r="A3860" t="s">
        <v>3924</v>
      </c>
      <c r="B3860" s="1">
        <v>45848</v>
      </c>
      <c r="C3860">
        <v>2025</v>
      </c>
      <c r="D3860" t="s">
        <v>1255</v>
      </c>
      <c r="E3860" t="s">
        <v>1256</v>
      </c>
      <c r="F3860" t="s">
        <v>37</v>
      </c>
      <c r="G3860" t="s">
        <v>27</v>
      </c>
      <c r="H3860" t="s">
        <v>64</v>
      </c>
      <c r="I3860" t="s">
        <v>29</v>
      </c>
      <c r="J3860" t="s">
        <v>30</v>
      </c>
      <c r="K3860" s="2">
        <v>5300</v>
      </c>
      <c r="L3860" s="2">
        <v>25000</v>
      </c>
      <c r="M3860">
        <v>60</v>
      </c>
      <c r="N3860" s="3">
        <v>0.214</v>
      </c>
      <c r="O3860" t="s">
        <v>16</v>
      </c>
      <c r="Q3860">
        <v>1</v>
      </c>
      <c r="R3860">
        <v>0</v>
      </c>
      <c r="S3860" s="2">
        <v>20000</v>
      </c>
      <c r="T3860" s="4">
        <v>0.14299999999999999</v>
      </c>
      <c r="U3860">
        <v>5</v>
      </c>
      <c r="V3860">
        <v>0</v>
      </c>
      <c r="W3860">
        <v>1</v>
      </c>
    </row>
    <row r="3861" spans="1:23" ht="16.5" x14ac:dyDescent="0.3">
      <c r="A3861" t="s">
        <v>3925</v>
      </c>
      <c r="B3861" s="1">
        <v>45848</v>
      </c>
      <c r="C3861">
        <v>2025</v>
      </c>
      <c r="D3861" t="s">
        <v>1255</v>
      </c>
      <c r="E3861" t="s">
        <v>1256</v>
      </c>
      <c r="F3861" t="s">
        <v>50</v>
      </c>
      <c r="G3861" t="s">
        <v>33</v>
      </c>
      <c r="H3861" t="s">
        <v>64</v>
      </c>
      <c r="I3861" t="s">
        <v>42</v>
      </c>
      <c r="J3861" t="s">
        <v>30</v>
      </c>
      <c r="K3861" s="2">
        <v>5550</v>
      </c>
      <c r="L3861" s="2">
        <v>138500</v>
      </c>
      <c r="M3861">
        <v>180</v>
      </c>
      <c r="N3861" s="3">
        <v>0.35599999999999998</v>
      </c>
      <c r="O3861" t="s">
        <v>16</v>
      </c>
      <c r="Q3861">
        <v>1</v>
      </c>
      <c r="R3861">
        <v>0</v>
      </c>
      <c r="S3861" s="2">
        <v>138500</v>
      </c>
      <c r="T3861" s="4">
        <v>7.7700000000000005E-2</v>
      </c>
      <c r="U3861">
        <v>5</v>
      </c>
      <c r="V3861">
        <v>1</v>
      </c>
      <c r="W3861">
        <v>1</v>
      </c>
    </row>
    <row r="3862" spans="1:23" ht="16.5" x14ac:dyDescent="0.3">
      <c r="A3862" t="s">
        <v>3926</v>
      </c>
      <c r="B3862" s="1">
        <v>45848</v>
      </c>
      <c r="C3862">
        <v>2025</v>
      </c>
      <c r="D3862" t="s">
        <v>1255</v>
      </c>
      <c r="E3862" t="s">
        <v>1256</v>
      </c>
      <c r="F3862" t="s">
        <v>37</v>
      </c>
      <c r="G3862" t="s">
        <v>27</v>
      </c>
      <c r="H3862" t="s">
        <v>38</v>
      </c>
      <c r="I3862" t="s">
        <v>29</v>
      </c>
      <c r="J3862" t="s">
        <v>43</v>
      </c>
      <c r="K3862" s="2">
        <v>10750</v>
      </c>
      <c r="L3862" s="2">
        <v>6500</v>
      </c>
      <c r="M3862">
        <v>36</v>
      </c>
      <c r="N3862" s="3">
        <v>0.115</v>
      </c>
      <c r="O3862" t="s">
        <v>17</v>
      </c>
      <c r="P3862" t="s">
        <v>60</v>
      </c>
      <c r="Q3862">
        <v>0</v>
      </c>
      <c r="R3862">
        <v>1</v>
      </c>
      <c r="S3862" s="2">
        <v>0</v>
      </c>
      <c r="T3862" s="4"/>
      <c r="U3862">
        <v>8</v>
      </c>
      <c r="V3862">
        <v>0</v>
      </c>
      <c r="W3862">
        <v>1</v>
      </c>
    </row>
    <row r="3863" spans="1:23" ht="16.5" x14ac:dyDescent="0.3">
      <c r="A3863" t="s">
        <v>3927</v>
      </c>
      <c r="B3863" s="1">
        <v>45848</v>
      </c>
      <c r="C3863">
        <v>2025</v>
      </c>
      <c r="D3863" t="s">
        <v>1255</v>
      </c>
      <c r="E3863" t="s">
        <v>1256</v>
      </c>
      <c r="F3863" t="s">
        <v>26</v>
      </c>
      <c r="G3863" t="s">
        <v>45</v>
      </c>
      <c r="H3863" t="s">
        <v>38</v>
      </c>
      <c r="I3863" t="s">
        <v>29</v>
      </c>
      <c r="J3863" t="s">
        <v>30</v>
      </c>
      <c r="K3863" s="2">
        <v>6600</v>
      </c>
      <c r="L3863" s="2">
        <v>24500</v>
      </c>
      <c r="M3863">
        <v>48</v>
      </c>
      <c r="N3863" s="3">
        <v>0.187</v>
      </c>
      <c r="O3863" t="s">
        <v>16</v>
      </c>
      <c r="Q3863">
        <v>1</v>
      </c>
      <c r="R3863">
        <v>0</v>
      </c>
      <c r="S3863" s="2">
        <v>22000</v>
      </c>
      <c r="T3863" s="4">
        <v>9.3799999999999994E-2</v>
      </c>
      <c r="U3863">
        <v>1</v>
      </c>
      <c r="V3863">
        <v>1</v>
      </c>
      <c r="W3863">
        <v>1</v>
      </c>
    </row>
    <row r="3864" spans="1:23" ht="16.5" x14ac:dyDescent="0.3">
      <c r="A3864" t="s">
        <v>3928</v>
      </c>
      <c r="B3864" s="1">
        <v>45848</v>
      </c>
      <c r="C3864">
        <v>2025</v>
      </c>
      <c r="D3864" t="s">
        <v>1255</v>
      </c>
      <c r="E3864" t="s">
        <v>1256</v>
      </c>
      <c r="F3864" t="s">
        <v>37</v>
      </c>
      <c r="G3864" t="s">
        <v>51</v>
      </c>
      <c r="H3864" t="s">
        <v>38</v>
      </c>
      <c r="I3864" t="s">
        <v>29</v>
      </c>
      <c r="J3864" t="s">
        <v>52</v>
      </c>
      <c r="K3864" s="2">
        <v>4050</v>
      </c>
      <c r="L3864" s="2">
        <v>13500</v>
      </c>
      <c r="M3864">
        <v>24</v>
      </c>
      <c r="N3864" s="3">
        <v>0.315</v>
      </c>
      <c r="O3864" t="s">
        <v>16</v>
      </c>
      <c r="Q3864">
        <v>1</v>
      </c>
      <c r="R3864">
        <v>0</v>
      </c>
      <c r="S3864" s="2">
        <v>13500</v>
      </c>
      <c r="T3864" s="4">
        <v>0.1153</v>
      </c>
      <c r="U3864">
        <v>3</v>
      </c>
      <c r="V3864">
        <v>1</v>
      </c>
      <c r="W3864">
        <v>1</v>
      </c>
    </row>
    <row r="3865" spans="1:23" ht="16.5" x14ac:dyDescent="0.3">
      <c r="A3865" t="s">
        <v>3929</v>
      </c>
      <c r="B3865" s="1">
        <v>45848</v>
      </c>
      <c r="C3865">
        <v>2025</v>
      </c>
      <c r="D3865" t="s">
        <v>1255</v>
      </c>
      <c r="E3865" t="s">
        <v>1256</v>
      </c>
      <c r="F3865" t="s">
        <v>37</v>
      </c>
      <c r="G3865" t="s">
        <v>51</v>
      </c>
      <c r="H3865" t="s">
        <v>55</v>
      </c>
      <c r="I3865" t="s">
        <v>29</v>
      </c>
      <c r="J3865" t="s">
        <v>35</v>
      </c>
      <c r="K3865" s="2">
        <v>8350</v>
      </c>
      <c r="L3865" s="2">
        <v>12500</v>
      </c>
      <c r="M3865">
        <v>24</v>
      </c>
      <c r="N3865" s="3">
        <v>0.28299999999999997</v>
      </c>
      <c r="O3865" t="s">
        <v>16</v>
      </c>
      <c r="Q3865">
        <v>1</v>
      </c>
      <c r="R3865">
        <v>0</v>
      </c>
      <c r="S3865" s="2">
        <v>12500</v>
      </c>
      <c r="T3865" s="4">
        <v>0.11990000000000001</v>
      </c>
      <c r="U3865">
        <v>5</v>
      </c>
      <c r="V3865">
        <v>0</v>
      </c>
      <c r="W3865">
        <v>1</v>
      </c>
    </row>
    <row r="3866" spans="1:23" ht="16.5" x14ac:dyDescent="0.3">
      <c r="A3866" t="s">
        <v>3930</v>
      </c>
      <c r="B3866" s="1">
        <v>45848</v>
      </c>
      <c r="C3866">
        <v>2025</v>
      </c>
      <c r="D3866" t="s">
        <v>1255</v>
      </c>
      <c r="E3866" t="s">
        <v>1256</v>
      </c>
      <c r="F3866" t="s">
        <v>41</v>
      </c>
      <c r="G3866" t="s">
        <v>51</v>
      </c>
      <c r="H3866" t="s">
        <v>34</v>
      </c>
      <c r="I3866" t="s">
        <v>39</v>
      </c>
      <c r="J3866" t="s">
        <v>35</v>
      </c>
      <c r="K3866" s="2">
        <v>4900</v>
      </c>
      <c r="L3866" s="2">
        <v>113000</v>
      </c>
      <c r="M3866">
        <v>60</v>
      </c>
      <c r="N3866" s="3">
        <v>0.56799999999999995</v>
      </c>
      <c r="O3866" t="s">
        <v>17</v>
      </c>
      <c r="P3866" t="s">
        <v>53</v>
      </c>
      <c r="Q3866">
        <v>0</v>
      </c>
      <c r="R3866">
        <v>1</v>
      </c>
      <c r="S3866" s="2">
        <v>0</v>
      </c>
      <c r="T3866" s="4"/>
      <c r="U3866">
        <v>6</v>
      </c>
      <c r="V3866">
        <v>1</v>
      </c>
      <c r="W3866">
        <v>1</v>
      </c>
    </row>
    <row r="3867" spans="1:23" ht="16.5" x14ac:dyDescent="0.3">
      <c r="A3867" t="s">
        <v>3931</v>
      </c>
      <c r="B3867" s="1">
        <v>45849</v>
      </c>
      <c r="C3867">
        <v>2025</v>
      </c>
      <c r="D3867" t="s">
        <v>1255</v>
      </c>
      <c r="E3867" t="s">
        <v>1256</v>
      </c>
      <c r="F3867" t="s">
        <v>41</v>
      </c>
      <c r="G3867" t="s">
        <v>33</v>
      </c>
      <c r="H3867" t="s">
        <v>55</v>
      </c>
      <c r="I3867" t="s">
        <v>39</v>
      </c>
      <c r="J3867" t="s">
        <v>43</v>
      </c>
      <c r="K3867" s="2">
        <v>3750</v>
      </c>
      <c r="L3867" s="2">
        <v>96000</v>
      </c>
      <c r="M3867">
        <v>12</v>
      </c>
      <c r="N3867" s="3">
        <v>2.4380000000000002</v>
      </c>
      <c r="O3867" t="s">
        <v>17</v>
      </c>
      <c r="P3867" t="s">
        <v>31</v>
      </c>
      <c r="Q3867">
        <v>0</v>
      </c>
      <c r="R3867">
        <v>1</v>
      </c>
      <c r="S3867" s="2">
        <v>0</v>
      </c>
      <c r="T3867" s="4"/>
      <c r="U3867">
        <v>6</v>
      </c>
      <c r="V3867">
        <v>1</v>
      </c>
      <c r="W3867">
        <v>1</v>
      </c>
    </row>
    <row r="3868" spans="1:23" ht="16.5" x14ac:dyDescent="0.3">
      <c r="A3868" t="s">
        <v>3932</v>
      </c>
      <c r="B3868" s="1">
        <v>45849</v>
      </c>
      <c r="C3868">
        <v>2025</v>
      </c>
      <c r="D3868" t="s">
        <v>1255</v>
      </c>
      <c r="E3868" t="s">
        <v>1256</v>
      </c>
      <c r="F3868" t="s">
        <v>26</v>
      </c>
      <c r="G3868" t="s">
        <v>45</v>
      </c>
      <c r="H3868" t="s">
        <v>34</v>
      </c>
      <c r="I3868" t="s">
        <v>39</v>
      </c>
      <c r="J3868" t="s">
        <v>52</v>
      </c>
      <c r="K3868" s="2">
        <v>7600</v>
      </c>
      <c r="L3868" s="2">
        <v>31000</v>
      </c>
      <c r="M3868">
        <v>36</v>
      </c>
      <c r="N3868" s="3">
        <v>0.32400000000000001</v>
      </c>
      <c r="O3868" t="s">
        <v>16</v>
      </c>
      <c r="Q3868">
        <v>1</v>
      </c>
      <c r="R3868">
        <v>0</v>
      </c>
      <c r="S3868" s="2">
        <v>31000</v>
      </c>
      <c r="T3868" s="4">
        <v>6.8500000000000005E-2</v>
      </c>
      <c r="U3868">
        <v>3</v>
      </c>
      <c r="V3868">
        <v>1</v>
      </c>
      <c r="W3868">
        <v>1</v>
      </c>
    </row>
    <row r="3869" spans="1:23" ht="16.5" x14ac:dyDescent="0.3">
      <c r="A3869" t="s">
        <v>3933</v>
      </c>
      <c r="B3869" s="1">
        <v>45849</v>
      </c>
      <c r="C3869">
        <v>2025</v>
      </c>
      <c r="D3869" t="s">
        <v>1255</v>
      </c>
      <c r="E3869" t="s">
        <v>1256</v>
      </c>
      <c r="F3869" t="s">
        <v>37</v>
      </c>
      <c r="G3869" t="s">
        <v>45</v>
      </c>
      <c r="H3869" t="s">
        <v>34</v>
      </c>
      <c r="I3869" t="s">
        <v>42</v>
      </c>
      <c r="J3869" t="s">
        <v>30</v>
      </c>
      <c r="K3869" s="2">
        <v>5850</v>
      </c>
      <c r="L3869" s="2">
        <v>12000</v>
      </c>
      <c r="M3869">
        <v>48</v>
      </c>
      <c r="N3869" s="3">
        <v>0.248</v>
      </c>
      <c r="O3869" t="s">
        <v>16</v>
      </c>
      <c r="Q3869">
        <v>1</v>
      </c>
      <c r="R3869">
        <v>0</v>
      </c>
      <c r="S3869" s="2">
        <v>12000</v>
      </c>
      <c r="T3869" s="4">
        <v>0.1421</v>
      </c>
      <c r="U3869">
        <v>2</v>
      </c>
      <c r="V3869">
        <v>1</v>
      </c>
      <c r="W3869">
        <v>1</v>
      </c>
    </row>
    <row r="3870" spans="1:23" ht="16.5" x14ac:dyDescent="0.3">
      <c r="A3870" t="s">
        <v>3934</v>
      </c>
      <c r="B3870" s="1">
        <v>45849</v>
      </c>
      <c r="C3870">
        <v>2025</v>
      </c>
      <c r="D3870" t="s">
        <v>1255</v>
      </c>
      <c r="E3870" t="s">
        <v>1256</v>
      </c>
      <c r="F3870" t="s">
        <v>50</v>
      </c>
      <c r="G3870" t="s">
        <v>45</v>
      </c>
      <c r="H3870" t="s">
        <v>38</v>
      </c>
      <c r="I3870" t="s">
        <v>29</v>
      </c>
      <c r="J3870" t="s">
        <v>35</v>
      </c>
      <c r="K3870" s="2">
        <v>5400</v>
      </c>
      <c r="L3870" s="2">
        <v>166500</v>
      </c>
      <c r="M3870">
        <v>180</v>
      </c>
      <c r="N3870" s="3">
        <v>0.41599999999999998</v>
      </c>
      <c r="O3870" t="s">
        <v>17</v>
      </c>
      <c r="P3870" t="s">
        <v>60</v>
      </c>
      <c r="Q3870">
        <v>0</v>
      </c>
      <c r="R3870">
        <v>1</v>
      </c>
      <c r="S3870" s="2">
        <v>0</v>
      </c>
      <c r="T3870" s="4"/>
      <c r="U3870">
        <v>10</v>
      </c>
      <c r="V3870">
        <v>1</v>
      </c>
      <c r="W3870">
        <v>1</v>
      </c>
    </row>
    <row r="3871" spans="1:23" ht="16.5" x14ac:dyDescent="0.3">
      <c r="A3871" t="s">
        <v>3935</v>
      </c>
      <c r="B3871" s="1">
        <v>45849</v>
      </c>
      <c r="C3871">
        <v>2025</v>
      </c>
      <c r="D3871" t="s">
        <v>1255</v>
      </c>
      <c r="E3871" t="s">
        <v>1256</v>
      </c>
      <c r="F3871" t="s">
        <v>41</v>
      </c>
      <c r="G3871" t="s">
        <v>45</v>
      </c>
      <c r="H3871" t="s">
        <v>38</v>
      </c>
      <c r="I3871" t="s">
        <v>39</v>
      </c>
      <c r="J3871" t="s">
        <v>35</v>
      </c>
      <c r="K3871" s="2">
        <v>9900</v>
      </c>
      <c r="L3871" s="2">
        <v>111500</v>
      </c>
      <c r="M3871">
        <v>24</v>
      </c>
      <c r="N3871" s="3">
        <v>0.59499999999999997</v>
      </c>
      <c r="O3871" t="s">
        <v>16</v>
      </c>
      <c r="Q3871">
        <v>1</v>
      </c>
      <c r="R3871">
        <v>0</v>
      </c>
      <c r="S3871" s="2">
        <v>111500</v>
      </c>
      <c r="T3871" s="4">
        <v>0.1028</v>
      </c>
      <c r="U3871">
        <v>5</v>
      </c>
      <c r="V3871">
        <v>1</v>
      </c>
      <c r="W3871">
        <v>1</v>
      </c>
    </row>
    <row r="3872" spans="1:23" ht="16.5" x14ac:dyDescent="0.3">
      <c r="A3872" t="s">
        <v>3936</v>
      </c>
      <c r="B3872" s="1">
        <v>45850</v>
      </c>
      <c r="C3872">
        <v>2025</v>
      </c>
      <c r="D3872" t="s">
        <v>1255</v>
      </c>
      <c r="E3872" t="s">
        <v>1256</v>
      </c>
      <c r="F3872" t="s">
        <v>37</v>
      </c>
      <c r="G3872" t="s">
        <v>45</v>
      </c>
      <c r="H3872" t="s">
        <v>28</v>
      </c>
      <c r="I3872" t="s">
        <v>42</v>
      </c>
      <c r="J3872" t="s">
        <v>30</v>
      </c>
      <c r="K3872" s="2">
        <v>8150</v>
      </c>
      <c r="L3872" s="2">
        <v>14000</v>
      </c>
      <c r="M3872">
        <v>36</v>
      </c>
      <c r="N3872" s="3">
        <v>0.23</v>
      </c>
      <c r="O3872" t="s">
        <v>17</v>
      </c>
      <c r="P3872" t="s">
        <v>31</v>
      </c>
      <c r="Q3872">
        <v>0</v>
      </c>
      <c r="R3872">
        <v>1</v>
      </c>
      <c r="S3872" s="2">
        <v>0</v>
      </c>
      <c r="T3872" s="4"/>
      <c r="U3872">
        <v>3</v>
      </c>
      <c r="V3872">
        <v>1</v>
      </c>
      <c r="W3872">
        <v>1</v>
      </c>
    </row>
    <row r="3873" spans="1:23" ht="16.5" x14ac:dyDescent="0.3">
      <c r="A3873" t="s">
        <v>3937</v>
      </c>
      <c r="B3873" s="1">
        <v>45850</v>
      </c>
      <c r="C3873">
        <v>2025</v>
      </c>
      <c r="D3873" t="s">
        <v>1255</v>
      </c>
      <c r="E3873" t="s">
        <v>1256</v>
      </c>
      <c r="F3873" t="s">
        <v>37</v>
      </c>
      <c r="G3873" t="s">
        <v>27</v>
      </c>
      <c r="H3873" t="s">
        <v>38</v>
      </c>
      <c r="I3873" t="s">
        <v>42</v>
      </c>
      <c r="J3873" t="s">
        <v>35</v>
      </c>
      <c r="K3873" s="2">
        <v>6500</v>
      </c>
      <c r="L3873" s="2">
        <v>10000</v>
      </c>
      <c r="M3873">
        <v>48</v>
      </c>
      <c r="N3873" s="3">
        <v>0.216</v>
      </c>
      <c r="O3873" t="s">
        <v>125</v>
      </c>
      <c r="Q3873">
        <v>0</v>
      </c>
      <c r="R3873">
        <v>0</v>
      </c>
      <c r="S3873" s="2">
        <v>0</v>
      </c>
      <c r="T3873" s="4"/>
      <c r="U3873">
        <v>8</v>
      </c>
      <c r="V3873">
        <v>0</v>
      </c>
      <c r="W3873">
        <v>1</v>
      </c>
    </row>
    <row r="3874" spans="1:23" ht="16.5" x14ac:dyDescent="0.3">
      <c r="A3874" t="s">
        <v>3938</v>
      </c>
      <c r="B3874" s="1">
        <v>45850</v>
      </c>
      <c r="C3874">
        <v>2025</v>
      </c>
      <c r="D3874" t="s">
        <v>1255</v>
      </c>
      <c r="E3874" t="s">
        <v>1256</v>
      </c>
      <c r="F3874" t="s">
        <v>50</v>
      </c>
      <c r="G3874" t="s">
        <v>27</v>
      </c>
      <c r="H3874" t="s">
        <v>55</v>
      </c>
      <c r="I3874" t="s">
        <v>39</v>
      </c>
      <c r="J3874" t="s">
        <v>43</v>
      </c>
      <c r="K3874" s="2">
        <v>5150</v>
      </c>
      <c r="L3874" s="2">
        <v>137500</v>
      </c>
      <c r="M3874">
        <v>180</v>
      </c>
      <c r="N3874" s="3">
        <v>0.42099999999999999</v>
      </c>
      <c r="O3874" t="s">
        <v>17</v>
      </c>
      <c r="P3874" t="s">
        <v>60</v>
      </c>
      <c r="Q3874">
        <v>0</v>
      </c>
      <c r="R3874">
        <v>1</v>
      </c>
      <c r="S3874" s="2">
        <v>0</v>
      </c>
      <c r="T3874" s="4"/>
      <c r="U3874">
        <v>16</v>
      </c>
      <c r="V3874">
        <v>0</v>
      </c>
      <c r="W3874">
        <v>1</v>
      </c>
    </row>
    <row r="3875" spans="1:23" ht="16.5" x14ac:dyDescent="0.3">
      <c r="A3875" t="s">
        <v>3939</v>
      </c>
      <c r="B3875" s="1">
        <v>45850</v>
      </c>
      <c r="C3875">
        <v>2025</v>
      </c>
      <c r="D3875" t="s">
        <v>1255</v>
      </c>
      <c r="E3875" t="s">
        <v>1256</v>
      </c>
      <c r="F3875" t="s">
        <v>37</v>
      </c>
      <c r="G3875" t="s">
        <v>45</v>
      </c>
      <c r="H3875" t="s">
        <v>55</v>
      </c>
      <c r="I3875" t="s">
        <v>39</v>
      </c>
      <c r="J3875" t="s">
        <v>30</v>
      </c>
      <c r="K3875" s="2">
        <v>3750</v>
      </c>
      <c r="L3875" s="2">
        <v>15500</v>
      </c>
      <c r="M3875">
        <v>60</v>
      </c>
      <c r="N3875" s="3">
        <v>0.33700000000000002</v>
      </c>
      <c r="O3875" t="s">
        <v>16</v>
      </c>
      <c r="Q3875">
        <v>1</v>
      </c>
      <c r="R3875">
        <v>0</v>
      </c>
      <c r="S3875" s="2">
        <v>15500</v>
      </c>
      <c r="T3875" s="4">
        <v>0.14149999999999999</v>
      </c>
      <c r="U3875">
        <v>1</v>
      </c>
      <c r="V3875">
        <v>1</v>
      </c>
      <c r="W3875">
        <v>1</v>
      </c>
    </row>
    <row r="3876" spans="1:23" ht="16.5" x14ac:dyDescent="0.3">
      <c r="A3876" t="s">
        <v>3940</v>
      </c>
      <c r="B3876" s="1">
        <v>45850</v>
      </c>
      <c r="C3876">
        <v>2025</v>
      </c>
      <c r="D3876" t="s">
        <v>1255</v>
      </c>
      <c r="E3876" t="s">
        <v>1256</v>
      </c>
      <c r="F3876" t="s">
        <v>50</v>
      </c>
      <c r="G3876" t="s">
        <v>51</v>
      </c>
      <c r="H3876" t="s">
        <v>55</v>
      </c>
      <c r="I3876" t="s">
        <v>29</v>
      </c>
      <c r="J3876" t="s">
        <v>30</v>
      </c>
      <c r="K3876" s="2">
        <v>5050</v>
      </c>
      <c r="L3876" s="2">
        <v>182000</v>
      </c>
      <c r="M3876">
        <v>180</v>
      </c>
      <c r="N3876" s="3">
        <v>0.49399999999999999</v>
      </c>
      <c r="O3876" t="s">
        <v>17</v>
      </c>
      <c r="P3876" t="s">
        <v>53</v>
      </c>
      <c r="Q3876">
        <v>0</v>
      </c>
      <c r="R3876">
        <v>1</v>
      </c>
      <c r="S3876" s="2">
        <v>0</v>
      </c>
      <c r="T3876" s="4"/>
      <c r="U3876">
        <v>13</v>
      </c>
      <c r="V3876">
        <v>1</v>
      </c>
      <c r="W3876">
        <v>1</v>
      </c>
    </row>
    <row r="3877" spans="1:23" ht="16.5" x14ac:dyDescent="0.3">
      <c r="A3877" t="s">
        <v>3941</v>
      </c>
      <c r="B3877" s="1">
        <v>45850</v>
      </c>
      <c r="C3877">
        <v>2025</v>
      </c>
      <c r="D3877" t="s">
        <v>1255</v>
      </c>
      <c r="E3877" t="s">
        <v>1256</v>
      </c>
      <c r="F3877" t="s">
        <v>26</v>
      </c>
      <c r="G3877" t="s">
        <v>33</v>
      </c>
      <c r="H3877" t="s">
        <v>38</v>
      </c>
      <c r="I3877" t="s">
        <v>39</v>
      </c>
      <c r="J3877" t="s">
        <v>30</v>
      </c>
      <c r="K3877" s="2">
        <v>5550</v>
      </c>
      <c r="L3877" s="2">
        <v>25000</v>
      </c>
      <c r="M3877">
        <v>60</v>
      </c>
      <c r="N3877" s="3">
        <v>0.18</v>
      </c>
      <c r="O3877" t="s">
        <v>16</v>
      </c>
      <c r="Q3877">
        <v>1</v>
      </c>
      <c r="R3877">
        <v>0</v>
      </c>
      <c r="S3877" s="2">
        <v>25000</v>
      </c>
      <c r="T3877" s="4">
        <v>9.2200000000000004E-2</v>
      </c>
      <c r="U3877">
        <v>1</v>
      </c>
      <c r="V3877">
        <v>1</v>
      </c>
      <c r="W3877">
        <v>1</v>
      </c>
    </row>
    <row r="3878" spans="1:23" ht="16.5" x14ac:dyDescent="0.3">
      <c r="A3878" t="s">
        <v>3942</v>
      </c>
      <c r="B3878" s="1">
        <v>45851</v>
      </c>
      <c r="C3878">
        <v>2025</v>
      </c>
      <c r="D3878" t="s">
        <v>1255</v>
      </c>
      <c r="E3878" t="s">
        <v>1256</v>
      </c>
      <c r="F3878" t="s">
        <v>26</v>
      </c>
      <c r="G3878" t="s">
        <v>51</v>
      </c>
      <c r="H3878" t="s">
        <v>34</v>
      </c>
      <c r="I3878" t="s">
        <v>39</v>
      </c>
      <c r="J3878" t="s">
        <v>46</v>
      </c>
      <c r="K3878" s="2">
        <v>3300</v>
      </c>
      <c r="L3878" s="2">
        <v>15500</v>
      </c>
      <c r="M3878">
        <v>36</v>
      </c>
      <c r="N3878" s="3">
        <v>0.35499999999999998</v>
      </c>
      <c r="O3878" t="s">
        <v>16</v>
      </c>
      <c r="Q3878">
        <v>1</v>
      </c>
      <c r="R3878">
        <v>0</v>
      </c>
      <c r="S3878" s="2">
        <v>15500</v>
      </c>
      <c r="T3878" s="4">
        <v>6.6100000000000006E-2</v>
      </c>
      <c r="U3878">
        <v>7</v>
      </c>
      <c r="V3878">
        <v>0</v>
      </c>
      <c r="W3878">
        <v>1</v>
      </c>
    </row>
    <row r="3879" spans="1:23" ht="16.5" x14ac:dyDescent="0.3">
      <c r="A3879" t="s">
        <v>3943</v>
      </c>
      <c r="B3879" s="1">
        <v>45851</v>
      </c>
      <c r="C3879">
        <v>2025</v>
      </c>
      <c r="D3879" t="s">
        <v>1255</v>
      </c>
      <c r="E3879" t="s">
        <v>1256</v>
      </c>
      <c r="F3879" t="s">
        <v>41</v>
      </c>
      <c r="G3879" t="s">
        <v>51</v>
      </c>
      <c r="H3879" t="s">
        <v>38</v>
      </c>
      <c r="I3879" t="s">
        <v>39</v>
      </c>
      <c r="J3879" t="s">
        <v>35</v>
      </c>
      <c r="K3879" s="2">
        <v>6250</v>
      </c>
      <c r="L3879" s="2">
        <v>104500</v>
      </c>
      <c r="M3879">
        <v>60</v>
      </c>
      <c r="N3879" s="3">
        <v>0.6</v>
      </c>
      <c r="O3879" t="s">
        <v>16</v>
      </c>
      <c r="Q3879">
        <v>1</v>
      </c>
      <c r="R3879">
        <v>0</v>
      </c>
      <c r="S3879" s="2">
        <v>104500</v>
      </c>
      <c r="T3879" s="4">
        <v>0.1055</v>
      </c>
      <c r="U3879">
        <v>9</v>
      </c>
      <c r="V3879">
        <v>1</v>
      </c>
      <c r="W3879">
        <v>1</v>
      </c>
    </row>
    <row r="3880" spans="1:23" ht="16.5" x14ac:dyDescent="0.3">
      <c r="A3880" t="s">
        <v>3944</v>
      </c>
      <c r="B3880" s="1">
        <v>45851</v>
      </c>
      <c r="C3880">
        <v>2025</v>
      </c>
      <c r="D3880" t="s">
        <v>1255</v>
      </c>
      <c r="E3880" t="s">
        <v>1256</v>
      </c>
      <c r="F3880" t="s">
        <v>50</v>
      </c>
      <c r="G3880" t="s">
        <v>51</v>
      </c>
      <c r="H3880" t="s">
        <v>55</v>
      </c>
      <c r="I3880" t="s">
        <v>42</v>
      </c>
      <c r="J3880" t="s">
        <v>35</v>
      </c>
      <c r="K3880" s="2">
        <v>9200</v>
      </c>
      <c r="L3880" s="2">
        <v>269500</v>
      </c>
      <c r="M3880">
        <v>300</v>
      </c>
      <c r="N3880" s="3">
        <v>0.22900000000000001</v>
      </c>
      <c r="O3880" t="s">
        <v>16</v>
      </c>
      <c r="Q3880">
        <v>1</v>
      </c>
      <c r="R3880">
        <v>0</v>
      </c>
      <c r="S3880" s="2">
        <v>242500</v>
      </c>
      <c r="T3880" s="4">
        <v>5.8599999999999999E-2</v>
      </c>
      <c r="U3880">
        <v>14</v>
      </c>
      <c r="V3880">
        <v>1</v>
      </c>
      <c r="W3880">
        <v>1</v>
      </c>
    </row>
    <row r="3881" spans="1:23" ht="16.5" x14ac:dyDescent="0.3">
      <c r="A3881" t="s">
        <v>3945</v>
      </c>
      <c r="B3881" s="1">
        <v>45851</v>
      </c>
      <c r="C3881">
        <v>2025</v>
      </c>
      <c r="D3881" t="s">
        <v>1255</v>
      </c>
      <c r="E3881" t="s">
        <v>1256</v>
      </c>
      <c r="F3881" t="s">
        <v>26</v>
      </c>
      <c r="G3881" t="s">
        <v>33</v>
      </c>
      <c r="H3881" t="s">
        <v>34</v>
      </c>
      <c r="I3881" t="s">
        <v>42</v>
      </c>
      <c r="J3881" t="s">
        <v>52</v>
      </c>
      <c r="K3881" s="2">
        <v>6200</v>
      </c>
      <c r="L3881" s="2">
        <v>52000</v>
      </c>
      <c r="M3881">
        <v>36</v>
      </c>
      <c r="N3881" s="3">
        <v>0.38100000000000001</v>
      </c>
      <c r="O3881" t="s">
        <v>16</v>
      </c>
      <c r="Q3881">
        <v>1</v>
      </c>
      <c r="R3881">
        <v>0</v>
      </c>
      <c r="S3881" s="2">
        <v>41500</v>
      </c>
      <c r="T3881" s="4">
        <v>7.1400000000000005E-2</v>
      </c>
      <c r="U3881">
        <v>1</v>
      </c>
      <c r="V3881">
        <v>1</v>
      </c>
      <c r="W3881">
        <v>1</v>
      </c>
    </row>
    <row r="3882" spans="1:23" ht="16.5" x14ac:dyDescent="0.3">
      <c r="A3882" t="s">
        <v>3946</v>
      </c>
      <c r="B3882" s="1">
        <v>45851</v>
      </c>
      <c r="C3882">
        <v>2025</v>
      </c>
      <c r="D3882" t="s">
        <v>1255</v>
      </c>
      <c r="E3882" t="s">
        <v>1256</v>
      </c>
      <c r="F3882" t="s">
        <v>37</v>
      </c>
      <c r="G3882" t="s">
        <v>45</v>
      </c>
      <c r="H3882" t="s">
        <v>38</v>
      </c>
      <c r="I3882" t="s">
        <v>42</v>
      </c>
      <c r="J3882" t="s">
        <v>35</v>
      </c>
      <c r="K3882" s="2">
        <v>3750</v>
      </c>
      <c r="L3882" s="2">
        <v>23500</v>
      </c>
      <c r="M3882">
        <v>48</v>
      </c>
      <c r="N3882" s="3">
        <v>0.36599999999999999</v>
      </c>
      <c r="O3882" t="s">
        <v>17</v>
      </c>
      <c r="P3882" t="s">
        <v>65</v>
      </c>
      <c r="Q3882">
        <v>0</v>
      </c>
      <c r="R3882">
        <v>1</v>
      </c>
      <c r="S3882" s="2">
        <v>0</v>
      </c>
      <c r="T3882" s="4"/>
      <c r="U3882">
        <v>2</v>
      </c>
      <c r="V3882">
        <v>1</v>
      </c>
      <c r="W3882">
        <v>1</v>
      </c>
    </row>
    <row r="3883" spans="1:23" ht="16.5" x14ac:dyDescent="0.3">
      <c r="A3883" t="s">
        <v>3947</v>
      </c>
      <c r="B3883" s="1">
        <v>45851</v>
      </c>
      <c r="C3883">
        <v>2025</v>
      </c>
      <c r="D3883" t="s">
        <v>1255</v>
      </c>
      <c r="E3883" t="s">
        <v>1256</v>
      </c>
      <c r="F3883" t="s">
        <v>37</v>
      </c>
      <c r="G3883" t="s">
        <v>27</v>
      </c>
      <c r="H3883" t="s">
        <v>55</v>
      </c>
      <c r="I3883" t="s">
        <v>39</v>
      </c>
      <c r="J3883" t="s">
        <v>52</v>
      </c>
      <c r="K3883" s="2">
        <v>5950</v>
      </c>
      <c r="L3883" s="2">
        <v>9000</v>
      </c>
      <c r="M3883">
        <v>48</v>
      </c>
      <c r="N3883" s="3">
        <v>0.248</v>
      </c>
      <c r="O3883" t="s">
        <v>16</v>
      </c>
      <c r="Q3883">
        <v>1</v>
      </c>
      <c r="R3883">
        <v>0</v>
      </c>
      <c r="S3883" s="2">
        <v>8000</v>
      </c>
      <c r="T3883" s="4">
        <v>0.1159</v>
      </c>
      <c r="U3883">
        <v>3</v>
      </c>
      <c r="V3883">
        <v>1</v>
      </c>
      <c r="W3883">
        <v>1</v>
      </c>
    </row>
    <row r="3884" spans="1:23" ht="16.5" x14ac:dyDescent="0.3">
      <c r="A3884" t="s">
        <v>3948</v>
      </c>
      <c r="B3884" s="1">
        <v>45851</v>
      </c>
      <c r="C3884">
        <v>2025</v>
      </c>
      <c r="D3884" t="s">
        <v>1255</v>
      </c>
      <c r="E3884" t="s">
        <v>1256</v>
      </c>
      <c r="F3884" t="s">
        <v>37</v>
      </c>
      <c r="G3884" t="s">
        <v>45</v>
      </c>
      <c r="H3884" t="s">
        <v>38</v>
      </c>
      <c r="I3884" t="s">
        <v>29</v>
      </c>
      <c r="J3884" t="s">
        <v>52</v>
      </c>
      <c r="K3884" s="2">
        <v>5750</v>
      </c>
      <c r="L3884" s="2">
        <v>12000</v>
      </c>
      <c r="M3884">
        <v>12</v>
      </c>
      <c r="N3884" s="3">
        <v>0.25900000000000001</v>
      </c>
      <c r="O3884" t="s">
        <v>16</v>
      </c>
      <c r="Q3884">
        <v>1</v>
      </c>
      <c r="R3884">
        <v>0</v>
      </c>
      <c r="S3884" s="2">
        <v>12000</v>
      </c>
      <c r="T3884" s="4">
        <v>0.1153</v>
      </c>
      <c r="U3884">
        <v>3</v>
      </c>
      <c r="V3884">
        <v>1</v>
      </c>
      <c r="W3884">
        <v>1</v>
      </c>
    </row>
    <row r="3885" spans="1:23" ht="16.5" x14ac:dyDescent="0.3">
      <c r="A3885" t="s">
        <v>3949</v>
      </c>
      <c r="B3885" s="1">
        <v>45852</v>
      </c>
      <c r="C3885">
        <v>2025</v>
      </c>
      <c r="D3885" t="s">
        <v>1255</v>
      </c>
      <c r="E3885" t="s">
        <v>1256</v>
      </c>
      <c r="F3885" t="s">
        <v>37</v>
      </c>
      <c r="G3885" t="s">
        <v>51</v>
      </c>
      <c r="H3885" t="s">
        <v>34</v>
      </c>
      <c r="I3885" t="s">
        <v>29</v>
      </c>
      <c r="J3885" t="s">
        <v>52</v>
      </c>
      <c r="K3885" s="2">
        <v>6400</v>
      </c>
      <c r="L3885" s="2">
        <v>5500</v>
      </c>
      <c r="M3885">
        <v>48</v>
      </c>
      <c r="N3885" s="3">
        <v>0.26200000000000001</v>
      </c>
      <c r="O3885" t="s">
        <v>16</v>
      </c>
      <c r="Q3885">
        <v>1</v>
      </c>
      <c r="R3885">
        <v>0</v>
      </c>
      <c r="S3885" s="2">
        <v>5500</v>
      </c>
      <c r="T3885" s="4">
        <v>0.1153</v>
      </c>
      <c r="U3885">
        <v>4</v>
      </c>
      <c r="V3885">
        <v>0</v>
      </c>
      <c r="W3885">
        <v>1</v>
      </c>
    </row>
    <row r="3886" spans="1:23" ht="16.5" x14ac:dyDescent="0.3">
      <c r="A3886" t="s">
        <v>3950</v>
      </c>
      <c r="B3886" s="1">
        <v>45852</v>
      </c>
      <c r="C3886">
        <v>2025</v>
      </c>
      <c r="D3886" t="s">
        <v>1255</v>
      </c>
      <c r="E3886" t="s">
        <v>1256</v>
      </c>
      <c r="F3886" t="s">
        <v>37</v>
      </c>
      <c r="G3886" t="s">
        <v>51</v>
      </c>
      <c r="H3886" t="s">
        <v>34</v>
      </c>
      <c r="I3886" t="s">
        <v>29</v>
      </c>
      <c r="J3886" t="s">
        <v>52</v>
      </c>
      <c r="K3886" s="2">
        <v>7500</v>
      </c>
      <c r="L3886" s="2">
        <v>20500</v>
      </c>
      <c r="M3886">
        <v>24</v>
      </c>
      <c r="N3886" s="3">
        <v>0.223</v>
      </c>
      <c r="O3886" t="s">
        <v>16</v>
      </c>
      <c r="Q3886">
        <v>1</v>
      </c>
      <c r="R3886">
        <v>0</v>
      </c>
      <c r="S3886" s="2">
        <v>20500</v>
      </c>
      <c r="T3886" s="4">
        <v>0.11509999999999999</v>
      </c>
      <c r="U3886">
        <v>3</v>
      </c>
      <c r="V3886">
        <v>1</v>
      </c>
      <c r="W3886">
        <v>1</v>
      </c>
    </row>
    <row r="3887" spans="1:23" ht="16.5" x14ac:dyDescent="0.3">
      <c r="A3887" t="s">
        <v>3951</v>
      </c>
      <c r="B3887" s="1">
        <v>45852</v>
      </c>
      <c r="C3887">
        <v>2025</v>
      </c>
      <c r="D3887" t="s">
        <v>1255</v>
      </c>
      <c r="E3887" t="s">
        <v>1256</v>
      </c>
      <c r="F3887" t="s">
        <v>37</v>
      </c>
      <c r="G3887" t="s">
        <v>27</v>
      </c>
      <c r="H3887" t="s">
        <v>55</v>
      </c>
      <c r="I3887" t="s">
        <v>29</v>
      </c>
      <c r="J3887" t="s">
        <v>43</v>
      </c>
      <c r="K3887" s="2">
        <v>4800</v>
      </c>
      <c r="L3887" s="2">
        <v>14500</v>
      </c>
      <c r="M3887">
        <v>48</v>
      </c>
      <c r="N3887" s="3">
        <v>0.28000000000000003</v>
      </c>
      <c r="O3887" t="s">
        <v>17</v>
      </c>
      <c r="P3887" t="s">
        <v>31</v>
      </c>
      <c r="Q3887">
        <v>0</v>
      </c>
      <c r="R3887">
        <v>1</v>
      </c>
      <c r="S3887" s="2">
        <v>0</v>
      </c>
      <c r="T3887" s="4"/>
      <c r="U3887">
        <v>4</v>
      </c>
      <c r="V3887">
        <v>0</v>
      </c>
      <c r="W3887">
        <v>1</v>
      </c>
    </row>
    <row r="3888" spans="1:23" ht="16.5" x14ac:dyDescent="0.3">
      <c r="A3888" t="s">
        <v>3952</v>
      </c>
      <c r="B3888" s="1">
        <v>45852</v>
      </c>
      <c r="C3888">
        <v>2025</v>
      </c>
      <c r="D3888" t="s">
        <v>1255</v>
      </c>
      <c r="E3888" t="s">
        <v>1256</v>
      </c>
      <c r="F3888" t="s">
        <v>26</v>
      </c>
      <c r="G3888" t="s">
        <v>45</v>
      </c>
      <c r="H3888" t="s">
        <v>55</v>
      </c>
      <c r="I3888" t="s">
        <v>42</v>
      </c>
      <c r="J3888" t="s">
        <v>43</v>
      </c>
      <c r="K3888" s="2">
        <v>8150</v>
      </c>
      <c r="L3888" s="2">
        <v>36500</v>
      </c>
      <c r="M3888">
        <v>36</v>
      </c>
      <c r="N3888" s="3">
        <v>0.32300000000000001</v>
      </c>
      <c r="O3888" t="s">
        <v>17</v>
      </c>
      <c r="P3888" t="s">
        <v>31</v>
      </c>
      <c r="Q3888">
        <v>0</v>
      </c>
      <c r="R3888">
        <v>1</v>
      </c>
      <c r="S3888" s="2">
        <v>0</v>
      </c>
      <c r="T3888" s="4"/>
      <c r="U3888">
        <v>4</v>
      </c>
      <c r="V3888">
        <v>1</v>
      </c>
      <c r="W3888">
        <v>1</v>
      </c>
    </row>
    <row r="3889" spans="1:23" ht="16.5" x14ac:dyDescent="0.3">
      <c r="A3889" t="s">
        <v>3953</v>
      </c>
      <c r="B3889" s="1">
        <v>45852</v>
      </c>
      <c r="C3889">
        <v>2025</v>
      </c>
      <c r="D3889" t="s">
        <v>1255</v>
      </c>
      <c r="E3889" t="s">
        <v>1256</v>
      </c>
      <c r="F3889" t="s">
        <v>37</v>
      </c>
      <c r="G3889" t="s">
        <v>51</v>
      </c>
      <c r="H3889" t="s">
        <v>55</v>
      </c>
      <c r="I3889" t="s">
        <v>42</v>
      </c>
      <c r="J3889" t="s">
        <v>30</v>
      </c>
      <c r="K3889" s="2">
        <v>9050</v>
      </c>
      <c r="L3889" s="2">
        <v>19500</v>
      </c>
      <c r="M3889">
        <v>60</v>
      </c>
      <c r="N3889" s="3">
        <v>0.24399999999999999</v>
      </c>
      <c r="O3889" t="s">
        <v>17</v>
      </c>
      <c r="P3889" t="s">
        <v>65</v>
      </c>
      <c r="Q3889">
        <v>0</v>
      </c>
      <c r="R3889">
        <v>1</v>
      </c>
      <c r="S3889" s="2">
        <v>0</v>
      </c>
      <c r="T3889" s="4"/>
      <c r="U3889">
        <v>6</v>
      </c>
      <c r="V3889">
        <v>0</v>
      </c>
      <c r="W3889">
        <v>1</v>
      </c>
    </row>
    <row r="3890" spans="1:23" ht="16.5" x14ac:dyDescent="0.3">
      <c r="A3890" t="s">
        <v>3954</v>
      </c>
      <c r="B3890" s="1">
        <v>45852</v>
      </c>
      <c r="C3890">
        <v>2025</v>
      </c>
      <c r="D3890" t="s">
        <v>1255</v>
      </c>
      <c r="E3890" t="s">
        <v>1256</v>
      </c>
      <c r="F3890" t="s">
        <v>37</v>
      </c>
      <c r="G3890" t="s">
        <v>51</v>
      </c>
      <c r="H3890" t="s">
        <v>34</v>
      </c>
      <c r="I3890" t="s">
        <v>39</v>
      </c>
      <c r="J3890" t="s">
        <v>35</v>
      </c>
      <c r="K3890" s="2">
        <v>10300</v>
      </c>
      <c r="L3890" s="2">
        <v>7000</v>
      </c>
      <c r="M3890">
        <v>24</v>
      </c>
      <c r="N3890" s="3">
        <v>0.27</v>
      </c>
      <c r="O3890" t="s">
        <v>17</v>
      </c>
      <c r="P3890" t="s">
        <v>31</v>
      </c>
      <c r="Q3890">
        <v>0</v>
      </c>
      <c r="R3890">
        <v>1</v>
      </c>
      <c r="S3890" s="2">
        <v>0</v>
      </c>
      <c r="T3890" s="4"/>
      <c r="U3890">
        <v>4</v>
      </c>
      <c r="V3890">
        <v>0</v>
      </c>
      <c r="W3890">
        <v>1</v>
      </c>
    </row>
    <row r="3891" spans="1:23" ht="16.5" x14ac:dyDescent="0.3">
      <c r="A3891" t="s">
        <v>3955</v>
      </c>
      <c r="B3891" s="1">
        <v>45852</v>
      </c>
      <c r="C3891">
        <v>2025</v>
      </c>
      <c r="D3891" t="s">
        <v>1255</v>
      </c>
      <c r="E3891" t="s">
        <v>1256</v>
      </c>
      <c r="F3891" t="s">
        <v>50</v>
      </c>
      <c r="G3891" t="s">
        <v>33</v>
      </c>
      <c r="H3891" t="s">
        <v>64</v>
      </c>
      <c r="I3891" t="s">
        <v>42</v>
      </c>
      <c r="J3891" t="s">
        <v>52</v>
      </c>
      <c r="K3891" s="2">
        <v>7050</v>
      </c>
      <c r="L3891" s="2">
        <v>386000</v>
      </c>
      <c r="M3891">
        <v>240</v>
      </c>
      <c r="N3891" s="3">
        <v>0.46899999999999997</v>
      </c>
      <c r="O3891" t="s">
        <v>16</v>
      </c>
      <c r="Q3891">
        <v>1</v>
      </c>
      <c r="R3891">
        <v>0</v>
      </c>
      <c r="S3891" s="2">
        <v>386000</v>
      </c>
      <c r="T3891" s="4">
        <v>4.6199999999999998E-2</v>
      </c>
      <c r="U3891">
        <v>4</v>
      </c>
      <c r="V3891">
        <v>1</v>
      </c>
      <c r="W3891">
        <v>1</v>
      </c>
    </row>
    <row r="3892" spans="1:23" ht="16.5" x14ac:dyDescent="0.3">
      <c r="A3892" t="s">
        <v>3956</v>
      </c>
      <c r="B3892" s="1">
        <v>45853</v>
      </c>
      <c r="C3892">
        <v>2025</v>
      </c>
      <c r="D3892" t="s">
        <v>1255</v>
      </c>
      <c r="E3892" t="s">
        <v>1256</v>
      </c>
      <c r="F3892" t="s">
        <v>37</v>
      </c>
      <c r="G3892" t="s">
        <v>51</v>
      </c>
      <c r="H3892" t="s">
        <v>34</v>
      </c>
      <c r="I3892" t="s">
        <v>39</v>
      </c>
      <c r="J3892" t="s">
        <v>35</v>
      </c>
      <c r="K3892" s="2">
        <v>4200</v>
      </c>
      <c r="L3892" s="2">
        <v>8000</v>
      </c>
      <c r="M3892">
        <v>60</v>
      </c>
      <c r="N3892" s="3">
        <v>0.22700000000000001</v>
      </c>
      <c r="O3892" t="s">
        <v>17</v>
      </c>
      <c r="P3892" t="s">
        <v>31</v>
      </c>
      <c r="Q3892">
        <v>0</v>
      </c>
      <c r="R3892">
        <v>1</v>
      </c>
      <c r="S3892" s="2">
        <v>0</v>
      </c>
      <c r="T3892" s="4"/>
      <c r="U3892">
        <v>6</v>
      </c>
      <c r="V3892">
        <v>0</v>
      </c>
      <c r="W3892">
        <v>1</v>
      </c>
    </row>
    <row r="3893" spans="1:23" ht="16.5" x14ac:dyDescent="0.3">
      <c r="A3893" t="s">
        <v>3957</v>
      </c>
      <c r="B3893" s="1">
        <v>45853</v>
      </c>
      <c r="C3893">
        <v>2025</v>
      </c>
      <c r="D3893" t="s">
        <v>1255</v>
      </c>
      <c r="E3893" t="s">
        <v>1256</v>
      </c>
      <c r="F3893" t="s">
        <v>50</v>
      </c>
      <c r="G3893" t="s">
        <v>51</v>
      </c>
      <c r="H3893" t="s">
        <v>55</v>
      </c>
      <c r="I3893" t="s">
        <v>42</v>
      </c>
      <c r="J3893" t="s">
        <v>43</v>
      </c>
      <c r="K3893" s="2">
        <v>5600</v>
      </c>
      <c r="L3893" s="2">
        <v>259000</v>
      </c>
      <c r="M3893">
        <v>180</v>
      </c>
      <c r="N3893" s="3">
        <v>0.52</v>
      </c>
      <c r="O3893" t="s">
        <v>17</v>
      </c>
      <c r="P3893" t="s">
        <v>31</v>
      </c>
      <c r="Q3893">
        <v>0</v>
      </c>
      <c r="R3893">
        <v>1</v>
      </c>
      <c r="S3893" s="2">
        <v>0</v>
      </c>
      <c r="T3893" s="4"/>
      <c r="U3893">
        <v>17</v>
      </c>
      <c r="V3893">
        <v>0</v>
      </c>
      <c r="W3893">
        <v>1</v>
      </c>
    </row>
    <row r="3894" spans="1:23" ht="16.5" x14ac:dyDescent="0.3">
      <c r="A3894" t="s">
        <v>3958</v>
      </c>
      <c r="B3894" s="1">
        <v>45853</v>
      </c>
      <c r="C3894">
        <v>2025</v>
      </c>
      <c r="D3894" t="s">
        <v>1255</v>
      </c>
      <c r="E3894" t="s">
        <v>1256</v>
      </c>
      <c r="F3894" t="s">
        <v>26</v>
      </c>
      <c r="G3894" t="s">
        <v>27</v>
      </c>
      <c r="H3894" t="s">
        <v>34</v>
      </c>
      <c r="I3894" t="s">
        <v>42</v>
      </c>
      <c r="J3894" t="s">
        <v>46</v>
      </c>
      <c r="K3894" s="2">
        <v>2700</v>
      </c>
      <c r="L3894" s="2">
        <v>25000</v>
      </c>
      <c r="M3894">
        <v>36</v>
      </c>
      <c r="N3894" s="3">
        <v>0.34</v>
      </c>
      <c r="O3894" t="s">
        <v>125</v>
      </c>
      <c r="Q3894">
        <v>0</v>
      </c>
      <c r="R3894">
        <v>0</v>
      </c>
      <c r="S3894" s="2">
        <v>0</v>
      </c>
      <c r="T3894" s="4"/>
      <c r="U3894">
        <v>3</v>
      </c>
      <c r="V3894">
        <v>1</v>
      </c>
      <c r="W3894">
        <v>1</v>
      </c>
    </row>
    <row r="3895" spans="1:23" ht="16.5" x14ac:dyDescent="0.3">
      <c r="A3895" t="s">
        <v>3959</v>
      </c>
      <c r="B3895" s="1">
        <v>45853</v>
      </c>
      <c r="C3895">
        <v>2025</v>
      </c>
      <c r="D3895" t="s">
        <v>1255</v>
      </c>
      <c r="E3895" t="s">
        <v>1256</v>
      </c>
      <c r="F3895" t="s">
        <v>26</v>
      </c>
      <c r="G3895" t="s">
        <v>51</v>
      </c>
      <c r="H3895" t="s">
        <v>38</v>
      </c>
      <c r="I3895" t="s">
        <v>29</v>
      </c>
      <c r="J3895" t="s">
        <v>30</v>
      </c>
      <c r="K3895" s="2">
        <v>5350</v>
      </c>
      <c r="L3895" s="2">
        <v>30000</v>
      </c>
      <c r="M3895">
        <v>36</v>
      </c>
      <c r="N3895" s="3">
        <v>0.28599999999999998</v>
      </c>
      <c r="O3895" t="s">
        <v>16</v>
      </c>
      <c r="Q3895">
        <v>1</v>
      </c>
      <c r="R3895">
        <v>0</v>
      </c>
      <c r="S3895" s="2">
        <v>30000</v>
      </c>
      <c r="T3895" s="4">
        <v>9.9500000000000005E-2</v>
      </c>
      <c r="U3895">
        <v>4</v>
      </c>
      <c r="V3895">
        <v>1</v>
      </c>
      <c r="W3895">
        <v>1</v>
      </c>
    </row>
    <row r="3896" spans="1:23" ht="16.5" x14ac:dyDescent="0.3">
      <c r="A3896" t="s">
        <v>3960</v>
      </c>
      <c r="B3896" s="1">
        <v>45853</v>
      </c>
      <c r="C3896">
        <v>2025</v>
      </c>
      <c r="D3896" t="s">
        <v>1255</v>
      </c>
      <c r="E3896" t="s">
        <v>1256</v>
      </c>
      <c r="F3896" t="s">
        <v>41</v>
      </c>
      <c r="G3896" t="s">
        <v>33</v>
      </c>
      <c r="H3896" t="s">
        <v>55</v>
      </c>
      <c r="I3896" t="s">
        <v>39</v>
      </c>
      <c r="J3896" t="s">
        <v>52</v>
      </c>
      <c r="K3896" s="2">
        <v>3650</v>
      </c>
      <c r="L3896" s="2">
        <v>98000</v>
      </c>
      <c r="M3896">
        <v>36</v>
      </c>
      <c r="N3896" s="3">
        <v>0.95299999999999996</v>
      </c>
      <c r="O3896" t="s">
        <v>16</v>
      </c>
      <c r="Q3896">
        <v>1</v>
      </c>
      <c r="R3896">
        <v>0</v>
      </c>
      <c r="S3896" s="2">
        <v>98000</v>
      </c>
      <c r="T3896" s="4">
        <v>9.6299999999999997E-2</v>
      </c>
      <c r="U3896">
        <v>4</v>
      </c>
      <c r="V3896">
        <v>1</v>
      </c>
      <c r="W3896">
        <v>1</v>
      </c>
    </row>
    <row r="3897" spans="1:23" ht="16.5" x14ac:dyDescent="0.3">
      <c r="A3897" t="s">
        <v>3961</v>
      </c>
      <c r="B3897" s="1">
        <v>45853</v>
      </c>
      <c r="C3897">
        <v>2025</v>
      </c>
      <c r="D3897" t="s">
        <v>1255</v>
      </c>
      <c r="E3897" t="s">
        <v>1256</v>
      </c>
      <c r="F3897" t="s">
        <v>26</v>
      </c>
      <c r="G3897" t="s">
        <v>45</v>
      </c>
      <c r="H3897" t="s">
        <v>55</v>
      </c>
      <c r="I3897" t="s">
        <v>39</v>
      </c>
      <c r="J3897" t="s">
        <v>30</v>
      </c>
      <c r="K3897" s="2">
        <v>4050</v>
      </c>
      <c r="L3897" s="2">
        <v>24500</v>
      </c>
      <c r="M3897">
        <v>60</v>
      </c>
      <c r="N3897" s="3">
        <v>0.26700000000000002</v>
      </c>
      <c r="O3897" t="s">
        <v>125</v>
      </c>
      <c r="Q3897">
        <v>0</v>
      </c>
      <c r="R3897">
        <v>0</v>
      </c>
      <c r="S3897" s="2">
        <v>0</v>
      </c>
      <c r="T3897" s="4"/>
      <c r="U3897">
        <v>2</v>
      </c>
      <c r="V3897">
        <v>1</v>
      </c>
      <c r="W3897">
        <v>1</v>
      </c>
    </row>
    <row r="3898" spans="1:23" ht="16.5" x14ac:dyDescent="0.3">
      <c r="A3898" t="s">
        <v>3962</v>
      </c>
      <c r="B3898" s="1">
        <v>45853</v>
      </c>
      <c r="C3898">
        <v>2025</v>
      </c>
      <c r="D3898" t="s">
        <v>1255</v>
      </c>
      <c r="E3898" t="s">
        <v>1256</v>
      </c>
      <c r="F3898" t="s">
        <v>26</v>
      </c>
      <c r="G3898" t="s">
        <v>33</v>
      </c>
      <c r="H3898" t="s">
        <v>55</v>
      </c>
      <c r="I3898" t="s">
        <v>29</v>
      </c>
      <c r="J3898" t="s">
        <v>35</v>
      </c>
      <c r="K3898" s="2">
        <v>8150</v>
      </c>
      <c r="L3898" s="2">
        <v>41500</v>
      </c>
      <c r="M3898">
        <v>60</v>
      </c>
      <c r="N3898" s="3">
        <v>0.316</v>
      </c>
      <c r="O3898" t="s">
        <v>16</v>
      </c>
      <c r="Q3898">
        <v>1</v>
      </c>
      <c r="R3898">
        <v>0</v>
      </c>
      <c r="S3898" s="2">
        <v>33000</v>
      </c>
      <c r="T3898" s="4">
        <v>8.4099999999999994E-2</v>
      </c>
      <c r="U3898">
        <v>2</v>
      </c>
      <c r="V3898">
        <v>1</v>
      </c>
      <c r="W3898">
        <v>1</v>
      </c>
    </row>
    <row r="3899" spans="1:23" ht="16.5" x14ac:dyDescent="0.3">
      <c r="A3899" t="s">
        <v>3963</v>
      </c>
      <c r="B3899" s="1">
        <v>45853</v>
      </c>
      <c r="C3899">
        <v>2025</v>
      </c>
      <c r="D3899" t="s">
        <v>1255</v>
      </c>
      <c r="E3899" t="s">
        <v>1256</v>
      </c>
      <c r="F3899" t="s">
        <v>50</v>
      </c>
      <c r="G3899" t="s">
        <v>33</v>
      </c>
      <c r="H3899" t="s">
        <v>64</v>
      </c>
      <c r="I3899" t="s">
        <v>39</v>
      </c>
      <c r="J3899" t="s">
        <v>30</v>
      </c>
      <c r="K3899" s="2">
        <v>5050</v>
      </c>
      <c r="L3899" s="2">
        <v>217000</v>
      </c>
      <c r="M3899">
        <v>180</v>
      </c>
      <c r="N3899" s="3">
        <v>0.443</v>
      </c>
      <c r="O3899" t="s">
        <v>16</v>
      </c>
      <c r="Q3899">
        <v>1</v>
      </c>
      <c r="R3899">
        <v>0</v>
      </c>
      <c r="S3899" s="2">
        <v>173500</v>
      </c>
      <c r="T3899" s="4">
        <v>7.9799999999999996E-2</v>
      </c>
      <c r="U3899">
        <v>12</v>
      </c>
      <c r="V3899">
        <v>1</v>
      </c>
      <c r="W3899">
        <v>1</v>
      </c>
    </row>
    <row r="3900" spans="1:23" ht="16.5" x14ac:dyDescent="0.3">
      <c r="A3900" t="s">
        <v>3964</v>
      </c>
      <c r="B3900" s="1">
        <v>45854</v>
      </c>
      <c r="C3900">
        <v>2025</v>
      </c>
      <c r="D3900" t="s">
        <v>1255</v>
      </c>
      <c r="E3900" t="s">
        <v>1256</v>
      </c>
      <c r="F3900" t="s">
        <v>37</v>
      </c>
      <c r="G3900" t="s">
        <v>51</v>
      </c>
      <c r="H3900" t="s">
        <v>55</v>
      </c>
      <c r="I3900" t="s">
        <v>29</v>
      </c>
      <c r="J3900" t="s">
        <v>35</v>
      </c>
      <c r="K3900" s="2">
        <v>7000</v>
      </c>
      <c r="L3900" s="2">
        <v>14000</v>
      </c>
      <c r="M3900">
        <v>24</v>
      </c>
      <c r="N3900" s="3">
        <v>0.27900000000000003</v>
      </c>
      <c r="O3900" t="s">
        <v>17</v>
      </c>
      <c r="P3900" t="s">
        <v>48</v>
      </c>
      <c r="Q3900">
        <v>0</v>
      </c>
      <c r="R3900">
        <v>1</v>
      </c>
      <c r="S3900" s="2">
        <v>0</v>
      </c>
      <c r="T3900" s="4"/>
      <c r="U3900">
        <v>3</v>
      </c>
      <c r="V3900">
        <v>1</v>
      </c>
      <c r="W3900">
        <v>1</v>
      </c>
    </row>
    <row r="3901" spans="1:23" ht="16.5" x14ac:dyDescent="0.3">
      <c r="A3901" t="s">
        <v>3965</v>
      </c>
      <c r="B3901" s="1">
        <v>45854</v>
      </c>
      <c r="C3901">
        <v>2025</v>
      </c>
      <c r="D3901" t="s">
        <v>1255</v>
      </c>
      <c r="E3901" t="s">
        <v>1256</v>
      </c>
      <c r="F3901" t="s">
        <v>41</v>
      </c>
      <c r="G3901" t="s">
        <v>27</v>
      </c>
      <c r="H3901" t="s">
        <v>55</v>
      </c>
      <c r="I3901" t="s">
        <v>29</v>
      </c>
      <c r="J3901" t="s">
        <v>35</v>
      </c>
      <c r="K3901" s="2">
        <v>2300</v>
      </c>
      <c r="L3901" s="2">
        <v>82500</v>
      </c>
      <c r="M3901">
        <v>36</v>
      </c>
      <c r="N3901" s="3">
        <v>1.2949999999999999</v>
      </c>
      <c r="O3901" t="s">
        <v>17</v>
      </c>
      <c r="P3901" t="s">
        <v>53</v>
      </c>
      <c r="Q3901">
        <v>0</v>
      </c>
      <c r="R3901">
        <v>1</v>
      </c>
      <c r="S3901" s="2">
        <v>0</v>
      </c>
      <c r="T3901" s="4"/>
      <c r="U3901">
        <v>6</v>
      </c>
      <c r="V3901">
        <v>1</v>
      </c>
      <c r="W3901">
        <v>1</v>
      </c>
    </row>
    <row r="3902" spans="1:23" ht="16.5" x14ac:dyDescent="0.3">
      <c r="A3902" t="s">
        <v>3966</v>
      </c>
      <c r="B3902" s="1">
        <v>45854</v>
      </c>
      <c r="C3902">
        <v>2025</v>
      </c>
      <c r="D3902" t="s">
        <v>1255</v>
      </c>
      <c r="E3902" t="s">
        <v>1256</v>
      </c>
      <c r="F3902" t="s">
        <v>41</v>
      </c>
      <c r="G3902" t="s">
        <v>45</v>
      </c>
      <c r="H3902" t="s">
        <v>38</v>
      </c>
      <c r="I3902" t="s">
        <v>29</v>
      </c>
      <c r="J3902" t="s">
        <v>46</v>
      </c>
      <c r="K3902" s="2">
        <v>6000</v>
      </c>
      <c r="L3902" s="2">
        <v>113500</v>
      </c>
      <c r="M3902">
        <v>60</v>
      </c>
      <c r="N3902" s="3">
        <v>0.63300000000000001</v>
      </c>
      <c r="O3902" t="s">
        <v>16</v>
      </c>
      <c r="Q3902">
        <v>1</v>
      </c>
      <c r="R3902">
        <v>0</v>
      </c>
      <c r="S3902" s="2">
        <v>113500</v>
      </c>
      <c r="T3902" s="4">
        <v>9.3399999999999997E-2</v>
      </c>
      <c r="U3902">
        <v>6</v>
      </c>
      <c r="V3902">
        <v>1</v>
      </c>
      <c r="W3902">
        <v>1</v>
      </c>
    </row>
    <row r="3903" spans="1:23" ht="16.5" x14ac:dyDescent="0.3">
      <c r="A3903" t="s">
        <v>3967</v>
      </c>
      <c r="B3903" s="1">
        <v>45854</v>
      </c>
      <c r="C3903">
        <v>2025</v>
      </c>
      <c r="D3903" t="s">
        <v>1255</v>
      </c>
      <c r="E3903" t="s">
        <v>1256</v>
      </c>
      <c r="F3903" t="s">
        <v>41</v>
      </c>
      <c r="G3903" t="s">
        <v>33</v>
      </c>
      <c r="H3903" t="s">
        <v>34</v>
      </c>
      <c r="I3903" t="s">
        <v>42</v>
      </c>
      <c r="J3903" t="s">
        <v>35</v>
      </c>
      <c r="K3903" s="2">
        <v>6350</v>
      </c>
      <c r="L3903" s="2">
        <v>74500</v>
      </c>
      <c r="M3903">
        <v>36</v>
      </c>
      <c r="N3903" s="3">
        <v>0.59399999999999997</v>
      </c>
      <c r="O3903" t="s">
        <v>17</v>
      </c>
      <c r="P3903" t="s">
        <v>60</v>
      </c>
      <c r="Q3903">
        <v>0</v>
      </c>
      <c r="R3903">
        <v>1</v>
      </c>
      <c r="S3903" s="2">
        <v>0</v>
      </c>
      <c r="T3903" s="4"/>
      <c r="U3903">
        <v>9</v>
      </c>
      <c r="V3903">
        <v>1</v>
      </c>
      <c r="W3903">
        <v>1</v>
      </c>
    </row>
    <row r="3904" spans="1:23" ht="16.5" x14ac:dyDescent="0.3">
      <c r="A3904" t="s">
        <v>3968</v>
      </c>
      <c r="B3904" s="1">
        <v>45854</v>
      </c>
      <c r="C3904">
        <v>2025</v>
      </c>
      <c r="D3904" t="s">
        <v>1255</v>
      </c>
      <c r="E3904" t="s">
        <v>1256</v>
      </c>
      <c r="F3904" t="s">
        <v>37</v>
      </c>
      <c r="G3904" t="s">
        <v>51</v>
      </c>
      <c r="H3904" t="s">
        <v>55</v>
      </c>
      <c r="I3904" t="s">
        <v>29</v>
      </c>
      <c r="J3904" t="s">
        <v>43</v>
      </c>
      <c r="K3904" s="2">
        <v>3350</v>
      </c>
      <c r="L3904" s="2">
        <v>13000</v>
      </c>
      <c r="M3904">
        <v>60</v>
      </c>
      <c r="N3904" s="3">
        <v>0.33</v>
      </c>
      <c r="O3904" t="s">
        <v>16</v>
      </c>
      <c r="Q3904">
        <v>1</v>
      </c>
      <c r="R3904">
        <v>0</v>
      </c>
      <c r="S3904" s="2">
        <v>13000</v>
      </c>
      <c r="T3904" s="4">
        <v>0.1598</v>
      </c>
      <c r="U3904">
        <v>3</v>
      </c>
      <c r="V3904">
        <v>1</v>
      </c>
      <c r="W3904">
        <v>1</v>
      </c>
    </row>
    <row r="3905" spans="1:23" ht="16.5" x14ac:dyDescent="0.3">
      <c r="A3905" t="s">
        <v>3969</v>
      </c>
      <c r="B3905" s="1">
        <v>45855</v>
      </c>
      <c r="C3905">
        <v>2025</v>
      </c>
      <c r="D3905" t="s">
        <v>1255</v>
      </c>
      <c r="E3905" t="s">
        <v>1256</v>
      </c>
      <c r="F3905" t="s">
        <v>41</v>
      </c>
      <c r="G3905" t="s">
        <v>33</v>
      </c>
      <c r="H3905" t="s">
        <v>38</v>
      </c>
      <c r="I3905" t="s">
        <v>29</v>
      </c>
      <c r="J3905" t="s">
        <v>46</v>
      </c>
      <c r="K3905" s="2">
        <v>3000</v>
      </c>
      <c r="L3905" s="2">
        <v>65000</v>
      </c>
      <c r="M3905">
        <v>24</v>
      </c>
      <c r="N3905" s="3">
        <v>1.1910000000000001</v>
      </c>
      <c r="O3905" t="s">
        <v>17</v>
      </c>
      <c r="P3905" t="s">
        <v>53</v>
      </c>
      <c r="Q3905">
        <v>0</v>
      </c>
      <c r="R3905">
        <v>1</v>
      </c>
      <c r="S3905" s="2">
        <v>0</v>
      </c>
      <c r="T3905" s="4"/>
      <c r="U3905">
        <v>2</v>
      </c>
      <c r="V3905">
        <v>1</v>
      </c>
      <c r="W3905">
        <v>1</v>
      </c>
    </row>
    <row r="3906" spans="1:23" ht="16.5" x14ac:dyDescent="0.3">
      <c r="A3906" t="s">
        <v>3970</v>
      </c>
      <c r="B3906" s="1">
        <v>45855</v>
      </c>
      <c r="C3906">
        <v>2025</v>
      </c>
      <c r="D3906" t="s">
        <v>1255</v>
      </c>
      <c r="E3906" t="s">
        <v>1256</v>
      </c>
      <c r="F3906" t="s">
        <v>41</v>
      </c>
      <c r="G3906" t="s">
        <v>33</v>
      </c>
      <c r="H3906" t="s">
        <v>38</v>
      </c>
      <c r="I3906" t="s">
        <v>29</v>
      </c>
      <c r="J3906" t="s">
        <v>52</v>
      </c>
      <c r="K3906" s="2">
        <v>2950</v>
      </c>
      <c r="L3906" s="2">
        <v>75000</v>
      </c>
      <c r="M3906">
        <v>60</v>
      </c>
      <c r="N3906" s="3">
        <v>0.68600000000000005</v>
      </c>
      <c r="O3906" t="s">
        <v>17</v>
      </c>
      <c r="P3906" t="s">
        <v>53</v>
      </c>
      <c r="Q3906">
        <v>0</v>
      </c>
      <c r="R3906">
        <v>1</v>
      </c>
      <c r="S3906" s="2">
        <v>0</v>
      </c>
      <c r="T3906" s="4"/>
      <c r="U3906">
        <v>4</v>
      </c>
      <c r="V3906">
        <v>1</v>
      </c>
      <c r="W3906">
        <v>1</v>
      </c>
    </row>
    <row r="3907" spans="1:23" ht="16.5" x14ac:dyDescent="0.3">
      <c r="A3907" t="s">
        <v>3971</v>
      </c>
      <c r="B3907" s="1">
        <v>45855</v>
      </c>
      <c r="C3907">
        <v>2025</v>
      </c>
      <c r="D3907" t="s">
        <v>1255</v>
      </c>
      <c r="E3907" t="s">
        <v>1256</v>
      </c>
      <c r="F3907" t="s">
        <v>41</v>
      </c>
      <c r="G3907" t="s">
        <v>33</v>
      </c>
      <c r="H3907" t="s">
        <v>64</v>
      </c>
      <c r="I3907" t="s">
        <v>39</v>
      </c>
      <c r="J3907" t="s">
        <v>35</v>
      </c>
      <c r="K3907" s="2">
        <v>4900</v>
      </c>
      <c r="L3907" s="2">
        <v>50000</v>
      </c>
      <c r="M3907">
        <v>12</v>
      </c>
      <c r="N3907" s="3">
        <v>1.0429999999999999</v>
      </c>
      <c r="O3907" t="s">
        <v>17</v>
      </c>
      <c r="P3907" t="s">
        <v>60</v>
      </c>
      <c r="Q3907">
        <v>0</v>
      </c>
      <c r="R3907">
        <v>1</v>
      </c>
      <c r="S3907" s="2">
        <v>0</v>
      </c>
      <c r="T3907" s="4"/>
      <c r="U3907">
        <v>10</v>
      </c>
      <c r="V3907">
        <v>1</v>
      </c>
      <c r="W3907">
        <v>1</v>
      </c>
    </row>
    <row r="3908" spans="1:23" ht="16.5" x14ac:dyDescent="0.3">
      <c r="A3908" t="s">
        <v>3972</v>
      </c>
      <c r="B3908" s="1">
        <v>45855</v>
      </c>
      <c r="C3908">
        <v>2025</v>
      </c>
      <c r="D3908" t="s">
        <v>1255</v>
      </c>
      <c r="E3908" t="s">
        <v>1256</v>
      </c>
      <c r="F3908" t="s">
        <v>41</v>
      </c>
      <c r="G3908" t="s">
        <v>33</v>
      </c>
      <c r="H3908" t="s">
        <v>28</v>
      </c>
      <c r="I3908" t="s">
        <v>42</v>
      </c>
      <c r="J3908" t="s">
        <v>46</v>
      </c>
      <c r="K3908" s="2">
        <v>11800</v>
      </c>
      <c r="L3908" s="2">
        <v>75000</v>
      </c>
      <c r="M3908">
        <v>24</v>
      </c>
      <c r="N3908" s="3">
        <v>0.48699999999999999</v>
      </c>
      <c r="O3908" t="s">
        <v>16</v>
      </c>
      <c r="Q3908">
        <v>1</v>
      </c>
      <c r="R3908">
        <v>0</v>
      </c>
      <c r="S3908" s="2">
        <v>75000</v>
      </c>
      <c r="T3908" s="4">
        <v>8.9899999999999994E-2</v>
      </c>
      <c r="U3908">
        <v>3</v>
      </c>
      <c r="V3908">
        <v>1</v>
      </c>
      <c r="W3908">
        <v>1</v>
      </c>
    </row>
    <row r="3909" spans="1:23" ht="16.5" x14ac:dyDescent="0.3">
      <c r="A3909" t="s">
        <v>3973</v>
      </c>
      <c r="B3909" s="1">
        <v>45856</v>
      </c>
      <c r="C3909">
        <v>2025</v>
      </c>
      <c r="D3909" t="s">
        <v>1255</v>
      </c>
      <c r="E3909" t="s">
        <v>1256</v>
      </c>
      <c r="F3909" t="s">
        <v>50</v>
      </c>
      <c r="G3909" t="s">
        <v>51</v>
      </c>
      <c r="H3909" t="s">
        <v>55</v>
      </c>
      <c r="I3909" t="s">
        <v>29</v>
      </c>
      <c r="J3909" t="s">
        <v>35</v>
      </c>
      <c r="K3909" s="2">
        <v>5000</v>
      </c>
      <c r="L3909" s="2">
        <v>192000</v>
      </c>
      <c r="M3909">
        <v>240</v>
      </c>
      <c r="N3909" s="3">
        <v>0.42</v>
      </c>
      <c r="O3909" t="s">
        <v>16</v>
      </c>
      <c r="Q3909">
        <v>1</v>
      </c>
      <c r="R3909">
        <v>0</v>
      </c>
      <c r="S3909" s="2">
        <v>192000</v>
      </c>
      <c r="T3909" s="4">
        <v>6.0299999999999999E-2</v>
      </c>
      <c r="U3909">
        <v>28</v>
      </c>
      <c r="V3909">
        <v>0</v>
      </c>
      <c r="W3909">
        <v>1</v>
      </c>
    </row>
    <row r="3910" spans="1:23" ht="16.5" x14ac:dyDescent="0.3">
      <c r="A3910" t="s">
        <v>3974</v>
      </c>
      <c r="B3910" s="1">
        <v>45856</v>
      </c>
      <c r="C3910">
        <v>2025</v>
      </c>
      <c r="D3910" t="s">
        <v>1255</v>
      </c>
      <c r="E3910" t="s">
        <v>1256</v>
      </c>
      <c r="F3910" t="s">
        <v>26</v>
      </c>
      <c r="G3910" t="s">
        <v>33</v>
      </c>
      <c r="H3910" t="s">
        <v>38</v>
      </c>
      <c r="I3910" t="s">
        <v>39</v>
      </c>
      <c r="J3910" t="s">
        <v>52</v>
      </c>
      <c r="K3910" s="2">
        <v>4400</v>
      </c>
      <c r="L3910" s="2">
        <v>83000</v>
      </c>
      <c r="M3910">
        <v>36</v>
      </c>
      <c r="N3910" s="3">
        <v>0.66900000000000004</v>
      </c>
      <c r="O3910" t="s">
        <v>16</v>
      </c>
      <c r="Q3910">
        <v>1</v>
      </c>
      <c r="R3910">
        <v>0</v>
      </c>
      <c r="S3910" s="2">
        <v>66500</v>
      </c>
      <c r="T3910" s="4">
        <v>7.2999999999999995E-2</v>
      </c>
      <c r="U3910">
        <v>1</v>
      </c>
      <c r="V3910">
        <v>1</v>
      </c>
      <c r="W3910">
        <v>1</v>
      </c>
    </row>
    <row r="3911" spans="1:23" ht="16.5" x14ac:dyDescent="0.3">
      <c r="A3911" t="s">
        <v>3975</v>
      </c>
      <c r="B3911" s="1">
        <v>45856</v>
      </c>
      <c r="C3911">
        <v>2025</v>
      </c>
      <c r="D3911" t="s">
        <v>1255</v>
      </c>
      <c r="E3911" t="s">
        <v>1256</v>
      </c>
      <c r="F3911" t="s">
        <v>41</v>
      </c>
      <c r="G3911" t="s">
        <v>51</v>
      </c>
      <c r="H3911" t="s">
        <v>34</v>
      </c>
      <c r="I3911" t="s">
        <v>39</v>
      </c>
      <c r="J3911" t="s">
        <v>35</v>
      </c>
      <c r="K3911" s="2">
        <v>5500</v>
      </c>
      <c r="L3911" s="2">
        <v>58000</v>
      </c>
      <c r="M3911">
        <v>12</v>
      </c>
      <c r="N3911" s="3">
        <v>0.996</v>
      </c>
      <c r="O3911" t="s">
        <v>16</v>
      </c>
      <c r="Q3911">
        <v>1</v>
      </c>
      <c r="R3911">
        <v>0</v>
      </c>
      <c r="S3911" s="2">
        <v>58000</v>
      </c>
      <c r="T3911" s="4">
        <v>0.10920000000000001</v>
      </c>
      <c r="U3911">
        <v>16</v>
      </c>
      <c r="V3911">
        <v>0</v>
      </c>
      <c r="W3911">
        <v>1</v>
      </c>
    </row>
    <row r="3912" spans="1:23" ht="16.5" x14ac:dyDescent="0.3">
      <c r="A3912" t="s">
        <v>3976</v>
      </c>
      <c r="B3912" s="1">
        <v>45856</v>
      </c>
      <c r="C3912">
        <v>2025</v>
      </c>
      <c r="D3912" t="s">
        <v>1255</v>
      </c>
      <c r="E3912" t="s">
        <v>1256</v>
      </c>
      <c r="F3912" t="s">
        <v>41</v>
      </c>
      <c r="G3912" t="s">
        <v>51</v>
      </c>
      <c r="H3912" t="s">
        <v>38</v>
      </c>
      <c r="I3912" t="s">
        <v>29</v>
      </c>
      <c r="J3912" t="s">
        <v>35</v>
      </c>
      <c r="K3912" s="2">
        <v>5300</v>
      </c>
      <c r="L3912" s="2">
        <v>63500</v>
      </c>
      <c r="M3912">
        <v>24</v>
      </c>
      <c r="N3912" s="3">
        <v>0.747</v>
      </c>
      <c r="O3912" t="s">
        <v>17</v>
      </c>
      <c r="P3912" t="s">
        <v>53</v>
      </c>
      <c r="Q3912">
        <v>0</v>
      </c>
      <c r="R3912">
        <v>1</v>
      </c>
      <c r="S3912" s="2">
        <v>0</v>
      </c>
      <c r="T3912" s="4"/>
      <c r="U3912">
        <v>9</v>
      </c>
      <c r="V3912">
        <v>1</v>
      </c>
      <c r="W3912">
        <v>1</v>
      </c>
    </row>
    <row r="3913" spans="1:23" ht="16.5" x14ac:dyDescent="0.3">
      <c r="A3913" t="s">
        <v>3977</v>
      </c>
      <c r="B3913" s="1">
        <v>45856</v>
      </c>
      <c r="C3913">
        <v>2025</v>
      </c>
      <c r="D3913" t="s">
        <v>1255</v>
      </c>
      <c r="E3913" t="s">
        <v>1256</v>
      </c>
      <c r="F3913" t="s">
        <v>37</v>
      </c>
      <c r="G3913" t="s">
        <v>33</v>
      </c>
      <c r="H3913" t="s">
        <v>28</v>
      </c>
      <c r="I3913" t="s">
        <v>29</v>
      </c>
      <c r="J3913" t="s">
        <v>35</v>
      </c>
      <c r="K3913" s="2">
        <v>8800</v>
      </c>
      <c r="L3913" s="2">
        <v>23500</v>
      </c>
      <c r="M3913">
        <v>24</v>
      </c>
      <c r="N3913" s="3">
        <v>0.34499999999999997</v>
      </c>
      <c r="O3913" t="s">
        <v>16</v>
      </c>
      <c r="Q3913">
        <v>1</v>
      </c>
      <c r="R3913">
        <v>0</v>
      </c>
      <c r="S3913" s="2">
        <v>21000</v>
      </c>
      <c r="T3913" s="4">
        <v>0.12709999999999999</v>
      </c>
      <c r="U3913">
        <v>2</v>
      </c>
      <c r="V3913">
        <v>1</v>
      </c>
      <c r="W3913">
        <v>1</v>
      </c>
    </row>
    <row r="3914" spans="1:23" ht="16.5" x14ac:dyDescent="0.3">
      <c r="A3914" t="s">
        <v>3978</v>
      </c>
      <c r="B3914" s="1">
        <v>45856</v>
      </c>
      <c r="C3914">
        <v>2025</v>
      </c>
      <c r="D3914" t="s">
        <v>1255</v>
      </c>
      <c r="E3914" t="s">
        <v>1256</v>
      </c>
      <c r="F3914" t="s">
        <v>50</v>
      </c>
      <c r="G3914" t="s">
        <v>45</v>
      </c>
      <c r="H3914" t="s">
        <v>38</v>
      </c>
      <c r="I3914" t="s">
        <v>29</v>
      </c>
      <c r="J3914" t="s">
        <v>52</v>
      </c>
      <c r="K3914" s="2">
        <v>7500</v>
      </c>
      <c r="L3914" s="2">
        <v>115500</v>
      </c>
      <c r="M3914">
        <v>180</v>
      </c>
      <c r="N3914" s="3">
        <v>0.36599999999999999</v>
      </c>
      <c r="O3914" t="s">
        <v>17</v>
      </c>
      <c r="P3914" t="s">
        <v>60</v>
      </c>
      <c r="Q3914">
        <v>0</v>
      </c>
      <c r="R3914">
        <v>1</v>
      </c>
      <c r="S3914" s="2">
        <v>0</v>
      </c>
      <c r="T3914" s="4"/>
      <c r="U3914">
        <v>12</v>
      </c>
      <c r="V3914">
        <v>1</v>
      </c>
      <c r="W3914">
        <v>1</v>
      </c>
    </row>
    <row r="3915" spans="1:23" ht="16.5" x14ac:dyDescent="0.3">
      <c r="A3915" t="s">
        <v>3979</v>
      </c>
      <c r="B3915" s="1">
        <v>45856</v>
      </c>
      <c r="C3915">
        <v>2025</v>
      </c>
      <c r="D3915" t="s">
        <v>1255</v>
      </c>
      <c r="E3915" t="s">
        <v>1256</v>
      </c>
      <c r="F3915" t="s">
        <v>37</v>
      </c>
      <c r="G3915" t="s">
        <v>33</v>
      </c>
      <c r="H3915" t="s">
        <v>55</v>
      </c>
      <c r="I3915" t="s">
        <v>39</v>
      </c>
      <c r="J3915" t="s">
        <v>35</v>
      </c>
      <c r="K3915" s="2">
        <v>3950</v>
      </c>
      <c r="L3915" s="2">
        <v>8000</v>
      </c>
      <c r="M3915">
        <v>12</v>
      </c>
      <c r="N3915" s="3">
        <v>0.33400000000000002</v>
      </c>
      <c r="O3915" t="s">
        <v>17</v>
      </c>
      <c r="P3915" t="s">
        <v>31</v>
      </c>
      <c r="Q3915">
        <v>0</v>
      </c>
      <c r="R3915">
        <v>1</v>
      </c>
      <c r="S3915" s="2">
        <v>0</v>
      </c>
      <c r="T3915" s="4"/>
      <c r="U3915">
        <v>2</v>
      </c>
      <c r="V3915">
        <v>1</v>
      </c>
      <c r="W3915">
        <v>1</v>
      </c>
    </row>
    <row r="3916" spans="1:23" ht="16.5" x14ac:dyDescent="0.3">
      <c r="A3916" t="s">
        <v>3980</v>
      </c>
      <c r="B3916" s="1">
        <v>45857</v>
      </c>
      <c r="C3916">
        <v>2025</v>
      </c>
      <c r="D3916" t="s">
        <v>1255</v>
      </c>
      <c r="E3916" t="s">
        <v>1256</v>
      </c>
      <c r="F3916" t="s">
        <v>41</v>
      </c>
      <c r="G3916" t="s">
        <v>51</v>
      </c>
      <c r="H3916" t="s">
        <v>38</v>
      </c>
      <c r="I3916" t="s">
        <v>29</v>
      </c>
      <c r="J3916" t="s">
        <v>35</v>
      </c>
      <c r="K3916" s="2">
        <v>7500</v>
      </c>
      <c r="L3916" s="2">
        <v>73500</v>
      </c>
      <c r="M3916">
        <v>60</v>
      </c>
      <c r="N3916" s="3">
        <v>0.45300000000000001</v>
      </c>
      <c r="O3916" t="s">
        <v>16</v>
      </c>
      <c r="Q3916">
        <v>1</v>
      </c>
      <c r="R3916">
        <v>0</v>
      </c>
      <c r="S3916" s="2">
        <v>73500</v>
      </c>
      <c r="T3916" s="4">
        <v>0.1074</v>
      </c>
      <c r="U3916">
        <v>13</v>
      </c>
      <c r="V3916">
        <v>0</v>
      </c>
      <c r="W3916">
        <v>1</v>
      </c>
    </row>
    <row r="3917" spans="1:23" ht="16.5" x14ac:dyDescent="0.3">
      <c r="A3917" t="s">
        <v>3981</v>
      </c>
      <c r="B3917" s="1">
        <v>45857</v>
      </c>
      <c r="C3917">
        <v>2025</v>
      </c>
      <c r="D3917" t="s">
        <v>1255</v>
      </c>
      <c r="E3917" t="s">
        <v>1256</v>
      </c>
      <c r="F3917" t="s">
        <v>26</v>
      </c>
      <c r="G3917" t="s">
        <v>51</v>
      </c>
      <c r="H3917" t="s">
        <v>38</v>
      </c>
      <c r="I3917" t="s">
        <v>29</v>
      </c>
      <c r="J3917" t="s">
        <v>46</v>
      </c>
      <c r="K3917" s="2">
        <v>4650</v>
      </c>
      <c r="L3917" s="2">
        <v>27000</v>
      </c>
      <c r="M3917">
        <v>60</v>
      </c>
      <c r="N3917" s="3">
        <v>0.32400000000000001</v>
      </c>
      <c r="O3917" t="s">
        <v>16</v>
      </c>
      <c r="Q3917">
        <v>1</v>
      </c>
      <c r="R3917">
        <v>0</v>
      </c>
      <c r="S3917" s="2">
        <v>27000</v>
      </c>
      <c r="T3917" s="4">
        <v>6.5600000000000006E-2</v>
      </c>
      <c r="U3917">
        <v>7</v>
      </c>
      <c r="V3917">
        <v>0</v>
      </c>
      <c r="W3917">
        <v>1</v>
      </c>
    </row>
    <row r="3918" spans="1:23" ht="16.5" x14ac:dyDescent="0.3">
      <c r="A3918" t="s">
        <v>3982</v>
      </c>
      <c r="B3918" s="1">
        <v>45857</v>
      </c>
      <c r="C3918">
        <v>2025</v>
      </c>
      <c r="D3918" t="s">
        <v>1255</v>
      </c>
      <c r="E3918" t="s">
        <v>1256</v>
      </c>
      <c r="F3918" t="s">
        <v>41</v>
      </c>
      <c r="G3918" t="s">
        <v>51</v>
      </c>
      <c r="H3918" t="s">
        <v>34</v>
      </c>
      <c r="I3918" t="s">
        <v>42</v>
      </c>
      <c r="J3918" t="s">
        <v>52</v>
      </c>
      <c r="K3918" s="2">
        <v>12000</v>
      </c>
      <c r="L3918" s="2">
        <v>60000</v>
      </c>
      <c r="M3918">
        <v>36</v>
      </c>
      <c r="N3918" s="3">
        <v>0.26900000000000002</v>
      </c>
      <c r="O3918" t="s">
        <v>16</v>
      </c>
      <c r="Q3918">
        <v>1</v>
      </c>
      <c r="R3918">
        <v>0</v>
      </c>
      <c r="S3918" s="2">
        <v>48000</v>
      </c>
      <c r="T3918" s="4">
        <v>9.8799999999999999E-2</v>
      </c>
      <c r="U3918">
        <v>6</v>
      </c>
      <c r="V3918">
        <v>1</v>
      </c>
      <c r="W3918">
        <v>1</v>
      </c>
    </row>
    <row r="3919" spans="1:23" ht="16.5" x14ac:dyDescent="0.3">
      <c r="A3919" t="s">
        <v>3983</v>
      </c>
      <c r="B3919" s="1">
        <v>45858</v>
      </c>
      <c r="C3919">
        <v>2025</v>
      </c>
      <c r="D3919" t="s">
        <v>1255</v>
      </c>
      <c r="E3919" t="s">
        <v>1256</v>
      </c>
      <c r="F3919" t="s">
        <v>37</v>
      </c>
      <c r="G3919" t="s">
        <v>33</v>
      </c>
      <c r="H3919" t="s">
        <v>38</v>
      </c>
      <c r="I3919" t="s">
        <v>42</v>
      </c>
      <c r="J3919" t="s">
        <v>30</v>
      </c>
      <c r="K3919" s="2">
        <v>4650</v>
      </c>
      <c r="L3919" s="2">
        <v>5500</v>
      </c>
      <c r="M3919">
        <v>48</v>
      </c>
      <c r="N3919" s="3">
        <v>0.14499999999999999</v>
      </c>
      <c r="O3919" t="s">
        <v>17</v>
      </c>
      <c r="P3919" t="s">
        <v>31</v>
      </c>
      <c r="Q3919">
        <v>0</v>
      </c>
      <c r="R3919">
        <v>1</v>
      </c>
      <c r="S3919" s="2">
        <v>0</v>
      </c>
      <c r="T3919" s="4"/>
      <c r="U3919">
        <v>2</v>
      </c>
      <c r="V3919">
        <v>1</v>
      </c>
      <c r="W3919">
        <v>1</v>
      </c>
    </row>
    <row r="3920" spans="1:23" ht="16.5" x14ac:dyDescent="0.3">
      <c r="A3920" t="s">
        <v>3984</v>
      </c>
      <c r="B3920" s="1">
        <v>45858</v>
      </c>
      <c r="C3920">
        <v>2025</v>
      </c>
      <c r="D3920" t="s">
        <v>1255</v>
      </c>
      <c r="E3920" t="s">
        <v>1256</v>
      </c>
      <c r="F3920" t="s">
        <v>37</v>
      </c>
      <c r="G3920" t="s">
        <v>51</v>
      </c>
      <c r="H3920" t="s">
        <v>55</v>
      </c>
      <c r="I3920" t="s">
        <v>39</v>
      </c>
      <c r="J3920" t="s">
        <v>46</v>
      </c>
      <c r="K3920" s="2">
        <v>14550</v>
      </c>
      <c r="L3920" s="2">
        <v>16500</v>
      </c>
      <c r="M3920">
        <v>24</v>
      </c>
      <c r="N3920" s="3">
        <v>0.253</v>
      </c>
      <c r="O3920" t="s">
        <v>16</v>
      </c>
      <c r="Q3920">
        <v>1</v>
      </c>
      <c r="R3920">
        <v>0</v>
      </c>
      <c r="S3920" s="2">
        <v>16500</v>
      </c>
      <c r="T3920" s="4">
        <v>0.1076</v>
      </c>
      <c r="U3920">
        <v>5</v>
      </c>
      <c r="V3920">
        <v>0</v>
      </c>
      <c r="W3920">
        <v>1</v>
      </c>
    </row>
    <row r="3921" spans="1:23" ht="16.5" x14ac:dyDescent="0.3">
      <c r="A3921" t="s">
        <v>3985</v>
      </c>
      <c r="B3921" s="1">
        <v>45859</v>
      </c>
      <c r="C3921">
        <v>2025</v>
      </c>
      <c r="D3921" t="s">
        <v>1255</v>
      </c>
      <c r="E3921" t="s">
        <v>1256</v>
      </c>
      <c r="F3921" t="s">
        <v>37</v>
      </c>
      <c r="G3921" t="s">
        <v>33</v>
      </c>
      <c r="H3921" t="s">
        <v>38</v>
      </c>
      <c r="I3921" t="s">
        <v>29</v>
      </c>
      <c r="J3921" t="s">
        <v>35</v>
      </c>
      <c r="K3921" s="2">
        <v>5650</v>
      </c>
      <c r="L3921" s="2">
        <v>13000</v>
      </c>
      <c r="M3921">
        <v>36</v>
      </c>
      <c r="N3921" s="3">
        <v>0.26700000000000002</v>
      </c>
      <c r="O3921" t="s">
        <v>17</v>
      </c>
      <c r="P3921" t="s">
        <v>60</v>
      </c>
      <c r="Q3921">
        <v>0</v>
      </c>
      <c r="R3921">
        <v>1</v>
      </c>
      <c r="S3921" s="2">
        <v>0</v>
      </c>
      <c r="T3921" s="4"/>
      <c r="U3921">
        <v>5</v>
      </c>
      <c r="V3921">
        <v>0</v>
      </c>
      <c r="W3921">
        <v>1</v>
      </c>
    </row>
    <row r="3922" spans="1:23" ht="16.5" x14ac:dyDescent="0.3">
      <c r="A3922" t="s">
        <v>3986</v>
      </c>
      <c r="B3922" s="1">
        <v>45859</v>
      </c>
      <c r="C3922">
        <v>2025</v>
      </c>
      <c r="D3922" t="s">
        <v>1255</v>
      </c>
      <c r="E3922" t="s">
        <v>1256</v>
      </c>
      <c r="F3922" t="s">
        <v>37</v>
      </c>
      <c r="G3922" t="s">
        <v>45</v>
      </c>
      <c r="H3922" t="s">
        <v>28</v>
      </c>
      <c r="I3922" t="s">
        <v>29</v>
      </c>
      <c r="J3922" t="s">
        <v>30</v>
      </c>
      <c r="K3922" s="2">
        <v>6700</v>
      </c>
      <c r="L3922" s="2">
        <v>20500</v>
      </c>
      <c r="M3922">
        <v>48</v>
      </c>
      <c r="N3922" s="3">
        <v>0.23699999999999999</v>
      </c>
      <c r="O3922" t="s">
        <v>17</v>
      </c>
      <c r="P3922" t="s">
        <v>65</v>
      </c>
      <c r="Q3922">
        <v>0</v>
      </c>
      <c r="R3922">
        <v>1</v>
      </c>
      <c r="S3922" s="2">
        <v>0</v>
      </c>
      <c r="T3922" s="4"/>
      <c r="U3922">
        <v>3</v>
      </c>
      <c r="V3922">
        <v>1</v>
      </c>
      <c r="W3922">
        <v>1</v>
      </c>
    </row>
    <row r="3923" spans="1:23" ht="16.5" x14ac:dyDescent="0.3">
      <c r="A3923" t="s">
        <v>3987</v>
      </c>
      <c r="B3923" s="1">
        <v>45859</v>
      </c>
      <c r="C3923">
        <v>2025</v>
      </c>
      <c r="D3923" t="s">
        <v>1255</v>
      </c>
      <c r="E3923" t="s">
        <v>1256</v>
      </c>
      <c r="F3923" t="s">
        <v>41</v>
      </c>
      <c r="G3923" t="s">
        <v>45</v>
      </c>
      <c r="H3923" t="s">
        <v>55</v>
      </c>
      <c r="I3923" t="s">
        <v>29</v>
      </c>
      <c r="J3923" t="s">
        <v>35</v>
      </c>
      <c r="K3923" s="2">
        <v>6700</v>
      </c>
      <c r="L3923" s="2">
        <v>65000</v>
      </c>
      <c r="M3923">
        <v>12</v>
      </c>
      <c r="N3923" s="3">
        <v>1.0069999999999999</v>
      </c>
      <c r="O3923" t="s">
        <v>16</v>
      </c>
      <c r="Q3923">
        <v>1</v>
      </c>
      <c r="R3923">
        <v>0</v>
      </c>
      <c r="S3923" s="2">
        <v>65000</v>
      </c>
      <c r="T3923" s="4">
        <v>0.112</v>
      </c>
      <c r="U3923">
        <v>7</v>
      </c>
      <c r="V3923">
        <v>1</v>
      </c>
      <c r="W3923">
        <v>1</v>
      </c>
    </row>
    <row r="3924" spans="1:23" ht="16.5" x14ac:dyDescent="0.3">
      <c r="A3924" t="s">
        <v>3988</v>
      </c>
      <c r="B3924" s="1">
        <v>45859</v>
      </c>
      <c r="C3924">
        <v>2025</v>
      </c>
      <c r="D3924" t="s">
        <v>1255</v>
      </c>
      <c r="E3924" t="s">
        <v>1256</v>
      </c>
      <c r="F3924" t="s">
        <v>26</v>
      </c>
      <c r="G3924" t="s">
        <v>45</v>
      </c>
      <c r="H3924" t="s">
        <v>55</v>
      </c>
      <c r="I3924" t="s">
        <v>42</v>
      </c>
      <c r="J3924" t="s">
        <v>30</v>
      </c>
      <c r="K3924" s="2">
        <v>3550</v>
      </c>
      <c r="L3924" s="2">
        <v>22500</v>
      </c>
      <c r="M3924">
        <v>48</v>
      </c>
      <c r="N3924" s="3">
        <v>0.379</v>
      </c>
      <c r="O3924" t="s">
        <v>16</v>
      </c>
      <c r="Q3924">
        <v>1</v>
      </c>
      <c r="R3924">
        <v>0</v>
      </c>
      <c r="S3924" s="2">
        <v>22500</v>
      </c>
      <c r="T3924" s="4">
        <v>9.5600000000000004E-2</v>
      </c>
      <c r="U3924">
        <v>2</v>
      </c>
      <c r="V3924">
        <v>1</v>
      </c>
      <c r="W3924">
        <v>1</v>
      </c>
    </row>
    <row r="3925" spans="1:23" ht="16.5" x14ac:dyDescent="0.3">
      <c r="A3925" t="s">
        <v>3989</v>
      </c>
      <c r="B3925" s="1">
        <v>45859</v>
      </c>
      <c r="C3925">
        <v>2025</v>
      </c>
      <c r="D3925" t="s">
        <v>1255</v>
      </c>
      <c r="E3925" t="s">
        <v>1256</v>
      </c>
      <c r="F3925" t="s">
        <v>37</v>
      </c>
      <c r="G3925" t="s">
        <v>45</v>
      </c>
      <c r="H3925" t="s">
        <v>55</v>
      </c>
      <c r="I3925" t="s">
        <v>29</v>
      </c>
      <c r="J3925" t="s">
        <v>30</v>
      </c>
      <c r="K3925" s="2">
        <v>5700</v>
      </c>
      <c r="L3925" s="2">
        <v>11500</v>
      </c>
      <c r="M3925">
        <v>60</v>
      </c>
      <c r="N3925" s="3">
        <v>0.26700000000000002</v>
      </c>
      <c r="O3925" t="s">
        <v>17</v>
      </c>
      <c r="P3925" t="s">
        <v>31</v>
      </c>
      <c r="Q3925">
        <v>0</v>
      </c>
      <c r="R3925">
        <v>1</v>
      </c>
      <c r="S3925" s="2">
        <v>0</v>
      </c>
      <c r="T3925" s="4"/>
      <c r="U3925">
        <v>1</v>
      </c>
      <c r="V3925">
        <v>1</v>
      </c>
      <c r="W3925">
        <v>1</v>
      </c>
    </row>
    <row r="3926" spans="1:23" ht="16.5" x14ac:dyDescent="0.3">
      <c r="A3926" t="s">
        <v>3990</v>
      </c>
      <c r="B3926" s="1">
        <v>45859</v>
      </c>
      <c r="C3926">
        <v>2025</v>
      </c>
      <c r="D3926" t="s">
        <v>1255</v>
      </c>
      <c r="E3926" t="s">
        <v>1256</v>
      </c>
      <c r="F3926" t="s">
        <v>50</v>
      </c>
      <c r="G3926" t="s">
        <v>27</v>
      </c>
      <c r="H3926" t="s">
        <v>55</v>
      </c>
      <c r="I3926" t="s">
        <v>42</v>
      </c>
      <c r="J3926" t="s">
        <v>46</v>
      </c>
      <c r="K3926" s="2">
        <v>5300</v>
      </c>
      <c r="L3926" s="2">
        <v>142500</v>
      </c>
      <c r="M3926">
        <v>300</v>
      </c>
      <c r="N3926" s="3">
        <v>0.33400000000000002</v>
      </c>
      <c r="O3926" t="s">
        <v>17</v>
      </c>
      <c r="P3926" t="s">
        <v>60</v>
      </c>
      <c r="Q3926">
        <v>0</v>
      </c>
      <c r="R3926">
        <v>1</v>
      </c>
      <c r="S3926" s="2">
        <v>0</v>
      </c>
      <c r="T3926" s="4"/>
      <c r="U3926">
        <v>20</v>
      </c>
      <c r="V3926">
        <v>0</v>
      </c>
      <c r="W3926">
        <v>1</v>
      </c>
    </row>
    <row r="3927" spans="1:23" ht="16.5" x14ac:dyDescent="0.3">
      <c r="A3927" t="s">
        <v>3991</v>
      </c>
      <c r="B3927" s="1">
        <v>45859</v>
      </c>
      <c r="C3927">
        <v>2025</v>
      </c>
      <c r="D3927" t="s">
        <v>1255</v>
      </c>
      <c r="E3927" t="s">
        <v>1256</v>
      </c>
      <c r="F3927" t="s">
        <v>26</v>
      </c>
      <c r="G3927" t="s">
        <v>45</v>
      </c>
      <c r="H3927" t="s">
        <v>34</v>
      </c>
      <c r="I3927" t="s">
        <v>39</v>
      </c>
      <c r="J3927" t="s">
        <v>46</v>
      </c>
      <c r="K3927" s="2">
        <v>1950</v>
      </c>
      <c r="L3927" s="2">
        <v>34500</v>
      </c>
      <c r="M3927">
        <v>48</v>
      </c>
      <c r="N3927" s="3">
        <v>0.57099999999999995</v>
      </c>
      <c r="O3927" t="s">
        <v>17</v>
      </c>
      <c r="P3927" t="s">
        <v>60</v>
      </c>
      <c r="Q3927">
        <v>0</v>
      </c>
      <c r="R3927">
        <v>1</v>
      </c>
      <c r="S3927" s="2">
        <v>0</v>
      </c>
      <c r="T3927" s="4"/>
      <c r="U3927">
        <v>6</v>
      </c>
      <c r="V3927">
        <v>0</v>
      </c>
      <c r="W3927">
        <v>1</v>
      </c>
    </row>
    <row r="3928" spans="1:23" ht="16.5" x14ac:dyDescent="0.3">
      <c r="A3928" t="s">
        <v>3992</v>
      </c>
      <c r="B3928" s="1">
        <v>45859</v>
      </c>
      <c r="C3928">
        <v>2025</v>
      </c>
      <c r="D3928" t="s">
        <v>1255</v>
      </c>
      <c r="E3928" t="s">
        <v>1256</v>
      </c>
      <c r="F3928" t="s">
        <v>26</v>
      </c>
      <c r="G3928" t="s">
        <v>51</v>
      </c>
      <c r="H3928" t="s">
        <v>38</v>
      </c>
      <c r="I3928" t="s">
        <v>29</v>
      </c>
      <c r="J3928" t="s">
        <v>52</v>
      </c>
      <c r="K3928" s="2">
        <v>4850</v>
      </c>
      <c r="L3928" s="2">
        <v>20500</v>
      </c>
      <c r="M3928">
        <v>36</v>
      </c>
      <c r="N3928" s="3">
        <v>0.23100000000000001</v>
      </c>
      <c r="O3928" t="s">
        <v>16</v>
      </c>
      <c r="Q3928">
        <v>1</v>
      </c>
      <c r="R3928">
        <v>0</v>
      </c>
      <c r="S3928" s="2">
        <v>18500</v>
      </c>
      <c r="T3928" s="4">
        <v>7.4300000000000005E-2</v>
      </c>
      <c r="U3928">
        <v>6</v>
      </c>
      <c r="V3928">
        <v>0</v>
      </c>
      <c r="W3928">
        <v>1</v>
      </c>
    </row>
    <row r="3929" spans="1:23" ht="16.5" x14ac:dyDescent="0.3">
      <c r="A3929" t="s">
        <v>3993</v>
      </c>
      <c r="B3929" s="1">
        <v>45859</v>
      </c>
      <c r="C3929">
        <v>2025</v>
      </c>
      <c r="D3929" t="s">
        <v>1255</v>
      </c>
      <c r="E3929" t="s">
        <v>1256</v>
      </c>
      <c r="F3929" t="s">
        <v>26</v>
      </c>
      <c r="G3929" t="s">
        <v>27</v>
      </c>
      <c r="H3929" t="s">
        <v>38</v>
      </c>
      <c r="I3929" t="s">
        <v>42</v>
      </c>
      <c r="J3929" t="s">
        <v>52</v>
      </c>
      <c r="K3929" s="2">
        <v>6750</v>
      </c>
      <c r="L3929" s="2">
        <v>14500</v>
      </c>
      <c r="M3929">
        <v>36</v>
      </c>
      <c r="N3929" s="3">
        <v>0.255</v>
      </c>
      <c r="O3929" t="s">
        <v>16</v>
      </c>
      <c r="Q3929">
        <v>1</v>
      </c>
      <c r="R3929">
        <v>0</v>
      </c>
      <c r="S3929" s="2">
        <v>14500</v>
      </c>
      <c r="T3929" s="4">
        <v>7.4099999999999999E-2</v>
      </c>
      <c r="U3929">
        <v>3</v>
      </c>
      <c r="V3929">
        <v>1</v>
      </c>
      <c r="W3929">
        <v>1</v>
      </c>
    </row>
    <row r="3930" spans="1:23" ht="16.5" x14ac:dyDescent="0.3">
      <c r="A3930" t="s">
        <v>3994</v>
      </c>
      <c r="B3930" s="1">
        <v>45860</v>
      </c>
      <c r="C3930">
        <v>2025</v>
      </c>
      <c r="D3930" t="s">
        <v>1255</v>
      </c>
      <c r="E3930" t="s">
        <v>1256</v>
      </c>
      <c r="F3930" t="s">
        <v>50</v>
      </c>
      <c r="G3930" t="s">
        <v>51</v>
      </c>
      <c r="H3930" t="s">
        <v>64</v>
      </c>
      <c r="I3930" t="s">
        <v>29</v>
      </c>
      <c r="J3930" t="s">
        <v>46</v>
      </c>
      <c r="K3930" s="2">
        <v>4450</v>
      </c>
      <c r="L3930" s="2">
        <v>103500</v>
      </c>
      <c r="M3930">
        <v>180</v>
      </c>
      <c r="N3930" s="3">
        <v>0.30599999999999999</v>
      </c>
      <c r="O3930" t="s">
        <v>16</v>
      </c>
      <c r="Q3930">
        <v>1</v>
      </c>
      <c r="R3930">
        <v>0</v>
      </c>
      <c r="S3930" s="2">
        <v>93000</v>
      </c>
      <c r="T3930" s="4">
        <v>4.19E-2</v>
      </c>
      <c r="U3930">
        <v>14</v>
      </c>
      <c r="V3930">
        <v>1</v>
      </c>
      <c r="W3930">
        <v>1</v>
      </c>
    </row>
    <row r="3931" spans="1:23" ht="16.5" x14ac:dyDescent="0.3">
      <c r="A3931" t="s">
        <v>3995</v>
      </c>
      <c r="B3931" s="1">
        <v>45860</v>
      </c>
      <c r="C3931">
        <v>2025</v>
      </c>
      <c r="D3931" t="s">
        <v>1255</v>
      </c>
      <c r="E3931" t="s">
        <v>1256</v>
      </c>
      <c r="F3931" t="s">
        <v>26</v>
      </c>
      <c r="G3931" t="s">
        <v>33</v>
      </c>
      <c r="H3931" t="s">
        <v>38</v>
      </c>
      <c r="I3931" t="s">
        <v>29</v>
      </c>
      <c r="J3931" t="s">
        <v>35</v>
      </c>
      <c r="K3931" s="2">
        <v>6050</v>
      </c>
      <c r="L3931" s="2">
        <v>16000</v>
      </c>
      <c r="M3931">
        <v>36</v>
      </c>
      <c r="N3931" s="3">
        <v>0.218</v>
      </c>
      <c r="O3931" t="s">
        <v>17</v>
      </c>
      <c r="P3931" t="s">
        <v>60</v>
      </c>
      <c r="Q3931">
        <v>0</v>
      </c>
      <c r="R3931">
        <v>1</v>
      </c>
      <c r="S3931" s="2">
        <v>0</v>
      </c>
      <c r="T3931" s="4"/>
      <c r="U3931">
        <v>7</v>
      </c>
      <c r="V3931">
        <v>0</v>
      </c>
      <c r="W3931">
        <v>1</v>
      </c>
    </row>
    <row r="3932" spans="1:23" ht="16.5" x14ac:dyDescent="0.3">
      <c r="A3932" t="s">
        <v>3996</v>
      </c>
      <c r="B3932" s="1">
        <v>45860</v>
      </c>
      <c r="C3932">
        <v>2025</v>
      </c>
      <c r="D3932" t="s">
        <v>1255</v>
      </c>
      <c r="E3932" t="s">
        <v>1256</v>
      </c>
      <c r="F3932" t="s">
        <v>50</v>
      </c>
      <c r="G3932" t="s">
        <v>33</v>
      </c>
      <c r="H3932" t="s">
        <v>38</v>
      </c>
      <c r="I3932" t="s">
        <v>29</v>
      </c>
      <c r="J3932" t="s">
        <v>52</v>
      </c>
      <c r="K3932" s="2">
        <v>8400</v>
      </c>
      <c r="L3932" s="2">
        <v>168000</v>
      </c>
      <c r="M3932">
        <v>300</v>
      </c>
      <c r="N3932" s="3">
        <v>0.307</v>
      </c>
      <c r="O3932" t="s">
        <v>16</v>
      </c>
      <c r="Q3932">
        <v>1</v>
      </c>
      <c r="R3932">
        <v>0</v>
      </c>
      <c r="S3932" s="2">
        <v>168000</v>
      </c>
      <c r="T3932" s="4">
        <v>4.3799999999999999E-2</v>
      </c>
      <c r="U3932">
        <v>6</v>
      </c>
      <c r="V3932">
        <v>1</v>
      </c>
      <c r="W3932">
        <v>1</v>
      </c>
    </row>
    <row r="3933" spans="1:23" ht="16.5" x14ac:dyDescent="0.3">
      <c r="A3933" t="s">
        <v>3997</v>
      </c>
      <c r="B3933" s="1">
        <v>45860</v>
      </c>
      <c r="C3933">
        <v>2025</v>
      </c>
      <c r="D3933" t="s">
        <v>1255</v>
      </c>
      <c r="E3933" t="s">
        <v>1256</v>
      </c>
      <c r="F3933" t="s">
        <v>41</v>
      </c>
      <c r="G3933" t="s">
        <v>45</v>
      </c>
      <c r="H3933" t="s">
        <v>38</v>
      </c>
      <c r="I3933" t="s">
        <v>39</v>
      </c>
      <c r="J3933" t="s">
        <v>52</v>
      </c>
      <c r="K3933" s="2">
        <v>14000</v>
      </c>
      <c r="L3933" s="2">
        <v>48000</v>
      </c>
      <c r="M3933">
        <v>12</v>
      </c>
      <c r="N3933" s="3">
        <v>0.39200000000000002</v>
      </c>
      <c r="O3933" t="s">
        <v>16</v>
      </c>
      <c r="Q3933">
        <v>1</v>
      </c>
      <c r="R3933">
        <v>0</v>
      </c>
      <c r="S3933" s="2">
        <v>48000</v>
      </c>
      <c r="T3933" s="4">
        <v>0.10349999999999999</v>
      </c>
      <c r="U3933">
        <v>8</v>
      </c>
      <c r="V3933">
        <v>1</v>
      </c>
      <c r="W3933">
        <v>1</v>
      </c>
    </row>
    <row r="3934" spans="1:23" ht="16.5" x14ac:dyDescent="0.3">
      <c r="A3934" t="s">
        <v>3998</v>
      </c>
      <c r="B3934" s="1">
        <v>45860</v>
      </c>
      <c r="C3934">
        <v>2025</v>
      </c>
      <c r="D3934" t="s">
        <v>1255</v>
      </c>
      <c r="E3934" t="s">
        <v>1256</v>
      </c>
      <c r="F3934" t="s">
        <v>37</v>
      </c>
      <c r="G3934" t="s">
        <v>45</v>
      </c>
      <c r="H3934" t="s">
        <v>34</v>
      </c>
      <c r="I3934" t="s">
        <v>29</v>
      </c>
      <c r="J3934" t="s">
        <v>43</v>
      </c>
      <c r="K3934" s="2">
        <v>3300</v>
      </c>
      <c r="L3934" s="2">
        <v>9000</v>
      </c>
      <c r="M3934">
        <v>60</v>
      </c>
      <c r="N3934" s="3">
        <v>0.26</v>
      </c>
      <c r="O3934" t="s">
        <v>17</v>
      </c>
      <c r="P3934" t="s">
        <v>31</v>
      </c>
      <c r="Q3934">
        <v>0</v>
      </c>
      <c r="R3934">
        <v>1</v>
      </c>
      <c r="S3934" s="2">
        <v>0</v>
      </c>
      <c r="T3934" s="4"/>
      <c r="U3934">
        <v>2</v>
      </c>
      <c r="V3934">
        <v>1</v>
      </c>
      <c r="W3934">
        <v>1</v>
      </c>
    </row>
    <row r="3935" spans="1:23" ht="16.5" x14ac:dyDescent="0.3">
      <c r="A3935" t="s">
        <v>3999</v>
      </c>
      <c r="B3935" s="1">
        <v>45860</v>
      </c>
      <c r="C3935">
        <v>2025</v>
      </c>
      <c r="D3935" t="s">
        <v>1255</v>
      </c>
      <c r="E3935" t="s">
        <v>1256</v>
      </c>
      <c r="F3935" t="s">
        <v>37</v>
      </c>
      <c r="G3935" t="s">
        <v>51</v>
      </c>
      <c r="H3935" t="s">
        <v>38</v>
      </c>
      <c r="I3935" t="s">
        <v>39</v>
      </c>
      <c r="J3935" t="s">
        <v>30</v>
      </c>
      <c r="K3935" s="2">
        <v>8000</v>
      </c>
      <c r="L3935" s="2">
        <v>8000</v>
      </c>
      <c r="M3935">
        <v>48</v>
      </c>
      <c r="N3935" s="3">
        <v>0.113</v>
      </c>
      <c r="O3935" t="s">
        <v>17</v>
      </c>
      <c r="P3935" t="s">
        <v>60</v>
      </c>
      <c r="Q3935">
        <v>0</v>
      </c>
      <c r="R3935">
        <v>1</v>
      </c>
      <c r="S3935" s="2">
        <v>0</v>
      </c>
      <c r="T3935" s="4"/>
      <c r="U3935">
        <v>12</v>
      </c>
      <c r="V3935">
        <v>0</v>
      </c>
      <c r="W3935">
        <v>1</v>
      </c>
    </row>
    <row r="3936" spans="1:23" ht="16.5" x14ac:dyDescent="0.3">
      <c r="A3936" t="s">
        <v>4000</v>
      </c>
      <c r="B3936" s="1">
        <v>45860</v>
      </c>
      <c r="C3936">
        <v>2025</v>
      </c>
      <c r="D3936" t="s">
        <v>1255</v>
      </c>
      <c r="E3936" t="s">
        <v>1256</v>
      </c>
      <c r="F3936" t="s">
        <v>26</v>
      </c>
      <c r="G3936" t="s">
        <v>51</v>
      </c>
      <c r="H3936" t="s">
        <v>55</v>
      </c>
      <c r="I3936" t="s">
        <v>29</v>
      </c>
      <c r="J3936" t="s">
        <v>43</v>
      </c>
      <c r="K3936" s="2">
        <v>3600</v>
      </c>
      <c r="L3936" s="2">
        <v>35000</v>
      </c>
      <c r="M3936">
        <v>60</v>
      </c>
      <c r="N3936" s="3">
        <v>0.41099999999999998</v>
      </c>
      <c r="O3936" t="s">
        <v>17</v>
      </c>
      <c r="P3936" t="s">
        <v>31</v>
      </c>
      <c r="Q3936">
        <v>0</v>
      </c>
      <c r="R3936">
        <v>1</v>
      </c>
      <c r="S3936" s="2">
        <v>0</v>
      </c>
      <c r="T3936" s="4"/>
      <c r="U3936">
        <v>7</v>
      </c>
      <c r="V3936">
        <v>0</v>
      </c>
      <c r="W3936">
        <v>1</v>
      </c>
    </row>
    <row r="3937" spans="1:23" ht="16.5" x14ac:dyDescent="0.3">
      <c r="A3937" t="s">
        <v>4001</v>
      </c>
      <c r="B3937" s="1">
        <v>45860</v>
      </c>
      <c r="C3937">
        <v>2025</v>
      </c>
      <c r="D3937" t="s">
        <v>1255</v>
      </c>
      <c r="E3937" t="s">
        <v>1256</v>
      </c>
      <c r="F3937" t="s">
        <v>41</v>
      </c>
      <c r="G3937" t="s">
        <v>27</v>
      </c>
      <c r="H3937" t="s">
        <v>38</v>
      </c>
      <c r="I3937" t="s">
        <v>29</v>
      </c>
      <c r="J3937" t="s">
        <v>35</v>
      </c>
      <c r="K3937" s="2">
        <v>8250</v>
      </c>
      <c r="L3937" s="2">
        <v>65500</v>
      </c>
      <c r="M3937">
        <v>36</v>
      </c>
      <c r="N3937" s="3">
        <v>0.314</v>
      </c>
      <c r="O3937" t="s">
        <v>17</v>
      </c>
      <c r="P3937" t="s">
        <v>60</v>
      </c>
      <c r="Q3937">
        <v>0</v>
      </c>
      <c r="R3937">
        <v>1</v>
      </c>
      <c r="S3937" s="2">
        <v>0</v>
      </c>
      <c r="T3937" s="4"/>
      <c r="U3937">
        <v>11</v>
      </c>
      <c r="V3937">
        <v>0</v>
      </c>
      <c r="W3937">
        <v>1</v>
      </c>
    </row>
    <row r="3938" spans="1:23" ht="16.5" x14ac:dyDescent="0.3">
      <c r="A3938" t="s">
        <v>4002</v>
      </c>
      <c r="B3938" s="1">
        <v>45860</v>
      </c>
      <c r="C3938">
        <v>2025</v>
      </c>
      <c r="D3938" t="s">
        <v>1255</v>
      </c>
      <c r="E3938" t="s">
        <v>1256</v>
      </c>
      <c r="F3938" t="s">
        <v>41</v>
      </c>
      <c r="G3938" t="s">
        <v>51</v>
      </c>
      <c r="H3938" t="s">
        <v>28</v>
      </c>
      <c r="I3938" t="s">
        <v>39</v>
      </c>
      <c r="J3938" t="s">
        <v>30</v>
      </c>
      <c r="K3938" s="2">
        <v>8850</v>
      </c>
      <c r="L3938" s="2">
        <v>208000</v>
      </c>
      <c r="M3938">
        <v>36</v>
      </c>
      <c r="N3938" s="3">
        <v>0.80800000000000005</v>
      </c>
      <c r="O3938" t="s">
        <v>17</v>
      </c>
      <c r="P3938" t="s">
        <v>31</v>
      </c>
      <c r="Q3938">
        <v>0</v>
      </c>
      <c r="R3938">
        <v>1</v>
      </c>
      <c r="S3938" s="2">
        <v>0</v>
      </c>
      <c r="T3938" s="4"/>
      <c r="U3938">
        <v>14</v>
      </c>
      <c r="V3938">
        <v>0</v>
      </c>
      <c r="W3938">
        <v>1</v>
      </c>
    </row>
    <row r="3939" spans="1:23" ht="16.5" x14ac:dyDescent="0.3">
      <c r="A3939" t="s">
        <v>4003</v>
      </c>
      <c r="B3939" s="1">
        <v>45860</v>
      </c>
      <c r="C3939">
        <v>2025</v>
      </c>
      <c r="D3939" t="s">
        <v>1255</v>
      </c>
      <c r="E3939" t="s">
        <v>1256</v>
      </c>
      <c r="F3939" t="s">
        <v>37</v>
      </c>
      <c r="G3939" t="s">
        <v>33</v>
      </c>
      <c r="H3939" t="s">
        <v>34</v>
      </c>
      <c r="I3939" t="s">
        <v>42</v>
      </c>
      <c r="J3939" t="s">
        <v>35</v>
      </c>
      <c r="K3939" s="2">
        <v>2600</v>
      </c>
      <c r="L3939" s="2">
        <v>9000</v>
      </c>
      <c r="M3939">
        <v>60</v>
      </c>
      <c r="N3939" s="3">
        <v>0.26100000000000001</v>
      </c>
      <c r="O3939" t="s">
        <v>16</v>
      </c>
      <c r="Q3939">
        <v>1</v>
      </c>
      <c r="R3939">
        <v>0</v>
      </c>
      <c r="S3939" s="2">
        <v>9000</v>
      </c>
      <c r="T3939" s="4">
        <v>0.12839999999999999</v>
      </c>
      <c r="U3939">
        <v>2</v>
      </c>
      <c r="V3939">
        <v>1</v>
      </c>
      <c r="W3939">
        <v>1</v>
      </c>
    </row>
    <row r="3940" spans="1:23" ht="16.5" x14ac:dyDescent="0.3">
      <c r="A3940" t="s">
        <v>4004</v>
      </c>
      <c r="B3940" s="1">
        <v>45861</v>
      </c>
      <c r="C3940">
        <v>2025</v>
      </c>
      <c r="D3940" t="s">
        <v>1255</v>
      </c>
      <c r="E3940" t="s">
        <v>1256</v>
      </c>
      <c r="F3940" t="s">
        <v>37</v>
      </c>
      <c r="G3940" t="s">
        <v>27</v>
      </c>
      <c r="H3940" t="s">
        <v>38</v>
      </c>
      <c r="I3940" t="s">
        <v>29</v>
      </c>
      <c r="J3940" t="s">
        <v>43</v>
      </c>
      <c r="K3940" s="2">
        <v>13300</v>
      </c>
      <c r="L3940" s="2">
        <v>6500</v>
      </c>
      <c r="M3940">
        <v>36</v>
      </c>
      <c r="N3940" s="3">
        <v>7.9000000000000001E-2</v>
      </c>
      <c r="O3940" t="s">
        <v>17</v>
      </c>
      <c r="P3940" t="s">
        <v>31</v>
      </c>
      <c r="Q3940">
        <v>0</v>
      </c>
      <c r="R3940">
        <v>1</v>
      </c>
      <c r="S3940" s="2">
        <v>0</v>
      </c>
      <c r="T3940" s="4"/>
      <c r="U3940">
        <v>5</v>
      </c>
      <c r="V3940">
        <v>0</v>
      </c>
      <c r="W3940">
        <v>1</v>
      </c>
    </row>
    <row r="3941" spans="1:23" ht="16.5" x14ac:dyDescent="0.3">
      <c r="A3941" t="s">
        <v>4005</v>
      </c>
      <c r="B3941" s="1">
        <v>45861</v>
      </c>
      <c r="C3941">
        <v>2025</v>
      </c>
      <c r="D3941" t="s">
        <v>1255</v>
      </c>
      <c r="E3941" t="s">
        <v>1256</v>
      </c>
      <c r="F3941" t="s">
        <v>37</v>
      </c>
      <c r="G3941" t="s">
        <v>45</v>
      </c>
      <c r="H3941" t="s">
        <v>55</v>
      </c>
      <c r="I3941" t="s">
        <v>42</v>
      </c>
      <c r="J3941" t="s">
        <v>35</v>
      </c>
      <c r="K3941" s="2">
        <v>3150</v>
      </c>
      <c r="L3941" s="2">
        <v>21500</v>
      </c>
      <c r="M3941">
        <v>60</v>
      </c>
      <c r="N3941" s="3">
        <v>0.38700000000000001</v>
      </c>
      <c r="O3941" t="s">
        <v>16</v>
      </c>
      <c r="Q3941">
        <v>1</v>
      </c>
      <c r="R3941">
        <v>0</v>
      </c>
      <c r="S3941" s="2">
        <v>21500</v>
      </c>
      <c r="T3941" s="4">
        <v>0.12809999999999999</v>
      </c>
      <c r="U3941">
        <v>1</v>
      </c>
      <c r="V3941">
        <v>1</v>
      </c>
      <c r="W3941">
        <v>1</v>
      </c>
    </row>
    <row r="3942" spans="1:23" ht="16.5" x14ac:dyDescent="0.3">
      <c r="A3942" t="s">
        <v>4006</v>
      </c>
      <c r="B3942" s="1">
        <v>45861</v>
      </c>
      <c r="C3942">
        <v>2025</v>
      </c>
      <c r="D3942" t="s">
        <v>1255</v>
      </c>
      <c r="E3942" t="s">
        <v>1256</v>
      </c>
      <c r="F3942" t="s">
        <v>41</v>
      </c>
      <c r="G3942" t="s">
        <v>51</v>
      </c>
      <c r="H3942" t="s">
        <v>55</v>
      </c>
      <c r="I3942" t="s">
        <v>39</v>
      </c>
      <c r="J3942" t="s">
        <v>43</v>
      </c>
      <c r="K3942" s="2">
        <v>5500</v>
      </c>
      <c r="L3942" s="2">
        <v>57000</v>
      </c>
      <c r="M3942">
        <v>24</v>
      </c>
      <c r="N3942" s="3">
        <v>0.65100000000000002</v>
      </c>
      <c r="O3942" t="s">
        <v>17</v>
      </c>
      <c r="P3942" t="s">
        <v>31</v>
      </c>
      <c r="Q3942">
        <v>0</v>
      </c>
      <c r="R3942">
        <v>1</v>
      </c>
      <c r="S3942" s="2">
        <v>0</v>
      </c>
      <c r="T3942" s="4"/>
      <c r="U3942">
        <v>27</v>
      </c>
      <c r="V3942">
        <v>0</v>
      </c>
      <c r="W3942">
        <v>1</v>
      </c>
    </row>
    <row r="3943" spans="1:23" ht="16.5" x14ac:dyDescent="0.3">
      <c r="A3943" t="s">
        <v>4007</v>
      </c>
      <c r="B3943" s="1">
        <v>45861</v>
      </c>
      <c r="C3943">
        <v>2025</v>
      </c>
      <c r="D3943" t="s">
        <v>1255</v>
      </c>
      <c r="E3943" t="s">
        <v>1256</v>
      </c>
      <c r="F3943" t="s">
        <v>37</v>
      </c>
      <c r="G3943" t="s">
        <v>45</v>
      </c>
      <c r="H3943" t="s">
        <v>34</v>
      </c>
      <c r="I3943" t="s">
        <v>29</v>
      </c>
      <c r="J3943" t="s">
        <v>52</v>
      </c>
      <c r="K3943" s="2">
        <v>3550</v>
      </c>
      <c r="L3943" s="2">
        <v>8500</v>
      </c>
      <c r="M3943">
        <v>48</v>
      </c>
      <c r="N3943" s="3">
        <v>0.182</v>
      </c>
      <c r="O3943" t="s">
        <v>16</v>
      </c>
      <c r="Q3943">
        <v>1</v>
      </c>
      <c r="R3943">
        <v>0</v>
      </c>
      <c r="S3943" s="2">
        <v>7000</v>
      </c>
      <c r="T3943" s="4">
        <v>0.11459999999999999</v>
      </c>
      <c r="U3943">
        <v>2</v>
      </c>
      <c r="V3943">
        <v>1</v>
      </c>
      <c r="W3943">
        <v>1</v>
      </c>
    </row>
    <row r="3944" spans="1:23" ht="16.5" x14ac:dyDescent="0.3">
      <c r="A3944" t="s">
        <v>4008</v>
      </c>
      <c r="B3944" s="1">
        <v>45861</v>
      </c>
      <c r="C3944">
        <v>2025</v>
      </c>
      <c r="D3944" t="s">
        <v>1255</v>
      </c>
      <c r="E3944" t="s">
        <v>1256</v>
      </c>
      <c r="F3944" t="s">
        <v>26</v>
      </c>
      <c r="G3944" t="s">
        <v>33</v>
      </c>
      <c r="H3944" t="s">
        <v>34</v>
      </c>
      <c r="I3944" t="s">
        <v>42</v>
      </c>
      <c r="J3944" t="s">
        <v>30</v>
      </c>
      <c r="K3944" s="2">
        <v>11250</v>
      </c>
      <c r="L3944" s="2">
        <v>23500</v>
      </c>
      <c r="M3944">
        <v>36</v>
      </c>
      <c r="N3944" s="3">
        <v>0.22500000000000001</v>
      </c>
      <c r="O3944" t="s">
        <v>16</v>
      </c>
      <c r="Q3944">
        <v>1</v>
      </c>
      <c r="R3944">
        <v>0</v>
      </c>
      <c r="S3944" s="2">
        <v>23500</v>
      </c>
      <c r="T3944" s="4">
        <v>9.2200000000000004E-2</v>
      </c>
      <c r="U3944">
        <v>2</v>
      </c>
      <c r="V3944">
        <v>1</v>
      </c>
      <c r="W3944">
        <v>1</v>
      </c>
    </row>
    <row r="3945" spans="1:23" ht="16.5" x14ac:dyDescent="0.3">
      <c r="A3945" t="s">
        <v>4009</v>
      </c>
      <c r="B3945" s="1">
        <v>45861</v>
      </c>
      <c r="C3945">
        <v>2025</v>
      </c>
      <c r="D3945" t="s">
        <v>1255</v>
      </c>
      <c r="E3945" t="s">
        <v>1256</v>
      </c>
      <c r="F3945" t="s">
        <v>26</v>
      </c>
      <c r="G3945" t="s">
        <v>27</v>
      </c>
      <c r="H3945" t="s">
        <v>38</v>
      </c>
      <c r="I3945" t="s">
        <v>42</v>
      </c>
      <c r="J3945" t="s">
        <v>52</v>
      </c>
      <c r="K3945" s="2">
        <v>6800</v>
      </c>
      <c r="L3945" s="2">
        <v>21500</v>
      </c>
      <c r="M3945">
        <v>36</v>
      </c>
      <c r="N3945" s="3">
        <v>0.25700000000000001</v>
      </c>
      <c r="O3945" t="s">
        <v>16</v>
      </c>
      <c r="Q3945">
        <v>1</v>
      </c>
      <c r="R3945">
        <v>0</v>
      </c>
      <c r="S3945" s="2">
        <v>21500</v>
      </c>
      <c r="T3945" s="4">
        <v>6.9800000000000001E-2</v>
      </c>
      <c r="U3945">
        <v>5</v>
      </c>
      <c r="V3945">
        <v>0</v>
      </c>
      <c r="W3945">
        <v>1</v>
      </c>
    </row>
    <row r="3946" spans="1:23" ht="16.5" x14ac:dyDescent="0.3">
      <c r="A3946" t="s">
        <v>4010</v>
      </c>
      <c r="B3946" s="1">
        <v>45861</v>
      </c>
      <c r="C3946">
        <v>2025</v>
      </c>
      <c r="D3946" t="s">
        <v>1255</v>
      </c>
      <c r="E3946" t="s">
        <v>1256</v>
      </c>
      <c r="F3946" t="s">
        <v>37</v>
      </c>
      <c r="G3946" t="s">
        <v>51</v>
      </c>
      <c r="H3946" t="s">
        <v>38</v>
      </c>
      <c r="I3946" t="s">
        <v>29</v>
      </c>
      <c r="J3946" t="s">
        <v>35</v>
      </c>
      <c r="K3946" s="2">
        <v>5450</v>
      </c>
      <c r="L3946" s="2">
        <v>7000</v>
      </c>
      <c r="M3946">
        <v>12</v>
      </c>
      <c r="N3946" s="3">
        <v>0.20100000000000001</v>
      </c>
      <c r="O3946" t="s">
        <v>16</v>
      </c>
      <c r="Q3946">
        <v>1</v>
      </c>
      <c r="R3946">
        <v>0</v>
      </c>
      <c r="S3946" s="2">
        <v>7000</v>
      </c>
      <c r="T3946" s="4">
        <v>0.1278</v>
      </c>
      <c r="U3946">
        <v>6</v>
      </c>
      <c r="V3946">
        <v>0</v>
      </c>
      <c r="W3946">
        <v>1</v>
      </c>
    </row>
    <row r="3947" spans="1:23" ht="16.5" x14ac:dyDescent="0.3">
      <c r="A3947" t="s">
        <v>4011</v>
      </c>
      <c r="B3947" s="1">
        <v>45861</v>
      </c>
      <c r="C3947">
        <v>2025</v>
      </c>
      <c r="D3947" t="s">
        <v>1255</v>
      </c>
      <c r="E3947" t="s">
        <v>1256</v>
      </c>
      <c r="F3947" t="s">
        <v>26</v>
      </c>
      <c r="G3947" t="s">
        <v>51</v>
      </c>
      <c r="H3947" t="s">
        <v>55</v>
      </c>
      <c r="I3947" t="s">
        <v>42</v>
      </c>
      <c r="J3947" t="s">
        <v>35</v>
      </c>
      <c r="K3947" s="2">
        <v>4600</v>
      </c>
      <c r="L3947" s="2">
        <v>46500</v>
      </c>
      <c r="M3947">
        <v>36</v>
      </c>
      <c r="N3947" s="3">
        <v>0.42499999999999999</v>
      </c>
      <c r="O3947" t="s">
        <v>16</v>
      </c>
      <c r="Q3947">
        <v>1</v>
      </c>
      <c r="R3947">
        <v>0</v>
      </c>
      <c r="S3947" s="2">
        <v>46500</v>
      </c>
      <c r="T3947" s="4">
        <v>7.6200000000000004E-2</v>
      </c>
      <c r="U3947">
        <v>8</v>
      </c>
      <c r="V3947">
        <v>0</v>
      </c>
      <c r="W3947">
        <v>1</v>
      </c>
    </row>
    <row r="3948" spans="1:23" ht="16.5" x14ac:dyDescent="0.3">
      <c r="A3948" t="s">
        <v>4012</v>
      </c>
      <c r="B3948" s="1">
        <v>45862</v>
      </c>
      <c r="C3948">
        <v>2025</v>
      </c>
      <c r="D3948" t="s">
        <v>1255</v>
      </c>
      <c r="E3948" t="s">
        <v>1256</v>
      </c>
      <c r="F3948" t="s">
        <v>37</v>
      </c>
      <c r="G3948" t="s">
        <v>45</v>
      </c>
      <c r="H3948" t="s">
        <v>34</v>
      </c>
      <c r="I3948" t="s">
        <v>42</v>
      </c>
      <c r="J3948" t="s">
        <v>52</v>
      </c>
      <c r="K3948" s="2">
        <v>4400</v>
      </c>
      <c r="L3948" s="2">
        <v>5000</v>
      </c>
      <c r="M3948">
        <v>12</v>
      </c>
      <c r="N3948" s="3">
        <v>0.152</v>
      </c>
      <c r="O3948" t="s">
        <v>16</v>
      </c>
      <c r="Q3948">
        <v>1</v>
      </c>
      <c r="R3948">
        <v>0</v>
      </c>
      <c r="S3948" s="2">
        <v>5000</v>
      </c>
      <c r="T3948" s="4">
        <v>0.11269999999999999</v>
      </c>
      <c r="U3948">
        <v>1</v>
      </c>
      <c r="V3948">
        <v>1</v>
      </c>
      <c r="W3948">
        <v>1</v>
      </c>
    </row>
    <row r="3949" spans="1:23" ht="16.5" x14ac:dyDescent="0.3">
      <c r="A3949" t="s">
        <v>4013</v>
      </c>
      <c r="B3949" s="1">
        <v>45862</v>
      </c>
      <c r="C3949">
        <v>2025</v>
      </c>
      <c r="D3949" t="s">
        <v>1255</v>
      </c>
      <c r="E3949" t="s">
        <v>1256</v>
      </c>
      <c r="F3949" t="s">
        <v>37</v>
      </c>
      <c r="G3949" t="s">
        <v>33</v>
      </c>
      <c r="H3949" t="s">
        <v>38</v>
      </c>
      <c r="I3949" t="s">
        <v>29</v>
      </c>
      <c r="J3949" t="s">
        <v>35</v>
      </c>
      <c r="K3949" s="2">
        <v>8450</v>
      </c>
      <c r="L3949" s="2">
        <v>11500</v>
      </c>
      <c r="M3949">
        <v>48</v>
      </c>
      <c r="N3949" s="3">
        <v>0.183</v>
      </c>
      <c r="O3949" t="s">
        <v>16</v>
      </c>
      <c r="Q3949">
        <v>1</v>
      </c>
      <c r="R3949">
        <v>0</v>
      </c>
      <c r="S3949" s="2">
        <v>10500</v>
      </c>
      <c r="T3949" s="4">
        <v>0.1268</v>
      </c>
      <c r="U3949">
        <v>1</v>
      </c>
      <c r="V3949">
        <v>1</v>
      </c>
      <c r="W3949">
        <v>1</v>
      </c>
    </row>
    <row r="3950" spans="1:23" ht="16.5" x14ac:dyDescent="0.3">
      <c r="A3950" t="s">
        <v>4014</v>
      </c>
      <c r="B3950" s="1">
        <v>45862</v>
      </c>
      <c r="C3950">
        <v>2025</v>
      </c>
      <c r="D3950" t="s">
        <v>1255</v>
      </c>
      <c r="E3950" t="s">
        <v>1256</v>
      </c>
      <c r="F3950" t="s">
        <v>50</v>
      </c>
      <c r="G3950" t="s">
        <v>27</v>
      </c>
      <c r="H3950" t="s">
        <v>55</v>
      </c>
      <c r="I3950" t="s">
        <v>29</v>
      </c>
      <c r="J3950" t="s">
        <v>30</v>
      </c>
      <c r="K3950" s="2">
        <v>2700</v>
      </c>
      <c r="L3950" s="2">
        <v>130000</v>
      </c>
      <c r="M3950">
        <v>180</v>
      </c>
      <c r="N3950" s="3">
        <v>0.625</v>
      </c>
      <c r="O3950" t="s">
        <v>16</v>
      </c>
      <c r="Q3950">
        <v>1</v>
      </c>
      <c r="R3950">
        <v>0</v>
      </c>
      <c r="S3950" s="2">
        <v>104000</v>
      </c>
      <c r="T3950" s="4">
        <v>7.2400000000000006E-2</v>
      </c>
      <c r="U3950">
        <v>12</v>
      </c>
      <c r="V3950">
        <v>1</v>
      </c>
      <c r="W3950">
        <v>1</v>
      </c>
    </row>
    <row r="3951" spans="1:23" ht="16.5" x14ac:dyDescent="0.3">
      <c r="A3951" t="s">
        <v>4015</v>
      </c>
      <c r="B3951" s="1">
        <v>45862</v>
      </c>
      <c r="C3951">
        <v>2025</v>
      </c>
      <c r="D3951" t="s">
        <v>1255</v>
      </c>
      <c r="E3951" t="s">
        <v>1256</v>
      </c>
      <c r="F3951" t="s">
        <v>26</v>
      </c>
      <c r="G3951" t="s">
        <v>45</v>
      </c>
      <c r="H3951" t="s">
        <v>64</v>
      </c>
      <c r="I3951" t="s">
        <v>29</v>
      </c>
      <c r="J3951" t="s">
        <v>30</v>
      </c>
      <c r="K3951" s="2">
        <v>3950</v>
      </c>
      <c r="L3951" s="2">
        <v>35000</v>
      </c>
      <c r="M3951">
        <v>48</v>
      </c>
      <c r="N3951" s="3">
        <v>0.41799999999999998</v>
      </c>
      <c r="O3951" t="s">
        <v>16</v>
      </c>
      <c r="Q3951">
        <v>1</v>
      </c>
      <c r="R3951">
        <v>0</v>
      </c>
      <c r="S3951" s="2">
        <v>31500</v>
      </c>
      <c r="T3951" s="4">
        <v>9.6199999999999994E-2</v>
      </c>
      <c r="U3951">
        <v>2</v>
      </c>
      <c r="V3951">
        <v>1</v>
      </c>
      <c r="W3951">
        <v>1</v>
      </c>
    </row>
    <row r="3952" spans="1:23" ht="16.5" x14ac:dyDescent="0.3">
      <c r="A3952" t="s">
        <v>4016</v>
      </c>
      <c r="B3952" s="1">
        <v>45862</v>
      </c>
      <c r="C3952">
        <v>2025</v>
      </c>
      <c r="D3952" t="s">
        <v>1255</v>
      </c>
      <c r="E3952" t="s">
        <v>1256</v>
      </c>
      <c r="F3952" t="s">
        <v>37</v>
      </c>
      <c r="G3952" t="s">
        <v>51</v>
      </c>
      <c r="H3952" t="s">
        <v>28</v>
      </c>
      <c r="I3952" t="s">
        <v>39</v>
      </c>
      <c r="J3952" t="s">
        <v>35</v>
      </c>
      <c r="K3952" s="2">
        <v>5850</v>
      </c>
      <c r="L3952" s="2">
        <v>10500</v>
      </c>
      <c r="M3952">
        <v>24</v>
      </c>
      <c r="N3952" s="3">
        <v>0.19600000000000001</v>
      </c>
      <c r="O3952" t="s">
        <v>16</v>
      </c>
      <c r="Q3952">
        <v>1</v>
      </c>
      <c r="R3952">
        <v>0</v>
      </c>
      <c r="S3952" s="2">
        <v>10500</v>
      </c>
      <c r="T3952" s="4">
        <v>0.1249</v>
      </c>
      <c r="U3952">
        <v>6</v>
      </c>
      <c r="V3952">
        <v>0</v>
      </c>
      <c r="W3952">
        <v>1</v>
      </c>
    </row>
    <row r="3953" spans="1:23" ht="16.5" x14ac:dyDescent="0.3">
      <c r="A3953" t="s">
        <v>4017</v>
      </c>
      <c r="B3953" s="1">
        <v>45862</v>
      </c>
      <c r="C3953">
        <v>2025</v>
      </c>
      <c r="D3953" t="s">
        <v>1255</v>
      </c>
      <c r="E3953" t="s">
        <v>1256</v>
      </c>
      <c r="F3953" t="s">
        <v>26</v>
      </c>
      <c r="G3953" t="s">
        <v>33</v>
      </c>
      <c r="H3953" t="s">
        <v>64</v>
      </c>
      <c r="I3953" t="s">
        <v>29</v>
      </c>
      <c r="J3953" t="s">
        <v>52</v>
      </c>
      <c r="K3953" s="2">
        <v>5000</v>
      </c>
      <c r="L3953" s="2">
        <v>39500</v>
      </c>
      <c r="M3953">
        <v>60</v>
      </c>
      <c r="N3953" s="3">
        <v>0.221</v>
      </c>
      <c r="O3953" t="s">
        <v>16</v>
      </c>
      <c r="Q3953">
        <v>1</v>
      </c>
      <c r="R3953">
        <v>0</v>
      </c>
      <c r="S3953" s="2">
        <v>35500</v>
      </c>
      <c r="T3953" s="4">
        <v>7.4700000000000003E-2</v>
      </c>
      <c r="U3953">
        <v>2</v>
      </c>
      <c r="V3953">
        <v>1</v>
      </c>
      <c r="W3953">
        <v>1</v>
      </c>
    </row>
    <row r="3954" spans="1:23" ht="16.5" x14ac:dyDescent="0.3">
      <c r="A3954" t="s">
        <v>4018</v>
      </c>
      <c r="B3954" s="1">
        <v>45862</v>
      </c>
      <c r="C3954">
        <v>2025</v>
      </c>
      <c r="D3954" t="s">
        <v>1255</v>
      </c>
      <c r="E3954" t="s">
        <v>1256</v>
      </c>
      <c r="F3954" t="s">
        <v>26</v>
      </c>
      <c r="G3954" t="s">
        <v>45</v>
      </c>
      <c r="H3954" t="s">
        <v>38</v>
      </c>
      <c r="I3954" t="s">
        <v>42</v>
      </c>
      <c r="J3954" t="s">
        <v>30</v>
      </c>
      <c r="K3954" s="2">
        <v>6650</v>
      </c>
      <c r="L3954" s="2">
        <v>16500</v>
      </c>
      <c r="M3954">
        <v>48</v>
      </c>
      <c r="N3954" s="3">
        <v>0.27100000000000002</v>
      </c>
      <c r="O3954" t="s">
        <v>16</v>
      </c>
      <c r="Q3954">
        <v>1</v>
      </c>
      <c r="R3954">
        <v>0</v>
      </c>
      <c r="S3954" s="2">
        <v>15000</v>
      </c>
      <c r="T3954" s="4">
        <v>9.98E-2</v>
      </c>
      <c r="U3954">
        <v>2</v>
      </c>
      <c r="V3954">
        <v>1</v>
      </c>
      <c r="W3954">
        <v>1</v>
      </c>
    </row>
    <row r="3955" spans="1:23" ht="16.5" x14ac:dyDescent="0.3">
      <c r="A3955" t="s">
        <v>4019</v>
      </c>
      <c r="B3955" s="1">
        <v>45862</v>
      </c>
      <c r="C3955">
        <v>2025</v>
      </c>
      <c r="D3955" t="s">
        <v>1255</v>
      </c>
      <c r="E3955" t="s">
        <v>1256</v>
      </c>
      <c r="F3955" t="s">
        <v>41</v>
      </c>
      <c r="G3955" t="s">
        <v>27</v>
      </c>
      <c r="H3955" t="s">
        <v>34</v>
      </c>
      <c r="I3955" t="s">
        <v>39</v>
      </c>
      <c r="J3955" t="s">
        <v>35</v>
      </c>
      <c r="K3955" s="2">
        <v>5950</v>
      </c>
      <c r="L3955" s="2">
        <v>130000</v>
      </c>
      <c r="M3955">
        <v>24</v>
      </c>
      <c r="N3955" s="3">
        <v>1.2390000000000001</v>
      </c>
      <c r="O3955" t="s">
        <v>17</v>
      </c>
      <c r="P3955" t="s">
        <v>53</v>
      </c>
      <c r="Q3955">
        <v>0</v>
      </c>
      <c r="R3955">
        <v>1</v>
      </c>
      <c r="S3955" s="2">
        <v>0</v>
      </c>
      <c r="T3955" s="4"/>
      <c r="U3955">
        <v>5</v>
      </c>
      <c r="V3955">
        <v>1</v>
      </c>
      <c r="W3955">
        <v>1</v>
      </c>
    </row>
    <row r="3956" spans="1:23" ht="16.5" x14ac:dyDescent="0.3">
      <c r="A3956" t="s">
        <v>4020</v>
      </c>
      <c r="B3956" s="1">
        <v>45862</v>
      </c>
      <c r="C3956">
        <v>2025</v>
      </c>
      <c r="D3956" t="s">
        <v>1255</v>
      </c>
      <c r="E3956" t="s">
        <v>1256</v>
      </c>
      <c r="F3956" t="s">
        <v>37</v>
      </c>
      <c r="G3956" t="s">
        <v>45</v>
      </c>
      <c r="H3956" t="s">
        <v>34</v>
      </c>
      <c r="I3956" t="s">
        <v>42</v>
      </c>
      <c r="J3956" t="s">
        <v>43</v>
      </c>
      <c r="K3956" s="2">
        <v>3950</v>
      </c>
      <c r="L3956" s="2">
        <v>23500</v>
      </c>
      <c r="M3956">
        <v>60</v>
      </c>
      <c r="N3956" s="3">
        <v>0.35</v>
      </c>
      <c r="O3956" t="s">
        <v>16</v>
      </c>
      <c r="Q3956">
        <v>1</v>
      </c>
      <c r="R3956">
        <v>0</v>
      </c>
      <c r="S3956" s="2">
        <v>21000</v>
      </c>
      <c r="T3956" s="4">
        <v>0.16350000000000001</v>
      </c>
      <c r="U3956">
        <v>2</v>
      </c>
      <c r="V3956">
        <v>1</v>
      </c>
      <c r="W3956">
        <v>1</v>
      </c>
    </row>
    <row r="3957" spans="1:23" ht="16.5" x14ac:dyDescent="0.3">
      <c r="A3957" t="s">
        <v>4021</v>
      </c>
      <c r="B3957" s="1">
        <v>45862</v>
      </c>
      <c r="C3957">
        <v>2025</v>
      </c>
      <c r="D3957" t="s">
        <v>1255</v>
      </c>
      <c r="E3957" t="s">
        <v>1256</v>
      </c>
      <c r="F3957" t="s">
        <v>50</v>
      </c>
      <c r="G3957" t="s">
        <v>45</v>
      </c>
      <c r="H3957" t="s">
        <v>55</v>
      </c>
      <c r="I3957" t="s">
        <v>29</v>
      </c>
      <c r="J3957" t="s">
        <v>43</v>
      </c>
      <c r="K3957" s="2">
        <v>5450</v>
      </c>
      <c r="L3957" s="2">
        <v>311500</v>
      </c>
      <c r="M3957">
        <v>180</v>
      </c>
      <c r="N3957" s="3">
        <v>0.66400000000000003</v>
      </c>
      <c r="O3957" t="s">
        <v>125</v>
      </c>
      <c r="Q3957">
        <v>0</v>
      </c>
      <c r="R3957">
        <v>0</v>
      </c>
      <c r="S3957" s="2">
        <v>0</v>
      </c>
      <c r="T3957" s="4"/>
      <c r="U3957">
        <v>4</v>
      </c>
      <c r="V3957">
        <v>1</v>
      </c>
      <c r="W3957">
        <v>1</v>
      </c>
    </row>
    <row r="3958" spans="1:23" ht="16.5" x14ac:dyDescent="0.3">
      <c r="A3958" t="s">
        <v>4022</v>
      </c>
      <c r="B3958" s="1">
        <v>45862</v>
      </c>
      <c r="C3958">
        <v>2025</v>
      </c>
      <c r="D3958" t="s">
        <v>1255</v>
      </c>
      <c r="E3958" t="s">
        <v>1256</v>
      </c>
      <c r="F3958" t="s">
        <v>37</v>
      </c>
      <c r="G3958" t="s">
        <v>45</v>
      </c>
      <c r="H3958" t="s">
        <v>55</v>
      </c>
      <c r="I3958" t="s">
        <v>29</v>
      </c>
      <c r="J3958" t="s">
        <v>30</v>
      </c>
      <c r="K3958" s="2">
        <v>5700</v>
      </c>
      <c r="L3958" s="2">
        <v>7500</v>
      </c>
      <c r="M3958">
        <v>36</v>
      </c>
      <c r="N3958" s="3">
        <v>0.192</v>
      </c>
      <c r="O3958" t="s">
        <v>17</v>
      </c>
      <c r="P3958" t="s">
        <v>31</v>
      </c>
      <c r="Q3958">
        <v>0</v>
      </c>
      <c r="R3958">
        <v>1</v>
      </c>
      <c r="S3958" s="2">
        <v>0</v>
      </c>
      <c r="T3958" s="4"/>
      <c r="U3958">
        <v>3</v>
      </c>
      <c r="V3958">
        <v>1</v>
      </c>
      <c r="W3958">
        <v>1</v>
      </c>
    </row>
    <row r="3959" spans="1:23" ht="16.5" x14ac:dyDescent="0.3">
      <c r="A3959" t="s">
        <v>4023</v>
      </c>
      <c r="B3959" s="1">
        <v>45862</v>
      </c>
      <c r="C3959">
        <v>2025</v>
      </c>
      <c r="D3959" t="s">
        <v>1255</v>
      </c>
      <c r="E3959" t="s">
        <v>1256</v>
      </c>
      <c r="F3959" t="s">
        <v>37</v>
      </c>
      <c r="G3959" t="s">
        <v>33</v>
      </c>
      <c r="H3959" t="s">
        <v>38</v>
      </c>
      <c r="I3959" t="s">
        <v>39</v>
      </c>
      <c r="J3959" t="s">
        <v>52</v>
      </c>
      <c r="K3959" s="2">
        <v>3300</v>
      </c>
      <c r="L3959" s="2">
        <v>5500</v>
      </c>
      <c r="M3959">
        <v>12</v>
      </c>
      <c r="N3959" s="3">
        <v>0.28699999999999998</v>
      </c>
      <c r="O3959" t="s">
        <v>16</v>
      </c>
      <c r="Q3959">
        <v>1</v>
      </c>
      <c r="R3959">
        <v>0</v>
      </c>
      <c r="S3959" s="2">
        <v>5500</v>
      </c>
      <c r="T3959" s="4">
        <v>0.1152</v>
      </c>
      <c r="U3959">
        <v>1</v>
      </c>
      <c r="V3959">
        <v>1</v>
      </c>
      <c r="W3959">
        <v>1</v>
      </c>
    </row>
    <row r="3960" spans="1:23" ht="16.5" x14ac:dyDescent="0.3">
      <c r="A3960" t="s">
        <v>4024</v>
      </c>
      <c r="B3960" s="1">
        <v>45863</v>
      </c>
      <c r="C3960">
        <v>2025</v>
      </c>
      <c r="D3960" t="s">
        <v>1255</v>
      </c>
      <c r="E3960" t="s">
        <v>1256</v>
      </c>
      <c r="F3960" t="s">
        <v>50</v>
      </c>
      <c r="G3960" t="s">
        <v>51</v>
      </c>
      <c r="H3960" t="s">
        <v>34</v>
      </c>
      <c r="I3960" t="s">
        <v>42</v>
      </c>
      <c r="J3960" t="s">
        <v>35</v>
      </c>
      <c r="K3960" s="2">
        <v>5650</v>
      </c>
      <c r="L3960" s="2">
        <v>394000</v>
      </c>
      <c r="M3960">
        <v>240</v>
      </c>
      <c r="N3960" s="3">
        <v>0.66600000000000004</v>
      </c>
      <c r="O3960" t="s">
        <v>16</v>
      </c>
      <c r="Q3960">
        <v>1</v>
      </c>
      <c r="R3960">
        <v>0</v>
      </c>
      <c r="S3960" s="2">
        <v>394000</v>
      </c>
      <c r="T3960" s="4">
        <v>5.3400000000000003E-2</v>
      </c>
      <c r="U3960">
        <v>26</v>
      </c>
      <c r="V3960">
        <v>0</v>
      </c>
      <c r="W3960">
        <v>1</v>
      </c>
    </row>
    <row r="3961" spans="1:23" ht="16.5" x14ac:dyDescent="0.3">
      <c r="A3961" t="s">
        <v>4025</v>
      </c>
      <c r="B3961" s="1">
        <v>45863</v>
      </c>
      <c r="C3961">
        <v>2025</v>
      </c>
      <c r="D3961" t="s">
        <v>1255</v>
      </c>
      <c r="E3961" t="s">
        <v>1256</v>
      </c>
      <c r="F3961" t="s">
        <v>37</v>
      </c>
      <c r="G3961" t="s">
        <v>45</v>
      </c>
      <c r="H3961" t="s">
        <v>55</v>
      </c>
      <c r="I3961" t="s">
        <v>29</v>
      </c>
      <c r="J3961" t="s">
        <v>46</v>
      </c>
      <c r="K3961" s="2">
        <v>4750</v>
      </c>
      <c r="L3961" s="2">
        <v>12000</v>
      </c>
      <c r="M3961">
        <v>12</v>
      </c>
      <c r="N3961" s="3">
        <v>0.30199999999999999</v>
      </c>
      <c r="O3961" t="s">
        <v>17</v>
      </c>
      <c r="P3961" t="s">
        <v>31</v>
      </c>
      <c r="Q3961">
        <v>0</v>
      </c>
      <c r="R3961">
        <v>1</v>
      </c>
      <c r="S3961" s="2">
        <v>0</v>
      </c>
      <c r="T3961" s="4"/>
      <c r="U3961">
        <v>2</v>
      </c>
      <c r="V3961">
        <v>1</v>
      </c>
      <c r="W3961">
        <v>1</v>
      </c>
    </row>
    <row r="3962" spans="1:23" ht="16.5" x14ac:dyDescent="0.3">
      <c r="A3962" t="s">
        <v>4026</v>
      </c>
      <c r="B3962" s="1">
        <v>45863</v>
      </c>
      <c r="C3962">
        <v>2025</v>
      </c>
      <c r="D3962" t="s">
        <v>1255</v>
      </c>
      <c r="E3962" t="s">
        <v>1256</v>
      </c>
      <c r="F3962" t="s">
        <v>41</v>
      </c>
      <c r="G3962" t="s">
        <v>33</v>
      </c>
      <c r="H3962" t="s">
        <v>64</v>
      </c>
      <c r="I3962" t="s">
        <v>29</v>
      </c>
      <c r="J3962" t="s">
        <v>52</v>
      </c>
      <c r="K3962" s="2">
        <v>8350</v>
      </c>
      <c r="L3962" s="2">
        <v>156500</v>
      </c>
      <c r="M3962">
        <v>60</v>
      </c>
      <c r="N3962" s="3">
        <v>0.61099999999999999</v>
      </c>
      <c r="O3962" t="s">
        <v>16</v>
      </c>
      <c r="Q3962">
        <v>1</v>
      </c>
      <c r="R3962">
        <v>0</v>
      </c>
      <c r="S3962" s="2">
        <v>125000</v>
      </c>
      <c r="T3962" s="4">
        <v>9.8699999999999996E-2</v>
      </c>
      <c r="U3962">
        <v>5</v>
      </c>
      <c r="V3962">
        <v>1</v>
      </c>
      <c r="W3962">
        <v>1</v>
      </c>
    </row>
    <row r="3963" spans="1:23" ht="16.5" x14ac:dyDescent="0.3">
      <c r="A3963" t="s">
        <v>4027</v>
      </c>
      <c r="B3963" s="1">
        <v>45863</v>
      </c>
      <c r="C3963">
        <v>2025</v>
      </c>
      <c r="D3963" t="s">
        <v>1255</v>
      </c>
      <c r="E3963" t="s">
        <v>1256</v>
      </c>
      <c r="F3963" t="s">
        <v>37</v>
      </c>
      <c r="G3963" t="s">
        <v>51</v>
      </c>
      <c r="H3963" t="s">
        <v>38</v>
      </c>
      <c r="I3963" t="s">
        <v>42</v>
      </c>
      <c r="J3963" t="s">
        <v>43</v>
      </c>
      <c r="K3963" s="2">
        <v>11000</v>
      </c>
      <c r="L3963" s="2">
        <v>17500</v>
      </c>
      <c r="M3963">
        <v>36</v>
      </c>
      <c r="N3963" s="3">
        <v>0.28799999999999998</v>
      </c>
      <c r="O3963" t="s">
        <v>17</v>
      </c>
      <c r="P3963" t="s">
        <v>31</v>
      </c>
      <c r="Q3963">
        <v>0</v>
      </c>
      <c r="R3963">
        <v>1</v>
      </c>
      <c r="S3963" s="2">
        <v>0</v>
      </c>
      <c r="T3963" s="4"/>
      <c r="U3963">
        <v>5</v>
      </c>
      <c r="V3963">
        <v>0</v>
      </c>
      <c r="W3963">
        <v>1</v>
      </c>
    </row>
    <row r="3964" spans="1:23" ht="16.5" x14ac:dyDescent="0.3">
      <c r="A3964" t="s">
        <v>4028</v>
      </c>
      <c r="B3964" s="1">
        <v>45863</v>
      </c>
      <c r="C3964">
        <v>2025</v>
      </c>
      <c r="D3964" t="s">
        <v>1255</v>
      </c>
      <c r="E3964" t="s">
        <v>1256</v>
      </c>
      <c r="F3964" t="s">
        <v>37</v>
      </c>
      <c r="G3964" t="s">
        <v>45</v>
      </c>
      <c r="H3964" t="s">
        <v>34</v>
      </c>
      <c r="I3964" t="s">
        <v>29</v>
      </c>
      <c r="J3964" t="s">
        <v>35</v>
      </c>
      <c r="K3964" s="2">
        <v>3800</v>
      </c>
      <c r="L3964" s="2">
        <v>9000</v>
      </c>
      <c r="M3964">
        <v>60</v>
      </c>
      <c r="N3964" s="3">
        <v>0.17299999999999999</v>
      </c>
      <c r="O3964" t="s">
        <v>17</v>
      </c>
      <c r="P3964" t="s">
        <v>31</v>
      </c>
      <c r="Q3964">
        <v>0</v>
      </c>
      <c r="R3964">
        <v>1</v>
      </c>
      <c r="S3964" s="2">
        <v>0</v>
      </c>
      <c r="T3964" s="4"/>
      <c r="U3964">
        <v>2</v>
      </c>
      <c r="V3964">
        <v>1</v>
      </c>
      <c r="W3964">
        <v>1</v>
      </c>
    </row>
    <row r="3965" spans="1:23" ht="16.5" x14ac:dyDescent="0.3">
      <c r="A3965" t="s">
        <v>4029</v>
      </c>
      <c r="B3965" s="1">
        <v>45863</v>
      </c>
      <c r="C3965">
        <v>2025</v>
      </c>
      <c r="D3965" t="s">
        <v>1255</v>
      </c>
      <c r="E3965" t="s">
        <v>1256</v>
      </c>
      <c r="F3965" t="s">
        <v>50</v>
      </c>
      <c r="G3965" t="s">
        <v>51</v>
      </c>
      <c r="H3965" t="s">
        <v>34</v>
      </c>
      <c r="I3965" t="s">
        <v>39</v>
      </c>
      <c r="J3965" t="s">
        <v>35</v>
      </c>
      <c r="K3965" s="2">
        <v>4300</v>
      </c>
      <c r="L3965" s="2">
        <v>587500</v>
      </c>
      <c r="M3965">
        <v>240</v>
      </c>
      <c r="N3965" s="3">
        <v>1.04</v>
      </c>
      <c r="O3965" t="s">
        <v>16</v>
      </c>
      <c r="Q3965">
        <v>1</v>
      </c>
      <c r="R3965">
        <v>0</v>
      </c>
      <c r="S3965" s="2">
        <v>587500</v>
      </c>
      <c r="T3965" s="4">
        <v>6.4000000000000001E-2</v>
      </c>
      <c r="U3965">
        <v>21</v>
      </c>
      <c r="V3965">
        <v>0</v>
      </c>
      <c r="W3965">
        <v>1</v>
      </c>
    </row>
    <row r="3966" spans="1:23" ht="16.5" x14ac:dyDescent="0.3">
      <c r="A3966" t="s">
        <v>4030</v>
      </c>
      <c r="B3966" s="1">
        <v>45863</v>
      </c>
      <c r="C3966">
        <v>2025</v>
      </c>
      <c r="D3966" t="s">
        <v>1255</v>
      </c>
      <c r="E3966" t="s">
        <v>1256</v>
      </c>
      <c r="F3966" t="s">
        <v>37</v>
      </c>
      <c r="G3966" t="s">
        <v>33</v>
      </c>
      <c r="H3966" t="s">
        <v>55</v>
      </c>
      <c r="I3966" t="s">
        <v>29</v>
      </c>
      <c r="J3966" t="s">
        <v>43</v>
      </c>
      <c r="K3966" s="2">
        <v>3850</v>
      </c>
      <c r="L3966" s="2">
        <v>8500</v>
      </c>
      <c r="M3966">
        <v>24</v>
      </c>
      <c r="N3966" s="3">
        <v>0.247</v>
      </c>
      <c r="O3966" t="s">
        <v>17</v>
      </c>
      <c r="P3966" t="s">
        <v>31</v>
      </c>
      <c r="Q3966">
        <v>0</v>
      </c>
      <c r="R3966">
        <v>1</v>
      </c>
      <c r="S3966" s="2">
        <v>0</v>
      </c>
      <c r="T3966" s="4"/>
      <c r="U3966">
        <v>1</v>
      </c>
      <c r="V3966">
        <v>1</v>
      </c>
      <c r="W3966">
        <v>1</v>
      </c>
    </row>
    <row r="3967" spans="1:23" ht="16.5" x14ac:dyDescent="0.3">
      <c r="A3967" t="s">
        <v>4031</v>
      </c>
      <c r="B3967" s="1">
        <v>45863</v>
      </c>
      <c r="C3967">
        <v>2025</v>
      </c>
      <c r="D3967" t="s">
        <v>1255</v>
      </c>
      <c r="E3967" t="s">
        <v>1256</v>
      </c>
      <c r="F3967" t="s">
        <v>50</v>
      </c>
      <c r="G3967" t="s">
        <v>33</v>
      </c>
      <c r="H3967" t="s">
        <v>38</v>
      </c>
      <c r="I3967" t="s">
        <v>39</v>
      </c>
      <c r="J3967" t="s">
        <v>43</v>
      </c>
      <c r="K3967" s="2">
        <v>3500</v>
      </c>
      <c r="L3967" s="2">
        <v>320000</v>
      </c>
      <c r="M3967">
        <v>240</v>
      </c>
      <c r="N3967" s="3">
        <v>0.67</v>
      </c>
      <c r="O3967" t="s">
        <v>17</v>
      </c>
      <c r="P3967" t="s">
        <v>31</v>
      </c>
      <c r="Q3967">
        <v>0</v>
      </c>
      <c r="R3967">
        <v>1</v>
      </c>
      <c r="S3967" s="2">
        <v>0</v>
      </c>
      <c r="T3967" s="4"/>
      <c r="U3967">
        <v>7</v>
      </c>
      <c r="V3967">
        <v>1</v>
      </c>
      <c r="W3967">
        <v>1</v>
      </c>
    </row>
    <row r="3968" spans="1:23" ht="16.5" x14ac:dyDescent="0.3">
      <c r="A3968" t="s">
        <v>4032</v>
      </c>
      <c r="B3968" s="1">
        <v>45863</v>
      </c>
      <c r="C3968">
        <v>2025</v>
      </c>
      <c r="D3968" t="s">
        <v>1255</v>
      </c>
      <c r="E3968" t="s">
        <v>1256</v>
      </c>
      <c r="F3968" t="s">
        <v>26</v>
      </c>
      <c r="G3968" t="s">
        <v>45</v>
      </c>
      <c r="H3968" t="s">
        <v>38</v>
      </c>
      <c r="I3968" t="s">
        <v>42</v>
      </c>
      <c r="J3968" t="s">
        <v>52</v>
      </c>
      <c r="K3968" s="2">
        <v>5750</v>
      </c>
      <c r="L3968" s="2">
        <v>27500</v>
      </c>
      <c r="M3968">
        <v>36</v>
      </c>
      <c r="N3968" s="3">
        <v>0.224</v>
      </c>
      <c r="O3968" t="s">
        <v>16</v>
      </c>
      <c r="Q3968">
        <v>1</v>
      </c>
      <c r="R3968">
        <v>0</v>
      </c>
      <c r="S3968" s="2">
        <v>27500</v>
      </c>
      <c r="T3968" s="4">
        <v>7.5399999999999995E-2</v>
      </c>
      <c r="U3968">
        <v>2</v>
      </c>
      <c r="V3968">
        <v>1</v>
      </c>
      <c r="W3968">
        <v>1</v>
      </c>
    </row>
    <row r="3969" spans="1:23" ht="16.5" x14ac:dyDescent="0.3">
      <c r="A3969" t="s">
        <v>4033</v>
      </c>
      <c r="B3969" s="1">
        <v>45863</v>
      </c>
      <c r="C3969">
        <v>2025</v>
      </c>
      <c r="D3969" t="s">
        <v>1255</v>
      </c>
      <c r="E3969" t="s">
        <v>1256</v>
      </c>
      <c r="F3969" t="s">
        <v>26</v>
      </c>
      <c r="G3969" t="s">
        <v>33</v>
      </c>
      <c r="H3969" t="s">
        <v>38</v>
      </c>
      <c r="I3969" t="s">
        <v>42</v>
      </c>
      <c r="J3969" t="s">
        <v>35</v>
      </c>
      <c r="K3969" s="2">
        <v>5400</v>
      </c>
      <c r="L3969" s="2">
        <v>37500</v>
      </c>
      <c r="M3969">
        <v>36</v>
      </c>
      <c r="N3969" s="3">
        <v>0.438</v>
      </c>
      <c r="O3969" t="s">
        <v>17</v>
      </c>
      <c r="P3969" t="s">
        <v>31</v>
      </c>
      <c r="Q3969">
        <v>0</v>
      </c>
      <c r="R3969">
        <v>1</v>
      </c>
      <c r="S3969" s="2">
        <v>0</v>
      </c>
      <c r="T3969" s="4"/>
      <c r="U3969">
        <v>3</v>
      </c>
      <c r="V3969">
        <v>1</v>
      </c>
      <c r="W3969">
        <v>1</v>
      </c>
    </row>
    <row r="3970" spans="1:23" ht="16.5" x14ac:dyDescent="0.3">
      <c r="A3970" t="s">
        <v>4034</v>
      </c>
      <c r="B3970" s="1">
        <v>45864</v>
      </c>
      <c r="C3970">
        <v>2025</v>
      </c>
      <c r="D3970" t="s">
        <v>1255</v>
      </c>
      <c r="E3970" t="s">
        <v>1256</v>
      </c>
      <c r="F3970" t="s">
        <v>41</v>
      </c>
      <c r="G3970" t="s">
        <v>33</v>
      </c>
      <c r="H3970" t="s">
        <v>55</v>
      </c>
      <c r="I3970" t="s">
        <v>42</v>
      </c>
      <c r="J3970" t="s">
        <v>43</v>
      </c>
      <c r="K3970" s="2">
        <v>5500</v>
      </c>
      <c r="L3970" s="2">
        <v>103500</v>
      </c>
      <c r="M3970">
        <v>36</v>
      </c>
      <c r="N3970" s="3">
        <v>0.80100000000000005</v>
      </c>
      <c r="O3970" t="s">
        <v>17</v>
      </c>
      <c r="P3970" t="s">
        <v>31</v>
      </c>
      <c r="Q3970">
        <v>0</v>
      </c>
      <c r="R3970">
        <v>1</v>
      </c>
      <c r="S3970" s="2">
        <v>0</v>
      </c>
      <c r="T3970" s="4"/>
      <c r="U3970">
        <v>3</v>
      </c>
      <c r="V3970">
        <v>1</v>
      </c>
      <c r="W3970">
        <v>1</v>
      </c>
    </row>
    <row r="3971" spans="1:23" ht="16.5" x14ac:dyDescent="0.3">
      <c r="A3971" t="s">
        <v>4035</v>
      </c>
      <c r="B3971" s="1">
        <v>45864</v>
      </c>
      <c r="C3971">
        <v>2025</v>
      </c>
      <c r="D3971" t="s">
        <v>1255</v>
      </c>
      <c r="E3971" t="s">
        <v>1256</v>
      </c>
      <c r="F3971" t="s">
        <v>41</v>
      </c>
      <c r="G3971" t="s">
        <v>45</v>
      </c>
      <c r="H3971" t="s">
        <v>38</v>
      </c>
      <c r="I3971" t="s">
        <v>29</v>
      </c>
      <c r="J3971" t="s">
        <v>30</v>
      </c>
      <c r="K3971" s="2">
        <v>11850</v>
      </c>
      <c r="L3971" s="2">
        <v>47500</v>
      </c>
      <c r="M3971">
        <v>60</v>
      </c>
      <c r="N3971" s="3">
        <v>0.19700000000000001</v>
      </c>
      <c r="O3971" t="s">
        <v>17</v>
      </c>
      <c r="P3971" t="s">
        <v>60</v>
      </c>
      <c r="Q3971">
        <v>0</v>
      </c>
      <c r="R3971">
        <v>1</v>
      </c>
      <c r="S3971" s="2">
        <v>0</v>
      </c>
      <c r="T3971" s="4"/>
      <c r="U3971">
        <v>7</v>
      </c>
      <c r="V3971">
        <v>1</v>
      </c>
      <c r="W3971">
        <v>1</v>
      </c>
    </row>
    <row r="3972" spans="1:23" ht="16.5" x14ac:dyDescent="0.3">
      <c r="A3972" t="s">
        <v>4036</v>
      </c>
      <c r="B3972" s="1">
        <v>45864</v>
      </c>
      <c r="C3972">
        <v>2025</v>
      </c>
      <c r="D3972" t="s">
        <v>1255</v>
      </c>
      <c r="E3972" t="s">
        <v>1256</v>
      </c>
      <c r="F3972" t="s">
        <v>41</v>
      </c>
      <c r="G3972" t="s">
        <v>33</v>
      </c>
      <c r="H3972" t="s">
        <v>38</v>
      </c>
      <c r="I3972" t="s">
        <v>29</v>
      </c>
      <c r="J3972" t="s">
        <v>35</v>
      </c>
      <c r="K3972" s="2">
        <v>6000</v>
      </c>
      <c r="L3972" s="2">
        <v>16500</v>
      </c>
      <c r="M3972">
        <v>60</v>
      </c>
      <c r="N3972" s="3">
        <v>0.30499999999999999</v>
      </c>
      <c r="O3972" t="s">
        <v>16</v>
      </c>
      <c r="Q3972">
        <v>1</v>
      </c>
      <c r="R3972">
        <v>0</v>
      </c>
      <c r="S3972" s="2">
        <v>16500</v>
      </c>
      <c r="T3972" s="4">
        <v>0.1037</v>
      </c>
      <c r="U3972">
        <v>2</v>
      </c>
      <c r="V3972">
        <v>1</v>
      </c>
      <c r="W3972">
        <v>1</v>
      </c>
    </row>
    <row r="3973" spans="1:23" ht="16.5" x14ac:dyDescent="0.3">
      <c r="A3973" t="s">
        <v>4037</v>
      </c>
      <c r="B3973" s="1">
        <v>45865</v>
      </c>
      <c r="C3973">
        <v>2025</v>
      </c>
      <c r="D3973" t="s">
        <v>1255</v>
      </c>
      <c r="E3973" t="s">
        <v>1256</v>
      </c>
      <c r="F3973" t="s">
        <v>37</v>
      </c>
      <c r="G3973" t="s">
        <v>33</v>
      </c>
      <c r="H3973" t="s">
        <v>38</v>
      </c>
      <c r="I3973" t="s">
        <v>29</v>
      </c>
      <c r="J3973" t="s">
        <v>30</v>
      </c>
      <c r="K3973" s="2">
        <v>3950</v>
      </c>
      <c r="L3973" s="2">
        <v>14000</v>
      </c>
      <c r="M3973">
        <v>24</v>
      </c>
      <c r="N3973" s="3">
        <v>0.26500000000000001</v>
      </c>
      <c r="O3973" t="s">
        <v>17</v>
      </c>
      <c r="P3973" t="s">
        <v>31</v>
      </c>
      <c r="Q3973">
        <v>0</v>
      </c>
      <c r="R3973">
        <v>1</v>
      </c>
      <c r="S3973" s="2">
        <v>0</v>
      </c>
      <c r="T3973" s="4"/>
      <c r="U3973">
        <v>1</v>
      </c>
      <c r="V3973">
        <v>1</v>
      </c>
      <c r="W3973">
        <v>1</v>
      </c>
    </row>
    <row r="3974" spans="1:23" ht="16.5" x14ac:dyDescent="0.3">
      <c r="A3974" t="s">
        <v>4038</v>
      </c>
      <c r="B3974" s="1">
        <v>45865</v>
      </c>
      <c r="C3974">
        <v>2025</v>
      </c>
      <c r="D3974" t="s">
        <v>1255</v>
      </c>
      <c r="E3974" t="s">
        <v>1256</v>
      </c>
      <c r="F3974" t="s">
        <v>37</v>
      </c>
      <c r="G3974" t="s">
        <v>45</v>
      </c>
      <c r="H3974" t="s">
        <v>55</v>
      </c>
      <c r="I3974" t="s">
        <v>39</v>
      </c>
      <c r="J3974" t="s">
        <v>35</v>
      </c>
      <c r="K3974" s="2">
        <v>6600</v>
      </c>
      <c r="L3974" s="2">
        <v>7500</v>
      </c>
      <c r="M3974">
        <v>60</v>
      </c>
      <c r="N3974" s="3">
        <v>0.20599999999999999</v>
      </c>
      <c r="O3974" t="s">
        <v>16</v>
      </c>
      <c r="Q3974">
        <v>1</v>
      </c>
      <c r="R3974">
        <v>0</v>
      </c>
      <c r="S3974" s="2">
        <v>6000</v>
      </c>
      <c r="T3974" s="4">
        <v>0.1235</v>
      </c>
      <c r="U3974">
        <v>2</v>
      </c>
      <c r="V3974">
        <v>1</v>
      </c>
      <c r="W3974">
        <v>1</v>
      </c>
    </row>
    <row r="3975" spans="1:23" ht="16.5" x14ac:dyDescent="0.3">
      <c r="A3975" t="s">
        <v>4039</v>
      </c>
      <c r="B3975" s="1">
        <v>45865</v>
      </c>
      <c r="C3975">
        <v>2025</v>
      </c>
      <c r="D3975" t="s">
        <v>1255</v>
      </c>
      <c r="E3975" t="s">
        <v>1256</v>
      </c>
      <c r="F3975" t="s">
        <v>26</v>
      </c>
      <c r="G3975" t="s">
        <v>33</v>
      </c>
      <c r="H3975" t="s">
        <v>64</v>
      </c>
      <c r="I3975" t="s">
        <v>39</v>
      </c>
      <c r="J3975" t="s">
        <v>35</v>
      </c>
      <c r="K3975" s="2">
        <v>5050</v>
      </c>
      <c r="L3975" s="2">
        <v>27000</v>
      </c>
      <c r="M3975">
        <v>60</v>
      </c>
      <c r="N3975" s="3">
        <v>0.26500000000000001</v>
      </c>
      <c r="O3975" t="s">
        <v>16</v>
      </c>
      <c r="Q3975">
        <v>1</v>
      </c>
      <c r="R3975">
        <v>0</v>
      </c>
      <c r="S3975" s="2">
        <v>21500</v>
      </c>
      <c r="T3975" s="4">
        <v>8.3400000000000002E-2</v>
      </c>
      <c r="U3975">
        <v>6</v>
      </c>
      <c r="V3975">
        <v>0</v>
      </c>
      <c r="W3975">
        <v>1</v>
      </c>
    </row>
    <row r="3976" spans="1:23" ht="16.5" x14ac:dyDescent="0.3">
      <c r="A3976" t="s">
        <v>4040</v>
      </c>
      <c r="B3976" s="1">
        <v>45865</v>
      </c>
      <c r="C3976">
        <v>2025</v>
      </c>
      <c r="D3976" t="s">
        <v>1255</v>
      </c>
      <c r="E3976" t="s">
        <v>1256</v>
      </c>
      <c r="F3976" t="s">
        <v>26</v>
      </c>
      <c r="G3976" t="s">
        <v>33</v>
      </c>
      <c r="H3976" t="s">
        <v>38</v>
      </c>
      <c r="I3976" t="s">
        <v>39</v>
      </c>
      <c r="J3976" t="s">
        <v>35</v>
      </c>
      <c r="K3976" s="2">
        <v>9800</v>
      </c>
      <c r="L3976" s="2">
        <v>17500</v>
      </c>
      <c r="M3976">
        <v>48</v>
      </c>
      <c r="N3976" s="3">
        <v>0.121</v>
      </c>
      <c r="O3976" t="s">
        <v>16</v>
      </c>
      <c r="Q3976">
        <v>1</v>
      </c>
      <c r="R3976">
        <v>0</v>
      </c>
      <c r="S3976" s="2">
        <v>16000</v>
      </c>
      <c r="T3976" s="4">
        <v>8.5300000000000001E-2</v>
      </c>
      <c r="U3976">
        <v>2</v>
      </c>
      <c r="V3976">
        <v>1</v>
      </c>
      <c r="W3976">
        <v>1</v>
      </c>
    </row>
    <row r="3977" spans="1:23" ht="16.5" x14ac:dyDescent="0.3">
      <c r="A3977" t="s">
        <v>4041</v>
      </c>
      <c r="B3977" s="1">
        <v>45865</v>
      </c>
      <c r="C3977">
        <v>2025</v>
      </c>
      <c r="D3977" t="s">
        <v>1255</v>
      </c>
      <c r="E3977" t="s">
        <v>1256</v>
      </c>
      <c r="F3977" t="s">
        <v>26</v>
      </c>
      <c r="G3977" t="s">
        <v>45</v>
      </c>
      <c r="H3977" t="s">
        <v>38</v>
      </c>
      <c r="I3977" t="s">
        <v>42</v>
      </c>
      <c r="J3977" t="s">
        <v>35</v>
      </c>
      <c r="K3977" s="2">
        <v>4900</v>
      </c>
      <c r="L3977" s="2">
        <v>34000</v>
      </c>
      <c r="M3977">
        <v>48</v>
      </c>
      <c r="N3977" s="3">
        <v>0.40500000000000003</v>
      </c>
      <c r="O3977" t="s">
        <v>16</v>
      </c>
      <c r="Q3977">
        <v>1</v>
      </c>
      <c r="R3977">
        <v>0</v>
      </c>
      <c r="S3977" s="2">
        <v>27000</v>
      </c>
      <c r="T3977" s="4">
        <v>9.0399999999999994E-2</v>
      </c>
      <c r="U3977">
        <v>1</v>
      </c>
      <c r="V3977">
        <v>1</v>
      </c>
      <c r="W3977">
        <v>1</v>
      </c>
    </row>
    <row r="3978" spans="1:23" ht="16.5" x14ac:dyDescent="0.3">
      <c r="A3978" t="s">
        <v>4042</v>
      </c>
      <c r="B3978" s="1">
        <v>45865</v>
      </c>
      <c r="C3978">
        <v>2025</v>
      </c>
      <c r="D3978" t="s">
        <v>1255</v>
      </c>
      <c r="E3978" t="s">
        <v>1256</v>
      </c>
      <c r="F3978" t="s">
        <v>26</v>
      </c>
      <c r="G3978" t="s">
        <v>45</v>
      </c>
      <c r="H3978" t="s">
        <v>38</v>
      </c>
      <c r="I3978" t="s">
        <v>29</v>
      </c>
      <c r="J3978" t="s">
        <v>35</v>
      </c>
      <c r="K3978" s="2">
        <v>7050</v>
      </c>
      <c r="L3978" s="2">
        <v>21000</v>
      </c>
      <c r="M3978">
        <v>60</v>
      </c>
      <c r="N3978" s="3">
        <v>0.223</v>
      </c>
      <c r="O3978" t="s">
        <v>17</v>
      </c>
      <c r="P3978" t="s">
        <v>65</v>
      </c>
      <c r="Q3978">
        <v>0</v>
      </c>
      <c r="R3978">
        <v>1</v>
      </c>
      <c r="S3978" s="2">
        <v>0</v>
      </c>
      <c r="T3978" s="4"/>
      <c r="U3978">
        <v>2</v>
      </c>
      <c r="V3978">
        <v>1</v>
      </c>
      <c r="W3978">
        <v>1</v>
      </c>
    </row>
    <row r="3979" spans="1:23" ht="16.5" x14ac:dyDescent="0.3">
      <c r="A3979" t="s">
        <v>4043</v>
      </c>
      <c r="B3979" s="1">
        <v>45865</v>
      </c>
      <c r="C3979">
        <v>2025</v>
      </c>
      <c r="D3979" t="s">
        <v>1255</v>
      </c>
      <c r="E3979" t="s">
        <v>1256</v>
      </c>
      <c r="F3979" t="s">
        <v>37</v>
      </c>
      <c r="G3979" t="s">
        <v>51</v>
      </c>
      <c r="H3979" t="s">
        <v>38</v>
      </c>
      <c r="I3979" t="s">
        <v>29</v>
      </c>
      <c r="J3979" t="s">
        <v>35</v>
      </c>
      <c r="K3979" s="2">
        <v>5500</v>
      </c>
      <c r="L3979" s="2">
        <v>14000</v>
      </c>
      <c r="M3979">
        <v>12</v>
      </c>
      <c r="N3979" s="3">
        <v>0.371</v>
      </c>
      <c r="O3979" t="s">
        <v>16</v>
      </c>
      <c r="Q3979">
        <v>1</v>
      </c>
      <c r="R3979">
        <v>0</v>
      </c>
      <c r="S3979" s="2">
        <v>12500</v>
      </c>
      <c r="T3979" s="4">
        <v>0.12239999999999999</v>
      </c>
      <c r="U3979">
        <v>4</v>
      </c>
      <c r="V3979">
        <v>0</v>
      </c>
      <c r="W3979">
        <v>1</v>
      </c>
    </row>
    <row r="3980" spans="1:23" ht="16.5" x14ac:dyDescent="0.3">
      <c r="A3980" t="s">
        <v>4044</v>
      </c>
      <c r="B3980" s="1">
        <v>45866</v>
      </c>
      <c r="C3980">
        <v>2025</v>
      </c>
      <c r="D3980" t="s">
        <v>1255</v>
      </c>
      <c r="E3980" t="s">
        <v>1256</v>
      </c>
      <c r="F3980" t="s">
        <v>37</v>
      </c>
      <c r="G3980" t="s">
        <v>27</v>
      </c>
      <c r="H3980" t="s">
        <v>34</v>
      </c>
      <c r="I3980" t="s">
        <v>42</v>
      </c>
      <c r="J3980" t="s">
        <v>43</v>
      </c>
      <c r="K3980" s="2">
        <v>5850</v>
      </c>
      <c r="L3980" s="2">
        <v>7000</v>
      </c>
      <c r="M3980">
        <v>60</v>
      </c>
      <c r="N3980" s="3">
        <v>0.128</v>
      </c>
      <c r="O3980" t="s">
        <v>17</v>
      </c>
      <c r="P3980" t="s">
        <v>31</v>
      </c>
      <c r="Q3980">
        <v>0</v>
      </c>
      <c r="R3980">
        <v>1</v>
      </c>
      <c r="S3980" s="2">
        <v>0</v>
      </c>
      <c r="T3980" s="4"/>
      <c r="U3980">
        <v>4</v>
      </c>
      <c r="V3980">
        <v>0</v>
      </c>
      <c r="W3980">
        <v>1</v>
      </c>
    </row>
    <row r="3981" spans="1:23" ht="16.5" x14ac:dyDescent="0.3">
      <c r="A3981" t="s">
        <v>4045</v>
      </c>
      <c r="B3981" s="1">
        <v>45866</v>
      </c>
      <c r="C3981">
        <v>2025</v>
      </c>
      <c r="D3981" t="s">
        <v>1255</v>
      </c>
      <c r="E3981" t="s">
        <v>1256</v>
      </c>
      <c r="F3981" t="s">
        <v>26</v>
      </c>
      <c r="G3981" t="s">
        <v>45</v>
      </c>
      <c r="H3981" t="s">
        <v>38</v>
      </c>
      <c r="I3981" t="s">
        <v>39</v>
      </c>
      <c r="J3981" t="s">
        <v>52</v>
      </c>
      <c r="K3981" s="2">
        <v>5850</v>
      </c>
      <c r="L3981" s="2">
        <v>35500</v>
      </c>
      <c r="M3981">
        <v>36</v>
      </c>
      <c r="N3981" s="3">
        <v>0.34799999999999998</v>
      </c>
      <c r="O3981" t="s">
        <v>17</v>
      </c>
      <c r="P3981" t="s">
        <v>31</v>
      </c>
      <c r="Q3981">
        <v>0</v>
      </c>
      <c r="R3981">
        <v>1</v>
      </c>
      <c r="S3981" s="2">
        <v>0</v>
      </c>
      <c r="T3981" s="4"/>
      <c r="U3981">
        <v>6</v>
      </c>
      <c r="V3981">
        <v>0</v>
      </c>
      <c r="W3981">
        <v>1</v>
      </c>
    </row>
    <row r="3982" spans="1:23" ht="16.5" x14ac:dyDescent="0.3">
      <c r="A3982" t="s">
        <v>4046</v>
      </c>
      <c r="B3982" s="1">
        <v>45866</v>
      </c>
      <c r="C3982">
        <v>2025</v>
      </c>
      <c r="D3982" t="s">
        <v>1255</v>
      </c>
      <c r="E3982" t="s">
        <v>1256</v>
      </c>
      <c r="F3982" t="s">
        <v>37</v>
      </c>
      <c r="G3982" t="s">
        <v>33</v>
      </c>
      <c r="H3982" t="s">
        <v>38</v>
      </c>
      <c r="I3982" t="s">
        <v>39</v>
      </c>
      <c r="J3982" t="s">
        <v>35</v>
      </c>
      <c r="K3982" s="2">
        <v>3750</v>
      </c>
      <c r="L3982" s="2">
        <v>12000</v>
      </c>
      <c r="M3982">
        <v>36</v>
      </c>
      <c r="N3982" s="3">
        <v>0.317</v>
      </c>
      <c r="O3982" t="s">
        <v>16</v>
      </c>
      <c r="Q3982">
        <v>1</v>
      </c>
      <c r="R3982">
        <v>0</v>
      </c>
      <c r="S3982" s="2">
        <v>12000</v>
      </c>
      <c r="T3982" s="4">
        <v>0.125</v>
      </c>
      <c r="U3982">
        <v>1</v>
      </c>
      <c r="V3982">
        <v>1</v>
      </c>
      <c r="W3982">
        <v>1</v>
      </c>
    </row>
    <row r="3983" spans="1:23" ht="16.5" x14ac:dyDescent="0.3">
      <c r="A3983" t="s">
        <v>4047</v>
      </c>
      <c r="B3983" s="1">
        <v>45866</v>
      </c>
      <c r="C3983">
        <v>2025</v>
      </c>
      <c r="D3983" t="s">
        <v>1255</v>
      </c>
      <c r="E3983" t="s">
        <v>1256</v>
      </c>
      <c r="F3983" t="s">
        <v>37</v>
      </c>
      <c r="G3983" t="s">
        <v>27</v>
      </c>
      <c r="H3983" t="s">
        <v>38</v>
      </c>
      <c r="I3983" t="s">
        <v>29</v>
      </c>
      <c r="J3983" t="s">
        <v>30</v>
      </c>
      <c r="K3983" s="2">
        <v>5300</v>
      </c>
      <c r="L3983" s="2">
        <v>9000</v>
      </c>
      <c r="M3983">
        <v>36</v>
      </c>
      <c r="N3983" s="3">
        <v>0.24199999999999999</v>
      </c>
      <c r="O3983" t="s">
        <v>17</v>
      </c>
      <c r="P3983" t="s">
        <v>31</v>
      </c>
      <c r="Q3983">
        <v>0</v>
      </c>
      <c r="R3983">
        <v>1</v>
      </c>
      <c r="S3983" s="2">
        <v>0</v>
      </c>
      <c r="T3983" s="4"/>
      <c r="U3983">
        <v>3</v>
      </c>
      <c r="V3983">
        <v>1</v>
      </c>
      <c r="W3983">
        <v>1</v>
      </c>
    </row>
    <row r="3984" spans="1:23" ht="16.5" x14ac:dyDescent="0.3">
      <c r="A3984" t="s">
        <v>4048</v>
      </c>
      <c r="B3984" s="1">
        <v>45866</v>
      </c>
      <c r="C3984">
        <v>2025</v>
      </c>
      <c r="D3984" t="s">
        <v>1255</v>
      </c>
      <c r="E3984" t="s">
        <v>1256</v>
      </c>
      <c r="F3984" t="s">
        <v>50</v>
      </c>
      <c r="G3984" t="s">
        <v>45</v>
      </c>
      <c r="H3984" t="s">
        <v>34</v>
      </c>
      <c r="I3984" t="s">
        <v>29</v>
      </c>
      <c r="J3984" t="s">
        <v>35</v>
      </c>
      <c r="K3984" s="2">
        <v>3100</v>
      </c>
      <c r="L3984" s="2">
        <v>222500</v>
      </c>
      <c r="M3984">
        <v>240</v>
      </c>
      <c r="N3984" s="3">
        <v>0.70799999999999996</v>
      </c>
      <c r="O3984" t="s">
        <v>17</v>
      </c>
      <c r="P3984" t="s">
        <v>53</v>
      </c>
      <c r="Q3984">
        <v>0</v>
      </c>
      <c r="R3984">
        <v>1</v>
      </c>
      <c r="S3984" s="2">
        <v>0</v>
      </c>
      <c r="T3984" s="4"/>
      <c r="U3984">
        <v>13</v>
      </c>
      <c r="V3984">
        <v>1</v>
      </c>
      <c r="W3984">
        <v>1</v>
      </c>
    </row>
    <row r="3985" spans="1:23" ht="16.5" x14ac:dyDescent="0.3">
      <c r="A3985" t="s">
        <v>4049</v>
      </c>
      <c r="B3985" s="1">
        <v>45866</v>
      </c>
      <c r="C3985">
        <v>2025</v>
      </c>
      <c r="D3985" t="s">
        <v>1255</v>
      </c>
      <c r="E3985" t="s">
        <v>1256</v>
      </c>
      <c r="F3985" t="s">
        <v>37</v>
      </c>
      <c r="G3985" t="s">
        <v>33</v>
      </c>
      <c r="H3985" t="s">
        <v>38</v>
      </c>
      <c r="I3985" t="s">
        <v>29</v>
      </c>
      <c r="J3985" t="s">
        <v>30</v>
      </c>
      <c r="K3985" s="2">
        <v>3000</v>
      </c>
      <c r="L3985" s="2">
        <v>9000</v>
      </c>
      <c r="M3985">
        <v>60</v>
      </c>
      <c r="N3985" s="3">
        <v>0.16500000000000001</v>
      </c>
      <c r="O3985" t="s">
        <v>16</v>
      </c>
      <c r="Q3985">
        <v>1</v>
      </c>
      <c r="R3985">
        <v>0</v>
      </c>
      <c r="S3985" s="2">
        <v>9000</v>
      </c>
      <c r="T3985" s="4">
        <v>0.1376</v>
      </c>
      <c r="U3985">
        <v>2</v>
      </c>
      <c r="V3985">
        <v>1</v>
      </c>
      <c r="W3985">
        <v>1</v>
      </c>
    </row>
    <row r="3986" spans="1:23" ht="16.5" x14ac:dyDescent="0.3">
      <c r="A3986" t="s">
        <v>4050</v>
      </c>
      <c r="B3986" s="1">
        <v>45867</v>
      </c>
      <c r="C3986">
        <v>2025</v>
      </c>
      <c r="D3986" t="s">
        <v>1255</v>
      </c>
      <c r="E3986" t="s">
        <v>1256</v>
      </c>
      <c r="F3986" t="s">
        <v>26</v>
      </c>
      <c r="G3986" t="s">
        <v>51</v>
      </c>
      <c r="H3986" t="s">
        <v>38</v>
      </c>
      <c r="I3986" t="s">
        <v>29</v>
      </c>
      <c r="J3986" t="s">
        <v>30</v>
      </c>
      <c r="K3986" s="2">
        <v>5150</v>
      </c>
      <c r="L3986" s="2">
        <v>43000</v>
      </c>
      <c r="M3986">
        <v>48</v>
      </c>
      <c r="N3986" s="3">
        <v>0.29799999999999999</v>
      </c>
      <c r="O3986" t="s">
        <v>16</v>
      </c>
      <c r="Q3986">
        <v>1</v>
      </c>
      <c r="R3986">
        <v>0</v>
      </c>
      <c r="S3986" s="2">
        <v>43000</v>
      </c>
      <c r="T3986" s="4">
        <v>9.3899999999999997E-2</v>
      </c>
      <c r="U3986">
        <v>4</v>
      </c>
      <c r="V3986">
        <v>1</v>
      </c>
      <c r="W3986">
        <v>1</v>
      </c>
    </row>
    <row r="3987" spans="1:23" ht="16.5" x14ac:dyDescent="0.3">
      <c r="A3987" t="s">
        <v>4051</v>
      </c>
      <c r="B3987" s="1">
        <v>45867</v>
      </c>
      <c r="C3987">
        <v>2025</v>
      </c>
      <c r="D3987" t="s">
        <v>1255</v>
      </c>
      <c r="E3987" t="s">
        <v>1256</v>
      </c>
      <c r="F3987" t="s">
        <v>41</v>
      </c>
      <c r="G3987" t="s">
        <v>51</v>
      </c>
      <c r="H3987" t="s">
        <v>55</v>
      </c>
      <c r="I3987" t="s">
        <v>29</v>
      </c>
      <c r="J3987" t="s">
        <v>35</v>
      </c>
      <c r="K3987" s="2">
        <v>3500</v>
      </c>
      <c r="L3987" s="2">
        <v>99500</v>
      </c>
      <c r="M3987">
        <v>12</v>
      </c>
      <c r="N3987" s="3">
        <v>2.6139999999999999</v>
      </c>
      <c r="O3987" t="s">
        <v>17</v>
      </c>
      <c r="P3987" t="s">
        <v>53</v>
      </c>
      <c r="Q3987">
        <v>0</v>
      </c>
      <c r="R3987">
        <v>1</v>
      </c>
      <c r="S3987" s="2">
        <v>0</v>
      </c>
      <c r="T3987" s="4"/>
      <c r="U3987">
        <v>18</v>
      </c>
      <c r="V3987">
        <v>0</v>
      </c>
      <c r="W3987">
        <v>1</v>
      </c>
    </row>
    <row r="3988" spans="1:23" ht="16.5" x14ac:dyDescent="0.3">
      <c r="A3988" t="s">
        <v>4052</v>
      </c>
      <c r="B3988" s="1">
        <v>45867</v>
      </c>
      <c r="C3988">
        <v>2025</v>
      </c>
      <c r="D3988" t="s">
        <v>1255</v>
      </c>
      <c r="E3988" t="s">
        <v>1256</v>
      </c>
      <c r="F3988" t="s">
        <v>26</v>
      </c>
      <c r="G3988" t="s">
        <v>27</v>
      </c>
      <c r="H3988" t="s">
        <v>38</v>
      </c>
      <c r="I3988" t="s">
        <v>42</v>
      </c>
      <c r="J3988" t="s">
        <v>52</v>
      </c>
      <c r="K3988" s="2">
        <v>9250</v>
      </c>
      <c r="L3988" s="2">
        <v>50500</v>
      </c>
      <c r="M3988">
        <v>48</v>
      </c>
      <c r="N3988" s="3">
        <v>0.2</v>
      </c>
      <c r="O3988" t="s">
        <v>16</v>
      </c>
      <c r="Q3988">
        <v>1</v>
      </c>
      <c r="R3988">
        <v>0</v>
      </c>
      <c r="S3988" s="2">
        <v>50500</v>
      </c>
      <c r="T3988" s="4">
        <v>6.6600000000000006E-2</v>
      </c>
      <c r="U3988">
        <v>5</v>
      </c>
      <c r="V3988">
        <v>0</v>
      </c>
      <c r="W3988">
        <v>1</v>
      </c>
    </row>
    <row r="3989" spans="1:23" ht="16.5" x14ac:dyDescent="0.3">
      <c r="A3989" t="s">
        <v>4053</v>
      </c>
      <c r="B3989" s="1">
        <v>45867</v>
      </c>
      <c r="C3989">
        <v>2025</v>
      </c>
      <c r="D3989" t="s">
        <v>1255</v>
      </c>
      <c r="E3989" t="s">
        <v>1256</v>
      </c>
      <c r="F3989" t="s">
        <v>37</v>
      </c>
      <c r="G3989" t="s">
        <v>33</v>
      </c>
      <c r="H3989" t="s">
        <v>55</v>
      </c>
      <c r="I3989" t="s">
        <v>39</v>
      </c>
      <c r="J3989" t="s">
        <v>46</v>
      </c>
      <c r="K3989" s="2">
        <v>2750</v>
      </c>
      <c r="L3989" s="2">
        <v>5000</v>
      </c>
      <c r="M3989">
        <v>24</v>
      </c>
      <c r="N3989" s="3">
        <v>0.22500000000000001</v>
      </c>
      <c r="O3989" t="s">
        <v>16</v>
      </c>
      <c r="Q3989">
        <v>1</v>
      </c>
      <c r="R3989">
        <v>0</v>
      </c>
      <c r="S3989" s="2">
        <v>5000</v>
      </c>
      <c r="T3989" s="4">
        <v>0.109</v>
      </c>
      <c r="U3989">
        <v>1</v>
      </c>
      <c r="V3989">
        <v>1</v>
      </c>
      <c r="W3989">
        <v>1</v>
      </c>
    </row>
    <row r="3990" spans="1:23" ht="16.5" x14ac:dyDescent="0.3">
      <c r="A3990" t="s">
        <v>4054</v>
      </c>
      <c r="B3990" s="1">
        <v>45867</v>
      </c>
      <c r="C3990">
        <v>2025</v>
      </c>
      <c r="D3990" t="s">
        <v>1255</v>
      </c>
      <c r="E3990" t="s">
        <v>1256</v>
      </c>
      <c r="F3990" t="s">
        <v>41</v>
      </c>
      <c r="G3990" t="s">
        <v>45</v>
      </c>
      <c r="H3990" t="s">
        <v>38</v>
      </c>
      <c r="I3990" t="s">
        <v>39</v>
      </c>
      <c r="J3990" t="s">
        <v>35</v>
      </c>
      <c r="K3990" s="2">
        <v>5750</v>
      </c>
      <c r="L3990" s="2">
        <v>67000</v>
      </c>
      <c r="M3990">
        <v>36</v>
      </c>
      <c r="N3990" s="3">
        <v>0.48099999999999998</v>
      </c>
      <c r="O3990" t="s">
        <v>17</v>
      </c>
      <c r="P3990" t="s">
        <v>53</v>
      </c>
      <c r="Q3990">
        <v>0</v>
      </c>
      <c r="R3990">
        <v>1</v>
      </c>
      <c r="S3990" s="2">
        <v>0</v>
      </c>
      <c r="T3990" s="4"/>
      <c r="U3990">
        <v>9</v>
      </c>
      <c r="V3990">
        <v>1</v>
      </c>
      <c r="W3990">
        <v>1</v>
      </c>
    </row>
    <row r="3991" spans="1:23" ht="16.5" x14ac:dyDescent="0.3">
      <c r="A3991" t="s">
        <v>4055</v>
      </c>
      <c r="B3991" s="1">
        <v>45867</v>
      </c>
      <c r="C3991">
        <v>2025</v>
      </c>
      <c r="D3991" t="s">
        <v>1255</v>
      </c>
      <c r="E3991" t="s">
        <v>1256</v>
      </c>
      <c r="F3991" t="s">
        <v>26</v>
      </c>
      <c r="G3991" t="s">
        <v>27</v>
      </c>
      <c r="H3991" t="s">
        <v>38</v>
      </c>
      <c r="I3991" t="s">
        <v>29</v>
      </c>
      <c r="J3991" t="s">
        <v>30</v>
      </c>
      <c r="K3991" s="2">
        <v>7200</v>
      </c>
      <c r="L3991" s="2">
        <v>49500</v>
      </c>
      <c r="M3991">
        <v>48</v>
      </c>
      <c r="N3991" s="3">
        <v>0.23499999999999999</v>
      </c>
      <c r="O3991" t="s">
        <v>16</v>
      </c>
      <c r="Q3991">
        <v>1</v>
      </c>
      <c r="R3991">
        <v>0</v>
      </c>
      <c r="S3991" s="2">
        <v>44500</v>
      </c>
      <c r="T3991" s="4">
        <v>0.1017</v>
      </c>
      <c r="U3991">
        <v>2</v>
      </c>
      <c r="V3991">
        <v>1</v>
      </c>
      <c r="W3991">
        <v>1</v>
      </c>
    </row>
    <row r="3992" spans="1:23" ht="16.5" x14ac:dyDescent="0.3">
      <c r="A3992" t="s">
        <v>4056</v>
      </c>
      <c r="B3992" s="1">
        <v>45867</v>
      </c>
      <c r="C3992">
        <v>2025</v>
      </c>
      <c r="D3992" t="s">
        <v>1255</v>
      </c>
      <c r="E3992" t="s">
        <v>1256</v>
      </c>
      <c r="F3992" t="s">
        <v>26</v>
      </c>
      <c r="G3992" t="s">
        <v>33</v>
      </c>
      <c r="H3992" t="s">
        <v>38</v>
      </c>
      <c r="I3992" t="s">
        <v>39</v>
      </c>
      <c r="J3992" t="s">
        <v>30</v>
      </c>
      <c r="K3992" s="2">
        <v>7100</v>
      </c>
      <c r="L3992" s="2">
        <v>19000</v>
      </c>
      <c r="M3992">
        <v>36</v>
      </c>
      <c r="N3992" s="3">
        <v>0.25600000000000001</v>
      </c>
      <c r="O3992" t="s">
        <v>16</v>
      </c>
      <c r="Q3992">
        <v>1</v>
      </c>
      <c r="R3992">
        <v>0</v>
      </c>
      <c r="S3992" s="2">
        <v>19000</v>
      </c>
      <c r="T3992" s="4">
        <v>9.8599999999999993E-2</v>
      </c>
      <c r="U3992">
        <v>2</v>
      </c>
      <c r="V3992">
        <v>1</v>
      </c>
      <c r="W3992">
        <v>1</v>
      </c>
    </row>
    <row r="3993" spans="1:23" ht="16.5" x14ac:dyDescent="0.3">
      <c r="A3993" t="s">
        <v>4057</v>
      </c>
      <c r="B3993" s="1">
        <v>45867</v>
      </c>
      <c r="C3993">
        <v>2025</v>
      </c>
      <c r="D3993" t="s">
        <v>1255</v>
      </c>
      <c r="E3993" t="s">
        <v>1256</v>
      </c>
      <c r="F3993" t="s">
        <v>41</v>
      </c>
      <c r="G3993" t="s">
        <v>51</v>
      </c>
      <c r="H3993" t="s">
        <v>38</v>
      </c>
      <c r="I3993" t="s">
        <v>39</v>
      </c>
      <c r="J3993" t="s">
        <v>35</v>
      </c>
      <c r="K3993" s="2">
        <v>3200</v>
      </c>
      <c r="L3993" s="2">
        <v>179000</v>
      </c>
      <c r="M3993">
        <v>12</v>
      </c>
      <c r="N3993" s="3">
        <v>5.056</v>
      </c>
      <c r="O3993" t="s">
        <v>125</v>
      </c>
      <c r="Q3993">
        <v>0</v>
      </c>
      <c r="R3993">
        <v>0</v>
      </c>
      <c r="S3993" s="2">
        <v>0</v>
      </c>
      <c r="T3993" s="4"/>
      <c r="U3993">
        <v>12</v>
      </c>
      <c r="V3993">
        <v>0</v>
      </c>
      <c r="W3993">
        <v>1</v>
      </c>
    </row>
    <row r="3994" spans="1:23" ht="16.5" x14ac:dyDescent="0.3">
      <c r="A3994" t="s">
        <v>4058</v>
      </c>
      <c r="B3994" s="1">
        <v>45867</v>
      </c>
      <c r="C3994">
        <v>2025</v>
      </c>
      <c r="D3994" t="s">
        <v>1255</v>
      </c>
      <c r="E3994" t="s">
        <v>1256</v>
      </c>
      <c r="F3994" t="s">
        <v>50</v>
      </c>
      <c r="G3994" t="s">
        <v>45</v>
      </c>
      <c r="H3994" t="s">
        <v>38</v>
      </c>
      <c r="I3994" t="s">
        <v>29</v>
      </c>
      <c r="J3994" t="s">
        <v>35</v>
      </c>
      <c r="K3994" s="2">
        <v>9150</v>
      </c>
      <c r="L3994" s="2">
        <v>283000</v>
      </c>
      <c r="M3994">
        <v>300</v>
      </c>
      <c r="N3994" s="3">
        <v>0.376</v>
      </c>
      <c r="O3994" t="s">
        <v>16</v>
      </c>
      <c r="Q3994">
        <v>1</v>
      </c>
      <c r="R3994">
        <v>0</v>
      </c>
      <c r="S3994" s="2">
        <v>283000</v>
      </c>
      <c r="T3994" s="4">
        <v>5.8799999999999998E-2</v>
      </c>
      <c r="U3994">
        <v>8</v>
      </c>
      <c r="V3994">
        <v>1</v>
      </c>
      <c r="W3994">
        <v>1</v>
      </c>
    </row>
    <row r="3995" spans="1:23" ht="16.5" x14ac:dyDescent="0.3">
      <c r="A3995" t="s">
        <v>4059</v>
      </c>
      <c r="B3995" s="1">
        <v>45868</v>
      </c>
      <c r="C3995">
        <v>2025</v>
      </c>
      <c r="D3995" t="s">
        <v>1255</v>
      </c>
      <c r="E3995" t="s">
        <v>1256</v>
      </c>
      <c r="F3995" t="s">
        <v>26</v>
      </c>
      <c r="G3995" t="s">
        <v>45</v>
      </c>
      <c r="H3995" t="s">
        <v>34</v>
      </c>
      <c r="I3995" t="s">
        <v>29</v>
      </c>
      <c r="J3995" t="s">
        <v>30</v>
      </c>
      <c r="K3995" s="2">
        <v>7100</v>
      </c>
      <c r="L3995" s="2">
        <v>12500</v>
      </c>
      <c r="M3995">
        <v>60</v>
      </c>
      <c r="N3995" s="3">
        <v>0.24199999999999999</v>
      </c>
      <c r="O3995" t="s">
        <v>17</v>
      </c>
      <c r="P3995" t="s">
        <v>31</v>
      </c>
      <c r="Q3995">
        <v>0</v>
      </c>
      <c r="R3995">
        <v>1</v>
      </c>
      <c r="S3995" s="2">
        <v>0</v>
      </c>
      <c r="T3995" s="4"/>
      <c r="U3995">
        <v>2</v>
      </c>
      <c r="V3995">
        <v>1</v>
      </c>
      <c r="W3995">
        <v>1</v>
      </c>
    </row>
    <row r="3996" spans="1:23" ht="16.5" x14ac:dyDescent="0.3">
      <c r="A3996" t="s">
        <v>4060</v>
      </c>
      <c r="B3996" s="1">
        <v>45868</v>
      </c>
      <c r="C3996">
        <v>2025</v>
      </c>
      <c r="D3996" t="s">
        <v>1255</v>
      </c>
      <c r="E3996" t="s">
        <v>1256</v>
      </c>
      <c r="F3996" t="s">
        <v>26</v>
      </c>
      <c r="G3996" t="s">
        <v>45</v>
      </c>
      <c r="H3996" t="s">
        <v>34</v>
      </c>
      <c r="I3996" t="s">
        <v>42</v>
      </c>
      <c r="J3996" t="s">
        <v>52</v>
      </c>
      <c r="K3996" s="2">
        <v>7850</v>
      </c>
      <c r="L3996" s="2">
        <v>28000</v>
      </c>
      <c r="M3996">
        <v>48</v>
      </c>
      <c r="N3996" s="3">
        <v>0.17299999999999999</v>
      </c>
      <c r="O3996" t="s">
        <v>16</v>
      </c>
      <c r="Q3996">
        <v>1</v>
      </c>
      <c r="R3996">
        <v>0</v>
      </c>
      <c r="S3996" s="2">
        <v>25000</v>
      </c>
      <c r="T3996" s="4">
        <v>7.3800000000000004E-2</v>
      </c>
      <c r="U3996">
        <v>2</v>
      </c>
      <c r="V3996">
        <v>1</v>
      </c>
      <c r="W3996">
        <v>1</v>
      </c>
    </row>
    <row r="3997" spans="1:23" ht="16.5" x14ac:dyDescent="0.3">
      <c r="A3997" t="s">
        <v>4061</v>
      </c>
      <c r="B3997" s="1">
        <v>45868</v>
      </c>
      <c r="C3997">
        <v>2025</v>
      </c>
      <c r="D3997" t="s">
        <v>1255</v>
      </c>
      <c r="E3997" t="s">
        <v>1256</v>
      </c>
      <c r="F3997" t="s">
        <v>26</v>
      </c>
      <c r="G3997" t="s">
        <v>33</v>
      </c>
      <c r="H3997" t="s">
        <v>64</v>
      </c>
      <c r="I3997" t="s">
        <v>39</v>
      </c>
      <c r="J3997" t="s">
        <v>46</v>
      </c>
      <c r="K3997" s="2">
        <v>3450</v>
      </c>
      <c r="L3997" s="2">
        <v>28500</v>
      </c>
      <c r="M3997">
        <v>48</v>
      </c>
      <c r="N3997" s="3">
        <v>0.26800000000000002</v>
      </c>
      <c r="O3997" t="s">
        <v>16</v>
      </c>
      <c r="Q3997">
        <v>1</v>
      </c>
      <c r="R3997">
        <v>0</v>
      </c>
      <c r="S3997" s="2">
        <v>25500</v>
      </c>
      <c r="T3997" s="4">
        <v>6.3100000000000003E-2</v>
      </c>
      <c r="U3997">
        <v>2</v>
      </c>
      <c r="V3997">
        <v>1</v>
      </c>
      <c r="W3997">
        <v>1</v>
      </c>
    </row>
    <row r="3998" spans="1:23" ht="16.5" x14ac:dyDescent="0.3">
      <c r="A3998" t="s">
        <v>4062</v>
      </c>
      <c r="B3998" s="1">
        <v>45868</v>
      </c>
      <c r="C3998">
        <v>2025</v>
      </c>
      <c r="D3998" t="s">
        <v>1255</v>
      </c>
      <c r="E3998" t="s">
        <v>1256</v>
      </c>
      <c r="F3998" t="s">
        <v>50</v>
      </c>
      <c r="G3998" t="s">
        <v>33</v>
      </c>
      <c r="H3998" t="s">
        <v>38</v>
      </c>
      <c r="I3998" t="s">
        <v>39</v>
      </c>
      <c r="J3998" t="s">
        <v>52</v>
      </c>
      <c r="K3998" s="2">
        <v>9350</v>
      </c>
      <c r="L3998" s="2">
        <v>272000</v>
      </c>
      <c r="M3998">
        <v>240</v>
      </c>
      <c r="N3998" s="3">
        <v>0.29599999999999999</v>
      </c>
      <c r="O3998" t="s">
        <v>16</v>
      </c>
      <c r="Q3998">
        <v>1</v>
      </c>
      <c r="R3998">
        <v>0</v>
      </c>
      <c r="S3998" s="2">
        <v>217500</v>
      </c>
      <c r="T3998" s="4">
        <v>4.7500000000000001E-2</v>
      </c>
      <c r="U3998">
        <v>6</v>
      </c>
      <c r="V3998">
        <v>1</v>
      </c>
      <c r="W3998">
        <v>1</v>
      </c>
    </row>
    <row r="3999" spans="1:23" ht="16.5" x14ac:dyDescent="0.3">
      <c r="A3999" t="s">
        <v>4063</v>
      </c>
      <c r="B3999" s="1">
        <v>45868</v>
      </c>
      <c r="C3999">
        <v>2025</v>
      </c>
      <c r="D3999" t="s">
        <v>1255</v>
      </c>
      <c r="E3999" t="s">
        <v>1256</v>
      </c>
      <c r="F3999" t="s">
        <v>50</v>
      </c>
      <c r="G3999" t="s">
        <v>33</v>
      </c>
      <c r="H3999" t="s">
        <v>38</v>
      </c>
      <c r="I3999" t="s">
        <v>29</v>
      </c>
      <c r="J3999" t="s">
        <v>52</v>
      </c>
      <c r="K3999" s="2">
        <v>6150</v>
      </c>
      <c r="L3999" s="2">
        <v>582500</v>
      </c>
      <c r="M3999">
        <v>240</v>
      </c>
      <c r="N3999" s="3">
        <v>0.83199999999999996</v>
      </c>
      <c r="O3999" t="s">
        <v>16</v>
      </c>
      <c r="Q3999">
        <v>1</v>
      </c>
      <c r="R3999">
        <v>0</v>
      </c>
      <c r="S3999" s="2">
        <v>582500</v>
      </c>
      <c r="T3999" s="4">
        <v>0.05</v>
      </c>
      <c r="U3999">
        <v>7</v>
      </c>
      <c r="V3999">
        <v>1</v>
      </c>
      <c r="W3999">
        <v>1</v>
      </c>
    </row>
    <row r="4000" spans="1:23" ht="16.5" x14ac:dyDescent="0.3">
      <c r="A4000" t="s">
        <v>4064</v>
      </c>
      <c r="B4000" s="1">
        <v>45868</v>
      </c>
      <c r="C4000">
        <v>2025</v>
      </c>
      <c r="D4000" t="s">
        <v>1255</v>
      </c>
      <c r="E4000" t="s">
        <v>1256</v>
      </c>
      <c r="F4000" t="s">
        <v>37</v>
      </c>
      <c r="G4000" t="s">
        <v>33</v>
      </c>
      <c r="H4000" t="s">
        <v>64</v>
      </c>
      <c r="I4000" t="s">
        <v>29</v>
      </c>
      <c r="J4000" t="s">
        <v>52</v>
      </c>
      <c r="K4000" s="2">
        <v>11400</v>
      </c>
      <c r="L4000" s="2">
        <v>13000</v>
      </c>
      <c r="M4000">
        <v>12</v>
      </c>
      <c r="N4000" s="3">
        <v>0.17399999999999999</v>
      </c>
      <c r="O4000" t="s">
        <v>16</v>
      </c>
      <c r="Q4000">
        <v>1</v>
      </c>
      <c r="R4000">
        <v>0</v>
      </c>
      <c r="S4000" s="2">
        <v>11500</v>
      </c>
      <c r="T4000" s="4">
        <v>0.10879999999999999</v>
      </c>
      <c r="U4000">
        <v>2</v>
      </c>
      <c r="V4000">
        <v>1</v>
      </c>
      <c r="W4000">
        <v>1</v>
      </c>
    </row>
    <row r="4001" spans="1:23" ht="16.5" x14ac:dyDescent="0.3">
      <c r="A4001" t="s">
        <v>4065</v>
      </c>
      <c r="B4001" s="1">
        <v>45868</v>
      </c>
      <c r="C4001">
        <v>2025</v>
      </c>
      <c r="D4001" t="s">
        <v>1255</v>
      </c>
      <c r="E4001" t="s">
        <v>1256</v>
      </c>
      <c r="F4001" t="s">
        <v>50</v>
      </c>
      <c r="G4001" t="s">
        <v>51</v>
      </c>
      <c r="H4001" t="s">
        <v>28</v>
      </c>
      <c r="I4001" t="s">
        <v>29</v>
      </c>
      <c r="J4001" t="s">
        <v>46</v>
      </c>
      <c r="K4001" s="2">
        <v>6000</v>
      </c>
      <c r="L4001" s="2">
        <v>237500</v>
      </c>
      <c r="M4001">
        <v>300</v>
      </c>
      <c r="N4001" s="3">
        <v>0.28000000000000003</v>
      </c>
      <c r="O4001" t="s">
        <v>16</v>
      </c>
      <c r="Q4001">
        <v>1</v>
      </c>
      <c r="R4001">
        <v>0</v>
      </c>
      <c r="S4001" s="2">
        <v>190000</v>
      </c>
      <c r="T4001" s="4">
        <v>4.58E-2</v>
      </c>
      <c r="U4001">
        <v>20</v>
      </c>
      <c r="V4001">
        <v>0</v>
      </c>
      <c r="W4001">
        <v>1</v>
      </c>
    </row>
    <row r="4002" spans="1:23" ht="16.5" x14ac:dyDescent="0.3">
      <c r="A4002" t="s">
        <v>4066</v>
      </c>
      <c r="B4002" s="1">
        <v>45869</v>
      </c>
      <c r="C4002">
        <v>2025</v>
      </c>
      <c r="D4002" t="s">
        <v>1255</v>
      </c>
      <c r="E4002" t="s">
        <v>1256</v>
      </c>
      <c r="F4002" t="s">
        <v>37</v>
      </c>
      <c r="G4002" t="s">
        <v>33</v>
      </c>
      <c r="H4002" t="s">
        <v>55</v>
      </c>
      <c r="I4002" t="s">
        <v>39</v>
      </c>
      <c r="J4002" t="s">
        <v>30</v>
      </c>
      <c r="K4002" s="2">
        <v>1950</v>
      </c>
      <c r="L4002" s="2">
        <v>21000</v>
      </c>
      <c r="M4002">
        <v>48</v>
      </c>
      <c r="N4002" s="3">
        <v>0.48799999999999999</v>
      </c>
      <c r="O4002" t="s">
        <v>17</v>
      </c>
      <c r="P4002" t="s">
        <v>31</v>
      </c>
      <c r="Q4002">
        <v>0</v>
      </c>
      <c r="R4002">
        <v>1</v>
      </c>
      <c r="S4002" s="2">
        <v>0</v>
      </c>
      <c r="T4002" s="4"/>
      <c r="U4002">
        <v>1</v>
      </c>
      <c r="V4002">
        <v>1</v>
      </c>
      <c r="W4002">
        <v>1</v>
      </c>
    </row>
    <row r="4003" spans="1:23" ht="16.5" x14ac:dyDescent="0.3">
      <c r="A4003" t="s">
        <v>4067</v>
      </c>
      <c r="B4003" s="1">
        <v>45869</v>
      </c>
      <c r="C4003">
        <v>2025</v>
      </c>
      <c r="D4003" t="s">
        <v>1255</v>
      </c>
      <c r="E4003" t="s">
        <v>1256</v>
      </c>
      <c r="F4003" t="s">
        <v>41</v>
      </c>
      <c r="G4003" t="s">
        <v>51</v>
      </c>
      <c r="H4003" t="s">
        <v>34</v>
      </c>
      <c r="I4003" t="s">
        <v>39</v>
      </c>
      <c r="J4003" t="s">
        <v>43</v>
      </c>
      <c r="K4003" s="2">
        <v>3900</v>
      </c>
      <c r="L4003" s="2">
        <v>71500</v>
      </c>
      <c r="M4003">
        <v>36</v>
      </c>
      <c r="N4003" s="3">
        <v>0.76900000000000002</v>
      </c>
      <c r="O4003" t="s">
        <v>17</v>
      </c>
      <c r="P4003" t="s">
        <v>31</v>
      </c>
      <c r="Q4003">
        <v>0</v>
      </c>
      <c r="R4003">
        <v>1</v>
      </c>
      <c r="S4003" s="2">
        <v>0</v>
      </c>
      <c r="T4003" s="4"/>
      <c r="U4003">
        <v>12</v>
      </c>
      <c r="V4003">
        <v>0</v>
      </c>
      <c r="W4003">
        <v>1</v>
      </c>
    </row>
    <row r="4004" spans="1:23" ht="16.5" x14ac:dyDescent="0.3">
      <c r="A4004" t="s">
        <v>4068</v>
      </c>
      <c r="B4004" s="1">
        <v>45869</v>
      </c>
      <c r="C4004">
        <v>2025</v>
      </c>
      <c r="D4004" t="s">
        <v>1255</v>
      </c>
      <c r="E4004" t="s">
        <v>1256</v>
      </c>
      <c r="F4004" t="s">
        <v>26</v>
      </c>
      <c r="G4004" t="s">
        <v>51</v>
      </c>
      <c r="H4004" t="s">
        <v>34</v>
      </c>
      <c r="I4004" t="s">
        <v>29</v>
      </c>
      <c r="J4004" t="s">
        <v>52</v>
      </c>
      <c r="K4004" s="2">
        <v>4100</v>
      </c>
      <c r="L4004" s="2">
        <v>23500</v>
      </c>
      <c r="M4004">
        <v>36</v>
      </c>
      <c r="N4004" s="3">
        <v>0.36299999999999999</v>
      </c>
      <c r="O4004" t="s">
        <v>16</v>
      </c>
      <c r="Q4004">
        <v>1</v>
      </c>
      <c r="R4004">
        <v>0</v>
      </c>
      <c r="S4004" s="2">
        <v>23500</v>
      </c>
      <c r="T4004" s="4">
        <v>7.2099999999999997E-2</v>
      </c>
      <c r="U4004">
        <v>7</v>
      </c>
      <c r="V4004">
        <v>0</v>
      </c>
      <c r="W4004">
        <v>1</v>
      </c>
    </row>
    <row r="4005" spans="1:23" ht="16.5" x14ac:dyDescent="0.3">
      <c r="A4005" t="s">
        <v>4069</v>
      </c>
      <c r="B4005" s="1">
        <v>45869</v>
      </c>
      <c r="C4005">
        <v>2025</v>
      </c>
      <c r="D4005" t="s">
        <v>1255</v>
      </c>
      <c r="E4005" t="s">
        <v>1256</v>
      </c>
      <c r="F4005" t="s">
        <v>37</v>
      </c>
      <c r="G4005" t="s">
        <v>51</v>
      </c>
      <c r="H4005" t="s">
        <v>64</v>
      </c>
      <c r="I4005" t="s">
        <v>39</v>
      </c>
      <c r="J4005" t="s">
        <v>30</v>
      </c>
      <c r="K4005" s="2">
        <v>15950</v>
      </c>
      <c r="L4005" s="2">
        <v>14000</v>
      </c>
      <c r="M4005">
        <v>12</v>
      </c>
      <c r="N4005" s="3">
        <v>0.253</v>
      </c>
      <c r="O4005" t="s">
        <v>17</v>
      </c>
      <c r="P4005" t="s">
        <v>31</v>
      </c>
      <c r="Q4005">
        <v>0</v>
      </c>
      <c r="R4005">
        <v>1</v>
      </c>
      <c r="S4005" s="2">
        <v>0</v>
      </c>
      <c r="T4005" s="4"/>
      <c r="U4005">
        <v>5</v>
      </c>
      <c r="V4005">
        <v>0</v>
      </c>
      <c r="W4005">
        <v>1</v>
      </c>
    </row>
    <row r="4006" spans="1:23" ht="16.5" x14ac:dyDescent="0.3">
      <c r="A4006" t="s">
        <v>4070</v>
      </c>
      <c r="B4006" s="1">
        <v>45869</v>
      </c>
      <c r="C4006">
        <v>2025</v>
      </c>
      <c r="D4006" t="s">
        <v>1255</v>
      </c>
      <c r="E4006" t="s">
        <v>1256</v>
      </c>
      <c r="F4006" t="s">
        <v>50</v>
      </c>
      <c r="G4006" t="s">
        <v>27</v>
      </c>
      <c r="H4006" t="s">
        <v>64</v>
      </c>
      <c r="I4006" t="s">
        <v>29</v>
      </c>
      <c r="J4006" t="s">
        <v>35</v>
      </c>
      <c r="K4006" s="2">
        <v>5050</v>
      </c>
      <c r="L4006" s="2">
        <v>308000</v>
      </c>
      <c r="M4006">
        <v>240</v>
      </c>
      <c r="N4006" s="3">
        <v>0.626</v>
      </c>
      <c r="O4006" t="s">
        <v>16</v>
      </c>
      <c r="Q4006">
        <v>1</v>
      </c>
      <c r="R4006">
        <v>0</v>
      </c>
      <c r="S4006" s="2">
        <v>277000</v>
      </c>
      <c r="T4006" s="4">
        <v>6.2199999999999998E-2</v>
      </c>
      <c r="U4006">
        <v>9</v>
      </c>
      <c r="V4006">
        <v>1</v>
      </c>
      <c r="W4006">
        <v>1</v>
      </c>
    </row>
    <row r="4007" spans="1:23" ht="16.5" x14ac:dyDescent="0.3">
      <c r="A4007" t="s">
        <v>4071</v>
      </c>
      <c r="B4007" s="1">
        <v>45869</v>
      </c>
      <c r="C4007">
        <v>2025</v>
      </c>
      <c r="D4007" t="s">
        <v>1255</v>
      </c>
      <c r="E4007" t="s">
        <v>1256</v>
      </c>
      <c r="F4007" t="s">
        <v>26</v>
      </c>
      <c r="G4007" t="s">
        <v>51</v>
      </c>
      <c r="H4007" t="s">
        <v>28</v>
      </c>
      <c r="I4007" t="s">
        <v>29</v>
      </c>
      <c r="J4007" t="s">
        <v>35</v>
      </c>
      <c r="K4007" s="2">
        <v>6950</v>
      </c>
      <c r="L4007" s="2">
        <v>11000</v>
      </c>
      <c r="M4007">
        <v>36</v>
      </c>
      <c r="N4007" s="3">
        <v>0.20100000000000001</v>
      </c>
      <c r="O4007" t="s">
        <v>17</v>
      </c>
      <c r="P4007" t="s">
        <v>48</v>
      </c>
      <c r="Q4007">
        <v>0</v>
      </c>
      <c r="R4007">
        <v>1</v>
      </c>
      <c r="S4007" s="2">
        <v>0</v>
      </c>
      <c r="T4007" s="4"/>
      <c r="U4007">
        <v>6</v>
      </c>
      <c r="V4007">
        <v>0</v>
      </c>
      <c r="W4007">
        <v>1</v>
      </c>
    </row>
    <row r="4008" spans="1:23" ht="16.5" x14ac:dyDescent="0.3">
      <c r="A4008" t="s">
        <v>4072</v>
      </c>
      <c r="B4008" s="1">
        <v>45869</v>
      </c>
      <c r="C4008">
        <v>2025</v>
      </c>
      <c r="D4008" t="s">
        <v>1255</v>
      </c>
      <c r="E4008" t="s">
        <v>1256</v>
      </c>
      <c r="F4008" t="s">
        <v>26</v>
      </c>
      <c r="G4008" t="s">
        <v>33</v>
      </c>
      <c r="H4008" t="s">
        <v>38</v>
      </c>
      <c r="I4008" t="s">
        <v>39</v>
      </c>
      <c r="J4008" t="s">
        <v>35</v>
      </c>
      <c r="K4008" s="2">
        <v>8750</v>
      </c>
      <c r="L4008" s="2">
        <v>43000</v>
      </c>
      <c r="M4008">
        <v>60</v>
      </c>
      <c r="N4008" s="3">
        <v>0.185</v>
      </c>
      <c r="O4008" t="s">
        <v>16</v>
      </c>
      <c r="Q4008">
        <v>1</v>
      </c>
      <c r="R4008">
        <v>0</v>
      </c>
      <c r="S4008" s="2">
        <v>43000</v>
      </c>
      <c r="T4008" s="4">
        <v>7.9399999999999998E-2</v>
      </c>
      <c r="U4008">
        <v>2</v>
      </c>
      <c r="V4008">
        <v>1</v>
      </c>
      <c r="W4008">
        <v>1</v>
      </c>
    </row>
    <row r="4009" spans="1:23" ht="16.5" x14ac:dyDescent="0.3">
      <c r="A4009" t="s">
        <v>4073</v>
      </c>
      <c r="B4009" s="1">
        <v>45869</v>
      </c>
      <c r="C4009">
        <v>2025</v>
      </c>
      <c r="D4009" t="s">
        <v>1255</v>
      </c>
      <c r="E4009" t="s">
        <v>1256</v>
      </c>
      <c r="F4009" t="s">
        <v>26</v>
      </c>
      <c r="G4009" t="s">
        <v>33</v>
      </c>
      <c r="H4009" t="s">
        <v>38</v>
      </c>
      <c r="I4009" t="s">
        <v>39</v>
      </c>
      <c r="J4009" t="s">
        <v>52</v>
      </c>
      <c r="K4009" s="2">
        <v>5050</v>
      </c>
      <c r="L4009" s="2">
        <v>23000</v>
      </c>
      <c r="M4009">
        <v>48</v>
      </c>
      <c r="N4009" s="3">
        <v>0.316</v>
      </c>
      <c r="O4009" t="s">
        <v>16</v>
      </c>
      <c r="Q4009">
        <v>1</v>
      </c>
      <c r="R4009">
        <v>0</v>
      </c>
      <c r="S4009" s="2">
        <v>23000</v>
      </c>
      <c r="T4009" s="4">
        <v>7.1400000000000005E-2</v>
      </c>
      <c r="U4009">
        <v>2</v>
      </c>
      <c r="V4009">
        <v>1</v>
      </c>
      <c r="W4009">
        <v>1</v>
      </c>
    </row>
    <row r="4010" spans="1:23" ht="16.5" x14ac:dyDescent="0.3">
      <c r="A4010" t="s">
        <v>4074</v>
      </c>
      <c r="B4010" s="1">
        <v>45869</v>
      </c>
      <c r="C4010">
        <v>2025</v>
      </c>
      <c r="D4010" t="s">
        <v>1255</v>
      </c>
      <c r="E4010" t="s">
        <v>1256</v>
      </c>
      <c r="F4010" t="s">
        <v>37</v>
      </c>
      <c r="G4010" t="s">
        <v>27</v>
      </c>
      <c r="H4010" t="s">
        <v>55</v>
      </c>
      <c r="I4010" t="s">
        <v>39</v>
      </c>
      <c r="J4010" t="s">
        <v>30</v>
      </c>
      <c r="K4010" s="2">
        <v>6500</v>
      </c>
      <c r="L4010" s="2">
        <v>10500</v>
      </c>
      <c r="M4010">
        <v>12</v>
      </c>
      <c r="N4010" s="3">
        <v>0.32</v>
      </c>
      <c r="O4010" t="s">
        <v>16</v>
      </c>
      <c r="Q4010">
        <v>1</v>
      </c>
      <c r="R4010">
        <v>0</v>
      </c>
      <c r="S4010" s="2">
        <v>10500</v>
      </c>
      <c r="T4010" s="4">
        <v>0.1396</v>
      </c>
      <c r="U4010">
        <v>3</v>
      </c>
      <c r="V4010">
        <v>1</v>
      </c>
      <c r="W4010">
        <v>1</v>
      </c>
    </row>
    <row r="4011" spans="1:23" ht="16.5" x14ac:dyDescent="0.3">
      <c r="A4011" t="s">
        <v>4075</v>
      </c>
      <c r="B4011" s="1">
        <v>45870</v>
      </c>
      <c r="C4011">
        <v>2025</v>
      </c>
      <c r="D4011" t="s">
        <v>1255</v>
      </c>
      <c r="E4011" t="s">
        <v>1415</v>
      </c>
      <c r="F4011" t="s">
        <v>50</v>
      </c>
      <c r="G4011" t="s">
        <v>51</v>
      </c>
      <c r="H4011" t="s">
        <v>38</v>
      </c>
      <c r="I4011" t="s">
        <v>29</v>
      </c>
      <c r="J4011" t="s">
        <v>35</v>
      </c>
      <c r="K4011" s="2">
        <v>8850</v>
      </c>
      <c r="L4011" s="2">
        <v>275500</v>
      </c>
      <c r="M4011">
        <v>180</v>
      </c>
      <c r="N4011" s="3">
        <v>0.34300000000000003</v>
      </c>
      <c r="O4011" t="s">
        <v>17</v>
      </c>
      <c r="P4011" t="s">
        <v>65</v>
      </c>
      <c r="Q4011">
        <v>0</v>
      </c>
      <c r="R4011">
        <v>1</v>
      </c>
      <c r="S4011" s="2">
        <v>0</v>
      </c>
      <c r="T4011" s="4"/>
      <c r="U4011">
        <v>18</v>
      </c>
      <c r="V4011">
        <v>0</v>
      </c>
      <c r="W4011">
        <v>1</v>
      </c>
    </row>
    <row r="4012" spans="1:23" ht="16.5" x14ac:dyDescent="0.3">
      <c r="A4012" t="s">
        <v>4076</v>
      </c>
      <c r="B4012" s="1">
        <v>45870</v>
      </c>
      <c r="C4012">
        <v>2025</v>
      </c>
      <c r="D4012" t="s">
        <v>1255</v>
      </c>
      <c r="E4012" t="s">
        <v>1415</v>
      </c>
      <c r="F4012" t="s">
        <v>37</v>
      </c>
      <c r="G4012" t="s">
        <v>45</v>
      </c>
      <c r="H4012" t="s">
        <v>34</v>
      </c>
      <c r="I4012" t="s">
        <v>29</v>
      </c>
      <c r="J4012" t="s">
        <v>46</v>
      </c>
      <c r="K4012" s="2">
        <v>5050</v>
      </c>
      <c r="L4012" s="2">
        <v>10500</v>
      </c>
      <c r="M4012">
        <v>48</v>
      </c>
      <c r="N4012" s="3">
        <v>0.17599999999999999</v>
      </c>
      <c r="O4012" t="s">
        <v>17</v>
      </c>
      <c r="P4012" t="s">
        <v>60</v>
      </c>
      <c r="Q4012">
        <v>0</v>
      </c>
      <c r="R4012">
        <v>1</v>
      </c>
      <c r="S4012" s="2">
        <v>0</v>
      </c>
      <c r="T4012" s="4"/>
      <c r="U4012">
        <v>6</v>
      </c>
      <c r="V4012">
        <v>0</v>
      </c>
      <c r="W4012">
        <v>1</v>
      </c>
    </row>
    <row r="4013" spans="1:23" ht="16.5" x14ac:dyDescent="0.3">
      <c r="A4013" t="s">
        <v>4077</v>
      </c>
      <c r="B4013" s="1">
        <v>45870</v>
      </c>
      <c r="C4013">
        <v>2025</v>
      </c>
      <c r="D4013" t="s">
        <v>1255</v>
      </c>
      <c r="E4013" t="s">
        <v>1415</v>
      </c>
      <c r="F4013" t="s">
        <v>37</v>
      </c>
      <c r="G4013" t="s">
        <v>33</v>
      </c>
      <c r="H4013" t="s">
        <v>38</v>
      </c>
      <c r="I4013" t="s">
        <v>29</v>
      </c>
      <c r="J4013" t="s">
        <v>35</v>
      </c>
      <c r="K4013" s="2">
        <v>3050</v>
      </c>
      <c r="L4013" s="2">
        <v>14500</v>
      </c>
      <c r="M4013">
        <v>36</v>
      </c>
      <c r="N4013" s="3">
        <v>0.35</v>
      </c>
      <c r="O4013" t="s">
        <v>16</v>
      </c>
      <c r="Q4013">
        <v>1</v>
      </c>
      <c r="R4013">
        <v>0</v>
      </c>
      <c r="S4013" s="2">
        <v>13000</v>
      </c>
      <c r="T4013" s="4">
        <v>0.12540000000000001</v>
      </c>
      <c r="U4013">
        <v>1</v>
      </c>
      <c r="V4013">
        <v>1</v>
      </c>
      <c r="W4013">
        <v>1</v>
      </c>
    </row>
    <row r="4014" spans="1:23" ht="16.5" x14ac:dyDescent="0.3">
      <c r="A4014" t="s">
        <v>4078</v>
      </c>
      <c r="B4014" s="1">
        <v>45870</v>
      </c>
      <c r="C4014">
        <v>2025</v>
      </c>
      <c r="D4014" t="s">
        <v>1255</v>
      </c>
      <c r="E4014" t="s">
        <v>1415</v>
      </c>
      <c r="F4014" t="s">
        <v>50</v>
      </c>
      <c r="G4014" t="s">
        <v>51</v>
      </c>
      <c r="H4014" t="s">
        <v>55</v>
      </c>
      <c r="I4014" t="s">
        <v>42</v>
      </c>
      <c r="J4014" t="s">
        <v>30</v>
      </c>
      <c r="K4014" s="2">
        <v>6250</v>
      </c>
      <c r="L4014" s="2">
        <v>263000</v>
      </c>
      <c r="M4014">
        <v>300</v>
      </c>
      <c r="N4014" s="3">
        <v>0.36</v>
      </c>
      <c r="O4014" t="s">
        <v>16</v>
      </c>
      <c r="Q4014">
        <v>1</v>
      </c>
      <c r="R4014">
        <v>0</v>
      </c>
      <c r="S4014" s="2">
        <v>210500</v>
      </c>
      <c r="T4014" s="4">
        <v>7.4399999999999994E-2</v>
      </c>
      <c r="U4014">
        <v>20</v>
      </c>
      <c r="V4014">
        <v>0</v>
      </c>
      <c r="W4014">
        <v>1</v>
      </c>
    </row>
    <row r="4015" spans="1:23" ht="16.5" x14ac:dyDescent="0.3">
      <c r="A4015" t="s">
        <v>4079</v>
      </c>
      <c r="B4015" s="1">
        <v>45870</v>
      </c>
      <c r="C4015">
        <v>2025</v>
      </c>
      <c r="D4015" t="s">
        <v>1255</v>
      </c>
      <c r="E4015" t="s">
        <v>1415</v>
      </c>
      <c r="F4015" t="s">
        <v>50</v>
      </c>
      <c r="G4015" t="s">
        <v>45</v>
      </c>
      <c r="H4015" t="s">
        <v>55</v>
      </c>
      <c r="I4015" t="s">
        <v>42</v>
      </c>
      <c r="J4015" t="s">
        <v>52</v>
      </c>
      <c r="K4015" s="2">
        <v>8650</v>
      </c>
      <c r="L4015" s="2">
        <v>1110500</v>
      </c>
      <c r="M4015">
        <v>180</v>
      </c>
      <c r="N4015" s="3">
        <v>1.1060000000000001</v>
      </c>
      <c r="O4015" t="s">
        <v>17</v>
      </c>
      <c r="P4015" t="s">
        <v>53</v>
      </c>
      <c r="Q4015">
        <v>0</v>
      </c>
      <c r="R4015">
        <v>1</v>
      </c>
      <c r="S4015" s="2">
        <v>0</v>
      </c>
      <c r="T4015" s="4"/>
      <c r="U4015">
        <v>9</v>
      </c>
      <c r="V4015">
        <v>1</v>
      </c>
      <c r="W4015">
        <v>1</v>
      </c>
    </row>
    <row r="4016" spans="1:23" ht="16.5" x14ac:dyDescent="0.3">
      <c r="A4016" t="s">
        <v>4080</v>
      </c>
      <c r="B4016" s="1">
        <v>45870</v>
      </c>
      <c r="C4016">
        <v>2025</v>
      </c>
      <c r="D4016" t="s">
        <v>1255</v>
      </c>
      <c r="E4016" t="s">
        <v>1415</v>
      </c>
      <c r="F4016" t="s">
        <v>37</v>
      </c>
      <c r="G4016" t="s">
        <v>33</v>
      </c>
      <c r="H4016" t="s">
        <v>38</v>
      </c>
      <c r="I4016" t="s">
        <v>29</v>
      </c>
      <c r="J4016" t="s">
        <v>43</v>
      </c>
      <c r="K4016" s="2">
        <v>3700</v>
      </c>
      <c r="L4016" s="2">
        <v>9500</v>
      </c>
      <c r="M4016">
        <v>60</v>
      </c>
      <c r="N4016" s="3">
        <v>0.246</v>
      </c>
      <c r="O4016" t="s">
        <v>17</v>
      </c>
      <c r="P4016" t="s">
        <v>31</v>
      </c>
      <c r="Q4016">
        <v>0</v>
      </c>
      <c r="R4016">
        <v>1</v>
      </c>
      <c r="S4016" s="2">
        <v>0</v>
      </c>
      <c r="T4016" s="4"/>
      <c r="U4016">
        <v>2</v>
      </c>
      <c r="V4016">
        <v>1</v>
      </c>
      <c r="W4016">
        <v>1</v>
      </c>
    </row>
    <row r="4017" spans="1:23" ht="16.5" x14ac:dyDescent="0.3">
      <c r="A4017" t="s">
        <v>4081</v>
      </c>
      <c r="B4017" s="1">
        <v>45870</v>
      </c>
      <c r="C4017">
        <v>2025</v>
      </c>
      <c r="D4017" t="s">
        <v>1255</v>
      </c>
      <c r="E4017" t="s">
        <v>1415</v>
      </c>
      <c r="F4017" t="s">
        <v>50</v>
      </c>
      <c r="G4017" t="s">
        <v>33</v>
      </c>
      <c r="H4017" t="s">
        <v>55</v>
      </c>
      <c r="I4017" t="s">
        <v>29</v>
      </c>
      <c r="J4017" t="s">
        <v>46</v>
      </c>
      <c r="K4017" s="2">
        <v>4850</v>
      </c>
      <c r="L4017" s="2">
        <v>255000</v>
      </c>
      <c r="M4017">
        <v>300</v>
      </c>
      <c r="N4017" s="3">
        <v>0.35499999999999998</v>
      </c>
      <c r="O4017" t="s">
        <v>16</v>
      </c>
      <c r="Q4017">
        <v>1</v>
      </c>
      <c r="R4017">
        <v>0</v>
      </c>
      <c r="S4017" s="2">
        <v>204000</v>
      </c>
      <c r="T4017" s="4">
        <v>4.3700000000000003E-2</v>
      </c>
      <c r="U4017">
        <v>3</v>
      </c>
      <c r="V4017">
        <v>1</v>
      </c>
      <c r="W4017">
        <v>1</v>
      </c>
    </row>
    <row r="4018" spans="1:23" ht="16.5" x14ac:dyDescent="0.3">
      <c r="A4018" t="s">
        <v>4082</v>
      </c>
      <c r="B4018" s="1">
        <v>45870</v>
      </c>
      <c r="C4018">
        <v>2025</v>
      </c>
      <c r="D4018" t="s">
        <v>1255</v>
      </c>
      <c r="E4018" t="s">
        <v>1415</v>
      </c>
      <c r="F4018" t="s">
        <v>26</v>
      </c>
      <c r="G4018" t="s">
        <v>33</v>
      </c>
      <c r="H4018" t="s">
        <v>34</v>
      </c>
      <c r="I4018" t="s">
        <v>29</v>
      </c>
      <c r="J4018" t="s">
        <v>35</v>
      </c>
      <c r="K4018" s="2">
        <v>5300</v>
      </c>
      <c r="L4018" s="2">
        <v>24000</v>
      </c>
      <c r="M4018">
        <v>60</v>
      </c>
      <c r="N4018" s="3">
        <v>0.188</v>
      </c>
      <c r="O4018" t="s">
        <v>16</v>
      </c>
      <c r="Q4018">
        <v>1</v>
      </c>
      <c r="R4018">
        <v>0</v>
      </c>
      <c r="S4018" s="2">
        <v>24000</v>
      </c>
      <c r="T4018" s="4">
        <v>7.8299999999999995E-2</v>
      </c>
      <c r="U4018">
        <v>2</v>
      </c>
      <c r="V4018">
        <v>1</v>
      </c>
      <c r="W4018">
        <v>1</v>
      </c>
    </row>
    <row r="4019" spans="1:23" ht="16.5" x14ac:dyDescent="0.3">
      <c r="A4019" t="s">
        <v>4083</v>
      </c>
      <c r="B4019" s="1">
        <v>45870</v>
      </c>
      <c r="C4019">
        <v>2025</v>
      </c>
      <c r="D4019" t="s">
        <v>1255</v>
      </c>
      <c r="E4019" t="s">
        <v>1415</v>
      </c>
      <c r="F4019" t="s">
        <v>37</v>
      </c>
      <c r="G4019" t="s">
        <v>33</v>
      </c>
      <c r="H4019" t="s">
        <v>55</v>
      </c>
      <c r="I4019" t="s">
        <v>29</v>
      </c>
      <c r="J4019" t="s">
        <v>30</v>
      </c>
      <c r="K4019" s="2">
        <v>5300</v>
      </c>
      <c r="L4019" s="2">
        <v>15500</v>
      </c>
      <c r="M4019">
        <v>60</v>
      </c>
      <c r="N4019" s="3">
        <v>0.19600000000000001</v>
      </c>
      <c r="O4019" t="s">
        <v>16</v>
      </c>
      <c r="Q4019">
        <v>1</v>
      </c>
      <c r="R4019">
        <v>0</v>
      </c>
      <c r="S4019" s="2">
        <v>15500</v>
      </c>
      <c r="T4019" s="4">
        <v>0.1419</v>
      </c>
      <c r="U4019">
        <v>2</v>
      </c>
      <c r="V4019">
        <v>1</v>
      </c>
      <c r="W4019">
        <v>1</v>
      </c>
    </row>
    <row r="4020" spans="1:23" ht="16.5" x14ac:dyDescent="0.3">
      <c r="A4020" t="s">
        <v>4084</v>
      </c>
      <c r="B4020" s="1">
        <v>45870</v>
      </c>
      <c r="C4020">
        <v>2025</v>
      </c>
      <c r="D4020" t="s">
        <v>1255</v>
      </c>
      <c r="E4020" t="s">
        <v>1415</v>
      </c>
      <c r="F4020" t="s">
        <v>37</v>
      </c>
      <c r="G4020" t="s">
        <v>51</v>
      </c>
      <c r="H4020" t="s">
        <v>55</v>
      </c>
      <c r="I4020" t="s">
        <v>29</v>
      </c>
      <c r="J4020" t="s">
        <v>30</v>
      </c>
      <c r="K4020" s="2">
        <v>4500</v>
      </c>
      <c r="L4020" s="2">
        <v>7500</v>
      </c>
      <c r="M4020">
        <v>48</v>
      </c>
      <c r="N4020" s="3">
        <v>0.22800000000000001</v>
      </c>
      <c r="O4020" t="s">
        <v>17</v>
      </c>
      <c r="P4020" t="s">
        <v>31</v>
      </c>
      <c r="Q4020">
        <v>0</v>
      </c>
      <c r="R4020">
        <v>1</v>
      </c>
      <c r="S4020" s="2">
        <v>0</v>
      </c>
      <c r="T4020" s="4"/>
      <c r="U4020">
        <v>5</v>
      </c>
      <c r="V4020">
        <v>0</v>
      </c>
      <c r="W4020">
        <v>1</v>
      </c>
    </row>
    <row r="4021" spans="1:23" ht="16.5" x14ac:dyDescent="0.3">
      <c r="A4021" t="s">
        <v>4085</v>
      </c>
      <c r="B4021" s="1">
        <v>45871</v>
      </c>
      <c r="C4021">
        <v>2025</v>
      </c>
      <c r="D4021" t="s">
        <v>1255</v>
      </c>
      <c r="E4021" t="s">
        <v>1415</v>
      </c>
      <c r="F4021" t="s">
        <v>50</v>
      </c>
      <c r="G4021" t="s">
        <v>45</v>
      </c>
      <c r="H4021" t="s">
        <v>64</v>
      </c>
      <c r="I4021" t="s">
        <v>29</v>
      </c>
      <c r="J4021" t="s">
        <v>30</v>
      </c>
      <c r="K4021" s="2">
        <v>6150</v>
      </c>
      <c r="L4021" s="2">
        <v>400500</v>
      </c>
      <c r="M4021">
        <v>300</v>
      </c>
      <c r="N4021" s="3">
        <v>0.46100000000000002</v>
      </c>
      <c r="O4021" t="s">
        <v>17</v>
      </c>
      <c r="P4021" t="s">
        <v>53</v>
      </c>
      <c r="Q4021">
        <v>0</v>
      </c>
      <c r="R4021">
        <v>1</v>
      </c>
      <c r="S4021" s="2">
        <v>0</v>
      </c>
      <c r="T4021" s="4"/>
      <c r="U4021">
        <v>5</v>
      </c>
      <c r="V4021">
        <v>1</v>
      </c>
      <c r="W4021">
        <v>1</v>
      </c>
    </row>
    <row r="4022" spans="1:23" ht="16.5" x14ac:dyDescent="0.3">
      <c r="A4022" t="s">
        <v>4086</v>
      </c>
      <c r="B4022" s="1">
        <v>45871</v>
      </c>
      <c r="C4022">
        <v>2025</v>
      </c>
      <c r="D4022" t="s">
        <v>1255</v>
      </c>
      <c r="E4022" t="s">
        <v>1415</v>
      </c>
      <c r="F4022" t="s">
        <v>26</v>
      </c>
      <c r="G4022" t="s">
        <v>45</v>
      </c>
      <c r="H4022" t="s">
        <v>28</v>
      </c>
      <c r="I4022" t="s">
        <v>42</v>
      </c>
      <c r="J4022" t="s">
        <v>43</v>
      </c>
      <c r="K4022" s="2">
        <v>5600</v>
      </c>
      <c r="L4022" s="2">
        <v>16500</v>
      </c>
      <c r="M4022">
        <v>60</v>
      </c>
      <c r="N4022" s="3">
        <v>0.28499999999999998</v>
      </c>
      <c r="O4022" t="s">
        <v>17</v>
      </c>
      <c r="P4022" t="s">
        <v>31</v>
      </c>
      <c r="Q4022">
        <v>0</v>
      </c>
      <c r="R4022">
        <v>1</v>
      </c>
      <c r="S4022" s="2">
        <v>0</v>
      </c>
      <c r="T4022" s="4"/>
      <c r="U4022">
        <v>3</v>
      </c>
      <c r="V4022">
        <v>1</v>
      </c>
      <c r="W4022">
        <v>1</v>
      </c>
    </row>
    <row r="4023" spans="1:23" ht="16.5" x14ac:dyDescent="0.3">
      <c r="A4023" t="s">
        <v>4087</v>
      </c>
      <c r="B4023" s="1">
        <v>45871</v>
      </c>
      <c r="C4023">
        <v>2025</v>
      </c>
      <c r="D4023" t="s">
        <v>1255</v>
      </c>
      <c r="E4023" t="s">
        <v>1415</v>
      </c>
      <c r="F4023" t="s">
        <v>37</v>
      </c>
      <c r="G4023" t="s">
        <v>51</v>
      </c>
      <c r="H4023" t="s">
        <v>34</v>
      </c>
      <c r="I4023" t="s">
        <v>29</v>
      </c>
      <c r="J4023" t="s">
        <v>52</v>
      </c>
      <c r="K4023" s="2">
        <v>3800</v>
      </c>
      <c r="L4023" s="2">
        <v>6000</v>
      </c>
      <c r="M4023">
        <v>36</v>
      </c>
      <c r="N4023" s="3">
        <v>0.24299999999999999</v>
      </c>
      <c r="O4023" t="s">
        <v>16</v>
      </c>
      <c r="Q4023">
        <v>1</v>
      </c>
      <c r="R4023">
        <v>0</v>
      </c>
      <c r="S4023" s="2">
        <v>5000</v>
      </c>
      <c r="T4023" s="4">
        <v>0.1232</v>
      </c>
      <c r="U4023">
        <v>5</v>
      </c>
      <c r="V4023">
        <v>0</v>
      </c>
      <c r="W4023">
        <v>1</v>
      </c>
    </row>
    <row r="4024" spans="1:23" ht="16.5" x14ac:dyDescent="0.3">
      <c r="A4024" t="s">
        <v>4088</v>
      </c>
      <c r="B4024" s="1">
        <v>45871</v>
      </c>
      <c r="C4024">
        <v>2025</v>
      </c>
      <c r="D4024" t="s">
        <v>1255</v>
      </c>
      <c r="E4024" t="s">
        <v>1415</v>
      </c>
      <c r="F4024" t="s">
        <v>50</v>
      </c>
      <c r="G4024" t="s">
        <v>33</v>
      </c>
      <c r="H4024" t="s">
        <v>34</v>
      </c>
      <c r="I4024" t="s">
        <v>29</v>
      </c>
      <c r="J4024" t="s">
        <v>30</v>
      </c>
      <c r="K4024" s="2">
        <v>6300</v>
      </c>
      <c r="L4024" s="2">
        <v>236500</v>
      </c>
      <c r="M4024">
        <v>240</v>
      </c>
      <c r="N4024" s="3">
        <v>0.374</v>
      </c>
      <c r="O4024" t="s">
        <v>16</v>
      </c>
      <c r="Q4024">
        <v>1</v>
      </c>
      <c r="R4024">
        <v>0</v>
      </c>
      <c r="S4024" s="2">
        <v>213000</v>
      </c>
      <c r="T4024" s="4">
        <v>7.2800000000000004E-2</v>
      </c>
      <c r="U4024">
        <v>3</v>
      </c>
      <c r="V4024">
        <v>1</v>
      </c>
      <c r="W4024">
        <v>1</v>
      </c>
    </row>
    <row r="4025" spans="1:23" ht="16.5" x14ac:dyDescent="0.3">
      <c r="A4025" t="s">
        <v>4089</v>
      </c>
      <c r="B4025" s="1">
        <v>45872</v>
      </c>
      <c r="C4025">
        <v>2025</v>
      </c>
      <c r="D4025" t="s">
        <v>1255</v>
      </c>
      <c r="E4025" t="s">
        <v>1415</v>
      </c>
      <c r="F4025" t="s">
        <v>37</v>
      </c>
      <c r="G4025" t="s">
        <v>33</v>
      </c>
      <c r="H4025" t="s">
        <v>64</v>
      </c>
      <c r="I4025" t="s">
        <v>39</v>
      </c>
      <c r="J4025" t="s">
        <v>52</v>
      </c>
      <c r="K4025" s="2">
        <v>8250</v>
      </c>
      <c r="L4025" s="2">
        <v>13000</v>
      </c>
      <c r="M4025">
        <v>24</v>
      </c>
      <c r="N4025" s="3">
        <v>0.16700000000000001</v>
      </c>
      <c r="O4025" t="s">
        <v>16</v>
      </c>
      <c r="Q4025">
        <v>1</v>
      </c>
      <c r="R4025">
        <v>0</v>
      </c>
      <c r="S4025" s="2">
        <v>13000</v>
      </c>
      <c r="T4025" s="4">
        <v>0.1183</v>
      </c>
      <c r="U4025">
        <v>1</v>
      </c>
      <c r="V4025">
        <v>1</v>
      </c>
      <c r="W4025">
        <v>1</v>
      </c>
    </row>
    <row r="4026" spans="1:23" ht="16.5" x14ac:dyDescent="0.3">
      <c r="A4026" t="s">
        <v>4090</v>
      </c>
      <c r="B4026" s="1">
        <v>45872</v>
      </c>
      <c r="C4026">
        <v>2025</v>
      </c>
      <c r="D4026" t="s">
        <v>1255</v>
      </c>
      <c r="E4026" t="s">
        <v>1415</v>
      </c>
      <c r="F4026" t="s">
        <v>37</v>
      </c>
      <c r="G4026" t="s">
        <v>45</v>
      </c>
      <c r="H4026" t="s">
        <v>55</v>
      </c>
      <c r="I4026" t="s">
        <v>29</v>
      </c>
      <c r="J4026" t="s">
        <v>43</v>
      </c>
      <c r="K4026" s="2">
        <v>16200</v>
      </c>
      <c r="L4026" s="2">
        <v>12500</v>
      </c>
      <c r="M4026">
        <v>24</v>
      </c>
      <c r="N4026" s="3">
        <v>0.26100000000000001</v>
      </c>
      <c r="O4026" t="s">
        <v>17</v>
      </c>
      <c r="P4026" t="s">
        <v>31</v>
      </c>
      <c r="Q4026">
        <v>0</v>
      </c>
      <c r="R4026">
        <v>1</v>
      </c>
      <c r="S4026" s="2">
        <v>0</v>
      </c>
      <c r="T4026" s="4"/>
      <c r="U4026">
        <v>2</v>
      </c>
      <c r="V4026">
        <v>1</v>
      </c>
      <c r="W4026">
        <v>1</v>
      </c>
    </row>
    <row r="4027" spans="1:23" ht="16.5" x14ac:dyDescent="0.3">
      <c r="A4027" t="s">
        <v>4091</v>
      </c>
      <c r="B4027" s="1">
        <v>45872</v>
      </c>
      <c r="C4027">
        <v>2025</v>
      </c>
      <c r="D4027" t="s">
        <v>1255</v>
      </c>
      <c r="E4027" t="s">
        <v>1415</v>
      </c>
      <c r="F4027" t="s">
        <v>41</v>
      </c>
      <c r="G4027" t="s">
        <v>45</v>
      </c>
      <c r="H4027" t="s">
        <v>55</v>
      </c>
      <c r="I4027" t="s">
        <v>42</v>
      </c>
      <c r="J4027" t="s">
        <v>35</v>
      </c>
      <c r="K4027" s="2">
        <v>4400</v>
      </c>
      <c r="L4027" s="2">
        <v>68000</v>
      </c>
      <c r="M4027">
        <v>24</v>
      </c>
      <c r="N4027" s="3">
        <v>0.83599999999999997</v>
      </c>
      <c r="O4027" t="s">
        <v>17</v>
      </c>
      <c r="P4027" t="s">
        <v>53</v>
      </c>
      <c r="Q4027">
        <v>0</v>
      </c>
      <c r="R4027">
        <v>1</v>
      </c>
      <c r="S4027" s="2">
        <v>0</v>
      </c>
      <c r="T4027" s="4"/>
      <c r="U4027">
        <v>5</v>
      </c>
      <c r="V4027">
        <v>1</v>
      </c>
      <c r="W4027">
        <v>1</v>
      </c>
    </row>
    <row r="4028" spans="1:23" ht="16.5" x14ac:dyDescent="0.3">
      <c r="A4028" t="s">
        <v>4092</v>
      </c>
      <c r="B4028" s="1">
        <v>45872</v>
      </c>
      <c r="C4028">
        <v>2025</v>
      </c>
      <c r="D4028" t="s">
        <v>1255</v>
      </c>
      <c r="E4028" t="s">
        <v>1415</v>
      </c>
      <c r="F4028" t="s">
        <v>26</v>
      </c>
      <c r="G4028" t="s">
        <v>51</v>
      </c>
      <c r="H4028" t="s">
        <v>55</v>
      </c>
      <c r="I4028" t="s">
        <v>39</v>
      </c>
      <c r="J4028" t="s">
        <v>30</v>
      </c>
      <c r="K4028" s="2">
        <v>5200</v>
      </c>
      <c r="L4028" s="2">
        <v>57500</v>
      </c>
      <c r="M4028">
        <v>60</v>
      </c>
      <c r="N4028" s="3">
        <v>0.28899999999999998</v>
      </c>
      <c r="O4028" t="s">
        <v>17</v>
      </c>
      <c r="P4028" t="s">
        <v>31</v>
      </c>
      <c r="Q4028">
        <v>0</v>
      </c>
      <c r="R4028">
        <v>1</v>
      </c>
      <c r="S4028" s="2">
        <v>0</v>
      </c>
      <c r="T4028" s="4"/>
      <c r="U4028">
        <v>5</v>
      </c>
      <c r="V4028">
        <v>0</v>
      </c>
      <c r="W4028">
        <v>1</v>
      </c>
    </row>
    <row r="4029" spans="1:23" ht="16.5" x14ac:dyDescent="0.3">
      <c r="A4029" t="s">
        <v>4093</v>
      </c>
      <c r="B4029" s="1">
        <v>45872</v>
      </c>
      <c r="C4029">
        <v>2025</v>
      </c>
      <c r="D4029" t="s">
        <v>1255</v>
      </c>
      <c r="E4029" t="s">
        <v>1415</v>
      </c>
      <c r="F4029" t="s">
        <v>37</v>
      </c>
      <c r="G4029" t="s">
        <v>45</v>
      </c>
      <c r="H4029" t="s">
        <v>55</v>
      </c>
      <c r="I4029" t="s">
        <v>29</v>
      </c>
      <c r="J4029" t="s">
        <v>30</v>
      </c>
      <c r="K4029" s="2">
        <v>2150</v>
      </c>
      <c r="L4029" s="2">
        <v>9500</v>
      </c>
      <c r="M4029">
        <v>48</v>
      </c>
      <c r="N4029" s="3">
        <v>0.19</v>
      </c>
      <c r="O4029" t="s">
        <v>16</v>
      </c>
      <c r="Q4029">
        <v>1</v>
      </c>
      <c r="R4029">
        <v>0</v>
      </c>
      <c r="S4029" s="2">
        <v>7500</v>
      </c>
      <c r="T4029" s="4">
        <v>0.13880000000000001</v>
      </c>
      <c r="U4029">
        <v>3</v>
      </c>
      <c r="V4029">
        <v>1</v>
      </c>
      <c r="W4029">
        <v>1</v>
      </c>
    </row>
    <row r="4030" spans="1:23" ht="16.5" x14ac:dyDescent="0.3">
      <c r="A4030" t="s">
        <v>4094</v>
      </c>
      <c r="B4030" s="1">
        <v>45873</v>
      </c>
      <c r="C4030">
        <v>2025</v>
      </c>
      <c r="D4030" t="s">
        <v>1255</v>
      </c>
      <c r="E4030" t="s">
        <v>1415</v>
      </c>
      <c r="F4030" t="s">
        <v>37</v>
      </c>
      <c r="G4030" t="s">
        <v>51</v>
      </c>
      <c r="H4030" t="s">
        <v>38</v>
      </c>
      <c r="I4030" t="s">
        <v>29</v>
      </c>
      <c r="J4030" t="s">
        <v>35</v>
      </c>
      <c r="K4030" s="2">
        <v>3150</v>
      </c>
      <c r="L4030" s="2">
        <v>14500</v>
      </c>
      <c r="M4030">
        <v>48</v>
      </c>
      <c r="N4030" s="3">
        <v>0.28799999999999998</v>
      </c>
      <c r="O4030" t="s">
        <v>17</v>
      </c>
      <c r="P4030" t="s">
        <v>65</v>
      </c>
      <c r="Q4030">
        <v>0</v>
      </c>
      <c r="R4030">
        <v>1</v>
      </c>
      <c r="S4030" s="2">
        <v>0</v>
      </c>
      <c r="T4030" s="4"/>
      <c r="U4030">
        <v>3</v>
      </c>
      <c r="V4030">
        <v>1</v>
      </c>
      <c r="W4030">
        <v>1</v>
      </c>
    </row>
    <row r="4031" spans="1:23" ht="16.5" x14ac:dyDescent="0.3">
      <c r="A4031" t="s">
        <v>4095</v>
      </c>
      <c r="B4031" s="1">
        <v>45873</v>
      </c>
      <c r="C4031">
        <v>2025</v>
      </c>
      <c r="D4031" t="s">
        <v>1255</v>
      </c>
      <c r="E4031" t="s">
        <v>1415</v>
      </c>
      <c r="F4031" t="s">
        <v>37</v>
      </c>
      <c r="G4031" t="s">
        <v>33</v>
      </c>
      <c r="H4031" t="s">
        <v>64</v>
      </c>
      <c r="I4031" t="s">
        <v>42</v>
      </c>
      <c r="J4031" t="s">
        <v>52</v>
      </c>
      <c r="K4031" s="2">
        <v>2150</v>
      </c>
      <c r="L4031" s="2">
        <v>10000</v>
      </c>
      <c r="M4031">
        <v>48</v>
      </c>
      <c r="N4031" s="3">
        <v>0.192</v>
      </c>
      <c r="O4031" t="s">
        <v>17</v>
      </c>
      <c r="P4031" t="s">
        <v>60</v>
      </c>
      <c r="Q4031">
        <v>0</v>
      </c>
      <c r="R4031">
        <v>1</v>
      </c>
      <c r="S4031" s="2">
        <v>0</v>
      </c>
      <c r="T4031" s="4"/>
      <c r="U4031">
        <v>5</v>
      </c>
      <c r="V4031">
        <v>0</v>
      </c>
      <c r="W4031">
        <v>1</v>
      </c>
    </row>
    <row r="4032" spans="1:23" ht="16.5" x14ac:dyDescent="0.3">
      <c r="A4032" t="s">
        <v>4096</v>
      </c>
      <c r="B4032" s="1">
        <v>45873</v>
      </c>
      <c r="C4032">
        <v>2025</v>
      </c>
      <c r="D4032" t="s">
        <v>1255</v>
      </c>
      <c r="E4032" t="s">
        <v>1415</v>
      </c>
      <c r="F4032" t="s">
        <v>37</v>
      </c>
      <c r="G4032" t="s">
        <v>51</v>
      </c>
      <c r="H4032" t="s">
        <v>55</v>
      </c>
      <c r="I4032" t="s">
        <v>29</v>
      </c>
      <c r="J4032" t="s">
        <v>30</v>
      </c>
      <c r="K4032" s="2">
        <v>3950</v>
      </c>
      <c r="L4032" s="2">
        <v>14000</v>
      </c>
      <c r="M4032">
        <v>12</v>
      </c>
      <c r="N4032" s="3">
        <v>0.44600000000000001</v>
      </c>
      <c r="O4032" t="s">
        <v>17</v>
      </c>
      <c r="P4032" t="s">
        <v>31</v>
      </c>
      <c r="Q4032">
        <v>0</v>
      </c>
      <c r="R4032">
        <v>1</v>
      </c>
      <c r="S4032" s="2">
        <v>0</v>
      </c>
      <c r="T4032" s="4"/>
      <c r="U4032">
        <v>5</v>
      </c>
      <c r="V4032">
        <v>0</v>
      </c>
      <c r="W4032">
        <v>1</v>
      </c>
    </row>
    <row r="4033" spans="1:23" ht="16.5" x14ac:dyDescent="0.3">
      <c r="A4033" t="s">
        <v>4097</v>
      </c>
      <c r="B4033" s="1">
        <v>45873</v>
      </c>
      <c r="C4033">
        <v>2025</v>
      </c>
      <c r="D4033" t="s">
        <v>1255</v>
      </c>
      <c r="E4033" t="s">
        <v>1415</v>
      </c>
      <c r="F4033" t="s">
        <v>41</v>
      </c>
      <c r="G4033" t="s">
        <v>45</v>
      </c>
      <c r="H4033" t="s">
        <v>55</v>
      </c>
      <c r="I4033" t="s">
        <v>29</v>
      </c>
      <c r="J4033" t="s">
        <v>30</v>
      </c>
      <c r="K4033" s="2">
        <v>2350</v>
      </c>
      <c r="L4033" s="2">
        <v>85000</v>
      </c>
      <c r="M4033">
        <v>36</v>
      </c>
      <c r="N4033" s="3">
        <v>1.365</v>
      </c>
      <c r="O4033" t="s">
        <v>17</v>
      </c>
      <c r="P4033" t="s">
        <v>31</v>
      </c>
      <c r="Q4033">
        <v>0</v>
      </c>
      <c r="R4033">
        <v>1</v>
      </c>
      <c r="S4033" s="2">
        <v>0</v>
      </c>
      <c r="T4033" s="4"/>
      <c r="U4033">
        <v>7</v>
      </c>
      <c r="V4033">
        <v>1</v>
      </c>
      <c r="W4033">
        <v>1</v>
      </c>
    </row>
    <row r="4034" spans="1:23" ht="16.5" x14ac:dyDescent="0.3">
      <c r="A4034" t="s">
        <v>4098</v>
      </c>
      <c r="B4034" s="1">
        <v>45873</v>
      </c>
      <c r="C4034">
        <v>2025</v>
      </c>
      <c r="D4034" t="s">
        <v>1255</v>
      </c>
      <c r="E4034" t="s">
        <v>1415</v>
      </c>
      <c r="F4034" t="s">
        <v>26</v>
      </c>
      <c r="G4034" t="s">
        <v>45</v>
      </c>
      <c r="H4034" t="s">
        <v>64</v>
      </c>
      <c r="I4034" t="s">
        <v>29</v>
      </c>
      <c r="J4034" t="s">
        <v>30</v>
      </c>
      <c r="K4034" s="2">
        <v>7400</v>
      </c>
      <c r="L4034" s="2">
        <v>20500</v>
      </c>
      <c r="M4034">
        <v>60</v>
      </c>
      <c r="N4034" s="3">
        <v>0.247</v>
      </c>
      <c r="O4034" t="s">
        <v>16</v>
      </c>
      <c r="Q4034">
        <v>1</v>
      </c>
      <c r="R4034">
        <v>0</v>
      </c>
      <c r="S4034" s="2">
        <v>20500</v>
      </c>
      <c r="T4034" s="4">
        <v>9.4500000000000001E-2</v>
      </c>
      <c r="U4034">
        <v>2</v>
      </c>
      <c r="V4034">
        <v>1</v>
      </c>
      <c r="W4034">
        <v>1</v>
      </c>
    </row>
    <row r="4035" spans="1:23" ht="16.5" x14ac:dyDescent="0.3">
      <c r="A4035" t="s">
        <v>4099</v>
      </c>
      <c r="B4035" s="1">
        <v>45873</v>
      </c>
      <c r="C4035">
        <v>2025</v>
      </c>
      <c r="D4035" t="s">
        <v>1255</v>
      </c>
      <c r="E4035" t="s">
        <v>1415</v>
      </c>
      <c r="F4035" t="s">
        <v>26</v>
      </c>
      <c r="G4035" t="s">
        <v>45</v>
      </c>
      <c r="H4035" t="s">
        <v>55</v>
      </c>
      <c r="I4035" t="s">
        <v>39</v>
      </c>
      <c r="J4035" t="s">
        <v>35</v>
      </c>
      <c r="K4035" s="2">
        <v>3550</v>
      </c>
      <c r="L4035" s="2">
        <v>28500</v>
      </c>
      <c r="M4035">
        <v>60</v>
      </c>
      <c r="N4035" s="3">
        <v>0.253</v>
      </c>
      <c r="O4035" t="s">
        <v>17</v>
      </c>
      <c r="P4035" t="s">
        <v>65</v>
      </c>
      <c r="Q4035">
        <v>0</v>
      </c>
      <c r="R4035">
        <v>1</v>
      </c>
      <c r="S4035" s="2">
        <v>0</v>
      </c>
      <c r="T4035" s="4"/>
      <c r="U4035">
        <v>2</v>
      </c>
      <c r="V4035">
        <v>1</v>
      </c>
      <c r="W4035">
        <v>1</v>
      </c>
    </row>
    <row r="4036" spans="1:23" ht="16.5" x14ac:dyDescent="0.3">
      <c r="A4036" t="s">
        <v>4100</v>
      </c>
      <c r="B4036" s="1">
        <v>45873</v>
      </c>
      <c r="C4036">
        <v>2025</v>
      </c>
      <c r="D4036" t="s">
        <v>1255</v>
      </c>
      <c r="E4036" t="s">
        <v>1415</v>
      </c>
      <c r="F4036" t="s">
        <v>50</v>
      </c>
      <c r="G4036" t="s">
        <v>27</v>
      </c>
      <c r="H4036" t="s">
        <v>38</v>
      </c>
      <c r="I4036" t="s">
        <v>42</v>
      </c>
      <c r="J4036" t="s">
        <v>52</v>
      </c>
      <c r="K4036" s="2">
        <v>5150</v>
      </c>
      <c r="L4036" s="2">
        <v>218500</v>
      </c>
      <c r="M4036">
        <v>240</v>
      </c>
      <c r="N4036" s="3">
        <v>0.48299999999999998</v>
      </c>
      <c r="O4036" t="s">
        <v>16</v>
      </c>
      <c r="Q4036">
        <v>1</v>
      </c>
      <c r="R4036">
        <v>0</v>
      </c>
      <c r="S4036" s="2">
        <v>218500</v>
      </c>
      <c r="T4036" s="4">
        <v>5.1299999999999998E-2</v>
      </c>
      <c r="U4036">
        <v>14</v>
      </c>
      <c r="V4036">
        <v>1</v>
      </c>
      <c r="W4036">
        <v>1</v>
      </c>
    </row>
    <row r="4037" spans="1:23" ht="16.5" x14ac:dyDescent="0.3">
      <c r="A4037" t="s">
        <v>4101</v>
      </c>
      <c r="B4037" s="1">
        <v>45873</v>
      </c>
      <c r="C4037">
        <v>2025</v>
      </c>
      <c r="D4037" t="s">
        <v>1255</v>
      </c>
      <c r="E4037" t="s">
        <v>1415</v>
      </c>
      <c r="F4037" t="s">
        <v>37</v>
      </c>
      <c r="G4037" t="s">
        <v>33</v>
      </c>
      <c r="H4037" t="s">
        <v>64</v>
      </c>
      <c r="I4037" t="s">
        <v>29</v>
      </c>
      <c r="J4037" t="s">
        <v>52</v>
      </c>
      <c r="K4037" s="2">
        <v>8500</v>
      </c>
      <c r="L4037" s="2">
        <v>16000</v>
      </c>
      <c r="M4037">
        <v>12</v>
      </c>
      <c r="N4037" s="3">
        <v>0.22500000000000001</v>
      </c>
      <c r="O4037" t="s">
        <v>16</v>
      </c>
      <c r="Q4037">
        <v>1</v>
      </c>
      <c r="R4037">
        <v>0</v>
      </c>
      <c r="S4037" s="2">
        <v>16000</v>
      </c>
      <c r="T4037" s="4">
        <v>0.1103</v>
      </c>
      <c r="U4037">
        <v>1</v>
      </c>
      <c r="V4037">
        <v>1</v>
      </c>
      <c r="W4037">
        <v>1</v>
      </c>
    </row>
    <row r="4038" spans="1:23" ht="16.5" x14ac:dyDescent="0.3">
      <c r="A4038" t="s">
        <v>4102</v>
      </c>
      <c r="B4038" s="1">
        <v>45873</v>
      </c>
      <c r="C4038">
        <v>2025</v>
      </c>
      <c r="D4038" t="s">
        <v>1255</v>
      </c>
      <c r="E4038" t="s">
        <v>1415</v>
      </c>
      <c r="F4038" t="s">
        <v>37</v>
      </c>
      <c r="G4038" t="s">
        <v>33</v>
      </c>
      <c r="H4038" t="s">
        <v>55</v>
      </c>
      <c r="I4038" t="s">
        <v>39</v>
      </c>
      <c r="J4038" t="s">
        <v>43</v>
      </c>
      <c r="K4038" s="2">
        <v>5550</v>
      </c>
      <c r="L4038" s="2">
        <v>15000</v>
      </c>
      <c r="M4038">
        <v>60</v>
      </c>
      <c r="N4038" s="3">
        <v>0.23200000000000001</v>
      </c>
      <c r="O4038" t="s">
        <v>17</v>
      </c>
      <c r="P4038" t="s">
        <v>31</v>
      </c>
      <c r="Q4038">
        <v>0</v>
      </c>
      <c r="R4038">
        <v>1</v>
      </c>
      <c r="S4038" s="2">
        <v>0</v>
      </c>
      <c r="T4038" s="4"/>
      <c r="U4038">
        <v>1</v>
      </c>
      <c r="V4038">
        <v>1</v>
      </c>
      <c r="W4038">
        <v>1</v>
      </c>
    </row>
    <row r="4039" spans="1:23" ht="16.5" x14ac:dyDescent="0.3">
      <c r="A4039" t="s">
        <v>4103</v>
      </c>
      <c r="B4039" s="1">
        <v>45873</v>
      </c>
      <c r="C4039">
        <v>2025</v>
      </c>
      <c r="D4039" t="s">
        <v>1255</v>
      </c>
      <c r="E4039" t="s">
        <v>1415</v>
      </c>
      <c r="F4039" t="s">
        <v>37</v>
      </c>
      <c r="G4039" t="s">
        <v>45</v>
      </c>
      <c r="H4039" t="s">
        <v>55</v>
      </c>
      <c r="I4039" t="s">
        <v>42</v>
      </c>
      <c r="J4039" t="s">
        <v>30</v>
      </c>
      <c r="K4039" s="2">
        <v>7100</v>
      </c>
      <c r="L4039" s="2">
        <v>10000</v>
      </c>
      <c r="M4039">
        <v>36</v>
      </c>
      <c r="N4039" s="3">
        <v>0.22</v>
      </c>
      <c r="O4039" t="s">
        <v>17</v>
      </c>
      <c r="P4039" t="s">
        <v>31</v>
      </c>
      <c r="Q4039">
        <v>0</v>
      </c>
      <c r="R4039">
        <v>1</v>
      </c>
      <c r="S4039" s="2">
        <v>0</v>
      </c>
      <c r="T4039" s="4"/>
      <c r="U4039">
        <v>2</v>
      </c>
      <c r="V4039">
        <v>1</v>
      </c>
      <c r="W4039">
        <v>1</v>
      </c>
    </row>
    <row r="4040" spans="1:23" ht="16.5" x14ac:dyDescent="0.3">
      <c r="A4040" t="s">
        <v>4104</v>
      </c>
      <c r="B4040" s="1">
        <v>45874</v>
      </c>
      <c r="C4040">
        <v>2025</v>
      </c>
      <c r="D4040" t="s">
        <v>1255</v>
      </c>
      <c r="E4040" t="s">
        <v>1415</v>
      </c>
      <c r="F4040" t="s">
        <v>50</v>
      </c>
      <c r="G4040" t="s">
        <v>33</v>
      </c>
      <c r="H4040" t="s">
        <v>55</v>
      </c>
      <c r="I4040" t="s">
        <v>39</v>
      </c>
      <c r="J4040" t="s">
        <v>52</v>
      </c>
      <c r="K4040" s="2">
        <v>4250</v>
      </c>
      <c r="L4040" s="2">
        <v>247000</v>
      </c>
      <c r="M4040">
        <v>180</v>
      </c>
      <c r="N4040" s="3">
        <v>0.59299999999999997</v>
      </c>
      <c r="O4040" t="s">
        <v>16</v>
      </c>
      <c r="Q4040">
        <v>1</v>
      </c>
      <c r="R4040">
        <v>0</v>
      </c>
      <c r="S4040" s="2">
        <v>247000</v>
      </c>
      <c r="T4040" s="4">
        <v>4.4999999999999998E-2</v>
      </c>
      <c r="U4040">
        <v>4</v>
      </c>
      <c r="V4040">
        <v>1</v>
      </c>
      <c r="W4040">
        <v>1</v>
      </c>
    </row>
    <row r="4041" spans="1:23" ht="16.5" x14ac:dyDescent="0.3">
      <c r="A4041" t="s">
        <v>4105</v>
      </c>
      <c r="B4041" s="1">
        <v>45874</v>
      </c>
      <c r="C4041">
        <v>2025</v>
      </c>
      <c r="D4041" t="s">
        <v>1255</v>
      </c>
      <c r="E4041" t="s">
        <v>1415</v>
      </c>
      <c r="F4041" t="s">
        <v>26</v>
      </c>
      <c r="G4041" t="s">
        <v>33</v>
      </c>
      <c r="H4041" t="s">
        <v>34</v>
      </c>
      <c r="I4041" t="s">
        <v>29</v>
      </c>
      <c r="J4041" t="s">
        <v>52</v>
      </c>
      <c r="K4041" s="2">
        <v>9250</v>
      </c>
      <c r="L4041" s="2">
        <v>32500</v>
      </c>
      <c r="M4041">
        <v>60</v>
      </c>
      <c r="N4041" s="3">
        <v>0.23499999999999999</v>
      </c>
      <c r="O4041" t="s">
        <v>16</v>
      </c>
      <c r="Q4041">
        <v>1</v>
      </c>
      <c r="R4041">
        <v>0</v>
      </c>
      <c r="S4041" s="2">
        <v>32500</v>
      </c>
      <c r="T4041" s="4">
        <v>7.6499999999999999E-2</v>
      </c>
      <c r="U4041">
        <v>1</v>
      </c>
      <c r="V4041">
        <v>1</v>
      </c>
      <c r="W4041">
        <v>1</v>
      </c>
    </row>
    <row r="4042" spans="1:23" ht="16.5" x14ac:dyDescent="0.3">
      <c r="A4042" t="s">
        <v>4106</v>
      </c>
      <c r="B4042" s="1">
        <v>45874</v>
      </c>
      <c r="C4042">
        <v>2025</v>
      </c>
      <c r="D4042" t="s">
        <v>1255</v>
      </c>
      <c r="E4042" t="s">
        <v>1415</v>
      </c>
      <c r="F4042" t="s">
        <v>37</v>
      </c>
      <c r="G4042" t="s">
        <v>45</v>
      </c>
      <c r="H4042" t="s">
        <v>55</v>
      </c>
      <c r="I4042" t="s">
        <v>39</v>
      </c>
      <c r="J4042" t="s">
        <v>35</v>
      </c>
      <c r="K4042" s="2">
        <v>6500</v>
      </c>
      <c r="L4042" s="2">
        <v>13000</v>
      </c>
      <c r="M4042">
        <v>24</v>
      </c>
      <c r="N4042" s="3">
        <v>0.33300000000000002</v>
      </c>
      <c r="O4042" t="s">
        <v>16</v>
      </c>
      <c r="Q4042">
        <v>1</v>
      </c>
      <c r="R4042">
        <v>0</v>
      </c>
      <c r="S4042" s="2">
        <v>13000</v>
      </c>
      <c r="T4042" s="4">
        <v>0.12740000000000001</v>
      </c>
      <c r="U4042">
        <v>2</v>
      </c>
      <c r="V4042">
        <v>1</v>
      </c>
      <c r="W4042">
        <v>1</v>
      </c>
    </row>
    <row r="4043" spans="1:23" ht="16.5" x14ac:dyDescent="0.3">
      <c r="A4043" t="s">
        <v>4107</v>
      </c>
      <c r="B4043" s="1">
        <v>45874</v>
      </c>
      <c r="C4043">
        <v>2025</v>
      </c>
      <c r="D4043" t="s">
        <v>1255</v>
      </c>
      <c r="E4043" t="s">
        <v>1415</v>
      </c>
      <c r="F4043" t="s">
        <v>41</v>
      </c>
      <c r="G4043" t="s">
        <v>33</v>
      </c>
      <c r="H4043" t="s">
        <v>38</v>
      </c>
      <c r="I4043" t="s">
        <v>39</v>
      </c>
      <c r="J4043" t="s">
        <v>35</v>
      </c>
      <c r="K4043" s="2">
        <v>3550</v>
      </c>
      <c r="L4043" s="2">
        <v>112000</v>
      </c>
      <c r="M4043">
        <v>24</v>
      </c>
      <c r="N4043" s="3">
        <v>1.635</v>
      </c>
      <c r="O4043" t="s">
        <v>125</v>
      </c>
      <c r="Q4043">
        <v>0</v>
      </c>
      <c r="R4043">
        <v>0</v>
      </c>
      <c r="S4043" s="2">
        <v>0</v>
      </c>
      <c r="T4043" s="4"/>
      <c r="U4043">
        <v>3</v>
      </c>
      <c r="V4043">
        <v>1</v>
      </c>
      <c r="W4043">
        <v>1</v>
      </c>
    </row>
    <row r="4044" spans="1:23" ht="16.5" x14ac:dyDescent="0.3">
      <c r="A4044" t="s">
        <v>4108</v>
      </c>
      <c r="B4044" s="1">
        <v>45874</v>
      </c>
      <c r="C4044">
        <v>2025</v>
      </c>
      <c r="D4044" t="s">
        <v>1255</v>
      </c>
      <c r="E4044" t="s">
        <v>1415</v>
      </c>
      <c r="F4044" t="s">
        <v>37</v>
      </c>
      <c r="G4044" t="s">
        <v>45</v>
      </c>
      <c r="H4044" t="s">
        <v>34</v>
      </c>
      <c r="I4044" t="s">
        <v>29</v>
      </c>
      <c r="J4044" t="s">
        <v>35</v>
      </c>
      <c r="K4044" s="2">
        <v>3350</v>
      </c>
      <c r="L4044" s="2">
        <v>8500</v>
      </c>
      <c r="M4044">
        <v>36</v>
      </c>
      <c r="N4044" s="3">
        <v>0.2</v>
      </c>
      <c r="O4044" t="s">
        <v>17</v>
      </c>
      <c r="P4044" t="s">
        <v>65</v>
      </c>
      <c r="Q4044">
        <v>0</v>
      </c>
      <c r="R4044">
        <v>1</v>
      </c>
      <c r="S4044" s="2">
        <v>0</v>
      </c>
      <c r="T4044" s="4"/>
      <c r="U4044">
        <v>1</v>
      </c>
      <c r="V4044">
        <v>1</v>
      </c>
      <c r="W4044">
        <v>1</v>
      </c>
    </row>
    <row r="4045" spans="1:23" ht="16.5" x14ac:dyDescent="0.3">
      <c r="A4045" t="s">
        <v>4109</v>
      </c>
      <c r="B4045" s="1">
        <v>45874</v>
      </c>
      <c r="C4045">
        <v>2025</v>
      </c>
      <c r="D4045" t="s">
        <v>1255</v>
      </c>
      <c r="E4045" t="s">
        <v>1415</v>
      </c>
      <c r="F4045" t="s">
        <v>41</v>
      </c>
      <c r="G4045" t="s">
        <v>33</v>
      </c>
      <c r="H4045" t="s">
        <v>38</v>
      </c>
      <c r="I4045" t="s">
        <v>29</v>
      </c>
      <c r="J4045" t="s">
        <v>30</v>
      </c>
      <c r="K4045" s="2">
        <v>4750</v>
      </c>
      <c r="L4045" s="2">
        <v>181000</v>
      </c>
      <c r="M4045">
        <v>36</v>
      </c>
      <c r="N4045" s="3">
        <v>1.4750000000000001</v>
      </c>
      <c r="O4045" t="s">
        <v>17</v>
      </c>
      <c r="P4045" t="s">
        <v>31</v>
      </c>
      <c r="Q4045">
        <v>0</v>
      </c>
      <c r="R4045">
        <v>1</v>
      </c>
      <c r="S4045" s="2">
        <v>0</v>
      </c>
      <c r="T4045" s="4"/>
      <c r="U4045">
        <v>2</v>
      </c>
      <c r="V4045">
        <v>1</v>
      </c>
      <c r="W4045">
        <v>1</v>
      </c>
    </row>
    <row r="4046" spans="1:23" ht="16.5" x14ac:dyDescent="0.3">
      <c r="A4046" t="s">
        <v>4110</v>
      </c>
      <c r="B4046" s="1">
        <v>45874</v>
      </c>
      <c r="C4046">
        <v>2025</v>
      </c>
      <c r="D4046" t="s">
        <v>1255</v>
      </c>
      <c r="E4046" t="s">
        <v>1415</v>
      </c>
      <c r="F4046" t="s">
        <v>41</v>
      </c>
      <c r="G4046" t="s">
        <v>33</v>
      </c>
      <c r="H4046" t="s">
        <v>55</v>
      </c>
      <c r="I4046" t="s">
        <v>42</v>
      </c>
      <c r="J4046" t="s">
        <v>30</v>
      </c>
      <c r="K4046" s="2">
        <v>3200</v>
      </c>
      <c r="L4046" s="2">
        <v>57000</v>
      </c>
      <c r="M4046">
        <v>24</v>
      </c>
      <c r="N4046" s="3">
        <v>1.0169999999999999</v>
      </c>
      <c r="O4046" t="s">
        <v>17</v>
      </c>
      <c r="P4046" t="s">
        <v>53</v>
      </c>
      <c r="Q4046">
        <v>0</v>
      </c>
      <c r="R4046">
        <v>1</v>
      </c>
      <c r="S4046" s="2">
        <v>0</v>
      </c>
      <c r="T4046" s="4"/>
      <c r="U4046">
        <v>3</v>
      </c>
      <c r="V4046">
        <v>1</v>
      </c>
      <c r="W4046">
        <v>1</v>
      </c>
    </row>
    <row r="4047" spans="1:23" ht="16.5" x14ac:dyDescent="0.3">
      <c r="A4047" t="s">
        <v>4111</v>
      </c>
      <c r="B4047" s="1">
        <v>45874</v>
      </c>
      <c r="C4047">
        <v>2025</v>
      </c>
      <c r="D4047" t="s">
        <v>1255</v>
      </c>
      <c r="E4047" t="s">
        <v>1415</v>
      </c>
      <c r="F4047" t="s">
        <v>26</v>
      </c>
      <c r="G4047" t="s">
        <v>45</v>
      </c>
      <c r="H4047" t="s">
        <v>34</v>
      </c>
      <c r="I4047" t="s">
        <v>29</v>
      </c>
      <c r="J4047" t="s">
        <v>52</v>
      </c>
      <c r="K4047" s="2">
        <v>5200</v>
      </c>
      <c r="L4047" s="2">
        <v>48500</v>
      </c>
      <c r="M4047">
        <v>36</v>
      </c>
      <c r="N4047" s="3">
        <v>0.433</v>
      </c>
      <c r="O4047" t="s">
        <v>16</v>
      </c>
      <c r="Q4047">
        <v>1</v>
      </c>
      <c r="R4047">
        <v>0</v>
      </c>
      <c r="S4047" s="2">
        <v>39000</v>
      </c>
      <c r="T4047" s="4">
        <v>7.0999999999999994E-2</v>
      </c>
      <c r="U4047">
        <v>1</v>
      </c>
      <c r="V4047">
        <v>1</v>
      </c>
      <c r="W4047">
        <v>1</v>
      </c>
    </row>
    <row r="4048" spans="1:23" ht="16.5" x14ac:dyDescent="0.3">
      <c r="A4048" t="s">
        <v>4112</v>
      </c>
      <c r="B4048" s="1">
        <v>45874</v>
      </c>
      <c r="C4048">
        <v>2025</v>
      </c>
      <c r="D4048" t="s">
        <v>1255</v>
      </c>
      <c r="E4048" t="s">
        <v>1415</v>
      </c>
      <c r="F4048" t="s">
        <v>26</v>
      </c>
      <c r="G4048" t="s">
        <v>33</v>
      </c>
      <c r="H4048" t="s">
        <v>38</v>
      </c>
      <c r="I4048" t="s">
        <v>39</v>
      </c>
      <c r="J4048" t="s">
        <v>52</v>
      </c>
      <c r="K4048" s="2">
        <v>5850</v>
      </c>
      <c r="L4048" s="2">
        <v>34500</v>
      </c>
      <c r="M4048">
        <v>36</v>
      </c>
      <c r="N4048" s="3">
        <v>0.34899999999999998</v>
      </c>
      <c r="O4048" t="s">
        <v>16</v>
      </c>
      <c r="Q4048">
        <v>1</v>
      </c>
      <c r="R4048">
        <v>0</v>
      </c>
      <c r="S4048" s="2">
        <v>34500</v>
      </c>
      <c r="T4048" s="4">
        <v>7.5399999999999995E-2</v>
      </c>
      <c r="U4048">
        <v>2</v>
      </c>
      <c r="V4048">
        <v>1</v>
      </c>
      <c r="W4048">
        <v>1</v>
      </c>
    </row>
    <row r="4049" spans="1:23" ht="16.5" x14ac:dyDescent="0.3">
      <c r="A4049" t="s">
        <v>4113</v>
      </c>
      <c r="B4049" s="1">
        <v>45874</v>
      </c>
      <c r="C4049">
        <v>2025</v>
      </c>
      <c r="D4049" t="s">
        <v>1255</v>
      </c>
      <c r="E4049" t="s">
        <v>1415</v>
      </c>
      <c r="F4049" t="s">
        <v>37</v>
      </c>
      <c r="G4049" t="s">
        <v>45</v>
      </c>
      <c r="H4049" t="s">
        <v>34</v>
      </c>
      <c r="I4049" t="s">
        <v>39</v>
      </c>
      <c r="J4049" t="s">
        <v>35</v>
      </c>
      <c r="K4049" s="2">
        <v>3500</v>
      </c>
      <c r="L4049" s="2">
        <v>7000</v>
      </c>
      <c r="M4049">
        <v>36</v>
      </c>
      <c r="N4049" s="3">
        <v>0.223</v>
      </c>
      <c r="O4049" t="s">
        <v>16</v>
      </c>
      <c r="Q4049">
        <v>1</v>
      </c>
      <c r="R4049">
        <v>0</v>
      </c>
      <c r="S4049" s="2">
        <v>6500</v>
      </c>
      <c r="T4049" s="4">
        <v>0.12189999999999999</v>
      </c>
      <c r="U4049">
        <v>2</v>
      </c>
      <c r="V4049">
        <v>1</v>
      </c>
      <c r="W4049">
        <v>1</v>
      </c>
    </row>
    <row r="4050" spans="1:23" ht="16.5" x14ac:dyDescent="0.3">
      <c r="A4050" t="s">
        <v>4114</v>
      </c>
      <c r="B4050" s="1">
        <v>45875</v>
      </c>
      <c r="C4050">
        <v>2025</v>
      </c>
      <c r="D4050" t="s">
        <v>1255</v>
      </c>
      <c r="E4050" t="s">
        <v>1415</v>
      </c>
      <c r="F4050" t="s">
        <v>26</v>
      </c>
      <c r="G4050" t="s">
        <v>51</v>
      </c>
      <c r="H4050" t="s">
        <v>34</v>
      </c>
      <c r="I4050" t="s">
        <v>42</v>
      </c>
      <c r="J4050" t="s">
        <v>30</v>
      </c>
      <c r="K4050" s="2">
        <v>6700</v>
      </c>
      <c r="L4050" s="2">
        <v>15500</v>
      </c>
      <c r="M4050">
        <v>60</v>
      </c>
      <c r="N4050" s="3">
        <v>0.187</v>
      </c>
      <c r="O4050" t="s">
        <v>16</v>
      </c>
      <c r="Q4050">
        <v>1</v>
      </c>
      <c r="R4050">
        <v>0</v>
      </c>
      <c r="S4050" s="2">
        <v>15500</v>
      </c>
      <c r="T4050" s="4">
        <v>9.8199999999999996E-2</v>
      </c>
      <c r="U4050">
        <v>6</v>
      </c>
      <c r="V4050">
        <v>0</v>
      </c>
      <c r="W4050">
        <v>1</v>
      </c>
    </row>
    <row r="4051" spans="1:23" ht="16.5" x14ac:dyDescent="0.3">
      <c r="A4051" t="s">
        <v>4115</v>
      </c>
      <c r="B4051" s="1">
        <v>45875</v>
      </c>
      <c r="C4051">
        <v>2025</v>
      </c>
      <c r="D4051" t="s">
        <v>1255</v>
      </c>
      <c r="E4051" t="s">
        <v>1415</v>
      </c>
      <c r="F4051" t="s">
        <v>26</v>
      </c>
      <c r="G4051" t="s">
        <v>51</v>
      </c>
      <c r="H4051" t="s">
        <v>55</v>
      </c>
      <c r="I4051" t="s">
        <v>42</v>
      </c>
      <c r="J4051" t="s">
        <v>52</v>
      </c>
      <c r="K4051" s="2">
        <v>5150</v>
      </c>
      <c r="L4051" s="2">
        <v>24500</v>
      </c>
      <c r="M4051">
        <v>36</v>
      </c>
      <c r="N4051" s="3">
        <v>0.39</v>
      </c>
      <c r="O4051" t="s">
        <v>16</v>
      </c>
      <c r="Q4051">
        <v>1</v>
      </c>
      <c r="R4051">
        <v>0</v>
      </c>
      <c r="S4051" s="2">
        <v>24500</v>
      </c>
      <c r="T4051" s="4">
        <v>7.0900000000000005E-2</v>
      </c>
      <c r="U4051">
        <v>4</v>
      </c>
      <c r="V4051">
        <v>1</v>
      </c>
      <c r="W4051">
        <v>1</v>
      </c>
    </row>
    <row r="4052" spans="1:23" ht="16.5" x14ac:dyDescent="0.3">
      <c r="A4052" t="s">
        <v>4116</v>
      </c>
      <c r="B4052" s="1">
        <v>45875</v>
      </c>
      <c r="C4052">
        <v>2025</v>
      </c>
      <c r="D4052" t="s">
        <v>1255</v>
      </c>
      <c r="E4052" t="s">
        <v>1415</v>
      </c>
      <c r="F4052" t="s">
        <v>26</v>
      </c>
      <c r="G4052" t="s">
        <v>33</v>
      </c>
      <c r="H4052" t="s">
        <v>34</v>
      </c>
      <c r="I4052" t="s">
        <v>39</v>
      </c>
      <c r="J4052" t="s">
        <v>35</v>
      </c>
      <c r="K4052" s="2">
        <v>6050</v>
      </c>
      <c r="L4052" s="2">
        <v>30500</v>
      </c>
      <c r="M4052">
        <v>48</v>
      </c>
      <c r="N4052" s="3">
        <v>0.20399999999999999</v>
      </c>
      <c r="O4052" t="s">
        <v>17</v>
      </c>
      <c r="P4052" t="s">
        <v>60</v>
      </c>
      <c r="Q4052">
        <v>0</v>
      </c>
      <c r="R4052">
        <v>1</v>
      </c>
      <c r="S4052" s="2">
        <v>0</v>
      </c>
      <c r="T4052" s="4"/>
      <c r="U4052">
        <v>5</v>
      </c>
      <c r="V4052">
        <v>0</v>
      </c>
      <c r="W4052">
        <v>1</v>
      </c>
    </row>
    <row r="4053" spans="1:23" ht="16.5" x14ac:dyDescent="0.3">
      <c r="A4053" t="s">
        <v>4117</v>
      </c>
      <c r="B4053" s="1">
        <v>45875</v>
      </c>
      <c r="C4053">
        <v>2025</v>
      </c>
      <c r="D4053" t="s">
        <v>1255</v>
      </c>
      <c r="E4053" t="s">
        <v>1415</v>
      </c>
      <c r="F4053" t="s">
        <v>26</v>
      </c>
      <c r="G4053" t="s">
        <v>51</v>
      </c>
      <c r="H4053" t="s">
        <v>34</v>
      </c>
      <c r="I4053" t="s">
        <v>39</v>
      </c>
      <c r="J4053" t="s">
        <v>46</v>
      </c>
      <c r="K4053" s="2">
        <v>4450</v>
      </c>
      <c r="L4053" s="2">
        <v>64500</v>
      </c>
      <c r="M4053">
        <v>60</v>
      </c>
      <c r="N4053" s="3">
        <v>0.38100000000000001</v>
      </c>
      <c r="O4053" t="s">
        <v>16</v>
      </c>
      <c r="Q4053">
        <v>1</v>
      </c>
      <c r="R4053">
        <v>0</v>
      </c>
      <c r="S4053" s="2">
        <v>64500</v>
      </c>
      <c r="T4053" s="4">
        <v>6.5000000000000002E-2</v>
      </c>
      <c r="U4053">
        <v>5</v>
      </c>
      <c r="V4053">
        <v>0</v>
      </c>
      <c r="W4053">
        <v>1</v>
      </c>
    </row>
    <row r="4054" spans="1:23" ht="16.5" x14ac:dyDescent="0.3">
      <c r="A4054" t="s">
        <v>4118</v>
      </c>
      <c r="B4054" s="1">
        <v>45875</v>
      </c>
      <c r="C4054">
        <v>2025</v>
      </c>
      <c r="D4054" t="s">
        <v>1255</v>
      </c>
      <c r="E4054" t="s">
        <v>1415</v>
      </c>
      <c r="F4054" t="s">
        <v>50</v>
      </c>
      <c r="G4054" t="s">
        <v>27</v>
      </c>
      <c r="H4054" t="s">
        <v>38</v>
      </c>
      <c r="I4054" t="s">
        <v>29</v>
      </c>
      <c r="J4054" t="s">
        <v>30</v>
      </c>
      <c r="K4054" s="2">
        <v>9400</v>
      </c>
      <c r="L4054" s="2">
        <v>305500</v>
      </c>
      <c r="M4054">
        <v>300</v>
      </c>
      <c r="N4054" s="3">
        <v>0.374</v>
      </c>
      <c r="O4054" t="s">
        <v>16</v>
      </c>
      <c r="Q4054">
        <v>1</v>
      </c>
      <c r="R4054">
        <v>0</v>
      </c>
      <c r="S4054" s="2">
        <v>275000</v>
      </c>
      <c r="T4054" s="4">
        <v>6.9400000000000003E-2</v>
      </c>
      <c r="U4054">
        <v>18</v>
      </c>
      <c r="V4054">
        <v>0</v>
      </c>
      <c r="W4054">
        <v>1</v>
      </c>
    </row>
    <row r="4055" spans="1:23" ht="16.5" x14ac:dyDescent="0.3">
      <c r="A4055" t="s">
        <v>4119</v>
      </c>
      <c r="B4055" s="1">
        <v>45875</v>
      </c>
      <c r="C4055">
        <v>2025</v>
      </c>
      <c r="D4055" t="s">
        <v>1255</v>
      </c>
      <c r="E4055" t="s">
        <v>1415</v>
      </c>
      <c r="F4055" t="s">
        <v>37</v>
      </c>
      <c r="G4055" t="s">
        <v>33</v>
      </c>
      <c r="H4055" t="s">
        <v>55</v>
      </c>
      <c r="I4055" t="s">
        <v>29</v>
      </c>
      <c r="J4055" t="s">
        <v>43</v>
      </c>
      <c r="K4055" s="2">
        <v>4250</v>
      </c>
      <c r="L4055" s="2">
        <v>12000</v>
      </c>
      <c r="M4055">
        <v>36</v>
      </c>
      <c r="N4055" s="3">
        <v>0.19900000000000001</v>
      </c>
      <c r="O4055" t="s">
        <v>16</v>
      </c>
      <c r="Q4055">
        <v>1</v>
      </c>
      <c r="R4055">
        <v>0</v>
      </c>
      <c r="S4055" s="2">
        <v>11000</v>
      </c>
      <c r="T4055" s="4">
        <v>0.15959999999999999</v>
      </c>
      <c r="U4055">
        <v>1</v>
      </c>
      <c r="V4055">
        <v>1</v>
      </c>
      <c r="W4055">
        <v>1</v>
      </c>
    </row>
    <row r="4056" spans="1:23" ht="16.5" x14ac:dyDescent="0.3">
      <c r="A4056" t="s">
        <v>4120</v>
      </c>
      <c r="B4056" s="1">
        <v>45875</v>
      </c>
      <c r="C4056">
        <v>2025</v>
      </c>
      <c r="D4056" t="s">
        <v>1255</v>
      </c>
      <c r="E4056" t="s">
        <v>1415</v>
      </c>
      <c r="F4056" t="s">
        <v>37</v>
      </c>
      <c r="G4056" t="s">
        <v>51</v>
      </c>
      <c r="H4056" t="s">
        <v>38</v>
      </c>
      <c r="I4056" t="s">
        <v>39</v>
      </c>
      <c r="J4056" t="s">
        <v>30</v>
      </c>
      <c r="K4056" s="2">
        <v>4750</v>
      </c>
      <c r="L4056" s="2">
        <v>11500</v>
      </c>
      <c r="M4056">
        <v>36</v>
      </c>
      <c r="N4056" s="3">
        <v>0.20100000000000001</v>
      </c>
      <c r="O4056" t="s">
        <v>17</v>
      </c>
      <c r="P4056" t="s">
        <v>31</v>
      </c>
      <c r="Q4056">
        <v>0</v>
      </c>
      <c r="R4056">
        <v>1</v>
      </c>
      <c r="S4056" s="2">
        <v>0</v>
      </c>
      <c r="T4056" s="4"/>
      <c r="U4056">
        <v>4</v>
      </c>
      <c r="V4056">
        <v>0</v>
      </c>
      <c r="W4056">
        <v>1</v>
      </c>
    </row>
    <row r="4057" spans="1:23" ht="16.5" x14ac:dyDescent="0.3">
      <c r="A4057" t="s">
        <v>4121</v>
      </c>
      <c r="B4057" s="1">
        <v>45875</v>
      </c>
      <c r="C4057">
        <v>2025</v>
      </c>
      <c r="D4057" t="s">
        <v>1255</v>
      </c>
      <c r="E4057" t="s">
        <v>1415</v>
      </c>
      <c r="F4057" t="s">
        <v>37</v>
      </c>
      <c r="G4057" t="s">
        <v>33</v>
      </c>
      <c r="H4057" t="s">
        <v>38</v>
      </c>
      <c r="I4057" t="s">
        <v>29</v>
      </c>
      <c r="J4057" t="s">
        <v>35</v>
      </c>
      <c r="K4057" s="2">
        <v>5000</v>
      </c>
      <c r="L4057" s="2">
        <v>11500</v>
      </c>
      <c r="M4057">
        <v>12</v>
      </c>
      <c r="N4057" s="3">
        <v>0.41799999999999998</v>
      </c>
      <c r="O4057" t="s">
        <v>17</v>
      </c>
      <c r="P4057" t="s">
        <v>65</v>
      </c>
      <c r="Q4057">
        <v>0</v>
      </c>
      <c r="R4057">
        <v>1</v>
      </c>
      <c r="S4057" s="2">
        <v>0</v>
      </c>
      <c r="T4057" s="4"/>
      <c r="U4057">
        <v>1</v>
      </c>
      <c r="V4057">
        <v>1</v>
      </c>
      <c r="W4057">
        <v>1</v>
      </c>
    </row>
    <row r="4058" spans="1:23" ht="16.5" x14ac:dyDescent="0.3">
      <c r="A4058" t="s">
        <v>4122</v>
      </c>
      <c r="B4058" s="1">
        <v>45876</v>
      </c>
      <c r="C4058">
        <v>2025</v>
      </c>
      <c r="D4058" t="s">
        <v>1255</v>
      </c>
      <c r="E4058" t="s">
        <v>1415</v>
      </c>
      <c r="F4058" t="s">
        <v>26</v>
      </c>
      <c r="G4058" t="s">
        <v>33</v>
      </c>
      <c r="H4058" t="s">
        <v>38</v>
      </c>
      <c r="I4058" t="s">
        <v>29</v>
      </c>
      <c r="J4058" t="s">
        <v>35</v>
      </c>
      <c r="K4058" s="2">
        <v>5050</v>
      </c>
      <c r="L4058" s="2">
        <v>26000</v>
      </c>
      <c r="M4058">
        <v>48</v>
      </c>
      <c r="N4058" s="3">
        <v>0.34399999999999997</v>
      </c>
      <c r="O4058" t="s">
        <v>16</v>
      </c>
      <c r="Q4058">
        <v>1</v>
      </c>
      <c r="R4058">
        <v>0</v>
      </c>
      <c r="S4058" s="2">
        <v>23500</v>
      </c>
      <c r="T4058" s="4">
        <v>8.1799999999999998E-2</v>
      </c>
      <c r="U4058">
        <v>2</v>
      </c>
      <c r="V4058">
        <v>1</v>
      </c>
      <c r="W4058">
        <v>1</v>
      </c>
    </row>
    <row r="4059" spans="1:23" ht="16.5" x14ac:dyDescent="0.3">
      <c r="A4059" t="s">
        <v>4123</v>
      </c>
      <c r="B4059" s="1">
        <v>45876</v>
      </c>
      <c r="C4059">
        <v>2025</v>
      </c>
      <c r="D4059" t="s">
        <v>1255</v>
      </c>
      <c r="E4059" t="s">
        <v>1415</v>
      </c>
      <c r="F4059" t="s">
        <v>41</v>
      </c>
      <c r="G4059" t="s">
        <v>33</v>
      </c>
      <c r="H4059" t="s">
        <v>38</v>
      </c>
      <c r="I4059" t="s">
        <v>42</v>
      </c>
      <c r="J4059" t="s">
        <v>43</v>
      </c>
      <c r="K4059" s="2">
        <v>3500</v>
      </c>
      <c r="L4059" s="2">
        <v>48500</v>
      </c>
      <c r="M4059">
        <v>60</v>
      </c>
      <c r="N4059" s="3">
        <v>0.36799999999999999</v>
      </c>
      <c r="O4059" t="s">
        <v>16</v>
      </c>
      <c r="Q4059">
        <v>1</v>
      </c>
      <c r="R4059">
        <v>0</v>
      </c>
      <c r="S4059" s="2">
        <v>43500</v>
      </c>
      <c r="T4059" s="4">
        <v>0.1404</v>
      </c>
      <c r="U4059">
        <v>5</v>
      </c>
      <c r="V4059">
        <v>1</v>
      </c>
      <c r="W4059">
        <v>1</v>
      </c>
    </row>
    <row r="4060" spans="1:23" ht="16.5" x14ac:dyDescent="0.3">
      <c r="A4060" t="s">
        <v>4124</v>
      </c>
      <c r="B4060" s="1">
        <v>45876</v>
      </c>
      <c r="C4060">
        <v>2025</v>
      </c>
      <c r="D4060" t="s">
        <v>1255</v>
      </c>
      <c r="E4060" t="s">
        <v>1415</v>
      </c>
      <c r="F4060" t="s">
        <v>26</v>
      </c>
      <c r="G4060" t="s">
        <v>33</v>
      </c>
      <c r="H4060" t="s">
        <v>55</v>
      </c>
      <c r="I4060" t="s">
        <v>39</v>
      </c>
      <c r="J4060" t="s">
        <v>35</v>
      </c>
      <c r="K4060" s="2">
        <v>4600</v>
      </c>
      <c r="L4060" s="2">
        <v>19000</v>
      </c>
      <c r="M4060">
        <v>48</v>
      </c>
      <c r="N4060" s="3">
        <v>0.17499999999999999</v>
      </c>
      <c r="O4060" t="s">
        <v>16</v>
      </c>
      <c r="Q4060">
        <v>1</v>
      </c>
      <c r="R4060">
        <v>0</v>
      </c>
      <c r="S4060" s="2">
        <v>17000</v>
      </c>
      <c r="T4060" s="4">
        <v>7.51E-2</v>
      </c>
      <c r="U4060">
        <v>3</v>
      </c>
      <c r="V4060">
        <v>1</v>
      </c>
      <c r="W4060">
        <v>1</v>
      </c>
    </row>
    <row r="4061" spans="1:23" ht="16.5" x14ac:dyDescent="0.3">
      <c r="A4061" t="s">
        <v>4125</v>
      </c>
      <c r="B4061" s="1">
        <v>45876</v>
      </c>
      <c r="C4061">
        <v>2025</v>
      </c>
      <c r="D4061" t="s">
        <v>1255</v>
      </c>
      <c r="E4061" t="s">
        <v>1415</v>
      </c>
      <c r="F4061" t="s">
        <v>37</v>
      </c>
      <c r="G4061" t="s">
        <v>45</v>
      </c>
      <c r="H4061" t="s">
        <v>34</v>
      </c>
      <c r="I4061" t="s">
        <v>29</v>
      </c>
      <c r="J4061" t="s">
        <v>52</v>
      </c>
      <c r="K4061" s="2">
        <v>5600</v>
      </c>
      <c r="L4061" s="2">
        <v>7000</v>
      </c>
      <c r="M4061">
        <v>48</v>
      </c>
      <c r="N4061" s="3">
        <v>9.6000000000000002E-2</v>
      </c>
      <c r="O4061" t="s">
        <v>16</v>
      </c>
      <c r="Q4061">
        <v>1</v>
      </c>
      <c r="R4061">
        <v>0</v>
      </c>
      <c r="S4061" s="2">
        <v>7000</v>
      </c>
      <c r="T4061" s="4">
        <v>0.1103</v>
      </c>
      <c r="U4061">
        <v>1</v>
      </c>
      <c r="V4061">
        <v>1</v>
      </c>
      <c r="W4061">
        <v>1</v>
      </c>
    </row>
    <row r="4062" spans="1:23" ht="16.5" x14ac:dyDescent="0.3">
      <c r="A4062" t="s">
        <v>4126</v>
      </c>
      <c r="B4062" s="1">
        <v>45876</v>
      </c>
      <c r="C4062">
        <v>2025</v>
      </c>
      <c r="D4062" t="s">
        <v>1255</v>
      </c>
      <c r="E4062" t="s">
        <v>1415</v>
      </c>
      <c r="F4062" t="s">
        <v>50</v>
      </c>
      <c r="G4062" t="s">
        <v>51</v>
      </c>
      <c r="H4062" t="s">
        <v>55</v>
      </c>
      <c r="I4062" t="s">
        <v>39</v>
      </c>
      <c r="J4062" t="s">
        <v>35</v>
      </c>
      <c r="K4062" s="2">
        <v>11750</v>
      </c>
      <c r="L4062" s="2">
        <v>219000</v>
      </c>
      <c r="M4062">
        <v>240</v>
      </c>
      <c r="N4062" s="3">
        <v>0.20300000000000001</v>
      </c>
      <c r="O4062" t="s">
        <v>16</v>
      </c>
      <c r="Q4062">
        <v>1</v>
      </c>
      <c r="R4062">
        <v>0</v>
      </c>
      <c r="S4062" s="2">
        <v>219000</v>
      </c>
      <c r="T4062" s="4">
        <v>5.5599999999999997E-2</v>
      </c>
      <c r="U4062">
        <v>23</v>
      </c>
      <c r="V4062">
        <v>0</v>
      </c>
      <c r="W4062">
        <v>1</v>
      </c>
    </row>
    <row r="4063" spans="1:23" ht="16.5" x14ac:dyDescent="0.3">
      <c r="A4063" t="s">
        <v>4127</v>
      </c>
      <c r="B4063" s="1">
        <v>45876</v>
      </c>
      <c r="C4063">
        <v>2025</v>
      </c>
      <c r="D4063" t="s">
        <v>1255</v>
      </c>
      <c r="E4063" t="s">
        <v>1415</v>
      </c>
      <c r="F4063" t="s">
        <v>37</v>
      </c>
      <c r="G4063" t="s">
        <v>33</v>
      </c>
      <c r="H4063" t="s">
        <v>55</v>
      </c>
      <c r="I4063" t="s">
        <v>29</v>
      </c>
      <c r="J4063" t="s">
        <v>35</v>
      </c>
      <c r="K4063" s="2">
        <v>6150</v>
      </c>
      <c r="L4063" s="2">
        <v>20000</v>
      </c>
      <c r="M4063">
        <v>36</v>
      </c>
      <c r="N4063" s="3">
        <v>0.34899999999999998</v>
      </c>
      <c r="O4063" t="s">
        <v>16</v>
      </c>
      <c r="Q4063">
        <v>1</v>
      </c>
      <c r="R4063">
        <v>0</v>
      </c>
      <c r="S4063" s="2">
        <v>20000</v>
      </c>
      <c r="T4063" s="4">
        <v>0.1229</v>
      </c>
      <c r="U4063">
        <v>1</v>
      </c>
      <c r="V4063">
        <v>1</v>
      </c>
      <c r="W4063">
        <v>1</v>
      </c>
    </row>
    <row r="4064" spans="1:23" ht="16.5" x14ac:dyDescent="0.3">
      <c r="A4064" t="s">
        <v>4128</v>
      </c>
      <c r="B4064" s="1">
        <v>45876</v>
      </c>
      <c r="C4064">
        <v>2025</v>
      </c>
      <c r="D4064" t="s">
        <v>1255</v>
      </c>
      <c r="E4064" t="s">
        <v>1415</v>
      </c>
      <c r="F4064" t="s">
        <v>37</v>
      </c>
      <c r="G4064" t="s">
        <v>51</v>
      </c>
      <c r="H4064" t="s">
        <v>38</v>
      </c>
      <c r="I4064" t="s">
        <v>29</v>
      </c>
      <c r="J4064" t="s">
        <v>43</v>
      </c>
      <c r="K4064" s="2">
        <v>6100</v>
      </c>
      <c r="L4064" s="2">
        <v>21000</v>
      </c>
      <c r="M4064">
        <v>12</v>
      </c>
      <c r="N4064" s="3">
        <v>0.54700000000000004</v>
      </c>
      <c r="O4064" t="s">
        <v>16</v>
      </c>
      <c r="Q4064">
        <v>1</v>
      </c>
      <c r="R4064">
        <v>0</v>
      </c>
      <c r="S4064" s="2">
        <v>19000</v>
      </c>
      <c r="T4064" s="4">
        <v>0.1628</v>
      </c>
      <c r="U4064">
        <v>3</v>
      </c>
      <c r="V4064">
        <v>1</v>
      </c>
      <c r="W4064">
        <v>1</v>
      </c>
    </row>
    <row r="4065" spans="1:23" ht="16.5" x14ac:dyDescent="0.3">
      <c r="A4065" t="s">
        <v>4129</v>
      </c>
      <c r="B4065" s="1">
        <v>45876</v>
      </c>
      <c r="C4065">
        <v>2025</v>
      </c>
      <c r="D4065" t="s">
        <v>1255</v>
      </c>
      <c r="E4065" t="s">
        <v>1415</v>
      </c>
      <c r="F4065" t="s">
        <v>50</v>
      </c>
      <c r="G4065" t="s">
        <v>45</v>
      </c>
      <c r="H4065" t="s">
        <v>38</v>
      </c>
      <c r="I4065" t="s">
        <v>29</v>
      </c>
      <c r="J4065" t="s">
        <v>43</v>
      </c>
      <c r="K4065" s="2">
        <v>5950</v>
      </c>
      <c r="L4065" s="2">
        <v>137500</v>
      </c>
      <c r="M4065">
        <v>180</v>
      </c>
      <c r="N4065" s="3">
        <v>0.33900000000000002</v>
      </c>
      <c r="O4065" t="s">
        <v>17</v>
      </c>
      <c r="P4065" t="s">
        <v>31</v>
      </c>
      <c r="Q4065">
        <v>0</v>
      </c>
      <c r="R4065">
        <v>1</v>
      </c>
      <c r="S4065" s="2">
        <v>0</v>
      </c>
      <c r="T4065" s="4"/>
      <c r="U4065">
        <v>5</v>
      </c>
      <c r="V4065">
        <v>1</v>
      </c>
      <c r="W4065">
        <v>1</v>
      </c>
    </row>
    <row r="4066" spans="1:23" ht="16.5" x14ac:dyDescent="0.3">
      <c r="A4066" t="s">
        <v>4130</v>
      </c>
      <c r="B4066" s="1">
        <v>45876</v>
      </c>
      <c r="C4066">
        <v>2025</v>
      </c>
      <c r="D4066" t="s">
        <v>1255</v>
      </c>
      <c r="E4066" t="s">
        <v>1415</v>
      </c>
      <c r="F4066" t="s">
        <v>41</v>
      </c>
      <c r="G4066" t="s">
        <v>51</v>
      </c>
      <c r="H4066" t="s">
        <v>55</v>
      </c>
      <c r="I4066" t="s">
        <v>39</v>
      </c>
      <c r="J4066" t="s">
        <v>35</v>
      </c>
      <c r="K4066" s="2">
        <v>8350</v>
      </c>
      <c r="L4066" s="2">
        <v>152000</v>
      </c>
      <c r="M4066">
        <v>60</v>
      </c>
      <c r="N4066" s="3">
        <v>0.61099999999999999</v>
      </c>
      <c r="O4066" t="s">
        <v>16</v>
      </c>
      <c r="Q4066">
        <v>1</v>
      </c>
      <c r="R4066">
        <v>0</v>
      </c>
      <c r="S4066" s="2">
        <v>152000</v>
      </c>
      <c r="T4066" s="4">
        <v>0.10979999999999999</v>
      </c>
      <c r="U4066">
        <v>19</v>
      </c>
      <c r="V4066">
        <v>0</v>
      </c>
      <c r="W4066">
        <v>1</v>
      </c>
    </row>
    <row r="4067" spans="1:23" ht="16.5" x14ac:dyDescent="0.3">
      <c r="A4067" t="s">
        <v>4131</v>
      </c>
      <c r="B4067" s="1">
        <v>45876</v>
      </c>
      <c r="C4067">
        <v>2025</v>
      </c>
      <c r="D4067" t="s">
        <v>1255</v>
      </c>
      <c r="E4067" t="s">
        <v>1415</v>
      </c>
      <c r="F4067" t="s">
        <v>26</v>
      </c>
      <c r="G4067" t="s">
        <v>51</v>
      </c>
      <c r="H4067" t="s">
        <v>55</v>
      </c>
      <c r="I4067" t="s">
        <v>29</v>
      </c>
      <c r="J4067" t="s">
        <v>30</v>
      </c>
      <c r="K4067" s="2">
        <v>5050</v>
      </c>
      <c r="L4067" s="2">
        <v>35000</v>
      </c>
      <c r="M4067">
        <v>60</v>
      </c>
      <c r="N4067" s="3">
        <v>0.248</v>
      </c>
      <c r="O4067" t="s">
        <v>16</v>
      </c>
      <c r="Q4067">
        <v>1</v>
      </c>
      <c r="R4067">
        <v>0</v>
      </c>
      <c r="S4067" s="2">
        <v>35000</v>
      </c>
      <c r="T4067" s="4">
        <v>9.6699999999999994E-2</v>
      </c>
      <c r="U4067">
        <v>5</v>
      </c>
      <c r="V4067">
        <v>0</v>
      </c>
      <c r="W4067">
        <v>1</v>
      </c>
    </row>
    <row r="4068" spans="1:23" ht="16.5" x14ac:dyDescent="0.3">
      <c r="A4068" t="s">
        <v>4132</v>
      </c>
      <c r="B4068" s="1">
        <v>45876</v>
      </c>
      <c r="C4068">
        <v>2025</v>
      </c>
      <c r="D4068" t="s">
        <v>1255</v>
      </c>
      <c r="E4068" t="s">
        <v>1415</v>
      </c>
      <c r="F4068" t="s">
        <v>26</v>
      </c>
      <c r="G4068" t="s">
        <v>27</v>
      </c>
      <c r="H4068" t="s">
        <v>38</v>
      </c>
      <c r="I4068" t="s">
        <v>39</v>
      </c>
      <c r="J4068" t="s">
        <v>30</v>
      </c>
      <c r="K4068" s="2">
        <v>2600</v>
      </c>
      <c r="L4068" s="2">
        <v>17500</v>
      </c>
      <c r="M4068">
        <v>48</v>
      </c>
      <c r="N4068" s="3">
        <v>0.35699999999999998</v>
      </c>
      <c r="O4068" t="s">
        <v>17</v>
      </c>
      <c r="P4068" t="s">
        <v>31</v>
      </c>
      <c r="Q4068">
        <v>0</v>
      </c>
      <c r="R4068">
        <v>1</v>
      </c>
      <c r="S4068" s="2">
        <v>0</v>
      </c>
      <c r="T4068" s="4"/>
      <c r="U4068">
        <v>10</v>
      </c>
      <c r="V4068">
        <v>0</v>
      </c>
      <c r="W4068">
        <v>1</v>
      </c>
    </row>
    <row r="4069" spans="1:23" ht="16.5" x14ac:dyDescent="0.3">
      <c r="A4069" t="s">
        <v>4133</v>
      </c>
      <c r="B4069" s="1">
        <v>45876</v>
      </c>
      <c r="C4069">
        <v>2025</v>
      </c>
      <c r="D4069" t="s">
        <v>1255</v>
      </c>
      <c r="E4069" t="s">
        <v>1415</v>
      </c>
      <c r="F4069" t="s">
        <v>41</v>
      </c>
      <c r="G4069" t="s">
        <v>45</v>
      </c>
      <c r="H4069" t="s">
        <v>38</v>
      </c>
      <c r="I4069" t="s">
        <v>42</v>
      </c>
      <c r="J4069" t="s">
        <v>35</v>
      </c>
      <c r="K4069" s="2">
        <v>3700</v>
      </c>
      <c r="L4069" s="2">
        <v>54500</v>
      </c>
      <c r="M4069">
        <v>36</v>
      </c>
      <c r="N4069" s="3">
        <v>0.58099999999999996</v>
      </c>
      <c r="O4069" t="s">
        <v>16</v>
      </c>
      <c r="Q4069">
        <v>1</v>
      </c>
      <c r="R4069">
        <v>0</v>
      </c>
      <c r="S4069" s="2">
        <v>54500</v>
      </c>
      <c r="T4069" s="4">
        <v>0.1023</v>
      </c>
      <c r="U4069">
        <v>3</v>
      </c>
      <c r="V4069">
        <v>1</v>
      </c>
      <c r="W4069">
        <v>1</v>
      </c>
    </row>
    <row r="4070" spans="1:23" ht="16.5" x14ac:dyDescent="0.3">
      <c r="A4070" t="s">
        <v>4134</v>
      </c>
      <c r="B4070" s="1">
        <v>45876</v>
      </c>
      <c r="C4070">
        <v>2025</v>
      </c>
      <c r="D4070" t="s">
        <v>1255</v>
      </c>
      <c r="E4070" t="s">
        <v>1415</v>
      </c>
      <c r="F4070" t="s">
        <v>37</v>
      </c>
      <c r="G4070" t="s">
        <v>33</v>
      </c>
      <c r="H4070" t="s">
        <v>64</v>
      </c>
      <c r="I4070" t="s">
        <v>39</v>
      </c>
      <c r="J4070" t="s">
        <v>35</v>
      </c>
      <c r="K4070" s="2">
        <v>4550</v>
      </c>
      <c r="L4070" s="2">
        <v>18000</v>
      </c>
      <c r="M4070">
        <v>24</v>
      </c>
      <c r="N4070" s="3">
        <v>0.27800000000000002</v>
      </c>
      <c r="O4070" t="s">
        <v>17</v>
      </c>
      <c r="P4070" t="s">
        <v>65</v>
      </c>
      <c r="Q4070">
        <v>0</v>
      </c>
      <c r="R4070">
        <v>1</v>
      </c>
      <c r="S4070" s="2">
        <v>0</v>
      </c>
      <c r="T4070" s="4"/>
      <c r="U4070">
        <v>2</v>
      </c>
      <c r="V4070">
        <v>1</v>
      </c>
      <c r="W4070">
        <v>1</v>
      </c>
    </row>
    <row r="4071" spans="1:23" ht="16.5" x14ac:dyDescent="0.3">
      <c r="A4071" t="s">
        <v>4135</v>
      </c>
      <c r="B4071" s="1">
        <v>45877</v>
      </c>
      <c r="C4071">
        <v>2025</v>
      </c>
      <c r="D4071" t="s">
        <v>1255</v>
      </c>
      <c r="E4071" t="s">
        <v>1415</v>
      </c>
      <c r="F4071" t="s">
        <v>37</v>
      </c>
      <c r="G4071" t="s">
        <v>45</v>
      </c>
      <c r="H4071" t="s">
        <v>38</v>
      </c>
      <c r="I4071" t="s">
        <v>39</v>
      </c>
      <c r="J4071" t="s">
        <v>35</v>
      </c>
      <c r="K4071" s="2">
        <v>4850</v>
      </c>
      <c r="L4071" s="2">
        <v>7500</v>
      </c>
      <c r="M4071">
        <v>12</v>
      </c>
      <c r="N4071" s="3">
        <v>0.35199999999999998</v>
      </c>
      <c r="O4071" t="s">
        <v>17</v>
      </c>
      <c r="P4071" t="s">
        <v>65</v>
      </c>
      <c r="Q4071">
        <v>0</v>
      </c>
      <c r="R4071">
        <v>1</v>
      </c>
      <c r="S4071" s="2">
        <v>0</v>
      </c>
      <c r="T4071" s="4"/>
      <c r="U4071">
        <v>2</v>
      </c>
      <c r="V4071">
        <v>1</v>
      </c>
      <c r="W4071">
        <v>1</v>
      </c>
    </row>
    <row r="4072" spans="1:23" ht="16.5" x14ac:dyDescent="0.3">
      <c r="A4072" t="s">
        <v>4136</v>
      </c>
      <c r="B4072" s="1">
        <v>45877</v>
      </c>
      <c r="C4072">
        <v>2025</v>
      </c>
      <c r="D4072" t="s">
        <v>1255</v>
      </c>
      <c r="E4072" t="s">
        <v>1415</v>
      </c>
      <c r="F4072" t="s">
        <v>37</v>
      </c>
      <c r="G4072" t="s">
        <v>33</v>
      </c>
      <c r="H4072" t="s">
        <v>55</v>
      </c>
      <c r="I4072" t="s">
        <v>39</v>
      </c>
      <c r="J4072" t="s">
        <v>52</v>
      </c>
      <c r="K4072" s="2">
        <v>4950</v>
      </c>
      <c r="L4072" s="2">
        <v>17000</v>
      </c>
      <c r="M4072">
        <v>12</v>
      </c>
      <c r="N4072" s="3">
        <v>0.49199999999999999</v>
      </c>
      <c r="O4072" t="s">
        <v>16</v>
      </c>
      <c r="Q4072">
        <v>1</v>
      </c>
      <c r="R4072">
        <v>0</v>
      </c>
      <c r="S4072" s="2">
        <v>17000</v>
      </c>
      <c r="T4072" s="4">
        <v>0.1143</v>
      </c>
      <c r="U4072">
        <v>1</v>
      </c>
      <c r="V4072">
        <v>1</v>
      </c>
      <c r="W4072">
        <v>1</v>
      </c>
    </row>
    <row r="4073" spans="1:23" ht="16.5" x14ac:dyDescent="0.3">
      <c r="A4073" t="s">
        <v>4137</v>
      </c>
      <c r="B4073" s="1">
        <v>45877</v>
      </c>
      <c r="C4073">
        <v>2025</v>
      </c>
      <c r="D4073" t="s">
        <v>1255</v>
      </c>
      <c r="E4073" t="s">
        <v>1415</v>
      </c>
      <c r="F4073" t="s">
        <v>41</v>
      </c>
      <c r="G4073" t="s">
        <v>45</v>
      </c>
      <c r="H4073" t="s">
        <v>34</v>
      </c>
      <c r="I4073" t="s">
        <v>39</v>
      </c>
      <c r="J4073" t="s">
        <v>52</v>
      </c>
      <c r="K4073" s="2">
        <v>3150</v>
      </c>
      <c r="L4073" s="2">
        <v>142500</v>
      </c>
      <c r="M4073">
        <v>24</v>
      </c>
      <c r="N4073" s="3">
        <v>2.2320000000000002</v>
      </c>
      <c r="O4073" t="s">
        <v>17</v>
      </c>
      <c r="P4073" t="s">
        <v>53</v>
      </c>
      <c r="Q4073">
        <v>0</v>
      </c>
      <c r="R4073">
        <v>1</v>
      </c>
      <c r="S4073" s="2">
        <v>0</v>
      </c>
      <c r="T4073" s="4"/>
      <c r="U4073">
        <v>4</v>
      </c>
      <c r="V4073">
        <v>1</v>
      </c>
      <c r="W4073">
        <v>1</v>
      </c>
    </row>
    <row r="4074" spans="1:23" ht="16.5" x14ac:dyDescent="0.3">
      <c r="A4074" t="s">
        <v>4138</v>
      </c>
      <c r="B4074" s="1">
        <v>45877</v>
      </c>
      <c r="C4074">
        <v>2025</v>
      </c>
      <c r="D4074" t="s">
        <v>1255</v>
      </c>
      <c r="E4074" t="s">
        <v>1415</v>
      </c>
      <c r="F4074" t="s">
        <v>37</v>
      </c>
      <c r="G4074" t="s">
        <v>45</v>
      </c>
      <c r="H4074" t="s">
        <v>55</v>
      </c>
      <c r="I4074" t="s">
        <v>39</v>
      </c>
      <c r="J4074" t="s">
        <v>35</v>
      </c>
      <c r="K4074" s="2">
        <v>9050</v>
      </c>
      <c r="L4074" s="2">
        <v>7500</v>
      </c>
      <c r="M4074">
        <v>48</v>
      </c>
      <c r="N4074" s="3">
        <v>0.17</v>
      </c>
      <c r="O4074" t="s">
        <v>17</v>
      </c>
      <c r="P4074" t="s">
        <v>31</v>
      </c>
      <c r="Q4074">
        <v>0</v>
      </c>
      <c r="R4074">
        <v>1</v>
      </c>
      <c r="S4074" s="2">
        <v>0</v>
      </c>
      <c r="T4074" s="4"/>
      <c r="U4074">
        <v>3</v>
      </c>
      <c r="V4074">
        <v>1</v>
      </c>
      <c r="W4074">
        <v>1</v>
      </c>
    </row>
    <row r="4075" spans="1:23" ht="16.5" x14ac:dyDescent="0.3">
      <c r="A4075" t="s">
        <v>4139</v>
      </c>
      <c r="B4075" s="1">
        <v>45877</v>
      </c>
      <c r="C4075">
        <v>2025</v>
      </c>
      <c r="D4075" t="s">
        <v>1255</v>
      </c>
      <c r="E4075" t="s">
        <v>1415</v>
      </c>
      <c r="F4075" t="s">
        <v>26</v>
      </c>
      <c r="G4075" t="s">
        <v>27</v>
      </c>
      <c r="H4075" t="s">
        <v>64</v>
      </c>
      <c r="I4075" t="s">
        <v>29</v>
      </c>
      <c r="J4075" t="s">
        <v>35</v>
      </c>
      <c r="K4075" s="2">
        <v>4550</v>
      </c>
      <c r="L4075" s="2">
        <v>31500</v>
      </c>
      <c r="M4075">
        <v>60</v>
      </c>
      <c r="N4075" s="3">
        <v>0.30199999999999999</v>
      </c>
      <c r="O4075" t="s">
        <v>17</v>
      </c>
      <c r="P4075" t="s">
        <v>48</v>
      </c>
      <c r="Q4075">
        <v>0</v>
      </c>
      <c r="R4075">
        <v>1</v>
      </c>
      <c r="S4075" s="2">
        <v>0</v>
      </c>
      <c r="T4075" s="4"/>
      <c r="U4075">
        <v>4</v>
      </c>
      <c r="V4075">
        <v>1</v>
      </c>
      <c r="W4075">
        <v>1</v>
      </c>
    </row>
    <row r="4076" spans="1:23" ht="16.5" x14ac:dyDescent="0.3">
      <c r="A4076" t="s">
        <v>4140</v>
      </c>
      <c r="B4076" s="1">
        <v>45877</v>
      </c>
      <c r="C4076">
        <v>2025</v>
      </c>
      <c r="D4076" t="s">
        <v>1255</v>
      </c>
      <c r="E4076" t="s">
        <v>1415</v>
      </c>
      <c r="F4076" t="s">
        <v>37</v>
      </c>
      <c r="G4076" t="s">
        <v>33</v>
      </c>
      <c r="H4076" t="s">
        <v>34</v>
      </c>
      <c r="I4076" t="s">
        <v>29</v>
      </c>
      <c r="J4076" t="s">
        <v>35</v>
      </c>
      <c r="K4076" s="2">
        <v>6850</v>
      </c>
      <c r="L4076" s="2">
        <v>24000</v>
      </c>
      <c r="M4076">
        <v>12</v>
      </c>
      <c r="N4076" s="3">
        <v>0.40899999999999997</v>
      </c>
      <c r="O4076" t="s">
        <v>16</v>
      </c>
      <c r="Q4076">
        <v>1</v>
      </c>
      <c r="R4076">
        <v>0</v>
      </c>
      <c r="S4076" s="2">
        <v>24000</v>
      </c>
      <c r="T4076" s="4">
        <v>0.12470000000000001</v>
      </c>
      <c r="U4076">
        <v>1</v>
      </c>
      <c r="V4076">
        <v>1</v>
      </c>
      <c r="W4076">
        <v>1</v>
      </c>
    </row>
    <row r="4077" spans="1:23" ht="16.5" x14ac:dyDescent="0.3">
      <c r="A4077" t="s">
        <v>4141</v>
      </c>
      <c r="B4077" s="1">
        <v>45877</v>
      </c>
      <c r="C4077">
        <v>2025</v>
      </c>
      <c r="D4077" t="s">
        <v>1255</v>
      </c>
      <c r="E4077" t="s">
        <v>1415</v>
      </c>
      <c r="F4077" t="s">
        <v>26</v>
      </c>
      <c r="G4077" t="s">
        <v>45</v>
      </c>
      <c r="H4077" t="s">
        <v>38</v>
      </c>
      <c r="I4077" t="s">
        <v>29</v>
      </c>
      <c r="J4077" t="s">
        <v>35</v>
      </c>
      <c r="K4077" s="2">
        <v>3600</v>
      </c>
      <c r="L4077" s="2">
        <v>65000</v>
      </c>
      <c r="M4077">
        <v>48</v>
      </c>
      <c r="N4077" s="3">
        <v>0.55400000000000005</v>
      </c>
      <c r="O4077" t="s">
        <v>17</v>
      </c>
      <c r="P4077" t="s">
        <v>53</v>
      </c>
      <c r="Q4077">
        <v>0</v>
      </c>
      <c r="R4077">
        <v>1</v>
      </c>
      <c r="S4077" s="2">
        <v>0</v>
      </c>
      <c r="T4077" s="4"/>
      <c r="U4077">
        <v>2</v>
      </c>
      <c r="V4077">
        <v>1</v>
      </c>
      <c r="W4077">
        <v>1</v>
      </c>
    </row>
    <row r="4078" spans="1:23" ht="16.5" x14ac:dyDescent="0.3">
      <c r="A4078" t="s">
        <v>4142</v>
      </c>
      <c r="B4078" s="1">
        <v>45877</v>
      </c>
      <c r="C4078">
        <v>2025</v>
      </c>
      <c r="D4078" t="s">
        <v>1255</v>
      </c>
      <c r="E4078" t="s">
        <v>1415</v>
      </c>
      <c r="F4078" t="s">
        <v>37</v>
      </c>
      <c r="G4078" t="s">
        <v>51</v>
      </c>
      <c r="H4078" t="s">
        <v>34</v>
      </c>
      <c r="I4078" t="s">
        <v>42</v>
      </c>
      <c r="J4078" t="s">
        <v>35</v>
      </c>
      <c r="K4078" s="2">
        <v>8400</v>
      </c>
      <c r="L4078" s="2">
        <v>8500</v>
      </c>
      <c r="M4078">
        <v>60</v>
      </c>
      <c r="N4078" s="3">
        <v>0.14799999999999999</v>
      </c>
      <c r="O4078" t="s">
        <v>16</v>
      </c>
      <c r="Q4078">
        <v>1</v>
      </c>
      <c r="R4078">
        <v>0</v>
      </c>
      <c r="S4078" s="2">
        <v>8500</v>
      </c>
      <c r="T4078" s="4">
        <v>0.12330000000000001</v>
      </c>
      <c r="U4078">
        <v>5</v>
      </c>
      <c r="V4078">
        <v>0</v>
      </c>
      <c r="W4078">
        <v>1</v>
      </c>
    </row>
    <row r="4079" spans="1:23" ht="16.5" x14ac:dyDescent="0.3">
      <c r="A4079" t="s">
        <v>4143</v>
      </c>
      <c r="B4079" s="1">
        <v>45878</v>
      </c>
      <c r="C4079">
        <v>2025</v>
      </c>
      <c r="D4079" t="s">
        <v>1255</v>
      </c>
      <c r="E4079" t="s">
        <v>1415</v>
      </c>
      <c r="F4079" t="s">
        <v>26</v>
      </c>
      <c r="G4079" t="s">
        <v>33</v>
      </c>
      <c r="H4079" t="s">
        <v>64</v>
      </c>
      <c r="I4079" t="s">
        <v>29</v>
      </c>
      <c r="J4079" t="s">
        <v>35</v>
      </c>
      <c r="K4079" s="2">
        <v>4550</v>
      </c>
      <c r="L4079" s="2">
        <v>32500</v>
      </c>
      <c r="M4079">
        <v>36</v>
      </c>
      <c r="N4079" s="3">
        <v>0.33200000000000002</v>
      </c>
      <c r="O4079" t="s">
        <v>17</v>
      </c>
      <c r="P4079" t="s">
        <v>48</v>
      </c>
      <c r="Q4079">
        <v>0</v>
      </c>
      <c r="R4079">
        <v>1</v>
      </c>
      <c r="S4079" s="2">
        <v>0</v>
      </c>
      <c r="T4079" s="4"/>
      <c r="U4079">
        <v>1</v>
      </c>
      <c r="V4079">
        <v>1</v>
      </c>
      <c r="W4079">
        <v>1</v>
      </c>
    </row>
    <row r="4080" spans="1:23" ht="16.5" x14ac:dyDescent="0.3">
      <c r="A4080" t="s">
        <v>4144</v>
      </c>
      <c r="B4080" s="1">
        <v>45878</v>
      </c>
      <c r="C4080">
        <v>2025</v>
      </c>
      <c r="D4080" t="s">
        <v>1255</v>
      </c>
      <c r="E4080" t="s">
        <v>1415</v>
      </c>
      <c r="F4080" t="s">
        <v>26</v>
      </c>
      <c r="G4080" t="s">
        <v>45</v>
      </c>
      <c r="H4080" t="s">
        <v>38</v>
      </c>
      <c r="I4080" t="s">
        <v>29</v>
      </c>
      <c r="J4080" t="s">
        <v>30</v>
      </c>
      <c r="K4080" s="2">
        <v>6750</v>
      </c>
      <c r="L4080" s="2">
        <v>36000</v>
      </c>
      <c r="M4080">
        <v>36</v>
      </c>
      <c r="N4080" s="3">
        <v>0.32400000000000001</v>
      </c>
      <c r="O4080" t="s">
        <v>17</v>
      </c>
      <c r="P4080" t="s">
        <v>31</v>
      </c>
      <c r="Q4080">
        <v>0</v>
      </c>
      <c r="R4080">
        <v>1</v>
      </c>
      <c r="S4080" s="2">
        <v>0</v>
      </c>
      <c r="T4080" s="4"/>
      <c r="U4080">
        <v>1</v>
      </c>
      <c r="V4080">
        <v>1</v>
      </c>
      <c r="W4080">
        <v>1</v>
      </c>
    </row>
    <row r="4081" spans="1:23" ht="16.5" x14ac:dyDescent="0.3">
      <c r="A4081" t="s">
        <v>4145</v>
      </c>
      <c r="B4081" s="1">
        <v>45878</v>
      </c>
      <c r="C4081">
        <v>2025</v>
      </c>
      <c r="D4081" t="s">
        <v>1255</v>
      </c>
      <c r="E4081" t="s">
        <v>1415</v>
      </c>
      <c r="F4081" t="s">
        <v>26</v>
      </c>
      <c r="G4081" t="s">
        <v>27</v>
      </c>
      <c r="H4081" t="s">
        <v>55</v>
      </c>
      <c r="I4081" t="s">
        <v>29</v>
      </c>
      <c r="J4081" t="s">
        <v>52</v>
      </c>
      <c r="K4081" s="2">
        <v>6350</v>
      </c>
      <c r="L4081" s="2">
        <v>31500</v>
      </c>
      <c r="M4081">
        <v>36</v>
      </c>
      <c r="N4081" s="3">
        <v>0.255</v>
      </c>
      <c r="O4081" t="s">
        <v>16</v>
      </c>
      <c r="Q4081">
        <v>1</v>
      </c>
      <c r="R4081">
        <v>0</v>
      </c>
      <c r="S4081" s="2">
        <v>31500</v>
      </c>
      <c r="T4081" s="4">
        <v>6.6199999999999995E-2</v>
      </c>
      <c r="U4081">
        <v>2</v>
      </c>
      <c r="V4081">
        <v>1</v>
      </c>
      <c r="W4081">
        <v>1</v>
      </c>
    </row>
    <row r="4082" spans="1:23" ht="16.5" x14ac:dyDescent="0.3">
      <c r="A4082" t="s">
        <v>4146</v>
      </c>
      <c r="B4082" s="1">
        <v>45878</v>
      </c>
      <c r="C4082">
        <v>2025</v>
      </c>
      <c r="D4082" t="s">
        <v>1255</v>
      </c>
      <c r="E4082" t="s">
        <v>1415</v>
      </c>
      <c r="F4082" t="s">
        <v>37</v>
      </c>
      <c r="G4082" t="s">
        <v>33</v>
      </c>
      <c r="H4082" t="s">
        <v>38</v>
      </c>
      <c r="I4082" t="s">
        <v>39</v>
      </c>
      <c r="J4082" t="s">
        <v>30</v>
      </c>
      <c r="K4082" s="2">
        <v>5400</v>
      </c>
      <c r="L4082" s="2">
        <v>9000</v>
      </c>
      <c r="M4082">
        <v>36</v>
      </c>
      <c r="N4082" s="3">
        <v>0.157</v>
      </c>
      <c r="O4082" t="s">
        <v>16</v>
      </c>
      <c r="Q4082">
        <v>1</v>
      </c>
      <c r="R4082">
        <v>0</v>
      </c>
      <c r="S4082" s="2">
        <v>8000</v>
      </c>
      <c r="T4082" s="4">
        <v>0.14249999999999999</v>
      </c>
      <c r="U4082">
        <v>2</v>
      </c>
      <c r="V4082">
        <v>1</v>
      </c>
      <c r="W4082">
        <v>1</v>
      </c>
    </row>
    <row r="4083" spans="1:23" ht="16.5" x14ac:dyDescent="0.3">
      <c r="A4083" t="s">
        <v>4147</v>
      </c>
      <c r="B4083" s="1">
        <v>45879</v>
      </c>
      <c r="C4083">
        <v>2025</v>
      </c>
      <c r="D4083" t="s">
        <v>1255</v>
      </c>
      <c r="E4083" t="s">
        <v>1415</v>
      </c>
      <c r="F4083" t="s">
        <v>37</v>
      </c>
      <c r="G4083" t="s">
        <v>27</v>
      </c>
      <c r="H4083" t="s">
        <v>55</v>
      </c>
      <c r="I4083" t="s">
        <v>39</v>
      </c>
      <c r="J4083" t="s">
        <v>35</v>
      </c>
      <c r="K4083" s="2">
        <v>7150</v>
      </c>
      <c r="L4083" s="2">
        <v>12000</v>
      </c>
      <c r="M4083">
        <v>48</v>
      </c>
      <c r="N4083" s="3">
        <v>0.13300000000000001</v>
      </c>
      <c r="O4083" t="s">
        <v>17</v>
      </c>
      <c r="P4083" t="s">
        <v>60</v>
      </c>
      <c r="Q4083">
        <v>0</v>
      </c>
      <c r="R4083">
        <v>1</v>
      </c>
      <c r="S4083" s="2">
        <v>0</v>
      </c>
      <c r="T4083" s="4"/>
      <c r="U4083">
        <v>6</v>
      </c>
      <c r="V4083">
        <v>0</v>
      </c>
      <c r="W4083">
        <v>1</v>
      </c>
    </row>
    <row r="4084" spans="1:23" ht="16.5" x14ac:dyDescent="0.3">
      <c r="A4084" t="s">
        <v>4148</v>
      </c>
      <c r="B4084" s="1">
        <v>45879</v>
      </c>
      <c r="C4084">
        <v>2025</v>
      </c>
      <c r="D4084" t="s">
        <v>1255</v>
      </c>
      <c r="E4084" t="s">
        <v>1415</v>
      </c>
      <c r="F4084" t="s">
        <v>37</v>
      </c>
      <c r="G4084" t="s">
        <v>33</v>
      </c>
      <c r="H4084" t="s">
        <v>34</v>
      </c>
      <c r="I4084" t="s">
        <v>42</v>
      </c>
      <c r="J4084" t="s">
        <v>30</v>
      </c>
      <c r="K4084" s="2">
        <v>6800</v>
      </c>
      <c r="L4084" s="2">
        <v>14500</v>
      </c>
      <c r="M4084">
        <v>36</v>
      </c>
      <c r="N4084" s="3">
        <v>0.126</v>
      </c>
      <c r="O4084" t="s">
        <v>16</v>
      </c>
      <c r="Q4084">
        <v>1</v>
      </c>
      <c r="R4084">
        <v>0</v>
      </c>
      <c r="S4084" s="2">
        <v>11500</v>
      </c>
      <c r="T4084" s="4">
        <v>0.14249999999999999</v>
      </c>
      <c r="U4084">
        <v>1</v>
      </c>
      <c r="V4084">
        <v>1</v>
      </c>
      <c r="W4084">
        <v>1</v>
      </c>
    </row>
    <row r="4085" spans="1:23" ht="16.5" x14ac:dyDescent="0.3">
      <c r="A4085" t="s">
        <v>4149</v>
      </c>
      <c r="B4085" s="1">
        <v>45879</v>
      </c>
      <c r="C4085">
        <v>2025</v>
      </c>
      <c r="D4085" t="s">
        <v>1255</v>
      </c>
      <c r="E4085" t="s">
        <v>1415</v>
      </c>
      <c r="F4085" t="s">
        <v>50</v>
      </c>
      <c r="G4085" t="s">
        <v>45</v>
      </c>
      <c r="H4085" t="s">
        <v>38</v>
      </c>
      <c r="I4085" t="s">
        <v>29</v>
      </c>
      <c r="J4085" t="s">
        <v>35</v>
      </c>
      <c r="K4085" s="2">
        <v>12700</v>
      </c>
      <c r="L4085" s="2">
        <v>289500</v>
      </c>
      <c r="M4085">
        <v>300</v>
      </c>
      <c r="N4085" s="3">
        <v>0.34499999999999997</v>
      </c>
      <c r="O4085" t="s">
        <v>17</v>
      </c>
      <c r="P4085" t="s">
        <v>48</v>
      </c>
      <c r="Q4085">
        <v>0</v>
      </c>
      <c r="R4085">
        <v>1</v>
      </c>
      <c r="S4085" s="2">
        <v>0</v>
      </c>
      <c r="T4085" s="4"/>
      <c r="U4085">
        <v>8</v>
      </c>
      <c r="V4085">
        <v>1</v>
      </c>
      <c r="W4085">
        <v>1</v>
      </c>
    </row>
    <row r="4086" spans="1:23" ht="16.5" x14ac:dyDescent="0.3">
      <c r="A4086" t="s">
        <v>4150</v>
      </c>
      <c r="B4086" s="1">
        <v>45879</v>
      </c>
      <c r="C4086">
        <v>2025</v>
      </c>
      <c r="D4086" t="s">
        <v>1255</v>
      </c>
      <c r="E4086" t="s">
        <v>1415</v>
      </c>
      <c r="F4086" t="s">
        <v>37</v>
      </c>
      <c r="G4086" t="s">
        <v>45</v>
      </c>
      <c r="H4086" t="s">
        <v>38</v>
      </c>
      <c r="I4086" t="s">
        <v>39</v>
      </c>
      <c r="J4086" t="s">
        <v>30</v>
      </c>
      <c r="K4086" s="2">
        <v>3050</v>
      </c>
      <c r="L4086" s="2">
        <v>10000</v>
      </c>
      <c r="M4086">
        <v>60</v>
      </c>
      <c r="N4086" s="3">
        <v>0.214</v>
      </c>
      <c r="O4086" t="s">
        <v>16</v>
      </c>
      <c r="Q4086">
        <v>1</v>
      </c>
      <c r="R4086">
        <v>0</v>
      </c>
      <c r="S4086" s="2">
        <v>10000</v>
      </c>
      <c r="T4086" s="4">
        <v>0.1426</v>
      </c>
      <c r="U4086">
        <v>2</v>
      </c>
      <c r="V4086">
        <v>1</v>
      </c>
      <c r="W4086">
        <v>1</v>
      </c>
    </row>
    <row r="4087" spans="1:23" ht="16.5" x14ac:dyDescent="0.3">
      <c r="A4087" t="s">
        <v>4151</v>
      </c>
      <c r="B4087" s="1">
        <v>45880</v>
      </c>
      <c r="C4087">
        <v>2025</v>
      </c>
      <c r="D4087" t="s">
        <v>1255</v>
      </c>
      <c r="E4087" t="s">
        <v>1415</v>
      </c>
      <c r="F4087" t="s">
        <v>41</v>
      </c>
      <c r="G4087" t="s">
        <v>51</v>
      </c>
      <c r="H4087" t="s">
        <v>55</v>
      </c>
      <c r="I4087" t="s">
        <v>42</v>
      </c>
      <c r="J4087" t="s">
        <v>35</v>
      </c>
      <c r="K4087" s="2">
        <v>6150</v>
      </c>
      <c r="L4087" s="2">
        <v>35500</v>
      </c>
      <c r="M4087">
        <v>12</v>
      </c>
      <c r="N4087" s="3">
        <v>0.63100000000000001</v>
      </c>
      <c r="O4087" t="s">
        <v>16</v>
      </c>
      <c r="Q4087">
        <v>1</v>
      </c>
      <c r="R4087">
        <v>0</v>
      </c>
      <c r="S4087" s="2">
        <v>28500</v>
      </c>
      <c r="T4087" s="4">
        <v>0.105</v>
      </c>
      <c r="U4087">
        <v>12</v>
      </c>
      <c r="V4087">
        <v>0</v>
      </c>
      <c r="W4087">
        <v>1</v>
      </c>
    </row>
    <row r="4088" spans="1:23" ht="16.5" x14ac:dyDescent="0.3">
      <c r="A4088" t="s">
        <v>4152</v>
      </c>
      <c r="B4088" s="1">
        <v>45880</v>
      </c>
      <c r="C4088">
        <v>2025</v>
      </c>
      <c r="D4088" t="s">
        <v>1255</v>
      </c>
      <c r="E4088" t="s">
        <v>1415</v>
      </c>
      <c r="F4088" t="s">
        <v>37</v>
      </c>
      <c r="G4088" t="s">
        <v>33</v>
      </c>
      <c r="H4088" t="s">
        <v>38</v>
      </c>
      <c r="I4088" t="s">
        <v>39</v>
      </c>
      <c r="J4088" t="s">
        <v>46</v>
      </c>
      <c r="K4088" s="2">
        <v>3150</v>
      </c>
      <c r="L4088" s="2">
        <v>16500</v>
      </c>
      <c r="M4088">
        <v>24</v>
      </c>
      <c r="N4088" s="3">
        <v>0.317</v>
      </c>
      <c r="O4088" t="s">
        <v>16</v>
      </c>
      <c r="Q4088">
        <v>1</v>
      </c>
      <c r="R4088">
        <v>0</v>
      </c>
      <c r="S4088" s="2">
        <v>15000</v>
      </c>
      <c r="T4088" s="4">
        <v>0.109</v>
      </c>
      <c r="U4088">
        <v>2</v>
      </c>
      <c r="V4088">
        <v>1</v>
      </c>
      <c r="W4088">
        <v>1</v>
      </c>
    </row>
    <row r="4089" spans="1:23" ht="16.5" x14ac:dyDescent="0.3">
      <c r="A4089" t="s">
        <v>4153</v>
      </c>
      <c r="B4089" s="1">
        <v>45880</v>
      </c>
      <c r="C4089">
        <v>2025</v>
      </c>
      <c r="D4089" t="s">
        <v>1255</v>
      </c>
      <c r="E4089" t="s">
        <v>1415</v>
      </c>
      <c r="F4089" t="s">
        <v>50</v>
      </c>
      <c r="G4089" t="s">
        <v>27</v>
      </c>
      <c r="H4089" t="s">
        <v>28</v>
      </c>
      <c r="I4089" t="s">
        <v>42</v>
      </c>
      <c r="J4089" t="s">
        <v>30</v>
      </c>
      <c r="K4089" s="2">
        <v>4850</v>
      </c>
      <c r="L4089" s="2">
        <v>186500</v>
      </c>
      <c r="M4089">
        <v>300</v>
      </c>
      <c r="N4089" s="3">
        <v>0.45100000000000001</v>
      </c>
      <c r="O4089" t="s">
        <v>17</v>
      </c>
      <c r="P4089" t="s">
        <v>53</v>
      </c>
      <c r="Q4089">
        <v>0</v>
      </c>
      <c r="R4089">
        <v>1</v>
      </c>
      <c r="S4089" s="2">
        <v>0</v>
      </c>
      <c r="T4089" s="4"/>
      <c r="U4089">
        <v>14</v>
      </c>
      <c r="V4089">
        <v>1</v>
      </c>
      <c r="W4089">
        <v>1</v>
      </c>
    </row>
    <row r="4090" spans="1:23" ht="16.5" x14ac:dyDescent="0.3">
      <c r="A4090" t="s">
        <v>4154</v>
      </c>
      <c r="B4090" s="1">
        <v>45880</v>
      </c>
      <c r="C4090">
        <v>2025</v>
      </c>
      <c r="D4090" t="s">
        <v>1255</v>
      </c>
      <c r="E4090" t="s">
        <v>1415</v>
      </c>
      <c r="F4090" t="s">
        <v>26</v>
      </c>
      <c r="G4090" t="s">
        <v>45</v>
      </c>
      <c r="H4090" t="s">
        <v>34</v>
      </c>
      <c r="I4090" t="s">
        <v>29</v>
      </c>
      <c r="J4090" t="s">
        <v>30</v>
      </c>
      <c r="K4090" s="2">
        <v>3200</v>
      </c>
      <c r="L4090" s="2">
        <v>25500</v>
      </c>
      <c r="M4090">
        <v>48</v>
      </c>
      <c r="N4090" s="3">
        <v>0.32700000000000001</v>
      </c>
      <c r="O4090" t="s">
        <v>17</v>
      </c>
      <c r="P4090" t="s">
        <v>31</v>
      </c>
      <c r="Q4090">
        <v>0</v>
      </c>
      <c r="R4090">
        <v>1</v>
      </c>
      <c r="S4090" s="2">
        <v>0</v>
      </c>
      <c r="T4090" s="4"/>
      <c r="U4090">
        <v>2</v>
      </c>
      <c r="V4090">
        <v>1</v>
      </c>
      <c r="W4090">
        <v>1</v>
      </c>
    </row>
    <row r="4091" spans="1:23" ht="16.5" x14ac:dyDescent="0.3">
      <c r="A4091" t="s">
        <v>4155</v>
      </c>
      <c r="B4091" s="1">
        <v>45880</v>
      </c>
      <c r="C4091">
        <v>2025</v>
      </c>
      <c r="D4091" t="s">
        <v>1255</v>
      </c>
      <c r="E4091" t="s">
        <v>1415</v>
      </c>
      <c r="F4091" t="s">
        <v>50</v>
      </c>
      <c r="G4091" t="s">
        <v>45</v>
      </c>
      <c r="H4091" t="s">
        <v>34</v>
      </c>
      <c r="I4091" t="s">
        <v>39</v>
      </c>
      <c r="J4091" t="s">
        <v>30</v>
      </c>
      <c r="K4091" s="2">
        <v>5750</v>
      </c>
      <c r="L4091" s="2">
        <v>515500</v>
      </c>
      <c r="M4091">
        <v>240</v>
      </c>
      <c r="N4091" s="3">
        <v>0.75700000000000001</v>
      </c>
      <c r="O4091" t="s">
        <v>16</v>
      </c>
      <c r="Q4091">
        <v>1</v>
      </c>
      <c r="R4091">
        <v>0</v>
      </c>
      <c r="S4091" s="2">
        <v>412500</v>
      </c>
      <c r="T4091" s="4">
        <v>7.9699999999999993E-2</v>
      </c>
      <c r="U4091">
        <v>4</v>
      </c>
      <c r="V4091">
        <v>1</v>
      </c>
      <c r="W4091">
        <v>1</v>
      </c>
    </row>
    <row r="4092" spans="1:23" ht="16.5" x14ac:dyDescent="0.3">
      <c r="A4092" t="s">
        <v>4156</v>
      </c>
      <c r="B4092" s="1">
        <v>45880</v>
      </c>
      <c r="C4092">
        <v>2025</v>
      </c>
      <c r="D4092" t="s">
        <v>1255</v>
      </c>
      <c r="E4092" t="s">
        <v>1415</v>
      </c>
      <c r="F4092" t="s">
        <v>41</v>
      </c>
      <c r="G4092" t="s">
        <v>51</v>
      </c>
      <c r="H4092" t="s">
        <v>38</v>
      </c>
      <c r="I4092" t="s">
        <v>29</v>
      </c>
      <c r="J4092" t="s">
        <v>35</v>
      </c>
      <c r="K4092" s="2">
        <v>10600</v>
      </c>
      <c r="L4092" s="2">
        <v>133500</v>
      </c>
      <c r="M4092">
        <v>60</v>
      </c>
      <c r="N4092" s="3">
        <v>0.46899999999999997</v>
      </c>
      <c r="O4092" t="s">
        <v>16</v>
      </c>
      <c r="Q4092">
        <v>1</v>
      </c>
      <c r="R4092">
        <v>0</v>
      </c>
      <c r="S4092" s="2">
        <v>133500</v>
      </c>
      <c r="T4092" s="4">
        <v>0.1076</v>
      </c>
      <c r="U4092">
        <v>12</v>
      </c>
      <c r="V4092">
        <v>0</v>
      </c>
      <c r="W4092">
        <v>1</v>
      </c>
    </row>
    <row r="4093" spans="1:23" ht="16.5" x14ac:dyDescent="0.3">
      <c r="A4093" t="s">
        <v>4157</v>
      </c>
      <c r="B4093" s="1">
        <v>45880</v>
      </c>
      <c r="C4093">
        <v>2025</v>
      </c>
      <c r="D4093" t="s">
        <v>1255</v>
      </c>
      <c r="E4093" t="s">
        <v>1415</v>
      </c>
      <c r="F4093" t="s">
        <v>37</v>
      </c>
      <c r="G4093" t="s">
        <v>51</v>
      </c>
      <c r="H4093" t="s">
        <v>38</v>
      </c>
      <c r="I4093" t="s">
        <v>39</v>
      </c>
      <c r="J4093" t="s">
        <v>35</v>
      </c>
      <c r="K4093" s="2">
        <v>4800</v>
      </c>
      <c r="L4093" s="2">
        <v>13500</v>
      </c>
      <c r="M4093">
        <v>48</v>
      </c>
      <c r="N4093" s="3">
        <v>0.23100000000000001</v>
      </c>
      <c r="O4093" t="s">
        <v>16</v>
      </c>
      <c r="Q4093">
        <v>1</v>
      </c>
      <c r="R4093">
        <v>0</v>
      </c>
      <c r="S4093" s="2">
        <v>13500</v>
      </c>
      <c r="T4093" s="4">
        <v>0.12479999999999999</v>
      </c>
      <c r="U4093">
        <v>6</v>
      </c>
      <c r="V4093">
        <v>0</v>
      </c>
      <c r="W4093">
        <v>1</v>
      </c>
    </row>
    <row r="4094" spans="1:23" ht="16.5" x14ac:dyDescent="0.3">
      <c r="A4094" t="s">
        <v>4158</v>
      </c>
      <c r="B4094" s="1">
        <v>45880</v>
      </c>
      <c r="C4094">
        <v>2025</v>
      </c>
      <c r="D4094" t="s">
        <v>1255</v>
      </c>
      <c r="E4094" t="s">
        <v>1415</v>
      </c>
      <c r="F4094" t="s">
        <v>26</v>
      </c>
      <c r="G4094" t="s">
        <v>33</v>
      </c>
      <c r="H4094" t="s">
        <v>55</v>
      </c>
      <c r="I4094" t="s">
        <v>29</v>
      </c>
      <c r="J4094" t="s">
        <v>35</v>
      </c>
      <c r="K4094" s="2">
        <v>2950</v>
      </c>
      <c r="L4094" s="2">
        <v>24000</v>
      </c>
      <c r="M4094">
        <v>48</v>
      </c>
      <c r="N4094" s="3">
        <v>0.37</v>
      </c>
      <c r="O4094" t="s">
        <v>16</v>
      </c>
      <c r="Q4094">
        <v>1</v>
      </c>
      <c r="R4094">
        <v>0</v>
      </c>
      <c r="S4094" s="2">
        <v>24000</v>
      </c>
      <c r="T4094" s="4">
        <v>7.8600000000000003E-2</v>
      </c>
      <c r="U4094">
        <v>2</v>
      </c>
      <c r="V4094">
        <v>1</v>
      </c>
      <c r="W4094">
        <v>1</v>
      </c>
    </row>
    <row r="4095" spans="1:23" ht="16.5" x14ac:dyDescent="0.3">
      <c r="A4095" t="s">
        <v>4159</v>
      </c>
      <c r="B4095" s="1">
        <v>45880</v>
      </c>
      <c r="C4095">
        <v>2025</v>
      </c>
      <c r="D4095" t="s">
        <v>1255</v>
      </c>
      <c r="E4095" t="s">
        <v>1415</v>
      </c>
      <c r="F4095" t="s">
        <v>37</v>
      </c>
      <c r="G4095" t="s">
        <v>33</v>
      </c>
      <c r="H4095" t="s">
        <v>28</v>
      </c>
      <c r="I4095" t="s">
        <v>39</v>
      </c>
      <c r="J4095" t="s">
        <v>52</v>
      </c>
      <c r="K4095" s="2">
        <v>3950</v>
      </c>
      <c r="L4095" s="2">
        <v>10500</v>
      </c>
      <c r="M4095">
        <v>36</v>
      </c>
      <c r="N4095" s="3">
        <v>0.16300000000000001</v>
      </c>
      <c r="O4095" t="s">
        <v>16</v>
      </c>
      <c r="Q4095">
        <v>1</v>
      </c>
      <c r="R4095">
        <v>0</v>
      </c>
      <c r="S4095" s="2">
        <v>10500</v>
      </c>
      <c r="T4095" s="4">
        <v>0.113</v>
      </c>
      <c r="U4095">
        <v>2</v>
      </c>
      <c r="V4095">
        <v>1</v>
      </c>
      <c r="W4095">
        <v>1</v>
      </c>
    </row>
    <row r="4096" spans="1:23" ht="16.5" x14ac:dyDescent="0.3">
      <c r="A4096" t="s">
        <v>4160</v>
      </c>
      <c r="B4096" s="1">
        <v>45880</v>
      </c>
      <c r="C4096">
        <v>2025</v>
      </c>
      <c r="D4096" t="s">
        <v>1255</v>
      </c>
      <c r="E4096" t="s">
        <v>1415</v>
      </c>
      <c r="F4096" t="s">
        <v>26</v>
      </c>
      <c r="G4096" t="s">
        <v>51</v>
      </c>
      <c r="H4096" t="s">
        <v>28</v>
      </c>
      <c r="I4096" t="s">
        <v>39</v>
      </c>
      <c r="J4096" t="s">
        <v>35</v>
      </c>
      <c r="K4096" s="2">
        <v>3650</v>
      </c>
      <c r="L4096" s="2">
        <v>56500</v>
      </c>
      <c r="M4096">
        <v>48</v>
      </c>
      <c r="N4096" s="3">
        <v>0.59</v>
      </c>
      <c r="O4096" t="s">
        <v>16</v>
      </c>
      <c r="Q4096">
        <v>1</v>
      </c>
      <c r="R4096">
        <v>0</v>
      </c>
      <c r="S4096" s="2">
        <v>56500</v>
      </c>
      <c r="T4096" s="4">
        <v>8.2000000000000003E-2</v>
      </c>
      <c r="U4096">
        <v>6</v>
      </c>
      <c r="V4096">
        <v>0</v>
      </c>
      <c r="W4096">
        <v>1</v>
      </c>
    </row>
    <row r="4097" spans="1:23" ht="16.5" x14ac:dyDescent="0.3">
      <c r="A4097" t="s">
        <v>4161</v>
      </c>
      <c r="B4097" s="1">
        <v>45881</v>
      </c>
      <c r="C4097">
        <v>2025</v>
      </c>
      <c r="D4097" t="s">
        <v>1255</v>
      </c>
      <c r="E4097" t="s">
        <v>1415</v>
      </c>
      <c r="F4097" t="s">
        <v>37</v>
      </c>
      <c r="G4097" t="s">
        <v>51</v>
      </c>
      <c r="H4097" t="s">
        <v>38</v>
      </c>
      <c r="I4097" t="s">
        <v>42</v>
      </c>
      <c r="J4097" t="s">
        <v>43</v>
      </c>
      <c r="K4097" s="2">
        <v>5400</v>
      </c>
      <c r="L4097" s="2">
        <v>6000</v>
      </c>
      <c r="M4097">
        <v>24</v>
      </c>
      <c r="N4097" s="3">
        <v>0.13200000000000001</v>
      </c>
      <c r="O4097" t="s">
        <v>17</v>
      </c>
      <c r="P4097" t="s">
        <v>65</v>
      </c>
      <c r="Q4097">
        <v>0</v>
      </c>
      <c r="R4097">
        <v>1</v>
      </c>
      <c r="S4097" s="2">
        <v>0</v>
      </c>
      <c r="T4097" s="4"/>
      <c r="U4097">
        <v>3</v>
      </c>
      <c r="V4097">
        <v>1</v>
      </c>
      <c r="W4097">
        <v>1</v>
      </c>
    </row>
    <row r="4098" spans="1:23" ht="16.5" x14ac:dyDescent="0.3">
      <c r="A4098" t="s">
        <v>4162</v>
      </c>
      <c r="B4098" s="1">
        <v>45881</v>
      </c>
      <c r="C4098">
        <v>2025</v>
      </c>
      <c r="D4098" t="s">
        <v>1255</v>
      </c>
      <c r="E4098" t="s">
        <v>1415</v>
      </c>
      <c r="F4098" t="s">
        <v>26</v>
      </c>
      <c r="G4098" t="s">
        <v>33</v>
      </c>
      <c r="H4098" t="s">
        <v>38</v>
      </c>
      <c r="I4098" t="s">
        <v>29</v>
      </c>
      <c r="J4098" t="s">
        <v>43</v>
      </c>
      <c r="K4098" s="2">
        <v>5050</v>
      </c>
      <c r="L4098" s="2">
        <v>24500</v>
      </c>
      <c r="M4098">
        <v>48</v>
      </c>
      <c r="N4098" s="3">
        <v>0.23699999999999999</v>
      </c>
      <c r="O4098" t="s">
        <v>17</v>
      </c>
      <c r="P4098" t="s">
        <v>31</v>
      </c>
      <c r="Q4098">
        <v>0</v>
      </c>
      <c r="R4098">
        <v>1</v>
      </c>
      <c r="S4098" s="2">
        <v>0</v>
      </c>
      <c r="T4098" s="4"/>
      <c r="U4098">
        <v>2</v>
      </c>
      <c r="V4098">
        <v>1</v>
      </c>
      <c r="W4098">
        <v>1</v>
      </c>
    </row>
    <row r="4099" spans="1:23" ht="16.5" x14ac:dyDescent="0.3">
      <c r="A4099" t="s">
        <v>4163</v>
      </c>
      <c r="B4099" s="1">
        <v>45881</v>
      </c>
      <c r="C4099">
        <v>2025</v>
      </c>
      <c r="D4099" t="s">
        <v>1255</v>
      </c>
      <c r="E4099" t="s">
        <v>1415</v>
      </c>
      <c r="F4099" t="s">
        <v>26</v>
      </c>
      <c r="G4099" t="s">
        <v>45</v>
      </c>
      <c r="H4099" t="s">
        <v>34</v>
      </c>
      <c r="I4099" t="s">
        <v>39</v>
      </c>
      <c r="J4099" t="s">
        <v>35</v>
      </c>
      <c r="K4099" s="2">
        <v>5750</v>
      </c>
      <c r="L4099" s="2">
        <v>39500</v>
      </c>
      <c r="M4099">
        <v>60</v>
      </c>
      <c r="N4099" s="3">
        <v>0.28199999999999997</v>
      </c>
      <c r="O4099" t="s">
        <v>16</v>
      </c>
      <c r="Q4099">
        <v>1</v>
      </c>
      <c r="R4099">
        <v>0</v>
      </c>
      <c r="S4099" s="2">
        <v>39500</v>
      </c>
      <c r="T4099" s="4">
        <v>8.4699999999999998E-2</v>
      </c>
      <c r="U4099">
        <v>2</v>
      </c>
      <c r="V4099">
        <v>1</v>
      </c>
      <c r="W4099">
        <v>1</v>
      </c>
    </row>
    <row r="4100" spans="1:23" ht="16.5" x14ac:dyDescent="0.3">
      <c r="A4100" t="s">
        <v>4164</v>
      </c>
      <c r="B4100" s="1">
        <v>45881</v>
      </c>
      <c r="C4100">
        <v>2025</v>
      </c>
      <c r="D4100" t="s">
        <v>1255</v>
      </c>
      <c r="E4100" t="s">
        <v>1415</v>
      </c>
      <c r="F4100" t="s">
        <v>41</v>
      </c>
      <c r="G4100" t="s">
        <v>45</v>
      </c>
      <c r="H4100" t="s">
        <v>55</v>
      </c>
      <c r="I4100" t="s">
        <v>29</v>
      </c>
      <c r="J4100" t="s">
        <v>52</v>
      </c>
      <c r="K4100" s="2">
        <v>4900</v>
      </c>
      <c r="L4100" s="2">
        <v>92500</v>
      </c>
      <c r="M4100">
        <v>36</v>
      </c>
      <c r="N4100" s="3">
        <v>0.78800000000000003</v>
      </c>
      <c r="O4100" t="s">
        <v>16</v>
      </c>
      <c r="Q4100">
        <v>1</v>
      </c>
      <c r="R4100">
        <v>0</v>
      </c>
      <c r="S4100" s="2">
        <v>74000</v>
      </c>
      <c r="T4100" s="4">
        <v>9.7199999999999995E-2</v>
      </c>
      <c r="U4100">
        <v>4</v>
      </c>
      <c r="V4100">
        <v>1</v>
      </c>
      <c r="W4100">
        <v>1</v>
      </c>
    </row>
    <row r="4101" spans="1:23" ht="16.5" x14ac:dyDescent="0.3">
      <c r="A4101" t="s">
        <v>4165</v>
      </c>
      <c r="B4101" s="1">
        <v>45881</v>
      </c>
      <c r="C4101">
        <v>2025</v>
      </c>
      <c r="D4101" t="s">
        <v>1255</v>
      </c>
      <c r="E4101" t="s">
        <v>1415</v>
      </c>
      <c r="F4101" t="s">
        <v>50</v>
      </c>
      <c r="G4101" t="s">
        <v>33</v>
      </c>
      <c r="H4101" t="s">
        <v>38</v>
      </c>
      <c r="I4101" t="s">
        <v>29</v>
      </c>
      <c r="J4101" t="s">
        <v>35</v>
      </c>
      <c r="K4101" s="2">
        <v>4050</v>
      </c>
      <c r="L4101" s="2">
        <v>176500</v>
      </c>
      <c r="M4101">
        <v>300</v>
      </c>
      <c r="N4101" s="3">
        <v>0.33200000000000002</v>
      </c>
      <c r="O4101" t="s">
        <v>16</v>
      </c>
      <c r="Q4101">
        <v>1</v>
      </c>
      <c r="R4101">
        <v>0</v>
      </c>
      <c r="S4101" s="2">
        <v>176500</v>
      </c>
      <c r="T4101" s="4">
        <v>5.4699999999999999E-2</v>
      </c>
      <c r="U4101">
        <v>5</v>
      </c>
      <c r="V4101">
        <v>1</v>
      </c>
      <c r="W4101">
        <v>1</v>
      </c>
    </row>
    <row r="4102" spans="1:23" ht="16.5" x14ac:dyDescent="0.3">
      <c r="A4102" t="s">
        <v>4166</v>
      </c>
      <c r="B4102" s="1">
        <v>45881</v>
      </c>
      <c r="C4102">
        <v>2025</v>
      </c>
      <c r="D4102" t="s">
        <v>1255</v>
      </c>
      <c r="E4102" t="s">
        <v>1415</v>
      </c>
      <c r="F4102" t="s">
        <v>26</v>
      </c>
      <c r="G4102" t="s">
        <v>33</v>
      </c>
      <c r="H4102" t="s">
        <v>34</v>
      </c>
      <c r="I4102" t="s">
        <v>39</v>
      </c>
      <c r="J4102" t="s">
        <v>30</v>
      </c>
      <c r="K4102" s="2">
        <v>4950</v>
      </c>
      <c r="L4102" s="2">
        <v>20000</v>
      </c>
      <c r="M4102">
        <v>48</v>
      </c>
      <c r="N4102" s="3">
        <v>0.315</v>
      </c>
      <c r="O4102" t="s">
        <v>16</v>
      </c>
      <c r="Q4102">
        <v>1</v>
      </c>
      <c r="R4102">
        <v>0</v>
      </c>
      <c r="S4102" s="2">
        <v>20000</v>
      </c>
      <c r="T4102" s="4">
        <v>9.4200000000000006E-2</v>
      </c>
      <c r="U4102">
        <v>2</v>
      </c>
      <c r="V4102">
        <v>1</v>
      </c>
      <c r="W4102">
        <v>1</v>
      </c>
    </row>
    <row r="4103" spans="1:23" ht="16.5" x14ac:dyDescent="0.3">
      <c r="A4103" t="s">
        <v>4167</v>
      </c>
      <c r="B4103" s="1">
        <v>45881</v>
      </c>
      <c r="C4103">
        <v>2025</v>
      </c>
      <c r="D4103" t="s">
        <v>1255</v>
      </c>
      <c r="E4103" t="s">
        <v>1415</v>
      </c>
      <c r="F4103" t="s">
        <v>37</v>
      </c>
      <c r="G4103" t="s">
        <v>45</v>
      </c>
      <c r="H4103" t="s">
        <v>38</v>
      </c>
      <c r="I4103" t="s">
        <v>39</v>
      </c>
      <c r="J4103" t="s">
        <v>30</v>
      </c>
      <c r="K4103" s="2">
        <v>6800</v>
      </c>
      <c r="L4103" s="2">
        <v>20000</v>
      </c>
      <c r="M4103">
        <v>48</v>
      </c>
      <c r="N4103" s="3">
        <v>0.15</v>
      </c>
      <c r="O4103" t="s">
        <v>16</v>
      </c>
      <c r="Q4103">
        <v>1</v>
      </c>
      <c r="R4103">
        <v>0</v>
      </c>
      <c r="S4103" s="2">
        <v>18000</v>
      </c>
      <c r="T4103" s="4">
        <v>0.13700000000000001</v>
      </c>
      <c r="U4103">
        <v>3</v>
      </c>
      <c r="V4103">
        <v>1</v>
      </c>
      <c r="W4103">
        <v>1</v>
      </c>
    </row>
    <row r="4104" spans="1:23" ht="16.5" x14ac:dyDescent="0.3">
      <c r="A4104" t="s">
        <v>4168</v>
      </c>
      <c r="B4104" s="1">
        <v>45882</v>
      </c>
      <c r="C4104">
        <v>2025</v>
      </c>
      <c r="D4104" t="s">
        <v>1255</v>
      </c>
      <c r="E4104" t="s">
        <v>1415</v>
      </c>
      <c r="F4104" t="s">
        <v>41</v>
      </c>
      <c r="G4104" t="s">
        <v>33</v>
      </c>
      <c r="H4104" t="s">
        <v>55</v>
      </c>
      <c r="I4104" t="s">
        <v>39</v>
      </c>
      <c r="J4104" t="s">
        <v>30</v>
      </c>
      <c r="K4104" s="2">
        <v>4300</v>
      </c>
      <c r="L4104" s="2">
        <v>46500</v>
      </c>
      <c r="M4104">
        <v>24</v>
      </c>
      <c r="N4104" s="3">
        <v>0.71499999999999997</v>
      </c>
      <c r="O4104" t="s">
        <v>17</v>
      </c>
      <c r="P4104" t="s">
        <v>31</v>
      </c>
      <c r="Q4104">
        <v>0</v>
      </c>
      <c r="R4104">
        <v>1</v>
      </c>
      <c r="S4104" s="2">
        <v>0</v>
      </c>
      <c r="T4104" s="4"/>
      <c r="U4104">
        <v>4</v>
      </c>
      <c r="V4104">
        <v>1</v>
      </c>
      <c r="W4104">
        <v>1</v>
      </c>
    </row>
    <row r="4105" spans="1:23" ht="16.5" x14ac:dyDescent="0.3">
      <c r="A4105" t="s">
        <v>4169</v>
      </c>
      <c r="B4105" s="1">
        <v>45882</v>
      </c>
      <c r="C4105">
        <v>2025</v>
      </c>
      <c r="D4105" t="s">
        <v>1255</v>
      </c>
      <c r="E4105" t="s">
        <v>1415</v>
      </c>
      <c r="F4105" t="s">
        <v>41</v>
      </c>
      <c r="G4105" t="s">
        <v>51</v>
      </c>
      <c r="H4105" t="s">
        <v>64</v>
      </c>
      <c r="I4105" t="s">
        <v>39</v>
      </c>
      <c r="J4105" t="s">
        <v>35</v>
      </c>
      <c r="K4105" s="2">
        <v>3400</v>
      </c>
      <c r="L4105" s="2">
        <v>60000</v>
      </c>
      <c r="M4105">
        <v>36</v>
      </c>
      <c r="N4105" s="3">
        <v>0.70699999999999996</v>
      </c>
      <c r="O4105" t="s">
        <v>16</v>
      </c>
      <c r="Q4105">
        <v>1</v>
      </c>
      <c r="R4105">
        <v>0</v>
      </c>
      <c r="S4105" s="2">
        <v>48000</v>
      </c>
      <c r="T4105" s="4">
        <v>0.10829999999999999</v>
      </c>
      <c r="U4105">
        <v>13</v>
      </c>
      <c r="V4105">
        <v>0</v>
      </c>
      <c r="W4105">
        <v>1</v>
      </c>
    </row>
    <row r="4106" spans="1:23" ht="16.5" x14ac:dyDescent="0.3">
      <c r="A4106" t="s">
        <v>4170</v>
      </c>
      <c r="B4106" s="1">
        <v>45882</v>
      </c>
      <c r="C4106">
        <v>2025</v>
      </c>
      <c r="D4106" t="s">
        <v>1255</v>
      </c>
      <c r="E4106" t="s">
        <v>1415</v>
      </c>
      <c r="F4106" t="s">
        <v>26</v>
      </c>
      <c r="G4106" t="s">
        <v>45</v>
      </c>
      <c r="H4106" t="s">
        <v>55</v>
      </c>
      <c r="I4106" t="s">
        <v>29</v>
      </c>
      <c r="J4106" t="s">
        <v>52</v>
      </c>
      <c r="K4106" s="2">
        <v>5700</v>
      </c>
      <c r="L4106" s="2">
        <v>45500</v>
      </c>
      <c r="M4106">
        <v>60</v>
      </c>
      <c r="N4106" s="3">
        <v>0.28899999999999998</v>
      </c>
      <c r="O4106" t="s">
        <v>16</v>
      </c>
      <c r="Q4106">
        <v>1</v>
      </c>
      <c r="R4106">
        <v>0</v>
      </c>
      <c r="S4106" s="2">
        <v>45500</v>
      </c>
      <c r="T4106" s="4">
        <v>7.2800000000000004E-2</v>
      </c>
      <c r="U4106">
        <v>2</v>
      </c>
      <c r="V4106">
        <v>1</v>
      </c>
      <c r="W4106">
        <v>1</v>
      </c>
    </row>
    <row r="4107" spans="1:23" ht="16.5" x14ac:dyDescent="0.3">
      <c r="A4107" t="s">
        <v>4171</v>
      </c>
      <c r="B4107" s="1">
        <v>45882</v>
      </c>
      <c r="C4107">
        <v>2025</v>
      </c>
      <c r="D4107" t="s">
        <v>1255</v>
      </c>
      <c r="E4107" t="s">
        <v>1415</v>
      </c>
      <c r="F4107" t="s">
        <v>41</v>
      </c>
      <c r="G4107" t="s">
        <v>27</v>
      </c>
      <c r="H4107" t="s">
        <v>38</v>
      </c>
      <c r="I4107" t="s">
        <v>42</v>
      </c>
      <c r="J4107" t="s">
        <v>30</v>
      </c>
      <c r="K4107" s="2">
        <v>5200</v>
      </c>
      <c r="L4107" s="2">
        <v>133000</v>
      </c>
      <c r="M4107">
        <v>60</v>
      </c>
      <c r="N4107" s="3">
        <v>0.59799999999999998</v>
      </c>
      <c r="O4107" t="s">
        <v>17</v>
      </c>
      <c r="P4107" t="s">
        <v>60</v>
      </c>
      <c r="Q4107">
        <v>0</v>
      </c>
      <c r="R4107">
        <v>1</v>
      </c>
      <c r="S4107" s="2">
        <v>0</v>
      </c>
      <c r="T4107" s="4"/>
      <c r="U4107">
        <v>15</v>
      </c>
      <c r="V4107">
        <v>0</v>
      </c>
      <c r="W4107">
        <v>1</v>
      </c>
    </row>
    <row r="4108" spans="1:23" ht="16.5" x14ac:dyDescent="0.3">
      <c r="A4108" t="s">
        <v>4172</v>
      </c>
      <c r="B4108" s="1">
        <v>45882</v>
      </c>
      <c r="C4108">
        <v>2025</v>
      </c>
      <c r="D4108" t="s">
        <v>1255</v>
      </c>
      <c r="E4108" t="s">
        <v>1415</v>
      </c>
      <c r="F4108" t="s">
        <v>41</v>
      </c>
      <c r="G4108" t="s">
        <v>33</v>
      </c>
      <c r="H4108" t="s">
        <v>38</v>
      </c>
      <c r="I4108" t="s">
        <v>39</v>
      </c>
      <c r="J4108" t="s">
        <v>46</v>
      </c>
      <c r="K4108" s="2">
        <v>6000</v>
      </c>
      <c r="L4108" s="2">
        <v>95000</v>
      </c>
      <c r="M4108">
        <v>24</v>
      </c>
      <c r="N4108" s="3">
        <v>0.92800000000000005</v>
      </c>
      <c r="O4108" t="s">
        <v>17</v>
      </c>
      <c r="P4108" t="s">
        <v>60</v>
      </c>
      <c r="Q4108">
        <v>0</v>
      </c>
      <c r="R4108">
        <v>1</v>
      </c>
      <c r="S4108" s="2">
        <v>0</v>
      </c>
      <c r="T4108" s="4"/>
      <c r="U4108">
        <v>8</v>
      </c>
      <c r="V4108">
        <v>1</v>
      </c>
      <c r="W4108">
        <v>1</v>
      </c>
    </row>
    <row r="4109" spans="1:23" ht="16.5" x14ac:dyDescent="0.3">
      <c r="A4109" t="s">
        <v>4173</v>
      </c>
      <c r="B4109" s="1">
        <v>45882</v>
      </c>
      <c r="C4109">
        <v>2025</v>
      </c>
      <c r="D4109" t="s">
        <v>1255</v>
      </c>
      <c r="E4109" t="s">
        <v>1415</v>
      </c>
      <c r="F4109" t="s">
        <v>26</v>
      </c>
      <c r="G4109" t="s">
        <v>33</v>
      </c>
      <c r="H4109" t="s">
        <v>64</v>
      </c>
      <c r="I4109" t="s">
        <v>42</v>
      </c>
      <c r="J4109" t="s">
        <v>35</v>
      </c>
      <c r="K4109" s="2">
        <v>4050</v>
      </c>
      <c r="L4109" s="2">
        <v>62000</v>
      </c>
      <c r="M4109">
        <v>60</v>
      </c>
      <c r="N4109" s="3">
        <v>0.48199999999999998</v>
      </c>
      <c r="O4109" t="s">
        <v>16</v>
      </c>
      <c r="Q4109">
        <v>1</v>
      </c>
      <c r="R4109">
        <v>0</v>
      </c>
      <c r="S4109" s="2">
        <v>62000</v>
      </c>
      <c r="T4109" s="4">
        <v>8.8599999999999998E-2</v>
      </c>
      <c r="U4109">
        <v>3</v>
      </c>
      <c r="V4109">
        <v>1</v>
      </c>
      <c r="W4109">
        <v>1</v>
      </c>
    </row>
    <row r="4110" spans="1:23" ht="16.5" x14ac:dyDescent="0.3">
      <c r="A4110" t="s">
        <v>4174</v>
      </c>
      <c r="B4110" s="1">
        <v>45882</v>
      </c>
      <c r="C4110">
        <v>2025</v>
      </c>
      <c r="D4110" t="s">
        <v>1255</v>
      </c>
      <c r="E4110" t="s">
        <v>1415</v>
      </c>
      <c r="F4110" t="s">
        <v>26</v>
      </c>
      <c r="G4110" t="s">
        <v>51</v>
      </c>
      <c r="H4110" t="s">
        <v>55</v>
      </c>
      <c r="I4110" t="s">
        <v>29</v>
      </c>
      <c r="J4110" t="s">
        <v>43</v>
      </c>
      <c r="K4110" s="2">
        <v>5750</v>
      </c>
      <c r="L4110" s="2">
        <v>21500</v>
      </c>
      <c r="M4110">
        <v>36</v>
      </c>
      <c r="N4110" s="3">
        <v>0.34</v>
      </c>
      <c r="O4110" t="s">
        <v>17</v>
      </c>
      <c r="P4110" t="s">
        <v>31</v>
      </c>
      <c r="Q4110">
        <v>0</v>
      </c>
      <c r="R4110">
        <v>1</v>
      </c>
      <c r="S4110" s="2">
        <v>0</v>
      </c>
      <c r="T4110" s="4"/>
      <c r="U4110">
        <v>5</v>
      </c>
      <c r="V4110">
        <v>0</v>
      </c>
      <c r="W4110">
        <v>1</v>
      </c>
    </row>
    <row r="4111" spans="1:23" ht="16.5" x14ac:dyDescent="0.3">
      <c r="A4111" t="s">
        <v>4175</v>
      </c>
      <c r="B4111" s="1">
        <v>45883</v>
      </c>
      <c r="C4111">
        <v>2025</v>
      </c>
      <c r="D4111" t="s">
        <v>1255</v>
      </c>
      <c r="E4111" t="s">
        <v>1415</v>
      </c>
      <c r="F4111" t="s">
        <v>26</v>
      </c>
      <c r="G4111" t="s">
        <v>51</v>
      </c>
      <c r="H4111" t="s">
        <v>34</v>
      </c>
      <c r="I4111" t="s">
        <v>42</v>
      </c>
      <c r="J4111" t="s">
        <v>30</v>
      </c>
      <c r="K4111" s="2">
        <v>8450</v>
      </c>
      <c r="L4111" s="2">
        <v>24500</v>
      </c>
      <c r="M4111">
        <v>60</v>
      </c>
      <c r="N4111" s="3">
        <v>0.19500000000000001</v>
      </c>
      <c r="O4111" t="s">
        <v>17</v>
      </c>
      <c r="P4111" t="s">
        <v>31</v>
      </c>
      <c r="Q4111">
        <v>0</v>
      </c>
      <c r="R4111">
        <v>1</v>
      </c>
      <c r="S4111" s="2">
        <v>0</v>
      </c>
      <c r="T4111" s="4"/>
      <c r="U4111">
        <v>4</v>
      </c>
      <c r="V4111">
        <v>1</v>
      </c>
      <c r="W4111">
        <v>1</v>
      </c>
    </row>
    <row r="4112" spans="1:23" ht="16.5" x14ac:dyDescent="0.3">
      <c r="A4112" t="s">
        <v>4176</v>
      </c>
      <c r="B4112" s="1">
        <v>45883</v>
      </c>
      <c r="C4112">
        <v>2025</v>
      </c>
      <c r="D4112" t="s">
        <v>1255</v>
      </c>
      <c r="E4112" t="s">
        <v>1415</v>
      </c>
      <c r="F4112" t="s">
        <v>37</v>
      </c>
      <c r="G4112" t="s">
        <v>33</v>
      </c>
      <c r="H4112" t="s">
        <v>55</v>
      </c>
      <c r="I4112" t="s">
        <v>39</v>
      </c>
      <c r="J4112" t="s">
        <v>46</v>
      </c>
      <c r="K4112" s="2">
        <v>5800</v>
      </c>
      <c r="L4112" s="2">
        <v>17500</v>
      </c>
      <c r="M4112">
        <v>24</v>
      </c>
      <c r="N4112" s="3">
        <v>0.378</v>
      </c>
      <c r="O4112" t="s">
        <v>16</v>
      </c>
      <c r="Q4112">
        <v>1</v>
      </c>
      <c r="R4112">
        <v>0</v>
      </c>
      <c r="S4112" s="2">
        <v>16000</v>
      </c>
      <c r="T4112" s="4">
        <v>0.1082</v>
      </c>
      <c r="U4112">
        <v>2</v>
      </c>
      <c r="V4112">
        <v>1</v>
      </c>
      <c r="W4112">
        <v>1</v>
      </c>
    </row>
    <row r="4113" spans="1:23" ht="16.5" x14ac:dyDescent="0.3">
      <c r="A4113" t="s">
        <v>4177</v>
      </c>
      <c r="B4113" s="1">
        <v>45883</v>
      </c>
      <c r="C4113">
        <v>2025</v>
      </c>
      <c r="D4113" t="s">
        <v>1255</v>
      </c>
      <c r="E4113" t="s">
        <v>1415</v>
      </c>
      <c r="F4113" t="s">
        <v>41</v>
      </c>
      <c r="G4113" t="s">
        <v>27</v>
      </c>
      <c r="H4113" t="s">
        <v>38</v>
      </c>
      <c r="I4113" t="s">
        <v>42</v>
      </c>
      <c r="J4113" t="s">
        <v>30</v>
      </c>
      <c r="K4113" s="2">
        <v>5000</v>
      </c>
      <c r="L4113" s="2">
        <v>122500</v>
      </c>
      <c r="M4113">
        <v>60</v>
      </c>
      <c r="N4113" s="3">
        <v>0.57699999999999996</v>
      </c>
      <c r="O4113" t="s">
        <v>17</v>
      </c>
      <c r="P4113" t="s">
        <v>31</v>
      </c>
      <c r="Q4113">
        <v>0</v>
      </c>
      <c r="R4113">
        <v>1</v>
      </c>
      <c r="S4113" s="2">
        <v>0</v>
      </c>
      <c r="T4113" s="4"/>
      <c r="U4113">
        <v>10</v>
      </c>
      <c r="V4113">
        <v>1</v>
      </c>
      <c r="W4113">
        <v>1</v>
      </c>
    </row>
    <row r="4114" spans="1:23" ht="16.5" x14ac:dyDescent="0.3">
      <c r="A4114" t="s">
        <v>4178</v>
      </c>
      <c r="B4114" s="1">
        <v>45883</v>
      </c>
      <c r="C4114">
        <v>2025</v>
      </c>
      <c r="D4114" t="s">
        <v>1255</v>
      </c>
      <c r="E4114" t="s">
        <v>1415</v>
      </c>
      <c r="F4114" t="s">
        <v>37</v>
      </c>
      <c r="G4114" t="s">
        <v>27</v>
      </c>
      <c r="H4114" t="s">
        <v>28</v>
      </c>
      <c r="I4114" t="s">
        <v>29</v>
      </c>
      <c r="J4114" t="s">
        <v>35</v>
      </c>
      <c r="K4114" s="2">
        <v>7250</v>
      </c>
      <c r="L4114" s="2">
        <v>31000</v>
      </c>
      <c r="M4114">
        <v>24</v>
      </c>
      <c r="N4114" s="3">
        <v>0.35599999999999998</v>
      </c>
      <c r="O4114" t="s">
        <v>125</v>
      </c>
      <c r="Q4114">
        <v>0</v>
      </c>
      <c r="R4114">
        <v>0</v>
      </c>
      <c r="S4114" s="2">
        <v>0</v>
      </c>
      <c r="T4114" s="4"/>
      <c r="U4114">
        <v>5</v>
      </c>
      <c r="V4114">
        <v>0</v>
      </c>
      <c r="W4114">
        <v>1</v>
      </c>
    </row>
    <row r="4115" spans="1:23" ht="16.5" x14ac:dyDescent="0.3">
      <c r="A4115" t="s">
        <v>4179</v>
      </c>
      <c r="B4115" s="1">
        <v>45883</v>
      </c>
      <c r="C4115">
        <v>2025</v>
      </c>
      <c r="D4115" t="s">
        <v>1255</v>
      </c>
      <c r="E4115" t="s">
        <v>1415</v>
      </c>
      <c r="F4115" t="s">
        <v>50</v>
      </c>
      <c r="G4115" t="s">
        <v>33</v>
      </c>
      <c r="H4115" t="s">
        <v>55</v>
      </c>
      <c r="I4115" t="s">
        <v>39</v>
      </c>
      <c r="J4115" t="s">
        <v>30</v>
      </c>
      <c r="K4115" s="2">
        <v>5950</v>
      </c>
      <c r="L4115" s="2">
        <v>186000</v>
      </c>
      <c r="M4115">
        <v>240</v>
      </c>
      <c r="N4115" s="3">
        <v>0.36099999999999999</v>
      </c>
      <c r="O4115" t="s">
        <v>17</v>
      </c>
      <c r="P4115" t="s">
        <v>65</v>
      </c>
      <c r="Q4115">
        <v>0</v>
      </c>
      <c r="R4115">
        <v>1</v>
      </c>
      <c r="S4115" s="2">
        <v>0</v>
      </c>
      <c r="T4115" s="4"/>
      <c r="U4115">
        <v>5</v>
      </c>
      <c r="V4115">
        <v>1</v>
      </c>
      <c r="W4115">
        <v>1</v>
      </c>
    </row>
    <row r="4116" spans="1:23" ht="16.5" x14ac:dyDescent="0.3">
      <c r="A4116" t="s">
        <v>4180</v>
      </c>
      <c r="B4116" s="1">
        <v>45883</v>
      </c>
      <c r="C4116">
        <v>2025</v>
      </c>
      <c r="D4116" t="s">
        <v>1255</v>
      </c>
      <c r="E4116" t="s">
        <v>1415</v>
      </c>
      <c r="F4116" t="s">
        <v>41</v>
      </c>
      <c r="G4116" t="s">
        <v>45</v>
      </c>
      <c r="H4116" t="s">
        <v>55</v>
      </c>
      <c r="I4116" t="s">
        <v>42</v>
      </c>
      <c r="J4116" t="s">
        <v>43</v>
      </c>
      <c r="K4116" s="2">
        <v>5300</v>
      </c>
      <c r="L4116" s="2">
        <v>82500</v>
      </c>
      <c r="M4116">
        <v>12</v>
      </c>
      <c r="N4116" s="3">
        <v>1.615</v>
      </c>
      <c r="O4116" t="s">
        <v>17</v>
      </c>
      <c r="P4116" t="s">
        <v>31</v>
      </c>
      <c r="Q4116">
        <v>0</v>
      </c>
      <c r="R4116">
        <v>1</v>
      </c>
      <c r="S4116" s="2">
        <v>0</v>
      </c>
      <c r="T4116" s="4"/>
      <c r="U4116">
        <v>6</v>
      </c>
      <c r="V4116">
        <v>1</v>
      </c>
      <c r="W4116">
        <v>1</v>
      </c>
    </row>
    <row r="4117" spans="1:23" ht="16.5" x14ac:dyDescent="0.3">
      <c r="A4117" t="s">
        <v>4181</v>
      </c>
      <c r="B4117" s="1">
        <v>45884</v>
      </c>
      <c r="C4117">
        <v>2025</v>
      </c>
      <c r="D4117" t="s">
        <v>1255</v>
      </c>
      <c r="E4117" t="s">
        <v>1415</v>
      </c>
      <c r="F4117" t="s">
        <v>37</v>
      </c>
      <c r="G4117" t="s">
        <v>33</v>
      </c>
      <c r="H4117" t="s">
        <v>55</v>
      </c>
      <c r="I4117" t="s">
        <v>39</v>
      </c>
      <c r="J4117" t="s">
        <v>35</v>
      </c>
      <c r="K4117" s="2">
        <v>4650</v>
      </c>
      <c r="L4117" s="2">
        <v>14500</v>
      </c>
      <c r="M4117">
        <v>60</v>
      </c>
      <c r="N4117" s="3">
        <v>0.23499999999999999</v>
      </c>
      <c r="O4117" t="s">
        <v>16</v>
      </c>
      <c r="Q4117">
        <v>1</v>
      </c>
      <c r="R4117">
        <v>0</v>
      </c>
      <c r="S4117" s="2">
        <v>11500</v>
      </c>
      <c r="T4117" s="4">
        <v>0.1229</v>
      </c>
      <c r="U4117">
        <v>2</v>
      </c>
      <c r="V4117">
        <v>1</v>
      </c>
      <c r="W4117">
        <v>1</v>
      </c>
    </row>
    <row r="4118" spans="1:23" ht="16.5" x14ac:dyDescent="0.3">
      <c r="A4118" t="s">
        <v>4182</v>
      </c>
      <c r="B4118" s="1">
        <v>45884</v>
      </c>
      <c r="C4118">
        <v>2025</v>
      </c>
      <c r="D4118" t="s">
        <v>1255</v>
      </c>
      <c r="E4118" t="s">
        <v>1415</v>
      </c>
      <c r="F4118" t="s">
        <v>37</v>
      </c>
      <c r="G4118" t="s">
        <v>33</v>
      </c>
      <c r="H4118" t="s">
        <v>34</v>
      </c>
      <c r="I4118" t="s">
        <v>29</v>
      </c>
      <c r="J4118" t="s">
        <v>35</v>
      </c>
      <c r="K4118" s="2">
        <v>2300</v>
      </c>
      <c r="L4118" s="2">
        <v>8500</v>
      </c>
      <c r="M4118">
        <v>60</v>
      </c>
      <c r="N4118" s="3">
        <v>0.17599999999999999</v>
      </c>
      <c r="O4118" t="s">
        <v>17</v>
      </c>
      <c r="P4118" t="s">
        <v>31</v>
      </c>
      <c r="Q4118">
        <v>0</v>
      </c>
      <c r="R4118">
        <v>1</v>
      </c>
      <c r="S4118" s="2">
        <v>0</v>
      </c>
      <c r="T4118" s="4"/>
      <c r="U4118">
        <v>3</v>
      </c>
      <c r="V4118">
        <v>1</v>
      </c>
      <c r="W4118">
        <v>1</v>
      </c>
    </row>
    <row r="4119" spans="1:23" ht="16.5" x14ac:dyDescent="0.3">
      <c r="A4119" t="s">
        <v>4183</v>
      </c>
      <c r="B4119" s="1">
        <v>45884</v>
      </c>
      <c r="C4119">
        <v>2025</v>
      </c>
      <c r="D4119" t="s">
        <v>1255</v>
      </c>
      <c r="E4119" t="s">
        <v>1415</v>
      </c>
      <c r="F4119" t="s">
        <v>26</v>
      </c>
      <c r="G4119" t="s">
        <v>51</v>
      </c>
      <c r="H4119" t="s">
        <v>55</v>
      </c>
      <c r="I4119" t="s">
        <v>29</v>
      </c>
      <c r="J4119" t="s">
        <v>35</v>
      </c>
      <c r="K4119" s="2">
        <v>2250</v>
      </c>
      <c r="L4119" s="2">
        <v>27500</v>
      </c>
      <c r="M4119">
        <v>48</v>
      </c>
      <c r="N4119" s="3">
        <v>0.39300000000000002</v>
      </c>
      <c r="O4119" t="s">
        <v>16</v>
      </c>
      <c r="Q4119">
        <v>1</v>
      </c>
      <c r="R4119">
        <v>0</v>
      </c>
      <c r="S4119" s="2">
        <v>22000</v>
      </c>
      <c r="T4119" s="4">
        <v>8.1600000000000006E-2</v>
      </c>
      <c r="U4119">
        <v>4</v>
      </c>
      <c r="V4119">
        <v>1</v>
      </c>
      <c r="W4119">
        <v>1</v>
      </c>
    </row>
    <row r="4120" spans="1:23" ht="16.5" x14ac:dyDescent="0.3">
      <c r="A4120" t="s">
        <v>4184</v>
      </c>
      <c r="B4120" s="1">
        <v>45884</v>
      </c>
      <c r="C4120">
        <v>2025</v>
      </c>
      <c r="D4120" t="s">
        <v>1255</v>
      </c>
      <c r="E4120" t="s">
        <v>1415</v>
      </c>
      <c r="F4120" t="s">
        <v>37</v>
      </c>
      <c r="G4120" t="s">
        <v>27</v>
      </c>
      <c r="H4120" t="s">
        <v>38</v>
      </c>
      <c r="I4120" t="s">
        <v>42</v>
      </c>
      <c r="J4120" t="s">
        <v>52</v>
      </c>
      <c r="K4120" s="2">
        <v>4150</v>
      </c>
      <c r="L4120" s="2">
        <v>16500</v>
      </c>
      <c r="M4120">
        <v>24</v>
      </c>
      <c r="N4120" s="3">
        <v>0.32600000000000001</v>
      </c>
      <c r="O4120" t="s">
        <v>16</v>
      </c>
      <c r="Q4120">
        <v>1</v>
      </c>
      <c r="R4120">
        <v>0</v>
      </c>
      <c r="S4120" s="2">
        <v>16500</v>
      </c>
      <c r="T4120" s="4">
        <v>0.1147</v>
      </c>
      <c r="U4120">
        <v>3</v>
      </c>
      <c r="V4120">
        <v>1</v>
      </c>
      <c r="W4120">
        <v>1</v>
      </c>
    </row>
    <row r="4121" spans="1:23" ht="16.5" x14ac:dyDescent="0.3">
      <c r="A4121" t="s">
        <v>4185</v>
      </c>
      <c r="B4121" s="1">
        <v>45884</v>
      </c>
      <c r="C4121">
        <v>2025</v>
      </c>
      <c r="D4121" t="s">
        <v>1255</v>
      </c>
      <c r="E4121" t="s">
        <v>1415</v>
      </c>
      <c r="F4121" t="s">
        <v>37</v>
      </c>
      <c r="G4121" t="s">
        <v>45</v>
      </c>
      <c r="H4121" t="s">
        <v>55</v>
      </c>
      <c r="I4121" t="s">
        <v>39</v>
      </c>
      <c r="J4121" t="s">
        <v>35</v>
      </c>
      <c r="K4121" s="2">
        <v>4550</v>
      </c>
      <c r="L4121" s="2">
        <v>13000</v>
      </c>
      <c r="M4121">
        <v>60</v>
      </c>
      <c r="N4121" s="3">
        <v>0.19</v>
      </c>
      <c r="O4121" t="s">
        <v>16</v>
      </c>
      <c r="Q4121">
        <v>1</v>
      </c>
      <c r="R4121">
        <v>0</v>
      </c>
      <c r="S4121" s="2">
        <v>10500</v>
      </c>
      <c r="T4121" s="4">
        <v>0.1229</v>
      </c>
      <c r="U4121">
        <v>3</v>
      </c>
      <c r="V4121">
        <v>1</v>
      </c>
      <c r="W4121">
        <v>1</v>
      </c>
    </row>
    <row r="4122" spans="1:23" ht="16.5" x14ac:dyDescent="0.3">
      <c r="A4122" t="s">
        <v>4186</v>
      </c>
      <c r="B4122" s="1">
        <v>45885</v>
      </c>
      <c r="C4122">
        <v>2025</v>
      </c>
      <c r="D4122" t="s">
        <v>1255</v>
      </c>
      <c r="E4122" t="s">
        <v>1415</v>
      </c>
      <c r="F4122" t="s">
        <v>26</v>
      </c>
      <c r="G4122" t="s">
        <v>27</v>
      </c>
      <c r="H4122" t="s">
        <v>34</v>
      </c>
      <c r="I4122" t="s">
        <v>29</v>
      </c>
      <c r="J4122" t="s">
        <v>30</v>
      </c>
      <c r="K4122" s="2">
        <v>5200</v>
      </c>
      <c r="L4122" s="2">
        <v>18500</v>
      </c>
      <c r="M4122">
        <v>36</v>
      </c>
      <c r="N4122" s="3">
        <v>0.307</v>
      </c>
      <c r="O4122" t="s">
        <v>17</v>
      </c>
      <c r="P4122" t="s">
        <v>31</v>
      </c>
      <c r="Q4122">
        <v>0</v>
      </c>
      <c r="R4122">
        <v>1</v>
      </c>
      <c r="S4122" s="2">
        <v>0</v>
      </c>
      <c r="T4122" s="4"/>
      <c r="U4122">
        <v>3</v>
      </c>
      <c r="V4122">
        <v>1</v>
      </c>
      <c r="W4122">
        <v>1</v>
      </c>
    </row>
    <row r="4123" spans="1:23" ht="16.5" x14ac:dyDescent="0.3">
      <c r="A4123" t="s">
        <v>4187</v>
      </c>
      <c r="B4123" s="1">
        <v>45885</v>
      </c>
      <c r="C4123">
        <v>2025</v>
      </c>
      <c r="D4123" t="s">
        <v>1255</v>
      </c>
      <c r="E4123" t="s">
        <v>1415</v>
      </c>
      <c r="F4123" t="s">
        <v>50</v>
      </c>
      <c r="G4123" t="s">
        <v>51</v>
      </c>
      <c r="H4123" t="s">
        <v>34</v>
      </c>
      <c r="I4123" t="s">
        <v>39</v>
      </c>
      <c r="J4123" t="s">
        <v>52</v>
      </c>
      <c r="K4123" s="2">
        <v>7450</v>
      </c>
      <c r="L4123" s="2">
        <v>182000</v>
      </c>
      <c r="M4123">
        <v>300</v>
      </c>
      <c r="N4123" s="3">
        <v>0.219</v>
      </c>
      <c r="O4123" t="s">
        <v>16</v>
      </c>
      <c r="Q4123">
        <v>1</v>
      </c>
      <c r="R4123">
        <v>0</v>
      </c>
      <c r="S4123" s="2">
        <v>145500</v>
      </c>
      <c r="T4123" s="4">
        <v>5.5399999999999998E-2</v>
      </c>
      <c r="U4123">
        <v>32</v>
      </c>
      <c r="V4123">
        <v>0</v>
      </c>
      <c r="W4123">
        <v>1</v>
      </c>
    </row>
    <row r="4124" spans="1:23" ht="16.5" x14ac:dyDescent="0.3">
      <c r="A4124" t="s">
        <v>4188</v>
      </c>
      <c r="B4124" s="1">
        <v>45885</v>
      </c>
      <c r="C4124">
        <v>2025</v>
      </c>
      <c r="D4124" t="s">
        <v>1255</v>
      </c>
      <c r="E4124" t="s">
        <v>1415</v>
      </c>
      <c r="F4124" t="s">
        <v>37</v>
      </c>
      <c r="G4124" t="s">
        <v>51</v>
      </c>
      <c r="H4124" t="s">
        <v>55</v>
      </c>
      <c r="I4124" t="s">
        <v>29</v>
      </c>
      <c r="J4124" t="s">
        <v>30</v>
      </c>
      <c r="K4124" s="2">
        <v>2800</v>
      </c>
      <c r="L4124" s="2">
        <v>19000</v>
      </c>
      <c r="M4124">
        <v>12</v>
      </c>
      <c r="N4124" s="3">
        <v>0.74199999999999999</v>
      </c>
      <c r="O4124" t="s">
        <v>17</v>
      </c>
      <c r="P4124" t="s">
        <v>53</v>
      </c>
      <c r="Q4124">
        <v>0</v>
      </c>
      <c r="R4124">
        <v>1</v>
      </c>
      <c r="S4124" s="2">
        <v>0</v>
      </c>
      <c r="T4124" s="4"/>
      <c r="U4124">
        <v>6</v>
      </c>
      <c r="V4124">
        <v>0</v>
      </c>
      <c r="W4124">
        <v>1</v>
      </c>
    </row>
    <row r="4125" spans="1:23" ht="16.5" x14ac:dyDescent="0.3">
      <c r="A4125" t="s">
        <v>4189</v>
      </c>
      <c r="B4125" s="1">
        <v>45886</v>
      </c>
      <c r="C4125">
        <v>2025</v>
      </c>
      <c r="D4125" t="s">
        <v>1255</v>
      </c>
      <c r="E4125" t="s">
        <v>1415</v>
      </c>
      <c r="F4125" t="s">
        <v>50</v>
      </c>
      <c r="G4125" t="s">
        <v>33</v>
      </c>
      <c r="H4125" t="s">
        <v>64</v>
      </c>
      <c r="I4125" t="s">
        <v>29</v>
      </c>
      <c r="J4125" t="s">
        <v>35</v>
      </c>
      <c r="K4125" s="2">
        <v>5900</v>
      </c>
      <c r="L4125" s="2">
        <v>324000</v>
      </c>
      <c r="M4125">
        <v>180</v>
      </c>
      <c r="N4125" s="3">
        <v>0.52200000000000002</v>
      </c>
      <c r="O4125" t="s">
        <v>17</v>
      </c>
      <c r="P4125" t="s">
        <v>53</v>
      </c>
      <c r="Q4125">
        <v>0</v>
      </c>
      <c r="R4125">
        <v>1</v>
      </c>
      <c r="S4125" s="2">
        <v>0</v>
      </c>
      <c r="T4125" s="4"/>
      <c r="U4125">
        <v>5</v>
      </c>
      <c r="V4125">
        <v>1</v>
      </c>
      <c r="W4125">
        <v>1</v>
      </c>
    </row>
    <row r="4126" spans="1:23" ht="16.5" x14ac:dyDescent="0.3">
      <c r="A4126" t="s">
        <v>4190</v>
      </c>
      <c r="B4126" s="1">
        <v>45886</v>
      </c>
      <c r="C4126">
        <v>2025</v>
      </c>
      <c r="D4126" t="s">
        <v>1255</v>
      </c>
      <c r="E4126" t="s">
        <v>1415</v>
      </c>
      <c r="F4126" t="s">
        <v>37</v>
      </c>
      <c r="G4126" t="s">
        <v>51</v>
      </c>
      <c r="H4126" t="s">
        <v>38</v>
      </c>
      <c r="I4126" t="s">
        <v>29</v>
      </c>
      <c r="J4126" t="s">
        <v>30</v>
      </c>
      <c r="K4126" s="2">
        <v>7750</v>
      </c>
      <c r="L4126" s="2">
        <v>7000</v>
      </c>
      <c r="M4126">
        <v>48</v>
      </c>
      <c r="N4126" s="3">
        <v>9.7000000000000003E-2</v>
      </c>
      <c r="O4126" t="s">
        <v>17</v>
      </c>
      <c r="P4126" t="s">
        <v>31</v>
      </c>
      <c r="Q4126">
        <v>0</v>
      </c>
      <c r="R4126">
        <v>1</v>
      </c>
      <c r="S4126" s="2">
        <v>0</v>
      </c>
      <c r="T4126" s="4"/>
      <c r="U4126">
        <v>6</v>
      </c>
      <c r="V4126">
        <v>0</v>
      </c>
      <c r="W4126">
        <v>1</v>
      </c>
    </row>
    <row r="4127" spans="1:23" ht="16.5" x14ac:dyDescent="0.3">
      <c r="A4127" t="s">
        <v>4191</v>
      </c>
      <c r="B4127" s="1">
        <v>45887</v>
      </c>
      <c r="C4127">
        <v>2025</v>
      </c>
      <c r="D4127" t="s">
        <v>1255</v>
      </c>
      <c r="E4127" t="s">
        <v>1415</v>
      </c>
      <c r="F4127" t="s">
        <v>41</v>
      </c>
      <c r="G4127" t="s">
        <v>51</v>
      </c>
      <c r="H4127" t="s">
        <v>38</v>
      </c>
      <c r="I4127" t="s">
        <v>29</v>
      </c>
      <c r="J4127" t="s">
        <v>52</v>
      </c>
      <c r="K4127" s="2">
        <v>11550</v>
      </c>
      <c r="L4127" s="2">
        <v>172000</v>
      </c>
      <c r="M4127">
        <v>24</v>
      </c>
      <c r="N4127" s="3">
        <v>0.745</v>
      </c>
      <c r="O4127" t="s">
        <v>16</v>
      </c>
      <c r="Q4127">
        <v>1</v>
      </c>
      <c r="R4127">
        <v>0</v>
      </c>
      <c r="S4127" s="2">
        <v>172000</v>
      </c>
      <c r="T4127" s="4">
        <v>9.4100000000000003E-2</v>
      </c>
      <c r="U4127">
        <v>9</v>
      </c>
      <c r="V4127">
        <v>1</v>
      </c>
      <c r="W4127">
        <v>1</v>
      </c>
    </row>
    <row r="4128" spans="1:23" ht="16.5" x14ac:dyDescent="0.3">
      <c r="A4128" t="s">
        <v>4192</v>
      </c>
      <c r="B4128" s="1">
        <v>45887</v>
      </c>
      <c r="C4128">
        <v>2025</v>
      </c>
      <c r="D4128" t="s">
        <v>1255</v>
      </c>
      <c r="E4128" t="s">
        <v>1415</v>
      </c>
      <c r="F4128" t="s">
        <v>50</v>
      </c>
      <c r="G4128" t="s">
        <v>33</v>
      </c>
      <c r="H4128" t="s">
        <v>38</v>
      </c>
      <c r="I4128" t="s">
        <v>29</v>
      </c>
      <c r="J4128" t="s">
        <v>30</v>
      </c>
      <c r="K4128" s="2">
        <v>9150</v>
      </c>
      <c r="L4128" s="2">
        <v>123500</v>
      </c>
      <c r="M4128">
        <v>240</v>
      </c>
      <c r="N4128" s="3">
        <v>0.309</v>
      </c>
      <c r="O4128" t="s">
        <v>16</v>
      </c>
      <c r="Q4128">
        <v>1</v>
      </c>
      <c r="R4128">
        <v>0</v>
      </c>
      <c r="S4128" s="2">
        <v>111000</v>
      </c>
      <c r="T4128" s="4">
        <v>7.7399999999999997E-2</v>
      </c>
      <c r="U4128">
        <v>6</v>
      </c>
      <c r="V4128">
        <v>1</v>
      </c>
      <c r="W4128">
        <v>1</v>
      </c>
    </row>
    <row r="4129" spans="1:23" ht="16.5" x14ac:dyDescent="0.3">
      <c r="A4129" t="s">
        <v>4193</v>
      </c>
      <c r="B4129" s="1">
        <v>45887</v>
      </c>
      <c r="C4129">
        <v>2025</v>
      </c>
      <c r="D4129" t="s">
        <v>1255</v>
      </c>
      <c r="E4129" t="s">
        <v>1415</v>
      </c>
      <c r="F4129" t="s">
        <v>37</v>
      </c>
      <c r="G4129" t="s">
        <v>45</v>
      </c>
      <c r="H4129" t="s">
        <v>55</v>
      </c>
      <c r="I4129" t="s">
        <v>39</v>
      </c>
      <c r="J4129" t="s">
        <v>30</v>
      </c>
      <c r="K4129" s="2">
        <v>6350</v>
      </c>
      <c r="L4129" s="2">
        <v>5000</v>
      </c>
      <c r="M4129">
        <v>36</v>
      </c>
      <c r="N4129" s="3">
        <v>0.24199999999999999</v>
      </c>
      <c r="O4129" t="s">
        <v>16</v>
      </c>
      <c r="Q4129">
        <v>1</v>
      </c>
      <c r="R4129">
        <v>0</v>
      </c>
      <c r="S4129" s="2">
        <v>5000</v>
      </c>
      <c r="T4129" s="4">
        <v>0.14630000000000001</v>
      </c>
      <c r="U4129">
        <v>1</v>
      </c>
      <c r="V4129">
        <v>1</v>
      </c>
      <c r="W4129">
        <v>1</v>
      </c>
    </row>
    <row r="4130" spans="1:23" ht="16.5" x14ac:dyDescent="0.3">
      <c r="A4130" t="s">
        <v>4194</v>
      </c>
      <c r="B4130" s="1">
        <v>45887</v>
      </c>
      <c r="C4130">
        <v>2025</v>
      </c>
      <c r="D4130" t="s">
        <v>1255</v>
      </c>
      <c r="E4130" t="s">
        <v>1415</v>
      </c>
      <c r="F4130" t="s">
        <v>37</v>
      </c>
      <c r="G4130" t="s">
        <v>33</v>
      </c>
      <c r="H4130" t="s">
        <v>34</v>
      </c>
      <c r="I4130" t="s">
        <v>29</v>
      </c>
      <c r="J4130" t="s">
        <v>43</v>
      </c>
      <c r="K4130" s="2">
        <v>6050</v>
      </c>
      <c r="L4130" s="2">
        <v>12000</v>
      </c>
      <c r="M4130">
        <v>60</v>
      </c>
      <c r="N4130" s="3">
        <v>0.18099999999999999</v>
      </c>
      <c r="O4130" t="s">
        <v>17</v>
      </c>
      <c r="P4130" t="s">
        <v>31</v>
      </c>
      <c r="Q4130">
        <v>0</v>
      </c>
      <c r="R4130">
        <v>1</v>
      </c>
      <c r="S4130" s="2">
        <v>0</v>
      </c>
      <c r="T4130" s="4"/>
      <c r="U4130">
        <v>1</v>
      </c>
      <c r="V4130">
        <v>1</v>
      </c>
      <c r="W4130">
        <v>1</v>
      </c>
    </row>
    <row r="4131" spans="1:23" ht="16.5" x14ac:dyDescent="0.3">
      <c r="A4131" t="s">
        <v>4195</v>
      </c>
      <c r="B4131" s="1">
        <v>45887</v>
      </c>
      <c r="C4131">
        <v>2025</v>
      </c>
      <c r="D4131" t="s">
        <v>1255</v>
      </c>
      <c r="E4131" t="s">
        <v>1415</v>
      </c>
      <c r="F4131" t="s">
        <v>37</v>
      </c>
      <c r="G4131" t="s">
        <v>51</v>
      </c>
      <c r="H4131" t="s">
        <v>34</v>
      </c>
      <c r="I4131" t="s">
        <v>39</v>
      </c>
      <c r="J4131" t="s">
        <v>35</v>
      </c>
      <c r="K4131" s="2">
        <v>7350</v>
      </c>
      <c r="L4131" s="2">
        <v>4500</v>
      </c>
      <c r="M4131">
        <v>60</v>
      </c>
      <c r="N4131" s="3">
        <v>0.19600000000000001</v>
      </c>
      <c r="O4131" t="s">
        <v>16</v>
      </c>
      <c r="Q4131">
        <v>1</v>
      </c>
      <c r="R4131">
        <v>0</v>
      </c>
      <c r="S4131" s="2">
        <v>4500</v>
      </c>
      <c r="T4131" s="4">
        <v>0.1241</v>
      </c>
      <c r="U4131">
        <v>5</v>
      </c>
      <c r="V4131">
        <v>0</v>
      </c>
      <c r="W4131">
        <v>1</v>
      </c>
    </row>
    <row r="4132" spans="1:23" ht="16.5" x14ac:dyDescent="0.3">
      <c r="A4132" t="s">
        <v>4196</v>
      </c>
      <c r="B4132" s="1">
        <v>45887</v>
      </c>
      <c r="C4132">
        <v>2025</v>
      </c>
      <c r="D4132" t="s">
        <v>1255</v>
      </c>
      <c r="E4132" t="s">
        <v>1415</v>
      </c>
      <c r="F4132" t="s">
        <v>37</v>
      </c>
      <c r="G4132" t="s">
        <v>51</v>
      </c>
      <c r="H4132" t="s">
        <v>55</v>
      </c>
      <c r="I4132" t="s">
        <v>39</v>
      </c>
      <c r="J4132" t="s">
        <v>30</v>
      </c>
      <c r="K4132" s="2">
        <v>3650</v>
      </c>
      <c r="L4132" s="2">
        <v>11500</v>
      </c>
      <c r="M4132">
        <v>60</v>
      </c>
      <c r="N4132" s="3">
        <v>0.28699999999999998</v>
      </c>
      <c r="O4132" t="s">
        <v>17</v>
      </c>
      <c r="P4132" t="s">
        <v>31</v>
      </c>
      <c r="Q4132">
        <v>0</v>
      </c>
      <c r="R4132">
        <v>1</v>
      </c>
      <c r="S4132" s="2">
        <v>0</v>
      </c>
      <c r="T4132" s="4"/>
      <c r="U4132">
        <v>4</v>
      </c>
      <c r="V4132">
        <v>0</v>
      </c>
      <c r="W4132">
        <v>1</v>
      </c>
    </row>
    <row r="4133" spans="1:23" ht="16.5" x14ac:dyDescent="0.3">
      <c r="A4133" t="s">
        <v>4197</v>
      </c>
      <c r="B4133" s="1">
        <v>45887</v>
      </c>
      <c r="C4133">
        <v>2025</v>
      </c>
      <c r="D4133" t="s">
        <v>1255</v>
      </c>
      <c r="E4133" t="s">
        <v>1415</v>
      </c>
      <c r="F4133" t="s">
        <v>37</v>
      </c>
      <c r="G4133" t="s">
        <v>51</v>
      </c>
      <c r="H4133" t="s">
        <v>55</v>
      </c>
      <c r="I4133" t="s">
        <v>39</v>
      </c>
      <c r="J4133" t="s">
        <v>35</v>
      </c>
      <c r="K4133" s="2">
        <v>4650</v>
      </c>
      <c r="L4133" s="2">
        <v>14500</v>
      </c>
      <c r="M4133">
        <v>36</v>
      </c>
      <c r="N4133" s="3">
        <v>0.3</v>
      </c>
      <c r="O4133" t="s">
        <v>17</v>
      </c>
      <c r="P4133" t="s">
        <v>65</v>
      </c>
      <c r="Q4133">
        <v>0</v>
      </c>
      <c r="R4133">
        <v>1</v>
      </c>
      <c r="S4133" s="2">
        <v>0</v>
      </c>
      <c r="T4133" s="4"/>
      <c r="U4133">
        <v>4</v>
      </c>
      <c r="V4133">
        <v>0</v>
      </c>
      <c r="W4133">
        <v>1</v>
      </c>
    </row>
    <row r="4134" spans="1:23" ht="16.5" x14ac:dyDescent="0.3">
      <c r="A4134" t="s">
        <v>4198</v>
      </c>
      <c r="B4134" s="1">
        <v>45887</v>
      </c>
      <c r="C4134">
        <v>2025</v>
      </c>
      <c r="D4134" t="s">
        <v>1255</v>
      </c>
      <c r="E4134" t="s">
        <v>1415</v>
      </c>
      <c r="F4134" t="s">
        <v>37</v>
      </c>
      <c r="G4134" t="s">
        <v>33</v>
      </c>
      <c r="H4134" t="s">
        <v>64</v>
      </c>
      <c r="I4134" t="s">
        <v>39</v>
      </c>
      <c r="J4134" t="s">
        <v>30</v>
      </c>
      <c r="K4134" s="2">
        <v>2900</v>
      </c>
      <c r="L4134" s="2">
        <v>10000</v>
      </c>
      <c r="M4134">
        <v>36</v>
      </c>
      <c r="N4134" s="3">
        <v>0.34599999999999997</v>
      </c>
      <c r="O4134" t="s">
        <v>125</v>
      </c>
      <c r="Q4134">
        <v>0</v>
      </c>
      <c r="R4134">
        <v>0</v>
      </c>
      <c r="S4134" s="2">
        <v>0</v>
      </c>
      <c r="T4134" s="4"/>
      <c r="U4134">
        <v>2</v>
      </c>
      <c r="V4134">
        <v>1</v>
      </c>
      <c r="W4134">
        <v>1</v>
      </c>
    </row>
    <row r="4135" spans="1:23" ht="16.5" x14ac:dyDescent="0.3">
      <c r="A4135" t="s">
        <v>4199</v>
      </c>
      <c r="B4135" s="1">
        <v>45887</v>
      </c>
      <c r="C4135">
        <v>2025</v>
      </c>
      <c r="D4135" t="s">
        <v>1255</v>
      </c>
      <c r="E4135" t="s">
        <v>1415</v>
      </c>
      <c r="F4135" t="s">
        <v>37</v>
      </c>
      <c r="G4135" t="s">
        <v>33</v>
      </c>
      <c r="H4135" t="s">
        <v>38</v>
      </c>
      <c r="I4135" t="s">
        <v>42</v>
      </c>
      <c r="J4135" t="s">
        <v>35</v>
      </c>
      <c r="K4135" s="2">
        <v>3850</v>
      </c>
      <c r="L4135" s="2">
        <v>9500</v>
      </c>
      <c r="M4135">
        <v>24</v>
      </c>
      <c r="N4135" s="3">
        <v>0.28899999999999998</v>
      </c>
      <c r="O4135" t="s">
        <v>16</v>
      </c>
      <c r="Q4135">
        <v>1</v>
      </c>
      <c r="R4135">
        <v>0</v>
      </c>
      <c r="S4135" s="2">
        <v>9500</v>
      </c>
      <c r="T4135" s="4">
        <v>0.1206</v>
      </c>
      <c r="U4135">
        <v>2</v>
      </c>
      <c r="V4135">
        <v>1</v>
      </c>
      <c r="W4135">
        <v>1</v>
      </c>
    </row>
    <row r="4136" spans="1:23" ht="16.5" x14ac:dyDescent="0.3">
      <c r="A4136" t="s">
        <v>4200</v>
      </c>
      <c r="B4136" s="1">
        <v>45887</v>
      </c>
      <c r="C4136">
        <v>2025</v>
      </c>
      <c r="D4136" t="s">
        <v>1255</v>
      </c>
      <c r="E4136" t="s">
        <v>1415</v>
      </c>
      <c r="F4136" t="s">
        <v>41</v>
      </c>
      <c r="G4136" t="s">
        <v>33</v>
      </c>
      <c r="H4136" t="s">
        <v>55</v>
      </c>
      <c r="I4136" t="s">
        <v>42</v>
      </c>
      <c r="J4136" t="s">
        <v>52</v>
      </c>
      <c r="K4136" s="2">
        <v>8550</v>
      </c>
      <c r="L4136" s="2">
        <v>153000</v>
      </c>
      <c r="M4136">
        <v>36</v>
      </c>
      <c r="N4136" s="3">
        <v>0.63200000000000001</v>
      </c>
      <c r="O4136" t="s">
        <v>16</v>
      </c>
      <c r="Q4136">
        <v>1</v>
      </c>
      <c r="R4136">
        <v>0</v>
      </c>
      <c r="S4136" s="2">
        <v>137500</v>
      </c>
      <c r="T4136" s="4">
        <v>9.8599999999999993E-2</v>
      </c>
      <c r="U4136">
        <v>2</v>
      </c>
      <c r="V4136">
        <v>1</v>
      </c>
      <c r="W4136">
        <v>1</v>
      </c>
    </row>
    <row r="4137" spans="1:23" ht="16.5" x14ac:dyDescent="0.3">
      <c r="A4137" t="s">
        <v>4201</v>
      </c>
      <c r="B4137" s="1">
        <v>45887</v>
      </c>
      <c r="C4137">
        <v>2025</v>
      </c>
      <c r="D4137" t="s">
        <v>1255</v>
      </c>
      <c r="E4137" t="s">
        <v>1415</v>
      </c>
      <c r="F4137" t="s">
        <v>37</v>
      </c>
      <c r="G4137" t="s">
        <v>33</v>
      </c>
      <c r="H4137" t="s">
        <v>38</v>
      </c>
      <c r="I4137" t="s">
        <v>29</v>
      </c>
      <c r="J4137" t="s">
        <v>43</v>
      </c>
      <c r="K4137" s="2">
        <v>4850</v>
      </c>
      <c r="L4137" s="2">
        <v>16500</v>
      </c>
      <c r="M4137">
        <v>24</v>
      </c>
      <c r="N4137" s="3">
        <v>0.377</v>
      </c>
      <c r="O4137" t="s">
        <v>17</v>
      </c>
      <c r="P4137" t="s">
        <v>60</v>
      </c>
      <c r="Q4137">
        <v>0</v>
      </c>
      <c r="R4137">
        <v>1</v>
      </c>
      <c r="S4137" s="2">
        <v>0</v>
      </c>
      <c r="T4137" s="4"/>
      <c r="U4137">
        <v>5</v>
      </c>
      <c r="V4137">
        <v>0</v>
      </c>
      <c r="W4137">
        <v>1</v>
      </c>
    </row>
    <row r="4138" spans="1:23" ht="16.5" x14ac:dyDescent="0.3">
      <c r="A4138" t="s">
        <v>4202</v>
      </c>
      <c r="B4138" s="1">
        <v>45887</v>
      </c>
      <c r="C4138">
        <v>2025</v>
      </c>
      <c r="D4138" t="s">
        <v>1255</v>
      </c>
      <c r="E4138" t="s">
        <v>1415</v>
      </c>
      <c r="F4138" t="s">
        <v>26</v>
      </c>
      <c r="G4138" t="s">
        <v>33</v>
      </c>
      <c r="H4138" t="s">
        <v>64</v>
      </c>
      <c r="I4138" t="s">
        <v>39</v>
      </c>
      <c r="J4138" t="s">
        <v>35</v>
      </c>
      <c r="K4138" s="2">
        <v>9250</v>
      </c>
      <c r="L4138" s="2">
        <v>28000</v>
      </c>
      <c r="M4138">
        <v>36</v>
      </c>
      <c r="N4138" s="3">
        <v>0.22900000000000001</v>
      </c>
      <c r="O4138" t="s">
        <v>16</v>
      </c>
      <c r="Q4138">
        <v>1</v>
      </c>
      <c r="R4138">
        <v>0</v>
      </c>
      <c r="S4138" s="2">
        <v>28000</v>
      </c>
      <c r="T4138" s="4">
        <v>8.5599999999999996E-2</v>
      </c>
      <c r="U4138">
        <v>2</v>
      </c>
      <c r="V4138">
        <v>1</v>
      </c>
      <c r="W4138">
        <v>1</v>
      </c>
    </row>
    <row r="4139" spans="1:23" ht="16.5" x14ac:dyDescent="0.3">
      <c r="A4139" t="s">
        <v>4203</v>
      </c>
      <c r="B4139" s="1">
        <v>45888</v>
      </c>
      <c r="C4139">
        <v>2025</v>
      </c>
      <c r="D4139" t="s">
        <v>1255</v>
      </c>
      <c r="E4139" t="s">
        <v>1415</v>
      </c>
      <c r="F4139" t="s">
        <v>26</v>
      </c>
      <c r="G4139" t="s">
        <v>45</v>
      </c>
      <c r="H4139" t="s">
        <v>34</v>
      </c>
      <c r="I4139" t="s">
        <v>39</v>
      </c>
      <c r="J4139" t="s">
        <v>30</v>
      </c>
      <c r="K4139" s="2">
        <v>10750</v>
      </c>
      <c r="L4139" s="2">
        <v>28000</v>
      </c>
      <c r="M4139">
        <v>60</v>
      </c>
      <c r="N4139" s="3">
        <v>0.23300000000000001</v>
      </c>
      <c r="O4139" t="s">
        <v>17</v>
      </c>
      <c r="P4139" t="s">
        <v>31</v>
      </c>
      <c r="Q4139">
        <v>0</v>
      </c>
      <c r="R4139">
        <v>1</v>
      </c>
      <c r="S4139" s="2">
        <v>0</v>
      </c>
      <c r="T4139" s="4"/>
      <c r="U4139">
        <v>1</v>
      </c>
      <c r="V4139">
        <v>1</v>
      </c>
      <c r="W4139">
        <v>1</v>
      </c>
    </row>
    <row r="4140" spans="1:23" ht="16.5" x14ac:dyDescent="0.3">
      <c r="A4140" t="s">
        <v>4204</v>
      </c>
      <c r="B4140" s="1">
        <v>45888</v>
      </c>
      <c r="C4140">
        <v>2025</v>
      </c>
      <c r="D4140" t="s">
        <v>1255</v>
      </c>
      <c r="E4140" t="s">
        <v>1415</v>
      </c>
      <c r="F4140" t="s">
        <v>37</v>
      </c>
      <c r="G4140" t="s">
        <v>33</v>
      </c>
      <c r="H4140" t="s">
        <v>55</v>
      </c>
      <c r="I4140" t="s">
        <v>42</v>
      </c>
      <c r="J4140" t="s">
        <v>35</v>
      </c>
      <c r="K4140" s="2">
        <v>5500</v>
      </c>
      <c r="L4140" s="2">
        <v>4500</v>
      </c>
      <c r="M4140">
        <v>36</v>
      </c>
      <c r="N4140" s="3">
        <v>0.184</v>
      </c>
      <c r="O4140" t="s">
        <v>16</v>
      </c>
      <c r="Q4140">
        <v>1</v>
      </c>
      <c r="R4140">
        <v>0</v>
      </c>
      <c r="S4140" s="2">
        <v>4500</v>
      </c>
      <c r="T4140" s="4">
        <v>0.1246</v>
      </c>
      <c r="U4140">
        <v>2</v>
      </c>
      <c r="V4140">
        <v>1</v>
      </c>
      <c r="W4140">
        <v>1</v>
      </c>
    </row>
    <row r="4141" spans="1:23" ht="16.5" x14ac:dyDescent="0.3">
      <c r="A4141" t="s">
        <v>4205</v>
      </c>
      <c r="B4141" s="1">
        <v>45888</v>
      </c>
      <c r="C4141">
        <v>2025</v>
      </c>
      <c r="D4141" t="s">
        <v>1255</v>
      </c>
      <c r="E4141" t="s">
        <v>1415</v>
      </c>
      <c r="F4141" t="s">
        <v>37</v>
      </c>
      <c r="G4141" t="s">
        <v>27</v>
      </c>
      <c r="H4141" t="s">
        <v>28</v>
      </c>
      <c r="I4141" t="s">
        <v>42</v>
      </c>
      <c r="J4141" t="s">
        <v>35</v>
      </c>
      <c r="K4141" s="2">
        <v>5000</v>
      </c>
      <c r="L4141" s="2">
        <v>16500</v>
      </c>
      <c r="M4141">
        <v>60</v>
      </c>
      <c r="N4141" s="3">
        <v>0.123</v>
      </c>
      <c r="O4141" t="s">
        <v>17</v>
      </c>
      <c r="P4141" t="s">
        <v>48</v>
      </c>
      <c r="Q4141">
        <v>0</v>
      </c>
      <c r="R4141">
        <v>1</v>
      </c>
      <c r="S4141" s="2">
        <v>0</v>
      </c>
      <c r="T4141" s="4"/>
      <c r="U4141">
        <v>3</v>
      </c>
      <c r="V4141">
        <v>1</v>
      </c>
      <c r="W4141">
        <v>1</v>
      </c>
    </row>
    <row r="4142" spans="1:23" ht="16.5" x14ac:dyDescent="0.3">
      <c r="A4142" t="s">
        <v>4206</v>
      </c>
      <c r="B4142" s="1">
        <v>45888</v>
      </c>
      <c r="C4142">
        <v>2025</v>
      </c>
      <c r="D4142" t="s">
        <v>1255</v>
      </c>
      <c r="E4142" t="s">
        <v>1415</v>
      </c>
      <c r="F4142" t="s">
        <v>50</v>
      </c>
      <c r="G4142" t="s">
        <v>51</v>
      </c>
      <c r="H4142" t="s">
        <v>64</v>
      </c>
      <c r="I4142" t="s">
        <v>39</v>
      </c>
      <c r="J4142" t="s">
        <v>30</v>
      </c>
      <c r="K4142" s="2">
        <v>6950</v>
      </c>
      <c r="L4142" s="2">
        <v>572000</v>
      </c>
      <c r="M4142">
        <v>240</v>
      </c>
      <c r="N4142" s="3">
        <v>0.71899999999999997</v>
      </c>
      <c r="O4142" t="s">
        <v>17</v>
      </c>
      <c r="P4142" t="s">
        <v>53</v>
      </c>
      <c r="Q4142">
        <v>0</v>
      </c>
      <c r="R4142">
        <v>1</v>
      </c>
      <c r="S4142" s="2">
        <v>0</v>
      </c>
      <c r="T4142" s="4"/>
      <c r="U4142">
        <v>15</v>
      </c>
      <c r="V4142">
        <v>1</v>
      </c>
      <c r="W4142">
        <v>1</v>
      </c>
    </row>
    <row r="4143" spans="1:23" ht="16.5" x14ac:dyDescent="0.3">
      <c r="A4143" t="s">
        <v>4207</v>
      </c>
      <c r="B4143" s="1">
        <v>45888</v>
      </c>
      <c r="C4143">
        <v>2025</v>
      </c>
      <c r="D4143" t="s">
        <v>1255</v>
      </c>
      <c r="E4143" t="s">
        <v>1415</v>
      </c>
      <c r="F4143" t="s">
        <v>50</v>
      </c>
      <c r="G4143" t="s">
        <v>33</v>
      </c>
      <c r="H4143" t="s">
        <v>34</v>
      </c>
      <c r="I4143" t="s">
        <v>39</v>
      </c>
      <c r="J4143" t="s">
        <v>30</v>
      </c>
      <c r="K4143" s="2">
        <v>2250</v>
      </c>
      <c r="L4143" s="2">
        <v>179500</v>
      </c>
      <c r="M4143">
        <v>300</v>
      </c>
      <c r="N4143" s="3">
        <v>0.625</v>
      </c>
      <c r="O4143" t="s">
        <v>16</v>
      </c>
      <c r="Q4143">
        <v>1</v>
      </c>
      <c r="R4143">
        <v>0</v>
      </c>
      <c r="S4143" s="2">
        <v>179500</v>
      </c>
      <c r="T4143" s="4">
        <v>7.3800000000000004E-2</v>
      </c>
      <c r="U4143">
        <v>6</v>
      </c>
      <c r="V4143">
        <v>1</v>
      </c>
      <c r="W4143">
        <v>1</v>
      </c>
    </row>
    <row r="4144" spans="1:23" ht="16.5" x14ac:dyDescent="0.3">
      <c r="A4144" t="s">
        <v>4208</v>
      </c>
      <c r="B4144" s="1">
        <v>45888</v>
      </c>
      <c r="C4144">
        <v>2025</v>
      </c>
      <c r="D4144" t="s">
        <v>1255</v>
      </c>
      <c r="E4144" t="s">
        <v>1415</v>
      </c>
      <c r="F4144" t="s">
        <v>50</v>
      </c>
      <c r="G4144" t="s">
        <v>33</v>
      </c>
      <c r="H4144" t="s">
        <v>38</v>
      </c>
      <c r="I4144" t="s">
        <v>39</v>
      </c>
      <c r="J4144" t="s">
        <v>52</v>
      </c>
      <c r="K4144" s="2">
        <v>5500</v>
      </c>
      <c r="L4144" s="2">
        <v>254000</v>
      </c>
      <c r="M4144">
        <v>300</v>
      </c>
      <c r="N4144" s="3">
        <v>0.48599999999999999</v>
      </c>
      <c r="O4144" t="s">
        <v>16</v>
      </c>
      <c r="Q4144">
        <v>1</v>
      </c>
      <c r="R4144">
        <v>0</v>
      </c>
      <c r="S4144" s="2">
        <v>254000</v>
      </c>
      <c r="T4144" s="4">
        <v>5.2600000000000001E-2</v>
      </c>
      <c r="U4144">
        <v>5</v>
      </c>
      <c r="V4144">
        <v>1</v>
      </c>
      <c r="W4144">
        <v>1</v>
      </c>
    </row>
    <row r="4145" spans="1:23" ht="16.5" x14ac:dyDescent="0.3">
      <c r="A4145" t="s">
        <v>4209</v>
      </c>
      <c r="B4145" s="1">
        <v>45889</v>
      </c>
      <c r="C4145">
        <v>2025</v>
      </c>
      <c r="D4145" t="s">
        <v>1255</v>
      </c>
      <c r="E4145" t="s">
        <v>1415</v>
      </c>
      <c r="F4145" t="s">
        <v>41</v>
      </c>
      <c r="G4145" t="s">
        <v>45</v>
      </c>
      <c r="H4145" t="s">
        <v>38</v>
      </c>
      <c r="I4145" t="s">
        <v>29</v>
      </c>
      <c r="J4145" t="s">
        <v>46</v>
      </c>
      <c r="K4145" s="2">
        <v>8800</v>
      </c>
      <c r="L4145" s="2">
        <v>72000</v>
      </c>
      <c r="M4145">
        <v>12</v>
      </c>
      <c r="N4145" s="3">
        <v>0.79200000000000004</v>
      </c>
      <c r="O4145" t="s">
        <v>16</v>
      </c>
      <c r="Q4145">
        <v>1</v>
      </c>
      <c r="R4145">
        <v>0</v>
      </c>
      <c r="S4145" s="2">
        <v>72000</v>
      </c>
      <c r="T4145" s="4">
        <v>9.4299999999999995E-2</v>
      </c>
      <c r="U4145">
        <v>4</v>
      </c>
      <c r="V4145">
        <v>1</v>
      </c>
      <c r="W4145">
        <v>1</v>
      </c>
    </row>
    <row r="4146" spans="1:23" ht="16.5" x14ac:dyDescent="0.3">
      <c r="A4146" t="s">
        <v>4210</v>
      </c>
      <c r="B4146" s="1">
        <v>45889</v>
      </c>
      <c r="C4146">
        <v>2025</v>
      </c>
      <c r="D4146" t="s">
        <v>1255</v>
      </c>
      <c r="E4146" t="s">
        <v>1415</v>
      </c>
      <c r="F4146" t="s">
        <v>37</v>
      </c>
      <c r="G4146" t="s">
        <v>51</v>
      </c>
      <c r="H4146" t="s">
        <v>38</v>
      </c>
      <c r="I4146" t="s">
        <v>42</v>
      </c>
      <c r="J4146" t="s">
        <v>30</v>
      </c>
      <c r="K4146" s="2">
        <v>7800</v>
      </c>
      <c r="L4146" s="2">
        <v>9500</v>
      </c>
      <c r="M4146">
        <v>48</v>
      </c>
      <c r="N4146" s="3">
        <v>0.154</v>
      </c>
      <c r="O4146" t="s">
        <v>16</v>
      </c>
      <c r="Q4146">
        <v>1</v>
      </c>
      <c r="R4146">
        <v>0</v>
      </c>
      <c r="S4146" s="2">
        <v>9500</v>
      </c>
      <c r="T4146" s="4">
        <v>0.14149999999999999</v>
      </c>
      <c r="U4146">
        <v>3</v>
      </c>
      <c r="V4146">
        <v>1</v>
      </c>
      <c r="W4146">
        <v>1</v>
      </c>
    </row>
    <row r="4147" spans="1:23" ht="16.5" x14ac:dyDescent="0.3">
      <c r="A4147" t="s">
        <v>4211</v>
      </c>
      <c r="B4147" s="1">
        <v>45889</v>
      </c>
      <c r="C4147">
        <v>2025</v>
      </c>
      <c r="D4147" t="s">
        <v>1255</v>
      </c>
      <c r="E4147" t="s">
        <v>1415</v>
      </c>
      <c r="F4147" t="s">
        <v>37</v>
      </c>
      <c r="G4147" t="s">
        <v>51</v>
      </c>
      <c r="H4147" t="s">
        <v>64</v>
      </c>
      <c r="I4147" t="s">
        <v>42</v>
      </c>
      <c r="J4147" t="s">
        <v>35</v>
      </c>
      <c r="K4147" s="2">
        <v>10400</v>
      </c>
      <c r="L4147" s="2">
        <v>14500</v>
      </c>
      <c r="M4147">
        <v>60</v>
      </c>
      <c r="N4147" s="3">
        <v>0.13700000000000001</v>
      </c>
      <c r="O4147" t="s">
        <v>16</v>
      </c>
      <c r="Q4147">
        <v>1</v>
      </c>
      <c r="R4147">
        <v>0</v>
      </c>
      <c r="S4147" s="2">
        <v>11500</v>
      </c>
      <c r="T4147" s="4">
        <v>0.1237</v>
      </c>
      <c r="U4147">
        <v>3</v>
      </c>
      <c r="V4147">
        <v>1</v>
      </c>
      <c r="W4147">
        <v>1</v>
      </c>
    </row>
    <row r="4148" spans="1:23" ht="16.5" x14ac:dyDescent="0.3">
      <c r="A4148" t="s">
        <v>4212</v>
      </c>
      <c r="B4148" s="1">
        <v>45889</v>
      </c>
      <c r="C4148">
        <v>2025</v>
      </c>
      <c r="D4148" t="s">
        <v>1255</v>
      </c>
      <c r="E4148" t="s">
        <v>1415</v>
      </c>
      <c r="F4148" t="s">
        <v>26</v>
      </c>
      <c r="G4148" t="s">
        <v>45</v>
      </c>
      <c r="H4148" t="s">
        <v>38</v>
      </c>
      <c r="I4148" t="s">
        <v>29</v>
      </c>
      <c r="J4148" t="s">
        <v>30</v>
      </c>
      <c r="K4148" s="2">
        <v>3700</v>
      </c>
      <c r="L4148" s="2">
        <v>26000</v>
      </c>
      <c r="M4148">
        <v>36</v>
      </c>
      <c r="N4148" s="3">
        <v>0.39700000000000002</v>
      </c>
      <c r="O4148" t="s">
        <v>16</v>
      </c>
      <c r="Q4148">
        <v>1</v>
      </c>
      <c r="R4148">
        <v>0</v>
      </c>
      <c r="S4148" s="2">
        <v>26000</v>
      </c>
      <c r="T4148" s="4">
        <v>9.5500000000000002E-2</v>
      </c>
      <c r="U4148">
        <v>2</v>
      </c>
      <c r="V4148">
        <v>1</v>
      </c>
      <c r="W4148">
        <v>1</v>
      </c>
    </row>
    <row r="4149" spans="1:23" ht="16.5" x14ac:dyDescent="0.3">
      <c r="A4149" t="s">
        <v>4213</v>
      </c>
      <c r="B4149" s="1">
        <v>45889</v>
      </c>
      <c r="C4149">
        <v>2025</v>
      </c>
      <c r="D4149" t="s">
        <v>1255</v>
      </c>
      <c r="E4149" t="s">
        <v>1415</v>
      </c>
      <c r="F4149" t="s">
        <v>41</v>
      </c>
      <c r="G4149" t="s">
        <v>33</v>
      </c>
      <c r="H4149" t="s">
        <v>55</v>
      </c>
      <c r="I4149" t="s">
        <v>39</v>
      </c>
      <c r="J4149" t="s">
        <v>35</v>
      </c>
      <c r="K4149" s="2">
        <v>2050</v>
      </c>
      <c r="L4149" s="2">
        <v>108000</v>
      </c>
      <c r="M4149">
        <v>24</v>
      </c>
      <c r="N4149" s="3">
        <v>2.6669999999999998</v>
      </c>
      <c r="O4149" t="s">
        <v>125</v>
      </c>
      <c r="Q4149">
        <v>0</v>
      </c>
      <c r="R4149">
        <v>0</v>
      </c>
      <c r="S4149" s="2">
        <v>0</v>
      </c>
      <c r="T4149" s="4"/>
      <c r="U4149">
        <v>5</v>
      </c>
      <c r="V4149">
        <v>1</v>
      </c>
      <c r="W4149">
        <v>1</v>
      </c>
    </row>
    <row r="4150" spans="1:23" ht="16.5" x14ac:dyDescent="0.3">
      <c r="A4150" t="s">
        <v>4214</v>
      </c>
      <c r="B4150" s="1">
        <v>45889</v>
      </c>
      <c r="C4150">
        <v>2025</v>
      </c>
      <c r="D4150" t="s">
        <v>1255</v>
      </c>
      <c r="E4150" t="s">
        <v>1415</v>
      </c>
      <c r="F4150" t="s">
        <v>26</v>
      </c>
      <c r="G4150" t="s">
        <v>45</v>
      </c>
      <c r="H4150" t="s">
        <v>38</v>
      </c>
      <c r="I4150" t="s">
        <v>29</v>
      </c>
      <c r="J4150" t="s">
        <v>46</v>
      </c>
      <c r="K4150" s="2">
        <v>4850</v>
      </c>
      <c r="L4150" s="2">
        <v>31500</v>
      </c>
      <c r="M4150">
        <v>36</v>
      </c>
      <c r="N4150" s="3">
        <v>0.33300000000000002</v>
      </c>
      <c r="O4150" t="s">
        <v>16</v>
      </c>
      <c r="Q4150">
        <v>1</v>
      </c>
      <c r="R4150">
        <v>0</v>
      </c>
      <c r="S4150" s="2">
        <v>28500</v>
      </c>
      <c r="T4150" s="4">
        <v>6.5199999999999994E-2</v>
      </c>
      <c r="U4150">
        <v>3</v>
      </c>
      <c r="V4150">
        <v>1</v>
      </c>
      <c r="W4150">
        <v>1</v>
      </c>
    </row>
    <row r="4151" spans="1:23" ht="16.5" x14ac:dyDescent="0.3">
      <c r="A4151" t="s">
        <v>4215</v>
      </c>
      <c r="B4151" s="1">
        <v>45889</v>
      </c>
      <c r="C4151">
        <v>2025</v>
      </c>
      <c r="D4151" t="s">
        <v>1255</v>
      </c>
      <c r="E4151" t="s">
        <v>1415</v>
      </c>
      <c r="F4151" t="s">
        <v>26</v>
      </c>
      <c r="G4151" t="s">
        <v>45</v>
      </c>
      <c r="H4151" t="s">
        <v>55</v>
      </c>
      <c r="I4151" t="s">
        <v>29</v>
      </c>
      <c r="J4151" t="s">
        <v>30</v>
      </c>
      <c r="K4151" s="2">
        <v>4450</v>
      </c>
      <c r="L4151" s="2">
        <v>82500</v>
      </c>
      <c r="M4151">
        <v>48</v>
      </c>
      <c r="N4151" s="3">
        <v>0.54800000000000004</v>
      </c>
      <c r="O4151" t="s">
        <v>17</v>
      </c>
      <c r="P4151" t="s">
        <v>31</v>
      </c>
      <c r="Q4151">
        <v>0</v>
      </c>
      <c r="R4151">
        <v>1</v>
      </c>
      <c r="S4151" s="2">
        <v>0</v>
      </c>
      <c r="T4151" s="4"/>
      <c r="U4151">
        <v>2</v>
      </c>
      <c r="V4151">
        <v>1</v>
      </c>
      <c r="W4151">
        <v>1</v>
      </c>
    </row>
    <row r="4152" spans="1:23" ht="16.5" x14ac:dyDescent="0.3">
      <c r="A4152" t="s">
        <v>4216</v>
      </c>
      <c r="B4152" s="1">
        <v>45890</v>
      </c>
      <c r="C4152">
        <v>2025</v>
      </c>
      <c r="D4152" t="s">
        <v>1255</v>
      </c>
      <c r="E4152" t="s">
        <v>1415</v>
      </c>
      <c r="F4152" t="s">
        <v>37</v>
      </c>
      <c r="G4152" t="s">
        <v>51</v>
      </c>
      <c r="H4152" t="s">
        <v>38</v>
      </c>
      <c r="I4152" t="s">
        <v>29</v>
      </c>
      <c r="J4152" t="s">
        <v>30</v>
      </c>
      <c r="K4152" s="2">
        <v>8500</v>
      </c>
      <c r="L4152" s="2">
        <v>8500</v>
      </c>
      <c r="M4152">
        <v>48</v>
      </c>
      <c r="N4152" s="3">
        <v>0.216</v>
      </c>
      <c r="O4152" t="s">
        <v>17</v>
      </c>
      <c r="P4152" t="s">
        <v>31</v>
      </c>
      <c r="Q4152">
        <v>0</v>
      </c>
      <c r="R4152">
        <v>1</v>
      </c>
      <c r="S4152" s="2">
        <v>0</v>
      </c>
      <c r="T4152" s="4"/>
      <c r="U4152">
        <v>4</v>
      </c>
      <c r="V4152">
        <v>0</v>
      </c>
      <c r="W4152">
        <v>1</v>
      </c>
    </row>
    <row r="4153" spans="1:23" ht="16.5" x14ac:dyDescent="0.3">
      <c r="A4153" t="s">
        <v>4217</v>
      </c>
      <c r="B4153" s="1">
        <v>45890</v>
      </c>
      <c r="C4153">
        <v>2025</v>
      </c>
      <c r="D4153" t="s">
        <v>1255</v>
      </c>
      <c r="E4153" t="s">
        <v>1415</v>
      </c>
      <c r="F4153" t="s">
        <v>37</v>
      </c>
      <c r="G4153" t="s">
        <v>33</v>
      </c>
      <c r="H4153" t="s">
        <v>55</v>
      </c>
      <c r="I4153" t="s">
        <v>29</v>
      </c>
      <c r="J4153" t="s">
        <v>35</v>
      </c>
      <c r="K4153" s="2">
        <v>7050</v>
      </c>
      <c r="L4153" s="2">
        <v>14500</v>
      </c>
      <c r="M4153">
        <v>60</v>
      </c>
      <c r="N4153" s="3">
        <v>0.155</v>
      </c>
      <c r="O4153" t="s">
        <v>16</v>
      </c>
      <c r="Q4153">
        <v>1</v>
      </c>
      <c r="R4153">
        <v>0</v>
      </c>
      <c r="S4153" s="2">
        <v>14500</v>
      </c>
      <c r="T4153" s="4">
        <v>0.12559999999999999</v>
      </c>
      <c r="U4153">
        <v>1</v>
      </c>
      <c r="V4153">
        <v>1</v>
      </c>
      <c r="W4153">
        <v>1</v>
      </c>
    </row>
    <row r="4154" spans="1:23" ht="16.5" x14ac:dyDescent="0.3">
      <c r="A4154" t="s">
        <v>4218</v>
      </c>
      <c r="B4154" s="1">
        <v>45890</v>
      </c>
      <c r="C4154">
        <v>2025</v>
      </c>
      <c r="D4154" t="s">
        <v>1255</v>
      </c>
      <c r="E4154" t="s">
        <v>1415</v>
      </c>
      <c r="F4154" t="s">
        <v>26</v>
      </c>
      <c r="G4154" t="s">
        <v>33</v>
      </c>
      <c r="H4154" t="s">
        <v>38</v>
      </c>
      <c r="I4154" t="s">
        <v>42</v>
      </c>
      <c r="J4154" t="s">
        <v>43</v>
      </c>
      <c r="K4154" s="2">
        <v>5200</v>
      </c>
      <c r="L4154" s="2">
        <v>21000</v>
      </c>
      <c r="M4154">
        <v>36</v>
      </c>
      <c r="N4154" s="3">
        <v>0.309</v>
      </c>
      <c r="O4154" t="s">
        <v>17</v>
      </c>
      <c r="P4154" t="s">
        <v>31</v>
      </c>
      <c r="Q4154">
        <v>0</v>
      </c>
      <c r="R4154">
        <v>1</v>
      </c>
      <c r="S4154" s="2">
        <v>0</v>
      </c>
      <c r="T4154" s="4"/>
      <c r="U4154">
        <v>2</v>
      </c>
      <c r="V4154">
        <v>1</v>
      </c>
      <c r="W4154">
        <v>1</v>
      </c>
    </row>
    <row r="4155" spans="1:23" ht="16.5" x14ac:dyDescent="0.3">
      <c r="A4155" t="s">
        <v>4219</v>
      </c>
      <c r="B4155" s="1">
        <v>45890</v>
      </c>
      <c r="C4155">
        <v>2025</v>
      </c>
      <c r="D4155" t="s">
        <v>1255</v>
      </c>
      <c r="E4155" t="s">
        <v>1415</v>
      </c>
      <c r="F4155" t="s">
        <v>41</v>
      </c>
      <c r="G4155" t="s">
        <v>51</v>
      </c>
      <c r="H4155" t="s">
        <v>38</v>
      </c>
      <c r="I4155" t="s">
        <v>42</v>
      </c>
      <c r="J4155" t="s">
        <v>43</v>
      </c>
      <c r="K4155" s="2">
        <v>5000</v>
      </c>
      <c r="L4155" s="2">
        <v>79000</v>
      </c>
      <c r="M4155">
        <v>60</v>
      </c>
      <c r="N4155" s="3">
        <v>0.54300000000000004</v>
      </c>
      <c r="O4155" t="s">
        <v>17</v>
      </c>
      <c r="P4155" t="s">
        <v>31</v>
      </c>
      <c r="Q4155">
        <v>0</v>
      </c>
      <c r="R4155">
        <v>1</v>
      </c>
      <c r="S4155" s="2">
        <v>0</v>
      </c>
      <c r="T4155" s="4"/>
      <c r="U4155">
        <v>8</v>
      </c>
      <c r="V4155">
        <v>1</v>
      </c>
      <c r="W4155">
        <v>1</v>
      </c>
    </row>
    <row r="4156" spans="1:23" ht="16.5" x14ac:dyDescent="0.3">
      <c r="A4156" t="s">
        <v>4220</v>
      </c>
      <c r="B4156" s="1">
        <v>45890</v>
      </c>
      <c r="C4156">
        <v>2025</v>
      </c>
      <c r="D4156" t="s">
        <v>1255</v>
      </c>
      <c r="E4156" t="s">
        <v>1415</v>
      </c>
      <c r="F4156" t="s">
        <v>41</v>
      </c>
      <c r="G4156" t="s">
        <v>33</v>
      </c>
      <c r="H4156" t="s">
        <v>34</v>
      </c>
      <c r="I4156" t="s">
        <v>29</v>
      </c>
      <c r="J4156" t="s">
        <v>35</v>
      </c>
      <c r="K4156" s="2">
        <v>3000</v>
      </c>
      <c r="L4156" s="2">
        <v>88500</v>
      </c>
      <c r="M4156">
        <v>12</v>
      </c>
      <c r="N4156" s="3">
        <v>2.798</v>
      </c>
      <c r="O4156" t="s">
        <v>17</v>
      </c>
      <c r="P4156" t="s">
        <v>53</v>
      </c>
      <c r="Q4156">
        <v>0</v>
      </c>
      <c r="R4156">
        <v>1</v>
      </c>
      <c r="S4156" s="2">
        <v>0</v>
      </c>
      <c r="T4156" s="4"/>
      <c r="U4156">
        <v>3</v>
      </c>
      <c r="V4156">
        <v>1</v>
      </c>
      <c r="W4156">
        <v>1</v>
      </c>
    </row>
    <row r="4157" spans="1:23" ht="16.5" x14ac:dyDescent="0.3">
      <c r="A4157" t="s">
        <v>4221</v>
      </c>
      <c r="B4157" s="1">
        <v>45890</v>
      </c>
      <c r="C4157">
        <v>2025</v>
      </c>
      <c r="D4157" t="s">
        <v>1255</v>
      </c>
      <c r="E4157" t="s">
        <v>1415</v>
      </c>
      <c r="F4157" t="s">
        <v>37</v>
      </c>
      <c r="G4157" t="s">
        <v>33</v>
      </c>
      <c r="H4157" t="s">
        <v>34</v>
      </c>
      <c r="I4157" t="s">
        <v>29</v>
      </c>
      <c r="J4157" t="s">
        <v>35</v>
      </c>
      <c r="K4157" s="2">
        <v>6350</v>
      </c>
      <c r="L4157" s="2">
        <v>16500</v>
      </c>
      <c r="M4157">
        <v>48</v>
      </c>
      <c r="N4157" s="3">
        <v>0.123</v>
      </c>
      <c r="O4157" t="s">
        <v>16</v>
      </c>
      <c r="Q4157">
        <v>1</v>
      </c>
      <c r="R4157">
        <v>0</v>
      </c>
      <c r="S4157" s="2">
        <v>16500</v>
      </c>
      <c r="T4157" s="4">
        <v>0.12889999999999999</v>
      </c>
      <c r="U4157">
        <v>3</v>
      </c>
      <c r="V4157">
        <v>1</v>
      </c>
      <c r="W4157">
        <v>1</v>
      </c>
    </row>
    <row r="4158" spans="1:23" ht="16.5" x14ac:dyDescent="0.3">
      <c r="A4158" t="s">
        <v>4222</v>
      </c>
      <c r="B4158" s="1">
        <v>45890</v>
      </c>
      <c r="C4158">
        <v>2025</v>
      </c>
      <c r="D4158" t="s">
        <v>1255</v>
      </c>
      <c r="E4158" t="s">
        <v>1415</v>
      </c>
      <c r="F4158" t="s">
        <v>50</v>
      </c>
      <c r="G4158" t="s">
        <v>33</v>
      </c>
      <c r="H4158" t="s">
        <v>38</v>
      </c>
      <c r="I4158" t="s">
        <v>29</v>
      </c>
      <c r="J4158" t="s">
        <v>30</v>
      </c>
      <c r="K4158" s="2">
        <v>7300</v>
      </c>
      <c r="L4158" s="2">
        <v>243500</v>
      </c>
      <c r="M4158">
        <v>240</v>
      </c>
      <c r="N4158" s="3">
        <v>0.35299999999999998</v>
      </c>
      <c r="O4158" t="s">
        <v>17</v>
      </c>
      <c r="P4158" t="s">
        <v>65</v>
      </c>
      <c r="Q4158">
        <v>0</v>
      </c>
      <c r="R4158">
        <v>1</v>
      </c>
      <c r="S4158" s="2">
        <v>0</v>
      </c>
      <c r="T4158" s="4"/>
      <c r="U4158">
        <v>10</v>
      </c>
      <c r="V4158">
        <v>1</v>
      </c>
      <c r="W4158">
        <v>1</v>
      </c>
    </row>
    <row r="4159" spans="1:23" ht="16.5" x14ac:dyDescent="0.3">
      <c r="A4159" t="s">
        <v>4223</v>
      </c>
      <c r="B4159" s="1">
        <v>45891</v>
      </c>
      <c r="C4159">
        <v>2025</v>
      </c>
      <c r="D4159" t="s">
        <v>1255</v>
      </c>
      <c r="E4159" t="s">
        <v>1415</v>
      </c>
      <c r="F4159" t="s">
        <v>37</v>
      </c>
      <c r="G4159" t="s">
        <v>45</v>
      </c>
      <c r="H4159" t="s">
        <v>55</v>
      </c>
      <c r="I4159" t="s">
        <v>29</v>
      </c>
      <c r="J4159" t="s">
        <v>35</v>
      </c>
      <c r="K4159" s="2">
        <v>5350</v>
      </c>
      <c r="L4159" s="2">
        <v>10500</v>
      </c>
      <c r="M4159">
        <v>24</v>
      </c>
      <c r="N4159" s="3">
        <v>0.15</v>
      </c>
      <c r="O4159" t="s">
        <v>16</v>
      </c>
      <c r="Q4159">
        <v>1</v>
      </c>
      <c r="R4159">
        <v>0</v>
      </c>
      <c r="S4159" s="2">
        <v>8500</v>
      </c>
      <c r="T4159" s="4">
        <v>0.1244</v>
      </c>
      <c r="U4159">
        <v>3</v>
      </c>
      <c r="V4159">
        <v>1</v>
      </c>
      <c r="W4159">
        <v>1</v>
      </c>
    </row>
    <row r="4160" spans="1:23" ht="16.5" x14ac:dyDescent="0.3">
      <c r="A4160" t="s">
        <v>4224</v>
      </c>
      <c r="B4160" s="1">
        <v>45891</v>
      </c>
      <c r="C4160">
        <v>2025</v>
      </c>
      <c r="D4160" t="s">
        <v>1255</v>
      </c>
      <c r="E4160" t="s">
        <v>1415</v>
      </c>
      <c r="F4160" t="s">
        <v>41</v>
      </c>
      <c r="G4160" t="s">
        <v>45</v>
      </c>
      <c r="H4160" t="s">
        <v>38</v>
      </c>
      <c r="I4160" t="s">
        <v>29</v>
      </c>
      <c r="J4160" t="s">
        <v>52</v>
      </c>
      <c r="K4160" s="2">
        <v>7100</v>
      </c>
      <c r="L4160" s="2">
        <v>121500</v>
      </c>
      <c r="M4160">
        <v>60</v>
      </c>
      <c r="N4160" s="3">
        <v>0.51300000000000001</v>
      </c>
      <c r="O4160" t="s">
        <v>16</v>
      </c>
      <c r="Q4160">
        <v>1</v>
      </c>
      <c r="R4160">
        <v>0</v>
      </c>
      <c r="S4160" s="2">
        <v>97000</v>
      </c>
      <c r="T4160" s="4">
        <v>9.98E-2</v>
      </c>
      <c r="U4160">
        <v>6</v>
      </c>
      <c r="V4160">
        <v>1</v>
      </c>
      <c r="W4160">
        <v>1</v>
      </c>
    </row>
    <row r="4161" spans="1:23" ht="16.5" x14ac:dyDescent="0.3">
      <c r="A4161" t="s">
        <v>4225</v>
      </c>
      <c r="B4161" s="1">
        <v>45891</v>
      </c>
      <c r="C4161">
        <v>2025</v>
      </c>
      <c r="D4161" t="s">
        <v>1255</v>
      </c>
      <c r="E4161" t="s">
        <v>1415</v>
      </c>
      <c r="F4161" t="s">
        <v>37</v>
      </c>
      <c r="G4161" t="s">
        <v>45</v>
      </c>
      <c r="H4161" t="s">
        <v>38</v>
      </c>
      <c r="I4161" t="s">
        <v>39</v>
      </c>
      <c r="J4161" t="s">
        <v>52</v>
      </c>
      <c r="K4161" s="2">
        <v>4500</v>
      </c>
      <c r="L4161" s="2">
        <v>15000</v>
      </c>
      <c r="M4161">
        <v>24</v>
      </c>
      <c r="N4161" s="3">
        <v>0.251</v>
      </c>
      <c r="O4161" t="s">
        <v>16</v>
      </c>
      <c r="Q4161">
        <v>1</v>
      </c>
      <c r="R4161">
        <v>0</v>
      </c>
      <c r="S4161" s="2">
        <v>13500</v>
      </c>
      <c r="T4161" s="4">
        <v>0.1177</v>
      </c>
      <c r="U4161">
        <v>1</v>
      </c>
      <c r="V4161">
        <v>1</v>
      </c>
      <c r="W4161">
        <v>1</v>
      </c>
    </row>
    <row r="4162" spans="1:23" ht="16.5" x14ac:dyDescent="0.3">
      <c r="A4162" t="s">
        <v>4226</v>
      </c>
      <c r="B4162" s="1">
        <v>45891</v>
      </c>
      <c r="C4162">
        <v>2025</v>
      </c>
      <c r="D4162" t="s">
        <v>1255</v>
      </c>
      <c r="E4162" t="s">
        <v>1415</v>
      </c>
      <c r="F4162" t="s">
        <v>50</v>
      </c>
      <c r="G4162" t="s">
        <v>33</v>
      </c>
      <c r="H4162" t="s">
        <v>28</v>
      </c>
      <c r="I4162" t="s">
        <v>39</v>
      </c>
      <c r="J4162" t="s">
        <v>52</v>
      </c>
      <c r="K4162" s="2">
        <v>3400</v>
      </c>
      <c r="L4162" s="2">
        <v>354500</v>
      </c>
      <c r="M4162">
        <v>180</v>
      </c>
      <c r="N4162" s="3">
        <v>0.98799999999999999</v>
      </c>
      <c r="O4162" t="s">
        <v>16</v>
      </c>
      <c r="Q4162">
        <v>1</v>
      </c>
      <c r="R4162">
        <v>0</v>
      </c>
      <c r="S4162" s="2">
        <v>354500</v>
      </c>
      <c r="T4162" s="4">
        <v>4.2799999999999998E-2</v>
      </c>
      <c r="U4162">
        <v>5</v>
      </c>
      <c r="V4162">
        <v>1</v>
      </c>
      <c r="W4162">
        <v>1</v>
      </c>
    </row>
    <row r="4163" spans="1:23" ht="16.5" x14ac:dyDescent="0.3">
      <c r="A4163" t="s">
        <v>4227</v>
      </c>
      <c r="B4163" s="1">
        <v>45891</v>
      </c>
      <c r="C4163">
        <v>2025</v>
      </c>
      <c r="D4163" t="s">
        <v>1255</v>
      </c>
      <c r="E4163" t="s">
        <v>1415</v>
      </c>
      <c r="F4163" t="s">
        <v>50</v>
      </c>
      <c r="G4163" t="s">
        <v>51</v>
      </c>
      <c r="H4163" t="s">
        <v>38</v>
      </c>
      <c r="I4163" t="s">
        <v>39</v>
      </c>
      <c r="J4163" t="s">
        <v>35</v>
      </c>
      <c r="K4163" s="2">
        <v>4500</v>
      </c>
      <c r="L4163" s="2">
        <v>117500</v>
      </c>
      <c r="M4163">
        <v>300</v>
      </c>
      <c r="N4163" s="3">
        <v>0.28699999999999998</v>
      </c>
      <c r="O4163" t="s">
        <v>16</v>
      </c>
      <c r="Q4163">
        <v>1</v>
      </c>
      <c r="R4163">
        <v>0</v>
      </c>
      <c r="S4163" s="2">
        <v>94000</v>
      </c>
      <c r="T4163" s="4">
        <v>6.0100000000000001E-2</v>
      </c>
      <c r="U4163">
        <v>9</v>
      </c>
      <c r="V4163">
        <v>1</v>
      </c>
      <c r="W4163">
        <v>1</v>
      </c>
    </row>
    <row r="4164" spans="1:23" ht="16.5" x14ac:dyDescent="0.3">
      <c r="A4164" t="s">
        <v>4228</v>
      </c>
      <c r="B4164" s="1">
        <v>45891</v>
      </c>
      <c r="C4164">
        <v>2025</v>
      </c>
      <c r="D4164" t="s">
        <v>1255</v>
      </c>
      <c r="E4164" t="s">
        <v>1415</v>
      </c>
      <c r="F4164" t="s">
        <v>50</v>
      </c>
      <c r="G4164" t="s">
        <v>27</v>
      </c>
      <c r="H4164" t="s">
        <v>55</v>
      </c>
      <c r="I4164" t="s">
        <v>39</v>
      </c>
      <c r="J4164" t="s">
        <v>35</v>
      </c>
      <c r="K4164" s="2">
        <v>5200</v>
      </c>
      <c r="L4164" s="2">
        <v>158500</v>
      </c>
      <c r="M4164">
        <v>180</v>
      </c>
      <c r="N4164" s="3">
        <v>0.46</v>
      </c>
      <c r="O4164" t="s">
        <v>16</v>
      </c>
      <c r="Q4164">
        <v>1</v>
      </c>
      <c r="R4164">
        <v>0</v>
      </c>
      <c r="S4164" s="2">
        <v>142500</v>
      </c>
      <c r="T4164" s="4">
        <v>5.7000000000000002E-2</v>
      </c>
      <c r="U4164">
        <v>18</v>
      </c>
      <c r="V4164">
        <v>0</v>
      </c>
      <c r="W4164">
        <v>1</v>
      </c>
    </row>
    <row r="4165" spans="1:23" ht="16.5" x14ac:dyDescent="0.3">
      <c r="A4165" t="s">
        <v>4229</v>
      </c>
      <c r="B4165" s="1">
        <v>45891</v>
      </c>
      <c r="C4165">
        <v>2025</v>
      </c>
      <c r="D4165" t="s">
        <v>1255</v>
      </c>
      <c r="E4165" t="s">
        <v>1415</v>
      </c>
      <c r="F4165" t="s">
        <v>37</v>
      </c>
      <c r="G4165" t="s">
        <v>45</v>
      </c>
      <c r="H4165" t="s">
        <v>38</v>
      </c>
      <c r="I4165" t="s">
        <v>42</v>
      </c>
      <c r="J4165" t="s">
        <v>46</v>
      </c>
      <c r="K4165" s="2">
        <v>10000</v>
      </c>
      <c r="L4165" s="2">
        <v>13000</v>
      </c>
      <c r="M4165">
        <v>48</v>
      </c>
      <c r="N4165" s="3">
        <v>0.252</v>
      </c>
      <c r="O4165" t="s">
        <v>16</v>
      </c>
      <c r="Q4165">
        <v>1</v>
      </c>
      <c r="R4165">
        <v>0</v>
      </c>
      <c r="S4165" s="2">
        <v>11500</v>
      </c>
      <c r="T4165" s="4">
        <v>0.10780000000000001</v>
      </c>
      <c r="U4165">
        <v>2</v>
      </c>
      <c r="V4165">
        <v>1</v>
      </c>
      <c r="W4165">
        <v>1</v>
      </c>
    </row>
    <row r="4166" spans="1:23" ht="16.5" x14ac:dyDescent="0.3">
      <c r="A4166" t="s">
        <v>4230</v>
      </c>
      <c r="B4166" s="1">
        <v>45891</v>
      </c>
      <c r="C4166">
        <v>2025</v>
      </c>
      <c r="D4166" t="s">
        <v>1255</v>
      </c>
      <c r="E4166" t="s">
        <v>1415</v>
      </c>
      <c r="F4166" t="s">
        <v>26</v>
      </c>
      <c r="G4166" t="s">
        <v>33</v>
      </c>
      <c r="H4166" t="s">
        <v>64</v>
      </c>
      <c r="I4166" t="s">
        <v>29</v>
      </c>
      <c r="J4166" t="s">
        <v>30</v>
      </c>
      <c r="K4166" s="2">
        <v>7950</v>
      </c>
      <c r="L4166" s="2">
        <v>44500</v>
      </c>
      <c r="M4166">
        <v>48</v>
      </c>
      <c r="N4166" s="3">
        <v>0.27400000000000002</v>
      </c>
      <c r="O4166" t="s">
        <v>16</v>
      </c>
      <c r="Q4166">
        <v>1</v>
      </c>
      <c r="R4166">
        <v>0</v>
      </c>
      <c r="S4166" s="2">
        <v>40000</v>
      </c>
      <c r="T4166" s="4">
        <v>0.1002</v>
      </c>
      <c r="U4166">
        <v>1</v>
      </c>
      <c r="V4166">
        <v>1</v>
      </c>
      <c r="W4166">
        <v>1</v>
      </c>
    </row>
    <row r="4167" spans="1:23" ht="16.5" x14ac:dyDescent="0.3">
      <c r="A4167" t="s">
        <v>4231</v>
      </c>
      <c r="B4167" s="1">
        <v>45891</v>
      </c>
      <c r="C4167">
        <v>2025</v>
      </c>
      <c r="D4167" t="s">
        <v>1255</v>
      </c>
      <c r="E4167" t="s">
        <v>1415</v>
      </c>
      <c r="F4167" t="s">
        <v>37</v>
      </c>
      <c r="G4167" t="s">
        <v>45</v>
      </c>
      <c r="H4167" t="s">
        <v>38</v>
      </c>
      <c r="I4167" t="s">
        <v>29</v>
      </c>
      <c r="J4167" t="s">
        <v>35</v>
      </c>
      <c r="K4167" s="2">
        <v>7050</v>
      </c>
      <c r="L4167" s="2">
        <v>27500</v>
      </c>
      <c r="M4167">
        <v>12</v>
      </c>
      <c r="N4167" s="3">
        <v>0.45500000000000002</v>
      </c>
      <c r="O4167" t="s">
        <v>16</v>
      </c>
      <c r="Q4167">
        <v>1</v>
      </c>
      <c r="R4167">
        <v>0</v>
      </c>
      <c r="S4167" s="2">
        <v>25000</v>
      </c>
      <c r="T4167" s="4">
        <v>0.12529999999999999</v>
      </c>
      <c r="U4167">
        <v>2</v>
      </c>
      <c r="V4167">
        <v>1</v>
      </c>
      <c r="W4167">
        <v>1</v>
      </c>
    </row>
    <row r="4168" spans="1:23" ht="16.5" x14ac:dyDescent="0.3">
      <c r="A4168" t="s">
        <v>4232</v>
      </c>
      <c r="B4168" s="1">
        <v>45892</v>
      </c>
      <c r="C4168">
        <v>2025</v>
      </c>
      <c r="D4168" t="s">
        <v>1255</v>
      </c>
      <c r="E4168" t="s">
        <v>1415</v>
      </c>
      <c r="F4168" t="s">
        <v>37</v>
      </c>
      <c r="G4168" t="s">
        <v>45</v>
      </c>
      <c r="H4168" t="s">
        <v>38</v>
      </c>
      <c r="I4168" t="s">
        <v>39</v>
      </c>
      <c r="J4168" t="s">
        <v>35</v>
      </c>
      <c r="K4168" s="2">
        <v>9450</v>
      </c>
      <c r="L4168" s="2">
        <v>9500</v>
      </c>
      <c r="M4168">
        <v>60</v>
      </c>
      <c r="N4168" s="3">
        <v>8.4000000000000005E-2</v>
      </c>
      <c r="O4168" t="s">
        <v>17</v>
      </c>
      <c r="P4168" t="s">
        <v>65</v>
      </c>
      <c r="Q4168">
        <v>0</v>
      </c>
      <c r="R4168">
        <v>1</v>
      </c>
      <c r="S4168" s="2">
        <v>0</v>
      </c>
      <c r="T4168" s="4"/>
      <c r="U4168">
        <v>3</v>
      </c>
      <c r="V4168">
        <v>1</v>
      </c>
      <c r="W4168">
        <v>1</v>
      </c>
    </row>
    <row r="4169" spans="1:23" ht="16.5" x14ac:dyDescent="0.3">
      <c r="A4169" t="s">
        <v>4233</v>
      </c>
      <c r="B4169" s="1">
        <v>45892</v>
      </c>
      <c r="C4169">
        <v>2025</v>
      </c>
      <c r="D4169" t="s">
        <v>1255</v>
      </c>
      <c r="E4169" t="s">
        <v>1415</v>
      </c>
      <c r="F4169" t="s">
        <v>26</v>
      </c>
      <c r="G4169" t="s">
        <v>45</v>
      </c>
      <c r="H4169" t="s">
        <v>38</v>
      </c>
      <c r="I4169" t="s">
        <v>29</v>
      </c>
      <c r="J4169" t="s">
        <v>30</v>
      </c>
      <c r="K4169" s="2">
        <v>3750</v>
      </c>
      <c r="L4169" s="2">
        <v>58500</v>
      </c>
      <c r="M4169">
        <v>48</v>
      </c>
      <c r="N4169" s="3">
        <v>0.50800000000000001</v>
      </c>
      <c r="O4169" t="s">
        <v>16</v>
      </c>
      <c r="Q4169">
        <v>1</v>
      </c>
      <c r="R4169">
        <v>0</v>
      </c>
      <c r="S4169" s="2">
        <v>52500</v>
      </c>
      <c r="T4169" s="4">
        <v>9.7600000000000006E-2</v>
      </c>
      <c r="U4169">
        <v>3</v>
      </c>
      <c r="V4169">
        <v>1</v>
      </c>
      <c r="W4169">
        <v>1</v>
      </c>
    </row>
    <row r="4170" spans="1:23" ht="16.5" x14ac:dyDescent="0.3">
      <c r="A4170" t="s">
        <v>4234</v>
      </c>
      <c r="B4170" s="1">
        <v>45892</v>
      </c>
      <c r="C4170">
        <v>2025</v>
      </c>
      <c r="D4170" t="s">
        <v>1255</v>
      </c>
      <c r="E4170" t="s">
        <v>1415</v>
      </c>
      <c r="F4170" t="s">
        <v>26</v>
      </c>
      <c r="G4170" t="s">
        <v>51</v>
      </c>
      <c r="H4170" t="s">
        <v>64</v>
      </c>
      <c r="I4170" t="s">
        <v>42</v>
      </c>
      <c r="J4170" t="s">
        <v>46</v>
      </c>
      <c r="K4170" s="2">
        <v>10000</v>
      </c>
      <c r="L4170" s="2">
        <v>27000</v>
      </c>
      <c r="M4170">
        <v>48</v>
      </c>
      <c r="N4170" s="3">
        <v>0.151</v>
      </c>
      <c r="O4170" t="s">
        <v>16</v>
      </c>
      <c r="Q4170">
        <v>1</v>
      </c>
      <c r="R4170">
        <v>0</v>
      </c>
      <c r="S4170" s="2">
        <v>21500</v>
      </c>
      <c r="T4170" s="4">
        <v>6.7900000000000002E-2</v>
      </c>
      <c r="U4170">
        <v>3</v>
      </c>
      <c r="V4170">
        <v>1</v>
      </c>
      <c r="W4170">
        <v>1</v>
      </c>
    </row>
    <row r="4171" spans="1:23" ht="16.5" x14ac:dyDescent="0.3">
      <c r="A4171" t="s">
        <v>4235</v>
      </c>
      <c r="B4171" s="1">
        <v>45892</v>
      </c>
      <c r="C4171">
        <v>2025</v>
      </c>
      <c r="D4171" t="s">
        <v>1255</v>
      </c>
      <c r="E4171" t="s">
        <v>1415</v>
      </c>
      <c r="F4171" t="s">
        <v>41</v>
      </c>
      <c r="G4171" t="s">
        <v>51</v>
      </c>
      <c r="H4171" t="s">
        <v>55</v>
      </c>
      <c r="I4171" t="s">
        <v>29</v>
      </c>
      <c r="J4171" t="s">
        <v>35</v>
      </c>
      <c r="K4171" s="2">
        <v>5100</v>
      </c>
      <c r="L4171" s="2">
        <v>131000</v>
      </c>
      <c r="M4171">
        <v>24</v>
      </c>
      <c r="N4171" s="3">
        <v>1.3240000000000001</v>
      </c>
      <c r="O4171" t="s">
        <v>17</v>
      </c>
      <c r="P4171" t="s">
        <v>53</v>
      </c>
      <c r="Q4171">
        <v>0</v>
      </c>
      <c r="R4171">
        <v>1</v>
      </c>
      <c r="S4171" s="2">
        <v>0</v>
      </c>
      <c r="T4171" s="4"/>
      <c r="U4171">
        <v>14</v>
      </c>
      <c r="V4171">
        <v>0</v>
      </c>
      <c r="W4171">
        <v>1</v>
      </c>
    </row>
    <row r="4172" spans="1:23" ht="16.5" x14ac:dyDescent="0.3">
      <c r="A4172" t="s">
        <v>4236</v>
      </c>
      <c r="B4172" s="1">
        <v>45892</v>
      </c>
      <c r="C4172">
        <v>2025</v>
      </c>
      <c r="D4172" t="s">
        <v>1255</v>
      </c>
      <c r="E4172" t="s">
        <v>1415</v>
      </c>
      <c r="F4172" t="s">
        <v>37</v>
      </c>
      <c r="G4172" t="s">
        <v>45</v>
      </c>
      <c r="H4172" t="s">
        <v>55</v>
      </c>
      <c r="I4172" t="s">
        <v>29</v>
      </c>
      <c r="J4172" t="s">
        <v>43</v>
      </c>
      <c r="K4172" s="2">
        <v>5050</v>
      </c>
      <c r="L4172" s="2">
        <v>14000</v>
      </c>
      <c r="M4172">
        <v>12</v>
      </c>
      <c r="N4172" s="3">
        <v>0.29799999999999999</v>
      </c>
      <c r="O4172" t="s">
        <v>17</v>
      </c>
      <c r="P4172" t="s">
        <v>31</v>
      </c>
      <c r="Q4172">
        <v>0</v>
      </c>
      <c r="R4172">
        <v>1</v>
      </c>
      <c r="S4172" s="2">
        <v>0</v>
      </c>
      <c r="T4172" s="4"/>
      <c r="U4172">
        <v>3</v>
      </c>
      <c r="V4172">
        <v>1</v>
      </c>
      <c r="W4172">
        <v>1</v>
      </c>
    </row>
    <row r="4173" spans="1:23" ht="16.5" x14ac:dyDescent="0.3">
      <c r="A4173" t="s">
        <v>4237</v>
      </c>
      <c r="B4173" s="1">
        <v>45892</v>
      </c>
      <c r="C4173">
        <v>2025</v>
      </c>
      <c r="D4173" t="s">
        <v>1255</v>
      </c>
      <c r="E4173" t="s">
        <v>1415</v>
      </c>
      <c r="F4173" t="s">
        <v>41</v>
      </c>
      <c r="G4173" t="s">
        <v>33</v>
      </c>
      <c r="H4173" t="s">
        <v>34</v>
      </c>
      <c r="I4173" t="s">
        <v>29</v>
      </c>
      <c r="J4173" t="s">
        <v>43</v>
      </c>
      <c r="K4173" s="2">
        <v>3850</v>
      </c>
      <c r="L4173" s="2">
        <v>100000</v>
      </c>
      <c r="M4173">
        <v>60</v>
      </c>
      <c r="N4173" s="3">
        <v>0.77300000000000002</v>
      </c>
      <c r="O4173" t="s">
        <v>17</v>
      </c>
      <c r="P4173" t="s">
        <v>60</v>
      </c>
      <c r="Q4173">
        <v>0</v>
      </c>
      <c r="R4173">
        <v>1</v>
      </c>
      <c r="S4173" s="2">
        <v>0</v>
      </c>
      <c r="T4173" s="4"/>
      <c r="U4173">
        <v>10</v>
      </c>
      <c r="V4173">
        <v>1</v>
      </c>
      <c r="W4173">
        <v>1</v>
      </c>
    </row>
    <row r="4174" spans="1:23" ht="16.5" x14ac:dyDescent="0.3">
      <c r="A4174" t="s">
        <v>4238</v>
      </c>
      <c r="B4174" s="1">
        <v>45893</v>
      </c>
      <c r="C4174">
        <v>2025</v>
      </c>
      <c r="D4174" t="s">
        <v>1255</v>
      </c>
      <c r="E4174" t="s">
        <v>1415</v>
      </c>
      <c r="F4174" t="s">
        <v>26</v>
      </c>
      <c r="G4174" t="s">
        <v>45</v>
      </c>
      <c r="H4174" t="s">
        <v>34</v>
      </c>
      <c r="I4174" t="s">
        <v>42</v>
      </c>
      <c r="J4174" t="s">
        <v>30</v>
      </c>
      <c r="K4174" s="2">
        <v>2550</v>
      </c>
      <c r="L4174" s="2">
        <v>27000</v>
      </c>
      <c r="M4174">
        <v>60</v>
      </c>
      <c r="N4174" s="3">
        <v>0.35399999999999998</v>
      </c>
      <c r="O4174" t="s">
        <v>17</v>
      </c>
      <c r="P4174" t="s">
        <v>31</v>
      </c>
      <c r="Q4174">
        <v>0</v>
      </c>
      <c r="R4174">
        <v>1</v>
      </c>
      <c r="S4174" s="2">
        <v>0</v>
      </c>
      <c r="T4174" s="4"/>
      <c r="U4174">
        <v>3</v>
      </c>
      <c r="V4174">
        <v>1</v>
      </c>
      <c r="W4174">
        <v>1</v>
      </c>
    </row>
    <row r="4175" spans="1:23" ht="16.5" x14ac:dyDescent="0.3">
      <c r="A4175" t="s">
        <v>4239</v>
      </c>
      <c r="B4175" s="1">
        <v>45893</v>
      </c>
      <c r="C4175">
        <v>2025</v>
      </c>
      <c r="D4175" t="s">
        <v>1255</v>
      </c>
      <c r="E4175" t="s">
        <v>1415</v>
      </c>
      <c r="F4175" t="s">
        <v>26</v>
      </c>
      <c r="G4175" t="s">
        <v>51</v>
      </c>
      <c r="H4175" t="s">
        <v>38</v>
      </c>
      <c r="I4175" t="s">
        <v>42</v>
      </c>
      <c r="J4175" t="s">
        <v>35</v>
      </c>
      <c r="K4175" s="2">
        <v>4150</v>
      </c>
      <c r="L4175" s="2">
        <v>28500</v>
      </c>
      <c r="M4175">
        <v>60</v>
      </c>
      <c r="N4175" s="3">
        <v>0.29299999999999998</v>
      </c>
      <c r="O4175" t="s">
        <v>16</v>
      </c>
      <c r="Q4175">
        <v>1</v>
      </c>
      <c r="R4175">
        <v>0</v>
      </c>
      <c r="S4175" s="2">
        <v>28500</v>
      </c>
      <c r="T4175" s="4">
        <v>8.3000000000000004E-2</v>
      </c>
      <c r="U4175">
        <v>8</v>
      </c>
      <c r="V4175">
        <v>0</v>
      </c>
      <c r="W4175">
        <v>1</v>
      </c>
    </row>
    <row r="4176" spans="1:23" ht="16.5" x14ac:dyDescent="0.3">
      <c r="A4176" t="s">
        <v>4240</v>
      </c>
      <c r="B4176" s="1">
        <v>45893</v>
      </c>
      <c r="C4176">
        <v>2025</v>
      </c>
      <c r="D4176" t="s">
        <v>1255</v>
      </c>
      <c r="E4176" t="s">
        <v>1415</v>
      </c>
      <c r="F4176" t="s">
        <v>26</v>
      </c>
      <c r="G4176" t="s">
        <v>45</v>
      </c>
      <c r="H4176" t="s">
        <v>55</v>
      </c>
      <c r="I4176" t="s">
        <v>29</v>
      </c>
      <c r="J4176" t="s">
        <v>35</v>
      </c>
      <c r="K4176" s="2">
        <v>1850</v>
      </c>
      <c r="L4176" s="2">
        <v>18500</v>
      </c>
      <c r="M4176">
        <v>36</v>
      </c>
      <c r="N4176" s="3">
        <v>0.439</v>
      </c>
      <c r="O4176" t="s">
        <v>17</v>
      </c>
      <c r="P4176" t="s">
        <v>31</v>
      </c>
      <c r="Q4176">
        <v>0</v>
      </c>
      <c r="R4176">
        <v>1</v>
      </c>
      <c r="S4176" s="2">
        <v>0</v>
      </c>
      <c r="T4176" s="4"/>
      <c r="U4176">
        <v>2</v>
      </c>
      <c r="V4176">
        <v>1</v>
      </c>
      <c r="W4176">
        <v>1</v>
      </c>
    </row>
    <row r="4177" spans="1:23" ht="16.5" x14ac:dyDescent="0.3">
      <c r="A4177" t="s">
        <v>4241</v>
      </c>
      <c r="B4177" s="1">
        <v>45893</v>
      </c>
      <c r="C4177">
        <v>2025</v>
      </c>
      <c r="D4177" t="s">
        <v>1255</v>
      </c>
      <c r="E4177" t="s">
        <v>1415</v>
      </c>
      <c r="F4177" t="s">
        <v>37</v>
      </c>
      <c r="G4177" t="s">
        <v>51</v>
      </c>
      <c r="H4177" t="s">
        <v>38</v>
      </c>
      <c r="I4177" t="s">
        <v>29</v>
      </c>
      <c r="J4177" t="s">
        <v>46</v>
      </c>
      <c r="K4177" s="2">
        <v>5300</v>
      </c>
      <c r="L4177" s="2">
        <v>11000</v>
      </c>
      <c r="M4177">
        <v>12</v>
      </c>
      <c r="N4177" s="3">
        <v>0.26900000000000002</v>
      </c>
      <c r="O4177" t="s">
        <v>16</v>
      </c>
      <c r="Q4177">
        <v>1</v>
      </c>
      <c r="R4177">
        <v>0</v>
      </c>
      <c r="S4177" s="2">
        <v>9000</v>
      </c>
      <c r="T4177" s="4">
        <v>0.1099</v>
      </c>
      <c r="U4177">
        <v>5</v>
      </c>
      <c r="V4177">
        <v>0</v>
      </c>
      <c r="W4177">
        <v>1</v>
      </c>
    </row>
    <row r="4178" spans="1:23" ht="16.5" x14ac:dyDescent="0.3">
      <c r="A4178" t="s">
        <v>4242</v>
      </c>
      <c r="B4178" s="1">
        <v>45893</v>
      </c>
      <c r="C4178">
        <v>2025</v>
      </c>
      <c r="D4178" t="s">
        <v>1255</v>
      </c>
      <c r="E4178" t="s">
        <v>1415</v>
      </c>
      <c r="F4178" t="s">
        <v>50</v>
      </c>
      <c r="G4178" t="s">
        <v>51</v>
      </c>
      <c r="H4178" t="s">
        <v>55</v>
      </c>
      <c r="I4178" t="s">
        <v>29</v>
      </c>
      <c r="J4178" t="s">
        <v>52</v>
      </c>
      <c r="K4178" s="2">
        <v>4650</v>
      </c>
      <c r="L4178" s="2">
        <v>203000</v>
      </c>
      <c r="M4178">
        <v>240</v>
      </c>
      <c r="N4178" s="3">
        <v>0.501</v>
      </c>
      <c r="O4178" t="s">
        <v>16</v>
      </c>
      <c r="Q4178">
        <v>1</v>
      </c>
      <c r="R4178">
        <v>0</v>
      </c>
      <c r="S4178" s="2">
        <v>162500</v>
      </c>
      <c r="T4178" s="4">
        <v>5.1999999999999998E-2</v>
      </c>
      <c r="U4178">
        <v>13</v>
      </c>
      <c r="V4178">
        <v>1</v>
      </c>
      <c r="W4178">
        <v>1</v>
      </c>
    </row>
    <row r="4179" spans="1:23" ht="16.5" x14ac:dyDescent="0.3">
      <c r="A4179" t="s">
        <v>4243</v>
      </c>
      <c r="B4179" s="1">
        <v>45893</v>
      </c>
      <c r="C4179">
        <v>2025</v>
      </c>
      <c r="D4179" t="s">
        <v>1255</v>
      </c>
      <c r="E4179" t="s">
        <v>1415</v>
      </c>
      <c r="F4179" t="s">
        <v>50</v>
      </c>
      <c r="G4179" t="s">
        <v>45</v>
      </c>
      <c r="H4179" t="s">
        <v>55</v>
      </c>
      <c r="I4179" t="s">
        <v>39</v>
      </c>
      <c r="J4179" t="s">
        <v>30</v>
      </c>
      <c r="K4179" s="2">
        <v>5400</v>
      </c>
      <c r="L4179" s="2">
        <v>145000</v>
      </c>
      <c r="M4179">
        <v>300</v>
      </c>
      <c r="N4179" s="3">
        <v>0.24</v>
      </c>
      <c r="O4179" t="s">
        <v>16</v>
      </c>
      <c r="Q4179">
        <v>1</v>
      </c>
      <c r="R4179">
        <v>0</v>
      </c>
      <c r="S4179" s="2">
        <v>130500</v>
      </c>
      <c r="T4179" s="4">
        <v>7.3700000000000002E-2</v>
      </c>
      <c r="U4179">
        <v>12</v>
      </c>
      <c r="V4179">
        <v>1</v>
      </c>
      <c r="W4179">
        <v>1</v>
      </c>
    </row>
    <row r="4180" spans="1:23" ht="16.5" x14ac:dyDescent="0.3">
      <c r="A4180" t="s">
        <v>4244</v>
      </c>
      <c r="B4180" s="1">
        <v>45893</v>
      </c>
      <c r="C4180">
        <v>2025</v>
      </c>
      <c r="D4180" t="s">
        <v>1255</v>
      </c>
      <c r="E4180" t="s">
        <v>1415</v>
      </c>
      <c r="F4180" t="s">
        <v>41</v>
      </c>
      <c r="G4180" t="s">
        <v>27</v>
      </c>
      <c r="H4180" t="s">
        <v>55</v>
      </c>
      <c r="I4180" t="s">
        <v>39</v>
      </c>
      <c r="J4180" t="s">
        <v>30</v>
      </c>
      <c r="K4180" s="2">
        <v>6550</v>
      </c>
      <c r="L4180" s="2">
        <v>164500</v>
      </c>
      <c r="M4180">
        <v>36</v>
      </c>
      <c r="N4180" s="3">
        <v>0.88100000000000001</v>
      </c>
      <c r="O4180" t="s">
        <v>17</v>
      </c>
      <c r="P4180" t="s">
        <v>31</v>
      </c>
      <c r="Q4180">
        <v>0</v>
      </c>
      <c r="R4180">
        <v>1</v>
      </c>
      <c r="S4180" s="2">
        <v>0</v>
      </c>
      <c r="T4180" s="4"/>
      <c r="U4180">
        <v>9</v>
      </c>
      <c r="V4180">
        <v>1</v>
      </c>
      <c r="W4180">
        <v>1</v>
      </c>
    </row>
    <row r="4181" spans="1:23" ht="16.5" x14ac:dyDescent="0.3">
      <c r="A4181" t="s">
        <v>4245</v>
      </c>
      <c r="B4181" s="1">
        <v>45894</v>
      </c>
      <c r="C4181">
        <v>2025</v>
      </c>
      <c r="D4181" t="s">
        <v>1255</v>
      </c>
      <c r="E4181" t="s">
        <v>1415</v>
      </c>
      <c r="F4181" t="s">
        <v>37</v>
      </c>
      <c r="G4181" t="s">
        <v>33</v>
      </c>
      <c r="H4181" t="s">
        <v>38</v>
      </c>
      <c r="I4181" t="s">
        <v>29</v>
      </c>
      <c r="J4181" t="s">
        <v>35</v>
      </c>
      <c r="K4181" s="2">
        <v>6650</v>
      </c>
      <c r="L4181" s="2">
        <v>18500</v>
      </c>
      <c r="M4181">
        <v>60</v>
      </c>
      <c r="N4181" s="3">
        <v>0.2</v>
      </c>
      <c r="O4181" t="s">
        <v>17</v>
      </c>
      <c r="P4181" t="s">
        <v>48</v>
      </c>
      <c r="Q4181">
        <v>0</v>
      </c>
      <c r="R4181">
        <v>1</v>
      </c>
      <c r="S4181" s="2">
        <v>0</v>
      </c>
      <c r="T4181" s="4"/>
      <c r="U4181">
        <v>3</v>
      </c>
      <c r="V4181">
        <v>1</v>
      </c>
      <c r="W4181">
        <v>1</v>
      </c>
    </row>
    <row r="4182" spans="1:23" ht="16.5" x14ac:dyDescent="0.3">
      <c r="A4182" t="s">
        <v>4246</v>
      </c>
      <c r="B4182" s="1">
        <v>45894</v>
      </c>
      <c r="C4182">
        <v>2025</v>
      </c>
      <c r="D4182" t="s">
        <v>1255</v>
      </c>
      <c r="E4182" t="s">
        <v>1415</v>
      </c>
      <c r="F4182" t="s">
        <v>50</v>
      </c>
      <c r="G4182" t="s">
        <v>33</v>
      </c>
      <c r="H4182" t="s">
        <v>34</v>
      </c>
      <c r="I4182" t="s">
        <v>29</v>
      </c>
      <c r="J4182" t="s">
        <v>35</v>
      </c>
      <c r="K4182" s="2">
        <v>13700</v>
      </c>
      <c r="L4182" s="2">
        <v>251500</v>
      </c>
      <c r="M4182">
        <v>240</v>
      </c>
      <c r="N4182" s="3">
        <v>0.28199999999999997</v>
      </c>
      <c r="O4182" t="s">
        <v>16</v>
      </c>
      <c r="Q4182">
        <v>1</v>
      </c>
      <c r="R4182">
        <v>0</v>
      </c>
      <c r="S4182" s="2">
        <v>226500</v>
      </c>
      <c r="T4182" s="4">
        <v>6.1499999999999999E-2</v>
      </c>
      <c r="U4182">
        <v>8</v>
      </c>
      <c r="V4182">
        <v>1</v>
      </c>
      <c r="W4182">
        <v>1</v>
      </c>
    </row>
    <row r="4183" spans="1:23" ht="16.5" x14ac:dyDescent="0.3">
      <c r="A4183" t="s">
        <v>4247</v>
      </c>
      <c r="B4183" s="1">
        <v>45894</v>
      </c>
      <c r="C4183">
        <v>2025</v>
      </c>
      <c r="D4183" t="s">
        <v>1255</v>
      </c>
      <c r="E4183" t="s">
        <v>1415</v>
      </c>
      <c r="F4183" t="s">
        <v>37</v>
      </c>
      <c r="G4183" t="s">
        <v>45</v>
      </c>
      <c r="H4183" t="s">
        <v>64</v>
      </c>
      <c r="I4183" t="s">
        <v>42</v>
      </c>
      <c r="J4183" t="s">
        <v>52</v>
      </c>
      <c r="K4183" s="2">
        <v>6800</v>
      </c>
      <c r="L4183" s="2">
        <v>9000</v>
      </c>
      <c r="M4183">
        <v>60</v>
      </c>
      <c r="N4183" s="3">
        <v>0.25800000000000001</v>
      </c>
      <c r="O4183" t="s">
        <v>16</v>
      </c>
      <c r="Q4183">
        <v>1</v>
      </c>
      <c r="R4183">
        <v>0</v>
      </c>
      <c r="S4183" s="2">
        <v>9000</v>
      </c>
      <c r="T4183" s="4">
        <v>0.1123</v>
      </c>
      <c r="U4183">
        <v>2</v>
      </c>
      <c r="V4183">
        <v>1</v>
      </c>
      <c r="W4183">
        <v>1</v>
      </c>
    </row>
    <row r="4184" spans="1:23" ht="16.5" x14ac:dyDescent="0.3">
      <c r="A4184" t="s">
        <v>4248</v>
      </c>
      <c r="B4184" s="1">
        <v>45894</v>
      </c>
      <c r="C4184">
        <v>2025</v>
      </c>
      <c r="D4184" t="s">
        <v>1255</v>
      </c>
      <c r="E4184" t="s">
        <v>1415</v>
      </c>
      <c r="F4184" t="s">
        <v>41</v>
      </c>
      <c r="G4184" t="s">
        <v>33</v>
      </c>
      <c r="H4184" t="s">
        <v>64</v>
      </c>
      <c r="I4184" t="s">
        <v>29</v>
      </c>
      <c r="J4184" t="s">
        <v>52</v>
      </c>
      <c r="K4184" s="2">
        <v>7100</v>
      </c>
      <c r="L4184" s="2">
        <v>50000</v>
      </c>
      <c r="M4184">
        <v>24</v>
      </c>
      <c r="N4184" s="3">
        <v>0.56799999999999995</v>
      </c>
      <c r="O4184" t="s">
        <v>16</v>
      </c>
      <c r="Q4184">
        <v>1</v>
      </c>
      <c r="R4184">
        <v>0</v>
      </c>
      <c r="S4184" s="2">
        <v>50000</v>
      </c>
      <c r="T4184" s="4">
        <v>9.2499999999999999E-2</v>
      </c>
      <c r="U4184">
        <v>3</v>
      </c>
      <c r="V4184">
        <v>1</v>
      </c>
      <c r="W4184">
        <v>1</v>
      </c>
    </row>
    <row r="4185" spans="1:23" ht="16.5" x14ac:dyDescent="0.3">
      <c r="A4185" t="s">
        <v>4249</v>
      </c>
      <c r="B4185" s="1">
        <v>45894</v>
      </c>
      <c r="C4185">
        <v>2025</v>
      </c>
      <c r="D4185" t="s">
        <v>1255</v>
      </c>
      <c r="E4185" t="s">
        <v>1415</v>
      </c>
      <c r="F4185" t="s">
        <v>50</v>
      </c>
      <c r="G4185" t="s">
        <v>33</v>
      </c>
      <c r="H4185" t="s">
        <v>34</v>
      </c>
      <c r="I4185" t="s">
        <v>29</v>
      </c>
      <c r="J4185" t="s">
        <v>43</v>
      </c>
      <c r="K4185" s="2">
        <v>4900</v>
      </c>
      <c r="L4185" s="2">
        <v>152500</v>
      </c>
      <c r="M4185">
        <v>240</v>
      </c>
      <c r="N4185" s="3">
        <v>0.29599999999999999</v>
      </c>
      <c r="O4185" t="s">
        <v>16</v>
      </c>
      <c r="Q4185">
        <v>1</v>
      </c>
      <c r="R4185">
        <v>0</v>
      </c>
      <c r="S4185" s="2">
        <v>122000</v>
      </c>
      <c r="T4185" s="4">
        <v>9.3600000000000003E-2</v>
      </c>
      <c r="U4185">
        <v>4</v>
      </c>
      <c r="V4185">
        <v>1</v>
      </c>
      <c r="W4185">
        <v>1</v>
      </c>
    </row>
    <row r="4186" spans="1:23" ht="16.5" x14ac:dyDescent="0.3">
      <c r="A4186" t="s">
        <v>4250</v>
      </c>
      <c r="B4186" s="1">
        <v>45894</v>
      </c>
      <c r="C4186">
        <v>2025</v>
      </c>
      <c r="D4186" t="s">
        <v>1255</v>
      </c>
      <c r="E4186" t="s">
        <v>1415</v>
      </c>
      <c r="F4186" t="s">
        <v>41</v>
      </c>
      <c r="G4186" t="s">
        <v>33</v>
      </c>
      <c r="H4186" t="s">
        <v>38</v>
      </c>
      <c r="I4186" t="s">
        <v>42</v>
      </c>
      <c r="J4186" t="s">
        <v>35</v>
      </c>
      <c r="K4186" s="2">
        <v>7350</v>
      </c>
      <c r="L4186" s="2">
        <v>67000</v>
      </c>
      <c r="M4186">
        <v>12</v>
      </c>
      <c r="N4186" s="3">
        <v>0.99399999999999999</v>
      </c>
      <c r="O4186" t="s">
        <v>17</v>
      </c>
      <c r="P4186" t="s">
        <v>53</v>
      </c>
      <c r="Q4186">
        <v>0</v>
      </c>
      <c r="R4186">
        <v>1</v>
      </c>
      <c r="S4186" s="2">
        <v>0</v>
      </c>
      <c r="T4186" s="4"/>
      <c r="U4186">
        <v>6</v>
      </c>
      <c r="V4186">
        <v>1</v>
      </c>
      <c r="W4186">
        <v>1</v>
      </c>
    </row>
    <row r="4187" spans="1:23" ht="16.5" x14ac:dyDescent="0.3">
      <c r="A4187" t="s">
        <v>4251</v>
      </c>
      <c r="B4187" s="1">
        <v>45894</v>
      </c>
      <c r="C4187">
        <v>2025</v>
      </c>
      <c r="D4187" t="s">
        <v>1255</v>
      </c>
      <c r="E4187" t="s">
        <v>1415</v>
      </c>
      <c r="F4187" t="s">
        <v>26</v>
      </c>
      <c r="G4187" t="s">
        <v>27</v>
      </c>
      <c r="H4187" t="s">
        <v>34</v>
      </c>
      <c r="I4187" t="s">
        <v>39</v>
      </c>
      <c r="J4187" t="s">
        <v>46</v>
      </c>
      <c r="K4187" s="2">
        <v>5550</v>
      </c>
      <c r="L4187" s="2">
        <v>31000</v>
      </c>
      <c r="M4187">
        <v>36</v>
      </c>
      <c r="N4187" s="3">
        <v>0.30099999999999999</v>
      </c>
      <c r="O4187" t="s">
        <v>16</v>
      </c>
      <c r="Q4187">
        <v>1</v>
      </c>
      <c r="R4187">
        <v>0</v>
      </c>
      <c r="S4187" s="2">
        <v>25000</v>
      </c>
      <c r="T4187" s="4">
        <v>6.2899999999999998E-2</v>
      </c>
      <c r="U4187">
        <v>7</v>
      </c>
      <c r="V4187">
        <v>0</v>
      </c>
      <c r="W4187">
        <v>1</v>
      </c>
    </row>
    <row r="4188" spans="1:23" ht="16.5" x14ac:dyDescent="0.3">
      <c r="A4188" t="s">
        <v>4252</v>
      </c>
      <c r="B4188" s="1">
        <v>45894</v>
      </c>
      <c r="C4188">
        <v>2025</v>
      </c>
      <c r="D4188" t="s">
        <v>1255</v>
      </c>
      <c r="E4188" t="s">
        <v>1415</v>
      </c>
      <c r="F4188" t="s">
        <v>37</v>
      </c>
      <c r="G4188" t="s">
        <v>33</v>
      </c>
      <c r="H4188" t="s">
        <v>55</v>
      </c>
      <c r="I4188" t="s">
        <v>29</v>
      </c>
      <c r="J4188" t="s">
        <v>52</v>
      </c>
      <c r="K4188" s="2">
        <v>4050</v>
      </c>
      <c r="L4188" s="2">
        <v>26000</v>
      </c>
      <c r="M4188">
        <v>60</v>
      </c>
      <c r="N4188" s="3">
        <v>0.248</v>
      </c>
      <c r="O4188" t="s">
        <v>16</v>
      </c>
      <c r="Q4188">
        <v>1</v>
      </c>
      <c r="R4188">
        <v>0</v>
      </c>
      <c r="S4188" s="2">
        <v>26000</v>
      </c>
      <c r="T4188" s="4">
        <v>0.11509999999999999</v>
      </c>
      <c r="U4188">
        <v>1</v>
      </c>
      <c r="V4188">
        <v>1</v>
      </c>
      <c r="W4188">
        <v>1</v>
      </c>
    </row>
    <row r="4189" spans="1:23" ht="16.5" x14ac:dyDescent="0.3">
      <c r="A4189" t="s">
        <v>4253</v>
      </c>
      <c r="B4189" s="1">
        <v>45894</v>
      </c>
      <c r="C4189">
        <v>2025</v>
      </c>
      <c r="D4189" t="s">
        <v>1255</v>
      </c>
      <c r="E4189" t="s">
        <v>1415</v>
      </c>
      <c r="F4189" t="s">
        <v>37</v>
      </c>
      <c r="G4189" t="s">
        <v>33</v>
      </c>
      <c r="H4189" t="s">
        <v>28</v>
      </c>
      <c r="I4189" t="s">
        <v>39</v>
      </c>
      <c r="J4189" t="s">
        <v>52</v>
      </c>
      <c r="K4189" s="2">
        <v>5300</v>
      </c>
      <c r="L4189" s="2">
        <v>18500</v>
      </c>
      <c r="M4189">
        <v>60</v>
      </c>
      <c r="N4189" s="3">
        <v>0.30299999999999999</v>
      </c>
      <c r="O4189" t="s">
        <v>16</v>
      </c>
      <c r="Q4189">
        <v>1</v>
      </c>
      <c r="R4189">
        <v>0</v>
      </c>
      <c r="S4189" s="2">
        <v>18500</v>
      </c>
      <c r="T4189" s="4">
        <v>0.1159</v>
      </c>
      <c r="U4189">
        <v>1</v>
      </c>
      <c r="V4189">
        <v>1</v>
      </c>
      <c r="W4189">
        <v>1</v>
      </c>
    </row>
    <row r="4190" spans="1:23" ht="16.5" x14ac:dyDescent="0.3">
      <c r="A4190" t="s">
        <v>4254</v>
      </c>
      <c r="B4190" s="1">
        <v>45895</v>
      </c>
      <c r="C4190">
        <v>2025</v>
      </c>
      <c r="D4190" t="s">
        <v>1255</v>
      </c>
      <c r="E4190" t="s">
        <v>1415</v>
      </c>
      <c r="F4190" t="s">
        <v>26</v>
      </c>
      <c r="G4190" t="s">
        <v>27</v>
      </c>
      <c r="H4190" t="s">
        <v>28</v>
      </c>
      <c r="I4190" t="s">
        <v>42</v>
      </c>
      <c r="J4190" t="s">
        <v>52</v>
      </c>
      <c r="K4190" s="2">
        <v>4500</v>
      </c>
      <c r="L4190" s="2">
        <v>21500</v>
      </c>
      <c r="M4190">
        <v>36</v>
      </c>
      <c r="N4190" s="3">
        <v>0.23300000000000001</v>
      </c>
      <c r="O4190" t="s">
        <v>16</v>
      </c>
      <c r="Q4190">
        <v>1</v>
      </c>
      <c r="R4190">
        <v>0</v>
      </c>
      <c r="S4190" s="2">
        <v>21500</v>
      </c>
      <c r="T4190" s="4">
        <v>7.8700000000000006E-2</v>
      </c>
      <c r="U4190">
        <v>4</v>
      </c>
      <c r="V4190">
        <v>1</v>
      </c>
      <c r="W4190">
        <v>1</v>
      </c>
    </row>
    <row r="4191" spans="1:23" ht="16.5" x14ac:dyDescent="0.3">
      <c r="A4191" t="s">
        <v>4255</v>
      </c>
      <c r="B4191" s="1">
        <v>45895</v>
      </c>
      <c r="C4191">
        <v>2025</v>
      </c>
      <c r="D4191" t="s">
        <v>1255</v>
      </c>
      <c r="E4191" t="s">
        <v>1415</v>
      </c>
      <c r="F4191" t="s">
        <v>50</v>
      </c>
      <c r="G4191" t="s">
        <v>33</v>
      </c>
      <c r="H4191" t="s">
        <v>28</v>
      </c>
      <c r="I4191" t="s">
        <v>29</v>
      </c>
      <c r="J4191" t="s">
        <v>35</v>
      </c>
      <c r="K4191" s="2">
        <v>2600</v>
      </c>
      <c r="L4191" s="2">
        <v>456500</v>
      </c>
      <c r="M4191">
        <v>180</v>
      </c>
      <c r="N4191" s="3">
        <v>1.5429999999999999</v>
      </c>
      <c r="O4191" t="s">
        <v>17</v>
      </c>
      <c r="P4191" t="s">
        <v>60</v>
      </c>
      <c r="Q4191">
        <v>0</v>
      </c>
      <c r="R4191">
        <v>1</v>
      </c>
      <c r="S4191" s="2">
        <v>0</v>
      </c>
      <c r="T4191" s="4"/>
      <c r="U4191">
        <v>12</v>
      </c>
      <c r="V4191">
        <v>1</v>
      </c>
      <c r="W4191">
        <v>1</v>
      </c>
    </row>
    <row r="4192" spans="1:23" ht="16.5" x14ac:dyDescent="0.3">
      <c r="A4192" t="s">
        <v>4256</v>
      </c>
      <c r="B4192" s="1">
        <v>45895</v>
      </c>
      <c r="C4192">
        <v>2025</v>
      </c>
      <c r="D4192" t="s">
        <v>1255</v>
      </c>
      <c r="E4192" t="s">
        <v>1415</v>
      </c>
      <c r="F4192" t="s">
        <v>41</v>
      </c>
      <c r="G4192" t="s">
        <v>33</v>
      </c>
      <c r="H4192" t="s">
        <v>38</v>
      </c>
      <c r="I4192" t="s">
        <v>39</v>
      </c>
      <c r="J4192" t="s">
        <v>43</v>
      </c>
      <c r="K4192" s="2">
        <v>8900</v>
      </c>
      <c r="L4192" s="2">
        <v>57000</v>
      </c>
      <c r="M4192">
        <v>36</v>
      </c>
      <c r="N4192" s="3">
        <v>0.41499999999999998</v>
      </c>
      <c r="O4192" t="s">
        <v>17</v>
      </c>
      <c r="P4192" t="s">
        <v>65</v>
      </c>
      <c r="Q4192">
        <v>0</v>
      </c>
      <c r="R4192">
        <v>1</v>
      </c>
      <c r="S4192" s="2">
        <v>0</v>
      </c>
      <c r="T4192" s="4"/>
      <c r="U4192">
        <v>4</v>
      </c>
      <c r="V4192">
        <v>1</v>
      </c>
      <c r="W4192">
        <v>1</v>
      </c>
    </row>
    <row r="4193" spans="1:23" ht="16.5" x14ac:dyDescent="0.3">
      <c r="A4193" t="s">
        <v>4257</v>
      </c>
      <c r="B4193" s="1">
        <v>45895</v>
      </c>
      <c r="C4193">
        <v>2025</v>
      </c>
      <c r="D4193" t="s">
        <v>1255</v>
      </c>
      <c r="E4193" t="s">
        <v>1415</v>
      </c>
      <c r="F4193" t="s">
        <v>37</v>
      </c>
      <c r="G4193" t="s">
        <v>45</v>
      </c>
      <c r="H4193" t="s">
        <v>34</v>
      </c>
      <c r="I4193" t="s">
        <v>39</v>
      </c>
      <c r="J4193" t="s">
        <v>35</v>
      </c>
      <c r="K4193" s="2">
        <v>4850</v>
      </c>
      <c r="L4193" s="2">
        <v>17000</v>
      </c>
      <c r="M4193">
        <v>48</v>
      </c>
      <c r="N4193" s="3">
        <v>0.20899999999999999</v>
      </c>
      <c r="O4193" t="s">
        <v>16</v>
      </c>
      <c r="Q4193">
        <v>1</v>
      </c>
      <c r="R4193">
        <v>0</v>
      </c>
      <c r="S4193" s="2">
        <v>15500</v>
      </c>
      <c r="T4193" s="4">
        <v>0.1237</v>
      </c>
      <c r="U4193">
        <v>1</v>
      </c>
      <c r="V4193">
        <v>1</v>
      </c>
      <c r="W4193">
        <v>1</v>
      </c>
    </row>
    <row r="4194" spans="1:23" ht="16.5" x14ac:dyDescent="0.3">
      <c r="A4194" t="s">
        <v>4258</v>
      </c>
      <c r="B4194" s="1">
        <v>45895</v>
      </c>
      <c r="C4194">
        <v>2025</v>
      </c>
      <c r="D4194" t="s">
        <v>1255</v>
      </c>
      <c r="E4194" t="s">
        <v>1415</v>
      </c>
      <c r="F4194" t="s">
        <v>50</v>
      </c>
      <c r="G4194" t="s">
        <v>27</v>
      </c>
      <c r="H4194" t="s">
        <v>38</v>
      </c>
      <c r="I4194" t="s">
        <v>29</v>
      </c>
      <c r="J4194" t="s">
        <v>30</v>
      </c>
      <c r="K4194" s="2">
        <v>10600</v>
      </c>
      <c r="L4194" s="2">
        <v>148500</v>
      </c>
      <c r="M4194">
        <v>180</v>
      </c>
      <c r="N4194" s="3">
        <v>0.22</v>
      </c>
      <c r="O4194" t="s">
        <v>17</v>
      </c>
      <c r="P4194" t="s">
        <v>31</v>
      </c>
      <c r="Q4194">
        <v>0</v>
      </c>
      <c r="R4194">
        <v>1</v>
      </c>
      <c r="S4194" s="2">
        <v>0</v>
      </c>
      <c r="T4194" s="4"/>
      <c r="U4194">
        <v>19</v>
      </c>
      <c r="V4194">
        <v>0</v>
      </c>
      <c r="W4194">
        <v>1</v>
      </c>
    </row>
    <row r="4195" spans="1:23" ht="16.5" x14ac:dyDescent="0.3">
      <c r="A4195" t="s">
        <v>4259</v>
      </c>
      <c r="B4195" s="1">
        <v>45895</v>
      </c>
      <c r="C4195">
        <v>2025</v>
      </c>
      <c r="D4195" t="s">
        <v>1255</v>
      </c>
      <c r="E4195" t="s">
        <v>1415</v>
      </c>
      <c r="F4195" t="s">
        <v>41</v>
      </c>
      <c r="G4195" t="s">
        <v>51</v>
      </c>
      <c r="H4195" t="s">
        <v>38</v>
      </c>
      <c r="I4195" t="s">
        <v>29</v>
      </c>
      <c r="J4195" t="s">
        <v>35</v>
      </c>
      <c r="K4195" s="2">
        <v>3150</v>
      </c>
      <c r="L4195" s="2">
        <v>203000</v>
      </c>
      <c r="M4195">
        <v>60</v>
      </c>
      <c r="N4195" s="3">
        <v>1.554</v>
      </c>
      <c r="O4195" t="s">
        <v>17</v>
      </c>
      <c r="P4195" t="s">
        <v>53</v>
      </c>
      <c r="Q4195">
        <v>0</v>
      </c>
      <c r="R4195">
        <v>1</v>
      </c>
      <c r="S4195" s="2">
        <v>0</v>
      </c>
      <c r="T4195" s="4"/>
      <c r="U4195">
        <v>14</v>
      </c>
      <c r="V4195">
        <v>0</v>
      </c>
      <c r="W4195">
        <v>1</v>
      </c>
    </row>
    <row r="4196" spans="1:23" ht="16.5" x14ac:dyDescent="0.3">
      <c r="A4196" t="s">
        <v>4260</v>
      </c>
      <c r="B4196" s="1">
        <v>45895</v>
      </c>
      <c r="C4196">
        <v>2025</v>
      </c>
      <c r="D4196" t="s">
        <v>1255</v>
      </c>
      <c r="E4196" t="s">
        <v>1415</v>
      </c>
      <c r="F4196" t="s">
        <v>37</v>
      </c>
      <c r="G4196" t="s">
        <v>27</v>
      </c>
      <c r="H4196" t="s">
        <v>55</v>
      </c>
      <c r="I4196" t="s">
        <v>29</v>
      </c>
      <c r="J4196" t="s">
        <v>30</v>
      </c>
      <c r="K4196" s="2">
        <v>5400</v>
      </c>
      <c r="L4196" s="2">
        <v>21000</v>
      </c>
      <c r="M4196">
        <v>12</v>
      </c>
      <c r="N4196" s="3">
        <v>0.45300000000000001</v>
      </c>
      <c r="O4196" t="s">
        <v>17</v>
      </c>
      <c r="P4196" t="s">
        <v>31</v>
      </c>
      <c r="Q4196">
        <v>0</v>
      </c>
      <c r="R4196">
        <v>1</v>
      </c>
      <c r="S4196" s="2">
        <v>0</v>
      </c>
      <c r="T4196" s="4"/>
      <c r="U4196">
        <v>3</v>
      </c>
      <c r="V4196">
        <v>1</v>
      </c>
      <c r="W4196">
        <v>1</v>
      </c>
    </row>
    <row r="4197" spans="1:23" ht="16.5" x14ac:dyDescent="0.3">
      <c r="A4197" t="s">
        <v>4261</v>
      </c>
      <c r="B4197" s="1">
        <v>45895</v>
      </c>
      <c r="C4197">
        <v>2025</v>
      </c>
      <c r="D4197" t="s">
        <v>1255</v>
      </c>
      <c r="E4197" t="s">
        <v>1415</v>
      </c>
      <c r="F4197" t="s">
        <v>37</v>
      </c>
      <c r="G4197" t="s">
        <v>45</v>
      </c>
      <c r="H4197" t="s">
        <v>64</v>
      </c>
      <c r="I4197" t="s">
        <v>29</v>
      </c>
      <c r="J4197" t="s">
        <v>35</v>
      </c>
      <c r="K4197" s="2">
        <v>2800</v>
      </c>
      <c r="L4197" s="2">
        <v>7500</v>
      </c>
      <c r="M4197">
        <v>48</v>
      </c>
      <c r="N4197" s="3">
        <v>0.24399999999999999</v>
      </c>
      <c r="O4197" t="s">
        <v>16</v>
      </c>
      <c r="Q4197">
        <v>1</v>
      </c>
      <c r="R4197">
        <v>0</v>
      </c>
      <c r="S4197" s="2">
        <v>7000</v>
      </c>
      <c r="T4197" s="4">
        <v>0.1255</v>
      </c>
      <c r="U4197">
        <v>1</v>
      </c>
      <c r="V4197">
        <v>1</v>
      </c>
      <c r="W4197">
        <v>1</v>
      </c>
    </row>
    <row r="4198" spans="1:23" ht="16.5" x14ac:dyDescent="0.3">
      <c r="A4198" t="s">
        <v>4262</v>
      </c>
      <c r="B4198" s="1">
        <v>45896</v>
      </c>
      <c r="C4198">
        <v>2025</v>
      </c>
      <c r="D4198" t="s">
        <v>1255</v>
      </c>
      <c r="E4198" t="s">
        <v>1415</v>
      </c>
      <c r="F4198" t="s">
        <v>26</v>
      </c>
      <c r="G4198" t="s">
        <v>51</v>
      </c>
      <c r="H4198" t="s">
        <v>28</v>
      </c>
      <c r="I4198" t="s">
        <v>39</v>
      </c>
      <c r="J4198" t="s">
        <v>35</v>
      </c>
      <c r="K4198" s="2">
        <v>4050</v>
      </c>
      <c r="L4198" s="2">
        <v>19000</v>
      </c>
      <c r="M4198">
        <v>60</v>
      </c>
      <c r="N4198" s="3">
        <v>0.19</v>
      </c>
      <c r="O4198" t="s">
        <v>17</v>
      </c>
      <c r="P4198" t="s">
        <v>60</v>
      </c>
      <c r="Q4198">
        <v>0</v>
      </c>
      <c r="R4198">
        <v>1</v>
      </c>
      <c r="S4198" s="2">
        <v>0</v>
      </c>
      <c r="T4198" s="4"/>
      <c r="U4198">
        <v>9</v>
      </c>
      <c r="V4198">
        <v>0</v>
      </c>
      <c r="W4198">
        <v>1</v>
      </c>
    </row>
    <row r="4199" spans="1:23" ht="16.5" x14ac:dyDescent="0.3">
      <c r="A4199" t="s">
        <v>4263</v>
      </c>
      <c r="B4199" s="1">
        <v>45896</v>
      </c>
      <c r="C4199">
        <v>2025</v>
      </c>
      <c r="D4199" t="s">
        <v>1255</v>
      </c>
      <c r="E4199" t="s">
        <v>1415</v>
      </c>
      <c r="F4199" t="s">
        <v>37</v>
      </c>
      <c r="G4199" t="s">
        <v>33</v>
      </c>
      <c r="H4199" t="s">
        <v>38</v>
      </c>
      <c r="I4199" t="s">
        <v>39</v>
      </c>
      <c r="J4199" t="s">
        <v>43</v>
      </c>
      <c r="K4199" s="2">
        <v>6950</v>
      </c>
      <c r="L4199" s="2">
        <v>9500</v>
      </c>
      <c r="M4199">
        <v>24</v>
      </c>
      <c r="N4199" s="3">
        <v>0.25600000000000001</v>
      </c>
      <c r="O4199" t="s">
        <v>125</v>
      </c>
      <c r="Q4199">
        <v>0</v>
      </c>
      <c r="R4199">
        <v>0</v>
      </c>
      <c r="S4199" s="2">
        <v>0</v>
      </c>
      <c r="T4199" s="4"/>
      <c r="U4199">
        <v>5</v>
      </c>
      <c r="V4199">
        <v>0</v>
      </c>
      <c r="W4199">
        <v>1</v>
      </c>
    </row>
    <row r="4200" spans="1:23" ht="16.5" x14ac:dyDescent="0.3">
      <c r="A4200" t="s">
        <v>4264</v>
      </c>
      <c r="B4200" s="1">
        <v>45896</v>
      </c>
      <c r="C4200">
        <v>2025</v>
      </c>
      <c r="D4200" t="s">
        <v>1255</v>
      </c>
      <c r="E4200" t="s">
        <v>1415</v>
      </c>
      <c r="F4200" t="s">
        <v>37</v>
      </c>
      <c r="G4200" t="s">
        <v>51</v>
      </c>
      <c r="H4200" t="s">
        <v>55</v>
      </c>
      <c r="I4200" t="s">
        <v>42</v>
      </c>
      <c r="J4200" t="s">
        <v>52</v>
      </c>
      <c r="K4200" s="2">
        <v>4200</v>
      </c>
      <c r="L4200" s="2">
        <v>10000</v>
      </c>
      <c r="M4200">
        <v>60</v>
      </c>
      <c r="N4200" s="3">
        <v>0.28100000000000003</v>
      </c>
      <c r="O4200" t="s">
        <v>16</v>
      </c>
      <c r="Q4200">
        <v>1</v>
      </c>
      <c r="R4200">
        <v>0</v>
      </c>
      <c r="S4200" s="2">
        <v>9000</v>
      </c>
      <c r="T4200" s="4">
        <v>0.1118</v>
      </c>
      <c r="U4200">
        <v>3</v>
      </c>
      <c r="V4200">
        <v>1</v>
      </c>
      <c r="W4200">
        <v>1</v>
      </c>
    </row>
    <row r="4201" spans="1:23" ht="16.5" x14ac:dyDescent="0.3">
      <c r="A4201" t="s">
        <v>4265</v>
      </c>
      <c r="B4201" s="1">
        <v>45896</v>
      </c>
      <c r="C4201">
        <v>2025</v>
      </c>
      <c r="D4201" t="s">
        <v>1255</v>
      </c>
      <c r="E4201" t="s">
        <v>1415</v>
      </c>
      <c r="F4201" t="s">
        <v>37</v>
      </c>
      <c r="G4201" t="s">
        <v>45</v>
      </c>
      <c r="H4201" t="s">
        <v>64</v>
      </c>
      <c r="I4201" t="s">
        <v>39</v>
      </c>
      <c r="J4201" t="s">
        <v>46</v>
      </c>
      <c r="K4201" s="2">
        <v>11650</v>
      </c>
      <c r="L4201" s="2">
        <v>7000</v>
      </c>
      <c r="M4201">
        <v>24</v>
      </c>
      <c r="N4201" s="3">
        <v>0.22800000000000001</v>
      </c>
      <c r="O4201" t="s">
        <v>16</v>
      </c>
      <c r="Q4201">
        <v>1</v>
      </c>
      <c r="R4201">
        <v>0</v>
      </c>
      <c r="S4201" s="2">
        <v>6500</v>
      </c>
      <c r="T4201" s="4">
        <v>0.1087</v>
      </c>
      <c r="U4201">
        <v>2</v>
      </c>
      <c r="V4201">
        <v>1</v>
      </c>
      <c r="W4201">
        <v>1</v>
      </c>
    </row>
    <row r="4202" spans="1:23" ht="16.5" x14ac:dyDescent="0.3">
      <c r="A4202" t="s">
        <v>4266</v>
      </c>
      <c r="B4202" s="1">
        <v>45896</v>
      </c>
      <c r="C4202">
        <v>2025</v>
      </c>
      <c r="D4202" t="s">
        <v>1255</v>
      </c>
      <c r="E4202" t="s">
        <v>1415</v>
      </c>
      <c r="F4202" t="s">
        <v>50</v>
      </c>
      <c r="G4202" t="s">
        <v>51</v>
      </c>
      <c r="H4202" t="s">
        <v>34</v>
      </c>
      <c r="I4202" t="s">
        <v>42</v>
      </c>
      <c r="J4202" t="s">
        <v>30</v>
      </c>
      <c r="K4202" s="2">
        <v>5850</v>
      </c>
      <c r="L4202" s="2">
        <v>268500</v>
      </c>
      <c r="M4202">
        <v>300</v>
      </c>
      <c r="N4202" s="3">
        <v>0.48399999999999999</v>
      </c>
      <c r="O4202" t="s">
        <v>17</v>
      </c>
      <c r="P4202" t="s">
        <v>31</v>
      </c>
      <c r="Q4202">
        <v>0</v>
      </c>
      <c r="R4202">
        <v>1</v>
      </c>
      <c r="S4202" s="2">
        <v>0</v>
      </c>
      <c r="T4202" s="4"/>
      <c r="U4202">
        <v>13</v>
      </c>
      <c r="V4202">
        <v>1</v>
      </c>
      <c r="W4202">
        <v>1</v>
      </c>
    </row>
    <row r="4203" spans="1:23" ht="16.5" x14ac:dyDescent="0.3">
      <c r="A4203" t="s">
        <v>4267</v>
      </c>
      <c r="B4203" s="1">
        <v>45896</v>
      </c>
      <c r="C4203">
        <v>2025</v>
      </c>
      <c r="D4203" t="s">
        <v>1255</v>
      </c>
      <c r="E4203" t="s">
        <v>1415</v>
      </c>
      <c r="F4203" t="s">
        <v>26</v>
      </c>
      <c r="G4203" t="s">
        <v>33</v>
      </c>
      <c r="H4203" t="s">
        <v>28</v>
      </c>
      <c r="I4203" t="s">
        <v>29</v>
      </c>
      <c r="J4203" t="s">
        <v>43</v>
      </c>
      <c r="K4203" s="2">
        <v>4700</v>
      </c>
      <c r="L4203" s="2">
        <v>34500</v>
      </c>
      <c r="M4203">
        <v>36</v>
      </c>
      <c r="N4203" s="3">
        <v>0.42899999999999999</v>
      </c>
      <c r="O4203" t="s">
        <v>17</v>
      </c>
      <c r="P4203" t="s">
        <v>31</v>
      </c>
      <c r="Q4203">
        <v>0</v>
      </c>
      <c r="R4203">
        <v>1</v>
      </c>
      <c r="S4203" s="2">
        <v>0</v>
      </c>
      <c r="T4203" s="4"/>
      <c r="U4203">
        <v>2</v>
      </c>
      <c r="V4203">
        <v>1</v>
      </c>
      <c r="W4203">
        <v>1</v>
      </c>
    </row>
    <row r="4204" spans="1:23" ht="16.5" x14ac:dyDescent="0.3">
      <c r="A4204" t="s">
        <v>4268</v>
      </c>
      <c r="B4204" s="1">
        <v>45896</v>
      </c>
      <c r="C4204">
        <v>2025</v>
      </c>
      <c r="D4204" t="s">
        <v>1255</v>
      </c>
      <c r="E4204" t="s">
        <v>1415</v>
      </c>
      <c r="F4204" t="s">
        <v>37</v>
      </c>
      <c r="G4204" t="s">
        <v>33</v>
      </c>
      <c r="H4204" t="s">
        <v>38</v>
      </c>
      <c r="I4204" t="s">
        <v>29</v>
      </c>
      <c r="J4204" t="s">
        <v>35</v>
      </c>
      <c r="K4204" s="2">
        <v>3200</v>
      </c>
      <c r="L4204" s="2">
        <v>21500</v>
      </c>
      <c r="M4204">
        <v>48</v>
      </c>
      <c r="N4204" s="3">
        <v>0.309</v>
      </c>
      <c r="O4204" t="s">
        <v>16</v>
      </c>
      <c r="Q4204">
        <v>1</v>
      </c>
      <c r="R4204">
        <v>0</v>
      </c>
      <c r="S4204" s="2">
        <v>21500</v>
      </c>
      <c r="T4204" s="4">
        <v>0.13070000000000001</v>
      </c>
      <c r="U4204">
        <v>2</v>
      </c>
      <c r="V4204">
        <v>1</v>
      </c>
      <c r="W4204">
        <v>1</v>
      </c>
    </row>
    <row r="4205" spans="1:23" ht="16.5" x14ac:dyDescent="0.3">
      <c r="A4205" t="s">
        <v>4269</v>
      </c>
      <c r="B4205" s="1">
        <v>45896</v>
      </c>
      <c r="C4205">
        <v>2025</v>
      </c>
      <c r="D4205" t="s">
        <v>1255</v>
      </c>
      <c r="E4205" t="s">
        <v>1415</v>
      </c>
      <c r="F4205" t="s">
        <v>26</v>
      </c>
      <c r="G4205" t="s">
        <v>45</v>
      </c>
      <c r="H4205" t="s">
        <v>55</v>
      </c>
      <c r="I4205" t="s">
        <v>39</v>
      </c>
      <c r="J4205" t="s">
        <v>46</v>
      </c>
      <c r="K4205" s="2">
        <v>4600</v>
      </c>
      <c r="L4205" s="2">
        <v>13500</v>
      </c>
      <c r="M4205">
        <v>48</v>
      </c>
      <c r="N4205" s="3">
        <v>0.14899999999999999</v>
      </c>
      <c r="O4205" t="s">
        <v>16</v>
      </c>
      <c r="Q4205">
        <v>1</v>
      </c>
      <c r="R4205">
        <v>0</v>
      </c>
      <c r="S4205" s="2">
        <v>13500</v>
      </c>
      <c r="T4205" s="4">
        <v>6.5199999999999994E-2</v>
      </c>
      <c r="U4205">
        <v>2</v>
      </c>
      <c r="V4205">
        <v>1</v>
      </c>
      <c r="W4205">
        <v>1</v>
      </c>
    </row>
    <row r="4206" spans="1:23" ht="16.5" x14ac:dyDescent="0.3">
      <c r="A4206" t="s">
        <v>4270</v>
      </c>
      <c r="B4206" s="1">
        <v>45896</v>
      </c>
      <c r="C4206">
        <v>2025</v>
      </c>
      <c r="D4206" t="s">
        <v>1255</v>
      </c>
      <c r="E4206" t="s">
        <v>1415</v>
      </c>
      <c r="F4206" t="s">
        <v>37</v>
      </c>
      <c r="G4206" t="s">
        <v>45</v>
      </c>
      <c r="H4206" t="s">
        <v>55</v>
      </c>
      <c r="I4206" t="s">
        <v>42</v>
      </c>
      <c r="J4206" t="s">
        <v>35</v>
      </c>
      <c r="K4206" s="2">
        <v>9600</v>
      </c>
      <c r="L4206" s="2">
        <v>19000</v>
      </c>
      <c r="M4206">
        <v>36</v>
      </c>
      <c r="N4206" s="3">
        <v>0.28799999999999998</v>
      </c>
      <c r="O4206" t="s">
        <v>16</v>
      </c>
      <c r="Q4206">
        <v>1</v>
      </c>
      <c r="R4206">
        <v>0</v>
      </c>
      <c r="S4206" s="2">
        <v>17000</v>
      </c>
      <c r="T4206" s="4">
        <v>0.1249</v>
      </c>
      <c r="U4206">
        <v>1</v>
      </c>
      <c r="V4206">
        <v>1</v>
      </c>
      <c r="W4206">
        <v>1</v>
      </c>
    </row>
    <row r="4207" spans="1:23" ht="16.5" x14ac:dyDescent="0.3">
      <c r="A4207" t="s">
        <v>4271</v>
      </c>
      <c r="B4207" s="1">
        <v>45896</v>
      </c>
      <c r="C4207">
        <v>2025</v>
      </c>
      <c r="D4207" t="s">
        <v>1255</v>
      </c>
      <c r="E4207" t="s">
        <v>1415</v>
      </c>
      <c r="F4207" t="s">
        <v>37</v>
      </c>
      <c r="G4207" t="s">
        <v>51</v>
      </c>
      <c r="H4207" t="s">
        <v>34</v>
      </c>
      <c r="I4207" t="s">
        <v>39</v>
      </c>
      <c r="J4207" t="s">
        <v>30</v>
      </c>
      <c r="K4207" s="2">
        <v>6900</v>
      </c>
      <c r="L4207" s="2">
        <v>16000</v>
      </c>
      <c r="M4207">
        <v>24</v>
      </c>
      <c r="N4207" s="3">
        <v>0.19700000000000001</v>
      </c>
      <c r="O4207" t="s">
        <v>17</v>
      </c>
      <c r="P4207" t="s">
        <v>31</v>
      </c>
      <c r="Q4207">
        <v>0</v>
      </c>
      <c r="R4207">
        <v>1</v>
      </c>
      <c r="S4207" s="2">
        <v>0</v>
      </c>
      <c r="T4207" s="4"/>
      <c r="U4207">
        <v>5</v>
      </c>
      <c r="V4207">
        <v>0</v>
      </c>
      <c r="W4207">
        <v>1</v>
      </c>
    </row>
    <row r="4208" spans="1:23" ht="16.5" x14ac:dyDescent="0.3">
      <c r="A4208" t="s">
        <v>4272</v>
      </c>
      <c r="B4208" s="1">
        <v>45896</v>
      </c>
      <c r="C4208">
        <v>2025</v>
      </c>
      <c r="D4208" t="s">
        <v>1255</v>
      </c>
      <c r="E4208" t="s">
        <v>1415</v>
      </c>
      <c r="F4208" t="s">
        <v>26</v>
      </c>
      <c r="G4208" t="s">
        <v>45</v>
      </c>
      <c r="H4208" t="s">
        <v>55</v>
      </c>
      <c r="I4208" t="s">
        <v>29</v>
      </c>
      <c r="J4208" t="s">
        <v>35</v>
      </c>
      <c r="K4208" s="2">
        <v>9550</v>
      </c>
      <c r="L4208" s="2">
        <v>20500</v>
      </c>
      <c r="M4208">
        <v>48</v>
      </c>
      <c r="N4208" s="3">
        <v>0.216</v>
      </c>
      <c r="O4208" t="s">
        <v>17</v>
      </c>
      <c r="P4208" t="s">
        <v>60</v>
      </c>
      <c r="Q4208">
        <v>0</v>
      </c>
      <c r="R4208">
        <v>1</v>
      </c>
      <c r="S4208" s="2">
        <v>0</v>
      </c>
      <c r="T4208" s="4"/>
      <c r="U4208">
        <v>6</v>
      </c>
      <c r="V4208">
        <v>0</v>
      </c>
      <c r="W4208">
        <v>1</v>
      </c>
    </row>
    <row r="4209" spans="1:23" ht="16.5" x14ac:dyDescent="0.3">
      <c r="A4209" t="s">
        <v>4273</v>
      </c>
      <c r="B4209" s="1">
        <v>45896</v>
      </c>
      <c r="C4209">
        <v>2025</v>
      </c>
      <c r="D4209" t="s">
        <v>1255</v>
      </c>
      <c r="E4209" t="s">
        <v>1415</v>
      </c>
      <c r="F4209" t="s">
        <v>37</v>
      </c>
      <c r="G4209" t="s">
        <v>45</v>
      </c>
      <c r="H4209" t="s">
        <v>38</v>
      </c>
      <c r="I4209" t="s">
        <v>29</v>
      </c>
      <c r="J4209" t="s">
        <v>46</v>
      </c>
      <c r="K4209" s="2">
        <v>5900</v>
      </c>
      <c r="L4209" s="2">
        <v>9500</v>
      </c>
      <c r="M4209">
        <v>60</v>
      </c>
      <c r="N4209" s="3">
        <v>0.125</v>
      </c>
      <c r="O4209" t="s">
        <v>16</v>
      </c>
      <c r="Q4209">
        <v>1</v>
      </c>
      <c r="R4209">
        <v>0</v>
      </c>
      <c r="S4209" s="2">
        <v>9500</v>
      </c>
      <c r="T4209" s="4">
        <v>0.1031</v>
      </c>
      <c r="U4209">
        <v>1</v>
      </c>
      <c r="V4209">
        <v>1</v>
      </c>
      <c r="W4209">
        <v>1</v>
      </c>
    </row>
    <row r="4210" spans="1:23" ht="16.5" x14ac:dyDescent="0.3">
      <c r="A4210" t="s">
        <v>4274</v>
      </c>
      <c r="B4210" s="1">
        <v>45897</v>
      </c>
      <c r="C4210">
        <v>2025</v>
      </c>
      <c r="D4210" t="s">
        <v>1255</v>
      </c>
      <c r="E4210" t="s">
        <v>1415</v>
      </c>
      <c r="F4210" t="s">
        <v>41</v>
      </c>
      <c r="G4210" t="s">
        <v>51</v>
      </c>
      <c r="H4210" t="s">
        <v>64</v>
      </c>
      <c r="I4210" t="s">
        <v>29</v>
      </c>
      <c r="J4210" t="s">
        <v>35</v>
      </c>
      <c r="K4210" s="2">
        <v>9150</v>
      </c>
      <c r="L4210" s="2">
        <v>111500</v>
      </c>
      <c r="M4210">
        <v>12</v>
      </c>
      <c r="N4210" s="3">
        <v>1.1579999999999999</v>
      </c>
      <c r="O4210" t="s">
        <v>17</v>
      </c>
      <c r="P4210" t="s">
        <v>53</v>
      </c>
      <c r="Q4210">
        <v>0</v>
      </c>
      <c r="R4210">
        <v>1</v>
      </c>
      <c r="S4210" s="2">
        <v>0</v>
      </c>
      <c r="T4210" s="4"/>
      <c r="U4210">
        <v>10</v>
      </c>
      <c r="V4210">
        <v>1</v>
      </c>
      <c r="W4210">
        <v>1</v>
      </c>
    </row>
    <row r="4211" spans="1:23" ht="16.5" x14ac:dyDescent="0.3">
      <c r="A4211" t="s">
        <v>4275</v>
      </c>
      <c r="B4211" s="1">
        <v>45897</v>
      </c>
      <c r="C4211">
        <v>2025</v>
      </c>
      <c r="D4211" t="s">
        <v>1255</v>
      </c>
      <c r="E4211" t="s">
        <v>1415</v>
      </c>
      <c r="F4211" t="s">
        <v>41</v>
      </c>
      <c r="G4211" t="s">
        <v>33</v>
      </c>
      <c r="H4211" t="s">
        <v>55</v>
      </c>
      <c r="I4211" t="s">
        <v>42</v>
      </c>
      <c r="J4211" t="s">
        <v>35</v>
      </c>
      <c r="K4211" s="2">
        <v>10300</v>
      </c>
      <c r="L4211" s="2">
        <v>63500</v>
      </c>
      <c r="M4211">
        <v>12</v>
      </c>
      <c r="N4211" s="3">
        <v>0.76100000000000001</v>
      </c>
      <c r="O4211" t="s">
        <v>17</v>
      </c>
      <c r="P4211" t="s">
        <v>60</v>
      </c>
      <c r="Q4211">
        <v>0</v>
      </c>
      <c r="R4211">
        <v>1</v>
      </c>
      <c r="S4211" s="2">
        <v>0</v>
      </c>
      <c r="T4211" s="4"/>
      <c r="U4211">
        <v>9</v>
      </c>
      <c r="V4211">
        <v>1</v>
      </c>
      <c r="W4211">
        <v>1</v>
      </c>
    </row>
    <row r="4212" spans="1:23" ht="16.5" x14ac:dyDescent="0.3">
      <c r="A4212" t="s">
        <v>4276</v>
      </c>
      <c r="B4212" s="1">
        <v>45897</v>
      </c>
      <c r="C4212">
        <v>2025</v>
      </c>
      <c r="D4212" t="s">
        <v>1255</v>
      </c>
      <c r="E4212" t="s">
        <v>1415</v>
      </c>
      <c r="F4212" t="s">
        <v>50</v>
      </c>
      <c r="G4212" t="s">
        <v>33</v>
      </c>
      <c r="H4212" t="s">
        <v>28</v>
      </c>
      <c r="I4212" t="s">
        <v>29</v>
      </c>
      <c r="J4212" t="s">
        <v>43</v>
      </c>
      <c r="K4212" s="2">
        <v>2500</v>
      </c>
      <c r="L4212" s="2">
        <v>227000</v>
      </c>
      <c r="M4212">
        <v>180</v>
      </c>
      <c r="N4212" s="3">
        <v>0.89300000000000002</v>
      </c>
      <c r="O4212" t="s">
        <v>125</v>
      </c>
      <c r="Q4212">
        <v>0</v>
      </c>
      <c r="R4212">
        <v>0</v>
      </c>
      <c r="S4212" s="2">
        <v>0</v>
      </c>
      <c r="T4212" s="4"/>
      <c r="U4212">
        <v>8</v>
      </c>
      <c r="V4212">
        <v>1</v>
      </c>
      <c r="W4212">
        <v>1</v>
      </c>
    </row>
    <row r="4213" spans="1:23" ht="16.5" x14ac:dyDescent="0.3">
      <c r="A4213" t="s">
        <v>4277</v>
      </c>
      <c r="B4213" s="1">
        <v>45897</v>
      </c>
      <c r="C4213">
        <v>2025</v>
      </c>
      <c r="D4213" t="s">
        <v>1255</v>
      </c>
      <c r="E4213" t="s">
        <v>1415</v>
      </c>
      <c r="F4213" t="s">
        <v>50</v>
      </c>
      <c r="G4213" t="s">
        <v>45</v>
      </c>
      <c r="H4213" t="s">
        <v>38</v>
      </c>
      <c r="I4213" t="s">
        <v>29</v>
      </c>
      <c r="J4213" t="s">
        <v>52</v>
      </c>
      <c r="K4213" s="2">
        <v>2350</v>
      </c>
      <c r="L4213" s="2">
        <v>171000</v>
      </c>
      <c r="M4213">
        <v>180</v>
      </c>
      <c r="N4213" s="3">
        <v>0.63500000000000001</v>
      </c>
      <c r="O4213" t="s">
        <v>16</v>
      </c>
      <c r="Q4213">
        <v>1</v>
      </c>
      <c r="R4213">
        <v>0</v>
      </c>
      <c r="S4213" s="2">
        <v>171000</v>
      </c>
      <c r="T4213" s="4">
        <v>5.2699999999999997E-2</v>
      </c>
      <c r="U4213">
        <v>11</v>
      </c>
      <c r="V4213">
        <v>1</v>
      </c>
      <c r="W4213">
        <v>1</v>
      </c>
    </row>
    <row r="4214" spans="1:23" ht="16.5" x14ac:dyDescent="0.3">
      <c r="A4214" t="s">
        <v>4278</v>
      </c>
      <c r="B4214" s="1">
        <v>45897</v>
      </c>
      <c r="C4214">
        <v>2025</v>
      </c>
      <c r="D4214" t="s">
        <v>1255</v>
      </c>
      <c r="E4214" t="s">
        <v>1415</v>
      </c>
      <c r="F4214" t="s">
        <v>37</v>
      </c>
      <c r="G4214" t="s">
        <v>45</v>
      </c>
      <c r="H4214" t="s">
        <v>38</v>
      </c>
      <c r="I4214" t="s">
        <v>39</v>
      </c>
      <c r="J4214" t="s">
        <v>52</v>
      </c>
      <c r="K4214" s="2">
        <v>5100</v>
      </c>
      <c r="L4214" s="2">
        <v>7000</v>
      </c>
      <c r="M4214">
        <v>48</v>
      </c>
      <c r="N4214" s="3">
        <v>0.19500000000000001</v>
      </c>
      <c r="O4214" t="s">
        <v>16</v>
      </c>
      <c r="Q4214">
        <v>1</v>
      </c>
      <c r="R4214">
        <v>0</v>
      </c>
      <c r="S4214" s="2">
        <v>7000</v>
      </c>
      <c r="T4214" s="4">
        <v>0.1169</v>
      </c>
      <c r="U4214">
        <v>2</v>
      </c>
      <c r="V4214">
        <v>1</v>
      </c>
      <c r="W4214">
        <v>1</v>
      </c>
    </row>
    <row r="4215" spans="1:23" ht="16.5" x14ac:dyDescent="0.3">
      <c r="A4215" t="s">
        <v>4279</v>
      </c>
      <c r="B4215" s="1">
        <v>45897</v>
      </c>
      <c r="C4215">
        <v>2025</v>
      </c>
      <c r="D4215" t="s">
        <v>1255</v>
      </c>
      <c r="E4215" t="s">
        <v>1415</v>
      </c>
      <c r="F4215" t="s">
        <v>37</v>
      </c>
      <c r="G4215" t="s">
        <v>51</v>
      </c>
      <c r="H4215" t="s">
        <v>34</v>
      </c>
      <c r="I4215" t="s">
        <v>29</v>
      </c>
      <c r="J4215" t="s">
        <v>43</v>
      </c>
      <c r="K4215" s="2">
        <v>5800</v>
      </c>
      <c r="L4215" s="2">
        <v>6500</v>
      </c>
      <c r="M4215">
        <v>24</v>
      </c>
      <c r="N4215" s="3">
        <v>0.218</v>
      </c>
      <c r="O4215" t="s">
        <v>16</v>
      </c>
      <c r="Q4215">
        <v>1</v>
      </c>
      <c r="R4215">
        <v>0</v>
      </c>
      <c r="S4215" s="2">
        <v>6000</v>
      </c>
      <c r="T4215" s="4">
        <v>0.1628</v>
      </c>
      <c r="U4215">
        <v>6</v>
      </c>
      <c r="V4215">
        <v>0</v>
      </c>
      <c r="W4215">
        <v>1</v>
      </c>
    </row>
    <row r="4216" spans="1:23" ht="16.5" x14ac:dyDescent="0.3">
      <c r="A4216" t="s">
        <v>4280</v>
      </c>
      <c r="B4216" s="1">
        <v>45897</v>
      </c>
      <c r="C4216">
        <v>2025</v>
      </c>
      <c r="D4216" t="s">
        <v>1255</v>
      </c>
      <c r="E4216" t="s">
        <v>1415</v>
      </c>
      <c r="F4216" t="s">
        <v>37</v>
      </c>
      <c r="G4216" t="s">
        <v>33</v>
      </c>
      <c r="H4216" t="s">
        <v>34</v>
      </c>
      <c r="I4216" t="s">
        <v>39</v>
      </c>
      <c r="J4216" t="s">
        <v>30</v>
      </c>
      <c r="K4216" s="2">
        <v>3250</v>
      </c>
      <c r="L4216" s="2">
        <v>34500</v>
      </c>
      <c r="M4216">
        <v>24</v>
      </c>
      <c r="N4216" s="3">
        <v>0.64500000000000002</v>
      </c>
      <c r="O4216" t="s">
        <v>17</v>
      </c>
      <c r="P4216" t="s">
        <v>53</v>
      </c>
      <c r="Q4216">
        <v>0</v>
      </c>
      <c r="R4216">
        <v>1</v>
      </c>
      <c r="S4216" s="2">
        <v>0</v>
      </c>
      <c r="T4216" s="4"/>
      <c r="U4216">
        <v>1</v>
      </c>
      <c r="V4216">
        <v>1</v>
      </c>
      <c r="W4216">
        <v>1</v>
      </c>
    </row>
    <row r="4217" spans="1:23" ht="16.5" x14ac:dyDescent="0.3">
      <c r="A4217" t="s">
        <v>4281</v>
      </c>
      <c r="B4217" s="1">
        <v>45897</v>
      </c>
      <c r="C4217">
        <v>2025</v>
      </c>
      <c r="D4217" t="s">
        <v>1255</v>
      </c>
      <c r="E4217" t="s">
        <v>1415</v>
      </c>
      <c r="F4217" t="s">
        <v>26</v>
      </c>
      <c r="G4217" t="s">
        <v>33</v>
      </c>
      <c r="H4217" t="s">
        <v>28</v>
      </c>
      <c r="I4217" t="s">
        <v>39</v>
      </c>
      <c r="J4217" t="s">
        <v>30</v>
      </c>
      <c r="K4217" s="2">
        <v>4150</v>
      </c>
      <c r="L4217" s="2">
        <v>28500</v>
      </c>
      <c r="M4217">
        <v>48</v>
      </c>
      <c r="N4217" s="3">
        <v>0.39100000000000001</v>
      </c>
      <c r="O4217" t="s">
        <v>17</v>
      </c>
      <c r="P4217" t="s">
        <v>60</v>
      </c>
      <c r="Q4217">
        <v>0</v>
      </c>
      <c r="R4217">
        <v>1</v>
      </c>
      <c r="S4217" s="2">
        <v>0</v>
      </c>
      <c r="T4217" s="4"/>
      <c r="U4217">
        <v>6</v>
      </c>
      <c r="V4217">
        <v>0</v>
      </c>
      <c r="W4217">
        <v>1</v>
      </c>
    </row>
    <row r="4218" spans="1:23" ht="16.5" x14ac:dyDescent="0.3">
      <c r="A4218" t="s">
        <v>4282</v>
      </c>
      <c r="B4218" s="1">
        <v>45897</v>
      </c>
      <c r="C4218">
        <v>2025</v>
      </c>
      <c r="D4218" t="s">
        <v>1255</v>
      </c>
      <c r="E4218" t="s">
        <v>1415</v>
      </c>
      <c r="F4218" t="s">
        <v>37</v>
      </c>
      <c r="G4218" t="s">
        <v>45</v>
      </c>
      <c r="H4218" t="s">
        <v>38</v>
      </c>
      <c r="I4218" t="s">
        <v>39</v>
      </c>
      <c r="J4218" t="s">
        <v>46</v>
      </c>
      <c r="K4218" s="2">
        <v>3350</v>
      </c>
      <c r="L4218" s="2">
        <v>17500</v>
      </c>
      <c r="M4218">
        <v>12</v>
      </c>
      <c r="N4218" s="3">
        <v>0.56899999999999995</v>
      </c>
      <c r="O4218" t="s">
        <v>17</v>
      </c>
      <c r="P4218" t="s">
        <v>60</v>
      </c>
      <c r="Q4218">
        <v>0</v>
      </c>
      <c r="R4218">
        <v>1</v>
      </c>
      <c r="S4218" s="2">
        <v>0</v>
      </c>
      <c r="T4218" s="4"/>
      <c r="U4218">
        <v>5</v>
      </c>
      <c r="V4218">
        <v>0</v>
      </c>
      <c r="W4218">
        <v>1</v>
      </c>
    </row>
    <row r="4219" spans="1:23" ht="16.5" x14ac:dyDescent="0.3">
      <c r="A4219" t="s">
        <v>4283</v>
      </c>
      <c r="B4219" s="1">
        <v>45897</v>
      </c>
      <c r="C4219">
        <v>2025</v>
      </c>
      <c r="D4219" t="s">
        <v>1255</v>
      </c>
      <c r="E4219" t="s">
        <v>1415</v>
      </c>
      <c r="F4219" t="s">
        <v>26</v>
      </c>
      <c r="G4219" t="s">
        <v>45</v>
      </c>
      <c r="H4219" t="s">
        <v>38</v>
      </c>
      <c r="I4219" t="s">
        <v>29</v>
      </c>
      <c r="J4219" t="s">
        <v>30</v>
      </c>
      <c r="K4219" s="2">
        <v>3650</v>
      </c>
      <c r="L4219" s="2">
        <v>30000</v>
      </c>
      <c r="M4219">
        <v>36</v>
      </c>
      <c r="N4219" s="3">
        <v>0.44800000000000001</v>
      </c>
      <c r="O4219" t="s">
        <v>16</v>
      </c>
      <c r="Q4219">
        <v>1</v>
      </c>
      <c r="R4219">
        <v>0</v>
      </c>
      <c r="S4219" s="2">
        <v>24000</v>
      </c>
      <c r="T4219" s="4">
        <v>9.7100000000000006E-2</v>
      </c>
      <c r="U4219">
        <v>2</v>
      </c>
      <c r="V4219">
        <v>1</v>
      </c>
      <c r="W4219">
        <v>1</v>
      </c>
    </row>
    <row r="4220" spans="1:23" ht="16.5" x14ac:dyDescent="0.3">
      <c r="A4220" t="s">
        <v>4284</v>
      </c>
      <c r="B4220" s="1">
        <v>45897</v>
      </c>
      <c r="C4220">
        <v>2025</v>
      </c>
      <c r="D4220" t="s">
        <v>1255</v>
      </c>
      <c r="E4220" t="s">
        <v>1415</v>
      </c>
      <c r="F4220" t="s">
        <v>37</v>
      </c>
      <c r="G4220" t="s">
        <v>33</v>
      </c>
      <c r="H4220" t="s">
        <v>28</v>
      </c>
      <c r="I4220" t="s">
        <v>29</v>
      </c>
      <c r="J4220" t="s">
        <v>30</v>
      </c>
      <c r="K4220" s="2">
        <v>8200</v>
      </c>
      <c r="L4220" s="2">
        <v>28000</v>
      </c>
      <c r="M4220">
        <v>12</v>
      </c>
      <c r="N4220" s="3">
        <v>0.40400000000000003</v>
      </c>
      <c r="O4220" t="s">
        <v>16</v>
      </c>
      <c r="Q4220">
        <v>1</v>
      </c>
      <c r="R4220">
        <v>0</v>
      </c>
      <c r="S4220" s="2">
        <v>22500</v>
      </c>
      <c r="T4220" s="4">
        <v>0.1394</v>
      </c>
      <c r="U4220">
        <v>1</v>
      </c>
      <c r="V4220">
        <v>1</v>
      </c>
      <c r="W4220">
        <v>1</v>
      </c>
    </row>
    <row r="4221" spans="1:23" ht="16.5" x14ac:dyDescent="0.3">
      <c r="A4221" t="s">
        <v>4285</v>
      </c>
      <c r="B4221" s="1">
        <v>45897</v>
      </c>
      <c r="C4221">
        <v>2025</v>
      </c>
      <c r="D4221" t="s">
        <v>1255</v>
      </c>
      <c r="E4221" t="s">
        <v>1415</v>
      </c>
      <c r="F4221" t="s">
        <v>26</v>
      </c>
      <c r="G4221" t="s">
        <v>51</v>
      </c>
      <c r="H4221" t="s">
        <v>55</v>
      </c>
      <c r="I4221" t="s">
        <v>39</v>
      </c>
      <c r="J4221" t="s">
        <v>30</v>
      </c>
      <c r="K4221" s="2">
        <v>5300</v>
      </c>
      <c r="L4221" s="2">
        <v>25000</v>
      </c>
      <c r="M4221">
        <v>36</v>
      </c>
      <c r="N4221" s="3">
        <v>0.38600000000000001</v>
      </c>
      <c r="O4221" t="s">
        <v>125</v>
      </c>
      <c r="Q4221">
        <v>0</v>
      </c>
      <c r="R4221">
        <v>0</v>
      </c>
      <c r="S4221" s="2">
        <v>0</v>
      </c>
      <c r="T4221" s="4"/>
      <c r="U4221">
        <v>5</v>
      </c>
      <c r="V4221">
        <v>0</v>
      </c>
      <c r="W4221">
        <v>1</v>
      </c>
    </row>
    <row r="4222" spans="1:23" ht="16.5" x14ac:dyDescent="0.3">
      <c r="A4222" t="s">
        <v>4286</v>
      </c>
      <c r="B4222" s="1">
        <v>45897</v>
      </c>
      <c r="C4222">
        <v>2025</v>
      </c>
      <c r="D4222" t="s">
        <v>1255</v>
      </c>
      <c r="E4222" t="s">
        <v>1415</v>
      </c>
      <c r="F4222" t="s">
        <v>41</v>
      </c>
      <c r="G4222" t="s">
        <v>27</v>
      </c>
      <c r="H4222" t="s">
        <v>34</v>
      </c>
      <c r="I4222" t="s">
        <v>29</v>
      </c>
      <c r="J4222" t="s">
        <v>43</v>
      </c>
      <c r="K4222" s="2">
        <v>4100</v>
      </c>
      <c r="L4222" s="2">
        <v>62000</v>
      </c>
      <c r="M4222">
        <v>12</v>
      </c>
      <c r="N4222" s="3">
        <v>1.55</v>
      </c>
      <c r="O4222" t="s">
        <v>125</v>
      </c>
      <c r="Q4222">
        <v>0</v>
      </c>
      <c r="R4222">
        <v>0</v>
      </c>
      <c r="S4222" s="2">
        <v>0</v>
      </c>
      <c r="T4222" s="4"/>
      <c r="U4222">
        <v>11</v>
      </c>
      <c r="V4222">
        <v>0</v>
      </c>
      <c r="W4222">
        <v>1</v>
      </c>
    </row>
    <row r="4223" spans="1:23" ht="16.5" x14ac:dyDescent="0.3">
      <c r="A4223" t="s">
        <v>4287</v>
      </c>
      <c r="B4223" s="1">
        <v>45898</v>
      </c>
      <c r="C4223">
        <v>2025</v>
      </c>
      <c r="D4223" t="s">
        <v>1255</v>
      </c>
      <c r="E4223" t="s">
        <v>1415</v>
      </c>
      <c r="F4223" t="s">
        <v>50</v>
      </c>
      <c r="G4223" t="s">
        <v>33</v>
      </c>
      <c r="H4223" t="s">
        <v>28</v>
      </c>
      <c r="I4223" t="s">
        <v>42</v>
      </c>
      <c r="J4223" t="s">
        <v>35</v>
      </c>
      <c r="K4223" s="2">
        <v>7600</v>
      </c>
      <c r="L4223" s="2">
        <v>330000</v>
      </c>
      <c r="M4223">
        <v>180</v>
      </c>
      <c r="N4223" s="3">
        <v>0.52800000000000002</v>
      </c>
      <c r="O4223" t="s">
        <v>17</v>
      </c>
      <c r="P4223" t="s">
        <v>60</v>
      </c>
      <c r="Q4223">
        <v>0</v>
      </c>
      <c r="R4223">
        <v>1</v>
      </c>
      <c r="S4223" s="2">
        <v>0</v>
      </c>
      <c r="T4223" s="4"/>
      <c r="U4223">
        <v>8</v>
      </c>
      <c r="V4223">
        <v>1</v>
      </c>
      <c r="W4223">
        <v>1</v>
      </c>
    </row>
    <row r="4224" spans="1:23" ht="16.5" x14ac:dyDescent="0.3">
      <c r="A4224" t="s">
        <v>4288</v>
      </c>
      <c r="B4224" s="1">
        <v>45898</v>
      </c>
      <c r="C4224">
        <v>2025</v>
      </c>
      <c r="D4224" t="s">
        <v>1255</v>
      </c>
      <c r="E4224" t="s">
        <v>1415</v>
      </c>
      <c r="F4224" t="s">
        <v>26</v>
      </c>
      <c r="G4224" t="s">
        <v>45</v>
      </c>
      <c r="H4224" t="s">
        <v>55</v>
      </c>
      <c r="I4224" t="s">
        <v>39</v>
      </c>
      <c r="J4224" t="s">
        <v>30</v>
      </c>
      <c r="K4224" s="2">
        <v>8050</v>
      </c>
      <c r="L4224" s="2">
        <v>20500</v>
      </c>
      <c r="M4224">
        <v>48</v>
      </c>
      <c r="N4224" s="3">
        <v>0.26700000000000002</v>
      </c>
      <c r="O4224" t="s">
        <v>125</v>
      </c>
      <c r="Q4224">
        <v>0</v>
      </c>
      <c r="R4224">
        <v>0</v>
      </c>
      <c r="S4224" s="2">
        <v>0</v>
      </c>
      <c r="T4224" s="4"/>
      <c r="U4224">
        <v>3</v>
      </c>
      <c r="V4224">
        <v>1</v>
      </c>
      <c r="W4224">
        <v>1</v>
      </c>
    </row>
    <row r="4225" spans="1:23" ht="16.5" x14ac:dyDescent="0.3">
      <c r="A4225" t="s">
        <v>4289</v>
      </c>
      <c r="B4225" s="1">
        <v>45898</v>
      </c>
      <c r="C4225">
        <v>2025</v>
      </c>
      <c r="D4225" t="s">
        <v>1255</v>
      </c>
      <c r="E4225" t="s">
        <v>1415</v>
      </c>
      <c r="F4225" t="s">
        <v>37</v>
      </c>
      <c r="G4225" t="s">
        <v>33</v>
      </c>
      <c r="H4225" t="s">
        <v>38</v>
      </c>
      <c r="I4225" t="s">
        <v>42</v>
      </c>
      <c r="J4225" t="s">
        <v>35</v>
      </c>
      <c r="K4225" s="2">
        <v>8750</v>
      </c>
      <c r="L4225" s="2">
        <v>18500</v>
      </c>
      <c r="M4225">
        <v>24</v>
      </c>
      <c r="N4225" s="3">
        <v>0.32500000000000001</v>
      </c>
      <c r="O4225" t="s">
        <v>16</v>
      </c>
      <c r="Q4225">
        <v>1</v>
      </c>
      <c r="R4225">
        <v>0</v>
      </c>
      <c r="S4225" s="2">
        <v>15000</v>
      </c>
      <c r="T4225" s="4">
        <v>0.1234</v>
      </c>
      <c r="U4225">
        <v>1</v>
      </c>
      <c r="V4225">
        <v>1</v>
      </c>
      <c r="W4225">
        <v>1</v>
      </c>
    </row>
    <row r="4226" spans="1:23" ht="16.5" x14ac:dyDescent="0.3">
      <c r="A4226" t="s">
        <v>4290</v>
      </c>
      <c r="B4226" s="1">
        <v>45898</v>
      </c>
      <c r="C4226">
        <v>2025</v>
      </c>
      <c r="D4226" t="s">
        <v>1255</v>
      </c>
      <c r="E4226" t="s">
        <v>1415</v>
      </c>
      <c r="F4226" t="s">
        <v>26</v>
      </c>
      <c r="G4226" t="s">
        <v>45</v>
      </c>
      <c r="H4226" t="s">
        <v>55</v>
      </c>
      <c r="I4226" t="s">
        <v>39</v>
      </c>
      <c r="J4226" t="s">
        <v>30</v>
      </c>
      <c r="K4226" s="2">
        <v>4950</v>
      </c>
      <c r="L4226" s="2">
        <v>20500</v>
      </c>
      <c r="M4226">
        <v>36</v>
      </c>
      <c r="N4226" s="3">
        <v>0.25900000000000001</v>
      </c>
      <c r="O4226" t="s">
        <v>125</v>
      </c>
      <c r="Q4226">
        <v>0</v>
      </c>
      <c r="R4226">
        <v>0</v>
      </c>
      <c r="S4226" s="2">
        <v>0</v>
      </c>
      <c r="T4226" s="4"/>
      <c r="U4226">
        <v>2</v>
      </c>
      <c r="V4226">
        <v>1</v>
      </c>
      <c r="W4226">
        <v>1</v>
      </c>
    </row>
    <row r="4227" spans="1:23" ht="16.5" x14ac:dyDescent="0.3">
      <c r="A4227" t="s">
        <v>4291</v>
      </c>
      <c r="B4227" s="1">
        <v>45898</v>
      </c>
      <c r="C4227">
        <v>2025</v>
      </c>
      <c r="D4227" t="s">
        <v>1255</v>
      </c>
      <c r="E4227" t="s">
        <v>1415</v>
      </c>
      <c r="F4227" t="s">
        <v>26</v>
      </c>
      <c r="G4227" t="s">
        <v>33</v>
      </c>
      <c r="H4227" t="s">
        <v>28</v>
      </c>
      <c r="I4227" t="s">
        <v>39</v>
      </c>
      <c r="J4227" t="s">
        <v>30</v>
      </c>
      <c r="K4227" s="2">
        <v>7900</v>
      </c>
      <c r="L4227" s="2">
        <v>25000</v>
      </c>
      <c r="M4227">
        <v>60</v>
      </c>
      <c r="N4227" s="3">
        <v>0.17799999999999999</v>
      </c>
      <c r="O4227" t="s">
        <v>17</v>
      </c>
      <c r="P4227" t="s">
        <v>31</v>
      </c>
      <c r="Q4227">
        <v>0</v>
      </c>
      <c r="R4227">
        <v>1</v>
      </c>
      <c r="S4227" s="2">
        <v>0</v>
      </c>
      <c r="T4227" s="4"/>
      <c r="U4227">
        <v>1</v>
      </c>
      <c r="V4227">
        <v>1</v>
      </c>
      <c r="W4227">
        <v>1</v>
      </c>
    </row>
    <row r="4228" spans="1:23" ht="16.5" x14ac:dyDescent="0.3">
      <c r="A4228" t="s">
        <v>4292</v>
      </c>
      <c r="B4228" s="1">
        <v>45898</v>
      </c>
      <c r="C4228">
        <v>2025</v>
      </c>
      <c r="D4228" t="s">
        <v>1255</v>
      </c>
      <c r="E4228" t="s">
        <v>1415</v>
      </c>
      <c r="F4228" t="s">
        <v>37</v>
      </c>
      <c r="G4228" t="s">
        <v>45</v>
      </c>
      <c r="H4228" t="s">
        <v>38</v>
      </c>
      <c r="I4228" t="s">
        <v>39</v>
      </c>
      <c r="J4228" t="s">
        <v>30</v>
      </c>
      <c r="K4228" s="2">
        <v>5900</v>
      </c>
      <c r="L4228" s="2">
        <v>16500</v>
      </c>
      <c r="M4228">
        <v>36</v>
      </c>
      <c r="N4228" s="3">
        <v>0.219</v>
      </c>
      <c r="O4228" t="s">
        <v>16</v>
      </c>
      <c r="Q4228">
        <v>1</v>
      </c>
      <c r="R4228">
        <v>0</v>
      </c>
      <c r="S4228" s="2">
        <v>15000</v>
      </c>
      <c r="T4228" s="4">
        <v>0.14219999999999999</v>
      </c>
      <c r="U4228">
        <v>1</v>
      </c>
      <c r="V4228">
        <v>1</v>
      </c>
      <c r="W4228">
        <v>1</v>
      </c>
    </row>
    <row r="4229" spans="1:23" ht="16.5" x14ac:dyDescent="0.3">
      <c r="A4229" t="s">
        <v>4293</v>
      </c>
      <c r="B4229" s="1">
        <v>45898</v>
      </c>
      <c r="C4229">
        <v>2025</v>
      </c>
      <c r="D4229" t="s">
        <v>1255</v>
      </c>
      <c r="E4229" t="s">
        <v>1415</v>
      </c>
      <c r="F4229" t="s">
        <v>26</v>
      </c>
      <c r="G4229" t="s">
        <v>51</v>
      </c>
      <c r="H4229" t="s">
        <v>55</v>
      </c>
      <c r="I4229" t="s">
        <v>42</v>
      </c>
      <c r="J4229" t="s">
        <v>46</v>
      </c>
      <c r="K4229" s="2">
        <v>11000</v>
      </c>
      <c r="L4229" s="2">
        <v>26500</v>
      </c>
      <c r="M4229">
        <v>60</v>
      </c>
      <c r="N4229" s="3">
        <v>0.16900000000000001</v>
      </c>
      <c r="O4229" t="s">
        <v>16</v>
      </c>
      <c r="Q4229">
        <v>1</v>
      </c>
      <c r="R4229">
        <v>0</v>
      </c>
      <c r="S4229" s="2">
        <v>26500</v>
      </c>
      <c r="T4229" s="4">
        <v>6.1199999999999997E-2</v>
      </c>
      <c r="U4229">
        <v>5</v>
      </c>
      <c r="V4229">
        <v>0</v>
      </c>
      <c r="W4229">
        <v>1</v>
      </c>
    </row>
    <row r="4230" spans="1:23" ht="16.5" x14ac:dyDescent="0.3">
      <c r="A4230" t="s">
        <v>4294</v>
      </c>
      <c r="B4230" s="1">
        <v>45898</v>
      </c>
      <c r="C4230">
        <v>2025</v>
      </c>
      <c r="D4230" t="s">
        <v>1255</v>
      </c>
      <c r="E4230" t="s">
        <v>1415</v>
      </c>
      <c r="F4230" t="s">
        <v>50</v>
      </c>
      <c r="G4230" t="s">
        <v>27</v>
      </c>
      <c r="H4230" t="s">
        <v>28</v>
      </c>
      <c r="I4230" t="s">
        <v>39</v>
      </c>
      <c r="J4230" t="s">
        <v>46</v>
      </c>
      <c r="K4230" s="2">
        <v>5000</v>
      </c>
      <c r="L4230" s="2">
        <v>244500</v>
      </c>
      <c r="M4230">
        <v>300</v>
      </c>
      <c r="N4230" s="3">
        <v>0.372</v>
      </c>
      <c r="O4230" t="s">
        <v>16</v>
      </c>
      <c r="Q4230">
        <v>1</v>
      </c>
      <c r="R4230">
        <v>0</v>
      </c>
      <c r="S4230" s="2">
        <v>220000</v>
      </c>
      <c r="T4230" s="4">
        <v>4.4900000000000002E-2</v>
      </c>
      <c r="U4230">
        <v>8</v>
      </c>
      <c r="V4230">
        <v>1</v>
      </c>
      <c r="W4230">
        <v>1</v>
      </c>
    </row>
    <row r="4231" spans="1:23" ht="16.5" x14ac:dyDescent="0.3">
      <c r="A4231" t="s">
        <v>4295</v>
      </c>
      <c r="B4231" s="1">
        <v>45899</v>
      </c>
      <c r="C4231">
        <v>2025</v>
      </c>
      <c r="D4231" t="s">
        <v>1255</v>
      </c>
      <c r="E4231" t="s">
        <v>1415</v>
      </c>
      <c r="F4231" t="s">
        <v>41</v>
      </c>
      <c r="G4231" t="s">
        <v>33</v>
      </c>
      <c r="H4231" t="s">
        <v>64</v>
      </c>
      <c r="I4231" t="s">
        <v>39</v>
      </c>
      <c r="J4231" t="s">
        <v>35</v>
      </c>
      <c r="K4231" s="2">
        <v>5800</v>
      </c>
      <c r="L4231" s="2">
        <v>63500</v>
      </c>
      <c r="M4231">
        <v>60</v>
      </c>
      <c r="N4231" s="3">
        <v>0.44900000000000001</v>
      </c>
      <c r="O4231" t="s">
        <v>17</v>
      </c>
      <c r="P4231" t="s">
        <v>60</v>
      </c>
      <c r="Q4231">
        <v>0</v>
      </c>
      <c r="R4231">
        <v>1</v>
      </c>
      <c r="S4231" s="2">
        <v>0</v>
      </c>
      <c r="T4231" s="4"/>
      <c r="U4231">
        <v>8</v>
      </c>
      <c r="V4231">
        <v>1</v>
      </c>
      <c r="W4231">
        <v>1</v>
      </c>
    </row>
    <row r="4232" spans="1:23" ht="16.5" x14ac:dyDescent="0.3">
      <c r="A4232" t="s">
        <v>4296</v>
      </c>
      <c r="B4232" s="1">
        <v>45899</v>
      </c>
      <c r="C4232">
        <v>2025</v>
      </c>
      <c r="D4232" t="s">
        <v>1255</v>
      </c>
      <c r="E4232" t="s">
        <v>1415</v>
      </c>
      <c r="F4232" t="s">
        <v>26</v>
      </c>
      <c r="G4232" t="s">
        <v>27</v>
      </c>
      <c r="H4232" t="s">
        <v>34</v>
      </c>
      <c r="I4232" t="s">
        <v>29</v>
      </c>
      <c r="J4232" t="s">
        <v>30</v>
      </c>
      <c r="K4232" s="2">
        <v>6950</v>
      </c>
      <c r="L4232" s="2">
        <v>25000</v>
      </c>
      <c r="M4232">
        <v>60</v>
      </c>
      <c r="N4232" s="3">
        <v>0.27900000000000003</v>
      </c>
      <c r="O4232" t="s">
        <v>125</v>
      </c>
      <c r="Q4232">
        <v>0</v>
      </c>
      <c r="R4232">
        <v>0</v>
      </c>
      <c r="S4232" s="2">
        <v>0</v>
      </c>
      <c r="T4232" s="4"/>
      <c r="U4232">
        <v>2</v>
      </c>
      <c r="V4232">
        <v>1</v>
      </c>
      <c r="W4232">
        <v>1</v>
      </c>
    </row>
    <row r="4233" spans="1:23" ht="16.5" x14ac:dyDescent="0.3">
      <c r="A4233" t="s">
        <v>4297</v>
      </c>
      <c r="B4233" s="1">
        <v>45899</v>
      </c>
      <c r="C4233">
        <v>2025</v>
      </c>
      <c r="D4233" t="s">
        <v>1255</v>
      </c>
      <c r="E4233" t="s">
        <v>1415</v>
      </c>
      <c r="F4233" t="s">
        <v>50</v>
      </c>
      <c r="G4233" t="s">
        <v>45</v>
      </c>
      <c r="H4233" t="s">
        <v>64</v>
      </c>
      <c r="I4233" t="s">
        <v>39</v>
      </c>
      <c r="J4233" t="s">
        <v>52</v>
      </c>
      <c r="K4233" s="2">
        <v>3750</v>
      </c>
      <c r="L4233" s="2">
        <v>272000</v>
      </c>
      <c r="M4233">
        <v>240</v>
      </c>
      <c r="N4233" s="3">
        <v>0.64900000000000002</v>
      </c>
      <c r="O4233" t="s">
        <v>17</v>
      </c>
      <c r="P4233" t="s">
        <v>53</v>
      </c>
      <c r="Q4233">
        <v>0</v>
      </c>
      <c r="R4233">
        <v>1</v>
      </c>
      <c r="S4233" s="2">
        <v>0</v>
      </c>
      <c r="T4233" s="4"/>
      <c r="U4233">
        <v>7</v>
      </c>
      <c r="V4233">
        <v>1</v>
      </c>
      <c r="W4233">
        <v>1</v>
      </c>
    </row>
    <row r="4234" spans="1:23" ht="16.5" x14ac:dyDescent="0.3">
      <c r="A4234" t="s">
        <v>4298</v>
      </c>
      <c r="B4234" s="1">
        <v>45899</v>
      </c>
      <c r="C4234">
        <v>2025</v>
      </c>
      <c r="D4234" t="s">
        <v>1255</v>
      </c>
      <c r="E4234" t="s">
        <v>1415</v>
      </c>
      <c r="F4234" t="s">
        <v>41</v>
      </c>
      <c r="G4234" t="s">
        <v>27</v>
      </c>
      <c r="H4234" t="s">
        <v>28</v>
      </c>
      <c r="I4234" t="s">
        <v>29</v>
      </c>
      <c r="J4234" t="s">
        <v>52</v>
      </c>
      <c r="K4234" s="2">
        <v>11050</v>
      </c>
      <c r="L4234" s="2">
        <v>90500</v>
      </c>
      <c r="M4234">
        <v>12</v>
      </c>
      <c r="N4234" s="3">
        <v>0.94699999999999995</v>
      </c>
      <c r="O4234" t="s">
        <v>16</v>
      </c>
      <c r="Q4234">
        <v>1</v>
      </c>
      <c r="R4234">
        <v>0</v>
      </c>
      <c r="S4234" s="2">
        <v>90500</v>
      </c>
      <c r="T4234" s="4">
        <v>9.7000000000000003E-2</v>
      </c>
      <c r="U4234">
        <v>9</v>
      </c>
      <c r="V4234">
        <v>1</v>
      </c>
      <c r="W4234">
        <v>1</v>
      </c>
    </row>
    <row r="4235" spans="1:23" ht="16.5" x14ac:dyDescent="0.3">
      <c r="A4235" t="s">
        <v>4299</v>
      </c>
      <c r="B4235" s="1">
        <v>45899</v>
      </c>
      <c r="C4235">
        <v>2025</v>
      </c>
      <c r="D4235" t="s">
        <v>1255</v>
      </c>
      <c r="E4235" t="s">
        <v>1415</v>
      </c>
      <c r="F4235" t="s">
        <v>37</v>
      </c>
      <c r="G4235" t="s">
        <v>33</v>
      </c>
      <c r="H4235" t="s">
        <v>28</v>
      </c>
      <c r="I4235" t="s">
        <v>29</v>
      </c>
      <c r="J4235" t="s">
        <v>35</v>
      </c>
      <c r="K4235" s="2">
        <v>4150</v>
      </c>
      <c r="L4235" s="2">
        <v>10500</v>
      </c>
      <c r="M4235">
        <v>60</v>
      </c>
      <c r="N4235" s="3">
        <v>0.253</v>
      </c>
      <c r="O4235" t="s">
        <v>17</v>
      </c>
      <c r="P4235" t="s">
        <v>60</v>
      </c>
      <c r="Q4235">
        <v>0</v>
      </c>
      <c r="R4235">
        <v>1</v>
      </c>
      <c r="S4235" s="2">
        <v>0</v>
      </c>
      <c r="T4235" s="4"/>
      <c r="U4235">
        <v>5</v>
      </c>
      <c r="V4235">
        <v>0</v>
      </c>
      <c r="W4235">
        <v>1</v>
      </c>
    </row>
    <row r="4236" spans="1:23" ht="16.5" x14ac:dyDescent="0.3">
      <c r="A4236" t="s">
        <v>4300</v>
      </c>
      <c r="B4236" s="1">
        <v>45900</v>
      </c>
      <c r="C4236">
        <v>2025</v>
      </c>
      <c r="D4236" t="s">
        <v>1255</v>
      </c>
      <c r="E4236" t="s">
        <v>1415</v>
      </c>
      <c r="F4236" t="s">
        <v>41</v>
      </c>
      <c r="G4236" t="s">
        <v>33</v>
      </c>
      <c r="H4236" t="s">
        <v>38</v>
      </c>
      <c r="I4236" t="s">
        <v>29</v>
      </c>
      <c r="J4236" t="s">
        <v>35</v>
      </c>
      <c r="K4236" s="2">
        <v>6450</v>
      </c>
      <c r="L4236" s="2">
        <v>87500</v>
      </c>
      <c r="M4236">
        <v>24</v>
      </c>
      <c r="N4236" s="3">
        <v>0.83699999999999997</v>
      </c>
      <c r="O4236" t="s">
        <v>17</v>
      </c>
      <c r="P4236" t="s">
        <v>53</v>
      </c>
      <c r="Q4236">
        <v>0</v>
      </c>
      <c r="R4236">
        <v>1</v>
      </c>
      <c r="S4236" s="2">
        <v>0</v>
      </c>
      <c r="T4236" s="4"/>
      <c r="U4236">
        <v>9</v>
      </c>
      <c r="V4236">
        <v>1</v>
      </c>
      <c r="W4236">
        <v>1</v>
      </c>
    </row>
    <row r="4237" spans="1:23" ht="16.5" x14ac:dyDescent="0.3">
      <c r="A4237" t="s">
        <v>4301</v>
      </c>
      <c r="B4237" s="1">
        <v>45900</v>
      </c>
      <c r="C4237">
        <v>2025</v>
      </c>
      <c r="D4237" t="s">
        <v>1255</v>
      </c>
      <c r="E4237" t="s">
        <v>1415</v>
      </c>
      <c r="F4237" t="s">
        <v>37</v>
      </c>
      <c r="G4237" t="s">
        <v>51</v>
      </c>
      <c r="H4237" t="s">
        <v>38</v>
      </c>
      <c r="I4237" t="s">
        <v>39</v>
      </c>
      <c r="J4237" t="s">
        <v>30</v>
      </c>
      <c r="K4237" s="2">
        <v>6950</v>
      </c>
      <c r="L4237" s="2">
        <v>10500</v>
      </c>
      <c r="M4237">
        <v>36</v>
      </c>
      <c r="N4237" s="3">
        <v>0.24399999999999999</v>
      </c>
      <c r="O4237" t="s">
        <v>17</v>
      </c>
      <c r="P4237" t="s">
        <v>31</v>
      </c>
      <c r="Q4237">
        <v>0</v>
      </c>
      <c r="R4237">
        <v>1</v>
      </c>
      <c r="S4237" s="2">
        <v>0</v>
      </c>
      <c r="T4237" s="4"/>
      <c r="U4237">
        <v>2</v>
      </c>
      <c r="V4237">
        <v>1</v>
      </c>
      <c r="W4237">
        <v>1</v>
      </c>
    </row>
    <row r="4238" spans="1:23" ht="16.5" x14ac:dyDescent="0.3">
      <c r="A4238" t="s">
        <v>4302</v>
      </c>
      <c r="B4238" s="1">
        <v>45900</v>
      </c>
      <c r="C4238">
        <v>2025</v>
      </c>
      <c r="D4238" t="s">
        <v>1255</v>
      </c>
      <c r="E4238" t="s">
        <v>1415</v>
      </c>
      <c r="F4238" t="s">
        <v>26</v>
      </c>
      <c r="G4238" t="s">
        <v>51</v>
      </c>
      <c r="H4238" t="s">
        <v>38</v>
      </c>
      <c r="I4238" t="s">
        <v>39</v>
      </c>
      <c r="J4238" t="s">
        <v>52</v>
      </c>
      <c r="K4238" s="2">
        <v>7600</v>
      </c>
      <c r="L4238" s="2">
        <v>41500</v>
      </c>
      <c r="M4238">
        <v>36</v>
      </c>
      <c r="N4238" s="3">
        <v>0.33600000000000002</v>
      </c>
      <c r="O4238" t="s">
        <v>17</v>
      </c>
      <c r="P4238" t="s">
        <v>31</v>
      </c>
      <c r="Q4238">
        <v>0</v>
      </c>
      <c r="R4238">
        <v>1</v>
      </c>
      <c r="S4238" s="2">
        <v>0</v>
      </c>
      <c r="T4238" s="4"/>
      <c r="U4238">
        <v>4</v>
      </c>
      <c r="V4238">
        <v>1</v>
      </c>
      <c r="W4238">
        <v>1</v>
      </c>
    </row>
    <row r="4239" spans="1:23" ht="16.5" x14ac:dyDescent="0.3">
      <c r="A4239" t="s">
        <v>4303</v>
      </c>
      <c r="B4239" s="1">
        <v>45900</v>
      </c>
      <c r="C4239">
        <v>2025</v>
      </c>
      <c r="D4239" t="s">
        <v>1255</v>
      </c>
      <c r="E4239" t="s">
        <v>1415</v>
      </c>
      <c r="F4239" t="s">
        <v>50</v>
      </c>
      <c r="G4239" t="s">
        <v>33</v>
      </c>
      <c r="H4239" t="s">
        <v>55</v>
      </c>
      <c r="I4239" t="s">
        <v>42</v>
      </c>
      <c r="J4239" t="s">
        <v>35</v>
      </c>
      <c r="K4239" s="2">
        <v>4200</v>
      </c>
      <c r="L4239" s="2">
        <v>159500</v>
      </c>
      <c r="M4239">
        <v>240</v>
      </c>
      <c r="N4239" s="3">
        <v>0.40200000000000002</v>
      </c>
      <c r="O4239" t="s">
        <v>16</v>
      </c>
      <c r="Q4239">
        <v>1</v>
      </c>
      <c r="R4239">
        <v>0</v>
      </c>
      <c r="S4239" s="2">
        <v>159500</v>
      </c>
      <c r="T4239" s="4">
        <v>6.4199999999999993E-2</v>
      </c>
      <c r="U4239">
        <v>5</v>
      </c>
      <c r="V4239">
        <v>1</v>
      </c>
      <c r="W4239">
        <v>1</v>
      </c>
    </row>
    <row r="4240" spans="1:23" ht="16.5" x14ac:dyDescent="0.3">
      <c r="A4240" t="s">
        <v>4304</v>
      </c>
      <c r="B4240" s="1">
        <v>45900</v>
      </c>
      <c r="C4240">
        <v>2025</v>
      </c>
      <c r="D4240" t="s">
        <v>1255</v>
      </c>
      <c r="E4240" t="s">
        <v>1415</v>
      </c>
      <c r="F4240" t="s">
        <v>26</v>
      </c>
      <c r="G4240" t="s">
        <v>51</v>
      </c>
      <c r="H4240" t="s">
        <v>34</v>
      </c>
      <c r="I4240" t="s">
        <v>29</v>
      </c>
      <c r="J4240" t="s">
        <v>46</v>
      </c>
      <c r="K4240" s="2">
        <v>4000</v>
      </c>
      <c r="L4240" s="2">
        <v>39500</v>
      </c>
      <c r="M4240">
        <v>60</v>
      </c>
      <c r="N4240" s="3">
        <v>0.34100000000000003</v>
      </c>
      <c r="O4240" t="s">
        <v>16</v>
      </c>
      <c r="Q4240">
        <v>1</v>
      </c>
      <c r="R4240">
        <v>0</v>
      </c>
      <c r="S4240" s="2">
        <v>35500</v>
      </c>
      <c r="T4240" s="4">
        <v>7.46E-2</v>
      </c>
      <c r="U4240">
        <v>16</v>
      </c>
      <c r="V4240">
        <v>0</v>
      </c>
      <c r="W4240">
        <v>1</v>
      </c>
    </row>
    <row r="4241" spans="1:23" ht="16.5" x14ac:dyDescent="0.3">
      <c r="A4241" t="s">
        <v>4305</v>
      </c>
      <c r="B4241" s="1">
        <v>45901</v>
      </c>
      <c r="C4241">
        <v>2025</v>
      </c>
      <c r="D4241" t="s">
        <v>1255</v>
      </c>
      <c r="E4241" t="s">
        <v>1623</v>
      </c>
      <c r="F4241" t="s">
        <v>37</v>
      </c>
      <c r="G4241" t="s">
        <v>51</v>
      </c>
      <c r="H4241" t="s">
        <v>55</v>
      </c>
      <c r="I4241" t="s">
        <v>42</v>
      </c>
      <c r="J4241" t="s">
        <v>35</v>
      </c>
      <c r="K4241" s="2">
        <v>5750</v>
      </c>
      <c r="L4241" s="2">
        <v>14000</v>
      </c>
      <c r="M4241">
        <v>48</v>
      </c>
      <c r="N4241" s="3">
        <v>0.13800000000000001</v>
      </c>
      <c r="O4241" t="s">
        <v>16</v>
      </c>
      <c r="Q4241">
        <v>1</v>
      </c>
      <c r="R4241">
        <v>0</v>
      </c>
      <c r="S4241" s="2">
        <v>14000</v>
      </c>
      <c r="T4241" s="4">
        <v>0.12609999999999999</v>
      </c>
      <c r="U4241">
        <v>3</v>
      </c>
      <c r="V4241">
        <v>1</v>
      </c>
      <c r="W4241">
        <v>1</v>
      </c>
    </row>
    <row r="4242" spans="1:23" ht="16.5" x14ac:dyDescent="0.3">
      <c r="A4242" t="s">
        <v>4306</v>
      </c>
      <c r="B4242" s="1">
        <v>45901</v>
      </c>
      <c r="C4242">
        <v>2025</v>
      </c>
      <c r="D4242" t="s">
        <v>1255</v>
      </c>
      <c r="E4242" t="s">
        <v>1623</v>
      </c>
      <c r="F4242" t="s">
        <v>50</v>
      </c>
      <c r="G4242" t="s">
        <v>45</v>
      </c>
      <c r="H4242" t="s">
        <v>64</v>
      </c>
      <c r="I4242" t="s">
        <v>39</v>
      </c>
      <c r="J4242" t="s">
        <v>35</v>
      </c>
      <c r="K4242" s="2">
        <v>3500</v>
      </c>
      <c r="L4242" s="2">
        <v>208000</v>
      </c>
      <c r="M4242">
        <v>180</v>
      </c>
      <c r="N4242" s="3">
        <v>0.66100000000000003</v>
      </c>
      <c r="O4242" t="s">
        <v>17</v>
      </c>
      <c r="P4242" t="s">
        <v>53</v>
      </c>
      <c r="Q4242">
        <v>0</v>
      </c>
      <c r="R4242">
        <v>1</v>
      </c>
      <c r="S4242" s="2">
        <v>0</v>
      </c>
      <c r="T4242" s="4"/>
      <c r="U4242">
        <v>7</v>
      </c>
      <c r="V4242">
        <v>1</v>
      </c>
      <c r="W4242">
        <v>1</v>
      </c>
    </row>
    <row r="4243" spans="1:23" ht="16.5" x14ac:dyDescent="0.3">
      <c r="A4243" t="s">
        <v>4307</v>
      </c>
      <c r="B4243" s="1">
        <v>45901</v>
      </c>
      <c r="C4243">
        <v>2025</v>
      </c>
      <c r="D4243" t="s">
        <v>1255</v>
      </c>
      <c r="E4243" t="s">
        <v>1623</v>
      </c>
      <c r="F4243" t="s">
        <v>37</v>
      </c>
      <c r="G4243" t="s">
        <v>51</v>
      </c>
      <c r="H4243" t="s">
        <v>34</v>
      </c>
      <c r="I4243" t="s">
        <v>29</v>
      </c>
      <c r="J4243" t="s">
        <v>43</v>
      </c>
      <c r="K4243" s="2">
        <v>5700</v>
      </c>
      <c r="L4243" s="2">
        <v>14500</v>
      </c>
      <c r="M4243">
        <v>60</v>
      </c>
      <c r="N4243" s="3">
        <v>0.14399999999999999</v>
      </c>
      <c r="O4243" t="s">
        <v>16</v>
      </c>
      <c r="Q4243">
        <v>1</v>
      </c>
      <c r="R4243">
        <v>0</v>
      </c>
      <c r="S4243" s="2">
        <v>14500</v>
      </c>
      <c r="T4243" s="4">
        <v>0.1613</v>
      </c>
      <c r="U4243">
        <v>6</v>
      </c>
      <c r="V4243">
        <v>0</v>
      </c>
      <c r="W4243">
        <v>1</v>
      </c>
    </row>
    <row r="4244" spans="1:23" ht="16.5" x14ac:dyDescent="0.3">
      <c r="A4244" t="s">
        <v>4308</v>
      </c>
      <c r="B4244" s="1">
        <v>45901</v>
      </c>
      <c r="C4244">
        <v>2025</v>
      </c>
      <c r="D4244" t="s">
        <v>1255</v>
      </c>
      <c r="E4244" t="s">
        <v>1623</v>
      </c>
      <c r="F4244" t="s">
        <v>50</v>
      </c>
      <c r="G4244" t="s">
        <v>33</v>
      </c>
      <c r="H4244" t="s">
        <v>55</v>
      </c>
      <c r="I4244" t="s">
        <v>29</v>
      </c>
      <c r="J4244" t="s">
        <v>35</v>
      </c>
      <c r="K4244" s="2">
        <v>6050</v>
      </c>
      <c r="L4244" s="2">
        <v>363000</v>
      </c>
      <c r="M4244">
        <v>300</v>
      </c>
      <c r="N4244" s="3">
        <v>0.496</v>
      </c>
      <c r="O4244" t="s">
        <v>16</v>
      </c>
      <c r="Q4244">
        <v>1</v>
      </c>
      <c r="R4244">
        <v>0</v>
      </c>
      <c r="S4244" s="2">
        <v>363000</v>
      </c>
      <c r="T4244" s="4">
        <v>5.7200000000000001E-2</v>
      </c>
      <c r="U4244">
        <v>5</v>
      </c>
      <c r="V4244">
        <v>1</v>
      </c>
      <c r="W4244">
        <v>1</v>
      </c>
    </row>
    <row r="4245" spans="1:23" ht="16.5" x14ac:dyDescent="0.3">
      <c r="A4245" t="s">
        <v>4309</v>
      </c>
      <c r="B4245" s="1">
        <v>45901</v>
      </c>
      <c r="C4245">
        <v>2025</v>
      </c>
      <c r="D4245" t="s">
        <v>1255</v>
      </c>
      <c r="E4245" t="s">
        <v>1623</v>
      </c>
      <c r="F4245" t="s">
        <v>50</v>
      </c>
      <c r="G4245" t="s">
        <v>33</v>
      </c>
      <c r="H4245" t="s">
        <v>34</v>
      </c>
      <c r="I4245" t="s">
        <v>39</v>
      </c>
      <c r="J4245" t="s">
        <v>43</v>
      </c>
      <c r="K4245" s="2">
        <v>7350</v>
      </c>
      <c r="L4245" s="2">
        <v>199000</v>
      </c>
      <c r="M4245">
        <v>240</v>
      </c>
      <c r="N4245" s="3">
        <v>0.373</v>
      </c>
      <c r="O4245" t="s">
        <v>17</v>
      </c>
      <c r="P4245" t="s">
        <v>31</v>
      </c>
      <c r="Q4245">
        <v>0</v>
      </c>
      <c r="R4245">
        <v>1</v>
      </c>
      <c r="S4245" s="2">
        <v>0</v>
      </c>
      <c r="T4245" s="4"/>
      <c r="U4245">
        <v>6</v>
      </c>
      <c r="V4245">
        <v>1</v>
      </c>
      <c r="W4245">
        <v>1</v>
      </c>
    </row>
    <row r="4246" spans="1:23" ht="16.5" x14ac:dyDescent="0.3">
      <c r="A4246" t="s">
        <v>4310</v>
      </c>
      <c r="B4246" s="1">
        <v>45901</v>
      </c>
      <c r="C4246">
        <v>2025</v>
      </c>
      <c r="D4246" t="s">
        <v>1255</v>
      </c>
      <c r="E4246" t="s">
        <v>1623</v>
      </c>
      <c r="F4246" t="s">
        <v>26</v>
      </c>
      <c r="G4246" t="s">
        <v>51</v>
      </c>
      <c r="H4246" t="s">
        <v>55</v>
      </c>
      <c r="I4246" t="s">
        <v>29</v>
      </c>
      <c r="J4246" t="s">
        <v>35</v>
      </c>
      <c r="K4246" s="2">
        <v>6150</v>
      </c>
      <c r="L4246" s="2">
        <v>33000</v>
      </c>
      <c r="M4246">
        <v>36</v>
      </c>
      <c r="N4246" s="3">
        <v>0.39900000000000002</v>
      </c>
      <c r="O4246" t="s">
        <v>16</v>
      </c>
      <c r="Q4246">
        <v>1</v>
      </c>
      <c r="R4246">
        <v>0</v>
      </c>
      <c r="S4246" s="2">
        <v>29500</v>
      </c>
      <c r="T4246" s="4">
        <v>7.4700000000000003E-2</v>
      </c>
      <c r="U4246">
        <v>4</v>
      </c>
      <c r="V4246">
        <v>1</v>
      </c>
      <c r="W4246">
        <v>1</v>
      </c>
    </row>
    <row r="4247" spans="1:23" ht="16.5" x14ac:dyDescent="0.3">
      <c r="A4247" t="s">
        <v>4311</v>
      </c>
      <c r="B4247" s="1">
        <v>45901</v>
      </c>
      <c r="C4247">
        <v>2025</v>
      </c>
      <c r="D4247" t="s">
        <v>1255</v>
      </c>
      <c r="E4247" t="s">
        <v>1623</v>
      </c>
      <c r="F4247" t="s">
        <v>41</v>
      </c>
      <c r="G4247" t="s">
        <v>33</v>
      </c>
      <c r="H4247" t="s">
        <v>38</v>
      </c>
      <c r="I4247" t="s">
        <v>42</v>
      </c>
      <c r="J4247" t="s">
        <v>35</v>
      </c>
      <c r="K4247" s="2">
        <v>3300</v>
      </c>
      <c r="L4247" s="2">
        <v>65500</v>
      </c>
      <c r="M4247">
        <v>60</v>
      </c>
      <c r="N4247" s="3">
        <v>0.54500000000000004</v>
      </c>
      <c r="O4247" t="s">
        <v>16</v>
      </c>
      <c r="Q4247">
        <v>1</v>
      </c>
      <c r="R4247">
        <v>0</v>
      </c>
      <c r="S4247" s="2">
        <v>65500</v>
      </c>
      <c r="T4247" s="4">
        <v>0.105</v>
      </c>
      <c r="U4247">
        <v>4</v>
      </c>
      <c r="V4247">
        <v>1</v>
      </c>
      <c r="W4247">
        <v>1</v>
      </c>
    </row>
    <row r="4248" spans="1:23" ht="16.5" x14ac:dyDescent="0.3">
      <c r="A4248" t="s">
        <v>4312</v>
      </c>
      <c r="B4248" s="1">
        <v>45901</v>
      </c>
      <c r="C4248">
        <v>2025</v>
      </c>
      <c r="D4248" t="s">
        <v>1255</v>
      </c>
      <c r="E4248" t="s">
        <v>1623</v>
      </c>
      <c r="F4248" t="s">
        <v>26</v>
      </c>
      <c r="G4248" t="s">
        <v>51</v>
      </c>
      <c r="H4248" t="s">
        <v>34</v>
      </c>
      <c r="I4248" t="s">
        <v>29</v>
      </c>
      <c r="J4248" t="s">
        <v>30</v>
      </c>
      <c r="K4248" s="2">
        <v>7950</v>
      </c>
      <c r="L4248" s="2">
        <v>35000</v>
      </c>
      <c r="M4248">
        <v>60</v>
      </c>
      <c r="N4248" s="3">
        <v>0.14599999999999999</v>
      </c>
      <c r="O4248" t="s">
        <v>16</v>
      </c>
      <c r="Q4248">
        <v>1</v>
      </c>
      <c r="R4248">
        <v>0</v>
      </c>
      <c r="S4248" s="2">
        <v>28000</v>
      </c>
      <c r="T4248" s="4">
        <v>9.8199999999999996E-2</v>
      </c>
      <c r="U4248">
        <v>6</v>
      </c>
      <c r="V4248">
        <v>0</v>
      </c>
      <c r="W4248">
        <v>1</v>
      </c>
    </row>
    <row r="4249" spans="1:23" ht="16.5" x14ac:dyDescent="0.3">
      <c r="A4249" t="s">
        <v>4313</v>
      </c>
      <c r="B4249" s="1">
        <v>45902</v>
      </c>
      <c r="C4249">
        <v>2025</v>
      </c>
      <c r="D4249" t="s">
        <v>1255</v>
      </c>
      <c r="E4249" t="s">
        <v>1623</v>
      </c>
      <c r="F4249" t="s">
        <v>26</v>
      </c>
      <c r="G4249" t="s">
        <v>33</v>
      </c>
      <c r="H4249" t="s">
        <v>34</v>
      </c>
      <c r="I4249" t="s">
        <v>42</v>
      </c>
      <c r="J4249" t="s">
        <v>30</v>
      </c>
      <c r="K4249" s="2">
        <v>8300</v>
      </c>
      <c r="L4249" s="2">
        <v>45000</v>
      </c>
      <c r="M4249">
        <v>48</v>
      </c>
      <c r="N4249" s="3">
        <v>0.31900000000000001</v>
      </c>
      <c r="O4249" t="s">
        <v>16</v>
      </c>
      <c r="Q4249">
        <v>1</v>
      </c>
      <c r="R4249">
        <v>0</v>
      </c>
      <c r="S4249" s="2">
        <v>40500</v>
      </c>
      <c r="T4249" s="4">
        <v>9.9199999999999997E-2</v>
      </c>
      <c r="U4249">
        <v>2</v>
      </c>
      <c r="V4249">
        <v>1</v>
      </c>
      <c r="W4249">
        <v>1</v>
      </c>
    </row>
    <row r="4250" spans="1:23" ht="16.5" x14ac:dyDescent="0.3">
      <c r="A4250" t="s">
        <v>4314</v>
      </c>
      <c r="B4250" s="1">
        <v>45902</v>
      </c>
      <c r="C4250">
        <v>2025</v>
      </c>
      <c r="D4250" t="s">
        <v>1255</v>
      </c>
      <c r="E4250" t="s">
        <v>1623</v>
      </c>
      <c r="F4250" t="s">
        <v>50</v>
      </c>
      <c r="G4250" t="s">
        <v>45</v>
      </c>
      <c r="H4250" t="s">
        <v>55</v>
      </c>
      <c r="I4250" t="s">
        <v>39</v>
      </c>
      <c r="J4250" t="s">
        <v>30</v>
      </c>
      <c r="K4250" s="2">
        <v>3250</v>
      </c>
      <c r="L4250" s="2">
        <v>399500</v>
      </c>
      <c r="M4250">
        <v>180</v>
      </c>
      <c r="N4250" s="3">
        <v>1.0189999999999999</v>
      </c>
      <c r="O4250" t="s">
        <v>17</v>
      </c>
      <c r="P4250" t="s">
        <v>31</v>
      </c>
      <c r="Q4250">
        <v>0</v>
      </c>
      <c r="R4250">
        <v>1</v>
      </c>
      <c r="S4250" s="2">
        <v>0</v>
      </c>
      <c r="T4250" s="4"/>
      <c r="U4250">
        <v>7</v>
      </c>
      <c r="V4250">
        <v>1</v>
      </c>
      <c r="W4250">
        <v>1</v>
      </c>
    </row>
    <row r="4251" spans="1:23" ht="16.5" x14ac:dyDescent="0.3">
      <c r="A4251" t="s">
        <v>4315</v>
      </c>
      <c r="B4251" s="1">
        <v>45902</v>
      </c>
      <c r="C4251">
        <v>2025</v>
      </c>
      <c r="D4251" t="s">
        <v>1255</v>
      </c>
      <c r="E4251" t="s">
        <v>1623</v>
      </c>
      <c r="F4251" t="s">
        <v>37</v>
      </c>
      <c r="G4251" t="s">
        <v>27</v>
      </c>
      <c r="H4251" t="s">
        <v>38</v>
      </c>
      <c r="I4251" t="s">
        <v>29</v>
      </c>
      <c r="J4251" t="s">
        <v>30</v>
      </c>
      <c r="K4251" s="2">
        <v>2850</v>
      </c>
      <c r="L4251" s="2">
        <v>17000</v>
      </c>
      <c r="M4251">
        <v>48</v>
      </c>
      <c r="N4251" s="3">
        <v>0.26300000000000001</v>
      </c>
      <c r="O4251" t="s">
        <v>16</v>
      </c>
      <c r="Q4251">
        <v>1</v>
      </c>
      <c r="R4251">
        <v>0</v>
      </c>
      <c r="S4251" s="2">
        <v>17000</v>
      </c>
      <c r="T4251" s="4">
        <v>0.14030000000000001</v>
      </c>
      <c r="U4251">
        <v>3</v>
      </c>
      <c r="V4251">
        <v>1</v>
      </c>
      <c r="W4251">
        <v>1</v>
      </c>
    </row>
    <row r="4252" spans="1:23" ht="16.5" x14ac:dyDescent="0.3">
      <c r="A4252" t="s">
        <v>4316</v>
      </c>
      <c r="B4252" s="1">
        <v>45902</v>
      </c>
      <c r="C4252">
        <v>2025</v>
      </c>
      <c r="D4252" t="s">
        <v>1255</v>
      </c>
      <c r="E4252" t="s">
        <v>1623</v>
      </c>
      <c r="F4252" t="s">
        <v>41</v>
      </c>
      <c r="G4252" t="s">
        <v>33</v>
      </c>
      <c r="H4252" t="s">
        <v>34</v>
      </c>
      <c r="I4252" t="s">
        <v>42</v>
      </c>
      <c r="J4252" t="s">
        <v>30</v>
      </c>
      <c r="K4252" s="2">
        <v>5400</v>
      </c>
      <c r="L4252" s="2">
        <v>62000</v>
      </c>
      <c r="M4252">
        <v>60</v>
      </c>
      <c r="N4252" s="3">
        <v>0.48499999999999999</v>
      </c>
      <c r="O4252" t="s">
        <v>17</v>
      </c>
      <c r="P4252" t="s">
        <v>60</v>
      </c>
      <c r="Q4252">
        <v>0</v>
      </c>
      <c r="R4252">
        <v>1</v>
      </c>
      <c r="S4252" s="2">
        <v>0</v>
      </c>
      <c r="T4252" s="4"/>
      <c r="U4252">
        <v>8</v>
      </c>
      <c r="V4252">
        <v>1</v>
      </c>
      <c r="W4252">
        <v>1</v>
      </c>
    </row>
    <row r="4253" spans="1:23" ht="16.5" x14ac:dyDescent="0.3">
      <c r="A4253" t="s">
        <v>4317</v>
      </c>
      <c r="B4253" s="1">
        <v>45902</v>
      </c>
      <c r="C4253">
        <v>2025</v>
      </c>
      <c r="D4253" t="s">
        <v>1255</v>
      </c>
      <c r="E4253" t="s">
        <v>1623</v>
      </c>
      <c r="F4253" t="s">
        <v>37</v>
      </c>
      <c r="G4253" t="s">
        <v>45</v>
      </c>
      <c r="H4253" t="s">
        <v>34</v>
      </c>
      <c r="I4253" t="s">
        <v>29</v>
      </c>
      <c r="J4253" t="s">
        <v>30</v>
      </c>
      <c r="K4253" s="2">
        <v>2300</v>
      </c>
      <c r="L4253" s="2">
        <v>8000</v>
      </c>
      <c r="M4253">
        <v>12</v>
      </c>
      <c r="N4253" s="3">
        <v>0.55200000000000005</v>
      </c>
      <c r="O4253" t="s">
        <v>17</v>
      </c>
      <c r="P4253" t="s">
        <v>60</v>
      </c>
      <c r="Q4253">
        <v>0</v>
      </c>
      <c r="R4253">
        <v>1</v>
      </c>
      <c r="S4253" s="2">
        <v>0</v>
      </c>
      <c r="T4253" s="4"/>
      <c r="U4253">
        <v>5</v>
      </c>
      <c r="V4253">
        <v>0</v>
      </c>
      <c r="W4253">
        <v>1</v>
      </c>
    </row>
    <row r="4254" spans="1:23" ht="16.5" x14ac:dyDescent="0.3">
      <c r="A4254" t="s">
        <v>4318</v>
      </c>
      <c r="B4254" s="1">
        <v>45902</v>
      </c>
      <c r="C4254">
        <v>2025</v>
      </c>
      <c r="D4254" t="s">
        <v>1255</v>
      </c>
      <c r="E4254" t="s">
        <v>1623</v>
      </c>
      <c r="F4254" t="s">
        <v>50</v>
      </c>
      <c r="G4254" t="s">
        <v>27</v>
      </c>
      <c r="H4254" t="s">
        <v>38</v>
      </c>
      <c r="I4254" t="s">
        <v>29</v>
      </c>
      <c r="J4254" t="s">
        <v>35</v>
      </c>
      <c r="K4254" s="2">
        <v>2250</v>
      </c>
      <c r="L4254" s="2">
        <v>439000</v>
      </c>
      <c r="M4254">
        <v>240</v>
      </c>
      <c r="N4254" s="3">
        <v>1.4470000000000001</v>
      </c>
      <c r="O4254" t="s">
        <v>17</v>
      </c>
      <c r="P4254" t="s">
        <v>53</v>
      </c>
      <c r="Q4254">
        <v>0</v>
      </c>
      <c r="R4254">
        <v>1</v>
      </c>
      <c r="S4254" s="2">
        <v>0</v>
      </c>
      <c r="T4254" s="4"/>
      <c r="U4254">
        <v>15</v>
      </c>
      <c r="V4254">
        <v>1</v>
      </c>
      <c r="W4254">
        <v>1</v>
      </c>
    </row>
    <row r="4255" spans="1:23" ht="16.5" x14ac:dyDescent="0.3">
      <c r="A4255" t="s">
        <v>4319</v>
      </c>
      <c r="B4255" s="1">
        <v>45902</v>
      </c>
      <c r="C4255">
        <v>2025</v>
      </c>
      <c r="D4255" t="s">
        <v>1255</v>
      </c>
      <c r="E4255" t="s">
        <v>1623</v>
      </c>
      <c r="F4255" t="s">
        <v>41</v>
      </c>
      <c r="G4255" t="s">
        <v>33</v>
      </c>
      <c r="H4255" t="s">
        <v>38</v>
      </c>
      <c r="I4255" t="s">
        <v>39</v>
      </c>
      <c r="J4255" t="s">
        <v>35</v>
      </c>
      <c r="K4255" s="2">
        <v>7300</v>
      </c>
      <c r="L4255" s="2">
        <v>158500</v>
      </c>
      <c r="M4255">
        <v>12</v>
      </c>
      <c r="N4255" s="3">
        <v>1.9970000000000001</v>
      </c>
      <c r="O4255" t="s">
        <v>17</v>
      </c>
      <c r="P4255" t="s">
        <v>53</v>
      </c>
      <c r="Q4255">
        <v>0</v>
      </c>
      <c r="R4255">
        <v>1</v>
      </c>
      <c r="S4255" s="2">
        <v>0</v>
      </c>
      <c r="T4255" s="4"/>
      <c r="U4255">
        <v>5</v>
      </c>
      <c r="V4255">
        <v>1</v>
      </c>
      <c r="W4255">
        <v>1</v>
      </c>
    </row>
    <row r="4256" spans="1:23" ht="16.5" x14ac:dyDescent="0.3">
      <c r="A4256" t="s">
        <v>4320</v>
      </c>
      <c r="B4256" s="1">
        <v>45902</v>
      </c>
      <c r="C4256">
        <v>2025</v>
      </c>
      <c r="D4256" t="s">
        <v>1255</v>
      </c>
      <c r="E4256" t="s">
        <v>1623</v>
      </c>
      <c r="F4256" t="s">
        <v>41</v>
      </c>
      <c r="G4256" t="s">
        <v>45</v>
      </c>
      <c r="H4256" t="s">
        <v>38</v>
      </c>
      <c r="I4256" t="s">
        <v>39</v>
      </c>
      <c r="J4256" t="s">
        <v>46</v>
      </c>
      <c r="K4256" s="2">
        <v>3200</v>
      </c>
      <c r="L4256" s="2">
        <v>40000</v>
      </c>
      <c r="M4256">
        <v>36</v>
      </c>
      <c r="N4256" s="3">
        <v>0.63200000000000001</v>
      </c>
      <c r="O4256" t="s">
        <v>17</v>
      </c>
      <c r="P4256" t="s">
        <v>53</v>
      </c>
      <c r="Q4256">
        <v>0</v>
      </c>
      <c r="R4256">
        <v>1</v>
      </c>
      <c r="S4256" s="2">
        <v>0</v>
      </c>
      <c r="T4256" s="4"/>
      <c r="U4256">
        <v>4</v>
      </c>
      <c r="V4256">
        <v>1</v>
      </c>
      <c r="W4256">
        <v>1</v>
      </c>
    </row>
    <row r="4257" spans="1:23" ht="16.5" x14ac:dyDescent="0.3">
      <c r="A4257" t="s">
        <v>4321</v>
      </c>
      <c r="B4257" s="1">
        <v>45902</v>
      </c>
      <c r="C4257">
        <v>2025</v>
      </c>
      <c r="D4257" t="s">
        <v>1255</v>
      </c>
      <c r="E4257" t="s">
        <v>1623</v>
      </c>
      <c r="F4257" t="s">
        <v>37</v>
      </c>
      <c r="G4257" t="s">
        <v>33</v>
      </c>
      <c r="H4257" t="s">
        <v>55</v>
      </c>
      <c r="I4257" t="s">
        <v>29</v>
      </c>
      <c r="J4257" t="s">
        <v>30</v>
      </c>
      <c r="K4257" s="2">
        <v>12850</v>
      </c>
      <c r="L4257" s="2">
        <v>5500</v>
      </c>
      <c r="M4257">
        <v>60</v>
      </c>
      <c r="N4257" s="3">
        <v>0.222</v>
      </c>
      <c r="O4257" t="s">
        <v>16</v>
      </c>
      <c r="Q4257">
        <v>1</v>
      </c>
      <c r="R4257">
        <v>0</v>
      </c>
      <c r="S4257" s="2">
        <v>5500</v>
      </c>
      <c r="T4257" s="4">
        <v>0.14430000000000001</v>
      </c>
      <c r="U4257">
        <v>1</v>
      </c>
      <c r="V4257">
        <v>1</v>
      </c>
      <c r="W4257">
        <v>1</v>
      </c>
    </row>
    <row r="4258" spans="1:23" ht="16.5" x14ac:dyDescent="0.3">
      <c r="A4258" t="s">
        <v>4322</v>
      </c>
      <c r="B4258" s="1">
        <v>45902</v>
      </c>
      <c r="C4258">
        <v>2025</v>
      </c>
      <c r="D4258" t="s">
        <v>1255</v>
      </c>
      <c r="E4258" t="s">
        <v>1623</v>
      </c>
      <c r="F4258" t="s">
        <v>26</v>
      </c>
      <c r="G4258" t="s">
        <v>33</v>
      </c>
      <c r="H4258" t="s">
        <v>55</v>
      </c>
      <c r="I4258" t="s">
        <v>29</v>
      </c>
      <c r="J4258" t="s">
        <v>43</v>
      </c>
      <c r="K4258" s="2">
        <v>3700</v>
      </c>
      <c r="L4258" s="2">
        <v>37000</v>
      </c>
      <c r="M4258">
        <v>60</v>
      </c>
      <c r="N4258" s="3">
        <v>0.435</v>
      </c>
      <c r="O4258" t="s">
        <v>17</v>
      </c>
      <c r="P4258" t="s">
        <v>31</v>
      </c>
      <c r="Q4258">
        <v>0</v>
      </c>
      <c r="R4258">
        <v>1</v>
      </c>
      <c r="S4258" s="2">
        <v>0</v>
      </c>
      <c r="T4258" s="4"/>
      <c r="U4258">
        <v>2</v>
      </c>
      <c r="V4258">
        <v>1</v>
      </c>
      <c r="W4258">
        <v>1</v>
      </c>
    </row>
    <row r="4259" spans="1:23" ht="16.5" x14ac:dyDescent="0.3">
      <c r="A4259" t="s">
        <v>4323</v>
      </c>
      <c r="B4259" s="1">
        <v>45902</v>
      </c>
      <c r="C4259">
        <v>2025</v>
      </c>
      <c r="D4259" t="s">
        <v>1255</v>
      </c>
      <c r="E4259" t="s">
        <v>1623</v>
      </c>
      <c r="F4259" t="s">
        <v>37</v>
      </c>
      <c r="G4259" t="s">
        <v>45</v>
      </c>
      <c r="H4259" t="s">
        <v>38</v>
      </c>
      <c r="I4259" t="s">
        <v>39</v>
      </c>
      <c r="J4259" t="s">
        <v>52</v>
      </c>
      <c r="K4259" s="2">
        <v>7650</v>
      </c>
      <c r="L4259" s="2">
        <v>12000</v>
      </c>
      <c r="M4259">
        <v>36</v>
      </c>
      <c r="N4259" s="3">
        <v>0.23100000000000001</v>
      </c>
      <c r="O4259" t="s">
        <v>16</v>
      </c>
      <c r="Q4259">
        <v>1</v>
      </c>
      <c r="R4259">
        <v>0</v>
      </c>
      <c r="S4259" s="2">
        <v>12000</v>
      </c>
      <c r="T4259" s="4">
        <v>0.11550000000000001</v>
      </c>
      <c r="U4259">
        <v>2</v>
      </c>
      <c r="V4259">
        <v>1</v>
      </c>
      <c r="W4259">
        <v>1</v>
      </c>
    </row>
    <row r="4260" spans="1:23" ht="16.5" x14ac:dyDescent="0.3">
      <c r="A4260" t="s">
        <v>4324</v>
      </c>
      <c r="B4260" s="1">
        <v>45903</v>
      </c>
      <c r="C4260">
        <v>2025</v>
      </c>
      <c r="D4260" t="s">
        <v>1255</v>
      </c>
      <c r="E4260" t="s">
        <v>1623</v>
      </c>
      <c r="F4260" t="s">
        <v>37</v>
      </c>
      <c r="G4260" t="s">
        <v>51</v>
      </c>
      <c r="H4260" t="s">
        <v>55</v>
      </c>
      <c r="I4260" t="s">
        <v>29</v>
      </c>
      <c r="J4260" t="s">
        <v>35</v>
      </c>
      <c r="K4260" s="2">
        <v>2600</v>
      </c>
      <c r="L4260" s="2">
        <v>13500</v>
      </c>
      <c r="M4260">
        <v>24</v>
      </c>
      <c r="N4260" s="3">
        <v>0.32200000000000001</v>
      </c>
      <c r="O4260" t="s">
        <v>17</v>
      </c>
      <c r="P4260" t="s">
        <v>65</v>
      </c>
      <c r="Q4260">
        <v>0</v>
      </c>
      <c r="R4260">
        <v>1</v>
      </c>
      <c r="S4260" s="2">
        <v>0</v>
      </c>
      <c r="T4260" s="4"/>
      <c r="U4260">
        <v>5</v>
      </c>
      <c r="V4260">
        <v>0</v>
      </c>
      <c r="W4260">
        <v>1</v>
      </c>
    </row>
    <row r="4261" spans="1:23" ht="16.5" x14ac:dyDescent="0.3">
      <c r="A4261" t="s">
        <v>4325</v>
      </c>
      <c r="B4261" s="1">
        <v>45903</v>
      </c>
      <c r="C4261">
        <v>2025</v>
      </c>
      <c r="D4261" t="s">
        <v>1255</v>
      </c>
      <c r="E4261" t="s">
        <v>1623</v>
      </c>
      <c r="F4261" t="s">
        <v>26</v>
      </c>
      <c r="G4261" t="s">
        <v>33</v>
      </c>
      <c r="H4261" t="s">
        <v>55</v>
      </c>
      <c r="I4261" t="s">
        <v>29</v>
      </c>
      <c r="J4261" t="s">
        <v>46</v>
      </c>
      <c r="K4261" s="2">
        <v>5400</v>
      </c>
      <c r="L4261" s="2">
        <v>28500</v>
      </c>
      <c r="M4261">
        <v>36</v>
      </c>
      <c r="N4261" s="3">
        <v>0.33100000000000002</v>
      </c>
      <c r="O4261" t="s">
        <v>16</v>
      </c>
      <c r="Q4261">
        <v>1</v>
      </c>
      <c r="R4261">
        <v>0</v>
      </c>
      <c r="S4261" s="2">
        <v>25500</v>
      </c>
      <c r="T4261" s="4">
        <v>6.25E-2</v>
      </c>
      <c r="U4261">
        <v>1</v>
      </c>
      <c r="V4261">
        <v>1</v>
      </c>
      <c r="W4261">
        <v>1</v>
      </c>
    </row>
    <row r="4262" spans="1:23" ht="16.5" x14ac:dyDescent="0.3">
      <c r="A4262" t="s">
        <v>4326</v>
      </c>
      <c r="B4262" s="1">
        <v>45903</v>
      </c>
      <c r="C4262">
        <v>2025</v>
      </c>
      <c r="D4262" t="s">
        <v>1255</v>
      </c>
      <c r="E4262" t="s">
        <v>1623</v>
      </c>
      <c r="F4262" t="s">
        <v>41</v>
      </c>
      <c r="G4262" t="s">
        <v>51</v>
      </c>
      <c r="H4262" t="s">
        <v>55</v>
      </c>
      <c r="I4262" t="s">
        <v>29</v>
      </c>
      <c r="J4262" t="s">
        <v>35</v>
      </c>
      <c r="K4262" s="2">
        <v>4250</v>
      </c>
      <c r="L4262" s="2">
        <v>48000</v>
      </c>
      <c r="M4262">
        <v>36</v>
      </c>
      <c r="N4262" s="3">
        <v>0.43099999999999999</v>
      </c>
      <c r="O4262" t="s">
        <v>16</v>
      </c>
      <c r="Q4262">
        <v>1</v>
      </c>
      <c r="R4262">
        <v>0</v>
      </c>
      <c r="S4262" s="2">
        <v>48000</v>
      </c>
      <c r="T4262" s="4">
        <v>0.1026</v>
      </c>
      <c r="U4262">
        <v>21</v>
      </c>
      <c r="V4262">
        <v>0</v>
      </c>
      <c r="W4262">
        <v>1</v>
      </c>
    </row>
    <row r="4263" spans="1:23" ht="16.5" x14ac:dyDescent="0.3">
      <c r="A4263" t="s">
        <v>4327</v>
      </c>
      <c r="B4263" s="1">
        <v>45903</v>
      </c>
      <c r="C4263">
        <v>2025</v>
      </c>
      <c r="D4263" t="s">
        <v>1255</v>
      </c>
      <c r="E4263" t="s">
        <v>1623</v>
      </c>
      <c r="F4263" t="s">
        <v>37</v>
      </c>
      <c r="G4263" t="s">
        <v>33</v>
      </c>
      <c r="H4263" t="s">
        <v>38</v>
      </c>
      <c r="I4263" t="s">
        <v>39</v>
      </c>
      <c r="J4263" t="s">
        <v>52</v>
      </c>
      <c r="K4263" s="2">
        <v>1850</v>
      </c>
      <c r="L4263" s="2">
        <v>6500</v>
      </c>
      <c r="M4263">
        <v>24</v>
      </c>
      <c r="N4263" s="3">
        <v>0.247</v>
      </c>
      <c r="O4263" t="s">
        <v>16</v>
      </c>
      <c r="Q4263">
        <v>1</v>
      </c>
      <c r="R4263">
        <v>0</v>
      </c>
      <c r="S4263" s="2">
        <v>6500</v>
      </c>
      <c r="T4263" s="4">
        <v>0.1157</v>
      </c>
      <c r="U4263">
        <v>2</v>
      </c>
      <c r="V4263">
        <v>1</v>
      </c>
      <c r="W4263">
        <v>1</v>
      </c>
    </row>
    <row r="4264" spans="1:23" ht="16.5" x14ac:dyDescent="0.3">
      <c r="A4264" t="s">
        <v>4328</v>
      </c>
      <c r="B4264" s="1">
        <v>45903</v>
      </c>
      <c r="C4264">
        <v>2025</v>
      </c>
      <c r="D4264" t="s">
        <v>1255</v>
      </c>
      <c r="E4264" t="s">
        <v>1623</v>
      </c>
      <c r="F4264" t="s">
        <v>50</v>
      </c>
      <c r="G4264" t="s">
        <v>33</v>
      </c>
      <c r="H4264" t="s">
        <v>38</v>
      </c>
      <c r="I4264" t="s">
        <v>29</v>
      </c>
      <c r="J4264" t="s">
        <v>35</v>
      </c>
      <c r="K4264" s="2">
        <v>4500</v>
      </c>
      <c r="L4264" s="2">
        <v>138000</v>
      </c>
      <c r="M4264">
        <v>180</v>
      </c>
      <c r="N4264" s="3">
        <v>0.31900000000000001</v>
      </c>
      <c r="O4264" t="s">
        <v>16</v>
      </c>
      <c r="Q4264">
        <v>1</v>
      </c>
      <c r="R4264">
        <v>0</v>
      </c>
      <c r="S4264" s="2">
        <v>110500</v>
      </c>
      <c r="T4264" s="4">
        <v>5.6300000000000003E-2</v>
      </c>
      <c r="U4264">
        <v>5</v>
      </c>
      <c r="V4264">
        <v>1</v>
      </c>
      <c r="W4264">
        <v>1</v>
      </c>
    </row>
    <row r="4265" spans="1:23" ht="16.5" x14ac:dyDescent="0.3">
      <c r="A4265" t="s">
        <v>4329</v>
      </c>
      <c r="B4265" s="1">
        <v>45904</v>
      </c>
      <c r="C4265">
        <v>2025</v>
      </c>
      <c r="D4265" t="s">
        <v>1255</v>
      </c>
      <c r="E4265" t="s">
        <v>1623</v>
      </c>
      <c r="F4265" t="s">
        <v>50</v>
      </c>
      <c r="G4265" t="s">
        <v>51</v>
      </c>
      <c r="H4265" t="s">
        <v>28</v>
      </c>
      <c r="I4265" t="s">
        <v>42</v>
      </c>
      <c r="J4265" t="s">
        <v>46</v>
      </c>
      <c r="K4265" s="2">
        <v>3100</v>
      </c>
      <c r="L4265" s="2">
        <v>394500</v>
      </c>
      <c r="M4265">
        <v>180</v>
      </c>
      <c r="N4265" s="3">
        <v>1.109</v>
      </c>
      <c r="O4265" t="s">
        <v>16</v>
      </c>
      <c r="Q4265">
        <v>1</v>
      </c>
      <c r="R4265">
        <v>0</v>
      </c>
      <c r="S4265" s="2">
        <v>394500</v>
      </c>
      <c r="T4265" s="4">
        <v>4.1300000000000003E-2</v>
      </c>
      <c r="U4265">
        <v>19</v>
      </c>
      <c r="V4265">
        <v>0</v>
      </c>
      <c r="W4265">
        <v>1</v>
      </c>
    </row>
    <row r="4266" spans="1:23" ht="16.5" x14ac:dyDescent="0.3">
      <c r="A4266" t="s">
        <v>4330</v>
      </c>
      <c r="B4266" s="1">
        <v>45904</v>
      </c>
      <c r="C4266">
        <v>2025</v>
      </c>
      <c r="D4266" t="s">
        <v>1255</v>
      </c>
      <c r="E4266" t="s">
        <v>1623</v>
      </c>
      <c r="F4266" t="s">
        <v>50</v>
      </c>
      <c r="G4266" t="s">
        <v>51</v>
      </c>
      <c r="H4266" t="s">
        <v>28</v>
      </c>
      <c r="I4266" t="s">
        <v>29</v>
      </c>
      <c r="J4266" t="s">
        <v>35</v>
      </c>
      <c r="K4266" s="2">
        <v>3800</v>
      </c>
      <c r="L4266" s="2">
        <v>253000</v>
      </c>
      <c r="M4266">
        <v>300</v>
      </c>
      <c r="N4266" s="3">
        <v>0.628</v>
      </c>
      <c r="O4266" t="s">
        <v>125</v>
      </c>
      <c r="Q4266">
        <v>0</v>
      </c>
      <c r="R4266">
        <v>0</v>
      </c>
      <c r="S4266" s="2">
        <v>0</v>
      </c>
      <c r="T4266" s="4"/>
      <c r="U4266">
        <v>13</v>
      </c>
      <c r="V4266">
        <v>1</v>
      </c>
      <c r="W4266">
        <v>1</v>
      </c>
    </row>
    <row r="4267" spans="1:23" ht="16.5" x14ac:dyDescent="0.3">
      <c r="A4267" t="s">
        <v>4331</v>
      </c>
      <c r="B4267" s="1">
        <v>45904</v>
      </c>
      <c r="C4267">
        <v>2025</v>
      </c>
      <c r="D4267" t="s">
        <v>1255</v>
      </c>
      <c r="E4267" t="s">
        <v>1623</v>
      </c>
      <c r="F4267" t="s">
        <v>41</v>
      </c>
      <c r="G4267" t="s">
        <v>45</v>
      </c>
      <c r="H4267" t="s">
        <v>64</v>
      </c>
      <c r="I4267" t="s">
        <v>42</v>
      </c>
      <c r="J4267" t="s">
        <v>52</v>
      </c>
      <c r="K4267" s="2">
        <v>5800</v>
      </c>
      <c r="L4267" s="2">
        <v>74500</v>
      </c>
      <c r="M4267">
        <v>12</v>
      </c>
      <c r="N4267" s="3">
        <v>1.339</v>
      </c>
      <c r="O4267" t="s">
        <v>17</v>
      </c>
      <c r="P4267" t="s">
        <v>53</v>
      </c>
      <c r="Q4267">
        <v>0</v>
      </c>
      <c r="R4267">
        <v>1</v>
      </c>
      <c r="S4267" s="2">
        <v>0</v>
      </c>
      <c r="T4267" s="4"/>
      <c r="U4267">
        <v>9</v>
      </c>
      <c r="V4267">
        <v>1</v>
      </c>
      <c r="W4267">
        <v>1</v>
      </c>
    </row>
    <row r="4268" spans="1:23" ht="16.5" x14ac:dyDescent="0.3">
      <c r="A4268" t="s">
        <v>4332</v>
      </c>
      <c r="B4268" s="1">
        <v>45904</v>
      </c>
      <c r="C4268">
        <v>2025</v>
      </c>
      <c r="D4268" t="s">
        <v>1255</v>
      </c>
      <c r="E4268" t="s">
        <v>1623</v>
      </c>
      <c r="F4268" t="s">
        <v>37</v>
      </c>
      <c r="G4268" t="s">
        <v>33</v>
      </c>
      <c r="H4268" t="s">
        <v>34</v>
      </c>
      <c r="I4268" t="s">
        <v>29</v>
      </c>
      <c r="J4268" t="s">
        <v>30</v>
      </c>
      <c r="K4268" s="2">
        <v>4000</v>
      </c>
      <c r="L4268" s="2">
        <v>12500</v>
      </c>
      <c r="M4268">
        <v>48</v>
      </c>
      <c r="N4268" s="3">
        <v>0.20100000000000001</v>
      </c>
      <c r="O4268" t="s">
        <v>17</v>
      </c>
      <c r="P4268" t="s">
        <v>60</v>
      </c>
      <c r="Q4268">
        <v>0</v>
      </c>
      <c r="R4268">
        <v>1</v>
      </c>
      <c r="S4268" s="2">
        <v>0</v>
      </c>
      <c r="T4268" s="4"/>
      <c r="U4268">
        <v>5</v>
      </c>
      <c r="V4268">
        <v>0</v>
      </c>
      <c r="W4268">
        <v>1</v>
      </c>
    </row>
    <row r="4269" spans="1:23" ht="16.5" x14ac:dyDescent="0.3">
      <c r="A4269" t="s">
        <v>4333</v>
      </c>
      <c r="B4269" s="1">
        <v>45904</v>
      </c>
      <c r="C4269">
        <v>2025</v>
      </c>
      <c r="D4269" t="s">
        <v>1255</v>
      </c>
      <c r="E4269" t="s">
        <v>1623</v>
      </c>
      <c r="F4269" t="s">
        <v>41</v>
      </c>
      <c r="G4269" t="s">
        <v>27</v>
      </c>
      <c r="H4269" t="s">
        <v>64</v>
      </c>
      <c r="I4269" t="s">
        <v>29</v>
      </c>
      <c r="J4269" t="s">
        <v>43</v>
      </c>
      <c r="K4269" s="2">
        <v>5600</v>
      </c>
      <c r="L4269" s="2">
        <v>56000</v>
      </c>
      <c r="M4269">
        <v>12</v>
      </c>
      <c r="N4269" s="3">
        <v>1.0269999999999999</v>
      </c>
      <c r="O4269" t="s">
        <v>125</v>
      </c>
      <c r="Q4269">
        <v>0</v>
      </c>
      <c r="R4269">
        <v>0</v>
      </c>
      <c r="S4269" s="2">
        <v>0</v>
      </c>
      <c r="T4269" s="4"/>
      <c r="U4269">
        <v>8</v>
      </c>
      <c r="V4269">
        <v>1</v>
      </c>
      <c r="W4269">
        <v>1</v>
      </c>
    </row>
    <row r="4270" spans="1:23" ht="16.5" x14ac:dyDescent="0.3">
      <c r="A4270" t="s">
        <v>4334</v>
      </c>
      <c r="B4270" s="1">
        <v>45904</v>
      </c>
      <c r="C4270">
        <v>2025</v>
      </c>
      <c r="D4270" t="s">
        <v>1255</v>
      </c>
      <c r="E4270" t="s">
        <v>1623</v>
      </c>
      <c r="F4270" t="s">
        <v>50</v>
      </c>
      <c r="G4270" t="s">
        <v>27</v>
      </c>
      <c r="H4270" t="s">
        <v>38</v>
      </c>
      <c r="I4270" t="s">
        <v>29</v>
      </c>
      <c r="J4270" t="s">
        <v>52</v>
      </c>
      <c r="K4270" s="2">
        <v>5350</v>
      </c>
      <c r="L4270" s="2">
        <v>380500</v>
      </c>
      <c r="M4270">
        <v>240</v>
      </c>
      <c r="N4270" s="3">
        <v>0.52600000000000002</v>
      </c>
      <c r="O4270" t="s">
        <v>16</v>
      </c>
      <c r="Q4270">
        <v>1</v>
      </c>
      <c r="R4270">
        <v>0</v>
      </c>
      <c r="S4270" s="2">
        <v>380500</v>
      </c>
      <c r="T4270" s="4">
        <v>4.9000000000000002E-2</v>
      </c>
      <c r="U4270">
        <v>11</v>
      </c>
      <c r="V4270">
        <v>1</v>
      </c>
      <c r="W4270">
        <v>1</v>
      </c>
    </row>
    <row r="4271" spans="1:23" ht="16.5" x14ac:dyDescent="0.3">
      <c r="A4271" t="s">
        <v>4335</v>
      </c>
      <c r="B4271" s="1">
        <v>45904</v>
      </c>
      <c r="C4271">
        <v>2025</v>
      </c>
      <c r="D4271" t="s">
        <v>1255</v>
      </c>
      <c r="E4271" t="s">
        <v>1623</v>
      </c>
      <c r="F4271" t="s">
        <v>37</v>
      </c>
      <c r="G4271" t="s">
        <v>51</v>
      </c>
      <c r="H4271" t="s">
        <v>28</v>
      </c>
      <c r="I4271" t="s">
        <v>29</v>
      </c>
      <c r="J4271" t="s">
        <v>30</v>
      </c>
      <c r="K4271" s="2">
        <v>7500</v>
      </c>
      <c r="L4271" s="2">
        <v>7000</v>
      </c>
      <c r="M4271">
        <v>12</v>
      </c>
      <c r="N4271" s="3">
        <v>0.24299999999999999</v>
      </c>
      <c r="O4271" t="s">
        <v>17</v>
      </c>
      <c r="P4271" t="s">
        <v>31</v>
      </c>
      <c r="Q4271">
        <v>0</v>
      </c>
      <c r="R4271">
        <v>1</v>
      </c>
      <c r="S4271" s="2">
        <v>0</v>
      </c>
      <c r="T4271" s="4"/>
      <c r="U4271">
        <v>5</v>
      </c>
      <c r="V4271">
        <v>0</v>
      </c>
      <c r="W4271">
        <v>1</v>
      </c>
    </row>
    <row r="4272" spans="1:23" ht="16.5" x14ac:dyDescent="0.3">
      <c r="A4272" t="s">
        <v>4336</v>
      </c>
      <c r="B4272" s="1">
        <v>45904</v>
      </c>
      <c r="C4272">
        <v>2025</v>
      </c>
      <c r="D4272" t="s">
        <v>1255</v>
      </c>
      <c r="E4272" t="s">
        <v>1623</v>
      </c>
      <c r="F4272" t="s">
        <v>41</v>
      </c>
      <c r="G4272" t="s">
        <v>51</v>
      </c>
      <c r="H4272" t="s">
        <v>28</v>
      </c>
      <c r="I4272" t="s">
        <v>42</v>
      </c>
      <c r="J4272" t="s">
        <v>46</v>
      </c>
      <c r="K4272" s="2">
        <v>7200</v>
      </c>
      <c r="L4272" s="2">
        <v>39000</v>
      </c>
      <c r="M4272">
        <v>24</v>
      </c>
      <c r="N4272" s="3">
        <v>0.48499999999999999</v>
      </c>
      <c r="O4272" t="s">
        <v>16</v>
      </c>
      <c r="Q4272">
        <v>1</v>
      </c>
      <c r="R4272">
        <v>0</v>
      </c>
      <c r="S4272" s="2">
        <v>39000</v>
      </c>
      <c r="T4272" s="4">
        <v>8.4900000000000003E-2</v>
      </c>
      <c r="U4272">
        <v>15</v>
      </c>
      <c r="V4272">
        <v>0</v>
      </c>
      <c r="W4272">
        <v>1</v>
      </c>
    </row>
    <row r="4273" spans="1:23" ht="16.5" x14ac:dyDescent="0.3">
      <c r="A4273" t="s">
        <v>4337</v>
      </c>
      <c r="B4273" s="1">
        <v>45904</v>
      </c>
      <c r="C4273">
        <v>2025</v>
      </c>
      <c r="D4273" t="s">
        <v>1255</v>
      </c>
      <c r="E4273" t="s">
        <v>1623</v>
      </c>
      <c r="F4273" t="s">
        <v>41</v>
      </c>
      <c r="G4273" t="s">
        <v>51</v>
      </c>
      <c r="H4273" t="s">
        <v>34</v>
      </c>
      <c r="I4273" t="s">
        <v>39</v>
      </c>
      <c r="J4273" t="s">
        <v>35</v>
      </c>
      <c r="K4273" s="2">
        <v>6200</v>
      </c>
      <c r="L4273" s="2">
        <v>79500</v>
      </c>
      <c r="M4273">
        <v>60</v>
      </c>
      <c r="N4273" s="3">
        <v>0.48199999999999998</v>
      </c>
      <c r="O4273" t="s">
        <v>16</v>
      </c>
      <c r="Q4273">
        <v>1</v>
      </c>
      <c r="R4273">
        <v>0</v>
      </c>
      <c r="S4273" s="2">
        <v>71500</v>
      </c>
      <c r="T4273" s="4">
        <v>0.10780000000000001</v>
      </c>
      <c r="U4273">
        <v>9</v>
      </c>
      <c r="V4273">
        <v>1</v>
      </c>
      <c r="W4273">
        <v>1</v>
      </c>
    </row>
    <row r="4274" spans="1:23" ht="16.5" x14ac:dyDescent="0.3">
      <c r="A4274" t="s">
        <v>4338</v>
      </c>
      <c r="B4274" s="1">
        <v>45905</v>
      </c>
      <c r="C4274">
        <v>2025</v>
      </c>
      <c r="D4274" t="s">
        <v>1255</v>
      </c>
      <c r="E4274" t="s">
        <v>1623</v>
      </c>
      <c r="F4274" t="s">
        <v>37</v>
      </c>
      <c r="G4274" t="s">
        <v>33</v>
      </c>
      <c r="H4274" t="s">
        <v>55</v>
      </c>
      <c r="I4274" t="s">
        <v>29</v>
      </c>
      <c r="J4274" t="s">
        <v>43</v>
      </c>
      <c r="K4274" s="2">
        <v>3700</v>
      </c>
      <c r="L4274" s="2">
        <v>21000</v>
      </c>
      <c r="M4274">
        <v>48</v>
      </c>
      <c r="N4274" s="3">
        <v>0.21</v>
      </c>
      <c r="O4274" t="s">
        <v>17</v>
      </c>
      <c r="P4274" t="s">
        <v>31</v>
      </c>
      <c r="Q4274">
        <v>0</v>
      </c>
      <c r="R4274">
        <v>1</v>
      </c>
      <c r="S4274" s="2">
        <v>0</v>
      </c>
      <c r="T4274" s="4"/>
      <c r="U4274">
        <v>2</v>
      </c>
      <c r="V4274">
        <v>1</v>
      </c>
      <c r="W4274">
        <v>1</v>
      </c>
    </row>
    <row r="4275" spans="1:23" ht="16.5" x14ac:dyDescent="0.3">
      <c r="A4275" t="s">
        <v>4339</v>
      </c>
      <c r="B4275" s="1">
        <v>45905</v>
      </c>
      <c r="C4275">
        <v>2025</v>
      </c>
      <c r="D4275" t="s">
        <v>1255</v>
      </c>
      <c r="E4275" t="s">
        <v>1623</v>
      </c>
      <c r="F4275" t="s">
        <v>37</v>
      </c>
      <c r="G4275" t="s">
        <v>45</v>
      </c>
      <c r="H4275" t="s">
        <v>55</v>
      </c>
      <c r="I4275" t="s">
        <v>29</v>
      </c>
      <c r="J4275" t="s">
        <v>52</v>
      </c>
      <c r="K4275" s="2">
        <v>6750</v>
      </c>
      <c r="L4275" s="2">
        <v>9500</v>
      </c>
      <c r="M4275">
        <v>12</v>
      </c>
      <c r="N4275" s="3">
        <v>0.313</v>
      </c>
      <c r="O4275" t="s">
        <v>16</v>
      </c>
      <c r="Q4275">
        <v>1</v>
      </c>
      <c r="R4275">
        <v>0</v>
      </c>
      <c r="S4275" s="2">
        <v>7500</v>
      </c>
      <c r="T4275" s="4">
        <v>0.11749999999999999</v>
      </c>
      <c r="U4275">
        <v>2</v>
      </c>
      <c r="V4275">
        <v>1</v>
      </c>
      <c r="W4275">
        <v>1</v>
      </c>
    </row>
    <row r="4276" spans="1:23" ht="16.5" x14ac:dyDescent="0.3">
      <c r="A4276" t="s">
        <v>4340</v>
      </c>
      <c r="B4276" s="1">
        <v>45905</v>
      </c>
      <c r="C4276">
        <v>2025</v>
      </c>
      <c r="D4276" t="s">
        <v>1255</v>
      </c>
      <c r="E4276" t="s">
        <v>1623</v>
      </c>
      <c r="F4276" t="s">
        <v>50</v>
      </c>
      <c r="G4276" t="s">
        <v>27</v>
      </c>
      <c r="H4276" t="s">
        <v>64</v>
      </c>
      <c r="I4276" t="s">
        <v>29</v>
      </c>
      <c r="J4276" t="s">
        <v>30</v>
      </c>
      <c r="K4276" s="2">
        <v>4550</v>
      </c>
      <c r="L4276" s="2">
        <v>257000</v>
      </c>
      <c r="M4276">
        <v>240</v>
      </c>
      <c r="N4276" s="3">
        <v>0.61799999999999999</v>
      </c>
      <c r="O4276" t="s">
        <v>17</v>
      </c>
      <c r="P4276" t="s">
        <v>31</v>
      </c>
      <c r="Q4276">
        <v>0</v>
      </c>
      <c r="R4276">
        <v>1</v>
      </c>
      <c r="S4276" s="2">
        <v>0</v>
      </c>
      <c r="T4276" s="4"/>
      <c r="U4276">
        <v>12</v>
      </c>
      <c r="V4276">
        <v>1</v>
      </c>
      <c r="W4276">
        <v>1</v>
      </c>
    </row>
    <row r="4277" spans="1:23" ht="16.5" x14ac:dyDescent="0.3">
      <c r="A4277" t="s">
        <v>4341</v>
      </c>
      <c r="B4277" s="1">
        <v>45905</v>
      </c>
      <c r="C4277">
        <v>2025</v>
      </c>
      <c r="D4277" t="s">
        <v>1255</v>
      </c>
      <c r="E4277" t="s">
        <v>1623</v>
      </c>
      <c r="F4277" t="s">
        <v>26</v>
      </c>
      <c r="G4277" t="s">
        <v>51</v>
      </c>
      <c r="H4277" t="s">
        <v>38</v>
      </c>
      <c r="I4277" t="s">
        <v>42</v>
      </c>
      <c r="J4277" t="s">
        <v>35</v>
      </c>
      <c r="K4277" s="2">
        <v>6150</v>
      </c>
      <c r="L4277" s="2">
        <v>37000</v>
      </c>
      <c r="M4277">
        <v>36</v>
      </c>
      <c r="N4277" s="3">
        <v>0.41799999999999998</v>
      </c>
      <c r="O4277" t="s">
        <v>17</v>
      </c>
      <c r="P4277" t="s">
        <v>65</v>
      </c>
      <c r="Q4277">
        <v>0</v>
      </c>
      <c r="R4277">
        <v>1</v>
      </c>
      <c r="S4277" s="2">
        <v>0</v>
      </c>
      <c r="T4277" s="4"/>
      <c r="U4277">
        <v>12</v>
      </c>
      <c r="V4277">
        <v>0</v>
      </c>
      <c r="W4277">
        <v>1</v>
      </c>
    </row>
    <row r="4278" spans="1:23" ht="16.5" x14ac:dyDescent="0.3">
      <c r="A4278" t="s">
        <v>4342</v>
      </c>
      <c r="B4278" s="1">
        <v>45905</v>
      </c>
      <c r="C4278">
        <v>2025</v>
      </c>
      <c r="D4278" t="s">
        <v>1255</v>
      </c>
      <c r="E4278" t="s">
        <v>1623</v>
      </c>
      <c r="F4278" t="s">
        <v>37</v>
      </c>
      <c r="G4278" t="s">
        <v>33</v>
      </c>
      <c r="H4278" t="s">
        <v>38</v>
      </c>
      <c r="I4278" t="s">
        <v>29</v>
      </c>
      <c r="J4278" t="s">
        <v>46</v>
      </c>
      <c r="K4278" s="2">
        <v>9050</v>
      </c>
      <c r="L4278" s="2">
        <v>12000</v>
      </c>
      <c r="M4278">
        <v>36</v>
      </c>
      <c r="N4278" s="3">
        <v>0.24299999999999999</v>
      </c>
      <c r="O4278" t="s">
        <v>16</v>
      </c>
      <c r="Q4278">
        <v>1</v>
      </c>
      <c r="R4278">
        <v>0</v>
      </c>
      <c r="S4278" s="2">
        <v>11000</v>
      </c>
      <c r="T4278" s="4">
        <v>0.11</v>
      </c>
      <c r="U4278">
        <v>1</v>
      </c>
      <c r="V4278">
        <v>1</v>
      </c>
      <c r="W4278">
        <v>1</v>
      </c>
    </row>
    <row r="4279" spans="1:23" ht="16.5" x14ac:dyDescent="0.3">
      <c r="A4279" t="s">
        <v>4343</v>
      </c>
      <c r="B4279" s="1">
        <v>45905</v>
      </c>
      <c r="C4279">
        <v>2025</v>
      </c>
      <c r="D4279" t="s">
        <v>1255</v>
      </c>
      <c r="E4279" t="s">
        <v>1623</v>
      </c>
      <c r="F4279" t="s">
        <v>37</v>
      </c>
      <c r="G4279" t="s">
        <v>51</v>
      </c>
      <c r="H4279" t="s">
        <v>38</v>
      </c>
      <c r="I4279" t="s">
        <v>29</v>
      </c>
      <c r="J4279" t="s">
        <v>46</v>
      </c>
      <c r="K4279" s="2">
        <v>3500</v>
      </c>
      <c r="L4279" s="2">
        <v>10000</v>
      </c>
      <c r="M4279">
        <v>12</v>
      </c>
      <c r="N4279" s="3">
        <v>0.33300000000000002</v>
      </c>
      <c r="O4279" t="s">
        <v>16</v>
      </c>
      <c r="Q4279">
        <v>1</v>
      </c>
      <c r="R4279">
        <v>0</v>
      </c>
      <c r="S4279" s="2">
        <v>10000</v>
      </c>
      <c r="T4279" s="4">
        <v>0.109</v>
      </c>
      <c r="U4279">
        <v>5</v>
      </c>
      <c r="V4279">
        <v>0</v>
      </c>
      <c r="W4279">
        <v>1</v>
      </c>
    </row>
    <row r="4280" spans="1:23" ht="16.5" x14ac:dyDescent="0.3">
      <c r="A4280" t="s">
        <v>4344</v>
      </c>
      <c r="B4280" s="1">
        <v>45906</v>
      </c>
      <c r="C4280">
        <v>2025</v>
      </c>
      <c r="D4280" t="s">
        <v>1255</v>
      </c>
      <c r="E4280" t="s">
        <v>1623</v>
      </c>
      <c r="F4280" t="s">
        <v>37</v>
      </c>
      <c r="G4280" t="s">
        <v>45</v>
      </c>
      <c r="H4280" t="s">
        <v>28</v>
      </c>
      <c r="I4280" t="s">
        <v>29</v>
      </c>
      <c r="J4280" t="s">
        <v>35</v>
      </c>
      <c r="K4280" s="2">
        <v>15750</v>
      </c>
      <c r="L4280" s="2">
        <v>9500</v>
      </c>
      <c r="M4280">
        <v>60</v>
      </c>
      <c r="N4280" s="3">
        <v>0.183</v>
      </c>
      <c r="O4280" t="s">
        <v>17</v>
      </c>
      <c r="P4280" t="s">
        <v>60</v>
      </c>
      <c r="Q4280">
        <v>0</v>
      </c>
      <c r="R4280">
        <v>1</v>
      </c>
      <c r="S4280" s="2">
        <v>0</v>
      </c>
      <c r="T4280" s="4"/>
      <c r="U4280">
        <v>5</v>
      </c>
      <c r="V4280">
        <v>0</v>
      </c>
      <c r="W4280">
        <v>1</v>
      </c>
    </row>
    <row r="4281" spans="1:23" ht="16.5" x14ac:dyDescent="0.3">
      <c r="A4281" t="s">
        <v>4345</v>
      </c>
      <c r="B4281" s="1">
        <v>45906</v>
      </c>
      <c r="C4281">
        <v>2025</v>
      </c>
      <c r="D4281" t="s">
        <v>1255</v>
      </c>
      <c r="E4281" t="s">
        <v>1623</v>
      </c>
      <c r="F4281" t="s">
        <v>26</v>
      </c>
      <c r="G4281" t="s">
        <v>51</v>
      </c>
      <c r="H4281" t="s">
        <v>28</v>
      </c>
      <c r="I4281" t="s">
        <v>29</v>
      </c>
      <c r="J4281" t="s">
        <v>46</v>
      </c>
      <c r="K4281" s="2">
        <v>8000</v>
      </c>
      <c r="L4281" s="2">
        <v>37000</v>
      </c>
      <c r="M4281">
        <v>60</v>
      </c>
      <c r="N4281" s="3">
        <v>0.18</v>
      </c>
      <c r="O4281" t="s">
        <v>16</v>
      </c>
      <c r="Q4281">
        <v>1</v>
      </c>
      <c r="R4281">
        <v>0</v>
      </c>
      <c r="S4281" s="2">
        <v>29500</v>
      </c>
      <c r="T4281" s="4">
        <v>6.3100000000000003E-2</v>
      </c>
      <c r="U4281">
        <v>7</v>
      </c>
      <c r="V4281">
        <v>0</v>
      </c>
      <c r="W4281">
        <v>1</v>
      </c>
    </row>
    <row r="4282" spans="1:23" ht="16.5" x14ac:dyDescent="0.3">
      <c r="A4282" t="s">
        <v>4346</v>
      </c>
      <c r="B4282" s="1">
        <v>45906</v>
      </c>
      <c r="C4282">
        <v>2025</v>
      </c>
      <c r="D4282" t="s">
        <v>1255</v>
      </c>
      <c r="E4282" t="s">
        <v>1623</v>
      </c>
      <c r="F4282" t="s">
        <v>37</v>
      </c>
      <c r="G4282" t="s">
        <v>27</v>
      </c>
      <c r="H4282" t="s">
        <v>55</v>
      </c>
      <c r="I4282" t="s">
        <v>39</v>
      </c>
      <c r="J4282" t="s">
        <v>30</v>
      </c>
      <c r="K4282" s="2">
        <v>9950</v>
      </c>
      <c r="L4282" s="2">
        <v>15000</v>
      </c>
      <c r="M4282">
        <v>24</v>
      </c>
      <c r="N4282" s="3">
        <v>0.13800000000000001</v>
      </c>
      <c r="O4282" t="s">
        <v>17</v>
      </c>
      <c r="P4282" t="s">
        <v>31</v>
      </c>
      <c r="Q4282">
        <v>0</v>
      </c>
      <c r="R4282">
        <v>1</v>
      </c>
      <c r="S4282" s="2">
        <v>0</v>
      </c>
      <c r="T4282" s="4"/>
      <c r="U4282">
        <v>3</v>
      </c>
      <c r="V4282">
        <v>1</v>
      </c>
      <c r="W4282">
        <v>1</v>
      </c>
    </row>
    <row r="4283" spans="1:23" ht="16.5" x14ac:dyDescent="0.3">
      <c r="A4283" t="s">
        <v>4347</v>
      </c>
      <c r="B4283" s="1">
        <v>45906</v>
      </c>
      <c r="C4283">
        <v>2025</v>
      </c>
      <c r="D4283" t="s">
        <v>1255</v>
      </c>
      <c r="E4283" t="s">
        <v>1623</v>
      </c>
      <c r="F4283" t="s">
        <v>41</v>
      </c>
      <c r="G4283" t="s">
        <v>51</v>
      </c>
      <c r="H4283" t="s">
        <v>64</v>
      </c>
      <c r="I4283" t="s">
        <v>29</v>
      </c>
      <c r="J4283" t="s">
        <v>52</v>
      </c>
      <c r="K4283" s="2">
        <v>4600</v>
      </c>
      <c r="L4283" s="2">
        <v>166500</v>
      </c>
      <c r="M4283">
        <v>60</v>
      </c>
      <c r="N4283" s="3">
        <v>0.91100000000000003</v>
      </c>
      <c r="O4283" t="s">
        <v>17</v>
      </c>
      <c r="P4283" t="s">
        <v>53</v>
      </c>
      <c r="Q4283">
        <v>0</v>
      </c>
      <c r="R4283">
        <v>1</v>
      </c>
      <c r="S4283" s="2">
        <v>0</v>
      </c>
      <c r="T4283" s="4"/>
      <c r="U4283">
        <v>15</v>
      </c>
      <c r="V4283">
        <v>0</v>
      </c>
      <c r="W4283">
        <v>1</v>
      </c>
    </row>
    <row r="4284" spans="1:23" ht="16.5" x14ac:dyDescent="0.3">
      <c r="A4284" t="s">
        <v>4348</v>
      </c>
      <c r="B4284" s="1">
        <v>45906</v>
      </c>
      <c r="C4284">
        <v>2025</v>
      </c>
      <c r="D4284" t="s">
        <v>1255</v>
      </c>
      <c r="E4284" t="s">
        <v>1623</v>
      </c>
      <c r="F4284" t="s">
        <v>41</v>
      </c>
      <c r="G4284" t="s">
        <v>33</v>
      </c>
      <c r="H4284" t="s">
        <v>34</v>
      </c>
      <c r="I4284" t="s">
        <v>29</v>
      </c>
      <c r="J4284" t="s">
        <v>30</v>
      </c>
      <c r="K4284" s="2">
        <v>5400</v>
      </c>
      <c r="L4284" s="2">
        <v>90000</v>
      </c>
      <c r="M4284">
        <v>12</v>
      </c>
      <c r="N4284" s="3">
        <v>1.712</v>
      </c>
      <c r="O4284" t="s">
        <v>17</v>
      </c>
      <c r="P4284" t="s">
        <v>31</v>
      </c>
      <c r="Q4284">
        <v>0</v>
      </c>
      <c r="R4284">
        <v>1</v>
      </c>
      <c r="S4284" s="2">
        <v>0</v>
      </c>
      <c r="T4284" s="4"/>
      <c r="U4284">
        <v>5</v>
      </c>
      <c r="V4284">
        <v>1</v>
      </c>
      <c r="W4284">
        <v>1</v>
      </c>
    </row>
    <row r="4285" spans="1:23" ht="16.5" x14ac:dyDescent="0.3">
      <c r="A4285" t="s">
        <v>4349</v>
      </c>
      <c r="B4285" s="1">
        <v>45907</v>
      </c>
      <c r="C4285">
        <v>2025</v>
      </c>
      <c r="D4285" t="s">
        <v>1255</v>
      </c>
      <c r="E4285" t="s">
        <v>1623</v>
      </c>
      <c r="F4285" t="s">
        <v>37</v>
      </c>
      <c r="G4285" t="s">
        <v>33</v>
      </c>
      <c r="H4285" t="s">
        <v>34</v>
      </c>
      <c r="I4285" t="s">
        <v>42</v>
      </c>
      <c r="J4285" t="s">
        <v>43</v>
      </c>
      <c r="K4285" s="2">
        <v>6000</v>
      </c>
      <c r="L4285" s="2">
        <v>15500</v>
      </c>
      <c r="M4285">
        <v>24</v>
      </c>
      <c r="N4285" s="3">
        <v>0.33300000000000002</v>
      </c>
      <c r="O4285" t="s">
        <v>17</v>
      </c>
      <c r="P4285" t="s">
        <v>48</v>
      </c>
      <c r="Q4285">
        <v>0</v>
      </c>
      <c r="R4285">
        <v>1</v>
      </c>
      <c r="S4285" s="2">
        <v>0</v>
      </c>
      <c r="T4285" s="4"/>
      <c r="U4285">
        <v>1</v>
      </c>
      <c r="V4285">
        <v>1</v>
      </c>
      <c r="W4285">
        <v>1</v>
      </c>
    </row>
    <row r="4286" spans="1:23" ht="16.5" x14ac:dyDescent="0.3">
      <c r="A4286" t="s">
        <v>4350</v>
      </c>
      <c r="B4286" s="1">
        <v>45907</v>
      </c>
      <c r="C4286">
        <v>2025</v>
      </c>
      <c r="D4286" t="s">
        <v>1255</v>
      </c>
      <c r="E4286" t="s">
        <v>1623</v>
      </c>
      <c r="F4286" t="s">
        <v>41</v>
      </c>
      <c r="G4286" t="s">
        <v>51</v>
      </c>
      <c r="H4286" t="s">
        <v>34</v>
      </c>
      <c r="I4286" t="s">
        <v>29</v>
      </c>
      <c r="J4286" t="s">
        <v>46</v>
      </c>
      <c r="K4286" s="2">
        <v>5350</v>
      </c>
      <c r="L4286" s="2">
        <v>42500</v>
      </c>
      <c r="M4286">
        <v>36</v>
      </c>
      <c r="N4286" s="3">
        <v>0.35399999999999998</v>
      </c>
      <c r="O4286" t="s">
        <v>16</v>
      </c>
      <c r="Q4286">
        <v>1</v>
      </c>
      <c r="R4286">
        <v>0</v>
      </c>
      <c r="S4286" s="2">
        <v>42500</v>
      </c>
      <c r="T4286" s="4">
        <v>8.8599999999999998E-2</v>
      </c>
      <c r="U4286">
        <v>11</v>
      </c>
      <c r="V4286">
        <v>0</v>
      </c>
      <c r="W4286">
        <v>1</v>
      </c>
    </row>
    <row r="4287" spans="1:23" ht="16.5" x14ac:dyDescent="0.3">
      <c r="A4287" t="s">
        <v>4351</v>
      </c>
      <c r="B4287" s="1">
        <v>45907</v>
      </c>
      <c r="C4287">
        <v>2025</v>
      </c>
      <c r="D4287" t="s">
        <v>1255</v>
      </c>
      <c r="E4287" t="s">
        <v>1623</v>
      </c>
      <c r="F4287" t="s">
        <v>37</v>
      </c>
      <c r="G4287" t="s">
        <v>33</v>
      </c>
      <c r="H4287" t="s">
        <v>34</v>
      </c>
      <c r="I4287" t="s">
        <v>29</v>
      </c>
      <c r="J4287" t="s">
        <v>30</v>
      </c>
      <c r="K4287" s="2">
        <v>3800</v>
      </c>
      <c r="L4287" s="2">
        <v>9500</v>
      </c>
      <c r="M4287">
        <v>60</v>
      </c>
      <c r="N4287" s="3">
        <v>0.20200000000000001</v>
      </c>
      <c r="O4287" t="s">
        <v>16</v>
      </c>
      <c r="Q4287">
        <v>1</v>
      </c>
      <c r="R4287">
        <v>0</v>
      </c>
      <c r="S4287" s="2">
        <v>9500</v>
      </c>
      <c r="T4287" s="4">
        <v>0.1449</v>
      </c>
      <c r="U4287">
        <v>1</v>
      </c>
      <c r="V4287">
        <v>1</v>
      </c>
      <c r="W4287">
        <v>1</v>
      </c>
    </row>
    <row r="4288" spans="1:23" ht="16.5" x14ac:dyDescent="0.3">
      <c r="A4288" t="s">
        <v>4352</v>
      </c>
      <c r="B4288" s="1">
        <v>45907</v>
      </c>
      <c r="C4288">
        <v>2025</v>
      </c>
      <c r="D4288" t="s">
        <v>1255</v>
      </c>
      <c r="E4288" t="s">
        <v>1623</v>
      </c>
      <c r="F4288" t="s">
        <v>37</v>
      </c>
      <c r="G4288" t="s">
        <v>33</v>
      </c>
      <c r="H4288" t="s">
        <v>28</v>
      </c>
      <c r="I4288" t="s">
        <v>29</v>
      </c>
      <c r="J4288" t="s">
        <v>52</v>
      </c>
      <c r="K4288" s="2">
        <v>4950</v>
      </c>
      <c r="L4288" s="2">
        <v>16500</v>
      </c>
      <c r="M4288">
        <v>60</v>
      </c>
      <c r="N4288" s="3">
        <v>0.28000000000000003</v>
      </c>
      <c r="O4288" t="s">
        <v>16</v>
      </c>
      <c r="Q4288">
        <v>1</v>
      </c>
      <c r="R4288">
        <v>0</v>
      </c>
      <c r="S4288" s="2">
        <v>16500</v>
      </c>
      <c r="T4288" s="4">
        <v>0.11840000000000001</v>
      </c>
      <c r="U4288">
        <v>1</v>
      </c>
      <c r="V4288">
        <v>1</v>
      </c>
      <c r="W4288">
        <v>1</v>
      </c>
    </row>
    <row r="4289" spans="1:23" ht="16.5" x14ac:dyDescent="0.3">
      <c r="A4289" t="s">
        <v>4353</v>
      </c>
      <c r="B4289" s="1">
        <v>45907</v>
      </c>
      <c r="C4289">
        <v>2025</v>
      </c>
      <c r="D4289" t="s">
        <v>1255</v>
      </c>
      <c r="E4289" t="s">
        <v>1623</v>
      </c>
      <c r="F4289" t="s">
        <v>37</v>
      </c>
      <c r="G4289" t="s">
        <v>45</v>
      </c>
      <c r="H4289" t="s">
        <v>34</v>
      </c>
      <c r="I4289" t="s">
        <v>29</v>
      </c>
      <c r="J4289" t="s">
        <v>30</v>
      </c>
      <c r="K4289" s="2">
        <v>6100</v>
      </c>
      <c r="L4289" s="2">
        <v>26500</v>
      </c>
      <c r="M4289">
        <v>12</v>
      </c>
      <c r="N4289" s="3">
        <v>0.53700000000000003</v>
      </c>
      <c r="O4289" t="s">
        <v>17</v>
      </c>
      <c r="P4289" t="s">
        <v>53</v>
      </c>
      <c r="Q4289">
        <v>0</v>
      </c>
      <c r="R4289">
        <v>1</v>
      </c>
      <c r="S4289" s="2">
        <v>0</v>
      </c>
      <c r="T4289" s="4"/>
      <c r="U4289">
        <v>1</v>
      </c>
      <c r="V4289">
        <v>1</v>
      </c>
      <c r="W4289">
        <v>1</v>
      </c>
    </row>
    <row r="4290" spans="1:23" ht="16.5" x14ac:dyDescent="0.3">
      <c r="A4290" t="s">
        <v>4354</v>
      </c>
      <c r="B4290" s="1">
        <v>45907</v>
      </c>
      <c r="C4290">
        <v>2025</v>
      </c>
      <c r="D4290" t="s">
        <v>1255</v>
      </c>
      <c r="E4290" t="s">
        <v>1623</v>
      </c>
      <c r="F4290" t="s">
        <v>41</v>
      </c>
      <c r="G4290" t="s">
        <v>45</v>
      </c>
      <c r="H4290" t="s">
        <v>34</v>
      </c>
      <c r="I4290" t="s">
        <v>39</v>
      </c>
      <c r="J4290" t="s">
        <v>30</v>
      </c>
      <c r="K4290" s="2">
        <v>7750</v>
      </c>
      <c r="L4290" s="2">
        <v>173500</v>
      </c>
      <c r="M4290">
        <v>36</v>
      </c>
      <c r="N4290" s="3">
        <v>0.78100000000000003</v>
      </c>
      <c r="O4290" t="s">
        <v>17</v>
      </c>
      <c r="P4290" t="s">
        <v>60</v>
      </c>
      <c r="Q4290">
        <v>0</v>
      </c>
      <c r="R4290">
        <v>1</v>
      </c>
      <c r="S4290" s="2">
        <v>0</v>
      </c>
      <c r="T4290" s="4"/>
      <c r="U4290">
        <v>7</v>
      </c>
      <c r="V4290">
        <v>1</v>
      </c>
      <c r="W4290">
        <v>1</v>
      </c>
    </row>
    <row r="4291" spans="1:23" ht="16.5" x14ac:dyDescent="0.3">
      <c r="A4291" t="s">
        <v>4355</v>
      </c>
      <c r="B4291" s="1">
        <v>45907</v>
      </c>
      <c r="C4291">
        <v>2025</v>
      </c>
      <c r="D4291" t="s">
        <v>1255</v>
      </c>
      <c r="E4291" t="s">
        <v>1623</v>
      </c>
      <c r="F4291" t="s">
        <v>50</v>
      </c>
      <c r="G4291" t="s">
        <v>33</v>
      </c>
      <c r="H4291" t="s">
        <v>38</v>
      </c>
      <c r="I4291" t="s">
        <v>39</v>
      </c>
      <c r="J4291" t="s">
        <v>52</v>
      </c>
      <c r="K4291" s="2">
        <v>6300</v>
      </c>
      <c r="L4291" s="2">
        <v>392500</v>
      </c>
      <c r="M4291">
        <v>300</v>
      </c>
      <c r="N4291" s="3">
        <v>0.56499999999999995</v>
      </c>
      <c r="O4291" t="s">
        <v>17</v>
      </c>
      <c r="P4291" t="s">
        <v>60</v>
      </c>
      <c r="Q4291">
        <v>0</v>
      </c>
      <c r="R4291">
        <v>1</v>
      </c>
      <c r="S4291" s="2">
        <v>0</v>
      </c>
      <c r="T4291" s="4"/>
      <c r="U4291">
        <v>11</v>
      </c>
      <c r="V4291">
        <v>1</v>
      </c>
      <c r="W4291">
        <v>1</v>
      </c>
    </row>
    <row r="4292" spans="1:23" ht="16.5" x14ac:dyDescent="0.3">
      <c r="A4292" t="s">
        <v>4356</v>
      </c>
      <c r="B4292" s="1">
        <v>45908</v>
      </c>
      <c r="C4292">
        <v>2025</v>
      </c>
      <c r="D4292" t="s">
        <v>1255</v>
      </c>
      <c r="E4292" t="s">
        <v>1623</v>
      </c>
      <c r="F4292" t="s">
        <v>50</v>
      </c>
      <c r="G4292" t="s">
        <v>51</v>
      </c>
      <c r="H4292" t="s">
        <v>34</v>
      </c>
      <c r="I4292" t="s">
        <v>29</v>
      </c>
      <c r="J4292" t="s">
        <v>35</v>
      </c>
      <c r="K4292" s="2">
        <v>6700</v>
      </c>
      <c r="L4292" s="2">
        <v>292500</v>
      </c>
      <c r="M4292">
        <v>180</v>
      </c>
      <c r="N4292" s="3">
        <v>0.46700000000000003</v>
      </c>
      <c r="O4292" t="s">
        <v>17</v>
      </c>
      <c r="P4292" t="s">
        <v>53</v>
      </c>
      <c r="Q4292">
        <v>0</v>
      </c>
      <c r="R4292">
        <v>1</v>
      </c>
      <c r="S4292" s="2">
        <v>0</v>
      </c>
      <c r="T4292" s="4"/>
      <c r="U4292">
        <v>20</v>
      </c>
      <c r="V4292">
        <v>0</v>
      </c>
      <c r="W4292">
        <v>1</v>
      </c>
    </row>
    <row r="4293" spans="1:23" ht="16.5" x14ac:dyDescent="0.3">
      <c r="A4293" t="s">
        <v>4357</v>
      </c>
      <c r="B4293" s="1">
        <v>45908</v>
      </c>
      <c r="C4293">
        <v>2025</v>
      </c>
      <c r="D4293" t="s">
        <v>1255</v>
      </c>
      <c r="E4293" t="s">
        <v>1623</v>
      </c>
      <c r="F4293" t="s">
        <v>41</v>
      </c>
      <c r="G4293" t="s">
        <v>51</v>
      </c>
      <c r="H4293" t="s">
        <v>55</v>
      </c>
      <c r="I4293" t="s">
        <v>39</v>
      </c>
      <c r="J4293" t="s">
        <v>46</v>
      </c>
      <c r="K4293" s="2">
        <v>6250</v>
      </c>
      <c r="L4293" s="2">
        <v>163000</v>
      </c>
      <c r="M4293">
        <v>60</v>
      </c>
      <c r="N4293" s="3">
        <v>0.74399999999999999</v>
      </c>
      <c r="O4293" t="s">
        <v>16</v>
      </c>
      <c r="Q4293">
        <v>1</v>
      </c>
      <c r="R4293">
        <v>0</v>
      </c>
      <c r="S4293" s="2">
        <v>163000</v>
      </c>
      <c r="T4293" s="4">
        <v>9.2799999999999994E-2</v>
      </c>
      <c r="U4293">
        <v>10</v>
      </c>
      <c r="V4293">
        <v>1</v>
      </c>
      <c r="W4293">
        <v>1</v>
      </c>
    </row>
    <row r="4294" spans="1:23" ht="16.5" x14ac:dyDescent="0.3">
      <c r="A4294" t="s">
        <v>4358</v>
      </c>
      <c r="B4294" s="1">
        <v>45908</v>
      </c>
      <c r="C4294">
        <v>2025</v>
      </c>
      <c r="D4294" t="s">
        <v>1255</v>
      </c>
      <c r="E4294" t="s">
        <v>1623</v>
      </c>
      <c r="F4294" t="s">
        <v>37</v>
      </c>
      <c r="G4294" t="s">
        <v>45</v>
      </c>
      <c r="H4294" t="s">
        <v>28</v>
      </c>
      <c r="I4294" t="s">
        <v>29</v>
      </c>
      <c r="J4294" t="s">
        <v>35</v>
      </c>
      <c r="K4294" s="2">
        <v>6900</v>
      </c>
      <c r="L4294" s="2">
        <v>10000</v>
      </c>
      <c r="M4294">
        <v>48</v>
      </c>
      <c r="N4294" s="3">
        <v>0.27500000000000002</v>
      </c>
      <c r="O4294" t="s">
        <v>16</v>
      </c>
      <c r="Q4294">
        <v>1</v>
      </c>
      <c r="R4294">
        <v>0</v>
      </c>
      <c r="S4294" s="2">
        <v>10000</v>
      </c>
      <c r="T4294" s="4">
        <v>0.12809999999999999</v>
      </c>
      <c r="U4294">
        <v>1</v>
      </c>
      <c r="V4294">
        <v>1</v>
      </c>
      <c r="W4294">
        <v>1</v>
      </c>
    </row>
    <row r="4295" spans="1:23" ht="16.5" x14ac:dyDescent="0.3">
      <c r="A4295" t="s">
        <v>4359</v>
      </c>
      <c r="B4295" s="1">
        <v>45908</v>
      </c>
      <c r="C4295">
        <v>2025</v>
      </c>
      <c r="D4295" t="s">
        <v>1255</v>
      </c>
      <c r="E4295" t="s">
        <v>1623</v>
      </c>
      <c r="F4295" t="s">
        <v>41</v>
      </c>
      <c r="G4295" t="s">
        <v>27</v>
      </c>
      <c r="H4295" t="s">
        <v>55</v>
      </c>
      <c r="I4295" t="s">
        <v>39</v>
      </c>
      <c r="J4295" t="s">
        <v>35</v>
      </c>
      <c r="K4295" s="2">
        <v>2500</v>
      </c>
      <c r="L4295" s="2">
        <v>61000</v>
      </c>
      <c r="M4295">
        <v>12</v>
      </c>
      <c r="N4295" s="3">
        <v>2.3180000000000001</v>
      </c>
      <c r="O4295" t="s">
        <v>17</v>
      </c>
      <c r="P4295" t="s">
        <v>53</v>
      </c>
      <c r="Q4295">
        <v>0</v>
      </c>
      <c r="R4295">
        <v>1</v>
      </c>
      <c r="S4295" s="2">
        <v>0</v>
      </c>
      <c r="T4295" s="4"/>
      <c r="U4295">
        <v>9</v>
      </c>
      <c r="V4295">
        <v>1</v>
      </c>
      <c r="W4295">
        <v>1</v>
      </c>
    </row>
    <row r="4296" spans="1:23" ht="16.5" x14ac:dyDescent="0.3">
      <c r="A4296" t="s">
        <v>4360</v>
      </c>
      <c r="B4296" s="1">
        <v>45908</v>
      </c>
      <c r="C4296">
        <v>2025</v>
      </c>
      <c r="D4296" t="s">
        <v>1255</v>
      </c>
      <c r="E4296" t="s">
        <v>1623</v>
      </c>
      <c r="F4296" t="s">
        <v>37</v>
      </c>
      <c r="G4296" t="s">
        <v>45</v>
      </c>
      <c r="H4296" t="s">
        <v>28</v>
      </c>
      <c r="I4296" t="s">
        <v>42</v>
      </c>
      <c r="J4296" t="s">
        <v>52</v>
      </c>
      <c r="K4296" s="2">
        <v>3300</v>
      </c>
      <c r="L4296" s="2">
        <v>19000</v>
      </c>
      <c r="M4296">
        <v>48</v>
      </c>
      <c r="N4296" s="3">
        <v>0.20899999999999999</v>
      </c>
      <c r="O4296" t="s">
        <v>17</v>
      </c>
      <c r="P4296" t="s">
        <v>65</v>
      </c>
      <c r="Q4296">
        <v>0</v>
      </c>
      <c r="R4296">
        <v>1</v>
      </c>
      <c r="S4296" s="2">
        <v>0</v>
      </c>
      <c r="T4296" s="4"/>
      <c r="U4296">
        <v>2</v>
      </c>
      <c r="V4296">
        <v>1</v>
      </c>
      <c r="W4296">
        <v>1</v>
      </c>
    </row>
    <row r="4297" spans="1:23" ht="16.5" x14ac:dyDescent="0.3">
      <c r="A4297" t="s">
        <v>4361</v>
      </c>
      <c r="B4297" s="1">
        <v>45908</v>
      </c>
      <c r="C4297">
        <v>2025</v>
      </c>
      <c r="D4297" t="s">
        <v>1255</v>
      </c>
      <c r="E4297" t="s">
        <v>1623</v>
      </c>
      <c r="F4297" t="s">
        <v>37</v>
      </c>
      <c r="G4297" t="s">
        <v>33</v>
      </c>
      <c r="H4297" t="s">
        <v>28</v>
      </c>
      <c r="I4297" t="s">
        <v>29</v>
      </c>
      <c r="J4297" t="s">
        <v>52</v>
      </c>
      <c r="K4297" s="2">
        <v>3800</v>
      </c>
      <c r="L4297" s="2">
        <v>12500</v>
      </c>
      <c r="M4297">
        <v>36</v>
      </c>
      <c r="N4297" s="3">
        <v>0.24199999999999999</v>
      </c>
      <c r="O4297" t="s">
        <v>16</v>
      </c>
      <c r="Q4297">
        <v>1</v>
      </c>
      <c r="R4297">
        <v>0</v>
      </c>
      <c r="S4297" s="2">
        <v>10000</v>
      </c>
      <c r="T4297" s="4">
        <v>0.1177</v>
      </c>
      <c r="U4297">
        <v>1</v>
      </c>
      <c r="V4297">
        <v>1</v>
      </c>
      <c r="W4297">
        <v>1</v>
      </c>
    </row>
    <row r="4298" spans="1:23" ht="16.5" x14ac:dyDescent="0.3">
      <c r="A4298" t="s">
        <v>4362</v>
      </c>
      <c r="B4298" s="1">
        <v>45908</v>
      </c>
      <c r="C4298">
        <v>2025</v>
      </c>
      <c r="D4298" t="s">
        <v>1255</v>
      </c>
      <c r="E4298" t="s">
        <v>1623</v>
      </c>
      <c r="F4298" t="s">
        <v>26</v>
      </c>
      <c r="G4298" t="s">
        <v>45</v>
      </c>
      <c r="H4298" t="s">
        <v>38</v>
      </c>
      <c r="I4298" t="s">
        <v>29</v>
      </c>
      <c r="J4298" t="s">
        <v>30</v>
      </c>
      <c r="K4298" s="2">
        <v>4900</v>
      </c>
      <c r="L4298" s="2">
        <v>39000</v>
      </c>
      <c r="M4298">
        <v>60</v>
      </c>
      <c r="N4298" s="3">
        <v>0.313</v>
      </c>
      <c r="O4298" t="s">
        <v>16</v>
      </c>
      <c r="Q4298">
        <v>1</v>
      </c>
      <c r="R4298">
        <v>0</v>
      </c>
      <c r="S4298" s="2">
        <v>39000</v>
      </c>
      <c r="T4298" s="4">
        <v>9.9400000000000002E-2</v>
      </c>
      <c r="U4298">
        <v>3</v>
      </c>
      <c r="V4298">
        <v>1</v>
      </c>
      <c r="W4298">
        <v>1</v>
      </c>
    </row>
    <row r="4299" spans="1:23" ht="16.5" x14ac:dyDescent="0.3">
      <c r="A4299" t="s">
        <v>4363</v>
      </c>
      <c r="B4299" s="1">
        <v>45908</v>
      </c>
      <c r="C4299">
        <v>2025</v>
      </c>
      <c r="D4299" t="s">
        <v>1255</v>
      </c>
      <c r="E4299" t="s">
        <v>1623</v>
      </c>
      <c r="F4299" t="s">
        <v>37</v>
      </c>
      <c r="G4299" t="s">
        <v>51</v>
      </c>
      <c r="H4299" t="s">
        <v>38</v>
      </c>
      <c r="I4299" t="s">
        <v>29</v>
      </c>
      <c r="J4299" t="s">
        <v>30</v>
      </c>
      <c r="K4299" s="2">
        <v>7150</v>
      </c>
      <c r="L4299" s="2">
        <v>6500</v>
      </c>
      <c r="M4299">
        <v>60</v>
      </c>
      <c r="N4299" s="3">
        <v>0.23799999999999999</v>
      </c>
      <c r="O4299" t="s">
        <v>17</v>
      </c>
      <c r="P4299" t="s">
        <v>31</v>
      </c>
      <c r="Q4299">
        <v>0</v>
      </c>
      <c r="R4299">
        <v>1</v>
      </c>
      <c r="S4299" s="2">
        <v>0</v>
      </c>
      <c r="T4299" s="4"/>
      <c r="U4299">
        <v>4</v>
      </c>
      <c r="V4299">
        <v>0</v>
      </c>
      <c r="W4299">
        <v>1</v>
      </c>
    </row>
    <row r="4300" spans="1:23" ht="16.5" x14ac:dyDescent="0.3">
      <c r="A4300" t="s">
        <v>4364</v>
      </c>
      <c r="B4300" s="1">
        <v>45908</v>
      </c>
      <c r="C4300">
        <v>2025</v>
      </c>
      <c r="D4300" t="s">
        <v>1255</v>
      </c>
      <c r="E4300" t="s">
        <v>1623</v>
      </c>
      <c r="F4300" t="s">
        <v>41</v>
      </c>
      <c r="G4300" t="s">
        <v>33</v>
      </c>
      <c r="H4300" t="s">
        <v>34</v>
      </c>
      <c r="I4300" t="s">
        <v>29</v>
      </c>
      <c r="J4300" t="s">
        <v>30</v>
      </c>
      <c r="K4300" s="2">
        <v>6900</v>
      </c>
      <c r="L4300" s="2">
        <v>57000</v>
      </c>
      <c r="M4300">
        <v>36</v>
      </c>
      <c r="N4300" s="3">
        <v>0.33700000000000002</v>
      </c>
      <c r="O4300" t="s">
        <v>16</v>
      </c>
      <c r="Q4300">
        <v>1</v>
      </c>
      <c r="R4300">
        <v>0</v>
      </c>
      <c r="S4300" s="2">
        <v>57000</v>
      </c>
      <c r="T4300" s="4">
        <v>0.1234</v>
      </c>
      <c r="U4300">
        <v>4</v>
      </c>
      <c r="V4300">
        <v>1</v>
      </c>
      <c r="W4300">
        <v>1</v>
      </c>
    </row>
    <row r="4301" spans="1:23" ht="16.5" x14ac:dyDescent="0.3">
      <c r="A4301" t="s">
        <v>4365</v>
      </c>
      <c r="B4301" s="1">
        <v>45908</v>
      </c>
      <c r="C4301">
        <v>2025</v>
      </c>
      <c r="D4301" t="s">
        <v>1255</v>
      </c>
      <c r="E4301" t="s">
        <v>1623</v>
      </c>
      <c r="F4301" t="s">
        <v>37</v>
      </c>
      <c r="G4301" t="s">
        <v>27</v>
      </c>
      <c r="H4301" t="s">
        <v>34</v>
      </c>
      <c r="I4301" t="s">
        <v>39</v>
      </c>
      <c r="J4301" t="s">
        <v>35</v>
      </c>
      <c r="K4301" s="2">
        <v>7200</v>
      </c>
      <c r="L4301" s="2">
        <v>14500</v>
      </c>
      <c r="M4301">
        <v>24</v>
      </c>
      <c r="N4301" s="3">
        <v>0.24199999999999999</v>
      </c>
      <c r="O4301" t="s">
        <v>16</v>
      </c>
      <c r="Q4301">
        <v>1</v>
      </c>
      <c r="R4301">
        <v>0</v>
      </c>
      <c r="S4301" s="2">
        <v>13000</v>
      </c>
      <c r="T4301" s="4">
        <v>0.12520000000000001</v>
      </c>
      <c r="U4301">
        <v>2</v>
      </c>
      <c r="V4301">
        <v>1</v>
      </c>
      <c r="W4301">
        <v>1</v>
      </c>
    </row>
    <row r="4302" spans="1:23" ht="16.5" x14ac:dyDescent="0.3">
      <c r="A4302" t="s">
        <v>4366</v>
      </c>
      <c r="B4302" s="1">
        <v>45908</v>
      </c>
      <c r="C4302">
        <v>2025</v>
      </c>
      <c r="D4302" t="s">
        <v>1255</v>
      </c>
      <c r="E4302" t="s">
        <v>1623</v>
      </c>
      <c r="F4302" t="s">
        <v>50</v>
      </c>
      <c r="G4302" t="s">
        <v>27</v>
      </c>
      <c r="H4302" t="s">
        <v>34</v>
      </c>
      <c r="I4302" t="s">
        <v>29</v>
      </c>
      <c r="J4302" t="s">
        <v>52</v>
      </c>
      <c r="K4302" s="2">
        <v>5950</v>
      </c>
      <c r="L4302" s="2">
        <v>324500</v>
      </c>
      <c r="M4302">
        <v>300</v>
      </c>
      <c r="N4302" s="3">
        <v>0.48099999999999998</v>
      </c>
      <c r="O4302" t="s">
        <v>16</v>
      </c>
      <c r="Q4302">
        <v>1</v>
      </c>
      <c r="R4302">
        <v>0</v>
      </c>
      <c r="S4302" s="2">
        <v>259500</v>
      </c>
      <c r="T4302" s="4">
        <v>5.28E-2</v>
      </c>
      <c r="U4302">
        <v>12</v>
      </c>
      <c r="V4302">
        <v>1</v>
      </c>
      <c r="W4302">
        <v>1</v>
      </c>
    </row>
    <row r="4303" spans="1:23" ht="16.5" x14ac:dyDescent="0.3">
      <c r="A4303" t="s">
        <v>4367</v>
      </c>
      <c r="B4303" s="1">
        <v>45909</v>
      </c>
      <c r="C4303">
        <v>2025</v>
      </c>
      <c r="D4303" t="s">
        <v>1255</v>
      </c>
      <c r="E4303" t="s">
        <v>1623</v>
      </c>
      <c r="F4303" t="s">
        <v>26</v>
      </c>
      <c r="G4303" t="s">
        <v>51</v>
      </c>
      <c r="H4303" t="s">
        <v>55</v>
      </c>
      <c r="I4303" t="s">
        <v>39</v>
      </c>
      <c r="J4303" t="s">
        <v>35</v>
      </c>
      <c r="K4303" s="2">
        <v>6100</v>
      </c>
      <c r="L4303" s="2">
        <v>17500</v>
      </c>
      <c r="M4303">
        <v>60</v>
      </c>
      <c r="N4303" s="3">
        <v>0.20200000000000001</v>
      </c>
      <c r="O4303" t="s">
        <v>16</v>
      </c>
      <c r="Q4303">
        <v>1</v>
      </c>
      <c r="R4303">
        <v>0</v>
      </c>
      <c r="S4303" s="2">
        <v>17500</v>
      </c>
      <c r="T4303" s="4">
        <v>8.3599999999999994E-2</v>
      </c>
      <c r="U4303">
        <v>5</v>
      </c>
      <c r="V4303">
        <v>0</v>
      </c>
      <c r="W4303">
        <v>1</v>
      </c>
    </row>
    <row r="4304" spans="1:23" ht="16.5" x14ac:dyDescent="0.3">
      <c r="A4304" t="s">
        <v>4368</v>
      </c>
      <c r="B4304" s="1">
        <v>45909</v>
      </c>
      <c r="C4304">
        <v>2025</v>
      </c>
      <c r="D4304" t="s">
        <v>1255</v>
      </c>
      <c r="E4304" t="s">
        <v>1623</v>
      </c>
      <c r="F4304" t="s">
        <v>37</v>
      </c>
      <c r="G4304" t="s">
        <v>45</v>
      </c>
      <c r="H4304" t="s">
        <v>28</v>
      </c>
      <c r="I4304" t="s">
        <v>29</v>
      </c>
      <c r="J4304" t="s">
        <v>43</v>
      </c>
      <c r="K4304" s="2">
        <v>6550</v>
      </c>
      <c r="L4304" s="2">
        <v>14500</v>
      </c>
      <c r="M4304">
        <v>12</v>
      </c>
      <c r="N4304" s="3">
        <v>0.36</v>
      </c>
      <c r="O4304" t="s">
        <v>17</v>
      </c>
      <c r="P4304" t="s">
        <v>31</v>
      </c>
      <c r="Q4304">
        <v>0</v>
      </c>
      <c r="R4304">
        <v>1</v>
      </c>
      <c r="S4304" s="2">
        <v>0</v>
      </c>
      <c r="T4304" s="4"/>
      <c r="U4304">
        <v>1</v>
      </c>
      <c r="V4304">
        <v>1</v>
      </c>
      <c r="W4304">
        <v>1</v>
      </c>
    </row>
    <row r="4305" spans="1:23" ht="16.5" x14ac:dyDescent="0.3">
      <c r="A4305" t="s">
        <v>4369</v>
      </c>
      <c r="B4305" s="1">
        <v>45909</v>
      </c>
      <c r="C4305">
        <v>2025</v>
      </c>
      <c r="D4305" t="s">
        <v>1255</v>
      </c>
      <c r="E4305" t="s">
        <v>1623</v>
      </c>
      <c r="F4305" t="s">
        <v>37</v>
      </c>
      <c r="G4305" t="s">
        <v>45</v>
      </c>
      <c r="H4305" t="s">
        <v>34</v>
      </c>
      <c r="I4305" t="s">
        <v>29</v>
      </c>
      <c r="J4305" t="s">
        <v>35</v>
      </c>
      <c r="K4305" s="2">
        <v>3650</v>
      </c>
      <c r="L4305" s="2">
        <v>20500</v>
      </c>
      <c r="M4305">
        <v>48</v>
      </c>
      <c r="N4305" s="3">
        <v>0.32300000000000001</v>
      </c>
      <c r="O4305" t="s">
        <v>17</v>
      </c>
      <c r="P4305" t="s">
        <v>65</v>
      </c>
      <c r="Q4305">
        <v>0</v>
      </c>
      <c r="R4305">
        <v>1</v>
      </c>
      <c r="S4305" s="2">
        <v>0</v>
      </c>
      <c r="T4305" s="4"/>
      <c r="U4305">
        <v>1</v>
      </c>
      <c r="V4305">
        <v>1</v>
      </c>
      <c r="W4305">
        <v>1</v>
      </c>
    </row>
    <row r="4306" spans="1:23" ht="16.5" x14ac:dyDescent="0.3">
      <c r="A4306" t="s">
        <v>4370</v>
      </c>
      <c r="B4306" s="1">
        <v>45909</v>
      </c>
      <c r="C4306">
        <v>2025</v>
      </c>
      <c r="D4306" t="s">
        <v>1255</v>
      </c>
      <c r="E4306" t="s">
        <v>1623</v>
      </c>
      <c r="F4306" t="s">
        <v>26</v>
      </c>
      <c r="G4306" t="s">
        <v>45</v>
      </c>
      <c r="H4306" t="s">
        <v>28</v>
      </c>
      <c r="I4306" t="s">
        <v>29</v>
      </c>
      <c r="J4306" t="s">
        <v>46</v>
      </c>
      <c r="K4306" s="2">
        <v>3650</v>
      </c>
      <c r="L4306" s="2">
        <v>41500</v>
      </c>
      <c r="M4306">
        <v>60</v>
      </c>
      <c r="N4306" s="3">
        <v>0.311</v>
      </c>
      <c r="O4306" t="s">
        <v>16</v>
      </c>
      <c r="Q4306">
        <v>1</v>
      </c>
      <c r="R4306">
        <v>0</v>
      </c>
      <c r="S4306" s="2">
        <v>37500</v>
      </c>
      <c r="T4306" s="4">
        <v>6.9000000000000006E-2</v>
      </c>
      <c r="U4306">
        <v>3</v>
      </c>
      <c r="V4306">
        <v>1</v>
      </c>
      <c r="W4306">
        <v>1</v>
      </c>
    </row>
    <row r="4307" spans="1:23" ht="16.5" x14ac:dyDescent="0.3">
      <c r="A4307" t="s">
        <v>4371</v>
      </c>
      <c r="B4307" s="1">
        <v>45909</v>
      </c>
      <c r="C4307">
        <v>2025</v>
      </c>
      <c r="D4307" t="s">
        <v>1255</v>
      </c>
      <c r="E4307" t="s">
        <v>1623</v>
      </c>
      <c r="F4307" t="s">
        <v>37</v>
      </c>
      <c r="G4307" t="s">
        <v>27</v>
      </c>
      <c r="H4307" t="s">
        <v>28</v>
      </c>
      <c r="I4307" t="s">
        <v>39</v>
      </c>
      <c r="J4307" t="s">
        <v>30</v>
      </c>
      <c r="K4307" s="2">
        <v>12400</v>
      </c>
      <c r="L4307" s="2">
        <v>14000</v>
      </c>
      <c r="M4307">
        <v>24</v>
      </c>
      <c r="N4307" s="3">
        <v>0.27600000000000002</v>
      </c>
      <c r="O4307" t="s">
        <v>16</v>
      </c>
      <c r="Q4307">
        <v>1</v>
      </c>
      <c r="R4307">
        <v>0</v>
      </c>
      <c r="S4307" s="2">
        <v>12500</v>
      </c>
      <c r="T4307" s="4">
        <v>0.13600000000000001</v>
      </c>
      <c r="U4307">
        <v>3</v>
      </c>
      <c r="V4307">
        <v>1</v>
      </c>
      <c r="W4307">
        <v>1</v>
      </c>
    </row>
    <row r="4308" spans="1:23" ht="16.5" x14ac:dyDescent="0.3">
      <c r="A4308" t="s">
        <v>4372</v>
      </c>
      <c r="B4308" s="1">
        <v>45909</v>
      </c>
      <c r="C4308">
        <v>2025</v>
      </c>
      <c r="D4308" t="s">
        <v>1255</v>
      </c>
      <c r="E4308" t="s">
        <v>1623</v>
      </c>
      <c r="F4308" t="s">
        <v>37</v>
      </c>
      <c r="G4308" t="s">
        <v>27</v>
      </c>
      <c r="H4308" t="s">
        <v>55</v>
      </c>
      <c r="I4308" t="s">
        <v>42</v>
      </c>
      <c r="J4308" t="s">
        <v>30</v>
      </c>
      <c r="K4308" s="2">
        <v>7000</v>
      </c>
      <c r="L4308" s="2">
        <v>9500</v>
      </c>
      <c r="M4308">
        <v>60</v>
      </c>
      <c r="N4308" s="3">
        <v>0.246</v>
      </c>
      <c r="O4308" t="s">
        <v>17</v>
      </c>
      <c r="P4308" t="s">
        <v>60</v>
      </c>
      <c r="Q4308">
        <v>0</v>
      </c>
      <c r="R4308">
        <v>1</v>
      </c>
      <c r="S4308" s="2">
        <v>0</v>
      </c>
      <c r="T4308" s="4"/>
      <c r="U4308">
        <v>7</v>
      </c>
      <c r="V4308">
        <v>0</v>
      </c>
      <c r="W4308">
        <v>1</v>
      </c>
    </row>
    <row r="4309" spans="1:23" ht="16.5" x14ac:dyDescent="0.3">
      <c r="A4309" t="s">
        <v>4373</v>
      </c>
      <c r="B4309" s="1">
        <v>45909</v>
      </c>
      <c r="C4309">
        <v>2025</v>
      </c>
      <c r="D4309" t="s">
        <v>1255</v>
      </c>
      <c r="E4309" t="s">
        <v>1623</v>
      </c>
      <c r="F4309" t="s">
        <v>37</v>
      </c>
      <c r="G4309" t="s">
        <v>33</v>
      </c>
      <c r="H4309" t="s">
        <v>38</v>
      </c>
      <c r="I4309" t="s">
        <v>29</v>
      </c>
      <c r="J4309" t="s">
        <v>46</v>
      </c>
      <c r="K4309" s="2">
        <v>3200</v>
      </c>
      <c r="L4309" s="2">
        <v>8500</v>
      </c>
      <c r="M4309">
        <v>12</v>
      </c>
      <c r="N4309" s="3">
        <v>0.42199999999999999</v>
      </c>
      <c r="O4309" t="s">
        <v>16</v>
      </c>
      <c r="Q4309">
        <v>1</v>
      </c>
      <c r="R4309">
        <v>0</v>
      </c>
      <c r="S4309" s="2">
        <v>8500</v>
      </c>
      <c r="T4309" s="4">
        <v>0.1032</v>
      </c>
      <c r="U4309">
        <v>2</v>
      </c>
      <c r="V4309">
        <v>1</v>
      </c>
      <c r="W4309">
        <v>1</v>
      </c>
    </row>
    <row r="4310" spans="1:23" ht="16.5" x14ac:dyDescent="0.3">
      <c r="A4310" t="s">
        <v>4374</v>
      </c>
      <c r="B4310" s="1">
        <v>45909</v>
      </c>
      <c r="C4310">
        <v>2025</v>
      </c>
      <c r="D4310" t="s">
        <v>1255</v>
      </c>
      <c r="E4310" t="s">
        <v>1623</v>
      </c>
      <c r="F4310" t="s">
        <v>41</v>
      </c>
      <c r="G4310" t="s">
        <v>33</v>
      </c>
      <c r="H4310" t="s">
        <v>64</v>
      </c>
      <c r="I4310" t="s">
        <v>29</v>
      </c>
      <c r="J4310" t="s">
        <v>52</v>
      </c>
      <c r="K4310" s="2">
        <v>5600</v>
      </c>
      <c r="L4310" s="2">
        <v>73000</v>
      </c>
      <c r="M4310">
        <v>36</v>
      </c>
      <c r="N4310" s="3">
        <v>0.499</v>
      </c>
      <c r="O4310" t="s">
        <v>16</v>
      </c>
      <c r="Q4310">
        <v>1</v>
      </c>
      <c r="R4310">
        <v>0</v>
      </c>
      <c r="S4310" s="2">
        <v>58500</v>
      </c>
      <c r="T4310" s="4">
        <v>9.5299999999999996E-2</v>
      </c>
      <c r="U4310">
        <v>4</v>
      </c>
      <c r="V4310">
        <v>1</v>
      </c>
      <c r="W4310">
        <v>1</v>
      </c>
    </row>
    <row r="4311" spans="1:23" ht="16.5" x14ac:dyDescent="0.3">
      <c r="A4311" t="s">
        <v>4375</v>
      </c>
      <c r="B4311" s="1">
        <v>45909</v>
      </c>
      <c r="C4311">
        <v>2025</v>
      </c>
      <c r="D4311" t="s">
        <v>1255</v>
      </c>
      <c r="E4311" t="s">
        <v>1623</v>
      </c>
      <c r="F4311" t="s">
        <v>41</v>
      </c>
      <c r="G4311" t="s">
        <v>45</v>
      </c>
      <c r="H4311" t="s">
        <v>38</v>
      </c>
      <c r="I4311" t="s">
        <v>42</v>
      </c>
      <c r="J4311" t="s">
        <v>52</v>
      </c>
      <c r="K4311" s="2">
        <v>4050</v>
      </c>
      <c r="L4311" s="2">
        <v>44500</v>
      </c>
      <c r="M4311">
        <v>24</v>
      </c>
      <c r="N4311" s="3">
        <v>0.71</v>
      </c>
      <c r="O4311" t="s">
        <v>17</v>
      </c>
      <c r="P4311" t="s">
        <v>53</v>
      </c>
      <c r="Q4311">
        <v>0</v>
      </c>
      <c r="R4311">
        <v>1</v>
      </c>
      <c r="S4311" s="2">
        <v>0</v>
      </c>
      <c r="T4311" s="4"/>
      <c r="U4311">
        <v>5</v>
      </c>
      <c r="V4311">
        <v>1</v>
      </c>
      <c r="W4311">
        <v>1</v>
      </c>
    </row>
    <row r="4312" spans="1:23" ht="16.5" x14ac:dyDescent="0.3">
      <c r="A4312" t="s">
        <v>4376</v>
      </c>
      <c r="B4312" s="1">
        <v>45909</v>
      </c>
      <c r="C4312">
        <v>2025</v>
      </c>
      <c r="D4312" t="s">
        <v>1255</v>
      </c>
      <c r="E4312" t="s">
        <v>1623</v>
      </c>
      <c r="F4312" t="s">
        <v>41</v>
      </c>
      <c r="G4312" t="s">
        <v>33</v>
      </c>
      <c r="H4312" t="s">
        <v>55</v>
      </c>
      <c r="I4312" t="s">
        <v>29</v>
      </c>
      <c r="J4312" t="s">
        <v>46</v>
      </c>
      <c r="K4312" s="2">
        <v>7250</v>
      </c>
      <c r="L4312" s="2">
        <v>150500</v>
      </c>
      <c r="M4312">
        <v>36</v>
      </c>
      <c r="N4312" s="3">
        <v>0.72499999999999998</v>
      </c>
      <c r="O4312" t="s">
        <v>17</v>
      </c>
      <c r="P4312" t="s">
        <v>53</v>
      </c>
      <c r="Q4312">
        <v>0</v>
      </c>
      <c r="R4312">
        <v>1</v>
      </c>
      <c r="S4312" s="2">
        <v>0</v>
      </c>
      <c r="T4312" s="4"/>
      <c r="U4312">
        <v>5</v>
      </c>
      <c r="V4312">
        <v>1</v>
      </c>
      <c r="W4312">
        <v>1</v>
      </c>
    </row>
    <row r="4313" spans="1:23" ht="16.5" x14ac:dyDescent="0.3">
      <c r="A4313" t="s">
        <v>4377</v>
      </c>
      <c r="B4313" s="1">
        <v>45910</v>
      </c>
      <c r="C4313">
        <v>2025</v>
      </c>
      <c r="D4313" t="s">
        <v>1255</v>
      </c>
      <c r="E4313" t="s">
        <v>1623</v>
      </c>
      <c r="F4313" t="s">
        <v>37</v>
      </c>
      <c r="G4313" t="s">
        <v>45</v>
      </c>
      <c r="H4313" t="s">
        <v>38</v>
      </c>
      <c r="I4313" t="s">
        <v>29</v>
      </c>
      <c r="J4313" t="s">
        <v>35</v>
      </c>
      <c r="K4313" s="2">
        <v>4450</v>
      </c>
      <c r="L4313" s="2">
        <v>9500</v>
      </c>
      <c r="M4313">
        <v>36</v>
      </c>
      <c r="N4313" s="3">
        <v>0.245</v>
      </c>
      <c r="O4313" t="s">
        <v>16</v>
      </c>
      <c r="Q4313">
        <v>1</v>
      </c>
      <c r="R4313">
        <v>0</v>
      </c>
      <c r="S4313" s="2">
        <v>9500</v>
      </c>
      <c r="T4313" s="4">
        <v>0.1258</v>
      </c>
      <c r="U4313">
        <v>1</v>
      </c>
      <c r="V4313">
        <v>1</v>
      </c>
      <c r="W4313">
        <v>1</v>
      </c>
    </row>
    <row r="4314" spans="1:23" ht="16.5" x14ac:dyDescent="0.3">
      <c r="A4314" t="s">
        <v>4378</v>
      </c>
      <c r="B4314" s="1">
        <v>45910</v>
      </c>
      <c r="C4314">
        <v>2025</v>
      </c>
      <c r="D4314" t="s">
        <v>1255</v>
      </c>
      <c r="E4314" t="s">
        <v>1623</v>
      </c>
      <c r="F4314" t="s">
        <v>50</v>
      </c>
      <c r="G4314" t="s">
        <v>45</v>
      </c>
      <c r="H4314" t="s">
        <v>38</v>
      </c>
      <c r="I4314" t="s">
        <v>29</v>
      </c>
      <c r="J4314" t="s">
        <v>46</v>
      </c>
      <c r="K4314" s="2">
        <v>10950</v>
      </c>
      <c r="L4314" s="2">
        <v>163000</v>
      </c>
      <c r="M4314">
        <v>180</v>
      </c>
      <c r="N4314" s="3">
        <v>0.32</v>
      </c>
      <c r="O4314" t="s">
        <v>16</v>
      </c>
      <c r="Q4314">
        <v>1</v>
      </c>
      <c r="R4314">
        <v>0</v>
      </c>
      <c r="S4314" s="2">
        <v>163000</v>
      </c>
      <c r="T4314" s="4">
        <v>3.9800000000000002E-2</v>
      </c>
      <c r="U4314">
        <v>6</v>
      </c>
      <c r="V4314">
        <v>1</v>
      </c>
      <c r="W4314">
        <v>1</v>
      </c>
    </row>
    <row r="4315" spans="1:23" ht="16.5" x14ac:dyDescent="0.3">
      <c r="A4315" t="s">
        <v>4379</v>
      </c>
      <c r="B4315" s="1">
        <v>45910</v>
      </c>
      <c r="C4315">
        <v>2025</v>
      </c>
      <c r="D4315" t="s">
        <v>1255</v>
      </c>
      <c r="E4315" t="s">
        <v>1623</v>
      </c>
      <c r="F4315" t="s">
        <v>50</v>
      </c>
      <c r="G4315" t="s">
        <v>51</v>
      </c>
      <c r="H4315" t="s">
        <v>38</v>
      </c>
      <c r="I4315" t="s">
        <v>29</v>
      </c>
      <c r="J4315" t="s">
        <v>52</v>
      </c>
      <c r="K4315" s="2">
        <v>4900</v>
      </c>
      <c r="L4315" s="2">
        <v>277500</v>
      </c>
      <c r="M4315">
        <v>180</v>
      </c>
      <c r="N4315" s="3">
        <v>0.64700000000000002</v>
      </c>
      <c r="O4315" t="s">
        <v>16</v>
      </c>
      <c r="Q4315">
        <v>1</v>
      </c>
      <c r="R4315">
        <v>0</v>
      </c>
      <c r="S4315" s="2">
        <v>277500</v>
      </c>
      <c r="T4315" s="4">
        <v>0.05</v>
      </c>
      <c r="U4315">
        <v>23</v>
      </c>
      <c r="V4315">
        <v>0</v>
      </c>
      <c r="W4315">
        <v>1</v>
      </c>
    </row>
    <row r="4316" spans="1:23" ht="16.5" x14ac:dyDescent="0.3">
      <c r="A4316" t="s">
        <v>4380</v>
      </c>
      <c r="B4316" s="1">
        <v>45910</v>
      </c>
      <c r="C4316">
        <v>2025</v>
      </c>
      <c r="D4316" t="s">
        <v>1255</v>
      </c>
      <c r="E4316" t="s">
        <v>1623</v>
      </c>
      <c r="F4316" t="s">
        <v>37</v>
      </c>
      <c r="G4316" t="s">
        <v>33</v>
      </c>
      <c r="H4316" t="s">
        <v>28</v>
      </c>
      <c r="I4316" t="s">
        <v>42</v>
      </c>
      <c r="J4316" t="s">
        <v>35</v>
      </c>
      <c r="K4316" s="2">
        <v>3700</v>
      </c>
      <c r="L4316" s="2">
        <v>11000</v>
      </c>
      <c r="M4316">
        <v>12</v>
      </c>
      <c r="N4316" s="3">
        <v>0.41299999999999998</v>
      </c>
      <c r="O4316" t="s">
        <v>17</v>
      </c>
      <c r="P4316" t="s">
        <v>65</v>
      </c>
      <c r="Q4316">
        <v>0</v>
      </c>
      <c r="R4316">
        <v>1</v>
      </c>
      <c r="S4316" s="2">
        <v>0</v>
      </c>
      <c r="T4316" s="4"/>
      <c r="U4316">
        <v>1</v>
      </c>
      <c r="V4316">
        <v>1</v>
      </c>
      <c r="W4316">
        <v>1</v>
      </c>
    </row>
    <row r="4317" spans="1:23" ht="16.5" x14ac:dyDescent="0.3">
      <c r="A4317" t="s">
        <v>4381</v>
      </c>
      <c r="B4317" s="1">
        <v>45910</v>
      </c>
      <c r="C4317">
        <v>2025</v>
      </c>
      <c r="D4317" t="s">
        <v>1255</v>
      </c>
      <c r="E4317" t="s">
        <v>1623</v>
      </c>
      <c r="F4317" t="s">
        <v>41</v>
      </c>
      <c r="G4317" t="s">
        <v>45</v>
      </c>
      <c r="H4317" t="s">
        <v>38</v>
      </c>
      <c r="I4317" t="s">
        <v>29</v>
      </c>
      <c r="J4317" t="s">
        <v>52</v>
      </c>
      <c r="K4317" s="2">
        <v>9100</v>
      </c>
      <c r="L4317" s="2">
        <v>46500</v>
      </c>
      <c r="M4317">
        <v>24</v>
      </c>
      <c r="N4317" s="3">
        <v>0.33500000000000002</v>
      </c>
      <c r="O4317" t="s">
        <v>16</v>
      </c>
      <c r="Q4317">
        <v>1</v>
      </c>
      <c r="R4317">
        <v>0</v>
      </c>
      <c r="S4317" s="2">
        <v>42000</v>
      </c>
      <c r="T4317" s="4">
        <v>9.9400000000000002E-2</v>
      </c>
      <c r="U4317">
        <v>6</v>
      </c>
      <c r="V4317">
        <v>1</v>
      </c>
      <c r="W4317">
        <v>1</v>
      </c>
    </row>
    <row r="4318" spans="1:23" ht="16.5" x14ac:dyDescent="0.3">
      <c r="A4318" t="s">
        <v>4382</v>
      </c>
      <c r="B4318" s="1">
        <v>45911</v>
      </c>
      <c r="C4318">
        <v>2025</v>
      </c>
      <c r="D4318" t="s">
        <v>1255</v>
      </c>
      <c r="E4318" t="s">
        <v>1623</v>
      </c>
      <c r="F4318" t="s">
        <v>37</v>
      </c>
      <c r="G4318" t="s">
        <v>33</v>
      </c>
      <c r="H4318" t="s">
        <v>38</v>
      </c>
      <c r="I4318" t="s">
        <v>29</v>
      </c>
      <c r="J4318" t="s">
        <v>52</v>
      </c>
      <c r="K4318" s="2">
        <v>6750</v>
      </c>
      <c r="L4318" s="2">
        <v>7500</v>
      </c>
      <c r="M4318">
        <v>48</v>
      </c>
      <c r="N4318" s="3">
        <v>0.21099999999999999</v>
      </c>
      <c r="O4318" t="s">
        <v>16</v>
      </c>
      <c r="Q4318">
        <v>1</v>
      </c>
      <c r="R4318">
        <v>0</v>
      </c>
      <c r="S4318" s="2">
        <v>6000</v>
      </c>
      <c r="T4318" s="4">
        <v>0.1128</v>
      </c>
      <c r="U4318">
        <v>1</v>
      </c>
      <c r="V4318">
        <v>1</v>
      </c>
      <c r="W4318">
        <v>1</v>
      </c>
    </row>
    <row r="4319" spans="1:23" ht="16.5" x14ac:dyDescent="0.3">
      <c r="A4319" t="s">
        <v>4383</v>
      </c>
      <c r="B4319" s="1">
        <v>45911</v>
      </c>
      <c r="C4319">
        <v>2025</v>
      </c>
      <c r="D4319" t="s">
        <v>1255</v>
      </c>
      <c r="E4319" t="s">
        <v>1623</v>
      </c>
      <c r="F4319" t="s">
        <v>50</v>
      </c>
      <c r="G4319" t="s">
        <v>45</v>
      </c>
      <c r="H4319" t="s">
        <v>55</v>
      </c>
      <c r="I4319" t="s">
        <v>29</v>
      </c>
      <c r="J4319" t="s">
        <v>35</v>
      </c>
      <c r="K4319" s="2">
        <v>4150</v>
      </c>
      <c r="L4319" s="2">
        <v>67500</v>
      </c>
      <c r="M4319">
        <v>180</v>
      </c>
      <c r="N4319" s="3">
        <v>0.183</v>
      </c>
      <c r="O4319" t="s">
        <v>17</v>
      </c>
      <c r="P4319" t="s">
        <v>65</v>
      </c>
      <c r="Q4319">
        <v>0</v>
      </c>
      <c r="R4319">
        <v>1</v>
      </c>
      <c r="S4319" s="2">
        <v>0</v>
      </c>
      <c r="T4319" s="4"/>
      <c r="U4319">
        <v>7</v>
      </c>
      <c r="V4319">
        <v>1</v>
      </c>
      <c r="W4319">
        <v>1</v>
      </c>
    </row>
    <row r="4320" spans="1:23" ht="16.5" x14ac:dyDescent="0.3">
      <c r="A4320" t="s">
        <v>4384</v>
      </c>
      <c r="B4320" s="1">
        <v>45911</v>
      </c>
      <c r="C4320">
        <v>2025</v>
      </c>
      <c r="D4320" t="s">
        <v>1255</v>
      </c>
      <c r="E4320" t="s">
        <v>1623</v>
      </c>
      <c r="F4320" t="s">
        <v>37</v>
      </c>
      <c r="G4320" t="s">
        <v>51</v>
      </c>
      <c r="H4320" t="s">
        <v>55</v>
      </c>
      <c r="I4320" t="s">
        <v>29</v>
      </c>
      <c r="J4320" t="s">
        <v>52</v>
      </c>
      <c r="K4320" s="2">
        <v>2750</v>
      </c>
      <c r="L4320" s="2">
        <v>14000</v>
      </c>
      <c r="M4320">
        <v>48</v>
      </c>
      <c r="N4320" s="3">
        <v>0.249</v>
      </c>
      <c r="O4320" t="s">
        <v>16</v>
      </c>
      <c r="Q4320">
        <v>1</v>
      </c>
      <c r="R4320">
        <v>0</v>
      </c>
      <c r="S4320" s="2">
        <v>14000</v>
      </c>
      <c r="T4320" s="4">
        <v>0.1186</v>
      </c>
      <c r="U4320">
        <v>2</v>
      </c>
      <c r="V4320">
        <v>1</v>
      </c>
      <c r="W4320">
        <v>1</v>
      </c>
    </row>
    <row r="4321" spans="1:23" ht="16.5" x14ac:dyDescent="0.3">
      <c r="A4321" t="s">
        <v>4385</v>
      </c>
      <c r="B4321" s="1">
        <v>45911</v>
      </c>
      <c r="C4321">
        <v>2025</v>
      </c>
      <c r="D4321" t="s">
        <v>1255</v>
      </c>
      <c r="E4321" t="s">
        <v>1623</v>
      </c>
      <c r="F4321" t="s">
        <v>50</v>
      </c>
      <c r="G4321" t="s">
        <v>33</v>
      </c>
      <c r="H4321" t="s">
        <v>28</v>
      </c>
      <c r="I4321" t="s">
        <v>39</v>
      </c>
      <c r="J4321" t="s">
        <v>46</v>
      </c>
      <c r="K4321" s="2">
        <v>7550</v>
      </c>
      <c r="L4321" s="2">
        <v>168500</v>
      </c>
      <c r="M4321">
        <v>240</v>
      </c>
      <c r="N4321" s="3">
        <v>0.26500000000000001</v>
      </c>
      <c r="O4321" t="s">
        <v>16</v>
      </c>
      <c r="Q4321">
        <v>1</v>
      </c>
      <c r="R4321">
        <v>0</v>
      </c>
      <c r="S4321" s="2">
        <v>168500</v>
      </c>
      <c r="T4321" s="4">
        <v>4.3400000000000001E-2</v>
      </c>
      <c r="U4321">
        <v>4</v>
      </c>
      <c r="V4321">
        <v>1</v>
      </c>
      <c r="W4321">
        <v>1</v>
      </c>
    </row>
    <row r="4322" spans="1:23" ht="16.5" x14ac:dyDescent="0.3">
      <c r="A4322" t="s">
        <v>4386</v>
      </c>
      <c r="B4322" s="1">
        <v>45911</v>
      </c>
      <c r="C4322">
        <v>2025</v>
      </c>
      <c r="D4322" t="s">
        <v>1255</v>
      </c>
      <c r="E4322" t="s">
        <v>1623</v>
      </c>
      <c r="F4322" t="s">
        <v>41</v>
      </c>
      <c r="G4322" t="s">
        <v>33</v>
      </c>
      <c r="H4322" t="s">
        <v>55</v>
      </c>
      <c r="I4322" t="s">
        <v>39</v>
      </c>
      <c r="J4322" t="s">
        <v>30</v>
      </c>
      <c r="K4322" s="2">
        <v>9400</v>
      </c>
      <c r="L4322" s="2">
        <v>62500</v>
      </c>
      <c r="M4322">
        <v>12</v>
      </c>
      <c r="N4322" s="3">
        <v>0.67800000000000005</v>
      </c>
      <c r="O4322" t="s">
        <v>17</v>
      </c>
      <c r="P4322" t="s">
        <v>53</v>
      </c>
      <c r="Q4322">
        <v>0</v>
      </c>
      <c r="R4322">
        <v>1</v>
      </c>
      <c r="S4322" s="2">
        <v>0</v>
      </c>
      <c r="T4322" s="4"/>
      <c r="U4322">
        <v>5</v>
      </c>
      <c r="V4322">
        <v>1</v>
      </c>
      <c r="W4322">
        <v>1</v>
      </c>
    </row>
    <row r="4323" spans="1:23" ht="16.5" x14ac:dyDescent="0.3">
      <c r="A4323" t="s">
        <v>4387</v>
      </c>
      <c r="B4323" s="1">
        <v>45911</v>
      </c>
      <c r="C4323">
        <v>2025</v>
      </c>
      <c r="D4323" t="s">
        <v>1255</v>
      </c>
      <c r="E4323" t="s">
        <v>1623</v>
      </c>
      <c r="F4323" t="s">
        <v>37</v>
      </c>
      <c r="G4323" t="s">
        <v>45</v>
      </c>
      <c r="H4323" t="s">
        <v>38</v>
      </c>
      <c r="I4323" t="s">
        <v>29</v>
      </c>
      <c r="J4323" t="s">
        <v>35</v>
      </c>
      <c r="K4323" s="2">
        <v>2800</v>
      </c>
      <c r="L4323" s="2">
        <v>16000</v>
      </c>
      <c r="M4323">
        <v>36</v>
      </c>
      <c r="N4323" s="3">
        <v>0.41299999999999998</v>
      </c>
      <c r="O4323" t="s">
        <v>17</v>
      </c>
      <c r="P4323" t="s">
        <v>31</v>
      </c>
      <c r="Q4323">
        <v>0</v>
      </c>
      <c r="R4323">
        <v>1</v>
      </c>
      <c r="S4323" s="2">
        <v>0</v>
      </c>
      <c r="T4323" s="4"/>
      <c r="U4323">
        <v>2</v>
      </c>
      <c r="V4323">
        <v>1</v>
      </c>
      <c r="W4323">
        <v>1</v>
      </c>
    </row>
    <row r="4324" spans="1:23" ht="16.5" x14ac:dyDescent="0.3">
      <c r="A4324" t="s">
        <v>4388</v>
      </c>
      <c r="B4324" s="1">
        <v>45911</v>
      </c>
      <c r="C4324">
        <v>2025</v>
      </c>
      <c r="D4324" t="s">
        <v>1255</v>
      </c>
      <c r="E4324" t="s">
        <v>1623</v>
      </c>
      <c r="F4324" t="s">
        <v>37</v>
      </c>
      <c r="G4324" t="s">
        <v>51</v>
      </c>
      <c r="H4324" t="s">
        <v>55</v>
      </c>
      <c r="I4324" t="s">
        <v>29</v>
      </c>
      <c r="J4324" t="s">
        <v>35</v>
      </c>
      <c r="K4324" s="2">
        <v>4600</v>
      </c>
      <c r="L4324" s="2">
        <v>7000</v>
      </c>
      <c r="M4324">
        <v>24</v>
      </c>
      <c r="N4324" s="3">
        <v>0.25</v>
      </c>
      <c r="O4324" t="s">
        <v>16</v>
      </c>
      <c r="Q4324">
        <v>1</v>
      </c>
      <c r="R4324">
        <v>0</v>
      </c>
      <c r="S4324" s="2">
        <v>5500</v>
      </c>
      <c r="T4324" s="4">
        <v>0.12570000000000001</v>
      </c>
      <c r="U4324">
        <v>2</v>
      </c>
      <c r="V4324">
        <v>1</v>
      </c>
      <c r="W4324">
        <v>1</v>
      </c>
    </row>
    <row r="4325" spans="1:23" ht="16.5" x14ac:dyDescent="0.3">
      <c r="A4325" t="s">
        <v>4389</v>
      </c>
      <c r="B4325" s="1">
        <v>45911</v>
      </c>
      <c r="C4325">
        <v>2025</v>
      </c>
      <c r="D4325" t="s">
        <v>1255</v>
      </c>
      <c r="E4325" t="s">
        <v>1623</v>
      </c>
      <c r="F4325" t="s">
        <v>37</v>
      </c>
      <c r="G4325" t="s">
        <v>51</v>
      </c>
      <c r="H4325" t="s">
        <v>34</v>
      </c>
      <c r="I4325" t="s">
        <v>39</v>
      </c>
      <c r="J4325" t="s">
        <v>52</v>
      </c>
      <c r="K4325" s="2">
        <v>8950</v>
      </c>
      <c r="L4325" s="2">
        <v>17500</v>
      </c>
      <c r="M4325">
        <v>12</v>
      </c>
      <c r="N4325" s="3">
        <v>0.32300000000000001</v>
      </c>
      <c r="O4325" t="s">
        <v>17</v>
      </c>
      <c r="P4325" t="s">
        <v>60</v>
      </c>
      <c r="Q4325">
        <v>0</v>
      </c>
      <c r="R4325">
        <v>1</v>
      </c>
      <c r="S4325" s="2">
        <v>0</v>
      </c>
      <c r="T4325" s="4"/>
      <c r="U4325">
        <v>12</v>
      </c>
      <c r="V4325">
        <v>0</v>
      </c>
      <c r="W4325">
        <v>1</v>
      </c>
    </row>
    <row r="4326" spans="1:23" ht="16.5" x14ac:dyDescent="0.3">
      <c r="A4326" t="s">
        <v>4390</v>
      </c>
      <c r="B4326" s="1">
        <v>45911</v>
      </c>
      <c r="C4326">
        <v>2025</v>
      </c>
      <c r="D4326" t="s">
        <v>1255</v>
      </c>
      <c r="E4326" t="s">
        <v>1623</v>
      </c>
      <c r="F4326" t="s">
        <v>41</v>
      </c>
      <c r="G4326" t="s">
        <v>45</v>
      </c>
      <c r="H4326" t="s">
        <v>38</v>
      </c>
      <c r="I4326" t="s">
        <v>39</v>
      </c>
      <c r="J4326" t="s">
        <v>30</v>
      </c>
      <c r="K4326" s="2">
        <v>4000</v>
      </c>
      <c r="L4326" s="2">
        <v>53000</v>
      </c>
      <c r="M4326">
        <v>60</v>
      </c>
      <c r="N4326" s="3">
        <v>0.438</v>
      </c>
      <c r="O4326" t="s">
        <v>16</v>
      </c>
      <c r="Q4326">
        <v>1</v>
      </c>
      <c r="R4326">
        <v>0</v>
      </c>
      <c r="S4326" s="2">
        <v>47500</v>
      </c>
      <c r="T4326" s="4">
        <v>0.1245</v>
      </c>
      <c r="U4326">
        <v>3</v>
      </c>
      <c r="V4326">
        <v>1</v>
      </c>
      <c r="W4326">
        <v>1</v>
      </c>
    </row>
    <row r="4327" spans="1:23" ht="16.5" x14ac:dyDescent="0.3">
      <c r="A4327" t="s">
        <v>4391</v>
      </c>
      <c r="B4327" s="1">
        <v>45911</v>
      </c>
      <c r="C4327">
        <v>2025</v>
      </c>
      <c r="D4327" t="s">
        <v>1255</v>
      </c>
      <c r="E4327" t="s">
        <v>1623</v>
      </c>
      <c r="F4327" t="s">
        <v>26</v>
      </c>
      <c r="G4327" t="s">
        <v>27</v>
      </c>
      <c r="H4327" t="s">
        <v>34</v>
      </c>
      <c r="I4327" t="s">
        <v>39</v>
      </c>
      <c r="J4327" t="s">
        <v>30</v>
      </c>
      <c r="K4327" s="2">
        <v>5400</v>
      </c>
      <c r="L4327" s="2">
        <v>21500</v>
      </c>
      <c r="M4327">
        <v>48</v>
      </c>
      <c r="N4327" s="3">
        <v>0.156</v>
      </c>
      <c r="O4327" t="s">
        <v>17</v>
      </c>
      <c r="P4327" t="s">
        <v>31</v>
      </c>
      <c r="Q4327">
        <v>0</v>
      </c>
      <c r="R4327">
        <v>1</v>
      </c>
      <c r="S4327" s="2">
        <v>0</v>
      </c>
      <c r="T4327" s="4"/>
      <c r="U4327">
        <v>3</v>
      </c>
      <c r="V4327">
        <v>1</v>
      </c>
      <c r="W4327">
        <v>1</v>
      </c>
    </row>
    <row r="4328" spans="1:23" ht="16.5" x14ac:dyDescent="0.3">
      <c r="A4328" t="s">
        <v>4392</v>
      </c>
      <c r="B4328" s="1">
        <v>45911</v>
      </c>
      <c r="C4328">
        <v>2025</v>
      </c>
      <c r="D4328" t="s">
        <v>1255</v>
      </c>
      <c r="E4328" t="s">
        <v>1623</v>
      </c>
      <c r="F4328" t="s">
        <v>50</v>
      </c>
      <c r="G4328" t="s">
        <v>51</v>
      </c>
      <c r="H4328" t="s">
        <v>64</v>
      </c>
      <c r="I4328" t="s">
        <v>29</v>
      </c>
      <c r="J4328" t="s">
        <v>30</v>
      </c>
      <c r="K4328" s="2">
        <v>11350</v>
      </c>
      <c r="L4328" s="2">
        <v>338000</v>
      </c>
      <c r="M4328">
        <v>300</v>
      </c>
      <c r="N4328" s="3">
        <v>0.38800000000000001</v>
      </c>
      <c r="O4328" t="s">
        <v>16</v>
      </c>
      <c r="Q4328">
        <v>1</v>
      </c>
      <c r="R4328">
        <v>0</v>
      </c>
      <c r="S4328" s="2">
        <v>304000</v>
      </c>
      <c r="T4328" s="4">
        <v>7.4499999999999997E-2</v>
      </c>
      <c r="U4328">
        <v>19</v>
      </c>
      <c r="V4328">
        <v>0</v>
      </c>
      <c r="W4328">
        <v>1</v>
      </c>
    </row>
    <row r="4329" spans="1:23" ht="16.5" x14ac:dyDescent="0.3">
      <c r="A4329" t="s">
        <v>4393</v>
      </c>
      <c r="B4329" s="1">
        <v>45911</v>
      </c>
      <c r="C4329">
        <v>2025</v>
      </c>
      <c r="D4329" t="s">
        <v>1255</v>
      </c>
      <c r="E4329" t="s">
        <v>1623</v>
      </c>
      <c r="F4329" t="s">
        <v>37</v>
      </c>
      <c r="G4329" t="s">
        <v>51</v>
      </c>
      <c r="H4329" t="s">
        <v>28</v>
      </c>
      <c r="I4329" t="s">
        <v>39</v>
      </c>
      <c r="J4329" t="s">
        <v>35</v>
      </c>
      <c r="K4329" s="2">
        <v>4000</v>
      </c>
      <c r="L4329" s="2">
        <v>8500</v>
      </c>
      <c r="M4329">
        <v>60</v>
      </c>
      <c r="N4329" s="3">
        <v>0.29399999999999998</v>
      </c>
      <c r="O4329" t="s">
        <v>17</v>
      </c>
      <c r="P4329" t="s">
        <v>31</v>
      </c>
      <c r="Q4329">
        <v>0</v>
      </c>
      <c r="R4329">
        <v>1</v>
      </c>
      <c r="S4329" s="2">
        <v>0</v>
      </c>
      <c r="T4329" s="4"/>
      <c r="U4329">
        <v>4</v>
      </c>
      <c r="V4329">
        <v>0</v>
      </c>
      <c r="W4329">
        <v>1</v>
      </c>
    </row>
    <row r="4330" spans="1:23" ht="16.5" x14ac:dyDescent="0.3">
      <c r="A4330" t="s">
        <v>4394</v>
      </c>
      <c r="B4330" s="1">
        <v>45911</v>
      </c>
      <c r="C4330">
        <v>2025</v>
      </c>
      <c r="D4330" t="s">
        <v>1255</v>
      </c>
      <c r="E4330" t="s">
        <v>1623</v>
      </c>
      <c r="F4330" t="s">
        <v>41</v>
      </c>
      <c r="G4330" t="s">
        <v>45</v>
      </c>
      <c r="H4330" t="s">
        <v>38</v>
      </c>
      <c r="I4330" t="s">
        <v>39</v>
      </c>
      <c r="J4330" t="s">
        <v>30</v>
      </c>
      <c r="K4330" s="2">
        <v>7300</v>
      </c>
      <c r="L4330" s="2">
        <v>123500</v>
      </c>
      <c r="M4330">
        <v>12</v>
      </c>
      <c r="N4330" s="3">
        <v>1.625</v>
      </c>
      <c r="O4330" t="s">
        <v>17</v>
      </c>
      <c r="P4330" t="s">
        <v>60</v>
      </c>
      <c r="Q4330">
        <v>0</v>
      </c>
      <c r="R4330">
        <v>1</v>
      </c>
      <c r="S4330" s="2">
        <v>0</v>
      </c>
      <c r="T4330" s="4"/>
      <c r="U4330">
        <v>10</v>
      </c>
      <c r="V4330">
        <v>1</v>
      </c>
      <c r="W4330">
        <v>1</v>
      </c>
    </row>
    <row r="4331" spans="1:23" ht="16.5" x14ac:dyDescent="0.3">
      <c r="A4331" t="s">
        <v>4395</v>
      </c>
      <c r="B4331" s="1">
        <v>45911</v>
      </c>
      <c r="C4331">
        <v>2025</v>
      </c>
      <c r="D4331" t="s">
        <v>1255</v>
      </c>
      <c r="E4331" t="s">
        <v>1623</v>
      </c>
      <c r="F4331" t="s">
        <v>50</v>
      </c>
      <c r="G4331" t="s">
        <v>27</v>
      </c>
      <c r="H4331" t="s">
        <v>34</v>
      </c>
      <c r="I4331" t="s">
        <v>39</v>
      </c>
      <c r="J4331" t="s">
        <v>30</v>
      </c>
      <c r="K4331" s="2">
        <v>3200</v>
      </c>
      <c r="L4331" s="2">
        <v>195000</v>
      </c>
      <c r="M4331">
        <v>300</v>
      </c>
      <c r="N4331" s="3">
        <v>0.57099999999999995</v>
      </c>
      <c r="O4331" t="s">
        <v>17</v>
      </c>
      <c r="P4331" t="s">
        <v>31</v>
      </c>
      <c r="Q4331">
        <v>0</v>
      </c>
      <c r="R4331">
        <v>1</v>
      </c>
      <c r="S4331" s="2">
        <v>0</v>
      </c>
      <c r="T4331" s="4"/>
      <c r="U4331">
        <v>9</v>
      </c>
      <c r="V4331">
        <v>1</v>
      </c>
      <c r="W4331">
        <v>1</v>
      </c>
    </row>
    <row r="4332" spans="1:23" ht="16.5" x14ac:dyDescent="0.3">
      <c r="A4332" t="s">
        <v>4396</v>
      </c>
      <c r="B4332" s="1">
        <v>45912</v>
      </c>
      <c r="C4332">
        <v>2025</v>
      </c>
      <c r="D4332" t="s">
        <v>1255</v>
      </c>
      <c r="E4332" t="s">
        <v>1623</v>
      </c>
      <c r="F4332" t="s">
        <v>37</v>
      </c>
      <c r="G4332" t="s">
        <v>51</v>
      </c>
      <c r="H4332" t="s">
        <v>55</v>
      </c>
      <c r="I4332" t="s">
        <v>29</v>
      </c>
      <c r="J4332" t="s">
        <v>30</v>
      </c>
      <c r="K4332" s="2">
        <v>3000</v>
      </c>
      <c r="L4332" s="2">
        <v>10000</v>
      </c>
      <c r="M4332">
        <v>24</v>
      </c>
      <c r="N4332" s="3">
        <v>0.25900000000000001</v>
      </c>
      <c r="O4332" t="s">
        <v>16</v>
      </c>
      <c r="Q4332">
        <v>1</v>
      </c>
      <c r="R4332">
        <v>0</v>
      </c>
      <c r="S4332" s="2">
        <v>10000</v>
      </c>
      <c r="T4332" s="4">
        <v>0.14099999999999999</v>
      </c>
      <c r="U4332">
        <v>2</v>
      </c>
      <c r="V4332">
        <v>1</v>
      </c>
      <c r="W4332">
        <v>1</v>
      </c>
    </row>
    <row r="4333" spans="1:23" ht="16.5" x14ac:dyDescent="0.3">
      <c r="A4333" t="s">
        <v>4397</v>
      </c>
      <c r="B4333" s="1">
        <v>45912</v>
      </c>
      <c r="C4333">
        <v>2025</v>
      </c>
      <c r="D4333" t="s">
        <v>1255</v>
      </c>
      <c r="E4333" t="s">
        <v>1623</v>
      </c>
      <c r="F4333" t="s">
        <v>37</v>
      </c>
      <c r="G4333" t="s">
        <v>33</v>
      </c>
      <c r="H4333" t="s">
        <v>38</v>
      </c>
      <c r="I4333" t="s">
        <v>39</v>
      </c>
      <c r="J4333" t="s">
        <v>43</v>
      </c>
      <c r="K4333" s="2">
        <v>4000</v>
      </c>
      <c r="L4333" s="2">
        <v>19000</v>
      </c>
      <c r="M4333">
        <v>36</v>
      </c>
      <c r="N4333" s="3">
        <v>0.35399999999999998</v>
      </c>
      <c r="O4333" t="s">
        <v>17</v>
      </c>
      <c r="P4333" t="s">
        <v>31</v>
      </c>
      <c r="Q4333">
        <v>0</v>
      </c>
      <c r="R4333">
        <v>1</v>
      </c>
      <c r="S4333" s="2">
        <v>0</v>
      </c>
      <c r="T4333" s="4"/>
      <c r="U4333">
        <v>1</v>
      </c>
      <c r="V4333">
        <v>1</v>
      </c>
      <c r="W4333">
        <v>1</v>
      </c>
    </row>
    <row r="4334" spans="1:23" ht="16.5" x14ac:dyDescent="0.3">
      <c r="A4334" t="s">
        <v>4398</v>
      </c>
      <c r="B4334" s="1">
        <v>45912</v>
      </c>
      <c r="C4334">
        <v>2025</v>
      </c>
      <c r="D4334" t="s">
        <v>1255</v>
      </c>
      <c r="E4334" t="s">
        <v>1623</v>
      </c>
      <c r="F4334" t="s">
        <v>37</v>
      </c>
      <c r="G4334" t="s">
        <v>45</v>
      </c>
      <c r="H4334" t="s">
        <v>28</v>
      </c>
      <c r="I4334" t="s">
        <v>29</v>
      </c>
      <c r="J4334" t="s">
        <v>43</v>
      </c>
      <c r="K4334" s="2">
        <v>4400</v>
      </c>
      <c r="L4334" s="2">
        <v>10000</v>
      </c>
      <c r="M4334">
        <v>48</v>
      </c>
      <c r="N4334" s="3">
        <v>0.155</v>
      </c>
      <c r="O4334" t="s">
        <v>17</v>
      </c>
      <c r="P4334" t="s">
        <v>31</v>
      </c>
      <c r="Q4334">
        <v>0</v>
      </c>
      <c r="R4334">
        <v>1</v>
      </c>
      <c r="S4334" s="2">
        <v>0</v>
      </c>
      <c r="T4334" s="4"/>
      <c r="U4334">
        <v>2</v>
      </c>
      <c r="V4334">
        <v>1</v>
      </c>
      <c r="W4334">
        <v>1</v>
      </c>
    </row>
    <row r="4335" spans="1:23" ht="16.5" x14ac:dyDescent="0.3">
      <c r="A4335" t="s">
        <v>4399</v>
      </c>
      <c r="B4335" s="1">
        <v>45912</v>
      </c>
      <c r="C4335">
        <v>2025</v>
      </c>
      <c r="D4335" t="s">
        <v>1255</v>
      </c>
      <c r="E4335" t="s">
        <v>1623</v>
      </c>
      <c r="F4335" t="s">
        <v>50</v>
      </c>
      <c r="G4335" t="s">
        <v>51</v>
      </c>
      <c r="H4335" t="s">
        <v>38</v>
      </c>
      <c r="I4335" t="s">
        <v>29</v>
      </c>
      <c r="J4335" t="s">
        <v>35</v>
      </c>
      <c r="K4335" s="2">
        <v>5800</v>
      </c>
      <c r="L4335" s="2">
        <v>255500</v>
      </c>
      <c r="M4335">
        <v>180</v>
      </c>
      <c r="N4335" s="3">
        <v>0.44500000000000001</v>
      </c>
      <c r="O4335" t="s">
        <v>17</v>
      </c>
      <c r="P4335" t="s">
        <v>48</v>
      </c>
      <c r="Q4335">
        <v>0</v>
      </c>
      <c r="R4335">
        <v>1</v>
      </c>
      <c r="S4335" s="2">
        <v>0</v>
      </c>
      <c r="T4335" s="4"/>
      <c r="U4335">
        <v>16</v>
      </c>
      <c r="V4335">
        <v>0</v>
      </c>
      <c r="W4335">
        <v>1</v>
      </c>
    </row>
    <row r="4336" spans="1:23" ht="16.5" x14ac:dyDescent="0.3">
      <c r="A4336" t="s">
        <v>4400</v>
      </c>
      <c r="B4336" s="1">
        <v>45912</v>
      </c>
      <c r="C4336">
        <v>2025</v>
      </c>
      <c r="D4336" t="s">
        <v>1255</v>
      </c>
      <c r="E4336" t="s">
        <v>1623</v>
      </c>
      <c r="F4336" t="s">
        <v>26</v>
      </c>
      <c r="G4336" t="s">
        <v>33</v>
      </c>
      <c r="H4336" t="s">
        <v>55</v>
      </c>
      <c r="I4336" t="s">
        <v>39</v>
      </c>
      <c r="J4336" t="s">
        <v>35</v>
      </c>
      <c r="K4336" s="2">
        <v>5500</v>
      </c>
      <c r="L4336" s="2">
        <v>27000</v>
      </c>
      <c r="M4336">
        <v>48</v>
      </c>
      <c r="N4336" s="3">
        <v>0.31</v>
      </c>
      <c r="O4336" t="s">
        <v>16</v>
      </c>
      <c r="Q4336">
        <v>1</v>
      </c>
      <c r="R4336">
        <v>0</v>
      </c>
      <c r="S4336" s="2">
        <v>21500</v>
      </c>
      <c r="T4336" s="4">
        <v>8.5800000000000001E-2</v>
      </c>
      <c r="U4336">
        <v>1</v>
      </c>
      <c r="V4336">
        <v>1</v>
      </c>
      <c r="W4336">
        <v>1</v>
      </c>
    </row>
    <row r="4337" spans="1:23" ht="16.5" x14ac:dyDescent="0.3">
      <c r="A4337" t="s">
        <v>4401</v>
      </c>
      <c r="B4337" s="1">
        <v>45912</v>
      </c>
      <c r="C4337">
        <v>2025</v>
      </c>
      <c r="D4337" t="s">
        <v>1255</v>
      </c>
      <c r="E4337" t="s">
        <v>1623</v>
      </c>
      <c r="F4337" t="s">
        <v>26</v>
      </c>
      <c r="G4337" t="s">
        <v>45</v>
      </c>
      <c r="H4337" t="s">
        <v>38</v>
      </c>
      <c r="I4337" t="s">
        <v>39</v>
      </c>
      <c r="J4337" t="s">
        <v>35</v>
      </c>
      <c r="K4337" s="2">
        <v>5350</v>
      </c>
      <c r="L4337" s="2">
        <v>26000</v>
      </c>
      <c r="M4337">
        <v>36</v>
      </c>
      <c r="N4337" s="3">
        <v>0.315</v>
      </c>
      <c r="O4337" t="s">
        <v>16</v>
      </c>
      <c r="Q4337">
        <v>1</v>
      </c>
      <c r="R4337">
        <v>0</v>
      </c>
      <c r="S4337" s="2">
        <v>23500</v>
      </c>
      <c r="T4337" s="4">
        <v>7.6100000000000001E-2</v>
      </c>
      <c r="U4337">
        <v>2</v>
      </c>
      <c r="V4337">
        <v>1</v>
      </c>
      <c r="W4337">
        <v>1</v>
      </c>
    </row>
    <row r="4338" spans="1:23" ht="16.5" x14ac:dyDescent="0.3">
      <c r="A4338" t="s">
        <v>4402</v>
      </c>
      <c r="B4338" s="1">
        <v>45913</v>
      </c>
      <c r="C4338">
        <v>2025</v>
      </c>
      <c r="D4338" t="s">
        <v>1255</v>
      </c>
      <c r="E4338" t="s">
        <v>1623</v>
      </c>
      <c r="F4338" t="s">
        <v>37</v>
      </c>
      <c r="G4338" t="s">
        <v>27</v>
      </c>
      <c r="H4338" t="s">
        <v>55</v>
      </c>
      <c r="I4338" t="s">
        <v>39</v>
      </c>
      <c r="J4338" t="s">
        <v>30</v>
      </c>
      <c r="K4338" s="2">
        <v>4500</v>
      </c>
      <c r="L4338" s="2">
        <v>6500</v>
      </c>
      <c r="M4338">
        <v>12</v>
      </c>
      <c r="N4338" s="3">
        <v>0.24299999999999999</v>
      </c>
      <c r="O4338" t="s">
        <v>17</v>
      </c>
      <c r="P4338" t="s">
        <v>31</v>
      </c>
      <c r="Q4338">
        <v>0</v>
      </c>
      <c r="R4338">
        <v>1</v>
      </c>
      <c r="S4338" s="2">
        <v>0</v>
      </c>
      <c r="T4338" s="4"/>
      <c r="U4338">
        <v>3</v>
      </c>
      <c r="V4338">
        <v>1</v>
      </c>
      <c r="W4338">
        <v>1</v>
      </c>
    </row>
    <row r="4339" spans="1:23" ht="16.5" x14ac:dyDescent="0.3">
      <c r="A4339" t="s">
        <v>4403</v>
      </c>
      <c r="B4339" s="1">
        <v>45913</v>
      </c>
      <c r="C4339">
        <v>2025</v>
      </c>
      <c r="D4339" t="s">
        <v>1255</v>
      </c>
      <c r="E4339" t="s">
        <v>1623</v>
      </c>
      <c r="F4339" t="s">
        <v>26</v>
      </c>
      <c r="G4339" t="s">
        <v>27</v>
      </c>
      <c r="H4339" t="s">
        <v>34</v>
      </c>
      <c r="I4339" t="s">
        <v>39</v>
      </c>
      <c r="J4339" t="s">
        <v>30</v>
      </c>
      <c r="K4339" s="2">
        <v>4350</v>
      </c>
      <c r="L4339" s="2">
        <v>24000</v>
      </c>
      <c r="M4339">
        <v>36</v>
      </c>
      <c r="N4339" s="3">
        <v>0.33600000000000002</v>
      </c>
      <c r="O4339" t="s">
        <v>17</v>
      </c>
      <c r="P4339" t="s">
        <v>60</v>
      </c>
      <c r="Q4339">
        <v>0</v>
      </c>
      <c r="R4339">
        <v>1</v>
      </c>
      <c r="S4339" s="2">
        <v>0</v>
      </c>
      <c r="T4339" s="4"/>
      <c r="U4339">
        <v>9</v>
      </c>
      <c r="V4339">
        <v>0</v>
      </c>
      <c r="W4339">
        <v>1</v>
      </c>
    </row>
    <row r="4340" spans="1:23" ht="16.5" x14ac:dyDescent="0.3">
      <c r="A4340" t="s">
        <v>4404</v>
      </c>
      <c r="B4340" s="1">
        <v>45913</v>
      </c>
      <c r="C4340">
        <v>2025</v>
      </c>
      <c r="D4340" t="s">
        <v>1255</v>
      </c>
      <c r="E4340" t="s">
        <v>1623</v>
      </c>
      <c r="F4340" t="s">
        <v>26</v>
      </c>
      <c r="G4340" t="s">
        <v>33</v>
      </c>
      <c r="H4340" t="s">
        <v>38</v>
      </c>
      <c r="I4340" t="s">
        <v>42</v>
      </c>
      <c r="J4340" t="s">
        <v>35</v>
      </c>
      <c r="K4340" s="2">
        <v>5500</v>
      </c>
      <c r="L4340" s="2">
        <v>20000</v>
      </c>
      <c r="M4340">
        <v>60</v>
      </c>
      <c r="N4340" s="3">
        <v>0.189</v>
      </c>
      <c r="O4340" t="s">
        <v>17</v>
      </c>
      <c r="P4340" t="s">
        <v>60</v>
      </c>
      <c r="Q4340">
        <v>0</v>
      </c>
      <c r="R4340">
        <v>1</v>
      </c>
      <c r="S4340" s="2">
        <v>0</v>
      </c>
      <c r="T4340" s="4"/>
      <c r="U4340">
        <v>6</v>
      </c>
      <c r="V4340">
        <v>0</v>
      </c>
      <c r="W4340">
        <v>1</v>
      </c>
    </row>
    <row r="4341" spans="1:23" ht="16.5" x14ac:dyDescent="0.3">
      <c r="A4341" t="s">
        <v>4405</v>
      </c>
      <c r="B4341" s="1">
        <v>45913</v>
      </c>
      <c r="C4341">
        <v>2025</v>
      </c>
      <c r="D4341" t="s">
        <v>1255</v>
      </c>
      <c r="E4341" t="s">
        <v>1623</v>
      </c>
      <c r="F4341" t="s">
        <v>37</v>
      </c>
      <c r="G4341" t="s">
        <v>33</v>
      </c>
      <c r="H4341" t="s">
        <v>28</v>
      </c>
      <c r="I4341" t="s">
        <v>42</v>
      </c>
      <c r="J4341" t="s">
        <v>52</v>
      </c>
      <c r="K4341" s="2">
        <v>8600</v>
      </c>
      <c r="L4341" s="2">
        <v>12000</v>
      </c>
      <c r="M4341">
        <v>12</v>
      </c>
      <c r="N4341" s="3">
        <v>0.222</v>
      </c>
      <c r="O4341" t="s">
        <v>16</v>
      </c>
      <c r="Q4341">
        <v>1</v>
      </c>
      <c r="R4341">
        <v>0</v>
      </c>
      <c r="S4341" s="2">
        <v>12000</v>
      </c>
      <c r="T4341" s="4">
        <v>0.11459999999999999</v>
      </c>
      <c r="U4341">
        <v>1</v>
      </c>
      <c r="V4341">
        <v>1</v>
      </c>
      <c r="W4341">
        <v>1</v>
      </c>
    </row>
    <row r="4342" spans="1:23" ht="16.5" x14ac:dyDescent="0.3">
      <c r="A4342" t="s">
        <v>4406</v>
      </c>
      <c r="B4342" s="1">
        <v>45913</v>
      </c>
      <c r="C4342">
        <v>2025</v>
      </c>
      <c r="D4342" t="s">
        <v>1255</v>
      </c>
      <c r="E4342" t="s">
        <v>1623</v>
      </c>
      <c r="F4342" t="s">
        <v>37</v>
      </c>
      <c r="G4342" t="s">
        <v>33</v>
      </c>
      <c r="H4342" t="s">
        <v>38</v>
      </c>
      <c r="I4342" t="s">
        <v>39</v>
      </c>
      <c r="J4342" t="s">
        <v>35</v>
      </c>
      <c r="K4342" s="2">
        <v>4050</v>
      </c>
      <c r="L4342" s="2">
        <v>12000</v>
      </c>
      <c r="M4342">
        <v>36</v>
      </c>
      <c r="N4342" s="3">
        <v>0.34599999999999997</v>
      </c>
      <c r="O4342" t="s">
        <v>16</v>
      </c>
      <c r="Q4342">
        <v>1</v>
      </c>
      <c r="R4342">
        <v>0</v>
      </c>
      <c r="S4342" s="2">
        <v>12000</v>
      </c>
      <c r="T4342" s="4">
        <v>0.124</v>
      </c>
      <c r="U4342">
        <v>2</v>
      </c>
      <c r="V4342">
        <v>1</v>
      </c>
      <c r="W4342">
        <v>1</v>
      </c>
    </row>
    <row r="4343" spans="1:23" ht="16.5" x14ac:dyDescent="0.3">
      <c r="A4343" t="s">
        <v>4407</v>
      </c>
      <c r="B4343" s="1">
        <v>45914</v>
      </c>
      <c r="C4343">
        <v>2025</v>
      </c>
      <c r="D4343" t="s">
        <v>1255</v>
      </c>
      <c r="E4343" t="s">
        <v>1623</v>
      </c>
      <c r="F4343" t="s">
        <v>37</v>
      </c>
      <c r="G4343" t="s">
        <v>51</v>
      </c>
      <c r="H4343" t="s">
        <v>38</v>
      </c>
      <c r="I4343" t="s">
        <v>39</v>
      </c>
      <c r="J4343" t="s">
        <v>52</v>
      </c>
      <c r="K4343" s="2">
        <v>4000</v>
      </c>
      <c r="L4343" s="2">
        <v>15500</v>
      </c>
      <c r="M4343">
        <v>48</v>
      </c>
      <c r="N4343" s="3">
        <v>0.187</v>
      </c>
      <c r="O4343" t="s">
        <v>16</v>
      </c>
      <c r="Q4343">
        <v>1</v>
      </c>
      <c r="R4343">
        <v>0</v>
      </c>
      <c r="S4343" s="2">
        <v>12500</v>
      </c>
      <c r="T4343" s="4">
        <v>0.1159</v>
      </c>
      <c r="U4343">
        <v>5</v>
      </c>
      <c r="V4343">
        <v>0</v>
      </c>
      <c r="W4343">
        <v>1</v>
      </c>
    </row>
    <row r="4344" spans="1:23" ht="16.5" x14ac:dyDescent="0.3">
      <c r="A4344" t="s">
        <v>4408</v>
      </c>
      <c r="B4344" s="1">
        <v>45914</v>
      </c>
      <c r="C4344">
        <v>2025</v>
      </c>
      <c r="D4344" t="s">
        <v>1255</v>
      </c>
      <c r="E4344" t="s">
        <v>1623</v>
      </c>
      <c r="F4344" t="s">
        <v>37</v>
      </c>
      <c r="G4344" t="s">
        <v>51</v>
      </c>
      <c r="H4344" t="s">
        <v>38</v>
      </c>
      <c r="I4344" t="s">
        <v>39</v>
      </c>
      <c r="J4344" t="s">
        <v>52</v>
      </c>
      <c r="K4344" s="2">
        <v>6850</v>
      </c>
      <c r="L4344" s="2">
        <v>12000</v>
      </c>
      <c r="M4344">
        <v>60</v>
      </c>
      <c r="N4344" s="3">
        <v>0.187</v>
      </c>
      <c r="O4344" t="s">
        <v>16</v>
      </c>
      <c r="Q4344">
        <v>1</v>
      </c>
      <c r="R4344">
        <v>0</v>
      </c>
      <c r="S4344" s="2">
        <v>12000</v>
      </c>
      <c r="T4344" s="4">
        <v>0.1124</v>
      </c>
      <c r="U4344">
        <v>5</v>
      </c>
      <c r="V4344">
        <v>0</v>
      </c>
      <c r="W4344">
        <v>1</v>
      </c>
    </row>
    <row r="4345" spans="1:23" ht="16.5" x14ac:dyDescent="0.3">
      <c r="A4345" t="s">
        <v>4409</v>
      </c>
      <c r="B4345" s="1">
        <v>45914</v>
      </c>
      <c r="C4345">
        <v>2025</v>
      </c>
      <c r="D4345" t="s">
        <v>1255</v>
      </c>
      <c r="E4345" t="s">
        <v>1623</v>
      </c>
      <c r="F4345" t="s">
        <v>37</v>
      </c>
      <c r="G4345" t="s">
        <v>51</v>
      </c>
      <c r="H4345" t="s">
        <v>28</v>
      </c>
      <c r="I4345" t="s">
        <v>29</v>
      </c>
      <c r="J4345" t="s">
        <v>35</v>
      </c>
      <c r="K4345" s="2">
        <v>6000</v>
      </c>
      <c r="L4345" s="2">
        <v>7000</v>
      </c>
      <c r="M4345">
        <v>36</v>
      </c>
      <c r="N4345" s="3">
        <v>0.14299999999999999</v>
      </c>
      <c r="O4345" t="s">
        <v>16</v>
      </c>
      <c r="Q4345">
        <v>1</v>
      </c>
      <c r="R4345">
        <v>0</v>
      </c>
      <c r="S4345" s="2">
        <v>5500</v>
      </c>
      <c r="T4345" s="4">
        <v>0.12709999999999999</v>
      </c>
      <c r="U4345">
        <v>6</v>
      </c>
      <c r="V4345">
        <v>0</v>
      </c>
      <c r="W4345">
        <v>1</v>
      </c>
    </row>
    <row r="4346" spans="1:23" ht="16.5" x14ac:dyDescent="0.3">
      <c r="A4346" t="s">
        <v>4410</v>
      </c>
      <c r="B4346" s="1">
        <v>45915</v>
      </c>
      <c r="C4346">
        <v>2025</v>
      </c>
      <c r="D4346" t="s">
        <v>1255</v>
      </c>
      <c r="E4346" t="s">
        <v>1623</v>
      </c>
      <c r="F4346" t="s">
        <v>50</v>
      </c>
      <c r="G4346" t="s">
        <v>33</v>
      </c>
      <c r="H4346" t="s">
        <v>55</v>
      </c>
      <c r="I4346" t="s">
        <v>29</v>
      </c>
      <c r="J4346" t="s">
        <v>30</v>
      </c>
      <c r="K4346" s="2">
        <v>6750</v>
      </c>
      <c r="L4346" s="2">
        <v>139000</v>
      </c>
      <c r="M4346">
        <v>180</v>
      </c>
      <c r="N4346" s="3">
        <v>0.32800000000000001</v>
      </c>
      <c r="O4346" t="s">
        <v>17</v>
      </c>
      <c r="P4346" t="s">
        <v>31</v>
      </c>
      <c r="Q4346">
        <v>0</v>
      </c>
      <c r="R4346">
        <v>1</v>
      </c>
      <c r="S4346" s="2">
        <v>0</v>
      </c>
      <c r="T4346" s="4"/>
      <c r="U4346">
        <v>3</v>
      </c>
      <c r="V4346">
        <v>1</v>
      </c>
      <c r="W4346">
        <v>1</v>
      </c>
    </row>
    <row r="4347" spans="1:23" ht="16.5" x14ac:dyDescent="0.3">
      <c r="A4347" t="s">
        <v>4411</v>
      </c>
      <c r="B4347" s="1">
        <v>45915</v>
      </c>
      <c r="C4347">
        <v>2025</v>
      </c>
      <c r="D4347" t="s">
        <v>1255</v>
      </c>
      <c r="E4347" t="s">
        <v>1623</v>
      </c>
      <c r="F4347" t="s">
        <v>37</v>
      </c>
      <c r="G4347" t="s">
        <v>51</v>
      </c>
      <c r="H4347" t="s">
        <v>64</v>
      </c>
      <c r="I4347" t="s">
        <v>29</v>
      </c>
      <c r="J4347" t="s">
        <v>30</v>
      </c>
      <c r="K4347" s="2">
        <v>7300</v>
      </c>
      <c r="L4347" s="2">
        <v>19000</v>
      </c>
      <c r="M4347">
        <v>60</v>
      </c>
      <c r="N4347" s="3">
        <v>0.217</v>
      </c>
      <c r="O4347" t="s">
        <v>16</v>
      </c>
      <c r="Q4347">
        <v>1</v>
      </c>
      <c r="R4347">
        <v>0</v>
      </c>
      <c r="S4347" s="2">
        <v>17000</v>
      </c>
      <c r="T4347" s="4">
        <v>0.13900000000000001</v>
      </c>
      <c r="U4347">
        <v>3</v>
      </c>
      <c r="V4347">
        <v>1</v>
      </c>
      <c r="W4347">
        <v>1</v>
      </c>
    </row>
    <row r="4348" spans="1:23" ht="16.5" x14ac:dyDescent="0.3">
      <c r="A4348" t="s">
        <v>4412</v>
      </c>
      <c r="B4348" s="1">
        <v>45915</v>
      </c>
      <c r="C4348">
        <v>2025</v>
      </c>
      <c r="D4348" t="s">
        <v>1255</v>
      </c>
      <c r="E4348" t="s">
        <v>1623</v>
      </c>
      <c r="F4348" t="s">
        <v>50</v>
      </c>
      <c r="G4348" t="s">
        <v>45</v>
      </c>
      <c r="H4348" t="s">
        <v>55</v>
      </c>
      <c r="I4348" t="s">
        <v>29</v>
      </c>
      <c r="J4348" t="s">
        <v>52</v>
      </c>
      <c r="K4348" s="2">
        <v>4800</v>
      </c>
      <c r="L4348" s="2">
        <v>248500</v>
      </c>
      <c r="M4348">
        <v>300</v>
      </c>
      <c r="N4348" s="3">
        <v>0.40200000000000002</v>
      </c>
      <c r="O4348" t="s">
        <v>16</v>
      </c>
      <c r="Q4348">
        <v>1</v>
      </c>
      <c r="R4348">
        <v>0</v>
      </c>
      <c r="S4348" s="2">
        <v>223500</v>
      </c>
      <c r="T4348" s="4">
        <v>4.7699999999999999E-2</v>
      </c>
      <c r="U4348">
        <v>6</v>
      </c>
      <c r="V4348">
        <v>1</v>
      </c>
      <c r="W4348">
        <v>1</v>
      </c>
    </row>
    <row r="4349" spans="1:23" ht="16.5" x14ac:dyDescent="0.3">
      <c r="A4349" t="s">
        <v>4413</v>
      </c>
      <c r="B4349" s="1">
        <v>45915</v>
      </c>
      <c r="C4349">
        <v>2025</v>
      </c>
      <c r="D4349" t="s">
        <v>1255</v>
      </c>
      <c r="E4349" t="s">
        <v>1623</v>
      </c>
      <c r="F4349" t="s">
        <v>41</v>
      </c>
      <c r="G4349" t="s">
        <v>45</v>
      </c>
      <c r="H4349" t="s">
        <v>34</v>
      </c>
      <c r="I4349" t="s">
        <v>29</v>
      </c>
      <c r="J4349" t="s">
        <v>30</v>
      </c>
      <c r="K4349" s="2">
        <v>2750</v>
      </c>
      <c r="L4349" s="2">
        <v>92500</v>
      </c>
      <c r="M4349">
        <v>12</v>
      </c>
      <c r="N4349" s="3">
        <v>3.073</v>
      </c>
      <c r="O4349" t="s">
        <v>125</v>
      </c>
      <c r="Q4349">
        <v>0</v>
      </c>
      <c r="R4349">
        <v>0</v>
      </c>
      <c r="S4349" s="2">
        <v>0</v>
      </c>
      <c r="T4349" s="4"/>
      <c r="U4349">
        <v>9</v>
      </c>
      <c r="V4349">
        <v>1</v>
      </c>
      <c r="W4349">
        <v>1</v>
      </c>
    </row>
    <row r="4350" spans="1:23" ht="16.5" x14ac:dyDescent="0.3">
      <c r="A4350" t="s">
        <v>4414</v>
      </c>
      <c r="B4350" s="1">
        <v>45915</v>
      </c>
      <c r="C4350">
        <v>2025</v>
      </c>
      <c r="D4350" t="s">
        <v>1255</v>
      </c>
      <c r="E4350" t="s">
        <v>1623</v>
      </c>
      <c r="F4350" t="s">
        <v>50</v>
      </c>
      <c r="G4350" t="s">
        <v>27</v>
      </c>
      <c r="H4350" t="s">
        <v>34</v>
      </c>
      <c r="I4350" t="s">
        <v>29</v>
      </c>
      <c r="J4350" t="s">
        <v>30</v>
      </c>
      <c r="K4350" s="2">
        <v>11300</v>
      </c>
      <c r="L4350" s="2">
        <v>323000</v>
      </c>
      <c r="M4350">
        <v>240</v>
      </c>
      <c r="N4350" s="3">
        <v>0.41699999999999998</v>
      </c>
      <c r="O4350" t="s">
        <v>16</v>
      </c>
      <c r="Q4350">
        <v>1</v>
      </c>
      <c r="R4350">
        <v>0</v>
      </c>
      <c r="S4350" s="2">
        <v>323000</v>
      </c>
      <c r="T4350" s="4">
        <v>7.0400000000000004E-2</v>
      </c>
      <c r="U4350">
        <v>17</v>
      </c>
      <c r="V4350">
        <v>0</v>
      </c>
      <c r="W4350">
        <v>1</v>
      </c>
    </row>
    <row r="4351" spans="1:23" ht="16.5" x14ac:dyDescent="0.3">
      <c r="A4351" t="s">
        <v>4415</v>
      </c>
      <c r="B4351" s="1">
        <v>45915</v>
      </c>
      <c r="C4351">
        <v>2025</v>
      </c>
      <c r="D4351" t="s">
        <v>1255</v>
      </c>
      <c r="E4351" t="s">
        <v>1623</v>
      </c>
      <c r="F4351" t="s">
        <v>37</v>
      </c>
      <c r="G4351" t="s">
        <v>33</v>
      </c>
      <c r="H4351" t="s">
        <v>38</v>
      </c>
      <c r="I4351" t="s">
        <v>29</v>
      </c>
      <c r="J4351" t="s">
        <v>43</v>
      </c>
      <c r="K4351" s="2">
        <v>3700</v>
      </c>
      <c r="L4351" s="2">
        <v>9500</v>
      </c>
      <c r="M4351">
        <v>48</v>
      </c>
      <c r="N4351" s="3">
        <v>0.27200000000000002</v>
      </c>
      <c r="O4351" t="s">
        <v>17</v>
      </c>
      <c r="P4351" t="s">
        <v>31</v>
      </c>
      <c r="Q4351">
        <v>0</v>
      </c>
      <c r="R4351">
        <v>1</v>
      </c>
      <c r="S4351" s="2">
        <v>0</v>
      </c>
      <c r="T4351" s="4"/>
      <c r="U4351">
        <v>1</v>
      </c>
      <c r="V4351">
        <v>1</v>
      </c>
      <c r="W4351">
        <v>1</v>
      </c>
    </row>
    <row r="4352" spans="1:23" ht="16.5" x14ac:dyDescent="0.3">
      <c r="A4352" t="s">
        <v>4416</v>
      </c>
      <c r="B4352" s="1">
        <v>45915</v>
      </c>
      <c r="C4352">
        <v>2025</v>
      </c>
      <c r="D4352" t="s">
        <v>1255</v>
      </c>
      <c r="E4352" t="s">
        <v>1623</v>
      </c>
      <c r="F4352" t="s">
        <v>26</v>
      </c>
      <c r="G4352" t="s">
        <v>27</v>
      </c>
      <c r="H4352" t="s">
        <v>55</v>
      </c>
      <c r="I4352" t="s">
        <v>42</v>
      </c>
      <c r="J4352" t="s">
        <v>52</v>
      </c>
      <c r="K4352" s="2">
        <v>5150</v>
      </c>
      <c r="L4352" s="2">
        <v>28000</v>
      </c>
      <c r="M4352">
        <v>36</v>
      </c>
      <c r="N4352" s="3">
        <v>0.24399999999999999</v>
      </c>
      <c r="O4352" t="s">
        <v>17</v>
      </c>
      <c r="P4352" t="s">
        <v>60</v>
      </c>
      <c r="Q4352">
        <v>0</v>
      </c>
      <c r="R4352">
        <v>1</v>
      </c>
      <c r="S4352" s="2">
        <v>0</v>
      </c>
      <c r="T4352" s="4"/>
      <c r="U4352">
        <v>8</v>
      </c>
      <c r="V4352">
        <v>0</v>
      </c>
      <c r="W4352">
        <v>1</v>
      </c>
    </row>
    <row r="4353" spans="1:23" ht="16.5" x14ac:dyDescent="0.3">
      <c r="A4353" t="s">
        <v>4417</v>
      </c>
      <c r="B4353" s="1">
        <v>45916</v>
      </c>
      <c r="C4353">
        <v>2025</v>
      </c>
      <c r="D4353" t="s">
        <v>1255</v>
      </c>
      <c r="E4353" t="s">
        <v>1623</v>
      </c>
      <c r="F4353" t="s">
        <v>26</v>
      </c>
      <c r="G4353" t="s">
        <v>33</v>
      </c>
      <c r="H4353" t="s">
        <v>38</v>
      </c>
      <c r="I4353" t="s">
        <v>29</v>
      </c>
      <c r="J4353" t="s">
        <v>30</v>
      </c>
      <c r="K4353" s="2">
        <v>3550</v>
      </c>
      <c r="L4353" s="2">
        <v>36000</v>
      </c>
      <c r="M4353">
        <v>36</v>
      </c>
      <c r="N4353" s="3">
        <v>0.44600000000000001</v>
      </c>
      <c r="O4353" t="s">
        <v>16</v>
      </c>
      <c r="Q4353">
        <v>1</v>
      </c>
      <c r="R4353">
        <v>0</v>
      </c>
      <c r="S4353" s="2">
        <v>36000</v>
      </c>
      <c r="T4353" s="4">
        <v>9.4899999999999998E-2</v>
      </c>
      <c r="U4353">
        <v>1</v>
      </c>
      <c r="V4353">
        <v>1</v>
      </c>
      <c r="W4353">
        <v>1</v>
      </c>
    </row>
    <row r="4354" spans="1:23" ht="16.5" x14ac:dyDescent="0.3">
      <c r="A4354" t="s">
        <v>4418</v>
      </c>
      <c r="B4354" s="1">
        <v>45916</v>
      </c>
      <c r="C4354">
        <v>2025</v>
      </c>
      <c r="D4354" t="s">
        <v>1255</v>
      </c>
      <c r="E4354" t="s">
        <v>1623</v>
      </c>
      <c r="F4354" t="s">
        <v>37</v>
      </c>
      <c r="G4354" t="s">
        <v>27</v>
      </c>
      <c r="H4354" t="s">
        <v>38</v>
      </c>
      <c r="I4354" t="s">
        <v>42</v>
      </c>
      <c r="J4354" t="s">
        <v>43</v>
      </c>
      <c r="K4354" s="2">
        <v>3200</v>
      </c>
      <c r="L4354" s="2">
        <v>16500</v>
      </c>
      <c r="M4354">
        <v>12</v>
      </c>
      <c r="N4354" s="3">
        <v>0.54600000000000004</v>
      </c>
      <c r="O4354" t="s">
        <v>17</v>
      </c>
      <c r="P4354" t="s">
        <v>53</v>
      </c>
      <c r="Q4354">
        <v>0</v>
      </c>
      <c r="R4354">
        <v>1</v>
      </c>
      <c r="S4354" s="2">
        <v>0</v>
      </c>
      <c r="T4354" s="4"/>
      <c r="U4354">
        <v>4</v>
      </c>
      <c r="V4354">
        <v>0</v>
      </c>
      <c r="W4354">
        <v>1</v>
      </c>
    </row>
    <row r="4355" spans="1:23" ht="16.5" x14ac:dyDescent="0.3">
      <c r="A4355" t="s">
        <v>4419</v>
      </c>
      <c r="B4355" s="1">
        <v>45916</v>
      </c>
      <c r="C4355">
        <v>2025</v>
      </c>
      <c r="D4355" t="s">
        <v>1255</v>
      </c>
      <c r="E4355" t="s">
        <v>1623</v>
      </c>
      <c r="F4355" t="s">
        <v>37</v>
      </c>
      <c r="G4355" t="s">
        <v>51</v>
      </c>
      <c r="H4355" t="s">
        <v>38</v>
      </c>
      <c r="I4355" t="s">
        <v>29</v>
      </c>
      <c r="J4355" t="s">
        <v>30</v>
      </c>
      <c r="K4355" s="2">
        <v>4250</v>
      </c>
      <c r="L4355" s="2">
        <v>7000</v>
      </c>
      <c r="M4355">
        <v>48</v>
      </c>
      <c r="N4355" s="3">
        <v>0.22600000000000001</v>
      </c>
      <c r="O4355" t="s">
        <v>16</v>
      </c>
      <c r="Q4355">
        <v>1</v>
      </c>
      <c r="R4355">
        <v>0</v>
      </c>
      <c r="S4355" s="2">
        <v>6500</v>
      </c>
      <c r="T4355" s="4">
        <v>0.14410000000000001</v>
      </c>
      <c r="U4355">
        <v>8</v>
      </c>
      <c r="V4355">
        <v>0</v>
      </c>
      <c r="W4355">
        <v>1</v>
      </c>
    </row>
    <row r="4356" spans="1:23" ht="16.5" x14ac:dyDescent="0.3">
      <c r="A4356" t="s">
        <v>4420</v>
      </c>
      <c r="B4356" s="1">
        <v>45916</v>
      </c>
      <c r="C4356">
        <v>2025</v>
      </c>
      <c r="D4356" t="s">
        <v>1255</v>
      </c>
      <c r="E4356" t="s">
        <v>1623</v>
      </c>
      <c r="F4356" t="s">
        <v>50</v>
      </c>
      <c r="G4356" t="s">
        <v>45</v>
      </c>
      <c r="H4356" t="s">
        <v>38</v>
      </c>
      <c r="I4356" t="s">
        <v>42</v>
      </c>
      <c r="J4356" t="s">
        <v>30</v>
      </c>
      <c r="K4356" s="2">
        <v>4250</v>
      </c>
      <c r="L4356" s="2">
        <v>290000</v>
      </c>
      <c r="M4356">
        <v>240</v>
      </c>
      <c r="N4356" s="3">
        <v>0.51400000000000001</v>
      </c>
      <c r="O4356" t="s">
        <v>16</v>
      </c>
      <c r="Q4356">
        <v>1</v>
      </c>
      <c r="R4356">
        <v>0</v>
      </c>
      <c r="S4356" s="2">
        <v>232000</v>
      </c>
      <c r="T4356" s="4">
        <v>7.1900000000000006E-2</v>
      </c>
      <c r="U4356">
        <v>5</v>
      </c>
      <c r="V4356">
        <v>1</v>
      </c>
      <c r="W4356">
        <v>1</v>
      </c>
    </row>
    <row r="4357" spans="1:23" ht="16.5" x14ac:dyDescent="0.3">
      <c r="A4357" t="s">
        <v>4421</v>
      </c>
      <c r="B4357" s="1">
        <v>45916</v>
      </c>
      <c r="C4357">
        <v>2025</v>
      </c>
      <c r="D4357" t="s">
        <v>1255</v>
      </c>
      <c r="E4357" t="s">
        <v>1623</v>
      </c>
      <c r="F4357" t="s">
        <v>37</v>
      </c>
      <c r="G4357" t="s">
        <v>51</v>
      </c>
      <c r="H4357" t="s">
        <v>38</v>
      </c>
      <c r="I4357" t="s">
        <v>39</v>
      </c>
      <c r="J4357" t="s">
        <v>30</v>
      </c>
      <c r="K4357" s="2">
        <v>5100</v>
      </c>
      <c r="L4357" s="2">
        <v>12000</v>
      </c>
      <c r="M4357">
        <v>36</v>
      </c>
      <c r="N4357" s="3">
        <v>0.29499999999999998</v>
      </c>
      <c r="O4357" t="s">
        <v>17</v>
      </c>
      <c r="P4357" t="s">
        <v>31</v>
      </c>
      <c r="Q4357">
        <v>0</v>
      </c>
      <c r="R4357">
        <v>1</v>
      </c>
      <c r="S4357" s="2">
        <v>0</v>
      </c>
      <c r="T4357" s="4"/>
      <c r="U4357">
        <v>3</v>
      </c>
      <c r="V4357">
        <v>1</v>
      </c>
      <c r="W4357">
        <v>1</v>
      </c>
    </row>
    <row r="4358" spans="1:23" ht="16.5" x14ac:dyDescent="0.3">
      <c r="A4358" t="s">
        <v>4422</v>
      </c>
      <c r="B4358" s="1">
        <v>45916</v>
      </c>
      <c r="C4358">
        <v>2025</v>
      </c>
      <c r="D4358" t="s">
        <v>1255</v>
      </c>
      <c r="E4358" t="s">
        <v>1623</v>
      </c>
      <c r="F4358" t="s">
        <v>26</v>
      </c>
      <c r="G4358" t="s">
        <v>33</v>
      </c>
      <c r="H4358" t="s">
        <v>34</v>
      </c>
      <c r="I4358" t="s">
        <v>29</v>
      </c>
      <c r="J4358" t="s">
        <v>35</v>
      </c>
      <c r="K4358" s="2">
        <v>5750</v>
      </c>
      <c r="L4358" s="2">
        <v>22500</v>
      </c>
      <c r="M4358">
        <v>36</v>
      </c>
      <c r="N4358" s="3">
        <v>0.34</v>
      </c>
      <c r="O4358" t="s">
        <v>17</v>
      </c>
      <c r="P4358" t="s">
        <v>60</v>
      </c>
      <c r="Q4358">
        <v>0</v>
      </c>
      <c r="R4358">
        <v>1</v>
      </c>
      <c r="S4358" s="2">
        <v>0</v>
      </c>
      <c r="T4358" s="4"/>
      <c r="U4358">
        <v>6</v>
      </c>
      <c r="V4358">
        <v>0</v>
      </c>
      <c r="W4358">
        <v>1</v>
      </c>
    </row>
    <row r="4359" spans="1:23" ht="16.5" x14ac:dyDescent="0.3">
      <c r="A4359" t="s">
        <v>4423</v>
      </c>
      <c r="B4359" s="1">
        <v>45916</v>
      </c>
      <c r="C4359">
        <v>2025</v>
      </c>
      <c r="D4359" t="s">
        <v>1255</v>
      </c>
      <c r="E4359" t="s">
        <v>1623</v>
      </c>
      <c r="F4359" t="s">
        <v>26</v>
      </c>
      <c r="G4359" t="s">
        <v>45</v>
      </c>
      <c r="H4359" t="s">
        <v>38</v>
      </c>
      <c r="I4359" t="s">
        <v>39</v>
      </c>
      <c r="J4359" t="s">
        <v>30</v>
      </c>
      <c r="K4359" s="2">
        <v>3000</v>
      </c>
      <c r="L4359" s="2">
        <v>25500</v>
      </c>
      <c r="M4359">
        <v>36</v>
      </c>
      <c r="N4359" s="3">
        <v>0.38</v>
      </c>
      <c r="O4359" t="s">
        <v>16</v>
      </c>
      <c r="Q4359">
        <v>1</v>
      </c>
      <c r="R4359">
        <v>0</v>
      </c>
      <c r="S4359" s="2">
        <v>25500</v>
      </c>
      <c r="T4359" s="4">
        <v>9.3700000000000006E-2</v>
      </c>
      <c r="U4359">
        <v>3</v>
      </c>
      <c r="V4359">
        <v>1</v>
      </c>
      <c r="W4359">
        <v>1</v>
      </c>
    </row>
    <row r="4360" spans="1:23" ht="16.5" x14ac:dyDescent="0.3">
      <c r="A4360" t="s">
        <v>4424</v>
      </c>
      <c r="B4360" s="1">
        <v>45916</v>
      </c>
      <c r="C4360">
        <v>2025</v>
      </c>
      <c r="D4360" t="s">
        <v>1255</v>
      </c>
      <c r="E4360" t="s">
        <v>1623</v>
      </c>
      <c r="F4360" t="s">
        <v>37</v>
      </c>
      <c r="G4360" t="s">
        <v>51</v>
      </c>
      <c r="H4360" t="s">
        <v>28</v>
      </c>
      <c r="I4360" t="s">
        <v>29</v>
      </c>
      <c r="J4360" t="s">
        <v>43</v>
      </c>
      <c r="K4360" s="2">
        <v>4400</v>
      </c>
      <c r="L4360" s="2">
        <v>9000</v>
      </c>
      <c r="M4360">
        <v>48</v>
      </c>
      <c r="N4360" s="3">
        <v>0.25600000000000001</v>
      </c>
      <c r="O4360" t="s">
        <v>17</v>
      </c>
      <c r="P4360" t="s">
        <v>48</v>
      </c>
      <c r="Q4360">
        <v>0</v>
      </c>
      <c r="R4360">
        <v>1</v>
      </c>
      <c r="S4360" s="2">
        <v>0</v>
      </c>
      <c r="T4360" s="4"/>
      <c r="U4360">
        <v>3</v>
      </c>
      <c r="V4360">
        <v>1</v>
      </c>
      <c r="W4360">
        <v>1</v>
      </c>
    </row>
    <row r="4361" spans="1:23" ht="16.5" x14ac:dyDescent="0.3">
      <c r="A4361" t="s">
        <v>4425</v>
      </c>
      <c r="B4361" s="1">
        <v>45916</v>
      </c>
      <c r="C4361">
        <v>2025</v>
      </c>
      <c r="D4361" t="s">
        <v>1255</v>
      </c>
      <c r="E4361" t="s">
        <v>1623</v>
      </c>
      <c r="F4361" t="s">
        <v>37</v>
      </c>
      <c r="G4361" t="s">
        <v>51</v>
      </c>
      <c r="H4361" t="s">
        <v>34</v>
      </c>
      <c r="I4361" t="s">
        <v>29</v>
      </c>
      <c r="J4361" t="s">
        <v>52</v>
      </c>
      <c r="K4361" s="2">
        <v>5500</v>
      </c>
      <c r="L4361" s="2">
        <v>15000</v>
      </c>
      <c r="M4361">
        <v>24</v>
      </c>
      <c r="N4361" s="3">
        <v>0.23100000000000001</v>
      </c>
      <c r="O4361" t="s">
        <v>17</v>
      </c>
      <c r="P4361" t="s">
        <v>31</v>
      </c>
      <c r="Q4361">
        <v>0</v>
      </c>
      <c r="R4361">
        <v>1</v>
      </c>
      <c r="S4361" s="2">
        <v>0</v>
      </c>
      <c r="T4361" s="4"/>
      <c r="U4361">
        <v>3</v>
      </c>
      <c r="V4361">
        <v>1</v>
      </c>
      <c r="W4361">
        <v>1</v>
      </c>
    </row>
    <row r="4362" spans="1:23" ht="16.5" x14ac:dyDescent="0.3">
      <c r="A4362" t="s">
        <v>4426</v>
      </c>
      <c r="B4362" s="1">
        <v>45917</v>
      </c>
      <c r="C4362">
        <v>2025</v>
      </c>
      <c r="D4362" t="s">
        <v>1255</v>
      </c>
      <c r="E4362" t="s">
        <v>1623</v>
      </c>
      <c r="F4362" t="s">
        <v>37</v>
      </c>
      <c r="G4362" t="s">
        <v>45</v>
      </c>
      <c r="H4362" t="s">
        <v>28</v>
      </c>
      <c r="I4362" t="s">
        <v>29</v>
      </c>
      <c r="J4362" t="s">
        <v>35</v>
      </c>
      <c r="K4362" s="2">
        <v>6250</v>
      </c>
      <c r="L4362" s="2">
        <v>15000</v>
      </c>
      <c r="M4362">
        <v>60</v>
      </c>
      <c r="N4362" s="3">
        <v>0.28499999999999998</v>
      </c>
      <c r="O4362" t="s">
        <v>16</v>
      </c>
      <c r="Q4362">
        <v>1</v>
      </c>
      <c r="R4362">
        <v>0</v>
      </c>
      <c r="S4362" s="2">
        <v>15000</v>
      </c>
      <c r="T4362" s="4">
        <v>0.1275</v>
      </c>
      <c r="U4362">
        <v>1</v>
      </c>
      <c r="V4362">
        <v>1</v>
      </c>
      <c r="W4362">
        <v>1</v>
      </c>
    </row>
    <row r="4363" spans="1:23" ht="16.5" x14ac:dyDescent="0.3">
      <c r="A4363" t="s">
        <v>4427</v>
      </c>
      <c r="B4363" s="1">
        <v>45917</v>
      </c>
      <c r="C4363">
        <v>2025</v>
      </c>
      <c r="D4363" t="s">
        <v>1255</v>
      </c>
      <c r="E4363" t="s">
        <v>1623</v>
      </c>
      <c r="F4363" t="s">
        <v>41</v>
      </c>
      <c r="G4363" t="s">
        <v>27</v>
      </c>
      <c r="H4363" t="s">
        <v>38</v>
      </c>
      <c r="I4363" t="s">
        <v>42</v>
      </c>
      <c r="J4363" t="s">
        <v>52</v>
      </c>
      <c r="K4363" s="2">
        <v>7050</v>
      </c>
      <c r="L4363" s="2">
        <v>89000</v>
      </c>
      <c r="M4363">
        <v>12</v>
      </c>
      <c r="N4363" s="3">
        <v>1.2789999999999999</v>
      </c>
      <c r="O4363" t="s">
        <v>16</v>
      </c>
      <c r="Q4363">
        <v>1</v>
      </c>
      <c r="R4363">
        <v>0</v>
      </c>
      <c r="S4363" s="2">
        <v>89000</v>
      </c>
      <c r="T4363" s="4">
        <v>9.6500000000000002E-2</v>
      </c>
      <c r="U4363">
        <v>14</v>
      </c>
      <c r="V4363">
        <v>0</v>
      </c>
      <c r="W4363">
        <v>1</v>
      </c>
    </row>
    <row r="4364" spans="1:23" ht="16.5" x14ac:dyDescent="0.3">
      <c r="A4364" t="s">
        <v>4428</v>
      </c>
      <c r="B4364" s="1">
        <v>45917</v>
      </c>
      <c r="C4364">
        <v>2025</v>
      </c>
      <c r="D4364" t="s">
        <v>1255</v>
      </c>
      <c r="E4364" t="s">
        <v>1623</v>
      </c>
      <c r="F4364" t="s">
        <v>50</v>
      </c>
      <c r="G4364" t="s">
        <v>51</v>
      </c>
      <c r="H4364" t="s">
        <v>38</v>
      </c>
      <c r="I4364" t="s">
        <v>29</v>
      </c>
      <c r="J4364" t="s">
        <v>30</v>
      </c>
      <c r="K4364" s="2">
        <v>5400</v>
      </c>
      <c r="L4364" s="2">
        <v>483000</v>
      </c>
      <c r="M4364">
        <v>180</v>
      </c>
      <c r="N4364" s="3">
        <v>0.89400000000000002</v>
      </c>
      <c r="O4364" t="s">
        <v>17</v>
      </c>
      <c r="P4364" t="s">
        <v>31</v>
      </c>
      <c r="Q4364">
        <v>0</v>
      </c>
      <c r="R4364">
        <v>1</v>
      </c>
      <c r="S4364" s="2">
        <v>0</v>
      </c>
      <c r="T4364" s="4"/>
      <c r="U4364">
        <v>13</v>
      </c>
      <c r="V4364">
        <v>1</v>
      </c>
      <c r="W4364">
        <v>1</v>
      </c>
    </row>
    <row r="4365" spans="1:23" ht="16.5" x14ac:dyDescent="0.3">
      <c r="A4365" t="s">
        <v>4429</v>
      </c>
      <c r="B4365" s="1">
        <v>45917</v>
      </c>
      <c r="C4365">
        <v>2025</v>
      </c>
      <c r="D4365" t="s">
        <v>1255</v>
      </c>
      <c r="E4365" t="s">
        <v>1623</v>
      </c>
      <c r="F4365" t="s">
        <v>26</v>
      </c>
      <c r="G4365" t="s">
        <v>27</v>
      </c>
      <c r="H4365" t="s">
        <v>55</v>
      </c>
      <c r="I4365" t="s">
        <v>29</v>
      </c>
      <c r="J4365" t="s">
        <v>43</v>
      </c>
      <c r="K4365" s="2">
        <v>8000</v>
      </c>
      <c r="L4365" s="2">
        <v>26000</v>
      </c>
      <c r="M4365">
        <v>60</v>
      </c>
      <c r="N4365" s="3">
        <v>0.30099999999999999</v>
      </c>
      <c r="O4365" t="s">
        <v>17</v>
      </c>
      <c r="P4365" t="s">
        <v>31</v>
      </c>
      <c r="Q4365">
        <v>0</v>
      </c>
      <c r="R4365">
        <v>1</v>
      </c>
      <c r="S4365" s="2">
        <v>0</v>
      </c>
      <c r="T4365" s="4"/>
      <c r="U4365">
        <v>11</v>
      </c>
      <c r="V4365">
        <v>0</v>
      </c>
      <c r="W4365">
        <v>1</v>
      </c>
    </row>
    <row r="4366" spans="1:23" ht="16.5" x14ac:dyDescent="0.3">
      <c r="A4366" t="s">
        <v>4430</v>
      </c>
      <c r="B4366" s="1">
        <v>45917</v>
      </c>
      <c r="C4366">
        <v>2025</v>
      </c>
      <c r="D4366" t="s">
        <v>1255</v>
      </c>
      <c r="E4366" t="s">
        <v>1623</v>
      </c>
      <c r="F4366" t="s">
        <v>26</v>
      </c>
      <c r="G4366" t="s">
        <v>51</v>
      </c>
      <c r="H4366" t="s">
        <v>34</v>
      </c>
      <c r="I4366" t="s">
        <v>29</v>
      </c>
      <c r="J4366" t="s">
        <v>46</v>
      </c>
      <c r="K4366" s="2">
        <v>3900</v>
      </c>
      <c r="L4366" s="2">
        <v>30000</v>
      </c>
      <c r="M4366">
        <v>48</v>
      </c>
      <c r="N4366" s="3">
        <v>0.37</v>
      </c>
      <c r="O4366" t="s">
        <v>16</v>
      </c>
      <c r="Q4366">
        <v>1</v>
      </c>
      <c r="R4366">
        <v>0</v>
      </c>
      <c r="S4366" s="2">
        <v>24000</v>
      </c>
      <c r="T4366" s="4">
        <v>6.3399999999999998E-2</v>
      </c>
      <c r="U4366">
        <v>4</v>
      </c>
      <c r="V4366">
        <v>1</v>
      </c>
      <c r="W4366">
        <v>1</v>
      </c>
    </row>
    <row r="4367" spans="1:23" ht="16.5" x14ac:dyDescent="0.3">
      <c r="A4367" t="s">
        <v>4431</v>
      </c>
      <c r="B4367" s="1">
        <v>45917</v>
      </c>
      <c r="C4367">
        <v>2025</v>
      </c>
      <c r="D4367" t="s">
        <v>1255</v>
      </c>
      <c r="E4367" t="s">
        <v>1623</v>
      </c>
      <c r="F4367" t="s">
        <v>37</v>
      </c>
      <c r="G4367" t="s">
        <v>33</v>
      </c>
      <c r="H4367" t="s">
        <v>55</v>
      </c>
      <c r="I4367" t="s">
        <v>39</v>
      </c>
      <c r="J4367" t="s">
        <v>52</v>
      </c>
      <c r="K4367" s="2">
        <v>7450</v>
      </c>
      <c r="L4367" s="2">
        <v>12000</v>
      </c>
      <c r="M4367">
        <v>36</v>
      </c>
      <c r="N4367" s="3">
        <v>0.19400000000000001</v>
      </c>
      <c r="O4367" t="s">
        <v>16</v>
      </c>
      <c r="Q4367">
        <v>1</v>
      </c>
      <c r="R4367">
        <v>0</v>
      </c>
      <c r="S4367" s="2">
        <v>12000</v>
      </c>
      <c r="T4367" s="4">
        <v>0.11559999999999999</v>
      </c>
      <c r="U4367">
        <v>2</v>
      </c>
      <c r="V4367">
        <v>1</v>
      </c>
      <c r="W4367">
        <v>1</v>
      </c>
    </row>
    <row r="4368" spans="1:23" ht="16.5" x14ac:dyDescent="0.3">
      <c r="A4368" t="s">
        <v>4432</v>
      </c>
      <c r="B4368" s="1">
        <v>45917</v>
      </c>
      <c r="C4368">
        <v>2025</v>
      </c>
      <c r="D4368" t="s">
        <v>1255</v>
      </c>
      <c r="E4368" t="s">
        <v>1623</v>
      </c>
      <c r="F4368" t="s">
        <v>37</v>
      </c>
      <c r="G4368" t="s">
        <v>51</v>
      </c>
      <c r="H4368" t="s">
        <v>34</v>
      </c>
      <c r="I4368" t="s">
        <v>42</v>
      </c>
      <c r="J4368" t="s">
        <v>52</v>
      </c>
      <c r="K4368" s="2">
        <v>7350</v>
      </c>
      <c r="L4368" s="2">
        <v>12500</v>
      </c>
      <c r="M4368">
        <v>24</v>
      </c>
      <c r="N4368" s="3">
        <v>0.28100000000000003</v>
      </c>
      <c r="O4368" t="s">
        <v>16</v>
      </c>
      <c r="Q4368">
        <v>1</v>
      </c>
      <c r="R4368">
        <v>0</v>
      </c>
      <c r="S4368" s="2">
        <v>10000</v>
      </c>
      <c r="T4368" s="4">
        <v>0.1154</v>
      </c>
      <c r="U4368">
        <v>5</v>
      </c>
      <c r="V4368">
        <v>0</v>
      </c>
      <c r="W4368">
        <v>1</v>
      </c>
    </row>
    <row r="4369" spans="1:23" ht="16.5" x14ac:dyDescent="0.3">
      <c r="A4369" t="s">
        <v>4433</v>
      </c>
      <c r="B4369" s="1">
        <v>45917</v>
      </c>
      <c r="C4369">
        <v>2025</v>
      </c>
      <c r="D4369" t="s">
        <v>1255</v>
      </c>
      <c r="E4369" t="s">
        <v>1623</v>
      </c>
      <c r="F4369" t="s">
        <v>37</v>
      </c>
      <c r="G4369" t="s">
        <v>27</v>
      </c>
      <c r="H4369" t="s">
        <v>34</v>
      </c>
      <c r="I4369" t="s">
        <v>39</v>
      </c>
      <c r="J4369" t="s">
        <v>52</v>
      </c>
      <c r="K4369" s="2">
        <v>5300</v>
      </c>
      <c r="L4369" s="2">
        <v>11500</v>
      </c>
      <c r="M4369">
        <v>60</v>
      </c>
      <c r="N4369" s="3">
        <v>0.27700000000000002</v>
      </c>
      <c r="O4369" t="s">
        <v>16</v>
      </c>
      <c r="Q4369">
        <v>1</v>
      </c>
      <c r="R4369">
        <v>0</v>
      </c>
      <c r="S4369" s="2">
        <v>9000</v>
      </c>
      <c r="T4369" s="4">
        <v>0.1153</v>
      </c>
      <c r="U4369">
        <v>4</v>
      </c>
      <c r="V4369">
        <v>0</v>
      </c>
      <c r="W4369">
        <v>1</v>
      </c>
    </row>
    <row r="4370" spans="1:23" ht="16.5" x14ac:dyDescent="0.3">
      <c r="A4370" t="s">
        <v>4434</v>
      </c>
      <c r="B4370" s="1">
        <v>45917</v>
      </c>
      <c r="C4370">
        <v>2025</v>
      </c>
      <c r="D4370" t="s">
        <v>1255</v>
      </c>
      <c r="E4370" t="s">
        <v>1623</v>
      </c>
      <c r="F4370" t="s">
        <v>37</v>
      </c>
      <c r="G4370" t="s">
        <v>45</v>
      </c>
      <c r="H4370" t="s">
        <v>64</v>
      </c>
      <c r="I4370" t="s">
        <v>29</v>
      </c>
      <c r="J4370" t="s">
        <v>35</v>
      </c>
      <c r="K4370" s="2">
        <v>6650</v>
      </c>
      <c r="L4370" s="2">
        <v>8500</v>
      </c>
      <c r="M4370">
        <v>60</v>
      </c>
      <c r="N4370" s="3">
        <v>0.13</v>
      </c>
      <c r="O4370" t="s">
        <v>16</v>
      </c>
      <c r="Q4370">
        <v>1</v>
      </c>
      <c r="R4370">
        <v>0</v>
      </c>
      <c r="S4370" s="2">
        <v>8500</v>
      </c>
      <c r="T4370" s="4">
        <v>0.12429999999999999</v>
      </c>
      <c r="U4370">
        <v>2</v>
      </c>
      <c r="V4370">
        <v>1</v>
      </c>
      <c r="W4370">
        <v>1</v>
      </c>
    </row>
    <row r="4371" spans="1:23" ht="16.5" x14ac:dyDescent="0.3">
      <c r="A4371" t="s">
        <v>4435</v>
      </c>
      <c r="B4371" s="1">
        <v>45917</v>
      </c>
      <c r="C4371">
        <v>2025</v>
      </c>
      <c r="D4371" t="s">
        <v>1255</v>
      </c>
      <c r="E4371" t="s">
        <v>1623</v>
      </c>
      <c r="F4371" t="s">
        <v>26</v>
      </c>
      <c r="G4371" t="s">
        <v>27</v>
      </c>
      <c r="H4371" t="s">
        <v>28</v>
      </c>
      <c r="I4371" t="s">
        <v>42</v>
      </c>
      <c r="J4371" t="s">
        <v>52</v>
      </c>
      <c r="K4371" s="2">
        <v>5650</v>
      </c>
      <c r="L4371" s="2">
        <v>27500</v>
      </c>
      <c r="M4371">
        <v>60</v>
      </c>
      <c r="N4371" s="3">
        <v>0.23</v>
      </c>
      <c r="O4371" t="s">
        <v>16</v>
      </c>
      <c r="Q4371">
        <v>1</v>
      </c>
      <c r="R4371">
        <v>0</v>
      </c>
      <c r="S4371" s="2">
        <v>27500</v>
      </c>
      <c r="T4371" s="4">
        <v>6.6699999999999995E-2</v>
      </c>
      <c r="U4371">
        <v>4</v>
      </c>
      <c r="V4371">
        <v>1</v>
      </c>
      <c r="W4371">
        <v>1</v>
      </c>
    </row>
    <row r="4372" spans="1:23" ht="16.5" x14ac:dyDescent="0.3">
      <c r="A4372" t="s">
        <v>4436</v>
      </c>
      <c r="B4372" s="1">
        <v>45917</v>
      </c>
      <c r="C4372">
        <v>2025</v>
      </c>
      <c r="D4372" t="s">
        <v>1255</v>
      </c>
      <c r="E4372" t="s">
        <v>1623</v>
      </c>
      <c r="F4372" t="s">
        <v>26</v>
      </c>
      <c r="G4372" t="s">
        <v>51</v>
      </c>
      <c r="H4372" t="s">
        <v>64</v>
      </c>
      <c r="I4372" t="s">
        <v>29</v>
      </c>
      <c r="J4372" t="s">
        <v>46</v>
      </c>
      <c r="K4372" s="2">
        <v>6700</v>
      </c>
      <c r="L4372" s="2">
        <v>53500</v>
      </c>
      <c r="M4372">
        <v>48</v>
      </c>
      <c r="N4372" s="3">
        <v>0.41299999999999998</v>
      </c>
      <c r="O4372" t="s">
        <v>125</v>
      </c>
      <c r="Q4372">
        <v>0</v>
      </c>
      <c r="R4372">
        <v>0</v>
      </c>
      <c r="S4372" s="2">
        <v>0</v>
      </c>
      <c r="T4372" s="4"/>
      <c r="U4372">
        <v>9</v>
      </c>
      <c r="V4372">
        <v>0</v>
      </c>
      <c r="W4372">
        <v>1</v>
      </c>
    </row>
    <row r="4373" spans="1:23" ht="16.5" x14ac:dyDescent="0.3">
      <c r="A4373" t="s">
        <v>4437</v>
      </c>
      <c r="B4373" s="1">
        <v>45917</v>
      </c>
      <c r="C4373">
        <v>2025</v>
      </c>
      <c r="D4373" t="s">
        <v>1255</v>
      </c>
      <c r="E4373" t="s">
        <v>1623</v>
      </c>
      <c r="F4373" t="s">
        <v>41</v>
      </c>
      <c r="G4373" t="s">
        <v>45</v>
      </c>
      <c r="H4373" t="s">
        <v>38</v>
      </c>
      <c r="I4373" t="s">
        <v>39</v>
      </c>
      <c r="J4373" t="s">
        <v>35</v>
      </c>
      <c r="K4373" s="2">
        <v>3300</v>
      </c>
      <c r="L4373" s="2">
        <v>103500</v>
      </c>
      <c r="M4373">
        <v>12</v>
      </c>
      <c r="N4373" s="3">
        <v>2.827</v>
      </c>
      <c r="O4373" t="s">
        <v>17</v>
      </c>
      <c r="P4373" t="s">
        <v>53</v>
      </c>
      <c r="Q4373">
        <v>0</v>
      </c>
      <c r="R4373">
        <v>1</v>
      </c>
      <c r="S4373" s="2">
        <v>0</v>
      </c>
      <c r="T4373" s="4"/>
      <c r="U4373">
        <v>6</v>
      </c>
      <c r="V4373">
        <v>1</v>
      </c>
      <c r="W4373">
        <v>1</v>
      </c>
    </row>
    <row r="4374" spans="1:23" ht="16.5" x14ac:dyDescent="0.3">
      <c r="A4374" t="s">
        <v>4438</v>
      </c>
      <c r="B4374" s="1">
        <v>45917</v>
      </c>
      <c r="C4374">
        <v>2025</v>
      </c>
      <c r="D4374" t="s">
        <v>1255</v>
      </c>
      <c r="E4374" t="s">
        <v>1623</v>
      </c>
      <c r="F4374" t="s">
        <v>41</v>
      </c>
      <c r="G4374" t="s">
        <v>33</v>
      </c>
      <c r="H4374" t="s">
        <v>34</v>
      </c>
      <c r="I4374" t="s">
        <v>29</v>
      </c>
      <c r="J4374" t="s">
        <v>43</v>
      </c>
      <c r="K4374" s="2">
        <v>7400</v>
      </c>
      <c r="L4374" s="2">
        <v>73500</v>
      </c>
      <c r="M4374">
        <v>24</v>
      </c>
      <c r="N4374" s="3">
        <v>0.55200000000000005</v>
      </c>
      <c r="O4374" t="s">
        <v>17</v>
      </c>
      <c r="P4374" t="s">
        <v>31</v>
      </c>
      <c r="Q4374">
        <v>0</v>
      </c>
      <c r="R4374">
        <v>1</v>
      </c>
      <c r="S4374" s="2">
        <v>0</v>
      </c>
      <c r="T4374" s="4"/>
      <c r="U4374">
        <v>4</v>
      </c>
      <c r="V4374">
        <v>1</v>
      </c>
      <c r="W4374">
        <v>1</v>
      </c>
    </row>
    <row r="4375" spans="1:23" ht="16.5" x14ac:dyDescent="0.3">
      <c r="A4375" t="s">
        <v>4439</v>
      </c>
      <c r="B4375" s="1">
        <v>45918</v>
      </c>
      <c r="C4375">
        <v>2025</v>
      </c>
      <c r="D4375" t="s">
        <v>1255</v>
      </c>
      <c r="E4375" t="s">
        <v>1623</v>
      </c>
      <c r="F4375" t="s">
        <v>26</v>
      </c>
      <c r="G4375" t="s">
        <v>27</v>
      </c>
      <c r="H4375" t="s">
        <v>38</v>
      </c>
      <c r="I4375" t="s">
        <v>42</v>
      </c>
      <c r="J4375" t="s">
        <v>43</v>
      </c>
      <c r="K4375" s="2">
        <v>7200</v>
      </c>
      <c r="L4375" s="2">
        <v>19000</v>
      </c>
      <c r="M4375">
        <v>60</v>
      </c>
      <c r="N4375" s="3">
        <v>0.16300000000000001</v>
      </c>
      <c r="O4375" t="s">
        <v>125</v>
      </c>
      <c r="Q4375">
        <v>0</v>
      </c>
      <c r="R4375">
        <v>0</v>
      </c>
      <c r="S4375" s="2">
        <v>0</v>
      </c>
      <c r="T4375" s="4"/>
      <c r="U4375">
        <v>11</v>
      </c>
      <c r="V4375">
        <v>0</v>
      </c>
      <c r="W4375">
        <v>1</v>
      </c>
    </row>
    <row r="4376" spans="1:23" ht="16.5" x14ac:dyDescent="0.3">
      <c r="A4376" t="s">
        <v>4440</v>
      </c>
      <c r="B4376" s="1">
        <v>45918</v>
      </c>
      <c r="C4376">
        <v>2025</v>
      </c>
      <c r="D4376" t="s">
        <v>1255</v>
      </c>
      <c r="E4376" t="s">
        <v>1623</v>
      </c>
      <c r="F4376" t="s">
        <v>26</v>
      </c>
      <c r="G4376" t="s">
        <v>51</v>
      </c>
      <c r="H4376" t="s">
        <v>64</v>
      </c>
      <c r="I4376" t="s">
        <v>39</v>
      </c>
      <c r="J4376" t="s">
        <v>30</v>
      </c>
      <c r="K4376" s="2">
        <v>7750</v>
      </c>
      <c r="L4376" s="2">
        <v>53000</v>
      </c>
      <c r="M4376">
        <v>36</v>
      </c>
      <c r="N4376" s="3">
        <v>0.33200000000000002</v>
      </c>
      <c r="O4376" t="s">
        <v>17</v>
      </c>
      <c r="P4376" t="s">
        <v>31</v>
      </c>
      <c r="Q4376">
        <v>0</v>
      </c>
      <c r="R4376">
        <v>1</v>
      </c>
      <c r="S4376" s="2">
        <v>0</v>
      </c>
      <c r="T4376" s="4"/>
      <c r="U4376">
        <v>5</v>
      </c>
      <c r="V4376">
        <v>0</v>
      </c>
      <c r="W4376">
        <v>1</v>
      </c>
    </row>
    <row r="4377" spans="1:23" ht="16.5" x14ac:dyDescent="0.3">
      <c r="A4377" t="s">
        <v>4441</v>
      </c>
      <c r="B4377" s="1">
        <v>45918</v>
      </c>
      <c r="C4377">
        <v>2025</v>
      </c>
      <c r="D4377" t="s">
        <v>1255</v>
      </c>
      <c r="E4377" t="s">
        <v>1623</v>
      </c>
      <c r="F4377" t="s">
        <v>41</v>
      </c>
      <c r="G4377" t="s">
        <v>45</v>
      </c>
      <c r="H4377" t="s">
        <v>38</v>
      </c>
      <c r="I4377" t="s">
        <v>29</v>
      </c>
      <c r="J4377" t="s">
        <v>35</v>
      </c>
      <c r="K4377" s="2">
        <v>5250</v>
      </c>
      <c r="L4377" s="2">
        <v>115000</v>
      </c>
      <c r="M4377">
        <v>36</v>
      </c>
      <c r="N4377" s="3">
        <v>0.76800000000000002</v>
      </c>
      <c r="O4377" t="s">
        <v>17</v>
      </c>
      <c r="P4377" t="s">
        <v>53</v>
      </c>
      <c r="Q4377">
        <v>0</v>
      </c>
      <c r="R4377">
        <v>1</v>
      </c>
      <c r="S4377" s="2">
        <v>0</v>
      </c>
      <c r="T4377" s="4"/>
      <c r="U4377">
        <v>3</v>
      </c>
      <c r="V4377">
        <v>1</v>
      </c>
      <c r="W4377">
        <v>1</v>
      </c>
    </row>
    <row r="4378" spans="1:23" ht="16.5" x14ac:dyDescent="0.3">
      <c r="A4378" t="s">
        <v>4442</v>
      </c>
      <c r="B4378" s="1">
        <v>45918</v>
      </c>
      <c r="C4378">
        <v>2025</v>
      </c>
      <c r="D4378" t="s">
        <v>1255</v>
      </c>
      <c r="E4378" t="s">
        <v>1623</v>
      </c>
      <c r="F4378" t="s">
        <v>37</v>
      </c>
      <c r="G4378" t="s">
        <v>45</v>
      </c>
      <c r="H4378" t="s">
        <v>38</v>
      </c>
      <c r="I4378" t="s">
        <v>29</v>
      </c>
      <c r="J4378" t="s">
        <v>30</v>
      </c>
      <c r="K4378" s="2">
        <v>7500</v>
      </c>
      <c r="L4378" s="2">
        <v>17000</v>
      </c>
      <c r="M4378">
        <v>36</v>
      </c>
      <c r="N4378" s="3">
        <v>0.27800000000000002</v>
      </c>
      <c r="O4378" t="s">
        <v>17</v>
      </c>
      <c r="P4378" t="s">
        <v>31</v>
      </c>
      <c r="Q4378">
        <v>0</v>
      </c>
      <c r="R4378">
        <v>1</v>
      </c>
      <c r="S4378" s="2">
        <v>0</v>
      </c>
      <c r="T4378" s="4"/>
      <c r="U4378">
        <v>2</v>
      </c>
      <c r="V4378">
        <v>1</v>
      </c>
      <c r="W4378">
        <v>1</v>
      </c>
    </row>
    <row r="4379" spans="1:23" ht="16.5" x14ac:dyDescent="0.3">
      <c r="A4379" t="s">
        <v>4443</v>
      </c>
      <c r="B4379" s="1">
        <v>45918</v>
      </c>
      <c r="C4379">
        <v>2025</v>
      </c>
      <c r="D4379" t="s">
        <v>1255</v>
      </c>
      <c r="E4379" t="s">
        <v>1623</v>
      </c>
      <c r="F4379" t="s">
        <v>37</v>
      </c>
      <c r="G4379" t="s">
        <v>45</v>
      </c>
      <c r="H4379" t="s">
        <v>55</v>
      </c>
      <c r="I4379" t="s">
        <v>42</v>
      </c>
      <c r="J4379" t="s">
        <v>35</v>
      </c>
      <c r="K4379" s="2">
        <v>11350</v>
      </c>
      <c r="L4379" s="2">
        <v>14000</v>
      </c>
      <c r="M4379">
        <v>36</v>
      </c>
      <c r="N4379" s="3">
        <v>0.27300000000000002</v>
      </c>
      <c r="O4379" t="s">
        <v>16</v>
      </c>
      <c r="Q4379">
        <v>1</v>
      </c>
      <c r="R4379">
        <v>0</v>
      </c>
      <c r="S4379" s="2">
        <v>12500</v>
      </c>
      <c r="T4379" s="4">
        <v>0.125</v>
      </c>
      <c r="U4379">
        <v>2</v>
      </c>
      <c r="V4379">
        <v>1</v>
      </c>
      <c r="W4379">
        <v>1</v>
      </c>
    </row>
    <row r="4380" spans="1:23" ht="16.5" x14ac:dyDescent="0.3">
      <c r="A4380" t="s">
        <v>4444</v>
      </c>
      <c r="B4380" s="1">
        <v>45918</v>
      </c>
      <c r="C4380">
        <v>2025</v>
      </c>
      <c r="D4380" t="s">
        <v>1255</v>
      </c>
      <c r="E4380" t="s">
        <v>1623</v>
      </c>
      <c r="F4380" t="s">
        <v>37</v>
      </c>
      <c r="G4380" t="s">
        <v>51</v>
      </c>
      <c r="H4380" t="s">
        <v>34</v>
      </c>
      <c r="I4380" t="s">
        <v>29</v>
      </c>
      <c r="J4380" t="s">
        <v>30</v>
      </c>
      <c r="K4380" s="2">
        <v>7450</v>
      </c>
      <c r="L4380" s="2">
        <v>21000</v>
      </c>
      <c r="M4380">
        <v>12</v>
      </c>
      <c r="N4380" s="3">
        <v>0.45</v>
      </c>
      <c r="O4380" t="s">
        <v>17</v>
      </c>
      <c r="P4380" t="s">
        <v>31</v>
      </c>
      <c r="Q4380">
        <v>0</v>
      </c>
      <c r="R4380">
        <v>1</v>
      </c>
      <c r="S4380" s="2">
        <v>0</v>
      </c>
      <c r="T4380" s="4"/>
      <c r="U4380">
        <v>5</v>
      </c>
      <c r="V4380">
        <v>0</v>
      </c>
      <c r="W4380">
        <v>1</v>
      </c>
    </row>
    <row r="4381" spans="1:23" ht="16.5" x14ac:dyDescent="0.3">
      <c r="A4381" t="s">
        <v>4445</v>
      </c>
      <c r="B4381" s="1">
        <v>45918</v>
      </c>
      <c r="C4381">
        <v>2025</v>
      </c>
      <c r="D4381" t="s">
        <v>1255</v>
      </c>
      <c r="E4381" t="s">
        <v>1623</v>
      </c>
      <c r="F4381" t="s">
        <v>26</v>
      </c>
      <c r="G4381" t="s">
        <v>33</v>
      </c>
      <c r="H4381" t="s">
        <v>55</v>
      </c>
      <c r="I4381" t="s">
        <v>29</v>
      </c>
      <c r="J4381" t="s">
        <v>35</v>
      </c>
      <c r="K4381" s="2">
        <v>4400</v>
      </c>
      <c r="L4381" s="2">
        <v>59000</v>
      </c>
      <c r="M4381">
        <v>48</v>
      </c>
      <c r="N4381" s="3">
        <v>0.503</v>
      </c>
      <c r="O4381" t="s">
        <v>16</v>
      </c>
      <c r="Q4381">
        <v>1</v>
      </c>
      <c r="R4381">
        <v>0</v>
      </c>
      <c r="S4381" s="2">
        <v>53000</v>
      </c>
      <c r="T4381" s="4">
        <v>8.4000000000000005E-2</v>
      </c>
      <c r="U4381">
        <v>2</v>
      </c>
      <c r="V4381">
        <v>1</v>
      </c>
      <c r="W4381">
        <v>1</v>
      </c>
    </row>
    <row r="4382" spans="1:23" ht="16.5" x14ac:dyDescent="0.3">
      <c r="A4382" t="s">
        <v>4446</v>
      </c>
      <c r="B4382" s="1">
        <v>45918</v>
      </c>
      <c r="C4382">
        <v>2025</v>
      </c>
      <c r="D4382" t="s">
        <v>1255</v>
      </c>
      <c r="E4382" t="s">
        <v>1623</v>
      </c>
      <c r="F4382" t="s">
        <v>26</v>
      </c>
      <c r="G4382" t="s">
        <v>33</v>
      </c>
      <c r="H4382" t="s">
        <v>34</v>
      </c>
      <c r="I4382" t="s">
        <v>29</v>
      </c>
      <c r="J4382" t="s">
        <v>35</v>
      </c>
      <c r="K4382" s="2">
        <v>13500</v>
      </c>
      <c r="L4382" s="2">
        <v>21000</v>
      </c>
      <c r="M4382">
        <v>48</v>
      </c>
      <c r="N4382" s="3">
        <v>0.122</v>
      </c>
      <c r="O4382" t="s">
        <v>16</v>
      </c>
      <c r="Q4382">
        <v>1</v>
      </c>
      <c r="R4382">
        <v>0</v>
      </c>
      <c r="S4382" s="2">
        <v>17000</v>
      </c>
      <c r="T4382" s="4">
        <v>8.0699999999999994E-2</v>
      </c>
      <c r="U4382">
        <v>2</v>
      </c>
      <c r="V4382">
        <v>1</v>
      </c>
      <c r="W4382">
        <v>1</v>
      </c>
    </row>
    <row r="4383" spans="1:23" ht="16.5" x14ac:dyDescent="0.3">
      <c r="A4383" t="s">
        <v>4447</v>
      </c>
      <c r="B4383" s="1">
        <v>45918</v>
      </c>
      <c r="C4383">
        <v>2025</v>
      </c>
      <c r="D4383" t="s">
        <v>1255</v>
      </c>
      <c r="E4383" t="s">
        <v>1623</v>
      </c>
      <c r="F4383" t="s">
        <v>26</v>
      </c>
      <c r="G4383" t="s">
        <v>45</v>
      </c>
      <c r="H4383" t="s">
        <v>55</v>
      </c>
      <c r="I4383" t="s">
        <v>39</v>
      </c>
      <c r="J4383" t="s">
        <v>35</v>
      </c>
      <c r="K4383" s="2">
        <v>10000</v>
      </c>
      <c r="L4383" s="2">
        <v>27500</v>
      </c>
      <c r="M4383">
        <v>36</v>
      </c>
      <c r="N4383" s="3">
        <v>0.32</v>
      </c>
      <c r="O4383" t="s">
        <v>16</v>
      </c>
      <c r="Q4383">
        <v>1</v>
      </c>
      <c r="R4383">
        <v>0</v>
      </c>
      <c r="S4383" s="2">
        <v>25000</v>
      </c>
      <c r="T4383" s="4">
        <v>7.7799999999999994E-2</v>
      </c>
      <c r="U4383">
        <v>2</v>
      </c>
      <c r="V4383">
        <v>1</v>
      </c>
      <c r="W4383">
        <v>1</v>
      </c>
    </row>
    <row r="4384" spans="1:23" ht="16.5" x14ac:dyDescent="0.3">
      <c r="A4384" t="s">
        <v>4448</v>
      </c>
      <c r="B4384" s="1">
        <v>45918</v>
      </c>
      <c r="C4384">
        <v>2025</v>
      </c>
      <c r="D4384" t="s">
        <v>1255</v>
      </c>
      <c r="E4384" t="s">
        <v>1623</v>
      </c>
      <c r="F4384" t="s">
        <v>37</v>
      </c>
      <c r="G4384" t="s">
        <v>27</v>
      </c>
      <c r="H4384" t="s">
        <v>34</v>
      </c>
      <c r="I4384" t="s">
        <v>39</v>
      </c>
      <c r="J4384" t="s">
        <v>35</v>
      </c>
      <c r="K4384" s="2">
        <v>4700</v>
      </c>
      <c r="L4384" s="2">
        <v>13500</v>
      </c>
      <c r="M4384">
        <v>24</v>
      </c>
      <c r="N4384" s="3">
        <v>0.32700000000000001</v>
      </c>
      <c r="O4384" t="s">
        <v>17</v>
      </c>
      <c r="P4384" t="s">
        <v>65</v>
      </c>
      <c r="Q4384">
        <v>0</v>
      </c>
      <c r="R4384">
        <v>1</v>
      </c>
      <c r="S4384" s="2">
        <v>0</v>
      </c>
      <c r="T4384" s="4"/>
      <c r="U4384">
        <v>3</v>
      </c>
      <c r="V4384">
        <v>1</v>
      </c>
      <c r="W4384">
        <v>1</v>
      </c>
    </row>
    <row r="4385" spans="1:23" ht="16.5" x14ac:dyDescent="0.3">
      <c r="A4385" t="s">
        <v>4449</v>
      </c>
      <c r="B4385" s="1">
        <v>45919</v>
      </c>
      <c r="C4385">
        <v>2025</v>
      </c>
      <c r="D4385" t="s">
        <v>1255</v>
      </c>
      <c r="E4385" t="s">
        <v>1623</v>
      </c>
      <c r="F4385" t="s">
        <v>26</v>
      </c>
      <c r="G4385" t="s">
        <v>45</v>
      </c>
      <c r="H4385" t="s">
        <v>38</v>
      </c>
      <c r="I4385" t="s">
        <v>29</v>
      </c>
      <c r="J4385" t="s">
        <v>52</v>
      </c>
      <c r="K4385" s="2">
        <v>10100</v>
      </c>
      <c r="L4385" s="2">
        <v>83500</v>
      </c>
      <c r="M4385">
        <v>60</v>
      </c>
      <c r="N4385" s="3">
        <v>0.22</v>
      </c>
      <c r="O4385" t="s">
        <v>16</v>
      </c>
      <c r="Q4385">
        <v>1</v>
      </c>
      <c r="R4385">
        <v>0</v>
      </c>
      <c r="S4385" s="2">
        <v>83500</v>
      </c>
      <c r="T4385" s="4">
        <v>7.1199999999999999E-2</v>
      </c>
      <c r="U4385">
        <v>1</v>
      </c>
      <c r="V4385">
        <v>1</v>
      </c>
      <c r="W4385">
        <v>1</v>
      </c>
    </row>
    <row r="4386" spans="1:23" ht="16.5" x14ac:dyDescent="0.3">
      <c r="A4386" t="s">
        <v>4450</v>
      </c>
      <c r="B4386" s="1">
        <v>45919</v>
      </c>
      <c r="C4386">
        <v>2025</v>
      </c>
      <c r="D4386" t="s">
        <v>1255</v>
      </c>
      <c r="E4386" t="s">
        <v>1623</v>
      </c>
      <c r="F4386" t="s">
        <v>37</v>
      </c>
      <c r="G4386" t="s">
        <v>51</v>
      </c>
      <c r="H4386" t="s">
        <v>28</v>
      </c>
      <c r="I4386" t="s">
        <v>29</v>
      </c>
      <c r="J4386" t="s">
        <v>43</v>
      </c>
      <c r="K4386" s="2">
        <v>3500</v>
      </c>
      <c r="L4386" s="2">
        <v>12500</v>
      </c>
      <c r="M4386">
        <v>48</v>
      </c>
      <c r="N4386" s="3">
        <v>0.153</v>
      </c>
      <c r="O4386" t="s">
        <v>17</v>
      </c>
      <c r="P4386" t="s">
        <v>31</v>
      </c>
      <c r="Q4386">
        <v>0</v>
      </c>
      <c r="R4386">
        <v>1</v>
      </c>
      <c r="S4386" s="2">
        <v>0</v>
      </c>
      <c r="T4386" s="4"/>
      <c r="U4386">
        <v>3</v>
      </c>
      <c r="V4386">
        <v>1</v>
      </c>
      <c r="W4386">
        <v>1</v>
      </c>
    </row>
    <row r="4387" spans="1:23" ht="16.5" x14ac:dyDescent="0.3">
      <c r="A4387" t="s">
        <v>4451</v>
      </c>
      <c r="B4387" s="1">
        <v>45919</v>
      </c>
      <c r="C4387">
        <v>2025</v>
      </c>
      <c r="D4387" t="s">
        <v>1255</v>
      </c>
      <c r="E4387" t="s">
        <v>1623</v>
      </c>
      <c r="F4387" t="s">
        <v>26</v>
      </c>
      <c r="G4387" t="s">
        <v>45</v>
      </c>
      <c r="H4387" t="s">
        <v>55</v>
      </c>
      <c r="I4387" t="s">
        <v>42</v>
      </c>
      <c r="J4387" t="s">
        <v>35</v>
      </c>
      <c r="K4387" s="2">
        <v>6550</v>
      </c>
      <c r="L4387" s="2">
        <v>29000</v>
      </c>
      <c r="M4387">
        <v>36</v>
      </c>
      <c r="N4387" s="3">
        <v>0.21199999999999999</v>
      </c>
      <c r="O4387" t="s">
        <v>17</v>
      </c>
      <c r="P4387" t="s">
        <v>31</v>
      </c>
      <c r="Q4387">
        <v>0</v>
      </c>
      <c r="R4387">
        <v>1</v>
      </c>
      <c r="S4387" s="2">
        <v>0</v>
      </c>
      <c r="T4387" s="4"/>
      <c r="U4387">
        <v>1</v>
      </c>
      <c r="V4387">
        <v>1</v>
      </c>
      <c r="W4387">
        <v>1</v>
      </c>
    </row>
    <row r="4388" spans="1:23" ht="16.5" x14ac:dyDescent="0.3">
      <c r="A4388" t="s">
        <v>4452</v>
      </c>
      <c r="B4388" s="1">
        <v>45919</v>
      </c>
      <c r="C4388">
        <v>2025</v>
      </c>
      <c r="D4388" t="s">
        <v>1255</v>
      </c>
      <c r="E4388" t="s">
        <v>1623</v>
      </c>
      <c r="F4388" t="s">
        <v>41</v>
      </c>
      <c r="G4388" t="s">
        <v>45</v>
      </c>
      <c r="H4388" t="s">
        <v>38</v>
      </c>
      <c r="I4388" t="s">
        <v>39</v>
      </c>
      <c r="J4388" t="s">
        <v>35</v>
      </c>
      <c r="K4388" s="2">
        <v>2600</v>
      </c>
      <c r="L4388" s="2">
        <v>185500</v>
      </c>
      <c r="M4388">
        <v>12</v>
      </c>
      <c r="N4388" s="3">
        <v>6.4450000000000003</v>
      </c>
      <c r="O4388" t="s">
        <v>125</v>
      </c>
      <c r="Q4388">
        <v>0</v>
      </c>
      <c r="R4388">
        <v>0</v>
      </c>
      <c r="S4388" s="2">
        <v>0</v>
      </c>
      <c r="T4388" s="4"/>
      <c r="U4388">
        <v>3</v>
      </c>
      <c r="V4388">
        <v>1</v>
      </c>
      <c r="W4388">
        <v>1</v>
      </c>
    </row>
    <row r="4389" spans="1:23" ht="16.5" x14ac:dyDescent="0.3">
      <c r="A4389" t="s">
        <v>4453</v>
      </c>
      <c r="B4389" s="1">
        <v>45919</v>
      </c>
      <c r="C4389">
        <v>2025</v>
      </c>
      <c r="D4389" t="s">
        <v>1255</v>
      </c>
      <c r="E4389" t="s">
        <v>1623</v>
      </c>
      <c r="F4389" t="s">
        <v>26</v>
      </c>
      <c r="G4389" t="s">
        <v>45</v>
      </c>
      <c r="H4389" t="s">
        <v>28</v>
      </c>
      <c r="I4389" t="s">
        <v>29</v>
      </c>
      <c r="J4389" t="s">
        <v>35</v>
      </c>
      <c r="K4389" s="2">
        <v>9250</v>
      </c>
      <c r="L4389" s="2">
        <v>40000</v>
      </c>
      <c r="M4389">
        <v>48</v>
      </c>
      <c r="N4389" s="3">
        <v>0.16200000000000001</v>
      </c>
      <c r="O4389" t="s">
        <v>16</v>
      </c>
      <c r="Q4389">
        <v>1</v>
      </c>
      <c r="R4389">
        <v>0</v>
      </c>
      <c r="S4389" s="2">
        <v>36000</v>
      </c>
      <c r="T4389" s="4">
        <v>7.8600000000000003E-2</v>
      </c>
      <c r="U4389">
        <v>2</v>
      </c>
      <c r="V4389">
        <v>1</v>
      </c>
      <c r="W4389">
        <v>1</v>
      </c>
    </row>
    <row r="4390" spans="1:23" ht="16.5" x14ac:dyDescent="0.3">
      <c r="A4390" t="s">
        <v>4454</v>
      </c>
      <c r="B4390" s="1">
        <v>45919</v>
      </c>
      <c r="C4390">
        <v>2025</v>
      </c>
      <c r="D4390" t="s">
        <v>1255</v>
      </c>
      <c r="E4390" t="s">
        <v>1623</v>
      </c>
      <c r="F4390" t="s">
        <v>41</v>
      </c>
      <c r="G4390" t="s">
        <v>33</v>
      </c>
      <c r="H4390" t="s">
        <v>38</v>
      </c>
      <c r="I4390" t="s">
        <v>29</v>
      </c>
      <c r="J4390" t="s">
        <v>35</v>
      </c>
      <c r="K4390" s="2">
        <v>6300</v>
      </c>
      <c r="L4390" s="2">
        <v>79000</v>
      </c>
      <c r="M4390">
        <v>24</v>
      </c>
      <c r="N4390" s="3">
        <v>0.70299999999999996</v>
      </c>
      <c r="O4390" t="s">
        <v>16</v>
      </c>
      <c r="Q4390">
        <v>1</v>
      </c>
      <c r="R4390">
        <v>0</v>
      </c>
      <c r="S4390" s="2">
        <v>63000</v>
      </c>
      <c r="T4390" s="4">
        <v>0.1105</v>
      </c>
      <c r="U4390">
        <v>3</v>
      </c>
      <c r="V4390">
        <v>1</v>
      </c>
      <c r="W4390">
        <v>1</v>
      </c>
    </row>
    <row r="4391" spans="1:23" ht="16.5" x14ac:dyDescent="0.3">
      <c r="A4391" t="s">
        <v>4455</v>
      </c>
      <c r="B4391" s="1">
        <v>45919</v>
      </c>
      <c r="C4391">
        <v>2025</v>
      </c>
      <c r="D4391" t="s">
        <v>1255</v>
      </c>
      <c r="E4391" t="s">
        <v>1623</v>
      </c>
      <c r="F4391" t="s">
        <v>26</v>
      </c>
      <c r="G4391" t="s">
        <v>51</v>
      </c>
      <c r="H4391" t="s">
        <v>28</v>
      </c>
      <c r="I4391" t="s">
        <v>39</v>
      </c>
      <c r="J4391" t="s">
        <v>30</v>
      </c>
      <c r="K4391" s="2">
        <v>7450</v>
      </c>
      <c r="L4391" s="2">
        <v>37500</v>
      </c>
      <c r="M4391">
        <v>36</v>
      </c>
      <c r="N4391" s="3">
        <v>0.221</v>
      </c>
      <c r="O4391" t="s">
        <v>17</v>
      </c>
      <c r="P4391" t="s">
        <v>31</v>
      </c>
      <c r="Q4391">
        <v>0</v>
      </c>
      <c r="R4391">
        <v>1</v>
      </c>
      <c r="S4391" s="2">
        <v>0</v>
      </c>
      <c r="T4391" s="4"/>
      <c r="U4391">
        <v>7</v>
      </c>
      <c r="V4391">
        <v>0</v>
      </c>
      <c r="W4391">
        <v>1</v>
      </c>
    </row>
    <row r="4392" spans="1:23" ht="16.5" x14ac:dyDescent="0.3">
      <c r="A4392" t="s">
        <v>4456</v>
      </c>
      <c r="B4392" s="1">
        <v>45919</v>
      </c>
      <c r="C4392">
        <v>2025</v>
      </c>
      <c r="D4392" t="s">
        <v>1255</v>
      </c>
      <c r="E4392" t="s">
        <v>1623</v>
      </c>
      <c r="F4392" t="s">
        <v>41</v>
      </c>
      <c r="G4392" t="s">
        <v>45</v>
      </c>
      <c r="H4392" t="s">
        <v>55</v>
      </c>
      <c r="I4392" t="s">
        <v>29</v>
      </c>
      <c r="J4392" t="s">
        <v>46</v>
      </c>
      <c r="K4392" s="2">
        <v>8950</v>
      </c>
      <c r="L4392" s="2">
        <v>142500</v>
      </c>
      <c r="M4392">
        <v>60</v>
      </c>
      <c r="N4392" s="3">
        <v>0.53500000000000003</v>
      </c>
      <c r="O4392" t="s">
        <v>125</v>
      </c>
      <c r="Q4392">
        <v>0</v>
      </c>
      <c r="R4392">
        <v>0</v>
      </c>
      <c r="S4392" s="2">
        <v>0</v>
      </c>
      <c r="T4392" s="4"/>
      <c r="U4392">
        <v>4</v>
      </c>
      <c r="V4392">
        <v>1</v>
      </c>
      <c r="W4392">
        <v>1</v>
      </c>
    </row>
    <row r="4393" spans="1:23" ht="16.5" x14ac:dyDescent="0.3">
      <c r="A4393" t="s">
        <v>4457</v>
      </c>
      <c r="B4393" s="1">
        <v>45919</v>
      </c>
      <c r="C4393">
        <v>2025</v>
      </c>
      <c r="D4393" t="s">
        <v>1255</v>
      </c>
      <c r="E4393" t="s">
        <v>1623</v>
      </c>
      <c r="F4393" t="s">
        <v>41</v>
      </c>
      <c r="G4393" t="s">
        <v>45</v>
      </c>
      <c r="H4393" t="s">
        <v>34</v>
      </c>
      <c r="I4393" t="s">
        <v>39</v>
      </c>
      <c r="J4393" t="s">
        <v>52</v>
      </c>
      <c r="K4393" s="2">
        <v>8650</v>
      </c>
      <c r="L4393" s="2">
        <v>125000</v>
      </c>
      <c r="M4393">
        <v>24</v>
      </c>
      <c r="N4393" s="3">
        <v>0.91300000000000003</v>
      </c>
      <c r="O4393" t="s">
        <v>17</v>
      </c>
      <c r="P4393" t="s">
        <v>53</v>
      </c>
      <c r="Q4393">
        <v>0</v>
      </c>
      <c r="R4393">
        <v>1</v>
      </c>
      <c r="S4393" s="2">
        <v>0</v>
      </c>
      <c r="T4393" s="4"/>
      <c r="U4393">
        <v>8</v>
      </c>
      <c r="V4393">
        <v>1</v>
      </c>
      <c r="W4393">
        <v>1</v>
      </c>
    </row>
    <row r="4394" spans="1:23" ht="16.5" x14ac:dyDescent="0.3">
      <c r="A4394" t="s">
        <v>4458</v>
      </c>
      <c r="B4394" s="1">
        <v>45919</v>
      </c>
      <c r="C4394">
        <v>2025</v>
      </c>
      <c r="D4394" t="s">
        <v>1255</v>
      </c>
      <c r="E4394" t="s">
        <v>1623</v>
      </c>
      <c r="F4394" t="s">
        <v>26</v>
      </c>
      <c r="G4394" t="s">
        <v>33</v>
      </c>
      <c r="H4394" t="s">
        <v>34</v>
      </c>
      <c r="I4394" t="s">
        <v>39</v>
      </c>
      <c r="J4394" t="s">
        <v>46</v>
      </c>
      <c r="K4394" s="2">
        <v>7100</v>
      </c>
      <c r="L4394" s="2">
        <v>23500</v>
      </c>
      <c r="M4394">
        <v>36</v>
      </c>
      <c r="N4394" s="3">
        <v>0.311</v>
      </c>
      <c r="O4394" t="s">
        <v>17</v>
      </c>
      <c r="P4394" t="s">
        <v>60</v>
      </c>
      <c r="Q4394">
        <v>0</v>
      </c>
      <c r="R4394">
        <v>1</v>
      </c>
      <c r="S4394" s="2">
        <v>0</v>
      </c>
      <c r="T4394" s="4"/>
      <c r="U4394">
        <v>7</v>
      </c>
      <c r="V4394">
        <v>0</v>
      </c>
      <c r="W4394">
        <v>1</v>
      </c>
    </row>
    <row r="4395" spans="1:23" ht="16.5" x14ac:dyDescent="0.3">
      <c r="A4395" t="s">
        <v>4459</v>
      </c>
      <c r="B4395" s="1">
        <v>45920</v>
      </c>
      <c r="C4395">
        <v>2025</v>
      </c>
      <c r="D4395" t="s">
        <v>1255</v>
      </c>
      <c r="E4395" t="s">
        <v>1623</v>
      </c>
      <c r="F4395" t="s">
        <v>37</v>
      </c>
      <c r="G4395" t="s">
        <v>51</v>
      </c>
      <c r="H4395" t="s">
        <v>38</v>
      </c>
      <c r="I4395" t="s">
        <v>39</v>
      </c>
      <c r="J4395" t="s">
        <v>52</v>
      </c>
      <c r="K4395" s="2">
        <v>11250</v>
      </c>
      <c r="L4395" s="2">
        <v>9500</v>
      </c>
      <c r="M4395">
        <v>60</v>
      </c>
      <c r="N4395" s="3">
        <v>0.14000000000000001</v>
      </c>
      <c r="O4395" t="s">
        <v>16</v>
      </c>
      <c r="Q4395">
        <v>1</v>
      </c>
      <c r="R4395">
        <v>0</v>
      </c>
      <c r="S4395" s="2">
        <v>8500</v>
      </c>
      <c r="T4395" s="4">
        <v>0.1164</v>
      </c>
      <c r="U4395">
        <v>5</v>
      </c>
      <c r="V4395">
        <v>0</v>
      </c>
      <c r="W4395">
        <v>1</v>
      </c>
    </row>
    <row r="4396" spans="1:23" ht="16.5" x14ac:dyDescent="0.3">
      <c r="A4396" t="s">
        <v>4460</v>
      </c>
      <c r="B4396" s="1">
        <v>45920</v>
      </c>
      <c r="C4396">
        <v>2025</v>
      </c>
      <c r="D4396" t="s">
        <v>1255</v>
      </c>
      <c r="E4396" t="s">
        <v>1623</v>
      </c>
      <c r="F4396" t="s">
        <v>37</v>
      </c>
      <c r="G4396" t="s">
        <v>45</v>
      </c>
      <c r="H4396" t="s">
        <v>34</v>
      </c>
      <c r="I4396" t="s">
        <v>39</v>
      </c>
      <c r="J4396" t="s">
        <v>52</v>
      </c>
      <c r="K4396" s="2">
        <v>4400</v>
      </c>
      <c r="L4396" s="2">
        <v>13500</v>
      </c>
      <c r="M4396">
        <v>60</v>
      </c>
      <c r="N4396" s="3">
        <v>0.153</v>
      </c>
      <c r="O4396" t="s">
        <v>16</v>
      </c>
      <c r="Q4396">
        <v>1</v>
      </c>
      <c r="R4396">
        <v>0</v>
      </c>
      <c r="S4396" s="2">
        <v>13500</v>
      </c>
      <c r="T4396" s="4">
        <v>0.1129</v>
      </c>
      <c r="U4396">
        <v>2</v>
      </c>
      <c r="V4396">
        <v>1</v>
      </c>
      <c r="W4396">
        <v>1</v>
      </c>
    </row>
    <row r="4397" spans="1:23" ht="16.5" x14ac:dyDescent="0.3">
      <c r="A4397" t="s">
        <v>4461</v>
      </c>
      <c r="B4397" s="1">
        <v>45920</v>
      </c>
      <c r="C4397">
        <v>2025</v>
      </c>
      <c r="D4397" t="s">
        <v>1255</v>
      </c>
      <c r="E4397" t="s">
        <v>1623</v>
      </c>
      <c r="F4397" t="s">
        <v>37</v>
      </c>
      <c r="G4397" t="s">
        <v>33</v>
      </c>
      <c r="H4397" t="s">
        <v>38</v>
      </c>
      <c r="I4397" t="s">
        <v>29</v>
      </c>
      <c r="J4397" t="s">
        <v>30</v>
      </c>
      <c r="K4397" s="2">
        <v>5150</v>
      </c>
      <c r="L4397" s="2">
        <v>5500</v>
      </c>
      <c r="M4397">
        <v>48</v>
      </c>
      <c r="N4397" s="3">
        <v>0.193</v>
      </c>
      <c r="O4397" t="s">
        <v>17</v>
      </c>
      <c r="P4397" t="s">
        <v>31</v>
      </c>
      <c r="Q4397">
        <v>0</v>
      </c>
      <c r="R4397">
        <v>1</v>
      </c>
      <c r="S4397" s="2">
        <v>0</v>
      </c>
      <c r="T4397" s="4"/>
      <c r="U4397">
        <v>2</v>
      </c>
      <c r="V4397">
        <v>1</v>
      </c>
      <c r="W4397">
        <v>1</v>
      </c>
    </row>
    <row r="4398" spans="1:23" ht="16.5" x14ac:dyDescent="0.3">
      <c r="A4398" t="s">
        <v>4462</v>
      </c>
      <c r="B4398" s="1">
        <v>45920</v>
      </c>
      <c r="C4398">
        <v>2025</v>
      </c>
      <c r="D4398" t="s">
        <v>1255</v>
      </c>
      <c r="E4398" t="s">
        <v>1623</v>
      </c>
      <c r="F4398" t="s">
        <v>26</v>
      </c>
      <c r="G4398" t="s">
        <v>45</v>
      </c>
      <c r="H4398" t="s">
        <v>55</v>
      </c>
      <c r="I4398" t="s">
        <v>29</v>
      </c>
      <c r="J4398" t="s">
        <v>30</v>
      </c>
      <c r="K4398" s="2">
        <v>5900</v>
      </c>
      <c r="L4398" s="2">
        <v>44000</v>
      </c>
      <c r="M4398">
        <v>60</v>
      </c>
      <c r="N4398" s="3">
        <v>0.20499999999999999</v>
      </c>
      <c r="O4398" t="s">
        <v>17</v>
      </c>
      <c r="P4398" t="s">
        <v>31</v>
      </c>
      <c r="Q4398">
        <v>0</v>
      </c>
      <c r="R4398">
        <v>1</v>
      </c>
      <c r="S4398" s="2">
        <v>0</v>
      </c>
      <c r="T4398" s="4"/>
      <c r="U4398">
        <v>2</v>
      </c>
      <c r="V4398">
        <v>1</v>
      </c>
      <c r="W4398">
        <v>1</v>
      </c>
    </row>
    <row r="4399" spans="1:23" ht="16.5" x14ac:dyDescent="0.3">
      <c r="A4399" t="s">
        <v>4463</v>
      </c>
      <c r="B4399" s="1">
        <v>45920</v>
      </c>
      <c r="C4399">
        <v>2025</v>
      </c>
      <c r="D4399" t="s">
        <v>1255</v>
      </c>
      <c r="E4399" t="s">
        <v>1623</v>
      </c>
      <c r="F4399" t="s">
        <v>41</v>
      </c>
      <c r="G4399" t="s">
        <v>45</v>
      </c>
      <c r="H4399" t="s">
        <v>38</v>
      </c>
      <c r="I4399" t="s">
        <v>29</v>
      </c>
      <c r="J4399" t="s">
        <v>35</v>
      </c>
      <c r="K4399" s="2">
        <v>2600</v>
      </c>
      <c r="L4399" s="2">
        <v>84000</v>
      </c>
      <c r="M4399">
        <v>24</v>
      </c>
      <c r="N4399" s="3">
        <v>1.675</v>
      </c>
      <c r="O4399" t="s">
        <v>17</v>
      </c>
      <c r="P4399" t="s">
        <v>53</v>
      </c>
      <c r="Q4399">
        <v>0</v>
      </c>
      <c r="R4399">
        <v>1</v>
      </c>
      <c r="S4399" s="2">
        <v>0</v>
      </c>
      <c r="T4399" s="4"/>
      <c r="U4399">
        <v>6</v>
      </c>
      <c r="V4399">
        <v>1</v>
      </c>
      <c r="W4399">
        <v>1</v>
      </c>
    </row>
    <row r="4400" spans="1:23" ht="16.5" x14ac:dyDescent="0.3">
      <c r="A4400" t="s">
        <v>4464</v>
      </c>
      <c r="B4400" s="1">
        <v>45920</v>
      </c>
      <c r="C4400">
        <v>2025</v>
      </c>
      <c r="D4400" t="s">
        <v>1255</v>
      </c>
      <c r="E4400" t="s">
        <v>1623</v>
      </c>
      <c r="F4400" t="s">
        <v>26</v>
      </c>
      <c r="G4400" t="s">
        <v>33</v>
      </c>
      <c r="H4400" t="s">
        <v>38</v>
      </c>
      <c r="I4400" t="s">
        <v>29</v>
      </c>
      <c r="J4400" t="s">
        <v>52</v>
      </c>
      <c r="K4400" s="2">
        <v>7350</v>
      </c>
      <c r="L4400" s="2">
        <v>41500</v>
      </c>
      <c r="M4400">
        <v>60</v>
      </c>
      <c r="N4400" s="3">
        <v>0.30499999999999999</v>
      </c>
      <c r="O4400" t="s">
        <v>16</v>
      </c>
      <c r="Q4400">
        <v>1</v>
      </c>
      <c r="R4400">
        <v>0</v>
      </c>
      <c r="S4400" s="2">
        <v>37500</v>
      </c>
      <c r="T4400" s="4">
        <v>6.7900000000000002E-2</v>
      </c>
      <c r="U4400">
        <v>1</v>
      </c>
      <c r="V4400">
        <v>1</v>
      </c>
      <c r="W4400">
        <v>1</v>
      </c>
    </row>
    <row r="4401" spans="1:23" ht="16.5" x14ac:dyDescent="0.3">
      <c r="A4401" t="s">
        <v>4465</v>
      </c>
      <c r="B4401" s="1">
        <v>45920</v>
      </c>
      <c r="C4401">
        <v>2025</v>
      </c>
      <c r="D4401" t="s">
        <v>1255</v>
      </c>
      <c r="E4401" t="s">
        <v>1623</v>
      </c>
      <c r="F4401" t="s">
        <v>37</v>
      </c>
      <c r="G4401" t="s">
        <v>51</v>
      </c>
      <c r="H4401" t="s">
        <v>34</v>
      </c>
      <c r="I4401" t="s">
        <v>29</v>
      </c>
      <c r="J4401" t="s">
        <v>35</v>
      </c>
      <c r="K4401" s="2">
        <v>5950</v>
      </c>
      <c r="L4401" s="2">
        <v>10000</v>
      </c>
      <c r="M4401">
        <v>36</v>
      </c>
      <c r="N4401" s="3">
        <v>0.246</v>
      </c>
      <c r="O4401" t="s">
        <v>17</v>
      </c>
      <c r="P4401" t="s">
        <v>65</v>
      </c>
      <c r="Q4401">
        <v>0</v>
      </c>
      <c r="R4401">
        <v>1</v>
      </c>
      <c r="S4401" s="2">
        <v>0</v>
      </c>
      <c r="T4401" s="4"/>
      <c r="U4401">
        <v>4</v>
      </c>
      <c r="V4401">
        <v>0</v>
      </c>
      <c r="W4401">
        <v>1</v>
      </c>
    </row>
    <row r="4402" spans="1:23" ht="16.5" x14ac:dyDescent="0.3">
      <c r="A4402" t="s">
        <v>4466</v>
      </c>
      <c r="B4402" s="1">
        <v>45920</v>
      </c>
      <c r="C4402">
        <v>2025</v>
      </c>
      <c r="D4402" t="s">
        <v>1255</v>
      </c>
      <c r="E4402" t="s">
        <v>1623</v>
      </c>
      <c r="F4402" t="s">
        <v>26</v>
      </c>
      <c r="G4402" t="s">
        <v>45</v>
      </c>
      <c r="H4402" t="s">
        <v>55</v>
      </c>
      <c r="I4402" t="s">
        <v>39</v>
      </c>
      <c r="J4402" t="s">
        <v>35</v>
      </c>
      <c r="K4402" s="2">
        <v>8300</v>
      </c>
      <c r="L4402" s="2">
        <v>23000</v>
      </c>
      <c r="M4402">
        <v>48</v>
      </c>
      <c r="N4402" s="3">
        <v>0.17899999999999999</v>
      </c>
      <c r="O4402" t="s">
        <v>16</v>
      </c>
      <c r="Q4402">
        <v>1</v>
      </c>
      <c r="R4402">
        <v>0</v>
      </c>
      <c r="S4402" s="2">
        <v>23000</v>
      </c>
      <c r="T4402" s="4">
        <v>8.0699999999999994E-2</v>
      </c>
      <c r="U4402">
        <v>2</v>
      </c>
      <c r="V4402">
        <v>1</v>
      </c>
      <c r="W4402">
        <v>1</v>
      </c>
    </row>
    <row r="4403" spans="1:23" ht="16.5" x14ac:dyDescent="0.3">
      <c r="A4403" t="s">
        <v>4467</v>
      </c>
      <c r="B4403" s="1">
        <v>45920</v>
      </c>
      <c r="C4403">
        <v>2025</v>
      </c>
      <c r="D4403" t="s">
        <v>1255</v>
      </c>
      <c r="E4403" t="s">
        <v>1623</v>
      </c>
      <c r="F4403" t="s">
        <v>37</v>
      </c>
      <c r="G4403" t="s">
        <v>33</v>
      </c>
      <c r="H4403" t="s">
        <v>28</v>
      </c>
      <c r="I4403" t="s">
        <v>29</v>
      </c>
      <c r="J4403" t="s">
        <v>35</v>
      </c>
      <c r="K4403" s="2">
        <v>4750</v>
      </c>
      <c r="L4403" s="2">
        <v>7500</v>
      </c>
      <c r="M4403">
        <v>48</v>
      </c>
      <c r="N4403" s="3">
        <v>0.125</v>
      </c>
      <c r="O4403" t="s">
        <v>16</v>
      </c>
      <c r="Q4403">
        <v>1</v>
      </c>
      <c r="R4403">
        <v>0</v>
      </c>
      <c r="S4403" s="2">
        <v>7500</v>
      </c>
      <c r="T4403" s="4">
        <v>0.1237</v>
      </c>
      <c r="U4403">
        <v>4</v>
      </c>
      <c r="V4403">
        <v>0</v>
      </c>
      <c r="W4403">
        <v>1</v>
      </c>
    </row>
    <row r="4404" spans="1:23" ht="16.5" x14ac:dyDescent="0.3">
      <c r="A4404" t="s">
        <v>4468</v>
      </c>
      <c r="B4404" s="1">
        <v>45921</v>
      </c>
      <c r="C4404">
        <v>2025</v>
      </c>
      <c r="D4404" t="s">
        <v>1255</v>
      </c>
      <c r="E4404" t="s">
        <v>1623</v>
      </c>
      <c r="F4404" t="s">
        <v>37</v>
      </c>
      <c r="G4404" t="s">
        <v>51</v>
      </c>
      <c r="H4404" t="s">
        <v>38</v>
      </c>
      <c r="I4404" t="s">
        <v>39</v>
      </c>
      <c r="J4404" t="s">
        <v>52</v>
      </c>
      <c r="K4404" s="2">
        <v>4100</v>
      </c>
      <c r="L4404" s="2">
        <v>11500</v>
      </c>
      <c r="M4404">
        <v>24</v>
      </c>
      <c r="N4404" s="3">
        <v>0.28499999999999998</v>
      </c>
      <c r="O4404" t="s">
        <v>16</v>
      </c>
      <c r="Q4404">
        <v>1</v>
      </c>
      <c r="R4404">
        <v>0</v>
      </c>
      <c r="S4404" s="2">
        <v>10500</v>
      </c>
      <c r="T4404" s="4">
        <v>0.11260000000000001</v>
      </c>
      <c r="U4404">
        <v>3</v>
      </c>
      <c r="V4404">
        <v>1</v>
      </c>
      <c r="W4404">
        <v>1</v>
      </c>
    </row>
    <row r="4405" spans="1:23" ht="16.5" x14ac:dyDescent="0.3">
      <c r="A4405" t="s">
        <v>4469</v>
      </c>
      <c r="B4405" s="1">
        <v>45922</v>
      </c>
      <c r="C4405">
        <v>2025</v>
      </c>
      <c r="D4405" t="s">
        <v>1255</v>
      </c>
      <c r="E4405" t="s">
        <v>1623</v>
      </c>
      <c r="F4405" t="s">
        <v>37</v>
      </c>
      <c r="G4405" t="s">
        <v>33</v>
      </c>
      <c r="H4405" t="s">
        <v>64</v>
      </c>
      <c r="I4405" t="s">
        <v>39</v>
      </c>
      <c r="J4405" t="s">
        <v>43</v>
      </c>
      <c r="K4405" s="2">
        <v>4350</v>
      </c>
      <c r="L4405" s="2">
        <v>8500</v>
      </c>
      <c r="M4405">
        <v>48</v>
      </c>
      <c r="N4405" s="3">
        <v>0.182</v>
      </c>
      <c r="O4405" t="s">
        <v>17</v>
      </c>
      <c r="P4405" t="s">
        <v>31</v>
      </c>
      <c r="Q4405">
        <v>0</v>
      </c>
      <c r="R4405">
        <v>1</v>
      </c>
      <c r="S4405" s="2">
        <v>0</v>
      </c>
      <c r="T4405" s="4"/>
      <c r="U4405">
        <v>1</v>
      </c>
      <c r="V4405">
        <v>1</v>
      </c>
      <c r="W4405">
        <v>1</v>
      </c>
    </row>
    <row r="4406" spans="1:23" ht="16.5" x14ac:dyDescent="0.3">
      <c r="A4406" t="s">
        <v>4470</v>
      </c>
      <c r="B4406" s="1">
        <v>45922</v>
      </c>
      <c r="C4406">
        <v>2025</v>
      </c>
      <c r="D4406" t="s">
        <v>1255</v>
      </c>
      <c r="E4406" t="s">
        <v>1623</v>
      </c>
      <c r="F4406" t="s">
        <v>26</v>
      </c>
      <c r="G4406" t="s">
        <v>45</v>
      </c>
      <c r="H4406" t="s">
        <v>55</v>
      </c>
      <c r="I4406" t="s">
        <v>42</v>
      </c>
      <c r="J4406" t="s">
        <v>35</v>
      </c>
      <c r="K4406" s="2">
        <v>10550</v>
      </c>
      <c r="L4406" s="2">
        <v>65000</v>
      </c>
      <c r="M4406">
        <v>36</v>
      </c>
      <c r="N4406" s="3">
        <v>0.33600000000000002</v>
      </c>
      <c r="O4406" t="s">
        <v>16</v>
      </c>
      <c r="Q4406">
        <v>1</v>
      </c>
      <c r="R4406">
        <v>0</v>
      </c>
      <c r="S4406" s="2">
        <v>58500</v>
      </c>
      <c r="T4406" s="4">
        <v>8.2299999999999998E-2</v>
      </c>
      <c r="U4406">
        <v>2</v>
      </c>
      <c r="V4406">
        <v>1</v>
      </c>
      <c r="W4406">
        <v>1</v>
      </c>
    </row>
    <row r="4407" spans="1:23" ht="16.5" x14ac:dyDescent="0.3">
      <c r="A4407" t="s">
        <v>4471</v>
      </c>
      <c r="B4407" s="1">
        <v>45922</v>
      </c>
      <c r="C4407">
        <v>2025</v>
      </c>
      <c r="D4407" t="s">
        <v>1255</v>
      </c>
      <c r="E4407" t="s">
        <v>1623</v>
      </c>
      <c r="F4407" t="s">
        <v>26</v>
      </c>
      <c r="G4407" t="s">
        <v>45</v>
      </c>
      <c r="H4407" t="s">
        <v>38</v>
      </c>
      <c r="I4407" t="s">
        <v>39</v>
      </c>
      <c r="J4407" t="s">
        <v>30</v>
      </c>
      <c r="K4407" s="2">
        <v>8800</v>
      </c>
      <c r="L4407" s="2">
        <v>49000</v>
      </c>
      <c r="M4407">
        <v>36</v>
      </c>
      <c r="N4407" s="3">
        <v>0.309</v>
      </c>
      <c r="O4407" t="s">
        <v>17</v>
      </c>
      <c r="P4407" t="s">
        <v>65</v>
      </c>
      <c r="Q4407">
        <v>0</v>
      </c>
      <c r="R4407">
        <v>1</v>
      </c>
      <c r="S4407" s="2">
        <v>0</v>
      </c>
      <c r="T4407" s="4"/>
      <c r="U4407">
        <v>2</v>
      </c>
      <c r="V4407">
        <v>1</v>
      </c>
      <c r="W4407">
        <v>1</v>
      </c>
    </row>
    <row r="4408" spans="1:23" ht="16.5" x14ac:dyDescent="0.3">
      <c r="A4408" t="s">
        <v>4472</v>
      </c>
      <c r="B4408" s="1">
        <v>45922</v>
      </c>
      <c r="C4408">
        <v>2025</v>
      </c>
      <c r="D4408" t="s">
        <v>1255</v>
      </c>
      <c r="E4408" t="s">
        <v>1623</v>
      </c>
      <c r="F4408" t="s">
        <v>37</v>
      </c>
      <c r="G4408" t="s">
        <v>51</v>
      </c>
      <c r="H4408" t="s">
        <v>38</v>
      </c>
      <c r="I4408" t="s">
        <v>39</v>
      </c>
      <c r="J4408" t="s">
        <v>30</v>
      </c>
      <c r="K4408" s="2">
        <v>4000</v>
      </c>
      <c r="L4408" s="2">
        <v>4500</v>
      </c>
      <c r="M4408">
        <v>60</v>
      </c>
      <c r="N4408" s="3">
        <v>0.18</v>
      </c>
      <c r="O4408" t="s">
        <v>16</v>
      </c>
      <c r="Q4408">
        <v>1</v>
      </c>
      <c r="R4408">
        <v>0</v>
      </c>
      <c r="S4408" s="2">
        <v>3500</v>
      </c>
      <c r="T4408" s="4">
        <v>0.1371</v>
      </c>
      <c r="U4408">
        <v>4</v>
      </c>
      <c r="V4408">
        <v>0</v>
      </c>
      <c r="W4408">
        <v>1</v>
      </c>
    </row>
    <row r="4409" spans="1:23" ht="16.5" x14ac:dyDescent="0.3">
      <c r="A4409" t="s">
        <v>4473</v>
      </c>
      <c r="B4409" s="1">
        <v>45922</v>
      </c>
      <c r="C4409">
        <v>2025</v>
      </c>
      <c r="D4409" t="s">
        <v>1255</v>
      </c>
      <c r="E4409" t="s">
        <v>1623</v>
      </c>
      <c r="F4409" t="s">
        <v>41</v>
      </c>
      <c r="G4409" t="s">
        <v>33</v>
      </c>
      <c r="H4409" t="s">
        <v>55</v>
      </c>
      <c r="I4409" t="s">
        <v>42</v>
      </c>
      <c r="J4409" t="s">
        <v>35</v>
      </c>
      <c r="K4409" s="2">
        <v>4850</v>
      </c>
      <c r="L4409" s="2">
        <v>92500</v>
      </c>
      <c r="M4409">
        <v>24</v>
      </c>
      <c r="N4409" s="3">
        <v>0.94599999999999995</v>
      </c>
      <c r="O4409" t="s">
        <v>16</v>
      </c>
      <c r="Q4409">
        <v>1</v>
      </c>
      <c r="R4409">
        <v>0</v>
      </c>
      <c r="S4409" s="2">
        <v>92500</v>
      </c>
      <c r="T4409" s="4">
        <v>0.1055</v>
      </c>
      <c r="U4409">
        <v>3</v>
      </c>
      <c r="V4409">
        <v>1</v>
      </c>
      <c r="W4409">
        <v>1</v>
      </c>
    </row>
    <row r="4410" spans="1:23" ht="16.5" x14ac:dyDescent="0.3">
      <c r="A4410" t="s">
        <v>4474</v>
      </c>
      <c r="B4410" s="1">
        <v>45922</v>
      </c>
      <c r="C4410">
        <v>2025</v>
      </c>
      <c r="D4410" t="s">
        <v>1255</v>
      </c>
      <c r="E4410" t="s">
        <v>1623</v>
      </c>
      <c r="F4410" t="s">
        <v>37</v>
      </c>
      <c r="G4410" t="s">
        <v>51</v>
      </c>
      <c r="H4410" t="s">
        <v>34</v>
      </c>
      <c r="I4410" t="s">
        <v>39</v>
      </c>
      <c r="J4410" t="s">
        <v>30</v>
      </c>
      <c r="K4410" s="2">
        <v>6750</v>
      </c>
      <c r="L4410" s="2">
        <v>26000</v>
      </c>
      <c r="M4410">
        <v>60</v>
      </c>
      <c r="N4410" s="3">
        <v>0.32800000000000001</v>
      </c>
      <c r="O4410" t="s">
        <v>16</v>
      </c>
      <c r="Q4410">
        <v>1</v>
      </c>
      <c r="R4410">
        <v>0</v>
      </c>
      <c r="S4410" s="2">
        <v>23500</v>
      </c>
      <c r="T4410" s="4">
        <v>0.14130000000000001</v>
      </c>
      <c r="U4410">
        <v>5</v>
      </c>
      <c r="V4410">
        <v>0</v>
      </c>
      <c r="W4410">
        <v>1</v>
      </c>
    </row>
    <row r="4411" spans="1:23" ht="16.5" x14ac:dyDescent="0.3">
      <c r="A4411" t="s">
        <v>4475</v>
      </c>
      <c r="B4411" s="1">
        <v>45922</v>
      </c>
      <c r="C4411">
        <v>2025</v>
      </c>
      <c r="D4411" t="s">
        <v>1255</v>
      </c>
      <c r="E4411" t="s">
        <v>1623</v>
      </c>
      <c r="F4411" t="s">
        <v>50</v>
      </c>
      <c r="G4411" t="s">
        <v>45</v>
      </c>
      <c r="H4411" t="s">
        <v>55</v>
      </c>
      <c r="I4411" t="s">
        <v>29</v>
      </c>
      <c r="J4411" t="s">
        <v>43</v>
      </c>
      <c r="K4411" s="2">
        <v>3550</v>
      </c>
      <c r="L4411" s="2">
        <v>146000</v>
      </c>
      <c r="M4411">
        <v>240</v>
      </c>
      <c r="N4411" s="3">
        <v>0.35599999999999998</v>
      </c>
      <c r="O4411" t="s">
        <v>17</v>
      </c>
      <c r="P4411" t="s">
        <v>31</v>
      </c>
      <c r="Q4411">
        <v>0</v>
      </c>
      <c r="R4411">
        <v>1</v>
      </c>
      <c r="S4411" s="2">
        <v>0</v>
      </c>
      <c r="T4411" s="4"/>
      <c r="U4411">
        <v>7</v>
      </c>
      <c r="V4411">
        <v>1</v>
      </c>
      <c r="W4411">
        <v>1</v>
      </c>
    </row>
    <row r="4412" spans="1:23" ht="16.5" x14ac:dyDescent="0.3">
      <c r="A4412" t="s">
        <v>4476</v>
      </c>
      <c r="B4412" s="1">
        <v>45922</v>
      </c>
      <c r="C4412">
        <v>2025</v>
      </c>
      <c r="D4412" t="s">
        <v>1255</v>
      </c>
      <c r="E4412" t="s">
        <v>1623</v>
      </c>
      <c r="F4412" t="s">
        <v>26</v>
      </c>
      <c r="G4412" t="s">
        <v>33</v>
      </c>
      <c r="H4412" t="s">
        <v>38</v>
      </c>
      <c r="I4412" t="s">
        <v>39</v>
      </c>
      <c r="J4412" t="s">
        <v>46</v>
      </c>
      <c r="K4412" s="2">
        <v>3150</v>
      </c>
      <c r="L4412" s="2">
        <v>21500</v>
      </c>
      <c r="M4412">
        <v>60</v>
      </c>
      <c r="N4412" s="3">
        <v>0.29399999999999998</v>
      </c>
      <c r="O4412" t="s">
        <v>16</v>
      </c>
      <c r="Q4412">
        <v>1</v>
      </c>
      <c r="R4412">
        <v>0</v>
      </c>
      <c r="S4412" s="2">
        <v>19500</v>
      </c>
      <c r="T4412" s="4">
        <v>6.7599999999999993E-2</v>
      </c>
      <c r="U4412">
        <v>1</v>
      </c>
      <c r="V4412">
        <v>1</v>
      </c>
      <c r="W4412">
        <v>1</v>
      </c>
    </row>
    <row r="4413" spans="1:23" ht="16.5" x14ac:dyDescent="0.3">
      <c r="A4413" t="s">
        <v>4477</v>
      </c>
      <c r="B4413" s="1">
        <v>45923</v>
      </c>
      <c r="C4413">
        <v>2025</v>
      </c>
      <c r="D4413" t="s">
        <v>1255</v>
      </c>
      <c r="E4413" t="s">
        <v>1623</v>
      </c>
      <c r="F4413" t="s">
        <v>37</v>
      </c>
      <c r="G4413" t="s">
        <v>33</v>
      </c>
      <c r="H4413" t="s">
        <v>34</v>
      </c>
      <c r="I4413" t="s">
        <v>29</v>
      </c>
      <c r="J4413" t="s">
        <v>35</v>
      </c>
      <c r="K4413" s="2">
        <v>3800</v>
      </c>
      <c r="L4413" s="2">
        <v>8000</v>
      </c>
      <c r="M4413">
        <v>60</v>
      </c>
      <c r="N4413" s="3">
        <v>0.26700000000000002</v>
      </c>
      <c r="O4413" t="s">
        <v>17</v>
      </c>
      <c r="P4413" t="s">
        <v>31</v>
      </c>
      <c r="Q4413">
        <v>0</v>
      </c>
      <c r="R4413">
        <v>1</v>
      </c>
      <c r="S4413" s="2">
        <v>0</v>
      </c>
      <c r="T4413" s="4"/>
      <c r="U4413">
        <v>1</v>
      </c>
      <c r="V4413">
        <v>1</v>
      </c>
      <c r="W4413">
        <v>1</v>
      </c>
    </row>
    <row r="4414" spans="1:23" ht="16.5" x14ac:dyDescent="0.3">
      <c r="A4414" t="s">
        <v>4478</v>
      </c>
      <c r="B4414" s="1">
        <v>45923</v>
      </c>
      <c r="C4414">
        <v>2025</v>
      </c>
      <c r="D4414" t="s">
        <v>1255</v>
      </c>
      <c r="E4414" t="s">
        <v>1623</v>
      </c>
      <c r="F4414" t="s">
        <v>37</v>
      </c>
      <c r="G4414" t="s">
        <v>51</v>
      </c>
      <c r="H4414" t="s">
        <v>55</v>
      </c>
      <c r="I4414" t="s">
        <v>29</v>
      </c>
      <c r="J4414" t="s">
        <v>35</v>
      </c>
      <c r="K4414" s="2">
        <v>2750</v>
      </c>
      <c r="L4414" s="2">
        <v>10500</v>
      </c>
      <c r="M4414">
        <v>24</v>
      </c>
      <c r="N4414" s="3">
        <v>0.24199999999999999</v>
      </c>
      <c r="O4414" t="s">
        <v>16</v>
      </c>
      <c r="Q4414">
        <v>1</v>
      </c>
      <c r="R4414">
        <v>0</v>
      </c>
      <c r="S4414" s="2">
        <v>10500</v>
      </c>
      <c r="T4414" s="4">
        <v>0.1221</v>
      </c>
      <c r="U4414">
        <v>6</v>
      </c>
      <c r="V4414">
        <v>0</v>
      </c>
      <c r="W4414">
        <v>1</v>
      </c>
    </row>
    <row r="4415" spans="1:23" ht="16.5" x14ac:dyDescent="0.3">
      <c r="A4415" t="s">
        <v>4479</v>
      </c>
      <c r="B4415" s="1">
        <v>45923</v>
      </c>
      <c r="C4415">
        <v>2025</v>
      </c>
      <c r="D4415" t="s">
        <v>1255</v>
      </c>
      <c r="E4415" t="s">
        <v>1623</v>
      </c>
      <c r="F4415" t="s">
        <v>37</v>
      </c>
      <c r="G4415" t="s">
        <v>51</v>
      </c>
      <c r="H4415" t="s">
        <v>64</v>
      </c>
      <c r="I4415" t="s">
        <v>29</v>
      </c>
      <c r="J4415" t="s">
        <v>52</v>
      </c>
      <c r="K4415" s="2">
        <v>7300</v>
      </c>
      <c r="L4415" s="2">
        <v>8500</v>
      </c>
      <c r="M4415">
        <v>12</v>
      </c>
      <c r="N4415" s="3">
        <v>0.311</v>
      </c>
      <c r="O4415" t="s">
        <v>16</v>
      </c>
      <c r="Q4415">
        <v>1</v>
      </c>
      <c r="R4415">
        <v>0</v>
      </c>
      <c r="S4415" s="2">
        <v>7000</v>
      </c>
      <c r="T4415" s="4">
        <v>0.1168</v>
      </c>
      <c r="U4415">
        <v>4</v>
      </c>
      <c r="V4415">
        <v>0</v>
      </c>
      <c r="W4415">
        <v>1</v>
      </c>
    </row>
    <row r="4416" spans="1:23" ht="16.5" x14ac:dyDescent="0.3">
      <c r="A4416" t="s">
        <v>4480</v>
      </c>
      <c r="B4416" s="1">
        <v>45923</v>
      </c>
      <c r="C4416">
        <v>2025</v>
      </c>
      <c r="D4416" t="s">
        <v>1255</v>
      </c>
      <c r="E4416" t="s">
        <v>1623</v>
      </c>
      <c r="F4416" t="s">
        <v>41</v>
      </c>
      <c r="G4416" t="s">
        <v>33</v>
      </c>
      <c r="H4416" t="s">
        <v>38</v>
      </c>
      <c r="I4416" t="s">
        <v>39</v>
      </c>
      <c r="J4416" t="s">
        <v>35</v>
      </c>
      <c r="K4416" s="2">
        <v>3950</v>
      </c>
      <c r="L4416" s="2">
        <v>179000</v>
      </c>
      <c r="M4416">
        <v>24</v>
      </c>
      <c r="N4416" s="3">
        <v>2.2200000000000002</v>
      </c>
      <c r="O4416" t="s">
        <v>17</v>
      </c>
      <c r="P4416" t="s">
        <v>53</v>
      </c>
      <c r="Q4416">
        <v>0</v>
      </c>
      <c r="R4416">
        <v>1</v>
      </c>
      <c r="S4416" s="2">
        <v>0</v>
      </c>
      <c r="T4416" s="4"/>
      <c r="U4416">
        <v>6</v>
      </c>
      <c r="V4416">
        <v>1</v>
      </c>
      <c r="W4416">
        <v>1</v>
      </c>
    </row>
    <row r="4417" spans="1:23" ht="16.5" x14ac:dyDescent="0.3">
      <c r="A4417" t="s">
        <v>4481</v>
      </c>
      <c r="B4417" s="1">
        <v>45923</v>
      </c>
      <c r="C4417">
        <v>2025</v>
      </c>
      <c r="D4417" t="s">
        <v>1255</v>
      </c>
      <c r="E4417" t="s">
        <v>1623</v>
      </c>
      <c r="F4417" t="s">
        <v>50</v>
      </c>
      <c r="G4417" t="s">
        <v>27</v>
      </c>
      <c r="H4417" t="s">
        <v>38</v>
      </c>
      <c r="I4417" t="s">
        <v>29</v>
      </c>
      <c r="J4417" t="s">
        <v>52</v>
      </c>
      <c r="K4417" s="2">
        <v>4700</v>
      </c>
      <c r="L4417" s="2">
        <v>221000</v>
      </c>
      <c r="M4417">
        <v>180</v>
      </c>
      <c r="N4417" s="3">
        <v>0.54900000000000004</v>
      </c>
      <c r="O4417" t="s">
        <v>17</v>
      </c>
      <c r="P4417" t="s">
        <v>53</v>
      </c>
      <c r="Q4417">
        <v>0</v>
      </c>
      <c r="R4417">
        <v>1</v>
      </c>
      <c r="S4417" s="2">
        <v>0</v>
      </c>
      <c r="T4417" s="4"/>
      <c r="U4417">
        <v>13</v>
      </c>
      <c r="V4417">
        <v>1</v>
      </c>
      <c r="W4417">
        <v>1</v>
      </c>
    </row>
    <row r="4418" spans="1:23" ht="16.5" x14ac:dyDescent="0.3">
      <c r="A4418" t="s">
        <v>4482</v>
      </c>
      <c r="B4418" s="1">
        <v>45923</v>
      </c>
      <c r="C4418">
        <v>2025</v>
      </c>
      <c r="D4418" t="s">
        <v>1255</v>
      </c>
      <c r="E4418" t="s">
        <v>1623</v>
      </c>
      <c r="F4418" t="s">
        <v>37</v>
      </c>
      <c r="G4418" t="s">
        <v>45</v>
      </c>
      <c r="H4418" t="s">
        <v>38</v>
      </c>
      <c r="I4418" t="s">
        <v>29</v>
      </c>
      <c r="J4418" t="s">
        <v>35</v>
      </c>
      <c r="K4418" s="2">
        <v>4950</v>
      </c>
      <c r="L4418" s="2">
        <v>4000</v>
      </c>
      <c r="M4418">
        <v>24</v>
      </c>
      <c r="N4418" s="3">
        <v>0.189</v>
      </c>
      <c r="O4418" t="s">
        <v>17</v>
      </c>
      <c r="P4418" t="s">
        <v>31</v>
      </c>
      <c r="Q4418">
        <v>0</v>
      </c>
      <c r="R4418">
        <v>1</v>
      </c>
      <c r="S4418" s="2">
        <v>0</v>
      </c>
      <c r="T4418" s="4"/>
      <c r="U4418">
        <v>3</v>
      </c>
      <c r="V4418">
        <v>1</v>
      </c>
      <c r="W4418">
        <v>1</v>
      </c>
    </row>
    <row r="4419" spans="1:23" ht="16.5" x14ac:dyDescent="0.3">
      <c r="A4419" t="s">
        <v>4483</v>
      </c>
      <c r="B4419" s="1">
        <v>45923</v>
      </c>
      <c r="C4419">
        <v>2025</v>
      </c>
      <c r="D4419" t="s">
        <v>1255</v>
      </c>
      <c r="E4419" t="s">
        <v>1623</v>
      </c>
      <c r="F4419" t="s">
        <v>41</v>
      </c>
      <c r="G4419" t="s">
        <v>45</v>
      </c>
      <c r="H4419" t="s">
        <v>38</v>
      </c>
      <c r="I4419" t="s">
        <v>42</v>
      </c>
      <c r="J4419" t="s">
        <v>30</v>
      </c>
      <c r="K4419" s="2">
        <v>4200</v>
      </c>
      <c r="L4419" s="2">
        <v>78500</v>
      </c>
      <c r="M4419">
        <v>36</v>
      </c>
      <c r="N4419" s="3">
        <v>0.73699999999999999</v>
      </c>
      <c r="O4419" t="s">
        <v>17</v>
      </c>
      <c r="P4419" t="s">
        <v>31</v>
      </c>
      <c r="Q4419">
        <v>0</v>
      </c>
      <c r="R4419">
        <v>1</v>
      </c>
      <c r="S4419" s="2">
        <v>0</v>
      </c>
      <c r="T4419" s="4"/>
      <c r="U4419">
        <v>6</v>
      </c>
      <c r="V4419">
        <v>1</v>
      </c>
      <c r="W4419">
        <v>1</v>
      </c>
    </row>
    <row r="4420" spans="1:23" ht="16.5" x14ac:dyDescent="0.3">
      <c r="A4420" t="s">
        <v>4484</v>
      </c>
      <c r="B4420" s="1">
        <v>45923</v>
      </c>
      <c r="C4420">
        <v>2025</v>
      </c>
      <c r="D4420" t="s">
        <v>1255</v>
      </c>
      <c r="E4420" t="s">
        <v>1623</v>
      </c>
      <c r="F4420" t="s">
        <v>37</v>
      </c>
      <c r="G4420" t="s">
        <v>33</v>
      </c>
      <c r="H4420" t="s">
        <v>55</v>
      </c>
      <c r="I4420" t="s">
        <v>29</v>
      </c>
      <c r="J4420" t="s">
        <v>46</v>
      </c>
      <c r="K4420" s="2">
        <v>4050</v>
      </c>
      <c r="L4420" s="2">
        <v>24000</v>
      </c>
      <c r="M4420">
        <v>36</v>
      </c>
      <c r="N4420" s="3">
        <v>0.30199999999999999</v>
      </c>
      <c r="O4420" t="s">
        <v>16</v>
      </c>
      <c r="Q4420">
        <v>1</v>
      </c>
      <c r="R4420">
        <v>0</v>
      </c>
      <c r="S4420" s="2">
        <v>21500</v>
      </c>
      <c r="T4420" s="4">
        <v>0.1148</v>
      </c>
      <c r="U4420">
        <v>2</v>
      </c>
      <c r="V4420">
        <v>1</v>
      </c>
      <c r="W4420">
        <v>1</v>
      </c>
    </row>
    <row r="4421" spans="1:23" ht="16.5" x14ac:dyDescent="0.3">
      <c r="A4421" t="s">
        <v>4485</v>
      </c>
      <c r="B4421" s="1">
        <v>45923</v>
      </c>
      <c r="C4421">
        <v>2025</v>
      </c>
      <c r="D4421" t="s">
        <v>1255</v>
      </c>
      <c r="E4421" t="s">
        <v>1623</v>
      </c>
      <c r="F4421" t="s">
        <v>37</v>
      </c>
      <c r="G4421" t="s">
        <v>45</v>
      </c>
      <c r="H4421" t="s">
        <v>55</v>
      </c>
      <c r="I4421" t="s">
        <v>39</v>
      </c>
      <c r="J4421" t="s">
        <v>52</v>
      </c>
      <c r="K4421" s="2">
        <v>6550</v>
      </c>
      <c r="L4421" s="2">
        <v>27000</v>
      </c>
      <c r="M4421">
        <v>60</v>
      </c>
      <c r="N4421" s="3">
        <v>0.33500000000000002</v>
      </c>
      <c r="O4421" t="s">
        <v>16</v>
      </c>
      <c r="Q4421">
        <v>1</v>
      </c>
      <c r="R4421">
        <v>0</v>
      </c>
      <c r="S4421" s="2">
        <v>24500</v>
      </c>
      <c r="T4421" s="4">
        <v>0.11409999999999999</v>
      </c>
      <c r="U4421">
        <v>3</v>
      </c>
      <c r="V4421">
        <v>1</v>
      </c>
      <c r="W4421">
        <v>1</v>
      </c>
    </row>
    <row r="4422" spans="1:23" ht="16.5" x14ac:dyDescent="0.3">
      <c r="A4422" t="s">
        <v>4486</v>
      </c>
      <c r="B4422" s="1">
        <v>45923</v>
      </c>
      <c r="C4422">
        <v>2025</v>
      </c>
      <c r="D4422" t="s">
        <v>1255</v>
      </c>
      <c r="E4422" t="s">
        <v>1623</v>
      </c>
      <c r="F4422" t="s">
        <v>41</v>
      </c>
      <c r="G4422" t="s">
        <v>33</v>
      </c>
      <c r="H4422" t="s">
        <v>28</v>
      </c>
      <c r="I4422" t="s">
        <v>29</v>
      </c>
      <c r="J4422" t="s">
        <v>35</v>
      </c>
      <c r="K4422" s="2">
        <v>5600</v>
      </c>
      <c r="L4422" s="2">
        <v>80500</v>
      </c>
      <c r="M4422">
        <v>60</v>
      </c>
      <c r="N4422" s="3">
        <v>0.55200000000000005</v>
      </c>
      <c r="O4422" t="s">
        <v>16</v>
      </c>
      <c r="Q4422">
        <v>1</v>
      </c>
      <c r="R4422">
        <v>0</v>
      </c>
      <c r="S4422" s="2">
        <v>64500</v>
      </c>
      <c r="T4422" s="4">
        <v>0.1072</v>
      </c>
      <c r="U4422">
        <v>4</v>
      </c>
      <c r="V4422">
        <v>1</v>
      </c>
      <c r="W4422">
        <v>1</v>
      </c>
    </row>
    <row r="4423" spans="1:23" ht="16.5" x14ac:dyDescent="0.3">
      <c r="A4423" t="s">
        <v>4487</v>
      </c>
      <c r="B4423" s="1">
        <v>45923</v>
      </c>
      <c r="C4423">
        <v>2025</v>
      </c>
      <c r="D4423" t="s">
        <v>1255</v>
      </c>
      <c r="E4423" t="s">
        <v>1623</v>
      </c>
      <c r="F4423" t="s">
        <v>37</v>
      </c>
      <c r="G4423" t="s">
        <v>45</v>
      </c>
      <c r="H4423" t="s">
        <v>38</v>
      </c>
      <c r="I4423" t="s">
        <v>39</v>
      </c>
      <c r="J4423" t="s">
        <v>43</v>
      </c>
      <c r="K4423" s="2">
        <v>3200</v>
      </c>
      <c r="L4423" s="2">
        <v>34000</v>
      </c>
      <c r="M4423">
        <v>36</v>
      </c>
      <c r="N4423" s="3">
        <v>0.46500000000000002</v>
      </c>
      <c r="O4423" t="s">
        <v>125</v>
      </c>
      <c r="Q4423">
        <v>0</v>
      </c>
      <c r="R4423">
        <v>0</v>
      </c>
      <c r="S4423" s="2">
        <v>0</v>
      </c>
      <c r="T4423" s="4"/>
      <c r="U4423">
        <v>1</v>
      </c>
      <c r="V4423">
        <v>1</v>
      </c>
      <c r="W4423">
        <v>1</v>
      </c>
    </row>
    <row r="4424" spans="1:23" ht="16.5" x14ac:dyDescent="0.3">
      <c r="A4424" t="s">
        <v>4488</v>
      </c>
      <c r="B4424" s="1">
        <v>45923</v>
      </c>
      <c r="C4424">
        <v>2025</v>
      </c>
      <c r="D4424" t="s">
        <v>1255</v>
      </c>
      <c r="E4424" t="s">
        <v>1623</v>
      </c>
      <c r="F4424" t="s">
        <v>26</v>
      </c>
      <c r="G4424" t="s">
        <v>27</v>
      </c>
      <c r="H4424" t="s">
        <v>55</v>
      </c>
      <c r="I4424" t="s">
        <v>29</v>
      </c>
      <c r="J4424" t="s">
        <v>35</v>
      </c>
      <c r="K4424" s="2">
        <v>5100</v>
      </c>
      <c r="L4424" s="2">
        <v>41500</v>
      </c>
      <c r="M4424">
        <v>60</v>
      </c>
      <c r="N4424" s="3">
        <v>0.38300000000000001</v>
      </c>
      <c r="O4424" t="s">
        <v>16</v>
      </c>
      <c r="Q4424">
        <v>1</v>
      </c>
      <c r="R4424">
        <v>0</v>
      </c>
      <c r="S4424" s="2">
        <v>41500</v>
      </c>
      <c r="T4424" s="4">
        <v>8.77E-2</v>
      </c>
      <c r="U4424">
        <v>5</v>
      </c>
      <c r="V4424">
        <v>0</v>
      </c>
      <c r="W4424">
        <v>1</v>
      </c>
    </row>
    <row r="4425" spans="1:23" ht="16.5" x14ac:dyDescent="0.3">
      <c r="A4425" t="s">
        <v>4489</v>
      </c>
      <c r="B4425" s="1">
        <v>45924</v>
      </c>
      <c r="C4425">
        <v>2025</v>
      </c>
      <c r="D4425" t="s">
        <v>1255</v>
      </c>
      <c r="E4425" t="s">
        <v>1623</v>
      </c>
      <c r="F4425" t="s">
        <v>41</v>
      </c>
      <c r="G4425" t="s">
        <v>51</v>
      </c>
      <c r="H4425" t="s">
        <v>38</v>
      </c>
      <c r="I4425" t="s">
        <v>39</v>
      </c>
      <c r="J4425" t="s">
        <v>52</v>
      </c>
      <c r="K4425" s="2">
        <v>10100</v>
      </c>
      <c r="L4425" s="2">
        <v>55500</v>
      </c>
      <c r="M4425">
        <v>24</v>
      </c>
      <c r="N4425" s="3">
        <v>0.45100000000000001</v>
      </c>
      <c r="O4425" t="s">
        <v>16</v>
      </c>
      <c r="Q4425">
        <v>1</v>
      </c>
      <c r="R4425">
        <v>0</v>
      </c>
      <c r="S4425" s="2">
        <v>44500</v>
      </c>
      <c r="T4425" s="4">
        <v>0.1009</v>
      </c>
      <c r="U4425">
        <v>7</v>
      </c>
      <c r="V4425">
        <v>1</v>
      </c>
      <c r="W4425">
        <v>1</v>
      </c>
    </row>
    <row r="4426" spans="1:23" ht="16.5" x14ac:dyDescent="0.3">
      <c r="A4426" t="s">
        <v>4490</v>
      </c>
      <c r="B4426" s="1">
        <v>45924</v>
      </c>
      <c r="C4426">
        <v>2025</v>
      </c>
      <c r="D4426" t="s">
        <v>1255</v>
      </c>
      <c r="E4426" t="s">
        <v>1623</v>
      </c>
      <c r="F4426" t="s">
        <v>26</v>
      </c>
      <c r="G4426" t="s">
        <v>45</v>
      </c>
      <c r="H4426" t="s">
        <v>38</v>
      </c>
      <c r="I4426" t="s">
        <v>39</v>
      </c>
      <c r="J4426" t="s">
        <v>30</v>
      </c>
      <c r="K4426" s="2">
        <v>7700</v>
      </c>
      <c r="L4426" s="2">
        <v>41500</v>
      </c>
      <c r="M4426">
        <v>48</v>
      </c>
      <c r="N4426" s="3">
        <v>0.28899999999999998</v>
      </c>
      <c r="O4426" t="s">
        <v>16</v>
      </c>
      <c r="Q4426">
        <v>1</v>
      </c>
      <c r="R4426">
        <v>0</v>
      </c>
      <c r="S4426" s="2">
        <v>41500</v>
      </c>
      <c r="T4426" s="4">
        <v>9.7000000000000003E-2</v>
      </c>
      <c r="U4426">
        <v>2</v>
      </c>
      <c r="V4426">
        <v>1</v>
      </c>
      <c r="W4426">
        <v>1</v>
      </c>
    </row>
    <row r="4427" spans="1:23" ht="16.5" x14ac:dyDescent="0.3">
      <c r="A4427" t="s">
        <v>4491</v>
      </c>
      <c r="B4427" s="1">
        <v>45924</v>
      </c>
      <c r="C4427">
        <v>2025</v>
      </c>
      <c r="D4427" t="s">
        <v>1255</v>
      </c>
      <c r="E4427" t="s">
        <v>1623</v>
      </c>
      <c r="F4427" t="s">
        <v>37</v>
      </c>
      <c r="G4427" t="s">
        <v>51</v>
      </c>
      <c r="H4427" t="s">
        <v>38</v>
      </c>
      <c r="I4427" t="s">
        <v>42</v>
      </c>
      <c r="J4427" t="s">
        <v>30</v>
      </c>
      <c r="K4427" s="2">
        <v>5800</v>
      </c>
      <c r="L4427" s="2">
        <v>13500</v>
      </c>
      <c r="M4427">
        <v>24</v>
      </c>
      <c r="N4427" s="3">
        <v>0.20799999999999999</v>
      </c>
      <c r="O4427" t="s">
        <v>17</v>
      </c>
      <c r="P4427" t="s">
        <v>31</v>
      </c>
      <c r="Q4427">
        <v>0</v>
      </c>
      <c r="R4427">
        <v>1</v>
      </c>
      <c r="S4427" s="2">
        <v>0</v>
      </c>
      <c r="T4427" s="4"/>
      <c r="U4427">
        <v>2</v>
      </c>
      <c r="V4427">
        <v>1</v>
      </c>
      <c r="W4427">
        <v>1</v>
      </c>
    </row>
    <row r="4428" spans="1:23" ht="16.5" x14ac:dyDescent="0.3">
      <c r="A4428" t="s">
        <v>4492</v>
      </c>
      <c r="B4428" s="1">
        <v>45924</v>
      </c>
      <c r="C4428">
        <v>2025</v>
      </c>
      <c r="D4428" t="s">
        <v>1255</v>
      </c>
      <c r="E4428" t="s">
        <v>1623</v>
      </c>
      <c r="F4428" t="s">
        <v>26</v>
      </c>
      <c r="G4428" t="s">
        <v>51</v>
      </c>
      <c r="H4428" t="s">
        <v>55</v>
      </c>
      <c r="I4428" t="s">
        <v>29</v>
      </c>
      <c r="J4428" t="s">
        <v>46</v>
      </c>
      <c r="K4428" s="2">
        <v>11700</v>
      </c>
      <c r="L4428" s="2">
        <v>43000</v>
      </c>
      <c r="M4428">
        <v>48</v>
      </c>
      <c r="N4428" s="3">
        <v>0.317</v>
      </c>
      <c r="O4428" t="s">
        <v>16</v>
      </c>
      <c r="Q4428">
        <v>1</v>
      </c>
      <c r="R4428">
        <v>0</v>
      </c>
      <c r="S4428" s="2">
        <v>43000</v>
      </c>
      <c r="T4428" s="4">
        <v>6.5299999999999997E-2</v>
      </c>
      <c r="U4428">
        <v>6</v>
      </c>
      <c r="V4428">
        <v>0</v>
      </c>
      <c r="W4428">
        <v>1</v>
      </c>
    </row>
    <row r="4429" spans="1:23" ht="16.5" x14ac:dyDescent="0.3">
      <c r="A4429" t="s">
        <v>4493</v>
      </c>
      <c r="B4429" s="1">
        <v>45924</v>
      </c>
      <c r="C4429">
        <v>2025</v>
      </c>
      <c r="D4429" t="s">
        <v>1255</v>
      </c>
      <c r="E4429" t="s">
        <v>1623</v>
      </c>
      <c r="F4429" t="s">
        <v>37</v>
      </c>
      <c r="G4429" t="s">
        <v>45</v>
      </c>
      <c r="H4429" t="s">
        <v>55</v>
      </c>
      <c r="I4429" t="s">
        <v>29</v>
      </c>
      <c r="J4429" t="s">
        <v>30</v>
      </c>
      <c r="K4429" s="2">
        <v>3900</v>
      </c>
      <c r="L4429" s="2">
        <v>10000</v>
      </c>
      <c r="M4429">
        <v>60</v>
      </c>
      <c r="N4429" s="3">
        <v>0.115</v>
      </c>
      <c r="O4429" t="s">
        <v>17</v>
      </c>
      <c r="P4429" t="s">
        <v>31</v>
      </c>
      <c r="Q4429">
        <v>0</v>
      </c>
      <c r="R4429">
        <v>1</v>
      </c>
      <c r="S4429" s="2">
        <v>0</v>
      </c>
      <c r="T4429" s="4"/>
      <c r="U4429">
        <v>2</v>
      </c>
      <c r="V4429">
        <v>1</v>
      </c>
      <c r="W4429">
        <v>1</v>
      </c>
    </row>
    <row r="4430" spans="1:23" ht="16.5" x14ac:dyDescent="0.3">
      <c r="A4430" t="s">
        <v>4494</v>
      </c>
      <c r="B4430" s="1">
        <v>45924</v>
      </c>
      <c r="C4430">
        <v>2025</v>
      </c>
      <c r="D4430" t="s">
        <v>1255</v>
      </c>
      <c r="E4430" t="s">
        <v>1623</v>
      </c>
      <c r="F4430" t="s">
        <v>26</v>
      </c>
      <c r="G4430" t="s">
        <v>33</v>
      </c>
      <c r="H4430" t="s">
        <v>34</v>
      </c>
      <c r="I4430" t="s">
        <v>29</v>
      </c>
      <c r="J4430" t="s">
        <v>52</v>
      </c>
      <c r="K4430" s="2">
        <v>5000</v>
      </c>
      <c r="L4430" s="2">
        <v>44000</v>
      </c>
      <c r="M4430">
        <v>36</v>
      </c>
      <c r="N4430" s="3">
        <v>0.374</v>
      </c>
      <c r="O4430" t="s">
        <v>16</v>
      </c>
      <c r="Q4430">
        <v>1</v>
      </c>
      <c r="R4430">
        <v>0</v>
      </c>
      <c r="S4430" s="2">
        <v>44000</v>
      </c>
      <c r="T4430" s="4">
        <v>6.9900000000000004E-2</v>
      </c>
      <c r="U4430">
        <v>3</v>
      </c>
      <c r="V4430">
        <v>1</v>
      </c>
      <c r="W4430">
        <v>1</v>
      </c>
    </row>
    <row r="4431" spans="1:23" ht="16.5" x14ac:dyDescent="0.3">
      <c r="A4431" t="s">
        <v>4495</v>
      </c>
      <c r="B4431" s="1">
        <v>45924</v>
      </c>
      <c r="C4431">
        <v>2025</v>
      </c>
      <c r="D4431" t="s">
        <v>1255</v>
      </c>
      <c r="E4431" t="s">
        <v>1623</v>
      </c>
      <c r="F4431" t="s">
        <v>37</v>
      </c>
      <c r="G4431" t="s">
        <v>45</v>
      </c>
      <c r="H4431" t="s">
        <v>34</v>
      </c>
      <c r="I4431" t="s">
        <v>29</v>
      </c>
      <c r="J4431" t="s">
        <v>43</v>
      </c>
      <c r="K4431" s="2">
        <v>5850</v>
      </c>
      <c r="L4431" s="2">
        <v>16500</v>
      </c>
      <c r="M4431">
        <v>12</v>
      </c>
      <c r="N4431" s="3">
        <v>0.36699999999999999</v>
      </c>
      <c r="O4431" t="s">
        <v>17</v>
      </c>
      <c r="P4431" t="s">
        <v>31</v>
      </c>
      <c r="Q4431">
        <v>0</v>
      </c>
      <c r="R4431">
        <v>1</v>
      </c>
      <c r="S4431" s="2">
        <v>0</v>
      </c>
      <c r="T4431" s="4"/>
      <c r="U4431">
        <v>1</v>
      </c>
      <c r="V4431">
        <v>1</v>
      </c>
      <c r="W4431">
        <v>1</v>
      </c>
    </row>
    <row r="4432" spans="1:23" ht="16.5" x14ac:dyDescent="0.3">
      <c r="A4432" t="s">
        <v>4496</v>
      </c>
      <c r="B4432" s="1">
        <v>45924</v>
      </c>
      <c r="C4432">
        <v>2025</v>
      </c>
      <c r="D4432" t="s">
        <v>1255</v>
      </c>
      <c r="E4432" t="s">
        <v>1623</v>
      </c>
      <c r="F4432" t="s">
        <v>26</v>
      </c>
      <c r="G4432" t="s">
        <v>51</v>
      </c>
      <c r="H4432" t="s">
        <v>55</v>
      </c>
      <c r="I4432" t="s">
        <v>39</v>
      </c>
      <c r="J4432" t="s">
        <v>43</v>
      </c>
      <c r="K4432" s="2">
        <v>4100</v>
      </c>
      <c r="L4432" s="2">
        <v>71000</v>
      </c>
      <c r="M4432">
        <v>36</v>
      </c>
      <c r="N4432" s="3">
        <v>0.72099999999999997</v>
      </c>
      <c r="O4432" t="s">
        <v>17</v>
      </c>
      <c r="P4432" t="s">
        <v>53</v>
      </c>
      <c r="Q4432">
        <v>0</v>
      </c>
      <c r="R4432">
        <v>1</v>
      </c>
      <c r="S4432" s="2">
        <v>0</v>
      </c>
      <c r="T4432" s="4"/>
      <c r="U4432">
        <v>9</v>
      </c>
      <c r="V4432">
        <v>0</v>
      </c>
      <c r="W4432">
        <v>1</v>
      </c>
    </row>
    <row r="4433" spans="1:23" ht="16.5" x14ac:dyDescent="0.3">
      <c r="A4433" t="s">
        <v>4497</v>
      </c>
      <c r="B4433" s="1">
        <v>45924</v>
      </c>
      <c r="C4433">
        <v>2025</v>
      </c>
      <c r="D4433" t="s">
        <v>1255</v>
      </c>
      <c r="E4433" t="s">
        <v>1623</v>
      </c>
      <c r="F4433" t="s">
        <v>26</v>
      </c>
      <c r="G4433" t="s">
        <v>45</v>
      </c>
      <c r="H4433" t="s">
        <v>55</v>
      </c>
      <c r="I4433" t="s">
        <v>39</v>
      </c>
      <c r="J4433" t="s">
        <v>46</v>
      </c>
      <c r="K4433" s="2">
        <v>9100</v>
      </c>
      <c r="L4433" s="2">
        <v>29500</v>
      </c>
      <c r="M4433">
        <v>36</v>
      </c>
      <c r="N4433" s="3">
        <v>0.33600000000000002</v>
      </c>
      <c r="O4433" t="s">
        <v>16</v>
      </c>
      <c r="Q4433">
        <v>1</v>
      </c>
      <c r="R4433">
        <v>0</v>
      </c>
      <c r="S4433" s="2">
        <v>26500</v>
      </c>
      <c r="T4433" s="4">
        <v>6.5199999999999994E-2</v>
      </c>
      <c r="U4433">
        <v>3</v>
      </c>
      <c r="V4433">
        <v>1</v>
      </c>
      <c r="W4433">
        <v>1</v>
      </c>
    </row>
    <row r="4434" spans="1:23" ht="16.5" x14ac:dyDescent="0.3">
      <c r="A4434" t="s">
        <v>4498</v>
      </c>
      <c r="B4434" s="1">
        <v>45924</v>
      </c>
      <c r="C4434">
        <v>2025</v>
      </c>
      <c r="D4434" t="s">
        <v>1255</v>
      </c>
      <c r="E4434" t="s">
        <v>1623</v>
      </c>
      <c r="F4434" t="s">
        <v>37</v>
      </c>
      <c r="G4434" t="s">
        <v>33</v>
      </c>
      <c r="H4434" t="s">
        <v>38</v>
      </c>
      <c r="I4434" t="s">
        <v>42</v>
      </c>
      <c r="J4434" t="s">
        <v>35</v>
      </c>
      <c r="K4434" s="2">
        <v>3800</v>
      </c>
      <c r="L4434" s="2">
        <v>19000</v>
      </c>
      <c r="M4434">
        <v>60</v>
      </c>
      <c r="N4434" s="3">
        <v>0.214</v>
      </c>
      <c r="O4434" t="s">
        <v>16</v>
      </c>
      <c r="Q4434">
        <v>1</v>
      </c>
      <c r="R4434">
        <v>0</v>
      </c>
      <c r="S4434" s="2">
        <v>19000</v>
      </c>
      <c r="T4434" s="4">
        <v>0.1148</v>
      </c>
      <c r="U4434">
        <v>1</v>
      </c>
      <c r="V4434">
        <v>1</v>
      </c>
      <c r="W4434">
        <v>1</v>
      </c>
    </row>
    <row r="4435" spans="1:23" ht="16.5" x14ac:dyDescent="0.3">
      <c r="A4435" t="s">
        <v>4499</v>
      </c>
      <c r="B4435" s="1">
        <v>45925</v>
      </c>
      <c r="C4435">
        <v>2025</v>
      </c>
      <c r="D4435" t="s">
        <v>1255</v>
      </c>
      <c r="E4435" t="s">
        <v>1623</v>
      </c>
      <c r="F4435" t="s">
        <v>37</v>
      </c>
      <c r="G4435" t="s">
        <v>45</v>
      </c>
      <c r="H4435" t="s">
        <v>34</v>
      </c>
      <c r="I4435" t="s">
        <v>39</v>
      </c>
      <c r="J4435" t="s">
        <v>43</v>
      </c>
      <c r="K4435" s="2">
        <v>4500</v>
      </c>
      <c r="L4435" s="2">
        <v>4500</v>
      </c>
      <c r="M4435">
        <v>36</v>
      </c>
      <c r="N4435" s="3">
        <v>0.214</v>
      </c>
      <c r="O4435" t="s">
        <v>17</v>
      </c>
      <c r="P4435" t="s">
        <v>31</v>
      </c>
      <c r="Q4435">
        <v>0</v>
      </c>
      <c r="R4435">
        <v>1</v>
      </c>
      <c r="S4435" s="2">
        <v>0</v>
      </c>
      <c r="T4435" s="4"/>
      <c r="U4435">
        <v>2</v>
      </c>
      <c r="V4435">
        <v>1</v>
      </c>
      <c r="W4435">
        <v>1</v>
      </c>
    </row>
    <row r="4436" spans="1:23" ht="16.5" x14ac:dyDescent="0.3">
      <c r="A4436" t="s">
        <v>4500</v>
      </c>
      <c r="B4436" s="1">
        <v>45925</v>
      </c>
      <c r="C4436">
        <v>2025</v>
      </c>
      <c r="D4436" t="s">
        <v>1255</v>
      </c>
      <c r="E4436" t="s">
        <v>1623</v>
      </c>
      <c r="F4436" t="s">
        <v>41</v>
      </c>
      <c r="G4436" t="s">
        <v>45</v>
      </c>
      <c r="H4436" t="s">
        <v>34</v>
      </c>
      <c r="I4436" t="s">
        <v>29</v>
      </c>
      <c r="J4436" t="s">
        <v>43</v>
      </c>
      <c r="K4436" s="2">
        <v>6400</v>
      </c>
      <c r="L4436" s="2">
        <v>55000</v>
      </c>
      <c r="M4436">
        <v>12</v>
      </c>
      <c r="N4436" s="3">
        <v>0.85499999999999998</v>
      </c>
      <c r="O4436" t="s">
        <v>17</v>
      </c>
      <c r="P4436" t="s">
        <v>31</v>
      </c>
      <c r="Q4436">
        <v>0</v>
      </c>
      <c r="R4436">
        <v>1</v>
      </c>
      <c r="S4436" s="2">
        <v>0</v>
      </c>
      <c r="T4436" s="4"/>
      <c r="U4436">
        <v>6</v>
      </c>
      <c r="V4436">
        <v>1</v>
      </c>
      <c r="W4436">
        <v>1</v>
      </c>
    </row>
    <row r="4437" spans="1:23" ht="16.5" x14ac:dyDescent="0.3">
      <c r="A4437" t="s">
        <v>4501</v>
      </c>
      <c r="B4437" s="1">
        <v>45925</v>
      </c>
      <c r="C4437">
        <v>2025</v>
      </c>
      <c r="D4437" t="s">
        <v>1255</v>
      </c>
      <c r="E4437" t="s">
        <v>1623</v>
      </c>
      <c r="F4437" t="s">
        <v>37</v>
      </c>
      <c r="G4437" t="s">
        <v>51</v>
      </c>
      <c r="H4437" t="s">
        <v>28</v>
      </c>
      <c r="I4437" t="s">
        <v>29</v>
      </c>
      <c r="J4437" t="s">
        <v>43</v>
      </c>
      <c r="K4437" s="2">
        <v>6150</v>
      </c>
      <c r="L4437" s="2">
        <v>13000</v>
      </c>
      <c r="M4437">
        <v>60</v>
      </c>
      <c r="N4437" s="3">
        <v>0.18099999999999999</v>
      </c>
      <c r="O4437" t="s">
        <v>17</v>
      </c>
      <c r="P4437" t="s">
        <v>31</v>
      </c>
      <c r="Q4437">
        <v>0</v>
      </c>
      <c r="R4437">
        <v>1</v>
      </c>
      <c r="S4437" s="2">
        <v>0</v>
      </c>
      <c r="T4437" s="4"/>
      <c r="U4437">
        <v>5</v>
      </c>
      <c r="V4437">
        <v>0</v>
      </c>
      <c r="W4437">
        <v>1</v>
      </c>
    </row>
    <row r="4438" spans="1:23" ht="16.5" x14ac:dyDescent="0.3">
      <c r="A4438" t="s">
        <v>4502</v>
      </c>
      <c r="B4438" s="1">
        <v>45925</v>
      </c>
      <c r="C4438">
        <v>2025</v>
      </c>
      <c r="D4438" t="s">
        <v>1255</v>
      </c>
      <c r="E4438" t="s">
        <v>1623</v>
      </c>
      <c r="F4438" t="s">
        <v>41</v>
      </c>
      <c r="G4438" t="s">
        <v>33</v>
      </c>
      <c r="H4438" t="s">
        <v>38</v>
      </c>
      <c r="I4438" t="s">
        <v>39</v>
      </c>
      <c r="J4438" t="s">
        <v>35</v>
      </c>
      <c r="K4438" s="2">
        <v>5400</v>
      </c>
      <c r="L4438" s="2">
        <v>115000</v>
      </c>
      <c r="M4438">
        <v>60</v>
      </c>
      <c r="N4438" s="3">
        <v>0.55800000000000005</v>
      </c>
      <c r="O4438" t="s">
        <v>16</v>
      </c>
      <c r="Q4438">
        <v>1</v>
      </c>
      <c r="R4438">
        <v>0</v>
      </c>
      <c r="S4438" s="2">
        <v>92000</v>
      </c>
      <c r="T4438" s="4">
        <v>0.11020000000000001</v>
      </c>
      <c r="U4438">
        <v>4</v>
      </c>
      <c r="V4438">
        <v>1</v>
      </c>
      <c r="W4438">
        <v>1</v>
      </c>
    </row>
    <row r="4439" spans="1:23" ht="16.5" x14ac:dyDescent="0.3">
      <c r="A4439" t="s">
        <v>4503</v>
      </c>
      <c r="B4439" s="1">
        <v>45925</v>
      </c>
      <c r="C4439">
        <v>2025</v>
      </c>
      <c r="D4439" t="s">
        <v>1255</v>
      </c>
      <c r="E4439" t="s">
        <v>1623</v>
      </c>
      <c r="F4439" t="s">
        <v>26</v>
      </c>
      <c r="G4439" t="s">
        <v>33</v>
      </c>
      <c r="H4439" t="s">
        <v>38</v>
      </c>
      <c r="I4439" t="s">
        <v>39</v>
      </c>
      <c r="J4439" t="s">
        <v>35</v>
      </c>
      <c r="K4439" s="2">
        <v>7050</v>
      </c>
      <c r="L4439" s="2">
        <v>24500</v>
      </c>
      <c r="M4439">
        <v>36</v>
      </c>
      <c r="N4439" s="3">
        <v>0.312</v>
      </c>
      <c r="O4439" t="s">
        <v>17</v>
      </c>
      <c r="P4439" t="s">
        <v>60</v>
      </c>
      <c r="Q4439">
        <v>0</v>
      </c>
      <c r="R4439">
        <v>1</v>
      </c>
      <c r="S4439" s="2">
        <v>0</v>
      </c>
      <c r="T4439" s="4"/>
      <c r="U4439">
        <v>8</v>
      </c>
      <c r="V4439">
        <v>0</v>
      </c>
      <c r="W4439">
        <v>1</v>
      </c>
    </row>
    <row r="4440" spans="1:23" ht="16.5" x14ac:dyDescent="0.3">
      <c r="A4440" t="s">
        <v>4504</v>
      </c>
      <c r="B4440" s="1">
        <v>45925</v>
      </c>
      <c r="C4440">
        <v>2025</v>
      </c>
      <c r="D4440" t="s">
        <v>1255</v>
      </c>
      <c r="E4440" t="s">
        <v>1623</v>
      </c>
      <c r="F4440" t="s">
        <v>26</v>
      </c>
      <c r="G4440" t="s">
        <v>51</v>
      </c>
      <c r="H4440" t="s">
        <v>34</v>
      </c>
      <c r="I4440" t="s">
        <v>29</v>
      </c>
      <c r="J4440" t="s">
        <v>46</v>
      </c>
      <c r="K4440" s="2">
        <v>9750</v>
      </c>
      <c r="L4440" s="2">
        <v>31500</v>
      </c>
      <c r="M4440">
        <v>60</v>
      </c>
      <c r="N4440" s="3">
        <v>0.26400000000000001</v>
      </c>
      <c r="O4440" t="s">
        <v>16</v>
      </c>
      <c r="Q4440">
        <v>1</v>
      </c>
      <c r="R4440">
        <v>0</v>
      </c>
      <c r="S4440" s="2">
        <v>28500</v>
      </c>
      <c r="T4440" s="4">
        <v>6.9599999999999995E-2</v>
      </c>
      <c r="U4440">
        <v>6</v>
      </c>
      <c r="V4440">
        <v>0</v>
      </c>
      <c r="W4440">
        <v>1</v>
      </c>
    </row>
    <row r="4441" spans="1:23" ht="16.5" x14ac:dyDescent="0.3">
      <c r="A4441" t="s">
        <v>4505</v>
      </c>
      <c r="B4441" s="1">
        <v>45925</v>
      </c>
      <c r="C4441">
        <v>2025</v>
      </c>
      <c r="D4441" t="s">
        <v>1255</v>
      </c>
      <c r="E4441" t="s">
        <v>1623</v>
      </c>
      <c r="F4441" t="s">
        <v>50</v>
      </c>
      <c r="G4441" t="s">
        <v>45</v>
      </c>
      <c r="H4441" t="s">
        <v>34</v>
      </c>
      <c r="I4441" t="s">
        <v>39</v>
      </c>
      <c r="J4441" t="s">
        <v>52</v>
      </c>
      <c r="K4441" s="2">
        <v>7750</v>
      </c>
      <c r="L4441" s="2">
        <v>433500</v>
      </c>
      <c r="M4441">
        <v>180</v>
      </c>
      <c r="N4441" s="3">
        <v>0.60599999999999998</v>
      </c>
      <c r="O4441" t="s">
        <v>16</v>
      </c>
      <c r="Q4441">
        <v>1</v>
      </c>
      <c r="R4441">
        <v>0</v>
      </c>
      <c r="S4441" s="2">
        <v>433500</v>
      </c>
      <c r="T4441" s="4">
        <v>4.48E-2</v>
      </c>
      <c r="U4441">
        <v>6</v>
      </c>
      <c r="V4441">
        <v>1</v>
      </c>
      <c r="W4441">
        <v>1</v>
      </c>
    </row>
    <row r="4442" spans="1:23" ht="16.5" x14ac:dyDescent="0.3">
      <c r="A4442" t="s">
        <v>4506</v>
      </c>
      <c r="B4442" s="1">
        <v>45925</v>
      </c>
      <c r="C4442">
        <v>2025</v>
      </c>
      <c r="D4442" t="s">
        <v>1255</v>
      </c>
      <c r="E4442" t="s">
        <v>1623</v>
      </c>
      <c r="F4442" t="s">
        <v>41</v>
      </c>
      <c r="G4442" t="s">
        <v>51</v>
      </c>
      <c r="H4442" t="s">
        <v>34</v>
      </c>
      <c r="I4442" t="s">
        <v>39</v>
      </c>
      <c r="J4442" t="s">
        <v>52</v>
      </c>
      <c r="K4442" s="2">
        <v>4400</v>
      </c>
      <c r="L4442" s="2">
        <v>131000</v>
      </c>
      <c r="M4442">
        <v>12</v>
      </c>
      <c r="N4442" s="3">
        <v>2.7490000000000001</v>
      </c>
      <c r="O4442" t="s">
        <v>17</v>
      </c>
      <c r="P4442" t="s">
        <v>53</v>
      </c>
      <c r="Q4442">
        <v>0</v>
      </c>
      <c r="R4442">
        <v>1</v>
      </c>
      <c r="S4442" s="2">
        <v>0</v>
      </c>
      <c r="T4442" s="4"/>
      <c r="U4442">
        <v>11</v>
      </c>
      <c r="V4442">
        <v>0</v>
      </c>
      <c r="W4442">
        <v>1</v>
      </c>
    </row>
    <row r="4443" spans="1:23" ht="16.5" x14ac:dyDescent="0.3">
      <c r="A4443" t="s">
        <v>4507</v>
      </c>
      <c r="B4443" s="1">
        <v>45926</v>
      </c>
      <c r="C4443">
        <v>2025</v>
      </c>
      <c r="D4443" t="s">
        <v>1255</v>
      </c>
      <c r="E4443" t="s">
        <v>1623</v>
      </c>
      <c r="F4443" t="s">
        <v>41</v>
      </c>
      <c r="G4443" t="s">
        <v>51</v>
      </c>
      <c r="H4443" t="s">
        <v>55</v>
      </c>
      <c r="I4443" t="s">
        <v>42</v>
      </c>
      <c r="J4443" t="s">
        <v>30</v>
      </c>
      <c r="K4443" s="2">
        <v>7200</v>
      </c>
      <c r="L4443" s="2">
        <v>85000</v>
      </c>
      <c r="M4443">
        <v>24</v>
      </c>
      <c r="N4443" s="3">
        <v>0.70299999999999996</v>
      </c>
      <c r="O4443" t="s">
        <v>17</v>
      </c>
      <c r="P4443" t="s">
        <v>31</v>
      </c>
      <c r="Q4443">
        <v>0</v>
      </c>
      <c r="R4443">
        <v>1</v>
      </c>
      <c r="S4443" s="2">
        <v>0</v>
      </c>
      <c r="T4443" s="4"/>
      <c r="U4443">
        <v>14</v>
      </c>
      <c r="V4443">
        <v>0</v>
      </c>
      <c r="W4443">
        <v>1</v>
      </c>
    </row>
    <row r="4444" spans="1:23" ht="16.5" x14ac:dyDescent="0.3">
      <c r="A4444" t="s">
        <v>4508</v>
      </c>
      <c r="B4444" s="1">
        <v>45926</v>
      </c>
      <c r="C4444">
        <v>2025</v>
      </c>
      <c r="D4444" t="s">
        <v>1255</v>
      </c>
      <c r="E4444" t="s">
        <v>1623</v>
      </c>
      <c r="F4444" t="s">
        <v>26</v>
      </c>
      <c r="G4444" t="s">
        <v>51</v>
      </c>
      <c r="H4444" t="s">
        <v>55</v>
      </c>
      <c r="I4444" t="s">
        <v>42</v>
      </c>
      <c r="J4444" t="s">
        <v>46</v>
      </c>
      <c r="K4444" s="2">
        <v>10900</v>
      </c>
      <c r="L4444" s="2">
        <v>28500</v>
      </c>
      <c r="M4444">
        <v>36</v>
      </c>
      <c r="N4444" s="3">
        <v>0.182</v>
      </c>
      <c r="O4444" t="s">
        <v>16</v>
      </c>
      <c r="Q4444">
        <v>1</v>
      </c>
      <c r="R4444">
        <v>0</v>
      </c>
      <c r="S4444" s="2">
        <v>28500</v>
      </c>
      <c r="T4444" s="4">
        <v>6.6299999999999998E-2</v>
      </c>
      <c r="U4444">
        <v>4</v>
      </c>
      <c r="V4444">
        <v>1</v>
      </c>
      <c r="W4444">
        <v>1</v>
      </c>
    </row>
    <row r="4445" spans="1:23" ht="16.5" x14ac:dyDescent="0.3">
      <c r="A4445" t="s">
        <v>4509</v>
      </c>
      <c r="B4445" s="1">
        <v>45926</v>
      </c>
      <c r="C4445">
        <v>2025</v>
      </c>
      <c r="D4445" t="s">
        <v>1255</v>
      </c>
      <c r="E4445" t="s">
        <v>1623</v>
      </c>
      <c r="F4445" t="s">
        <v>50</v>
      </c>
      <c r="G4445" t="s">
        <v>51</v>
      </c>
      <c r="H4445" t="s">
        <v>64</v>
      </c>
      <c r="I4445" t="s">
        <v>39</v>
      </c>
      <c r="J4445" t="s">
        <v>46</v>
      </c>
      <c r="K4445" s="2">
        <v>2650</v>
      </c>
      <c r="L4445" s="2">
        <v>334000</v>
      </c>
      <c r="M4445">
        <v>240</v>
      </c>
      <c r="N4445" s="3">
        <v>0.90400000000000003</v>
      </c>
      <c r="O4445" t="s">
        <v>16</v>
      </c>
      <c r="Q4445">
        <v>1</v>
      </c>
      <c r="R4445">
        <v>0</v>
      </c>
      <c r="S4445" s="2">
        <v>334000</v>
      </c>
      <c r="T4445" s="4">
        <v>4.2999999999999997E-2</v>
      </c>
      <c r="U4445">
        <v>13</v>
      </c>
      <c r="V4445">
        <v>1</v>
      </c>
      <c r="W4445">
        <v>1</v>
      </c>
    </row>
    <row r="4446" spans="1:23" ht="16.5" x14ac:dyDescent="0.3">
      <c r="A4446" t="s">
        <v>4510</v>
      </c>
      <c r="B4446" s="1">
        <v>45926</v>
      </c>
      <c r="C4446">
        <v>2025</v>
      </c>
      <c r="D4446" t="s">
        <v>1255</v>
      </c>
      <c r="E4446" t="s">
        <v>1623</v>
      </c>
      <c r="F4446" t="s">
        <v>41</v>
      </c>
      <c r="G4446" t="s">
        <v>45</v>
      </c>
      <c r="H4446" t="s">
        <v>64</v>
      </c>
      <c r="I4446" t="s">
        <v>29</v>
      </c>
      <c r="J4446" t="s">
        <v>52</v>
      </c>
      <c r="K4446" s="2">
        <v>8000</v>
      </c>
      <c r="L4446" s="2">
        <v>45500</v>
      </c>
      <c r="M4446">
        <v>60</v>
      </c>
      <c r="N4446" s="3">
        <v>0.27900000000000003</v>
      </c>
      <c r="O4446" t="s">
        <v>16</v>
      </c>
      <c r="Q4446">
        <v>1</v>
      </c>
      <c r="R4446">
        <v>0</v>
      </c>
      <c r="S4446" s="2">
        <v>45500</v>
      </c>
      <c r="T4446" s="4">
        <v>0.1013</v>
      </c>
      <c r="U4446">
        <v>7</v>
      </c>
      <c r="V4446">
        <v>1</v>
      </c>
      <c r="W4446">
        <v>1</v>
      </c>
    </row>
    <row r="4447" spans="1:23" ht="16.5" x14ac:dyDescent="0.3">
      <c r="A4447" t="s">
        <v>4511</v>
      </c>
      <c r="B4447" s="1">
        <v>45926</v>
      </c>
      <c r="C4447">
        <v>2025</v>
      </c>
      <c r="D4447" t="s">
        <v>1255</v>
      </c>
      <c r="E4447" t="s">
        <v>1623</v>
      </c>
      <c r="F4447" t="s">
        <v>37</v>
      </c>
      <c r="G4447" t="s">
        <v>45</v>
      </c>
      <c r="H4447" t="s">
        <v>38</v>
      </c>
      <c r="I4447" t="s">
        <v>39</v>
      </c>
      <c r="J4447" t="s">
        <v>52</v>
      </c>
      <c r="K4447" s="2">
        <v>10300</v>
      </c>
      <c r="L4447" s="2">
        <v>16500</v>
      </c>
      <c r="M4447">
        <v>60</v>
      </c>
      <c r="N4447" s="3">
        <v>0.26800000000000002</v>
      </c>
      <c r="O4447" t="s">
        <v>16</v>
      </c>
      <c r="Q4447">
        <v>1</v>
      </c>
      <c r="R4447">
        <v>0</v>
      </c>
      <c r="S4447" s="2">
        <v>16500</v>
      </c>
      <c r="T4447" s="4">
        <v>0.1157</v>
      </c>
      <c r="U4447">
        <v>2</v>
      </c>
      <c r="V4447">
        <v>1</v>
      </c>
      <c r="W4447">
        <v>1</v>
      </c>
    </row>
    <row r="4448" spans="1:23" ht="16.5" x14ac:dyDescent="0.3">
      <c r="A4448" t="s">
        <v>4512</v>
      </c>
      <c r="B4448" s="1">
        <v>45926</v>
      </c>
      <c r="C4448">
        <v>2025</v>
      </c>
      <c r="D4448" t="s">
        <v>1255</v>
      </c>
      <c r="E4448" t="s">
        <v>1623</v>
      </c>
      <c r="F4448" t="s">
        <v>37</v>
      </c>
      <c r="G4448" t="s">
        <v>51</v>
      </c>
      <c r="H4448" t="s">
        <v>38</v>
      </c>
      <c r="I4448" t="s">
        <v>29</v>
      </c>
      <c r="J4448" t="s">
        <v>30</v>
      </c>
      <c r="K4448" s="2">
        <v>2250</v>
      </c>
      <c r="L4448" s="2">
        <v>35500</v>
      </c>
      <c r="M4448">
        <v>24</v>
      </c>
      <c r="N4448" s="3">
        <v>0.98599999999999999</v>
      </c>
      <c r="O4448" t="s">
        <v>16</v>
      </c>
      <c r="Q4448">
        <v>1</v>
      </c>
      <c r="R4448">
        <v>0</v>
      </c>
      <c r="S4448" s="2">
        <v>28500</v>
      </c>
      <c r="T4448" s="4">
        <v>0.1394</v>
      </c>
      <c r="U4448">
        <v>3</v>
      </c>
      <c r="V4448">
        <v>1</v>
      </c>
      <c r="W4448">
        <v>1</v>
      </c>
    </row>
    <row r="4449" spans="1:23" ht="16.5" x14ac:dyDescent="0.3">
      <c r="A4449" t="s">
        <v>4513</v>
      </c>
      <c r="B4449" s="1">
        <v>45926</v>
      </c>
      <c r="C4449">
        <v>2025</v>
      </c>
      <c r="D4449" t="s">
        <v>1255</v>
      </c>
      <c r="E4449" t="s">
        <v>1623</v>
      </c>
      <c r="F4449" t="s">
        <v>37</v>
      </c>
      <c r="G4449" t="s">
        <v>51</v>
      </c>
      <c r="H4449" t="s">
        <v>55</v>
      </c>
      <c r="I4449" t="s">
        <v>29</v>
      </c>
      <c r="J4449" t="s">
        <v>46</v>
      </c>
      <c r="K4449" s="2">
        <v>10300</v>
      </c>
      <c r="L4449" s="2">
        <v>13500</v>
      </c>
      <c r="M4449">
        <v>36</v>
      </c>
      <c r="N4449" s="3">
        <v>0.24099999999999999</v>
      </c>
      <c r="O4449" t="s">
        <v>16</v>
      </c>
      <c r="Q4449">
        <v>1</v>
      </c>
      <c r="R4449">
        <v>0</v>
      </c>
      <c r="S4449" s="2">
        <v>13500</v>
      </c>
      <c r="T4449" s="4">
        <v>0.1091</v>
      </c>
      <c r="U4449">
        <v>3</v>
      </c>
      <c r="V4449">
        <v>1</v>
      </c>
      <c r="W4449">
        <v>1</v>
      </c>
    </row>
    <row r="4450" spans="1:23" ht="16.5" x14ac:dyDescent="0.3">
      <c r="A4450" t="s">
        <v>4514</v>
      </c>
      <c r="B4450" s="1">
        <v>45927</v>
      </c>
      <c r="C4450">
        <v>2025</v>
      </c>
      <c r="D4450" t="s">
        <v>1255</v>
      </c>
      <c r="E4450" t="s">
        <v>1623</v>
      </c>
      <c r="F4450" t="s">
        <v>41</v>
      </c>
      <c r="G4450" t="s">
        <v>45</v>
      </c>
      <c r="H4450" t="s">
        <v>38</v>
      </c>
      <c r="I4450" t="s">
        <v>29</v>
      </c>
      <c r="J4450" t="s">
        <v>43</v>
      </c>
      <c r="K4450" s="2">
        <v>5650</v>
      </c>
      <c r="L4450" s="2">
        <v>90000</v>
      </c>
      <c r="M4450">
        <v>36</v>
      </c>
      <c r="N4450" s="3">
        <v>0.71899999999999997</v>
      </c>
      <c r="O4450" t="s">
        <v>17</v>
      </c>
      <c r="P4450" t="s">
        <v>53</v>
      </c>
      <c r="Q4450">
        <v>0</v>
      </c>
      <c r="R4450">
        <v>1</v>
      </c>
      <c r="S4450" s="2">
        <v>0</v>
      </c>
      <c r="T4450" s="4"/>
      <c r="U4450">
        <v>7</v>
      </c>
      <c r="V4450">
        <v>1</v>
      </c>
      <c r="W4450">
        <v>1</v>
      </c>
    </row>
    <row r="4451" spans="1:23" ht="16.5" x14ac:dyDescent="0.3">
      <c r="A4451" t="s">
        <v>4515</v>
      </c>
      <c r="B4451" s="1">
        <v>45927</v>
      </c>
      <c r="C4451">
        <v>2025</v>
      </c>
      <c r="D4451" t="s">
        <v>1255</v>
      </c>
      <c r="E4451" t="s">
        <v>1623</v>
      </c>
      <c r="F4451" t="s">
        <v>26</v>
      </c>
      <c r="G4451" t="s">
        <v>27</v>
      </c>
      <c r="H4451" t="s">
        <v>34</v>
      </c>
      <c r="I4451" t="s">
        <v>29</v>
      </c>
      <c r="J4451" t="s">
        <v>35</v>
      </c>
      <c r="K4451" s="2">
        <v>9700</v>
      </c>
      <c r="L4451" s="2">
        <v>15000</v>
      </c>
      <c r="M4451">
        <v>48</v>
      </c>
      <c r="N4451" s="3">
        <v>0.26100000000000001</v>
      </c>
      <c r="O4451" t="s">
        <v>17</v>
      </c>
      <c r="P4451" t="s">
        <v>60</v>
      </c>
      <c r="Q4451">
        <v>0</v>
      </c>
      <c r="R4451">
        <v>1</v>
      </c>
      <c r="S4451" s="2">
        <v>0</v>
      </c>
      <c r="T4451" s="4"/>
      <c r="U4451">
        <v>11</v>
      </c>
      <c r="V4451">
        <v>0</v>
      </c>
      <c r="W4451">
        <v>1</v>
      </c>
    </row>
    <row r="4452" spans="1:23" ht="16.5" x14ac:dyDescent="0.3">
      <c r="A4452" t="s">
        <v>4516</v>
      </c>
      <c r="B4452" s="1">
        <v>45927</v>
      </c>
      <c r="C4452">
        <v>2025</v>
      </c>
      <c r="D4452" t="s">
        <v>1255</v>
      </c>
      <c r="E4452" t="s">
        <v>1623</v>
      </c>
      <c r="F4452" t="s">
        <v>50</v>
      </c>
      <c r="G4452" t="s">
        <v>27</v>
      </c>
      <c r="H4452" t="s">
        <v>34</v>
      </c>
      <c r="I4452" t="s">
        <v>39</v>
      </c>
      <c r="J4452" t="s">
        <v>46</v>
      </c>
      <c r="K4452" s="2">
        <v>2600</v>
      </c>
      <c r="L4452" s="2">
        <v>341000</v>
      </c>
      <c r="M4452">
        <v>300</v>
      </c>
      <c r="N4452" s="3">
        <v>0.84799999999999998</v>
      </c>
      <c r="O4452" t="s">
        <v>17</v>
      </c>
      <c r="P4452" t="s">
        <v>60</v>
      </c>
      <c r="Q4452">
        <v>0</v>
      </c>
      <c r="R4452">
        <v>1</v>
      </c>
      <c r="S4452" s="2">
        <v>0</v>
      </c>
      <c r="T4452" s="4"/>
      <c r="U4452">
        <v>14</v>
      </c>
      <c r="V4452">
        <v>1</v>
      </c>
      <c r="W4452">
        <v>1</v>
      </c>
    </row>
    <row r="4453" spans="1:23" ht="16.5" x14ac:dyDescent="0.3">
      <c r="A4453" t="s">
        <v>4517</v>
      </c>
      <c r="B4453" s="1">
        <v>45927</v>
      </c>
      <c r="C4453">
        <v>2025</v>
      </c>
      <c r="D4453" t="s">
        <v>1255</v>
      </c>
      <c r="E4453" t="s">
        <v>1623</v>
      </c>
      <c r="F4453" t="s">
        <v>26</v>
      </c>
      <c r="G4453" t="s">
        <v>51</v>
      </c>
      <c r="H4453" t="s">
        <v>34</v>
      </c>
      <c r="I4453" t="s">
        <v>39</v>
      </c>
      <c r="J4453" t="s">
        <v>46</v>
      </c>
      <c r="K4453" s="2">
        <v>10050</v>
      </c>
      <c r="L4453" s="2">
        <v>39500</v>
      </c>
      <c r="M4453">
        <v>36</v>
      </c>
      <c r="N4453" s="3">
        <v>0.19900000000000001</v>
      </c>
      <c r="O4453" t="s">
        <v>16</v>
      </c>
      <c r="Q4453">
        <v>1</v>
      </c>
      <c r="R4453">
        <v>0</v>
      </c>
      <c r="S4453" s="2">
        <v>39500</v>
      </c>
      <c r="T4453" s="4">
        <v>6.3500000000000001E-2</v>
      </c>
      <c r="U4453">
        <v>3</v>
      </c>
      <c r="V4453">
        <v>1</v>
      </c>
      <c r="W4453">
        <v>1</v>
      </c>
    </row>
    <row r="4454" spans="1:23" ht="16.5" x14ac:dyDescent="0.3">
      <c r="A4454" t="s">
        <v>4518</v>
      </c>
      <c r="B4454" s="1">
        <v>45927</v>
      </c>
      <c r="C4454">
        <v>2025</v>
      </c>
      <c r="D4454" t="s">
        <v>1255</v>
      </c>
      <c r="E4454" t="s">
        <v>1623</v>
      </c>
      <c r="F4454" t="s">
        <v>37</v>
      </c>
      <c r="G4454" t="s">
        <v>51</v>
      </c>
      <c r="H4454" t="s">
        <v>55</v>
      </c>
      <c r="I4454" t="s">
        <v>39</v>
      </c>
      <c r="J4454" t="s">
        <v>43</v>
      </c>
      <c r="K4454" s="2">
        <v>8000</v>
      </c>
      <c r="L4454" s="2">
        <v>6500</v>
      </c>
      <c r="M4454">
        <v>12</v>
      </c>
      <c r="N4454" s="3">
        <v>0.18099999999999999</v>
      </c>
      <c r="O4454" t="s">
        <v>17</v>
      </c>
      <c r="P4454" t="s">
        <v>31</v>
      </c>
      <c r="Q4454">
        <v>0</v>
      </c>
      <c r="R4454">
        <v>1</v>
      </c>
      <c r="S4454" s="2">
        <v>0</v>
      </c>
      <c r="T4454" s="4"/>
      <c r="U4454">
        <v>2</v>
      </c>
      <c r="V4454">
        <v>1</v>
      </c>
      <c r="W4454">
        <v>1</v>
      </c>
    </row>
    <row r="4455" spans="1:23" ht="16.5" x14ac:dyDescent="0.3">
      <c r="A4455" t="s">
        <v>4519</v>
      </c>
      <c r="B4455" s="1">
        <v>45927</v>
      </c>
      <c r="C4455">
        <v>2025</v>
      </c>
      <c r="D4455" t="s">
        <v>1255</v>
      </c>
      <c r="E4455" t="s">
        <v>1623</v>
      </c>
      <c r="F4455" t="s">
        <v>41</v>
      </c>
      <c r="G4455" t="s">
        <v>51</v>
      </c>
      <c r="H4455" t="s">
        <v>55</v>
      </c>
      <c r="I4455" t="s">
        <v>29</v>
      </c>
      <c r="J4455" t="s">
        <v>35</v>
      </c>
      <c r="K4455" s="2">
        <v>4100</v>
      </c>
      <c r="L4455" s="2">
        <v>161500</v>
      </c>
      <c r="M4455">
        <v>60</v>
      </c>
      <c r="N4455" s="3">
        <v>0.97399999999999998</v>
      </c>
      <c r="O4455" t="s">
        <v>17</v>
      </c>
      <c r="P4455" t="s">
        <v>53</v>
      </c>
      <c r="Q4455">
        <v>0</v>
      </c>
      <c r="R4455">
        <v>1</v>
      </c>
      <c r="S4455" s="2">
        <v>0</v>
      </c>
      <c r="T4455" s="4"/>
      <c r="U4455">
        <v>13</v>
      </c>
      <c r="V4455">
        <v>0</v>
      </c>
      <c r="W4455">
        <v>1</v>
      </c>
    </row>
    <row r="4456" spans="1:23" ht="16.5" x14ac:dyDescent="0.3">
      <c r="A4456" t="s">
        <v>4520</v>
      </c>
      <c r="B4456" s="1">
        <v>45927</v>
      </c>
      <c r="C4456">
        <v>2025</v>
      </c>
      <c r="D4456" t="s">
        <v>1255</v>
      </c>
      <c r="E4456" t="s">
        <v>1623</v>
      </c>
      <c r="F4456" t="s">
        <v>41</v>
      </c>
      <c r="G4456" t="s">
        <v>33</v>
      </c>
      <c r="H4456" t="s">
        <v>28</v>
      </c>
      <c r="I4456" t="s">
        <v>29</v>
      </c>
      <c r="J4456" t="s">
        <v>46</v>
      </c>
      <c r="K4456" s="2">
        <v>6550</v>
      </c>
      <c r="L4456" s="2">
        <v>226500</v>
      </c>
      <c r="M4456">
        <v>24</v>
      </c>
      <c r="N4456" s="3">
        <v>1.774</v>
      </c>
      <c r="O4456" t="s">
        <v>17</v>
      </c>
      <c r="P4456" t="s">
        <v>53</v>
      </c>
      <c r="Q4456">
        <v>0</v>
      </c>
      <c r="R4456">
        <v>1</v>
      </c>
      <c r="S4456" s="2">
        <v>0</v>
      </c>
      <c r="T4456" s="4"/>
      <c r="U4456">
        <v>9</v>
      </c>
      <c r="V4456">
        <v>1</v>
      </c>
      <c r="W4456">
        <v>1</v>
      </c>
    </row>
    <row r="4457" spans="1:23" ht="16.5" x14ac:dyDescent="0.3">
      <c r="A4457" t="s">
        <v>4521</v>
      </c>
      <c r="B4457" s="1">
        <v>45927</v>
      </c>
      <c r="C4457">
        <v>2025</v>
      </c>
      <c r="D4457" t="s">
        <v>1255</v>
      </c>
      <c r="E4457" t="s">
        <v>1623</v>
      </c>
      <c r="F4457" t="s">
        <v>37</v>
      </c>
      <c r="G4457" t="s">
        <v>33</v>
      </c>
      <c r="H4457" t="s">
        <v>55</v>
      </c>
      <c r="I4457" t="s">
        <v>39</v>
      </c>
      <c r="J4457" t="s">
        <v>52</v>
      </c>
      <c r="K4457" s="2">
        <v>3650</v>
      </c>
      <c r="L4457" s="2">
        <v>10500</v>
      </c>
      <c r="M4457">
        <v>24</v>
      </c>
      <c r="N4457" s="3">
        <v>0.28000000000000003</v>
      </c>
      <c r="O4457" t="s">
        <v>16</v>
      </c>
      <c r="Q4457">
        <v>1</v>
      </c>
      <c r="R4457">
        <v>0</v>
      </c>
      <c r="S4457" s="2">
        <v>9500</v>
      </c>
      <c r="T4457" s="4">
        <v>0.11260000000000001</v>
      </c>
      <c r="U4457">
        <v>1</v>
      </c>
      <c r="V4457">
        <v>1</v>
      </c>
      <c r="W4457">
        <v>1</v>
      </c>
    </row>
    <row r="4458" spans="1:23" ht="16.5" x14ac:dyDescent="0.3">
      <c r="A4458" t="s">
        <v>4522</v>
      </c>
      <c r="B4458" s="1">
        <v>45928</v>
      </c>
      <c r="C4458">
        <v>2025</v>
      </c>
      <c r="D4458" t="s">
        <v>1255</v>
      </c>
      <c r="E4458" t="s">
        <v>1623</v>
      </c>
      <c r="F4458" t="s">
        <v>50</v>
      </c>
      <c r="G4458" t="s">
        <v>33</v>
      </c>
      <c r="H4458" t="s">
        <v>64</v>
      </c>
      <c r="I4458" t="s">
        <v>29</v>
      </c>
      <c r="J4458" t="s">
        <v>30</v>
      </c>
      <c r="K4458" s="2">
        <v>3900</v>
      </c>
      <c r="L4458" s="2">
        <v>118000</v>
      </c>
      <c r="M4458">
        <v>180</v>
      </c>
      <c r="N4458" s="3">
        <v>0.45</v>
      </c>
      <c r="O4458" t="s">
        <v>16</v>
      </c>
      <c r="Q4458">
        <v>1</v>
      </c>
      <c r="R4458">
        <v>0</v>
      </c>
      <c r="S4458" s="2">
        <v>118000</v>
      </c>
      <c r="T4458" s="4">
        <v>7.5800000000000006E-2</v>
      </c>
      <c r="U4458">
        <v>5</v>
      </c>
      <c r="V4458">
        <v>1</v>
      </c>
      <c r="W4458">
        <v>1</v>
      </c>
    </row>
    <row r="4459" spans="1:23" ht="16.5" x14ac:dyDescent="0.3">
      <c r="A4459" t="s">
        <v>4523</v>
      </c>
      <c r="B4459" s="1">
        <v>45928</v>
      </c>
      <c r="C4459">
        <v>2025</v>
      </c>
      <c r="D4459" t="s">
        <v>1255</v>
      </c>
      <c r="E4459" t="s">
        <v>1623</v>
      </c>
      <c r="F4459" t="s">
        <v>41</v>
      </c>
      <c r="G4459" t="s">
        <v>51</v>
      </c>
      <c r="H4459" t="s">
        <v>38</v>
      </c>
      <c r="I4459" t="s">
        <v>29</v>
      </c>
      <c r="J4459" t="s">
        <v>46</v>
      </c>
      <c r="K4459" s="2">
        <v>7000</v>
      </c>
      <c r="L4459" s="2">
        <v>126500</v>
      </c>
      <c r="M4459">
        <v>24</v>
      </c>
      <c r="N4459" s="3">
        <v>0.99</v>
      </c>
      <c r="O4459" t="s">
        <v>17</v>
      </c>
      <c r="P4459" t="s">
        <v>53</v>
      </c>
      <c r="Q4459">
        <v>0</v>
      </c>
      <c r="R4459">
        <v>1</v>
      </c>
      <c r="S4459" s="2">
        <v>0</v>
      </c>
      <c r="T4459" s="4"/>
      <c r="U4459">
        <v>17</v>
      </c>
      <c r="V4459">
        <v>0</v>
      </c>
      <c r="W4459">
        <v>1</v>
      </c>
    </row>
    <row r="4460" spans="1:23" ht="16.5" x14ac:dyDescent="0.3">
      <c r="A4460" t="s">
        <v>4524</v>
      </c>
      <c r="B4460" s="1">
        <v>45928</v>
      </c>
      <c r="C4460">
        <v>2025</v>
      </c>
      <c r="D4460" t="s">
        <v>1255</v>
      </c>
      <c r="E4460" t="s">
        <v>1623</v>
      </c>
      <c r="F4460" t="s">
        <v>41</v>
      </c>
      <c r="G4460" t="s">
        <v>45</v>
      </c>
      <c r="H4460" t="s">
        <v>38</v>
      </c>
      <c r="I4460" t="s">
        <v>39</v>
      </c>
      <c r="J4460" t="s">
        <v>35</v>
      </c>
      <c r="K4460" s="2">
        <v>6550</v>
      </c>
      <c r="L4460" s="2">
        <v>62000</v>
      </c>
      <c r="M4460">
        <v>36</v>
      </c>
      <c r="N4460" s="3">
        <v>0.45400000000000001</v>
      </c>
      <c r="O4460" t="s">
        <v>16</v>
      </c>
      <c r="Q4460">
        <v>1</v>
      </c>
      <c r="R4460">
        <v>0</v>
      </c>
      <c r="S4460" s="2">
        <v>62000</v>
      </c>
      <c r="T4460" s="4">
        <v>0.1007</v>
      </c>
      <c r="U4460">
        <v>4</v>
      </c>
      <c r="V4460">
        <v>1</v>
      </c>
      <c r="W4460">
        <v>1</v>
      </c>
    </row>
    <row r="4461" spans="1:23" ht="16.5" x14ac:dyDescent="0.3">
      <c r="A4461" t="s">
        <v>4525</v>
      </c>
      <c r="B4461" s="1">
        <v>45928</v>
      </c>
      <c r="C4461">
        <v>2025</v>
      </c>
      <c r="D4461" t="s">
        <v>1255</v>
      </c>
      <c r="E4461" t="s">
        <v>1623</v>
      </c>
      <c r="F4461" t="s">
        <v>26</v>
      </c>
      <c r="G4461" t="s">
        <v>51</v>
      </c>
      <c r="H4461" t="s">
        <v>34</v>
      </c>
      <c r="I4461" t="s">
        <v>29</v>
      </c>
      <c r="J4461" t="s">
        <v>46</v>
      </c>
      <c r="K4461" s="2">
        <v>9500</v>
      </c>
      <c r="L4461" s="2">
        <v>55000</v>
      </c>
      <c r="M4461">
        <v>48</v>
      </c>
      <c r="N4461" s="3">
        <v>0.32100000000000001</v>
      </c>
      <c r="O4461" t="s">
        <v>17</v>
      </c>
      <c r="P4461" t="s">
        <v>60</v>
      </c>
      <c r="Q4461">
        <v>0</v>
      </c>
      <c r="R4461">
        <v>1</v>
      </c>
      <c r="S4461" s="2">
        <v>0</v>
      </c>
      <c r="T4461" s="4"/>
      <c r="U4461">
        <v>9</v>
      </c>
      <c r="V4461">
        <v>0</v>
      </c>
      <c r="W4461">
        <v>1</v>
      </c>
    </row>
    <row r="4462" spans="1:23" ht="16.5" x14ac:dyDescent="0.3">
      <c r="A4462" t="s">
        <v>4526</v>
      </c>
      <c r="B4462" s="1">
        <v>45929</v>
      </c>
      <c r="C4462">
        <v>2025</v>
      </c>
      <c r="D4462" t="s">
        <v>1255</v>
      </c>
      <c r="E4462" t="s">
        <v>1623</v>
      </c>
      <c r="F4462" t="s">
        <v>41</v>
      </c>
      <c r="G4462" t="s">
        <v>51</v>
      </c>
      <c r="H4462" t="s">
        <v>55</v>
      </c>
      <c r="I4462" t="s">
        <v>29</v>
      </c>
      <c r="J4462" t="s">
        <v>30</v>
      </c>
      <c r="K4462" s="2">
        <v>4300</v>
      </c>
      <c r="L4462" s="2">
        <v>58500</v>
      </c>
      <c r="M4462">
        <v>60</v>
      </c>
      <c r="N4462" s="3">
        <v>0.53100000000000003</v>
      </c>
      <c r="O4462" t="s">
        <v>16</v>
      </c>
      <c r="Q4462">
        <v>1</v>
      </c>
      <c r="R4462">
        <v>0</v>
      </c>
      <c r="S4462" s="2">
        <v>47000</v>
      </c>
      <c r="T4462" s="4">
        <v>0.1174</v>
      </c>
      <c r="U4462">
        <v>11</v>
      </c>
      <c r="V4462">
        <v>0</v>
      </c>
      <c r="W4462">
        <v>1</v>
      </c>
    </row>
    <row r="4463" spans="1:23" ht="16.5" x14ac:dyDescent="0.3">
      <c r="A4463" t="s">
        <v>4527</v>
      </c>
      <c r="B4463" s="1">
        <v>45929</v>
      </c>
      <c r="C4463">
        <v>2025</v>
      </c>
      <c r="D4463" t="s">
        <v>1255</v>
      </c>
      <c r="E4463" t="s">
        <v>1623</v>
      </c>
      <c r="F4463" t="s">
        <v>26</v>
      </c>
      <c r="G4463" t="s">
        <v>51</v>
      </c>
      <c r="H4463" t="s">
        <v>38</v>
      </c>
      <c r="I4463" t="s">
        <v>29</v>
      </c>
      <c r="J4463" t="s">
        <v>35</v>
      </c>
      <c r="K4463" s="2">
        <v>4200</v>
      </c>
      <c r="L4463" s="2">
        <v>35500</v>
      </c>
      <c r="M4463">
        <v>48</v>
      </c>
      <c r="N4463" s="3">
        <v>0.38100000000000001</v>
      </c>
      <c r="O4463" t="s">
        <v>17</v>
      </c>
      <c r="P4463" t="s">
        <v>48</v>
      </c>
      <c r="Q4463">
        <v>0</v>
      </c>
      <c r="R4463">
        <v>1</v>
      </c>
      <c r="S4463" s="2">
        <v>0</v>
      </c>
      <c r="T4463" s="4"/>
      <c r="U4463">
        <v>3</v>
      </c>
      <c r="V4463">
        <v>1</v>
      </c>
      <c r="W4463">
        <v>1</v>
      </c>
    </row>
    <row r="4464" spans="1:23" ht="16.5" x14ac:dyDescent="0.3">
      <c r="A4464" t="s">
        <v>4528</v>
      </c>
      <c r="B4464" s="1">
        <v>45929</v>
      </c>
      <c r="C4464">
        <v>2025</v>
      </c>
      <c r="D4464" t="s">
        <v>1255</v>
      </c>
      <c r="E4464" t="s">
        <v>1623</v>
      </c>
      <c r="F4464" t="s">
        <v>50</v>
      </c>
      <c r="G4464" t="s">
        <v>45</v>
      </c>
      <c r="H4464" t="s">
        <v>34</v>
      </c>
      <c r="I4464" t="s">
        <v>29</v>
      </c>
      <c r="J4464" t="s">
        <v>35</v>
      </c>
      <c r="K4464" s="2">
        <v>6000</v>
      </c>
      <c r="L4464" s="2">
        <v>333000</v>
      </c>
      <c r="M4464">
        <v>180</v>
      </c>
      <c r="N4464" s="3">
        <v>0.53700000000000003</v>
      </c>
      <c r="O4464" t="s">
        <v>17</v>
      </c>
      <c r="P4464" t="s">
        <v>53</v>
      </c>
      <c r="Q4464">
        <v>0</v>
      </c>
      <c r="R4464">
        <v>1</v>
      </c>
      <c r="S4464" s="2">
        <v>0</v>
      </c>
      <c r="T4464" s="4"/>
      <c r="U4464">
        <v>6</v>
      </c>
      <c r="V4464">
        <v>1</v>
      </c>
      <c r="W4464">
        <v>1</v>
      </c>
    </row>
    <row r="4465" spans="1:23" ht="16.5" x14ac:dyDescent="0.3">
      <c r="A4465" t="s">
        <v>4529</v>
      </c>
      <c r="B4465" s="1">
        <v>45929</v>
      </c>
      <c r="C4465">
        <v>2025</v>
      </c>
      <c r="D4465" t="s">
        <v>1255</v>
      </c>
      <c r="E4465" t="s">
        <v>1623</v>
      </c>
      <c r="F4465" t="s">
        <v>26</v>
      </c>
      <c r="G4465" t="s">
        <v>33</v>
      </c>
      <c r="H4465" t="s">
        <v>34</v>
      </c>
      <c r="I4465" t="s">
        <v>42</v>
      </c>
      <c r="J4465" t="s">
        <v>43</v>
      </c>
      <c r="K4465" s="2">
        <v>4300</v>
      </c>
      <c r="L4465" s="2">
        <v>25000</v>
      </c>
      <c r="M4465">
        <v>36</v>
      </c>
      <c r="N4465" s="3">
        <v>0.36099999999999999</v>
      </c>
      <c r="O4465" t="s">
        <v>17</v>
      </c>
      <c r="P4465" t="s">
        <v>65</v>
      </c>
      <c r="Q4465">
        <v>0</v>
      </c>
      <c r="R4465">
        <v>1</v>
      </c>
      <c r="S4465" s="2">
        <v>0</v>
      </c>
      <c r="T4465" s="4"/>
      <c r="U4465">
        <v>1</v>
      </c>
      <c r="V4465">
        <v>1</v>
      </c>
      <c r="W4465">
        <v>1</v>
      </c>
    </row>
    <row r="4466" spans="1:23" ht="16.5" x14ac:dyDescent="0.3">
      <c r="A4466" t="s">
        <v>4530</v>
      </c>
      <c r="B4466" s="1">
        <v>45930</v>
      </c>
      <c r="C4466">
        <v>2025</v>
      </c>
      <c r="D4466" t="s">
        <v>1255</v>
      </c>
      <c r="E4466" t="s">
        <v>1623</v>
      </c>
      <c r="F4466" t="s">
        <v>37</v>
      </c>
      <c r="G4466" t="s">
        <v>51</v>
      </c>
      <c r="H4466" t="s">
        <v>55</v>
      </c>
      <c r="I4466" t="s">
        <v>29</v>
      </c>
      <c r="J4466" t="s">
        <v>35</v>
      </c>
      <c r="K4466" s="2">
        <v>4250</v>
      </c>
      <c r="L4466" s="2">
        <v>6000</v>
      </c>
      <c r="M4466">
        <v>24</v>
      </c>
      <c r="N4466" s="3">
        <v>0.161</v>
      </c>
      <c r="O4466" t="s">
        <v>16</v>
      </c>
      <c r="Q4466">
        <v>1</v>
      </c>
      <c r="R4466">
        <v>0</v>
      </c>
      <c r="S4466" s="2">
        <v>5500</v>
      </c>
      <c r="T4466" s="4">
        <v>0.124</v>
      </c>
      <c r="U4466">
        <v>3</v>
      </c>
      <c r="V4466">
        <v>1</v>
      </c>
      <c r="W4466">
        <v>1</v>
      </c>
    </row>
    <row r="4467" spans="1:23" ht="16.5" x14ac:dyDescent="0.3">
      <c r="A4467" t="s">
        <v>4531</v>
      </c>
      <c r="B4467" s="1">
        <v>45930</v>
      </c>
      <c r="C4467">
        <v>2025</v>
      </c>
      <c r="D4467" t="s">
        <v>1255</v>
      </c>
      <c r="E4467" t="s">
        <v>1623</v>
      </c>
      <c r="F4467" t="s">
        <v>50</v>
      </c>
      <c r="G4467" t="s">
        <v>27</v>
      </c>
      <c r="H4467" t="s">
        <v>34</v>
      </c>
      <c r="I4467" t="s">
        <v>39</v>
      </c>
      <c r="J4467" t="s">
        <v>35</v>
      </c>
      <c r="K4467" s="2">
        <v>4950</v>
      </c>
      <c r="L4467" s="2">
        <v>343000</v>
      </c>
      <c r="M4467">
        <v>300</v>
      </c>
      <c r="N4467" s="3">
        <v>0.61399999999999999</v>
      </c>
      <c r="O4467" t="s">
        <v>17</v>
      </c>
      <c r="P4467" t="s">
        <v>60</v>
      </c>
      <c r="Q4467">
        <v>0</v>
      </c>
      <c r="R4467">
        <v>1</v>
      </c>
      <c r="S4467" s="2">
        <v>0</v>
      </c>
      <c r="T4467" s="4"/>
      <c r="U4467">
        <v>14</v>
      </c>
      <c r="V4467">
        <v>1</v>
      </c>
      <c r="W4467">
        <v>1</v>
      </c>
    </row>
    <row r="4468" spans="1:23" ht="16.5" x14ac:dyDescent="0.3">
      <c r="A4468" t="s">
        <v>4532</v>
      </c>
      <c r="B4468" s="1">
        <v>45930</v>
      </c>
      <c r="C4468">
        <v>2025</v>
      </c>
      <c r="D4468" t="s">
        <v>1255</v>
      </c>
      <c r="E4468" t="s">
        <v>1623</v>
      </c>
      <c r="F4468" t="s">
        <v>26</v>
      </c>
      <c r="G4468" t="s">
        <v>51</v>
      </c>
      <c r="H4468" t="s">
        <v>38</v>
      </c>
      <c r="I4468" t="s">
        <v>29</v>
      </c>
      <c r="J4468" t="s">
        <v>35</v>
      </c>
      <c r="K4468" s="2">
        <v>7350</v>
      </c>
      <c r="L4468" s="2">
        <v>66000</v>
      </c>
      <c r="M4468">
        <v>36</v>
      </c>
      <c r="N4468" s="3">
        <v>0.44900000000000001</v>
      </c>
      <c r="O4468" t="s">
        <v>16</v>
      </c>
      <c r="Q4468">
        <v>1</v>
      </c>
      <c r="R4468">
        <v>0</v>
      </c>
      <c r="S4468" s="2">
        <v>53000</v>
      </c>
      <c r="T4468" s="4">
        <v>8.0500000000000002E-2</v>
      </c>
      <c r="U4468">
        <v>6</v>
      </c>
      <c r="V4468">
        <v>0</v>
      </c>
      <c r="W4468">
        <v>1</v>
      </c>
    </row>
    <row r="4469" spans="1:23" ht="16.5" x14ac:dyDescent="0.3">
      <c r="A4469" t="s">
        <v>4533</v>
      </c>
      <c r="B4469" s="1">
        <v>45930</v>
      </c>
      <c r="C4469">
        <v>2025</v>
      </c>
      <c r="D4469" t="s">
        <v>1255</v>
      </c>
      <c r="E4469" t="s">
        <v>1623</v>
      </c>
      <c r="F4469" t="s">
        <v>26</v>
      </c>
      <c r="G4469" t="s">
        <v>27</v>
      </c>
      <c r="H4469" t="s">
        <v>64</v>
      </c>
      <c r="I4469" t="s">
        <v>29</v>
      </c>
      <c r="J4469" t="s">
        <v>52</v>
      </c>
      <c r="K4469" s="2">
        <v>4500</v>
      </c>
      <c r="L4469" s="2">
        <v>32500</v>
      </c>
      <c r="M4469">
        <v>48</v>
      </c>
      <c r="N4469" s="3">
        <v>0.39600000000000002</v>
      </c>
      <c r="O4469" t="s">
        <v>16</v>
      </c>
      <c r="Q4469">
        <v>1</v>
      </c>
      <c r="R4469">
        <v>0</v>
      </c>
      <c r="S4469" s="2">
        <v>29000</v>
      </c>
      <c r="T4469" s="4">
        <v>6.6500000000000004E-2</v>
      </c>
      <c r="U4469">
        <v>4</v>
      </c>
      <c r="V4469">
        <v>1</v>
      </c>
      <c r="W4469">
        <v>1</v>
      </c>
    </row>
    <row r="4470" spans="1:23" ht="16.5" x14ac:dyDescent="0.3">
      <c r="A4470" t="s">
        <v>4534</v>
      </c>
      <c r="B4470" s="1">
        <v>45930</v>
      </c>
      <c r="C4470">
        <v>2025</v>
      </c>
      <c r="D4470" t="s">
        <v>1255</v>
      </c>
      <c r="E4470" t="s">
        <v>1623</v>
      </c>
      <c r="F4470" t="s">
        <v>37</v>
      </c>
      <c r="G4470" t="s">
        <v>51</v>
      </c>
      <c r="H4470" t="s">
        <v>55</v>
      </c>
      <c r="I4470" t="s">
        <v>39</v>
      </c>
      <c r="J4470" t="s">
        <v>35</v>
      </c>
      <c r="K4470" s="2">
        <v>3900</v>
      </c>
      <c r="L4470" s="2">
        <v>18000</v>
      </c>
      <c r="M4470">
        <v>12</v>
      </c>
      <c r="N4470" s="3">
        <v>0.54400000000000004</v>
      </c>
      <c r="O4470" t="s">
        <v>17</v>
      </c>
      <c r="P4470" t="s">
        <v>53</v>
      </c>
      <c r="Q4470">
        <v>0</v>
      </c>
      <c r="R4470">
        <v>1</v>
      </c>
      <c r="S4470" s="2">
        <v>0</v>
      </c>
      <c r="T4470" s="4"/>
      <c r="U4470">
        <v>2</v>
      </c>
      <c r="V4470">
        <v>1</v>
      </c>
      <c r="W4470">
        <v>1</v>
      </c>
    </row>
    <row r="4471" spans="1:23" ht="16.5" x14ac:dyDescent="0.3">
      <c r="A4471" t="s">
        <v>4535</v>
      </c>
      <c r="B4471" s="1">
        <v>45930</v>
      </c>
      <c r="C4471">
        <v>2025</v>
      </c>
      <c r="D4471" t="s">
        <v>1255</v>
      </c>
      <c r="E4471" t="s">
        <v>1623</v>
      </c>
      <c r="F4471" t="s">
        <v>26</v>
      </c>
      <c r="G4471" t="s">
        <v>45</v>
      </c>
      <c r="H4471" t="s">
        <v>38</v>
      </c>
      <c r="I4471" t="s">
        <v>29</v>
      </c>
      <c r="J4471" t="s">
        <v>52</v>
      </c>
      <c r="K4471" s="2">
        <v>7000</v>
      </c>
      <c r="L4471" s="2">
        <v>21500</v>
      </c>
      <c r="M4471">
        <v>36</v>
      </c>
      <c r="N4471" s="3">
        <v>0.32200000000000001</v>
      </c>
      <c r="O4471" t="s">
        <v>16</v>
      </c>
      <c r="Q4471">
        <v>1</v>
      </c>
      <c r="R4471">
        <v>0</v>
      </c>
      <c r="S4471" s="2">
        <v>17000</v>
      </c>
      <c r="T4471" s="4">
        <v>7.1599999999999997E-2</v>
      </c>
      <c r="U4471">
        <v>3</v>
      </c>
      <c r="V4471">
        <v>1</v>
      </c>
      <c r="W4471">
        <v>1</v>
      </c>
    </row>
    <row r="4472" spans="1:23" ht="16.5" x14ac:dyDescent="0.3">
      <c r="A4472" t="s">
        <v>4536</v>
      </c>
      <c r="B4472" s="1">
        <v>45930</v>
      </c>
      <c r="C4472">
        <v>2025</v>
      </c>
      <c r="D4472" t="s">
        <v>1255</v>
      </c>
      <c r="E4472" t="s">
        <v>1623</v>
      </c>
      <c r="F4472" t="s">
        <v>37</v>
      </c>
      <c r="G4472" t="s">
        <v>33</v>
      </c>
      <c r="H4472" t="s">
        <v>64</v>
      </c>
      <c r="I4472" t="s">
        <v>29</v>
      </c>
      <c r="J4472" t="s">
        <v>35</v>
      </c>
      <c r="K4472" s="2">
        <v>6700</v>
      </c>
      <c r="L4472" s="2">
        <v>16000</v>
      </c>
      <c r="M4472">
        <v>24</v>
      </c>
      <c r="N4472" s="3">
        <v>0.313</v>
      </c>
      <c r="O4472" t="s">
        <v>16</v>
      </c>
      <c r="Q4472">
        <v>1</v>
      </c>
      <c r="R4472">
        <v>0</v>
      </c>
      <c r="S4472" s="2">
        <v>16000</v>
      </c>
      <c r="T4472" s="4">
        <v>0.1211</v>
      </c>
      <c r="U4472">
        <v>2</v>
      </c>
      <c r="V4472">
        <v>1</v>
      </c>
      <c r="W4472">
        <v>1</v>
      </c>
    </row>
    <row r="4473" spans="1:23" ht="16.5" x14ac:dyDescent="0.3">
      <c r="A4473" t="s">
        <v>4537</v>
      </c>
      <c r="B4473" s="1">
        <v>45930</v>
      </c>
      <c r="C4473">
        <v>2025</v>
      </c>
      <c r="D4473" t="s">
        <v>1255</v>
      </c>
      <c r="E4473" t="s">
        <v>1623</v>
      </c>
      <c r="F4473" t="s">
        <v>37</v>
      </c>
      <c r="G4473" t="s">
        <v>51</v>
      </c>
      <c r="H4473" t="s">
        <v>38</v>
      </c>
      <c r="I4473" t="s">
        <v>29</v>
      </c>
      <c r="J4473" t="s">
        <v>30</v>
      </c>
      <c r="K4473" s="2">
        <v>6300</v>
      </c>
      <c r="L4473" s="2">
        <v>9500</v>
      </c>
      <c r="M4473">
        <v>48</v>
      </c>
      <c r="N4473" s="3">
        <v>0.13900000000000001</v>
      </c>
      <c r="O4473" t="s">
        <v>16</v>
      </c>
      <c r="Q4473">
        <v>1</v>
      </c>
      <c r="R4473">
        <v>0</v>
      </c>
      <c r="S4473" s="2">
        <v>9500</v>
      </c>
      <c r="T4473" s="4">
        <v>0.14099999999999999</v>
      </c>
      <c r="U4473">
        <v>6</v>
      </c>
      <c r="V4473">
        <v>0</v>
      </c>
      <c r="W4473">
        <v>1</v>
      </c>
    </row>
    <row r="4474" spans="1:23" ht="16.5" x14ac:dyDescent="0.3">
      <c r="A4474" t="s">
        <v>4538</v>
      </c>
      <c r="B4474" s="1">
        <v>45930</v>
      </c>
      <c r="C4474">
        <v>2025</v>
      </c>
      <c r="D4474" t="s">
        <v>1255</v>
      </c>
      <c r="E4474" t="s">
        <v>1623</v>
      </c>
      <c r="F4474" t="s">
        <v>37</v>
      </c>
      <c r="G4474" t="s">
        <v>45</v>
      </c>
      <c r="H4474" t="s">
        <v>38</v>
      </c>
      <c r="I4474" t="s">
        <v>42</v>
      </c>
      <c r="J4474" t="s">
        <v>35</v>
      </c>
      <c r="K4474" s="2">
        <v>4550</v>
      </c>
      <c r="L4474" s="2">
        <v>7500</v>
      </c>
      <c r="M4474">
        <v>60</v>
      </c>
      <c r="N4474" s="3">
        <v>0.17</v>
      </c>
      <c r="O4474" t="s">
        <v>17</v>
      </c>
      <c r="P4474" t="s">
        <v>48</v>
      </c>
      <c r="Q4474">
        <v>0</v>
      </c>
      <c r="R4474">
        <v>1</v>
      </c>
      <c r="S4474" s="2">
        <v>0</v>
      </c>
      <c r="T4474" s="4"/>
      <c r="U4474">
        <v>3</v>
      </c>
      <c r="V4474">
        <v>1</v>
      </c>
      <c r="W4474">
        <v>1</v>
      </c>
    </row>
    <row r="4475" spans="1:23" ht="16.5" x14ac:dyDescent="0.3">
      <c r="A4475" t="s">
        <v>4539</v>
      </c>
      <c r="B4475" s="1">
        <v>45930</v>
      </c>
      <c r="C4475">
        <v>2025</v>
      </c>
      <c r="D4475" t="s">
        <v>1255</v>
      </c>
      <c r="E4475" t="s">
        <v>1623</v>
      </c>
      <c r="F4475" t="s">
        <v>37</v>
      </c>
      <c r="G4475" t="s">
        <v>33</v>
      </c>
      <c r="H4475" t="s">
        <v>38</v>
      </c>
      <c r="I4475" t="s">
        <v>42</v>
      </c>
      <c r="J4475" t="s">
        <v>35</v>
      </c>
      <c r="K4475" s="2">
        <v>2650</v>
      </c>
      <c r="L4475" s="2">
        <v>10000</v>
      </c>
      <c r="M4475">
        <v>48</v>
      </c>
      <c r="N4475" s="3">
        <v>0.29499999999999998</v>
      </c>
      <c r="O4475" t="s">
        <v>16</v>
      </c>
      <c r="Q4475">
        <v>1</v>
      </c>
      <c r="R4475">
        <v>0</v>
      </c>
      <c r="S4475" s="2">
        <v>8000</v>
      </c>
      <c r="T4475" s="4">
        <v>0.127</v>
      </c>
      <c r="U4475">
        <v>2</v>
      </c>
      <c r="V4475">
        <v>1</v>
      </c>
      <c r="W4475">
        <v>1</v>
      </c>
    </row>
    <row r="4476" spans="1:23" ht="16.5" x14ac:dyDescent="0.3">
      <c r="A4476" t="s">
        <v>4540</v>
      </c>
      <c r="B4476" s="1">
        <v>45931</v>
      </c>
      <c r="C4476">
        <v>2025</v>
      </c>
      <c r="D4476" t="s">
        <v>1832</v>
      </c>
      <c r="E4476" t="s">
        <v>1833</v>
      </c>
      <c r="F4476" t="s">
        <v>26</v>
      </c>
      <c r="G4476" t="s">
        <v>51</v>
      </c>
      <c r="H4476" t="s">
        <v>55</v>
      </c>
      <c r="I4476" t="s">
        <v>42</v>
      </c>
      <c r="J4476" t="s">
        <v>52</v>
      </c>
      <c r="K4476" s="2">
        <v>8000</v>
      </c>
      <c r="L4476" s="2">
        <v>15500</v>
      </c>
      <c r="M4476">
        <v>48</v>
      </c>
      <c r="N4476" s="3">
        <v>0.13700000000000001</v>
      </c>
      <c r="O4476" t="s">
        <v>16</v>
      </c>
      <c r="Q4476">
        <v>1</v>
      </c>
      <c r="R4476">
        <v>0</v>
      </c>
      <c r="S4476" s="2">
        <v>12500</v>
      </c>
      <c r="T4476" s="4">
        <v>7.4099999999999999E-2</v>
      </c>
      <c r="U4476">
        <v>6</v>
      </c>
      <c r="V4476">
        <v>0</v>
      </c>
      <c r="W4476">
        <v>1</v>
      </c>
    </row>
    <row r="4477" spans="1:23" ht="16.5" x14ac:dyDescent="0.3">
      <c r="A4477" t="s">
        <v>4541</v>
      </c>
      <c r="B4477" s="1">
        <v>45931</v>
      </c>
      <c r="C4477">
        <v>2025</v>
      </c>
      <c r="D4477" t="s">
        <v>1832</v>
      </c>
      <c r="E4477" t="s">
        <v>1833</v>
      </c>
      <c r="F4477" t="s">
        <v>37</v>
      </c>
      <c r="G4477" t="s">
        <v>33</v>
      </c>
      <c r="H4477" t="s">
        <v>38</v>
      </c>
      <c r="I4477" t="s">
        <v>39</v>
      </c>
      <c r="J4477" t="s">
        <v>35</v>
      </c>
      <c r="K4477" s="2">
        <v>7800</v>
      </c>
      <c r="L4477" s="2">
        <v>9500</v>
      </c>
      <c r="M4477">
        <v>24</v>
      </c>
      <c r="N4477" s="3">
        <v>0.14499999999999999</v>
      </c>
      <c r="O4477" t="s">
        <v>16</v>
      </c>
      <c r="Q4477">
        <v>1</v>
      </c>
      <c r="R4477">
        <v>0</v>
      </c>
      <c r="S4477" s="2">
        <v>9500</v>
      </c>
      <c r="T4477" s="4">
        <v>0.1249</v>
      </c>
      <c r="U4477">
        <v>1</v>
      </c>
      <c r="V4477">
        <v>1</v>
      </c>
      <c r="W4477">
        <v>1</v>
      </c>
    </row>
    <row r="4478" spans="1:23" ht="16.5" x14ac:dyDescent="0.3">
      <c r="A4478" t="s">
        <v>4542</v>
      </c>
      <c r="B4478" s="1">
        <v>45931</v>
      </c>
      <c r="C4478">
        <v>2025</v>
      </c>
      <c r="D4478" t="s">
        <v>1832</v>
      </c>
      <c r="E4478" t="s">
        <v>1833</v>
      </c>
      <c r="F4478" t="s">
        <v>37</v>
      </c>
      <c r="G4478" t="s">
        <v>51</v>
      </c>
      <c r="H4478" t="s">
        <v>38</v>
      </c>
      <c r="I4478" t="s">
        <v>39</v>
      </c>
      <c r="J4478" t="s">
        <v>35</v>
      </c>
      <c r="K4478" s="2">
        <v>7300</v>
      </c>
      <c r="L4478" s="2">
        <v>15500</v>
      </c>
      <c r="M4478">
        <v>24</v>
      </c>
      <c r="N4478" s="3">
        <v>0.33700000000000002</v>
      </c>
      <c r="O4478" t="s">
        <v>17</v>
      </c>
      <c r="P4478" t="s">
        <v>48</v>
      </c>
      <c r="Q4478">
        <v>0</v>
      </c>
      <c r="R4478">
        <v>1</v>
      </c>
      <c r="S4478" s="2">
        <v>0</v>
      </c>
      <c r="T4478" s="4"/>
      <c r="U4478">
        <v>5</v>
      </c>
      <c r="V4478">
        <v>0</v>
      </c>
      <c r="W4478">
        <v>1</v>
      </c>
    </row>
    <row r="4479" spans="1:23" ht="16.5" x14ac:dyDescent="0.3">
      <c r="A4479" t="s">
        <v>4543</v>
      </c>
      <c r="B4479" s="1">
        <v>45931</v>
      </c>
      <c r="C4479">
        <v>2025</v>
      </c>
      <c r="D4479" t="s">
        <v>1832</v>
      </c>
      <c r="E4479" t="s">
        <v>1833</v>
      </c>
      <c r="F4479" t="s">
        <v>41</v>
      </c>
      <c r="G4479" t="s">
        <v>51</v>
      </c>
      <c r="H4479" t="s">
        <v>38</v>
      </c>
      <c r="I4479" t="s">
        <v>29</v>
      </c>
      <c r="J4479" t="s">
        <v>30</v>
      </c>
      <c r="K4479" s="2">
        <v>5350</v>
      </c>
      <c r="L4479" s="2">
        <v>108000</v>
      </c>
      <c r="M4479">
        <v>60</v>
      </c>
      <c r="N4479" s="3">
        <v>0.61499999999999999</v>
      </c>
      <c r="O4479" t="s">
        <v>17</v>
      </c>
      <c r="P4479" t="s">
        <v>31</v>
      </c>
      <c r="Q4479">
        <v>0</v>
      </c>
      <c r="R4479">
        <v>1</v>
      </c>
      <c r="S4479" s="2">
        <v>0</v>
      </c>
      <c r="T4479" s="4"/>
      <c r="U4479">
        <v>14</v>
      </c>
      <c r="V4479">
        <v>0</v>
      </c>
      <c r="W4479">
        <v>1</v>
      </c>
    </row>
    <row r="4480" spans="1:23" ht="16.5" x14ac:dyDescent="0.3">
      <c r="A4480" t="s">
        <v>4544</v>
      </c>
      <c r="B4480" s="1">
        <v>45931</v>
      </c>
      <c r="C4480">
        <v>2025</v>
      </c>
      <c r="D4480" t="s">
        <v>1832</v>
      </c>
      <c r="E4480" t="s">
        <v>1833</v>
      </c>
      <c r="F4480" t="s">
        <v>37</v>
      </c>
      <c r="G4480" t="s">
        <v>33</v>
      </c>
      <c r="H4480" t="s">
        <v>38</v>
      </c>
      <c r="I4480" t="s">
        <v>29</v>
      </c>
      <c r="J4480" t="s">
        <v>30</v>
      </c>
      <c r="K4480" s="2">
        <v>6850</v>
      </c>
      <c r="L4480" s="2">
        <v>15000</v>
      </c>
      <c r="M4480">
        <v>48</v>
      </c>
      <c r="N4480" s="3">
        <v>0.14499999999999999</v>
      </c>
      <c r="O4480" t="s">
        <v>17</v>
      </c>
      <c r="P4480" t="s">
        <v>31</v>
      </c>
      <c r="Q4480">
        <v>0</v>
      </c>
      <c r="R4480">
        <v>1</v>
      </c>
      <c r="S4480" s="2">
        <v>0</v>
      </c>
      <c r="T4480" s="4"/>
      <c r="U4480">
        <v>2</v>
      </c>
      <c r="V4480">
        <v>1</v>
      </c>
      <c r="W4480">
        <v>1</v>
      </c>
    </row>
    <row r="4481" spans="1:23" ht="16.5" x14ac:dyDescent="0.3">
      <c r="A4481" t="s">
        <v>4545</v>
      </c>
      <c r="B4481" s="1">
        <v>45931</v>
      </c>
      <c r="C4481">
        <v>2025</v>
      </c>
      <c r="D4481" t="s">
        <v>1832</v>
      </c>
      <c r="E4481" t="s">
        <v>1833</v>
      </c>
      <c r="F4481" t="s">
        <v>26</v>
      </c>
      <c r="G4481" t="s">
        <v>45</v>
      </c>
      <c r="H4481" t="s">
        <v>38</v>
      </c>
      <c r="I4481" t="s">
        <v>29</v>
      </c>
      <c r="J4481" t="s">
        <v>52</v>
      </c>
      <c r="K4481" s="2">
        <v>4000</v>
      </c>
      <c r="L4481" s="2">
        <v>32500</v>
      </c>
      <c r="M4481">
        <v>60</v>
      </c>
      <c r="N4481" s="3">
        <v>0.31900000000000001</v>
      </c>
      <c r="O4481" t="s">
        <v>16</v>
      </c>
      <c r="Q4481">
        <v>1</v>
      </c>
      <c r="R4481">
        <v>0</v>
      </c>
      <c r="S4481" s="2">
        <v>29000</v>
      </c>
      <c r="T4481" s="4">
        <v>6.9699999999999998E-2</v>
      </c>
      <c r="U4481">
        <v>2</v>
      </c>
      <c r="V4481">
        <v>1</v>
      </c>
      <c r="W4481">
        <v>1</v>
      </c>
    </row>
    <row r="4482" spans="1:23" ht="16.5" x14ac:dyDescent="0.3">
      <c r="A4482" t="s">
        <v>4546</v>
      </c>
      <c r="B4482" s="1">
        <v>45931</v>
      </c>
      <c r="C4482">
        <v>2025</v>
      </c>
      <c r="D4482" t="s">
        <v>1832</v>
      </c>
      <c r="E4482" t="s">
        <v>1833</v>
      </c>
      <c r="F4482" t="s">
        <v>26</v>
      </c>
      <c r="G4482" t="s">
        <v>27</v>
      </c>
      <c r="H4482" t="s">
        <v>38</v>
      </c>
      <c r="I4482" t="s">
        <v>29</v>
      </c>
      <c r="J4482" t="s">
        <v>35</v>
      </c>
      <c r="K4482" s="2">
        <v>5200</v>
      </c>
      <c r="L4482" s="2">
        <v>29000</v>
      </c>
      <c r="M4482">
        <v>48</v>
      </c>
      <c r="N4482" s="3">
        <v>0.217</v>
      </c>
      <c r="O4482" t="s">
        <v>17</v>
      </c>
      <c r="P4482" t="s">
        <v>48</v>
      </c>
      <c r="Q4482">
        <v>0</v>
      </c>
      <c r="R4482">
        <v>1</v>
      </c>
      <c r="S4482" s="2">
        <v>0</v>
      </c>
      <c r="T4482" s="4"/>
      <c r="U4482">
        <v>8</v>
      </c>
      <c r="V4482">
        <v>0</v>
      </c>
      <c r="W4482">
        <v>1</v>
      </c>
    </row>
    <row r="4483" spans="1:23" ht="16.5" x14ac:dyDescent="0.3">
      <c r="A4483" t="s">
        <v>4547</v>
      </c>
      <c r="B4483" s="1">
        <v>45932</v>
      </c>
      <c r="C4483">
        <v>2025</v>
      </c>
      <c r="D4483" t="s">
        <v>1832</v>
      </c>
      <c r="E4483" t="s">
        <v>1833</v>
      </c>
      <c r="F4483" t="s">
        <v>26</v>
      </c>
      <c r="G4483" t="s">
        <v>33</v>
      </c>
      <c r="H4483" t="s">
        <v>38</v>
      </c>
      <c r="I4483" t="s">
        <v>39</v>
      </c>
      <c r="J4483" t="s">
        <v>46</v>
      </c>
      <c r="K4483" s="2">
        <v>3200</v>
      </c>
      <c r="L4483" s="2">
        <v>39500</v>
      </c>
      <c r="M4483">
        <v>60</v>
      </c>
      <c r="N4483" s="3">
        <v>0.33400000000000002</v>
      </c>
      <c r="O4483" t="s">
        <v>16</v>
      </c>
      <c r="Q4483">
        <v>1</v>
      </c>
      <c r="R4483">
        <v>0</v>
      </c>
      <c r="S4483" s="2">
        <v>39500</v>
      </c>
      <c r="T4483" s="4">
        <v>6.5100000000000005E-2</v>
      </c>
      <c r="U4483">
        <v>2</v>
      </c>
      <c r="V4483">
        <v>1</v>
      </c>
      <c r="W4483">
        <v>1</v>
      </c>
    </row>
    <row r="4484" spans="1:23" ht="16.5" x14ac:dyDescent="0.3">
      <c r="A4484" t="s">
        <v>4548</v>
      </c>
      <c r="B4484" s="1">
        <v>45932</v>
      </c>
      <c r="C4484">
        <v>2025</v>
      </c>
      <c r="D4484" t="s">
        <v>1832</v>
      </c>
      <c r="E4484" t="s">
        <v>1833</v>
      </c>
      <c r="F4484" t="s">
        <v>26</v>
      </c>
      <c r="G4484" t="s">
        <v>27</v>
      </c>
      <c r="H4484" t="s">
        <v>34</v>
      </c>
      <c r="I4484" t="s">
        <v>42</v>
      </c>
      <c r="J4484" t="s">
        <v>43</v>
      </c>
      <c r="K4484" s="2">
        <v>5200</v>
      </c>
      <c r="L4484" s="2">
        <v>26500</v>
      </c>
      <c r="M4484">
        <v>36</v>
      </c>
      <c r="N4484" s="3">
        <v>0.314</v>
      </c>
      <c r="O4484" t="s">
        <v>17</v>
      </c>
      <c r="P4484" t="s">
        <v>65</v>
      </c>
      <c r="Q4484">
        <v>0</v>
      </c>
      <c r="R4484">
        <v>1</v>
      </c>
      <c r="S4484" s="2">
        <v>0</v>
      </c>
      <c r="T4484" s="4"/>
      <c r="U4484">
        <v>5</v>
      </c>
      <c r="V4484">
        <v>0</v>
      </c>
      <c r="W4484">
        <v>1</v>
      </c>
    </row>
    <row r="4485" spans="1:23" ht="16.5" x14ac:dyDescent="0.3">
      <c r="A4485" t="s">
        <v>4549</v>
      </c>
      <c r="B4485" s="1">
        <v>45932</v>
      </c>
      <c r="C4485">
        <v>2025</v>
      </c>
      <c r="D4485" t="s">
        <v>1832</v>
      </c>
      <c r="E4485" t="s">
        <v>1833</v>
      </c>
      <c r="F4485" t="s">
        <v>26</v>
      </c>
      <c r="G4485" t="s">
        <v>33</v>
      </c>
      <c r="H4485" t="s">
        <v>55</v>
      </c>
      <c r="I4485" t="s">
        <v>29</v>
      </c>
      <c r="J4485" t="s">
        <v>30</v>
      </c>
      <c r="K4485" s="2">
        <v>3650</v>
      </c>
      <c r="L4485" s="2">
        <v>29500</v>
      </c>
      <c r="M4485">
        <v>60</v>
      </c>
      <c r="N4485" s="3">
        <v>0.36499999999999999</v>
      </c>
      <c r="O4485" t="s">
        <v>16</v>
      </c>
      <c r="Q4485">
        <v>1</v>
      </c>
      <c r="R4485">
        <v>0</v>
      </c>
      <c r="S4485" s="2">
        <v>29500</v>
      </c>
      <c r="T4485" s="4">
        <v>9.2600000000000002E-2</v>
      </c>
      <c r="U4485">
        <v>2</v>
      </c>
      <c r="V4485">
        <v>1</v>
      </c>
      <c r="W4485">
        <v>1</v>
      </c>
    </row>
    <row r="4486" spans="1:23" ht="16.5" x14ac:dyDescent="0.3">
      <c r="A4486" t="s">
        <v>4550</v>
      </c>
      <c r="B4486" s="1">
        <v>45932</v>
      </c>
      <c r="C4486">
        <v>2025</v>
      </c>
      <c r="D4486" t="s">
        <v>1832</v>
      </c>
      <c r="E4486" t="s">
        <v>1833</v>
      </c>
      <c r="F4486" t="s">
        <v>26</v>
      </c>
      <c r="G4486" t="s">
        <v>45</v>
      </c>
      <c r="H4486" t="s">
        <v>38</v>
      </c>
      <c r="I4486" t="s">
        <v>29</v>
      </c>
      <c r="J4486" t="s">
        <v>30</v>
      </c>
      <c r="K4486" s="2">
        <v>7150</v>
      </c>
      <c r="L4486" s="2">
        <v>31000</v>
      </c>
      <c r="M4486">
        <v>60</v>
      </c>
      <c r="N4486" s="3">
        <v>0.185</v>
      </c>
      <c r="O4486" t="s">
        <v>16</v>
      </c>
      <c r="Q4486">
        <v>1</v>
      </c>
      <c r="R4486">
        <v>0</v>
      </c>
      <c r="S4486" s="2">
        <v>31000</v>
      </c>
      <c r="T4486" s="4">
        <v>0.1009</v>
      </c>
      <c r="U4486">
        <v>3</v>
      </c>
      <c r="V4486">
        <v>1</v>
      </c>
      <c r="W4486">
        <v>1</v>
      </c>
    </row>
    <row r="4487" spans="1:23" ht="16.5" x14ac:dyDescent="0.3">
      <c r="A4487" t="s">
        <v>4551</v>
      </c>
      <c r="B4487" s="1">
        <v>45932</v>
      </c>
      <c r="C4487">
        <v>2025</v>
      </c>
      <c r="D4487" t="s">
        <v>1832</v>
      </c>
      <c r="E4487" t="s">
        <v>1833</v>
      </c>
      <c r="F4487" t="s">
        <v>26</v>
      </c>
      <c r="G4487" t="s">
        <v>51</v>
      </c>
      <c r="H4487" t="s">
        <v>64</v>
      </c>
      <c r="I4487" t="s">
        <v>29</v>
      </c>
      <c r="J4487" t="s">
        <v>30</v>
      </c>
      <c r="K4487" s="2">
        <v>4600</v>
      </c>
      <c r="L4487" s="2">
        <v>20000</v>
      </c>
      <c r="M4487">
        <v>36</v>
      </c>
      <c r="N4487" s="3">
        <v>0.22600000000000001</v>
      </c>
      <c r="O4487" t="s">
        <v>16</v>
      </c>
      <c r="Q4487">
        <v>1</v>
      </c>
      <c r="R4487">
        <v>0</v>
      </c>
      <c r="S4487" s="2">
        <v>16000</v>
      </c>
      <c r="T4487" s="4">
        <v>9.8199999999999996E-2</v>
      </c>
      <c r="U4487">
        <v>6</v>
      </c>
      <c r="V4487">
        <v>0</v>
      </c>
      <c r="W4487">
        <v>1</v>
      </c>
    </row>
    <row r="4488" spans="1:23" ht="16.5" x14ac:dyDescent="0.3">
      <c r="A4488" t="s">
        <v>4552</v>
      </c>
      <c r="B4488" s="1">
        <v>45932</v>
      </c>
      <c r="C4488">
        <v>2025</v>
      </c>
      <c r="D4488" t="s">
        <v>1832</v>
      </c>
      <c r="E4488" t="s">
        <v>1833</v>
      </c>
      <c r="F4488" t="s">
        <v>26</v>
      </c>
      <c r="G4488" t="s">
        <v>33</v>
      </c>
      <c r="H4488" t="s">
        <v>38</v>
      </c>
      <c r="I4488" t="s">
        <v>29</v>
      </c>
      <c r="J4488" t="s">
        <v>35</v>
      </c>
      <c r="K4488" s="2">
        <v>4850</v>
      </c>
      <c r="L4488" s="2">
        <v>17500</v>
      </c>
      <c r="M4488">
        <v>36</v>
      </c>
      <c r="N4488" s="3">
        <v>0.182</v>
      </c>
      <c r="O4488" t="s">
        <v>16</v>
      </c>
      <c r="Q4488">
        <v>1</v>
      </c>
      <c r="R4488">
        <v>0</v>
      </c>
      <c r="S4488" s="2">
        <v>17500</v>
      </c>
      <c r="T4488" s="4">
        <v>8.6699999999999999E-2</v>
      </c>
      <c r="U4488">
        <v>1</v>
      </c>
      <c r="V4488">
        <v>1</v>
      </c>
      <c r="W4488">
        <v>1</v>
      </c>
    </row>
    <row r="4489" spans="1:23" ht="16.5" x14ac:dyDescent="0.3">
      <c r="A4489" t="s">
        <v>4553</v>
      </c>
      <c r="B4489" s="1">
        <v>45932</v>
      </c>
      <c r="C4489">
        <v>2025</v>
      </c>
      <c r="D4489" t="s">
        <v>1832</v>
      </c>
      <c r="E4489" t="s">
        <v>1833</v>
      </c>
      <c r="F4489" t="s">
        <v>26</v>
      </c>
      <c r="G4489" t="s">
        <v>45</v>
      </c>
      <c r="H4489" t="s">
        <v>28</v>
      </c>
      <c r="I4489" t="s">
        <v>29</v>
      </c>
      <c r="J4489" t="s">
        <v>30</v>
      </c>
      <c r="K4489" s="2">
        <v>6500</v>
      </c>
      <c r="L4489" s="2">
        <v>13500</v>
      </c>
      <c r="M4489">
        <v>48</v>
      </c>
      <c r="N4489" s="3">
        <v>0.221</v>
      </c>
      <c r="O4489" t="s">
        <v>16</v>
      </c>
      <c r="Q4489">
        <v>1</v>
      </c>
      <c r="R4489">
        <v>0</v>
      </c>
      <c r="S4489" s="2">
        <v>12000</v>
      </c>
      <c r="T4489" s="4">
        <v>9.64E-2</v>
      </c>
      <c r="U4489">
        <v>2</v>
      </c>
      <c r="V4489">
        <v>1</v>
      </c>
      <c r="W4489">
        <v>1</v>
      </c>
    </row>
    <row r="4490" spans="1:23" ht="16.5" x14ac:dyDescent="0.3">
      <c r="A4490" t="s">
        <v>4554</v>
      </c>
      <c r="B4490" s="1">
        <v>45932</v>
      </c>
      <c r="C4490">
        <v>2025</v>
      </c>
      <c r="D4490" t="s">
        <v>1832</v>
      </c>
      <c r="E4490" t="s">
        <v>1833</v>
      </c>
      <c r="F4490" t="s">
        <v>37</v>
      </c>
      <c r="G4490" t="s">
        <v>45</v>
      </c>
      <c r="H4490" t="s">
        <v>55</v>
      </c>
      <c r="I4490" t="s">
        <v>39</v>
      </c>
      <c r="J4490" t="s">
        <v>46</v>
      </c>
      <c r="K4490" s="2">
        <v>4350</v>
      </c>
      <c r="L4490" s="2">
        <v>10500</v>
      </c>
      <c r="M4490">
        <v>48</v>
      </c>
      <c r="N4490" s="3">
        <v>0.216</v>
      </c>
      <c r="O4490" t="s">
        <v>16</v>
      </c>
      <c r="Q4490">
        <v>1</v>
      </c>
      <c r="R4490">
        <v>0</v>
      </c>
      <c r="S4490" s="2">
        <v>10500</v>
      </c>
      <c r="T4490" s="4">
        <v>0.11169999999999999</v>
      </c>
      <c r="U4490">
        <v>2</v>
      </c>
      <c r="V4490">
        <v>1</v>
      </c>
      <c r="W4490">
        <v>1</v>
      </c>
    </row>
    <row r="4491" spans="1:23" ht="16.5" x14ac:dyDescent="0.3">
      <c r="A4491" t="s">
        <v>4555</v>
      </c>
      <c r="B4491" s="1">
        <v>45933</v>
      </c>
      <c r="C4491">
        <v>2025</v>
      </c>
      <c r="D4491" t="s">
        <v>1832</v>
      </c>
      <c r="E4491" t="s">
        <v>1833</v>
      </c>
      <c r="F4491" t="s">
        <v>26</v>
      </c>
      <c r="G4491" t="s">
        <v>45</v>
      </c>
      <c r="H4491" t="s">
        <v>34</v>
      </c>
      <c r="I4491" t="s">
        <v>39</v>
      </c>
      <c r="J4491" t="s">
        <v>52</v>
      </c>
      <c r="K4491" s="2">
        <v>3200</v>
      </c>
      <c r="L4491" s="2">
        <v>21000</v>
      </c>
      <c r="M4491">
        <v>48</v>
      </c>
      <c r="N4491" s="3">
        <v>0.223</v>
      </c>
      <c r="O4491" t="s">
        <v>16</v>
      </c>
      <c r="Q4491">
        <v>1</v>
      </c>
      <c r="R4491">
        <v>0</v>
      </c>
      <c r="S4491" s="2">
        <v>21000</v>
      </c>
      <c r="T4491" s="4">
        <v>7.3999999999999996E-2</v>
      </c>
      <c r="U4491">
        <v>4</v>
      </c>
      <c r="V4491">
        <v>1</v>
      </c>
      <c r="W4491">
        <v>1</v>
      </c>
    </row>
    <row r="4492" spans="1:23" ht="16.5" x14ac:dyDescent="0.3">
      <c r="A4492" t="s">
        <v>4556</v>
      </c>
      <c r="B4492" s="1">
        <v>45933</v>
      </c>
      <c r="C4492">
        <v>2025</v>
      </c>
      <c r="D4492" t="s">
        <v>1832</v>
      </c>
      <c r="E4492" t="s">
        <v>1833</v>
      </c>
      <c r="F4492" t="s">
        <v>37</v>
      </c>
      <c r="G4492" t="s">
        <v>33</v>
      </c>
      <c r="H4492" t="s">
        <v>38</v>
      </c>
      <c r="I4492" t="s">
        <v>39</v>
      </c>
      <c r="J4492" t="s">
        <v>30</v>
      </c>
      <c r="K4492" s="2">
        <v>7250</v>
      </c>
      <c r="L4492" s="2">
        <v>9000</v>
      </c>
      <c r="M4492">
        <v>24</v>
      </c>
      <c r="N4492" s="3">
        <v>0.19</v>
      </c>
      <c r="O4492" t="s">
        <v>16</v>
      </c>
      <c r="Q4492">
        <v>1</v>
      </c>
      <c r="R4492">
        <v>0</v>
      </c>
      <c r="S4492" s="2">
        <v>9000</v>
      </c>
      <c r="T4492" s="4">
        <v>0.13800000000000001</v>
      </c>
      <c r="U4492">
        <v>1</v>
      </c>
      <c r="V4492">
        <v>1</v>
      </c>
      <c r="W4492">
        <v>1</v>
      </c>
    </row>
    <row r="4493" spans="1:23" ht="16.5" x14ac:dyDescent="0.3">
      <c r="A4493" t="s">
        <v>4557</v>
      </c>
      <c r="B4493" s="1">
        <v>45933</v>
      </c>
      <c r="C4493">
        <v>2025</v>
      </c>
      <c r="D4493" t="s">
        <v>1832</v>
      </c>
      <c r="E4493" t="s">
        <v>1833</v>
      </c>
      <c r="F4493" t="s">
        <v>41</v>
      </c>
      <c r="G4493" t="s">
        <v>51</v>
      </c>
      <c r="H4493" t="s">
        <v>38</v>
      </c>
      <c r="I4493" t="s">
        <v>42</v>
      </c>
      <c r="J4493" t="s">
        <v>43</v>
      </c>
      <c r="K4493" s="2">
        <v>8700</v>
      </c>
      <c r="L4493" s="2">
        <v>167000</v>
      </c>
      <c r="M4493">
        <v>60</v>
      </c>
      <c r="N4493" s="3">
        <v>0.61299999999999999</v>
      </c>
      <c r="O4493" t="s">
        <v>17</v>
      </c>
      <c r="P4493" t="s">
        <v>31</v>
      </c>
      <c r="Q4493">
        <v>0</v>
      </c>
      <c r="R4493">
        <v>1</v>
      </c>
      <c r="S4493" s="2">
        <v>0</v>
      </c>
      <c r="T4493" s="4"/>
      <c r="U4493">
        <v>16</v>
      </c>
      <c r="V4493">
        <v>0</v>
      </c>
      <c r="W4493">
        <v>1</v>
      </c>
    </row>
    <row r="4494" spans="1:23" ht="16.5" x14ac:dyDescent="0.3">
      <c r="A4494" t="s">
        <v>4558</v>
      </c>
      <c r="B4494" s="1">
        <v>45933</v>
      </c>
      <c r="C4494">
        <v>2025</v>
      </c>
      <c r="D4494" t="s">
        <v>1832</v>
      </c>
      <c r="E4494" t="s">
        <v>1833</v>
      </c>
      <c r="F4494" t="s">
        <v>41</v>
      </c>
      <c r="G4494" t="s">
        <v>33</v>
      </c>
      <c r="H4494" t="s">
        <v>28</v>
      </c>
      <c r="I4494" t="s">
        <v>42</v>
      </c>
      <c r="J4494" t="s">
        <v>35</v>
      </c>
      <c r="K4494" s="2">
        <v>8200</v>
      </c>
      <c r="L4494" s="2">
        <v>86500</v>
      </c>
      <c r="M4494">
        <v>36</v>
      </c>
      <c r="N4494" s="3">
        <v>0.39</v>
      </c>
      <c r="O4494" t="s">
        <v>17</v>
      </c>
      <c r="P4494" t="s">
        <v>31</v>
      </c>
      <c r="Q4494">
        <v>0</v>
      </c>
      <c r="R4494">
        <v>1</v>
      </c>
      <c r="S4494" s="2">
        <v>0</v>
      </c>
      <c r="T4494" s="4"/>
      <c r="U4494">
        <v>2</v>
      </c>
      <c r="V4494">
        <v>1</v>
      </c>
      <c r="W4494">
        <v>1</v>
      </c>
    </row>
    <row r="4495" spans="1:23" ht="16.5" x14ac:dyDescent="0.3">
      <c r="A4495" t="s">
        <v>4559</v>
      </c>
      <c r="B4495" s="1">
        <v>45933</v>
      </c>
      <c r="C4495">
        <v>2025</v>
      </c>
      <c r="D4495" t="s">
        <v>1832</v>
      </c>
      <c r="E4495" t="s">
        <v>1833</v>
      </c>
      <c r="F4495" t="s">
        <v>26</v>
      </c>
      <c r="G4495" t="s">
        <v>33</v>
      </c>
      <c r="H4495" t="s">
        <v>55</v>
      </c>
      <c r="I4495" t="s">
        <v>29</v>
      </c>
      <c r="J4495" t="s">
        <v>35</v>
      </c>
      <c r="K4495" s="2">
        <v>5000</v>
      </c>
      <c r="L4495" s="2">
        <v>39500</v>
      </c>
      <c r="M4495">
        <v>36</v>
      </c>
      <c r="N4495" s="3">
        <v>0.49099999999999999</v>
      </c>
      <c r="O4495" t="s">
        <v>17</v>
      </c>
      <c r="P4495" t="s">
        <v>53</v>
      </c>
      <c r="Q4495">
        <v>0</v>
      </c>
      <c r="R4495">
        <v>1</v>
      </c>
      <c r="S4495" s="2">
        <v>0</v>
      </c>
      <c r="T4495" s="4"/>
      <c r="U4495">
        <v>2</v>
      </c>
      <c r="V4495">
        <v>1</v>
      </c>
      <c r="W4495">
        <v>1</v>
      </c>
    </row>
    <row r="4496" spans="1:23" ht="16.5" x14ac:dyDescent="0.3">
      <c r="A4496" t="s">
        <v>4560</v>
      </c>
      <c r="B4496" s="1">
        <v>45933</v>
      </c>
      <c r="C4496">
        <v>2025</v>
      </c>
      <c r="D4496" t="s">
        <v>1832</v>
      </c>
      <c r="E4496" t="s">
        <v>1833</v>
      </c>
      <c r="F4496" t="s">
        <v>26</v>
      </c>
      <c r="G4496" t="s">
        <v>51</v>
      </c>
      <c r="H4496" t="s">
        <v>38</v>
      </c>
      <c r="I4496" t="s">
        <v>42</v>
      </c>
      <c r="J4496" t="s">
        <v>35</v>
      </c>
      <c r="K4496" s="2">
        <v>8200</v>
      </c>
      <c r="L4496" s="2">
        <v>15000</v>
      </c>
      <c r="M4496">
        <v>36</v>
      </c>
      <c r="N4496" s="3">
        <v>0.151</v>
      </c>
      <c r="O4496" t="s">
        <v>16</v>
      </c>
      <c r="Q4496">
        <v>1</v>
      </c>
      <c r="R4496">
        <v>0</v>
      </c>
      <c r="S4496" s="2">
        <v>12000</v>
      </c>
      <c r="T4496" s="4">
        <v>8.3699999999999997E-2</v>
      </c>
      <c r="U4496">
        <v>5</v>
      </c>
      <c r="V4496">
        <v>0</v>
      </c>
      <c r="W4496">
        <v>1</v>
      </c>
    </row>
    <row r="4497" spans="1:23" ht="16.5" x14ac:dyDescent="0.3">
      <c r="A4497" t="s">
        <v>4561</v>
      </c>
      <c r="B4497" s="1">
        <v>45933</v>
      </c>
      <c r="C4497">
        <v>2025</v>
      </c>
      <c r="D4497" t="s">
        <v>1832</v>
      </c>
      <c r="E4497" t="s">
        <v>1833</v>
      </c>
      <c r="F4497" t="s">
        <v>26</v>
      </c>
      <c r="G4497" t="s">
        <v>51</v>
      </c>
      <c r="H4497" t="s">
        <v>38</v>
      </c>
      <c r="I4497" t="s">
        <v>42</v>
      </c>
      <c r="J4497" t="s">
        <v>35</v>
      </c>
      <c r="K4497" s="2">
        <v>6150</v>
      </c>
      <c r="L4497" s="2">
        <v>25000</v>
      </c>
      <c r="M4497">
        <v>36</v>
      </c>
      <c r="N4497" s="3">
        <v>0.28499999999999998</v>
      </c>
      <c r="O4497" t="s">
        <v>16</v>
      </c>
      <c r="Q4497">
        <v>1</v>
      </c>
      <c r="R4497">
        <v>0</v>
      </c>
      <c r="S4497" s="2">
        <v>22500</v>
      </c>
      <c r="T4497" s="4">
        <v>8.2299999999999998E-2</v>
      </c>
      <c r="U4497">
        <v>5</v>
      </c>
      <c r="V4497">
        <v>0</v>
      </c>
      <c r="W4497">
        <v>1</v>
      </c>
    </row>
    <row r="4498" spans="1:23" ht="16.5" x14ac:dyDescent="0.3">
      <c r="A4498" t="s">
        <v>4562</v>
      </c>
      <c r="B4498" s="1">
        <v>45933</v>
      </c>
      <c r="C4498">
        <v>2025</v>
      </c>
      <c r="D4498" t="s">
        <v>1832</v>
      </c>
      <c r="E4498" t="s">
        <v>1833</v>
      </c>
      <c r="F4498" t="s">
        <v>26</v>
      </c>
      <c r="G4498" t="s">
        <v>33</v>
      </c>
      <c r="H4498" t="s">
        <v>34</v>
      </c>
      <c r="I4498" t="s">
        <v>39</v>
      </c>
      <c r="J4498" t="s">
        <v>46</v>
      </c>
      <c r="K4498" s="2">
        <v>4950</v>
      </c>
      <c r="L4498" s="2">
        <v>12000</v>
      </c>
      <c r="M4498">
        <v>36</v>
      </c>
      <c r="N4498" s="3">
        <v>0.14399999999999999</v>
      </c>
      <c r="O4498" t="s">
        <v>125</v>
      </c>
      <c r="Q4498">
        <v>0</v>
      </c>
      <c r="R4498">
        <v>0</v>
      </c>
      <c r="S4498" s="2">
        <v>0</v>
      </c>
      <c r="T4498" s="4"/>
      <c r="U4498">
        <v>6</v>
      </c>
      <c r="V4498">
        <v>0</v>
      </c>
      <c r="W4498">
        <v>1</v>
      </c>
    </row>
    <row r="4499" spans="1:23" ht="16.5" x14ac:dyDescent="0.3">
      <c r="A4499" t="s">
        <v>4563</v>
      </c>
      <c r="B4499" s="1">
        <v>45934</v>
      </c>
      <c r="C4499">
        <v>2025</v>
      </c>
      <c r="D4499" t="s">
        <v>1832</v>
      </c>
      <c r="E4499" t="s">
        <v>1833</v>
      </c>
      <c r="F4499" t="s">
        <v>37</v>
      </c>
      <c r="G4499" t="s">
        <v>51</v>
      </c>
      <c r="H4499" t="s">
        <v>34</v>
      </c>
      <c r="I4499" t="s">
        <v>42</v>
      </c>
      <c r="J4499" t="s">
        <v>30</v>
      </c>
      <c r="K4499" s="2">
        <v>6550</v>
      </c>
      <c r="L4499" s="2">
        <v>8000</v>
      </c>
      <c r="M4499">
        <v>24</v>
      </c>
      <c r="N4499" s="3">
        <v>0.26300000000000001</v>
      </c>
      <c r="O4499" t="s">
        <v>17</v>
      </c>
      <c r="P4499" t="s">
        <v>31</v>
      </c>
      <c r="Q4499">
        <v>0</v>
      </c>
      <c r="R4499">
        <v>1</v>
      </c>
      <c r="S4499" s="2">
        <v>0</v>
      </c>
      <c r="T4499" s="4"/>
      <c r="U4499">
        <v>5</v>
      </c>
      <c r="V4499">
        <v>0</v>
      </c>
      <c r="W4499">
        <v>1</v>
      </c>
    </row>
    <row r="4500" spans="1:23" ht="16.5" x14ac:dyDescent="0.3">
      <c r="A4500" t="s">
        <v>4564</v>
      </c>
      <c r="B4500" s="1">
        <v>45934</v>
      </c>
      <c r="C4500">
        <v>2025</v>
      </c>
      <c r="D4500" t="s">
        <v>1832</v>
      </c>
      <c r="E4500" t="s">
        <v>1833</v>
      </c>
      <c r="F4500" t="s">
        <v>37</v>
      </c>
      <c r="G4500" t="s">
        <v>51</v>
      </c>
      <c r="H4500" t="s">
        <v>38</v>
      </c>
      <c r="I4500" t="s">
        <v>39</v>
      </c>
      <c r="J4500" t="s">
        <v>43</v>
      </c>
      <c r="K4500" s="2">
        <v>7900</v>
      </c>
      <c r="L4500" s="2">
        <v>12000</v>
      </c>
      <c r="M4500">
        <v>48</v>
      </c>
      <c r="N4500" s="3">
        <v>0.26100000000000001</v>
      </c>
      <c r="O4500" t="s">
        <v>17</v>
      </c>
      <c r="P4500" t="s">
        <v>65</v>
      </c>
      <c r="Q4500">
        <v>0</v>
      </c>
      <c r="R4500">
        <v>1</v>
      </c>
      <c r="S4500" s="2">
        <v>0</v>
      </c>
      <c r="T4500" s="4"/>
      <c r="U4500">
        <v>4</v>
      </c>
      <c r="V4500">
        <v>0</v>
      </c>
      <c r="W4500">
        <v>1</v>
      </c>
    </row>
    <row r="4501" spans="1:23" ht="16.5" x14ac:dyDescent="0.3">
      <c r="A4501" t="s">
        <v>4565</v>
      </c>
      <c r="B4501" s="1">
        <v>45934</v>
      </c>
      <c r="C4501">
        <v>2025</v>
      </c>
      <c r="D4501" t="s">
        <v>1832</v>
      </c>
      <c r="E4501" t="s">
        <v>1833</v>
      </c>
      <c r="F4501" t="s">
        <v>26</v>
      </c>
      <c r="G4501" t="s">
        <v>33</v>
      </c>
      <c r="H4501" t="s">
        <v>34</v>
      </c>
      <c r="I4501" t="s">
        <v>39</v>
      </c>
      <c r="J4501" t="s">
        <v>35</v>
      </c>
      <c r="K4501" s="2">
        <v>5900</v>
      </c>
      <c r="L4501" s="2">
        <v>21000</v>
      </c>
      <c r="M4501">
        <v>36</v>
      </c>
      <c r="N4501" s="3">
        <v>0.34899999999999998</v>
      </c>
      <c r="O4501" t="s">
        <v>16</v>
      </c>
      <c r="Q4501">
        <v>1</v>
      </c>
      <c r="R4501">
        <v>0</v>
      </c>
      <c r="S4501" s="2">
        <v>19000</v>
      </c>
      <c r="T4501" s="4">
        <v>8.6999999999999994E-2</v>
      </c>
      <c r="U4501">
        <v>4</v>
      </c>
      <c r="V4501">
        <v>1</v>
      </c>
      <c r="W4501">
        <v>1</v>
      </c>
    </row>
    <row r="4502" spans="1:23" ht="16.5" x14ac:dyDescent="0.3">
      <c r="A4502" t="s">
        <v>4566</v>
      </c>
      <c r="B4502" s="1">
        <v>45934</v>
      </c>
      <c r="C4502">
        <v>2025</v>
      </c>
      <c r="D4502" t="s">
        <v>1832</v>
      </c>
      <c r="E4502" t="s">
        <v>1833</v>
      </c>
      <c r="F4502" t="s">
        <v>26</v>
      </c>
      <c r="G4502" t="s">
        <v>27</v>
      </c>
      <c r="H4502" t="s">
        <v>28</v>
      </c>
      <c r="I4502" t="s">
        <v>39</v>
      </c>
      <c r="J4502" t="s">
        <v>30</v>
      </c>
      <c r="K4502" s="2">
        <v>6400</v>
      </c>
      <c r="L4502" s="2">
        <v>33000</v>
      </c>
      <c r="M4502">
        <v>36</v>
      </c>
      <c r="N4502" s="3">
        <v>0.23200000000000001</v>
      </c>
      <c r="O4502" t="s">
        <v>17</v>
      </c>
      <c r="P4502" t="s">
        <v>31</v>
      </c>
      <c r="Q4502">
        <v>0</v>
      </c>
      <c r="R4502">
        <v>1</v>
      </c>
      <c r="S4502" s="2">
        <v>0</v>
      </c>
      <c r="T4502" s="4"/>
      <c r="U4502">
        <v>5</v>
      </c>
      <c r="V4502">
        <v>0</v>
      </c>
      <c r="W4502">
        <v>1</v>
      </c>
    </row>
    <row r="4503" spans="1:23" ht="16.5" x14ac:dyDescent="0.3">
      <c r="A4503" t="s">
        <v>4567</v>
      </c>
      <c r="B4503" s="1">
        <v>45934</v>
      </c>
      <c r="C4503">
        <v>2025</v>
      </c>
      <c r="D4503" t="s">
        <v>1832</v>
      </c>
      <c r="E4503" t="s">
        <v>1833</v>
      </c>
      <c r="F4503" t="s">
        <v>26</v>
      </c>
      <c r="G4503" t="s">
        <v>33</v>
      </c>
      <c r="H4503" t="s">
        <v>38</v>
      </c>
      <c r="I4503" t="s">
        <v>29</v>
      </c>
      <c r="J4503" t="s">
        <v>30</v>
      </c>
      <c r="K4503" s="2">
        <v>4200</v>
      </c>
      <c r="L4503" s="2">
        <v>26000</v>
      </c>
      <c r="M4503">
        <v>60</v>
      </c>
      <c r="N4503" s="3">
        <v>0.17799999999999999</v>
      </c>
      <c r="O4503" t="s">
        <v>17</v>
      </c>
      <c r="P4503" t="s">
        <v>31</v>
      </c>
      <c r="Q4503">
        <v>0</v>
      </c>
      <c r="R4503">
        <v>1</v>
      </c>
      <c r="S4503" s="2">
        <v>0</v>
      </c>
      <c r="T4503" s="4"/>
      <c r="U4503">
        <v>1</v>
      </c>
      <c r="V4503">
        <v>1</v>
      </c>
      <c r="W4503">
        <v>1</v>
      </c>
    </row>
    <row r="4504" spans="1:23" ht="16.5" x14ac:dyDescent="0.3">
      <c r="A4504" t="s">
        <v>4568</v>
      </c>
      <c r="B4504" s="1">
        <v>45935</v>
      </c>
      <c r="C4504">
        <v>2025</v>
      </c>
      <c r="D4504" t="s">
        <v>1832</v>
      </c>
      <c r="E4504" t="s">
        <v>1833</v>
      </c>
      <c r="F4504" t="s">
        <v>50</v>
      </c>
      <c r="G4504" t="s">
        <v>51</v>
      </c>
      <c r="H4504" t="s">
        <v>64</v>
      </c>
      <c r="I4504" t="s">
        <v>29</v>
      </c>
      <c r="J4504" t="s">
        <v>43</v>
      </c>
      <c r="K4504" s="2">
        <v>2750</v>
      </c>
      <c r="L4504" s="2">
        <v>245000</v>
      </c>
      <c r="M4504">
        <v>180</v>
      </c>
      <c r="N4504" s="3">
        <v>0.85899999999999999</v>
      </c>
      <c r="O4504" t="s">
        <v>17</v>
      </c>
      <c r="P4504" t="s">
        <v>53</v>
      </c>
      <c r="Q4504">
        <v>0</v>
      </c>
      <c r="R4504">
        <v>1</v>
      </c>
      <c r="S4504" s="2">
        <v>0</v>
      </c>
      <c r="T4504" s="4"/>
      <c r="U4504">
        <v>17</v>
      </c>
      <c r="V4504">
        <v>0</v>
      </c>
      <c r="W4504">
        <v>1</v>
      </c>
    </row>
    <row r="4505" spans="1:23" ht="16.5" x14ac:dyDescent="0.3">
      <c r="A4505" t="s">
        <v>4569</v>
      </c>
      <c r="B4505" s="1">
        <v>45935</v>
      </c>
      <c r="C4505">
        <v>2025</v>
      </c>
      <c r="D4505" t="s">
        <v>1832</v>
      </c>
      <c r="E4505" t="s">
        <v>1833</v>
      </c>
      <c r="F4505" t="s">
        <v>41</v>
      </c>
      <c r="G4505" t="s">
        <v>27</v>
      </c>
      <c r="H4505" t="s">
        <v>38</v>
      </c>
      <c r="I4505" t="s">
        <v>29</v>
      </c>
      <c r="J4505" t="s">
        <v>35</v>
      </c>
      <c r="K4505" s="2">
        <v>3000</v>
      </c>
      <c r="L4505" s="2">
        <v>115500</v>
      </c>
      <c r="M4505">
        <v>12</v>
      </c>
      <c r="N4505" s="3">
        <v>3.4340000000000002</v>
      </c>
      <c r="O4505" t="s">
        <v>17</v>
      </c>
      <c r="P4505" t="s">
        <v>53</v>
      </c>
      <c r="Q4505">
        <v>0</v>
      </c>
      <c r="R4505">
        <v>1</v>
      </c>
      <c r="S4505" s="2">
        <v>0</v>
      </c>
      <c r="T4505" s="4"/>
      <c r="U4505">
        <v>7</v>
      </c>
      <c r="V4505">
        <v>1</v>
      </c>
      <c r="W4505">
        <v>1</v>
      </c>
    </row>
    <row r="4506" spans="1:23" ht="16.5" x14ac:dyDescent="0.3">
      <c r="A4506" t="s">
        <v>4570</v>
      </c>
      <c r="B4506" s="1">
        <v>45935</v>
      </c>
      <c r="C4506">
        <v>2025</v>
      </c>
      <c r="D4506" t="s">
        <v>1832</v>
      </c>
      <c r="E4506" t="s">
        <v>1833</v>
      </c>
      <c r="F4506" t="s">
        <v>37</v>
      </c>
      <c r="G4506" t="s">
        <v>45</v>
      </c>
      <c r="H4506" t="s">
        <v>55</v>
      </c>
      <c r="I4506" t="s">
        <v>29</v>
      </c>
      <c r="J4506" t="s">
        <v>35</v>
      </c>
      <c r="K4506" s="2">
        <v>8550</v>
      </c>
      <c r="L4506" s="2">
        <v>13000</v>
      </c>
      <c r="M4506">
        <v>36</v>
      </c>
      <c r="N4506" s="3">
        <v>0.153</v>
      </c>
      <c r="O4506" t="s">
        <v>16</v>
      </c>
      <c r="Q4506">
        <v>1</v>
      </c>
      <c r="R4506">
        <v>0</v>
      </c>
      <c r="S4506" s="2">
        <v>13000</v>
      </c>
      <c r="T4506" s="4">
        <v>0.12620000000000001</v>
      </c>
      <c r="U4506">
        <v>3</v>
      </c>
      <c r="V4506">
        <v>1</v>
      </c>
      <c r="W4506">
        <v>1</v>
      </c>
    </row>
    <row r="4507" spans="1:23" ht="16.5" x14ac:dyDescent="0.3">
      <c r="A4507" t="s">
        <v>4571</v>
      </c>
      <c r="B4507" s="1">
        <v>45935</v>
      </c>
      <c r="C4507">
        <v>2025</v>
      </c>
      <c r="D4507" t="s">
        <v>1832</v>
      </c>
      <c r="E4507" t="s">
        <v>1833</v>
      </c>
      <c r="F4507" t="s">
        <v>26</v>
      </c>
      <c r="G4507" t="s">
        <v>27</v>
      </c>
      <c r="H4507" t="s">
        <v>38</v>
      </c>
      <c r="I4507" t="s">
        <v>29</v>
      </c>
      <c r="J4507" t="s">
        <v>35</v>
      </c>
      <c r="K4507" s="2">
        <v>3900</v>
      </c>
      <c r="L4507" s="2">
        <v>12500</v>
      </c>
      <c r="M4507">
        <v>60</v>
      </c>
      <c r="N4507" s="3">
        <v>0.28299999999999997</v>
      </c>
      <c r="O4507" t="s">
        <v>16</v>
      </c>
      <c r="Q4507">
        <v>1</v>
      </c>
      <c r="R4507">
        <v>0</v>
      </c>
      <c r="S4507" s="2">
        <v>11000</v>
      </c>
      <c r="T4507" s="4">
        <v>8.2799999999999999E-2</v>
      </c>
      <c r="U4507">
        <v>4</v>
      </c>
      <c r="V4507">
        <v>1</v>
      </c>
      <c r="W4507">
        <v>1</v>
      </c>
    </row>
    <row r="4508" spans="1:23" ht="16.5" x14ac:dyDescent="0.3">
      <c r="A4508" t="s">
        <v>4572</v>
      </c>
      <c r="B4508" s="1">
        <v>45935</v>
      </c>
      <c r="C4508">
        <v>2025</v>
      </c>
      <c r="D4508" t="s">
        <v>1832</v>
      </c>
      <c r="E4508" t="s">
        <v>1833</v>
      </c>
      <c r="F4508" t="s">
        <v>37</v>
      </c>
      <c r="G4508" t="s">
        <v>51</v>
      </c>
      <c r="H4508" t="s">
        <v>34</v>
      </c>
      <c r="I4508" t="s">
        <v>29</v>
      </c>
      <c r="J4508" t="s">
        <v>35</v>
      </c>
      <c r="K4508" s="2">
        <v>6450</v>
      </c>
      <c r="L4508" s="2">
        <v>13500</v>
      </c>
      <c r="M4508">
        <v>48</v>
      </c>
      <c r="N4508" s="3">
        <v>0.28100000000000003</v>
      </c>
      <c r="O4508" t="s">
        <v>125</v>
      </c>
      <c r="Q4508">
        <v>0</v>
      </c>
      <c r="R4508">
        <v>0</v>
      </c>
      <c r="S4508" s="2">
        <v>0</v>
      </c>
      <c r="T4508" s="4"/>
      <c r="U4508">
        <v>3</v>
      </c>
      <c r="V4508">
        <v>1</v>
      </c>
      <c r="W4508">
        <v>1</v>
      </c>
    </row>
    <row r="4509" spans="1:23" ht="16.5" x14ac:dyDescent="0.3">
      <c r="A4509" t="s">
        <v>4573</v>
      </c>
      <c r="B4509" s="1">
        <v>45936</v>
      </c>
      <c r="C4509">
        <v>2025</v>
      </c>
      <c r="D4509" t="s">
        <v>1832</v>
      </c>
      <c r="E4509" t="s">
        <v>1833</v>
      </c>
      <c r="F4509" t="s">
        <v>26</v>
      </c>
      <c r="G4509" t="s">
        <v>45</v>
      </c>
      <c r="H4509" t="s">
        <v>38</v>
      </c>
      <c r="I4509" t="s">
        <v>42</v>
      </c>
      <c r="J4509" t="s">
        <v>46</v>
      </c>
      <c r="K4509" s="2">
        <v>4300</v>
      </c>
      <c r="L4509" s="2">
        <v>24500</v>
      </c>
      <c r="M4509">
        <v>60</v>
      </c>
      <c r="N4509" s="3">
        <v>0.17299999999999999</v>
      </c>
      <c r="O4509" t="s">
        <v>16</v>
      </c>
      <c r="Q4509">
        <v>1</v>
      </c>
      <c r="R4509">
        <v>0</v>
      </c>
      <c r="S4509" s="2">
        <v>22000</v>
      </c>
      <c r="T4509" s="4">
        <v>6.7599999999999993E-2</v>
      </c>
      <c r="U4509">
        <v>3</v>
      </c>
      <c r="V4509">
        <v>1</v>
      </c>
      <c r="W4509">
        <v>1</v>
      </c>
    </row>
    <row r="4510" spans="1:23" ht="16.5" x14ac:dyDescent="0.3">
      <c r="A4510" t="s">
        <v>4574</v>
      </c>
      <c r="B4510" s="1">
        <v>45936</v>
      </c>
      <c r="C4510">
        <v>2025</v>
      </c>
      <c r="D4510" t="s">
        <v>1832</v>
      </c>
      <c r="E4510" t="s">
        <v>1833</v>
      </c>
      <c r="F4510" t="s">
        <v>26</v>
      </c>
      <c r="G4510" t="s">
        <v>27</v>
      </c>
      <c r="H4510" t="s">
        <v>28</v>
      </c>
      <c r="I4510" t="s">
        <v>39</v>
      </c>
      <c r="J4510" t="s">
        <v>46</v>
      </c>
      <c r="K4510" s="2">
        <v>9650</v>
      </c>
      <c r="L4510" s="2">
        <v>30500</v>
      </c>
      <c r="M4510">
        <v>36</v>
      </c>
      <c r="N4510" s="3">
        <v>0.20200000000000001</v>
      </c>
      <c r="O4510" t="s">
        <v>17</v>
      </c>
      <c r="P4510" t="s">
        <v>60</v>
      </c>
      <c r="Q4510">
        <v>0</v>
      </c>
      <c r="R4510">
        <v>1</v>
      </c>
      <c r="S4510" s="2">
        <v>0</v>
      </c>
      <c r="T4510" s="4"/>
      <c r="U4510">
        <v>9</v>
      </c>
      <c r="V4510">
        <v>0</v>
      </c>
      <c r="W4510">
        <v>1</v>
      </c>
    </row>
    <row r="4511" spans="1:23" ht="16.5" x14ac:dyDescent="0.3">
      <c r="A4511" t="s">
        <v>4575</v>
      </c>
      <c r="B4511" s="1">
        <v>45936</v>
      </c>
      <c r="C4511">
        <v>2025</v>
      </c>
      <c r="D4511" t="s">
        <v>1832</v>
      </c>
      <c r="E4511" t="s">
        <v>1833</v>
      </c>
      <c r="F4511" t="s">
        <v>50</v>
      </c>
      <c r="G4511" t="s">
        <v>45</v>
      </c>
      <c r="H4511" t="s">
        <v>55</v>
      </c>
      <c r="I4511" t="s">
        <v>29</v>
      </c>
      <c r="J4511" t="s">
        <v>43</v>
      </c>
      <c r="K4511" s="2">
        <v>4200</v>
      </c>
      <c r="L4511" s="2">
        <v>276000</v>
      </c>
      <c r="M4511">
        <v>180</v>
      </c>
      <c r="N4511" s="3">
        <v>0.56999999999999995</v>
      </c>
      <c r="O4511" t="s">
        <v>17</v>
      </c>
      <c r="P4511" t="s">
        <v>53</v>
      </c>
      <c r="Q4511">
        <v>0</v>
      </c>
      <c r="R4511">
        <v>1</v>
      </c>
      <c r="S4511" s="2">
        <v>0</v>
      </c>
      <c r="T4511" s="4"/>
      <c r="U4511">
        <v>9</v>
      </c>
      <c r="V4511">
        <v>1</v>
      </c>
      <c r="W4511">
        <v>1</v>
      </c>
    </row>
    <row r="4512" spans="1:23" ht="16.5" x14ac:dyDescent="0.3">
      <c r="A4512" t="s">
        <v>4576</v>
      </c>
      <c r="B4512" s="1">
        <v>45936</v>
      </c>
      <c r="C4512">
        <v>2025</v>
      </c>
      <c r="D4512" t="s">
        <v>1832</v>
      </c>
      <c r="E4512" t="s">
        <v>1833</v>
      </c>
      <c r="F4512" t="s">
        <v>50</v>
      </c>
      <c r="G4512" t="s">
        <v>33</v>
      </c>
      <c r="H4512" t="s">
        <v>34</v>
      </c>
      <c r="I4512" t="s">
        <v>39</v>
      </c>
      <c r="J4512" t="s">
        <v>52</v>
      </c>
      <c r="K4512" s="2">
        <v>6150</v>
      </c>
      <c r="L4512" s="2">
        <v>345000</v>
      </c>
      <c r="M4512">
        <v>240</v>
      </c>
      <c r="N4512" s="3">
        <v>0.53500000000000003</v>
      </c>
      <c r="O4512" t="s">
        <v>16</v>
      </c>
      <c r="Q4512">
        <v>1</v>
      </c>
      <c r="R4512">
        <v>0</v>
      </c>
      <c r="S4512" s="2">
        <v>345000</v>
      </c>
      <c r="T4512" s="4">
        <v>5.7299999999999997E-2</v>
      </c>
      <c r="U4512">
        <v>4</v>
      </c>
      <c r="V4512">
        <v>1</v>
      </c>
      <c r="W4512">
        <v>1</v>
      </c>
    </row>
    <row r="4513" spans="1:23" ht="16.5" x14ac:dyDescent="0.3">
      <c r="A4513" t="s">
        <v>4577</v>
      </c>
      <c r="B4513" s="1">
        <v>45936</v>
      </c>
      <c r="C4513">
        <v>2025</v>
      </c>
      <c r="D4513" t="s">
        <v>1832</v>
      </c>
      <c r="E4513" t="s">
        <v>1833</v>
      </c>
      <c r="F4513" t="s">
        <v>41</v>
      </c>
      <c r="G4513" t="s">
        <v>33</v>
      </c>
      <c r="H4513" t="s">
        <v>38</v>
      </c>
      <c r="I4513" t="s">
        <v>39</v>
      </c>
      <c r="J4513" t="s">
        <v>35</v>
      </c>
      <c r="K4513" s="2">
        <v>2450</v>
      </c>
      <c r="L4513" s="2">
        <v>102000</v>
      </c>
      <c r="M4513">
        <v>12</v>
      </c>
      <c r="N4513" s="3">
        <v>3.794</v>
      </c>
      <c r="O4513" t="s">
        <v>17</v>
      </c>
      <c r="P4513" t="s">
        <v>53</v>
      </c>
      <c r="Q4513">
        <v>0</v>
      </c>
      <c r="R4513">
        <v>1</v>
      </c>
      <c r="S4513" s="2">
        <v>0</v>
      </c>
      <c r="T4513" s="4"/>
      <c r="U4513">
        <v>6</v>
      </c>
      <c r="V4513">
        <v>1</v>
      </c>
      <c r="W4513">
        <v>1</v>
      </c>
    </row>
    <row r="4514" spans="1:23" ht="16.5" x14ac:dyDescent="0.3">
      <c r="A4514" t="s">
        <v>4578</v>
      </c>
      <c r="B4514" s="1">
        <v>45936</v>
      </c>
      <c r="C4514">
        <v>2025</v>
      </c>
      <c r="D4514" t="s">
        <v>1832</v>
      </c>
      <c r="E4514" t="s">
        <v>1833</v>
      </c>
      <c r="F4514" t="s">
        <v>37</v>
      </c>
      <c r="G4514" t="s">
        <v>51</v>
      </c>
      <c r="H4514" t="s">
        <v>34</v>
      </c>
      <c r="I4514" t="s">
        <v>39</v>
      </c>
      <c r="J4514" t="s">
        <v>46</v>
      </c>
      <c r="K4514" s="2">
        <v>3800</v>
      </c>
      <c r="L4514" s="2">
        <v>19000</v>
      </c>
      <c r="M4514">
        <v>12</v>
      </c>
      <c r="N4514" s="3">
        <v>0.51700000000000002</v>
      </c>
      <c r="O4514" t="s">
        <v>16</v>
      </c>
      <c r="Q4514">
        <v>1</v>
      </c>
      <c r="R4514">
        <v>0</v>
      </c>
      <c r="S4514" s="2">
        <v>17000</v>
      </c>
      <c r="T4514" s="4">
        <v>0.11310000000000001</v>
      </c>
      <c r="U4514">
        <v>6</v>
      </c>
      <c r="V4514">
        <v>0</v>
      </c>
      <c r="W4514">
        <v>1</v>
      </c>
    </row>
    <row r="4515" spans="1:23" ht="16.5" x14ac:dyDescent="0.3">
      <c r="A4515" t="s">
        <v>4579</v>
      </c>
      <c r="B4515" s="1">
        <v>45936</v>
      </c>
      <c r="C4515">
        <v>2025</v>
      </c>
      <c r="D4515" t="s">
        <v>1832</v>
      </c>
      <c r="E4515" t="s">
        <v>1833</v>
      </c>
      <c r="F4515" t="s">
        <v>37</v>
      </c>
      <c r="G4515" t="s">
        <v>45</v>
      </c>
      <c r="H4515" t="s">
        <v>55</v>
      </c>
      <c r="I4515" t="s">
        <v>29</v>
      </c>
      <c r="J4515" t="s">
        <v>43</v>
      </c>
      <c r="K4515" s="2">
        <v>3700</v>
      </c>
      <c r="L4515" s="2">
        <v>12000</v>
      </c>
      <c r="M4515">
        <v>36</v>
      </c>
      <c r="N4515" s="3">
        <v>0.252</v>
      </c>
      <c r="O4515" t="s">
        <v>17</v>
      </c>
      <c r="P4515" t="s">
        <v>31</v>
      </c>
      <c r="Q4515">
        <v>0</v>
      </c>
      <c r="R4515">
        <v>1</v>
      </c>
      <c r="S4515" s="2">
        <v>0</v>
      </c>
      <c r="T4515" s="4"/>
      <c r="U4515">
        <v>3</v>
      </c>
      <c r="V4515">
        <v>1</v>
      </c>
      <c r="W4515">
        <v>1</v>
      </c>
    </row>
    <row r="4516" spans="1:23" ht="16.5" x14ac:dyDescent="0.3">
      <c r="A4516" t="s">
        <v>4580</v>
      </c>
      <c r="B4516" s="1">
        <v>45936</v>
      </c>
      <c r="C4516">
        <v>2025</v>
      </c>
      <c r="D4516" t="s">
        <v>1832</v>
      </c>
      <c r="E4516" t="s">
        <v>1833</v>
      </c>
      <c r="F4516" t="s">
        <v>37</v>
      </c>
      <c r="G4516" t="s">
        <v>45</v>
      </c>
      <c r="H4516" t="s">
        <v>38</v>
      </c>
      <c r="I4516" t="s">
        <v>39</v>
      </c>
      <c r="J4516" t="s">
        <v>43</v>
      </c>
      <c r="K4516" s="2">
        <v>4750</v>
      </c>
      <c r="L4516" s="2">
        <v>10500</v>
      </c>
      <c r="M4516">
        <v>12</v>
      </c>
      <c r="N4516" s="3">
        <v>0.372</v>
      </c>
      <c r="O4516" t="s">
        <v>17</v>
      </c>
      <c r="P4516" t="s">
        <v>31</v>
      </c>
      <c r="Q4516">
        <v>0</v>
      </c>
      <c r="R4516">
        <v>1</v>
      </c>
      <c r="S4516" s="2">
        <v>0</v>
      </c>
      <c r="T4516" s="4"/>
      <c r="U4516">
        <v>3</v>
      </c>
      <c r="V4516">
        <v>1</v>
      </c>
      <c r="W4516">
        <v>1</v>
      </c>
    </row>
    <row r="4517" spans="1:23" ht="16.5" x14ac:dyDescent="0.3">
      <c r="A4517" t="s">
        <v>4581</v>
      </c>
      <c r="B4517" s="1">
        <v>45936</v>
      </c>
      <c r="C4517">
        <v>2025</v>
      </c>
      <c r="D4517" t="s">
        <v>1832</v>
      </c>
      <c r="E4517" t="s">
        <v>1833</v>
      </c>
      <c r="F4517" t="s">
        <v>50</v>
      </c>
      <c r="G4517" t="s">
        <v>33</v>
      </c>
      <c r="H4517" t="s">
        <v>55</v>
      </c>
      <c r="I4517" t="s">
        <v>39</v>
      </c>
      <c r="J4517" t="s">
        <v>35</v>
      </c>
      <c r="K4517" s="2">
        <v>8550</v>
      </c>
      <c r="L4517" s="2">
        <v>374000</v>
      </c>
      <c r="M4517">
        <v>300</v>
      </c>
      <c r="N4517" s="3">
        <v>0.45800000000000002</v>
      </c>
      <c r="O4517" t="s">
        <v>16</v>
      </c>
      <c r="Q4517">
        <v>1</v>
      </c>
      <c r="R4517">
        <v>0</v>
      </c>
      <c r="S4517" s="2">
        <v>374000</v>
      </c>
      <c r="T4517" s="4">
        <v>5.8799999999999998E-2</v>
      </c>
      <c r="U4517">
        <v>10</v>
      </c>
      <c r="V4517">
        <v>1</v>
      </c>
      <c r="W4517">
        <v>1</v>
      </c>
    </row>
    <row r="4518" spans="1:23" ht="16.5" x14ac:dyDescent="0.3">
      <c r="A4518" t="s">
        <v>4582</v>
      </c>
      <c r="B4518" s="1">
        <v>45936</v>
      </c>
      <c r="C4518">
        <v>2025</v>
      </c>
      <c r="D4518" t="s">
        <v>1832</v>
      </c>
      <c r="E4518" t="s">
        <v>1833</v>
      </c>
      <c r="F4518" t="s">
        <v>26</v>
      </c>
      <c r="G4518" t="s">
        <v>27</v>
      </c>
      <c r="H4518" t="s">
        <v>38</v>
      </c>
      <c r="I4518" t="s">
        <v>29</v>
      </c>
      <c r="J4518" t="s">
        <v>52</v>
      </c>
      <c r="K4518" s="2">
        <v>3900</v>
      </c>
      <c r="L4518" s="2">
        <v>27000</v>
      </c>
      <c r="M4518">
        <v>48</v>
      </c>
      <c r="N4518" s="3">
        <v>0.26900000000000002</v>
      </c>
      <c r="O4518" t="s">
        <v>17</v>
      </c>
      <c r="P4518" t="s">
        <v>60</v>
      </c>
      <c r="Q4518">
        <v>0</v>
      </c>
      <c r="R4518">
        <v>1</v>
      </c>
      <c r="S4518" s="2">
        <v>0</v>
      </c>
      <c r="T4518" s="4"/>
      <c r="U4518">
        <v>8</v>
      </c>
      <c r="V4518">
        <v>0</v>
      </c>
      <c r="W4518">
        <v>1</v>
      </c>
    </row>
    <row r="4519" spans="1:23" ht="16.5" x14ac:dyDescent="0.3">
      <c r="A4519" t="s">
        <v>4583</v>
      </c>
      <c r="B4519" s="1">
        <v>45936</v>
      </c>
      <c r="C4519">
        <v>2025</v>
      </c>
      <c r="D4519" t="s">
        <v>1832</v>
      </c>
      <c r="E4519" t="s">
        <v>1833</v>
      </c>
      <c r="F4519" t="s">
        <v>26</v>
      </c>
      <c r="G4519" t="s">
        <v>45</v>
      </c>
      <c r="H4519" t="s">
        <v>34</v>
      </c>
      <c r="I4519" t="s">
        <v>39</v>
      </c>
      <c r="J4519" t="s">
        <v>52</v>
      </c>
      <c r="K4519" s="2">
        <v>6400</v>
      </c>
      <c r="L4519" s="2">
        <v>21000</v>
      </c>
      <c r="M4519">
        <v>36</v>
      </c>
      <c r="N4519" s="3">
        <v>0.28299999999999997</v>
      </c>
      <c r="O4519" t="s">
        <v>17</v>
      </c>
      <c r="P4519" t="s">
        <v>60</v>
      </c>
      <c r="Q4519">
        <v>0</v>
      </c>
      <c r="R4519">
        <v>1</v>
      </c>
      <c r="S4519" s="2">
        <v>0</v>
      </c>
      <c r="T4519" s="4"/>
      <c r="U4519">
        <v>6</v>
      </c>
      <c r="V4519">
        <v>0</v>
      </c>
      <c r="W4519">
        <v>1</v>
      </c>
    </row>
    <row r="4520" spans="1:23" ht="16.5" x14ac:dyDescent="0.3">
      <c r="A4520" t="s">
        <v>4584</v>
      </c>
      <c r="B4520" s="1">
        <v>45936</v>
      </c>
      <c r="C4520">
        <v>2025</v>
      </c>
      <c r="D4520" t="s">
        <v>1832</v>
      </c>
      <c r="E4520" t="s">
        <v>1833</v>
      </c>
      <c r="F4520" t="s">
        <v>50</v>
      </c>
      <c r="G4520" t="s">
        <v>27</v>
      </c>
      <c r="H4520" t="s">
        <v>55</v>
      </c>
      <c r="I4520" t="s">
        <v>39</v>
      </c>
      <c r="J4520" t="s">
        <v>52</v>
      </c>
      <c r="K4520" s="2">
        <v>4250</v>
      </c>
      <c r="L4520" s="2">
        <v>346000</v>
      </c>
      <c r="M4520">
        <v>180</v>
      </c>
      <c r="N4520" s="3">
        <v>0.77600000000000002</v>
      </c>
      <c r="O4520" t="s">
        <v>16</v>
      </c>
      <c r="Q4520">
        <v>1</v>
      </c>
      <c r="R4520">
        <v>0</v>
      </c>
      <c r="S4520" s="2">
        <v>346000</v>
      </c>
      <c r="T4520" s="4">
        <v>4.7600000000000003E-2</v>
      </c>
      <c r="U4520">
        <v>12</v>
      </c>
      <c r="V4520">
        <v>1</v>
      </c>
      <c r="W4520">
        <v>1</v>
      </c>
    </row>
    <row r="4521" spans="1:23" ht="16.5" x14ac:dyDescent="0.3">
      <c r="A4521" t="s">
        <v>4585</v>
      </c>
      <c r="B4521" s="1">
        <v>45936</v>
      </c>
      <c r="C4521">
        <v>2025</v>
      </c>
      <c r="D4521" t="s">
        <v>1832</v>
      </c>
      <c r="E4521" t="s">
        <v>1833</v>
      </c>
      <c r="F4521" t="s">
        <v>37</v>
      </c>
      <c r="G4521" t="s">
        <v>51</v>
      </c>
      <c r="H4521" t="s">
        <v>28</v>
      </c>
      <c r="I4521" t="s">
        <v>39</v>
      </c>
      <c r="J4521" t="s">
        <v>43</v>
      </c>
      <c r="K4521" s="2">
        <v>4600</v>
      </c>
      <c r="L4521" s="2">
        <v>6500</v>
      </c>
      <c r="M4521">
        <v>36</v>
      </c>
      <c r="N4521" s="3">
        <v>0.27800000000000002</v>
      </c>
      <c r="O4521" t="s">
        <v>17</v>
      </c>
      <c r="P4521" t="s">
        <v>31</v>
      </c>
      <c r="Q4521">
        <v>0</v>
      </c>
      <c r="R4521">
        <v>1</v>
      </c>
      <c r="S4521" s="2">
        <v>0</v>
      </c>
      <c r="T4521" s="4"/>
      <c r="U4521">
        <v>4</v>
      </c>
      <c r="V4521">
        <v>0</v>
      </c>
      <c r="W4521">
        <v>1</v>
      </c>
    </row>
    <row r="4522" spans="1:23" ht="16.5" x14ac:dyDescent="0.3">
      <c r="A4522" t="s">
        <v>4586</v>
      </c>
      <c r="B4522" s="1">
        <v>45936</v>
      </c>
      <c r="C4522">
        <v>2025</v>
      </c>
      <c r="D4522" t="s">
        <v>1832</v>
      </c>
      <c r="E4522" t="s">
        <v>1833</v>
      </c>
      <c r="F4522" t="s">
        <v>41</v>
      </c>
      <c r="G4522" t="s">
        <v>33</v>
      </c>
      <c r="H4522" t="s">
        <v>34</v>
      </c>
      <c r="I4522" t="s">
        <v>29</v>
      </c>
      <c r="J4522" t="s">
        <v>43</v>
      </c>
      <c r="K4522" s="2">
        <v>4400</v>
      </c>
      <c r="L4522" s="2">
        <v>133500</v>
      </c>
      <c r="M4522">
        <v>36</v>
      </c>
      <c r="N4522" s="3">
        <v>1.0329999999999999</v>
      </c>
      <c r="O4522" t="s">
        <v>17</v>
      </c>
      <c r="P4522" t="s">
        <v>31</v>
      </c>
      <c r="Q4522">
        <v>0</v>
      </c>
      <c r="R4522">
        <v>1</v>
      </c>
      <c r="S4522" s="2">
        <v>0</v>
      </c>
      <c r="T4522" s="4"/>
      <c r="U4522">
        <v>3</v>
      </c>
      <c r="V4522">
        <v>1</v>
      </c>
      <c r="W4522">
        <v>1</v>
      </c>
    </row>
    <row r="4523" spans="1:23" ht="16.5" x14ac:dyDescent="0.3">
      <c r="A4523" t="s">
        <v>4587</v>
      </c>
      <c r="B4523" s="1">
        <v>45936</v>
      </c>
      <c r="C4523">
        <v>2025</v>
      </c>
      <c r="D4523" t="s">
        <v>1832</v>
      </c>
      <c r="E4523" t="s">
        <v>1833</v>
      </c>
      <c r="F4523" t="s">
        <v>37</v>
      </c>
      <c r="G4523" t="s">
        <v>51</v>
      </c>
      <c r="H4523" t="s">
        <v>64</v>
      </c>
      <c r="I4523" t="s">
        <v>42</v>
      </c>
      <c r="J4523" t="s">
        <v>30</v>
      </c>
      <c r="K4523" s="2">
        <v>7050</v>
      </c>
      <c r="L4523" s="2">
        <v>37000</v>
      </c>
      <c r="M4523">
        <v>60</v>
      </c>
      <c r="N4523" s="3">
        <v>0.315</v>
      </c>
      <c r="O4523" t="s">
        <v>17</v>
      </c>
      <c r="P4523" t="s">
        <v>65</v>
      </c>
      <c r="Q4523">
        <v>0</v>
      </c>
      <c r="R4523">
        <v>1</v>
      </c>
      <c r="S4523" s="2">
        <v>0</v>
      </c>
      <c r="T4523" s="4"/>
      <c r="U4523">
        <v>3</v>
      </c>
      <c r="V4523">
        <v>1</v>
      </c>
      <c r="W4523">
        <v>1</v>
      </c>
    </row>
    <row r="4524" spans="1:23" ht="16.5" x14ac:dyDescent="0.3">
      <c r="A4524" t="s">
        <v>4588</v>
      </c>
      <c r="B4524" s="1">
        <v>45937</v>
      </c>
      <c r="C4524">
        <v>2025</v>
      </c>
      <c r="D4524" t="s">
        <v>1832</v>
      </c>
      <c r="E4524" t="s">
        <v>1833</v>
      </c>
      <c r="F4524" t="s">
        <v>41</v>
      </c>
      <c r="G4524" t="s">
        <v>27</v>
      </c>
      <c r="H4524" t="s">
        <v>38</v>
      </c>
      <c r="I4524" t="s">
        <v>29</v>
      </c>
      <c r="J4524" t="s">
        <v>52</v>
      </c>
      <c r="K4524" s="2">
        <v>2650</v>
      </c>
      <c r="L4524" s="2">
        <v>90000</v>
      </c>
      <c r="M4524">
        <v>12</v>
      </c>
      <c r="N4524" s="3">
        <v>3.129</v>
      </c>
      <c r="O4524" t="s">
        <v>17</v>
      </c>
      <c r="P4524" t="s">
        <v>53</v>
      </c>
      <c r="Q4524">
        <v>0</v>
      </c>
      <c r="R4524">
        <v>1</v>
      </c>
      <c r="S4524" s="2">
        <v>0</v>
      </c>
      <c r="T4524" s="4"/>
      <c r="U4524">
        <v>7</v>
      </c>
      <c r="V4524">
        <v>1</v>
      </c>
      <c r="W4524">
        <v>1</v>
      </c>
    </row>
    <row r="4525" spans="1:23" ht="16.5" x14ac:dyDescent="0.3">
      <c r="A4525" t="s">
        <v>4589</v>
      </c>
      <c r="B4525" s="1">
        <v>45937</v>
      </c>
      <c r="C4525">
        <v>2025</v>
      </c>
      <c r="D4525" t="s">
        <v>1832</v>
      </c>
      <c r="E4525" t="s">
        <v>1833</v>
      </c>
      <c r="F4525" t="s">
        <v>26</v>
      </c>
      <c r="G4525" t="s">
        <v>45</v>
      </c>
      <c r="H4525" t="s">
        <v>55</v>
      </c>
      <c r="I4525" t="s">
        <v>29</v>
      </c>
      <c r="J4525" t="s">
        <v>46</v>
      </c>
      <c r="K4525" s="2">
        <v>4600</v>
      </c>
      <c r="L4525" s="2">
        <v>19500</v>
      </c>
      <c r="M4525">
        <v>36</v>
      </c>
      <c r="N4525" s="3">
        <v>0.214</v>
      </c>
      <c r="O4525" t="s">
        <v>16</v>
      </c>
      <c r="Q4525">
        <v>1</v>
      </c>
      <c r="R4525">
        <v>0</v>
      </c>
      <c r="S4525" s="2">
        <v>15500</v>
      </c>
      <c r="T4525" s="4">
        <v>6.8900000000000003E-2</v>
      </c>
      <c r="U4525">
        <v>1</v>
      </c>
      <c r="V4525">
        <v>1</v>
      </c>
      <c r="W4525">
        <v>1</v>
      </c>
    </row>
    <row r="4526" spans="1:23" ht="16.5" x14ac:dyDescent="0.3">
      <c r="A4526" t="s">
        <v>4590</v>
      </c>
      <c r="B4526" s="1">
        <v>45937</v>
      </c>
      <c r="C4526">
        <v>2025</v>
      </c>
      <c r="D4526" t="s">
        <v>1832</v>
      </c>
      <c r="E4526" t="s">
        <v>1833</v>
      </c>
      <c r="F4526" t="s">
        <v>50</v>
      </c>
      <c r="G4526" t="s">
        <v>45</v>
      </c>
      <c r="H4526" t="s">
        <v>64</v>
      </c>
      <c r="I4526" t="s">
        <v>42</v>
      </c>
      <c r="J4526" t="s">
        <v>30</v>
      </c>
      <c r="K4526" s="2">
        <v>5800</v>
      </c>
      <c r="L4526" s="2">
        <v>239500</v>
      </c>
      <c r="M4526">
        <v>240</v>
      </c>
      <c r="N4526" s="3">
        <v>0.42299999999999999</v>
      </c>
      <c r="O4526" t="s">
        <v>16</v>
      </c>
      <c r="Q4526">
        <v>1</v>
      </c>
      <c r="R4526">
        <v>0</v>
      </c>
      <c r="S4526" s="2">
        <v>191500</v>
      </c>
      <c r="T4526" s="4">
        <v>7.1099999999999997E-2</v>
      </c>
      <c r="U4526">
        <v>6</v>
      </c>
      <c r="V4526">
        <v>1</v>
      </c>
      <c r="W4526">
        <v>1</v>
      </c>
    </row>
    <row r="4527" spans="1:23" ht="16.5" x14ac:dyDescent="0.3">
      <c r="A4527" t="s">
        <v>4591</v>
      </c>
      <c r="B4527" s="1">
        <v>45937</v>
      </c>
      <c r="C4527">
        <v>2025</v>
      </c>
      <c r="D4527" t="s">
        <v>1832</v>
      </c>
      <c r="E4527" t="s">
        <v>1833</v>
      </c>
      <c r="F4527" t="s">
        <v>37</v>
      </c>
      <c r="G4527" t="s">
        <v>51</v>
      </c>
      <c r="H4527" t="s">
        <v>55</v>
      </c>
      <c r="I4527" t="s">
        <v>42</v>
      </c>
      <c r="J4527" t="s">
        <v>35</v>
      </c>
      <c r="K4527" s="2">
        <v>6400</v>
      </c>
      <c r="L4527" s="2">
        <v>16500</v>
      </c>
      <c r="M4527">
        <v>24</v>
      </c>
      <c r="N4527" s="3">
        <v>0.23400000000000001</v>
      </c>
      <c r="O4527" t="s">
        <v>125</v>
      </c>
      <c r="Q4527">
        <v>0</v>
      </c>
      <c r="R4527">
        <v>0</v>
      </c>
      <c r="S4527" s="2">
        <v>0</v>
      </c>
      <c r="T4527" s="4"/>
      <c r="U4527">
        <v>5</v>
      </c>
      <c r="V4527">
        <v>0</v>
      </c>
      <c r="W4527">
        <v>1</v>
      </c>
    </row>
    <row r="4528" spans="1:23" ht="16.5" x14ac:dyDescent="0.3">
      <c r="A4528" t="s">
        <v>4592</v>
      </c>
      <c r="B4528" s="1">
        <v>45937</v>
      </c>
      <c r="C4528">
        <v>2025</v>
      </c>
      <c r="D4528" t="s">
        <v>1832</v>
      </c>
      <c r="E4528" t="s">
        <v>1833</v>
      </c>
      <c r="F4528" t="s">
        <v>37</v>
      </c>
      <c r="G4528" t="s">
        <v>27</v>
      </c>
      <c r="H4528" t="s">
        <v>38</v>
      </c>
      <c r="I4528" t="s">
        <v>29</v>
      </c>
      <c r="J4528" t="s">
        <v>30</v>
      </c>
      <c r="K4528" s="2">
        <v>6300</v>
      </c>
      <c r="L4528" s="2">
        <v>12500</v>
      </c>
      <c r="M4528">
        <v>12</v>
      </c>
      <c r="N4528" s="3">
        <v>0.34399999999999997</v>
      </c>
      <c r="O4528" t="s">
        <v>17</v>
      </c>
      <c r="P4528" t="s">
        <v>31</v>
      </c>
      <c r="Q4528">
        <v>0</v>
      </c>
      <c r="R4528">
        <v>1</v>
      </c>
      <c r="S4528" s="2">
        <v>0</v>
      </c>
      <c r="T4528" s="4"/>
      <c r="U4528">
        <v>3</v>
      </c>
      <c r="V4528">
        <v>1</v>
      </c>
      <c r="W4528">
        <v>1</v>
      </c>
    </row>
    <row r="4529" spans="1:23" ht="16.5" x14ac:dyDescent="0.3">
      <c r="A4529" t="s">
        <v>4593</v>
      </c>
      <c r="B4529" s="1">
        <v>45937</v>
      </c>
      <c r="C4529">
        <v>2025</v>
      </c>
      <c r="D4529" t="s">
        <v>1832</v>
      </c>
      <c r="E4529" t="s">
        <v>1833</v>
      </c>
      <c r="F4529" t="s">
        <v>37</v>
      </c>
      <c r="G4529" t="s">
        <v>27</v>
      </c>
      <c r="H4529" t="s">
        <v>34</v>
      </c>
      <c r="I4529" t="s">
        <v>29</v>
      </c>
      <c r="J4529" t="s">
        <v>30</v>
      </c>
      <c r="K4529" s="2">
        <v>3700</v>
      </c>
      <c r="L4529" s="2">
        <v>9000</v>
      </c>
      <c r="M4529">
        <v>12</v>
      </c>
      <c r="N4529" s="3">
        <v>0.315</v>
      </c>
      <c r="O4529" t="s">
        <v>16</v>
      </c>
      <c r="Q4529">
        <v>1</v>
      </c>
      <c r="R4529">
        <v>0</v>
      </c>
      <c r="S4529" s="2">
        <v>9000</v>
      </c>
      <c r="T4529" s="4">
        <v>0.13900000000000001</v>
      </c>
      <c r="U4529">
        <v>3</v>
      </c>
      <c r="V4529">
        <v>1</v>
      </c>
      <c r="W4529">
        <v>1</v>
      </c>
    </row>
    <row r="4530" spans="1:23" ht="16.5" x14ac:dyDescent="0.3">
      <c r="A4530" t="s">
        <v>4594</v>
      </c>
      <c r="B4530" s="1">
        <v>45937</v>
      </c>
      <c r="C4530">
        <v>2025</v>
      </c>
      <c r="D4530" t="s">
        <v>1832</v>
      </c>
      <c r="E4530" t="s">
        <v>1833</v>
      </c>
      <c r="F4530" t="s">
        <v>37</v>
      </c>
      <c r="G4530" t="s">
        <v>33</v>
      </c>
      <c r="H4530" t="s">
        <v>34</v>
      </c>
      <c r="I4530" t="s">
        <v>29</v>
      </c>
      <c r="J4530" t="s">
        <v>52</v>
      </c>
      <c r="K4530" s="2">
        <v>6600</v>
      </c>
      <c r="L4530" s="2">
        <v>21000</v>
      </c>
      <c r="M4530">
        <v>36</v>
      </c>
      <c r="N4530" s="3">
        <v>0.159</v>
      </c>
      <c r="O4530" t="s">
        <v>16</v>
      </c>
      <c r="Q4530">
        <v>1</v>
      </c>
      <c r="R4530">
        <v>0</v>
      </c>
      <c r="S4530" s="2">
        <v>21000</v>
      </c>
      <c r="T4530" s="4">
        <v>0.1176</v>
      </c>
      <c r="U4530">
        <v>1</v>
      </c>
      <c r="V4530">
        <v>1</v>
      </c>
      <c r="W4530">
        <v>1</v>
      </c>
    </row>
    <row r="4531" spans="1:23" ht="16.5" x14ac:dyDescent="0.3">
      <c r="A4531" t="s">
        <v>4595</v>
      </c>
      <c r="B4531" s="1">
        <v>45937</v>
      </c>
      <c r="C4531">
        <v>2025</v>
      </c>
      <c r="D4531" t="s">
        <v>1832</v>
      </c>
      <c r="E4531" t="s">
        <v>1833</v>
      </c>
      <c r="F4531" t="s">
        <v>37</v>
      </c>
      <c r="G4531" t="s">
        <v>51</v>
      </c>
      <c r="H4531" t="s">
        <v>38</v>
      </c>
      <c r="I4531" t="s">
        <v>29</v>
      </c>
      <c r="J4531" t="s">
        <v>35</v>
      </c>
      <c r="K4531" s="2">
        <v>3650</v>
      </c>
      <c r="L4531" s="2">
        <v>10500</v>
      </c>
      <c r="M4531">
        <v>48</v>
      </c>
      <c r="N4531" s="3">
        <v>0.29699999999999999</v>
      </c>
      <c r="O4531" t="s">
        <v>17</v>
      </c>
      <c r="P4531" t="s">
        <v>60</v>
      </c>
      <c r="Q4531">
        <v>0</v>
      </c>
      <c r="R4531">
        <v>1</v>
      </c>
      <c r="S4531" s="2">
        <v>0</v>
      </c>
      <c r="T4531" s="4"/>
      <c r="U4531">
        <v>8</v>
      </c>
      <c r="V4531">
        <v>0</v>
      </c>
      <c r="W4531">
        <v>1</v>
      </c>
    </row>
    <row r="4532" spans="1:23" ht="16.5" x14ac:dyDescent="0.3">
      <c r="A4532" t="s">
        <v>4596</v>
      </c>
      <c r="B4532" s="1">
        <v>45937</v>
      </c>
      <c r="C4532">
        <v>2025</v>
      </c>
      <c r="D4532" t="s">
        <v>1832</v>
      </c>
      <c r="E4532" t="s">
        <v>1833</v>
      </c>
      <c r="F4532" t="s">
        <v>37</v>
      </c>
      <c r="G4532" t="s">
        <v>33</v>
      </c>
      <c r="H4532" t="s">
        <v>38</v>
      </c>
      <c r="I4532" t="s">
        <v>42</v>
      </c>
      <c r="J4532" t="s">
        <v>30</v>
      </c>
      <c r="K4532" s="2">
        <v>4650</v>
      </c>
      <c r="L4532" s="2">
        <v>11000</v>
      </c>
      <c r="M4532">
        <v>24</v>
      </c>
      <c r="N4532" s="3">
        <v>0.35499999999999998</v>
      </c>
      <c r="O4532" t="s">
        <v>16</v>
      </c>
      <c r="Q4532">
        <v>1</v>
      </c>
      <c r="R4532">
        <v>0</v>
      </c>
      <c r="S4532" s="2">
        <v>11000</v>
      </c>
      <c r="T4532" s="4">
        <v>0.14380000000000001</v>
      </c>
      <c r="U4532">
        <v>1</v>
      </c>
      <c r="V4532">
        <v>1</v>
      </c>
      <c r="W4532">
        <v>1</v>
      </c>
    </row>
    <row r="4533" spans="1:23" ht="16.5" x14ac:dyDescent="0.3">
      <c r="A4533" t="s">
        <v>4597</v>
      </c>
      <c r="B4533" s="1">
        <v>45937</v>
      </c>
      <c r="C4533">
        <v>2025</v>
      </c>
      <c r="D4533" t="s">
        <v>1832</v>
      </c>
      <c r="E4533" t="s">
        <v>1833</v>
      </c>
      <c r="F4533" t="s">
        <v>37</v>
      </c>
      <c r="G4533" t="s">
        <v>33</v>
      </c>
      <c r="H4533" t="s">
        <v>55</v>
      </c>
      <c r="I4533" t="s">
        <v>29</v>
      </c>
      <c r="J4533" t="s">
        <v>30</v>
      </c>
      <c r="K4533" s="2">
        <v>7050</v>
      </c>
      <c r="L4533" s="2">
        <v>6500</v>
      </c>
      <c r="M4533">
        <v>60</v>
      </c>
      <c r="N4533" s="3">
        <v>8.1000000000000003E-2</v>
      </c>
      <c r="O4533" t="s">
        <v>16</v>
      </c>
      <c r="Q4533">
        <v>1</v>
      </c>
      <c r="R4533">
        <v>0</v>
      </c>
      <c r="S4533" s="2">
        <v>6500</v>
      </c>
      <c r="T4533" s="4">
        <v>0.13469999999999999</v>
      </c>
      <c r="U4533">
        <v>1</v>
      </c>
      <c r="V4533">
        <v>1</v>
      </c>
      <c r="W4533">
        <v>1</v>
      </c>
    </row>
    <row r="4534" spans="1:23" ht="16.5" x14ac:dyDescent="0.3">
      <c r="A4534" t="s">
        <v>4598</v>
      </c>
      <c r="B4534" s="1">
        <v>45937</v>
      </c>
      <c r="C4534">
        <v>2025</v>
      </c>
      <c r="D4534" t="s">
        <v>1832</v>
      </c>
      <c r="E4534" t="s">
        <v>1833</v>
      </c>
      <c r="F4534" t="s">
        <v>26</v>
      </c>
      <c r="G4534" t="s">
        <v>45</v>
      </c>
      <c r="H4534" t="s">
        <v>38</v>
      </c>
      <c r="I4534" t="s">
        <v>39</v>
      </c>
      <c r="J4534" t="s">
        <v>52</v>
      </c>
      <c r="K4534" s="2">
        <v>4950</v>
      </c>
      <c r="L4534" s="2">
        <v>37000</v>
      </c>
      <c r="M4534">
        <v>60</v>
      </c>
      <c r="N4534" s="3">
        <v>0.26500000000000001</v>
      </c>
      <c r="O4534" t="s">
        <v>17</v>
      </c>
      <c r="P4534" t="s">
        <v>65</v>
      </c>
      <c r="Q4534">
        <v>0</v>
      </c>
      <c r="R4534">
        <v>1</v>
      </c>
      <c r="S4534" s="2">
        <v>0</v>
      </c>
      <c r="T4534" s="4"/>
      <c r="U4534">
        <v>3</v>
      </c>
      <c r="V4534">
        <v>1</v>
      </c>
      <c r="W4534">
        <v>1</v>
      </c>
    </row>
    <row r="4535" spans="1:23" ht="16.5" x14ac:dyDescent="0.3">
      <c r="A4535" t="s">
        <v>4599</v>
      </c>
      <c r="B4535" s="1">
        <v>45937</v>
      </c>
      <c r="C4535">
        <v>2025</v>
      </c>
      <c r="D4535" t="s">
        <v>1832</v>
      </c>
      <c r="E4535" t="s">
        <v>1833</v>
      </c>
      <c r="F4535" t="s">
        <v>37</v>
      </c>
      <c r="G4535" t="s">
        <v>33</v>
      </c>
      <c r="H4535" t="s">
        <v>38</v>
      </c>
      <c r="I4535" t="s">
        <v>29</v>
      </c>
      <c r="J4535" t="s">
        <v>52</v>
      </c>
      <c r="K4535" s="2">
        <v>6400</v>
      </c>
      <c r="L4535" s="2">
        <v>11500</v>
      </c>
      <c r="M4535">
        <v>48</v>
      </c>
      <c r="N4535" s="3">
        <v>0.26500000000000001</v>
      </c>
      <c r="O4535" t="s">
        <v>16</v>
      </c>
      <c r="Q4535">
        <v>1</v>
      </c>
      <c r="R4535">
        <v>0</v>
      </c>
      <c r="S4535" s="2">
        <v>11500</v>
      </c>
      <c r="T4535" s="4">
        <v>0.1142</v>
      </c>
      <c r="U4535">
        <v>1</v>
      </c>
      <c r="V4535">
        <v>1</v>
      </c>
      <c r="W4535">
        <v>1</v>
      </c>
    </row>
    <row r="4536" spans="1:23" ht="16.5" x14ac:dyDescent="0.3">
      <c r="A4536" t="s">
        <v>4600</v>
      </c>
      <c r="B4536" s="1">
        <v>45937</v>
      </c>
      <c r="C4536">
        <v>2025</v>
      </c>
      <c r="D4536" t="s">
        <v>1832</v>
      </c>
      <c r="E4536" t="s">
        <v>1833</v>
      </c>
      <c r="F4536" t="s">
        <v>37</v>
      </c>
      <c r="G4536" t="s">
        <v>45</v>
      </c>
      <c r="H4536" t="s">
        <v>38</v>
      </c>
      <c r="I4536" t="s">
        <v>39</v>
      </c>
      <c r="J4536" t="s">
        <v>52</v>
      </c>
      <c r="K4536" s="2">
        <v>5300</v>
      </c>
      <c r="L4536" s="2">
        <v>11000</v>
      </c>
      <c r="M4536">
        <v>60</v>
      </c>
      <c r="N4536" s="3">
        <v>0.26400000000000001</v>
      </c>
      <c r="O4536" t="s">
        <v>16</v>
      </c>
      <c r="Q4536">
        <v>1</v>
      </c>
      <c r="R4536">
        <v>0</v>
      </c>
      <c r="S4536" s="2">
        <v>9000</v>
      </c>
      <c r="T4536" s="4">
        <v>0.1197</v>
      </c>
      <c r="U4536">
        <v>2</v>
      </c>
      <c r="V4536">
        <v>1</v>
      </c>
      <c r="W4536">
        <v>1</v>
      </c>
    </row>
    <row r="4537" spans="1:23" ht="16.5" x14ac:dyDescent="0.3">
      <c r="A4537" t="s">
        <v>4601</v>
      </c>
      <c r="B4537" s="1">
        <v>45937</v>
      </c>
      <c r="C4537">
        <v>2025</v>
      </c>
      <c r="D4537" t="s">
        <v>1832</v>
      </c>
      <c r="E4537" t="s">
        <v>1833</v>
      </c>
      <c r="F4537" t="s">
        <v>37</v>
      </c>
      <c r="G4537" t="s">
        <v>33</v>
      </c>
      <c r="H4537" t="s">
        <v>55</v>
      </c>
      <c r="I4537" t="s">
        <v>42</v>
      </c>
      <c r="J4537" t="s">
        <v>52</v>
      </c>
      <c r="K4537" s="2">
        <v>6500</v>
      </c>
      <c r="L4537" s="2">
        <v>12500</v>
      </c>
      <c r="M4537">
        <v>48</v>
      </c>
      <c r="N4537" s="3">
        <v>0.13</v>
      </c>
      <c r="O4537" t="s">
        <v>16</v>
      </c>
      <c r="Q4537">
        <v>1</v>
      </c>
      <c r="R4537">
        <v>0</v>
      </c>
      <c r="S4537" s="2">
        <v>12500</v>
      </c>
      <c r="T4537" s="4">
        <v>0.1172</v>
      </c>
      <c r="U4537">
        <v>1</v>
      </c>
      <c r="V4537">
        <v>1</v>
      </c>
      <c r="W4537">
        <v>1</v>
      </c>
    </row>
    <row r="4538" spans="1:23" ht="16.5" x14ac:dyDescent="0.3">
      <c r="A4538" t="s">
        <v>4602</v>
      </c>
      <c r="B4538" s="1">
        <v>45937</v>
      </c>
      <c r="C4538">
        <v>2025</v>
      </c>
      <c r="D4538" t="s">
        <v>1832</v>
      </c>
      <c r="E4538" t="s">
        <v>1833</v>
      </c>
      <c r="F4538" t="s">
        <v>41</v>
      </c>
      <c r="G4538" t="s">
        <v>51</v>
      </c>
      <c r="H4538" t="s">
        <v>55</v>
      </c>
      <c r="I4538" t="s">
        <v>39</v>
      </c>
      <c r="J4538" t="s">
        <v>35</v>
      </c>
      <c r="K4538" s="2">
        <v>5000</v>
      </c>
      <c r="L4538" s="2">
        <v>120500</v>
      </c>
      <c r="M4538">
        <v>36</v>
      </c>
      <c r="N4538" s="3">
        <v>1.0129999999999999</v>
      </c>
      <c r="O4538" t="s">
        <v>17</v>
      </c>
      <c r="P4538" t="s">
        <v>53</v>
      </c>
      <c r="Q4538">
        <v>0</v>
      </c>
      <c r="R4538">
        <v>1</v>
      </c>
      <c r="S4538" s="2">
        <v>0</v>
      </c>
      <c r="T4538" s="4"/>
      <c r="U4538">
        <v>14</v>
      </c>
      <c r="V4538">
        <v>0</v>
      </c>
      <c r="W4538">
        <v>1</v>
      </c>
    </row>
    <row r="4539" spans="1:23" ht="16.5" x14ac:dyDescent="0.3">
      <c r="A4539" t="s">
        <v>4603</v>
      </c>
      <c r="B4539" s="1">
        <v>45938</v>
      </c>
      <c r="C4539">
        <v>2025</v>
      </c>
      <c r="D4539" t="s">
        <v>1832</v>
      </c>
      <c r="E4539" t="s">
        <v>1833</v>
      </c>
      <c r="F4539" t="s">
        <v>37</v>
      </c>
      <c r="G4539" t="s">
        <v>33</v>
      </c>
      <c r="H4539" t="s">
        <v>38</v>
      </c>
      <c r="I4539" t="s">
        <v>29</v>
      </c>
      <c r="J4539" t="s">
        <v>35</v>
      </c>
      <c r="K4539" s="2">
        <v>4450</v>
      </c>
      <c r="L4539" s="2">
        <v>21000</v>
      </c>
      <c r="M4539">
        <v>60</v>
      </c>
      <c r="N4539" s="3">
        <v>0.182</v>
      </c>
      <c r="O4539" t="s">
        <v>16</v>
      </c>
      <c r="Q4539">
        <v>1</v>
      </c>
      <c r="R4539">
        <v>0</v>
      </c>
      <c r="S4539" s="2">
        <v>21000</v>
      </c>
      <c r="T4539" s="4">
        <v>0.12479999999999999</v>
      </c>
      <c r="U4539">
        <v>1</v>
      </c>
      <c r="V4539">
        <v>1</v>
      </c>
      <c r="W4539">
        <v>1</v>
      </c>
    </row>
    <row r="4540" spans="1:23" ht="16.5" x14ac:dyDescent="0.3">
      <c r="A4540" t="s">
        <v>4604</v>
      </c>
      <c r="B4540" s="1">
        <v>45938</v>
      </c>
      <c r="C4540">
        <v>2025</v>
      </c>
      <c r="D4540" t="s">
        <v>1832</v>
      </c>
      <c r="E4540" t="s">
        <v>1833</v>
      </c>
      <c r="F4540" t="s">
        <v>37</v>
      </c>
      <c r="G4540" t="s">
        <v>51</v>
      </c>
      <c r="H4540" t="s">
        <v>28</v>
      </c>
      <c r="I4540" t="s">
        <v>39</v>
      </c>
      <c r="J4540" t="s">
        <v>46</v>
      </c>
      <c r="K4540" s="2">
        <v>3750</v>
      </c>
      <c r="L4540" s="2">
        <v>8000</v>
      </c>
      <c r="M4540">
        <v>12</v>
      </c>
      <c r="N4540" s="3">
        <v>0.42499999999999999</v>
      </c>
      <c r="O4540" t="s">
        <v>17</v>
      </c>
      <c r="P4540" t="s">
        <v>31</v>
      </c>
      <c r="Q4540">
        <v>0</v>
      </c>
      <c r="R4540">
        <v>1</v>
      </c>
      <c r="S4540" s="2">
        <v>0</v>
      </c>
      <c r="T4540" s="4"/>
      <c r="U4540">
        <v>7</v>
      </c>
      <c r="V4540">
        <v>0</v>
      </c>
      <c r="W4540">
        <v>1</v>
      </c>
    </row>
    <row r="4541" spans="1:23" ht="16.5" x14ac:dyDescent="0.3">
      <c r="A4541" t="s">
        <v>4605</v>
      </c>
      <c r="B4541" s="1">
        <v>45938</v>
      </c>
      <c r="C4541">
        <v>2025</v>
      </c>
      <c r="D4541" t="s">
        <v>1832</v>
      </c>
      <c r="E4541" t="s">
        <v>1833</v>
      </c>
      <c r="F4541" t="s">
        <v>37</v>
      </c>
      <c r="G4541" t="s">
        <v>51</v>
      </c>
      <c r="H4541" t="s">
        <v>38</v>
      </c>
      <c r="I4541" t="s">
        <v>29</v>
      </c>
      <c r="J4541" t="s">
        <v>46</v>
      </c>
      <c r="K4541" s="2">
        <v>7200</v>
      </c>
      <c r="L4541" s="2">
        <v>7500</v>
      </c>
      <c r="M4541">
        <v>12</v>
      </c>
      <c r="N4541" s="3">
        <v>0.27800000000000002</v>
      </c>
      <c r="O4541" t="s">
        <v>16</v>
      </c>
      <c r="Q4541">
        <v>1</v>
      </c>
      <c r="R4541">
        <v>0</v>
      </c>
      <c r="S4541" s="2">
        <v>7500</v>
      </c>
      <c r="T4541" s="4">
        <v>0.1123</v>
      </c>
      <c r="U4541">
        <v>2</v>
      </c>
      <c r="V4541">
        <v>1</v>
      </c>
      <c r="W4541">
        <v>1</v>
      </c>
    </row>
    <row r="4542" spans="1:23" ht="16.5" x14ac:dyDescent="0.3">
      <c r="A4542" t="s">
        <v>4606</v>
      </c>
      <c r="B4542" s="1">
        <v>45938</v>
      </c>
      <c r="C4542">
        <v>2025</v>
      </c>
      <c r="D4542" t="s">
        <v>1832</v>
      </c>
      <c r="E4542" t="s">
        <v>1833</v>
      </c>
      <c r="F4542" t="s">
        <v>26</v>
      </c>
      <c r="G4542" t="s">
        <v>51</v>
      </c>
      <c r="H4542" t="s">
        <v>28</v>
      </c>
      <c r="I4542" t="s">
        <v>39</v>
      </c>
      <c r="J4542" t="s">
        <v>52</v>
      </c>
      <c r="K4542" s="2">
        <v>7300</v>
      </c>
      <c r="L4542" s="2">
        <v>36000</v>
      </c>
      <c r="M4542">
        <v>48</v>
      </c>
      <c r="N4542" s="3">
        <v>0.29099999999999998</v>
      </c>
      <c r="O4542" t="s">
        <v>16</v>
      </c>
      <c r="Q4542">
        <v>1</v>
      </c>
      <c r="R4542">
        <v>0</v>
      </c>
      <c r="S4542" s="2">
        <v>32500</v>
      </c>
      <c r="T4542" s="4">
        <v>6.9199999999999998E-2</v>
      </c>
      <c r="U4542">
        <v>6</v>
      </c>
      <c r="V4542">
        <v>0</v>
      </c>
      <c r="W4542">
        <v>1</v>
      </c>
    </row>
    <row r="4543" spans="1:23" ht="16.5" x14ac:dyDescent="0.3">
      <c r="A4543" t="s">
        <v>4607</v>
      </c>
      <c r="B4543" s="1">
        <v>45938</v>
      </c>
      <c r="C4543">
        <v>2025</v>
      </c>
      <c r="D4543" t="s">
        <v>1832</v>
      </c>
      <c r="E4543" t="s">
        <v>1833</v>
      </c>
      <c r="F4543" t="s">
        <v>37</v>
      </c>
      <c r="G4543" t="s">
        <v>45</v>
      </c>
      <c r="H4543" t="s">
        <v>64</v>
      </c>
      <c r="I4543" t="s">
        <v>42</v>
      </c>
      <c r="J4543" t="s">
        <v>30</v>
      </c>
      <c r="K4543" s="2">
        <v>2400</v>
      </c>
      <c r="L4543" s="2">
        <v>19500</v>
      </c>
      <c r="M4543">
        <v>12</v>
      </c>
      <c r="N4543" s="3">
        <v>0.79700000000000004</v>
      </c>
      <c r="O4543" t="s">
        <v>17</v>
      </c>
      <c r="P4543" t="s">
        <v>31</v>
      </c>
      <c r="Q4543">
        <v>0</v>
      </c>
      <c r="R4543">
        <v>1</v>
      </c>
      <c r="S4543" s="2">
        <v>0</v>
      </c>
      <c r="T4543" s="4"/>
      <c r="U4543">
        <v>1</v>
      </c>
      <c r="V4543">
        <v>1</v>
      </c>
      <c r="W4543">
        <v>1</v>
      </c>
    </row>
    <row r="4544" spans="1:23" ht="16.5" x14ac:dyDescent="0.3">
      <c r="A4544" t="s">
        <v>4608</v>
      </c>
      <c r="B4544" s="1">
        <v>45938</v>
      </c>
      <c r="C4544">
        <v>2025</v>
      </c>
      <c r="D4544" t="s">
        <v>1832</v>
      </c>
      <c r="E4544" t="s">
        <v>1833</v>
      </c>
      <c r="F4544" t="s">
        <v>37</v>
      </c>
      <c r="G4544" t="s">
        <v>33</v>
      </c>
      <c r="H4544" t="s">
        <v>28</v>
      </c>
      <c r="I4544" t="s">
        <v>39</v>
      </c>
      <c r="J4544" t="s">
        <v>30</v>
      </c>
      <c r="K4544" s="2">
        <v>2950</v>
      </c>
      <c r="L4544" s="2">
        <v>8500</v>
      </c>
      <c r="M4544">
        <v>48</v>
      </c>
      <c r="N4544" s="3">
        <v>0.30599999999999999</v>
      </c>
      <c r="O4544" t="s">
        <v>125</v>
      </c>
      <c r="Q4544">
        <v>0</v>
      </c>
      <c r="R4544">
        <v>0</v>
      </c>
      <c r="S4544" s="2">
        <v>0</v>
      </c>
      <c r="T4544" s="4"/>
      <c r="U4544">
        <v>2</v>
      </c>
      <c r="V4544">
        <v>1</v>
      </c>
      <c r="W4544">
        <v>1</v>
      </c>
    </row>
    <row r="4545" spans="1:23" ht="16.5" x14ac:dyDescent="0.3">
      <c r="A4545" t="s">
        <v>4609</v>
      </c>
      <c r="B4545" s="1">
        <v>45938</v>
      </c>
      <c r="C4545">
        <v>2025</v>
      </c>
      <c r="D4545" t="s">
        <v>1832</v>
      </c>
      <c r="E4545" t="s">
        <v>1833</v>
      </c>
      <c r="F4545" t="s">
        <v>26</v>
      </c>
      <c r="G4545" t="s">
        <v>27</v>
      </c>
      <c r="H4545" t="s">
        <v>38</v>
      </c>
      <c r="I4545" t="s">
        <v>29</v>
      </c>
      <c r="J4545" t="s">
        <v>46</v>
      </c>
      <c r="K4545" s="2">
        <v>5350</v>
      </c>
      <c r="L4545" s="2">
        <v>66000</v>
      </c>
      <c r="M4545">
        <v>48</v>
      </c>
      <c r="N4545" s="3">
        <v>0.50600000000000001</v>
      </c>
      <c r="O4545" t="s">
        <v>16</v>
      </c>
      <c r="Q4545">
        <v>1</v>
      </c>
      <c r="R4545">
        <v>0</v>
      </c>
      <c r="S4545" s="2">
        <v>66000</v>
      </c>
      <c r="T4545" s="4">
        <v>6.3299999999999995E-2</v>
      </c>
      <c r="U4545">
        <v>4</v>
      </c>
      <c r="V4545">
        <v>1</v>
      </c>
      <c r="W4545">
        <v>1</v>
      </c>
    </row>
    <row r="4546" spans="1:23" ht="16.5" x14ac:dyDescent="0.3">
      <c r="A4546" t="s">
        <v>4610</v>
      </c>
      <c r="B4546" s="1">
        <v>45938</v>
      </c>
      <c r="C4546">
        <v>2025</v>
      </c>
      <c r="D4546" t="s">
        <v>1832</v>
      </c>
      <c r="E4546" t="s">
        <v>1833</v>
      </c>
      <c r="F4546" t="s">
        <v>26</v>
      </c>
      <c r="G4546" t="s">
        <v>33</v>
      </c>
      <c r="H4546" t="s">
        <v>28</v>
      </c>
      <c r="I4546" t="s">
        <v>39</v>
      </c>
      <c r="J4546" t="s">
        <v>35</v>
      </c>
      <c r="K4546" s="2">
        <v>3100</v>
      </c>
      <c r="L4546" s="2">
        <v>24000</v>
      </c>
      <c r="M4546">
        <v>36</v>
      </c>
      <c r="N4546" s="3">
        <v>0.441</v>
      </c>
      <c r="O4546" t="s">
        <v>16</v>
      </c>
      <c r="Q4546">
        <v>1</v>
      </c>
      <c r="R4546">
        <v>0</v>
      </c>
      <c r="S4546" s="2">
        <v>24000</v>
      </c>
      <c r="T4546" s="4">
        <v>7.6399999999999996E-2</v>
      </c>
      <c r="U4546">
        <v>1</v>
      </c>
      <c r="V4546">
        <v>1</v>
      </c>
      <c r="W4546">
        <v>1</v>
      </c>
    </row>
    <row r="4547" spans="1:23" ht="16.5" x14ac:dyDescent="0.3">
      <c r="A4547" t="s">
        <v>4611</v>
      </c>
      <c r="B4547" s="1">
        <v>45938</v>
      </c>
      <c r="C4547">
        <v>2025</v>
      </c>
      <c r="D4547" t="s">
        <v>1832</v>
      </c>
      <c r="E4547" t="s">
        <v>1833</v>
      </c>
      <c r="F4547" t="s">
        <v>26</v>
      </c>
      <c r="G4547" t="s">
        <v>45</v>
      </c>
      <c r="H4547" t="s">
        <v>55</v>
      </c>
      <c r="I4547" t="s">
        <v>42</v>
      </c>
      <c r="J4547" t="s">
        <v>35</v>
      </c>
      <c r="K4547" s="2">
        <v>5500</v>
      </c>
      <c r="L4547" s="2">
        <v>14000</v>
      </c>
      <c r="M4547">
        <v>36</v>
      </c>
      <c r="N4547" s="3">
        <v>0.29799999999999999</v>
      </c>
      <c r="O4547" t="s">
        <v>16</v>
      </c>
      <c r="Q4547">
        <v>1</v>
      </c>
      <c r="R4547">
        <v>0</v>
      </c>
      <c r="S4547" s="2">
        <v>11000</v>
      </c>
      <c r="T4547" s="4">
        <v>7.8200000000000006E-2</v>
      </c>
      <c r="U4547">
        <v>4</v>
      </c>
      <c r="V4547">
        <v>1</v>
      </c>
      <c r="W4547">
        <v>1</v>
      </c>
    </row>
    <row r="4548" spans="1:23" ht="16.5" x14ac:dyDescent="0.3">
      <c r="A4548" t="s">
        <v>4612</v>
      </c>
      <c r="B4548" s="1">
        <v>45938</v>
      </c>
      <c r="C4548">
        <v>2025</v>
      </c>
      <c r="D4548" t="s">
        <v>1832</v>
      </c>
      <c r="E4548" t="s">
        <v>1833</v>
      </c>
      <c r="F4548" t="s">
        <v>37</v>
      </c>
      <c r="G4548" t="s">
        <v>51</v>
      </c>
      <c r="H4548" t="s">
        <v>55</v>
      </c>
      <c r="I4548" t="s">
        <v>39</v>
      </c>
      <c r="J4548" t="s">
        <v>35</v>
      </c>
      <c r="K4548" s="2">
        <v>4500</v>
      </c>
      <c r="L4548" s="2">
        <v>12000</v>
      </c>
      <c r="M4548">
        <v>12</v>
      </c>
      <c r="N4548" s="3">
        <v>0.29899999999999999</v>
      </c>
      <c r="O4548" t="s">
        <v>17</v>
      </c>
      <c r="P4548" t="s">
        <v>60</v>
      </c>
      <c r="Q4548">
        <v>0</v>
      </c>
      <c r="R4548">
        <v>1</v>
      </c>
      <c r="S4548" s="2">
        <v>0</v>
      </c>
      <c r="T4548" s="4"/>
      <c r="U4548">
        <v>9</v>
      </c>
      <c r="V4548">
        <v>0</v>
      </c>
      <c r="W4548">
        <v>1</v>
      </c>
    </row>
    <row r="4549" spans="1:23" ht="16.5" x14ac:dyDescent="0.3">
      <c r="A4549" t="s">
        <v>4613</v>
      </c>
      <c r="B4549" s="1">
        <v>45938</v>
      </c>
      <c r="C4549">
        <v>2025</v>
      </c>
      <c r="D4549" t="s">
        <v>1832</v>
      </c>
      <c r="E4549" t="s">
        <v>1833</v>
      </c>
      <c r="F4549" t="s">
        <v>41</v>
      </c>
      <c r="G4549" t="s">
        <v>51</v>
      </c>
      <c r="H4549" t="s">
        <v>38</v>
      </c>
      <c r="I4549" t="s">
        <v>29</v>
      </c>
      <c r="J4549" t="s">
        <v>46</v>
      </c>
      <c r="K4549" s="2">
        <v>5900</v>
      </c>
      <c r="L4549" s="2">
        <v>85000</v>
      </c>
      <c r="M4549">
        <v>60</v>
      </c>
      <c r="N4549" s="3">
        <v>0.41099999999999998</v>
      </c>
      <c r="O4549" t="s">
        <v>16</v>
      </c>
      <c r="Q4549">
        <v>1</v>
      </c>
      <c r="R4549">
        <v>0</v>
      </c>
      <c r="S4549" s="2">
        <v>85000</v>
      </c>
      <c r="T4549" s="4">
        <v>9.2100000000000001E-2</v>
      </c>
      <c r="U4549">
        <v>10</v>
      </c>
      <c r="V4549">
        <v>1</v>
      </c>
      <c r="W4549">
        <v>1</v>
      </c>
    </row>
    <row r="4550" spans="1:23" ht="16.5" x14ac:dyDescent="0.3">
      <c r="A4550" t="s">
        <v>4614</v>
      </c>
      <c r="B4550" s="1">
        <v>45938</v>
      </c>
      <c r="C4550">
        <v>2025</v>
      </c>
      <c r="D4550" t="s">
        <v>1832</v>
      </c>
      <c r="E4550" t="s">
        <v>1833</v>
      </c>
      <c r="F4550" t="s">
        <v>41</v>
      </c>
      <c r="G4550" t="s">
        <v>45</v>
      </c>
      <c r="H4550" t="s">
        <v>38</v>
      </c>
      <c r="I4550" t="s">
        <v>29</v>
      </c>
      <c r="J4550" t="s">
        <v>30</v>
      </c>
      <c r="K4550" s="2">
        <v>3950</v>
      </c>
      <c r="L4550" s="2">
        <v>61500</v>
      </c>
      <c r="M4550">
        <v>24</v>
      </c>
      <c r="N4550" s="3">
        <v>0.85099999999999998</v>
      </c>
      <c r="O4550" t="s">
        <v>16</v>
      </c>
      <c r="Q4550">
        <v>1</v>
      </c>
      <c r="R4550">
        <v>0</v>
      </c>
      <c r="S4550" s="2">
        <v>61500</v>
      </c>
      <c r="T4550" s="4">
        <v>0.12280000000000001</v>
      </c>
      <c r="U4550">
        <v>5</v>
      </c>
      <c r="V4550">
        <v>1</v>
      </c>
      <c r="W4550">
        <v>1</v>
      </c>
    </row>
    <row r="4551" spans="1:23" ht="16.5" x14ac:dyDescent="0.3">
      <c r="A4551" t="s">
        <v>4615</v>
      </c>
      <c r="B4551" s="1">
        <v>45938</v>
      </c>
      <c r="C4551">
        <v>2025</v>
      </c>
      <c r="D4551" t="s">
        <v>1832</v>
      </c>
      <c r="E4551" t="s">
        <v>1833</v>
      </c>
      <c r="F4551" t="s">
        <v>41</v>
      </c>
      <c r="G4551" t="s">
        <v>45</v>
      </c>
      <c r="H4551" t="s">
        <v>34</v>
      </c>
      <c r="I4551" t="s">
        <v>29</v>
      </c>
      <c r="J4551" t="s">
        <v>35</v>
      </c>
      <c r="K4551" s="2">
        <v>4800</v>
      </c>
      <c r="L4551" s="2">
        <v>83500</v>
      </c>
      <c r="M4551">
        <v>60</v>
      </c>
      <c r="N4551" s="3">
        <v>0.501</v>
      </c>
      <c r="O4551" t="s">
        <v>17</v>
      </c>
      <c r="P4551" t="s">
        <v>60</v>
      </c>
      <c r="Q4551">
        <v>0</v>
      </c>
      <c r="R4551">
        <v>1</v>
      </c>
      <c r="S4551" s="2">
        <v>0</v>
      </c>
      <c r="T4551" s="4"/>
      <c r="U4551">
        <v>9</v>
      </c>
      <c r="V4551">
        <v>1</v>
      </c>
      <c r="W4551">
        <v>1</v>
      </c>
    </row>
    <row r="4552" spans="1:23" ht="16.5" x14ac:dyDescent="0.3">
      <c r="A4552" t="s">
        <v>4616</v>
      </c>
      <c r="B4552" s="1">
        <v>45938</v>
      </c>
      <c r="C4552">
        <v>2025</v>
      </c>
      <c r="D4552" t="s">
        <v>1832</v>
      </c>
      <c r="E4552" t="s">
        <v>1833</v>
      </c>
      <c r="F4552" t="s">
        <v>37</v>
      </c>
      <c r="G4552" t="s">
        <v>51</v>
      </c>
      <c r="H4552" t="s">
        <v>28</v>
      </c>
      <c r="I4552" t="s">
        <v>29</v>
      </c>
      <c r="J4552" t="s">
        <v>35</v>
      </c>
      <c r="K4552" s="2">
        <v>9300</v>
      </c>
      <c r="L4552" s="2">
        <v>5000</v>
      </c>
      <c r="M4552">
        <v>24</v>
      </c>
      <c r="N4552" s="3">
        <v>0.23300000000000001</v>
      </c>
      <c r="O4552" t="s">
        <v>16</v>
      </c>
      <c r="Q4552">
        <v>1</v>
      </c>
      <c r="R4552">
        <v>0</v>
      </c>
      <c r="S4552" s="2">
        <v>4500</v>
      </c>
      <c r="T4552" s="4">
        <v>0.12379999999999999</v>
      </c>
      <c r="U4552">
        <v>5</v>
      </c>
      <c r="V4552">
        <v>0</v>
      </c>
      <c r="W4552">
        <v>1</v>
      </c>
    </row>
    <row r="4553" spans="1:23" ht="16.5" x14ac:dyDescent="0.3">
      <c r="A4553" t="s">
        <v>4617</v>
      </c>
      <c r="B4553" s="1">
        <v>45939</v>
      </c>
      <c r="C4553">
        <v>2025</v>
      </c>
      <c r="D4553" t="s">
        <v>1832</v>
      </c>
      <c r="E4553" t="s">
        <v>1833</v>
      </c>
      <c r="F4553" t="s">
        <v>37</v>
      </c>
      <c r="G4553" t="s">
        <v>51</v>
      </c>
      <c r="H4553" t="s">
        <v>28</v>
      </c>
      <c r="I4553" t="s">
        <v>29</v>
      </c>
      <c r="J4553" t="s">
        <v>35</v>
      </c>
      <c r="K4553" s="2">
        <v>8600</v>
      </c>
      <c r="L4553" s="2">
        <v>8000</v>
      </c>
      <c r="M4553">
        <v>48</v>
      </c>
      <c r="N4553" s="3">
        <v>0.13</v>
      </c>
      <c r="O4553" t="s">
        <v>16</v>
      </c>
      <c r="Q4553">
        <v>1</v>
      </c>
      <c r="R4553">
        <v>0</v>
      </c>
      <c r="S4553" s="2">
        <v>8000</v>
      </c>
      <c r="T4553" s="4">
        <v>0.12609999999999999</v>
      </c>
      <c r="U4553">
        <v>3</v>
      </c>
      <c r="V4553">
        <v>1</v>
      </c>
      <c r="W4553">
        <v>1</v>
      </c>
    </row>
    <row r="4554" spans="1:23" ht="16.5" x14ac:dyDescent="0.3">
      <c r="A4554" t="s">
        <v>4618</v>
      </c>
      <c r="B4554" s="1">
        <v>45939</v>
      </c>
      <c r="C4554">
        <v>2025</v>
      </c>
      <c r="D4554" t="s">
        <v>1832</v>
      </c>
      <c r="E4554" t="s">
        <v>1833</v>
      </c>
      <c r="F4554" t="s">
        <v>41</v>
      </c>
      <c r="G4554" t="s">
        <v>45</v>
      </c>
      <c r="H4554" t="s">
        <v>28</v>
      </c>
      <c r="I4554" t="s">
        <v>42</v>
      </c>
      <c r="J4554" t="s">
        <v>52</v>
      </c>
      <c r="K4554" s="2">
        <v>3650</v>
      </c>
      <c r="L4554" s="2">
        <v>101000</v>
      </c>
      <c r="M4554">
        <v>24</v>
      </c>
      <c r="N4554" s="3">
        <v>1.468</v>
      </c>
      <c r="O4554" t="s">
        <v>17</v>
      </c>
      <c r="P4554" t="s">
        <v>53</v>
      </c>
      <c r="Q4554">
        <v>0</v>
      </c>
      <c r="R4554">
        <v>1</v>
      </c>
      <c r="S4554" s="2">
        <v>0</v>
      </c>
      <c r="T4554" s="4"/>
      <c r="U4554">
        <v>8</v>
      </c>
      <c r="V4554">
        <v>1</v>
      </c>
      <c r="W4554">
        <v>1</v>
      </c>
    </row>
    <row r="4555" spans="1:23" ht="16.5" x14ac:dyDescent="0.3">
      <c r="A4555" t="s">
        <v>4619</v>
      </c>
      <c r="B4555" s="1">
        <v>45939</v>
      </c>
      <c r="C4555">
        <v>2025</v>
      </c>
      <c r="D4555" t="s">
        <v>1832</v>
      </c>
      <c r="E4555" t="s">
        <v>1833</v>
      </c>
      <c r="F4555" t="s">
        <v>37</v>
      </c>
      <c r="G4555" t="s">
        <v>33</v>
      </c>
      <c r="H4555" t="s">
        <v>38</v>
      </c>
      <c r="I4555" t="s">
        <v>29</v>
      </c>
      <c r="J4555" t="s">
        <v>35</v>
      </c>
      <c r="K4555" s="2">
        <v>8150</v>
      </c>
      <c r="L4555" s="2">
        <v>7500</v>
      </c>
      <c r="M4555">
        <v>60</v>
      </c>
      <c r="N4555" s="3">
        <v>0.17199999999999999</v>
      </c>
      <c r="O4555" t="s">
        <v>16</v>
      </c>
      <c r="Q4555">
        <v>1</v>
      </c>
      <c r="R4555">
        <v>0</v>
      </c>
      <c r="S4555" s="2">
        <v>6000</v>
      </c>
      <c r="T4555" s="4">
        <v>0.12970000000000001</v>
      </c>
      <c r="U4555">
        <v>4</v>
      </c>
      <c r="V4555">
        <v>0</v>
      </c>
      <c r="W4555">
        <v>1</v>
      </c>
    </row>
    <row r="4556" spans="1:23" ht="16.5" x14ac:dyDescent="0.3">
      <c r="A4556" t="s">
        <v>4620</v>
      </c>
      <c r="B4556" s="1">
        <v>45939</v>
      </c>
      <c r="C4556">
        <v>2025</v>
      </c>
      <c r="D4556" t="s">
        <v>1832</v>
      </c>
      <c r="E4556" t="s">
        <v>1833</v>
      </c>
      <c r="F4556" t="s">
        <v>37</v>
      </c>
      <c r="G4556" t="s">
        <v>33</v>
      </c>
      <c r="H4556" t="s">
        <v>64</v>
      </c>
      <c r="I4556" t="s">
        <v>39</v>
      </c>
      <c r="J4556" t="s">
        <v>35</v>
      </c>
      <c r="K4556" s="2">
        <v>4250</v>
      </c>
      <c r="L4556" s="2">
        <v>15500</v>
      </c>
      <c r="M4556">
        <v>36</v>
      </c>
      <c r="N4556" s="3">
        <v>0.26800000000000002</v>
      </c>
      <c r="O4556" t="s">
        <v>16</v>
      </c>
      <c r="Q4556">
        <v>1</v>
      </c>
      <c r="R4556">
        <v>0</v>
      </c>
      <c r="S4556" s="2">
        <v>15500</v>
      </c>
      <c r="T4556" s="4">
        <v>0.12690000000000001</v>
      </c>
      <c r="U4556">
        <v>2</v>
      </c>
      <c r="V4556">
        <v>1</v>
      </c>
      <c r="W4556">
        <v>1</v>
      </c>
    </row>
    <row r="4557" spans="1:23" ht="16.5" x14ac:dyDescent="0.3">
      <c r="A4557" t="s">
        <v>4621</v>
      </c>
      <c r="B4557" s="1">
        <v>45939</v>
      </c>
      <c r="C4557">
        <v>2025</v>
      </c>
      <c r="D4557" t="s">
        <v>1832</v>
      </c>
      <c r="E4557" t="s">
        <v>1833</v>
      </c>
      <c r="F4557" t="s">
        <v>41</v>
      </c>
      <c r="G4557" t="s">
        <v>51</v>
      </c>
      <c r="H4557" t="s">
        <v>34</v>
      </c>
      <c r="I4557" t="s">
        <v>29</v>
      </c>
      <c r="J4557" t="s">
        <v>46</v>
      </c>
      <c r="K4557" s="2">
        <v>7100</v>
      </c>
      <c r="L4557" s="2">
        <v>110500</v>
      </c>
      <c r="M4557">
        <v>60</v>
      </c>
      <c r="N4557" s="3">
        <v>0.51</v>
      </c>
      <c r="O4557" t="s">
        <v>16</v>
      </c>
      <c r="Q4557">
        <v>1</v>
      </c>
      <c r="R4557">
        <v>0</v>
      </c>
      <c r="S4557" s="2">
        <v>88500</v>
      </c>
      <c r="T4557" s="4">
        <v>8.7999999999999995E-2</v>
      </c>
      <c r="U4557">
        <v>16</v>
      </c>
      <c r="V4557">
        <v>0</v>
      </c>
      <c r="W4557">
        <v>1</v>
      </c>
    </row>
    <row r="4558" spans="1:23" ht="16.5" x14ac:dyDescent="0.3">
      <c r="A4558" t="s">
        <v>4622</v>
      </c>
      <c r="B4558" s="1">
        <v>45939</v>
      </c>
      <c r="C4558">
        <v>2025</v>
      </c>
      <c r="D4558" t="s">
        <v>1832</v>
      </c>
      <c r="E4558" t="s">
        <v>1833</v>
      </c>
      <c r="F4558" t="s">
        <v>50</v>
      </c>
      <c r="G4558" t="s">
        <v>33</v>
      </c>
      <c r="H4558" t="s">
        <v>34</v>
      </c>
      <c r="I4558" t="s">
        <v>29</v>
      </c>
      <c r="J4558" t="s">
        <v>46</v>
      </c>
      <c r="K4558" s="2">
        <v>2800</v>
      </c>
      <c r="L4558" s="2">
        <v>220000</v>
      </c>
      <c r="M4558">
        <v>300</v>
      </c>
      <c r="N4558" s="3">
        <v>0.53100000000000003</v>
      </c>
      <c r="O4558" t="s">
        <v>16</v>
      </c>
      <c r="Q4558">
        <v>1</v>
      </c>
      <c r="R4558">
        <v>0</v>
      </c>
      <c r="S4558" s="2">
        <v>198000</v>
      </c>
      <c r="T4558" s="4">
        <v>4.36E-2</v>
      </c>
      <c r="U4558">
        <v>10</v>
      </c>
      <c r="V4558">
        <v>1</v>
      </c>
      <c r="W4558">
        <v>1</v>
      </c>
    </row>
    <row r="4559" spans="1:23" ht="16.5" x14ac:dyDescent="0.3">
      <c r="A4559" t="s">
        <v>4623</v>
      </c>
      <c r="B4559" s="1">
        <v>45939</v>
      </c>
      <c r="C4559">
        <v>2025</v>
      </c>
      <c r="D4559" t="s">
        <v>1832</v>
      </c>
      <c r="E4559" t="s">
        <v>1833</v>
      </c>
      <c r="F4559" t="s">
        <v>37</v>
      </c>
      <c r="G4559" t="s">
        <v>33</v>
      </c>
      <c r="H4559" t="s">
        <v>38</v>
      </c>
      <c r="I4559" t="s">
        <v>42</v>
      </c>
      <c r="J4559" t="s">
        <v>52</v>
      </c>
      <c r="K4559" s="2">
        <v>11500</v>
      </c>
      <c r="L4559" s="2">
        <v>4500</v>
      </c>
      <c r="M4559">
        <v>36</v>
      </c>
      <c r="N4559" s="3">
        <v>8.8999999999999996E-2</v>
      </c>
      <c r="O4559" t="s">
        <v>17</v>
      </c>
      <c r="P4559" t="s">
        <v>31</v>
      </c>
      <c r="Q4559">
        <v>0</v>
      </c>
      <c r="R4559">
        <v>1</v>
      </c>
      <c r="S4559" s="2">
        <v>0</v>
      </c>
      <c r="T4559" s="4"/>
      <c r="U4559">
        <v>1</v>
      </c>
      <c r="V4559">
        <v>1</v>
      </c>
      <c r="W4559">
        <v>1</v>
      </c>
    </row>
    <row r="4560" spans="1:23" ht="16.5" x14ac:dyDescent="0.3">
      <c r="A4560" t="s">
        <v>4624</v>
      </c>
      <c r="B4560" s="1">
        <v>45939</v>
      </c>
      <c r="C4560">
        <v>2025</v>
      </c>
      <c r="D4560" t="s">
        <v>1832</v>
      </c>
      <c r="E4560" t="s">
        <v>1833</v>
      </c>
      <c r="F4560" t="s">
        <v>50</v>
      </c>
      <c r="G4560" t="s">
        <v>33</v>
      </c>
      <c r="H4560" t="s">
        <v>38</v>
      </c>
      <c r="I4560" t="s">
        <v>39</v>
      </c>
      <c r="J4560" t="s">
        <v>35</v>
      </c>
      <c r="K4560" s="2">
        <v>6400</v>
      </c>
      <c r="L4560" s="2">
        <v>371500</v>
      </c>
      <c r="M4560">
        <v>240</v>
      </c>
      <c r="N4560" s="3">
        <v>0.52400000000000002</v>
      </c>
      <c r="O4560" t="s">
        <v>17</v>
      </c>
      <c r="P4560" t="s">
        <v>60</v>
      </c>
      <c r="Q4560">
        <v>0</v>
      </c>
      <c r="R4560">
        <v>1</v>
      </c>
      <c r="S4560" s="2">
        <v>0</v>
      </c>
      <c r="T4560" s="4"/>
      <c r="U4560">
        <v>8</v>
      </c>
      <c r="V4560">
        <v>1</v>
      </c>
      <c r="W4560">
        <v>1</v>
      </c>
    </row>
    <row r="4561" spans="1:23" ht="16.5" x14ac:dyDescent="0.3">
      <c r="A4561" t="s">
        <v>4625</v>
      </c>
      <c r="B4561" s="1">
        <v>45939</v>
      </c>
      <c r="C4561">
        <v>2025</v>
      </c>
      <c r="D4561" t="s">
        <v>1832</v>
      </c>
      <c r="E4561" t="s">
        <v>1833</v>
      </c>
      <c r="F4561" t="s">
        <v>37</v>
      </c>
      <c r="G4561" t="s">
        <v>45</v>
      </c>
      <c r="H4561" t="s">
        <v>55</v>
      </c>
      <c r="I4561" t="s">
        <v>29</v>
      </c>
      <c r="J4561" t="s">
        <v>30</v>
      </c>
      <c r="K4561" s="2">
        <v>4550</v>
      </c>
      <c r="L4561" s="2">
        <v>8000</v>
      </c>
      <c r="M4561">
        <v>60</v>
      </c>
      <c r="N4561" s="3">
        <v>0.20399999999999999</v>
      </c>
      <c r="O4561" t="s">
        <v>16</v>
      </c>
      <c r="Q4561">
        <v>1</v>
      </c>
      <c r="R4561">
        <v>0</v>
      </c>
      <c r="S4561" s="2">
        <v>8000</v>
      </c>
      <c r="T4561" s="4">
        <v>0.14019999999999999</v>
      </c>
      <c r="U4561">
        <v>3</v>
      </c>
      <c r="V4561">
        <v>1</v>
      </c>
      <c r="W4561">
        <v>1</v>
      </c>
    </row>
    <row r="4562" spans="1:23" ht="16.5" x14ac:dyDescent="0.3">
      <c r="A4562" t="s">
        <v>4626</v>
      </c>
      <c r="B4562" s="1">
        <v>45939</v>
      </c>
      <c r="C4562">
        <v>2025</v>
      </c>
      <c r="D4562" t="s">
        <v>1832</v>
      </c>
      <c r="E4562" t="s">
        <v>1833</v>
      </c>
      <c r="F4562" t="s">
        <v>41</v>
      </c>
      <c r="G4562" t="s">
        <v>51</v>
      </c>
      <c r="H4562" t="s">
        <v>55</v>
      </c>
      <c r="I4562" t="s">
        <v>39</v>
      </c>
      <c r="J4562" t="s">
        <v>43</v>
      </c>
      <c r="K4562" s="2">
        <v>9850</v>
      </c>
      <c r="L4562" s="2">
        <v>59000</v>
      </c>
      <c r="M4562">
        <v>24</v>
      </c>
      <c r="N4562" s="3">
        <v>0.432</v>
      </c>
      <c r="O4562" t="s">
        <v>17</v>
      </c>
      <c r="P4562" t="s">
        <v>31</v>
      </c>
      <c r="Q4562">
        <v>0</v>
      </c>
      <c r="R4562">
        <v>1</v>
      </c>
      <c r="S4562" s="2">
        <v>0</v>
      </c>
      <c r="T4562" s="4"/>
      <c r="U4562">
        <v>23</v>
      </c>
      <c r="V4562">
        <v>0</v>
      </c>
      <c r="W4562">
        <v>1</v>
      </c>
    </row>
    <row r="4563" spans="1:23" ht="16.5" x14ac:dyDescent="0.3">
      <c r="A4563" t="s">
        <v>4627</v>
      </c>
      <c r="B4563" s="1">
        <v>45940</v>
      </c>
      <c r="C4563">
        <v>2025</v>
      </c>
      <c r="D4563" t="s">
        <v>1832</v>
      </c>
      <c r="E4563" t="s">
        <v>1833</v>
      </c>
      <c r="F4563" t="s">
        <v>37</v>
      </c>
      <c r="G4563" t="s">
        <v>33</v>
      </c>
      <c r="H4563" t="s">
        <v>28</v>
      </c>
      <c r="I4563" t="s">
        <v>29</v>
      </c>
      <c r="J4563" t="s">
        <v>43</v>
      </c>
      <c r="K4563" s="2">
        <v>7500</v>
      </c>
      <c r="L4563" s="2">
        <v>14000</v>
      </c>
      <c r="M4563">
        <v>36</v>
      </c>
      <c r="N4563" s="3">
        <v>0.223</v>
      </c>
      <c r="O4563" t="s">
        <v>17</v>
      </c>
      <c r="P4563" t="s">
        <v>31</v>
      </c>
      <c r="Q4563">
        <v>0</v>
      </c>
      <c r="R4563">
        <v>1</v>
      </c>
      <c r="S4563" s="2">
        <v>0</v>
      </c>
      <c r="T4563" s="4"/>
      <c r="U4563">
        <v>1</v>
      </c>
      <c r="V4563">
        <v>1</v>
      </c>
      <c r="W4563">
        <v>1</v>
      </c>
    </row>
    <row r="4564" spans="1:23" ht="16.5" x14ac:dyDescent="0.3">
      <c r="A4564" t="s">
        <v>4628</v>
      </c>
      <c r="B4564" s="1">
        <v>45940</v>
      </c>
      <c r="C4564">
        <v>2025</v>
      </c>
      <c r="D4564" t="s">
        <v>1832</v>
      </c>
      <c r="E4564" t="s">
        <v>1833</v>
      </c>
      <c r="F4564" t="s">
        <v>26</v>
      </c>
      <c r="G4564" t="s">
        <v>51</v>
      </c>
      <c r="H4564" t="s">
        <v>34</v>
      </c>
      <c r="I4564" t="s">
        <v>29</v>
      </c>
      <c r="J4564" t="s">
        <v>30</v>
      </c>
      <c r="K4564" s="2">
        <v>4800</v>
      </c>
      <c r="L4564" s="2">
        <v>26000</v>
      </c>
      <c r="M4564">
        <v>48</v>
      </c>
      <c r="N4564" s="3">
        <v>0.32900000000000001</v>
      </c>
      <c r="O4564" t="s">
        <v>16</v>
      </c>
      <c r="Q4564">
        <v>1</v>
      </c>
      <c r="R4564">
        <v>0</v>
      </c>
      <c r="S4564" s="2">
        <v>21000</v>
      </c>
      <c r="T4564" s="4">
        <v>9.6799999999999997E-2</v>
      </c>
      <c r="U4564">
        <v>10</v>
      </c>
      <c r="V4564">
        <v>0</v>
      </c>
      <c r="W4564">
        <v>1</v>
      </c>
    </row>
    <row r="4565" spans="1:23" ht="16.5" x14ac:dyDescent="0.3">
      <c r="A4565" t="s">
        <v>4629</v>
      </c>
      <c r="B4565" s="1">
        <v>45940</v>
      </c>
      <c r="C4565">
        <v>2025</v>
      </c>
      <c r="D4565" t="s">
        <v>1832</v>
      </c>
      <c r="E4565" t="s">
        <v>1833</v>
      </c>
      <c r="F4565" t="s">
        <v>26</v>
      </c>
      <c r="G4565" t="s">
        <v>51</v>
      </c>
      <c r="H4565" t="s">
        <v>55</v>
      </c>
      <c r="I4565" t="s">
        <v>29</v>
      </c>
      <c r="J4565" t="s">
        <v>30</v>
      </c>
      <c r="K4565" s="2">
        <v>5500</v>
      </c>
      <c r="L4565" s="2">
        <v>38500</v>
      </c>
      <c r="M4565">
        <v>48</v>
      </c>
      <c r="N4565" s="3">
        <v>0.23300000000000001</v>
      </c>
      <c r="O4565" t="s">
        <v>17</v>
      </c>
      <c r="P4565" t="s">
        <v>65</v>
      </c>
      <c r="Q4565">
        <v>0</v>
      </c>
      <c r="R4565">
        <v>1</v>
      </c>
      <c r="S4565" s="2">
        <v>0</v>
      </c>
      <c r="T4565" s="4"/>
      <c r="U4565">
        <v>6</v>
      </c>
      <c r="V4565">
        <v>0</v>
      </c>
      <c r="W4565">
        <v>1</v>
      </c>
    </row>
    <row r="4566" spans="1:23" ht="16.5" x14ac:dyDescent="0.3">
      <c r="A4566" t="s">
        <v>4630</v>
      </c>
      <c r="B4566" s="1">
        <v>45940</v>
      </c>
      <c r="C4566">
        <v>2025</v>
      </c>
      <c r="D4566" t="s">
        <v>1832</v>
      </c>
      <c r="E4566" t="s">
        <v>1833</v>
      </c>
      <c r="F4566" t="s">
        <v>37</v>
      </c>
      <c r="G4566" t="s">
        <v>33</v>
      </c>
      <c r="H4566" t="s">
        <v>38</v>
      </c>
      <c r="I4566" t="s">
        <v>39</v>
      </c>
      <c r="J4566" t="s">
        <v>52</v>
      </c>
      <c r="K4566" s="2">
        <v>5200</v>
      </c>
      <c r="L4566" s="2">
        <v>5000</v>
      </c>
      <c r="M4566">
        <v>60</v>
      </c>
      <c r="N4566" s="3">
        <v>0.16900000000000001</v>
      </c>
      <c r="O4566" t="s">
        <v>16</v>
      </c>
      <c r="Q4566">
        <v>1</v>
      </c>
      <c r="R4566">
        <v>0</v>
      </c>
      <c r="S4566" s="2">
        <v>5000</v>
      </c>
      <c r="T4566" s="4">
        <v>0.1147</v>
      </c>
      <c r="U4566">
        <v>1</v>
      </c>
      <c r="V4566">
        <v>1</v>
      </c>
      <c r="W4566">
        <v>1</v>
      </c>
    </row>
    <row r="4567" spans="1:23" ht="16.5" x14ac:dyDescent="0.3">
      <c r="A4567" t="s">
        <v>4631</v>
      </c>
      <c r="B4567" s="1">
        <v>45940</v>
      </c>
      <c r="C4567">
        <v>2025</v>
      </c>
      <c r="D4567" t="s">
        <v>1832</v>
      </c>
      <c r="E4567" t="s">
        <v>1833</v>
      </c>
      <c r="F4567" t="s">
        <v>26</v>
      </c>
      <c r="G4567" t="s">
        <v>33</v>
      </c>
      <c r="H4567" t="s">
        <v>34</v>
      </c>
      <c r="I4567" t="s">
        <v>42</v>
      </c>
      <c r="J4567" t="s">
        <v>46</v>
      </c>
      <c r="K4567" s="2">
        <v>9600</v>
      </c>
      <c r="L4567" s="2">
        <v>15000</v>
      </c>
      <c r="M4567">
        <v>36</v>
      </c>
      <c r="N4567" s="3">
        <v>0.28000000000000003</v>
      </c>
      <c r="O4567" t="s">
        <v>16</v>
      </c>
      <c r="Q4567">
        <v>1</v>
      </c>
      <c r="R4567">
        <v>0</v>
      </c>
      <c r="S4567" s="2">
        <v>15000</v>
      </c>
      <c r="T4567" s="4">
        <v>6.5600000000000006E-2</v>
      </c>
      <c r="U4567">
        <v>2</v>
      </c>
      <c r="V4567">
        <v>1</v>
      </c>
      <c r="W4567">
        <v>1</v>
      </c>
    </row>
    <row r="4568" spans="1:23" ht="16.5" x14ac:dyDescent="0.3">
      <c r="A4568" t="s">
        <v>4632</v>
      </c>
      <c r="B4568" s="1">
        <v>45940</v>
      </c>
      <c r="C4568">
        <v>2025</v>
      </c>
      <c r="D4568" t="s">
        <v>1832</v>
      </c>
      <c r="E4568" t="s">
        <v>1833</v>
      </c>
      <c r="F4568" t="s">
        <v>50</v>
      </c>
      <c r="G4568" t="s">
        <v>27</v>
      </c>
      <c r="H4568" t="s">
        <v>38</v>
      </c>
      <c r="I4568" t="s">
        <v>42</v>
      </c>
      <c r="J4568" t="s">
        <v>52</v>
      </c>
      <c r="K4568" s="2">
        <v>5900</v>
      </c>
      <c r="L4568" s="2">
        <v>292500</v>
      </c>
      <c r="M4568">
        <v>180</v>
      </c>
      <c r="N4568" s="3">
        <v>0.60299999999999998</v>
      </c>
      <c r="O4568" t="s">
        <v>17</v>
      </c>
      <c r="P4568" t="s">
        <v>60</v>
      </c>
      <c r="Q4568">
        <v>0</v>
      </c>
      <c r="R4568">
        <v>1</v>
      </c>
      <c r="S4568" s="2">
        <v>0</v>
      </c>
      <c r="T4568" s="4"/>
      <c r="U4568">
        <v>25</v>
      </c>
      <c r="V4568">
        <v>0</v>
      </c>
      <c r="W4568">
        <v>1</v>
      </c>
    </row>
    <row r="4569" spans="1:23" ht="16.5" x14ac:dyDescent="0.3">
      <c r="A4569" t="s">
        <v>4633</v>
      </c>
      <c r="B4569" s="1">
        <v>45941</v>
      </c>
      <c r="C4569">
        <v>2025</v>
      </c>
      <c r="D4569" t="s">
        <v>1832</v>
      </c>
      <c r="E4569" t="s">
        <v>1833</v>
      </c>
      <c r="F4569" t="s">
        <v>26</v>
      </c>
      <c r="G4569" t="s">
        <v>45</v>
      </c>
      <c r="H4569" t="s">
        <v>55</v>
      </c>
      <c r="I4569" t="s">
        <v>29</v>
      </c>
      <c r="J4569" t="s">
        <v>52</v>
      </c>
      <c r="K4569" s="2">
        <v>9750</v>
      </c>
      <c r="L4569" s="2">
        <v>26000</v>
      </c>
      <c r="M4569">
        <v>60</v>
      </c>
      <c r="N4569" s="3">
        <v>0.23300000000000001</v>
      </c>
      <c r="O4569" t="s">
        <v>16</v>
      </c>
      <c r="Q4569">
        <v>1</v>
      </c>
      <c r="R4569">
        <v>0</v>
      </c>
      <c r="S4569" s="2">
        <v>26000</v>
      </c>
      <c r="T4569" s="4">
        <v>7.0699999999999999E-2</v>
      </c>
      <c r="U4569">
        <v>3</v>
      </c>
      <c r="V4569">
        <v>1</v>
      </c>
      <c r="W4569">
        <v>1</v>
      </c>
    </row>
    <row r="4570" spans="1:23" ht="16.5" x14ac:dyDescent="0.3">
      <c r="A4570" t="s">
        <v>4634</v>
      </c>
      <c r="B4570" s="1">
        <v>45941</v>
      </c>
      <c r="C4570">
        <v>2025</v>
      </c>
      <c r="D4570" t="s">
        <v>1832</v>
      </c>
      <c r="E4570" t="s">
        <v>1833</v>
      </c>
      <c r="F4570" t="s">
        <v>37</v>
      </c>
      <c r="G4570" t="s">
        <v>51</v>
      </c>
      <c r="H4570" t="s">
        <v>64</v>
      </c>
      <c r="I4570" t="s">
        <v>39</v>
      </c>
      <c r="J4570" t="s">
        <v>35</v>
      </c>
      <c r="K4570" s="2">
        <v>5650</v>
      </c>
      <c r="L4570" s="2">
        <v>10500</v>
      </c>
      <c r="M4570">
        <v>24</v>
      </c>
      <c r="N4570" s="3">
        <v>0.193</v>
      </c>
      <c r="O4570" t="s">
        <v>16</v>
      </c>
      <c r="Q4570">
        <v>1</v>
      </c>
      <c r="R4570">
        <v>0</v>
      </c>
      <c r="S4570" s="2">
        <v>10500</v>
      </c>
      <c r="T4570" s="4">
        <v>0.1268</v>
      </c>
      <c r="U4570">
        <v>4</v>
      </c>
      <c r="V4570">
        <v>0</v>
      </c>
      <c r="W4570">
        <v>1</v>
      </c>
    </row>
    <row r="4571" spans="1:23" ht="16.5" x14ac:dyDescent="0.3">
      <c r="A4571" t="s">
        <v>4635</v>
      </c>
      <c r="B4571" s="1">
        <v>45941</v>
      </c>
      <c r="C4571">
        <v>2025</v>
      </c>
      <c r="D4571" t="s">
        <v>1832</v>
      </c>
      <c r="E4571" t="s">
        <v>1833</v>
      </c>
      <c r="F4571" t="s">
        <v>41</v>
      </c>
      <c r="G4571" t="s">
        <v>33</v>
      </c>
      <c r="H4571" t="s">
        <v>64</v>
      </c>
      <c r="I4571" t="s">
        <v>39</v>
      </c>
      <c r="J4571" t="s">
        <v>30</v>
      </c>
      <c r="K4571" s="2">
        <v>5250</v>
      </c>
      <c r="L4571" s="2">
        <v>123500</v>
      </c>
      <c r="M4571">
        <v>12</v>
      </c>
      <c r="N4571" s="3">
        <v>2.2730000000000001</v>
      </c>
      <c r="O4571" t="s">
        <v>125</v>
      </c>
      <c r="Q4571">
        <v>0</v>
      </c>
      <c r="R4571">
        <v>0</v>
      </c>
      <c r="S4571" s="2">
        <v>0</v>
      </c>
      <c r="T4571" s="4"/>
      <c r="U4571">
        <v>4</v>
      </c>
      <c r="V4571">
        <v>1</v>
      </c>
      <c r="W4571">
        <v>1</v>
      </c>
    </row>
    <row r="4572" spans="1:23" ht="16.5" x14ac:dyDescent="0.3">
      <c r="A4572" t="s">
        <v>4636</v>
      </c>
      <c r="B4572" s="1">
        <v>45941</v>
      </c>
      <c r="C4572">
        <v>2025</v>
      </c>
      <c r="D4572" t="s">
        <v>1832</v>
      </c>
      <c r="E4572" t="s">
        <v>1833</v>
      </c>
      <c r="F4572" t="s">
        <v>41</v>
      </c>
      <c r="G4572" t="s">
        <v>33</v>
      </c>
      <c r="H4572" t="s">
        <v>38</v>
      </c>
      <c r="I4572" t="s">
        <v>29</v>
      </c>
      <c r="J4572" t="s">
        <v>30</v>
      </c>
      <c r="K4572" s="2">
        <v>3400</v>
      </c>
      <c r="L4572" s="2">
        <v>83000</v>
      </c>
      <c r="M4572">
        <v>60</v>
      </c>
      <c r="N4572" s="3">
        <v>0.71699999999999997</v>
      </c>
      <c r="O4572" t="s">
        <v>125</v>
      </c>
      <c r="Q4572">
        <v>0</v>
      </c>
      <c r="R4572">
        <v>0</v>
      </c>
      <c r="S4572" s="2">
        <v>0</v>
      </c>
      <c r="T4572" s="4"/>
      <c r="U4572">
        <v>5</v>
      </c>
      <c r="V4572">
        <v>1</v>
      </c>
      <c r="W4572">
        <v>1</v>
      </c>
    </row>
    <row r="4573" spans="1:23" ht="16.5" x14ac:dyDescent="0.3">
      <c r="A4573" t="s">
        <v>4637</v>
      </c>
      <c r="B4573" s="1">
        <v>45941</v>
      </c>
      <c r="C4573">
        <v>2025</v>
      </c>
      <c r="D4573" t="s">
        <v>1832</v>
      </c>
      <c r="E4573" t="s">
        <v>1833</v>
      </c>
      <c r="F4573" t="s">
        <v>41</v>
      </c>
      <c r="G4573" t="s">
        <v>33</v>
      </c>
      <c r="H4573" t="s">
        <v>55</v>
      </c>
      <c r="I4573" t="s">
        <v>42</v>
      </c>
      <c r="J4573" t="s">
        <v>35</v>
      </c>
      <c r="K4573" s="2">
        <v>8300</v>
      </c>
      <c r="L4573" s="2">
        <v>75000</v>
      </c>
      <c r="M4573">
        <v>12</v>
      </c>
      <c r="N4573" s="3">
        <v>0.98</v>
      </c>
      <c r="O4573" t="s">
        <v>17</v>
      </c>
      <c r="P4573" t="s">
        <v>53</v>
      </c>
      <c r="Q4573">
        <v>0</v>
      </c>
      <c r="R4573">
        <v>1</v>
      </c>
      <c r="S4573" s="2">
        <v>0</v>
      </c>
      <c r="T4573" s="4"/>
      <c r="U4573">
        <v>2</v>
      </c>
      <c r="V4573">
        <v>1</v>
      </c>
      <c r="W4573">
        <v>1</v>
      </c>
    </row>
    <row r="4574" spans="1:23" ht="16.5" x14ac:dyDescent="0.3">
      <c r="A4574" t="s">
        <v>4638</v>
      </c>
      <c r="B4574" s="1">
        <v>45941</v>
      </c>
      <c r="C4574">
        <v>2025</v>
      </c>
      <c r="D4574" t="s">
        <v>1832</v>
      </c>
      <c r="E4574" t="s">
        <v>1833</v>
      </c>
      <c r="F4574" t="s">
        <v>37</v>
      </c>
      <c r="G4574" t="s">
        <v>33</v>
      </c>
      <c r="H4574" t="s">
        <v>38</v>
      </c>
      <c r="I4574" t="s">
        <v>29</v>
      </c>
      <c r="J4574" t="s">
        <v>30</v>
      </c>
      <c r="K4574" s="2">
        <v>9900</v>
      </c>
      <c r="L4574" s="2">
        <v>12500</v>
      </c>
      <c r="M4574">
        <v>60</v>
      </c>
      <c r="N4574" s="3">
        <v>0.16600000000000001</v>
      </c>
      <c r="O4574" t="s">
        <v>17</v>
      </c>
      <c r="P4574" t="s">
        <v>31</v>
      </c>
      <c r="Q4574">
        <v>0</v>
      </c>
      <c r="R4574">
        <v>1</v>
      </c>
      <c r="S4574" s="2">
        <v>0</v>
      </c>
      <c r="T4574" s="4"/>
      <c r="U4574">
        <v>1</v>
      </c>
      <c r="V4574">
        <v>1</v>
      </c>
      <c r="W4574">
        <v>1</v>
      </c>
    </row>
    <row r="4575" spans="1:23" ht="16.5" x14ac:dyDescent="0.3">
      <c r="A4575" t="s">
        <v>4639</v>
      </c>
      <c r="B4575" s="1">
        <v>45941</v>
      </c>
      <c r="C4575">
        <v>2025</v>
      </c>
      <c r="D4575" t="s">
        <v>1832</v>
      </c>
      <c r="E4575" t="s">
        <v>1833</v>
      </c>
      <c r="F4575" t="s">
        <v>26</v>
      </c>
      <c r="G4575" t="s">
        <v>27</v>
      </c>
      <c r="H4575" t="s">
        <v>55</v>
      </c>
      <c r="I4575" t="s">
        <v>29</v>
      </c>
      <c r="J4575" t="s">
        <v>35</v>
      </c>
      <c r="K4575" s="2">
        <v>3550</v>
      </c>
      <c r="L4575" s="2">
        <v>28500</v>
      </c>
      <c r="M4575">
        <v>36</v>
      </c>
      <c r="N4575" s="3">
        <v>0.36399999999999999</v>
      </c>
      <c r="O4575" t="s">
        <v>17</v>
      </c>
      <c r="P4575" t="s">
        <v>60</v>
      </c>
      <c r="Q4575">
        <v>0</v>
      </c>
      <c r="R4575">
        <v>1</v>
      </c>
      <c r="S4575" s="2">
        <v>0</v>
      </c>
      <c r="T4575" s="4"/>
      <c r="U4575">
        <v>9</v>
      </c>
      <c r="V4575">
        <v>0</v>
      </c>
      <c r="W4575">
        <v>1</v>
      </c>
    </row>
    <row r="4576" spans="1:23" ht="16.5" x14ac:dyDescent="0.3">
      <c r="A4576" t="s">
        <v>4640</v>
      </c>
      <c r="B4576" s="1">
        <v>45942</v>
      </c>
      <c r="C4576">
        <v>2025</v>
      </c>
      <c r="D4576" t="s">
        <v>1832</v>
      </c>
      <c r="E4576" t="s">
        <v>1833</v>
      </c>
      <c r="F4576" t="s">
        <v>37</v>
      </c>
      <c r="G4576" t="s">
        <v>45</v>
      </c>
      <c r="H4576" t="s">
        <v>38</v>
      </c>
      <c r="I4576" t="s">
        <v>29</v>
      </c>
      <c r="J4576" t="s">
        <v>35</v>
      </c>
      <c r="K4576" s="2">
        <v>3400</v>
      </c>
      <c r="L4576" s="2">
        <v>4000</v>
      </c>
      <c r="M4576">
        <v>24</v>
      </c>
      <c r="N4576" s="3">
        <v>0.214</v>
      </c>
      <c r="O4576" t="s">
        <v>16</v>
      </c>
      <c r="Q4576">
        <v>1</v>
      </c>
      <c r="R4576">
        <v>0</v>
      </c>
      <c r="S4576" s="2">
        <v>4000</v>
      </c>
      <c r="T4576" s="4">
        <v>0.1288</v>
      </c>
      <c r="U4576">
        <v>2</v>
      </c>
      <c r="V4576">
        <v>1</v>
      </c>
      <c r="W4576">
        <v>1</v>
      </c>
    </row>
    <row r="4577" spans="1:23" ht="16.5" x14ac:dyDescent="0.3">
      <c r="A4577" t="s">
        <v>4641</v>
      </c>
      <c r="B4577" s="1">
        <v>45942</v>
      </c>
      <c r="C4577">
        <v>2025</v>
      </c>
      <c r="D4577" t="s">
        <v>1832</v>
      </c>
      <c r="E4577" t="s">
        <v>1833</v>
      </c>
      <c r="F4577" t="s">
        <v>26</v>
      </c>
      <c r="G4577" t="s">
        <v>45</v>
      </c>
      <c r="H4577" t="s">
        <v>64</v>
      </c>
      <c r="I4577" t="s">
        <v>39</v>
      </c>
      <c r="J4577" t="s">
        <v>30</v>
      </c>
      <c r="K4577" s="2">
        <v>8250</v>
      </c>
      <c r="L4577" s="2">
        <v>16000</v>
      </c>
      <c r="M4577">
        <v>48</v>
      </c>
      <c r="N4577" s="3">
        <v>0.23400000000000001</v>
      </c>
      <c r="O4577" t="s">
        <v>17</v>
      </c>
      <c r="P4577" t="s">
        <v>31</v>
      </c>
      <c r="Q4577">
        <v>0</v>
      </c>
      <c r="R4577">
        <v>1</v>
      </c>
      <c r="S4577" s="2">
        <v>0</v>
      </c>
      <c r="T4577" s="4"/>
      <c r="U4577">
        <v>2</v>
      </c>
      <c r="V4577">
        <v>1</v>
      </c>
      <c r="W4577">
        <v>1</v>
      </c>
    </row>
    <row r="4578" spans="1:23" ht="16.5" x14ac:dyDescent="0.3">
      <c r="A4578" t="s">
        <v>4642</v>
      </c>
      <c r="B4578" s="1">
        <v>45942</v>
      </c>
      <c r="C4578">
        <v>2025</v>
      </c>
      <c r="D4578" t="s">
        <v>1832</v>
      </c>
      <c r="E4578" t="s">
        <v>1833</v>
      </c>
      <c r="F4578" t="s">
        <v>37</v>
      </c>
      <c r="G4578" t="s">
        <v>33</v>
      </c>
      <c r="H4578" t="s">
        <v>38</v>
      </c>
      <c r="I4578" t="s">
        <v>29</v>
      </c>
      <c r="J4578" t="s">
        <v>46</v>
      </c>
      <c r="K4578" s="2">
        <v>6300</v>
      </c>
      <c r="L4578" s="2">
        <v>17500</v>
      </c>
      <c r="M4578">
        <v>12</v>
      </c>
      <c r="N4578" s="3">
        <v>0.40799999999999997</v>
      </c>
      <c r="O4578" t="s">
        <v>16</v>
      </c>
      <c r="Q4578">
        <v>1</v>
      </c>
      <c r="R4578">
        <v>0</v>
      </c>
      <c r="S4578" s="2">
        <v>17500</v>
      </c>
      <c r="T4578" s="4">
        <v>0.1061</v>
      </c>
      <c r="U4578">
        <v>1</v>
      </c>
      <c r="V4578">
        <v>1</v>
      </c>
      <c r="W4578">
        <v>1</v>
      </c>
    </row>
    <row r="4579" spans="1:23" ht="16.5" x14ac:dyDescent="0.3">
      <c r="A4579" t="s">
        <v>4643</v>
      </c>
      <c r="B4579" s="1">
        <v>45942</v>
      </c>
      <c r="C4579">
        <v>2025</v>
      </c>
      <c r="D4579" t="s">
        <v>1832</v>
      </c>
      <c r="E4579" t="s">
        <v>1833</v>
      </c>
      <c r="F4579" t="s">
        <v>41</v>
      </c>
      <c r="G4579" t="s">
        <v>27</v>
      </c>
      <c r="H4579" t="s">
        <v>64</v>
      </c>
      <c r="I4579" t="s">
        <v>39</v>
      </c>
      <c r="J4579" t="s">
        <v>43</v>
      </c>
      <c r="K4579" s="2">
        <v>7600</v>
      </c>
      <c r="L4579" s="2">
        <v>67500</v>
      </c>
      <c r="M4579">
        <v>12</v>
      </c>
      <c r="N4579" s="3">
        <v>0.91800000000000004</v>
      </c>
      <c r="O4579" t="s">
        <v>17</v>
      </c>
      <c r="P4579" t="s">
        <v>31</v>
      </c>
      <c r="Q4579">
        <v>0</v>
      </c>
      <c r="R4579">
        <v>1</v>
      </c>
      <c r="S4579" s="2">
        <v>0</v>
      </c>
      <c r="T4579" s="4"/>
      <c r="U4579">
        <v>11</v>
      </c>
      <c r="V4579">
        <v>0</v>
      </c>
      <c r="W4579">
        <v>1</v>
      </c>
    </row>
    <row r="4580" spans="1:23" ht="16.5" x14ac:dyDescent="0.3">
      <c r="A4580" t="s">
        <v>4644</v>
      </c>
      <c r="B4580" s="1">
        <v>45942</v>
      </c>
      <c r="C4580">
        <v>2025</v>
      </c>
      <c r="D4580" t="s">
        <v>1832</v>
      </c>
      <c r="E4580" t="s">
        <v>1833</v>
      </c>
      <c r="F4580" t="s">
        <v>26</v>
      </c>
      <c r="G4580" t="s">
        <v>45</v>
      </c>
      <c r="H4580" t="s">
        <v>55</v>
      </c>
      <c r="I4580" t="s">
        <v>29</v>
      </c>
      <c r="J4580" t="s">
        <v>52</v>
      </c>
      <c r="K4580" s="2">
        <v>4050</v>
      </c>
      <c r="L4580" s="2">
        <v>35500</v>
      </c>
      <c r="M4580">
        <v>60</v>
      </c>
      <c r="N4580" s="3">
        <v>0.30299999999999999</v>
      </c>
      <c r="O4580" t="s">
        <v>16</v>
      </c>
      <c r="Q4580">
        <v>1</v>
      </c>
      <c r="R4580">
        <v>0</v>
      </c>
      <c r="S4580" s="2">
        <v>35500</v>
      </c>
      <c r="T4580" s="4">
        <v>7.6100000000000001E-2</v>
      </c>
      <c r="U4580">
        <v>3</v>
      </c>
      <c r="V4580">
        <v>1</v>
      </c>
      <c r="W4580">
        <v>1</v>
      </c>
    </row>
    <row r="4581" spans="1:23" ht="16.5" x14ac:dyDescent="0.3">
      <c r="A4581" t="s">
        <v>4645</v>
      </c>
      <c r="B4581" s="1">
        <v>45943</v>
      </c>
      <c r="C4581">
        <v>2025</v>
      </c>
      <c r="D4581" t="s">
        <v>1832</v>
      </c>
      <c r="E4581" t="s">
        <v>1833</v>
      </c>
      <c r="F4581" t="s">
        <v>37</v>
      </c>
      <c r="G4581" t="s">
        <v>51</v>
      </c>
      <c r="H4581" t="s">
        <v>38</v>
      </c>
      <c r="I4581" t="s">
        <v>42</v>
      </c>
      <c r="J4581" t="s">
        <v>52</v>
      </c>
      <c r="K4581" s="2">
        <v>6350</v>
      </c>
      <c r="L4581" s="2">
        <v>11000</v>
      </c>
      <c r="M4581">
        <v>48</v>
      </c>
      <c r="N4581" s="3">
        <v>0.23499999999999999</v>
      </c>
      <c r="O4581" t="s">
        <v>16</v>
      </c>
      <c r="Q4581">
        <v>1</v>
      </c>
      <c r="R4581">
        <v>0</v>
      </c>
      <c r="S4581" s="2">
        <v>9000</v>
      </c>
      <c r="T4581" s="4">
        <v>0.1212</v>
      </c>
      <c r="U4581">
        <v>4</v>
      </c>
      <c r="V4581">
        <v>0</v>
      </c>
      <c r="W4581">
        <v>1</v>
      </c>
    </row>
    <row r="4582" spans="1:23" ht="16.5" x14ac:dyDescent="0.3">
      <c r="A4582" t="s">
        <v>4646</v>
      </c>
      <c r="B4582" s="1">
        <v>45943</v>
      </c>
      <c r="C4582">
        <v>2025</v>
      </c>
      <c r="D4582" t="s">
        <v>1832</v>
      </c>
      <c r="E4582" t="s">
        <v>1833</v>
      </c>
      <c r="F4582" t="s">
        <v>37</v>
      </c>
      <c r="G4582" t="s">
        <v>27</v>
      </c>
      <c r="H4582" t="s">
        <v>38</v>
      </c>
      <c r="I4582" t="s">
        <v>42</v>
      </c>
      <c r="J4582" t="s">
        <v>46</v>
      </c>
      <c r="K4582" s="2">
        <v>8850</v>
      </c>
      <c r="L4582" s="2">
        <v>22500</v>
      </c>
      <c r="M4582">
        <v>24</v>
      </c>
      <c r="N4582" s="3">
        <v>0.27100000000000002</v>
      </c>
      <c r="O4582" t="s">
        <v>16</v>
      </c>
      <c r="Q4582">
        <v>1</v>
      </c>
      <c r="R4582">
        <v>0</v>
      </c>
      <c r="S4582" s="2">
        <v>22500</v>
      </c>
      <c r="T4582" s="4">
        <v>0.1061</v>
      </c>
      <c r="U4582">
        <v>3</v>
      </c>
      <c r="V4582">
        <v>1</v>
      </c>
      <c r="W4582">
        <v>1</v>
      </c>
    </row>
    <row r="4583" spans="1:23" ht="16.5" x14ac:dyDescent="0.3">
      <c r="A4583" t="s">
        <v>4647</v>
      </c>
      <c r="B4583" s="1">
        <v>45943</v>
      </c>
      <c r="C4583">
        <v>2025</v>
      </c>
      <c r="D4583" t="s">
        <v>1832</v>
      </c>
      <c r="E4583" t="s">
        <v>1833</v>
      </c>
      <c r="F4583" t="s">
        <v>37</v>
      </c>
      <c r="G4583" t="s">
        <v>33</v>
      </c>
      <c r="H4583" t="s">
        <v>64</v>
      </c>
      <c r="I4583" t="s">
        <v>39</v>
      </c>
      <c r="J4583" t="s">
        <v>35</v>
      </c>
      <c r="K4583" s="2">
        <v>3150</v>
      </c>
      <c r="L4583" s="2">
        <v>23500</v>
      </c>
      <c r="M4583">
        <v>24</v>
      </c>
      <c r="N4583" s="3">
        <v>0.42399999999999999</v>
      </c>
      <c r="O4583" t="s">
        <v>16</v>
      </c>
      <c r="Q4583">
        <v>1</v>
      </c>
      <c r="R4583">
        <v>0</v>
      </c>
      <c r="S4583" s="2">
        <v>23500</v>
      </c>
      <c r="T4583" s="4">
        <v>0.1216</v>
      </c>
      <c r="U4583">
        <v>1</v>
      </c>
      <c r="V4583">
        <v>1</v>
      </c>
      <c r="W4583">
        <v>1</v>
      </c>
    </row>
    <row r="4584" spans="1:23" ht="16.5" x14ac:dyDescent="0.3">
      <c r="A4584" t="s">
        <v>4648</v>
      </c>
      <c r="B4584" s="1">
        <v>45944</v>
      </c>
      <c r="C4584">
        <v>2025</v>
      </c>
      <c r="D4584" t="s">
        <v>1832</v>
      </c>
      <c r="E4584" t="s">
        <v>1833</v>
      </c>
      <c r="F4584" t="s">
        <v>37</v>
      </c>
      <c r="G4584" t="s">
        <v>33</v>
      </c>
      <c r="H4584" t="s">
        <v>38</v>
      </c>
      <c r="I4584" t="s">
        <v>39</v>
      </c>
      <c r="J4584" t="s">
        <v>46</v>
      </c>
      <c r="K4584" s="2">
        <v>5950</v>
      </c>
      <c r="L4584" s="2">
        <v>28500</v>
      </c>
      <c r="M4584">
        <v>12</v>
      </c>
      <c r="N4584" s="3">
        <v>0.625</v>
      </c>
      <c r="O4584" t="s">
        <v>16</v>
      </c>
      <c r="Q4584">
        <v>1</v>
      </c>
      <c r="R4584">
        <v>0</v>
      </c>
      <c r="S4584" s="2">
        <v>23000</v>
      </c>
      <c r="T4584" s="4">
        <v>0.1106</v>
      </c>
      <c r="U4584">
        <v>1</v>
      </c>
      <c r="V4584">
        <v>1</v>
      </c>
      <c r="W4584">
        <v>1</v>
      </c>
    </row>
    <row r="4585" spans="1:23" ht="16.5" x14ac:dyDescent="0.3">
      <c r="A4585" t="s">
        <v>4649</v>
      </c>
      <c r="B4585" s="1">
        <v>45944</v>
      </c>
      <c r="C4585">
        <v>2025</v>
      </c>
      <c r="D4585" t="s">
        <v>1832</v>
      </c>
      <c r="E4585" t="s">
        <v>1833</v>
      </c>
      <c r="F4585" t="s">
        <v>26</v>
      </c>
      <c r="G4585" t="s">
        <v>51</v>
      </c>
      <c r="H4585" t="s">
        <v>55</v>
      </c>
      <c r="I4585" t="s">
        <v>29</v>
      </c>
      <c r="J4585" t="s">
        <v>35</v>
      </c>
      <c r="K4585" s="2">
        <v>3250</v>
      </c>
      <c r="L4585" s="2">
        <v>40500</v>
      </c>
      <c r="M4585">
        <v>36</v>
      </c>
      <c r="N4585" s="3">
        <v>0.45600000000000002</v>
      </c>
      <c r="O4585" t="s">
        <v>16</v>
      </c>
      <c r="Q4585">
        <v>1</v>
      </c>
      <c r="R4585">
        <v>0</v>
      </c>
      <c r="S4585" s="2">
        <v>40500</v>
      </c>
      <c r="T4585" s="4">
        <v>8.4400000000000003E-2</v>
      </c>
      <c r="U4585">
        <v>7</v>
      </c>
      <c r="V4585">
        <v>0</v>
      </c>
      <c r="W4585">
        <v>1</v>
      </c>
    </row>
    <row r="4586" spans="1:23" ht="16.5" x14ac:dyDescent="0.3">
      <c r="A4586" t="s">
        <v>4650</v>
      </c>
      <c r="B4586" s="1">
        <v>45944</v>
      </c>
      <c r="C4586">
        <v>2025</v>
      </c>
      <c r="D4586" t="s">
        <v>1832</v>
      </c>
      <c r="E4586" t="s">
        <v>1833</v>
      </c>
      <c r="F4586" t="s">
        <v>37</v>
      </c>
      <c r="G4586" t="s">
        <v>51</v>
      </c>
      <c r="H4586" t="s">
        <v>34</v>
      </c>
      <c r="I4586" t="s">
        <v>42</v>
      </c>
      <c r="J4586" t="s">
        <v>43</v>
      </c>
      <c r="K4586" s="2">
        <v>3800</v>
      </c>
      <c r="L4586" s="2">
        <v>10000</v>
      </c>
      <c r="M4586">
        <v>24</v>
      </c>
      <c r="N4586" s="3">
        <v>0.185</v>
      </c>
      <c r="O4586" t="s">
        <v>16</v>
      </c>
      <c r="Q4586">
        <v>1</v>
      </c>
      <c r="R4586">
        <v>0</v>
      </c>
      <c r="S4586" s="2">
        <v>10000</v>
      </c>
      <c r="T4586" s="4">
        <v>0.15690000000000001</v>
      </c>
      <c r="U4586">
        <v>5</v>
      </c>
      <c r="V4586">
        <v>0</v>
      </c>
      <c r="W4586">
        <v>1</v>
      </c>
    </row>
    <row r="4587" spans="1:23" ht="16.5" x14ac:dyDescent="0.3">
      <c r="A4587" t="s">
        <v>4651</v>
      </c>
      <c r="B4587" s="1">
        <v>45944</v>
      </c>
      <c r="C4587">
        <v>2025</v>
      </c>
      <c r="D4587" t="s">
        <v>1832</v>
      </c>
      <c r="E4587" t="s">
        <v>1833</v>
      </c>
      <c r="F4587" t="s">
        <v>37</v>
      </c>
      <c r="G4587" t="s">
        <v>45</v>
      </c>
      <c r="H4587" t="s">
        <v>38</v>
      </c>
      <c r="I4587" t="s">
        <v>42</v>
      </c>
      <c r="J4587" t="s">
        <v>46</v>
      </c>
      <c r="K4587" s="2">
        <v>7050</v>
      </c>
      <c r="L4587" s="2">
        <v>10000</v>
      </c>
      <c r="M4587">
        <v>36</v>
      </c>
      <c r="N4587" s="3">
        <v>0.14499999999999999</v>
      </c>
      <c r="O4587" t="s">
        <v>16</v>
      </c>
      <c r="Q4587">
        <v>1</v>
      </c>
      <c r="R4587">
        <v>0</v>
      </c>
      <c r="S4587" s="2">
        <v>10000</v>
      </c>
      <c r="T4587" s="4">
        <v>0.10920000000000001</v>
      </c>
      <c r="U4587">
        <v>1</v>
      </c>
      <c r="V4587">
        <v>1</v>
      </c>
      <c r="W4587">
        <v>1</v>
      </c>
    </row>
    <row r="4588" spans="1:23" ht="16.5" x14ac:dyDescent="0.3">
      <c r="A4588" t="s">
        <v>4652</v>
      </c>
      <c r="B4588" s="1">
        <v>45944</v>
      </c>
      <c r="C4588">
        <v>2025</v>
      </c>
      <c r="D4588" t="s">
        <v>1832</v>
      </c>
      <c r="E4588" t="s">
        <v>1833</v>
      </c>
      <c r="F4588" t="s">
        <v>41</v>
      </c>
      <c r="G4588" t="s">
        <v>33</v>
      </c>
      <c r="H4588" t="s">
        <v>38</v>
      </c>
      <c r="I4588" t="s">
        <v>39</v>
      </c>
      <c r="J4588" t="s">
        <v>30</v>
      </c>
      <c r="K4588" s="2">
        <v>7100</v>
      </c>
      <c r="L4588" s="2">
        <v>130500</v>
      </c>
      <c r="M4588">
        <v>36</v>
      </c>
      <c r="N4588" s="3">
        <v>0.81100000000000005</v>
      </c>
      <c r="O4588" t="s">
        <v>16</v>
      </c>
      <c r="Q4588">
        <v>1</v>
      </c>
      <c r="R4588">
        <v>0</v>
      </c>
      <c r="S4588" s="2">
        <v>117500</v>
      </c>
      <c r="T4588" s="4">
        <v>0.125</v>
      </c>
      <c r="U4588">
        <v>4</v>
      </c>
      <c r="V4588">
        <v>1</v>
      </c>
      <c r="W4588">
        <v>1</v>
      </c>
    </row>
    <row r="4589" spans="1:23" ht="16.5" x14ac:dyDescent="0.3">
      <c r="A4589" t="s">
        <v>4653</v>
      </c>
      <c r="B4589" s="1">
        <v>45944</v>
      </c>
      <c r="C4589">
        <v>2025</v>
      </c>
      <c r="D4589" t="s">
        <v>1832</v>
      </c>
      <c r="E4589" t="s">
        <v>1833</v>
      </c>
      <c r="F4589" t="s">
        <v>26</v>
      </c>
      <c r="G4589" t="s">
        <v>27</v>
      </c>
      <c r="H4589" t="s">
        <v>34</v>
      </c>
      <c r="I4589" t="s">
        <v>39</v>
      </c>
      <c r="J4589" t="s">
        <v>43</v>
      </c>
      <c r="K4589" s="2">
        <v>4250</v>
      </c>
      <c r="L4589" s="2">
        <v>22000</v>
      </c>
      <c r="M4589">
        <v>48</v>
      </c>
      <c r="N4589" s="3">
        <v>0.192</v>
      </c>
      <c r="O4589" t="s">
        <v>17</v>
      </c>
      <c r="P4589" t="s">
        <v>31</v>
      </c>
      <c r="Q4589">
        <v>0</v>
      </c>
      <c r="R4589">
        <v>1</v>
      </c>
      <c r="S4589" s="2">
        <v>0</v>
      </c>
      <c r="T4589" s="4"/>
      <c r="U4589">
        <v>6</v>
      </c>
      <c r="V4589">
        <v>0</v>
      </c>
      <c r="W4589">
        <v>1</v>
      </c>
    </row>
    <row r="4590" spans="1:23" ht="16.5" x14ac:dyDescent="0.3">
      <c r="A4590" t="s">
        <v>4654</v>
      </c>
      <c r="B4590" s="1">
        <v>45944</v>
      </c>
      <c r="C4590">
        <v>2025</v>
      </c>
      <c r="D4590" t="s">
        <v>1832</v>
      </c>
      <c r="E4590" t="s">
        <v>1833</v>
      </c>
      <c r="F4590" t="s">
        <v>50</v>
      </c>
      <c r="G4590" t="s">
        <v>51</v>
      </c>
      <c r="H4590" t="s">
        <v>55</v>
      </c>
      <c r="I4590" t="s">
        <v>39</v>
      </c>
      <c r="J4590" t="s">
        <v>35</v>
      </c>
      <c r="K4590" s="2">
        <v>8500</v>
      </c>
      <c r="L4590" s="2">
        <v>147000</v>
      </c>
      <c r="M4590">
        <v>180</v>
      </c>
      <c r="N4590" s="3">
        <v>0.29799999999999999</v>
      </c>
      <c r="O4590" t="s">
        <v>16</v>
      </c>
      <c r="Q4590">
        <v>1</v>
      </c>
      <c r="R4590">
        <v>0</v>
      </c>
      <c r="S4590" s="2">
        <v>147000</v>
      </c>
      <c r="T4590" s="4">
        <v>5.8200000000000002E-2</v>
      </c>
      <c r="U4590">
        <v>15</v>
      </c>
      <c r="V4590">
        <v>1</v>
      </c>
      <c r="W4590">
        <v>1</v>
      </c>
    </row>
    <row r="4591" spans="1:23" ht="16.5" x14ac:dyDescent="0.3">
      <c r="A4591" t="s">
        <v>4655</v>
      </c>
      <c r="B4591" s="1">
        <v>45944</v>
      </c>
      <c r="C4591">
        <v>2025</v>
      </c>
      <c r="D4591" t="s">
        <v>1832</v>
      </c>
      <c r="E4591" t="s">
        <v>1833</v>
      </c>
      <c r="F4591" t="s">
        <v>50</v>
      </c>
      <c r="G4591" t="s">
        <v>51</v>
      </c>
      <c r="H4591" t="s">
        <v>55</v>
      </c>
      <c r="I4591" t="s">
        <v>42</v>
      </c>
      <c r="J4591" t="s">
        <v>35</v>
      </c>
      <c r="K4591" s="2">
        <v>3200</v>
      </c>
      <c r="L4591" s="2">
        <v>296500</v>
      </c>
      <c r="M4591">
        <v>240</v>
      </c>
      <c r="N4591" s="3">
        <v>0.66700000000000004</v>
      </c>
      <c r="O4591" t="s">
        <v>16</v>
      </c>
      <c r="Q4591">
        <v>1</v>
      </c>
      <c r="R4591">
        <v>0</v>
      </c>
      <c r="S4591" s="2">
        <v>267000</v>
      </c>
      <c r="T4591" s="4">
        <v>5.8599999999999999E-2</v>
      </c>
      <c r="U4591">
        <v>17</v>
      </c>
      <c r="V4591">
        <v>0</v>
      </c>
      <c r="W4591">
        <v>1</v>
      </c>
    </row>
    <row r="4592" spans="1:23" ht="16.5" x14ac:dyDescent="0.3">
      <c r="A4592" t="s">
        <v>4656</v>
      </c>
      <c r="B4592" s="1">
        <v>45944</v>
      </c>
      <c r="C4592">
        <v>2025</v>
      </c>
      <c r="D4592" t="s">
        <v>1832</v>
      </c>
      <c r="E4592" t="s">
        <v>1833</v>
      </c>
      <c r="F4592" t="s">
        <v>50</v>
      </c>
      <c r="G4592" t="s">
        <v>45</v>
      </c>
      <c r="H4592" t="s">
        <v>38</v>
      </c>
      <c r="I4592" t="s">
        <v>42</v>
      </c>
      <c r="J4592" t="s">
        <v>30</v>
      </c>
      <c r="K4592" s="2">
        <v>7500</v>
      </c>
      <c r="L4592" s="2">
        <v>316000</v>
      </c>
      <c r="M4592">
        <v>180</v>
      </c>
      <c r="N4592" s="3">
        <v>0.47299999999999998</v>
      </c>
      <c r="O4592" t="s">
        <v>17</v>
      </c>
      <c r="P4592" t="s">
        <v>31</v>
      </c>
      <c r="Q4592">
        <v>0</v>
      </c>
      <c r="R4592">
        <v>1</v>
      </c>
      <c r="S4592" s="2">
        <v>0</v>
      </c>
      <c r="T4592" s="4"/>
      <c r="U4592">
        <v>9</v>
      </c>
      <c r="V4592">
        <v>1</v>
      </c>
      <c r="W4592">
        <v>1</v>
      </c>
    </row>
    <row r="4593" spans="1:23" ht="16.5" x14ac:dyDescent="0.3">
      <c r="A4593" t="s">
        <v>4657</v>
      </c>
      <c r="B4593" s="1">
        <v>45944</v>
      </c>
      <c r="C4593">
        <v>2025</v>
      </c>
      <c r="D4593" t="s">
        <v>1832</v>
      </c>
      <c r="E4593" t="s">
        <v>1833</v>
      </c>
      <c r="F4593" t="s">
        <v>37</v>
      </c>
      <c r="G4593" t="s">
        <v>51</v>
      </c>
      <c r="H4593" t="s">
        <v>28</v>
      </c>
      <c r="I4593" t="s">
        <v>29</v>
      </c>
      <c r="J4593" t="s">
        <v>30</v>
      </c>
      <c r="K4593" s="2">
        <v>8450</v>
      </c>
      <c r="L4593" s="2">
        <v>11000</v>
      </c>
      <c r="M4593">
        <v>24</v>
      </c>
      <c r="N4593" s="3">
        <v>0.214</v>
      </c>
      <c r="O4593" t="s">
        <v>17</v>
      </c>
      <c r="P4593" t="s">
        <v>31</v>
      </c>
      <c r="Q4593">
        <v>0</v>
      </c>
      <c r="R4593">
        <v>1</v>
      </c>
      <c r="S4593" s="2">
        <v>0</v>
      </c>
      <c r="T4593" s="4"/>
      <c r="U4593">
        <v>2</v>
      </c>
      <c r="V4593">
        <v>1</v>
      </c>
      <c r="W4593">
        <v>1</v>
      </c>
    </row>
    <row r="4594" spans="1:23" ht="16.5" x14ac:dyDescent="0.3">
      <c r="A4594" t="s">
        <v>4658</v>
      </c>
      <c r="B4594" s="1">
        <v>45945</v>
      </c>
      <c r="C4594">
        <v>2025</v>
      </c>
      <c r="D4594" t="s">
        <v>1832</v>
      </c>
      <c r="E4594" t="s">
        <v>1833</v>
      </c>
      <c r="F4594" t="s">
        <v>37</v>
      </c>
      <c r="G4594" t="s">
        <v>33</v>
      </c>
      <c r="H4594" t="s">
        <v>55</v>
      </c>
      <c r="I4594" t="s">
        <v>29</v>
      </c>
      <c r="J4594" t="s">
        <v>35</v>
      </c>
      <c r="K4594" s="2">
        <v>7900</v>
      </c>
      <c r="L4594" s="2">
        <v>10500</v>
      </c>
      <c r="M4594">
        <v>12</v>
      </c>
      <c r="N4594" s="3">
        <v>0.32400000000000001</v>
      </c>
      <c r="O4594" t="s">
        <v>16</v>
      </c>
      <c r="Q4594">
        <v>1</v>
      </c>
      <c r="R4594">
        <v>0</v>
      </c>
      <c r="S4594" s="2">
        <v>9500</v>
      </c>
      <c r="T4594" s="4">
        <v>0.12379999999999999</v>
      </c>
      <c r="U4594">
        <v>2</v>
      </c>
      <c r="V4594">
        <v>1</v>
      </c>
      <c r="W4594">
        <v>1</v>
      </c>
    </row>
    <row r="4595" spans="1:23" ht="16.5" x14ac:dyDescent="0.3">
      <c r="A4595" t="s">
        <v>4659</v>
      </c>
      <c r="B4595" s="1">
        <v>45945</v>
      </c>
      <c r="C4595">
        <v>2025</v>
      </c>
      <c r="D4595" t="s">
        <v>1832</v>
      </c>
      <c r="E4595" t="s">
        <v>1833</v>
      </c>
      <c r="F4595" t="s">
        <v>37</v>
      </c>
      <c r="G4595" t="s">
        <v>33</v>
      </c>
      <c r="H4595" t="s">
        <v>34</v>
      </c>
      <c r="I4595" t="s">
        <v>39</v>
      </c>
      <c r="J4595" t="s">
        <v>46</v>
      </c>
      <c r="K4595" s="2">
        <v>12000</v>
      </c>
      <c r="L4595" s="2">
        <v>25500</v>
      </c>
      <c r="M4595">
        <v>60</v>
      </c>
      <c r="N4595" s="3">
        <v>0.23300000000000001</v>
      </c>
      <c r="O4595" t="s">
        <v>16</v>
      </c>
      <c r="Q4595">
        <v>1</v>
      </c>
      <c r="R4595">
        <v>0</v>
      </c>
      <c r="S4595" s="2">
        <v>25500</v>
      </c>
      <c r="T4595" s="4">
        <v>0.10730000000000001</v>
      </c>
      <c r="U4595">
        <v>1</v>
      </c>
      <c r="V4595">
        <v>1</v>
      </c>
      <c r="W4595">
        <v>1</v>
      </c>
    </row>
    <row r="4596" spans="1:23" ht="16.5" x14ac:dyDescent="0.3">
      <c r="A4596" t="s">
        <v>4660</v>
      </c>
      <c r="B4596" s="1">
        <v>45945</v>
      </c>
      <c r="C4596">
        <v>2025</v>
      </c>
      <c r="D4596" t="s">
        <v>1832</v>
      </c>
      <c r="E4596" t="s">
        <v>1833</v>
      </c>
      <c r="F4596" t="s">
        <v>41</v>
      </c>
      <c r="G4596" t="s">
        <v>45</v>
      </c>
      <c r="H4596" t="s">
        <v>55</v>
      </c>
      <c r="I4596" t="s">
        <v>42</v>
      </c>
      <c r="J4596" t="s">
        <v>52</v>
      </c>
      <c r="K4596" s="2">
        <v>7600</v>
      </c>
      <c r="L4596" s="2">
        <v>143500</v>
      </c>
      <c r="M4596">
        <v>36</v>
      </c>
      <c r="N4596" s="3">
        <v>0.79700000000000004</v>
      </c>
      <c r="O4596" t="s">
        <v>16</v>
      </c>
      <c r="Q4596">
        <v>1</v>
      </c>
      <c r="R4596">
        <v>0</v>
      </c>
      <c r="S4596" s="2">
        <v>143500</v>
      </c>
      <c r="T4596" s="4">
        <v>0.1014</v>
      </c>
      <c r="U4596">
        <v>5</v>
      </c>
      <c r="V4596">
        <v>1</v>
      </c>
      <c r="W4596">
        <v>1</v>
      </c>
    </row>
    <row r="4597" spans="1:23" ht="16.5" x14ac:dyDescent="0.3">
      <c r="A4597" t="s">
        <v>4661</v>
      </c>
      <c r="B4597" s="1">
        <v>45945</v>
      </c>
      <c r="C4597">
        <v>2025</v>
      </c>
      <c r="D4597" t="s">
        <v>1832</v>
      </c>
      <c r="E4597" t="s">
        <v>1833</v>
      </c>
      <c r="F4597" t="s">
        <v>26</v>
      </c>
      <c r="G4597" t="s">
        <v>51</v>
      </c>
      <c r="H4597" t="s">
        <v>55</v>
      </c>
      <c r="I4597" t="s">
        <v>42</v>
      </c>
      <c r="J4597" t="s">
        <v>52</v>
      </c>
      <c r="K4597" s="2">
        <v>9300</v>
      </c>
      <c r="L4597" s="2">
        <v>39500</v>
      </c>
      <c r="M4597">
        <v>36</v>
      </c>
      <c r="N4597" s="3">
        <v>0.249</v>
      </c>
      <c r="O4597" t="s">
        <v>16</v>
      </c>
      <c r="Q4597">
        <v>1</v>
      </c>
      <c r="R4597">
        <v>0</v>
      </c>
      <c r="S4597" s="2">
        <v>39500</v>
      </c>
      <c r="T4597" s="4">
        <v>7.5200000000000003E-2</v>
      </c>
      <c r="U4597">
        <v>5</v>
      </c>
      <c r="V4597">
        <v>0</v>
      </c>
      <c r="W4597">
        <v>1</v>
      </c>
    </row>
    <row r="4598" spans="1:23" ht="16.5" x14ac:dyDescent="0.3">
      <c r="A4598" t="s">
        <v>4662</v>
      </c>
      <c r="B4598" s="1">
        <v>45945</v>
      </c>
      <c r="C4598">
        <v>2025</v>
      </c>
      <c r="D4598" t="s">
        <v>1832</v>
      </c>
      <c r="E4598" t="s">
        <v>1833</v>
      </c>
      <c r="F4598" t="s">
        <v>37</v>
      </c>
      <c r="G4598" t="s">
        <v>33</v>
      </c>
      <c r="H4598" t="s">
        <v>38</v>
      </c>
      <c r="I4598" t="s">
        <v>39</v>
      </c>
      <c r="J4598" t="s">
        <v>35</v>
      </c>
      <c r="K4598" s="2">
        <v>5650</v>
      </c>
      <c r="L4598" s="2">
        <v>15500</v>
      </c>
      <c r="M4598">
        <v>24</v>
      </c>
      <c r="N4598" s="3">
        <v>0.28599999999999998</v>
      </c>
      <c r="O4598" t="s">
        <v>16</v>
      </c>
      <c r="Q4598">
        <v>1</v>
      </c>
      <c r="R4598">
        <v>0</v>
      </c>
      <c r="S4598" s="2">
        <v>15500</v>
      </c>
      <c r="T4598" s="4">
        <v>0.1249</v>
      </c>
      <c r="U4598">
        <v>1</v>
      </c>
      <c r="V4598">
        <v>1</v>
      </c>
      <c r="W4598">
        <v>1</v>
      </c>
    </row>
    <row r="4599" spans="1:23" ht="16.5" x14ac:dyDescent="0.3">
      <c r="A4599" t="s">
        <v>4663</v>
      </c>
      <c r="B4599" s="1">
        <v>45945</v>
      </c>
      <c r="C4599">
        <v>2025</v>
      </c>
      <c r="D4599" t="s">
        <v>1832</v>
      </c>
      <c r="E4599" t="s">
        <v>1833</v>
      </c>
      <c r="F4599" t="s">
        <v>41</v>
      </c>
      <c r="G4599" t="s">
        <v>51</v>
      </c>
      <c r="H4599" t="s">
        <v>38</v>
      </c>
      <c r="I4599" t="s">
        <v>42</v>
      </c>
      <c r="J4599" t="s">
        <v>52</v>
      </c>
      <c r="K4599" s="2">
        <v>4850</v>
      </c>
      <c r="L4599" s="2">
        <v>75000</v>
      </c>
      <c r="M4599">
        <v>12</v>
      </c>
      <c r="N4599" s="3">
        <v>1.536</v>
      </c>
      <c r="O4599" t="s">
        <v>17</v>
      </c>
      <c r="P4599" t="s">
        <v>53</v>
      </c>
      <c r="Q4599">
        <v>0</v>
      </c>
      <c r="R4599">
        <v>1</v>
      </c>
      <c r="S4599" s="2">
        <v>0</v>
      </c>
      <c r="T4599" s="4"/>
      <c r="U4599">
        <v>8</v>
      </c>
      <c r="V4599">
        <v>1</v>
      </c>
      <c r="W4599">
        <v>1</v>
      </c>
    </row>
    <row r="4600" spans="1:23" ht="16.5" x14ac:dyDescent="0.3">
      <c r="A4600" t="s">
        <v>4664</v>
      </c>
      <c r="B4600" s="1">
        <v>45945</v>
      </c>
      <c r="C4600">
        <v>2025</v>
      </c>
      <c r="D4600" t="s">
        <v>1832</v>
      </c>
      <c r="E4600" t="s">
        <v>1833</v>
      </c>
      <c r="F4600" t="s">
        <v>50</v>
      </c>
      <c r="G4600" t="s">
        <v>45</v>
      </c>
      <c r="H4600" t="s">
        <v>55</v>
      </c>
      <c r="I4600" t="s">
        <v>42</v>
      </c>
      <c r="J4600" t="s">
        <v>35</v>
      </c>
      <c r="K4600" s="2">
        <v>3950</v>
      </c>
      <c r="L4600" s="2">
        <v>223500</v>
      </c>
      <c r="M4600">
        <v>180</v>
      </c>
      <c r="N4600" s="3">
        <v>0.51500000000000001</v>
      </c>
      <c r="O4600" t="s">
        <v>16</v>
      </c>
      <c r="Q4600">
        <v>1</v>
      </c>
      <c r="R4600">
        <v>0</v>
      </c>
      <c r="S4600" s="2">
        <v>179000</v>
      </c>
      <c r="T4600" s="4">
        <v>5.45E-2</v>
      </c>
      <c r="U4600">
        <v>12</v>
      </c>
      <c r="V4600">
        <v>1</v>
      </c>
      <c r="W4600">
        <v>1</v>
      </c>
    </row>
    <row r="4601" spans="1:23" ht="16.5" x14ac:dyDescent="0.3">
      <c r="A4601" t="s">
        <v>4665</v>
      </c>
      <c r="B4601" s="1">
        <v>45945</v>
      </c>
      <c r="C4601">
        <v>2025</v>
      </c>
      <c r="D4601" t="s">
        <v>1832</v>
      </c>
      <c r="E4601" t="s">
        <v>1833</v>
      </c>
      <c r="F4601" t="s">
        <v>26</v>
      </c>
      <c r="G4601" t="s">
        <v>33</v>
      </c>
      <c r="H4601" t="s">
        <v>28</v>
      </c>
      <c r="I4601" t="s">
        <v>39</v>
      </c>
      <c r="J4601" t="s">
        <v>35</v>
      </c>
      <c r="K4601" s="2">
        <v>3300</v>
      </c>
      <c r="L4601" s="2">
        <v>16000</v>
      </c>
      <c r="M4601">
        <v>36</v>
      </c>
      <c r="N4601" s="3">
        <v>0.28199999999999997</v>
      </c>
      <c r="O4601" t="s">
        <v>16</v>
      </c>
      <c r="Q4601">
        <v>1</v>
      </c>
      <c r="R4601">
        <v>0</v>
      </c>
      <c r="S4601" s="2">
        <v>16000</v>
      </c>
      <c r="T4601" s="4">
        <v>7.9899999999999999E-2</v>
      </c>
      <c r="U4601">
        <v>1</v>
      </c>
      <c r="V4601">
        <v>1</v>
      </c>
      <c r="W4601">
        <v>1</v>
      </c>
    </row>
    <row r="4602" spans="1:23" ht="16.5" x14ac:dyDescent="0.3">
      <c r="A4602" t="s">
        <v>4666</v>
      </c>
      <c r="B4602" s="1">
        <v>45945</v>
      </c>
      <c r="C4602">
        <v>2025</v>
      </c>
      <c r="D4602" t="s">
        <v>1832</v>
      </c>
      <c r="E4602" t="s">
        <v>1833</v>
      </c>
      <c r="F4602" t="s">
        <v>26</v>
      </c>
      <c r="G4602" t="s">
        <v>33</v>
      </c>
      <c r="H4602" t="s">
        <v>34</v>
      </c>
      <c r="I4602" t="s">
        <v>39</v>
      </c>
      <c r="J4602" t="s">
        <v>52</v>
      </c>
      <c r="K4602" s="2">
        <v>2700</v>
      </c>
      <c r="L4602" s="2">
        <v>30000</v>
      </c>
      <c r="M4602">
        <v>60</v>
      </c>
      <c r="N4602" s="3">
        <v>0.35099999999999998</v>
      </c>
      <c r="O4602" t="s">
        <v>16</v>
      </c>
      <c r="Q4602">
        <v>1</v>
      </c>
      <c r="R4602">
        <v>0</v>
      </c>
      <c r="S4602" s="2">
        <v>30000</v>
      </c>
      <c r="T4602" s="4">
        <v>6.5100000000000005E-2</v>
      </c>
      <c r="U4602">
        <v>3</v>
      </c>
      <c r="V4602">
        <v>1</v>
      </c>
      <c r="W4602">
        <v>1</v>
      </c>
    </row>
    <row r="4603" spans="1:23" ht="16.5" x14ac:dyDescent="0.3">
      <c r="A4603" t="s">
        <v>4667</v>
      </c>
      <c r="B4603" s="1">
        <v>45946</v>
      </c>
      <c r="C4603">
        <v>2025</v>
      </c>
      <c r="D4603" t="s">
        <v>1832</v>
      </c>
      <c r="E4603" t="s">
        <v>1833</v>
      </c>
      <c r="F4603" t="s">
        <v>37</v>
      </c>
      <c r="G4603" t="s">
        <v>45</v>
      </c>
      <c r="H4603" t="s">
        <v>38</v>
      </c>
      <c r="I4603" t="s">
        <v>42</v>
      </c>
      <c r="J4603" t="s">
        <v>35</v>
      </c>
      <c r="K4603" s="2">
        <v>7400</v>
      </c>
      <c r="L4603" s="2">
        <v>7500</v>
      </c>
      <c r="M4603">
        <v>36</v>
      </c>
      <c r="N4603" s="3">
        <v>0.252</v>
      </c>
      <c r="O4603" t="s">
        <v>17</v>
      </c>
      <c r="P4603" t="s">
        <v>31</v>
      </c>
      <c r="Q4603">
        <v>0</v>
      </c>
      <c r="R4603">
        <v>1</v>
      </c>
      <c r="S4603" s="2">
        <v>0</v>
      </c>
      <c r="T4603" s="4"/>
      <c r="U4603">
        <v>2</v>
      </c>
      <c r="V4603">
        <v>1</v>
      </c>
      <c r="W4603">
        <v>1</v>
      </c>
    </row>
    <row r="4604" spans="1:23" ht="16.5" x14ac:dyDescent="0.3">
      <c r="A4604" t="s">
        <v>4668</v>
      </c>
      <c r="B4604" s="1">
        <v>45946</v>
      </c>
      <c r="C4604">
        <v>2025</v>
      </c>
      <c r="D4604" t="s">
        <v>1832</v>
      </c>
      <c r="E4604" t="s">
        <v>1833</v>
      </c>
      <c r="F4604" t="s">
        <v>26</v>
      </c>
      <c r="G4604" t="s">
        <v>27</v>
      </c>
      <c r="H4604" t="s">
        <v>55</v>
      </c>
      <c r="I4604" t="s">
        <v>39</v>
      </c>
      <c r="J4604" t="s">
        <v>52</v>
      </c>
      <c r="K4604" s="2">
        <v>4200</v>
      </c>
      <c r="L4604" s="2">
        <v>87500</v>
      </c>
      <c r="M4604">
        <v>60</v>
      </c>
      <c r="N4604" s="3">
        <v>0.56799999999999995</v>
      </c>
      <c r="O4604" t="s">
        <v>17</v>
      </c>
      <c r="P4604" t="s">
        <v>60</v>
      </c>
      <c r="Q4604">
        <v>0</v>
      </c>
      <c r="R4604">
        <v>1</v>
      </c>
      <c r="S4604" s="2">
        <v>0</v>
      </c>
      <c r="T4604" s="4"/>
      <c r="U4604">
        <v>7</v>
      </c>
      <c r="V4604">
        <v>0</v>
      </c>
      <c r="W4604">
        <v>1</v>
      </c>
    </row>
    <row r="4605" spans="1:23" ht="16.5" x14ac:dyDescent="0.3">
      <c r="A4605" t="s">
        <v>4669</v>
      </c>
      <c r="B4605" s="1">
        <v>45946</v>
      </c>
      <c r="C4605">
        <v>2025</v>
      </c>
      <c r="D4605" t="s">
        <v>1832</v>
      </c>
      <c r="E4605" t="s">
        <v>1833</v>
      </c>
      <c r="F4605" t="s">
        <v>41</v>
      </c>
      <c r="G4605" t="s">
        <v>33</v>
      </c>
      <c r="H4605" t="s">
        <v>34</v>
      </c>
      <c r="I4605" t="s">
        <v>39</v>
      </c>
      <c r="J4605" t="s">
        <v>52</v>
      </c>
      <c r="K4605" s="2">
        <v>5150</v>
      </c>
      <c r="L4605" s="2">
        <v>94500</v>
      </c>
      <c r="M4605">
        <v>24</v>
      </c>
      <c r="N4605" s="3">
        <v>0.98099999999999998</v>
      </c>
      <c r="O4605" t="s">
        <v>17</v>
      </c>
      <c r="P4605" t="s">
        <v>53</v>
      </c>
      <c r="Q4605">
        <v>0</v>
      </c>
      <c r="R4605">
        <v>1</v>
      </c>
      <c r="S4605" s="2">
        <v>0</v>
      </c>
      <c r="T4605" s="4"/>
      <c r="U4605">
        <v>5</v>
      </c>
      <c r="V4605">
        <v>1</v>
      </c>
      <c r="W4605">
        <v>1</v>
      </c>
    </row>
    <row r="4606" spans="1:23" ht="16.5" x14ac:dyDescent="0.3">
      <c r="A4606" t="s">
        <v>4670</v>
      </c>
      <c r="B4606" s="1">
        <v>45946</v>
      </c>
      <c r="C4606">
        <v>2025</v>
      </c>
      <c r="D4606" t="s">
        <v>1832</v>
      </c>
      <c r="E4606" t="s">
        <v>1833</v>
      </c>
      <c r="F4606" t="s">
        <v>26</v>
      </c>
      <c r="G4606" t="s">
        <v>45</v>
      </c>
      <c r="H4606" t="s">
        <v>38</v>
      </c>
      <c r="I4606" t="s">
        <v>39</v>
      </c>
      <c r="J4606" t="s">
        <v>46</v>
      </c>
      <c r="K4606" s="2">
        <v>7800</v>
      </c>
      <c r="L4606" s="2">
        <v>38500</v>
      </c>
      <c r="M4606">
        <v>48</v>
      </c>
      <c r="N4606" s="3">
        <v>0.24099999999999999</v>
      </c>
      <c r="O4606" t="s">
        <v>16</v>
      </c>
      <c r="Q4606">
        <v>1</v>
      </c>
      <c r="R4606">
        <v>0</v>
      </c>
      <c r="S4606" s="2">
        <v>38500</v>
      </c>
      <c r="T4606" s="4">
        <v>7.0400000000000004E-2</v>
      </c>
      <c r="U4606">
        <v>3</v>
      </c>
      <c r="V4606">
        <v>1</v>
      </c>
      <c r="W4606">
        <v>1</v>
      </c>
    </row>
    <row r="4607" spans="1:23" ht="16.5" x14ac:dyDescent="0.3">
      <c r="A4607" t="s">
        <v>4671</v>
      </c>
      <c r="B4607" s="1">
        <v>45946</v>
      </c>
      <c r="C4607">
        <v>2025</v>
      </c>
      <c r="D4607" t="s">
        <v>1832</v>
      </c>
      <c r="E4607" t="s">
        <v>1833</v>
      </c>
      <c r="F4607" t="s">
        <v>50</v>
      </c>
      <c r="G4607" t="s">
        <v>45</v>
      </c>
      <c r="H4607" t="s">
        <v>55</v>
      </c>
      <c r="I4607" t="s">
        <v>29</v>
      </c>
      <c r="J4607" t="s">
        <v>35</v>
      </c>
      <c r="K4607" s="2">
        <v>12650</v>
      </c>
      <c r="L4607" s="2">
        <v>384500</v>
      </c>
      <c r="M4607">
        <v>240</v>
      </c>
      <c r="N4607" s="3">
        <v>0.28899999999999998</v>
      </c>
      <c r="O4607" t="s">
        <v>16</v>
      </c>
      <c r="Q4607">
        <v>1</v>
      </c>
      <c r="R4607">
        <v>0</v>
      </c>
      <c r="S4607" s="2">
        <v>384500</v>
      </c>
      <c r="T4607" s="4">
        <v>5.8999999999999997E-2</v>
      </c>
      <c r="U4607">
        <v>9</v>
      </c>
      <c r="V4607">
        <v>1</v>
      </c>
      <c r="W4607">
        <v>1</v>
      </c>
    </row>
    <row r="4608" spans="1:23" ht="16.5" x14ac:dyDescent="0.3">
      <c r="A4608" t="s">
        <v>4672</v>
      </c>
      <c r="B4608" s="1">
        <v>45946</v>
      </c>
      <c r="C4608">
        <v>2025</v>
      </c>
      <c r="D4608" t="s">
        <v>1832</v>
      </c>
      <c r="E4608" t="s">
        <v>1833</v>
      </c>
      <c r="F4608" t="s">
        <v>41</v>
      </c>
      <c r="G4608" t="s">
        <v>33</v>
      </c>
      <c r="H4608" t="s">
        <v>38</v>
      </c>
      <c r="I4608" t="s">
        <v>29</v>
      </c>
      <c r="J4608" t="s">
        <v>46</v>
      </c>
      <c r="K4608" s="2">
        <v>3650</v>
      </c>
      <c r="L4608" s="2">
        <v>68500</v>
      </c>
      <c r="M4608">
        <v>24</v>
      </c>
      <c r="N4608" s="3">
        <v>1.056</v>
      </c>
      <c r="O4608" t="s">
        <v>16</v>
      </c>
      <c r="Q4608">
        <v>1</v>
      </c>
      <c r="R4608">
        <v>0</v>
      </c>
      <c r="S4608" s="2">
        <v>68500</v>
      </c>
      <c r="T4608" s="4">
        <v>9.2200000000000004E-2</v>
      </c>
      <c r="U4608">
        <v>3</v>
      </c>
      <c r="V4608">
        <v>1</v>
      </c>
      <c r="W4608">
        <v>1</v>
      </c>
    </row>
    <row r="4609" spans="1:23" ht="16.5" x14ac:dyDescent="0.3">
      <c r="A4609" t="s">
        <v>4673</v>
      </c>
      <c r="B4609" s="1">
        <v>45946</v>
      </c>
      <c r="C4609">
        <v>2025</v>
      </c>
      <c r="D4609" t="s">
        <v>1832</v>
      </c>
      <c r="E4609" t="s">
        <v>1833</v>
      </c>
      <c r="F4609" t="s">
        <v>50</v>
      </c>
      <c r="G4609" t="s">
        <v>51</v>
      </c>
      <c r="H4609" t="s">
        <v>64</v>
      </c>
      <c r="I4609" t="s">
        <v>29</v>
      </c>
      <c r="J4609" t="s">
        <v>30</v>
      </c>
      <c r="K4609" s="2">
        <v>2900</v>
      </c>
      <c r="L4609" s="2">
        <v>108500</v>
      </c>
      <c r="M4609">
        <v>180</v>
      </c>
      <c r="N4609" s="3">
        <v>0.54</v>
      </c>
      <c r="O4609" t="s">
        <v>16</v>
      </c>
      <c r="Q4609">
        <v>1</v>
      </c>
      <c r="R4609">
        <v>0</v>
      </c>
      <c r="S4609" s="2">
        <v>87000</v>
      </c>
      <c r="T4609" s="4">
        <v>7.5399999999999995E-2</v>
      </c>
      <c r="U4609">
        <v>19</v>
      </c>
      <c r="V4609">
        <v>0</v>
      </c>
      <c r="W4609">
        <v>1</v>
      </c>
    </row>
    <row r="4610" spans="1:23" ht="16.5" x14ac:dyDescent="0.3">
      <c r="A4610" t="s">
        <v>4674</v>
      </c>
      <c r="B4610" s="1">
        <v>45946</v>
      </c>
      <c r="C4610">
        <v>2025</v>
      </c>
      <c r="D4610" t="s">
        <v>1832</v>
      </c>
      <c r="E4610" t="s">
        <v>1833</v>
      </c>
      <c r="F4610" t="s">
        <v>41</v>
      </c>
      <c r="G4610" t="s">
        <v>45</v>
      </c>
      <c r="H4610" t="s">
        <v>55</v>
      </c>
      <c r="I4610" t="s">
        <v>29</v>
      </c>
      <c r="J4610" t="s">
        <v>30</v>
      </c>
      <c r="K4610" s="2">
        <v>5200</v>
      </c>
      <c r="L4610" s="2">
        <v>44500</v>
      </c>
      <c r="M4610">
        <v>36</v>
      </c>
      <c r="N4610" s="3">
        <v>0.36699999999999999</v>
      </c>
      <c r="O4610" t="s">
        <v>17</v>
      </c>
      <c r="P4610" t="s">
        <v>31</v>
      </c>
      <c r="Q4610">
        <v>0</v>
      </c>
      <c r="R4610">
        <v>1</v>
      </c>
      <c r="S4610" s="2">
        <v>0</v>
      </c>
      <c r="T4610" s="4"/>
      <c r="U4610">
        <v>3</v>
      </c>
      <c r="V4610">
        <v>1</v>
      </c>
      <c r="W4610">
        <v>1</v>
      </c>
    </row>
    <row r="4611" spans="1:23" ht="16.5" x14ac:dyDescent="0.3">
      <c r="A4611" t="s">
        <v>4675</v>
      </c>
      <c r="B4611" s="1">
        <v>45946</v>
      </c>
      <c r="C4611">
        <v>2025</v>
      </c>
      <c r="D4611" t="s">
        <v>1832</v>
      </c>
      <c r="E4611" t="s">
        <v>1833</v>
      </c>
      <c r="F4611" t="s">
        <v>26</v>
      </c>
      <c r="G4611" t="s">
        <v>33</v>
      </c>
      <c r="H4611" t="s">
        <v>28</v>
      </c>
      <c r="I4611" t="s">
        <v>29</v>
      </c>
      <c r="J4611" t="s">
        <v>52</v>
      </c>
      <c r="K4611" s="2">
        <v>9700</v>
      </c>
      <c r="L4611" s="2">
        <v>16000</v>
      </c>
      <c r="M4611">
        <v>36</v>
      </c>
      <c r="N4611" s="3">
        <v>0.121</v>
      </c>
      <c r="O4611" t="s">
        <v>16</v>
      </c>
      <c r="Q4611">
        <v>1</v>
      </c>
      <c r="R4611">
        <v>0</v>
      </c>
      <c r="S4611" s="2">
        <v>16000</v>
      </c>
      <c r="T4611" s="4">
        <v>7.0800000000000002E-2</v>
      </c>
      <c r="U4611">
        <v>2</v>
      </c>
      <c r="V4611">
        <v>1</v>
      </c>
      <c r="W4611">
        <v>1</v>
      </c>
    </row>
    <row r="4612" spans="1:23" ht="16.5" x14ac:dyDescent="0.3">
      <c r="A4612" t="s">
        <v>4676</v>
      </c>
      <c r="B4612" s="1">
        <v>45947</v>
      </c>
      <c r="C4612">
        <v>2025</v>
      </c>
      <c r="D4612" t="s">
        <v>1832</v>
      </c>
      <c r="E4612" t="s">
        <v>1833</v>
      </c>
      <c r="F4612" t="s">
        <v>41</v>
      </c>
      <c r="G4612" t="s">
        <v>45</v>
      </c>
      <c r="H4612" t="s">
        <v>28</v>
      </c>
      <c r="I4612" t="s">
        <v>39</v>
      </c>
      <c r="J4612" t="s">
        <v>43</v>
      </c>
      <c r="K4612" s="2">
        <v>6050</v>
      </c>
      <c r="L4612" s="2">
        <v>151000</v>
      </c>
      <c r="M4612">
        <v>60</v>
      </c>
      <c r="N4612" s="3">
        <v>0.64500000000000002</v>
      </c>
      <c r="O4612" t="s">
        <v>17</v>
      </c>
      <c r="P4612" t="s">
        <v>31</v>
      </c>
      <c r="Q4612">
        <v>0</v>
      </c>
      <c r="R4612">
        <v>1</v>
      </c>
      <c r="S4612" s="2">
        <v>0</v>
      </c>
      <c r="T4612" s="4"/>
      <c r="U4612">
        <v>3</v>
      </c>
      <c r="V4612">
        <v>1</v>
      </c>
      <c r="W4612">
        <v>1</v>
      </c>
    </row>
    <row r="4613" spans="1:23" ht="16.5" x14ac:dyDescent="0.3">
      <c r="A4613" t="s">
        <v>4677</v>
      </c>
      <c r="B4613" s="1">
        <v>45947</v>
      </c>
      <c r="C4613">
        <v>2025</v>
      </c>
      <c r="D4613" t="s">
        <v>1832</v>
      </c>
      <c r="E4613" t="s">
        <v>1833</v>
      </c>
      <c r="F4613" t="s">
        <v>26</v>
      </c>
      <c r="G4613" t="s">
        <v>51</v>
      </c>
      <c r="H4613" t="s">
        <v>34</v>
      </c>
      <c r="I4613" t="s">
        <v>39</v>
      </c>
      <c r="J4613" t="s">
        <v>35</v>
      </c>
      <c r="K4613" s="2">
        <v>8200</v>
      </c>
      <c r="L4613" s="2">
        <v>23000</v>
      </c>
      <c r="M4613">
        <v>36</v>
      </c>
      <c r="N4613" s="3">
        <v>0.27600000000000002</v>
      </c>
      <c r="O4613" t="s">
        <v>16</v>
      </c>
      <c r="Q4613">
        <v>1</v>
      </c>
      <c r="R4613">
        <v>0</v>
      </c>
      <c r="S4613" s="2">
        <v>18500</v>
      </c>
      <c r="T4613" s="4">
        <v>8.3500000000000005E-2</v>
      </c>
      <c r="U4613">
        <v>11</v>
      </c>
      <c r="V4613">
        <v>0</v>
      </c>
      <c r="W4613">
        <v>1</v>
      </c>
    </row>
    <row r="4614" spans="1:23" ht="16.5" x14ac:dyDescent="0.3">
      <c r="A4614" t="s">
        <v>4678</v>
      </c>
      <c r="B4614" s="1">
        <v>45947</v>
      </c>
      <c r="C4614">
        <v>2025</v>
      </c>
      <c r="D4614" t="s">
        <v>1832</v>
      </c>
      <c r="E4614" t="s">
        <v>1833</v>
      </c>
      <c r="F4614" t="s">
        <v>37</v>
      </c>
      <c r="G4614" t="s">
        <v>33</v>
      </c>
      <c r="H4614" t="s">
        <v>55</v>
      </c>
      <c r="I4614" t="s">
        <v>39</v>
      </c>
      <c r="J4614" t="s">
        <v>52</v>
      </c>
      <c r="K4614" s="2">
        <v>5400</v>
      </c>
      <c r="L4614" s="2">
        <v>9000</v>
      </c>
      <c r="M4614">
        <v>12</v>
      </c>
      <c r="N4614" s="3">
        <v>0.223</v>
      </c>
      <c r="O4614" t="s">
        <v>17</v>
      </c>
      <c r="P4614" t="s">
        <v>31</v>
      </c>
      <c r="Q4614">
        <v>0</v>
      </c>
      <c r="R4614">
        <v>1</v>
      </c>
      <c r="S4614" s="2">
        <v>0</v>
      </c>
      <c r="T4614" s="4"/>
      <c r="U4614">
        <v>2</v>
      </c>
      <c r="V4614">
        <v>1</v>
      </c>
      <c r="W4614">
        <v>1</v>
      </c>
    </row>
    <row r="4615" spans="1:23" ht="16.5" x14ac:dyDescent="0.3">
      <c r="A4615" t="s">
        <v>4679</v>
      </c>
      <c r="B4615" s="1">
        <v>45947</v>
      </c>
      <c r="C4615">
        <v>2025</v>
      </c>
      <c r="D4615" t="s">
        <v>1832</v>
      </c>
      <c r="E4615" t="s">
        <v>1833</v>
      </c>
      <c r="F4615" t="s">
        <v>50</v>
      </c>
      <c r="G4615" t="s">
        <v>33</v>
      </c>
      <c r="H4615" t="s">
        <v>38</v>
      </c>
      <c r="I4615" t="s">
        <v>39</v>
      </c>
      <c r="J4615" t="s">
        <v>52</v>
      </c>
      <c r="K4615" s="2">
        <v>5600</v>
      </c>
      <c r="L4615" s="2">
        <v>262000</v>
      </c>
      <c r="M4615">
        <v>300</v>
      </c>
      <c r="N4615" s="3">
        <v>0.51100000000000001</v>
      </c>
      <c r="O4615" t="s">
        <v>16</v>
      </c>
      <c r="Q4615">
        <v>1</v>
      </c>
      <c r="R4615">
        <v>0</v>
      </c>
      <c r="S4615" s="2">
        <v>262000</v>
      </c>
      <c r="T4615" s="4">
        <v>4.5400000000000003E-2</v>
      </c>
      <c r="U4615">
        <v>7</v>
      </c>
      <c r="V4615">
        <v>1</v>
      </c>
      <c r="W4615">
        <v>1</v>
      </c>
    </row>
    <row r="4616" spans="1:23" ht="16.5" x14ac:dyDescent="0.3">
      <c r="A4616" t="s">
        <v>4680</v>
      </c>
      <c r="B4616" s="1">
        <v>45947</v>
      </c>
      <c r="C4616">
        <v>2025</v>
      </c>
      <c r="D4616" t="s">
        <v>1832</v>
      </c>
      <c r="E4616" t="s">
        <v>1833</v>
      </c>
      <c r="F4616" t="s">
        <v>26</v>
      </c>
      <c r="G4616" t="s">
        <v>33</v>
      </c>
      <c r="H4616" t="s">
        <v>38</v>
      </c>
      <c r="I4616" t="s">
        <v>29</v>
      </c>
      <c r="J4616" t="s">
        <v>30</v>
      </c>
      <c r="K4616" s="2">
        <v>3950</v>
      </c>
      <c r="L4616" s="2">
        <v>68000</v>
      </c>
      <c r="M4616">
        <v>48</v>
      </c>
      <c r="N4616" s="3">
        <v>0.58799999999999997</v>
      </c>
      <c r="O4616" t="s">
        <v>125</v>
      </c>
      <c r="Q4616">
        <v>0</v>
      </c>
      <c r="R4616">
        <v>0</v>
      </c>
      <c r="S4616" s="2">
        <v>0</v>
      </c>
      <c r="T4616" s="4"/>
      <c r="U4616">
        <v>3</v>
      </c>
      <c r="V4616">
        <v>1</v>
      </c>
      <c r="W4616">
        <v>1</v>
      </c>
    </row>
    <row r="4617" spans="1:23" ht="16.5" x14ac:dyDescent="0.3">
      <c r="A4617" t="s">
        <v>4681</v>
      </c>
      <c r="B4617" s="1">
        <v>45947</v>
      </c>
      <c r="C4617">
        <v>2025</v>
      </c>
      <c r="D4617" t="s">
        <v>1832</v>
      </c>
      <c r="E4617" t="s">
        <v>1833</v>
      </c>
      <c r="F4617" t="s">
        <v>37</v>
      </c>
      <c r="G4617" t="s">
        <v>51</v>
      </c>
      <c r="H4617" t="s">
        <v>55</v>
      </c>
      <c r="I4617" t="s">
        <v>29</v>
      </c>
      <c r="J4617" t="s">
        <v>30</v>
      </c>
      <c r="K4617" s="2">
        <v>5900</v>
      </c>
      <c r="L4617" s="2">
        <v>30000</v>
      </c>
      <c r="M4617">
        <v>12</v>
      </c>
      <c r="N4617" s="3">
        <v>0.57499999999999996</v>
      </c>
      <c r="O4617" t="s">
        <v>17</v>
      </c>
      <c r="P4617" t="s">
        <v>31</v>
      </c>
      <c r="Q4617">
        <v>0</v>
      </c>
      <c r="R4617">
        <v>1</v>
      </c>
      <c r="S4617" s="2">
        <v>0</v>
      </c>
      <c r="T4617" s="4"/>
      <c r="U4617">
        <v>5</v>
      </c>
      <c r="V4617">
        <v>0</v>
      </c>
      <c r="W4617">
        <v>1</v>
      </c>
    </row>
    <row r="4618" spans="1:23" ht="16.5" x14ac:dyDescent="0.3">
      <c r="A4618" t="s">
        <v>4682</v>
      </c>
      <c r="B4618" s="1">
        <v>45947</v>
      </c>
      <c r="C4618">
        <v>2025</v>
      </c>
      <c r="D4618" t="s">
        <v>1832</v>
      </c>
      <c r="E4618" t="s">
        <v>1833</v>
      </c>
      <c r="F4618" t="s">
        <v>37</v>
      </c>
      <c r="G4618" t="s">
        <v>51</v>
      </c>
      <c r="H4618" t="s">
        <v>64</v>
      </c>
      <c r="I4618" t="s">
        <v>39</v>
      </c>
      <c r="J4618" t="s">
        <v>52</v>
      </c>
      <c r="K4618" s="2">
        <v>2500</v>
      </c>
      <c r="L4618" s="2">
        <v>17000</v>
      </c>
      <c r="M4618">
        <v>60</v>
      </c>
      <c r="N4618" s="3">
        <v>0.33800000000000002</v>
      </c>
      <c r="O4618" t="s">
        <v>17</v>
      </c>
      <c r="P4618" t="s">
        <v>65</v>
      </c>
      <c r="Q4618">
        <v>0</v>
      </c>
      <c r="R4618">
        <v>1</v>
      </c>
      <c r="S4618" s="2">
        <v>0</v>
      </c>
      <c r="T4618" s="4"/>
      <c r="U4618">
        <v>4</v>
      </c>
      <c r="V4618">
        <v>0</v>
      </c>
      <c r="W4618">
        <v>1</v>
      </c>
    </row>
    <row r="4619" spans="1:23" ht="16.5" x14ac:dyDescent="0.3">
      <c r="A4619" t="s">
        <v>4683</v>
      </c>
      <c r="B4619" s="1">
        <v>45947</v>
      </c>
      <c r="C4619">
        <v>2025</v>
      </c>
      <c r="D4619" t="s">
        <v>1832</v>
      </c>
      <c r="E4619" t="s">
        <v>1833</v>
      </c>
      <c r="F4619" t="s">
        <v>26</v>
      </c>
      <c r="G4619" t="s">
        <v>51</v>
      </c>
      <c r="H4619" t="s">
        <v>38</v>
      </c>
      <c r="I4619" t="s">
        <v>39</v>
      </c>
      <c r="J4619" t="s">
        <v>35</v>
      </c>
      <c r="K4619" s="2">
        <v>6050</v>
      </c>
      <c r="L4619" s="2">
        <v>22000</v>
      </c>
      <c r="M4619">
        <v>60</v>
      </c>
      <c r="N4619" s="3">
        <v>0.20599999999999999</v>
      </c>
      <c r="O4619" t="s">
        <v>16</v>
      </c>
      <c r="Q4619">
        <v>1</v>
      </c>
      <c r="R4619">
        <v>0</v>
      </c>
      <c r="S4619" s="2">
        <v>22000</v>
      </c>
      <c r="T4619" s="4">
        <v>8.2600000000000007E-2</v>
      </c>
      <c r="U4619">
        <v>7</v>
      </c>
      <c r="V4619">
        <v>0</v>
      </c>
      <c r="W4619">
        <v>1</v>
      </c>
    </row>
    <row r="4620" spans="1:23" ht="16.5" x14ac:dyDescent="0.3">
      <c r="A4620" t="s">
        <v>4684</v>
      </c>
      <c r="B4620" s="1">
        <v>45948</v>
      </c>
      <c r="C4620">
        <v>2025</v>
      </c>
      <c r="D4620" t="s">
        <v>1832</v>
      </c>
      <c r="E4620" t="s">
        <v>1833</v>
      </c>
      <c r="F4620" t="s">
        <v>50</v>
      </c>
      <c r="G4620" t="s">
        <v>33</v>
      </c>
      <c r="H4620" t="s">
        <v>38</v>
      </c>
      <c r="I4620" t="s">
        <v>39</v>
      </c>
      <c r="J4620" t="s">
        <v>35</v>
      </c>
      <c r="K4620" s="2">
        <v>4550</v>
      </c>
      <c r="L4620" s="2">
        <v>218500</v>
      </c>
      <c r="M4620">
        <v>240</v>
      </c>
      <c r="N4620" s="3">
        <v>0.49199999999999999</v>
      </c>
      <c r="O4620" t="s">
        <v>17</v>
      </c>
      <c r="P4620" t="s">
        <v>53</v>
      </c>
      <c r="Q4620">
        <v>0</v>
      </c>
      <c r="R4620">
        <v>1</v>
      </c>
      <c r="S4620" s="2">
        <v>0</v>
      </c>
      <c r="T4620" s="4"/>
      <c r="U4620">
        <v>7</v>
      </c>
      <c r="V4620">
        <v>1</v>
      </c>
      <c r="W4620">
        <v>1</v>
      </c>
    </row>
    <row r="4621" spans="1:23" ht="16.5" x14ac:dyDescent="0.3">
      <c r="A4621" t="s">
        <v>4685</v>
      </c>
      <c r="B4621" s="1">
        <v>45948</v>
      </c>
      <c r="C4621">
        <v>2025</v>
      </c>
      <c r="D4621" t="s">
        <v>1832</v>
      </c>
      <c r="E4621" t="s">
        <v>1833</v>
      </c>
      <c r="F4621" t="s">
        <v>41</v>
      </c>
      <c r="G4621" t="s">
        <v>27</v>
      </c>
      <c r="H4621" t="s">
        <v>34</v>
      </c>
      <c r="I4621" t="s">
        <v>42</v>
      </c>
      <c r="J4621" t="s">
        <v>43</v>
      </c>
      <c r="K4621" s="2">
        <v>6550</v>
      </c>
      <c r="L4621" s="2">
        <v>145500</v>
      </c>
      <c r="M4621">
        <v>24</v>
      </c>
      <c r="N4621" s="3">
        <v>1.0980000000000001</v>
      </c>
      <c r="O4621" t="s">
        <v>17</v>
      </c>
      <c r="P4621" t="s">
        <v>31</v>
      </c>
      <c r="Q4621">
        <v>0</v>
      </c>
      <c r="R4621">
        <v>1</v>
      </c>
      <c r="S4621" s="2">
        <v>0</v>
      </c>
      <c r="T4621" s="4"/>
      <c r="U4621">
        <v>14</v>
      </c>
      <c r="V4621">
        <v>0</v>
      </c>
      <c r="W4621">
        <v>1</v>
      </c>
    </row>
    <row r="4622" spans="1:23" ht="16.5" x14ac:dyDescent="0.3">
      <c r="A4622" t="s">
        <v>4686</v>
      </c>
      <c r="B4622" s="1">
        <v>45948</v>
      </c>
      <c r="C4622">
        <v>2025</v>
      </c>
      <c r="D4622" t="s">
        <v>1832</v>
      </c>
      <c r="E4622" t="s">
        <v>1833</v>
      </c>
      <c r="F4622" t="s">
        <v>37</v>
      </c>
      <c r="G4622" t="s">
        <v>51</v>
      </c>
      <c r="H4622" t="s">
        <v>34</v>
      </c>
      <c r="I4622" t="s">
        <v>29</v>
      </c>
      <c r="J4622" t="s">
        <v>35</v>
      </c>
      <c r="K4622" s="2">
        <v>3650</v>
      </c>
      <c r="L4622" s="2">
        <v>13500</v>
      </c>
      <c r="M4622">
        <v>36</v>
      </c>
      <c r="N4622" s="3">
        <v>0.314</v>
      </c>
      <c r="O4622" t="s">
        <v>16</v>
      </c>
      <c r="Q4622">
        <v>1</v>
      </c>
      <c r="R4622">
        <v>0</v>
      </c>
      <c r="S4622" s="2">
        <v>13500</v>
      </c>
      <c r="T4622" s="4">
        <v>0.1242</v>
      </c>
      <c r="U4622">
        <v>8</v>
      </c>
      <c r="V4622">
        <v>0</v>
      </c>
      <c r="W4622">
        <v>1</v>
      </c>
    </row>
    <row r="4623" spans="1:23" ht="16.5" x14ac:dyDescent="0.3">
      <c r="A4623" t="s">
        <v>4687</v>
      </c>
      <c r="B4623" s="1">
        <v>45949</v>
      </c>
      <c r="C4623">
        <v>2025</v>
      </c>
      <c r="D4623" t="s">
        <v>1832</v>
      </c>
      <c r="E4623" t="s">
        <v>1833</v>
      </c>
      <c r="F4623" t="s">
        <v>41</v>
      </c>
      <c r="G4623" t="s">
        <v>33</v>
      </c>
      <c r="H4623" t="s">
        <v>34</v>
      </c>
      <c r="I4623" t="s">
        <v>29</v>
      </c>
      <c r="J4623" t="s">
        <v>30</v>
      </c>
      <c r="K4623" s="2">
        <v>4850</v>
      </c>
      <c r="L4623" s="2">
        <v>101500</v>
      </c>
      <c r="M4623">
        <v>60</v>
      </c>
      <c r="N4623" s="3">
        <v>0.61399999999999999</v>
      </c>
      <c r="O4623" t="s">
        <v>125</v>
      </c>
      <c r="Q4623">
        <v>0</v>
      </c>
      <c r="R4623">
        <v>0</v>
      </c>
      <c r="S4623" s="2">
        <v>0</v>
      </c>
      <c r="T4623" s="4"/>
      <c r="U4623">
        <v>4</v>
      </c>
      <c r="V4623">
        <v>1</v>
      </c>
      <c r="W4623">
        <v>1</v>
      </c>
    </row>
    <row r="4624" spans="1:23" ht="16.5" x14ac:dyDescent="0.3">
      <c r="A4624" t="s">
        <v>4688</v>
      </c>
      <c r="B4624" s="1">
        <v>45949</v>
      </c>
      <c r="C4624">
        <v>2025</v>
      </c>
      <c r="D4624" t="s">
        <v>1832</v>
      </c>
      <c r="E4624" t="s">
        <v>1833</v>
      </c>
      <c r="F4624" t="s">
        <v>37</v>
      </c>
      <c r="G4624" t="s">
        <v>45</v>
      </c>
      <c r="H4624" t="s">
        <v>64</v>
      </c>
      <c r="I4624" t="s">
        <v>39</v>
      </c>
      <c r="J4624" t="s">
        <v>35</v>
      </c>
      <c r="K4624" s="2">
        <v>5450</v>
      </c>
      <c r="L4624" s="2">
        <v>10500</v>
      </c>
      <c r="M4624">
        <v>24</v>
      </c>
      <c r="N4624" s="3">
        <v>0.28499999999999998</v>
      </c>
      <c r="O4624" t="s">
        <v>17</v>
      </c>
      <c r="P4624" t="s">
        <v>65</v>
      </c>
      <c r="Q4624">
        <v>0</v>
      </c>
      <c r="R4624">
        <v>1</v>
      </c>
      <c r="S4624" s="2">
        <v>0</v>
      </c>
      <c r="T4624" s="4"/>
      <c r="U4624">
        <v>2</v>
      </c>
      <c r="V4624">
        <v>1</v>
      </c>
      <c r="W4624">
        <v>1</v>
      </c>
    </row>
    <row r="4625" spans="1:23" ht="16.5" x14ac:dyDescent="0.3">
      <c r="A4625" t="s">
        <v>4689</v>
      </c>
      <c r="B4625" s="1">
        <v>45949</v>
      </c>
      <c r="C4625">
        <v>2025</v>
      </c>
      <c r="D4625" t="s">
        <v>1832</v>
      </c>
      <c r="E4625" t="s">
        <v>1833</v>
      </c>
      <c r="F4625" t="s">
        <v>37</v>
      </c>
      <c r="G4625" t="s">
        <v>27</v>
      </c>
      <c r="H4625" t="s">
        <v>38</v>
      </c>
      <c r="I4625" t="s">
        <v>29</v>
      </c>
      <c r="J4625" t="s">
        <v>30</v>
      </c>
      <c r="K4625" s="2">
        <v>2850</v>
      </c>
      <c r="L4625" s="2">
        <v>8000</v>
      </c>
      <c r="M4625">
        <v>60</v>
      </c>
      <c r="N4625" s="3">
        <v>0.23499999999999999</v>
      </c>
      <c r="O4625" t="s">
        <v>17</v>
      </c>
      <c r="P4625" t="s">
        <v>65</v>
      </c>
      <c r="Q4625">
        <v>0</v>
      </c>
      <c r="R4625">
        <v>1</v>
      </c>
      <c r="S4625" s="2">
        <v>0</v>
      </c>
      <c r="T4625" s="4"/>
      <c r="U4625">
        <v>4</v>
      </c>
      <c r="V4625">
        <v>0</v>
      </c>
      <c r="W4625">
        <v>1</v>
      </c>
    </row>
    <row r="4626" spans="1:23" ht="16.5" x14ac:dyDescent="0.3">
      <c r="A4626" t="s">
        <v>4690</v>
      </c>
      <c r="B4626" s="1">
        <v>45949</v>
      </c>
      <c r="C4626">
        <v>2025</v>
      </c>
      <c r="D4626" t="s">
        <v>1832</v>
      </c>
      <c r="E4626" t="s">
        <v>1833</v>
      </c>
      <c r="F4626" t="s">
        <v>37</v>
      </c>
      <c r="G4626" t="s">
        <v>51</v>
      </c>
      <c r="H4626" t="s">
        <v>38</v>
      </c>
      <c r="I4626" t="s">
        <v>42</v>
      </c>
      <c r="J4626" t="s">
        <v>35</v>
      </c>
      <c r="K4626" s="2">
        <v>6850</v>
      </c>
      <c r="L4626" s="2">
        <v>19000</v>
      </c>
      <c r="M4626">
        <v>60</v>
      </c>
      <c r="N4626" s="3">
        <v>0.29899999999999999</v>
      </c>
      <c r="O4626" t="s">
        <v>16</v>
      </c>
      <c r="Q4626">
        <v>1</v>
      </c>
      <c r="R4626">
        <v>0</v>
      </c>
      <c r="S4626" s="2">
        <v>19000</v>
      </c>
      <c r="T4626" s="4">
        <v>0.12609999999999999</v>
      </c>
      <c r="U4626">
        <v>3</v>
      </c>
      <c r="V4626">
        <v>1</v>
      </c>
      <c r="W4626">
        <v>1</v>
      </c>
    </row>
    <row r="4627" spans="1:23" ht="16.5" x14ac:dyDescent="0.3">
      <c r="A4627" t="s">
        <v>4691</v>
      </c>
      <c r="B4627" s="1">
        <v>45949</v>
      </c>
      <c r="C4627">
        <v>2025</v>
      </c>
      <c r="D4627" t="s">
        <v>1832</v>
      </c>
      <c r="E4627" t="s">
        <v>1833</v>
      </c>
      <c r="F4627" t="s">
        <v>37</v>
      </c>
      <c r="G4627" t="s">
        <v>33</v>
      </c>
      <c r="H4627" t="s">
        <v>55</v>
      </c>
      <c r="I4627" t="s">
        <v>42</v>
      </c>
      <c r="J4627" t="s">
        <v>52</v>
      </c>
      <c r="K4627" s="2">
        <v>5050</v>
      </c>
      <c r="L4627" s="2">
        <v>15000</v>
      </c>
      <c r="M4627">
        <v>48</v>
      </c>
      <c r="N4627" s="3">
        <v>0.16300000000000001</v>
      </c>
      <c r="O4627" t="s">
        <v>16</v>
      </c>
      <c r="Q4627">
        <v>1</v>
      </c>
      <c r="R4627">
        <v>0</v>
      </c>
      <c r="S4627" s="2">
        <v>12000</v>
      </c>
      <c r="T4627" s="4">
        <v>0.1193</v>
      </c>
      <c r="U4627">
        <v>1</v>
      </c>
      <c r="V4627">
        <v>1</v>
      </c>
      <c r="W4627">
        <v>1</v>
      </c>
    </row>
    <row r="4628" spans="1:23" ht="16.5" x14ac:dyDescent="0.3">
      <c r="A4628" t="s">
        <v>4692</v>
      </c>
      <c r="B4628" s="1">
        <v>45950</v>
      </c>
      <c r="C4628">
        <v>2025</v>
      </c>
      <c r="D4628" t="s">
        <v>1832</v>
      </c>
      <c r="E4628" t="s">
        <v>1833</v>
      </c>
      <c r="F4628" t="s">
        <v>41</v>
      </c>
      <c r="G4628" t="s">
        <v>45</v>
      </c>
      <c r="H4628" t="s">
        <v>38</v>
      </c>
      <c r="I4628" t="s">
        <v>39</v>
      </c>
      <c r="J4628" t="s">
        <v>30</v>
      </c>
      <c r="K4628" s="2">
        <v>4050</v>
      </c>
      <c r="L4628" s="2">
        <v>103000</v>
      </c>
      <c r="M4628">
        <v>24</v>
      </c>
      <c r="N4628" s="3">
        <v>1.3</v>
      </c>
      <c r="O4628" t="s">
        <v>17</v>
      </c>
      <c r="P4628" t="s">
        <v>31</v>
      </c>
      <c r="Q4628">
        <v>0</v>
      </c>
      <c r="R4628">
        <v>1</v>
      </c>
      <c r="S4628" s="2">
        <v>0</v>
      </c>
      <c r="T4628" s="4"/>
      <c r="U4628">
        <v>7</v>
      </c>
      <c r="V4628">
        <v>1</v>
      </c>
      <c r="W4628">
        <v>1</v>
      </c>
    </row>
    <row r="4629" spans="1:23" ht="16.5" x14ac:dyDescent="0.3">
      <c r="A4629" t="s">
        <v>4693</v>
      </c>
      <c r="B4629" s="1">
        <v>45950</v>
      </c>
      <c r="C4629">
        <v>2025</v>
      </c>
      <c r="D4629" t="s">
        <v>1832</v>
      </c>
      <c r="E4629" t="s">
        <v>1833</v>
      </c>
      <c r="F4629" t="s">
        <v>41</v>
      </c>
      <c r="G4629" t="s">
        <v>27</v>
      </c>
      <c r="H4629" t="s">
        <v>34</v>
      </c>
      <c r="I4629" t="s">
        <v>29</v>
      </c>
      <c r="J4629" t="s">
        <v>46</v>
      </c>
      <c r="K4629" s="2">
        <v>5700</v>
      </c>
      <c r="L4629" s="2">
        <v>43500</v>
      </c>
      <c r="M4629">
        <v>60</v>
      </c>
      <c r="N4629" s="3">
        <v>0.22600000000000001</v>
      </c>
      <c r="O4629" t="s">
        <v>16</v>
      </c>
      <c r="Q4629">
        <v>1</v>
      </c>
      <c r="R4629">
        <v>0</v>
      </c>
      <c r="S4629" s="2">
        <v>35000</v>
      </c>
      <c r="T4629" s="4">
        <v>9.1999999999999998E-2</v>
      </c>
      <c r="U4629">
        <v>8</v>
      </c>
      <c r="V4629">
        <v>1</v>
      </c>
      <c r="W4629">
        <v>1</v>
      </c>
    </row>
    <row r="4630" spans="1:23" ht="16.5" x14ac:dyDescent="0.3">
      <c r="A4630" t="s">
        <v>4694</v>
      </c>
      <c r="B4630" s="1">
        <v>45950</v>
      </c>
      <c r="C4630">
        <v>2025</v>
      </c>
      <c r="D4630" t="s">
        <v>1832</v>
      </c>
      <c r="E4630" t="s">
        <v>1833</v>
      </c>
      <c r="F4630" t="s">
        <v>50</v>
      </c>
      <c r="G4630" t="s">
        <v>33</v>
      </c>
      <c r="H4630" t="s">
        <v>38</v>
      </c>
      <c r="I4630" t="s">
        <v>29</v>
      </c>
      <c r="J4630" t="s">
        <v>30</v>
      </c>
      <c r="K4630" s="2">
        <v>7600</v>
      </c>
      <c r="L4630" s="2">
        <v>326000</v>
      </c>
      <c r="M4630">
        <v>240</v>
      </c>
      <c r="N4630" s="3">
        <v>0.41</v>
      </c>
      <c r="O4630" t="s">
        <v>17</v>
      </c>
      <c r="P4630" t="s">
        <v>31</v>
      </c>
      <c r="Q4630">
        <v>0</v>
      </c>
      <c r="R4630">
        <v>1</v>
      </c>
      <c r="S4630" s="2">
        <v>0</v>
      </c>
      <c r="T4630" s="4"/>
      <c r="U4630">
        <v>9</v>
      </c>
      <c r="V4630">
        <v>1</v>
      </c>
      <c r="W4630">
        <v>1</v>
      </c>
    </row>
    <row r="4631" spans="1:23" ht="16.5" x14ac:dyDescent="0.3">
      <c r="A4631" t="s">
        <v>4695</v>
      </c>
      <c r="B4631" s="1">
        <v>45950</v>
      </c>
      <c r="C4631">
        <v>2025</v>
      </c>
      <c r="D4631" t="s">
        <v>1832</v>
      </c>
      <c r="E4631" t="s">
        <v>1833</v>
      </c>
      <c r="F4631" t="s">
        <v>26</v>
      </c>
      <c r="G4631" t="s">
        <v>51</v>
      </c>
      <c r="H4631" t="s">
        <v>34</v>
      </c>
      <c r="I4631" t="s">
        <v>29</v>
      </c>
      <c r="J4631" t="s">
        <v>30</v>
      </c>
      <c r="K4631" s="2">
        <v>4300</v>
      </c>
      <c r="L4631" s="2">
        <v>28500</v>
      </c>
      <c r="M4631">
        <v>36</v>
      </c>
      <c r="N4631" s="3">
        <v>0.30499999999999999</v>
      </c>
      <c r="O4631" t="s">
        <v>16</v>
      </c>
      <c r="Q4631">
        <v>1</v>
      </c>
      <c r="R4631">
        <v>0</v>
      </c>
      <c r="S4631" s="2">
        <v>28500</v>
      </c>
      <c r="T4631" s="4">
        <v>0.1011</v>
      </c>
      <c r="U4631">
        <v>9</v>
      </c>
      <c r="V4631">
        <v>0</v>
      </c>
      <c r="W4631">
        <v>1</v>
      </c>
    </row>
    <row r="4632" spans="1:23" ht="16.5" x14ac:dyDescent="0.3">
      <c r="A4632" t="s">
        <v>4696</v>
      </c>
      <c r="B4632" s="1">
        <v>45950</v>
      </c>
      <c r="C4632">
        <v>2025</v>
      </c>
      <c r="D4632" t="s">
        <v>1832</v>
      </c>
      <c r="E4632" t="s">
        <v>1833</v>
      </c>
      <c r="F4632" t="s">
        <v>37</v>
      </c>
      <c r="G4632" t="s">
        <v>33</v>
      </c>
      <c r="H4632" t="s">
        <v>55</v>
      </c>
      <c r="I4632" t="s">
        <v>39</v>
      </c>
      <c r="J4632" t="s">
        <v>52</v>
      </c>
      <c r="K4632" s="2">
        <v>3850</v>
      </c>
      <c r="L4632" s="2">
        <v>16500</v>
      </c>
      <c r="M4632">
        <v>24</v>
      </c>
      <c r="N4632" s="3">
        <v>0.436</v>
      </c>
      <c r="O4632" t="s">
        <v>16</v>
      </c>
      <c r="Q4632">
        <v>1</v>
      </c>
      <c r="R4632">
        <v>0</v>
      </c>
      <c r="S4632" s="2">
        <v>16500</v>
      </c>
      <c r="T4632" s="4">
        <v>0.112</v>
      </c>
      <c r="U4632">
        <v>1</v>
      </c>
      <c r="V4632">
        <v>1</v>
      </c>
      <c r="W4632">
        <v>1</v>
      </c>
    </row>
    <row r="4633" spans="1:23" ht="16.5" x14ac:dyDescent="0.3">
      <c r="A4633" t="s">
        <v>4697</v>
      </c>
      <c r="B4633" s="1">
        <v>45950</v>
      </c>
      <c r="C4633">
        <v>2025</v>
      </c>
      <c r="D4633" t="s">
        <v>1832</v>
      </c>
      <c r="E4633" t="s">
        <v>1833</v>
      </c>
      <c r="F4633" t="s">
        <v>41</v>
      </c>
      <c r="G4633" t="s">
        <v>45</v>
      </c>
      <c r="H4633" t="s">
        <v>28</v>
      </c>
      <c r="I4633" t="s">
        <v>42</v>
      </c>
      <c r="J4633" t="s">
        <v>52</v>
      </c>
      <c r="K4633" s="2">
        <v>2400</v>
      </c>
      <c r="L4633" s="2">
        <v>187000</v>
      </c>
      <c r="M4633">
        <v>36</v>
      </c>
      <c r="N4633" s="3">
        <v>2.754</v>
      </c>
      <c r="O4633" t="s">
        <v>17</v>
      </c>
      <c r="P4633" t="s">
        <v>53</v>
      </c>
      <c r="Q4633">
        <v>0</v>
      </c>
      <c r="R4633">
        <v>1</v>
      </c>
      <c r="S4633" s="2">
        <v>0</v>
      </c>
      <c r="T4633" s="4"/>
      <c r="U4633">
        <v>2</v>
      </c>
      <c r="V4633">
        <v>1</v>
      </c>
      <c r="W4633">
        <v>1</v>
      </c>
    </row>
    <row r="4634" spans="1:23" ht="16.5" x14ac:dyDescent="0.3">
      <c r="A4634" t="s">
        <v>4698</v>
      </c>
      <c r="B4634" s="1">
        <v>45950</v>
      </c>
      <c r="C4634">
        <v>2025</v>
      </c>
      <c r="D4634" t="s">
        <v>1832</v>
      </c>
      <c r="E4634" t="s">
        <v>1833</v>
      </c>
      <c r="F4634" t="s">
        <v>37</v>
      </c>
      <c r="G4634" t="s">
        <v>51</v>
      </c>
      <c r="H4634" t="s">
        <v>55</v>
      </c>
      <c r="I4634" t="s">
        <v>42</v>
      </c>
      <c r="J4634" t="s">
        <v>46</v>
      </c>
      <c r="K4634" s="2">
        <v>9600</v>
      </c>
      <c r="L4634" s="2">
        <v>21000</v>
      </c>
      <c r="M4634">
        <v>60</v>
      </c>
      <c r="N4634" s="3">
        <v>0.26900000000000002</v>
      </c>
      <c r="O4634" t="s">
        <v>16</v>
      </c>
      <c r="Q4634">
        <v>1</v>
      </c>
      <c r="R4634">
        <v>0</v>
      </c>
      <c r="S4634" s="2">
        <v>17000</v>
      </c>
      <c r="T4634" s="4">
        <v>0.10589999999999999</v>
      </c>
      <c r="U4634">
        <v>3</v>
      </c>
      <c r="V4634">
        <v>1</v>
      </c>
      <c r="W4634">
        <v>1</v>
      </c>
    </row>
    <row r="4635" spans="1:23" ht="16.5" x14ac:dyDescent="0.3">
      <c r="A4635" t="s">
        <v>4699</v>
      </c>
      <c r="B4635" s="1">
        <v>45950</v>
      </c>
      <c r="C4635">
        <v>2025</v>
      </c>
      <c r="D4635" t="s">
        <v>1832</v>
      </c>
      <c r="E4635" t="s">
        <v>1833</v>
      </c>
      <c r="F4635" t="s">
        <v>50</v>
      </c>
      <c r="G4635" t="s">
        <v>33</v>
      </c>
      <c r="H4635" t="s">
        <v>38</v>
      </c>
      <c r="I4635" t="s">
        <v>29</v>
      </c>
      <c r="J4635" t="s">
        <v>52</v>
      </c>
      <c r="K4635" s="2">
        <v>3800</v>
      </c>
      <c r="L4635" s="2">
        <v>345000</v>
      </c>
      <c r="M4635">
        <v>180</v>
      </c>
      <c r="N4635" s="3">
        <v>0.80100000000000005</v>
      </c>
      <c r="O4635" t="s">
        <v>17</v>
      </c>
      <c r="P4635" t="s">
        <v>53</v>
      </c>
      <c r="Q4635">
        <v>0</v>
      </c>
      <c r="R4635">
        <v>1</v>
      </c>
      <c r="S4635" s="2">
        <v>0</v>
      </c>
      <c r="T4635" s="4"/>
      <c r="U4635">
        <v>7</v>
      </c>
      <c r="V4635">
        <v>1</v>
      </c>
      <c r="W4635">
        <v>1</v>
      </c>
    </row>
    <row r="4636" spans="1:23" ht="16.5" x14ac:dyDescent="0.3">
      <c r="A4636" t="s">
        <v>4700</v>
      </c>
      <c r="B4636" s="1">
        <v>45950</v>
      </c>
      <c r="C4636">
        <v>2025</v>
      </c>
      <c r="D4636" t="s">
        <v>1832</v>
      </c>
      <c r="E4636" t="s">
        <v>1833</v>
      </c>
      <c r="F4636" t="s">
        <v>26</v>
      </c>
      <c r="G4636" t="s">
        <v>51</v>
      </c>
      <c r="H4636" t="s">
        <v>38</v>
      </c>
      <c r="I4636" t="s">
        <v>39</v>
      </c>
      <c r="J4636" t="s">
        <v>35</v>
      </c>
      <c r="K4636" s="2">
        <v>5150</v>
      </c>
      <c r="L4636" s="2">
        <v>22000</v>
      </c>
      <c r="M4636">
        <v>36</v>
      </c>
      <c r="N4636" s="3">
        <v>0.36899999999999999</v>
      </c>
      <c r="O4636" t="s">
        <v>16</v>
      </c>
      <c r="Q4636">
        <v>1</v>
      </c>
      <c r="R4636">
        <v>0</v>
      </c>
      <c r="S4636" s="2">
        <v>22000</v>
      </c>
      <c r="T4636" s="4">
        <v>7.6300000000000007E-2</v>
      </c>
      <c r="U4636">
        <v>10</v>
      </c>
      <c r="V4636">
        <v>0</v>
      </c>
      <c r="W4636">
        <v>1</v>
      </c>
    </row>
    <row r="4637" spans="1:23" ht="16.5" x14ac:dyDescent="0.3">
      <c r="A4637" t="s">
        <v>4701</v>
      </c>
      <c r="B4637" s="1">
        <v>45950</v>
      </c>
      <c r="C4637">
        <v>2025</v>
      </c>
      <c r="D4637" t="s">
        <v>1832</v>
      </c>
      <c r="E4637" t="s">
        <v>1833</v>
      </c>
      <c r="F4637" t="s">
        <v>37</v>
      </c>
      <c r="G4637" t="s">
        <v>33</v>
      </c>
      <c r="H4637" t="s">
        <v>55</v>
      </c>
      <c r="I4637" t="s">
        <v>39</v>
      </c>
      <c r="J4637" t="s">
        <v>46</v>
      </c>
      <c r="K4637" s="2">
        <v>3550</v>
      </c>
      <c r="L4637" s="2">
        <v>13500</v>
      </c>
      <c r="M4637">
        <v>24</v>
      </c>
      <c r="N4637" s="3">
        <v>0.42199999999999999</v>
      </c>
      <c r="O4637" t="s">
        <v>16</v>
      </c>
      <c r="Q4637">
        <v>1</v>
      </c>
      <c r="R4637">
        <v>0</v>
      </c>
      <c r="S4637" s="2">
        <v>12000</v>
      </c>
      <c r="T4637" s="4">
        <v>0.10970000000000001</v>
      </c>
      <c r="U4637">
        <v>1</v>
      </c>
      <c r="V4637">
        <v>1</v>
      </c>
      <c r="W4637">
        <v>1</v>
      </c>
    </row>
    <row r="4638" spans="1:23" ht="16.5" x14ac:dyDescent="0.3">
      <c r="A4638" t="s">
        <v>4702</v>
      </c>
      <c r="B4638" s="1">
        <v>45950</v>
      </c>
      <c r="C4638">
        <v>2025</v>
      </c>
      <c r="D4638" t="s">
        <v>1832</v>
      </c>
      <c r="E4638" t="s">
        <v>1833</v>
      </c>
      <c r="F4638" t="s">
        <v>50</v>
      </c>
      <c r="G4638" t="s">
        <v>45</v>
      </c>
      <c r="H4638" t="s">
        <v>64</v>
      </c>
      <c r="I4638" t="s">
        <v>29</v>
      </c>
      <c r="J4638" t="s">
        <v>35</v>
      </c>
      <c r="K4638" s="2">
        <v>2800</v>
      </c>
      <c r="L4638" s="2">
        <v>376000</v>
      </c>
      <c r="M4638">
        <v>300</v>
      </c>
      <c r="N4638" s="3">
        <v>0.95299999999999996</v>
      </c>
      <c r="O4638" t="s">
        <v>16</v>
      </c>
      <c r="Q4638">
        <v>1</v>
      </c>
      <c r="R4638">
        <v>0</v>
      </c>
      <c r="S4638" s="2">
        <v>376000</v>
      </c>
      <c r="T4638" s="4">
        <v>5.4300000000000001E-2</v>
      </c>
      <c r="U4638">
        <v>5</v>
      </c>
      <c r="V4638">
        <v>1</v>
      </c>
      <c r="W4638">
        <v>1</v>
      </c>
    </row>
    <row r="4639" spans="1:23" ht="16.5" x14ac:dyDescent="0.3">
      <c r="A4639" t="s">
        <v>4703</v>
      </c>
      <c r="B4639" s="1">
        <v>45950</v>
      </c>
      <c r="C4639">
        <v>2025</v>
      </c>
      <c r="D4639" t="s">
        <v>1832</v>
      </c>
      <c r="E4639" t="s">
        <v>1833</v>
      </c>
      <c r="F4639" t="s">
        <v>26</v>
      </c>
      <c r="G4639" t="s">
        <v>33</v>
      </c>
      <c r="H4639" t="s">
        <v>55</v>
      </c>
      <c r="I4639" t="s">
        <v>29</v>
      </c>
      <c r="J4639" t="s">
        <v>52</v>
      </c>
      <c r="K4639" s="2">
        <v>8000</v>
      </c>
      <c r="L4639" s="2">
        <v>21500</v>
      </c>
      <c r="M4639">
        <v>60</v>
      </c>
      <c r="N4639" s="3">
        <v>0.29699999999999999</v>
      </c>
      <c r="O4639" t="s">
        <v>16</v>
      </c>
      <c r="Q4639">
        <v>1</v>
      </c>
      <c r="R4639">
        <v>0</v>
      </c>
      <c r="S4639" s="2">
        <v>21500</v>
      </c>
      <c r="T4639" s="4">
        <v>7.3700000000000002E-2</v>
      </c>
      <c r="U4639">
        <v>2</v>
      </c>
      <c r="V4639">
        <v>1</v>
      </c>
      <c r="W4639">
        <v>1</v>
      </c>
    </row>
    <row r="4640" spans="1:23" ht="16.5" x14ac:dyDescent="0.3">
      <c r="A4640" t="s">
        <v>4704</v>
      </c>
      <c r="B4640" s="1">
        <v>45950</v>
      </c>
      <c r="C4640">
        <v>2025</v>
      </c>
      <c r="D4640" t="s">
        <v>1832</v>
      </c>
      <c r="E4640" t="s">
        <v>1833</v>
      </c>
      <c r="F4640" t="s">
        <v>26</v>
      </c>
      <c r="G4640" t="s">
        <v>33</v>
      </c>
      <c r="H4640" t="s">
        <v>64</v>
      </c>
      <c r="I4640" t="s">
        <v>42</v>
      </c>
      <c r="J4640" t="s">
        <v>35</v>
      </c>
      <c r="K4640" s="2">
        <v>10950</v>
      </c>
      <c r="L4640" s="2">
        <v>22500</v>
      </c>
      <c r="M4640">
        <v>36</v>
      </c>
      <c r="N4640" s="3">
        <v>0.127</v>
      </c>
      <c r="O4640" t="s">
        <v>16</v>
      </c>
      <c r="Q4640">
        <v>1</v>
      </c>
      <c r="R4640">
        <v>0</v>
      </c>
      <c r="S4640" s="2">
        <v>22500</v>
      </c>
      <c r="T4640" s="4">
        <v>7.9500000000000001E-2</v>
      </c>
      <c r="U4640">
        <v>2</v>
      </c>
      <c r="V4640">
        <v>1</v>
      </c>
      <c r="W4640">
        <v>1</v>
      </c>
    </row>
    <row r="4641" spans="1:23" ht="16.5" x14ac:dyDescent="0.3">
      <c r="A4641" t="s">
        <v>4705</v>
      </c>
      <c r="B4641" s="1">
        <v>45951</v>
      </c>
      <c r="C4641">
        <v>2025</v>
      </c>
      <c r="D4641" t="s">
        <v>1832</v>
      </c>
      <c r="E4641" t="s">
        <v>1833</v>
      </c>
      <c r="F4641" t="s">
        <v>37</v>
      </c>
      <c r="G4641" t="s">
        <v>33</v>
      </c>
      <c r="H4641" t="s">
        <v>38</v>
      </c>
      <c r="I4641" t="s">
        <v>29</v>
      </c>
      <c r="J4641" t="s">
        <v>30</v>
      </c>
      <c r="K4641" s="2">
        <v>2500</v>
      </c>
      <c r="L4641" s="2">
        <v>4000</v>
      </c>
      <c r="M4641">
        <v>48</v>
      </c>
      <c r="N4641" s="3">
        <v>0.26500000000000001</v>
      </c>
      <c r="O4641" t="s">
        <v>16</v>
      </c>
      <c r="Q4641">
        <v>1</v>
      </c>
      <c r="R4641">
        <v>0</v>
      </c>
      <c r="S4641" s="2">
        <v>4000</v>
      </c>
      <c r="T4641" s="4">
        <v>0.14749999999999999</v>
      </c>
      <c r="U4641">
        <v>2</v>
      </c>
      <c r="V4641">
        <v>1</v>
      </c>
      <c r="W4641">
        <v>1</v>
      </c>
    </row>
    <row r="4642" spans="1:23" ht="16.5" x14ac:dyDescent="0.3">
      <c r="A4642" t="s">
        <v>4706</v>
      </c>
      <c r="B4642" s="1">
        <v>45951</v>
      </c>
      <c r="C4642">
        <v>2025</v>
      </c>
      <c r="D4642" t="s">
        <v>1832</v>
      </c>
      <c r="E4642" t="s">
        <v>1833</v>
      </c>
      <c r="F4642" t="s">
        <v>37</v>
      </c>
      <c r="G4642" t="s">
        <v>33</v>
      </c>
      <c r="H4642" t="s">
        <v>34</v>
      </c>
      <c r="I4642" t="s">
        <v>39</v>
      </c>
      <c r="J4642" t="s">
        <v>35</v>
      </c>
      <c r="K4642" s="2">
        <v>5200</v>
      </c>
      <c r="L4642" s="2">
        <v>6000</v>
      </c>
      <c r="M4642">
        <v>48</v>
      </c>
      <c r="N4642" s="3">
        <v>0.20200000000000001</v>
      </c>
      <c r="O4642" t="s">
        <v>16</v>
      </c>
      <c r="Q4642">
        <v>1</v>
      </c>
      <c r="R4642">
        <v>0</v>
      </c>
      <c r="S4642" s="2">
        <v>6000</v>
      </c>
      <c r="T4642" s="4">
        <v>0.13150000000000001</v>
      </c>
      <c r="U4642">
        <v>2</v>
      </c>
      <c r="V4642">
        <v>1</v>
      </c>
      <c r="W4642">
        <v>1</v>
      </c>
    </row>
    <row r="4643" spans="1:23" ht="16.5" x14ac:dyDescent="0.3">
      <c r="A4643" t="s">
        <v>4707</v>
      </c>
      <c r="B4643" s="1">
        <v>45951</v>
      </c>
      <c r="C4643">
        <v>2025</v>
      </c>
      <c r="D4643" t="s">
        <v>1832</v>
      </c>
      <c r="E4643" t="s">
        <v>1833</v>
      </c>
      <c r="F4643" t="s">
        <v>26</v>
      </c>
      <c r="G4643" t="s">
        <v>45</v>
      </c>
      <c r="H4643" t="s">
        <v>38</v>
      </c>
      <c r="I4643" t="s">
        <v>29</v>
      </c>
      <c r="J4643" t="s">
        <v>52</v>
      </c>
      <c r="K4643" s="2">
        <v>3800</v>
      </c>
      <c r="L4643" s="2">
        <v>26500</v>
      </c>
      <c r="M4643">
        <v>48</v>
      </c>
      <c r="N4643" s="3">
        <v>0.39800000000000002</v>
      </c>
      <c r="O4643" t="s">
        <v>16</v>
      </c>
      <c r="Q4643">
        <v>1</v>
      </c>
      <c r="R4643">
        <v>0</v>
      </c>
      <c r="S4643" s="2">
        <v>24000</v>
      </c>
      <c r="T4643" s="4">
        <v>7.4099999999999999E-2</v>
      </c>
      <c r="U4643">
        <v>2</v>
      </c>
      <c r="V4643">
        <v>1</v>
      </c>
      <c r="W4643">
        <v>1</v>
      </c>
    </row>
    <row r="4644" spans="1:23" ht="16.5" x14ac:dyDescent="0.3">
      <c r="A4644" t="s">
        <v>4708</v>
      </c>
      <c r="B4644" s="1">
        <v>45951</v>
      </c>
      <c r="C4644">
        <v>2025</v>
      </c>
      <c r="D4644" t="s">
        <v>1832</v>
      </c>
      <c r="E4644" t="s">
        <v>1833</v>
      </c>
      <c r="F4644" t="s">
        <v>26</v>
      </c>
      <c r="G4644" t="s">
        <v>51</v>
      </c>
      <c r="H4644" t="s">
        <v>38</v>
      </c>
      <c r="I4644" t="s">
        <v>29</v>
      </c>
      <c r="J4644" t="s">
        <v>35</v>
      </c>
      <c r="K4644" s="2">
        <v>3000</v>
      </c>
      <c r="L4644" s="2">
        <v>27000</v>
      </c>
      <c r="M4644">
        <v>60</v>
      </c>
      <c r="N4644" s="3">
        <v>0.378</v>
      </c>
      <c r="O4644" t="s">
        <v>16</v>
      </c>
      <c r="Q4644">
        <v>1</v>
      </c>
      <c r="R4644">
        <v>0</v>
      </c>
      <c r="S4644" s="2">
        <v>21500</v>
      </c>
      <c r="T4644" s="4">
        <v>7.7700000000000005E-2</v>
      </c>
      <c r="U4644">
        <v>14</v>
      </c>
      <c r="V4644">
        <v>0</v>
      </c>
      <c r="W4644">
        <v>1</v>
      </c>
    </row>
    <row r="4645" spans="1:23" ht="16.5" x14ac:dyDescent="0.3">
      <c r="A4645" t="s">
        <v>4709</v>
      </c>
      <c r="B4645" s="1">
        <v>45951</v>
      </c>
      <c r="C4645">
        <v>2025</v>
      </c>
      <c r="D4645" t="s">
        <v>1832</v>
      </c>
      <c r="E4645" t="s">
        <v>1833</v>
      </c>
      <c r="F4645" t="s">
        <v>50</v>
      </c>
      <c r="G4645" t="s">
        <v>51</v>
      </c>
      <c r="H4645" t="s">
        <v>28</v>
      </c>
      <c r="I4645" t="s">
        <v>29</v>
      </c>
      <c r="J4645" t="s">
        <v>30</v>
      </c>
      <c r="K4645" s="2">
        <v>3250</v>
      </c>
      <c r="L4645" s="2">
        <v>155000</v>
      </c>
      <c r="M4645">
        <v>240</v>
      </c>
      <c r="N4645" s="3">
        <v>0.38900000000000001</v>
      </c>
      <c r="O4645" t="s">
        <v>16</v>
      </c>
      <c r="Q4645">
        <v>1</v>
      </c>
      <c r="R4645">
        <v>0</v>
      </c>
      <c r="S4645" s="2">
        <v>155000</v>
      </c>
      <c r="T4645" s="4">
        <v>6.9599999999999995E-2</v>
      </c>
      <c r="U4645">
        <v>28</v>
      </c>
      <c r="V4645">
        <v>0</v>
      </c>
      <c r="W4645">
        <v>1</v>
      </c>
    </row>
    <row r="4646" spans="1:23" ht="16.5" x14ac:dyDescent="0.3">
      <c r="A4646" t="s">
        <v>4710</v>
      </c>
      <c r="B4646" s="1">
        <v>45951</v>
      </c>
      <c r="C4646">
        <v>2025</v>
      </c>
      <c r="D4646" t="s">
        <v>1832</v>
      </c>
      <c r="E4646" t="s">
        <v>1833</v>
      </c>
      <c r="F4646" t="s">
        <v>41</v>
      </c>
      <c r="G4646" t="s">
        <v>51</v>
      </c>
      <c r="H4646" t="s">
        <v>38</v>
      </c>
      <c r="I4646" t="s">
        <v>42</v>
      </c>
      <c r="J4646" t="s">
        <v>35</v>
      </c>
      <c r="K4646" s="2">
        <v>6750</v>
      </c>
      <c r="L4646" s="2">
        <v>81500</v>
      </c>
      <c r="M4646">
        <v>60</v>
      </c>
      <c r="N4646" s="3">
        <v>0.47299999999999998</v>
      </c>
      <c r="O4646" t="s">
        <v>16</v>
      </c>
      <c r="Q4646">
        <v>1</v>
      </c>
      <c r="R4646">
        <v>0</v>
      </c>
      <c r="S4646" s="2">
        <v>81500</v>
      </c>
      <c r="T4646" s="4">
        <v>0.1081</v>
      </c>
      <c r="U4646">
        <v>14</v>
      </c>
      <c r="V4646">
        <v>0</v>
      </c>
      <c r="W4646">
        <v>1</v>
      </c>
    </row>
    <row r="4647" spans="1:23" ht="16.5" x14ac:dyDescent="0.3">
      <c r="A4647" t="s">
        <v>4711</v>
      </c>
      <c r="B4647" s="1">
        <v>45951</v>
      </c>
      <c r="C4647">
        <v>2025</v>
      </c>
      <c r="D4647" t="s">
        <v>1832</v>
      </c>
      <c r="E4647" t="s">
        <v>1833</v>
      </c>
      <c r="F4647" t="s">
        <v>26</v>
      </c>
      <c r="G4647" t="s">
        <v>33</v>
      </c>
      <c r="H4647" t="s">
        <v>38</v>
      </c>
      <c r="I4647" t="s">
        <v>39</v>
      </c>
      <c r="J4647" t="s">
        <v>35</v>
      </c>
      <c r="K4647" s="2">
        <v>4550</v>
      </c>
      <c r="L4647" s="2">
        <v>15000</v>
      </c>
      <c r="M4647">
        <v>36</v>
      </c>
      <c r="N4647" s="3">
        <v>0.22</v>
      </c>
      <c r="O4647" t="s">
        <v>17</v>
      </c>
      <c r="P4647" t="s">
        <v>65</v>
      </c>
      <c r="Q4647">
        <v>0</v>
      </c>
      <c r="R4647">
        <v>1</v>
      </c>
      <c r="S4647" s="2">
        <v>0</v>
      </c>
      <c r="T4647" s="4"/>
      <c r="U4647">
        <v>2</v>
      </c>
      <c r="V4647">
        <v>1</v>
      </c>
      <c r="W4647">
        <v>1</v>
      </c>
    </row>
    <row r="4648" spans="1:23" ht="16.5" x14ac:dyDescent="0.3">
      <c r="A4648" t="s">
        <v>4712</v>
      </c>
      <c r="B4648" s="1">
        <v>45951</v>
      </c>
      <c r="C4648">
        <v>2025</v>
      </c>
      <c r="D4648" t="s">
        <v>1832</v>
      </c>
      <c r="E4648" t="s">
        <v>1833</v>
      </c>
      <c r="F4648" t="s">
        <v>26</v>
      </c>
      <c r="G4648" t="s">
        <v>51</v>
      </c>
      <c r="H4648" t="s">
        <v>34</v>
      </c>
      <c r="I4648" t="s">
        <v>29</v>
      </c>
      <c r="J4648" t="s">
        <v>30</v>
      </c>
      <c r="K4648" s="2">
        <v>3050</v>
      </c>
      <c r="L4648" s="2">
        <v>32000</v>
      </c>
      <c r="M4648">
        <v>48</v>
      </c>
      <c r="N4648" s="3">
        <v>0.42</v>
      </c>
      <c r="O4648" t="s">
        <v>17</v>
      </c>
      <c r="P4648" t="s">
        <v>31</v>
      </c>
      <c r="Q4648">
        <v>0</v>
      </c>
      <c r="R4648">
        <v>1</v>
      </c>
      <c r="S4648" s="2">
        <v>0</v>
      </c>
      <c r="T4648" s="4"/>
      <c r="U4648">
        <v>5</v>
      </c>
      <c r="V4648">
        <v>0</v>
      </c>
      <c r="W4648">
        <v>1</v>
      </c>
    </row>
    <row r="4649" spans="1:23" ht="16.5" x14ac:dyDescent="0.3">
      <c r="A4649" t="s">
        <v>4713</v>
      </c>
      <c r="B4649" s="1">
        <v>45951</v>
      </c>
      <c r="C4649">
        <v>2025</v>
      </c>
      <c r="D4649" t="s">
        <v>1832</v>
      </c>
      <c r="E4649" t="s">
        <v>1833</v>
      </c>
      <c r="F4649" t="s">
        <v>50</v>
      </c>
      <c r="G4649" t="s">
        <v>33</v>
      </c>
      <c r="H4649" t="s">
        <v>34</v>
      </c>
      <c r="I4649" t="s">
        <v>42</v>
      </c>
      <c r="J4649" t="s">
        <v>30</v>
      </c>
      <c r="K4649" s="2">
        <v>13100</v>
      </c>
      <c r="L4649" s="2">
        <v>231500</v>
      </c>
      <c r="M4649">
        <v>300</v>
      </c>
      <c r="N4649" s="3">
        <v>0.307</v>
      </c>
      <c r="O4649" t="s">
        <v>17</v>
      </c>
      <c r="P4649" t="s">
        <v>31</v>
      </c>
      <c r="Q4649">
        <v>0</v>
      </c>
      <c r="R4649">
        <v>1</v>
      </c>
      <c r="S4649" s="2">
        <v>0</v>
      </c>
      <c r="T4649" s="4"/>
      <c r="U4649">
        <v>8</v>
      </c>
      <c r="V4649">
        <v>1</v>
      </c>
      <c r="W4649">
        <v>1</v>
      </c>
    </row>
    <row r="4650" spans="1:23" ht="16.5" x14ac:dyDescent="0.3">
      <c r="A4650" t="s">
        <v>4714</v>
      </c>
      <c r="B4650" s="1">
        <v>45952</v>
      </c>
      <c r="C4650">
        <v>2025</v>
      </c>
      <c r="D4650" t="s">
        <v>1832</v>
      </c>
      <c r="E4650" t="s">
        <v>1833</v>
      </c>
      <c r="F4650" t="s">
        <v>26</v>
      </c>
      <c r="G4650" t="s">
        <v>51</v>
      </c>
      <c r="H4650" t="s">
        <v>34</v>
      </c>
      <c r="I4650" t="s">
        <v>39</v>
      </c>
      <c r="J4650" t="s">
        <v>30</v>
      </c>
      <c r="K4650" s="2">
        <v>2300</v>
      </c>
      <c r="L4650" s="2">
        <v>18500</v>
      </c>
      <c r="M4650">
        <v>36</v>
      </c>
      <c r="N4650" s="3">
        <v>0.36799999999999999</v>
      </c>
      <c r="O4650" t="s">
        <v>17</v>
      </c>
      <c r="P4650" t="s">
        <v>31</v>
      </c>
      <c r="Q4650">
        <v>0</v>
      </c>
      <c r="R4650">
        <v>1</v>
      </c>
      <c r="S4650" s="2">
        <v>0</v>
      </c>
      <c r="T4650" s="4"/>
      <c r="U4650">
        <v>4</v>
      </c>
      <c r="V4650">
        <v>1</v>
      </c>
      <c r="W4650">
        <v>1</v>
      </c>
    </row>
    <row r="4651" spans="1:23" ht="16.5" x14ac:dyDescent="0.3">
      <c r="A4651" t="s">
        <v>4715</v>
      </c>
      <c r="B4651" s="1">
        <v>45952</v>
      </c>
      <c r="C4651">
        <v>2025</v>
      </c>
      <c r="D4651" t="s">
        <v>1832</v>
      </c>
      <c r="E4651" t="s">
        <v>1833</v>
      </c>
      <c r="F4651" t="s">
        <v>37</v>
      </c>
      <c r="G4651" t="s">
        <v>27</v>
      </c>
      <c r="H4651" t="s">
        <v>64</v>
      </c>
      <c r="I4651" t="s">
        <v>29</v>
      </c>
      <c r="J4651" t="s">
        <v>30</v>
      </c>
      <c r="K4651" s="2">
        <v>6550</v>
      </c>
      <c r="L4651" s="2">
        <v>7500</v>
      </c>
      <c r="M4651">
        <v>60</v>
      </c>
      <c r="N4651" s="3">
        <v>0.26500000000000001</v>
      </c>
      <c r="O4651" t="s">
        <v>16</v>
      </c>
      <c r="Q4651">
        <v>1</v>
      </c>
      <c r="R4651">
        <v>0</v>
      </c>
      <c r="S4651" s="2">
        <v>7500</v>
      </c>
      <c r="T4651" s="4">
        <v>0.1439</v>
      </c>
      <c r="U4651">
        <v>3</v>
      </c>
      <c r="V4651">
        <v>1</v>
      </c>
      <c r="W4651">
        <v>1</v>
      </c>
    </row>
    <row r="4652" spans="1:23" ht="16.5" x14ac:dyDescent="0.3">
      <c r="A4652" t="s">
        <v>4716</v>
      </c>
      <c r="B4652" s="1">
        <v>45952</v>
      </c>
      <c r="C4652">
        <v>2025</v>
      </c>
      <c r="D4652" t="s">
        <v>1832</v>
      </c>
      <c r="E4652" t="s">
        <v>1833</v>
      </c>
      <c r="F4652" t="s">
        <v>50</v>
      </c>
      <c r="G4652" t="s">
        <v>51</v>
      </c>
      <c r="H4652" t="s">
        <v>34</v>
      </c>
      <c r="I4652" t="s">
        <v>39</v>
      </c>
      <c r="J4652" t="s">
        <v>52</v>
      </c>
      <c r="K4652" s="2">
        <v>13050</v>
      </c>
      <c r="L4652" s="2">
        <v>252500</v>
      </c>
      <c r="M4652">
        <v>300</v>
      </c>
      <c r="N4652" s="3">
        <v>0.26800000000000002</v>
      </c>
      <c r="O4652" t="s">
        <v>16</v>
      </c>
      <c r="Q4652">
        <v>1</v>
      </c>
      <c r="R4652">
        <v>0</v>
      </c>
      <c r="S4652" s="2">
        <v>252500</v>
      </c>
      <c r="T4652" s="4">
        <v>4.9200000000000001E-2</v>
      </c>
      <c r="U4652">
        <v>16</v>
      </c>
      <c r="V4652">
        <v>0</v>
      </c>
      <c r="W4652">
        <v>1</v>
      </c>
    </row>
    <row r="4653" spans="1:23" ht="16.5" x14ac:dyDescent="0.3">
      <c r="A4653" t="s">
        <v>4717</v>
      </c>
      <c r="B4653" s="1">
        <v>45952</v>
      </c>
      <c r="C4653">
        <v>2025</v>
      </c>
      <c r="D4653" t="s">
        <v>1832</v>
      </c>
      <c r="E4653" t="s">
        <v>1833</v>
      </c>
      <c r="F4653" t="s">
        <v>37</v>
      </c>
      <c r="G4653" t="s">
        <v>45</v>
      </c>
      <c r="H4653" t="s">
        <v>34</v>
      </c>
      <c r="I4653" t="s">
        <v>29</v>
      </c>
      <c r="J4653" t="s">
        <v>52</v>
      </c>
      <c r="K4653" s="2">
        <v>3400</v>
      </c>
      <c r="L4653" s="2">
        <v>14500</v>
      </c>
      <c r="M4653">
        <v>24</v>
      </c>
      <c r="N4653" s="3">
        <v>0.33600000000000002</v>
      </c>
      <c r="O4653" t="s">
        <v>16</v>
      </c>
      <c r="Q4653">
        <v>1</v>
      </c>
      <c r="R4653">
        <v>0</v>
      </c>
      <c r="S4653" s="2">
        <v>14500</v>
      </c>
      <c r="T4653" s="4">
        <v>0.11260000000000001</v>
      </c>
      <c r="U4653">
        <v>1</v>
      </c>
      <c r="V4653">
        <v>1</v>
      </c>
      <c r="W4653">
        <v>1</v>
      </c>
    </row>
    <row r="4654" spans="1:23" ht="16.5" x14ac:dyDescent="0.3">
      <c r="A4654" t="s">
        <v>4718</v>
      </c>
      <c r="B4654" s="1">
        <v>45952</v>
      </c>
      <c r="C4654">
        <v>2025</v>
      </c>
      <c r="D4654" t="s">
        <v>1832</v>
      </c>
      <c r="E4654" t="s">
        <v>1833</v>
      </c>
      <c r="F4654" t="s">
        <v>37</v>
      </c>
      <c r="G4654" t="s">
        <v>45</v>
      </c>
      <c r="H4654" t="s">
        <v>28</v>
      </c>
      <c r="I4654" t="s">
        <v>29</v>
      </c>
      <c r="J4654" t="s">
        <v>35</v>
      </c>
      <c r="K4654" s="2">
        <v>8600</v>
      </c>
      <c r="L4654" s="2">
        <v>10500</v>
      </c>
      <c r="M4654">
        <v>12</v>
      </c>
      <c r="N4654" s="3">
        <v>0.28199999999999997</v>
      </c>
      <c r="O4654" t="s">
        <v>16</v>
      </c>
      <c r="Q4654">
        <v>1</v>
      </c>
      <c r="R4654">
        <v>0</v>
      </c>
      <c r="S4654" s="2">
        <v>10500</v>
      </c>
      <c r="T4654" s="4">
        <v>0.12520000000000001</v>
      </c>
      <c r="U4654">
        <v>2</v>
      </c>
      <c r="V4654">
        <v>1</v>
      </c>
      <c r="W4654">
        <v>1</v>
      </c>
    </row>
    <row r="4655" spans="1:23" ht="16.5" x14ac:dyDescent="0.3">
      <c r="A4655" t="s">
        <v>4719</v>
      </c>
      <c r="B4655" s="1">
        <v>45952</v>
      </c>
      <c r="C4655">
        <v>2025</v>
      </c>
      <c r="D4655" t="s">
        <v>1832</v>
      </c>
      <c r="E4655" t="s">
        <v>1833</v>
      </c>
      <c r="F4655" t="s">
        <v>37</v>
      </c>
      <c r="G4655" t="s">
        <v>33</v>
      </c>
      <c r="H4655" t="s">
        <v>55</v>
      </c>
      <c r="I4655" t="s">
        <v>39</v>
      </c>
      <c r="J4655" t="s">
        <v>35</v>
      </c>
      <c r="K4655" s="2">
        <v>5150</v>
      </c>
      <c r="L4655" s="2">
        <v>15500</v>
      </c>
      <c r="M4655">
        <v>60</v>
      </c>
      <c r="N4655" s="3">
        <v>0.24</v>
      </c>
      <c r="O4655" t="s">
        <v>16</v>
      </c>
      <c r="Q4655">
        <v>1</v>
      </c>
      <c r="R4655">
        <v>0</v>
      </c>
      <c r="S4655" s="2">
        <v>15500</v>
      </c>
      <c r="T4655" s="4">
        <v>0.129</v>
      </c>
      <c r="U4655">
        <v>2</v>
      </c>
      <c r="V4655">
        <v>1</v>
      </c>
      <c r="W4655">
        <v>1</v>
      </c>
    </row>
    <row r="4656" spans="1:23" ht="16.5" x14ac:dyDescent="0.3">
      <c r="A4656" t="s">
        <v>4720</v>
      </c>
      <c r="B4656" s="1">
        <v>45953</v>
      </c>
      <c r="C4656">
        <v>2025</v>
      </c>
      <c r="D4656" t="s">
        <v>1832</v>
      </c>
      <c r="E4656" t="s">
        <v>1833</v>
      </c>
      <c r="F4656" t="s">
        <v>37</v>
      </c>
      <c r="G4656" t="s">
        <v>51</v>
      </c>
      <c r="H4656" t="s">
        <v>55</v>
      </c>
      <c r="I4656" t="s">
        <v>42</v>
      </c>
      <c r="J4656" t="s">
        <v>30</v>
      </c>
      <c r="K4656" s="2">
        <v>10550</v>
      </c>
      <c r="L4656" s="2">
        <v>8500</v>
      </c>
      <c r="M4656">
        <v>60</v>
      </c>
      <c r="N4656" s="3">
        <v>0.10100000000000001</v>
      </c>
      <c r="O4656" t="s">
        <v>16</v>
      </c>
      <c r="Q4656">
        <v>1</v>
      </c>
      <c r="R4656">
        <v>0</v>
      </c>
      <c r="S4656" s="2">
        <v>8500</v>
      </c>
      <c r="T4656" s="4">
        <v>0.14019999999999999</v>
      </c>
      <c r="U4656">
        <v>6</v>
      </c>
      <c r="V4656">
        <v>0</v>
      </c>
      <c r="W4656">
        <v>1</v>
      </c>
    </row>
    <row r="4657" spans="1:23" ht="16.5" x14ac:dyDescent="0.3">
      <c r="A4657" t="s">
        <v>4721</v>
      </c>
      <c r="B4657" s="1">
        <v>45953</v>
      </c>
      <c r="C4657">
        <v>2025</v>
      </c>
      <c r="D4657" t="s">
        <v>1832</v>
      </c>
      <c r="E4657" t="s">
        <v>1833</v>
      </c>
      <c r="F4657" t="s">
        <v>26</v>
      </c>
      <c r="G4657" t="s">
        <v>45</v>
      </c>
      <c r="H4657" t="s">
        <v>34</v>
      </c>
      <c r="I4657" t="s">
        <v>29</v>
      </c>
      <c r="J4657" t="s">
        <v>35</v>
      </c>
      <c r="K4657" s="2">
        <v>2550</v>
      </c>
      <c r="L4657" s="2">
        <v>31000</v>
      </c>
      <c r="M4657">
        <v>36</v>
      </c>
      <c r="N4657" s="3">
        <v>0.61799999999999999</v>
      </c>
      <c r="O4657" t="s">
        <v>17</v>
      </c>
      <c r="P4657" t="s">
        <v>53</v>
      </c>
      <c r="Q4657">
        <v>0</v>
      </c>
      <c r="R4657">
        <v>1</v>
      </c>
      <c r="S4657" s="2">
        <v>0</v>
      </c>
      <c r="T4657" s="4"/>
      <c r="U4657">
        <v>3</v>
      </c>
      <c r="V4657">
        <v>1</v>
      </c>
      <c r="W4657">
        <v>1</v>
      </c>
    </row>
    <row r="4658" spans="1:23" ht="16.5" x14ac:dyDescent="0.3">
      <c r="A4658" t="s">
        <v>4722</v>
      </c>
      <c r="B4658" s="1">
        <v>45953</v>
      </c>
      <c r="C4658">
        <v>2025</v>
      </c>
      <c r="D4658" t="s">
        <v>1832</v>
      </c>
      <c r="E4658" t="s">
        <v>1833</v>
      </c>
      <c r="F4658" t="s">
        <v>37</v>
      </c>
      <c r="G4658" t="s">
        <v>51</v>
      </c>
      <c r="H4658" t="s">
        <v>55</v>
      </c>
      <c r="I4658" t="s">
        <v>42</v>
      </c>
      <c r="J4658" t="s">
        <v>43</v>
      </c>
      <c r="K4658" s="2">
        <v>4050</v>
      </c>
      <c r="L4658" s="2">
        <v>13500</v>
      </c>
      <c r="M4658">
        <v>12</v>
      </c>
      <c r="N4658" s="3">
        <v>0.52300000000000002</v>
      </c>
      <c r="O4658" t="s">
        <v>16</v>
      </c>
      <c r="Q4658">
        <v>1</v>
      </c>
      <c r="R4658">
        <v>0</v>
      </c>
      <c r="S4658" s="2">
        <v>13500</v>
      </c>
      <c r="T4658" s="4">
        <v>0.15859999999999999</v>
      </c>
      <c r="U4658">
        <v>3</v>
      </c>
      <c r="V4658">
        <v>1</v>
      </c>
      <c r="W4658">
        <v>1</v>
      </c>
    </row>
    <row r="4659" spans="1:23" ht="16.5" x14ac:dyDescent="0.3">
      <c r="A4659" t="s">
        <v>4723</v>
      </c>
      <c r="B4659" s="1">
        <v>45953</v>
      </c>
      <c r="C4659">
        <v>2025</v>
      </c>
      <c r="D4659" t="s">
        <v>1832</v>
      </c>
      <c r="E4659" t="s">
        <v>1833</v>
      </c>
      <c r="F4659" t="s">
        <v>50</v>
      </c>
      <c r="G4659" t="s">
        <v>51</v>
      </c>
      <c r="H4659" t="s">
        <v>64</v>
      </c>
      <c r="I4659" t="s">
        <v>39</v>
      </c>
      <c r="J4659" t="s">
        <v>35</v>
      </c>
      <c r="K4659" s="2">
        <v>2600</v>
      </c>
      <c r="L4659" s="2">
        <v>663000</v>
      </c>
      <c r="M4659">
        <v>180</v>
      </c>
      <c r="N4659" s="3">
        <v>2.157</v>
      </c>
      <c r="O4659" t="s">
        <v>17</v>
      </c>
      <c r="P4659" t="s">
        <v>53</v>
      </c>
      <c r="Q4659">
        <v>0</v>
      </c>
      <c r="R4659">
        <v>1</v>
      </c>
      <c r="S4659" s="2">
        <v>0</v>
      </c>
      <c r="T4659" s="4"/>
      <c r="U4659">
        <v>16</v>
      </c>
      <c r="V4659">
        <v>0</v>
      </c>
      <c r="W4659">
        <v>1</v>
      </c>
    </row>
    <row r="4660" spans="1:23" ht="16.5" x14ac:dyDescent="0.3">
      <c r="A4660" t="s">
        <v>4724</v>
      </c>
      <c r="B4660" s="1">
        <v>45953</v>
      </c>
      <c r="C4660">
        <v>2025</v>
      </c>
      <c r="D4660" t="s">
        <v>1832</v>
      </c>
      <c r="E4660" t="s">
        <v>1833</v>
      </c>
      <c r="F4660" t="s">
        <v>41</v>
      </c>
      <c r="G4660" t="s">
        <v>33</v>
      </c>
      <c r="H4660" t="s">
        <v>38</v>
      </c>
      <c r="I4660" t="s">
        <v>39</v>
      </c>
      <c r="J4660" t="s">
        <v>52</v>
      </c>
      <c r="K4660" s="2">
        <v>6600</v>
      </c>
      <c r="L4660" s="2">
        <v>63000</v>
      </c>
      <c r="M4660">
        <v>12</v>
      </c>
      <c r="N4660" s="3">
        <v>0.92</v>
      </c>
      <c r="O4660" t="s">
        <v>17</v>
      </c>
      <c r="P4660" t="s">
        <v>53</v>
      </c>
      <c r="Q4660">
        <v>0</v>
      </c>
      <c r="R4660">
        <v>1</v>
      </c>
      <c r="S4660" s="2">
        <v>0</v>
      </c>
      <c r="T4660" s="4"/>
      <c r="U4660">
        <v>4</v>
      </c>
      <c r="V4660">
        <v>1</v>
      </c>
      <c r="W4660">
        <v>1</v>
      </c>
    </row>
    <row r="4661" spans="1:23" ht="16.5" x14ac:dyDescent="0.3">
      <c r="A4661" t="s">
        <v>4725</v>
      </c>
      <c r="B4661" s="1">
        <v>45953</v>
      </c>
      <c r="C4661">
        <v>2025</v>
      </c>
      <c r="D4661" t="s">
        <v>1832</v>
      </c>
      <c r="E4661" t="s">
        <v>1833</v>
      </c>
      <c r="F4661" t="s">
        <v>50</v>
      </c>
      <c r="G4661" t="s">
        <v>45</v>
      </c>
      <c r="H4661" t="s">
        <v>28</v>
      </c>
      <c r="I4661" t="s">
        <v>29</v>
      </c>
      <c r="J4661" t="s">
        <v>35</v>
      </c>
      <c r="K4661" s="2">
        <v>6150</v>
      </c>
      <c r="L4661" s="2">
        <v>227500</v>
      </c>
      <c r="M4661">
        <v>300</v>
      </c>
      <c r="N4661" s="3">
        <v>0.40200000000000002</v>
      </c>
      <c r="O4661" t="s">
        <v>16</v>
      </c>
      <c r="Q4661">
        <v>1</v>
      </c>
      <c r="R4661">
        <v>0</v>
      </c>
      <c r="S4661" s="2">
        <v>182000</v>
      </c>
      <c r="T4661" s="4">
        <v>5.6599999999999998E-2</v>
      </c>
      <c r="U4661">
        <v>5</v>
      </c>
      <c r="V4661">
        <v>1</v>
      </c>
      <c r="W4661">
        <v>1</v>
      </c>
    </row>
    <row r="4662" spans="1:23" ht="16.5" x14ac:dyDescent="0.3">
      <c r="A4662" t="s">
        <v>4726</v>
      </c>
      <c r="B4662" s="1">
        <v>45953</v>
      </c>
      <c r="C4662">
        <v>2025</v>
      </c>
      <c r="D4662" t="s">
        <v>1832</v>
      </c>
      <c r="E4662" t="s">
        <v>1833</v>
      </c>
      <c r="F4662" t="s">
        <v>26</v>
      </c>
      <c r="G4662" t="s">
        <v>27</v>
      </c>
      <c r="H4662" t="s">
        <v>28</v>
      </c>
      <c r="I4662" t="s">
        <v>39</v>
      </c>
      <c r="J4662" t="s">
        <v>52</v>
      </c>
      <c r="K4662" s="2">
        <v>7100</v>
      </c>
      <c r="L4662" s="2">
        <v>30500</v>
      </c>
      <c r="M4662">
        <v>48</v>
      </c>
      <c r="N4662" s="3">
        <v>0.29799999999999999</v>
      </c>
      <c r="O4662" t="s">
        <v>16</v>
      </c>
      <c r="Q4662">
        <v>1</v>
      </c>
      <c r="R4662">
        <v>0</v>
      </c>
      <c r="S4662" s="2">
        <v>30500</v>
      </c>
      <c r="T4662" s="4">
        <v>7.2800000000000004E-2</v>
      </c>
      <c r="U4662">
        <v>4</v>
      </c>
      <c r="V4662">
        <v>1</v>
      </c>
      <c r="W4662">
        <v>1</v>
      </c>
    </row>
    <row r="4663" spans="1:23" ht="16.5" x14ac:dyDescent="0.3">
      <c r="A4663" t="s">
        <v>4727</v>
      </c>
      <c r="B4663" s="1">
        <v>45953</v>
      </c>
      <c r="C4663">
        <v>2025</v>
      </c>
      <c r="D4663" t="s">
        <v>1832</v>
      </c>
      <c r="E4663" t="s">
        <v>1833</v>
      </c>
      <c r="F4663" t="s">
        <v>37</v>
      </c>
      <c r="G4663" t="s">
        <v>45</v>
      </c>
      <c r="H4663" t="s">
        <v>28</v>
      </c>
      <c r="I4663" t="s">
        <v>42</v>
      </c>
      <c r="J4663" t="s">
        <v>30</v>
      </c>
      <c r="K4663" s="2">
        <v>12400</v>
      </c>
      <c r="L4663" s="2">
        <v>16500</v>
      </c>
      <c r="M4663">
        <v>36</v>
      </c>
      <c r="N4663" s="3">
        <v>0.11899999999999999</v>
      </c>
      <c r="O4663" t="s">
        <v>17</v>
      </c>
      <c r="P4663" t="s">
        <v>31</v>
      </c>
      <c r="Q4663">
        <v>0</v>
      </c>
      <c r="R4663">
        <v>1</v>
      </c>
      <c r="S4663" s="2">
        <v>0</v>
      </c>
      <c r="T4663" s="4"/>
      <c r="U4663">
        <v>1</v>
      </c>
      <c r="V4663">
        <v>1</v>
      </c>
      <c r="W4663">
        <v>1</v>
      </c>
    </row>
    <row r="4664" spans="1:23" ht="16.5" x14ac:dyDescent="0.3">
      <c r="A4664" t="s">
        <v>4728</v>
      </c>
      <c r="B4664" s="1">
        <v>45953</v>
      </c>
      <c r="C4664">
        <v>2025</v>
      </c>
      <c r="D4664" t="s">
        <v>1832</v>
      </c>
      <c r="E4664" t="s">
        <v>1833</v>
      </c>
      <c r="F4664" t="s">
        <v>26</v>
      </c>
      <c r="G4664" t="s">
        <v>45</v>
      </c>
      <c r="H4664" t="s">
        <v>55</v>
      </c>
      <c r="I4664" t="s">
        <v>39</v>
      </c>
      <c r="J4664" t="s">
        <v>35</v>
      </c>
      <c r="K4664" s="2">
        <v>6100</v>
      </c>
      <c r="L4664" s="2">
        <v>15500</v>
      </c>
      <c r="M4664">
        <v>48</v>
      </c>
      <c r="N4664" s="3">
        <v>0.20100000000000001</v>
      </c>
      <c r="O4664" t="s">
        <v>16</v>
      </c>
      <c r="Q4664">
        <v>1</v>
      </c>
      <c r="R4664">
        <v>0</v>
      </c>
      <c r="S4664" s="2">
        <v>12500</v>
      </c>
      <c r="T4664" s="4">
        <v>8.0799999999999997E-2</v>
      </c>
      <c r="U4664">
        <v>2</v>
      </c>
      <c r="V4664">
        <v>1</v>
      </c>
      <c r="W4664">
        <v>1</v>
      </c>
    </row>
    <row r="4665" spans="1:23" ht="16.5" x14ac:dyDescent="0.3">
      <c r="A4665" t="s">
        <v>4729</v>
      </c>
      <c r="B4665" s="1">
        <v>45953</v>
      </c>
      <c r="C4665">
        <v>2025</v>
      </c>
      <c r="D4665" t="s">
        <v>1832</v>
      </c>
      <c r="E4665" t="s">
        <v>1833</v>
      </c>
      <c r="F4665" t="s">
        <v>41</v>
      </c>
      <c r="G4665" t="s">
        <v>51</v>
      </c>
      <c r="H4665" t="s">
        <v>55</v>
      </c>
      <c r="I4665" t="s">
        <v>42</v>
      </c>
      <c r="J4665" t="s">
        <v>35</v>
      </c>
      <c r="K4665" s="2">
        <v>4600</v>
      </c>
      <c r="L4665" s="2">
        <v>117500</v>
      </c>
      <c r="M4665">
        <v>12</v>
      </c>
      <c r="N4665" s="3">
        <v>2.3580000000000001</v>
      </c>
      <c r="O4665" t="s">
        <v>17</v>
      </c>
      <c r="P4665" t="s">
        <v>53</v>
      </c>
      <c r="Q4665">
        <v>0</v>
      </c>
      <c r="R4665">
        <v>1</v>
      </c>
      <c r="S4665" s="2">
        <v>0</v>
      </c>
      <c r="T4665" s="4"/>
      <c r="U4665">
        <v>9</v>
      </c>
      <c r="V4665">
        <v>1</v>
      </c>
      <c r="W4665">
        <v>1</v>
      </c>
    </row>
    <row r="4666" spans="1:23" ht="16.5" x14ac:dyDescent="0.3">
      <c r="A4666" t="s">
        <v>4730</v>
      </c>
      <c r="B4666" s="1">
        <v>45954</v>
      </c>
      <c r="C4666">
        <v>2025</v>
      </c>
      <c r="D4666" t="s">
        <v>1832</v>
      </c>
      <c r="E4666" t="s">
        <v>1833</v>
      </c>
      <c r="F4666" t="s">
        <v>41</v>
      </c>
      <c r="G4666" t="s">
        <v>51</v>
      </c>
      <c r="H4666" t="s">
        <v>38</v>
      </c>
      <c r="I4666" t="s">
        <v>29</v>
      </c>
      <c r="J4666" t="s">
        <v>46</v>
      </c>
      <c r="K4666" s="2">
        <v>3800</v>
      </c>
      <c r="L4666" s="2">
        <v>48500</v>
      </c>
      <c r="M4666">
        <v>36</v>
      </c>
      <c r="N4666" s="3">
        <v>0.59299999999999997</v>
      </c>
      <c r="O4666" t="s">
        <v>16</v>
      </c>
      <c r="Q4666">
        <v>1</v>
      </c>
      <c r="R4666">
        <v>0</v>
      </c>
      <c r="S4666" s="2">
        <v>48500</v>
      </c>
      <c r="T4666" s="4">
        <v>9.0800000000000006E-2</v>
      </c>
      <c r="U4666">
        <v>13</v>
      </c>
      <c r="V4666">
        <v>0</v>
      </c>
      <c r="W4666">
        <v>1</v>
      </c>
    </row>
    <row r="4667" spans="1:23" ht="16.5" x14ac:dyDescent="0.3">
      <c r="A4667" t="s">
        <v>4731</v>
      </c>
      <c r="B4667" s="1">
        <v>45954</v>
      </c>
      <c r="C4667">
        <v>2025</v>
      </c>
      <c r="D4667" t="s">
        <v>1832</v>
      </c>
      <c r="E4667" t="s">
        <v>1833</v>
      </c>
      <c r="F4667" t="s">
        <v>50</v>
      </c>
      <c r="G4667" t="s">
        <v>51</v>
      </c>
      <c r="H4667" t="s">
        <v>38</v>
      </c>
      <c r="I4667" t="s">
        <v>29</v>
      </c>
      <c r="J4667" t="s">
        <v>46</v>
      </c>
      <c r="K4667" s="2">
        <v>4600</v>
      </c>
      <c r="L4667" s="2">
        <v>96500</v>
      </c>
      <c r="M4667">
        <v>240</v>
      </c>
      <c r="N4667" s="3">
        <v>0.29199999999999998</v>
      </c>
      <c r="O4667" t="s">
        <v>16</v>
      </c>
      <c r="Q4667">
        <v>1</v>
      </c>
      <c r="R4667">
        <v>0</v>
      </c>
      <c r="S4667" s="2">
        <v>77000</v>
      </c>
      <c r="T4667" s="4">
        <v>4.4299999999999999E-2</v>
      </c>
      <c r="U4667">
        <v>18</v>
      </c>
      <c r="V4667">
        <v>0</v>
      </c>
      <c r="W4667">
        <v>1</v>
      </c>
    </row>
    <row r="4668" spans="1:23" ht="16.5" x14ac:dyDescent="0.3">
      <c r="A4668" t="s">
        <v>4732</v>
      </c>
      <c r="B4668" s="1">
        <v>45954</v>
      </c>
      <c r="C4668">
        <v>2025</v>
      </c>
      <c r="D4668" t="s">
        <v>1832</v>
      </c>
      <c r="E4668" t="s">
        <v>1833</v>
      </c>
      <c r="F4668" t="s">
        <v>41</v>
      </c>
      <c r="G4668" t="s">
        <v>51</v>
      </c>
      <c r="H4668" t="s">
        <v>34</v>
      </c>
      <c r="I4668" t="s">
        <v>42</v>
      </c>
      <c r="J4668" t="s">
        <v>52</v>
      </c>
      <c r="K4668" s="2">
        <v>4800</v>
      </c>
      <c r="L4668" s="2">
        <v>38500</v>
      </c>
      <c r="M4668">
        <v>12</v>
      </c>
      <c r="N4668" s="3">
        <v>0.81499999999999995</v>
      </c>
      <c r="O4668" t="s">
        <v>17</v>
      </c>
      <c r="P4668" t="s">
        <v>60</v>
      </c>
      <c r="Q4668">
        <v>0</v>
      </c>
      <c r="R4668">
        <v>1</v>
      </c>
      <c r="S4668" s="2">
        <v>0</v>
      </c>
      <c r="T4668" s="4"/>
      <c r="U4668">
        <v>16</v>
      </c>
      <c r="V4668">
        <v>0</v>
      </c>
      <c r="W4668">
        <v>1</v>
      </c>
    </row>
    <row r="4669" spans="1:23" ht="16.5" x14ac:dyDescent="0.3">
      <c r="A4669" t="s">
        <v>4733</v>
      </c>
      <c r="B4669" s="1">
        <v>45954</v>
      </c>
      <c r="C4669">
        <v>2025</v>
      </c>
      <c r="D4669" t="s">
        <v>1832</v>
      </c>
      <c r="E4669" t="s">
        <v>1833</v>
      </c>
      <c r="F4669" t="s">
        <v>37</v>
      </c>
      <c r="G4669" t="s">
        <v>51</v>
      </c>
      <c r="H4669" t="s">
        <v>34</v>
      </c>
      <c r="I4669" t="s">
        <v>29</v>
      </c>
      <c r="J4669" t="s">
        <v>30</v>
      </c>
      <c r="K4669" s="2">
        <v>10550</v>
      </c>
      <c r="L4669" s="2">
        <v>10500</v>
      </c>
      <c r="M4669">
        <v>60</v>
      </c>
      <c r="N4669" s="3">
        <v>0.24299999999999999</v>
      </c>
      <c r="O4669" t="s">
        <v>17</v>
      </c>
      <c r="P4669" t="s">
        <v>31</v>
      </c>
      <c r="Q4669">
        <v>0</v>
      </c>
      <c r="R4669">
        <v>1</v>
      </c>
      <c r="S4669" s="2">
        <v>0</v>
      </c>
      <c r="T4669" s="4"/>
      <c r="U4669">
        <v>6</v>
      </c>
      <c r="V4669">
        <v>0</v>
      </c>
      <c r="W4669">
        <v>1</v>
      </c>
    </row>
    <row r="4670" spans="1:23" ht="16.5" x14ac:dyDescent="0.3">
      <c r="A4670" t="s">
        <v>4734</v>
      </c>
      <c r="B4670" s="1">
        <v>45954</v>
      </c>
      <c r="C4670">
        <v>2025</v>
      </c>
      <c r="D4670" t="s">
        <v>1832</v>
      </c>
      <c r="E4670" t="s">
        <v>1833</v>
      </c>
      <c r="F4670" t="s">
        <v>37</v>
      </c>
      <c r="G4670" t="s">
        <v>33</v>
      </c>
      <c r="H4670" t="s">
        <v>55</v>
      </c>
      <c r="I4670" t="s">
        <v>42</v>
      </c>
      <c r="J4670" t="s">
        <v>52</v>
      </c>
      <c r="K4670" s="2">
        <v>5550</v>
      </c>
      <c r="L4670" s="2">
        <v>9500</v>
      </c>
      <c r="M4670">
        <v>12</v>
      </c>
      <c r="N4670" s="3">
        <v>0.38100000000000001</v>
      </c>
      <c r="O4670" t="s">
        <v>16</v>
      </c>
      <c r="Q4670">
        <v>1</v>
      </c>
      <c r="R4670">
        <v>0</v>
      </c>
      <c r="S4670" s="2">
        <v>8500</v>
      </c>
      <c r="T4670" s="4">
        <v>0.11749999999999999</v>
      </c>
      <c r="U4670">
        <v>1</v>
      </c>
      <c r="V4670">
        <v>1</v>
      </c>
      <c r="W4670">
        <v>1</v>
      </c>
    </row>
    <row r="4671" spans="1:23" ht="16.5" x14ac:dyDescent="0.3">
      <c r="A4671" t="s">
        <v>4735</v>
      </c>
      <c r="B4671" s="1">
        <v>45954</v>
      </c>
      <c r="C4671">
        <v>2025</v>
      </c>
      <c r="D4671" t="s">
        <v>1832</v>
      </c>
      <c r="E4671" t="s">
        <v>1833</v>
      </c>
      <c r="F4671" t="s">
        <v>50</v>
      </c>
      <c r="G4671" t="s">
        <v>51</v>
      </c>
      <c r="H4671" t="s">
        <v>38</v>
      </c>
      <c r="I4671" t="s">
        <v>39</v>
      </c>
      <c r="J4671" t="s">
        <v>30</v>
      </c>
      <c r="K4671" s="2">
        <v>4300</v>
      </c>
      <c r="L4671" s="2">
        <v>275500</v>
      </c>
      <c r="M4671">
        <v>300</v>
      </c>
      <c r="N4671" s="3">
        <v>0.59499999999999997</v>
      </c>
      <c r="O4671" t="s">
        <v>17</v>
      </c>
      <c r="P4671" t="s">
        <v>53</v>
      </c>
      <c r="Q4671">
        <v>0</v>
      </c>
      <c r="R4671">
        <v>1</v>
      </c>
      <c r="S4671" s="2">
        <v>0</v>
      </c>
      <c r="T4671" s="4"/>
      <c r="U4671">
        <v>14</v>
      </c>
      <c r="V4671">
        <v>1</v>
      </c>
      <c r="W4671">
        <v>1</v>
      </c>
    </row>
    <row r="4672" spans="1:23" ht="16.5" x14ac:dyDescent="0.3">
      <c r="A4672" t="s">
        <v>4736</v>
      </c>
      <c r="B4672" s="1">
        <v>45954</v>
      </c>
      <c r="C4672">
        <v>2025</v>
      </c>
      <c r="D4672" t="s">
        <v>1832</v>
      </c>
      <c r="E4672" t="s">
        <v>1833</v>
      </c>
      <c r="F4672" t="s">
        <v>41</v>
      </c>
      <c r="G4672" t="s">
        <v>45</v>
      </c>
      <c r="H4672" t="s">
        <v>55</v>
      </c>
      <c r="I4672" t="s">
        <v>39</v>
      </c>
      <c r="J4672" t="s">
        <v>52</v>
      </c>
      <c r="K4672" s="2">
        <v>2500</v>
      </c>
      <c r="L4672" s="2">
        <v>81000</v>
      </c>
      <c r="M4672">
        <v>24</v>
      </c>
      <c r="N4672" s="3">
        <v>1.615</v>
      </c>
      <c r="O4672" t="s">
        <v>17</v>
      </c>
      <c r="P4672" t="s">
        <v>53</v>
      </c>
      <c r="Q4672">
        <v>0</v>
      </c>
      <c r="R4672">
        <v>1</v>
      </c>
      <c r="S4672" s="2">
        <v>0</v>
      </c>
      <c r="T4672" s="4"/>
      <c r="U4672">
        <v>16</v>
      </c>
      <c r="V4672">
        <v>0</v>
      </c>
      <c r="W4672">
        <v>1</v>
      </c>
    </row>
    <row r="4673" spans="1:23" ht="16.5" x14ac:dyDescent="0.3">
      <c r="A4673" t="s">
        <v>4737</v>
      </c>
      <c r="B4673" s="1">
        <v>45954</v>
      </c>
      <c r="C4673">
        <v>2025</v>
      </c>
      <c r="D4673" t="s">
        <v>1832</v>
      </c>
      <c r="E4673" t="s">
        <v>1833</v>
      </c>
      <c r="F4673" t="s">
        <v>37</v>
      </c>
      <c r="G4673" t="s">
        <v>51</v>
      </c>
      <c r="H4673" t="s">
        <v>28</v>
      </c>
      <c r="I4673" t="s">
        <v>39</v>
      </c>
      <c r="J4673" t="s">
        <v>35</v>
      </c>
      <c r="K4673" s="2">
        <v>5700</v>
      </c>
      <c r="L4673" s="2">
        <v>6000</v>
      </c>
      <c r="M4673">
        <v>36</v>
      </c>
      <c r="N4673" s="3">
        <v>0.14699999999999999</v>
      </c>
      <c r="O4673" t="s">
        <v>16</v>
      </c>
      <c r="Q4673">
        <v>1</v>
      </c>
      <c r="R4673">
        <v>0</v>
      </c>
      <c r="S4673" s="2">
        <v>5500</v>
      </c>
      <c r="T4673" s="4">
        <v>0.12529999999999999</v>
      </c>
      <c r="U4673">
        <v>3</v>
      </c>
      <c r="V4673">
        <v>1</v>
      </c>
      <c r="W4673">
        <v>1</v>
      </c>
    </row>
    <row r="4674" spans="1:23" ht="16.5" x14ac:dyDescent="0.3">
      <c r="A4674" t="s">
        <v>4738</v>
      </c>
      <c r="B4674" s="1">
        <v>45954</v>
      </c>
      <c r="C4674">
        <v>2025</v>
      </c>
      <c r="D4674" t="s">
        <v>1832</v>
      </c>
      <c r="E4674" t="s">
        <v>1833</v>
      </c>
      <c r="F4674" t="s">
        <v>37</v>
      </c>
      <c r="G4674" t="s">
        <v>33</v>
      </c>
      <c r="H4674" t="s">
        <v>64</v>
      </c>
      <c r="I4674" t="s">
        <v>39</v>
      </c>
      <c r="J4674" t="s">
        <v>46</v>
      </c>
      <c r="K4674" s="2">
        <v>5350</v>
      </c>
      <c r="L4674" s="2">
        <v>15500</v>
      </c>
      <c r="M4674">
        <v>36</v>
      </c>
      <c r="N4674" s="3">
        <v>0.26900000000000002</v>
      </c>
      <c r="O4674" t="s">
        <v>16</v>
      </c>
      <c r="Q4674">
        <v>1</v>
      </c>
      <c r="R4674">
        <v>0</v>
      </c>
      <c r="S4674" s="2">
        <v>14000</v>
      </c>
      <c r="T4674" s="4">
        <v>0.1045</v>
      </c>
      <c r="U4674">
        <v>1</v>
      </c>
      <c r="V4674">
        <v>1</v>
      </c>
      <c r="W4674">
        <v>1</v>
      </c>
    </row>
    <row r="4675" spans="1:23" ht="16.5" x14ac:dyDescent="0.3">
      <c r="A4675" t="s">
        <v>4739</v>
      </c>
      <c r="B4675" s="1">
        <v>45955</v>
      </c>
      <c r="C4675">
        <v>2025</v>
      </c>
      <c r="D4675" t="s">
        <v>1832</v>
      </c>
      <c r="E4675" t="s">
        <v>1833</v>
      </c>
      <c r="F4675" t="s">
        <v>37</v>
      </c>
      <c r="G4675" t="s">
        <v>33</v>
      </c>
      <c r="H4675" t="s">
        <v>38</v>
      </c>
      <c r="I4675" t="s">
        <v>39</v>
      </c>
      <c r="J4675" t="s">
        <v>35</v>
      </c>
      <c r="K4675" s="2">
        <v>3900</v>
      </c>
      <c r="L4675" s="2">
        <v>7500</v>
      </c>
      <c r="M4675">
        <v>24</v>
      </c>
      <c r="N4675" s="3">
        <v>0.315</v>
      </c>
      <c r="O4675" t="s">
        <v>17</v>
      </c>
      <c r="P4675" t="s">
        <v>65</v>
      </c>
      <c r="Q4675">
        <v>0</v>
      </c>
      <c r="R4675">
        <v>1</v>
      </c>
      <c r="S4675" s="2">
        <v>0</v>
      </c>
      <c r="T4675" s="4"/>
      <c r="U4675">
        <v>2</v>
      </c>
      <c r="V4675">
        <v>1</v>
      </c>
      <c r="W4675">
        <v>1</v>
      </c>
    </row>
    <row r="4676" spans="1:23" ht="16.5" x14ac:dyDescent="0.3">
      <c r="A4676" t="s">
        <v>4740</v>
      </c>
      <c r="B4676" s="1">
        <v>45955</v>
      </c>
      <c r="C4676">
        <v>2025</v>
      </c>
      <c r="D4676" t="s">
        <v>1832</v>
      </c>
      <c r="E4676" t="s">
        <v>1833</v>
      </c>
      <c r="F4676" t="s">
        <v>41</v>
      </c>
      <c r="G4676" t="s">
        <v>33</v>
      </c>
      <c r="H4676" t="s">
        <v>34</v>
      </c>
      <c r="I4676" t="s">
        <v>29</v>
      </c>
      <c r="J4676" t="s">
        <v>30</v>
      </c>
      <c r="K4676" s="2">
        <v>4350</v>
      </c>
      <c r="L4676" s="2">
        <v>88500</v>
      </c>
      <c r="M4676">
        <v>24</v>
      </c>
      <c r="N4676" s="3">
        <v>1.075</v>
      </c>
      <c r="O4676" t="s">
        <v>17</v>
      </c>
      <c r="P4676" t="s">
        <v>53</v>
      </c>
      <c r="Q4676">
        <v>0</v>
      </c>
      <c r="R4676">
        <v>1</v>
      </c>
      <c r="S4676" s="2">
        <v>0</v>
      </c>
      <c r="T4676" s="4"/>
      <c r="U4676">
        <v>7</v>
      </c>
      <c r="V4676">
        <v>1</v>
      </c>
      <c r="W4676">
        <v>1</v>
      </c>
    </row>
    <row r="4677" spans="1:23" ht="16.5" x14ac:dyDescent="0.3">
      <c r="A4677" t="s">
        <v>4741</v>
      </c>
      <c r="B4677" s="1">
        <v>45955</v>
      </c>
      <c r="C4677">
        <v>2025</v>
      </c>
      <c r="D4677" t="s">
        <v>1832</v>
      </c>
      <c r="E4677" t="s">
        <v>1833</v>
      </c>
      <c r="F4677" t="s">
        <v>26</v>
      </c>
      <c r="G4677" t="s">
        <v>33</v>
      </c>
      <c r="H4677" t="s">
        <v>28</v>
      </c>
      <c r="I4677" t="s">
        <v>39</v>
      </c>
      <c r="J4677" t="s">
        <v>35</v>
      </c>
      <c r="K4677" s="2">
        <v>5750</v>
      </c>
      <c r="L4677" s="2">
        <v>35000</v>
      </c>
      <c r="M4677">
        <v>48</v>
      </c>
      <c r="N4677" s="3">
        <v>0.35699999999999998</v>
      </c>
      <c r="O4677" t="s">
        <v>16</v>
      </c>
      <c r="Q4677">
        <v>1</v>
      </c>
      <c r="R4677">
        <v>0</v>
      </c>
      <c r="S4677" s="2">
        <v>35000</v>
      </c>
      <c r="T4677" s="4">
        <v>8.0699999999999994E-2</v>
      </c>
      <c r="U4677">
        <v>2</v>
      </c>
      <c r="V4677">
        <v>1</v>
      </c>
      <c r="W4677">
        <v>1</v>
      </c>
    </row>
    <row r="4678" spans="1:23" ht="16.5" x14ac:dyDescent="0.3">
      <c r="A4678" t="s">
        <v>4742</v>
      </c>
      <c r="B4678" s="1">
        <v>45955</v>
      </c>
      <c r="C4678">
        <v>2025</v>
      </c>
      <c r="D4678" t="s">
        <v>1832</v>
      </c>
      <c r="E4678" t="s">
        <v>1833</v>
      </c>
      <c r="F4678" t="s">
        <v>41</v>
      </c>
      <c r="G4678" t="s">
        <v>33</v>
      </c>
      <c r="H4678" t="s">
        <v>55</v>
      </c>
      <c r="I4678" t="s">
        <v>39</v>
      </c>
      <c r="J4678" t="s">
        <v>52</v>
      </c>
      <c r="K4678" s="2">
        <v>3650</v>
      </c>
      <c r="L4678" s="2">
        <v>82000</v>
      </c>
      <c r="M4678">
        <v>60</v>
      </c>
      <c r="N4678" s="3">
        <v>0.67500000000000004</v>
      </c>
      <c r="O4678" t="s">
        <v>16</v>
      </c>
      <c r="Q4678">
        <v>1</v>
      </c>
      <c r="R4678">
        <v>0</v>
      </c>
      <c r="S4678" s="2">
        <v>82000</v>
      </c>
      <c r="T4678" s="4">
        <v>9.9599999999999994E-2</v>
      </c>
      <c r="U4678">
        <v>3</v>
      </c>
      <c r="V4678">
        <v>1</v>
      </c>
      <c r="W4678">
        <v>1</v>
      </c>
    </row>
    <row r="4679" spans="1:23" ht="16.5" x14ac:dyDescent="0.3">
      <c r="A4679" t="s">
        <v>4743</v>
      </c>
      <c r="B4679" s="1">
        <v>45955</v>
      </c>
      <c r="C4679">
        <v>2025</v>
      </c>
      <c r="D4679" t="s">
        <v>1832</v>
      </c>
      <c r="E4679" t="s">
        <v>1833</v>
      </c>
      <c r="F4679" t="s">
        <v>37</v>
      </c>
      <c r="G4679" t="s">
        <v>45</v>
      </c>
      <c r="H4679" t="s">
        <v>55</v>
      </c>
      <c r="I4679" t="s">
        <v>29</v>
      </c>
      <c r="J4679" t="s">
        <v>52</v>
      </c>
      <c r="K4679" s="2">
        <v>8950</v>
      </c>
      <c r="L4679" s="2">
        <v>9500</v>
      </c>
      <c r="M4679">
        <v>60</v>
      </c>
      <c r="N4679" s="3">
        <v>0.13600000000000001</v>
      </c>
      <c r="O4679" t="s">
        <v>17</v>
      </c>
      <c r="P4679" t="s">
        <v>65</v>
      </c>
      <c r="Q4679">
        <v>0</v>
      </c>
      <c r="R4679">
        <v>1</v>
      </c>
      <c r="S4679" s="2">
        <v>0</v>
      </c>
      <c r="T4679" s="4"/>
      <c r="U4679">
        <v>1</v>
      </c>
      <c r="V4679">
        <v>1</v>
      </c>
      <c r="W4679">
        <v>1</v>
      </c>
    </row>
    <row r="4680" spans="1:23" ht="16.5" x14ac:dyDescent="0.3">
      <c r="A4680" t="s">
        <v>4744</v>
      </c>
      <c r="B4680" s="1">
        <v>45955</v>
      </c>
      <c r="C4680">
        <v>2025</v>
      </c>
      <c r="D4680" t="s">
        <v>1832</v>
      </c>
      <c r="E4680" t="s">
        <v>1833</v>
      </c>
      <c r="F4680" t="s">
        <v>41</v>
      </c>
      <c r="G4680" t="s">
        <v>51</v>
      </c>
      <c r="H4680" t="s">
        <v>55</v>
      </c>
      <c r="I4680" t="s">
        <v>29</v>
      </c>
      <c r="J4680" t="s">
        <v>30</v>
      </c>
      <c r="K4680" s="2">
        <v>3450</v>
      </c>
      <c r="L4680" s="2">
        <v>119000</v>
      </c>
      <c r="M4680">
        <v>60</v>
      </c>
      <c r="N4680" s="3">
        <v>0.84599999999999997</v>
      </c>
      <c r="O4680" t="s">
        <v>17</v>
      </c>
      <c r="P4680" t="s">
        <v>31</v>
      </c>
      <c r="Q4680">
        <v>0</v>
      </c>
      <c r="R4680">
        <v>1</v>
      </c>
      <c r="S4680" s="2">
        <v>0</v>
      </c>
      <c r="T4680" s="4"/>
      <c r="U4680">
        <v>8</v>
      </c>
      <c r="V4680">
        <v>1</v>
      </c>
      <c r="W4680">
        <v>1</v>
      </c>
    </row>
    <row r="4681" spans="1:23" ht="16.5" x14ac:dyDescent="0.3">
      <c r="A4681" t="s">
        <v>4745</v>
      </c>
      <c r="B4681" s="1">
        <v>45956</v>
      </c>
      <c r="C4681">
        <v>2025</v>
      </c>
      <c r="D4681" t="s">
        <v>1832</v>
      </c>
      <c r="E4681" t="s">
        <v>1833</v>
      </c>
      <c r="F4681" t="s">
        <v>37</v>
      </c>
      <c r="G4681" t="s">
        <v>45</v>
      </c>
      <c r="H4681" t="s">
        <v>55</v>
      </c>
      <c r="I4681" t="s">
        <v>29</v>
      </c>
      <c r="J4681" t="s">
        <v>46</v>
      </c>
      <c r="K4681" s="2">
        <v>2750</v>
      </c>
      <c r="L4681" s="2">
        <v>8000</v>
      </c>
      <c r="M4681">
        <v>24</v>
      </c>
      <c r="N4681" s="3">
        <v>0.219</v>
      </c>
      <c r="O4681" t="s">
        <v>16</v>
      </c>
      <c r="Q4681">
        <v>1</v>
      </c>
      <c r="R4681">
        <v>0</v>
      </c>
      <c r="S4681" s="2">
        <v>7000</v>
      </c>
      <c r="T4681" s="4">
        <v>0.1082</v>
      </c>
      <c r="U4681">
        <v>1</v>
      </c>
      <c r="V4681">
        <v>1</v>
      </c>
      <c r="W4681">
        <v>1</v>
      </c>
    </row>
    <row r="4682" spans="1:23" ht="16.5" x14ac:dyDescent="0.3">
      <c r="A4682" t="s">
        <v>4746</v>
      </c>
      <c r="B4682" s="1">
        <v>45956</v>
      </c>
      <c r="C4682">
        <v>2025</v>
      </c>
      <c r="D4682" t="s">
        <v>1832</v>
      </c>
      <c r="E4682" t="s">
        <v>1833</v>
      </c>
      <c r="F4682" t="s">
        <v>41</v>
      </c>
      <c r="G4682" t="s">
        <v>27</v>
      </c>
      <c r="H4682" t="s">
        <v>34</v>
      </c>
      <c r="I4682" t="s">
        <v>29</v>
      </c>
      <c r="J4682" t="s">
        <v>30</v>
      </c>
      <c r="K4682" s="2">
        <v>6600</v>
      </c>
      <c r="L4682" s="2">
        <v>56500</v>
      </c>
      <c r="M4682">
        <v>12</v>
      </c>
      <c r="N4682" s="3">
        <v>0.99299999999999999</v>
      </c>
      <c r="O4682" t="s">
        <v>17</v>
      </c>
      <c r="P4682" t="s">
        <v>31</v>
      </c>
      <c r="Q4682">
        <v>0</v>
      </c>
      <c r="R4682">
        <v>1</v>
      </c>
      <c r="S4682" s="2">
        <v>0</v>
      </c>
      <c r="T4682" s="4"/>
      <c r="U4682">
        <v>8</v>
      </c>
      <c r="V4682">
        <v>1</v>
      </c>
      <c r="W4682">
        <v>1</v>
      </c>
    </row>
    <row r="4683" spans="1:23" ht="16.5" x14ac:dyDescent="0.3">
      <c r="A4683" t="s">
        <v>4747</v>
      </c>
      <c r="B4683" s="1">
        <v>45956</v>
      </c>
      <c r="C4683">
        <v>2025</v>
      </c>
      <c r="D4683" t="s">
        <v>1832</v>
      </c>
      <c r="E4683" t="s">
        <v>1833</v>
      </c>
      <c r="F4683" t="s">
        <v>50</v>
      </c>
      <c r="G4683" t="s">
        <v>33</v>
      </c>
      <c r="H4683" t="s">
        <v>38</v>
      </c>
      <c r="I4683" t="s">
        <v>29</v>
      </c>
      <c r="J4683" t="s">
        <v>30</v>
      </c>
      <c r="K4683" s="2">
        <v>2550</v>
      </c>
      <c r="L4683" s="2">
        <v>343000</v>
      </c>
      <c r="M4683">
        <v>180</v>
      </c>
      <c r="N4683" s="3">
        <v>1.19</v>
      </c>
      <c r="O4683" t="s">
        <v>17</v>
      </c>
      <c r="P4683" t="s">
        <v>53</v>
      </c>
      <c r="Q4683">
        <v>0</v>
      </c>
      <c r="R4683">
        <v>1</v>
      </c>
      <c r="S4683" s="2">
        <v>0</v>
      </c>
      <c r="T4683" s="4"/>
      <c r="U4683">
        <v>13</v>
      </c>
      <c r="V4683">
        <v>1</v>
      </c>
      <c r="W4683">
        <v>1</v>
      </c>
    </row>
    <row r="4684" spans="1:23" ht="16.5" x14ac:dyDescent="0.3">
      <c r="A4684" t="s">
        <v>4748</v>
      </c>
      <c r="B4684" s="1">
        <v>45956</v>
      </c>
      <c r="C4684">
        <v>2025</v>
      </c>
      <c r="D4684" t="s">
        <v>1832</v>
      </c>
      <c r="E4684" t="s">
        <v>1833</v>
      </c>
      <c r="F4684" t="s">
        <v>26</v>
      </c>
      <c r="G4684" t="s">
        <v>51</v>
      </c>
      <c r="H4684" t="s">
        <v>64</v>
      </c>
      <c r="I4684" t="s">
        <v>39</v>
      </c>
      <c r="J4684" t="s">
        <v>35</v>
      </c>
      <c r="K4684" s="2">
        <v>5050</v>
      </c>
      <c r="L4684" s="2">
        <v>24500</v>
      </c>
      <c r="M4684">
        <v>36</v>
      </c>
      <c r="N4684" s="3">
        <v>0.38700000000000001</v>
      </c>
      <c r="O4684" t="s">
        <v>16</v>
      </c>
      <c r="Q4684">
        <v>1</v>
      </c>
      <c r="R4684">
        <v>0</v>
      </c>
      <c r="S4684" s="2">
        <v>24500</v>
      </c>
      <c r="T4684" s="4">
        <v>8.4000000000000005E-2</v>
      </c>
      <c r="U4684">
        <v>4</v>
      </c>
      <c r="V4684">
        <v>1</v>
      </c>
      <c r="W4684">
        <v>1</v>
      </c>
    </row>
    <row r="4685" spans="1:23" ht="16.5" x14ac:dyDescent="0.3">
      <c r="A4685" t="s">
        <v>4749</v>
      </c>
      <c r="B4685" s="1">
        <v>45956</v>
      </c>
      <c r="C4685">
        <v>2025</v>
      </c>
      <c r="D4685" t="s">
        <v>1832</v>
      </c>
      <c r="E4685" t="s">
        <v>1833</v>
      </c>
      <c r="F4685" t="s">
        <v>26</v>
      </c>
      <c r="G4685" t="s">
        <v>51</v>
      </c>
      <c r="H4685" t="s">
        <v>64</v>
      </c>
      <c r="I4685" t="s">
        <v>39</v>
      </c>
      <c r="J4685" t="s">
        <v>35</v>
      </c>
      <c r="K4685" s="2">
        <v>5950</v>
      </c>
      <c r="L4685" s="2">
        <v>35500</v>
      </c>
      <c r="M4685">
        <v>36</v>
      </c>
      <c r="N4685" s="3">
        <v>0.27800000000000002</v>
      </c>
      <c r="O4685" t="s">
        <v>16</v>
      </c>
      <c r="Q4685">
        <v>1</v>
      </c>
      <c r="R4685">
        <v>0</v>
      </c>
      <c r="S4685" s="2">
        <v>35500</v>
      </c>
      <c r="T4685" s="4">
        <v>8.2100000000000006E-2</v>
      </c>
      <c r="U4685">
        <v>6</v>
      </c>
      <c r="V4685">
        <v>0</v>
      </c>
      <c r="W4685">
        <v>1</v>
      </c>
    </row>
    <row r="4686" spans="1:23" ht="16.5" x14ac:dyDescent="0.3">
      <c r="A4686" t="s">
        <v>4750</v>
      </c>
      <c r="B4686" s="1">
        <v>45956</v>
      </c>
      <c r="C4686">
        <v>2025</v>
      </c>
      <c r="D4686" t="s">
        <v>1832</v>
      </c>
      <c r="E4686" t="s">
        <v>1833</v>
      </c>
      <c r="F4686" t="s">
        <v>26</v>
      </c>
      <c r="G4686" t="s">
        <v>51</v>
      </c>
      <c r="H4686" t="s">
        <v>34</v>
      </c>
      <c r="I4686" t="s">
        <v>29</v>
      </c>
      <c r="J4686" t="s">
        <v>52</v>
      </c>
      <c r="K4686" s="2">
        <v>2850</v>
      </c>
      <c r="L4686" s="2">
        <v>31000</v>
      </c>
      <c r="M4686">
        <v>60</v>
      </c>
      <c r="N4686" s="3">
        <v>0.36099999999999999</v>
      </c>
      <c r="O4686" t="s">
        <v>16</v>
      </c>
      <c r="Q4686">
        <v>1</v>
      </c>
      <c r="R4686">
        <v>0</v>
      </c>
      <c r="S4686" s="2">
        <v>25000</v>
      </c>
      <c r="T4686" s="4">
        <v>7.3499999999999996E-2</v>
      </c>
      <c r="U4686">
        <v>9</v>
      </c>
      <c r="V4686">
        <v>0</v>
      </c>
      <c r="W4686">
        <v>1</v>
      </c>
    </row>
    <row r="4687" spans="1:23" ht="16.5" x14ac:dyDescent="0.3">
      <c r="A4687" t="s">
        <v>4751</v>
      </c>
      <c r="B4687" s="1">
        <v>45956</v>
      </c>
      <c r="C4687">
        <v>2025</v>
      </c>
      <c r="D4687" t="s">
        <v>1832</v>
      </c>
      <c r="E4687" t="s">
        <v>1833</v>
      </c>
      <c r="F4687" t="s">
        <v>37</v>
      </c>
      <c r="G4687" t="s">
        <v>51</v>
      </c>
      <c r="H4687" t="s">
        <v>34</v>
      </c>
      <c r="I4687" t="s">
        <v>29</v>
      </c>
      <c r="J4687" t="s">
        <v>35</v>
      </c>
      <c r="K4687" s="2">
        <v>6300</v>
      </c>
      <c r="L4687" s="2">
        <v>11500</v>
      </c>
      <c r="M4687">
        <v>36</v>
      </c>
      <c r="N4687" s="3">
        <v>0.29599999999999999</v>
      </c>
      <c r="O4687" t="s">
        <v>16</v>
      </c>
      <c r="Q4687">
        <v>1</v>
      </c>
      <c r="R4687">
        <v>0</v>
      </c>
      <c r="S4687" s="2">
        <v>11500</v>
      </c>
      <c r="T4687" s="4">
        <v>0.12570000000000001</v>
      </c>
      <c r="U4687">
        <v>6</v>
      </c>
      <c r="V4687">
        <v>0</v>
      </c>
      <c r="W4687">
        <v>1</v>
      </c>
    </row>
    <row r="4688" spans="1:23" ht="16.5" x14ac:dyDescent="0.3">
      <c r="A4688" t="s">
        <v>4752</v>
      </c>
      <c r="B4688" s="1">
        <v>45957</v>
      </c>
      <c r="C4688">
        <v>2025</v>
      </c>
      <c r="D4688" t="s">
        <v>1832</v>
      </c>
      <c r="E4688" t="s">
        <v>1833</v>
      </c>
      <c r="F4688" t="s">
        <v>41</v>
      </c>
      <c r="G4688" t="s">
        <v>51</v>
      </c>
      <c r="H4688" t="s">
        <v>55</v>
      </c>
      <c r="I4688" t="s">
        <v>29</v>
      </c>
      <c r="J4688" t="s">
        <v>52</v>
      </c>
      <c r="K4688" s="2">
        <v>2750</v>
      </c>
      <c r="L4688" s="2">
        <v>94000</v>
      </c>
      <c r="M4688">
        <v>36</v>
      </c>
      <c r="N4688" s="3">
        <v>1.1519999999999999</v>
      </c>
      <c r="O4688" t="s">
        <v>17</v>
      </c>
      <c r="P4688" t="s">
        <v>53</v>
      </c>
      <c r="Q4688">
        <v>0</v>
      </c>
      <c r="R4688">
        <v>1</v>
      </c>
      <c r="S4688" s="2">
        <v>0</v>
      </c>
      <c r="T4688" s="4"/>
      <c r="U4688">
        <v>24</v>
      </c>
      <c r="V4688">
        <v>0</v>
      </c>
      <c r="W4688">
        <v>1</v>
      </c>
    </row>
    <row r="4689" spans="1:23" ht="16.5" x14ac:dyDescent="0.3">
      <c r="A4689" t="s">
        <v>4753</v>
      </c>
      <c r="B4689" s="1">
        <v>45957</v>
      </c>
      <c r="C4689">
        <v>2025</v>
      </c>
      <c r="D4689" t="s">
        <v>1832</v>
      </c>
      <c r="E4689" t="s">
        <v>1833</v>
      </c>
      <c r="F4689" t="s">
        <v>50</v>
      </c>
      <c r="G4689" t="s">
        <v>51</v>
      </c>
      <c r="H4689" t="s">
        <v>34</v>
      </c>
      <c r="I4689" t="s">
        <v>39</v>
      </c>
      <c r="J4689" t="s">
        <v>35</v>
      </c>
      <c r="K4689" s="2">
        <v>3900</v>
      </c>
      <c r="L4689" s="2">
        <v>652000</v>
      </c>
      <c r="M4689">
        <v>300</v>
      </c>
      <c r="N4689" s="3">
        <v>1.0449999999999999</v>
      </c>
      <c r="O4689" t="s">
        <v>125</v>
      </c>
      <c r="Q4689">
        <v>0</v>
      </c>
      <c r="R4689">
        <v>0</v>
      </c>
      <c r="S4689" s="2">
        <v>0</v>
      </c>
      <c r="T4689" s="4"/>
      <c r="U4689">
        <v>21</v>
      </c>
      <c r="V4689">
        <v>0</v>
      </c>
      <c r="W4689">
        <v>1</v>
      </c>
    </row>
    <row r="4690" spans="1:23" ht="16.5" x14ac:dyDescent="0.3">
      <c r="A4690" t="s">
        <v>4754</v>
      </c>
      <c r="B4690" s="1">
        <v>45957</v>
      </c>
      <c r="C4690">
        <v>2025</v>
      </c>
      <c r="D4690" t="s">
        <v>1832</v>
      </c>
      <c r="E4690" t="s">
        <v>1833</v>
      </c>
      <c r="F4690" t="s">
        <v>50</v>
      </c>
      <c r="G4690" t="s">
        <v>45</v>
      </c>
      <c r="H4690" t="s">
        <v>34</v>
      </c>
      <c r="I4690" t="s">
        <v>42</v>
      </c>
      <c r="J4690" t="s">
        <v>46</v>
      </c>
      <c r="K4690" s="2">
        <v>4950</v>
      </c>
      <c r="L4690" s="2">
        <v>464000</v>
      </c>
      <c r="M4690">
        <v>240</v>
      </c>
      <c r="N4690" s="3">
        <v>0.79500000000000004</v>
      </c>
      <c r="O4690" t="s">
        <v>17</v>
      </c>
      <c r="P4690" t="s">
        <v>53</v>
      </c>
      <c r="Q4690">
        <v>0</v>
      </c>
      <c r="R4690">
        <v>1</v>
      </c>
      <c r="S4690" s="2">
        <v>0</v>
      </c>
      <c r="T4690" s="4"/>
      <c r="U4690">
        <v>4</v>
      </c>
      <c r="V4690">
        <v>1</v>
      </c>
      <c r="W4690">
        <v>1</v>
      </c>
    </row>
    <row r="4691" spans="1:23" ht="16.5" x14ac:dyDescent="0.3">
      <c r="A4691" t="s">
        <v>4755</v>
      </c>
      <c r="B4691" s="1">
        <v>45957</v>
      </c>
      <c r="C4691">
        <v>2025</v>
      </c>
      <c r="D4691" t="s">
        <v>1832</v>
      </c>
      <c r="E4691" t="s">
        <v>1833</v>
      </c>
      <c r="F4691" t="s">
        <v>26</v>
      </c>
      <c r="G4691" t="s">
        <v>33</v>
      </c>
      <c r="H4691" t="s">
        <v>55</v>
      </c>
      <c r="I4691" t="s">
        <v>39</v>
      </c>
      <c r="J4691" t="s">
        <v>52</v>
      </c>
      <c r="K4691" s="2">
        <v>5200</v>
      </c>
      <c r="L4691" s="2">
        <v>22500</v>
      </c>
      <c r="M4691">
        <v>60</v>
      </c>
      <c r="N4691" s="3">
        <v>0.27700000000000002</v>
      </c>
      <c r="O4691" t="s">
        <v>16</v>
      </c>
      <c r="Q4691">
        <v>1</v>
      </c>
      <c r="R4691">
        <v>0</v>
      </c>
      <c r="S4691" s="2">
        <v>22500</v>
      </c>
      <c r="T4691" s="4">
        <v>7.3899999999999993E-2</v>
      </c>
      <c r="U4691">
        <v>2</v>
      </c>
      <c r="V4691">
        <v>1</v>
      </c>
      <c r="W4691">
        <v>1</v>
      </c>
    </row>
    <row r="4692" spans="1:23" ht="16.5" x14ac:dyDescent="0.3">
      <c r="A4692" t="s">
        <v>4756</v>
      </c>
      <c r="B4692" s="1">
        <v>45957</v>
      </c>
      <c r="C4692">
        <v>2025</v>
      </c>
      <c r="D4692" t="s">
        <v>1832</v>
      </c>
      <c r="E4692" t="s">
        <v>1833</v>
      </c>
      <c r="F4692" t="s">
        <v>37</v>
      </c>
      <c r="G4692" t="s">
        <v>45</v>
      </c>
      <c r="H4692" t="s">
        <v>55</v>
      </c>
      <c r="I4692" t="s">
        <v>42</v>
      </c>
      <c r="J4692" t="s">
        <v>52</v>
      </c>
      <c r="K4692" s="2">
        <v>3500</v>
      </c>
      <c r="L4692" s="2">
        <v>11000</v>
      </c>
      <c r="M4692">
        <v>60</v>
      </c>
      <c r="N4692" s="3">
        <v>0.17100000000000001</v>
      </c>
      <c r="O4692" t="s">
        <v>16</v>
      </c>
      <c r="Q4692">
        <v>1</v>
      </c>
      <c r="R4692">
        <v>0</v>
      </c>
      <c r="S4692" s="2">
        <v>11000</v>
      </c>
      <c r="T4692" s="4">
        <v>0.1118</v>
      </c>
      <c r="U4692">
        <v>2</v>
      </c>
      <c r="V4692">
        <v>1</v>
      </c>
      <c r="W4692">
        <v>1</v>
      </c>
    </row>
    <row r="4693" spans="1:23" ht="16.5" x14ac:dyDescent="0.3">
      <c r="A4693" t="s">
        <v>4757</v>
      </c>
      <c r="B4693" s="1">
        <v>45957</v>
      </c>
      <c r="C4693">
        <v>2025</v>
      </c>
      <c r="D4693" t="s">
        <v>1832</v>
      </c>
      <c r="E4693" t="s">
        <v>1833</v>
      </c>
      <c r="F4693" t="s">
        <v>50</v>
      </c>
      <c r="G4693" t="s">
        <v>33</v>
      </c>
      <c r="H4693" t="s">
        <v>34</v>
      </c>
      <c r="I4693" t="s">
        <v>42</v>
      </c>
      <c r="J4693" t="s">
        <v>30</v>
      </c>
      <c r="K4693" s="2">
        <v>7450</v>
      </c>
      <c r="L4693" s="2">
        <v>172500</v>
      </c>
      <c r="M4693">
        <v>240</v>
      </c>
      <c r="N4693" s="3">
        <v>0.20699999999999999</v>
      </c>
      <c r="O4693" t="s">
        <v>17</v>
      </c>
      <c r="P4693" t="s">
        <v>60</v>
      </c>
      <c r="Q4693">
        <v>0</v>
      </c>
      <c r="R4693">
        <v>1</v>
      </c>
      <c r="S4693" s="2">
        <v>0</v>
      </c>
      <c r="T4693" s="4"/>
      <c r="U4693">
        <v>10</v>
      </c>
      <c r="V4693">
        <v>1</v>
      </c>
      <c r="W4693">
        <v>1</v>
      </c>
    </row>
    <row r="4694" spans="1:23" ht="16.5" x14ac:dyDescent="0.3">
      <c r="A4694" t="s">
        <v>4758</v>
      </c>
      <c r="B4694" s="1">
        <v>45957</v>
      </c>
      <c r="C4694">
        <v>2025</v>
      </c>
      <c r="D4694" t="s">
        <v>1832</v>
      </c>
      <c r="E4694" t="s">
        <v>1833</v>
      </c>
      <c r="F4694" t="s">
        <v>26</v>
      </c>
      <c r="G4694" t="s">
        <v>33</v>
      </c>
      <c r="H4694" t="s">
        <v>38</v>
      </c>
      <c r="I4694" t="s">
        <v>29</v>
      </c>
      <c r="J4694" t="s">
        <v>30</v>
      </c>
      <c r="K4694" s="2">
        <v>3350</v>
      </c>
      <c r="L4694" s="2">
        <v>42500</v>
      </c>
      <c r="M4694">
        <v>60</v>
      </c>
      <c r="N4694" s="3">
        <v>0.39600000000000002</v>
      </c>
      <c r="O4694" t="s">
        <v>16</v>
      </c>
      <c r="Q4694">
        <v>1</v>
      </c>
      <c r="R4694">
        <v>0</v>
      </c>
      <c r="S4694" s="2">
        <v>42500</v>
      </c>
      <c r="T4694" s="4">
        <v>9.9599999999999994E-2</v>
      </c>
      <c r="U4694">
        <v>4</v>
      </c>
      <c r="V4694">
        <v>1</v>
      </c>
      <c r="W4694">
        <v>1</v>
      </c>
    </row>
    <row r="4695" spans="1:23" ht="16.5" x14ac:dyDescent="0.3">
      <c r="A4695" t="s">
        <v>4759</v>
      </c>
      <c r="B4695" s="1">
        <v>45957</v>
      </c>
      <c r="C4695">
        <v>2025</v>
      </c>
      <c r="D4695" t="s">
        <v>1832</v>
      </c>
      <c r="E4695" t="s">
        <v>1833</v>
      </c>
      <c r="F4695" t="s">
        <v>37</v>
      </c>
      <c r="G4695" t="s">
        <v>51</v>
      </c>
      <c r="H4695" t="s">
        <v>38</v>
      </c>
      <c r="I4695" t="s">
        <v>42</v>
      </c>
      <c r="J4695" t="s">
        <v>35</v>
      </c>
      <c r="K4695" s="2">
        <v>2850</v>
      </c>
      <c r="L4695" s="2">
        <v>23500</v>
      </c>
      <c r="M4695">
        <v>36</v>
      </c>
      <c r="N4695" s="3">
        <v>0.45800000000000002</v>
      </c>
      <c r="O4695" t="s">
        <v>16</v>
      </c>
      <c r="Q4695">
        <v>1</v>
      </c>
      <c r="R4695">
        <v>0</v>
      </c>
      <c r="S4695" s="2">
        <v>21000</v>
      </c>
      <c r="T4695" s="4">
        <v>0.12690000000000001</v>
      </c>
      <c r="U4695">
        <v>2</v>
      </c>
      <c r="V4695">
        <v>1</v>
      </c>
      <c r="W4695">
        <v>1</v>
      </c>
    </row>
    <row r="4696" spans="1:23" ht="16.5" x14ac:dyDescent="0.3">
      <c r="A4696" t="s">
        <v>4760</v>
      </c>
      <c r="B4696" s="1">
        <v>45957</v>
      </c>
      <c r="C4696">
        <v>2025</v>
      </c>
      <c r="D4696" t="s">
        <v>1832</v>
      </c>
      <c r="E4696" t="s">
        <v>1833</v>
      </c>
      <c r="F4696" t="s">
        <v>26</v>
      </c>
      <c r="G4696" t="s">
        <v>45</v>
      </c>
      <c r="H4696" t="s">
        <v>64</v>
      </c>
      <c r="I4696" t="s">
        <v>29</v>
      </c>
      <c r="J4696" t="s">
        <v>43</v>
      </c>
      <c r="K4696" s="2">
        <v>9000</v>
      </c>
      <c r="L4696" s="2">
        <v>21000</v>
      </c>
      <c r="M4696">
        <v>48</v>
      </c>
      <c r="N4696" s="3">
        <v>0.26900000000000002</v>
      </c>
      <c r="O4696" t="s">
        <v>16</v>
      </c>
      <c r="Q4696">
        <v>1</v>
      </c>
      <c r="R4696">
        <v>0</v>
      </c>
      <c r="S4696" s="2">
        <v>21000</v>
      </c>
      <c r="T4696" s="4">
        <v>0.11600000000000001</v>
      </c>
      <c r="U4696">
        <v>1</v>
      </c>
      <c r="V4696">
        <v>1</v>
      </c>
      <c r="W4696">
        <v>1</v>
      </c>
    </row>
    <row r="4697" spans="1:23" ht="16.5" x14ac:dyDescent="0.3">
      <c r="A4697" t="s">
        <v>4761</v>
      </c>
      <c r="B4697" s="1">
        <v>45958</v>
      </c>
      <c r="C4697">
        <v>2025</v>
      </c>
      <c r="D4697" t="s">
        <v>1832</v>
      </c>
      <c r="E4697" t="s">
        <v>1833</v>
      </c>
      <c r="F4697" t="s">
        <v>41</v>
      </c>
      <c r="G4697" t="s">
        <v>51</v>
      </c>
      <c r="H4697" t="s">
        <v>64</v>
      </c>
      <c r="I4697" t="s">
        <v>29</v>
      </c>
      <c r="J4697" t="s">
        <v>52</v>
      </c>
      <c r="K4697" s="2">
        <v>4550</v>
      </c>
      <c r="L4697" s="2">
        <v>92500</v>
      </c>
      <c r="M4697">
        <v>60</v>
      </c>
      <c r="N4697" s="3">
        <v>0.623</v>
      </c>
      <c r="O4697" t="s">
        <v>16</v>
      </c>
      <c r="Q4697">
        <v>1</v>
      </c>
      <c r="R4697">
        <v>0</v>
      </c>
      <c r="S4697" s="2">
        <v>92500</v>
      </c>
      <c r="T4697" s="4">
        <v>9.4899999999999998E-2</v>
      </c>
      <c r="U4697">
        <v>12</v>
      </c>
      <c r="V4697">
        <v>0</v>
      </c>
      <c r="W4697">
        <v>1</v>
      </c>
    </row>
    <row r="4698" spans="1:23" ht="16.5" x14ac:dyDescent="0.3">
      <c r="A4698" t="s">
        <v>4762</v>
      </c>
      <c r="B4698" s="1">
        <v>45958</v>
      </c>
      <c r="C4698">
        <v>2025</v>
      </c>
      <c r="D4698" t="s">
        <v>1832</v>
      </c>
      <c r="E4698" t="s">
        <v>1833</v>
      </c>
      <c r="F4698" t="s">
        <v>37</v>
      </c>
      <c r="G4698" t="s">
        <v>27</v>
      </c>
      <c r="H4698" t="s">
        <v>38</v>
      </c>
      <c r="I4698" t="s">
        <v>39</v>
      </c>
      <c r="J4698" t="s">
        <v>52</v>
      </c>
      <c r="K4698" s="2">
        <v>3550</v>
      </c>
      <c r="L4698" s="2">
        <v>8000</v>
      </c>
      <c r="M4698">
        <v>60</v>
      </c>
      <c r="N4698" s="3">
        <v>0.26800000000000002</v>
      </c>
      <c r="O4698" t="s">
        <v>16</v>
      </c>
      <c r="Q4698">
        <v>1</v>
      </c>
      <c r="R4698">
        <v>0</v>
      </c>
      <c r="S4698" s="2">
        <v>8000</v>
      </c>
      <c r="T4698" s="4">
        <v>0.1094</v>
      </c>
      <c r="U4698">
        <v>4</v>
      </c>
      <c r="V4698">
        <v>0</v>
      </c>
      <c r="W4698">
        <v>1</v>
      </c>
    </row>
    <row r="4699" spans="1:23" ht="16.5" x14ac:dyDescent="0.3">
      <c r="A4699" t="s">
        <v>4763</v>
      </c>
      <c r="B4699" s="1">
        <v>45958</v>
      </c>
      <c r="C4699">
        <v>2025</v>
      </c>
      <c r="D4699" t="s">
        <v>1832</v>
      </c>
      <c r="E4699" t="s">
        <v>1833</v>
      </c>
      <c r="F4699" t="s">
        <v>26</v>
      </c>
      <c r="G4699" t="s">
        <v>33</v>
      </c>
      <c r="H4699" t="s">
        <v>38</v>
      </c>
      <c r="I4699" t="s">
        <v>39</v>
      </c>
      <c r="J4699" t="s">
        <v>35</v>
      </c>
      <c r="K4699" s="2">
        <v>4950</v>
      </c>
      <c r="L4699" s="2">
        <v>28000</v>
      </c>
      <c r="M4699">
        <v>36</v>
      </c>
      <c r="N4699" s="3">
        <v>0.39600000000000002</v>
      </c>
      <c r="O4699" t="s">
        <v>16</v>
      </c>
      <c r="Q4699">
        <v>1</v>
      </c>
      <c r="R4699">
        <v>0</v>
      </c>
      <c r="S4699" s="2">
        <v>25000</v>
      </c>
      <c r="T4699" s="4">
        <v>8.3000000000000004E-2</v>
      </c>
      <c r="U4699">
        <v>3</v>
      </c>
      <c r="V4699">
        <v>1</v>
      </c>
      <c r="W4699">
        <v>1</v>
      </c>
    </row>
    <row r="4700" spans="1:23" ht="16.5" x14ac:dyDescent="0.3">
      <c r="A4700" t="s">
        <v>4764</v>
      </c>
      <c r="B4700" s="1">
        <v>45958</v>
      </c>
      <c r="C4700">
        <v>2025</v>
      </c>
      <c r="D4700" t="s">
        <v>1832</v>
      </c>
      <c r="E4700" t="s">
        <v>1833</v>
      </c>
      <c r="F4700" t="s">
        <v>26</v>
      </c>
      <c r="G4700" t="s">
        <v>27</v>
      </c>
      <c r="H4700" t="s">
        <v>38</v>
      </c>
      <c r="I4700" t="s">
        <v>42</v>
      </c>
      <c r="J4700" t="s">
        <v>30</v>
      </c>
      <c r="K4700" s="2">
        <v>5250</v>
      </c>
      <c r="L4700" s="2">
        <v>40500</v>
      </c>
      <c r="M4700">
        <v>48</v>
      </c>
      <c r="N4700" s="3">
        <v>0.32600000000000001</v>
      </c>
      <c r="O4700" t="s">
        <v>125</v>
      </c>
      <c r="Q4700">
        <v>0</v>
      </c>
      <c r="R4700">
        <v>0</v>
      </c>
      <c r="S4700" s="2">
        <v>0</v>
      </c>
      <c r="T4700" s="4"/>
      <c r="U4700">
        <v>7</v>
      </c>
      <c r="V4700">
        <v>0</v>
      </c>
      <c r="W4700">
        <v>1</v>
      </c>
    </row>
    <row r="4701" spans="1:23" ht="16.5" x14ac:dyDescent="0.3">
      <c r="A4701" t="s">
        <v>4765</v>
      </c>
      <c r="B4701" s="1">
        <v>45958</v>
      </c>
      <c r="C4701">
        <v>2025</v>
      </c>
      <c r="D4701" t="s">
        <v>1832</v>
      </c>
      <c r="E4701" t="s">
        <v>1833</v>
      </c>
      <c r="F4701" t="s">
        <v>37</v>
      </c>
      <c r="G4701" t="s">
        <v>51</v>
      </c>
      <c r="H4701" t="s">
        <v>38</v>
      </c>
      <c r="I4701" t="s">
        <v>39</v>
      </c>
      <c r="J4701" t="s">
        <v>52</v>
      </c>
      <c r="K4701" s="2">
        <v>6550</v>
      </c>
      <c r="L4701" s="2">
        <v>12000</v>
      </c>
      <c r="M4701">
        <v>36</v>
      </c>
      <c r="N4701" s="3">
        <v>0.254</v>
      </c>
      <c r="O4701" t="s">
        <v>16</v>
      </c>
      <c r="Q4701">
        <v>1</v>
      </c>
      <c r="R4701">
        <v>0</v>
      </c>
      <c r="S4701" s="2">
        <v>12000</v>
      </c>
      <c r="T4701" s="4">
        <v>0.1171</v>
      </c>
      <c r="U4701">
        <v>5</v>
      </c>
      <c r="V4701">
        <v>0</v>
      </c>
      <c r="W4701">
        <v>1</v>
      </c>
    </row>
    <row r="4702" spans="1:23" ht="16.5" x14ac:dyDescent="0.3">
      <c r="A4702" t="s">
        <v>4766</v>
      </c>
      <c r="B4702" s="1">
        <v>45958</v>
      </c>
      <c r="C4702">
        <v>2025</v>
      </c>
      <c r="D4702" t="s">
        <v>1832</v>
      </c>
      <c r="E4702" t="s">
        <v>1833</v>
      </c>
      <c r="F4702" t="s">
        <v>37</v>
      </c>
      <c r="G4702" t="s">
        <v>45</v>
      </c>
      <c r="H4702" t="s">
        <v>34</v>
      </c>
      <c r="I4702" t="s">
        <v>42</v>
      </c>
      <c r="J4702" t="s">
        <v>46</v>
      </c>
      <c r="K4702" s="2">
        <v>6600</v>
      </c>
      <c r="L4702" s="2">
        <v>10500</v>
      </c>
      <c r="M4702">
        <v>24</v>
      </c>
      <c r="N4702" s="3">
        <v>0.28499999999999998</v>
      </c>
      <c r="O4702" t="s">
        <v>16</v>
      </c>
      <c r="Q4702">
        <v>1</v>
      </c>
      <c r="R4702">
        <v>0</v>
      </c>
      <c r="S4702" s="2">
        <v>10500</v>
      </c>
      <c r="T4702" s="4">
        <v>0.1108</v>
      </c>
      <c r="U4702">
        <v>4</v>
      </c>
      <c r="V4702">
        <v>0</v>
      </c>
      <c r="W4702">
        <v>1</v>
      </c>
    </row>
    <row r="4703" spans="1:23" ht="16.5" x14ac:dyDescent="0.3">
      <c r="A4703" t="s">
        <v>4767</v>
      </c>
      <c r="B4703" s="1">
        <v>45958</v>
      </c>
      <c r="C4703">
        <v>2025</v>
      </c>
      <c r="D4703" t="s">
        <v>1832</v>
      </c>
      <c r="E4703" t="s">
        <v>1833</v>
      </c>
      <c r="F4703" t="s">
        <v>37</v>
      </c>
      <c r="G4703" t="s">
        <v>33</v>
      </c>
      <c r="H4703" t="s">
        <v>34</v>
      </c>
      <c r="I4703" t="s">
        <v>29</v>
      </c>
      <c r="J4703" t="s">
        <v>30</v>
      </c>
      <c r="K4703" s="2">
        <v>4000</v>
      </c>
      <c r="L4703" s="2">
        <v>3500</v>
      </c>
      <c r="M4703">
        <v>60</v>
      </c>
      <c r="N4703" s="3">
        <v>0.26100000000000001</v>
      </c>
      <c r="O4703" t="s">
        <v>16</v>
      </c>
      <c r="Q4703">
        <v>1</v>
      </c>
      <c r="R4703">
        <v>0</v>
      </c>
      <c r="S4703" s="2">
        <v>3000</v>
      </c>
      <c r="T4703" s="4">
        <v>0.1409</v>
      </c>
      <c r="U4703">
        <v>1</v>
      </c>
      <c r="V4703">
        <v>1</v>
      </c>
      <c r="W4703">
        <v>1</v>
      </c>
    </row>
    <row r="4704" spans="1:23" ht="16.5" x14ac:dyDescent="0.3">
      <c r="A4704" t="s">
        <v>4768</v>
      </c>
      <c r="B4704" s="1">
        <v>45958</v>
      </c>
      <c r="C4704">
        <v>2025</v>
      </c>
      <c r="D4704" t="s">
        <v>1832</v>
      </c>
      <c r="E4704" t="s">
        <v>1833</v>
      </c>
      <c r="F4704" t="s">
        <v>37</v>
      </c>
      <c r="G4704" t="s">
        <v>45</v>
      </c>
      <c r="H4704" t="s">
        <v>38</v>
      </c>
      <c r="I4704" t="s">
        <v>39</v>
      </c>
      <c r="J4704" t="s">
        <v>52</v>
      </c>
      <c r="K4704" s="2">
        <v>6350</v>
      </c>
      <c r="L4704" s="2">
        <v>11500</v>
      </c>
      <c r="M4704">
        <v>48</v>
      </c>
      <c r="N4704" s="3">
        <v>0.223</v>
      </c>
      <c r="O4704" t="s">
        <v>17</v>
      </c>
      <c r="P4704" t="s">
        <v>65</v>
      </c>
      <c r="Q4704">
        <v>0</v>
      </c>
      <c r="R4704">
        <v>1</v>
      </c>
      <c r="S4704" s="2">
        <v>0</v>
      </c>
      <c r="T4704" s="4"/>
      <c r="U4704">
        <v>2</v>
      </c>
      <c r="V4704">
        <v>1</v>
      </c>
      <c r="W4704">
        <v>1</v>
      </c>
    </row>
    <row r="4705" spans="1:23" ht="16.5" x14ac:dyDescent="0.3">
      <c r="A4705" t="s">
        <v>4769</v>
      </c>
      <c r="B4705" s="1">
        <v>45958</v>
      </c>
      <c r="C4705">
        <v>2025</v>
      </c>
      <c r="D4705" t="s">
        <v>1832</v>
      </c>
      <c r="E4705" t="s">
        <v>1833</v>
      </c>
      <c r="F4705" t="s">
        <v>50</v>
      </c>
      <c r="G4705" t="s">
        <v>33</v>
      </c>
      <c r="H4705" t="s">
        <v>28</v>
      </c>
      <c r="I4705" t="s">
        <v>29</v>
      </c>
      <c r="J4705" t="s">
        <v>35</v>
      </c>
      <c r="K4705" s="2">
        <v>4850</v>
      </c>
      <c r="L4705" s="2">
        <v>425500</v>
      </c>
      <c r="M4705">
        <v>240</v>
      </c>
      <c r="N4705" s="3">
        <v>0.71799999999999997</v>
      </c>
      <c r="O4705" t="s">
        <v>17</v>
      </c>
      <c r="P4705" t="s">
        <v>53</v>
      </c>
      <c r="Q4705">
        <v>0</v>
      </c>
      <c r="R4705">
        <v>1</v>
      </c>
      <c r="S4705" s="2">
        <v>0</v>
      </c>
      <c r="T4705" s="4"/>
      <c r="U4705">
        <v>9</v>
      </c>
      <c r="V4705">
        <v>1</v>
      </c>
      <c r="W4705">
        <v>1</v>
      </c>
    </row>
    <row r="4706" spans="1:23" ht="16.5" x14ac:dyDescent="0.3">
      <c r="A4706" t="s">
        <v>4770</v>
      </c>
      <c r="B4706" s="1">
        <v>45958</v>
      </c>
      <c r="C4706">
        <v>2025</v>
      </c>
      <c r="D4706" t="s">
        <v>1832</v>
      </c>
      <c r="E4706" t="s">
        <v>1833</v>
      </c>
      <c r="F4706" t="s">
        <v>50</v>
      </c>
      <c r="G4706" t="s">
        <v>33</v>
      </c>
      <c r="H4706" t="s">
        <v>34</v>
      </c>
      <c r="I4706" t="s">
        <v>42</v>
      </c>
      <c r="J4706" t="s">
        <v>52</v>
      </c>
      <c r="K4706" s="2">
        <v>2250</v>
      </c>
      <c r="L4706" s="2">
        <v>306500</v>
      </c>
      <c r="M4706">
        <v>300</v>
      </c>
      <c r="N4706" s="3">
        <v>0.875</v>
      </c>
      <c r="O4706" t="s">
        <v>17</v>
      </c>
      <c r="P4706" t="s">
        <v>53</v>
      </c>
      <c r="Q4706">
        <v>0</v>
      </c>
      <c r="R4706">
        <v>1</v>
      </c>
      <c r="S4706" s="2">
        <v>0</v>
      </c>
      <c r="T4706" s="4"/>
      <c r="U4706">
        <v>10</v>
      </c>
      <c r="V4706">
        <v>1</v>
      </c>
      <c r="W4706">
        <v>1</v>
      </c>
    </row>
    <row r="4707" spans="1:23" ht="16.5" x14ac:dyDescent="0.3">
      <c r="A4707" t="s">
        <v>4771</v>
      </c>
      <c r="B4707" s="1">
        <v>45958</v>
      </c>
      <c r="C4707">
        <v>2025</v>
      </c>
      <c r="D4707" t="s">
        <v>1832</v>
      </c>
      <c r="E4707" t="s">
        <v>1833</v>
      </c>
      <c r="F4707" t="s">
        <v>41</v>
      </c>
      <c r="G4707" t="s">
        <v>45</v>
      </c>
      <c r="H4707" t="s">
        <v>38</v>
      </c>
      <c r="I4707" t="s">
        <v>29</v>
      </c>
      <c r="J4707" t="s">
        <v>52</v>
      </c>
      <c r="K4707" s="2">
        <v>4600</v>
      </c>
      <c r="L4707" s="2">
        <v>73500</v>
      </c>
      <c r="M4707">
        <v>60</v>
      </c>
      <c r="N4707" s="3">
        <v>0.41599999999999998</v>
      </c>
      <c r="O4707" t="s">
        <v>16</v>
      </c>
      <c r="Q4707">
        <v>1</v>
      </c>
      <c r="R4707">
        <v>0</v>
      </c>
      <c r="S4707" s="2">
        <v>59000</v>
      </c>
      <c r="T4707" s="4">
        <v>0.1014</v>
      </c>
      <c r="U4707">
        <v>3</v>
      </c>
      <c r="V4707">
        <v>1</v>
      </c>
      <c r="W4707">
        <v>1</v>
      </c>
    </row>
    <row r="4708" spans="1:23" ht="16.5" x14ac:dyDescent="0.3">
      <c r="A4708" t="s">
        <v>4772</v>
      </c>
      <c r="B4708" s="1">
        <v>45958</v>
      </c>
      <c r="C4708">
        <v>2025</v>
      </c>
      <c r="D4708" t="s">
        <v>1832</v>
      </c>
      <c r="E4708" t="s">
        <v>1833</v>
      </c>
      <c r="F4708" t="s">
        <v>37</v>
      </c>
      <c r="G4708" t="s">
        <v>51</v>
      </c>
      <c r="H4708" t="s">
        <v>38</v>
      </c>
      <c r="I4708" t="s">
        <v>42</v>
      </c>
      <c r="J4708" t="s">
        <v>30</v>
      </c>
      <c r="K4708" s="2">
        <v>7600</v>
      </c>
      <c r="L4708" s="2">
        <v>6000</v>
      </c>
      <c r="M4708">
        <v>36</v>
      </c>
      <c r="N4708" s="3">
        <v>0.23599999999999999</v>
      </c>
      <c r="O4708" t="s">
        <v>17</v>
      </c>
      <c r="P4708" t="s">
        <v>48</v>
      </c>
      <c r="Q4708">
        <v>0</v>
      </c>
      <c r="R4708">
        <v>1</v>
      </c>
      <c r="S4708" s="2">
        <v>0</v>
      </c>
      <c r="T4708" s="4"/>
      <c r="U4708">
        <v>5</v>
      </c>
      <c r="V4708">
        <v>0</v>
      </c>
      <c r="W4708">
        <v>1</v>
      </c>
    </row>
    <row r="4709" spans="1:23" ht="16.5" x14ac:dyDescent="0.3">
      <c r="A4709" t="s">
        <v>4773</v>
      </c>
      <c r="B4709" s="1">
        <v>45958</v>
      </c>
      <c r="C4709">
        <v>2025</v>
      </c>
      <c r="D4709" t="s">
        <v>1832</v>
      </c>
      <c r="E4709" t="s">
        <v>1833</v>
      </c>
      <c r="F4709" t="s">
        <v>26</v>
      </c>
      <c r="G4709" t="s">
        <v>51</v>
      </c>
      <c r="H4709" t="s">
        <v>55</v>
      </c>
      <c r="I4709" t="s">
        <v>39</v>
      </c>
      <c r="J4709" t="s">
        <v>30</v>
      </c>
      <c r="K4709" s="2">
        <v>3650</v>
      </c>
      <c r="L4709" s="2">
        <v>16000</v>
      </c>
      <c r="M4709">
        <v>36</v>
      </c>
      <c r="N4709" s="3">
        <v>0.36199999999999999</v>
      </c>
      <c r="O4709" t="s">
        <v>16</v>
      </c>
      <c r="Q4709">
        <v>1</v>
      </c>
      <c r="R4709">
        <v>0</v>
      </c>
      <c r="S4709" s="2">
        <v>16000</v>
      </c>
      <c r="T4709" s="4">
        <v>9.9500000000000005E-2</v>
      </c>
      <c r="U4709">
        <v>6</v>
      </c>
      <c r="V4709">
        <v>0</v>
      </c>
      <c r="W4709">
        <v>1</v>
      </c>
    </row>
    <row r="4710" spans="1:23" ht="16.5" x14ac:dyDescent="0.3">
      <c r="A4710" t="s">
        <v>4774</v>
      </c>
      <c r="B4710" s="1">
        <v>45958</v>
      </c>
      <c r="C4710">
        <v>2025</v>
      </c>
      <c r="D4710" t="s">
        <v>1832</v>
      </c>
      <c r="E4710" t="s">
        <v>1833</v>
      </c>
      <c r="F4710" t="s">
        <v>26</v>
      </c>
      <c r="G4710" t="s">
        <v>45</v>
      </c>
      <c r="H4710" t="s">
        <v>38</v>
      </c>
      <c r="I4710" t="s">
        <v>29</v>
      </c>
      <c r="J4710" t="s">
        <v>30</v>
      </c>
      <c r="K4710" s="2">
        <v>3850</v>
      </c>
      <c r="L4710" s="2">
        <v>17000</v>
      </c>
      <c r="M4710">
        <v>36</v>
      </c>
      <c r="N4710" s="3">
        <v>0.2</v>
      </c>
      <c r="O4710" t="s">
        <v>17</v>
      </c>
      <c r="P4710" t="s">
        <v>65</v>
      </c>
      <c r="Q4710">
        <v>0</v>
      </c>
      <c r="R4710">
        <v>1</v>
      </c>
      <c r="S4710" s="2">
        <v>0</v>
      </c>
      <c r="T4710" s="4"/>
      <c r="U4710">
        <v>2</v>
      </c>
      <c r="V4710">
        <v>1</v>
      </c>
      <c r="W4710">
        <v>1</v>
      </c>
    </row>
    <row r="4711" spans="1:23" ht="16.5" x14ac:dyDescent="0.3">
      <c r="A4711" t="s">
        <v>4775</v>
      </c>
      <c r="B4711" s="1">
        <v>45958</v>
      </c>
      <c r="C4711">
        <v>2025</v>
      </c>
      <c r="D4711" t="s">
        <v>1832</v>
      </c>
      <c r="E4711" t="s">
        <v>1833</v>
      </c>
      <c r="F4711" t="s">
        <v>37</v>
      </c>
      <c r="G4711" t="s">
        <v>51</v>
      </c>
      <c r="H4711" t="s">
        <v>34</v>
      </c>
      <c r="I4711" t="s">
        <v>42</v>
      </c>
      <c r="J4711" t="s">
        <v>35</v>
      </c>
      <c r="K4711" s="2">
        <v>10950</v>
      </c>
      <c r="L4711" s="2">
        <v>11000</v>
      </c>
      <c r="M4711">
        <v>36</v>
      </c>
      <c r="N4711" s="3">
        <v>0.10100000000000001</v>
      </c>
      <c r="O4711" t="s">
        <v>16</v>
      </c>
      <c r="Q4711">
        <v>1</v>
      </c>
      <c r="R4711">
        <v>0</v>
      </c>
      <c r="S4711" s="2">
        <v>11000</v>
      </c>
      <c r="T4711" s="4">
        <v>0.121</v>
      </c>
      <c r="U4711">
        <v>3</v>
      </c>
      <c r="V4711">
        <v>1</v>
      </c>
      <c r="W4711">
        <v>1</v>
      </c>
    </row>
    <row r="4712" spans="1:23" ht="16.5" x14ac:dyDescent="0.3">
      <c r="A4712" t="s">
        <v>4776</v>
      </c>
      <c r="B4712" s="1">
        <v>45959</v>
      </c>
      <c r="C4712">
        <v>2025</v>
      </c>
      <c r="D4712" t="s">
        <v>1832</v>
      </c>
      <c r="E4712" t="s">
        <v>1833</v>
      </c>
      <c r="F4712" t="s">
        <v>37</v>
      </c>
      <c r="G4712" t="s">
        <v>33</v>
      </c>
      <c r="H4712" t="s">
        <v>28</v>
      </c>
      <c r="I4712" t="s">
        <v>29</v>
      </c>
      <c r="J4712" t="s">
        <v>43</v>
      </c>
      <c r="K4712" s="2">
        <v>2400</v>
      </c>
      <c r="L4712" s="2">
        <v>11500</v>
      </c>
      <c r="M4712">
        <v>24</v>
      </c>
      <c r="N4712" s="3">
        <v>0.309</v>
      </c>
      <c r="O4712" t="s">
        <v>16</v>
      </c>
      <c r="Q4712">
        <v>1</v>
      </c>
      <c r="R4712">
        <v>0</v>
      </c>
      <c r="S4712" s="2">
        <v>11500</v>
      </c>
      <c r="T4712" s="4">
        <v>0.16200000000000001</v>
      </c>
      <c r="U4712">
        <v>1</v>
      </c>
      <c r="V4712">
        <v>1</v>
      </c>
      <c r="W4712">
        <v>1</v>
      </c>
    </row>
    <row r="4713" spans="1:23" ht="16.5" x14ac:dyDescent="0.3">
      <c r="A4713" t="s">
        <v>4777</v>
      </c>
      <c r="B4713" s="1">
        <v>45959</v>
      </c>
      <c r="C4713">
        <v>2025</v>
      </c>
      <c r="D4713" t="s">
        <v>1832</v>
      </c>
      <c r="E4713" t="s">
        <v>1833</v>
      </c>
      <c r="F4713" t="s">
        <v>41</v>
      </c>
      <c r="G4713" t="s">
        <v>45</v>
      </c>
      <c r="H4713" t="s">
        <v>34</v>
      </c>
      <c r="I4713" t="s">
        <v>29</v>
      </c>
      <c r="J4713" t="s">
        <v>30</v>
      </c>
      <c r="K4713" s="2">
        <v>6750</v>
      </c>
      <c r="L4713" s="2">
        <v>73000</v>
      </c>
      <c r="M4713">
        <v>36</v>
      </c>
      <c r="N4713" s="3">
        <v>0.45200000000000001</v>
      </c>
      <c r="O4713" t="s">
        <v>17</v>
      </c>
      <c r="P4713" t="s">
        <v>53</v>
      </c>
      <c r="Q4713">
        <v>0</v>
      </c>
      <c r="R4713">
        <v>1</v>
      </c>
      <c r="S4713" s="2">
        <v>0</v>
      </c>
      <c r="T4713" s="4"/>
      <c r="U4713">
        <v>8</v>
      </c>
      <c r="V4713">
        <v>1</v>
      </c>
      <c r="W4713">
        <v>1</v>
      </c>
    </row>
    <row r="4714" spans="1:23" ht="16.5" x14ac:dyDescent="0.3">
      <c r="A4714" t="s">
        <v>4778</v>
      </c>
      <c r="B4714" s="1">
        <v>45959</v>
      </c>
      <c r="C4714">
        <v>2025</v>
      </c>
      <c r="D4714" t="s">
        <v>1832</v>
      </c>
      <c r="E4714" t="s">
        <v>1833</v>
      </c>
      <c r="F4714" t="s">
        <v>50</v>
      </c>
      <c r="G4714" t="s">
        <v>33</v>
      </c>
      <c r="H4714" t="s">
        <v>38</v>
      </c>
      <c r="I4714" t="s">
        <v>42</v>
      </c>
      <c r="J4714" t="s">
        <v>30</v>
      </c>
      <c r="K4714" s="2">
        <v>4150</v>
      </c>
      <c r="L4714" s="2">
        <v>335000</v>
      </c>
      <c r="M4714">
        <v>240</v>
      </c>
      <c r="N4714" s="3">
        <v>0.66600000000000004</v>
      </c>
      <c r="O4714" t="s">
        <v>17</v>
      </c>
      <c r="P4714" t="s">
        <v>31</v>
      </c>
      <c r="Q4714">
        <v>0</v>
      </c>
      <c r="R4714">
        <v>1</v>
      </c>
      <c r="S4714" s="2">
        <v>0</v>
      </c>
      <c r="T4714" s="4"/>
      <c r="U4714">
        <v>3</v>
      </c>
      <c r="V4714">
        <v>1</v>
      </c>
      <c r="W4714">
        <v>1</v>
      </c>
    </row>
    <row r="4715" spans="1:23" ht="16.5" x14ac:dyDescent="0.3">
      <c r="A4715" t="s">
        <v>4779</v>
      </c>
      <c r="B4715" s="1">
        <v>45959</v>
      </c>
      <c r="C4715">
        <v>2025</v>
      </c>
      <c r="D4715" t="s">
        <v>1832</v>
      </c>
      <c r="E4715" t="s">
        <v>1833</v>
      </c>
      <c r="F4715" t="s">
        <v>41</v>
      </c>
      <c r="G4715" t="s">
        <v>51</v>
      </c>
      <c r="H4715" t="s">
        <v>38</v>
      </c>
      <c r="I4715" t="s">
        <v>29</v>
      </c>
      <c r="J4715" t="s">
        <v>35</v>
      </c>
      <c r="K4715" s="2">
        <v>5000</v>
      </c>
      <c r="L4715" s="2">
        <v>98000</v>
      </c>
      <c r="M4715">
        <v>60</v>
      </c>
      <c r="N4715" s="3">
        <v>0.52100000000000002</v>
      </c>
      <c r="O4715" t="s">
        <v>17</v>
      </c>
      <c r="P4715" t="s">
        <v>60</v>
      </c>
      <c r="Q4715">
        <v>0</v>
      </c>
      <c r="R4715">
        <v>1</v>
      </c>
      <c r="S4715" s="2">
        <v>0</v>
      </c>
      <c r="T4715" s="4"/>
      <c r="U4715">
        <v>19</v>
      </c>
      <c r="V4715">
        <v>0</v>
      </c>
      <c r="W4715">
        <v>1</v>
      </c>
    </row>
    <row r="4716" spans="1:23" ht="16.5" x14ac:dyDescent="0.3">
      <c r="A4716" t="s">
        <v>4780</v>
      </c>
      <c r="B4716" s="1">
        <v>45959</v>
      </c>
      <c r="C4716">
        <v>2025</v>
      </c>
      <c r="D4716" t="s">
        <v>1832</v>
      </c>
      <c r="E4716" t="s">
        <v>1833</v>
      </c>
      <c r="F4716" t="s">
        <v>26</v>
      </c>
      <c r="G4716" t="s">
        <v>51</v>
      </c>
      <c r="H4716" t="s">
        <v>38</v>
      </c>
      <c r="I4716" t="s">
        <v>29</v>
      </c>
      <c r="J4716" t="s">
        <v>52</v>
      </c>
      <c r="K4716" s="2">
        <v>4850</v>
      </c>
      <c r="L4716" s="2">
        <v>41000</v>
      </c>
      <c r="M4716">
        <v>60</v>
      </c>
      <c r="N4716" s="3">
        <v>0.307</v>
      </c>
      <c r="O4716" t="s">
        <v>16</v>
      </c>
      <c r="Q4716">
        <v>1</v>
      </c>
      <c r="R4716">
        <v>0</v>
      </c>
      <c r="S4716" s="2">
        <v>33000</v>
      </c>
      <c r="T4716" s="4">
        <v>6.9500000000000006E-2</v>
      </c>
      <c r="U4716">
        <v>8</v>
      </c>
      <c r="V4716">
        <v>0</v>
      </c>
      <c r="W4716">
        <v>1</v>
      </c>
    </row>
    <row r="4717" spans="1:23" ht="16.5" x14ac:dyDescent="0.3">
      <c r="A4717" t="s">
        <v>4781</v>
      </c>
      <c r="B4717" s="1">
        <v>45959</v>
      </c>
      <c r="C4717">
        <v>2025</v>
      </c>
      <c r="D4717" t="s">
        <v>1832</v>
      </c>
      <c r="E4717" t="s">
        <v>1833</v>
      </c>
      <c r="F4717" t="s">
        <v>37</v>
      </c>
      <c r="G4717" t="s">
        <v>33</v>
      </c>
      <c r="H4717" t="s">
        <v>34</v>
      </c>
      <c r="I4717" t="s">
        <v>29</v>
      </c>
      <c r="J4717" t="s">
        <v>30</v>
      </c>
      <c r="K4717" s="2">
        <v>2300</v>
      </c>
      <c r="L4717" s="2">
        <v>5500</v>
      </c>
      <c r="M4717">
        <v>48</v>
      </c>
      <c r="N4717" s="3">
        <v>0.192</v>
      </c>
      <c r="O4717" t="s">
        <v>16</v>
      </c>
      <c r="Q4717">
        <v>1</v>
      </c>
      <c r="R4717">
        <v>0</v>
      </c>
      <c r="S4717" s="2">
        <v>5500</v>
      </c>
      <c r="T4717" s="4">
        <v>0.13739999999999999</v>
      </c>
      <c r="U4717">
        <v>1</v>
      </c>
      <c r="V4717">
        <v>1</v>
      </c>
      <c r="W4717">
        <v>1</v>
      </c>
    </row>
    <row r="4718" spans="1:23" ht="16.5" x14ac:dyDescent="0.3">
      <c r="A4718" t="s">
        <v>4782</v>
      </c>
      <c r="B4718" s="1">
        <v>45959</v>
      </c>
      <c r="C4718">
        <v>2025</v>
      </c>
      <c r="D4718" t="s">
        <v>1832</v>
      </c>
      <c r="E4718" t="s">
        <v>1833</v>
      </c>
      <c r="F4718" t="s">
        <v>26</v>
      </c>
      <c r="G4718" t="s">
        <v>33</v>
      </c>
      <c r="H4718" t="s">
        <v>34</v>
      </c>
      <c r="I4718" t="s">
        <v>42</v>
      </c>
      <c r="J4718" t="s">
        <v>52</v>
      </c>
      <c r="K4718" s="2">
        <v>6500</v>
      </c>
      <c r="L4718" s="2">
        <v>18000</v>
      </c>
      <c r="M4718">
        <v>60</v>
      </c>
      <c r="N4718" s="3">
        <v>0.125</v>
      </c>
      <c r="O4718" t="s">
        <v>16</v>
      </c>
      <c r="Q4718">
        <v>1</v>
      </c>
      <c r="R4718">
        <v>0</v>
      </c>
      <c r="S4718" s="2">
        <v>18000</v>
      </c>
      <c r="T4718" s="4">
        <v>7.1999999999999995E-2</v>
      </c>
      <c r="U4718">
        <v>1</v>
      </c>
      <c r="V4718">
        <v>1</v>
      </c>
      <c r="W4718">
        <v>1</v>
      </c>
    </row>
    <row r="4719" spans="1:23" ht="16.5" x14ac:dyDescent="0.3">
      <c r="A4719" t="s">
        <v>4783</v>
      </c>
      <c r="B4719" s="1">
        <v>45959</v>
      </c>
      <c r="C4719">
        <v>2025</v>
      </c>
      <c r="D4719" t="s">
        <v>1832</v>
      </c>
      <c r="E4719" t="s">
        <v>1833</v>
      </c>
      <c r="F4719" t="s">
        <v>37</v>
      </c>
      <c r="G4719" t="s">
        <v>45</v>
      </c>
      <c r="H4719" t="s">
        <v>34</v>
      </c>
      <c r="I4719" t="s">
        <v>29</v>
      </c>
      <c r="J4719" t="s">
        <v>30</v>
      </c>
      <c r="K4719" s="2">
        <v>3700</v>
      </c>
      <c r="L4719" s="2">
        <v>12000</v>
      </c>
      <c r="M4719">
        <v>12</v>
      </c>
      <c r="N4719" s="3">
        <v>0.375</v>
      </c>
      <c r="O4719" t="s">
        <v>16</v>
      </c>
      <c r="Q4719">
        <v>1</v>
      </c>
      <c r="R4719">
        <v>0</v>
      </c>
      <c r="S4719" s="2">
        <v>12000</v>
      </c>
      <c r="T4719" s="4">
        <v>0.14149999999999999</v>
      </c>
      <c r="U4719">
        <v>2</v>
      </c>
      <c r="V4719">
        <v>1</v>
      </c>
      <c r="W4719">
        <v>1</v>
      </c>
    </row>
    <row r="4720" spans="1:23" ht="16.5" x14ac:dyDescent="0.3">
      <c r="A4720" t="s">
        <v>4784</v>
      </c>
      <c r="B4720" s="1">
        <v>45959</v>
      </c>
      <c r="C4720">
        <v>2025</v>
      </c>
      <c r="D4720" t="s">
        <v>1832</v>
      </c>
      <c r="E4720" t="s">
        <v>1833</v>
      </c>
      <c r="F4720" t="s">
        <v>37</v>
      </c>
      <c r="G4720" t="s">
        <v>33</v>
      </c>
      <c r="H4720" t="s">
        <v>55</v>
      </c>
      <c r="I4720" t="s">
        <v>29</v>
      </c>
      <c r="J4720" t="s">
        <v>46</v>
      </c>
      <c r="K4720" s="2">
        <v>5500</v>
      </c>
      <c r="L4720" s="2">
        <v>9500</v>
      </c>
      <c r="M4720">
        <v>24</v>
      </c>
      <c r="N4720" s="3">
        <v>0.29699999999999999</v>
      </c>
      <c r="O4720" t="s">
        <v>16</v>
      </c>
      <c r="Q4720">
        <v>1</v>
      </c>
      <c r="R4720">
        <v>0</v>
      </c>
      <c r="S4720" s="2">
        <v>8500</v>
      </c>
      <c r="T4720" s="4">
        <v>0.108</v>
      </c>
      <c r="U4720">
        <v>1</v>
      </c>
      <c r="V4720">
        <v>1</v>
      </c>
      <c r="W4720">
        <v>1</v>
      </c>
    </row>
    <row r="4721" spans="1:23" ht="16.5" x14ac:dyDescent="0.3">
      <c r="A4721" t="s">
        <v>4785</v>
      </c>
      <c r="B4721" s="1">
        <v>45959</v>
      </c>
      <c r="C4721">
        <v>2025</v>
      </c>
      <c r="D4721" t="s">
        <v>1832</v>
      </c>
      <c r="E4721" t="s">
        <v>1833</v>
      </c>
      <c r="F4721" t="s">
        <v>37</v>
      </c>
      <c r="G4721" t="s">
        <v>45</v>
      </c>
      <c r="H4721" t="s">
        <v>55</v>
      </c>
      <c r="I4721" t="s">
        <v>39</v>
      </c>
      <c r="J4721" t="s">
        <v>52</v>
      </c>
      <c r="K4721" s="2">
        <v>3600</v>
      </c>
      <c r="L4721" s="2">
        <v>7500</v>
      </c>
      <c r="M4721">
        <v>48</v>
      </c>
      <c r="N4721" s="3">
        <v>0.15</v>
      </c>
      <c r="O4721" t="s">
        <v>16</v>
      </c>
      <c r="Q4721">
        <v>1</v>
      </c>
      <c r="R4721">
        <v>0</v>
      </c>
      <c r="S4721" s="2">
        <v>7500</v>
      </c>
      <c r="T4721" s="4">
        <v>0.1172</v>
      </c>
      <c r="U4721">
        <v>1</v>
      </c>
      <c r="V4721">
        <v>1</v>
      </c>
      <c r="W4721">
        <v>1</v>
      </c>
    </row>
    <row r="4722" spans="1:23" ht="16.5" x14ac:dyDescent="0.3">
      <c r="A4722" t="s">
        <v>4786</v>
      </c>
      <c r="B4722" s="1">
        <v>45959</v>
      </c>
      <c r="C4722">
        <v>2025</v>
      </c>
      <c r="D4722" t="s">
        <v>1832</v>
      </c>
      <c r="E4722" t="s">
        <v>1833</v>
      </c>
      <c r="F4722" t="s">
        <v>41</v>
      </c>
      <c r="G4722" t="s">
        <v>51</v>
      </c>
      <c r="H4722" t="s">
        <v>55</v>
      </c>
      <c r="I4722" t="s">
        <v>42</v>
      </c>
      <c r="J4722" t="s">
        <v>30</v>
      </c>
      <c r="K4722" s="2">
        <v>7800</v>
      </c>
      <c r="L4722" s="2">
        <v>66000</v>
      </c>
      <c r="M4722">
        <v>12</v>
      </c>
      <c r="N4722" s="3">
        <v>0.98499999999999999</v>
      </c>
      <c r="O4722" t="s">
        <v>17</v>
      </c>
      <c r="P4722" t="s">
        <v>31</v>
      </c>
      <c r="Q4722">
        <v>0</v>
      </c>
      <c r="R4722">
        <v>1</v>
      </c>
      <c r="S4722" s="2">
        <v>0</v>
      </c>
      <c r="T4722" s="4"/>
      <c r="U4722">
        <v>14</v>
      </c>
      <c r="V4722">
        <v>0</v>
      </c>
      <c r="W4722">
        <v>1</v>
      </c>
    </row>
    <row r="4723" spans="1:23" ht="16.5" x14ac:dyDescent="0.3">
      <c r="A4723" t="s">
        <v>4787</v>
      </c>
      <c r="B4723" s="1">
        <v>45959</v>
      </c>
      <c r="C4723">
        <v>2025</v>
      </c>
      <c r="D4723" t="s">
        <v>1832</v>
      </c>
      <c r="E4723" t="s">
        <v>1833</v>
      </c>
      <c r="F4723" t="s">
        <v>41</v>
      </c>
      <c r="G4723" t="s">
        <v>51</v>
      </c>
      <c r="H4723" t="s">
        <v>34</v>
      </c>
      <c r="I4723" t="s">
        <v>29</v>
      </c>
      <c r="J4723" t="s">
        <v>46</v>
      </c>
      <c r="K4723" s="2">
        <v>6650</v>
      </c>
      <c r="L4723" s="2">
        <v>62500</v>
      </c>
      <c r="M4723">
        <v>24</v>
      </c>
      <c r="N4723" s="3">
        <v>0.48899999999999999</v>
      </c>
      <c r="O4723" t="s">
        <v>16</v>
      </c>
      <c r="Q4723">
        <v>1</v>
      </c>
      <c r="R4723">
        <v>0</v>
      </c>
      <c r="S4723" s="2">
        <v>50000</v>
      </c>
      <c r="T4723" s="4">
        <v>9.2600000000000002E-2</v>
      </c>
      <c r="U4723">
        <v>18</v>
      </c>
      <c r="V4723">
        <v>0</v>
      </c>
      <c r="W4723">
        <v>1</v>
      </c>
    </row>
    <row r="4724" spans="1:23" ht="16.5" x14ac:dyDescent="0.3">
      <c r="A4724" t="s">
        <v>4788</v>
      </c>
      <c r="B4724" s="1">
        <v>45959</v>
      </c>
      <c r="C4724">
        <v>2025</v>
      </c>
      <c r="D4724" t="s">
        <v>1832</v>
      </c>
      <c r="E4724" t="s">
        <v>1833</v>
      </c>
      <c r="F4724" t="s">
        <v>50</v>
      </c>
      <c r="G4724" t="s">
        <v>33</v>
      </c>
      <c r="H4724" t="s">
        <v>28</v>
      </c>
      <c r="I4724" t="s">
        <v>29</v>
      </c>
      <c r="J4724" t="s">
        <v>35</v>
      </c>
      <c r="K4724" s="2">
        <v>3800</v>
      </c>
      <c r="L4724" s="2">
        <v>430000</v>
      </c>
      <c r="M4724">
        <v>240</v>
      </c>
      <c r="N4724" s="3">
        <v>0.90100000000000002</v>
      </c>
      <c r="O4724" t="s">
        <v>17</v>
      </c>
      <c r="P4724" t="s">
        <v>53</v>
      </c>
      <c r="Q4724">
        <v>0</v>
      </c>
      <c r="R4724">
        <v>1</v>
      </c>
      <c r="S4724" s="2">
        <v>0</v>
      </c>
      <c r="T4724" s="4"/>
      <c r="U4724">
        <v>4</v>
      </c>
      <c r="V4724">
        <v>1</v>
      </c>
      <c r="W4724">
        <v>1</v>
      </c>
    </row>
    <row r="4725" spans="1:23" ht="16.5" x14ac:dyDescent="0.3">
      <c r="A4725" t="s">
        <v>4789</v>
      </c>
      <c r="B4725" s="1">
        <v>45959</v>
      </c>
      <c r="C4725">
        <v>2025</v>
      </c>
      <c r="D4725" t="s">
        <v>1832</v>
      </c>
      <c r="E4725" t="s">
        <v>1833</v>
      </c>
      <c r="F4725" t="s">
        <v>37</v>
      </c>
      <c r="G4725" t="s">
        <v>33</v>
      </c>
      <c r="H4725" t="s">
        <v>55</v>
      </c>
      <c r="I4725" t="s">
        <v>29</v>
      </c>
      <c r="J4725" t="s">
        <v>52</v>
      </c>
      <c r="K4725" s="2">
        <v>4300</v>
      </c>
      <c r="L4725" s="2">
        <v>9500</v>
      </c>
      <c r="M4725">
        <v>36</v>
      </c>
      <c r="N4725" s="3">
        <v>0.16900000000000001</v>
      </c>
      <c r="O4725" t="s">
        <v>16</v>
      </c>
      <c r="Q4725">
        <v>1</v>
      </c>
      <c r="R4725">
        <v>0</v>
      </c>
      <c r="S4725" s="2">
        <v>7500</v>
      </c>
      <c r="T4725" s="4">
        <v>0.1094</v>
      </c>
      <c r="U4725">
        <v>1</v>
      </c>
      <c r="V4725">
        <v>1</v>
      </c>
      <c r="W4725">
        <v>1</v>
      </c>
    </row>
    <row r="4726" spans="1:23" ht="16.5" x14ac:dyDescent="0.3">
      <c r="A4726" t="s">
        <v>4790</v>
      </c>
      <c r="B4726" s="1">
        <v>45960</v>
      </c>
      <c r="C4726">
        <v>2025</v>
      </c>
      <c r="D4726" t="s">
        <v>1832</v>
      </c>
      <c r="E4726" t="s">
        <v>1833</v>
      </c>
      <c r="F4726" t="s">
        <v>41</v>
      </c>
      <c r="G4726" t="s">
        <v>45</v>
      </c>
      <c r="H4726" t="s">
        <v>28</v>
      </c>
      <c r="I4726" t="s">
        <v>29</v>
      </c>
      <c r="J4726" t="s">
        <v>35</v>
      </c>
      <c r="K4726" s="2">
        <v>6100</v>
      </c>
      <c r="L4726" s="2">
        <v>108500</v>
      </c>
      <c r="M4726">
        <v>36</v>
      </c>
      <c r="N4726" s="3">
        <v>0.66</v>
      </c>
      <c r="O4726" t="s">
        <v>16</v>
      </c>
      <c r="Q4726">
        <v>1</v>
      </c>
      <c r="R4726">
        <v>0</v>
      </c>
      <c r="S4726" s="2">
        <v>97500</v>
      </c>
      <c r="T4726" s="4">
        <v>0.1079</v>
      </c>
      <c r="U4726">
        <v>4</v>
      </c>
      <c r="V4726">
        <v>1</v>
      </c>
      <c r="W4726">
        <v>1</v>
      </c>
    </row>
    <row r="4727" spans="1:23" ht="16.5" x14ac:dyDescent="0.3">
      <c r="A4727" t="s">
        <v>4791</v>
      </c>
      <c r="B4727" s="1">
        <v>45960</v>
      </c>
      <c r="C4727">
        <v>2025</v>
      </c>
      <c r="D4727" t="s">
        <v>1832</v>
      </c>
      <c r="E4727" t="s">
        <v>1833</v>
      </c>
      <c r="F4727" t="s">
        <v>41</v>
      </c>
      <c r="G4727" t="s">
        <v>33</v>
      </c>
      <c r="H4727" t="s">
        <v>38</v>
      </c>
      <c r="I4727" t="s">
        <v>39</v>
      </c>
      <c r="J4727" t="s">
        <v>35</v>
      </c>
      <c r="K4727" s="2">
        <v>5900</v>
      </c>
      <c r="L4727" s="2">
        <v>72500</v>
      </c>
      <c r="M4727">
        <v>24</v>
      </c>
      <c r="N4727" s="3">
        <v>0.79500000000000004</v>
      </c>
      <c r="O4727" t="s">
        <v>16</v>
      </c>
      <c r="Q4727">
        <v>1</v>
      </c>
      <c r="R4727">
        <v>0</v>
      </c>
      <c r="S4727" s="2">
        <v>72500</v>
      </c>
      <c r="T4727" s="4">
        <v>0.11</v>
      </c>
      <c r="U4727">
        <v>3</v>
      </c>
      <c r="V4727">
        <v>1</v>
      </c>
      <c r="W4727">
        <v>1</v>
      </c>
    </row>
    <row r="4728" spans="1:23" ht="16.5" x14ac:dyDescent="0.3">
      <c r="A4728" t="s">
        <v>4792</v>
      </c>
      <c r="B4728" s="1">
        <v>45960</v>
      </c>
      <c r="C4728">
        <v>2025</v>
      </c>
      <c r="D4728" t="s">
        <v>1832</v>
      </c>
      <c r="E4728" t="s">
        <v>1833</v>
      </c>
      <c r="F4728" t="s">
        <v>37</v>
      </c>
      <c r="G4728" t="s">
        <v>45</v>
      </c>
      <c r="H4728" t="s">
        <v>38</v>
      </c>
      <c r="I4728" t="s">
        <v>29</v>
      </c>
      <c r="J4728" t="s">
        <v>52</v>
      </c>
      <c r="K4728" s="2">
        <v>3000</v>
      </c>
      <c r="L4728" s="2">
        <v>9500</v>
      </c>
      <c r="M4728">
        <v>60</v>
      </c>
      <c r="N4728" s="3">
        <v>0.246</v>
      </c>
      <c r="O4728" t="s">
        <v>16</v>
      </c>
      <c r="Q4728">
        <v>1</v>
      </c>
      <c r="R4728">
        <v>0</v>
      </c>
      <c r="S4728" s="2">
        <v>9500</v>
      </c>
      <c r="T4728" s="4">
        <v>0.1167</v>
      </c>
      <c r="U4728">
        <v>2</v>
      </c>
      <c r="V4728">
        <v>1</v>
      </c>
      <c r="W4728">
        <v>1</v>
      </c>
    </row>
    <row r="4729" spans="1:23" ht="16.5" x14ac:dyDescent="0.3">
      <c r="A4729" t="s">
        <v>4793</v>
      </c>
      <c r="B4729" s="1">
        <v>45960</v>
      </c>
      <c r="C4729">
        <v>2025</v>
      </c>
      <c r="D4729" t="s">
        <v>1832</v>
      </c>
      <c r="E4729" t="s">
        <v>1833</v>
      </c>
      <c r="F4729" t="s">
        <v>37</v>
      </c>
      <c r="G4729" t="s">
        <v>45</v>
      </c>
      <c r="H4729" t="s">
        <v>55</v>
      </c>
      <c r="I4729" t="s">
        <v>29</v>
      </c>
      <c r="J4729" t="s">
        <v>30</v>
      </c>
      <c r="K4729" s="2">
        <v>3900</v>
      </c>
      <c r="L4729" s="2">
        <v>8500</v>
      </c>
      <c r="M4729">
        <v>60</v>
      </c>
      <c r="N4729" s="3">
        <v>0.14499999999999999</v>
      </c>
      <c r="O4729" t="s">
        <v>17</v>
      </c>
      <c r="P4729" t="s">
        <v>60</v>
      </c>
      <c r="Q4729">
        <v>0</v>
      </c>
      <c r="R4729">
        <v>1</v>
      </c>
      <c r="S4729" s="2">
        <v>0</v>
      </c>
      <c r="T4729" s="4"/>
      <c r="U4729">
        <v>8</v>
      </c>
      <c r="V4729">
        <v>0</v>
      </c>
      <c r="W4729">
        <v>1</v>
      </c>
    </row>
    <row r="4730" spans="1:23" ht="16.5" x14ac:dyDescent="0.3">
      <c r="A4730" t="s">
        <v>4794</v>
      </c>
      <c r="B4730" s="1">
        <v>45960</v>
      </c>
      <c r="C4730">
        <v>2025</v>
      </c>
      <c r="D4730" t="s">
        <v>1832</v>
      </c>
      <c r="E4730" t="s">
        <v>1833</v>
      </c>
      <c r="F4730" t="s">
        <v>37</v>
      </c>
      <c r="G4730" t="s">
        <v>45</v>
      </c>
      <c r="H4730" t="s">
        <v>38</v>
      </c>
      <c r="I4730" t="s">
        <v>39</v>
      </c>
      <c r="J4730" t="s">
        <v>30</v>
      </c>
      <c r="K4730" s="2">
        <v>2900</v>
      </c>
      <c r="L4730" s="2">
        <v>7500</v>
      </c>
      <c r="M4730">
        <v>12</v>
      </c>
      <c r="N4730" s="3">
        <v>0.32800000000000001</v>
      </c>
      <c r="O4730" t="s">
        <v>17</v>
      </c>
      <c r="P4730" t="s">
        <v>60</v>
      </c>
      <c r="Q4730">
        <v>0</v>
      </c>
      <c r="R4730">
        <v>1</v>
      </c>
      <c r="S4730" s="2">
        <v>0</v>
      </c>
      <c r="T4730" s="4"/>
      <c r="U4730">
        <v>6</v>
      </c>
      <c r="V4730">
        <v>0</v>
      </c>
      <c r="W4730">
        <v>1</v>
      </c>
    </row>
    <row r="4731" spans="1:23" ht="16.5" x14ac:dyDescent="0.3">
      <c r="A4731" t="s">
        <v>4795</v>
      </c>
      <c r="B4731" s="1">
        <v>45960</v>
      </c>
      <c r="C4731">
        <v>2025</v>
      </c>
      <c r="D4731" t="s">
        <v>1832</v>
      </c>
      <c r="E4731" t="s">
        <v>1833</v>
      </c>
      <c r="F4731" t="s">
        <v>41</v>
      </c>
      <c r="G4731" t="s">
        <v>33</v>
      </c>
      <c r="H4731" t="s">
        <v>34</v>
      </c>
      <c r="I4731" t="s">
        <v>29</v>
      </c>
      <c r="J4731" t="s">
        <v>43</v>
      </c>
      <c r="K4731" s="2">
        <v>6550</v>
      </c>
      <c r="L4731" s="2">
        <v>92500</v>
      </c>
      <c r="M4731">
        <v>12</v>
      </c>
      <c r="N4731" s="3">
        <v>1.4219999999999999</v>
      </c>
      <c r="O4731" t="s">
        <v>17</v>
      </c>
      <c r="P4731" t="s">
        <v>31</v>
      </c>
      <c r="Q4731">
        <v>0</v>
      </c>
      <c r="R4731">
        <v>1</v>
      </c>
      <c r="S4731" s="2">
        <v>0</v>
      </c>
      <c r="T4731" s="4"/>
      <c r="U4731">
        <v>5</v>
      </c>
      <c r="V4731">
        <v>1</v>
      </c>
      <c r="W4731">
        <v>1</v>
      </c>
    </row>
    <row r="4732" spans="1:23" ht="16.5" x14ac:dyDescent="0.3">
      <c r="A4732" t="s">
        <v>4796</v>
      </c>
      <c r="B4732" s="1">
        <v>45961</v>
      </c>
      <c r="C4732">
        <v>2025</v>
      </c>
      <c r="D4732" t="s">
        <v>1832</v>
      </c>
      <c r="E4732" t="s">
        <v>1833</v>
      </c>
      <c r="F4732" t="s">
        <v>37</v>
      </c>
      <c r="G4732" t="s">
        <v>45</v>
      </c>
      <c r="H4732" t="s">
        <v>38</v>
      </c>
      <c r="I4732" t="s">
        <v>29</v>
      </c>
      <c r="J4732" t="s">
        <v>35</v>
      </c>
      <c r="K4732" s="2">
        <v>11050</v>
      </c>
      <c r="L4732" s="2">
        <v>12000</v>
      </c>
      <c r="M4732">
        <v>48</v>
      </c>
      <c r="N4732" s="3">
        <v>0.161</v>
      </c>
      <c r="O4732" t="s">
        <v>17</v>
      </c>
      <c r="P4732" t="s">
        <v>65</v>
      </c>
      <c r="Q4732">
        <v>0</v>
      </c>
      <c r="R4732">
        <v>1</v>
      </c>
      <c r="S4732" s="2">
        <v>0</v>
      </c>
      <c r="T4732" s="4"/>
      <c r="U4732">
        <v>2</v>
      </c>
      <c r="V4732">
        <v>1</v>
      </c>
      <c r="W4732">
        <v>1</v>
      </c>
    </row>
    <row r="4733" spans="1:23" ht="16.5" x14ac:dyDescent="0.3">
      <c r="A4733" t="s">
        <v>4797</v>
      </c>
      <c r="B4733" s="1">
        <v>45961</v>
      </c>
      <c r="C4733">
        <v>2025</v>
      </c>
      <c r="D4733" t="s">
        <v>1832</v>
      </c>
      <c r="E4733" t="s">
        <v>1833</v>
      </c>
      <c r="F4733" t="s">
        <v>50</v>
      </c>
      <c r="G4733" t="s">
        <v>45</v>
      </c>
      <c r="H4733" t="s">
        <v>28</v>
      </c>
      <c r="I4733" t="s">
        <v>29</v>
      </c>
      <c r="J4733" t="s">
        <v>52</v>
      </c>
      <c r="K4733" s="2">
        <v>13150</v>
      </c>
      <c r="L4733" s="2">
        <v>230000</v>
      </c>
      <c r="M4733">
        <v>180</v>
      </c>
      <c r="N4733" s="3">
        <v>0.28799999999999998</v>
      </c>
      <c r="O4733" t="s">
        <v>16</v>
      </c>
      <c r="Q4733">
        <v>1</v>
      </c>
      <c r="R4733">
        <v>0</v>
      </c>
      <c r="S4733" s="2">
        <v>230000</v>
      </c>
      <c r="T4733" s="4">
        <v>4.7399999999999998E-2</v>
      </c>
      <c r="U4733">
        <v>11</v>
      </c>
      <c r="V4733">
        <v>1</v>
      </c>
      <c r="W4733">
        <v>1</v>
      </c>
    </row>
    <row r="4734" spans="1:23" ht="16.5" x14ac:dyDescent="0.3">
      <c r="A4734" t="s">
        <v>4798</v>
      </c>
      <c r="B4734" s="1">
        <v>45961</v>
      </c>
      <c r="C4734">
        <v>2025</v>
      </c>
      <c r="D4734" t="s">
        <v>1832</v>
      </c>
      <c r="E4734" t="s">
        <v>1833</v>
      </c>
      <c r="F4734" t="s">
        <v>37</v>
      </c>
      <c r="G4734" t="s">
        <v>27</v>
      </c>
      <c r="H4734" t="s">
        <v>34</v>
      </c>
      <c r="I4734" t="s">
        <v>39</v>
      </c>
      <c r="J4734" t="s">
        <v>35</v>
      </c>
      <c r="K4734" s="2">
        <v>5250</v>
      </c>
      <c r="L4734" s="2">
        <v>11500</v>
      </c>
      <c r="M4734">
        <v>60</v>
      </c>
      <c r="N4734" s="3">
        <v>0.121</v>
      </c>
      <c r="O4734" t="s">
        <v>16</v>
      </c>
      <c r="Q4734">
        <v>1</v>
      </c>
      <c r="R4734">
        <v>0</v>
      </c>
      <c r="S4734" s="2">
        <v>10500</v>
      </c>
      <c r="T4734" s="4">
        <v>0.1234</v>
      </c>
      <c r="U4734">
        <v>3</v>
      </c>
      <c r="V4734">
        <v>1</v>
      </c>
      <c r="W4734">
        <v>1</v>
      </c>
    </row>
    <row r="4735" spans="1:23" ht="16.5" x14ac:dyDescent="0.3">
      <c r="A4735" t="s">
        <v>4799</v>
      </c>
      <c r="B4735" s="1">
        <v>45961</v>
      </c>
      <c r="C4735">
        <v>2025</v>
      </c>
      <c r="D4735" t="s">
        <v>1832</v>
      </c>
      <c r="E4735" t="s">
        <v>1833</v>
      </c>
      <c r="F4735" t="s">
        <v>37</v>
      </c>
      <c r="G4735" t="s">
        <v>45</v>
      </c>
      <c r="H4735" t="s">
        <v>38</v>
      </c>
      <c r="I4735" t="s">
        <v>29</v>
      </c>
      <c r="J4735" t="s">
        <v>43</v>
      </c>
      <c r="K4735" s="2">
        <v>5450</v>
      </c>
      <c r="L4735" s="2">
        <v>16000</v>
      </c>
      <c r="M4735">
        <v>12</v>
      </c>
      <c r="N4735" s="3">
        <v>0.436</v>
      </c>
      <c r="O4735" t="s">
        <v>16</v>
      </c>
      <c r="Q4735">
        <v>1</v>
      </c>
      <c r="R4735">
        <v>0</v>
      </c>
      <c r="S4735" s="2">
        <v>16000</v>
      </c>
      <c r="T4735" s="4">
        <v>0.15840000000000001</v>
      </c>
      <c r="U4735">
        <v>2</v>
      </c>
      <c r="V4735">
        <v>1</v>
      </c>
      <c r="W4735">
        <v>1</v>
      </c>
    </row>
    <row r="4736" spans="1:23" ht="16.5" x14ac:dyDescent="0.3">
      <c r="A4736" t="s">
        <v>4800</v>
      </c>
      <c r="B4736" s="1">
        <v>45961</v>
      </c>
      <c r="C4736">
        <v>2025</v>
      </c>
      <c r="D4736" t="s">
        <v>1832</v>
      </c>
      <c r="E4736" t="s">
        <v>1833</v>
      </c>
      <c r="F4736" t="s">
        <v>26</v>
      </c>
      <c r="G4736" t="s">
        <v>33</v>
      </c>
      <c r="H4736" t="s">
        <v>38</v>
      </c>
      <c r="I4736" t="s">
        <v>29</v>
      </c>
      <c r="J4736" t="s">
        <v>46</v>
      </c>
      <c r="K4736" s="2">
        <v>5700</v>
      </c>
      <c r="L4736" s="2">
        <v>19000</v>
      </c>
      <c r="M4736">
        <v>36</v>
      </c>
      <c r="N4736" s="3">
        <v>0.17399999999999999</v>
      </c>
      <c r="O4736" t="s">
        <v>16</v>
      </c>
      <c r="Q4736">
        <v>1</v>
      </c>
      <c r="R4736">
        <v>0</v>
      </c>
      <c r="S4736" s="2">
        <v>19000</v>
      </c>
      <c r="T4736" s="4">
        <v>6.7100000000000007E-2</v>
      </c>
      <c r="U4736">
        <v>1</v>
      </c>
      <c r="V4736">
        <v>1</v>
      </c>
      <c r="W4736">
        <v>1</v>
      </c>
    </row>
    <row r="4737" spans="1:23" ht="16.5" x14ac:dyDescent="0.3">
      <c r="A4737" t="s">
        <v>4801</v>
      </c>
      <c r="B4737" s="1">
        <v>45961</v>
      </c>
      <c r="C4737">
        <v>2025</v>
      </c>
      <c r="D4737" t="s">
        <v>1832</v>
      </c>
      <c r="E4737" t="s">
        <v>1833</v>
      </c>
      <c r="F4737" t="s">
        <v>37</v>
      </c>
      <c r="G4737" t="s">
        <v>51</v>
      </c>
      <c r="H4737" t="s">
        <v>38</v>
      </c>
      <c r="I4737" t="s">
        <v>39</v>
      </c>
      <c r="J4737" t="s">
        <v>30</v>
      </c>
      <c r="K4737" s="2">
        <v>5750</v>
      </c>
      <c r="L4737" s="2">
        <v>27500</v>
      </c>
      <c r="M4737">
        <v>36</v>
      </c>
      <c r="N4737" s="3">
        <v>0.23599999999999999</v>
      </c>
      <c r="O4737" t="s">
        <v>17</v>
      </c>
      <c r="P4737" t="s">
        <v>65</v>
      </c>
      <c r="Q4737">
        <v>0</v>
      </c>
      <c r="R4737">
        <v>1</v>
      </c>
      <c r="S4737" s="2">
        <v>0</v>
      </c>
      <c r="T4737" s="4"/>
      <c r="U4737">
        <v>6</v>
      </c>
      <c r="V4737">
        <v>0</v>
      </c>
      <c r="W4737">
        <v>1</v>
      </c>
    </row>
    <row r="4738" spans="1:23" ht="16.5" x14ac:dyDescent="0.3">
      <c r="A4738" t="s">
        <v>4802</v>
      </c>
      <c r="B4738" s="1">
        <v>45961</v>
      </c>
      <c r="C4738">
        <v>2025</v>
      </c>
      <c r="D4738" t="s">
        <v>1832</v>
      </c>
      <c r="E4738" t="s">
        <v>1833</v>
      </c>
      <c r="F4738" t="s">
        <v>41</v>
      </c>
      <c r="G4738" t="s">
        <v>45</v>
      </c>
      <c r="H4738" t="s">
        <v>55</v>
      </c>
      <c r="I4738" t="s">
        <v>29</v>
      </c>
      <c r="J4738" t="s">
        <v>52</v>
      </c>
      <c r="K4738" s="2">
        <v>4400</v>
      </c>
      <c r="L4738" s="2">
        <v>51500</v>
      </c>
      <c r="M4738">
        <v>12</v>
      </c>
      <c r="N4738" s="3">
        <v>1.123</v>
      </c>
      <c r="O4738" t="s">
        <v>17</v>
      </c>
      <c r="P4738" t="s">
        <v>53</v>
      </c>
      <c r="Q4738">
        <v>0</v>
      </c>
      <c r="R4738">
        <v>1</v>
      </c>
      <c r="S4738" s="2">
        <v>0</v>
      </c>
      <c r="T4738" s="4"/>
      <c r="U4738">
        <v>6</v>
      </c>
      <c r="V4738">
        <v>1</v>
      </c>
      <c r="W4738">
        <v>1</v>
      </c>
    </row>
    <row r="4739" spans="1:23" ht="16.5" x14ac:dyDescent="0.3">
      <c r="A4739" t="s">
        <v>4803</v>
      </c>
      <c r="B4739" s="1">
        <v>45961</v>
      </c>
      <c r="C4739">
        <v>2025</v>
      </c>
      <c r="D4739" t="s">
        <v>1832</v>
      </c>
      <c r="E4739" t="s">
        <v>1833</v>
      </c>
      <c r="F4739" t="s">
        <v>26</v>
      </c>
      <c r="G4739" t="s">
        <v>33</v>
      </c>
      <c r="H4739" t="s">
        <v>55</v>
      </c>
      <c r="I4739" t="s">
        <v>39</v>
      </c>
      <c r="J4739" t="s">
        <v>46</v>
      </c>
      <c r="K4739" s="2">
        <v>6050</v>
      </c>
      <c r="L4739" s="2">
        <v>62000</v>
      </c>
      <c r="M4739">
        <v>48</v>
      </c>
      <c r="N4739" s="3">
        <v>0.47099999999999997</v>
      </c>
      <c r="O4739" t="s">
        <v>16</v>
      </c>
      <c r="Q4739">
        <v>1</v>
      </c>
      <c r="R4739">
        <v>0</v>
      </c>
      <c r="S4739" s="2">
        <v>62000</v>
      </c>
      <c r="T4739" s="4">
        <v>6.3700000000000007E-2</v>
      </c>
      <c r="U4739">
        <v>2</v>
      </c>
      <c r="V4739">
        <v>1</v>
      </c>
      <c r="W4739">
        <v>1</v>
      </c>
    </row>
    <row r="4740" spans="1:23" ht="16.5" x14ac:dyDescent="0.3">
      <c r="A4740" t="s">
        <v>4804</v>
      </c>
      <c r="B4740" s="1">
        <v>45962</v>
      </c>
      <c r="C4740">
        <v>2025</v>
      </c>
      <c r="D4740" t="s">
        <v>1832</v>
      </c>
      <c r="E4740" t="s">
        <v>2071</v>
      </c>
      <c r="F4740" t="s">
        <v>26</v>
      </c>
      <c r="G4740" t="s">
        <v>51</v>
      </c>
      <c r="H4740" t="s">
        <v>34</v>
      </c>
      <c r="I4740" t="s">
        <v>39</v>
      </c>
      <c r="J4740" t="s">
        <v>46</v>
      </c>
      <c r="K4740" s="2">
        <v>4350</v>
      </c>
      <c r="L4740" s="2">
        <v>19000</v>
      </c>
      <c r="M4740">
        <v>60</v>
      </c>
      <c r="N4740" s="3">
        <v>0.23899999999999999</v>
      </c>
      <c r="O4740" t="s">
        <v>16</v>
      </c>
      <c r="Q4740">
        <v>1</v>
      </c>
      <c r="R4740">
        <v>0</v>
      </c>
      <c r="S4740" s="2">
        <v>19000</v>
      </c>
      <c r="T4740" s="4">
        <v>6.8900000000000003E-2</v>
      </c>
      <c r="U4740">
        <v>6</v>
      </c>
      <c r="V4740">
        <v>0</v>
      </c>
      <c r="W4740">
        <v>1</v>
      </c>
    </row>
    <row r="4741" spans="1:23" ht="16.5" x14ac:dyDescent="0.3">
      <c r="A4741" t="s">
        <v>4805</v>
      </c>
      <c r="B4741" s="1">
        <v>45962</v>
      </c>
      <c r="C4741">
        <v>2025</v>
      </c>
      <c r="D4741" t="s">
        <v>1832</v>
      </c>
      <c r="E4741" t="s">
        <v>2071</v>
      </c>
      <c r="F4741" t="s">
        <v>50</v>
      </c>
      <c r="G4741" t="s">
        <v>45</v>
      </c>
      <c r="H4741" t="s">
        <v>34</v>
      </c>
      <c r="I4741" t="s">
        <v>39</v>
      </c>
      <c r="J4741" t="s">
        <v>52</v>
      </c>
      <c r="K4741" s="2">
        <v>8950</v>
      </c>
      <c r="L4741" s="2">
        <v>219000</v>
      </c>
      <c r="M4741">
        <v>240</v>
      </c>
      <c r="N4741" s="3">
        <v>0.27100000000000002</v>
      </c>
      <c r="O4741" t="s">
        <v>16</v>
      </c>
      <c r="Q4741">
        <v>1</v>
      </c>
      <c r="R4741">
        <v>0</v>
      </c>
      <c r="S4741" s="2">
        <v>175000</v>
      </c>
      <c r="T4741" s="4">
        <v>5.0700000000000002E-2</v>
      </c>
      <c r="U4741">
        <v>7</v>
      </c>
      <c r="V4741">
        <v>1</v>
      </c>
      <c r="W4741">
        <v>1</v>
      </c>
    </row>
    <row r="4742" spans="1:23" ht="16.5" x14ac:dyDescent="0.3">
      <c r="A4742" t="s">
        <v>4806</v>
      </c>
      <c r="B4742" s="1">
        <v>45962</v>
      </c>
      <c r="C4742">
        <v>2025</v>
      </c>
      <c r="D4742" t="s">
        <v>1832</v>
      </c>
      <c r="E4742" t="s">
        <v>2071</v>
      </c>
      <c r="F4742" t="s">
        <v>26</v>
      </c>
      <c r="G4742" t="s">
        <v>51</v>
      </c>
      <c r="H4742" t="s">
        <v>64</v>
      </c>
      <c r="I4742" t="s">
        <v>39</v>
      </c>
      <c r="J4742" t="s">
        <v>35</v>
      </c>
      <c r="K4742" s="2">
        <v>6650</v>
      </c>
      <c r="L4742" s="2">
        <v>12500</v>
      </c>
      <c r="M4742">
        <v>36</v>
      </c>
      <c r="N4742" s="3">
        <v>0.14799999999999999</v>
      </c>
      <c r="O4742" t="s">
        <v>16</v>
      </c>
      <c r="Q4742">
        <v>1</v>
      </c>
      <c r="R4742">
        <v>0</v>
      </c>
      <c r="S4742" s="2">
        <v>10000</v>
      </c>
      <c r="T4742" s="4">
        <v>8.3900000000000002E-2</v>
      </c>
      <c r="U4742">
        <v>4</v>
      </c>
      <c r="V4742">
        <v>1</v>
      </c>
      <c r="W4742">
        <v>1</v>
      </c>
    </row>
    <row r="4743" spans="1:23" ht="16.5" x14ac:dyDescent="0.3">
      <c r="A4743" t="s">
        <v>4807</v>
      </c>
      <c r="B4743" s="1">
        <v>45962</v>
      </c>
      <c r="C4743">
        <v>2025</v>
      </c>
      <c r="D4743" t="s">
        <v>1832</v>
      </c>
      <c r="E4743" t="s">
        <v>2071</v>
      </c>
      <c r="F4743" t="s">
        <v>37</v>
      </c>
      <c r="G4743" t="s">
        <v>51</v>
      </c>
      <c r="H4743" t="s">
        <v>34</v>
      </c>
      <c r="I4743" t="s">
        <v>42</v>
      </c>
      <c r="J4743" t="s">
        <v>35</v>
      </c>
      <c r="K4743" s="2">
        <v>8550</v>
      </c>
      <c r="L4743" s="2">
        <v>12000</v>
      </c>
      <c r="M4743">
        <v>48</v>
      </c>
      <c r="N4743" s="3">
        <v>0.254</v>
      </c>
      <c r="O4743" t="s">
        <v>16</v>
      </c>
      <c r="Q4743">
        <v>1</v>
      </c>
      <c r="R4743">
        <v>0</v>
      </c>
      <c r="S4743" s="2">
        <v>9500</v>
      </c>
      <c r="T4743" s="4">
        <v>0.12379999999999999</v>
      </c>
      <c r="U4743">
        <v>5</v>
      </c>
      <c r="V4743">
        <v>0</v>
      </c>
      <c r="W4743">
        <v>1</v>
      </c>
    </row>
    <row r="4744" spans="1:23" ht="16.5" x14ac:dyDescent="0.3">
      <c r="A4744" t="s">
        <v>4808</v>
      </c>
      <c r="B4744" s="1">
        <v>45962</v>
      </c>
      <c r="C4744">
        <v>2025</v>
      </c>
      <c r="D4744" t="s">
        <v>1832</v>
      </c>
      <c r="E4744" t="s">
        <v>2071</v>
      </c>
      <c r="F4744" t="s">
        <v>50</v>
      </c>
      <c r="G4744" t="s">
        <v>45</v>
      </c>
      <c r="H4744" t="s">
        <v>64</v>
      </c>
      <c r="I4744" t="s">
        <v>39</v>
      </c>
      <c r="J4744" t="s">
        <v>35</v>
      </c>
      <c r="K4744" s="2">
        <v>5350</v>
      </c>
      <c r="L4744" s="2">
        <v>240500</v>
      </c>
      <c r="M4744">
        <v>180</v>
      </c>
      <c r="N4744" s="3">
        <v>0.54800000000000004</v>
      </c>
      <c r="O4744" t="s">
        <v>16</v>
      </c>
      <c r="Q4744">
        <v>1</v>
      </c>
      <c r="R4744">
        <v>0</v>
      </c>
      <c r="S4744" s="2">
        <v>240500</v>
      </c>
      <c r="T4744" s="4">
        <v>5.79E-2</v>
      </c>
      <c r="U4744">
        <v>5</v>
      </c>
      <c r="V4744">
        <v>1</v>
      </c>
      <c r="W4744">
        <v>1</v>
      </c>
    </row>
    <row r="4745" spans="1:23" ht="16.5" x14ac:dyDescent="0.3">
      <c r="A4745" t="s">
        <v>4809</v>
      </c>
      <c r="B4745" s="1">
        <v>45962</v>
      </c>
      <c r="C4745">
        <v>2025</v>
      </c>
      <c r="D4745" t="s">
        <v>1832</v>
      </c>
      <c r="E4745" t="s">
        <v>2071</v>
      </c>
      <c r="F4745" t="s">
        <v>37</v>
      </c>
      <c r="G4745" t="s">
        <v>33</v>
      </c>
      <c r="H4745" t="s">
        <v>64</v>
      </c>
      <c r="I4745" t="s">
        <v>29</v>
      </c>
      <c r="J4745" t="s">
        <v>52</v>
      </c>
      <c r="K4745" s="2">
        <v>9250</v>
      </c>
      <c r="L4745" s="2">
        <v>16000</v>
      </c>
      <c r="M4745">
        <v>48</v>
      </c>
      <c r="N4745" s="3">
        <v>0.23300000000000001</v>
      </c>
      <c r="O4745" t="s">
        <v>16</v>
      </c>
      <c r="Q4745">
        <v>1</v>
      </c>
      <c r="R4745">
        <v>0</v>
      </c>
      <c r="S4745" s="2">
        <v>14500</v>
      </c>
      <c r="T4745" s="4">
        <v>0.11070000000000001</v>
      </c>
      <c r="U4745">
        <v>1</v>
      </c>
      <c r="V4745">
        <v>1</v>
      </c>
      <c r="W4745">
        <v>1</v>
      </c>
    </row>
    <row r="4746" spans="1:23" ht="16.5" x14ac:dyDescent="0.3">
      <c r="A4746" t="s">
        <v>4810</v>
      </c>
      <c r="B4746" s="1">
        <v>45962</v>
      </c>
      <c r="C4746">
        <v>2025</v>
      </c>
      <c r="D4746" t="s">
        <v>1832</v>
      </c>
      <c r="E4746" t="s">
        <v>2071</v>
      </c>
      <c r="F4746" t="s">
        <v>41</v>
      </c>
      <c r="G4746" t="s">
        <v>45</v>
      </c>
      <c r="H4746" t="s">
        <v>34</v>
      </c>
      <c r="I4746" t="s">
        <v>42</v>
      </c>
      <c r="J4746" t="s">
        <v>35</v>
      </c>
      <c r="K4746" s="2">
        <v>17600</v>
      </c>
      <c r="L4746" s="2">
        <v>80500</v>
      </c>
      <c r="M4746">
        <v>60</v>
      </c>
      <c r="N4746" s="3">
        <v>0.32400000000000001</v>
      </c>
      <c r="O4746" t="s">
        <v>16</v>
      </c>
      <c r="Q4746">
        <v>1</v>
      </c>
      <c r="R4746">
        <v>0</v>
      </c>
      <c r="S4746" s="2">
        <v>80500</v>
      </c>
      <c r="T4746" s="4">
        <v>0.1033</v>
      </c>
      <c r="U4746">
        <v>3</v>
      </c>
      <c r="V4746">
        <v>1</v>
      </c>
      <c r="W4746">
        <v>1</v>
      </c>
    </row>
    <row r="4747" spans="1:23" ht="16.5" x14ac:dyDescent="0.3">
      <c r="A4747" t="s">
        <v>4811</v>
      </c>
      <c r="B4747" s="1">
        <v>45963</v>
      </c>
      <c r="C4747">
        <v>2025</v>
      </c>
      <c r="D4747" t="s">
        <v>1832</v>
      </c>
      <c r="E4747" t="s">
        <v>2071</v>
      </c>
      <c r="F4747" t="s">
        <v>41</v>
      </c>
      <c r="G4747" t="s">
        <v>27</v>
      </c>
      <c r="H4747" t="s">
        <v>38</v>
      </c>
      <c r="I4747" t="s">
        <v>42</v>
      </c>
      <c r="J4747" t="s">
        <v>52</v>
      </c>
      <c r="K4747" s="2">
        <v>4050</v>
      </c>
      <c r="L4747" s="2">
        <v>68500</v>
      </c>
      <c r="M4747">
        <v>24</v>
      </c>
      <c r="N4747" s="3">
        <v>0.91900000000000004</v>
      </c>
      <c r="O4747" t="s">
        <v>17</v>
      </c>
      <c r="P4747" t="s">
        <v>53</v>
      </c>
      <c r="Q4747">
        <v>0</v>
      </c>
      <c r="R4747">
        <v>1</v>
      </c>
      <c r="S4747" s="2">
        <v>0</v>
      </c>
      <c r="T4747" s="4"/>
      <c r="U4747">
        <v>9</v>
      </c>
      <c r="V4747">
        <v>1</v>
      </c>
      <c r="W4747">
        <v>1</v>
      </c>
    </row>
    <row r="4748" spans="1:23" ht="16.5" x14ac:dyDescent="0.3">
      <c r="A4748" t="s">
        <v>4812</v>
      </c>
      <c r="B4748" s="1">
        <v>45963</v>
      </c>
      <c r="C4748">
        <v>2025</v>
      </c>
      <c r="D4748" t="s">
        <v>1832</v>
      </c>
      <c r="E4748" t="s">
        <v>2071</v>
      </c>
      <c r="F4748" t="s">
        <v>26</v>
      </c>
      <c r="G4748" t="s">
        <v>45</v>
      </c>
      <c r="H4748" t="s">
        <v>55</v>
      </c>
      <c r="I4748" t="s">
        <v>39</v>
      </c>
      <c r="J4748" t="s">
        <v>52</v>
      </c>
      <c r="K4748" s="2">
        <v>4650</v>
      </c>
      <c r="L4748" s="2">
        <v>31500</v>
      </c>
      <c r="M4748">
        <v>60</v>
      </c>
      <c r="N4748" s="3">
        <v>0.36</v>
      </c>
      <c r="O4748" t="s">
        <v>16</v>
      </c>
      <c r="Q4748">
        <v>1</v>
      </c>
      <c r="R4748">
        <v>0</v>
      </c>
      <c r="S4748" s="2">
        <v>31500</v>
      </c>
      <c r="T4748" s="4">
        <v>6.8699999999999997E-2</v>
      </c>
      <c r="U4748">
        <v>3</v>
      </c>
      <c r="V4748">
        <v>1</v>
      </c>
      <c r="W4748">
        <v>1</v>
      </c>
    </row>
    <row r="4749" spans="1:23" ht="16.5" x14ac:dyDescent="0.3">
      <c r="A4749" t="s">
        <v>4813</v>
      </c>
      <c r="B4749" s="1">
        <v>45964</v>
      </c>
      <c r="C4749">
        <v>2025</v>
      </c>
      <c r="D4749" t="s">
        <v>1832</v>
      </c>
      <c r="E4749" t="s">
        <v>2071</v>
      </c>
      <c r="F4749" t="s">
        <v>26</v>
      </c>
      <c r="G4749" t="s">
        <v>45</v>
      </c>
      <c r="H4749" t="s">
        <v>34</v>
      </c>
      <c r="I4749" t="s">
        <v>42</v>
      </c>
      <c r="J4749" t="s">
        <v>52</v>
      </c>
      <c r="K4749" s="2">
        <v>10300</v>
      </c>
      <c r="L4749" s="2">
        <v>15000</v>
      </c>
      <c r="M4749">
        <v>36</v>
      </c>
      <c r="N4749" s="3">
        <v>0.224</v>
      </c>
      <c r="O4749" t="s">
        <v>16</v>
      </c>
      <c r="Q4749">
        <v>1</v>
      </c>
      <c r="R4749">
        <v>0</v>
      </c>
      <c r="S4749" s="2">
        <v>13500</v>
      </c>
      <c r="T4749" s="4">
        <v>7.1599999999999997E-2</v>
      </c>
      <c r="U4749">
        <v>2</v>
      </c>
      <c r="V4749">
        <v>1</v>
      </c>
      <c r="W4749">
        <v>1</v>
      </c>
    </row>
    <row r="4750" spans="1:23" ht="16.5" x14ac:dyDescent="0.3">
      <c r="A4750" t="s">
        <v>4814</v>
      </c>
      <c r="B4750" s="1">
        <v>45964</v>
      </c>
      <c r="C4750">
        <v>2025</v>
      </c>
      <c r="D4750" t="s">
        <v>1832</v>
      </c>
      <c r="E4750" t="s">
        <v>2071</v>
      </c>
      <c r="F4750" t="s">
        <v>37</v>
      </c>
      <c r="G4750" t="s">
        <v>51</v>
      </c>
      <c r="H4750" t="s">
        <v>55</v>
      </c>
      <c r="I4750" t="s">
        <v>39</v>
      </c>
      <c r="J4750" t="s">
        <v>52</v>
      </c>
      <c r="K4750" s="2">
        <v>3350</v>
      </c>
      <c r="L4750" s="2">
        <v>19500</v>
      </c>
      <c r="M4750">
        <v>60</v>
      </c>
      <c r="N4750" s="3">
        <v>0.20300000000000001</v>
      </c>
      <c r="O4750" t="s">
        <v>16</v>
      </c>
      <c r="Q4750">
        <v>1</v>
      </c>
      <c r="R4750">
        <v>0</v>
      </c>
      <c r="S4750" s="2">
        <v>19500</v>
      </c>
      <c r="T4750" s="4">
        <v>0.1206</v>
      </c>
      <c r="U4750">
        <v>6</v>
      </c>
      <c r="V4750">
        <v>0</v>
      </c>
      <c r="W4750">
        <v>1</v>
      </c>
    </row>
    <row r="4751" spans="1:23" ht="16.5" x14ac:dyDescent="0.3">
      <c r="A4751" t="s">
        <v>4815</v>
      </c>
      <c r="B4751" s="1">
        <v>45964</v>
      </c>
      <c r="C4751">
        <v>2025</v>
      </c>
      <c r="D4751" t="s">
        <v>1832</v>
      </c>
      <c r="E4751" t="s">
        <v>2071</v>
      </c>
      <c r="F4751" t="s">
        <v>37</v>
      </c>
      <c r="G4751" t="s">
        <v>33</v>
      </c>
      <c r="H4751" t="s">
        <v>64</v>
      </c>
      <c r="I4751" t="s">
        <v>29</v>
      </c>
      <c r="J4751" t="s">
        <v>30</v>
      </c>
      <c r="K4751" s="2">
        <v>5950</v>
      </c>
      <c r="L4751" s="2">
        <v>19000</v>
      </c>
      <c r="M4751">
        <v>48</v>
      </c>
      <c r="N4751" s="3">
        <v>0.251</v>
      </c>
      <c r="O4751" t="s">
        <v>17</v>
      </c>
      <c r="P4751" t="s">
        <v>65</v>
      </c>
      <c r="Q4751">
        <v>0</v>
      </c>
      <c r="R4751">
        <v>1</v>
      </c>
      <c r="S4751" s="2">
        <v>0</v>
      </c>
      <c r="T4751" s="4"/>
      <c r="U4751">
        <v>4</v>
      </c>
      <c r="V4751">
        <v>0</v>
      </c>
      <c r="W4751">
        <v>1</v>
      </c>
    </row>
    <row r="4752" spans="1:23" ht="16.5" x14ac:dyDescent="0.3">
      <c r="A4752" t="s">
        <v>4816</v>
      </c>
      <c r="B4752" s="1">
        <v>45964</v>
      </c>
      <c r="C4752">
        <v>2025</v>
      </c>
      <c r="D4752" t="s">
        <v>1832</v>
      </c>
      <c r="E4752" t="s">
        <v>2071</v>
      </c>
      <c r="F4752" t="s">
        <v>26</v>
      </c>
      <c r="G4752" t="s">
        <v>45</v>
      </c>
      <c r="H4752" t="s">
        <v>34</v>
      </c>
      <c r="I4752" t="s">
        <v>42</v>
      </c>
      <c r="J4752" t="s">
        <v>52</v>
      </c>
      <c r="K4752" s="2">
        <v>5150</v>
      </c>
      <c r="L4752" s="2">
        <v>55500</v>
      </c>
      <c r="M4752">
        <v>48</v>
      </c>
      <c r="N4752" s="3">
        <v>0.34</v>
      </c>
      <c r="O4752" t="s">
        <v>16</v>
      </c>
      <c r="Q4752">
        <v>1</v>
      </c>
      <c r="R4752">
        <v>0</v>
      </c>
      <c r="S4752" s="2">
        <v>50000</v>
      </c>
      <c r="T4752" s="4">
        <v>7.3800000000000004E-2</v>
      </c>
      <c r="U4752">
        <v>4</v>
      </c>
      <c r="V4752">
        <v>1</v>
      </c>
      <c r="W4752">
        <v>1</v>
      </c>
    </row>
    <row r="4753" spans="1:23" ht="16.5" x14ac:dyDescent="0.3">
      <c r="A4753" t="s">
        <v>4817</v>
      </c>
      <c r="B4753" s="1">
        <v>45964</v>
      </c>
      <c r="C4753">
        <v>2025</v>
      </c>
      <c r="D4753" t="s">
        <v>1832</v>
      </c>
      <c r="E4753" t="s">
        <v>2071</v>
      </c>
      <c r="F4753" t="s">
        <v>41</v>
      </c>
      <c r="G4753" t="s">
        <v>45</v>
      </c>
      <c r="H4753" t="s">
        <v>55</v>
      </c>
      <c r="I4753" t="s">
        <v>29</v>
      </c>
      <c r="J4753" t="s">
        <v>30</v>
      </c>
      <c r="K4753" s="2">
        <v>11600</v>
      </c>
      <c r="L4753" s="2">
        <v>105500</v>
      </c>
      <c r="M4753">
        <v>24</v>
      </c>
      <c r="N4753" s="3">
        <v>0.51</v>
      </c>
      <c r="O4753" t="s">
        <v>16</v>
      </c>
      <c r="Q4753">
        <v>1</v>
      </c>
      <c r="R4753">
        <v>0</v>
      </c>
      <c r="S4753" s="2">
        <v>95000</v>
      </c>
      <c r="T4753" s="4">
        <v>0.1187</v>
      </c>
      <c r="U4753">
        <v>3</v>
      </c>
      <c r="V4753">
        <v>1</v>
      </c>
      <c r="W4753">
        <v>1</v>
      </c>
    </row>
    <row r="4754" spans="1:23" ht="16.5" x14ac:dyDescent="0.3">
      <c r="A4754" t="s">
        <v>4818</v>
      </c>
      <c r="B4754" s="1">
        <v>45964</v>
      </c>
      <c r="C4754">
        <v>2025</v>
      </c>
      <c r="D4754" t="s">
        <v>1832</v>
      </c>
      <c r="E4754" t="s">
        <v>2071</v>
      </c>
      <c r="F4754" t="s">
        <v>50</v>
      </c>
      <c r="G4754" t="s">
        <v>33</v>
      </c>
      <c r="H4754" t="s">
        <v>34</v>
      </c>
      <c r="I4754" t="s">
        <v>29</v>
      </c>
      <c r="J4754" t="s">
        <v>35</v>
      </c>
      <c r="K4754" s="2">
        <v>5900</v>
      </c>
      <c r="L4754" s="2">
        <v>267500</v>
      </c>
      <c r="M4754">
        <v>240</v>
      </c>
      <c r="N4754" s="3">
        <v>0.36199999999999999</v>
      </c>
      <c r="O4754" t="s">
        <v>125</v>
      </c>
      <c r="Q4754">
        <v>0</v>
      </c>
      <c r="R4754">
        <v>0</v>
      </c>
      <c r="S4754" s="2">
        <v>0</v>
      </c>
      <c r="T4754" s="4"/>
      <c r="U4754">
        <v>7</v>
      </c>
      <c r="V4754">
        <v>1</v>
      </c>
      <c r="W4754">
        <v>1</v>
      </c>
    </row>
    <row r="4755" spans="1:23" ht="16.5" x14ac:dyDescent="0.3">
      <c r="A4755" t="s">
        <v>4819</v>
      </c>
      <c r="B4755" s="1">
        <v>45964</v>
      </c>
      <c r="C4755">
        <v>2025</v>
      </c>
      <c r="D4755" t="s">
        <v>1832</v>
      </c>
      <c r="E4755" t="s">
        <v>2071</v>
      </c>
      <c r="F4755" t="s">
        <v>26</v>
      </c>
      <c r="G4755" t="s">
        <v>33</v>
      </c>
      <c r="H4755" t="s">
        <v>38</v>
      </c>
      <c r="I4755" t="s">
        <v>39</v>
      </c>
      <c r="J4755" t="s">
        <v>35</v>
      </c>
      <c r="K4755" s="2">
        <v>3650</v>
      </c>
      <c r="L4755" s="2">
        <v>35500</v>
      </c>
      <c r="M4755">
        <v>60</v>
      </c>
      <c r="N4755" s="3">
        <v>0.27400000000000002</v>
      </c>
      <c r="O4755" t="s">
        <v>16</v>
      </c>
      <c r="Q4755">
        <v>1</v>
      </c>
      <c r="R4755">
        <v>0</v>
      </c>
      <c r="S4755" s="2">
        <v>28500</v>
      </c>
      <c r="T4755" s="4">
        <v>8.2000000000000003E-2</v>
      </c>
      <c r="U4755">
        <v>2</v>
      </c>
      <c r="V4755">
        <v>1</v>
      </c>
      <c r="W4755">
        <v>1</v>
      </c>
    </row>
    <row r="4756" spans="1:23" ht="16.5" x14ac:dyDescent="0.3">
      <c r="A4756" t="s">
        <v>4820</v>
      </c>
      <c r="B4756" s="1">
        <v>45965</v>
      </c>
      <c r="C4756">
        <v>2025</v>
      </c>
      <c r="D4756" t="s">
        <v>1832</v>
      </c>
      <c r="E4756" t="s">
        <v>2071</v>
      </c>
      <c r="F4756" t="s">
        <v>37</v>
      </c>
      <c r="G4756" t="s">
        <v>33</v>
      </c>
      <c r="H4756" t="s">
        <v>38</v>
      </c>
      <c r="I4756" t="s">
        <v>39</v>
      </c>
      <c r="J4756" t="s">
        <v>35</v>
      </c>
      <c r="K4756" s="2">
        <v>3800</v>
      </c>
      <c r="L4756" s="2">
        <v>28000</v>
      </c>
      <c r="M4756">
        <v>24</v>
      </c>
      <c r="N4756" s="3">
        <v>0.55400000000000005</v>
      </c>
      <c r="O4756" t="s">
        <v>16</v>
      </c>
      <c r="Q4756">
        <v>1</v>
      </c>
      <c r="R4756">
        <v>0</v>
      </c>
      <c r="S4756" s="2">
        <v>28000</v>
      </c>
      <c r="T4756" s="4">
        <v>0.12180000000000001</v>
      </c>
      <c r="U4756">
        <v>1</v>
      </c>
      <c r="V4756">
        <v>1</v>
      </c>
      <c r="W4756">
        <v>1</v>
      </c>
    </row>
    <row r="4757" spans="1:23" ht="16.5" x14ac:dyDescent="0.3">
      <c r="A4757" t="s">
        <v>4821</v>
      </c>
      <c r="B4757" s="1">
        <v>45965</v>
      </c>
      <c r="C4757">
        <v>2025</v>
      </c>
      <c r="D4757" t="s">
        <v>1832</v>
      </c>
      <c r="E4757" t="s">
        <v>2071</v>
      </c>
      <c r="F4757" t="s">
        <v>50</v>
      </c>
      <c r="G4757" t="s">
        <v>33</v>
      </c>
      <c r="H4757" t="s">
        <v>38</v>
      </c>
      <c r="I4757" t="s">
        <v>29</v>
      </c>
      <c r="J4757" t="s">
        <v>52</v>
      </c>
      <c r="K4757" s="2">
        <v>3200</v>
      </c>
      <c r="L4757" s="2">
        <v>339000</v>
      </c>
      <c r="M4757">
        <v>240</v>
      </c>
      <c r="N4757" s="3">
        <v>0.93500000000000005</v>
      </c>
      <c r="O4757" t="s">
        <v>16</v>
      </c>
      <c r="Q4757">
        <v>1</v>
      </c>
      <c r="R4757">
        <v>0</v>
      </c>
      <c r="S4757" s="2">
        <v>271000</v>
      </c>
      <c r="T4757" s="4">
        <v>5.16E-2</v>
      </c>
      <c r="U4757">
        <v>4</v>
      </c>
      <c r="V4757">
        <v>1</v>
      </c>
      <c r="W4757">
        <v>1</v>
      </c>
    </row>
    <row r="4758" spans="1:23" ht="16.5" x14ac:dyDescent="0.3">
      <c r="A4758" t="s">
        <v>4822</v>
      </c>
      <c r="B4758" s="1">
        <v>45965</v>
      </c>
      <c r="C4758">
        <v>2025</v>
      </c>
      <c r="D4758" t="s">
        <v>1832</v>
      </c>
      <c r="E4758" t="s">
        <v>2071</v>
      </c>
      <c r="F4758" t="s">
        <v>26</v>
      </c>
      <c r="G4758" t="s">
        <v>33</v>
      </c>
      <c r="H4758" t="s">
        <v>38</v>
      </c>
      <c r="I4758" t="s">
        <v>29</v>
      </c>
      <c r="J4758" t="s">
        <v>52</v>
      </c>
      <c r="K4758" s="2">
        <v>3450</v>
      </c>
      <c r="L4758" s="2">
        <v>29500</v>
      </c>
      <c r="M4758">
        <v>36</v>
      </c>
      <c r="N4758" s="3">
        <v>0.51200000000000001</v>
      </c>
      <c r="O4758" t="s">
        <v>16</v>
      </c>
      <c r="Q4758">
        <v>1</v>
      </c>
      <c r="R4758">
        <v>0</v>
      </c>
      <c r="S4758" s="2">
        <v>29500</v>
      </c>
      <c r="T4758" s="4">
        <v>7.0900000000000005E-2</v>
      </c>
      <c r="U4758">
        <v>2</v>
      </c>
      <c r="V4758">
        <v>1</v>
      </c>
      <c r="W4758">
        <v>1</v>
      </c>
    </row>
    <row r="4759" spans="1:23" ht="16.5" x14ac:dyDescent="0.3">
      <c r="A4759" t="s">
        <v>4823</v>
      </c>
      <c r="B4759" s="1">
        <v>45965</v>
      </c>
      <c r="C4759">
        <v>2025</v>
      </c>
      <c r="D4759" t="s">
        <v>1832</v>
      </c>
      <c r="E4759" t="s">
        <v>2071</v>
      </c>
      <c r="F4759" t="s">
        <v>50</v>
      </c>
      <c r="G4759" t="s">
        <v>27</v>
      </c>
      <c r="H4759" t="s">
        <v>64</v>
      </c>
      <c r="I4759" t="s">
        <v>29</v>
      </c>
      <c r="J4759" t="s">
        <v>43</v>
      </c>
      <c r="K4759" s="2">
        <v>7250</v>
      </c>
      <c r="L4759" s="2">
        <v>297500</v>
      </c>
      <c r="M4759">
        <v>180</v>
      </c>
      <c r="N4759" s="3">
        <v>0.41599999999999998</v>
      </c>
      <c r="O4759" t="s">
        <v>17</v>
      </c>
      <c r="P4759" t="s">
        <v>31</v>
      </c>
      <c r="Q4759">
        <v>0</v>
      </c>
      <c r="R4759">
        <v>1</v>
      </c>
      <c r="S4759" s="2">
        <v>0</v>
      </c>
      <c r="T4759" s="4"/>
      <c r="U4759">
        <v>12</v>
      </c>
      <c r="V4759">
        <v>1</v>
      </c>
      <c r="W4759">
        <v>1</v>
      </c>
    </row>
    <row r="4760" spans="1:23" ht="16.5" x14ac:dyDescent="0.3">
      <c r="A4760" t="s">
        <v>4824</v>
      </c>
      <c r="B4760" s="1">
        <v>45965</v>
      </c>
      <c r="C4760">
        <v>2025</v>
      </c>
      <c r="D4760" t="s">
        <v>1832</v>
      </c>
      <c r="E4760" t="s">
        <v>2071</v>
      </c>
      <c r="F4760" t="s">
        <v>41</v>
      </c>
      <c r="G4760" t="s">
        <v>33</v>
      </c>
      <c r="H4760" t="s">
        <v>64</v>
      </c>
      <c r="I4760" t="s">
        <v>29</v>
      </c>
      <c r="J4760" t="s">
        <v>52</v>
      </c>
      <c r="K4760" s="2">
        <v>4650</v>
      </c>
      <c r="L4760" s="2">
        <v>72000</v>
      </c>
      <c r="M4760">
        <v>36</v>
      </c>
      <c r="N4760" s="3">
        <v>0.61699999999999999</v>
      </c>
      <c r="O4760" t="s">
        <v>16</v>
      </c>
      <c r="Q4760">
        <v>1</v>
      </c>
      <c r="R4760">
        <v>0</v>
      </c>
      <c r="S4760" s="2">
        <v>72000</v>
      </c>
      <c r="T4760" s="4">
        <v>9.3200000000000005E-2</v>
      </c>
      <c r="U4760">
        <v>6</v>
      </c>
      <c r="V4760">
        <v>1</v>
      </c>
      <c r="W4760">
        <v>1</v>
      </c>
    </row>
    <row r="4761" spans="1:23" ht="16.5" x14ac:dyDescent="0.3">
      <c r="A4761" t="s">
        <v>4825</v>
      </c>
      <c r="B4761" s="1">
        <v>45965</v>
      </c>
      <c r="C4761">
        <v>2025</v>
      </c>
      <c r="D4761" t="s">
        <v>1832</v>
      </c>
      <c r="E4761" t="s">
        <v>2071</v>
      </c>
      <c r="F4761" t="s">
        <v>26</v>
      </c>
      <c r="G4761" t="s">
        <v>33</v>
      </c>
      <c r="H4761" t="s">
        <v>38</v>
      </c>
      <c r="I4761" t="s">
        <v>29</v>
      </c>
      <c r="J4761" t="s">
        <v>35</v>
      </c>
      <c r="K4761" s="2">
        <v>5450</v>
      </c>
      <c r="L4761" s="2">
        <v>22500</v>
      </c>
      <c r="M4761">
        <v>36</v>
      </c>
      <c r="N4761" s="3">
        <v>0.252</v>
      </c>
      <c r="O4761" t="s">
        <v>16</v>
      </c>
      <c r="Q4761">
        <v>1</v>
      </c>
      <c r="R4761">
        <v>0</v>
      </c>
      <c r="S4761" s="2">
        <v>22500</v>
      </c>
      <c r="T4761" s="4">
        <v>0.08</v>
      </c>
      <c r="U4761">
        <v>2</v>
      </c>
      <c r="V4761">
        <v>1</v>
      </c>
      <c r="W4761">
        <v>1</v>
      </c>
    </row>
    <row r="4762" spans="1:23" ht="16.5" x14ac:dyDescent="0.3">
      <c r="A4762" t="s">
        <v>4826</v>
      </c>
      <c r="B4762" s="1">
        <v>45965</v>
      </c>
      <c r="C4762">
        <v>2025</v>
      </c>
      <c r="D4762" t="s">
        <v>1832</v>
      </c>
      <c r="E4762" t="s">
        <v>2071</v>
      </c>
      <c r="F4762" t="s">
        <v>50</v>
      </c>
      <c r="G4762" t="s">
        <v>51</v>
      </c>
      <c r="H4762" t="s">
        <v>38</v>
      </c>
      <c r="I4762" t="s">
        <v>29</v>
      </c>
      <c r="J4762" t="s">
        <v>46</v>
      </c>
      <c r="K4762" s="2">
        <v>3500</v>
      </c>
      <c r="L4762" s="2">
        <v>364000</v>
      </c>
      <c r="M4762">
        <v>180</v>
      </c>
      <c r="N4762" s="3">
        <v>0.873</v>
      </c>
      <c r="O4762" t="s">
        <v>16</v>
      </c>
      <c r="Q4762">
        <v>1</v>
      </c>
      <c r="R4762">
        <v>0</v>
      </c>
      <c r="S4762" s="2">
        <v>327500</v>
      </c>
      <c r="T4762" s="4">
        <v>3.9899999999999998E-2</v>
      </c>
      <c r="U4762">
        <v>13</v>
      </c>
      <c r="V4762">
        <v>1</v>
      </c>
      <c r="W4762">
        <v>1</v>
      </c>
    </row>
    <row r="4763" spans="1:23" ht="16.5" x14ac:dyDescent="0.3">
      <c r="A4763" t="s">
        <v>4827</v>
      </c>
      <c r="B4763" s="1">
        <v>45965</v>
      </c>
      <c r="C4763">
        <v>2025</v>
      </c>
      <c r="D4763" t="s">
        <v>1832</v>
      </c>
      <c r="E4763" t="s">
        <v>2071</v>
      </c>
      <c r="F4763" t="s">
        <v>41</v>
      </c>
      <c r="G4763" t="s">
        <v>27</v>
      </c>
      <c r="H4763" t="s">
        <v>28</v>
      </c>
      <c r="I4763" t="s">
        <v>29</v>
      </c>
      <c r="J4763" t="s">
        <v>35</v>
      </c>
      <c r="K4763" s="2">
        <v>2550</v>
      </c>
      <c r="L4763" s="2">
        <v>94500</v>
      </c>
      <c r="M4763">
        <v>12</v>
      </c>
      <c r="N4763" s="3">
        <v>3.4529999999999998</v>
      </c>
      <c r="O4763" t="s">
        <v>17</v>
      </c>
      <c r="P4763" t="s">
        <v>60</v>
      </c>
      <c r="Q4763">
        <v>0</v>
      </c>
      <c r="R4763">
        <v>1</v>
      </c>
      <c r="S4763" s="2">
        <v>0</v>
      </c>
      <c r="T4763" s="4"/>
      <c r="U4763">
        <v>17</v>
      </c>
      <c r="V4763">
        <v>0</v>
      </c>
      <c r="W4763">
        <v>1</v>
      </c>
    </row>
    <row r="4764" spans="1:23" ht="16.5" x14ac:dyDescent="0.3">
      <c r="A4764" t="s">
        <v>4828</v>
      </c>
      <c r="B4764" s="1">
        <v>45965</v>
      </c>
      <c r="C4764">
        <v>2025</v>
      </c>
      <c r="D4764" t="s">
        <v>1832</v>
      </c>
      <c r="E4764" t="s">
        <v>2071</v>
      </c>
      <c r="F4764" t="s">
        <v>50</v>
      </c>
      <c r="G4764" t="s">
        <v>51</v>
      </c>
      <c r="H4764" t="s">
        <v>55</v>
      </c>
      <c r="I4764" t="s">
        <v>29</v>
      </c>
      <c r="J4764" t="s">
        <v>52</v>
      </c>
      <c r="K4764" s="2">
        <v>8200</v>
      </c>
      <c r="L4764" s="2">
        <v>220000</v>
      </c>
      <c r="M4764">
        <v>240</v>
      </c>
      <c r="N4764" s="3">
        <v>0.27100000000000002</v>
      </c>
      <c r="O4764" t="s">
        <v>17</v>
      </c>
      <c r="P4764" t="s">
        <v>31</v>
      </c>
      <c r="Q4764">
        <v>0</v>
      </c>
      <c r="R4764">
        <v>1</v>
      </c>
      <c r="S4764" s="2">
        <v>0</v>
      </c>
      <c r="T4764" s="4"/>
      <c r="U4764">
        <v>15</v>
      </c>
      <c r="V4764">
        <v>1</v>
      </c>
      <c r="W4764">
        <v>1</v>
      </c>
    </row>
    <row r="4765" spans="1:23" ht="16.5" x14ac:dyDescent="0.3">
      <c r="A4765" t="s">
        <v>4829</v>
      </c>
      <c r="B4765" s="1">
        <v>45965</v>
      </c>
      <c r="C4765">
        <v>2025</v>
      </c>
      <c r="D4765" t="s">
        <v>1832</v>
      </c>
      <c r="E4765" t="s">
        <v>2071</v>
      </c>
      <c r="F4765" t="s">
        <v>37</v>
      </c>
      <c r="G4765" t="s">
        <v>33</v>
      </c>
      <c r="H4765" t="s">
        <v>64</v>
      </c>
      <c r="I4765" t="s">
        <v>29</v>
      </c>
      <c r="J4765" t="s">
        <v>46</v>
      </c>
      <c r="K4765" s="2">
        <v>6100</v>
      </c>
      <c r="L4765" s="2">
        <v>13500</v>
      </c>
      <c r="M4765">
        <v>60</v>
      </c>
      <c r="N4765" s="3">
        <v>0.14699999999999999</v>
      </c>
      <c r="O4765" t="s">
        <v>16</v>
      </c>
      <c r="Q4765">
        <v>1</v>
      </c>
      <c r="R4765">
        <v>0</v>
      </c>
      <c r="S4765" s="2">
        <v>13500</v>
      </c>
      <c r="T4765" s="4">
        <v>0.10680000000000001</v>
      </c>
      <c r="U4765">
        <v>2</v>
      </c>
      <c r="V4765">
        <v>1</v>
      </c>
      <c r="W4765">
        <v>1</v>
      </c>
    </row>
    <row r="4766" spans="1:23" ht="16.5" x14ac:dyDescent="0.3">
      <c r="A4766" t="s">
        <v>4830</v>
      </c>
      <c r="B4766" s="1">
        <v>45965</v>
      </c>
      <c r="C4766">
        <v>2025</v>
      </c>
      <c r="D4766" t="s">
        <v>1832</v>
      </c>
      <c r="E4766" t="s">
        <v>2071</v>
      </c>
      <c r="F4766" t="s">
        <v>37</v>
      </c>
      <c r="G4766" t="s">
        <v>33</v>
      </c>
      <c r="H4766" t="s">
        <v>55</v>
      </c>
      <c r="I4766" t="s">
        <v>29</v>
      </c>
      <c r="J4766" t="s">
        <v>30</v>
      </c>
      <c r="K4766" s="2">
        <v>5200</v>
      </c>
      <c r="L4766" s="2">
        <v>12000</v>
      </c>
      <c r="M4766">
        <v>36</v>
      </c>
      <c r="N4766" s="3">
        <v>0.17</v>
      </c>
      <c r="O4766" t="s">
        <v>16</v>
      </c>
      <c r="Q4766">
        <v>1</v>
      </c>
      <c r="R4766">
        <v>0</v>
      </c>
      <c r="S4766" s="2">
        <v>12000</v>
      </c>
      <c r="T4766" s="4">
        <v>0.14000000000000001</v>
      </c>
      <c r="U4766">
        <v>1</v>
      </c>
      <c r="V4766">
        <v>1</v>
      </c>
      <c r="W4766">
        <v>1</v>
      </c>
    </row>
    <row r="4767" spans="1:23" ht="16.5" x14ac:dyDescent="0.3">
      <c r="A4767" t="s">
        <v>4831</v>
      </c>
      <c r="B4767" s="1">
        <v>45965</v>
      </c>
      <c r="C4767">
        <v>2025</v>
      </c>
      <c r="D4767" t="s">
        <v>1832</v>
      </c>
      <c r="E4767" t="s">
        <v>2071</v>
      </c>
      <c r="F4767" t="s">
        <v>26</v>
      </c>
      <c r="G4767" t="s">
        <v>45</v>
      </c>
      <c r="H4767" t="s">
        <v>64</v>
      </c>
      <c r="I4767" t="s">
        <v>29</v>
      </c>
      <c r="J4767" t="s">
        <v>46</v>
      </c>
      <c r="K4767" s="2">
        <v>3650</v>
      </c>
      <c r="L4767" s="2">
        <v>45500</v>
      </c>
      <c r="M4767">
        <v>60</v>
      </c>
      <c r="N4767" s="3">
        <v>0.496</v>
      </c>
      <c r="O4767" t="s">
        <v>17</v>
      </c>
      <c r="P4767" t="s">
        <v>53</v>
      </c>
      <c r="Q4767">
        <v>0</v>
      </c>
      <c r="R4767">
        <v>1</v>
      </c>
      <c r="S4767" s="2">
        <v>0</v>
      </c>
      <c r="T4767" s="4"/>
      <c r="U4767">
        <v>2</v>
      </c>
      <c r="V4767">
        <v>1</v>
      </c>
      <c r="W4767">
        <v>1</v>
      </c>
    </row>
    <row r="4768" spans="1:23" ht="16.5" x14ac:dyDescent="0.3">
      <c r="A4768" t="s">
        <v>4832</v>
      </c>
      <c r="B4768" s="1">
        <v>45965</v>
      </c>
      <c r="C4768">
        <v>2025</v>
      </c>
      <c r="D4768" t="s">
        <v>1832</v>
      </c>
      <c r="E4768" t="s">
        <v>2071</v>
      </c>
      <c r="F4768" t="s">
        <v>37</v>
      </c>
      <c r="G4768" t="s">
        <v>51</v>
      </c>
      <c r="H4768" t="s">
        <v>55</v>
      </c>
      <c r="I4768" t="s">
        <v>39</v>
      </c>
      <c r="J4768" t="s">
        <v>46</v>
      </c>
      <c r="K4768" s="2">
        <v>5900</v>
      </c>
      <c r="L4768" s="2">
        <v>16500</v>
      </c>
      <c r="M4768">
        <v>60</v>
      </c>
      <c r="N4768" s="3">
        <v>0.215</v>
      </c>
      <c r="O4768" t="s">
        <v>16</v>
      </c>
      <c r="Q4768">
        <v>1</v>
      </c>
      <c r="R4768">
        <v>0</v>
      </c>
      <c r="S4768" s="2">
        <v>13000</v>
      </c>
      <c r="T4768" s="4">
        <v>0.107</v>
      </c>
      <c r="U4768">
        <v>4</v>
      </c>
      <c r="V4768">
        <v>0</v>
      </c>
      <c r="W4768">
        <v>1</v>
      </c>
    </row>
    <row r="4769" spans="1:23" ht="16.5" x14ac:dyDescent="0.3">
      <c r="A4769" t="s">
        <v>4833</v>
      </c>
      <c r="B4769" s="1">
        <v>45966</v>
      </c>
      <c r="C4769">
        <v>2025</v>
      </c>
      <c r="D4769" t="s">
        <v>1832</v>
      </c>
      <c r="E4769" t="s">
        <v>2071</v>
      </c>
      <c r="F4769" t="s">
        <v>26</v>
      </c>
      <c r="G4769" t="s">
        <v>33</v>
      </c>
      <c r="H4769" t="s">
        <v>34</v>
      </c>
      <c r="I4769" t="s">
        <v>29</v>
      </c>
      <c r="J4769" t="s">
        <v>35</v>
      </c>
      <c r="K4769" s="2">
        <v>7250</v>
      </c>
      <c r="L4769" s="2">
        <v>21000</v>
      </c>
      <c r="M4769">
        <v>36</v>
      </c>
      <c r="N4769" s="3">
        <v>0.25600000000000001</v>
      </c>
      <c r="O4769" t="s">
        <v>16</v>
      </c>
      <c r="Q4769">
        <v>1</v>
      </c>
      <c r="R4769">
        <v>0</v>
      </c>
      <c r="S4769" s="2">
        <v>21000</v>
      </c>
      <c r="T4769" s="4">
        <v>7.7700000000000005E-2</v>
      </c>
      <c r="U4769">
        <v>1</v>
      </c>
      <c r="V4769">
        <v>1</v>
      </c>
      <c r="W4769">
        <v>1</v>
      </c>
    </row>
    <row r="4770" spans="1:23" ht="16.5" x14ac:dyDescent="0.3">
      <c r="A4770" t="s">
        <v>4834</v>
      </c>
      <c r="B4770" s="1">
        <v>45966</v>
      </c>
      <c r="C4770">
        <v>2025</v>
      </c>
      <c r="D4770" t="s">
        <v>1832</v>
      </c>
      <c r="E4770" t="s">
        <v>2071</v>
      </c>
      <c r="F4770" t="s">
        <v>41</v>
      </c>
      <c r="G4770" t="s">
        <v>33</v>
      </c>
      <c r="H4770" t="s">
        <v>55</v>
      </c>
      <c r="I4770" t="s">
        <v>42</v>
      </c>
      <c r="J4770" t="s">
        <v>46</v>
      </c>
      <c r="K4770" s="2">
        <v>9300</v>
      </c>
      <c r="L4770" s="2">
        <v>59000</v>
      </c>
      <c r="M4770">
        <v>12</v>
      </c>
      <c r="N4770" s="3">
        <v>0.754</v>
      </c>
      <c r="O4770" t="s">
        <v>16</v>
      </c>
      <c r="Q4770">
        <v>1</v>
      </c>
      <c r="R4770">
        <v>0</v>
      </c>
      <c r="S4770" s="2">
        <v>59000</v>
      </c>
      <c r="T4770" s="4">
        <v>9.5200000000000007E-2</v>
      </c>
      <c r="U4770">
        <v>3</v>
      </c>
      <c r="V4770">
        <v>1</v>
      </c>
      <c r="W4770">
        <v>1</v>
      </c>
    </row>
    <row r="4771" spans="1:23" ht="16.5" x14ac:dyDescent="0.3">
      <c r="A4771" t="s">
        <v>4835</v>
      </c>
      <c r="B4771" s="1">
        <v>45966</v>
      </c>
      <c r="C4771">
        <v>2025</v>
      </c>
      <c r="D4771" t="s">
        <v>1832</v>
      </c>
      <c r="E4771" t="s">
        <v>2071</v>
      </c>
      <c r="F4771" t="s">
        <v>37</v>
      </c>
      <c r="G4771" t="s">
        <v>33</v>
      </c>
      <c r="H4771" t="s">
        <v>34</v>
      </c>
      <c r="I4771" t="s">
        <v>29</v>
      </c>
      <c r="J4771" t="s">
        <v>52</v>
      </c>
      <c r="K4771" s="2">
        <v>4150</v>
      </c>
      <c r="L4771" s="2">
        <v>9000</v>
      </c>
      <c r="M4771">
        <v>60</v>
      </c>
      <c r="N4771" s="3">
        <v>0.13500000000000001</v>
      </c>
      <c r="O4771" t="s">
        <v>16</v>
      </c>
      <c r="Q4771">
        <v>1</v>
      </c>
      <c r="R4771">
        <v>0</v>
      </c>
      <c r="S4771" s="2">
        <v>9000</v>
      </c>
      <c r="T4771" s="4">
        <v>0.1118</v>
      </c>
      <c r="U4771">
        <v>1</v>
      </c>
      <c r="V4771">
        <v>1</v>
      </c>
      <c r="W4771">
        <v>1</v>
      </c>
    </row>
    <row r="4772" spans="1:23" ht="16.5" x14ac:dyDescent="0.3">
      <c r="A4772" t="s">
        <v>4836</v>
      </c>
      <c r="B4772" s="1">
        <v>45966</v>
      </c>
      <c r="C4772">
        <v>2025</v>
      </c>
      <c r="D4772" t="s">
        <v>1832</v>
      </c>
      <c r="E4772" t="s">
        <v>2071</v>
      </c>
      <c r="F4772" t="s">
        <v>26</v>
      </c>
      <c r="G4772" t="s">
        <v>45</v>
      </c>
      <c r="H4772" t="s">
        <v>28</v>
      </c>
      <c r="I4772" t="s">
        <v>39</v>
      </c>
      <c r="J4772" t="s">
        <v>30</v>
      </c>
      <c r="K4772" s="2">
        <v>6250</v>
      </c>
      <c r="L4772" s="2">
        <v>16500</v>
      </c>
      <c r="M4772">
        <v>36</v>
      </c>
      <c r="N4772" s="3">
        <v>0.183</v>
      </c>
      <c r="O4772" t="s">
        <v>17</v>
      </c>
      <c r="P4772" t="s">
        <v>60</v>
      </c>
      <c r="Q4772">
        <v>0</v>
      </c>
      <c r="R4772">
        <v>1</v>
      </c>
      <c r="S4772" s="2">
        <v>0</v>
      </c>
      <c r="T4772" s="4"/>
      <c r="U4772">
        <v>5</v>
      </c>
      <c r="V4772">
        <v>0</v>
      </c>
      <c r="W4772">
        <v>1</v>
      </c>
    </row>
    <row r="4773" spans="1:23" ht="16.5" x14ac:dyDescent="0.3">
      <c r="A4773" t="s">
        <v>4837</v>
      </c>
      <c r="B4773" s="1">
        <v>45966</v>
      </c>
      <c r="C4773">
        <v>2025</v>
      </c>
      <c r="D4773" t="s">
        <v>1832</v>
      </c>
      <c r="E4773" t="s">
        <v>2071</v>
      </c>
      <c r="F4773" t="s">
        <v>37</v>
      </c>
      <c r="G4773" t="s">
        <v>33</v>
      </c>
      <c r="H4773" t="s">
        <v>28</v>
      </c>
      <c r="I4773" t="s">
        <v>29</v>
      </c>
      <c r="J4773" t="s">
        <v>46</v>
      </c>
      <c r="K4773" s="2">
        <v>6200</v>
      </c>
      <c r="L4773" s="2">
        <v>16500</v>
      </c>
      <c r="M4773">
        <v>36</v>
      </c>
      <c r="N4773" s="3">
        <v>0.161</v>
      </c>
      <c r="O4773" t="s">
        <v>17</v>
      </c>
      <c r="P4773" t="s">
        <v>60</v>
      </c>
      <c r="Q4773">
        <v>0</v>
      </c>
      <c r="R4773">
        <v>1</v>
      </c>
      <c r="S4773" s="2">
        <v>0</v>
      </c>
      <c r="T4773" s="4"/>
      <c r="U4773">
        <v>5</v>
      </c>
      <c r="V4773">
        <v>0</v>
      </c>
      <c r="W4773">
        <v>1</v>
      </c>
    </row>
    <row r="4774" spans="1:23" ht="16.5" x14ac:dyDescent="0.3">
      <c r="A4774" t="s">
        <v>4838</v>
      </c>
      <c r="B4774" s="1">
        <v>45966</v>
      </c>
      <c r="C4774">
        <v>2025</v>
      </c>
      <c r="D4774" t="s">
        <v>1832</v>
      </c>
      <c r="E4774" t="s">
        <v>2071</v>
      </c>
      <c r="F4774" t="s">
        <v>41</v>
      </c>
      <c r="G4774" t="s">
        <v>27</v>
      </c>
      <c r="H4774" t="s">
        <v>64</v>
      </c>
      <c r="I4774" t="s">
        <v>39</v>
      </c>
      <c r="J4774" t="s">
        <v>52</v>
      </c>
      <c r="K4774" s="2">
        <v>6000</v>
      </c>
      <c r="L4774" s="2">
        <v>67000</v>
      </c>
      <c r="M4774">
        <v>12</v>
      </c>
      <c r="N4774" s="3">
        <v>1.1639999999999999</v>
      </c>
      <c r="O4774" t="s">
        <v>17</v>
      </c>
      <c r="P4774" t="s">
        <v>53</v>
      </c>
      <c r="Q4774">
        <v>0</v>
      </c>
      <c r="R4774">
        <v>1</v>
      </c>
      <c r="S4774" s="2">
        <v>0</v>
      </c>
      <c r="T4774" s="4"/>
      <c r="U4774">
        <v>5</v>
      </c>
      <c r="V4774">
        <v>1</v>
      </c>
      <c r="W4774">
        <v>1</v>
      </c>
    </row>
    <row r="4775" spans="1:23" ht="16.5" x14ac:dyDescent="0.3">
      <c r="A4775" t="s">
        <v>4839</v>
      </c>
      <c r="B4775" s="1">
        <v>45966</v>
      </c>
      <c r="C4775">
        <v>2025</v>
      </c>
      <c r="D4775" t="s">
        <v>1832</v>
      </c>
      <c r="E4775" t="s">
        <v>2071</v>
      </c>
      <c r="F4775" t="s">
        <v>37</v>
      </c>
      <c r="G4775" t="s">
        <v>45</v>
      </c>
      <c r="H4775" t="s">
        <v>55</v>
      </c>
      <c r="I4775" t="s">
        <v>39</v>
      </c>
      <c r="J4775" t="s">
        <v>52</v>
      </c>
      <c r="K4775" s="2">
        <v>12650</v>
      </c>
      <c r="L4775" s="2">
        <v>11500</v>
      </c>
      <c r="M4775">
        <v>24</v>
      </c>
      <c r="N4775" s="3">
        <v>0.153</v>
      </c>
      <c r="O4775" t="s">
        <v>16</v>
      </c>
      <c r="Q4775">
        <v>1</v>
      </c>
      <c r="R4775">
        <v>0</v>
      </c>
      <c r="S4775" s="2">
        <v>11500</v>
      </c>
      <c r="T4775" s="4">
        <v>0.112</v>
      </c>
      <c r="U4775">
        <v>1</v>
      </c>
      <c r="V4775">
        <v>1</v>
      </c>
      <c r="W4775">
        <v>1</v>
      </c>
    </row>
    <row r="4776" spans="1:23" ht="16.5" x14ac:dyDescent="0.3">
      <c r="A4776" t="s">
        <v>4840</v>
      </c>
      <c r="B4776" s="1">
        <v>45966</v>
      </c>
      <c r="C4776">
        <v>2025</v>
      </c>
      <c r="D4776" t="s">
        <v>1832</v>
      </c>
      <c r="E4776" t="s">
        <v>2071</v>
      </c>
      <c r="F4776" t="s">
        <v>37</v>
      </c>
      <c r="G4776" t="s">
        <v>45</v>
      </c>
      <c r="H4776" t="s">
        <v>28</v>
      </c>
      <c r="I4776" t="s">
        <v>39</v>
      </c>
      <c r="J4776" t="s">
        <v>52</v>
      </c>
      <c r="K4776" s="2">
        <v>4400</v>
      </c>
      <c r="L4776" s="2">
        <v>12500</v>
      </c>
      <c r="M4776">
        <v>36</v>
      </c>
      <c r="N4776" s="3">
        <v>0.25900000000000001</v>
      </c>
      <c r="O4776" t="s">
        <v>16</v>
      </c>
      <c r="Q4776">
        <v>1</v>
      </c>
      <c r="R4776">
        <v>0</v>
      </c>
      <c r="S4776" s="2">
        <v>12500</v>
      </c>
      <c r="T4776" s="4">
        <v>0.1128</v>
      </c>
      <c r="U4776">
        <v>1</v>
      </c>
      <c r="V4776">
        <v>1</v>
      </c>
      <c r="W4776">
        <v>1</v>
      </c>
    </row>
    <row r="4777" spans="1:23" ht="16.5" x14ac:dyDescent="0.3">
      <c r="A4777" t="s">
        <v>4841</v>
      </c>
      <c r="B4777" s="1">
        <v>45966</v>
      </c>
      <c r="C4777">
        <v>2025</v>
      </c>
      <c r="D4777" t="s">
        <v>1832</v>
      </c>
      <c r="E4777" t="s">
        <v>2071</v>
      </c>
      <c r="F4777" t="s">
        <v>26</v>
      </c>
      <c r="G4777" t="s">
        <v>33</v>
      </c>
      <c r="H4777" t="s">
        <v>28</v>
      </c>
      <c r="I4777" t="s">
        <v>42</v>
      </c>
      <c r="J4777" t="s">
        <v>52</v>
      </c>
      <c r="K4777" s="2">
        <v>4450</v>
      </c>
      <c r="L4777" s="2">
        <v>11500</v>
      </c>
      <c r="M4777">
        <v>48</v>
      </c>
      <c r="N4777" s="3">
        <v>0.27600000000000002</v>
      </c>
      <c r="O4777" t="s">
        <v>16</v>
      </c>
      <c r="Q4777">
        <v>1</v>
      </c>
      <c r="R4777">
        <v>0</v>
      </c>
      <c r="S4777" s="2">
        <v>9000</v>
      </c>
      <c r="T4777" s="4">
        <v>7.0199999999999999E-2</v>
      </c>
      <c r="U4777">
        <v>3</v>
      </c>
      <c r="V4777">
        <v>1</v>
      </c>
      <c r="W4777">
        <v>1</v>
      </c>
    </row>
    <row r="4778" spans="1:23" ht="16.5" x14ac:dyDescent="0.3">
      <c r="A4778" t="s">
        <v>4842</v>
      </c>
      <c r="B4778" s="1">
        <v>45966</v>
      </c>
      <c r="C4778">
        <v>2025</v>
      </c>
      <c r="D4778" t="s">
        <v>1832</v>
      </c>
      <c r="E4778" t="s">
        <v>2071</v>
      </c>
      <c r="F4778" t="s">
        <v>37</v>
      </c>
      <c r="G4778" t="s">
        <v>51</v>
      </c>
      <c r="H4778" t="s">
        <v>34</v>
      </c>
      <c r="I4778" t="s">
        <v>29</v>
      </c>
      <c r="J4778" t="s">
        <v>43</v>
      </c>
      <c r="K4778" s="2">
        <v>11450</v>
      </c>
      <c r="L4778" s="2">
        <v>8000</v>
      </c>
      <c r="M4778">
        <v>12</v>
      </c>
      <c r="N4778" s="3">
        <v>0.192</v>
      </c>
      <c r="O4778" t="s">
        <v>16</v>
      </c>
      <c r="Q4778">
        <v>1</v>
      </c>
      <c r="R4778">
        <v>0</v>
      </c>
      <c r="S4778" s="2">
        <v>7000</v>
      </c>
      <c r="T4778" s="4">
        <v>0.15260000000000001</v>
      </c>
      <c r="U4778">
        <v>5</v>
      </c>
      <c r="V4778">
        <v>0</v>
      </c>
      <c r="W4778">
        <v>1</v>
      </c>
    </row>
    <row r="4779" spans="1:23" ht="16.5" x14ac:dyDescent="0.3">
      <c r="A4779" t="s">
        <v>4843</v>
      </c>
      <c r="B4779" s="1">
        <v>45966</v>
      </c>
      <c r="C4779">
        <v>2025</v>
      </c>
      <c r="D4779" t="s">
        <v>1832</v>
      </c>
      <c r="E4779" t="s">
        <v>2071</v>
      </c>
      <c r="F4779" t="s">
        <v>37</v>
      </c>
      <c r="G4779" t="s">
        <v>33</v>
      </c>
      <c r="H4779" t="s">
        <v>38</v>
      </c>
      <c r="I4779" t="s">
        <v>29</v>
      </c>
      <c r="J4779" t="s">
        <v>35</v>
      </c>
      <c r="K4779" s="2">
        <v>7550</v>
      </c>
      <c r="L4779" s="2">
        <v>12000</v>
      </c>
      <c r="M4779">
        <v>60</v>
      </c>
      <c r="N4779" s="3">
        <v>0.245</v>
      </c>
      <c r="O4779" t="s">
        <v>16</v>
      </c>
      <c r="Q4779">
        <v>1</v>
      </c>
      <c r="R4779">
        <v>0</v>
      </c>
      <c r="S4779" s="2">
        <v>11000</v>
      </c>
      <c r="T4779" s="4">
        <v>0.1235</v>
      </c>
      <c r="U4779">
        <v>2</v>
      </c>
      <c r="V4779">
        <v>1</v>
      </c>
      <c r="W4779">
        <v>1</v>
      </c>
    </row>
    <row r="4780" spans="1:23" ht="16.5" x14ac:dyDescent="0.3">
      <c r="A4780" t="s">
        <v>4844</v>
      </c>
      <c r="B4780" s="1">
        <v>45966</v>
      </c>
      <c r="C4780">
        <v>2025</v>
      </c>
      <c r="D4780" t="s">
        <v>1832</v>
      </c>
      <c r="E4780" t="s">
        <v>2071</v>
      </c>
      <c r="F4780" t="s">
        <v>37</v>
      </c>
      <c r="G4780" t="s">
        <v>33</v>
      </c>
      <c r="H4780" t="s">
        <v>38</v>
      </c>
      <c r="I4780" t="s">
        <v>29</v>
      </c>
      <c r="J4780" t="s">
        <v>35</v>
      </c>
      <c r="K4780" s="2">
        <v>3400</v>
      </c>
      <c r="L4780" s="2">
        <v>15000</v>
      </c>
      <c r="M4780">
        <v>60</v>
      </c>
      <c r="N4780" s="3">
        <v>0.28799999999999998</v>
      </c>
      <c r="O4780" t="s">
        <v>16</v>
      </c>
      <c r="Q4780">
        <v>1</v>
      </c>
      <c r="R4780">
        <v>0</v>
      </c>
      <c r="S4780" s="2">
        <v>13500</v>
      </c>
      <c r="T4780" s="4">
        <v>0.12130000000000001</v>
      </c>
      <c r="U4780">
        <v>2</v>
      </c>
      <c r="V4780">
        <v>1</v>
      </c>
      <c r="W4780">
        <v>1</v>
      </c>
    </row>
    <row r="4781" spans="1:23" ht="16.5" x14ac:dyDescent="0.3">
      <c r="A4781" t="s">
        <v>4845</v>
      </c>
      <c r="B4781" s="1">
        <v>45966</v>
      </c>
      <c r="C4781">
        <v>2025</v>
      </c>
      <c r="D4781" t="s">
        <v>1832</v>
      </c>
      <c r="E4781" t="s">
        <v>2071</v>
      </c>
      <c r="F4781" t="s">
        <v>41</v>
      </c>
      <c r="G4781" t="s">
        <v>51</v>
      </c>
      <c r="H4781" t="s">
        <v>38</v>
      </c>
      <c r="I4781" t="s">
        <v>29</v>
      </c>
      <c r="J4781" t="s">
        <v>46</v>
      </c>
      <c r="K4781" s="2">
        <v>3450</v>
      </c>
      <c r="L4781" s="2">
        <v>92000</v>
      </c>
      <c r="M4781">
        <v>60</v>
      </c>
      <c r="N4781" s="3">
        <v>0.78700000000000003</v>
      </c>
      <c r="O4781" t="s">
        <v>16</v>
      </c>
      <c r="Q4781">
        <v>1</v>
      </c>
      <c r="R4781">
        <v>0</v>
      </c>
      <c r="S4781" s="2">
        <v>83000</v>
      </c>
      <c r="T4781" s="4">
        <v>9.1899999999999996E-2</v>
      </c>
      <c r="U4781">
        <v>19</v>
      </c>
      <c r="V4781">
        <v>0</v>
      </c>
      <c r="W4781">
        <v>1</v>
      </c>
    </row>
    <row r="4782" spans="1:23" ht="16.5" x14ac:dyDescent="0.3">
      <c r="A4782" t="s">
        <v>4846</v>
      </c>
      <c r="B4782" s="1">
        <v>45967</v>
      </c>
      <c r="C4782">
        <v>2025</v>
      </c>
      <c r="D4782" t="s">
        <v>1832</v>
      </c>
      <c r="E4782" t="s">
        <v>2071</v>
      </c>
      <c r="F4782" t="s">
        <v>50</v>
      </c>
      <c r="G4782" t="s">
        <v>33</v>
      </c>
      <c r="H4782" t="s">
        <v>38</v>
      </c>
      <c r="I4782" t="s">
        <v>42</v>
      </c>
      <c r="J4782" t="s">
        <v>52</v>
      </c>
      <c r="K4782" s="2">
        <v>6250</v>
      </c>
      <c r="L4782" s="2">
        <v>259500</v>
      </c>
      <c r="M4782">
        <v>180</v>
      </c>
      <c r="N4782" s="3">
        <v>0.42299999999999999</v>
      </c>
      <c r="O4782" t="s">
        <v>17</v>
      </c>
      <c r="P4782" t="s">
        <v>48</v>
      </c>
      <c r="Q4782">
        <v>0</v>
      </c>
      <c r="R4782">
        <v>1</v>
      </c>
      <c r="S4782" s="2">
        <v>0</v>
      </c>
      <c r="T4782" s="4"/>
      <c r="U4782">
        <v>4</v>
      </c>
      <c r="V4782">
        <v>1</v>
      </c>
      <c r="W4782">
        <v>1</v>
      </c>
    </row>
    <row r="4783" spans="1:23" ht="16.5" x14ac:dyDescent="0.3">
      <c r="A4783" t="s">
        <v>4847</v>
      </c>
      <c r="B4783" s="1">
        <v>45967</v>
      </c>
      <c r="C4783">
        <v>2025</v>
      </c>
      <c r="D4783" t="s">
        <v>1832</v>
      </c>
      <c r="E4783" t="s">
        <v>2071</v>
      </c>
      <c r="F4783" t="s">
        <v>37</v>
      </c>
      <c r="G4783" t="s">
        <v>33</v>
      </c>
      <c r="H4783" t="s">
        <v>38</v>
      </c>
      <c r="I4783" t="s">
        <v>39</v>
      </c>
      <c r="J4783" t="s">
        <v>52</v>
      </c>
      <c r="K4783" s="2">
        <v>2300</v>
      </c>
      <c r="L4783" s="2">
        <v>6500</v>
      </c>
      <c r="M4783">
        <v>48</v>
      </c>
      <c r="N4783" s="3">
        <v>0.26700000000000002</v>
      </c>
      <c r="O4783" t="s">
        <v>16</v>
      </c>
      <c r="Q4783">
        <v>1</v>
      </c>
      <c r="R4783">
        <v>0</v>
      </c>
      <c r="S4783" s="2">
        <v>5000</v>
      </c>
      <c r="T4783" s="4">
        <v>0.1082</v>
      </c>
      <c r="U4783">
        <v>1</v>
      </c>
      <c r="V4783">
        <v>1</v>
      </c>
      <c r="W4783">
        <v>1</v>
      </c>
    </row>
    <row r="4784" spans="1:23" ht="16.5" x14ac:dyDescent="0.3">
      <c r="A4784" t="s">
        <v>4848</v>
      </c>
      <c r="B4784" s="1">
        <v>45967</v>
      </c>
      <c r="C4784">
        <v>2025</v>
      </c>
      <c r="D4784" t="s">
        <v>1832</v>
      </c>
      <c r="E4784" t="s">
        <v>2071</v>
      </c>
      <c r="F4784" t="s">
        <v>26</v>
      </c>
      <c r="G4784" t="s">
        <v>33</v>
      </c>
      <c r="H4784" t="s">
        <v>55</v>
      </c>
      <c r="I4784" t="s">
        <v>42</v>
      </c>
      <c r="J4784" t="s">
        <v>43</v>
      </c>
      <c r="K4784" s="2">
        <v>4300</v>
      </c>
      <c r="L4784" s="2">
        <v>47500</v>
      </c>
      <c r="M4784">
        <v>48</v>
      </c>
      <c r="N4784" s="3">
        <v>0.438</v>
      </c>
      <c r="O4784" t="s">
        <v>17</v>
      </c>
      <c r="P4784" t="s">
        <v>60</v>
      </c>
      <c r="Q4784">
        <v>0</v>
      </c>
      <c r="R4784">
        <v>1</v>
      </c>
      <c r="S4784" s="2">
        <v>0</v>
      </c>
      <c r="T4784" s="4"/>
      <c r="U4784">
        <v>6</v>
      </c>
      <c r="V4784">
        <v>0</v>
      </c>
      <c r="W4784">
        <v>1</v>
      </c>
    </row>
    <row r="4785" spans="1:23" ht="16.5" x14ac:dyDescent="0.3">
      <c r="A4785" t="s">
        <v>4849</v>
      </c>
      <c r="B4785" s="1">
        <v>45967</v>
      </c>
      <c r="C4785">
        <v>2025</v>
      </c>
      <c r="D4785" t="s">
        <v>1832</v>
      </c>
      <c r="E4785" t="s">
        <v>2071</v>
      </c>
      <c r="F4785" t="s">
        <v>37</v>
      </c>
      <c r="G4785" t="s">
        <v>33</v>
      </c>
      <c r="H4785" t="s">
        <v>28</v>
      </c>
      <c r="I4785" t="s">
        <v>39</v>
      </c>
      <c r="J4785" t="s">
        <v>30</v>
      </c>
      <c r="K4785" s="2">
        <v>6050</v>
      </c>
      <c r="L4785" s="2">
        <v>20000</v>
      </c>
      <c r="M4785">
        <v>36</v>
      </c>
      <c r="N4785" s="3">
        <v>0.183</v>
      </c>
      <c r="O4785" t="s">
        <v>16</v>
      </c>
      <c r="Q4785">
        <v>1</v>
      </c>
      <c r="R4785">
        <v>0</v>
      </c>
      <c r="S4785" s="2">
        <v>18000</v>
      </c>
      <c r="T4785" s="4">
        <v>0.14599999999999999</v>
      </c>
      <c r="U4785">
        <v>1</v>
      </c>
      <c r="V4785">
        <v>1</v>
      </c>
      <c r="W4785">
        <v>1</v>
      </c>
    </row>
    <row r="4786" spans="1:23" ht="16.5" x14ac:dyDescent="0.3">
      <c r="A4786" t="s">
        <v>4850</v>
      </c>
      <c r="B4786" s="1">
        <v>45968</v>
      </c>
      <c r="C4786">
        <v>2025</v>
      </c>
      <c r="D4786" t="s">
        <v>1832</v>
      </c>
      <c r="E4786" t="s">
        <v>2071</v>
      </c>
      <c r="F4786" t="s">
        <v>26</v>
      </c>
      <c r="G4786" t="s">
        <v>33</v>
      </c>
      <c r="H4786" t="s">
        <v>64</v>
      </c>
      <c r="I4786" t="s">
        <v>42</v>
      </c>
      <c r="J4786" t="s">
        <v>30</v>
      </c>
      <c r="K4786" s="2">
        <v>10750</v>
      </c>
      <c r="L4786" s="2">
        <v>42000</v>
      </c>
      <c r="M4786">
        <v>48</v>
      </c>
      <c r="N4786" s="3">
        <v>0.24299999999999999</v>
      </c>
      <c r="O4786" t="s">
        <v>17</v>
      </c>
      <c r="P4786" t="s">
        <v>31</v>
      </c>
      <c r="Q4786">
        <v>0</v>
      </c>
      <c r="R4786">
        <v>1</v>
      </c>
      <c r="S4786" s="2">
        <v>0</v>
      </c>
      <c r="T4786" s="4"/>
      <c r="U4786">
        <v>2</v>
      </c>
      <c r="V4786">
        <v>1</v>
      </c>
      <c r="W4786">
        <v>1</v>
      </c>
    </row>
    <row r="4787" spans="1:23" ht="16.5" x14ac:dyDescent="0.3">
      <c r="A4787" t="s">
        <v>4851</v>
      </c>
      <c r="B4787" s="1">
        <v>45968</v>
      </c>
      <c r="C4787">
        <v>2025</v>
      </c>
      <c r="D4787" t="s">
        <v>1832</v>
      </c>
      <c r="E4787" t="s">
        <v>2071</v>
      </c>
      <c r="F4787" t="s">
        <v>41</v>
      </c>
      <c r="G4787" t="s">
        <v>51</v>
      </c>
      <c r="H4787" t="s">
        <v>34</v>
      </c>
      <c r="I4787" t="s">
        <v>39</v>
      </c>
      <c r="J4787" t="s">
        <v>52</v>
      </c>
      <c r="K4787" s="2">
        <v>12300</v>
      </c>
      <c r="L4787" s="2">
        <v>78500</v>
      </c>
      <c r="M4787">
        <v>24</v>
      </c>
      <c r="N4787" s="3">
        <v>0.42599999999999999</v>
      </c>
      <c r="O4787" t="s">
        <v>16</v>
      </c>
      <c r="Q4787">
        <v>1</v>
      </c>
      <c r="R4787">
        <v>0</v>
      </c>
      <c r="S4787" s="2">
        <v>78500</v>
      </c>
      <c r="T4787" s="4">
        <v>9.5799999999999996E-2</v>
      </c>
      <c r="U4787">
        <v>9</v>
      </c>
      <c r="V4787">
        <v>1</v>
      </c>
      <c r="W4787">
        <v>1</v>
      </c>
    </row>
    <row r="4788" spans="1:23" ht="16.5" x14ac:dyDescent="0.3">
      <c r="A4788" t="s">
        <v>4852</v>
      </c>
      <c r="B4788" s="1">
        <v>45968</v>
      </c>
      <c r="C4788">
        <v>2025</v>
      </c>
      <c r="D4788" t="s">
        <v>1832</v>
      </c>
      <c r="E4788" t="s">
        <v>2071</v>
      </c>
      <c r="F4788" t="s">
        <v>37</v>
      </c>
      <c r="G4788" t="s">
        <v>33</v>
      </c>
      <c r="H4788" t="s">
        <v>34</v>
      </c>
      <c r="I4788" t="s">
        <v>39</v>
      </c>
      <c r="J4788" t="s">
        <v>35</v>
      </c>
      <c r="K4788" s="2">
        <v>11850</v>
      </c>
      <c r="L4788" s="2">
        <v>17500</v>
      </c>
      <c r="M4788">
        <v>24</v>
      </c>
      <c r="N4788" s="3">
        <v>0.184</v>
      </c>
      <c r="O4788" t="s">
        <v>16</v>
      </c>
      <c r="Q4788">
        <v>1</v>
      </c>
      <c r="R4788">
        <v>0</v>
      </c>
      <c r="S4788" s="2">
        <v>17500</v>
      </c>
      <c r="T4788" s="4">
        <v>0.1211</v>
      </c>
      <c r="U4788">
        <v>1</v>
      </c>
      <c r="V4788">
        <v>1</v>
      </c>
      <c r="W4788">
        <v>1</v>
      </c>
    </row>
    <row r="4789" spans="1:23" ht="16.5" x14ac:dyDescent="0.3">
      <c r="A4789" t="s">
        <v>4853</v>
      </c>
      <c r="B4789" s="1">
        <v>45968</v>
      </c>
      <c r="C4789">
        <v>2025</v>
      </c>
      <c r="D4789" t="s">
        <v>1832</v>
      </c>
      <c r="E4789" t="s">
        <v>2071</v>
      </c>
      <c r="F4789" t="s">
        <v>41</v>
      </c>
      <c r="G4789" t="s">
        <v>51</v>
      </c>
      <c r="H4789" t="s">
        <v>38</v>
      </c>
      <c r="I4789" t="s">
        <v>29</v>
      </c>
      <c r="J4789" t="s">
        <v>35</v>
      </c>
      <c r="K4789" s="2">
        <v>5000</v>
      </c>
      <c r="L4789" s="2">
        <v>105500</v>
      </c>
      <c r="M4789">
        <v>24</v>
      </c>
      <c r="N4789" s="3">
        <v>1.0740000000000001</v>
      </c>
      <c r="O4789" t="s">
        <v>17</v>
      </c>
      <c r="P4789" t="s">
        <v>53</v>
      </c>
      <c r="Q4789">
        <v>0</v>
      </c>
      <c r="R4789">
        <v>1</v>
      </c>
      <c r="S4789" s="2">
        <v>0</v>
      </c>
      <c r="T4789" s="4"/>
      <c r="U4789">
        <v>15</v>
      </c>
      <c r="V4789">
        <v>0</v>
      </c>
      <c r="W4789">
        <v>1</v>
      </c>
    </row>
    <row r="4790" spans="1:23" ht="16.5" x14ac:dyDescent="0.3">
      <c r="A4790" t="s">
        <v>4854</v>
      </c>
      <c r="B4790" s="1">
        <v>45969</v>
      </c>
      <c r="C4790">
        <v>2025</v>
      </c>
      <c r="D4790" t="s">
        <v>1832</v>
      </c>
      <c r="E4790" t="s">
        <v>2071</v>
      </c>
      <c r="F4790" t="s">
        <v>26</v>
      </c>
      <c r="G4790" t="s">
        <v>33</v>
      </c>
      <c r="H4790" t="s">
        <v>55</v>
      </c>
      <c r="I4790" t="s">
        <v>39</v>
      </c>
      <c r="J4790" t="s">
        <v>30</v>
      </c>
      <c r="K4790" s="2">
        <v>6500</v>
      </c>
      <c r="L4790" s="2">
        <v>35500</v>
      </c>
      <c r="M4790">
        <v>48</v>
      </c>
      <c r="N4790" s="3">
        <v>0.21099999999999999</v>
      </c>
      <c r="O4790" t="s">
        <v>125</v>
      </c>
      <c r="Q4790">
        <v>0</v>
      </c>
      <c r="R4790">
        <v>0</v>
      </c>
      <c r="S4790" s="2">
        <v>0</v>
      </c>
      <c r="T4790" s="4"/>
      <c r="U4790">
        <v>3</v>
      </c>
      <c r="V4790">
        <v>1</v>
      </c>
      <c r="W4790">
        <v>1</v>
      </c>
    </row>
    <row r="4791" spans="1:23" ht="16.5" x14ac:dyDescent="0.3">
      <c r="A4791" t="s">
        <v>4855</v>
      </c>
      <c r="B4791" s="1">
        <v>45970</v>
      </c>
      <c r="C4791">
        <v>2025</v>
      </c>
      <c r="D4791" t="s">
        <v>1832</v>
      </c>
      <c r="E4791" t="s">
        <v>2071</v>
      </c>
      <c r="F4791" t="s">
        <v>41</v>
      </c>
      <c r="G4791" t="s">
        <v>33</v>
      </c>
      <c r="H4791" t="s">
        <v>55</v>
      </c>
      <c r="I4791" t="s">
        <v>39</v>
      </c>
      <c r="J4791" t="s">
        <v>52</v>
      </c>
      <c r="K4791" s="2">
        <v>6300</v>
      </c>
      <c r="L4791" s="2">
        <v>87000</v>
      </c>
      <c r="M4791">
        <v>36</v>
      </c>
      <c r="N4791" s="3">
        <v>0.58199999999999996</v>
      </c>
      <c r="O4791" t="s">
        <v>16</v>
      </c>
      <c r="Q4791">
        <v>1</v>
      </c>
      <c r="R4791">
        <v>0</v>
      </c>
      <c r="S4791" s="2">
        <v>87000</v>
      </c>
      <c r="T4791" s="4">
        <v>0.1013</v>
      </c>
      <c r="U4791">
        <v>4</v>
      </c>
      <c r="V4791">
        <v>1</v>
      </c>
      <c r="W4791">
        <v>1</v>
      </c>
    </row>
    <row r="4792" spans="1:23" ht="16.5" x14ac:dyDescent="0.3">
      <c r="A4792" t="s">
        <v>4856</v>
      </c>
      <c r="B4792" s="1">
        <v>45970</v>
      </c>
      <c r="C4792">
        <v>2025</v>
      </c>
      <c r="D4792" t="s">
        <v>1832</v>
      </c>
      <c r="E4792" t="s">
        <v>2071</v>
      </c>
      <c r="F4792" t="s">
        <v>26</v>
      </c>
      <c r="G4792" t="s">
        <v>45</v>
      </c>
      <c r="H4792" t="s">
        <v>38</v>
      </c>
      <c r="I4792" t="s">
        <v>29</v>
      </c>
      <c r="J4792" t="s">
        <v>30</v>
      </c>
      <c r="K4792" s="2">
        <v>3800</v>
      </c>
      <c r="L4792" s="2">
        <v>59000</v>
      </c>
      <c r="M4792">
        <v>60</v>
      </c>
      <c r="N4792" s="3">
        <v>0.55000000000000004</v>
      </c>
      <c r="O4792" t="s">
        <v>17</v>
      </c>
      <c r="P4792" t="s">
        <v>60</v>
      </c>
      <c r="Q4792">
        <v>0</v>
      </c>
      <c r="R4792">
        <v>1</v>
      </c>
      <c r="S4792" s="2">
        <v>0</v>
      </c>
      <c r="T4792" s="4"/>
      <c r="U4792">
        <v>7</v>
      </c>
      <c r="V4792">
        <v>0</v>
      </c>
      <c r="W4792">
        <v>1</v>
      </c>
    </row>
    <row r="4793" spans="1:23" ht="16.5" x14ac:dyDescent="0.3">
      <c r="A4793" t="s">
        <v>4857</v>
      </c>
      <c r="B4793" s="1">
        <v>45970</v>
      </c>
      <c r="C4793">
        <v>2025</v>
      </c>
      <c r="D4793" t="s">
        <v>1832</v>
      </c>
      <c r="E4793" t="s">
        <v>2071</v>
      </c>
      <c r="F4793" t="s">
        <v>37</v>
      </c>
      <c r="G4793" t="s">
        <v>33</v>
      </c>
      <c r="H4793" t="s">
        <v>64</v>
      </c>
      <c r="I4793" t="s">
        <v>29</v>
      </c>
      <c r="J4793" t="s">
        <v>35</v>
      </c>
      <c r="K4793" s="2">
        <v>6500</v>
      </c>
      <c r="L4793" s="2">
        <v>16000</v>
      </c>
      <c r="M4793">
        <v>60</v>
      </c>
      <c r="N4793" s="3">
        <v>0.192</v>
      </c>
      <c r="O4793" t="s">
        <v>16</v>
      </c>
      <c r="Q4793">
        <v>1</v>
      </c>
      <c r="R4793">
        <v>0</v>
      </c>
      <c r="S4793" s="2">
        <v>16000</v>
      </c>
      <c r="T4793" s="4">
        <v>0.1232</v>
      </c>
      <c r="U4793">
        <v>1</v>
      </c>
      <c r="V4793">
        <v>1</v>
      </c>
      <c r="W4793">
        <v>1</v>
      </c>
    </row>
    <row r="4794" spans="1:23" ht="16.5" x14ac:dyDescent="0.3">
      <c r="A4794" t="s">
        <v>4858</v>
      </c>
      <c r="B4794" s="1">
        <v>45970</v>
      </c>
      <c r="C4794">
        <v>2025</v>
      </c>
      <c r="D4794" t="s">
        <v>1832</v>
      </c>
      <c r="E4794" t="s">
        <v>2071</v>
      </c>
      <c r="F4794" t="s">
        <v>37</v>
      </c>
      <c r="G4794" t="s">
        <v>51</v>
      </c>
      <c r="H4794" t="s">
        <v>38</v>
      </c>
      <c r="I4794" t="s">
        <v>39</v>
      </c>
      <c r="J4794" t="s">
        <v>46</v>
      </c>
      <c r="K4794" s="2">
        <v>7300</v>
      </c>
      <c r="L4794" s="2">
        <v>16000</v>
      </c>
      <c r="M4794">
        <v>24</v>
      </c>
      <c r="N4794" s="3">
        <v>0.33500000000000002</v>
      </c>
      <c r="O4794" t="s">
        <v>17</v>
      </c>
      <c r="P4794" t="s">
        <v>31</v>
      </c>
      <c r="Q4794">
        <v>0</v>
      </c>
      <c r="R4794">
        <v>1</v>
      </c>
      <c r="S4794" s="2">
        <v>0</v>
      </c>
      <c r="T4794" s="4"/>
      <c r="U4794">
        <v>5</v>
      </c>
      <c r="V4794">
        <v>0</v>
      </c>
      <c r="W4794">
        <v>1</v>
      </c>
    </row>
    <row r="4795" spans="1:23" ht="16.5" x14ac:dyDescent="0.3">
      <c r="A4795" t="s">
        <v>4859</v>
      </c>
      <c r="B4795" s="1">
        <v>45971</v>
      </c>
      <c r="C4795">
        <v>2025</v>
      </c>
      <c r="D4795" t="s">
        <v>1832</v>
      </c>
      <c r="E4795" t="s">
        <v>2071</v>
      </c>
      <c r="F4795" t="s">
        <v>50</v>
      </c>
      <c r="G4795" t="s">
        <v>45</v>
      </c>
      <c r="H4795" t="s">
        <v>55</v>
      </c>
      <c r="I4795" t="s">
        <v>39</v>
      </c>
      <c r="J4795" t="s">
        <v>43</v>
      </c>
      <c r="K4795" s="2">
        <v>8450</v>
      </c>
      <c r="L4795" s="2">
        <v>306500</v>
      </c>
      <c r="M4795">
        <v>300</v>
      </c>
      <c r="N4795" s="3">
        <v>0.26300000000000001</v>
      </c>
      <c r="O4795" t="s">
        <v>16</v>
      </c>
      <c r="Q4795">
        <v>1</v>
      </c>
      <c r="R4795">
        <v>0</v>
      </c>
      <c r="S4795" s="2">
        <v>306500</v>
      </c>
      <c r="T4795" s="4">
        <v>8.8400000000000006E-2</v>
      </c>
      <c r="U4795">
        <v>10</v>
      </c>
      <c r="V4795">
        <v>1</v>
      </c>
      <c r="W4795">
        <v>1</v>
      </c>
    </row>
    <row r="4796" spans="1:23" ht="16.5" x14ac:dyDescent="0.3">
      <c r="A4796" t="s">
        <v>4860</v>
      </c>
      <c r="B4796" s="1">
        <v>45971</v>
      </c>
      <c r="C4796">
        <v>2025</v>
      </c>
      <c r="D4796" t="s">
        <v>1832</v>
      </c>
      <c r="E4796" t="s">
        <v>2071</v>
      </c>
      <c r="F4796" t="s">
        <v>37</v>
      </c>
      <c r="G4796" t="s">
        <v>51</v>
      </c>
      <c r="H4796" t="s">
        <v>38</v>
      </c>
      <c r="I4796" t="s">
        <v>39</v>
      </c>
      <c r="J4796" t="s">
        <v>43</v>
      </c>
      <c r="K4796" s="2">
        <v>3050</v>
      </c>
      <c r="L4796" s="2">
        <v>18500</v>
      </c>
      <c r="M4796">
        <v>12</v>
      </c>
      <c r="N4796" s="3">
        <v>0.64400000000000002</v>
      </c>
      <c r="O4796" t="s">
        <v>17</v>
      </c>
      <c r="P4796" t="s">
        <v>53</v>
      </c>
      <c r="Q4796">
        <v>0</v>
      </c>
      <c r="R4796">
        <v>1</v>
      </c>
      <c r="S4796" s="2">
        <v>0</v>
      </c>
      <c r="T4796" s="4"/>
      <c r="U4796">
        <v>7</v>
      </c>
      <c r="V4796">
        <v>0</v>
      </c>
      <c r="W4796">
        <v>1</v>
      </c>
    </row>
    <row r="4797" spans="1:23" ht="16.5" x14ac:dyDescent="0.3">
      <c r="A4797" t="s">
        <v>4861</v>
      </c>
      <c r="B4797" s="1">
        <v>45971</v>
      </c>
      <c r="C4797">
        <v>2025</v>
      </c>
      <c r="D4797" t="s">
        <v>1832</v>
      </c>
      <c r="E4797" t="s">
        <v>2071</v>
      </c>
      <c r="F4797" t="s">
        <v>37</v>
      </c>
      <c r="G4797" t="s">
        <v>27</v>
      </c>
      <c r="H4797" t="s">
        <v>38</v>
      </c>
      <c r="I4797" t="s">
        <v>29</v>
      </c>
      <c r="J4797" t="s">
        <v>52</v>
      </c>
      <c r="K4797" s="2">
        <v>3700</v>
      </c>
      <c r="L4797" s="2">
        <v>8000</v>
      </c>
      <c r="M4797">
        <v>48</v>
      </c>
      <c r="N4797" s="3">
        <v>0.27500000000000002</v>
      </c>
      <c r="O4797" t="s">
        <v>16</v>
      </c>
      <c r="Q4797">
        <v>1</v>
      </c>
      <c r="R4797">
        <v>0</v>
      </c>
      <c r="S4797" s="2">
        <v>7000</v>
      </c>
      <c r="T4797" s="4">
        <v>0.1147</v>
      </c>
      <c r="U4797">
        <v>5</v>
      </c>
      <c r="V4797">
        <v>0</v>
      </c>
      <c r="W4797">
        <v>1</v>
      </c>
    </row>
    <row r="4798" spans="1:23" ht="16.5" x14ac:dyDescent="0.3">
      <c r="A4798" t="s">
        <v>4862</v>
      </c>
      <c r="B4798" s="1">
        <v>45971</v>
      </c>
      <c r="C4798">
        <v>2025</v>
      </c>
      <c r="D4798" t="s">
        <v>1832</v>
      </c>
      <c r="E4798" t="s">
        <v>2071</v>
      </c>
      <c r="F4798" t="s">
        <v>50</v>
      </c>
      <c r="G4798" t="s">
        <v>33</v>
      </c>
      <c r="H4798" t="s">
        <v>38</v>
      </c>
      <c r="I4798" t="s">
        <v>29</v>
      </c>
      <c r="J4798" t="s">
        <v>43</v>
      </c>
      <c r="K4798" s="2">
        <v>5100</v>
      </c>
      <c r="L4798" s="2">
        <v>251000</v>
      </c>
      <c r="M4798">
        <v>240</v>
      </c>
      <c r="N4798" s="3">
        <v>0.53500000000000003</v>
      </c>
      <c r="O4798" t="s">
        <v>17</v>
      </c>
      <c r="P4798" t="s">
        <v>31</v>
      </c>
      <c r="Q4798">
        <v>0</v>
      </c>
      <c r="R4798">
        <v>1</v>
      </c>
      <c r="S4798" s="2">
        <v>0</v>
      </c>
      <c r="T4798" s="4"/>
      <c r="U4798">
        <v>5</v>
      </c>
      <c r="V4798">
        <v>1</v>
      </c>
      <c r="W4798">
        <v>1</v>
      </c>
    </row>
    <row r="4799" spans="1:23" ht="16.5" x14ac:dyDescent="0.3">
      <c r="A4799" t="s">
        <v>4863</v>
      </c>
      <c r="B4799" s="1">
        <v>45971</v>
      </c>
      <c r="C4799">
        <v>2025</v>
      </c>
      <c r="D4799" t="s">
        <v>1832</v>
      </c>
      <c r="E4799" t="s">
        <v>2071</v>
      </c>
      <c r="F4799" t="s">
        <v>37</v>
      </c>
      <c r="G4799" t="s">
        <v>45</v>
      </c>
      <c r="H4799" t="s">
        <v>55</v>
      </c>
      <c r="I4799" t="s">
        <v>29</v>
      </c>
      <c r="J4799" t="s">
        <v>52</v>
      </c>
      <c r="K4799" s="2">
        <v>3050</v>
      </c>
      <c r="L4799" s="2">
        <v>12500</v>
      </c>
      <c r="M4799">
        <v>24</v>
      </c>
      <c r="N4799" s="3">
        <v>0.34499999999999997</v>
      </c>
      <c r="O4799" t="s">
        <v>16</v>
      </c>
      <c r="Q4799">
        <v>1</v>
      </c>
      <c r="R4799">
        <v>0</v>
      </c>
      <c r="S4799" s="2">
        <v>12500</v>
      </c>
      <c r="T4799" s="4">
        <v>0.1162</v>
      </c>
      <c r="U4799">
        <v>3</v>
      </c>
      <c r="V4799">
        <v>1</v>
      </c>
      <c r="W4799">
        <v>1</v>
      </c>
    </row>
    <row r="4800" spans="1:23" ht="16.5" x14ac:dyDescent="0.3">
      <c r="A4800" t="s">
        <v>4864</v>
      </c>
      <c r="B4800" s="1">
        <v>45971</v>
      </c>
      <c r="C4800">
        <v>2025</v>
      </c>
      <c r="D4800" t="s">
        <v>1832</v>
      </c>
      <c r="E4800" t="s">
        <v>2071</v>
      </c>
      <c r="F4800" t="s">
        <v>26</v>
      </c>
      <c r="G4800" t="s">
        <v>33</v>
      </c>
      <c r="H4800" t="s">
        <v>55</v>
      </c>
      <c r="I4800" t="s">
        <v>29</v>
      </c>
      <c r="J4800" t="s">
        <v>35</v>
      </c>
      <c r="K4800" s="2">
        <v>7750</v>
      </c>
      <c r="L4800" s="2">
        <v>31500</v>
      </c>
      <c r="M4800">
        <v>48</v>
      </c>
      <c r="N4800" s="3">
        <v>0.158</v>
      </c>
      <c r="O4800" t="s">
        <v>16</v>
      </c>
      <c r="Q4800">
        <v>1</v>
      </c>
      <c r="R4800">
        <v>0</v>
      </c>
      <c r="S4800" s="2">
        <v>28500</v>
      </c>
      <c r="T4800" s="4">
        <v>8.6199999999999999E-2</v>
      </c>
      <c r="U4800">
        <v>2</v>
      </c>
      <c r="V4800">
        <v>1</v>
      </c>
      <c r="W4800">
        <v>1</v>
      </c>
    </row>
    <row r="4801" spans="1:23" ht="16.5" x14ac:dyDescent="0.3">
      <c r="A4801" t="s">
        <v>4865</v>
      </c>
      <c r="B4801" s="1">
        <v>45971</v>
      </c>
      <c r="C4801">
        <v>2025</v>
      </c>
      <c r="D4801" t="s">
        <v>1832</v>
      </c>
      <c r="E4801" t="s">
        <v>2071</v>
      </c>
      <c r="F4801" t="s">
        <v>50</v>
      </c>
      <c r="G4801" t="s">
        <v>45</v>
      </c>
      <c r="H4801" t="s">
        <v>55</v>
      </c>
      <c r="I4801" t="s">
        <v>39</v>
      </c>
      <c r="J4801" t="s">
        <v>46</v>
      </c>
      <c r="K4801" s="2">
        <v>5500</v>
      </c>
      <c r="L4801" s="2">
        <v>296000</v>
      </c>
      <c r="M4801">
        <v>240</v>
      </c>
      <c r="N4801" s="3">
        <v>0.54700000000000004</v>
      </c>
      <c r="O4801" t="s">
        <v>16</v>
      </c>
      <c r="Q4801">
        <v>1</v>
      </c>
      <c r="R4801">
        <v>0</v>
      </c>
      <c r="S4801" s="2">
        <v>237000</v>
      </c>
      <c r="T4801" s="4">
        <v>4.4699999999999997E-2</v>
      </c>
      <c r="U4801">
        <v>3</v>
      </c>
      <c r="V4801">
        <v>1</v>
      </c>
      <c r="W4801">
        <v>1</v>
      </c>
    </row>
    <row r="4802" spans="1:23" ht="16.5" x14ac:dyDescent="0.3">
      <c r="A4802" t="s">
        <v>4866</v>
      </c>
      <c r="B4802" s="1">
        <v>45971</v>
      </c>
      <c r="C4802">
        <v>2025</v>
      </c>
      <c r="D4802" t="s">
        <v>1832</v>
      </c>
      <c r="E4802" t="s">
        <v>2071</v>
      </c>
      <c r="F4802" t="s">
        <v>37</v>
      </c>
      <c r="G4802" t="s">
        <v>45</v>
      </c>
      <c r="H4802" t="s">
        <v>55</v>
      </c>
      <c r="I4802" t="s">
        <v>39</v>
      </c>
      <c r="J4802" t="s">
        <v>30</v>
      </c>
      <c r="K4802" s="2">
        <v>8700</v>
      </c>
      <c r="L4802" s="2">
        <v>12000</v>
      </c>
      <c r="M4802">
        <v>60</v>
      </c>
      <c r="N4802" s="3">
        <v>0.13500000000000001</v>
      </c>
      <c r="O4802" t="s">
        <v>16</v>
      </c>
      <c r="Q4802">
        <v>1</v>
      </c>
      <c r="R4802">
        <v>0</v>
      </c>
      <c r="S4802" s="2">
        <v>9500</v>
      </c>
      <c r="T4802" s="4">
        <v>0.1396</v>
      </c>
      <c r="U4802">
        <v>4</v>
      </c>
      <c r="V4802">
        <v>0</v>
      </c>
      <c r="W4802">
        <v>1</v>
      </c>
    </row>
    <row r="4803" spans="1:23" ht="16.5" x14ac:dyDescent="0.3">
      <c r="A4803" t="s">
        <v>4867</v>
      </c>
      <c r="B4803" s="1">
        <v>45971</v>
      </c>
      <c r="C4803">
        <v>2025</v>
      </c>
      <c r="D4803" t="s">
        <v>1832</v>
      </c>
      <c r="E4803" t="s">
        <v>2071</v>
      </c>
      <c r="F4803" t="s">
        <v>26</v>
      </c>
      <c r="G4803" t="s">
        <v>51</v>
      </c>
      <c r="H4803" t="s">
        <v>55</v>
      </c>
      <c r="I4803" t="s">
        <v>29</v>
      </c>
      <c r="J4803" t="s">
        <v>46</v>
      </c>
      <c r="K4803" s="2">
        <v>4200</v>
      </c>
      <c r="L4803" s="2">
        <v>42000</v>
      </c>
      <c r="M4803">
        <v>48</v>
      </c>
      <c r="N4803" s="3">
        <v>0.33</v>
      </c>
      <c r="O4803" t="s">
        <v>16</v>
      </c>
      <c r="Q4803">
        <v>1</v>
      </c>
      <c r="R4803">
        <v>0</v>
      </c>
      <c r="S4803" s="2">
        <v>42000</v>
      </c>
      <c r="T4803" s="4">
        <v>6.1100000000000002E-2</v>
      </c>
      <c r="U4803">
        <v>5</v>
      </c>
      <c r="V4803">
        <v>0</v>
      </c>
      <c r="W4803">
        <v>1</v>
      </c>
    </row>
    <row r="4804" spans="1:23" ht="16.5" x14ac:dyDescent="0.3">
      <c r="A4804" t="s">
        <v>4868</v>
      </c>
      <c r="B4804" s="1">
        <v>45971</v>
      </c>
      <c r="C4804">
        <v>2025</v>
      </c>
      <c r="D4804" t="s">
        <v>1832</v>
      </c>
      <c r="E4804" t="s">
        <v>2071</v>
      </c>
      <c r="F4804" t="s">
        <v>37</v>
      </c>
      <c r="G4804" t="s">
        <v>51</v>
      </c>
      <c r="H4804" t="s">
        <v>64</v>
      </c>
      <c r="I4804" t="s">
        <v>39</v>
      </c>
      <c r="J4804" t="s">
        <v>52</v>
      </c>
      <c r="K4804" s="2">
        <v>6200</v>
      </c>
      <c r="L4804" s="2">
        <v>10000</v>
      </c>
      <c r="M4804">
        <v>48</v>
      </c>
      <c r="N4804" s="3">
        <v>0.17</v>
      </c>
      <c r="O4804" t="s">
        <v>16</v>
      </c>
      <c r="Q4804">
        <v>1</v>
      </c>
      <c r="R4804">
        <v>0</v>
      </c>
      <c r="S4804" s="2">
        <v>10000</v>
      </c>
      <c r="T4804" s="4">
        <v>0.1153</v>
      </c>
      <c r="U4804">
        <v>4</v>
      </c>
      <c r="V4804">
        <v>0</v>
      </c>
      <c r="W4804">
        <v>1</v>
      </c>
    </row>
    <row r="4805" spans="1:23" ht="16.5" x14ac:dyDescent="0.3">
      <c r="A4805" t="s">
        <v>4869</v>
      </c>
      <c r="B4805" s="1">
        <v>45971</v>
      </c>
      <c r="C4805">
        <v>2025</v>
      </c>
      <c r="D4805" t="s">
        <v>1832</v>
      </c>
      <c r="E4805" t="s">
        <v>2071</v>
      </c>
      <c r="F4805" t="s">
        <v>37</v>
      </c>
      <c r="G4805" t="s">
        <v>51</v>
      </c>
      <c r="H4805" t="s">
        <v>38</v>
      </c>
      <c r="I4805" t="s">
        <v>39</v>
      </c>
      <c r="J4805" t="s">
        <v>52</v>
      </c>
      <c r="K4805" s="2">
        <v>8350</v>
      </c>
      <c r="L4805" s="2">
        <v>14000</v>
      </c>
      <c r="M4805">
        <v>36</v>
      </c>
      <c r="N4805" s="3">
        <v>0.14699999999999999</v>
      </c>
      <c r="O4805" t="s">
        <v>16</v>
      </c>
      <c r="Q4805">
        <v>1</v>
      </c>
      <c r="R4805">
        <v>0</v>
      </c>
      <c r="S4805" s="2">
        <v>12500</v>
      </c>
      <c r="T4805" s="4">
        <v>0.11550000000000001</v>
      </c>
      <c r="U4805">
        <v>5</v>
      </c>
      <c r="V4805">
        <v>0</v>
      </c>
      <c r="W4805">
        <v>1</v>
      </c>
    </row>
    <row r="4806" spans="1:23" ht="16.5" x14ac:dyDescent="0.3">
      <c r="A4806" t="s">
        <v>4870</v>
      </c>
      <c r="B4806" s="1">
        <v>45971</v>
      </c>
      <c r="C4806">
        <v>2025</v>
      </c>
      <c r="D4806" t="s">
        <v>1832</v>
      </c>
      <c r="E4806" t="s">
        <v>2071</v>
      </c>
      <c r="F4806" t="s">
        <v>41</v>
      </c>
      <c r="G4806" t="s">
        <v>51</v>
      </c>
      <c r="H4806" t="s">
        <v>38</v>
      </c>
      <c r="I4806" t="s">
        <v>39</v>
      </c>
      <c r="J4806" t="s">
        <v>43</v>
      </c>
      <c r="K4806" s="2">
        <v>1650</v>
      </c>
      <c r="L4806" s="2">
        <v>99500</v>
      </c>
      <c r="M4806">
        <v>60</v>
      </c>
      <c r="N4806" s="3">
        <v>1.369</v>
      </c>
      <c r="O4806" t="s">
        <v>17</v>
      </c>
      <c r="P4806" t="s">
        <v>31</v>
      </c>
      <c r="Q4806">
        <v>0</v>
      </c>
      <c r="R4806">
        <v>1</v>
      </c>
      <c r="S4806" s="2">
        <v>0</v>
      </c>
      <c r="T4806" s="4"/>
      <c r="U4806">
        <v>21</v>
      </c>
      <c r="V4806">
        <v>0</v>
      </c>
      <c r="W4806">
        <v>1</v>
      </c>
    </row>
    <row r="4807" spans="1:23" ht="16.5" x14ac:dyDescent="0.3">
      <c r="A4807" t="s">
        <v>4871</v>
      </c>
      <c r="B4807" s="1">
        <v>45971</v>
      </c>
      <c r="C4807">
        <v>2025</v>
      </c>
      <c r="D4807" t="s">
        <v>1832</v>
      </c>
      <c r="E4807" t="s">
        <v>2071</v>
      </c>
      <c r="F4807" t="s">
        <v>26</v>
      </c>
      <c r="G4807" t="s">
        <v>27</v>
      </c>
      <c r="H4807" t="s">
        <v>28</v>
      </c>
      <c r="I4807" t="s">
        <v>29</v>
      </c>
      <c r="J4807" t="s">
        <v>52</v>
      </c>
      <c r="K4807" s="2">
        <v>2900</v>
      </c>
      <c r="L4807" s="2">
        <v>26500</v>
      </c>
      <c r="M4807">
        <v>60</v>
      </c>
      <c r="N4807" s="3">
        <v>0.33600000000000002</v>
      </c>
      <c r="O4807" t="s">
        <v>16</v>
      </c>
      <c r="Q4807">
        <v>1</v>
      </c>
      <c r="R4807">
        <v>0</v>
      </c>
      <c r="S4807" s="2">
        <v>26500</v>
      </c>
      <c r="T4807" s="4">
        <v>6.6500000000000004E-2</v>
      </c>
      <c r="U4807">
        <v>7</v>
      </c>
      <c r="V4807">
        <v>0</v>
      </c>
      <c r="W4807">
        <v>1</v>
      </c>
    </row>
    <row r="4808" spans="1:23" ht="16.5" x14ac:dyDescent="0.3">
      <c r="A4808" t="s">
        <v>4872</v>
      </c>
      <c r="B4808" s="1">
        <v>45972</v>
      </c>
      <c r="C4808">
        <v>2025</v>
      </c>
      <c r="D4808" t="s">
        <v>1832</v>
      </c>
      <c r="E4808" t="s">
        <v>2071</v>
      </c>
      <c r="F4808" t="s">
        <v>41</v>
      </c>
      <c r="G4808" t="s">
        <v>33</v>
      </c>
      <c r="H4808" t="s">
        <v>55</v>
      </c>
      <c r="I4808" t="s">
        <v>29</v>
      </c>
      <c r="J4808" t="s">
        <v>35</v>
      </c>
      <c r="K4808" s="2">
        <v>4650</v>
      </c>
      <c r="L4808" s="2">
        <v>65500</v>
      </c>
      <c r="M4808">
        <v>36</v>
      </c>
      <c r="N4808" s="3">
        <v>0.67500000000000004</v>
      </c>
      <c r="O4808" t="s">
        <v>17</v>
      </c>
      <c r="P4808" t="s">
        <v>60</v>
      </c>
      <c r="Q4808">
        <v>0</v>
      </c>
      <c r="R4808">
        <v>1</v>
      </c>
      <c r="S4808" s="2">
        <v>0</v>
      </c>
      <c r="T4808" s="4"/>
      <c r="U4808">
        <v>10</v>
      </c>
      <c r="V4808">
        <v>1</v>
      </c>
      <c r="W4808">
        <v>1</v>
      </c>
    </row>
    <row r="4809" spans="1:23" ht="16.5" x14ac:dyDescent="0.3">
      <c r="A4809" t="s">
        <v>4873</v>
      </c>
      <c r="B4809" s="1">
        <v>45972</v>
      </c>
      <c r="C4809">
        <v>2025</v>
      </c>
      <c r="D4809" t="s">
        <v>1832</v>
      </c>
      <c r="E4809" t="s">
        <v>2071</v>
      </c>
      <c r="F4809" t="s">
        <v>26</v>
      </c>
      <c r="G4809" t="s">
        <v>51</v>
      </c>
      <c r="H4809" t="s">
        <v>34</v>
      </c>
      <c r="I4809" t="s">
        <v>29</v>
      </c>
      <c r="J4809" t="s">
        <v>43</v>
      </c>
      <c r="K4809" s="2">
        <v>7000</v>
      </c>
      <c r="L4809" s="2">
        <v>12500</v>
      </c>
      <c r="M4809">
        <v>60</v>
      </c>
      <c r="N4809" s="3">
        <v>0.19600000000000001</v>
      </c>
      <c r="O4809" t="s">
        <v>17</v>
      </c>
      <c r="P4809" t="s">
        <v>48</v>
      </c>
      <c r="Q4809">
        <v>0</v>
      </c>
      <c r="R4809">
        <v>1</v>
      </c>
      <c r="S4809" s="2">
        <v>0</v>
      </c>
      <c r="T4809" s="4"/>
      <c r="U4809">
        <v>7</v>
      </c>
      <c r="V4809">
        <v>0</v>
      </c>
      <c r="W4809">
        <v>1</v>
      </c>
    </row>
    <row r="4810" spans="1:23" ht="16.5" x14ac:dyDescent="0.3">
      <c r="A4810" t="s">
        <v>4874</v>
      </c>
      <c r="B4810" s="1">
        <v>45972</v>
      </c>
      <c r="C4810">
        <v>2025</v>
      </c>
      <c r="D4810" t="s">
        <v>1832</v>
      </c>
      <c r="E4810" t="s">
        <v>2071</v>
      </c>
      <c r="F4810" t="s">
        <v>41</v>
      </c>
      <c r="G4810" t="s">
        <v>45</v>
      </c>
      <c r="H4810" t="s">
        <v>28</v>
      </c>
      <c r="I4810" t="s">
        <v>29</v>
      </c>
      <c r="J4810" t="s">
        <v>30</v>
      </c>
      <c r="K4810" s="2">
        <v>8250</v>
      </c>
      <c r="L4810" s="2">
        <v>70500</v>
      </c>
      <c r="M4810">
        <v>24</v>
      </c>
      <c r="N4810" s="3">
        <v>0.52900000000000003</v>
      </c>
      <c r="O4810" t="s">
        <v>16</v>
      </c>
      <c r="Q4810">
        <v>1</v>
      </c>
      <c r="R4810">
        <v>0</v>
      </c>
      <c r="S4810" s="2">
        <v>70500</v>
      </c>
      <c r="T4810" s="4">
        <v>0.1263</v>
      </c>
      <c r="U4810">
        <v>7</v>
      </c>
      <c r="V4810">
        <v>1</v>
      </c>
      <c r="W4810">
        <v>1</v>
      </c>
    </row>
    <row r="4811" spans="1:23" ht="16.5" x14ac:dyDescent="0.3">
      <c r="A4811" t="s">
        <v>4875</v>
      </c>
      <c r="B4811" s="1">
        <v>45972</v>
      </c>
      <c r="C4811">
        <v>2025</v>
      </c>
      <c r="D4811" t="s">
        <v>1832</v>
      </c>
      <c r="E4811" t="s">
        <v>2071</v>
      </c>
      <c r="F4811" t="s">
        <v>26</v>
      </c>
      <c r="G4811" t="s">
        <v>45</v>
      </c>
      <c r="H4811" t="s">
        <v>34</v>
      </c>
      <c r="I4811" t="s">
        <v>42</v>
      </c>
      <c r="J4811" t="s">
        <v>43</v>
      </c>
      <c r="K4811" s="2">
        <v>6350</v>
      </c>
      <c r="L4811" s="2">
        <v>29500</v>
      </c>
      <c r="M4811">
        <v>48</v>
      </c>
      <c r="N4811" s="3">
        <v>0.28199999999999997</v>
      </c>
      <c r="O4811" t="s">
        <v>17</v>
      </c>
      <c r="P4811" t="s">
        <v>31</v>
      </c>
      <c r="Q4811">
        <v>0</v>
      </c>
      <c r="R4811">
        <v>1</v>
      </c>
      <c r="S4811" s="2">
        <v>0</v>
      </c>
      <c r="T4811" s="4"/>
      <c r="U4811">
        <v>2</v>
      </c>
      <c r="V4811">
        <v>1</v>
      </c>
      <c r="W4811">
        <v>1</v>
      </c>
    </row>
    <row r="4812" spans="1:23" ht="16.5" x14ac:dyDescent="0.3">
      <c r="A4812" t="s">
        <v>4876</v>
      </c>
      <c r="B4812" s="1">
        <v>45972</v>
      </c>
      <c r="C4812">
        <v>2025</v>
      </c>
      <c r="D4812" t="s">
        <v>1832</v>
      </c>
      <c r="E4812" t="s">
        <v>2071</v>
      </c>
      <c r="F4812" t="s">
        <v>37</v>
      </c>
      <c r="G4812" t="s">
        <v>45</v>
      </c>
      <c r="H4812" t="s">
        <v>34</v>
      </c>
      <c r="I4812" t="s">
        <v>42</v>
      </c>
      <c r="J4812" t="s">
        <v>46</v>
      </c>
      <c r="K4812" s="2">
        <v>4800</v>
      </c>
      <c r="L4812" s="2">
        <v>18000</v>
      </c>
      <c r="M4812">
        <v>60</v>
      </c>
      <c r="N4812" s="3">
        <v>0.13700000000000001</v>
      </c>
      <c r="O4812" t="s">
        <v>16</v>
      </c>
      <c r="Q4812">
        <v>1</v>
      </c>
      <c r="R4812">
        <v>0</v>
      </c>
      <c r="S4812" s="2">
        <v>16000</v>
      </c>
      <c r="T4812" s="4">
        <v>0.11260000000000001</v>
      </c>
      <c r="U4812">
        <v>1</v>
      </c>
      <c r="V4812">
        <v>1</v>
      </c>
      <c r="W4812">
        <v>1</v>
      </c>
    </row>
    <row r="4813" spans="1:23" ht="16.5" x14ac:dyDescent="0.3">
      <c r="A4813" t="s">
        <v>4877</v>
      </c>
      <c r="B4813" s="1">
        <v>45972</v>
      </c>
      <c r="C4813">
        <v>2025</v>
      </c>
      <c r="D4813" t="s">
        <v>1832</v>
      </c>
      <c r="E4813" t="s">
        <v>2071</v>
      </c>
      <c r="F4813" t="s">
        <v>26</v>
      </c>
      <c r="G4813" t="s">
        <v>33</v>
      </c>
      <c r="H4813" t="s">
        <v>38</v>
      </c>
      <c r="I4813" t="s">
        <v>39</v>
      </c>
      <c r="J4813" t="s">
        <v>35</v>
      </c>
      <c r="K4813" s="2">
        <v>5300</v>
      </c>
      <c r="L4813" s="2">
        <v>34000</v>
      </c>
      <c r="M4813">
        <v>48</v>
      </c>
      <c r="N4813" s="3">
        <v>0.25800000000000001</v>
      </c>
      <c r="O4813" t="s">
        <v>16</v>
      </c>
      <c r="Q4813">
        <v>1</v>
      </c>
      <c r="R4813">
        <v>0</v>
      </c>
      <c r="S4813" s="2">
        <v>30500</v>
      </c>
      <c r="T4813" s="4">
        <v>8.3199999999999996E-2</v>
      </c>
      <c r="U4813">
        <v>2</v>
      </c>
      <c r="V4813">
        <v>1</v>
      </c>
      <c r="W4813">
        <v>1</v>
      </c>
    </row>
    <row r="4814" spans="1:23" ht="16.5" x14ac:dyDescent="0.3">
      <c r="A4814" t="s">
        <v>4878</v>
      </c>
      <c r="B4814" s="1">
        <v>45972</v>
      </c>
      <c r="C4814">
        <v>2025</v>
      </c>
      <c r="D4814" t="s">
        <v>1832</v>
      </c>
      <c r="E4814" t="s">
        <v>2071</v>
      </c>
      <c r="F4814" t="s">
        <v>37</v>
      </c>
      <c r="G4814" t="s">
        <v>45</v>
      </c>
      <c r="H4814" t="s">
        <v>38</v>
      </c>
      <c r="I4814" t="s">
        <v>29</v>
      </c>
      <c r="J4814" t="s">
        <v>52</v>
      </c>
      <c r="K4814" s="2">
        <v>1800</v>
      </c>
      <c r="L4814" s="2">
        <v>13500</v>
      </c>
      <c r="M4814">
        <v>60</v>
      </c>
      <c r="N4814" s="3">
        <v>0.32100000000000001</v>
      </c>
      <c r="O4814" t="s">
        <v>16</v>
      </c>
      <c r="Q4814">
        <v>1</v>
      </c>
      <c r="R4814">
        <v>0</v>
      </c>
      <c r="S4814" s="2">
        <v>13500</v>
      </c>
      <c r="T4814" s="4">
        <v>0.11219999999999999</v>
      </c>
      <c r="U4814">
        <v>3</v>
      </c>
      <c r="V4814">
        <v>1</v>
      </c>
      <c r="W4814">
        <v>1</v>
      </c>
    </row>
    <row r="4815" spans="1:23" ht="16.5" x14ac:dyDescent="0.3">
      <c r="A4815" t="s">
        <v>4879</v>
      </c>
      <c r="B4815" s="1">
        <v>45973</v>
      </c>
      <c r="C4815">
        <v>2025</v>
      </c>
      <c r="D4815" t="s">
        <v>1832</v>
      </c>
      <c r="E4815" t="s">
        <v>2071</v>
      </c>
      <c r="F4815" t="s">
        <v>50</v>
      </c>
      <c r="G4815" t="s">
        <v>45</v>
      </c>
      <c r="H4815" t="s">
        <v>64</v>
      </c>
      <c r="I4815" t="s">
        <v>29</v>
      </c>
      <c r="J4815" t="s">
        <v>35</v>
      </c>
      <c r="K4815" s="2">
        <v>13950</v>
      </c>
      <c r="L4815" s="2">
        <v>162000</v>
      </c>
      <c r="M4815">
        <v>240</v>
      </c>
      <c r="N4815" s="3">
        <v>0.17100000000000001</v>
      </c>
      <c r="O4815" t="s">
        <v>16</v>
      </c>
      <c r="Q4815">
        <v>1</v>
      </c>
      <c r="R4815">
        <v>0</v>
      </c>
      <c r="S4815" s="2">
        <v>162000</v>
      </c>
      <c r="T4815" s="4">
        <v>6.0499999999999998E-2</v>
      </c>
      <c r="U4815">
        <v>8</v>
      </c>
      <c r="V4815">
        <v>1</v>
      </c>
      <c r="W4815">
        <v>1</v>
      </c>
    </row>
    <row r="4816" spans="1:23" ht="16.5" x14ac:dyDescent="0.3">
      <c r="A4816" t="s">
        <v>4880</v>
      </c>
      <c r="B4816" s="1">
        <v>45973</v>
      </c>
      <c r="C4816">
        <v>2025</v>
      </c>
      <c r="D4816" t="s">
        <v>1832</v>
      </c>
      <c r="E4816" t="s">
        <v>2071</v>
      </c>
      <c r="F4816" t="s">
        <v>37</v>
      </c>
      <c r="G4816" t="s">
        <v>51</v>
      </c>
      <c r="H4816" t="s">
        <v>38</v>
      </c>
      <c r="I4816" t="s">
        <v>29</v>
      </c>
      <c r="J4816" t="s">
        <v>30</v>
      </c>
      <c r="K4816" s="2">
        <v>2200</v>
      </c>
      <c r="L4816" s="2">
        <v>16000</v>
      </c>
      <c r="M4816">
        <v>24</v>
      </c>
      <c r="N4816" s="3">
        <v>0.53800000000000003</v>
      </c>
      <c r="O4816" t="s">
        <v>16</v>
      </c>
      <c r="Q4816">
        <v>1</v>
      </c>
      <c r="R4816">
        <v>0</v>
      </c>
      <c r="S4816" s="2">
        <v>16000</v>
      </c>
      <c r="T4816" s="4">
        <v>0.1409</v>
      </c>
      <c r="U4816">
        <v>5</v>
      </c>
      <c r="V4816">
        <v>0</v>
      </c>
      <c r="W4816">
        <v>1</v>
      </c>
    </row>
    <row r="4817" spans="1:23" ht="16.5" x14ac:dyDescent="0.3">
      <c r="A4817" t="s">
        <v>4881</v>
      </c>
      <c r="B4817" s="1">
        <v>45973</v>
      </c>
      <c r="C4817">
        <v>2025</v>
      </c>
      <c r="D4817" t="s">
        <v>1832</v>
      </c>
      <c r="E4817" t="s">
        <v>2071</v>
      </c>
      <c r="F4817" t="s">
        <v>50</v>
      </c>
      <c r="G4817" t="s">
        <v>51</v>
      </c>
      <c r="H4817" t="s">
        <v>34</v>
      </c>
      <c r="I4817" t="s">
        <v>29</v>
      </c>
      <c r="J4817" t="s">
        <v>30</v>
      </c>
      <c r="K4817" s="2">
        <v>3150</v>
      </c>
      <c r="L4817" s="2">
        <v>330500</v>
      </c>
      <c r="M4817">
        <v>180</v>
      </c>
      <c r="N4817" s="3">
        <v>0.879</v>
      </c>
      <c r="O4817" t="s">
        <v>16</v>
      </c>
      <c r="Q4817">
        <v>1</v>
      </c>
      <c r="R4817">
        <v>0</v>
      </c>
      <c r="S4817" s="2">
        <v>330500</v>
      </c>
      <c r="T4817" s="4">
        <v>7.0300000000000001E-2</v>
      </c>
      <c r="U4817">
        <v>10</v>
      </c>
      <c r="V4817">
        <v>1</v>
      </c>
      <c r="W4817">
        <v>1</v>
      </c>
    </row>
    <row r="4818" spans="1:23" ht="16.5" x14ac:dyDescent="0.3">
      <c r="A4818" t="s">
        <v>4882</v>
      </c>
      <c r="B4818" s="1">
        <v>45973</v>
      </c>
      <c r="C4818">
        <v>2025</v>
      </c>
      <c r="D4818" t="s">
        <v>1832</v>
      </c>
      <c r="E4818" t="s">
        <v>2071</v>
      </c>
      <c r="F4818" t="s">
        <v>26</v>
      </c>
      <c r="G4818" t="s">
        <v>45</v>
      </c>
      <c r="H4818" t="s">
        <v>28</v>
      </c>
      <c r="I4818" t="s">
        <v>39</v>
      </c>
      <c r="J4818" t="s">
        <v>52</v>
      </c>
      <c r="K4818" s="2">
        <v>7250</v>
      </c>
      <c r="L4818" s="2">
        <v>14000</v>
      </c>
      <c r="M4818">
        <v>60</v>
      </c>
      <c r="N4818" s="3">
        <v>9.9000000000000005E-2</v>
      </c>
      <c r="O4818" t="s">
        <v>16</v>
      </c>
      <c r="Q4818">
        <v>1</v>
      </c>
      <c r="R4818">
        <v>0</v>
      </c>
      <c r="S4818" s="2">
        <v>14000</v>
      </c>
      <c r="T4818" s="4">
        <v>7.2499999999999995E-2</v>
      </c>
      <c r="U4818">
        <v>1</v>
      </c>
      <c r="V4818">
        <v>1</v>
      </c>
      <c r="W4818">
        <v>1</v>
      </c>
    </row>
    <row r="4819" spans="1:23" ht="16.5" x14ac:dyDescent="0.3">
      <c r="A4819" t="s">
        <v>4883</v>
      </c>
      <c r="B4819" s="1">
        <v>45973</v>
      </c>
      <c r="C4819">
        <v>2025</v>
      </c>
      <c r="D4819" t="s">
        <v>1832</v>
      </c>
      <c r="E4819" t="s">
        <v>2071</v>
      </c>
      <c r="F4819" t="s">
        <v>26</v>
      </c>
      <c r="G4819" t="s">
        <v>45</v>
      </c>
      <c r="H4819" t="s">
        <v>55</v>
      </c>
      <c r="I4819" t="s">
        <v>29</v>
      </c>
      <c r="J4819" t="s">
        <v>52</v>
      </c>
      <c r="K4819" s="2">
        <v>5550</v>
      </c>
      <c r="L4819" s="2">
        <v>26000</v>
      </c>
      <c r="M4819">
        <v>36</v>
      </c>
      <c r="N4819" s="3">
        <v>0.26</v>
      </c>
      <c r="O4819" t="s">
        <v>16</v>
      </c>
      <c r="Q4819">
        <v>1</v>
      </c>
      <c r="R4819">
        <v>0</v>
      </c>
      <c r="S4819" s="2">
        <v>26000</v>
      </c>
      <c r="T4819" s="4">
        <v>6.9900000000000004E-2</v>
      </c>
      <c r="U4819">
        <v>2</v>
      </c>
      <c r="V4819">
        <v>1</v>
      </c>
      <c r="W4819">
        <v>1</v>
      </c>
    </row>
    <row r="4820" spans="1:23" ht="16.5" x14ac:dyDescent="0.3">
      <c r="A4820" t="s">
        <v>4884</v>
      </c>
      <c r="B4820" s="1">
        <v>45973</v>
      </c>
      <c r="C4820">
        <v>2025</v>
      </c>
      <c r="D4820" t="s">
        <v>1832</v>
      </c>
      <c r="E4820" t="s">
        <v>2071</v>
      </c>
      <c r="F4820" t="s">
        <v>41</v>
      </c>
      <c r="G4820" t="s">
        <v>51</v>
      </c>
      <c r="H4820" t="s">
        <v>38</v>
      </c>
      <c r="I4820" t="s">
        <v>39</v>
      </c>
      <c r="J4820" t="s">
        <v>35</v>
      </c>
      <c r="K4820" s="2">
        <v>8200</v>
      </c>
      <c r="L4820" s="2">
        <v>127500</v>
      </c>
      <c r="M4820">
        <v>36</v>
      </c>
      <c r="N4820" s="3">
        <v>0.61299999999999999</v>
      </c>
      <c r="O4820" t="s">
        <v>125</v>
      </c>
      <c r="Q4820">
        <v>0</v>
      </c>
      <c r="R4820">
        <v>0</v>
      </c>
      <c r="S4820" s="2">
        <v>0</v>
      </c>
      <c r="T4820" s="4"/>
      <c r="U4820">
        <v>15</v>
      </c>
      <c r="V4820">
        <v>0</v>
      </c>
      <c r="W4820">
        <v>1</v>
      </c>
    </row>
    <row r="4821" spans="1:23" ht="16.5" x14ac:dyDescent="0.3">
      <c r="A4821" t="s">
        <v>4885</v>
      </c>
      <c r="B4821" s="1">
        <v>45973</v>
      </c>
      <c r="C4821">
        <v>2025</v>
      </c>
      <c r="D4821" t="s">
        <v>1832</v>
      </c>
      <c r="E4821" t="s">
        <v>2071</v>
      </c>
      <c r="F4821" t="s">
        <v>37</v>
      </c>
      <c r="G4821" t="s">
        <v>33</v>
      </c>
      <c r="H4821" t="s">
        <v>38</v>
      </c>
      <c r="I4821" t="s">
        <v>29</v>
      </c>
      <c r="J4821" t="s">
        <v>35</v>
      </c>
      <c r="K4821" s="2">
        <v>2400</v>
      </c>
      <c r="L4821" s="2">
        <v>9500</v>
      </c>
      <c r="M4821">
        <v>48</v>
      </c>
      <c r="N4821" s="3">
        <v>0.308</v>
      </c>
      <c r="O4821" t="s">
        <v>17</v>
      </c>
      <c r="P4821" t="s">
        <v>60</v>
      </c>
      <c r="Q4821">
        <v>0</v>
      </c>
      <c r="R4821">
        <v>1</v>
      </c>
      <c r="S4821" s="2">
        <v>0</v>
      </c>
      <c r="T4821" s="4"/>
      <c r="U4821">
        <v>5</v>
      </c>
      <c r="V4821">
        <v>0</v>
      </c>
      <c r="W4821">
        <v>1</v>
      </c>
    </row>
    <row r="4822" spans="1:23" ht="16.5" x14ac:dyDescent="0.3">
      <c r="A4822" t="s">
        <v>4886</v>
      </c>
      <c r="B4822" s="1">
        <v>45974</v>
      </c>
      <c r="C4822">
        <v>2025</v>
      </c>
      <c r="D4822" t="s">
        <v>1832</v>
      </c>
      <c r="E4822" t="s">
        <v>2071</v>
      </c>
      <c r="F4822" t="s">
        <v>37</v>
      </c>
      <c r="G4822" t="s">
        <v>51</v>
      </c>
      <c r="H4822" t="s">
        <v>34</v>
      </c>
      <c r="I4822" t="s">
        <v>29</v>
      </c>
      <c r="J4822" t="s">
        <v>52</v>
      </c>
      <c r="K4822" s="2">
        <v>7900</v>
      </c>
      <c r="L4822" s="2">
        <v>11000</v>
      </c>
      <c r="M4822">
        <v>36</v>
      </c>
      <c r="N4822" s="3">
        <v>0.12</v>
      </c>
      <c r="O4822" t="s">
        <v>16</v>
      </c>
      <c r="Q4822">
        <v>1</v>
      </c>
      <c r="R4822">
        <v>0</v>
      </c>
      <c r="S4822" s="2">
        <v>10000</v>
      </c>
      <c r="T4822" s="4">
        <v>0.11310000000000001</v>
      </c>
      <c r="U4822">
        <v>8</v>
      </c>
      <c r="V4822">
        <v>0</v>
      </c>
      <c r="W4822">
        <v>1</v>
      </c>
    </row>
    <row r="4823" spans="1:23" ht="16.5" x14ac:dyDescent="0.3">
      <c r="A4823" t="s">
        <v>4887</v>
      </c>
      <c r="B4823" s="1">
        <v>45974</v>
      </c>
      <c r="C4823">
        <v>2025</v>
      </c>
      <c r="D4823" t="s">
        <v>1832</v>
      </c>
      <c r="E4823" t="s">
        <v>2071</v>
      </c>
      <c r="F4823" t="s">
        <v>37</v>
      </c>
      <c r="G4823" t="s">
        <v>51</v>
      </c>
      <c r="H4823" t="s">
        <v>55</v>
      </c>
      <c r="I4823" t="s">
        <v>39</v>
      </c>
      <c r="J4823" t="s">
        <v>52</v>
      </c>
      <c r="K4823" s="2">
        <v>2150</v>
      </c>
      <c r="L4823" s="2">
        <v>10000</v>
      </c>
      <c r="M4823">
        <v>12</v>
      </c>
      <c r="N4823" s="3">
        <v>0.48799999999999999</v>
      </c>
      <c r="O4823" t="s">
        <v>16</v>
      </c>
      <c r="Q4823">
        <v>1</v>
      </c>
      <c r="R4823">
        <v>0</v>
      </c>
      <c r="S4823" s="2">
        <v>10000</v>
      </c>
      <c r="T4823" s="4">
        <v>0.11360000000000001</v>
      </c>
      <c r="U4823">
        <v>2</v>
      </c>
      <c r="V4823">
        <v>1</v>
      </c>
      <c r="W4823">
        <v>1</v>
      </c>
    </row>
    <row r="4824" spans="1:23" ht="16.5" x14ac:dyDescent="0.3">
      <c r="A4824" t="s">
        <v>4888</v>
      </c>
      <c r="B4824" s="1">
        <v>45974</v>
      </c>
      <c r="C4824">
        <v>2025</v>
      </c>
      <c r="D4824" t="s">
        <v>1832</v>
      </c>
      <c r="E4824" t="s">
        <v>2071</v>
      </c>
      <c r="F4824" t="s">
        <v>41</v>
      </c>
      <c r="G4824" t="s">
        <v>45</v>
      </c>
      <c r="H4824" t="s">
        <v>38</v>
      </c>
      <c r="I4824" t="s">
        <v>29</v>
      </c>
      <c r="J4824" t="s">
        <v>35</v>
      </c>
      <c r="K4824" s="2">
        <v>9150</v>
      </c>
      <c r="L4824" s="2">
        <v>39500</v>
      </c>
      <c r="M4824">
        <v>12</v>
      </c>
      <c r="N4824" s="3">
        <v>0.49299999999999999</v>
      </c>
      <c r="O4824" t="s">
        <v>16</v>
      </c>
      <c r="Q4824">
        <v>1</v>
      </c>
      <c r="R4824">
        <v>0</v>
      </c>
      <c r="S4824" s="2">
        <v>35500</v>
      </c>
      <c r="T4824" s="4">
        <v>0.1061</v>
      </c>
      <c r="U4824">
        <v>3</v>
      </c>
      <c r="V4824">
        <v>1</v>
      </c>
      <c r="W4824">
        <v>1</v>
      </c>
    </row>
    <row r="4825" spans="1:23" ht="16.5" x14ac:dyDescent="0.3">
      <c r="A4825" t="s">
        <v>4889</v>
      </c>
      <c r="B4825" s="1">
        <v>45974</v>
      </c>
      <c r="C4825">
        <v>2025</v>
      </c>
      <c r="D4825" t="s">
        <v>1832</v>
      </c>
      <c r="E4825" t="s">
        <v>2071</v>
      </c>
      <c r="F4825" t="s">
        <v>37</v>
      </c>
      <c r="G4825" t="s">
        <v>33</v>
      </c>
      <c r="H4825" t="s">
        <v>55</v>
      </c>
      <c r="I4825" t="s">
        <v>39</v>
      </c>
      <c r="J4825" t="s">
        <v>35</v>
      </c>
      <c r="K4825" s="2">
        <v>15500</v>
      </c>
      <c r="L4825" s="2">
        <v>8500</v>
      </c>
      <c r="M4825">
        <v>24</v>
      </c>
      <c r="N4825" s="3">
        <v>0.13100000000000001</v>
      </c>
      <c r="O4825" t="s">
        <v>17</v>
      </c>
      <c r="P4825" t="s">
        <v>60</v>
      </c>
      <c r="Q4825">
        <v>0</v>
      </c>
      <c r="R4825">
        <v>1</v>
      </c>
      <c r="S4825" s="2">
        <v>0</v>
      </c>
      <c r="T4825" s="4"/>
      <c r="U4825">
        <v>5</v>
      </c>
      <c r="V4825">
        <v>0</v>
      </c>
      <c r="W4825">
        <v>1</v>
      </c>
    </row>
    <row r="4826" spans="1:23" ht="16.5" x14ac:dyDescent="0.3">
      <c r="A4826" t="s">
        <v>4890</v>
      </c>
      <c r="B4826" s="1">
        <v>45974</v>
      </c>
      <c r="C4826">
        <v>2025</v>
      </c>
      <c r="D4826" t="s">
        <v>1832</v>
      </c>
      <c r="E4826" t="s">
        <v>2071</v>
      </c>
      <c r="F4826" t="s">
        <v>37</v>
      </c>
      <c r="G4826" t="s">
        <v>45</v>
      </c>
      <c r="H4826" t="s">
        <v>64</v>
      </c>
      <c r="I4826" t="s">
        <v>39</v>
      </c>
      <c r="J4826" t="s">
        <v>30</v>
      </c>
      <c r="K4826" s="2">
        <v>4650</v>
      </c>
      <c r="L4826" s="2">
        <v>21500</v>
      </c>
      <c r="M4826">
        <v>36</v>
      </c>
      <c r="N4826" s="3">
        <v>0.33600000000000002</v>
      </c>
      <c r="O4826" t="s">
        <v>125</v>
      </c>
      <c r="Q4826">
        <v>0</v>
      </c>
      <c r="R4826">
        <v>0</v>
      </c>
      <c r="S4826" s="2">
        <v>0</v>
      </c>
      <c r="T4826" s="4"/>
      <c r="U4826">
        <v>1</v>
      </c>
      <c r="V4826">
        <v>1</v>
      </c>
      <c r="W4826">
        <v>1</v>
      </c>
    </row>
    <row r="4827" spans="1:23" ht="16.5" x14ac:dyDescent="0.3">
      <c r="A4827" t="s">
        <v>4891</v>
      </c>
      <c r="B4827" s="1">
        <v>45974</v>
      </c>
      <c r="C4827">
        <v>2025</v>
      </c>
      <c r="D4827" t="s">
        <v>1832</v>
      </c>
      <c r="E4827" t="s">
        <v>2071</v>
      </c>
      <c r="F4827" t="s">
        <v>41</v>
      </c>
      <c r="G4827" t="s">
        <v>51</v>
      </c>
      <c r="H4827" t="s">
        <v>28</v>
      </c>
      <c r="I4827" t="s">
        <v>29</v>
      </c>
      <c r="J4827" t="s">
        <v>52</v>
      </c>
      <c r="K4827" s="2">
        <v>5500</v>
      </c>
      <c r="L4827" s="2">
        <v>76500</v>
      </c>
      <c r="M4827">
        <v>24</v>
      </c>
      <c r="N4827" s="3">
        <v>0.745</v>
      </c>
      <c r="O4827" t="s">
        <v>16</v>
      </c>
      <c r="Q4827">
        <v>1</v>
      </c>
      <c r="R4827">
        <v>0</v>
      </c>
      <c r="S4827" s="2">
        <v>61000</v>
      </c>
      <c r="T4827" s="4">
        <v>9.69E-2</v>
      </c>
      <c r="U4827">
        <v>11</v>
      </c>
      <c r="V4827">
        <v>0</v>
      </c>
      <c r="W4827">
        <v>1</v>
      </c>
    </row>
    <row r="4828" spans="1:23" ht="16.5" x14ac:dyDescent="0.3">
      <c r="A4828" t="s">
        <v>4892</v>
      </c>
      <c r="B4828" s="1">
        <v>45974</v>
      </c>
      <c r="C4828">
        <v>2025</v>
      </c>
      <c r="D4828" t="s">
        <v>1832</v>
      </c>
      <c r="E4828" t="s">
        <v>2071</v>
      </c>
      <c r="F4828" t="s">
        <v>37</v>
      </c>
      <c r="G4828" t="s">
        <v>45</v>
      </c>
      <c r="H4828" t="s">
        <v>38</v>
      </c>
      <c r="I4828" t="s">
        <v>29</v>
      </c>
      <c r="J4828" t="s">
        <v>35</v>
      </c>
      <c r="K4828" s="2">
        <v>5500</v>
      </c>
      <c r="L4828" s="2">
        <v>9500</v>
      </c>
      <c r="M4828">
        <v>12</v>
      </c>
      <c r="N4828" s="3">
        <v>0.379</v>
      </c>
      <c r="O4828" t="s">
        <v>16</v>
      </c>
      <c r="Q4828">
        <v>1</v>
      </c>
      <c r="R4828">
        <v>0</v>
      </c>
      <c r="S4828" s="2">
        <v>9500</v>
      </c>
      <c r="T4828" s="4">
        <v>0.1236</v>
      </c>
      <c r="U4828">
        <v>2</v>
      </c>
      <c r="V4828">
        <v>1</v>
      </c>
      <c r="W4828">
        <v>1</v>
      </c>
    </row>
    <row r="4829" spans="1:23" ht="16.5" x14ac:dyDescent="0.3">
      <c r="A4829" t="s">
        <v>4893</v>
      </c>
      <c r="B4829" s="1">
        <v>45974</v>
      </c>
      <c r="C4829">
        <v>2025</v>
      </c>
      <c r="D4829" t="s">
        <v>1832</v>
      </c>
      <c r="E4829" t="s">
        <v>2071</v>
      </c>
      <c r="F4829" t="s">
        <v>37</v>
      </c>
      <c r="G4829" t="s">
        <v>51</v>
      </c>
      <c r="H4829" t="s">
        <v>34</v>
      </c>
      <c r="I4829" t="s">
        <v>39</v>
      </c>
      <c r="J4829" t="s">
        <v>35</v>
      </c>
      <c r="K4829" s="2">
        <v>5750</v>
      </c>
      <c r="L4829" s="2">
        <v>7000</v>
      </c>
      <c r="M4829">
        <v>12</v>
      </c>
      <c r="N4829" s="3">
        <v>0.20300000000000001</v>
      </c>
      <c r="O4829" t="s">
        <v>17</v>
      </c>
      <c r="P4829" t="s">
        <v>48</v>
      </c>
      <c r="Q4829">
        <v>0</v>
      </c>
      <c r="R4829">
        <v>1</v>
      </c>
      <c r="S4829" s="2">
        <v>0</v>
      </c>
      <c r="T4829" s="4"/>
      <c r="U4829">
        <v>5</v>
      </c>
      <c r="V4829">
        <v>0</v>
      </c>
      <c r="W4829">
        <v>1</v>
      </c>
    </row>
    <row r="4830" spans="1:23" ht="16.5" x14ac:dyDescent="0.3">
      <c r="A4830" t="s">
        <v>4894</v>
      </c>
      <c r="B4830" s="1">
        <v>45974</v>
      </c>
      <c r="C4830">
        <v>2025</v>
      </c>
      <c r="D4830" t="s">
        <v>1832</v>
      </c>
      <c r="E4830" t="s">
        <v>2071</v>
      </c>
      <c r="F4830" t="s">
        <v>50</v>
      </c>
      <c r="G4830" t="s">
        <v>27</v>
      </c>
      <c r="H4830" t="s">
        <v>38</v>
      </c>
      <c r="I4830" t="s">
        <v>42</v>
      </c>
      <c r="J4830" t="s">
        <v>30</v>
      </c>
      <c r="K4830" s="2">
        <v>5650</v>
      </c>
      <c r="L4830" s="2">
        <v>189000</v>
      </c>
      <c r="M4830">
        <v>180</v>
      </c>
      <c r="N4830" s="3">
        <v>0.317</v>
      </c>
      <c r="O4830" t="s">
        <v>16</v>
      </c>
      <c r="Q4830">
        <v>1</v>
      </c>
      <c r="R4830">
        <v>0</v>
      </c>
      <c r="S4830" s="2">
        <v>151000</v>
      </c>
      <c r="T4830" s="4">
        <v>7.4800000000000005E-2</v>
      </c>
      <c r="U4830">
        <v>11</v>
      </c>
      <c r="V4830">
        <v>1</v>
      </c>
      <c r="W4830">
        <v>1</v>
      </c>
    </row>
    <row r="4831" spans="1:23" ht="16.5" x14ac:dyDescent="0.3">
      <c r="A4831" t="s">
        <v>4895</v>
      </c>
      <c r="B4831" s="1">
        <v>45975</v>
      </c>
      <c r="C4831">
        <v>2025</v>
      </c>
      <c r="D4831" t="s">
        <v>1832</v>
      </c>
      <c r="E4831" t="s">
        <v>2071</v>
      </c>
      <c r="F4831" t="s">
        <v>37</v>
      </c>
      <c r="G4831" t="s">
        <v>33</v>
      </c>
      <c r="H4831" t="s">
        <v>64</v>
      </c>
      <c r="I4831" t="s">
        <v>42</v>
      </c>
      <c r="J4831" t="s">
        <v>30</v>
      </c>
      <c r="K4831" s="2">
        <v>12450</v>
      </c>
      <c r="L4831" s="2">
        <v>10500</v>
      </c>
      <c r="M4831">
        <v>36</v>
      </c>
      <c r="N4831" s="3">
        <v>0.11600000000000001</v>
      </c>
      <c r="O4831" t="s">
        <v>16</v>
      </c>
      <c r="Q4831">
        <v>1</v>
      </c>
      <c r="R4831">
        <v>0</v>
      </c>
      <c r="S4831" s="2">
        <v>9500</v>
      </c>
      <c r="T4831" s="4">
        <v>0.1384</v>
      </c>
      <c r="U4831">
        <v>2</v>
      </c>
      <c r="V4831">
        <v>1</v>
      </c>
      <c r="W4831">
        <v>1</v>
      </c>
    </row>
    <row r="4832" spans="1:23" ht="16.5" x14ac:dyDescent="0.3">
      <c r="A4832" t="s">
        <v>4896</v>
      </c>
      <c r="B4832" s="1">
        <v>45975</v>
      </c>
      <c r="C4832">
        <v>2025</v>
      </c>
      <c r="D4832" t="s">
        <v>1832</v>
      </c>
      <c r="E4832" t="s">
        <v>2071</v>
      </c>
      <c r="F4832" t="s">
        <v>50</v>
      </c>
      <c r="G4832" t="s">
        <v>51</v>
      </c>
      <c r="H4832" t="s">
        <v>64</v>
      </c>
      <c r="I4832" t="s">
        <v>39</v>
      </c>
      <c r="J4832" t="s">
        <v>35</v>
      </c>
      <c r="K4832" s="2">
        <v>4950</v>
      </c>
      <c r="L4832" s="2">
        <v>137500</v>
      </c>
      <c r="M4832">
        <v>180</v>
      </c>
      <c r="N4832" s="3">
        <v>0.29599999999999999</v>
      </c>
      <c r="O4832" t="s">
        <v>17</v>
      </c>
      <c r="P4832" t="s">
        <v>60</v>
      </c>
      <c r="Q4832">
        <v>0</v>
      </c>
      <c r="R4832">
        <v>1</v>
      </c>
      <c r="S4832" s="2">
        <v>0</v>
      </c>
      <c r="T4832" s="4"/>
      <c r="U4832">
        <v>22</v>
      </c>
      <c r="V4832">
        <v>0</v>
      </c>
      <c r="W4832">
        <v>1</v>
      </c>
    </row>
    <row r="4833" spans="1:23" ht="16.5" x14ac:dyDescent="0.3">
      <c r="A4833" t="s">
        <v>4897</v>
      </c>
      <c r="B4833" s="1">
        <v>45975</v>
      </c>
      <c r="C4833">
        <v>2025</v>
      </c>
      <c r="D4833" t="s">
        <v>1832</v>
      </c>
      <c r="E4833" t="s">
        <v>2071</v>
      </c>
      <c r="F4833" t="s">
        <v>26</v>
      </c>
      <c r="G4833" t="s">
        <v>51</v>
      </c>
      <c r="H4833" t="s">
        <v>55</v>
      </c>
      <c r="I4833" t="s">
        <v>29</v>
      </c>
      <c r="J4833" t="s">
        <v>35</v>
      </c>
      <c r="K4833" s="2">
        <v>9050</v>
      </c>
      <c r="L4833" s="2">
        <v>31500</v>
      </c>
      <c r="M4833">
        <v>48</v>
      </c>
      <c r="N4833" s="3">
        <v>0.17199999999999999</v>
      </c>
      <c r="O4833" t="s">
        <v>17</v>
      </c>
      <c r="P4833" t="s">
        <v>65</v>
      </c>
      <c r="Q4833">
        <v>0</v>
      </c>
      <c r="R4833">
        <v>1</v>
      </c>
      <c r="S4833" s="2">
        <v>0</v>
      </c>
      <c r="T4833" s="4"/>
      <c r="U4833">
        <v>9</v>
      </c>
      <c r="V4833">
        <v>0</v>
      </c>
      <c r="W4833">
        <v>1</v>
      </c>
    </row>
    <row r="4834" spans="1:23" ht="16.5" x14ac:dyDescent="0.3">
      <c r="A4834" t="s">
        <v>4898</v>
      </c>
      <c r="B4834" s="1">
        <v>45975</v>
      </c>
      <c r="C4834">
        <v>2025</v>
      </c>
      <c r="D4834" t="s">
        <v>1832</v>
      </c>
      <c r="E4834" t="s">
        <v>2071</v>
      </c>
      <c r="F4834" t="s">
        <v>37</v>
      </c>
      <c r="G4834" t="s">
        <v>33</v>
      </c>
      <c r="H4834" t="s">
        <v>28</v>
      </c>
      <c r="I4834" t="s">
        <v>29</v>
      </c>
      <c r="J4834" t="s">
        <v>30</v>
      </c>
      <c r="K4834" s="2">
        <v>4850</v>
      </c>
      <c r="L4834" s="2">
        <v>9000</v>
      </c>
      <c r="M4834">
        <v>60</v>
      </c>
      <c r="N4834" s="3">
        <v>0.217</v>
      </c>
      <c r="O4834" t="s">
        <v>17</v>
      </c>
      <c r="P4834" t="s">
        <v>31</v>
      </c>
      <c r="Q4834">
        <v>0</v>
      </c>
      <c r="R4834">
        <v>1</v>
      </c>
      <c r="S4834" s="2">
        <v>0</v>
      </c>
      <c r="T4834" s="4"/>
      <c r="U4834">
        <v>1</v>
      </c>
      <c r="V4834">
        <v>1</v>
      </c>
      <c r="W4834">
        <v>1</v>
      </c>
    </row>
    <row r="4835" spans="1:23" ht="16.5" x14ac:dyDescent="0.3">
      <c r="A4835" t="s">
        <v>4899</v>
      </c>
      <c r="B4835" s="1">
        <v>45975</v>
      </c>
      <c r="C4835">
        <v>2025</v>
      </c>
      <c r="D4835" t="s">
        <v>1832</v>
      </c>
      <c r="E4835" t="s">
        <v>2071</v>
      </c>
      <c r="F4835" t="s">
        <v>41</v>
      </c>
      <c r="G4835" t="s">
        <v>33</v>
      </c>
      <c r="H4835" t="s">
        <v>34</v>
      </c>
      <c r="I4835" t="s">
        <v>29</v>
      </c>
      <c r="J4835" t="s">
        <v>46</v>
      </c>
      <c r="K4835" s="2">
        <v>4350</v>
      </c>
      <c r="L4835" s="2">
        <v>112000</v>
      </c>
      <c r="M4835">
        <v>24</v>
      </c>
      <c r="N4835" s="3">
        <v>1.2410000000000001</v>
      </c>
      <c r="O4835" t="s">
        <v>17</v>
      </c>
      <c r="P4835" t="s">
        <v>53</v>
      </c>
      <c r="Q4835">
        <v>0</v>
      </c>
      <c r="R4835">
        <v>1</v>
      </c>
      <c r="S4835" s="2">
        <v>0</v>
      </c>
      <c r="T4835" s="4"/>
      <c r="U4835">
        <v>8</v>
      </c>
      <c r="V4835">
        <v>1</v>
      </c>
      <c r="W4835">
        <v>1</v>
      </c>
    </row>
    <row r="4836" spans="1:23" ht="16.5" x14ac:dyDescent="0.3">
      <c r="A4836" t="s">
        <v>4900</v>
      </c>
      <c r="B4836" s="1">
        <v>45975</v>
      </c>
      <c r="C4836">
        <v>2025</v>
      </c>
      <c r="D4836" t="s">
        <v>1832</v>
      </c>
      <c r="E4836" t="s">
        <v>2071</v>
      </c>
      <c r="F4836" t="s">
        <v>37</v>
      </c>
      <c r="G4836" t="s">
        <v>33</v>
      </c>
      <c r="H4836" t="s">
        <v>34</v>
      </c>
      <c r="I4836" t="s">
        <v>42</v>
      </c>
      <c r="J4836" t="s">
        <v>52</v>
      </c>
      <c r="K4836" s="2">
        <v>7150</v>
      </c>
      <c r="L4836" s="2">
        <v>15500</v>
      </c>
      <c r="M4836">
        <v>12</v>
      </c>
      <c r="N4836" s="3">
        <v>0.374</v>
      </c>
      <c r="O4836" t="s">
        <v>16</v>
      </c>
      <c r="Q4836">
        <v>1</v>
      </c>
      <c r="R4836">
        <v>0</v>
      </c>
      <c r="S4836" s="2">
        <v>12500</v>
      </c>
      <c r="T4836" s="4">
        <v>0.1149</v>
      </c>
      <c r="U4836">
        <v>1</v>
      </c>
      <c r="V4836">
        <v>1</v>
      </c>
      <c r="W4836">
        <v>1</v>
      </c>
    </row>
    <row r="4837" spans="1:23" ht="16.5" x14ac:dyDescent="0.3">
      <c r="A4837" t="s">
        <v>4901</v>
      </c>
      <c r="B4837" s="1">
        <v>45976</v>
      </c>
      <c r="C4837">
        <v>2025</v>
      </c>
      <c r="D4837" t="s">
        <v>1832</v>
      </c>
      <c r="E4837" t="s">
        <v>2071</v>
      </c>
      <c r="F4837" t="s">
        <v>37</v>
      </c>
      <c r="G4837" t="s">
        <v>33</v>
      </c>
      <c r="H4837" t="s">
        <v>38</v>
      </c>
      <c r="I4837" t="s">
        <v>29</v>
      </c>
      <c r="J4837" t="s">
        <v>30</v>
      </c>
      <c r="K4837" s="2">
        <v>3000</v>
      </c>
      <c r="L4837" s="2">
        <v>14000</v>
      </c>
      <c r="M4837">
        <v>12</v>
      </c>
      <c r="N4837" s="3">
        <v>0.627</v>
      </c>
      <c r="O4837" t="s">
        <v>17</v>
      </c>
      <c r="P4837" t="s">
        <v>31</v>
      </c>
      <c r="Q4837">
        <v>0</v>
      </c>
      <c r="R4837">
        <v>1</v>
      </c>
      <c r="S4837" s="2">
        <v>0</v>
      </c>
      <c r="T4837" s="4"/>
      <c r="U4837">
        <v>1</v>
      </c>
      <c r="V4837">
        <v>1</v>
      </c>
      <c r="W4837">
        <v>1</v>
      </c>
    </row>
    <row r="4838" spans="1:23" ht="16.5" x14ac:dyDescent="0.3">
      <c r="A4838" t="s">
        <v>4902</v>
      </c>
      <c r="B4838" s="1">
        <v>45976</v>
      </c>
      <c r="C4838">
        <v>2025</v>
      </c>
      <c r="D4838" t="s">
        <v>1832</v>
      </c>
      <c r="E4838" t="s">
        <v>2071</v>
      </c>
      <c r="F4838" t="s">
        <v>37</v>
      </c>
      <c r="G4838" t="s">
        <v>33</v>
      </c>
      <c r="H4838" t="s">
        <v>38</v>
      </c>
      <c r="I4838" t="s">
        <v>39</v>
      </c>
      <c r="J4838" t="s">
        <v>52</v>
      </c>
      <c r="K4838" s="2">
        <v>6750</v>
      </c>
      <c r="L4838" s="2">
        <v>15000</v>
      </c>
      <c r="M4838">
        <v>60</v>
      </c>
      <c r="N4838" s="3">
        <v>0.23799999999999999</v>
      </c>
      <c r="O4838" t="s">
        <v>16</v>
      </c>
      <c r="Q4838">
        <v>1</v>
      </c>
      <c r="R4838">
        <v>0</v>
      </c>
      <c r="S4838" s="2">
        <v>15000</v>
      </c>
      <c r="T4838" s="4">
        <v>0.1188</v>
      </c>
      <c r="U4838">
        <v>2</v>
      </c>
      <c r="V4838">
        <v>1</v>
      </c>
      <c r="W4838">
        <v>1</v>
      </c>
    </row>
    <row r="4839" spans="1:23" ht="16.5" x14ac:dyDescent="0.3">
      <c r="A4839" t="s">
        <v>4903</v>
      </c>
      <c r="B4839" s="1">
        <v>45976</v>
      </c>
      <c r="C4839">
        <v>2025</v>
      </c>
      <c r="D4839" t="s">
        <v>1832</v>
      </c>
      <c r="E4839" t="s">
        <v>2071</v>
      </c>
      <c r="F4839" t="s">
        <v>26</v>
      </c>
      <c r="G4839" t="s">
        <v>27</v>
      </c>
      <c r="H4839" t="s">
        <v>34</v>
      </c>
      <c r="I4839" t="s">
        <v>29</v>
      </c>
      <c r="J4839" t="s">
        <v>52</v>
      </c>
      <c r="K4839" s="2">
        <v>8050</v>
      </c>
      <c r="L4839" s="2">
        <v>28000</v>
      </c>
      <c r="M4839">
        <v>60</v>
      </c>
      <c r="N4839" s="3">
        <v>0.26400000000000001</v>
      </c>
      <c r="O4839" t="s">
        <v>17</v>
      </c>
      <c r="P4839" t="s">
        <v>60</v>
      </c>
      <c r="Q4839">
        <v>0</v>
      </c>
      <c r="R4839">
        <v>1</v>
      </c>
      <c r="S4839" s="2">
        <v>0</v>
      </c>
      <c r="T4839" s="4"/>
      <c r="U4839">
        <v>9</v>
      </c>
      <c r="V4839">
        <v>0</v>
      </c>
      <c r="W4839">
        <v>1</v>
      </c>
    </row>
    <row r="4840" spans="1:23" ht="16.5" x14ac:dyDescent="0.3">
      <c r="A4840" t="s">
        <v>4904</v>
      </c>
      <c r="B4840" s="1">
        <v>45976</v>
      </c>
      <c r="C4840">
        <v>2025</v>
      </c>
      <c r="D4840" t="s">
        <v>1832</v>
      </c>
      <c r="E4840" t="s">
        <v>2071</v>
      </c>
      <c r="F4840" t="s">
        <v>37</v>
      </c>
      <c r="G4840" t="s">
        <v>33</v>
      </c>
      <c r="H4840" t="s">
        <v>64</v>
      </c>
      <c r="I4840" t="s">
        <v>29</v>
      </c>
      <c r="J4840" t="s">
        <v>30</v>
      </c>
      <c r="K4840" s="2">
        <v>3450</v>
      </c>
      <c r="L4840" s="2">
        <v>8000</v>
      </c>
      <c r="M4840">
        <v>60</v>
      </c>
      <c r="N4840" s="3">
        <v>0.17399999999999999</v>
      </c>
      <c r="O4840" t="s">
        <v>17</v>
      </c>
      <c r="P4840" t="s">
        <v>31</v>
      </c>
      <c r="Q4840">
        <v>0</v>
      </c>
      <c r="R4840">
        <v>1</v>
      </c>
      <c r="S4840" s="2">
        <v>0</v>
      </c>
      <c r="T4840" s="4"/>
      <c r="U4840">
        <v>2</v>
      </c>
      <c r="V4840">
        <v>1</v>
      </c>
      <c r="W4840">
        <v>1</v>
      </c>
    </row>
    <row r="4841" spans="1:23" ht="16.5" x14ac:dyDescent="0.3">
      <c r="A4841" t="s">
        <v>4905</v>
      </c>
      <c r="B4841" s="1">
        <v>45976</v>
      </c>
      <c r="C4841">
        <v>2025</v>
      </c>
      <c r="D4841" t="s">
        <v>1832</v>
      </c>
      <c r="E4841" t="s">
        <v>2071</v>
      </c>
      <c r="F4841" t="s">
        <v>50</v>
      </c>
      <c r="G4841" t="s">
        <v>45</v>
      </c>
      <c r="H4841" t="s">
        <v>55</v>
      </c>
      <c r="I4841" t="s">
        <v>29</v>
      </c>
      <c r="J4841" t="s">
        <v>35</v>
      </c>
      <c r="K4841" s="2">
        <v>8100</v>
      </c>
      <c r="L4841" s="2">
        <v>166500</v>
      </c>
      <c r="M4841">
        <v>300</v>
      </c>
      <c r="N4841" s="3">
        <v>0.36699999999999999</v>
      </c>
      <c r="O4841" t="s">
        <v>17</v>
      </c>
      <c r="P4841" t="s">
        <v>31</v>
      </c>
      <c r="Q4841">
        <v>0</v>
      </c>
      <c r="R4841">
        <v>1</v>
      </c>
      <c r="S4841" s="2">
        <v>0</v>
      </c>
      <c r="T4841" s="4"/>
      <c r="U4841">
        <v>16</v>
      </c>
      <c r="V4841">
        <v>0</v>
      </c>
      <c r="W4841">
        <v>1</v>
      </c>
    </row>
    <row r="4842" spans="1:23" ht="16.5" x14ac:dyDescent="0.3">
      <c r="A4842" t="s">
        <v>4906</v>
      </c>
      <c r="B4842" s="1">
        <v>45976</v>
      </c>
      <c r="C4842">
        <v>2025</v>
      </c>
      <c r="D4842" t="s">
        <v>1832</v>
      </c>
      <c r="E4842" t="s">
        <v>2071</v>
      </c>
      <c r="F4842" t="s">
        <v>37</v>
      </c>
      <c r="G4842" t="s">
        <v>27</v>
      </c>
      <c r="H4842" t="s">
        <v>38</v>
      </c>
      <c r="I4842" t="s">
        <v>39</v>
      </c>
      <c r="J4842" t="s">
        <v>35</v>
      </c>
      <c r="K4842" s="2">
        <v>8900</v>
      </c>
      <c r="L4842" s="2">
        <v>26000</v>
      </c>
      <c r="M4842">
        <v>24</v>
      </c>
      <c r="N4842" s="3">
        <v>0.377</v>
      </c>
      <c r="O4842" t="s">
        <v>16</v>
      </c>
      <c r="Q4842">
        <v>1</v>
      </c>
      <c r="R4842">
        <v>0</v>
      </c>
      <c r="S4842" s="2">
        <v>23500</v>
      </c>
      <c r="T4842" s="4">
        <v>0.12540000000000001</v>
      </c>
      <c r="U4842">
        <v>3</v>
      </c>
      <c r="V4842">
        <v>1</v>
      </c>
      <c r="W4842">
        <v>1</v>
      </c>
    </row>
    <row r="4843" spans="1:23" ht="16.5" x14ac:dyDescent="0.3">
      <c r="A4843" t="s">
        <v>4907</v>
      </c>
      <c r="B4843" s="1">
        <v>45976</v>
      </c>
      <c r="C4843">
        <v>2025</v>
      </c>
      <c r="D4843" t="s">
        <v>1832</v>
      </c>
      <c r="E4843" t="s">
        <v>2071</v>
      </c>
      <c r="F4843" t="s">
        <v>37</v>
      </c>
      <c r="G4843" t="s">
        <v>51</v>
      </c>
      <c r="H4843" t="s">
        <v>28</v>
      </c>
      <c r="I4843" t="s">
        <v>29</v>
      </c>
      <c r="J4843" t="s">
        <v>30</v>
      </c>
      <c r="K4843" s="2">
        <v>7800</v>
      </c>
      <c r="L4843" s="2">
        <v>17000</v>
      </c>
      <c r="M4843">
        <v>24</v>
      </c>
      <c r="N4843" s="3">
        <v>0.30599999999999999</v>
      </c>
      <c r="O4843" t="s">
        <v>16</v>
      </c>
      <c r="Q4843">
        <v>1</v>
      </c>
      <c r="R4843">
        <v>0</v>
      </c>
      <c r="S4843" s="2">
        <v>17000</v>
      </c>
      <c r="T4843" s="4">
        <v>0.1399</v>
      </c>
      <c r="U4843">
        <v>4</v>
      </c>
      <c r="V4843">
        <v>0</v>
      </c>
      <c r="W4843">
        <v>1</v>
      </c>
    </row>
    <row r="4844" spans="1:23" ht="16.5" x14ac:dyDescent="0.3">
      <c r="A4844" t="s">
        <v>4908</v>
      </c>
      <c r="B4844" s="1">
        <v>45976</v>
      </c>
      <c r="C4844">
        <v>2025</v>
      </c>
      <c r="D4844" t="s">
        <v>1832</v>
      </c>
      <c r="E4844" t="s">
        <v>2071</v>
      </c>
      <c r="F4844" t="s">
        <v>41</v>
      </c>
      <c r="G4844" t="s">
        <v>51</v>
      </c>
      <c r="H4844" t="s">
        <v>55</v>
      </c>
      <c r="I4844" t="s">
        <v>42</v>
      </c>
      <c r="J4844" t="s">
        <v>30</v>
      </c>
      <c r="K4844" s="2">
        <v>9000</v>
      </c>
      <c r="L4844" s="2">
        <v>76000</v>
      </c>
      <c r="M4844">
        <v>36</v>
      </c>
      <c r="N4844" s="3">
        <v>0.50900000000000001</v>
      </c>
      <c r="O4844" t="s">
        <v>16</v>
      </c>
      <c r="Q4844">
        <v>1</v>
      </c>
      <c r="R4844">
        <v>0</v>
      </c>
      <c r="S4844" s="2">
        <v>76000</v>
      </c>
      <c r="T4844" s="4">
        <v>0.1235</v>
      </c>
      <c r="U4844">
        <v>8</v>
      </c>
      <c r="V4844">
        <v>1</v>
      </c>
      <c r="W4844">
        <v>1</v>
      </c>
    </row>
    <row r="4845" spans="1:23" ht="16.5" x14ac:dyDescent="0.3">
      <c r="A4845" t="s">
        <v>4909</v>
      </c>
      <c r="B4845" s="1">
        <v>45977</v>
      </c>
      <c r="C4845">
        <v>2025</v>
      </c>
      <c r="D4845" t="s">
        <v>1832</v>
      </c>
      <c r="E4845" t="s">
        <v>2071</v>
      </c>
      <c r="F4845" t="s">
        <v>37</v>
      </c>
      <c r="G4845" t="s">
        <v>33</v>
      </c>
      <c r="H4845" t="s">
        <v>38</v>
      </c>
      <c r="I4845" t="s">
        <v>29</v>
      </c>
      <c r="J4845" t="s">
        <v>35</v>
      </c>
      <c r="K4845" s="2">
        <v>5700</v>
      </c>
      <c r="L4845" s="2">
        <v>8000</v>
      </c>
      <c r="M4845">
        <v>36</v>
      </c>
      <c r="N4845" s="3">
        <v>0.21</v>
      </c>
      <c r="O4845" t="s">
        <v>16</v>
      </c>
      <c r="Q4845">
        <v>1</v>
      </c>
      <c r="R4845">
        <v>0</v>
      </c>
      <c r="S4845" s="2">
        <v>7000</v>
      </c>
      <c r="T4845" s="4">
        <v>0.1187</v>
      </c>
      <c r="U4845">
        <v>1</v>
      </c>
      <c r="V4845">
        <v>1</v>
      </c>
      <c r="W4845">
        <v>1</v>
      </c>
    </row>
    <row r="4846" spans="1:23" ht="16.5" x14ac:dyDescent="0.3">
      <c r="A4846" t="s">
        <v>4910</v>
      </c>
      <c r="B4846" s="1">
        <v>45977</v>
      </c>
      <c r="C4846">
        <v>2025</v>
      </c>
      <c r="D4846" t="s">
        <v>1832</v>
      </c>
      <c r="E4846" t="s">
        <v>2071</v>
      </c>
      <c r="F4846" t="s">
        <v>37</v>
      </c>
      <c r="G4846" t="s">
        <v>33</v>
      </c>
      <c r="H4846" t="s">
        <v>64</v>
      </c>
      <c r="I4846" t="s">
        <v>39</v>
      </c>
      <c r="J4846" t="s">
        <v>52</v>
      </c>
      <c r="K4846" s="2">
        <v>3700</v>
      </c>
      <c r="L4846" s="2">
        <v>10000</v>
      </c>
      <c r="M4846">
        <v>12</v>
      </c>
      <c r="N4846" s="3">
        <v>0.45200000000000001</v>
      </c>
      <c r="O4846" t="s">
        <v>16</v>
      </c>
      <c r="Q4846">
        <v>1</v>
      </c>
      <c r="R4846">
        <v>0</v>
      </c>
      <c r="S4846" s="2">
        <v>8000</v>
      </c>
      <c r="T4846" s="4">
        <v>0.1167</v>
      </c>
      <c r="U4846">
        <v>3</v>
      </c>
      <c r="V4846">
        <v>1</v>
      </c>
      <c r="W4846">
        <v>1</v>
      </c>
    </row>
    <row r="4847" spans="1:23" ht="16.5" x14ac:dyDescent="0.3">
      <c r="A4847" t="s">
        <v>4911</v>
      </c>
      <c r="B4847" s="1">
        <v>45977</v>
      </c>
      <c r="C4847">
        <v>2025</v>
      </c>
      <c r="D4847" t="s">
        <v>1832</v>
      </c>
      <c r="E4847" t="s">
        <v>2071</v>
      </c>
      <c r="F4847" t="s">
        <v>41</v>
      </c>
      <c r="G4847" t="s">
        <v>33</v>
      </c>
      <c r="H4847" t="s">
        <v>34</v>
      </c>
      <c r="I4847" t="s">
        <v>39</v>
      </c>
      <c r="J4847" t="s">
        <v>52</v>
      </c>
      <c r="K4847" s="2">
        <v>5050</v>
      </c>
      <c r="L4847" s="2">
        <v>107500</v>
      </c>
      <c r="M4847">
        <v>24</v>
      </c>
      <c r="N4847" s="3">
        <v>1.0780000000000001</v>
      </c>
      <c r="O4847" t="s">
        <v>17</v>
      </c>
      <c r="P4847" t="s">
        <v>53</v>
      </c>
      <c r="Q4847">
        <v>0</v>
      </c>
      <c r="R4847">
        <v>1</v>
      </c>
      <c r="S4847" s="2">
        <v>0</v>
      </c>
      <c r="T4847" s="4"/>
      <c r="U4847">
        <v>3</v>
      </c>
      <c r="V4847">
        <v>1</v>
      </c>
      <c r="W4847">
        <v>1</v>
      </c>
    </row>
    <row r="4848" spans="1:23" ht="16.5" x14ac:dyDescent="0.3">
      <c r="A4848" t="s">
        <v>4912</v>
      </c>
      <c r="B4848" s="1">
        <v>45977</v>
      </c>
      <c r="C4848">
        <v>2025</v>
      </c>
      <c r="D4848" t="s">
        <v>1832</v>
      </c>
      <c r="E4848" t="s">
        <v>2071</v>
      </c>
      <c r="F4848" t="s">
        <v>37</v>
      </c>
      <c r="G4848" t="s">
        <v>33</v>
      </c>
      <c r="H4848" t="s">
        <v>34</v>
      </c>
      <c r="I4848" t="s">
        <v>39</v>
      </c>
      <c r="J4848" t="s">
        <v>35</v>
      </c>
      <c r="K4848" s="2">
        <v>8400</v>
      </c>
      <c r="L4848" s="2">
        <v>15500</v>
      </c>
      <c r="M4848">
        <v>12</v>
      </c>
      <c r="N4848" s="3">
        <v>0.24299999999999999</v>
      </c>
      <c r="O4848" t="s">
        <v>16</v>
      </c>
      <c r="Q4848">
        <v>1</v>
      </c>
      <c r="R4848">
        <v>0</v>
      </c>
      <c r="S4848" s="2">
        <v>15500</v>
      </c>
      <c r="T4848" s="4">
        <v>0.1225</v>
      </c>
      <c r="U4848">
        <v>1</v>
      </c>
      <c r="V4848">
        <v>1</v>
      </c>
      <c r="W4848">
        <v>1</v>
      </c>
    </row>
    <row r="4849" spans="1:23" ht="16.5" x14ac:dyDescent="0.3">
      <c r="A4849" t="s">
        <v>4913</v>
      </c>
      <c r="B4849" s="1">
        <v>45977</v>
      </c>
      <c r="C4849">
        <v>2025</v>
      </c>
      <c r="D4849" t="s">
        <v>1832</v>
      </c>
      <c r="E4849" t="s">
        <v>2071</v>
      </c>
      <c r="F4849" t="s">
        <v>50</v>
      </c>
      <c r="G4849" t="s">
        <v>51</v>
      </c>
      <c r="H4849" t="s">
        <v>38</v>
      </c>
      <c r="I4849" t="s">
        <v>42</v>
      </c>
      <c r="J4849" t="s">
        <v>30</v>
      </c>
      <c r="K4849" s="2">
        <v>3400</v>
      </c>
      <c r="L4849" s="2">
        <v>270500</v>
      </c>
      <c r="M4849">
        <v>240</v>
      </c>
      <c r="N4849" s="3">
        <v>0.59199999999999997</v>
      </c>
      <c r="O4849" t="s">
        <v>17</v>
      </c>
      <c r="P4849" t="s">
        <v>31</v>
      </c>
      <c r="Q4849">
        <v>0</v>
      </c>
      <c r="R4849">
        <v>1</v>
      </c>
      <c r="S4849" s="2">
        <v>0</v>
      </c>
      <c r="T4849" s="4"/>
      <c r="U4849">
        <v>13</v>
      </c>
      <c r="V4849">
        <v>1</v>
      </c>
      <c r="W4849">
        <v>1</v>
      </c>
    </row>
    <row r="4850" spans="1:23" ht="16.5" x14ac:dyDescent="0.3">
      <c r="A4850" t="s">
        <v>4914</v>
      </c>
      <c r="B4850" s="1">
        <v>45978</v>
      </c>
      <c r="C4850">
        <v>2025</v>
      </c>
      <c r="D4850" t="s">
        <v>1832</v>
      </c>
      <c r="E4850" t="s">
        <v>2071</v>
      </c>
      <c r="F4850" t="s">
        <v>37</v>
      </c>
      <c r="G4850" t="s">
        <v>45</v>
      </c>
      <c r="H4850" t="s">
        <v>38</v>
      </c>
      <c r="I4850" t="s">
        <v>39</v>
      </c>
      <c r="J4850" t="s">
        <v>52</v>
      </c>
      <c r="K4850" s="2">
        <v>12400</v>
      </c>
      <c r="L4850" s="2">
        <v>28000</v>
      </c>
      <c r="M4850">
        <v>12</v>
      </c>
      <c r="N4850" s="3">
        <v>0.26500000000000001</v>
      </c>
      <c r="O4850" t="s">
        <v>16</v>
      </c>
      <c r="Q4850">
        <v>1</v>
      </c>
      <c r="R4850">
        <v>0</v>
      </c>
      <c r="S4850" s="2">
        <v>22500</v>
      </c>
      <c r="T4850" s="4">
        <v>0.11269999999999999</v>
      </c>
      <c r="U4850">
        <v>2</v>
      </c>
      <c r="V4850">
        <v>1</v>
      </c>
      <c r="W4850">
        <v>1</v>
      </c>
    </row>
    <row r="4851" spans="1:23" ht="16.5" x14ac:dyDescent="0.3">
      <c r="A4851" t="s">
        <v>4915</v>
      </c>
      <c r="B4851" s="1">
        <v>45978</v>
      </c>
      <c r="C4851">
        <v>2025</v>
      </c>
      <c r="D4851" t="s">
        <v>1832</v>
      </c>
      <c r="E4851" t="s">
        <v>2071</v>
      </c>
      <c r="F4851" t="s">
        <v>50</v>
      </c>
      <c r="G4851" t="s">
        <v>45</v>
      </c>
      <c r="H4851" t="s">
        <v>38</v>
      </c>
      <c r="I4851" t="s">
        <v>29</v>
      </c>
      <c r="J4851" t="s">
        <v>35</v>
      </c>
      <c r="K4851" s="2">
        <v>4050</v>
      </c>
      <c r="L4851" s="2">
        <v>264000</v>
      </c>
      <c r="M4851">
        <v>240</v>
      </c>
      <c r="N4851" s="3">
        <v>0.48099999999999998</v>
      </c>
      <c r="O4851" t="s">
        <v>16</v>
      </c>
      <c r="Q4851">
        <v>1</v>
      </c>
      <c r="R4851">
        <v>0</v>
      </c>
      <c r="S4851" s="2">
        <v>264000</v>
      </c>
      <c r="T4851" s="4">
        <v>5.67E-2</v>
      </c>
      <c r="U4851">
        <v>5</v>
      </c>
      <c r="V4851">
        <v>1</v>
      </c>
      <c r="W4851">
        <v>1</v>
      </c>
    </row>
    <row r="4852" spans="1:23" ht="16.5" x14ac:dyDescent="0.3">
      <c r="A4852" t="s">
        <v>4916</v>
      </c>
      <c r="B4852" s="1">
        <v>45978</v>
      </c>
      <c r="C4852">
        <v>2025</v>
      </c>
      <c r="D4852" t="s">
        <v>1832</v>
      </c>
      <c r="E4852" t="s">
        <v>2071</v>
      </c>
      <c r="F4852" t="s">
        <v>26</v>
      </c>
      <c r="G4852" t="s">
        <v>33</v>
      </c>
      <c r="H4852" t="s">
        <v>34</v>
      </c>
      <c r="I4852" t="s">
        <v>29</v>
      </c>
      <c r="J4852" t="s">
        <v>30</v>
      </c>
      <c r="K4852" s="2">
        <v>8250</v>
      </c>
      <c r="L4852" s="2">
        <v>46000</v>
      </c>
      <c r="M4852">
        <v>36</v>
      </c>
      <c r="N4852" s="3">
        <v>0.39400000000000002</v>
      </c>
      <c r="O4852" t="s">
        <v>17</v>
      </c>
      <c r="P4852" t="s">
        <v>31</v>
      </c>
      <c r="Q4852">
        <v>0</v>
      </c>
      <c r="R4852">
        <v>1</v>
      </c>
      <c r="S4852" s="2">
        <v>0</v>
      </c>
      <c r="T4852" s="4"/>
      <c r="U4852">
        <v>1</v>
      </c>
      <c r="V4852">
        <v>1</v>
      </c>
      <c r="W4852">
        <v>1</v>
      </c>
    </row>
    <row r="4853" spans="1:23" ht="16.5" x14ac:dyDescent="0.3">
      <c r="A4853" t="s">
        <v>4917</v>
      </c>
      <c r="B4853" s="1">
        <v>45978</v>
      </c>
      <c r="C4853">
        <v>2025</v>
      </c>
      <c r="D4853" t="s">
        <v>1832</v>
      </c>
      <c r="E4853" t="s">
        <v>2071</v>
      </c>
      <c r="F4853" t="s">
        <v>37</v>
      </c>
      <c r="G4853" t="s">
        <v>33</v>
      </c>
      <c r="H4853" t="s">
        <v>28</v>
      </c>
      <c r="I4853" t="s">
        <v>29</v>
      </c>
      <c r="J4853" t="s">
        <v>43</v>
      </c>
      <c r="K4853" s="2">
        <v>2250</v>
      </c>
      <c r="L4853" s="2">
        <v>5000</v>
      </c>
      <c r="M4853">
        <v>60</v>
      </c>
      <c r="N4853" s="3">
        <v>0.20399999999999999</v>
      </c>
      <c r="O4853" t="s">
        <v>17</v>
      </c>
      <c r="P4853" t="s">
        <v>31</v>
      </c>
      <c r="Q4853">
        <v>0</v>
      </c>
      <c r="R4853">
        <v>1</v>
      </c>
      <c r="S4853" s="2">
        <v>0</v>
      </c>
      <c r="T4853" s="4"/>
      <c r="U4853">
        <v>1</v>
      </c>
      <c r="V4853">
        <v>1</v>
      </c>
      <c r="W4853">
        <v>1</v>
      </c>
    </row>
    <row r="4854" spans="1:23" ht="16.5" x14ac:dyDescent="0.3">
      <c r="A4854" t="s">
        <v>4918</v>
      </c>
      <c r="B4854" s="1">
        <v>45978</v>
      </c>
      <c r="C4854">
        <v>2025</v>
      </c>
      <c r="D4854" t="s">
        <v>1832</v>
      </c>
      <c r="E4854" t="s">
        <v>2071</v>
      </c>
      <c r="F4854" t="s">
        <v>26</v>
      </c>
      <c r="G4854" t="s">
        <v>27</v>
      </c>
      <c r="H4854" t="s">
        <v>28</v>
      </c>
      <c r="I4854" t="s">
        <v>42</v>
      </c>
      <c r="J4854" t="s">
        <v>52</v>
      </c>
      <c r="K4854" s="2">
        <v>15550</v>
      </c>
      <c r="L4854" s="2">
        <v>43000</v>
      </c>
      <c r="M4854">
        <v>60</v>
      </c>
      <c r="N4854" s="3">
        <v>0.254</v>
      </c>
      <c r="O4854" t="s">
        <v>16</v>
      </c>
      <c r="Q4854">
        <v>1</v>
      </c>
      <c r="R4854">
        <v>0</v>
      </c>
      <c r="S4854" s="2">
        <v>34500</v>
      </c>
      <c r="T4854" s="4">
        <v>7.6700000000000004E-2</v>
      </c>
      <c r="U4854">
        <v>4</v>
      </c>
      <c r="V4854">
        <v>1</v>
      </c>
      <c r="W4854">
        <v>1</v>
      </c>
    </row>
    <row r="4855" spans="1:23" ht="16.5" x14ac:dyDescent="0.3">
      <c r="A4855" t="s">
        <v>4919</v>
      </c>
      <c r="B4855" s="1">
        <v>45978</v>
      </c>
      <c r="C4855">
        <v>2025</v>
      </c>
      <c r="D4855" t="s">
        <v>1832</v>
      </c>
      <c r="E4855" t="s">
        <v>2071</v>
      </c>
      <c r="F4855" t="s">
        <v>37</v>
      </c>
      <c r="G4855" t="s">
        <v>27</v>
      </c>
      <c r="H4855" t="s">
        <v>38</v>
      </c>
      <c r="I4855" t="s">
        <v>42</v>
      </c>
      <c r="J4855" t="s">
        <v>35</v>
      </c>
      <c r="K4855" s="2">
        <v>6350</v>
      </c>
      <c r="L4855" s="2">
        <v>13500</v>
      </c>
      <c r="M4855">
        <v>48</v>
      </c>
      <c r="N4855" s="3">
        <v>0.23200000000000001</v>
      </c>
      <c r="O4855" t="s">
        <v>16</v>
      </c>
      <c r="Q4855">
        <v>1</v>
      </c>
      <c r="R4855">
        <v>0</v>
      </c>
      <c r="S4855" s="2">
        <v>11000</v>
      </c>
      <c r="T4855" s="4">
        <v>0.1172</v>
      </c>
      <c r="U4855">
        <v>3</v>
      </c>
      <c r="V4855">
        <v>1</v>
      </c>
      <c r="W4855">
        <v>1</v>
      </c>
    </row>
    <row r="4856" spans="1:23" ht="16.5" x14ac:dyDescent="0.3">
      <c r="A4856" t="s">
        <v>4920</v>
      </c>
      <c r="B4856" s="1">
        <v>45978</v>
      </c>
      <c r="C4856">
        <v>2025</v>
      </c>
      <c r="D4856" t="s">
        <v>1832</v>
      </c>
      <c r="E4856" t="s">
        <v>2071</v>
      </c>
      <c r="F4856" t="s">
        <v>37</v>
      </c>
      <c r="G4856" t="s">
        <v>45</v>
      </c>
      <c r="H4856" t="s">
        <v>55</v>
      </c>
      <c r="I4856" t="s">
        <v>39</v>
      </c>
      <c r="J4856" t="s">
        <v>35</v>
      </c>
      <c r="K4856" s="2">
        <v>4300</v>
      </c>
      <c r="L4856" s="2">
        <v>20000</v>
      </c>
      <c r="M4856">
        <v>60</v>
      </c>
      <c r="N4856" s="3">
        <v>0.22600000000000001</v>
      </c>
      <c r="O4856" t="s">
        <v>16</v>
      </c>
      <c r="Q4856">
        <v>1</v>
      </c>
      <c r="R4856">
        <v>0</v>
      </c>
      <c r="S4856" s="2">
        <v>20000</v>
      </c>
      <c r="T4856" s="4">
        <v>0.12870000000000001</v>
      </c>
      <c r="U4856">
        <v>2</v>
      </c>
      <c r="V4856">
        <v>1</v>
      </c>
      <c r="W4856">
        <v>1</v>
      </c>
    </row>
    <row r="4857" spans="1:23" ht="16.5" x14ac:dyDescent="0.3">
      <c r="A4857" t="s">
        <v>4921</v>
      </c>
      <c r="B4857" s="1">
        <v>45978</v>
      </c>
      <c r="C4857">
        <v>2025</v>
      </c>
      <c r="D4857" t="s">
        <v>1832</v>
      </c>
      <c r="E4857" t="s">
        <v>2071</v>
      </c>
      <c r="F4857" t="s">
        <v>37</v>
      </c>
      <c r="G4857" t="s">
        <v>33</v>
      </c>
      <c r="H4857" t="s">
        <v>28</v>
      </c>
      <c r="I4857" t="s">
        <v>29</v>
      </c>
      <c r="J4857" t="s">
        <v>30</v>
      </c>
      <c r="K4857" s="2">
        <v>3750</v>
      </c>
      <c r="L4857" s="2">
        <v>22000</v>
      </c>
      <c r="M4857">
        <v>48</v>
      </c>
      <c r="N4857" s="3">
        <v>0.34699999999999998</v>
      </c>
      <c r="O4857" t="s">
        <v>17</v>
      </c>
      <c r="P4857" t="s">
        <v>31</v>
      </c>
      <c r="Q4857">
        <v>0</v>
      </c>
      <c r="R4857">
        <v>1</v>
      </c>
      <c r="S4857" s="2">
        <v>0</v>
      </c>
      <c r="T4857" s="4"/>
      <c r="U4857">
        <v>1</v>
      </c>
      <c r="V4857">
        <v>1</v>
      </c>
      <c r="W4857">
        <v>1</v>
      </c>
    </row>
    <row r="4858" spans="1:23" ht="16.5" x14ac:dyDescent="0.3">
      <c r="A4858" t="s">
        <v>4922</v>
      </c>
      <c r="B4858" s="1">
        <v>45978</v>
      </c>
      <c r="C4858">
        <v>2025</v>
      </c>
      <c r="D4858" t="s">
        <v>1832</v>
      </c>
      <c r="E4858" t="s">
        <v>2071</v>
      </c>
      <c r="F4858" t="s">
        <v>26</v>
      </c>
      <c r="G4858" t="s">
        <v>51</v>
      </c>
      <c r="H4858" t="s">
        <v>55</v>
      </c>
      <c r="I4858" t="s">
        <v>29</v>
      </c>
      <c r="J4858" t="s">
        <v>30</v>
      </c>
      <c r="K4858" s="2">
        <v>3400</v>
      </c>
      <c r="L4858" s="2">
        <v>39000</v>
      </c>
      <c r="M4858">
        <v>48</v>
      </c>
      <c r="N4858" s="3">
        <v>0.36599999999999999</v>
      </c>
      <c r="O4858" t="s">
        <v>16</v>
      </c>
      <c r="Q4858">
        <v>1</v>
      </c>
      <c r="R4858">
        <v>0</v>
      </c>
      <c r="S4858" s="2">
        <v>39000</v>
      </c>
      <c r="T4858" s="4">
        <v>9.5699999999999993E-2</v>
      </c>
      <c r="U4858">
        <v>5</v>
      </c>
      <c r="V4858">
        <v>0</v>
      </c>
      <c r="W4858">
        <v>1</v>
      </c>
    </row>
    <row r="4859" spans="1:23" ht="16.5" x14ac:dyDescent="0.3">
      <c r="A4859" t="s">
        <v>4923</v>
      </c>
      <c r="B4859" s="1">
        <v>45978</v>
      </c>
      <c r="C4859">
        <v>2025</v>
      </c>
      <c r="D4859" t="s">
        <v>1832</v>
      </c>
      <c r="E4859" t="s">
        <v>2071</v>
      </c>
      <c r="F4859" t="s">
        <v>41</v>
      </c>
      <c r="G4859" t="s">
        <v>33</v>
      </c>
      <c r="H4859" t="s">
        <v>34</v>
      </c>
      <c r="I4859" t="s">
        <v>39</v>
      </c>
      <c r="J4859" t="s">
        <v>46</v>
      </c>
      <c r="K4859" s="2">
        <v>5700</v>
      </c>
      <c r="L4859" s="2">
        <v>123000</v>
      </c>
      <c r="M4859">
        <v>12</v>
      </c>
      <c r="N4859" s="3">
        <v>2.024</v>
      </c>
      <c r="O4859" t="s">
        <v>17</v>
      </c>
      <c r="P4859" t="s">
        <v>53</v>
      </c>
      <c r="Q4859">
        <v>0</v>
      </c>
      <c r="R4859">
        <v>1</v>
      </c>
      <c r="S4859" s="2">
        <v>0</v>
      </c>
      <c r="T4859" s="4"/>
      <c r="U4859">
        <v>4</v>
      </c>
      <c r="V4859">
        <v>1</v>
      </c>
      <c r="W4859">
        <v>1</v>
      </c>
    </row>
    <row r="4860" spans="1:23" ht="16.5" x14ac:dyDescent="0.3">
      <c r="A4860" t="s">
        <v>4924</v>
      </c>
      <c r="B4860" s="1">
        <v>45978</v>
      </c>
      <c r="C4860">
        <v>2025</v>
      </c>
      <c r="D4860" t="s">
        <v>1832</v>
      </c>
      <c r="E4860" t="s">
        <v>2071</v>
      </c>
      <c r="F4860" t="s">
        <v>50</v>
      </c>
      <c r="G4860" t="s">
        <v>33</v>
      </c>
      <c r="H4860" t="s">
        <v>28</v>
      </c>
      <c r="I4860" t="s">
        <v>29</v>
      </c>
      <c r="J4860" t="s">
        <v>52</v>
      </c>
      <c r="K4860" s="2">
        <v>4250</v>
      </c>
      <c r="L4860" s="2">
        <v>348000</v>
      </c>
      <c r="M4860">
        <v>300</v>
      </c>
      <c r="N4860" s="3">
        <v>0.67500000000000004</v>
      </c>
      <c r="O4860" t="s">
        <v>16</v>
      </c>
      <c r="Q4860">
        <v>1</v>
      </c>
      <c r="R4860">
        <v>0</v>
      </c>
      <c r="S4860" s="2">
        <v>278500</v>
      </c>
      <c r="T4860" s="4">
        <v>5.1700000000000003E-2</v>
      </c>
      <c r="U4860">
        <v>7</v>
      </c>
      <c r="V4860">
        <v>1</v>
      </c>
      <c r="W4860">
        <v>1</v>
      </c>
    </row>
    <row r="4861" spans="1:23" ht="16.5" x14ac:dyDescent="0.3">
      <c r="A4861" t="s">
        <v>4925</v>
      </c>
      <c r="B4861" s="1">
        <v>45979</v>
      </c>
      <c r="C4861">
        <v>2025</v>
      </c>
      <c r="D4861" t="s">
        <v>1832</v>
      </c>
      <c r="E4861" t="s">
        <v>2071</v>
      </c>
      <c r="F4861" t="s">
        <v>37</v>
      </c>
      <c r="G4861" t="s">
        <v>51</v>
      </c>
      <c r="H4861" t="s">
        <v>34</v>
      </c>
      <c r="I4861" t="s">
        <v>29</v>
      </c>
      <c r="J4861" t="s">
        <v>35</v>
      </c>
      <c r="K4861" s="2">
        <v>4950</v>
      </c>
      <c r="L4861" s="2">
        <v>13500</v>
      </c>
      <c r="M4861">
        <v>60</v>
      </c>
      <c r="N4861" s="3">
        <v>0.25900000000000001</v>
      </c>
      <c r="O4861" t="s">
        <v>16</v>
      </c>
      <c r="Q4861">
        <v>1</v>
      </c>
      <c r="R4861">
        <v>0</v>
      </c>
      <c r="S4861" s="2">
        <v>13500</v>
      </c>
      <c r="T4861" s="4">
        <v>0.1245</v>
      </c>
      <c r="U4861">
        <v>3</v>
      </c>
      <c r="V4861">
        <v>1</v>
      </c>
      <c r="W4861">
        <v>1</v>
      </c>
    </row>
    <row r="4862" spans="1:23" ht="16.5" x14ac:dyDescent="0.3">
      <c r="A4862" t="s">
        <v>4926</v>
      </c>
      <c r="B4862" s="1">
        <v>45979</v>
      </c>
      <c r="C4862">
        <v>2025</v>
      </c>
      <c r="D4862" t="s">
        <v>1832</v>
      </c>
      <c r="E4862" t="s">
        <v>2071</v>
      </c>
      <c r="F4862" t="s">
        <v>41</v>
      </c>
      <c r="G4862" t="s">
        <v>27</v>
      </c>
      <c r="H4862" t="s">
        <v>38</v>
      </c>
      <c r="I4862" t="s">
        <v>29</v>
      </c>
      <c r="J4862" t="s">
        <v>52</v>
      </c>
      <c r="K4862" s="2">
        <v>2250</v>
      </c>
      <c r="L4862" s="2">
        <v>125000</v>
      </c>
      <c r="M4862">
        <v>36</v>
      </c>
      <c r="N4862" s="3">
        <v>1.978</v>
      </c>
      <c r="O4862" t="s">
        <v>17</v>
      </c>
      <c r="P4862" t="s">
        <v>53</v>
      </c>
      <c r="Q4862">
        <v>0</v>
      </c>
      <c r="R4862">
        <v>1</v>
      </c>
      <c r="S4862" s="2">
        <v>0</v>
      </c>
      <c r="T4862" s="4"/>
      <c r="U4862">
        <v>24</v>
      </c>
      <c r="V4862">
        <v>0</v>
      </c>
      <c r="W4862">
        <v>1</v>
      </c>
    </row>
    <row r="4863" spans="1:23" ht="16.5" x14ac:dyDescent="0.3">
      <c r="A4863" t="s">
        <v>4927</v>
      </c>
      <c r="B4863" s="1">
        <v>45979</v>
      </c>
      <c r="C4863">
        <v>2025</v>
      </c>
      <c r="D4863" t="s">
        <v>1832</v>
      </c>
      <c r="E4863" t="s">
        <v>2071</v>
      </c>
      <c r="F4863" t="s">
        <v>50</v>
      </c>
      <c r="G4863" t="s">
        <v>33</v>
      </c>
      <c r="H4863" t="s">
        <v>38</v>
      </c>
      <c r="I4863" t="s">
        <v>39</v>
      </c>
      <c r="J4863" t="s">
        <v>52</v>
      </c>
      <c r="K4863" s="2">
        <v>4050</v>
      </c>
      <c r="L4863" s="2">
        <v>583500</v>
      </c>
      <c r="M4863">
        <v>240</v>
      </c>
      <c r="N4863" s="3">
        <v>1.1439999999999999</v>
      </c>
      <c r="O4863" t="s">
        <v>17</v>
      </c>
      <c r="P4863" t="s">
        <v>53</v>
      </c>
      <c r="Q4863">
        <v>0</v>
      </c>
      <c r="R4863">
        <v>1</v>
      </c>
      <c r="S4863" s="2">
        <v>0</v>
      </c>
      <c r="T4863" s="4"/>
      <c r="U4863">
        <v>7</v>
      </c>
      <c r="V4863">
        <v>1</v>
      </c>
      <c r="W4863">
        <v>1</v>
      </c>
    </row>
    <row r="4864" spans="1:23" ht="16.5" x14ac:dyDescent="0.3">
      <c r="A4864" t="s">
        <v>4928</v>
      </c>
      <c r="B4864" s="1">
        <v>45979</v>
      </c>
      <c r="C4864">
        <v>2025</v>
      </c>
      <c r="D4864" t="s">
        <v>1832</v>
      </c>
      <c r="E4864" t="s">
        <v>2071</v>
      </c>
      <c r="F4864" t="s">
        <v>37</v>
      </c>
      <c r="G4864" t="s">
        <v>27</v>
      </c>
      <c r="H4864" t="s">
        <v>28</v>
      </c>
      <c r="I4864" t="s">
        <v>29</v>
      </c>
      <c r="J4864" t="s">
        <v>35</v>
      </c>
      <c r="K4864" s="2">
        <v>8350</v>
      </c>
      <c r="L4864" s="2">
        <v>23000</v>
      </c>
      <c r="M4864">
        <v>12</v>
      </c>
      <c r="N4864" s="3">
        <v>0.47399999999999998</v>
      </c>
      <c r="O4864" t="s">
        <v>16</v>
      </c>
      <c r="Q4864">
        <v>1</v>
      </c>
      <c r="R4864">
        <v>0</v>
      </c>
      <c r="S4864" s="2">
        <v>20500</v>
      </c>
      <c r="T4864" s="4">
        <v>0.12239999999999999</v>
      </c>
      <c r="U4864">
        <v>3</v>
      </c>
      <c r="V4864">
        <v>1</v>
      </c>
      <c r="W4864">
        <v>1</v>
      </c>
    </row>
    <row r="4865" spans="1:23" ht="16.5" x14ac:dyDescent="0.3">
      <c r="A4865" t="s">
        <v>4929</v>
      </c>
      <c r="B4865" s="1">
        <v>45979</v>
      </c>
      <c r="C4865">
        <v>2025</v>
      </c>
      <c r="D4865" t="s">
        <v>1832</v>
      </c>
      <c r="E4865" t="s">
        <v>2071</v>
      </c>
      <c r="F4865" t="s">
        <v>37</v>
      </c>
      <c r="G4865" t="s">
        <v>51</v>
      </c>
      <c r="H4865" t="s">
        <v>55</v>
      </c>
      <c r="I4865" t="s">
        <v>29</v>
      </c>
      <c r="J4865" t="s">
        <v>46</v>
      </c>
      <c r="K4865" s="2">
        <v>5550</v>
      </c>
      <c r="L4865" s="2">
        <v>12000</v>
      </c>
      <c r="M4865">
        <v>60</v>
      </c>
      <c r="N4865" s="3">
        <v>0.23599999999999999</v>
      </c>
      <c r="O4865" t="s">
        <v>16</v>
      </c>
      <c r="Q4865">
        <v>1</v>
      </c>
      <c r="R4865">
        <v>0</v>
      </c>
      <c r="S4865" s="2">
        <v>11000</v>
      </c>
      <c r="T4865" s="4">
        <v>0.10100000000000001</v>
      </c>
      <c r="U4865">
        <v>2</v>
      </c>
      <c r="V4865">
        <v>1</v>
      </c>
      <c r="W4865">
        <v>1</v>
      </c>
    </row>
    <row r="4866" spans="1:23" ht="16.5" x14ac:dyDescent="0.3">
      <c r="A4866" t="s">
        <v>4930</v>
      </c>
      <c r="B4866" s="1">
        <v>45979</v>
      </c>
      <c r="C4866">
        <v>2025</v>
      </c>
      <c r="D4866" t="s">
        <v>1832</v>
      </c>
      <c r="E4866" t="s">
        <v>2071</v>
      </c>
      <c r="F4866" t="s">
        <v>37</v>
      </c>
      <c r="G4866" t="s">
        <v>51</v>
      </c>
      <c r="H4866" t="s">
        <v>34</v>
      </c>
      <c r="I4866" t="s">
        <v>42</v>
      </c>
      <c r="J4866" t="s">
        <v>46</v>
      </c>
      <c r="K4866" s="2">
        <v>6150</v>
      </c>
      <c r="L4866" s="2">
        <v>6500</v>
      </c>
      <c r="M4866">
        <v>48</v>
      </c>
      <c r="N4866" s="3">
        <v>0.128</v>
      </c>
      <c r="O4866" t="s">
        <v>16</v>
      </c>
      <c r="Q4866">
        <v>1</v>
      </c>
      <c r="R4866">
        <v>0</v>
      </c>
      <c r="S4866" s="2">
        <v>6500</v>
      </c>
      <c r="T4866" s="4">
        <v>0.10979999999999999</v>
      </c>
      <c r="U4866">
        <v>7</v>
      </c>
      <c r="V4866">
        <v>0</v>
      </c>
      <c r="W4866">
        <v>1</v>
      </c>
    </row>
    <row r="4867" spans="1:23" ht="16.5" x14ac:dyDescent="0.3">
      <c r="A4867" t="s">
        <v>4931</v>
      </c>
      <c r="B4867" s="1">
        <v>45979</v>
      </c>
      <c r="C4867">
        <v>2025</v>
      </c>
      <c r="D4867" t="s">
        <v>1832</v>
      </c>
      <c r="E4867" t="s">
        <v>2071</v>
      </c>
      <c r="F4867" t="s">
        <v>37</v>
      </c>
      <c r="G4867" t="s">
        <v>33</v>
      </c>
      <c r="H4867" t="s">
        <v>55</v>
      </c>
      <c r="I4867" t="s">
        <v>39</v>
      </c>
      <c r="J4867" t="s">
        <v>52</v>
      </c>
      <c r="K4867" s="2">
        <v>5000</v>
      </c>
      <c r="L4867" s="2">
        <v>14500</v>
      </c>
      <c r="M4867">
        <v>24</v>
      </c>
      <c r="N4867" s="3">
        <v>0.19900000000000001</v>
      </c>
      <c r="O4867" t="s">
        <v>16</v>
      </c>
      <c r="Q4867">
        <v>1</v>
      </c>
      <c r="R4867">
        <v>0</v>
      </c>
      <c r="S4867" s="2">
        <v>14500</v>
      </c>
      <c r="T4867" s="4">
        <v>0.1154</v>
      </c>
      <c r="U4867">
        <v>1</v>
      </c>
      <c r="V4867">
        <v>1</v>
      </c>
      <c r="W4867">
        <v>1</v>
      </c>
    </row>
    <row r="4868" spans="1:23" ht="16.5" x14ac:dyDescent="0.3">
      <c r="A4868" t="s">
        <v>4932</v>
      </c>
      <c r="B4868" s="1">
        <v>45979</v>
      </c>
      <c r="C4868">
        <v>2025</v>
      </c>
      <c r="D4868" t="s">
        <v>1832</v>
      </c>
      <c r="E4868" t="s">
        <v>2071</v>
      </c>
      <c r="F4868" t="s">
        <v>50</v>
      </c>
      <c r="G4868" t="s">
        <v>45</v>
      </c>
      <c r="H4868" t="s">
        <v>55</v>
      </c>
      <c r="I4868" t="s">
        <v>29</v>
      </c>
      <c r="J4868" t="s">
        <v>52</v>
      </c>
      <c r="K4868" s="2">
        <v>5250</v>
      </c>
      <c r="L4868" s="2">
        <v>281500</v>
      </c>
      <c r="M4868">
        <v>240</v>
      </c>
      <c r="N4868" s="3">
        <v>0.59399999999999997</v>
      </c>
      <c r="O4868" t="s">
        <v>16</v>
      </c>
      <c r="Q4868">
        <v>1</v>
      </c>
      <c r="R4868">
        <v>0</v>
      </c>
      <c r="S4868" s="2">
        <v>225000</v>
      </c>
      <c r="T4868" s="4">
        <v>4.82E-2</v>
      </c>
      <c r="U4868">
        <v>11</v>
      </c>
      <c r="V4868">
        <v>1</v>
      </c>
      <c r="W4868">
        <v>1</v>
      </c>
    </row>
    <row r="4869" spans="1:23" ht="16.5" x14ac:dyDescent="0.3">
      <c r="A4869" t="s">
        <v>4933</v>
      </c>
      <c r="B4869" s="1">
        <v>45980</v>
      </c>
      <c r="C4869">
        <v>2025</v>
      </c>
      <c r="D4869" t="s">
        <v>1832</v>
      </c>
      <c r="E4869" t="s">
        <v>2071</v>
      </c>
      <c r="F4869" t="s">
        <v>37</v>
      </c>
      <c r="G4869" t="s">
        <v>33</v>
      </c>
      <c r="H4869" t="s">
        <v>28</v>
      </c>
      <c r="I4869" t="s">
        <v>29</v>
      </c>
      <c r="J4869" t="s">
        <v>30</v>
      </c>
      <c r="K4869" s="2">
        <v>5600</v>
      </c>
      <c r="L4869" s="2">
        <v>15500</v>
      </c>
      <c r="M4869">
        <v>48</v>
      </c>
      <c r="N4869" s="3">
        <v>0.19</v>
      </c>
      <c r="O4869" t="s">
        <v>17</v>
      </c>
      <c r="P4869" t="s">
        <v>31</v>
      </c>
      <c r="Q4869">
        <v>0</v>
      </c>
      <c r="R4869">
        <v>1</v>
      </c>
      <c r="S4869" s="2">
        <v>0</v>
      </c>
      <c r="T4869" s="4"/>
      <c r="U4869">
        <v>2</v>
      </c>
      <c r="V4869">
        <v>1</v>
      </c>
      <c r="W4869">
        <v>1</v>
      </c>
    </row>
    <row r="4870" spans="1:23" ht="16.5" x14ac:dyDescent="0.3">
      <c r="A4870" t="s">
        <v>4934</v>
      </c>
      <c r="B4870" s="1">
        <v>45980</v>
      </c>
      <c r="C4870">
        <v>2025</v>
      </c>
      <c r="D4870" t="s">
        <v>1832</v>
      </c>
      <c r="E4870" t="s">
        <v>2071</v>
      </c>
      <c r="F4870" t="s">
        <v>50</v>
      </c>
      <c r="G4870" t="s">
        <v>45</v>
      </c>
      <c r="H4870" t="s">
        <v>38</v>
      </c>
      <c r="I4870" t="s">
        <v>29</v>
      </c>
      <c r="J4870" t="s">
        <v>35</v>
      </c>
      <c r="K4870" s="2">
        <v>4250</v>
      </c>
      <c r="L4870" s="2">
        <v>513500</v>
      </c>
      <c r="M4870">
        <v>300</v>
      </c>
      <c r="N4870" s="3">
        <v>0.754</v>
      </c>
      <c r="O4870" t="s">
        <v>16</v>
      </c>
      <c r="Q4870">
        <v>1</v>
      </c>
      <c r="R4870">
        <v>0</v>
      </c>
      <c r="S4870" s="2">
        <v>462000</v>
      </c>
      <c r="T4870" s="4">
        <v>6.0100000000000001E-2</v>
      </c>
      <c r="U4870">
        <v>7</v>
      </c>
      <c r="V4870">
        <v>1</v>
      </c>
      <c r="W4870">
        <v>1</v>
      </c>
    </row>
    <row r="4871" spans="1:23" ht="16.5" x14ac:dyDescent="0.3">
      <c r="A4871" t="s">
        <v>4935</v>
      </c>
      <c r="B4871" s="1">
        <v>45980</v>
      </c>
      <c r="C4871">
        <v>2025</v>
      </c>
      <c r="D4871" t="s">
        <v>1832</v>
      </c>
      <c r="E4871" t="s">
        <v>2071</v>
      </c>
      <c r="F4871" t="s">
        <v>37</v>
      </c>
      <c r="G4871" t="s">
        <v>51</v>
      </c>
      <c r="H4871" t="s">
        <v>38</v>
      </c>
      <c r="I4871" t="s">
        <v>39</v>
      </c>
      <c r="J4871" t="s">
        <v>52</v>
      </c>
      <c r="K4871" s="2">
        <v>2950</v>
      </c>
      <c r="L4871" s="2">
        <v>8000</v>
      </c>
      <c r="M4871">
        <v>12</v>
      </c>
      <c r="N4871" s="3">
        <v>0.377</v>
      </c>
      <c r="O4871" t="s">
        <v>16</v>
      </c>
      <c r="Q4871">
        <v>1</v>
      </c>
      <c r="R4871">
        <v>0</v>
      </c>
      <c r="S4871" s="2">
        <v>7000</v>
      </c>
      <c r="T4871" s="4">
        <v>0.1147</v>
      </c>
      <c r="U4871">
        <v>4</v>
      </c>
      <c r="V4871">
        <v>0</v>
      </c>
      <c r="W4871">
        <v>1</v>
      </c>
    </row>
    <row r="4872" spans="1:23" ht="16.5" x14ac:dyDescent="0.3">
      <c r="A4872" t="s">
        <v>4936</v>
      </c>
      <c r="B4872" s="1">
        <v>45980</v>
      </c>
      <c r="C4872">
        <v>2025</v>
      </c>
      <c r="D4872" t="s">
        <v>1832</v>
      </c>
      <c r="E4872" t="s">
        <v>2071</v>
      </c>
      <c r="F4872" t="s">
        <v>37</v>
      </c>
      <c r="G4872" t="s">
        <v>33</v>
      </c>
      <c r="H4872" t="s">
        <v>34</v>
      </c>
      <c r="I4872" t="s">
        <v>29</v>
      </c>
      <c r="J4872" t="s">
        <v>35</v>
      </c>
      <c r="K4872" s="2">
        <v>7500</v>
      </c>
      <c r="L4872" s="2">
        <v>18000</v>
      </c>
      <c r="M4872">
        <v>60</v>
      </c>
      <c r="N4872" s="3">
        <v>0.20799999999999999</v>
      </c>
      <c r="O4872" t="s">
        <v>16</v>
      </c>
      <c r="Q4872">
        <v>1</v>
      </c>
      <c r="R4872">
        <v>0</v>
      </c>
      <c r="S4872" s="2">
        <v>18000</v>
      </c>
      <c r="T4872" s="4">
        <v>0.1244</v>
      </c>
      <c r="U4872">
        <v>2</v>
      </c>
      <c r="V4872">
        <v>1</v>
      </c>
      <c r="W4872">
        <v>1</v>
      </c>
    </row>
    <row r="4873" spans="1:23" ht="16.5" x14ac:dyDescent="0.3">
      <c r="A4873" t="s">
        <v>4937</v>
      </c>
      <c r="B4873" s="1">
        <v>45980</v>
      </c>
      <c r="C4873">
        <v>2025</v>
      </c>
      <c r="D4873" t="s">
        <v>1832</v>
      </c>
      <c r="E4873" t="s">
        <v>2071</v>
      </c>
      <c r="F4873" t="s">
        <v>41</v>
      </c>
      <c r="G4873" t="s">
        <v>51</v>
      </c>
      <c r="H4873" t="s">
        <v>64</v>
      </c>
      <c r="I4873" t="s">
        <v>42</v>
      </c>
      <c r="J4873" t="s">
        <v>35</v>
      </c>
      <c r="K4873" s="2">
        <v>4250</v>
      </c>
      <c r="L4873" s="2">
        <v>76000</v>
      </c>
      <c r="M4873">
        <v>24</v>
      </c>
      <c r="N4873" s="3">
        <v>1.05</v>
      </c>
      <c r="O4873" t="s">
        <v>17</v>
      </c>
      <c r="P4873" t="s">
        <v>53</v>
      </c>
      <c r="Q4873">
        <v>0</v>
      </c>
      <c r="R4873">
        <v>1</v>
      </c>
      <c r="S4873" s="2">
        <v>0</v>
      </c>
      <c r="T4873" s="4"/>
      <c r="U4873">
        <v>21</v>
      </c>
      <c r="V4873">
        <v>0</v>
      </c>
      <c r="W4873">
        <v>1</v>
      </c>
    </row>
    <row r="4874" spans="1:23" ht="16.5" x14ac:dyDescent="0.3">
      <c r="A4874" t="s">
        <v>4938</v>
      </c>
      <c r="B4874" s="1">
        <v>45980</v>
      </c>
      <c r="C4874">
        <v>2025</v>
      </c>
      <c r="D4874" t="s">
        <v>1832</v>
      </c>
      <c r="E4874" t="s">
        <v>2071</v>
      </c>
      <c r="F4874" t="s">
        <v>37</v>
      </c>
      <c r="G4874" t="s">
        <v>51</v>
      </c>
      <c r="H4874" t="s">
        <v>55</v>
      </c>
      <c r="I4874" t="s">
        <v>29</v>
      </c>
      <c r="J4874" t="s">
        <v>30</v>
      </c>
      <c r="K4874" s="2">
        <v>3350</v>
      </c>
      <c r="L4874" s="2">
        <v>11000</v>
      </c>
      <c r="M4874">
        <v>36</v>
      </c>
      <c r="N4874" s="3">
        <v>0.29099999999999998</v>
      </c>
      <c r="O4874" t="s">
        <v>17</v>
      </c>
      <c r="P4874" t="s">
        <v>31</v>
      </c>
      <c r="Q4874">
        <v>0</v>
      </c>
      <c r="R4874">
        <v>1</v>
      </c>
      <c r="S4874" s="2">
        <v>0</v>
      </c>
      <c r="T4874" s="4"/>
      <c r="U4874">
        <v>7</v>
      </c>
      <c r="V4874">
        <v>0</v>
      </c>
      <c r="W4874">
        <v>1</v>
      </c>
    </row>
    <row r="4875" spans="1:23" ht="16.5" x14ac:dyDescent="0.3">
      <c r="A4875" t="s">
        <v>4939</v>
      </c>
      <c r="B4875" s="1">
        <v>45980</v>
      </c>
      <c r="C4875">
        <v>2025</v>
      </c>
      <c r="D4875" t="s">
        <v>1832</v>
      </c>
      <c r="E4875" t="s">
        <v>2071</v>
      </c>
      <c r="F4875" t="s">
        <v>50</v>
      </c>
      <c r="G4875" t="s">
        <v>45</v>
      </c>
      <c r="H4875" t="s">
        <v>38</v>
      </c>
      <c r="I4875" t="s">
        <v>39</v>
      </c>
      <c r="J4875" t="s">
        <v>35</v>
      </c>
      <c r="K4875" s="2">
        <v>5800</v>
      </c>
      <c r="L4875" s="2">
        <v>133500</v>
      </c>
      <c r="M4875">
        <v>180</v>
      </c>
      <c r="N4875" s="3">
        <v>0.41</v>
      </c>
      <c r="O4875" t="s">
        <v>16</v>
      </c>
      <c r="Q4875">
        <v>1</v>
      </c>
      <c r="R4875">
        <v>0</v>
      </c>
      <c r="S4875" s="2">
        <v>133500</v>
      </c>
      <c r="T4875" s="4">
        <v>5.7000000000000002E-2</v>
      </c>
      <c r="U4875">
        <v>12</v>
      </c>
      <c r="V4875">
        <v>1</v>
      </c>
      <c r="W4875">
        <v>1</v>
      </c>
    </row>
    <row r="4876" spans="1:23" ht="16.5" x14ac:dyDescent="0.3">
      <c r="A4876" t="s">
        <v>4940</v>
      </c>
      <c r="B4876" s="1">
        <v>45980</v>
      </c>
      <c r="C4876">
        <v>2025</v>
      </c>
      <c r="D4876" t="s">
        <v>1832</v>
      </c>
      <c r="E4876" t="s">
        <v>2071</v>
      </c>
      <c r="F4876" t="s">
        <v>26</v>
      </c>
      <c r="G4876" t="s">
        <v>33</v>
      </c>
      <c r="H4876" t="s">
        <v>64</v>
      </c>
      <c r="I4876" t="s">
        <v>42</v>
      </c>
      <c r="J4876" t="s">
        <v>35</v>
      </c>
      <c r="K4876" s="2">
        <v>7550</v>
      </c>
      <c r="L4876" s="2">
        <v>18000</v>
      </c>
      <c r="M4876">
        <v>36</v>
      </c>
      <c r="N4876" s="3">
        <v>0.19900000000000001</v>
      </c>
      <c r="O4876" t="s">
        <v>17</v>
      </c>
      <c r="P4876" t="s">
        <v>65</v>
      </c>
      <c r="Q4876">
        <v>0</v>
      </c>
      <c r="R4876">
        <v>1</v>
      </c>
      <c r="S4876" s="2">
        <v>0</v>
      </c>
      <c r="T4876" s="4"/>
      <c r="U4876">
        <v>1</v>
      </c>
      <c r="V4876">
        <v>1</v>
      </c>
      <c r="W4876">
        <v>1</v>
      </c>
    </row>
    <row r="4877" spans="1:23" ht="16.5" x14ac:dyDescent="0.3">
      <c r="A4877" t="s">
        <v>4941</v>
      </c>
      <c r="B4877" s="1">
        <v>45980</v>
      </c>
      <c r="C4877">
        <v>2025</v>
      </c>
      <c r="D4877" t="s">
        <v>1832</v>
      </c>
      <c r="E4877" t="s">
        <v>2071</v>
      </c>
      <c r="F4877" t="s">
        <v>41</v>
      </c>
      <c r="G4877" t="s">
        <v>27</v>
      </c>
      <c r="H4877" t="s">
        <v>38</v>
      </c>
      <c r="I4877" t="s">
        <v>29</v>
      </c>
      <c r="J4877" t="s">
        <v>46</v>
      </c>
      <c r="K4877" s="2">
        <v>2100</v>
      </c>
      <c r="L4877" s="2">
        <v>125000</v>
      </c>
      <c r="M4877">
        <v>60</v>
      </c>
      <c r="N4877" s="3">
        <v>1.4279999999999999</v>
      </c>
      <c r="O4877" t="s">
        <v>16</v>
      </c>
      <c r="Q4877">
        <v>1</v>
      </c>
      <c r="R4877">
        <v>0</v>
      </c>
      <c r="S4877" s="2">
        <v>100000</v>
      </c>
      <c r="T4877" s="4">
        <v>9.4500000000000001E-2</v>
      </c>
      <c r="U4877">
        <v>6</v>
      </c>
      <c r="V4877">
        <v>1</v>
      </c>
      <c r="W4877">
        <v>1</v>
      </c>
    </row>
    <row r="4878" spans="1:23" ht="16.5" x14ac:dyDescent="0.3">
      <c r="A4878" t="s">
        <v>4942</v>
      </c>
      <c r="B4878" s="1">
        <v>45980</v>
      </c>
      <c r="C4878">
        <v>2025</v>
      </c>
      <c r="D4878" t="s">
        <v>1832</v>
      </c>
      <c r="E4878" t="s">
        <v>2071</v>
      </c>
      <c r="F4878" t="s">
        <v>37</v>
      </c>
      <c r="G4878" t="s">
        <v>27</v>
      </c>
      <c r="H4878" t="s">
        <v>38</v>
      </c>
      <c r="I4878" t="s">
        <v>39</v>
      </c>
      <c r="J4878" t="s">
        <v>30</v>
      </c>
      <c r="K4878" s="2">
        <v>5700</v>
      </c>
      <c r="L4878" s="2">
        <v>17500</v>
      </c>
      <c r="M4878">
        <v>24</v>
      </c>
      <c r="N4878" s="3">
        <v>0.34899999999999998</v>
      </c>
      <c r="O4878" t="s">
        <v>17</v>
      </c>
      <c r="P4878" t="s">
        <v>60</v>
      </c>
      <c r="Q4878">
        <v>0</v>
      </c>
      <c r="R4878">
        <v>1</v>
      </c>
      <c r="S4878" s="2">
        <v>0</v>
      </c>
      <c r="T4878" s="4"/>
      <c r="U4878">
        <v>9</v>
      </c>
      <c r="V4878">
        <v>0</v>
      </c>
      <c r="W4878">
        <v>1</v>
      </c>
    </row>
    <row r="4879" spans="1:23" ht="16.5" x14ac:dyDescent="0.3">
      <c r="A4879" t="s">
        <v>4943</v>
      </c>
      <c r="B4879" s="1">
        <v>45980</v>
      </c>
      <c r="C4879">
        <v>2025</v>
      </c>
      <c r="D4879" t="s">
        <v>1832</v>
      </c>
      <c r="E4879" t="s">
        <v>2071</v>
      </c>
      <c r="F4879" t="s">
        <v>37</v>
      </c>
      <c r="G4879" t="s">
        <v>45</v>
      </c>
      <c r="H4879" t="s">
        <v>38</v>
      </c>
      <c r="I4879" t="s">
        <v>42</v>
      </c>
      <c r="J4879" t="s">
        <v>43</v>
      </c>
      <c r="K4879" s="2">
        <v>4050</v>
      </c>
      <c r="L4879" s="2">
        <v>14500</v>
      </c>
      <c r="M4879">
        <v>60</v>
      </c>
      <c r="N4879" s="3">
        <v>0.317</v>
      </c>
      <c r="O4879" t="s">
        <v>16</v>
      </c>
      <c r="Q4879">
        <v>1</v>
      </c>
      <c r="R4879">
        <v>0</v>
      </c>
      <c r="S4879" s="2">
        <v>14500</v>
      </c>
      <c r="T4879" s="4">
        <v>0.1648</v>
      </c>
      <c r="U4879">
        <v>2</v>
      </c>
      <c r="V4879">
        <v>1</v>
      </c>
      <c r="W4879">
        <v>1</v>
      </c>
    </row>
    <row r="4880" spans="1:23" ht="16.5" x14ac:dyDescent="0.3">
      <c r="A4880" t="s">
        <v>4944</v>
      </c>
      <c r="B4880" s="1">
        <v>45980</v>
      </c>
      <c r="C4880">
        <v>2025</v>
      </c>
      <c r="D4880" t="s">
        <v>1832</v>
      </c>
      <c r="E4880" t="s">
        <v>2071</v>
      </c>
      <c r="F4880" t="s">
        <v>26</v>
      </c>
      <c r="G4880" t="s">
        <v>45</v>
      </c>
      <c r="H4880" t="s">
        <v>38</v>
      </c>
      <c r="I4880" t="s">
        <v>39</v>
      </c>
      <c r="J4880" t="s">
        <v>30</v>
      </c>
      <c r="K4880" s="2">
        <v>11500</v>
      </c>
      <c r="L4880" s="2">
        <v>42500</v>
      </c>
      <c r="M4880">
        <v>48</v>
      </c>
      <c r="N4880" s="3">
        <v>0.28499999999999998</v>
      </c>
      <c r="O4880" t="s">
        <v>16</v>
      </c>
      <c r="Q4880">
        <v>1</v>
      </c>
      <c r="R4880">
        <v>0</v>
      </c>
      <c r="S4880" s="2">
        <v>34000</v>
      </c>
      <c r="T4880" s="4">
        <v>9.4600000000000004E-2</v>
      </c>
      <c r="U4880">
        <v>2</v>
      </c>
      <c r="V4880">
        <v>1</v>
      </c>
      <c r="W4880">
        <v>1</v>
      </c>
    </row>
    <row r="4881" spans="1:23" ht="16.5" x14ac:dyDescent="0.3">
      <c r="A4881" t="s">
        <v>4945</v>
      </c>
      <c r="B4881" s="1">
        <v>45980</v>
      </c>
      <c r="C4881">
        <v>2025</v>
      </c>
      <c r="D4881" t="s">
        <v>1832</v>
      </c>
      <c r="E4881" t="s">
        <v>2071</v>
      </c>
      <c r="F4881" t="s">
        <v>41</v>
      </c>
      <c r="G4881" t="s">
        <v>33</v>
      </c>
      <c r="H4881" t="s">
        <v>28</v>
      </c>
      <c r="I4881" t="s">
        <v>39</v>
      </c>
      <c r="J4881" t="s">
        <v>52</v>
      </c>
      <c r="K4881" s="2">
        <v>5850</v>
      </c>
      <c r="L4881" s="2">
        <v>103500</v>
      </c>
      <c r="M4881">
        <v>12</v>
      </c>
      <c r="N4881" s="3">
        <v>1.7549999999999999</v>
      </c>
      <c r="O4881" t="s">
        <v>17</v>
      </c>
      <c r="P4881" t="s">
        <v>53</v>
      </c>
      <c r="Q4881">
        <v>0</v>
      </c>
      <c r="R4881">
        <v>1</v>
      </c>
      <c r="S4881" s="2">
        <v>0</v>
      </c>
      <c r="T4881" s="4"/>
      <c r="U4881">
        <v>5</v>
      </c>
      <c r="V4881">
        <v>1</v>
      </c>
      <c r="W4881">
        <v>1</v>
      </c>
    </row>
    <row r="4882" spans="1:23" ht="16.5" x14ac:dyDescent="0.3">
      <c r="A4882" t="s">
        <v>4946</v>
      </c>
      <c r="B4882" s="1">
        <v>45980</v>
      </c>
      <c r="C4882">
        <v>2025</v>
      </c>
      <c r="D4882" t="s">
        <v>1832</v>
      </c>
      <c r="E4882" t="s">
        <v>2071</v>
      </c>
      <c r="F4882" t="s">
        <v>37</v>
      </c>
      <c r="G4882" t="s">
        <v>33</v>
      </c>
      <c r="H4882" t="s">
        <v>38</v>
      </c>
      <c r="I4882" t="s">
        <v>29</v>
      </c>
      <c r="J4882" t="s">
        <v>46</v>
      </c>
      <c r="K4882" s="2">
        <v>5500</v>
      </c>
      <c r="L4882" s="2">
        <v>9000</v>
      </c>
      <c r="M4882">
        <v>24</v>
      </c>
      <c r="N4882" s="3">
        <v>0.152</v>
      </c>
      <c r="O4882" t="s">
        <v>16</v>
      </c>
      <c r="Q4882">
        <v>1</v>
      </c>
      <c r="R4882">
        <v>0</v>
      </c>
      <c r="S4882" s="2">
        <v>9000</v>
      </c>
      <c r="T4882" s="4">
        <v>0.1026</v>
      </c>
      <c r="U4882">
        <v>1</v>
      </c>
      <c r="V4882">
        <v>1</v>
      </c>
      <c r="W4882">
        <v>1</v>
      </c>
    </row>
    <row r="4883" spans="1:23" ht="16.5" x14ac:dyDescent="0.3">
      <c r="A4883" t="s">
        <v>4947</v>
      </c>
      <c r="B4883" s="1">
        <v>45981</v>
      </c>
      <c r="C4883">
        <v>2025</v>
      </c>
      <c r="D4883" t="s">
        <v>1832</v>
      </c>
      <c r="E4883" t="s">
        <v>2071</v>
      </c>
      <c r="F4883" t="s">
        <v>41</v>
      </c>
      <c r="G4883" t="s">
        <v>33</v>
      </c>
      <c r="H4883" t="s">
        <v>34</v>
      </c>
      <c r="I4883" t="s">
        <v>29</v>
      </c>
      <c r="J4883" t="s">
        <v>46</v>
      </c>
      <c r="K4883" s="2">
        <v>8350</v>
      </c>
      <c r="L4883" s="2">
        <v>150000</v>
      </c>
      <c r="M4883">
        <v>60</v>
      </c>
      <c r="N4883" s="3">
        <v>0.499</v>
      </c>
      <c r="O4883" t="s">
        <v>16</v>
      </c>
      <c r="Q4883">
        <v>1</v>
      </c>
      <c r="R4883">
        <v>0</v>
      </c>
      <c r="S4883" s="2">
        <v>150000</v>
      </c>
      <c r="T4883" s="4">
        <v>9.1600000000000001E-2</v>
      </c>
      <c r="U4883">
        <v>10</v>
      </c>
      <c r="V4883">
        <v>1</v>
      </c>
      <c r="W4883">
        <v>1</v>
      </c>
    </row>
    <row r="4884" spans="1:23" ht="16.5" x14ac:dyDescent="0.3">
      <c r="A4884" t="s">
        <v>4948</v>
      </c>
      <c r="B4884" s="1">
        <v>45981</v>
      </c>
      <c r="C4884">
        <v>2025</v>
      </c>
      <c r="D4884" t="s">
        <v>1832</v>
      </c>
      <c r="E4884" t="s">
        <v>2071</v>
      </c>
      <c r="F4884" t="s">
        <v>37</v>
      </c>
      <c r="G4884" t="s">
        <v>33</v>
      </c>
      <c r="H4884" t="s">
        <v>34</v>
      </c>
      <c r="I4884" t="s">
        <v>42</v>
      </c>
      <c r="J4884" t="s">
        <v>46</v>
      </c>
      <c r="K4884" s="2">
        <v>11300</v>
      </c>
      <c r="L4884" s="2">
        <v>15500</v>
      </c>
      <c r="M4884">
        <v>48</v>
      </c>
      <c r="N4884" s="3">
        <v>0.2</v>
      </c>
      <c r="O4884" t="s">
        <v>16</v>
      </c>
      <c r="Q4884">
        <v>1</v>
      </c>
      <c r="R4884">
        <v>0</v>
      </c>
      <c r="S4884" s="2">
        <v>14000</v>
      </c>
      <c r="T4884" s="4">
        <v>0.1164</v>
      </c>
      <c r="U4884">
        <v>2</v>
      </c>
      <c r="V4884">
        <v>1</v>
      </c>
      <c r="W4884">
        <v>1</v>
      </c>
    </row>
    <row r="4885" spans="1:23" ht="16.5" x14ac:dyDescent="0.3">
      <c r="A4885" t="s">
        <v>4949</v>
      </c>
      <c r="B4885" s="1">
        <v>45981</v>
      </c>
      <c r="C4885">
        <v>2025</v>
      </c>
      <c r="D4885" t="s">
        <v>1832</v>
      </c>
      <c r="E4885" t="s">
        <v>2071</v>
      </c>
      <c r="F4885" t="s">
        <v>50</v>
      </c>
      <c r="G4885" t="s">
        <v>51</v>
      </c>
      <c r="H4885" t="s">
        <v>28</v>
      </c>
      <c r="I4885" t="s">
        <v>29</v>
      </c>
      <c r="J4885" t="s">
        <v>35</v>
      </c>
      <c r="K4885" s="2">
        <v>6950</v>
      </c>
      <c r="L4885" s="2">
        <v>454500</v>
      </c>
      <c r="M4885">
        <v>240</v>
      </c>
      <c r="N4885" s="3">
        <v>0.53100000000000003</v>
      </c>
      <c r="O4885" t="s">
        <v>16</v>
      </c>
      <c r="Q4885">
        <v>1</v>
      </c>
      <c r="R4885">
        <v>0</v>
      </c>
      <c r="S4885" s="2">
        <v>454500</v>
      </c>
      <c r="T4885" s="4">
        <v>5.7700000000000001E-2</v>
      </c>
      <c r="U4885">
        <v>17</v>
      </c>
      <c r="V4885">
        <v>0</v>
      </c>
      <c r="W4885">
        <v>1</v>
      </c>
    </row>
    <row r="4886" spans="1:23" ht="16.5" x14ac:dyDescent="0.3">
      <c r="A4886" t="s">
        <v>4950</v>
      </c>
      <c r="B4886" s="1">
        <v>45981</v>
      </c>
      <c r="C4886">
        <v>2025</v>
      </c>
      <c r="D4886" t="s">
        <v>1832</v>
      </c>
      <c r="E4886" t="s">
        <v>2071</v>
      </c>
      <c r="F4886" t="s">
        <v>26</v>
      </c>
      <c r="G4886" t="s">
        <v>27</v>
      </c>
      <c r="H4886" t="s">
        <v>34</v>
      </c>
      <c r="I4886" t="s">
        <v>42</v>
      </c>
      <c r="J4886" t="s">
        <v>52</v>
      </c>
      <c r="K4886" s="2">
        <v>9300</v>
      </c>
      <c r="L4886" s="2">
        <v>27500</v>
      </c>
      <c r="M4886">
        <v>60</v>
      </c>
      <c r="N4886" s="3">
        <v>0.14499999999999999</v>
      </c>
      <c r="O4886" t="s">
        <v>16</v>
      </c>
      <c r="Q4886">
        <v>1</v>
      </c>
      <c r="R4886">
        <v>0</v>
      </c>
      <c r="S4886" s="2">
        <v>25000</v>
      </c>
      <c r="T4886" s="4">
        <v>7.7100000000000002E-2</v>
      </c>
      <c r="U4886">
        <v>5</v>
      </c>
      <c r="V4886">
        <v>0</v>
      </c>
      <c r="W4886">
        <v>1</v>
      </c>
    </row>
    <row r="4887" spans="1:23" ht="16.5" x14ac:dyDescent="0.3">
      <c r="A4887" t="s">
        <v>4951</v>
      </c>
      <c r="B4887" s="1">
        <v>45981</v>
      </c>
      <c r="C4887">
        <v>2025</v>
      </c>
      <c r="D4887" t="s">
        <v>1832</v>
      </c>
      <c r="E4887" t="s">
        <v>2071</v>
      </c>
      <c r="F4887" t="s">
        <v>37</v>
      </c>
      <c r="G4887" t="s">
        <v>45</v>
      </c>
      <c r="H4887" t="s">
        <v>38</v>
      </c>
      <c r="I4887" t="s">
        <v>42</v>
      </c>
      <c r="J4887" t="s">
        <v>43</v>
      </c>
      <c r="K4887" s="2">
        <v>6150</v>
      </c>
      <c r="L4887" s="2">
        <v>17500</v>
      </c>
      <c r="M4887">
        <v>60</v>
      </c>
      <c r="N4887" s="3">
        <v>0.151</v>
      </c>
      <c r="O4887" t="s">
        <v>17</v>
      </c>
      <c r="P4887" t="s">
        <v>31</v>
      </c>
      <c r="Q4887">
        <v>0</v>
      </c>
      <c r="R4887">
        <v>1</v>
      </c>
      <c r="S4887" s="2">
        <v>0</v>
      </c>
      <c r="T4887" s="4"/>
      <c r="U4887">
        <v>4</v>
      </c>
      <c r="V4887">
        <v>0</v>
      </c>
      <c r="W4887">
        <v>1</v>
      </c>
    </row>
    <row r="4888" spans="1:23" ht="16.5" x14ac:dyDescent="0.3">
      <c r="A4888" t="s">
        <v>4952</v>
      </c>
      <c r="B4888" s="1">
        <v>45981</v>
      </c>
      <c r="C4888">
        <v>2025</v>
      </c>
      <c r="D4888" t="s">
        <v>1832</v>
      </c>
      <c r="E4888" t="s">
        <v>2071</v>
      </c>
      <c r="F4888" t="s">
        <v>37</v>
      </c>
      <c r="G4888" t="s">
        <v>45</v>
      </c>
      <c r="H4888" t="s">
        <v>55</v>
      </c>
      <c r="I4888" t="s">
        <v>29</v>
      </c>
      <c r="J4888" t="s">
        <v>30</v>
      </c>
      <c r="K4888" s="2">
        <v>3650</v>
      </c>
      <c r="L4888" s="2">
        <v>28500</v>
      </c>
      <c r="M4888">
        <v>60</v>
      </c>
      <c r="N4888" s="3">
        <v>0.311</v>
      </c>
      <c r="O4888" t="s">
        <v>16</v>
      </c>
      <c r="Q4888">
        <v>1</v>
      </c>
      <c r="R4888">
        <v>0</v>
      </c>
      <c r="S4888" s="2">
        <v>23000</v>
      </c>
      <c r="T4888" s="4">
        <v>0.14019999999999999</v>
      </c>
      <c r="U4888">
        <v>4</v>
      </c>
      <c r="V4888">
        <v>0</v>
      </c>
      <c r="W4888">
        <v>1</v>
      </c>
    </row>
    <row r="4889" spans="1:23" ht="16.5" x14ac:dyDescent="0.3">
      <c r="A4889" t="s">
        <v>4953</v>
      </c>
      <c r="B4889" s="1">
        <v>45981</v>
      </c>
      <c r="C4889">
        <v>2025</v>
      </c>
      <c r="D4889" t="s">
        <v>1832</v>
      </c>
      <c r="E4889" t="s">
        <v>2071</v>
      </c>
      <c r="F4889" t="s">
        <v>37</v>
      </c>
      <c r="G4889" t="s">
        <v>51</v>
      </c>
      <c r="H4889" t="s">
        <v>28</v>
      </c>
      <c r="I4889" t="s">
        <v>29</v>
      </c>
      <c r="J4889" t="s">
        <v>30</v>
      </c>
      <c r="K4889" s="2">
        <v>8450</v>
      </c>
      <c r="L4889" s="2">
        <v>18500</v>
      </c>
      <c r="M4889">
        <v>36</v>
      </c>
      <c r="N4889" s="3">
        <v>0.13400000000000001</v>
      </c>
      <c r="O4889" t="s">
        <v>16</v>
      </c>
      <c r="Q4889">
        <v>1</v>
      </c>
      <c r="R4889">
        <v>0</v>
      </c>
      <c r="S4889" s="2">
        <v>18500</v>
      </c>
      <c r="T4889" s="4">
        <v>0.1431</v>
      </c>
      <c r="U4889">
        <v>5</v>
      </c>
      <c r="V4889">
        <v>0</v>
      </c>
      <c r="W4889">
        <v>1</v>
      </c>
    </row>
    <row r="4890" spans="1:23" ht="16.5" x14ac:dyDescent="0.3">
      <c r="A4890" t="s">
        <v>4954</v>
      </c>
      <c r="B4890" s="1">
        <v>45982</v>
      </c>
      <c r="C4890">
        <v>2025</v>
      </c>
      <c r="D4890" t="s">
        <v>1832</v>
      </c>
      <c r="E4890" t="s">
        <v>2071</v>
      </c>
      <c r="F4890" t="s">
        <v>37</v>
      </c>
      <c r="G4890" t="s">
        <v>33</v>
      </c>
      <c r="H4890" t="s">
        <v>38</v>
      </c>
      <c r="I4890" t="s">
        <v>29</v>
      </c>
      <c r="J4890" t="s">
        <v>30</v>
      </c>
      <c r="K4890" s="2">
        <v>5150</v>
      </c>
      <c r="L4890" s="2">
        <v>24000</v>
      </c>
      <c r="M4890">
        <v>48</v>
      </c>
      <c r="N4890" s="3">
        <v>0.27500000000000002</v>
      </c>
      <c r="O4890" t="s">
        <v>16</v>
      </c>
      <c r="Q4890">
        <v>1</v>
      </c>
      <c r="R4890">
        <v>0</v>
      </c>
      <c r="S4890" s="2">
        <v>21500</v>
      </c>
      <c r="T4890" s="4">
        <v>0.13950000000000001</v>
      </c>
      <c r="U4890">
        <v>1</v>
      </c>
      <c r="V4890">
        <v>1</v>
      </c>
      <c r="W4890">
        <v>1</v>
      </c>
    </row>
    <row r="4891" spans="1:23" ht="16.5" x14ac:dyDescent="0.3">
      <c r="A4891" t="s">
        <v>4955</v>
      </c>
      <c r="B4891" s="1">
        <v>45982</v>
      </c>
      <c r="C4891">
        <v>2025</v>
      </c>
      <c r="D4891" t="s">
        <v>1832</v>
      </c>
      <c r="E4891" t="s">
        <v>2071</v>
      </c>
      <c r="F4891" t="s">
        <v>37</v>
      </c>
      <c r="G4891" t="s">
        <v>27</v>
      </c>
      <c r="H4891" t="s">
        <v>55</v>
      </c>
      <c r="I4891" t="s">
        <v>42</v>
      </c>
      <c r="J4891" t="s">
        <v>52</v>
      </c>
      <c r="K4891" s="2">
        <v>6500</v>
      </c>
      <c r="L4891" s="2">
        <v>17000</v>
      </c>
      <c r="M4891">
        <v>60</v>
      </c>
      <c r="N4891" s="3">
        <v>0.29199999999999998</v>
      </c>
      <c r="O4891" t="s">
        <v>16</v>
      </c>
      <c r="Q4891">
        <v>1</v>
      </c>
      <c r="R4891">
        <v>0</v>
      </c>
      <c r="S4891" s="2">
        <v>17000</v>
      </c>
      <c r="T4891" s="4">
        <v>0.11849999999999999</v>
      </c>
      <c r="U4891">
        <v>3</v>
      </c>
      <c r="V4891">
        <v>1</v>
      </c>
      <c r="W4891">
        <v>1</v>
      </c>
    </row>
    <row r="4892" spans="1:23" ht="16.5" x14ac:dyDescent="0.3">
      <c r="A4892" t="s">
        <v>4956</v>
      </c>
      <c r="B4892" s="1">
        <v>45982</v>
      </c>
      <c r="C4892">
        <v>2025</v>
      </c>
      <c r="D4892" t="s">
        <v>1832</v>
      </c>
      <c r="E4892" t="s">
        <v>2071</v>
      </c>
      <c r="F4892" t="s">
        <v>26</v>
      </c>
      <c r="G4892" t="s">
        <v>45</v>
      </c>
      <c r="H4892" t="s">
        <v>38</v>
      </c>
      <c r="I4892" t="s">
        <v>29</v>
      </c>
      <c r="J4892" t="s">
        <v>30</v>
      </c>
      <c r="K4892" s="2">
        <v>8050</v>
      </c>
      <c r="L4892" s="2">
        <v>24000</v>
      </c>
      <c r="M4892">
        <v>48</v>
      </c>
      <c r="N4892" s="3">
        <v>0.161</v>
      </c>
      <c r="O4892" t="s">
        <v>16</v>
      </c>
      <c r="Q4892">
        <v>1</v>
      </c>
      <c r="R4892">
        <v>0</v>
      </c>
      <c r="S4892" s="2">
        <v>21500</v>
      </c>
      <c r="T4892" s="4">
        <v>9.3100000000000002E-2</v>
      </c>
      <c r="U4892">
        <v>2</v>
      </c>
      <c r="V4892">
        <v>1</v>
      </c>
      <c r="W4892">
        <v>1</v>
      </c>
    </row>
    <row r="4893" spans="1:23" ht="16.5" x14ac:dyDescent="0.3">
      <c r="A4893" t="s">
        <v>4957</v>
      </c>
      <c r="B4893" s="1">
        <v>45982</v>
      </c>
      <c r="C4893">
        <v>2025</v>
      </c>
      <c r="D4893" t="s">
        <v>1832</v>
      </c>
      <c r="E4893" t="s">
        <v>2071</v>
      </c>
      <c r="F4893" t="s">
        <v>37</v>
      </c>
      <c r="G4893" t="s">
        <v>51</v>
      </c>
      <c r="H4893" t="s">
        <v>55</v>
      </c>
      <c r="I4893" t="s">
        <v>39</v>
      </c>
      <c r="J4893" t="s">
        <v>43</v>
      </c>
      <c r="K4893" s="2">
        <v>12350</v>
      </c>
      <c r="L4893" s="2">
        <v>14500</v>
      </c>
      <c r="M4893">
        <v>12</v>
      </c>
      <c r="N4893" s="3">
        <v>0.32800000000000001</v>
      </c>
      <c r="O4893" t="s">
        <v>17</v>
      </c>
      <c r="P4893" t="s">
        <v>31</v>
      </c>
      <c r="Q4893">
        <v>0</v>
      </c>
      <c r="R4893">
        <v>1</v>
      </c>
      <c r="S4893" s="2">
        <v>0</v>
      </c>
      <c r="T4893" s="4"/>
      <c r="U4893">
        <v>6</v>
      </c>
      <c r="V4893">
        <v>0</v>
      </c>
      <c r="W4893">
        <v>1</v>
      </c>
    </row>
    <row r="4894" spans="1:23" ht="16.5" x14ac:dyDescent="0.3">
      <c r="A4894" t="s">
        <v>4958</v>
      </c>
      <c r="B4894" s="1">
        <v>45982</v>
      </c>
      <c r="C4894">
        <v>2025</v>
      </c>
      <c r="D4894" t="s">
        <v>1832</v>
      </c>
      <c r="E4894" t="s">
        <v>2071</v>
      </c>
      <c r="F4894" t="s">
        <v>26</v>
      </c>
      <c r="G4894" t="s">
        <v>27</v>
      </c>
      <c r="H4894" t="s">
        <v>34</v>
      </c>
      <c r="I4894" t="s">
        <v>29</v>
      </c>
      <c r="J4894" t="s">
        <v>46</v>
      </c>
      <c r="K4894" s="2">
        <v>4800</v>
      </c>
      <c r="L4894" s="2">
        <v>19500</v>
      </c>
      <c r="M4894">
        <v>36</v>
      </c>
      <c r="N4894" s="3">
        <v>0.30299999999999999</v>
      </c>
      <c r="O4894" t="s">
        <v>16</v>
      </c>
      <c r="Q4894">
        <v>1</v>
      </c>
      <c r="R4894">
        <v>0</v>
      </c>
      <c r="S4894" s="2">
        <v>17500</v>
      </c>
      <c r="T4894" s="4">
        <v>6.3600000000000004E-2</v>
      </c>
      <c r="U4894">
        <v>3</v>
      </c>
      <c r="V4894">
        <v>1</v>
      </c>
      <c r="W4894">
        <v>1</v>
      </c>
    </row>
    <row r="4895" spans="1:23" ht="16.5" x14ac:dyDescent="0.3">
      <c r="A4895" t="s">
        <v>4959</v>
      </c>
      <c r="B4895" s="1">
        <v>45982</v>
      </c>
      <c r="C4895">
        <v>2025</v>
      </c>
      <c r="D4895" t="s">
        <v>1832</v>
      </c>
      <c r="E4895" t="s">
        <v>2071</v>
      </c>
      <c r="F4895" t="s">
        <v>26</v>
      </c>
      <c r="G4895" t="s">
        <v>51</v>
      </c>
      <c r="H4895" t="s">
        <v>38</v>
      </c>
      <c r="I4895" t="s">
        <v>42</v>
      </c>
      <c r="J4895" t="s">
        <v>52</v>
      </c>
      <c r="K4895" s="2">
        <v>8200</v>
      </c>
      <c r="L4895" s="2">
        <v>30000</v>
      </c>
      <c r="M4895">
        <v>60</v>
      </c>
      <c r="N4895" s="3">
        <v>0.26400000000000001</v>
      </c>
      <c r="O4895" t="s">
        <v>16</v>
      </c>
      <c r="Q4895">
        <v>1</v>
      </c>
      <c r="R4895">
        <v>0</v>
      </c>
      <c r="S4895" s="2">
        <v>30000</v>
      </c>
      <c r="T4895" s="4">
        <v>7.2800000000000004E-2</v>
      </c>
      <c r="U4895">
        <v>4</v>
      </c>
      <c r="V4895">
        <v>1</v>
      </c>
      <c r="W4895">
        <v>1</v>
      </c>
    </row>
    <row r="4896" spans="1:23" ht="16.5" x14ac:dyDescent="0.3">
      <c r="A4896" t="s">
        <v>4960</v>
      </c>
      <c r="B4896" s="1">
        <v>45982</v>
      </c>
      <c r="C4896">
        <v>2025</v>
      </c>
      <c r="D4896" t="s">
        <v>1832</v>
      </c>
      <c r="E4896" t="s">
        <v>2071</v>
      </c>
      <c r="F4896" t="s">
        <v>37</v>
      </c>
      <c r="G4896" t="s">
        <v>33</v>
      </c>
      <c r="H4896" t="s">
        <v>34</v>
      </c>
      <c r="I4896" t="s">
        <v>29</v>
      </c>
      <c r="J4896" t="s">
        <v>52</v>
      </c>
      <c r="K4896" s="2">
        <v>7950</v>
      </c>
      <c r="L4896" s="2">
        <v>5500</v>
      </c>
      <c r="M4896">
        <v>60</v>
      </c>
      <c r="N4896" s="3">
        <v>0.26100000000000001</v>
      </c>
      <c r="O4896" t="s">
        <v>16</v>
      </c>
      <c r="Q4896">
        <v>1</v>
      </c>
      <c r="R4896">
        <v>0</v>
      </c>
      <c r="S4896" s="2">
        <v>5500</v>
      </c>
      <c r="T4896" s="4">
        <v>0.115</v>
      </c>
      <c r="U4896">
        <v>2</v>
      </c>
      <c r="V4896">
        <v>1</v>
      </c>
      <c r="W4896">
        <v>1</v>
      </c>
    </row>
    <row r="4897" spans="1:23" ht="16.5" x14ac:dyDescent="0.3">
      <c r="A4897" t="s">
        <v>4961</v>
      </c>
      <c r="B4897" s="1">
        <v>45982</v>
      </c>
      <c r="C4897">
        <v>2025</v>
      </c>
      <c r="D4897" t="s">
        <v>1832</v>
      </c>
      <c r="E4897" t="s">
        <v>2071</v>
      </c>
      <c r="F4897" t="s">
        <v>26</v>
      </c>
      <c r="G4897" t="s">
        <v>45</v>
      </c>
      <c r="H4897" t="s">
        <v>28</v>
      </c>
      <c r="I4897" t="s">
        <v>29</v>
      </c>
      <c r="J4897" t="s">
        <v>52</v>
      </c>
      <c r="K4897" s="2">
        <v>6050</v>
      </c>
      <c r="L4897" s="2">
        <v>40500</v>
      </c>
      <c r="M4897">
        <v>48</v>
      </c>
      <c r="N4897" s="3">
        <v>0.39900000000000002</v>
      </c>
      <c r="O4897" t="s">
        <v>17</v>
      </c>
      <c r="P4897" t="s">
        <v>65</v>
      </c>
      <c r="Q4897">
        <v>0</v>
      </c>
      <c r="R4897">
        <v>1</v>
      </c>
      <c r="S4897" s="2">
        <v>0</v>
      </c>
      <c r="T4897" s="4"/>
      <c r="U4897">
        <v>2</v>
      </c>
      <c r="V4897">
        <v>1</v>
      </c>
      <c r="W4897">
        <v>1</v>
      </c>
    </row>
    <row r="4898" spans="1:23" ht="16.5" x14ac:dyDescent="0.3">
      <c r="A4898" t="s">
        <v>4962</v>
      </c>
      <c r="B4898" s="1">
        <v>45982</v>
      </c>
      <c r="C4898">
        <v>2025</v>
      </c>
      <c r="D4898" t="s">
        <v>1832</v>
      </c>
      <c r="E4898" t="s">
        <v>2071</v>
      </c>
      <c r="F4898" t="s">
        <v>50</v>
      </c>
      <c r="G4898" t="s">
        <v>33</v>
      </c>
      <c r="H4898" t="s">
        <v>64</v>
      </c>
      <c r="I4898" t="s">
        <v>39</v>
      </c>
      <c r="J4898" t="s">
        <v>35</v>
      </c>
      <c r="K4898" s="2">
        <v>4400</v>
      </c>
      <c r="L4898" s="2">
        <v>217500</v>
      </c>
      <c r="M4898">
        <v>240</v>
      </c>
      <c r="N4898" s="3">
        <v>0.47</v>
      </c>
      <c r="O4898" t="s">
        <v>16</v>
      </c>
      <c r="Q4898">
        <v>1</v>
      </c>
      <c r="R4898">
        <v>0</v>
      </c>
      <c r="S4898" s="2">
        <v>174000</v>
      </c>
      <c r="T4898" s="4">
        <v>6.2199999999999998E-2</v>
      </c>
      <c r="U4898">
        <v>6</v>
      </c>
      <c r="V4898">
        <v>1</v>
      </c>
      <c r="W4898">
        <v>1</v>
      </c>
    </row>
    <row r="4899" spans="1:23" ht="16.5" x14ac:dyDescent="0.3">
      <c r="A4899" t="s">
        <v>4963</v>
      </c>
      <c r="B4899" s="1">
        <v>45982</v>
      </c>
      <c r="C4899">
        <v>2025</v>
      </c>
      <c r="D4899" t="s">
        <v>1832</v>
      </c>
      <c r="E4899" t="s">
        <v>2071</v>
      </c>
      <c r="F4899" t="s">
        <v>37</v>
      </c>
      <c r="G4899" t="s">
        <v>33</v>
      </c>
      <c r="H4899" t="s">
        <v>38</v>
      </c>
      <c r="I4899" t="s">
        <v>29</v>
      </c>
      <c r="J4899" t="s">
        <v>35</v>
      </c>
      <c r="K4899" s="2">
        <v>3550</v>
      </c>
      <c r="L4899" s="2">
        <v>11500</v>
      </c>
      <c r="M4899">
        <v>60</v>
      </c>
      <c r="N4899" s="3">
        <v>0.255</v>
      </c>
      <c r="O4899" t="s">
        <v>16</v>
      </c>
      <c r="Q4899">
        <v>1</v>
      </c>
      <c r="R4899">
        <v>0</v>
      </c>
      <c r="S4899" s="2">
        <v>11500</v>
      </c>
      <c r="T4899" s="4">
        <v>0.12509999999999999</v>
      </c>
      <c r="U4899">
        <v>2</v>
      </c>
      <c r="V4899">
        <v>1</v>
      </c>
      <c r="W4899">
        <v>1</v>
      </c>
    </row>
    <row r="4900" spans="1:23" ht="16.5" x14ac:dyDescent="0.3">
      <c r="A4900" t="s">
        <v>4964</v>
      </c>
      <c r="B4900" s="1">
        <v>45983</v>
      </c>
      <c r="C4900">
        <v>2025</v>
      </c>
      <c r="D4900" t="s">
        <v>1832</v>
      </c>
      <c r="E4900" t="s">
        <v>2071</v>
      </c>
      <c r="F4900" t="s">
        <v>50</v>
      </c>
      <c r="G4900" t="s">
        <v>45</v>
      </c>
      <c r="H4900" t="s">
        <v>38</v>
      </c>
      <c r="I4900" t="s">
        <v>42</v>
      </c>
      <c r="J4900" t="s">
        <v>52</v>
      </c>
      <c r="K4900" s="2">
        <v>6000</v>
      </c>
      <c r="L4900" s="2">
        <v>341000</v>
      </c>
      <c r="M4900">
        <v>180</v>
      </c>
      <c r="N4900" s="3">
        <v>0.68300000000000005</v>
      </c>
      <c r="O4900" t="s">
        <v>16</v>
      </c>
      <c r="Q4900">
        <v>1</v>
      </c>
      <c r="R4900">
        <v>0</v>
      </c>
      <c r="S4900" s="2">
        <v>341000</v>
      </c>
      <c r="T4900" s="4">
        <v>5.16E-2</v>
      </c>
      <c r="U4900">
        <v>6</v>
      </c>
      <c r="V4900">
        <v>1</v>
      </c>
      <c r="W4900">
        <v>1</v>
      </c>
    </row>
    <row r="4901" spans="1:23" ht="16.5" x14ac:dyDescent="0.3">
      <c r="A4901" t="s">
        <v>4965</v>
      </c>
      <c r="B4901" s="1">
        <v>45983</v>
      </c>
      <c r="C4901">
        <v>2025</v>
      </c>
      <c r="D4901" t="s">
        <v>1832</v>
      </c>
      <c r="E4901" t="s">
        <v>2071</v>
      </c>
      <c r="F4901" t="s">
        <v>37</v>
      </c>
      <c r="G4901" t="s">
        <v>45</v>
      </c>
      <c r="H4901" t="s">
        <v>38</v>
      </c>
      <c r="I4901" t="s">
        <v>29</v>
      </c>
      <c r="J4901" t="s">
        <v>35</v>
      </c>
      <c r="K4901" s="2">
        <v>10650</v>
      </c>
      <c r="L4901" s="2">
        <v>7000</v>
      </c>
      <c r="M4901">
        <v>12</v>
      </c>
      <c r="N4901" s="3">
        <v>0.17199999999999999</v>
      </c>
      <c r="O4901" t="s">
        <v>16</v>
      </c>
      <c r="Q4901">
        <v>1</v>
      </c>
      <c r="R4901">
        <v>0</v>
      </c>
      <c r="S4901" s="2">
        <v>7000</v>
      </c>
      <c r="T4901" s="4">
        <v>0.12659999999999999</v>
      </c>
      <c r="U4901">
        <v>1</v>
      </c>
      <c r="V4901">
        <v>1</v>
      </c>
      <c r="W4901">
        <v>1</v>
      </c>
    </row>
    <row r="4902" spans="1:23" ht="16.5" x14ac:dyDescent="0.3">
      <c r="A4902" t="s">
        <v>4966</v>
      </c>
      <c r="B4902" s="1">
        <v>45983</v>
      </c>
      <c r="C4902">
        <v>2025</v>
      </c>
      <c r="D4902" t="s">
        <v>1832</v>
      </c>
      <c r="E4902" t="s">
        <v>2071</v>
      </c>
      <c r="F4902" t="s">
        <v>26</v>
      </c>
      <c r="G4902" t="s">
        <v>33</v>
      </c>
      <c r="H4902" t="s">
        <v>38</v>
      </c>
      <c r="I4902" t="s">
        <v>42</v>
      </c>
      <c r="J4902" t="s">
        <v>35</v>
      </c>
      <c r="K4902" s="2">
        <v>11200</v>
      </c>
      <c r="L4902" s="2">
        <v>19000</v>
      </c>
      <c r="M4902">
        <v>36</v>
      </c>
      <c r="N4902" s="3">
        <v>0.24099999999999999</v>
      </c>
      <c r="O4902" t="s">
        <v>16</v>
      </c>
      <c r="Q4902">
        <v>1</v>
      </c>
      <c r="R4902">
        <v>0</v>
      </c>
      <c r="S4902" s="2">
        <v>19000</v>
      </c>
      <c r="T4902" s="4">
        <v>8.09E-2</v>
      </c>
      <c r="U4902">
        <v>1</v>
      </c>
      <c r="V4902">
        <v>1</v>
      </c>
      <c r="W4902">
        <v>1</v>
      </c>
    </row>
    <row r="4903" spans="1:23" ht="16.5" x14ac:dyDescent="0.3">
      <c r="A4903" t="s">
        <v>4967</v>
      </c>
      <c r="B4903" s="1">
        <v>45984</v>
      </c>
      <c r="C4903">
        <v>2025</v>
      </c>
      <c r="D4903" t="s">
        <v>1832</v>
      </c>
      <c r="E4903" t="s">
        <v>2071</v>
      </c>
      <c r="F4903" t="s">
        <v>26</v>
      </c>
      <c r="G4903" t="s">
        <v>45</v>
      </c>
      <c r="H4903" t="s">
        <v>55</v>
      </c>
      <c r="I4903" t="s">
        <v>39</v>
      </c>
      <c r="J4903" t="s">
        <v>30</v>
      </c>
      <c r="K4903" s="2">
        <v>7700</v>
      </c>
      <c r="L4903" s="2">
        <v>20500</v>
      </c>
      <c r="M4903">
        <v>48</v>
      </c>
      <c r="N4903" s="3">
        <v>0.152</v>
      </c>
      <c r="O4903" t="s">
        <v>16</v>
      </c>
      <c r="Q4903">
        <v>1</v>
      </c>
      <c r="R4903">
        <v>0</v>
      </c>
      <c r="S4903" s="2">
        <v>20500</v>
      </c>
      <c r="T4903" s="4">
        <v>9.5600000000000004E-2</v>
      </c>
      <c r="U4903">
        <v>2</v>
      </c>
      <c r="V4903">
        <v>1</v>
      </c>
      <c r="W4903">
        <v>1</v>
      </c>
    </row>
    <row r="4904" spans="1:23" ht="16.5" x14ac:dyDescent="0.3">
      <c r="A4904" t="s">
        <v>4968</v>
      </c>
      <c r="B4904" s="1">
        <v>45985</v>
      </c>
      <c r="C4904">
        <v>2025</v>
      </c>
      <c r="D4904" t="s">
        <v>1832</v>
      </c>
      <c r="E4904" t="s">
        <v>2071</v>
      </c>
      <c r="F4904" t="s">
        <v>37</v>
      </c>
      <c r="G4904" t="s">
        <v>33</v>
      </c>
      <c r="H4904" t="s">
        <v>55</v>
      </c>
      <c r="I4904" t="s">
        <v>39</v>
      </c>
      <c r="J4904" t="s">
        <v>46</v>
      </c>
      <c r="K4904" s="2">
        <v>5250</v>
      </c>
      <c r="L4904" s="2">
        <v>7000</v>
      </c>
      <c r="M4904">
        <v>24</v>
      </c>
      <c r="N4904" s="3">
        <v>0.192</v>
      </c>
      <c r="O4904" t="s">
        <v>16</v>
      </c>
      <c r="Q4904">
        <v>1</v>
      </c>
      <c r="R4904">
        <v>0</v>
      </c>
      <c r="S4904" s="2">
        <v>6500</v>
      </c>
      <c r="T4904" s="4">
        <v>0.1066</v>
      </c>
      <c r="U4904">
        <v>1</v>
      </c>
      <c r="V4904">
        <v>1</v>
      </c>
      <c r="W4904">
        <v>1</v>
      </c>
    </row>
    <row r="4905" spans="1:23" ht="16.5" x14ac:dyDescent="0.3">
      <c r="A4905" t="s">
        <v>4969</v>
      </c>
      <c r="B4905" s="1">
        <v>45985</v>
      </c>
      <c r="C4905">
        <v>2025</v>
      </c>
      <c r="D4905" t="s">
        <v>1832</v>
      </c>
      <c r="E4905" t="s">
        <v>2071</v>
      </c>
      <c r="F4905" t="s">
        <v>50</v>
      </c>
      <c r="G4905" t="s">
        <v>45</v>
      </c>
      <c r="H4905" t="s">
        <v>34</v>
      </c>
      <c r="I4905" t="s">
        <v>29</v>
      </c>
      <c r="J4905" t="s">
        <v>35</v>
      </c>
      <c r="K4905" s="2">
        <v>3800</v>
      </c>
      <c r="L4905" s="2">
        <v>638500</v>
      </c>
      <c r="M4905">
        <v>180</v>
      </c>
      <c r="N4905" s="3">
        <v>1.405</v>
      </c>
      <c r="O4905" t="s">
        <v>17</v>
      </c>
      <c r="P4905" t="s">
        <v>53</v>
      </c>
      <c r="Q4905">
        <v>0</v>
      </c>
      <c r="R4905">
        <v>1</v>
      </c>
      <c r="S4905" s="2">
        <v>0</v>
      </c>
      <c r="T4905" s="4"/>
      <c r="U4905">
        <v>3</v>
      </c>
      <c r="V4905">
        <v>1</v>
      </c>
      <c r="W4905">
        <v>1</v>
      </c>
    </row>
    <row r="4906" spans="1:23" ht="16.5" x14ac:dyDescent="0.3">
      <c r="A4906" t="s">
        <v>4970</v>
      </c>
      <c r="B4906" s="1">
        <v>45985</v>
      </c>
      <c r="C4906">
        <v>2025</v>
      </c>
      <c r="D4906" t="s">
        <v>1832</v>
      </c>
      <c r="E4906" t="s">
        <v>2071</v>
      </c>
      <c r="F4906" t="s">
        <v>26</v>
      </c>
      <c r="G4906" t="s">
        <v>51</v>
      </c>
      <c r="H4906" t="s">
        <v>34</v>
      </c>
      <c r="I4906" t="s">
        <v>39</v>
      </c>
      <c r="J4906" t="s">
        <v>52</v>
      </c>
      <c r="K4906" s="2">
        <v>3450</v>
      </c>
      <c r="L4906" s="2">
        <v>12000</v>
      </c>
      <c r="M4906">
        <v>48</v>
      </c>
      <c r="N4906" s="3">
        <v>0.13800000000000001</v>
      </c>
      <c r="O4906" t="s">
        <v>16</v>
      </c>
      <c r="Q4906">
        <v>1</v>
      </c>
      <c r="R4906">
        <v>0</v>
      </c>
      <c r="S4906" s="2">
        <v>12000</v>
      </c>
      <c r="T4906" s="4">
        <v>7.1499999999999994E-2</v>
      </c>
      <c r="U4906">
        <v>4</v>
      </c>
      <c r="V4906">
        <v>1</v>
      </c>
      <c r="W4906">
        <v>1</v>
      </c>
    </row>
    <row r="4907" spans="1:23" ht="16.5" x14ac:dyDescent="0.3">
      <c r="A4907" t="s">
        <v>4971</v>
      </c>
      <c r="B4907" s="1">
        <v>45985</v>
      </c>
      <c r="C4907">
        <v>2025</v>
      </c>
      <c r="D4907" t="s">
        <v>1832</v>
      </c>
      <c r="E4907" t="s">
        <v>2071</v>
      </c>
      <c r="F4907" t="s">
        <v>37</v>
      </c>
      <c r="G4907" t="s">
        <v>51</v>
      </c>
      <c r="H4907" t="s">
        <v>55</v>
      </c>
      <c r="I4907" t="s">
        <v>29</v>
      </c>
      <c r="J4907" t="s">
        <v>30</v>
      </c>
      <c r="K4907" s="2">
        <v>7700</v>
      </c>
      <c r="L4907" s="2">
        <v>17000</v>
      </c>
      <c r="M4907">
        <v>36</v>
      </c>
      <c r="N4907" s="3">
        <v>0.23899999999999999</v>
      </c>
      <c r="O4907" t="s">
        <v>16</v>
      </c>
      <c r="Q4907">
        <v>1</v>
      </c>
      <c r="R4907">
        <v>0</v>
      </c>
      <c r="S4907" s="2">
        <v>15500</v>
      </c>
      <c r="T4907" s="4">
        <v>0.1419</v>
      </c>
      <c r="U4907">
        <v>6</v>
      </c>
      <c r="V4907">
        <v>0</v>
      </c>
      <c r="W4907">
        <v>1</v>
      </c>
    </row>
    <row r="4908" spans="1:23" ht="16.5" x14ac:dyDescent="0.3">
      <c r="A4908" t="s">
        <v>4972</v>
      </c>
      <c r="B4908" s="1">
        <v>45985</v>
      </c>
      <c r="C4908">
        <v>2025</v>
      </c>
      <c r="D4908" t="s">
        <v>1832</v>
      </c>
      <c r="E4908" t="s">
        <v>2071</v>
      </c>
      <c r="F4908" t="s">
        <v>37</v>
      </c>
      <c r="G4908" t="s">
        <v>51</v>
      </c>
      <c r="H4908" t="s">
        <v>55</v>
      </c>
      <c r="I4908" t="s">
        <v>29</v>
      </c>
      <c r="J4908" t="s">
        <v>30</v>
      </c>
      <c r="K4908" s="2">
        <v>3250</v>
      </c>
      <c r="L4908" s="2">
        <v>8000</v>
      </c>
      <c r="M4908">
        <v>12</v>
      </c>
      <c r="N4908" s="3">
        <v>0.40500000000000003</v>
      </c>
      <c r="O4908" t="s">
        <v>17</v>
      </c>
      <c r="P4908" t="s">
        <v>31</v>
      </c>
      <c r="Q4908">
        <v>0</v>
      </c>
      <c r="R4908">
        <v>1</v>
      </c>
      <c r="S4908" s="2">
        <v>0</v>
      </c>
      <c r="T4908" s="4"/>
      <c r="U4908">
        <v>3</v>
      </c>
      <c r="V4908">
        <v>1</v>
      </c>
      <c r="W4908">
        <v>1</v>
      </c>
    </row>
    <row r="4909" spans="1:23" ht="16.5" x14ac:dyDescent="0.3">
      <c r="A4909" t="s">
        <v>4973</v>
      </c>
      <c r="B4909" s="1">
        <v>45985</v>
      </c>
      <c r="C4909">
        <v>2025</v>
      </c>
      <c r="D4909" t="s">
        <v>1832</v>
      </c>
      <c r="E4909" t="s">
        <v>2071</v>
      </c>
      <c r="F4909" t="s">
        <v>26</v>
      </c>
      <c r="G4909" t="s">
        <v>45</v>
      </c>
      <c r="H4909" t="s">
        <v>64</v>
      </c>
      <c r="I4909" t="s">
        <v>39</v>
      </c>
      <c r="J4909" t="s">
        <v>30</v>
      </c>
      <c r="K4909" s="2">
        <v>6900</v>
      </c>
      <c r="L4909" s="2">
        <v>28000</v>
      </c>
      <c r="M4909">
        <v>48</v>
      </c>
      <c r="N4909" s="3">
        <v>0.32200000000000001</v>
      </c>
      <c r="O4909" t="s">
        <v>17</v>
      </c>
      <c r="P4909" t="s">
        <v>31</v>
      </c>
      <c r="Q4909">
        <v>0</v>
      </c>
      <c r="R4909">
        <v>1</v>
      </c>
      <c r="S4909" s="2">
        <v>0</v>
      </c>
      <c r="T4909" s="4"/>
      <c r="U4909">
        <v>3</v>
      </c>
      <c r="V4909">
        <v>1</v>
      </c>
      <c r="W4909">
        <v>1</v>
      </c>
    </row>
    <row r="4910" spans="1:23" ht="16.5" x14ac:dyDescent="0.3">
      <c r="A4910" t="s">
        <v>4974</v>
      </c>
      <c r="B4910" s="1">
        <v>45986</v>
      </c>
      <c r="C4910">
        <v>2025</v>
      </c>
      <c r="D4910" t="s">
        <v>1832</v>
      </c>
      <c r="E4910" t="s">
        <v>2071</v>
      </c>
      <c r="F4910" t="s">
        <v>37</v>
      </c>
      <c r="G4910" t="s">
        <v>33</v>
      </c>
      <c r="H4910" t="s">
        <v>38</v>
      </c>
      <c r="I4910" t="s">
        <v>29</v>
      </c>
      <c r="J4910" t="s">
        <v>35</v>
      </c>
      <c r="K4910" s="2">
        <v>7050</v>
      </c>
      <c r="L4910" s="2">
        <v>15000</v>
      </c>
      <c r="M4910">
        <v>36</v>
      </c>
      <c r="N4910" s="3">
        <v>0.159</v>
      </c>
      <c r="O4910" t="s">
        <v>16</v>
      </c>
      <c r="Q4910">
        <v>1</v>
      </c>
      <c r="R4910">
        <v>0</v>
      </c>
      <c r="S4910" s="2">
        <v>15000</v>
      </c>
      <c r="T4910" s="4">
        <v>0.12709999999999999</v>
      </c>
      <c r="U4910">
        <v>1</v>
      </c>
      <c r="V4910">
        <v>1</v>
      </c>
      <c r="W4910">
        <v>1</v>
      </c>
    </row>
    <row r="4911" spans="1:23" ht="16.5" x14ac:dyDescent="0.3">
      <c r="A4911" t="s">
        <v>4975</v>
      </c>
      <c r="B4911" s="1">
        <v>45986</v>
      </c>
      <c r="C4911">
        <v>2025</v>
      </c>
      <c r="D4911" t="s">
        <v>1832</v>
      </c>
      <c r="E4911" t="s">
        <v>2071</v>
      </c>
      <c r="F4911" t="s">
        <v>41</v>
      </c>
      <c r="G4911" t="s">
        <v>27</v>
      </c>
      <c r="H4911" t="s">
        <v>64</v>
      </c>
      <c r="I4911" t="s">
        <v>42</v>
      </c>
      <c r="J4911" t="s">
        <v>35</v>
      </c>
      <c r="K4911" s="2">
        <v>4650</v>
      </c>
      <c r="L4911" s="2">
        <v>62500</v>
      </c>
      <c r="M4911">
        <v>60</v>
      </c>
      <c r="N4911" s="3">
        <v>0.496</v>
      </c>
      <c r="O4911" t="s">
        <v>16</v>
      </c>
      <c r="Q4911">
        <v>1</v>
      </c>
      <c r="R4911">
        <v>0</v>
      </c>
      <c r="S4911" s="2">
        <v>62500</v>
      </c>
      <c r="T4911" s="4">
        <v>0.11360000000000001</v>
      </c>
      <c r="U4911">
        <v>8</v>
      </c>
      <c r="V4911">
        <v>1</v>
      </c>
      <c r="W4911">
        <v>1</v>
      </c>
    </row>
    <row r="4912" spans="1:23" ht="16.5" x14ac:dyDescent="0.3">
      <c r="A4912" t="s">
        <v>4976</v>
      </c>
      <c r="B4912" s="1">
        <v>45986</v>
      </c>
      <c r="C4912">
        <v>2025</v>
      </c>
      <c r="D4912" t="s">
        <v>1832</v>
      </c>
      <c r="E4912" t="s">
        <v>2071</v>
      </c>
      <c r="F4912" t="s">
        <v>37</v>
      </c>
      <c r="G4912" t="s">
        <v>51</v>
      </c>
      <c r="H4912" t="s">
        <v>55</v>
      </c>
      <c r="I4912" t="s">
        <v>29</v>
      </c>
      <c r="J4912" t="s">
        <v>35</v>
      </c>
      <c r="K4912" s="2">
        <v>3050</v>
      </c>
      <c r="L4912" s="2">
        <v>8500</v>
      </c>
      <c r="M4912">
        <v>48</v>
      </c>
      <c r="N4912" s="3">
        <v>0.17499999999999999</v>
      </c>
      <c r="O4912" t="s">
        <v>16</v>
      </c>
      <c r="Q4912">
        <v>1</v>
      </c>
      <c r="R4912">
        <v>0</v>
      </c>
      <c r="S4912" s="2">
        <v>8500</v>
      </c>
      <c r="T4912" s="4">
        <v>0.1235</v>
      </c>
      <c r="U4912">
        <v>3</v>
      </c>
      <c r="V4912">
        <v>1</v>
      </c>
      <c r="W4912">
        <v>1</v>
      </c>
    </row>
    <row r="4913" spans="1:23" ht="16.5" x14ac:dyDescent="0.3">
      <c r="A4913" t="s">
        <v>4977</v>
      </c>
      <c r="B4913" s="1">
        <v>45986</v>
      </c>
      <c r="C4913">
        <v>2025</v>
      </c>
      <c r="D4913" t="s">
        <v>1832</v>
      </c>
      <c r="E4913" t="s">
        <v>2071</v>
      </c>
      <c r="F4913" t="s">
        <v>41</v>
      </c>
      <c r="G4913" t="s">
        <v>51</v>
      </c>
      <c r="H4913" t="s">
        <v>64</v>
      </c>
      <c r="I4913" t="s">
        <v>29</v>
      </c>
      <c r="J4913" t="s">
        <v>52</v>
      </c>
      <c r="K4913" s="2">
        <v>6000</v>
      </c>
      <c r="L4913" s="2">
        <v>72000</v>
      </c>
      <c r="M4913">
        <v>36</v>
      </c>
      <c r="N4913" s="3">
        <v>0.46100000000000002</v>
      </c>
      <c r="O4913" t="s">
        <v>16</v>
      </c>
      <c r="Q4913">
        <v>1</v>
      </c>
      <c r="R4913">
        <v>0</v>
      </c>
      <c r="S4913" s="2">
        <v>72000</v>
      </c>
      <c r="T4913" s="4">
        <v>9.3799999999999994E-2</v>
      </c>
      <c r="U4913">
        <v>16</v>
      </c>
      <c r="V4913">
        <v>0</v>
      </c>
      <c r="W4913">
        <v>1</v>
      </c>
    </row>
    <row r="4914" spans="1:23" ht="16.5" x14ac:dyDescent="0.3">
      <c r="A4914" t="s">
        <v>4978</v>
      </c>
      <c r="B4914" s="1">
        <v>45986</v>
      </c>
      <c r="C4914">
        <v>2025</v>
      </c>
      <c r="D4914" t="s">
        <v>1832</v>
      </c>
      <c r="E4914" t="s">
        <v>2071</v>
      </c>
      <c r="F4914" t="s">
        <v>41</v>
      </c>
      <c r="G4914" t="s">
        <v>45</v>
      </c>
      <c r="H4914" t="s">
        <v>38</v>
      </c>
      <c r="I4914" t="s">
        <v>42</v>
      </c>
      <c r="J4914" t="s">
        <v>30</v>
      </c>
      <c r="K4914" s="2">
        <v>4300</v>
      </c>
      <c r="L4914" s="2">
        <v>64500</v>
      </c>
      <c r="M4914">
        <v>36</v>
      </c>
      <c r="N4914" s="3">
        <v>0.63500000000000001</v>
      </c>
      <c r="O4914" t="s">
        <v>17</v>
      </c>
      <c r="P4914" t="s">
        <v>31</v>
      </c>
      <c r="Q4914">
        <v>0</v>
      </c>
      <c r="R4914">
        <v>1</v>
      </c>
      <c r="S4914" s="2">
        <v>0</v>
      </c>
      <c r="T4914" s="4"/>
      <c r="U4914">
        <v>3</v>
      </c>
      <c r="V4914">
        <v>1</v>
      </c>
      <c r="W4914">
        <v>1</v>
      </c>
    </row>
    <row r="4915" spans="1:23" ht="16.5" x14ac:dyDescent="0.3">
      <c r="A4915" t="s">
        <v>4979</v>
      </c>
      <c r="B4915" s="1">
        <v>45986</v>
      </c>
      <c r="C4915">
        <v>2025</v>
      </c>
      <c r="D4915" t="s">
        <v>1832</v>
      </c>
      <c r="E4915" t="s">
        <v>2071</v>
      </c>
      <c r="F4915" t="s">
        <v>26</v>
      </c>
      <c r="G4915" t="s">
        <v>45</v>
      </c>
      <c r="H4915" t="s">
        <v>34</v>
      </c>
      <c r="I4915" t="s">
        <v>39</v>
      </c>
      <c r="J4915" t="s">
        <v>52</v>
      </c>
      <c r="K4915" s="2">
        <v>6800</v>
      </c>
      <c r="L4915" s="2">
        <v>32000</v>
      </c>
      <c r="M4915">
        <v>60</v>
      </c>
      <c r="N4915" s="3">
        <v>0.31</v>
      </c>
      <c r="O4915" t="s">
        <v>16</v>
      </c>
      <c r="Q4915">
        <v>1</v>
      </c>
      <c r="R4915">
        <v>0</v>
      </c>
      <c r="S4915" s="2">
        <v>25500</v>
      </c>
      <c r="T4915" s="4">
        <v>6.8699999999999997E-2</v>
      </c>
      <c r="U4915">
        <v>2</v>
      </c>
      <c r="V4915">
        <v>1</v>
      </c>
      <c r="W4915">
        <v>1</v>
      </c>
    </row>
    <row r="4916" spans="1:23" ht="16.5" x14ac:dyDescent="0.3">
      <c r="A4916" t="s">
        <v>4980</v>
      </c>
      <c r="B4916" s="1">
        <v>45986</v>
      </c>
      <c r="C4916">
        <v>2025</v>
      </c>
      <c r="D4916" t="s">
        <v>1832</v>
      </c>
      <c r="E4916" t="s">
        <v>2071</v>
      </c>
      <c r="F4916" t="s">
        <v>37</v>
      </c>
      <c r="G4916" t="s">
        <v>51</v>
      </c>
      <c r="H4916" t="s">
        <v>28</v>
      </c>
      <c r="I4916" t="s">
        <v>39</v>
      </c>
      <c r="J4916" t="s">
        <v>35</v>
      </c>
      <c r="K4916" s="2">
        <v>6650</v>
      </c>
      <c r="L4916" s="2">
        <v>15000</v>
      </c>
      <c r="M4916">
        <v>12</v>
      </c>
      <c r="N4916" s="3">
        <v>0.33700000000000002</v>
      </c>
      <c r="O4916" t="s">
        <v>125</v>
      </c>
      <c r="Q4916">
        <v>0</v>
      </c>
      <c r="R4916">
        <v>0</v>
      </c>
      <c r="S4916" s="2">
        <v>0</v>
      </c>
      <c r="T4916" s="4"/>
      <c r="U4916">
        <v>3</v>
      </c>
      <c r="V4916">
        <v>1</v>
      </c>
      <c r="W4916">
        <v>1</v>
      </c>
    </row>
    <row r="4917" spans="1:23" ht="16.5" x14ac:dyDescent="0.3">
      <c r="A4917" t="s">
        <v>4981</v>
      </c>
      <c r="B4917" s="1">
        <v>45986</v>
      </c>
      <c r="C4917">
        <v>2025</v>
      </c>
      <c r="D4917" t="s">
        <v>1832</v>
      </c>
      <c r="E4917" t="s">
        <v>2071</v>
      </c>
      <c r="F4917" t="s">
        <v>26</v>
      </c>
      <c r="G4917" t="s">
        <v>33</v>
      </c>
      <c r="H4917" t="s">
        <v>55</v>
      </c>
      <c r="I4917" t="s">
        <v>29</v>
      </c>
      <c r="J4917" t="s">
        <v>52</v>
      </c>
      <c r="K4917" s="2">
        <v>4700</v>
      </c>
      <c r="L4917" s="2">
        <v>12500</v>
      </c>
      <c r="M4917">
        <v>60</v>
      </c>
      <c r="N4917" s="3">
        <v>0.114</v>
      </c>
      <c r="O4917" t="s">
        <v>16</v>
      </c>
      <c r="Q4917">
        <v>1</v>
      </c>
      <c r="R4917">
        <v>0</v>
      </c>
      <c r="S4917" s="2">
        <v>11000</v>
      </c>
      <c r="T4917" s="4">
        <v>7.46E-2</v>
      </c>
      <c r="U4917">
        <v>2</v>
      </c>
      <c r="V4917">
        <v>1</v>
      </c>
      <c r="W4917">
        <v>1</v>
      </c>
    </row>
    <row r="4918" spans="1:23" ht="16.5" x14ac:dyDescent="0.3">
      <c r="A4918" t="s">
        <v>4982</v>
      </c>
      <c r="B4918" s="1">
        <v>45986</v>
      </c>
      <c r="C4918">
        <v>2025</v>
      </c>
      <c r="D4918" t="s">
        <v>1832</v>
      </c>
      <c r="E4918" t="s">
        <v>2071</v>
      </c>
      <c r="F4918" t="s">
        <v>26</v>
      </c>
      <c r="G4918" t="s">
        <v>51</v>
      </c>
      <c r="H4918" t="s">
        <v>55</v>
      </c>
      <c r="I4918" t="s">
        <v>39</v>
      </c>
      <c r="J4918" t="s">
        <v>35</v>
      </c>
      <c r="K4918" s="2">
        <v>5650</v>
      </c>
      <c r="L4918" s="2">
        <v>35500</v>
      </c>
      <c r="M4918">
        <v>60</v>
      </c>
      <c r="N4918" s="3">
        <v>0.35399999999999998</v>
      </c>
      <c r="O4918" t="s">
        <v>16</v>
      </c>
      <c r="Q4918">
        <v>1</v>
      </c>
      <c r="R4918">
        <v>0</v>
      </c>
      <c r="S4918" s="2">
        <v>35500</v>
      </c>
      <c r="T4918" s="4">
        <v>7.9100000000000004E-2</v>
      </c>
      <c r="U4918">
        <v>7</v>
      </c>
      <c r="V4918">
        <v>0</v>
      </c>
      <c r="W4918">
        <v>1</v>
      </c>
    </row>
    <row r="4919" spans="1:23" ht="16.5" x14ac:dyDescent="0.3">
      <c r="A4919" t="s">
        <v>4983</v>
      </c>
      <c r="B4919" s="1">
        <v>45986</v>
      </c>
      <c r="C4919">
        <v>2025</v>
      </c>
      <c r="D4919" t="s">
        <v>1832</v>
      </c>
      <c r="E4919" t="s">
        <v>2071</v>
      </c>
      <c r="F4919" t="s">
        <v>26</v>
      </c>
      <c r="G4919" t="s">
        <v>51</v>
      </c>
      <c r="H4919" t="s">
        <v>38</v>
      </c>
      <c r="I4919" t="s">
        <v>39</v>
      </c>
      <c r="J4919" t="s">
        <v>35</v>
      </c>
      <c r="K4919" s="2">
        <v>5200</v>
      </c>
      <c r="L4919" s="2">
        <v>59500</v>
      </c>
      <c r="M4919">
        <v>36</v>
      </c>
      <c r="N4919" s="3">
        <v>0.57399999999999995</v>
      </c>
      <c r="O4919" t="s">
        <v>17</v>
      </c>
      <c r="P4919" t="s">
        <v>53</v>
      </c>
      <c r="Q4919">
        <v>0</v>
      </c>
      <c r="R4919">
        <v>1</v>
      </c>
      <c r="S4919" s="2">
        <v>0</v>
      </c>
      <c r="T4919" s="4"/>
      <c r="U4919">
        <v>10</v>
      </c>
      <c r="V4919">
        <v>0</v>
      </c>
      <c r="W4919">
        <v>1</v>
      </c>
    </row>
    <row r="4920" spans="1:23" ht="16.5" x14ac:dyDescent="0.3">
      <c r="A4920" t="s">
        <v>4984</v>
      </c>
      <c r="B4920" s="1">
        <v>45986</v>
      </c>
      <c r="C4920">
        <v>2025</v>
      </c>
      <c r="D4920" t="s">
        <v>1832</v>
      </c>
      <c r="E4920" t="s">
        <v>2071</v>
      </c>
      <c r="F4920" t="s">
        <v>50</v>
      </c>
      <c r="G4920" t="s">
        <v>27</v>
      </c>
      <c r="H4920" t="s">
        <v>55</v>
      </c>
      <c r="I4920" t="s">
        <v>29</v>
      </c>
      <c r="J4920" t="s">
        <v>30</v>
      </c>
      <c r="K4920" s="2">
        <v>4000</v>
      </c>
      <c r="L4920" s="2">
        <v>314000</v>
      </c>
      <c r="M4920">
        <v>180</v>
      </c>
      <c r="N4920" s="3">
        <v>0.72299999999999998</v>
      </c>
      <c r="O4920" t="s">
        <v>17</v>
      </c>
      <c r="P4920" t="s">
        <v>31</v>
      </c>
      <c r="Q4920">
        <v>0</v>
      </c>
      <c r="R4920">
        <v>1</v>
      </c>
      <c r="S4920" s="2">
        <v>0</v>
      </c>
      <c r="T4920" s="4"/>
      <c r="U4920">
        <v>14</v>
      </c>
      <c r="V4920">
        <v>1</v>
      </c>
      <c r="W4920">
        <v>1</v>
      </c>
    </row>
    <row r="4921" spans="1:23" ht="16.5" x14ac:dyDescent="0.3">
      <c r="A4921" t="s">
        <v>4985</v>
      </c>
      <c r="B4921" s="1">
        <v>45986</v>
      </c>
      <c r="C4921">
        <v>2025</v>
      </c>
      <c r="D4921" t="s">
        <v>1832</v>
      </c>
      <c r="E4921" t="s">
        <v>2071</v>
      </c>
      <c r="F4921" t="s">
        <v>41</v>
      </c>
      <c r="G4921" t="s">
        <v>27</v>
      </c>
      <c r="H4921" t="s">
        <v>28</v>
      </c>
      <c r="I4921" t="s">
        <v>29</v>
      </c>
      <c r="J4921" t="s">
        <v>46</v>
      </c>
      <c r="K4921" s="2">
        <v>4450</v>
      </c>
      <c r="L4921" s="2">
        <v>56500</v>
      </c>
      <c r="M4921">
        <v>60</v>
      </c>
      <c r="N4921" s="3">
        <v>0.48</v>
      </c>
      <c r="O4921" t="s">
        <v>16</v>
      </c>
      <c r="Q4921">
        <v>1</v>
      </c>
      <c r="R4921">
        <v>0</v>
      </c>
      <c r="S4921" s="2">
        <v>51000</v>
      </c>
      <c r="T4921" s="4">
        <v>9.0800000000000006E-2</v>
      </c>
      <c r="U4921">
        <v>8</v>
      </c>
      <c r="V4921">
        <v>1</v>
      </c>
      <c r="W4921">
        <v>1</v>
      </c>
    </row>
    <row r="4922" spans="1:23" ht="16.5" x14ac:dyDescent="0.3">
      <c r="A4922" t="s">
        <v>4986</v>
      </c>
      <c r="B4922" s="1">
        <v>45986</v>
      </c>
      <c r="C4922">
        <v>2025</v>
      </c>
      <c r="D4922" t="s">
        <v>1832</v>
      </c>
      <c r="E4922" t="s">
        <v>2071</v>
      </c>
      <c r="F4922" t="s">
        <v>26</v>
      </c>
      <c r="G4922" t="s">
        <v>33</v>
      </c>
      <c r="H4922" t="s">
        <v>64</v>
      </c>
      <c r="I4922" t="s">
        <v>42</v>
      </c>
      <c r="J4922" t="s">
        <v>52</v>
      </c>
      <c r="K4922" s="2">
        <v>4350</v>
      </c>
      <c r="L4922" s="2">
        <v>26500</v>
      </c>
      <c r="M4922">
        <v>48</v>
      </c>
      <c r="N4922" s="3">
        <v>0.24299999999999999</v>
      </c>
      <c r="O4922" t="s">
        <v>16</v>
      </c>
      <c r="Q4922">
        <v>1</v>
      </c>
      <c r="R4922">
        <v>0</v>
      </c>
      <c r="S4922" s="2">
        <v>26500</v>
      </c>
      <c r="T4922" s="4">
        <v>7.7700000000000005E-2</v>
      </c>
      <c r="U4922">
        <v>2</v>
      </c>
      <c r="V4922">
        <v>1</v>
      </c>
      <c r="W4922">
        <v>1</v>
      </c>
    </row>
    <row r="4923" spans="1:23" ht="16.5" x14ac:dyDescent="0.3">
      <c r="A4923" t="s">
        <v>4987</v>
      </c>
      <c r="B4923" s="1">
        <v>45986</v>
      </c>
      <c r="C4923">
        <v>2025</v>
      </c>
      <c r="D4923" t="s">
        <v>1832</v>
      </c>
      <c r="E4923" t="s">
        <v>2071</v>
      </c>
      <c r="F4923" t="s">
        <v>50</v>
      </c>
      <c r="G4923" t="s">
        <v>27</v>
      </c>
      <c r="H4923" t="s">
        <v>38</v>
      </c>
      <c r="I4923" t="s">
        <v>39</v>
      </c>
      <c r="J4923" t="s">
        <v>35</v>
      </c>
      <c r="K4923" s="2">
        <v>10050</v>
      </c>
      <c r="L4923" s="2">
        <v>106000</v>
      </c>
      <c r="M4923">
        <v>300</v>
      </c>
      <c r="N4923" s="3">
        <v>0.30099999999999999</v>
      </c>
      <c r="O4923" t="s">
        <v>17</v>
      </c>
      <c r="P4923" t="s">
        <v>48</v>
      </c>
      <c r="Q4923">
        <v>0</v>
      </c>
      <c r="R4923">
        <v>1</v>
      </c>
      <c r="S4923" s="2">
        <v>0</v>
      </c>
      <c r="T4923" s="4"/>
      <c r="U4923">
        <v>17</v>
      </c>
      <c r="V4923">
        <v>0</v>
      </c>
      <c r="W4923">
        <v>1</v>
      </c>
    </row>
    <row r="4924" spans="1:23" ht="16.5" x14ac:dyDescent="0.3">
      <c r="A4924" t="s">
        <v>4988</v>
      </c>
      <c r="B4924" s="1">
        <v>45987</v>
      </c>
      <c r="C4924">
        <v>2025</v>
      </c>
      <c r="D4924" t="s">
        <v>1832</v>
      </c>
      <c r="E4924" t="s">
        <v>2071</v>
      </c>
      <c r="F4924" t="s">
        <v>41</v>
      </c>
      <c r="G4924" t="s">
        <v>33</v>
      </c>
      <c r="H4924" t="s">
        <v>28</v>
      </c>
      <c r="I4924" t="s">
        <v>39</v>
      </c>
      <c r="J4924" t="s">
        <v>52</v>
      </c>
      <c r="K4924" s="2">
        <v>9250</v>
      </c>
      <c r="L4924" s="2">
        <v>90500</v>
      </c>
      <c r="M4924">
        <v>12</v>
      </c>
      <c r="N4924" s="3">
        <v>0.99299999999999999</v>
      </c>
      <c r="O4924" t="s">
        <v>16</v>
      </c>
      <c r="Q4924">
        <v>1</v>
      </c>
      <c r="R4924">
        <v>0</v>
      </c>
      <c r="S4924" s="2">
        <v>90500</v>
      </c>
      <c r="T4924" s="4">
        <v>9.6000000000000002E-2</v>
      </c>
      <c r="U4924">
        <v>3</v>
      </c>
      <c r="V4924">
        <v>1</v>
      </c>
      <c r="W4924">
        <v>1</v>
      </c>
    </row>
    <row r="4925" spans="1:23" ht="16.5" x14ac:dyDescent="0.3">
      <c r="A4925" t="s">
        <v>4989</v>
      </c>
      <c r="B4925" s="1">
        <v>45987</v>
      </c>
      <c r="C4925">
        <v>2025</v>
      </c>
      <c r="D4925" t="s">
        <v>1832</v>
      </c>
      <c r="E4925" t="s">
        <v>2071</v>
      </c>
      <c r="F4925" t="s">
        <v>26</v>
      </c>
      <c r="G4925" t="s">
        <v>33</v>
      </c>
      <c r="H4925" t="s">
        <v>34</v>
      </c>
      <c r="I4925" t="s">
        <v>29</v>
      </c>
      <c r="J4925" t="s">
        <v>35</v>
      </c>
      <c r="K4925" s="2">
        <v>5250</v>
      </c>
      <c r="L4925" s="2">
        <v>22500</v>
      </c>
      <c r="M4925">
        <v>60</v>
      </c>
      <c r="N4925" s="3">
        <v>0.156</v>
      </c>
      <c r="O4925" t="s">
        <v>16</v>
      </c>
      <c r="Q4925">
        <v>1</v>
      </c>
      <c r="R4925">
        <v>0</v>
      </c>
      <c r="S4925" s="2">
        <v>20000</v>
      </c>
      <c r="T4925" s="4">
        <v>8.6900000000000005E-2</v>
      </c>
      <c r="U4925">
        <v>1</v>
      </c>
      <c r="V4925">
        <v>1</v>
      </c>
      <c r="W4925">
        <v>1</v>
      </c>
    </row>
    <row r="4926" spans="1:23" ht="16.5" x14ac:dyDescent="0.3">
      <c r="A4926" t="s">
        <v>4990</v>
      </c>
      <c r="B4926" s="1">
        <v>45987</v>
      </c>
      <c r="C4926">
        <v>2025</v>
      </c>
      <c r="D4926" t="s">
        <v>1832</v>
      </c>
      <c r="E4926" t="s">
        <v>2071</v>
      </c>
      <c r="F4926" t="s">
        <v>37</v>
      </c>
      <c r="G4926" t="s">
        <v>45</v>
      </c>
      <c r="H4926" t="s">
        <v>55</v>
      </c>
      <c r="I4926" t="s">
        <v>39</v>
      </c>
      <c r="J4926" t="s">
        <v>46</v>
      </c>
      <c r="K4926" s="2">
        <v>5200</v>
      </c>
      <c r="L4926" s="2">
        <v>23500</v>
      </c>
      <c r="M4926">
        <v>12</v>
      </c>
      <c r="N4926" s="3">
        <v>0.52600000000000002</v>
      </c>
      <c r="O4926" t="s">
        <v>16</v>
      </c>
      <c r="Q4926">
        <v>1</v>
      </c>
      <c r="R4926">
        <v>0</v>
      </c>
      <c r="S4926" s="2">
        <v>23500</v>
      </c>
      <c r="T4926" s="4">
        <v>0.1118</v>
      </c>
      <c r="U4926">
        <v>1</v>
      </c>
      <c r="V4926">
        <v>1</v>
      </c>
      <c r="W4926">
        <v>1</v>
      </c>
    </row>
    <row r="4927" spans="1:23" ht="16.5" x14ac:dyDescent="0.3">
      <c r="A4927" t="s">
        <v>4991</v>
      </c>
      <c r="B4927" s="1">
        <v>45987</v>
      </c>
      <c r="C4927">
        <v>2025</v>
      </c>
      <c r="D4927" t="s">
        <v>1832</v>
      </c>
      <c r="E4927" t="s">
        <v>2071</v>
      </c>
      <c r="F4927" t="s">
        <v>26</v>
      </c>
      <c r="G4927" t="s">
        <v>51</v>
      </c>
      <c r="H4927" t="s">
        <v>34</v>
      </c>
      <c r="I4927" t="s">
        <v>29</v>
      </c>
      <c r="J4927" t="s">
        <v>46</v>
      </c>
      <c r="K4927" s="2">
        <v>8150</v>
      </c>
      <c r="L4927" s="2">
        <v>32500</v>
      </c>
      <c r="M4927">
        <v>36</v>
      </c>
      <c r="N4927" s="3">
        <v>0.23300000000000001</v>
      </c>
      <c r="O4927" t="s">
        <v>16</v>
      </c>
      <c r="Q4927">
        <v>1</v>
      </c>
      <c r="R4927">
        <v>0</v>
      </c>
      <c r="S4927" s="2">
        <v>32500</v>
      </c>
      <c r="T4927" s="4">
        <v>6.9800000000000001E-2</v>
      </c>
      <c r="U4927">
        <v>6</v>
      </c>
      <c r="V4927">
        <v>0</v>
      </c>
      <c r="W4927">
        <v>1</v>
      </c>
    </row>
    <row r="4928" spans="1:23" ht="16.5" x14ac:dyDescent="0.3">
      <c r="A4928" t="s">
        <v>4992</v>
      </c>
      <c r="B4928" s="1">
        <v>45987</v>
      </c>
      <c r="C4928">
        <v>2025</v>
      </c>
      <c r="D4928" t="s">
        <v>1832</v>
      </c>
      <c r="E4928" t="s">
        <v>2071</v>
      </c>
      <c r="F4928" t="s">
        <v>37</v>
      </c>
      <c r="G4928" t="s">
        <v>27</v>
      </c>
      <c r="H4928" t="s">
        <v>55</v>
      </c>
      <c r="I4928" t="s">
        <v>29</v>
      </c>
      <c r="J4928" t="s">
        <v>35</v>
      </c>
      <c r="K4928" s="2">
        <v>7300</v>
      </c>
      <c r="L4928" s="2">
        <v>10500</v>
      </c>
      <c r="M4928">
        <v>48</v>
      </c>
      <c r="N4928" s="3">
        <v>0.255</v>
      </c>
      <c r="O4928" t="s">
        <v>16</v>
      </c>
      <c r="Q4928">
        <v>1</v>
      </c>
      <c r="R4928">
        <v>0</v>
      </c>
      <c r="S4928" s="2">
        <v>8500</v>
      </c>
      <c r="T4928" s="4">
        <v>0.122</v>
      </c>
      <c r="U4928">
        <v>6</v>
      </c>
      <c r="V4928">
        <v>0</v>
      </c>
      <c r="W4928">
        <v>1</v>
      </c>
    </row>
    <row r="4929" spans="1:23" ht="16.5" x14ac:dyDescent="0.3">
      <c r="A4929" t="s">
        <v>4993</v>
      </c>
      <c r="B4929" s="1">
        <v>45987</v>
      </c>
      <c r="C4929">
        <v>2025</v>
      </c>
      <c r="D4929" t="s">
        <v>1832</v>
      </c>
      <c r="E4929" t="s">
        <v>2071</v>
      </c>
      <c r="F4929" t="s">
        <v>26</v>
      </c>
      <c r="G4929" t="s">
        <v>33</v>
      </c>
      <c r="H4929" t="s">
        <v>55</v>
      </c>
      <c r="I4929" t="s">
        <v>39</v>
      </c>
      <c r="J4929" t="s">
        <v>30</v>
      </c>
      <c r="K4929" s="2">
        <v>11400</v>
      </c>
      <c r="L4929" s="2">
        <v>35500</v>
      </c>
      <c r="M4929">
        <v>48</v>
      </c>
      <c r="N4929" s="3">
        <v>0.191</v>
      </c>
      <c r="O4929" t="s">
        <v>125</v>
      </c>
      <c r="Q4929">
        <v>0</v>
      </c>
      <c r="R4929">
        <v>0</v>
      </c>
      <c r="S4929" s="2">
        <v>0</v>
      </c>
      <c r="T4929" s="4"/>
      <c r="U4929">
        <v>3</v>
      </c>
      <c r="V4929">
        <v>1</v>
      </c>
      <c r="W4929">
        <v>1</v>
      </c>
    </row>
    <row r="4930" spans="1:23" ht="16.5" x14ac:dyDescent="0.3">
      <c r="A4930" t="s">
        <v>4994</v>
      </c>
      <c r="B4930" s="1">
        <v>45987</v>
      </c>
      <c r="C4930">
        <v>2025</v>
      </c>
      <c r="D4930" t="s">
        <v>1832</v>
      </c>
      <c r="E4930" t="s">
        <v>2071</v>
      </c>
      <c r="F4930" t="s">
        <v>37</v>
      </c>
      <c r="G4930" t="s">
        <v>27</v>
      </c>
      <c r="H4930" t="s">
        <v>38</v>
      </c>
      <c r="I4930" t="s">
        <v>39</v>
      </c>
      <c r="J4930" t="s">
        <v>35</v>
      </c>
      <c r="K4930" s="2">
        <v>6700</v>
      </c>
      <c r="L4930" s="2">
        <v>12000</v>
      </c>
      <c r="M4930">
        <v>60</v>
      </c>
      <c r="N4930" s="3">
        <v>0.183</v>
      </c>
      <c r="O4930" t="s">
        <v>17</v>
      </c>
      <c r="P4930" t="s">
        <v>60</v>
      </c>
      <c r="Q4930">
        <v>0</v>
      </c>
      <c r="R4930">
        <v>1</v>
      </c>
      <c r="S4930" s="2">
        <v>0</v>
      </c>
      <c r="T4930" s="4"/>
      <c r="U4930">
        <v>6</v>
      </c>
      <c r="V4930">
        <v>0</v>
      </c>
      <c r="W4930">
        <v>1</v>
      </c>
    </row>
    <row r="4931" spans="1:23" ht="16.5" x14ac:dyDescent="0.3">
      <c r="A4931" t="s">
        <v>4995</v>
      </c>
      <c r="B4931" s="1">
        <v>45987</v>
      </c>
      <c r="C4931">
        <v>2025</v>
      </c>
      <c r="D4931" t="s">
        <v>1832</v>
      </c>
      <c r="E4931" t="s">
        <v>2071</v>
      </c>
      <c r="F4931" t="s">
        <v>50</v>
      </c>
      <c r="G4931" t="s">
        <v>51</v>
      </c>
      <c r="H4931" t="s">
        <v>34</v>
      </c>
      <c r="I4931" t="s">
        <v>42</v>
      </c>
      <c r="J4931" t="s">
        <v>52</v>
      </c>
      <c r="K4931" s="2">
        <v>6250</v>
      </c>
      <c r="L4931" s="2">
        <v>223000</v>
      </c>
      <c r="M4931">
        <v>180</v>
      </c>
      <c r="N4931" s="3">
        <v>0.437</v>
      </c>
      <c r="O4931" t="s">
        <v>17</v>
      </c>
      <c r="P4931" t="s">
        <v>60</v>
      </c>
      <c r="Q4931">
        <v>0</v>
      </c>
      <c r="R4931">
        <v>1</v>
      </c>
      <c r="S4931" s="2">
        <v>0</v>
      </c>
      <c r="T4931" s="4"/>
      <c r="U4931">
        <v>16</v>
      </c>
      <c r="V4931">
        <v>0</v>
      </c>
      <c r="W4931">
        <v>1</v>
      </c>
    </row>
    <row r="4932" spans="1:23" ht="16.5" x14ac:dyDescent="0.3">
      <c r="A4932" t="s">
        <v>4996</v>
      </c>
      <c r="B4932" s="1">
        <v>45987</v>
      </c>
      <c r="C4932">
        <v>2025</v>
      </c>
      <c r="D4932" t="s">
        <v>1832</v>
      </c>
      <c r="E4932" t="s">
        <v>2071</v>
      </c>
      <c r="F4932" t="s">
        <v>37</v>
      </c>
      <c r="G4932" t="s">
        <v>51</v>
      </c>
      <c r="H4932" t="s">
        <v>55</v>
      </c>
      <c r="I4932" t="s">
        <v>42</v>
      </c>
      <c r="J4932" t="s">
        <v>35</v>
      </c>
      <c r="K4932" s="2">
        <v>4450</v>
      </c>
      <c r="L4932" s="2">
        <v>7500</v>
      </c>
      <c r="M4932">
        <v>60</v>
      </c>
      <c r="N4932" s="3">
        <v>0.22700000000000001</v>
      </c>
      <c r="O4932" t="s">
        <v>16</v>
      </c>
      <c r="Q4932">
        <v>1</v>
      </c>
      <c r="R4932">
        <v>0</v>
      </c>
      <c r="S4932" s="2">
        <v>7500</v>
      </c>
      <c r="T4932" s="4">
        <v>0.1303</v>
      </c>
      <c r="U4932">
        <v>3</v>
      </c>
      <c r="V4932">
        <v>1</v>
      </c>
      <c r="W4932">
        <v>1</v>
      </c>
    </row>
    <row r="4933" spans="1:23" ht="16.5" x14ac:dyDescent="0.3">
      <c r="A4933" t="s">
        <v>4997</v>
      </c>
      <c r="B4933" s="1">
        <v>45987</v>
      </c>
      <c r="C4933">
        <v>2025</v>
      </c>
      <c r="D4933" t="s">
        <v>1832</v>
      </c>
      <c r="E4933" t="s">
        <v>2071</v>
      </c>
      <c r="F4933" t="s">
        <v>26</v>
      </c>
      <c r="G4933" t="s">
        <v>51</v>
      </c>
      <c r="H4933" t="s">
        <v>38</v>
      </c>
      <c r="I4933" t="s">
        <v>39</v>
      </c>
      <c r="J4933" t="s">
        <v>30</v>
      </c>
      <c r="K4933" s="2">
        <v>3900</v>
      </c>
      <c r="L4933" s="2">
        <v>19500</v>
      </c>
      <c r="M4933">
        <v>60</v>
      </c>
      <c r="N4933" s="3">
        <v>0.16900000000000001</v>
      </c>
      <c r="O4933" t="s">
        <v>16</v>
      </c>
      <c r="Q4933">
        <v>1</v>
      </c>
      <c r="R4933">
        <v>0</v>
      </c>
      <c r="S4933" s="2">
        <v>15500</v>
      </c>
      <c r="T4933" s="4">
        <v>9.7799999999999998E-2</v>
      </c>
      <c r="U4933">
        <v>5</v>
      </c>
      <c r="V4933">
        <v>0</v>
      </c>
      <c r="W4933">
        <v>1</v>
      </c>
    </row>
    <row r="4934" spans="1:23" ht="16.5" x14ac:dyDescent="0.3">
      <c r="A4934" t="s">
        <v>4998</v>
      </c>
      <c r="B4934" s="1">
        <v>45987</v>
      </c>
      <c r="C4934">
        <v>2025</v>
      </c>
      <c r="D4934" t="s">
        <v>1832</v>
      </c>
      <c r="E4934" t="s">
        <v>2071</v>
      </c>
      <c r="F4934" t="s">
        <v>37</v>
      </c>
      <c r="G4934" t="s">
        <v>51</v>
      </c>
      <c r="H4934" t="s">
        <v>55</v>
      </c>
      <c r="I4934" t="s">
        <v>39</v>
      </c>
      <c r="J4934" t="s">
        <v>30</v>
      </c>
      <c r="K4934" s="2">
        <v>4250</v>
      </c>
      <c r="L4934" s="2">
        <v>17500</v>
      </c>
      <c r="M4934">
        <v>60</v>
      </c>
      <c r="N4934" s="3">
        <v>0.33200000000000002</v>
      </c>
      <c r="O4934" t="s">
        <v>16</v>
      </c>
      <c r="Q4934">
        <v>1</v>
      </c>
      <c r="R4934">
        <v>0</v>
      </c>
      <c r="S4934" s="2">
        <v>17500</v>
      </c>
      <c r="T4934" s="4">
        <v>0.14030000000000001</v>
      </c>
      <c r="U4934">
        <v>3</v>
      </c>
      <c r="V4934">
        <v>1</v>
      </c>
      <c r="W4934">
        <v>1</v>
      </c>
    </row>
    <row r="4935" spans="1:23" ht="16.5" x14ac:dyDescent="0.3">
      <c r="A4935" t="s">
        <v>4999</v>
      </c>
      <c r="B4935" s="1">
        <v>45987</v>
      </c>
      <c r="C4935">
        <v>2025</v>
      </c>
      <c r="D4935" t="s">
        <v>1832</v>
      </c>
      <c r="E4935" t="s">
        <v>2071</v>
      </c>
      <c r="F4935" t="s">
        <v>41</v>
      </c>
      <c r="G4935" t="s">
        <v>51</v>
      </c>
      <c r="H4935" t="s">
        <v>38</v>
      </c>
      <c r="I4935" t="s">
        <v>29</v>
      </c>
      <c r="J4935" t="s">
        <v>30</v>
      </c>
      <c r="K4935" s="2">
        <v>3500</v>
      </c>
      <c r="L4935" s="2">
        <v>142500</v>
      </c>
      <c r="M4935">
        <v>36</v>
      </c>
      <c r="N4935" s="3">
        <v>1.508</v>
      </c>
      <c r="O4935" t="s">
        <v>17</v>
      </c>
      <c r="P4935" t="s">
        <v>31</v>
      </c>
      <c r="Q4935">
        <v>0</v>
      </c>
      <c r="R4935">
        <v>1</v>
      </c>
      <c r="S4935" s="2">
        <v>0</v>
      </c>
      <c r="T4935" s="4"/>
      <c r="U4935">
        <v>12</v>
      </c>
      <c r="V4935">
        <v>0</v>
      </c>
      <c r="W4935">
        <v>1</v>
      </c>
    </row>
    <row r="4936" spans="1:23" ht="16.5" x14ac:dyDescent="0.3">
      <c r="A4936" t="s">
        <v>5000</v>
      </c>
      <c r="B4936" s="1">
        <v>45987</v>
      </c>
      <c r="C4936">
        <v>2025</v>
      </c>
      <c r="D4936" t="s">
        <v>1832</v>
      </c>
      <c r="E4936" t="s">
        <v>2071</v>
      </c>
      <c r="F4936" t="s">
        <v>41</v>
      </c>
      <c r="G4936" t="s">
        <v>51</v>
      </c>
      <c r="H4936" t="s">
        <v>34</v>
      </c>
      <c r="I4936" t="s">
        <v>29</v>
      </c>
      <c r="J4936" t="s">
        <v>30</v>
      </c>
      <c r="K4936" s="2">
        <v>5400</v>
      </c>
      <c r="L4936" s="2">
        <v>64000</v>
      </c>
      <c r="M4936">
        <v>24</v>
      </c>
      <c r="N4936" s="3">
        <v>0.61399999999999999</v>
      </c>
      <c r="O4936" t="s">
        <v>17</v>
      </c>
      <c r="P4936" t="s">
        <v>31</v>
      </c>
      <c r="Q4936">
        <v>0</v>
      </c>
      <c r="R4936">
        <v>1</v>
      </c>
      <c r="S4936" s="2">
        <v>0</v>
      </c>
      <c r="T4936" s="4"/>
      <c r="U4936">
        <v>25</v>
      </c>
      <c r="V4936">
        <v>0</v>
      </c>
      <c r="W4936">
        <v>1</v>
      </c>
    </row>
    <row r="4937" spans="1:23" ht="16.5" x14ac:dyDescent="0.3">
      <c r="A4937" t="s">
        <v>5001</v>
      </c>
      <c r="B4937" s="1">
        <v>45988</v>
      </c>
      <c r="C4937">
        <v>2025</v>
      </c>
      <c r="D4937" t="s">
        <v>1832</v>
      </c>
      <c r="E4937" t="s">
        <v>2071</v>
      </c>
      <c r="F4937" t="s">
        <v>41</v>
      </c>
      <c r="G4937" t="s">
        <v>51</v>
      </c>
      <c r="H4937" t="s">
        <v>38</v>
      </c>
      <c r="I4937" t="s">
        <v>39</v>
      </c>
      <c r="J4937" t="s">
        <v>43</v>
      </c>
      <c r="K4937" s="2">
        <v>5350</v>
      </c>
      <c r="L4937" s="2">
        <v>155500</v>
      </c>
      <c r="M4937">
        <v>36</v>
      </c>
      <c r="N4937" s="3">
        <v>1.147</v>
      </c>
      <c r="O4937" t="s">
        <v>17</v>
      </c>
      <c r="P4937" t="s">
        <v>60</v>
      </c>
      <c r="Q4937">
        <v>0</v>
      </c>
      <c r="R4937">
        <v>1</v>
      </c>
      <c r="S4937" s="2">
        <v>0</v>
      </c>
      <c r="T4937" s="4"/>
      <c r="U4937">
        <v>14</v>
      </c>
      <c r="V4937">
        <v>0</v>
      </c>
      <c r="W4937">
        <v>1</v>
      </c>
    </row>
    <row r="4938" spans="1:23" ht="16.5" x14ac:dyDescent="0.3">
      <c r="A4938" t="s">
        <v>5002</v>
      </c>
      <c r="B4938" s="1">
        <v>45988</v>
      </c>
      <c r="C4938">
        <v>2025</v>
      </c>
      <c r="D4938" t="s">
        <v>1832</v>
      </c>
      <c r="E4938" t="s">
        <v>2071</v>
      </c>
      <c r="F4938" t="s">
        <v>50</v>
      </c>
      <c r="G4938" t="s">
        <v>45</v>
      </c>
      <c r="H4938" t="s">
        <v>55</v>
      </c>
      <c r="I4938" t="s">
        <v>39</v>
      </c>
      <c r="J4938" t="s">
        <v>52</v>
      </c>
      <c r="K4938" s="2">
        <v>6500</v>
      </c>
      <c r="L4938" s="2">
        <v>202000</v>
      </c>
      <c r="M4938">
        <v>300</v>
      </c>
      <c r="N4938" s="3">
        <v>0.41599999999999998</v>
      </c>
      <c r="O4938" t="s">
        <v>16</v>
      </c>
      <c r="Q4938">
        <v>1</v>
      </c>
      <c r="R4938">
        <v>0</v>
      </c>
      <c r="S4938" s="2">
        <v>182000</v>
      </c>
      <c r="T4938" s="4">
        <v>5.1400000000000001E-2</v>
      </c>
      <c r="U4938">
        <v>12</v>
      </c>
      <c r="V4938">
        <v>1</v>
      </c>
      <c r="W4938">
        <v>1</v>
      </c>
    </row>
    <row r="4939" spans="1:23" ht="16.5" x14ac:dyDescent="0.3">
      <c r="A4939" t="s">
        <v>5003</v>
      </c>
      <c r="B4939" s="1">
        <v>45988</v>
      </c>
      <c r="C4939">
        <v>2025</v>
      </c>
      <c r="D4939" t="s">
        <v>1832</v>
      </c>
      <c r="E4939" t="s">
        <v>2071</v>
      </c>
      <c r="F4939" t="s">
        <v>37</v>
      </c>
      <c r="G4939" t="s">
        <v>33</v>
      </c>
      <c r="H4939" t="s">
        <v>34</v>
      </c>
      <c r="I4939" t="s">
        <v>39</v>
      </c>
      <c r="J4939" t="s">
        <v>46</v>
      </c>
      <c r="K4939" s="2">
        <v>5550</v>
      </c>
      <c r="L4939" s="2">
        <v>8000</v>
      </c>
      <c r="M4939">
        <v>48</v>
      </c>
      <c r="N4939" s="3">
        <v>9.1999999999999998E-2</v>
      </c>
      <c r="O4939" t="s">
        <v>16</v>
      </c>
      <c r="Q4939">
        <v>1</v>
      </c>
      <c r="R4939">
        <v>0</v>
      </c>
      <c r="S4939" s="2">
        <v>6500</v>
      </c>
      <c r="T4939" s="4">
        <v>0.1133</v>
      </c>
      <c r="U4939">
        <v>2</v>
      </c>
      <c r="V4939">
        <v>1</v>
      </c>
      <c r="W4939">
        <v>1</v>
      </c>
    </row>
    <row r="4940" spans="1:23" ht="16.5" x14ac:dyDescent="0.3">
      <c r="A4940" t="s">
        <v>5004</v>
      </c>
      <c r="B4940" s="1">
        <v>45988</v>
      </c>
      <c r="C4940">
        <v>2025</v>
      </c>
      <c r="D4940" t="s">
        <v>1832</v>
      </c>
      <c r="E4940" t="s">
        <v>2071</v>
      </c>
      <c r="F4940" t="s">
        <v>41</v>
      </c>
      <c r="G4940" t="s">
        <v>51</v>
      </c>
      <c r="H4940" t="s">
        <v>34</v>
      </c>
      <c r="I4940" t="s">
        <v>29</v>
      </c>
      <c r="J4940" t="s">
        <v>30</v>
      </c>
      <c r="K4940" s="2">
        <v>6250</v>
      </c>
      <c r="L4940" s="2">
        <v>104000</v>
      </c>
      <c r="M4940">
        <v>60</v>
      </c>
      <c r="N4940" s="3">
        <v>0.54400000000000004</v>
      </c>
      <c r="O4940" t="s">
        <v>17</v>
      </c>
      <c r="P4940" t="s">
        <v>31</v>
      </c>
      <c r="Q4940">
        <v>0</v>
      </c>
      <c r="R4940">
        <v>1</v>
      </c>
      <c r="S4940" s="2">
        <v>0</v>
      </c>
      <c r="T4940" s="4"/>
      <c r="U4940">
        <v>18</v>
      </c>
      <c r="V4940">
        <v>0</v>
      </c>
      <c r="W4940">
        <v>1</v>
      </c>
    </row>
    <row r="4941" spans="1:23" ht="16.5" x14ac:dyDescent="0.3">
      <c r="A4941" t="s">
        <v>5005</v>
      </c>
      <c r="B4941" s="1">
        <v>45988</v>
      </c>
      <c r="C4941">
        <v>2025</v>
      </c>
      <c r="D4941" t="s">
        <v>1832</v>
      </c>
      <c r="E4941" t="s">
        <v>2071</v>
      </c>
      <c r="F4941" t="s">
        <v>41</v>
      </c>
      <c r="G4941" t="s">
        <v>33</v>
      </c>
      <c r="H4941" t="s">
        <v>38</v>
      </c>
      <c r="I4941" t="s">
        <v>39</v>
      </c>
      <c r="J4941" t="s">
        <v>43</v>
      </c>
      <c r="K4941" s="2">
        <v>4500</v>
      </c>
      <c r="L4941" s="2">
        <v>71000</v>
      </c>
      <c r="M4941">
        <v>60</v>
      </c>
      <c r="N4941" s="3">
        <v>0.44700000000000001</v>
      </c>
      <c r="O4941" t="s">
        <v>16</v>
      </c>
      <c r="Q4941">
        <v>1</v>
      </c>
      <c r="R4941">
        <v>0</v>
      </c>
      <c r="S4941" s="2">
        <v>71000</v>
      </c>
      <c r="T4941" s="4">
        <v>0.14699999999999999</v>
      </c>
      <c r="U4941">
        <v>7</v>
      </c>
      <c r="V4941">
        <v>1</v>
      </c>
      <c r="W4941">
        <v>1</v>
      </c>
    </row>
    <row r="4942" spans="1:23" ht="16.5" x14ac:dyDescent="0.3">
      <c r="A4942" t="s">
        <v>5006</v>
      </c>
      <c r="B4942" s="1">
        <v>45988</v>
      </c>
      <c r="C4942">
        <v>2025</v>
      </c>
      <c r="D4942" t="s">
        <v>1832</v>
      </c>
      <c r="E4942" t="s">
        <v>2071</v>
      </c>
      <c r="F4942" t="s">
        <v>37</v>
      </c>
      <c r="G4942" t="s">
        <v>33</v>
      </c>
      <c r="H4942" t="s">
        <v>64</v>
      </c>
      <c r="I4942" t="s">
        <v>29</v>
      </c>
      <c r="J4942" t="s">
        <v>52</v>
      </c>
      <c r="K4942" s="2">
        <v>6100</v>
      </c>
      <c r="L4942" s="2">
        <v>11000</v>
      </c>
      <c r="M4942">
        <v>48</v>
      </c>
      <c r="N4942" s="3">
        <v>0.251</v>
      </c>
      <c r="O4942" t="s">
        <v>16</v>
      </c>
      <c r="Q4942">
        <v>1</v>
      </c>
      <c r="R4942">
        <v>0</v>
      </c>
      <c r="S4942" s="2">
        <v>11000</v>
      </c>
      <c r="T4942" s="4">
        <v>0.1154</v>
      </c>
      <c r="U4942">
        <v>2</v>
      </c>
      <c r="V4942">
        <v>1</v>
      </c>
      <c r="W4942">
        <v>1</v>
      </c>
    </row>
    <row r="4943" spans="1:23" ht="16.5" x14ac:dyDescent="0.3">
      <c r="A4943" t="s">
        <v>5007</v>
      </c>
      <c r="B4943" s="1">
        <v>45988</v>
      </c>
      <c r="C4943">
        <v>2025</v>
      </c>
      <c r="D4943" t="s">
        <v>1832</v>
      </c>
      <c r="E4943" t="s">
        <v>2071</v>
      </c>
      <c r="F4943" t="s">
        <v>37</v>
      </c>
      <c r="G4943" t="s">
        <v>33</v>
      </c>
      <c r="H4943" t="s">
        <v>55</v>
      </c>
      <c r="I4943" t="s">
        <v>42</v>
      </c>
      <c r="J4943" t="s">
        <v>35</v>
      </c>
      <c r="K4943" s="2">
        <v>6850</v>
      </c>
      <c r="L4943" s="2">
        <v>12000</v>
      </c>
      <c r="M4943">
        <v>36</v>
      </c>
      <c r="N4943" s="3">
        <v>0.122</v>
      </c>
      <c r="O4943" t="s">
        <v>17</v>
      </c>
      <c r="P4943" t="s">
        <v>48</v>
      </c>
      <c r="Q4943">
        <v>0</v>
      </c>
      <c r="R4943">
        <v>1</v>
      </c>
      <c r="S4943" s="2">
        <v>0</v>
      </c>
      <c r="T4943" s="4"/>
      <c r="U4943">
        <v>1</v>
      </c>
      <c r="V4943">
        <v>1</v>
      </c>
      <c r="W4943">
        <v>1</v>
      </c>
    </row>
    <row r="4944" spans="1:23" ht="16.5" x14ac:dyDescent="0.3">
      <c r="A4944" t="s">
        <v>5008</v>
      </c>
      <c r="B4944" s="1">
        <v>45989</v>
      </c>
      <c r="C4944">
        <v>2025</v>
      </c>
      <c r="D4944" t="s">
        <v>1832</v>
      </c>
      <c r="E4944" t="s">
        <v>2071</v>
      </c>
      <c r="F4944" t="s">
        <v>37</v>
      </c>
      <c r="G4944" t="s">
        <v>33</v>
      </c>
      <c r="H4944" t="s">
        <v>38</v>
      </c>
      <c r="I4944" t="s">
        <v>42</v>
      </c>
      <c r="J4944" t="s">
        <v>35</v>
      </c>
      <c r="K4944" s="2">
        <v>5200</v>
      </c>
      <c r="L4944" s="2">
        <v>18500</v>
      </c>
      <c r="M4944">
        <v>24</v>
      </c>
      <c r="N4944" s="3">
        <v>0.39100000000000001</v>
      </c>
      <c r="O4944" t="s">
        <v>16</v>
      </c>
      <c r="Q4944">
        <v>1</v>
      </c>
      <c r="R4944">
        <v>0</v>
      </c>
      <c r="S4944" s="2">
        <v>18500</v>
      </c>
      <c r="T4944" s="4">
        <v>0.12529999999999999</v>
      </c>
      <c r="U4944">
        <v>2</v>
      </c>
      <c r="V4944">
        <v>1</v>
      </c>
      <c r="W4944">
        <v>1</v>
      </c>
    </row>
    <row r="4945" spans="1:23" ht="16.5" x14ac:dyDescent="0.3">
      <c r="A4945" t="s">
        <v>5009</v>
      </c>
      <c r="B4945" s="1">
        <v>45989</v>
      </c>
      <c r="C4945">
        <v>2025</v>
      </c>
      <c r="D4945" t="s">
        <v>1832</v>
      </c>
      <c r="E4945" t="s">
        <v>2071</v>
      </c>
      <c r="F4945" t="s">
        <v>26</v>
      </c>
      <c r="G4945" t="s">
        <v>33</v>
      </c>
      <c r="H4945" t="s">
        <v>38</v>
      </c>
      <c r="I4945" t="s">
        <v>39</v>
      </c>
      <c r="J4945" t="s">
        <v>35</v>
      </c>
      <c r="K4945" s="2">
        <v>5700</v>
      </c>
      <c r="L4945" s="2">
        <v>40000</v>
      </c>
      <c r="M4945">
        <v>36</v>
      </c>
      <c r="N4945" s="3">
        <v>0.32900000000000001</v>
      </c>
      <c r="O4945" t="s">
        <v>16</v>
      </c>
      <c r="Q4945">
        <v>1</v>
      </c>
      <c r="R4945">
        <v>0</v>
      </c>
      <c r="S4945" s="2">
        <v>40000</v>
      </c>
      <c r="T4945" s="4">
        <v>8.3400000000000002E-2</v>
      </c>
      <c r="U4945">
        <v>2</v>
      </c>
      <c r="V4945">
        <v>1</v>
      </c>
      <c r="W4945">
        <v>1</v>
      </c>
    </row>
    <row r="4946" spans="1:23" ht="16.5" x14ac:dyDescent="0.3">
      <c r="A4946" t="s">
        <v>5010</v>
      </c>
      <c r="B4946" s="1">
        <v>45989</v>
      </c>
      <c r="C4946">
        <v>2025</v>
      </c>
      <c r="D4946" t="s">
        <v>1832</v>
      </c>
      <c r="E4946" t="s">
        <v>2071</v>
      </c>
      <c r="F4946" t="s">
        <v>37</v>
      </c>
      <c r="G4946" t="s">
        <v>45</v>
      </c>
      <c r="H4946" t="s">
        <v>38</v>
      </c>
      <c r="I4946" t="s">
        <v>29</v>
      </c>
      <c r="J4946" t="s">
        <v>30</v>
      </c>
      <c r="K4946" s="2">
        <v>8900</v>
      </c>
      <c r="L4946" s="2">
        <v>17500</v>
      </c>
      <c r="M4946">
        <v>24</v>
      </c>
      <c r="N4946" s="3">
        <v>0.32700000000000001</v>
      </c>
      <c r="O4946" t="s">
        <v>17</v>
      </c>
      <c r="P4946" t="s">
        <v>31</v>
      </c>
      <c r="Q4946">
        <v>0</v>
      </c>
      <c r="R4946">
        <v>1</v>
      </c>
      <c r="S4946" s="2">
        <v>0</v>
      </c>
      <c r="T4946" s="4"/>
      <c r="U4946">
        <v>1</v>
      </c>
      <c r="V4946">
        <v>1</v>
      </c>
      <c r="W4946">
        <v>1</v>
      </c>
    </row>
    <row r="4947" spans="1:23" ht="16.5" x14ac:dyDescent="0.3">
      <c r="A4947" t="s">
        <v>5011</v>
      </c>
      <c r="B4947" s="1">
        <v>45989</v>
      </c>
      <c r="C4947">
        <v>2025</v>
      </c>
      <c r="D4947" t="s">
        <v>1832</v>
      </c>
      <c r="E4947" t="s">
        <v>2071</v>
      </c>
      <c r="F4947" t="s">
        <v>37</v>
      </c>
      <c r="G4947" t="s">
        <v>51</v>
      </c>
      <c r="H4947" t="s">
        <v>55</v>
      </c>
      <c r="I4947" t="s">
        <v>29</v>
      </c>
      <c r="J4947" t="s">
        <v>52</v>
      </c>
      <c r="K4947" s="2">
        <v>7100</v>
      </c>
      <c r="L4947" s="2">
        <v>11000</v>
      </c>
      <c r="M4947">
        <v>12</v>
      </c>
      <c r="N4947" s="3">
        <v>0.23899999999999999</v>
      </c>
      <c r="O4947" t="s">
        <v>17</v>
      </c>
      <c r="P4947" t="s">
        <v>60</v>
      </c>
      <c r="Q4947">
        <v>0</v>
      </c>
      <c r="R4947">
        <v>1</v>
      </c>
      <c r="S4947" s="2">
        <v>0</v>
      </c>
      <c r="T4947" s="4"/>
      <c r="U4947">
        <v>9</v>
      </c>
      <c r="V4947">
        <v>0</v>
      </c>
      <c r="W4947">
        <v>1</v>
      </c>
    </row>
    <row r="4948" spans="1:23" ht="16.5" x14ac:dyDescent="0.3">
      <c r="A4948" t="s">
        <v>5012</v>
      </c>
      <c r="B4948" s="1">
        <v>45990</v>
      </c>
      <c r="C4948">
        <v>2025</v>
      </c>
      <c r="D4948" t="s">
        <v>1832</v>
      </c>
      <c r="E4948" t="s">
        <v>2071</v>
      </c>
      <c r="F4948" t="s">
        <v>37</v>
      </c>
      <c r="G4948" t="s">
        <v>51</v>
      </c>
      <c r="H4948" t="s">
        <v>34</v>
      </c>
      <c r="I4948" t="s">
        <v>29</v>
      </c>
      <c r="J4948" t="s">
        <v>35</v>
      </c>
      <c r="K4948" s="2">
        <v>6000</v>
      </c>
      <c r="L4948" s="2">
        <v>25000</v>
      </c>
      <c r="M4948">
        <v>60</v>
      </c>
      <c r="N4948" s="3">
        <v>0.316</v>
      </c>
      <c r="O4948" t="s">
        <v>16</v>
      </c>
      <c r="Q4948">
        <v>1</v>
      </c>
      <c r="R4948">
        <v>0</v>
      </c>
      <c r="S4948" s="2">
        <v>20000</v>
      </c>
      <c r="T4948" s="4">
        <v>0.13439999999999999</v>
      </c>
      <c r="U4948">
        <v>6</v>
      </c>
      <c r="V4948">
        <v>0</v>
      </c>
      <c r="W4948">
        <v>1</v>
      </c>
    </row>
    <row r="4949" spans="1:23" ht="16.5" x14ac:dyDescent="0.3">
      <c r="A4949" t="s">
        <v>5013</v>
      </c>
      <c r="B4949" s="1">
        <v>45990</v>
      </c>
      <c r="C4949">
        <v>2025</v>
      </c>
      <c r="D4949" t="s">
        <v>1832</v>
      </c>
      <c r="E4949" t="s">
        <v>2071</v>
      </c>
      <c r="F4949" t="s">
        <v>41</v>
      </c>
      <c r="G4949" t="s">
        <v>33</v>
      </c>
      <c r="H4949" t="s">
        <v>34</v>
      </c>
      <c r="I4949" t="s">
        <v>29</v>
      </c>
      <c r="J4949" t="s">
        <v>35</v>
      </c>
      <c r="K4949" s="2">
        <v>8200</v>
      </c>
      <c r="L4949" s="2">
        <v>144500</v>
      </c>
      <c r="M4949">
        <v>60</v>
      </c>
      <c r="N4949" s="3">
        <v>0.55300000000000005</v>
      </c>
      <c r="O4949" t="s">
        <v>17</v>
      </c>
      <c r="P4949" t="s">
        <v>53</v>
      </c>
      <c r="Q4949">
        <v>0</v>
      </c>
      <c r="R4949">
        <v>1</v>
      </c>
      <c r="S4949" s="2">
        <v>0</v>
      </c>
      <c r="T4949" s="4"/>
      <c r="U4949">
        <v>4</v>
      </c>
      <c r="V4949">
        <v>1</v>
      </c>
      <c r="W4949">
        <v>1</v>
      </c>
    </row>
    <row r="4950" spans="1:23" ht="16.5" x14ac:dyDescent="0.3">
      <c r="A4950" t="s">
        <v>5014</v>
      </c>
      <c r="B4950" s="1">
        <v>45990</v>
      </c>
      <c r="C4950">
        <v>2025</v>
      </c>
      <c r="D4950" t="s">
        <v>1832</v>
      </c>
      <c r="E4950" t="s">
        <v>2071</v>
      </c>
      <c r="F4950" t="s">
        <v>41</v>
      </c>
      <c r="G4950" t="s">
        <v>33</v>
      </c>
      <c r="H4950" t="s">
        <v>38</v>
      </c>
      <c r="I4950" t="s">
        <v>29</v>
      </c>
      <c r="J4950" t="s">
        <v>35</v>
      </c>
      <c r="K4950" s="2">
        <v>5950</v>
      </c>
      <c r="L4950" s="2">
        <v>182500</v>
      </c>
      <c r="M4950">
        <v>12</v>
      </c>
      <c r="N4950" s="3">
        <v>2.9279999999999999</v>
      </c>
      <c r="O4950" t="s">
        <v>17</v>
      </c>
      <c r="P4950" t="s">
        <v>53</v>
      </c>
      <c r="Q4950">
        <v>0</v>
      </c>
      <c r="R4950">
        <v>1</v>
      </c>
      <c r="S4950" s="2">
        <v>0</v>
      </c>
      <c r="T4950" s="4"/>
      <c r="U4950">
        <v>7</v>
      </c>
      <c r="V4950">
        <v>1</v>
      </c>
      <c r="W4950">
        <v>1</v>
      </c>
    </row>
    <row r="4951" spans="1:23" ht="16.5" x14ac:dyDescent="0.3">
      <c r="A4951" t="s">
        <v>5015</v>
      </c>
      <c r="B4951" s="1">
        <v>45990</v>
      </c>
      <c r="C4951">
        <v>2025</v>
      </c>
      <c r="D4951" t="s">
        <v>1832</v>
      </c>
      <c r="E4951" t="s">
        <v>2071</v>
      </c>
      <c r="F4951" t="s">
        <v>26</v>
      </c>
      <c r="G4951" t="s">
        <v>51</v>
      </c>
      <c r="H4951" t="s">
        <v>64</v>
      </c>
      <c r="I4951" t="s">
        <v>29</v>
      </c>
      <c r="J4951" t="s">
        <v>30</v>
      </c>
      <c r="K4951" s="2">
        <v>6150</v>
      </c>
      <c r="L4951" s="2">
        <v>33500</v>
      </c>
      <c r="M4951">
        <v>60</v>
      </c>
      <c r="N4951" s="3">
        <v>0.30099999999999999</v>
      </c>
      <c r="O4951" t="s">
        <v>16</v>
      </c>
      <c r="Q4951">
        <v>1</v>
      </c>
      <c r="R4951">
        <v>0</v>
      </c>
      <c r="S4951" s="2">
        <v>30000</v>
      </c>
      <c r="T4951" s="4">
        <v>9.5500000000000002E-2</v>
      </c>
      <c r="U4951">
        <v>4</v>
      </c>
      <c r="V4951">
        <v>1</v>
      </c>
      <c r="W4951">
        <v>1</v>
      </c>
    </row>
    <row r="4952" spans="1:23" ht="16.5" x14ac:dyDescent="0.3">
      <c r="A4952" t="s">
        <v>5016</v>
      </c>
      <c r="B4952" s="1">
        <v>45990</v>
      </c>
      <c r="C4952">
        <v>2025</v>
      </c>
      <c r="D4952" t="s">
        <v>1832</v>
      </c>
      <c r="E4952" t="s">
        <v>2071</v>
      </c>
      <c r="F4952" t="s">
        <v>37</v>
      </c>
      <c r="G4952" t="s">
        <v>51</v>
      </c>
      <c r="H4952" t="s">
        <v>55</v>
      </c>
      <c r="I4952" t="s">
        <v>42</v>
      </c>
      <c r="J4952" t="s">
        <v>43</v>
      </c>
      <c r="K4952" s="2">
        <v>5950</v>
      </c>
      <c r="L4952" s="2">
        <v>9000</v>
      </c>
      <c r="M4952">
        <v>48</v>
      </c>
      <c r="N4952" s="3">
        <v>0.27300000000000002</v>
      </c>
      <c r="O4952" t="s">
        <v>125</v>
      </c>
      <c r="Q4952">
        <v>0</v>
      </c>
      <c r="R4952">
        <v>0</v>
      </c>
      <c r="S4952" s="2">
        <v>0</v>
      </c>
      <c r="T4952" s="4"/>
      <c r="U4952">
        <v>5</v>
      </c>
      <c r="V4952">
        <v>0</v>
      </c>
      <c r="W4952">
        <v>1</v>
      </c>
    </row>
    <row r="4953" spans="1:23" ht="16.5" x14ac:dyDescent="0.3">
      <c r="A4953" t="s">
        <v>5017</v>
      </c>
      <c r="B4953" s="1">
        <v>45990</v>
      </c>
      <c r="C4953">
        <v>2025</v>
      </c>
      <c r="D4953" t="s">
        <v>1832</v>
      </c>
      <c r="E4953" t="s">
        <v>2071</v>
      </c>
      <c r="F4953" t="s">
        <v>26</v>
      </c>
      <c r="G4953" t="s">
        <v>33</v>
      </c>
      <c r="H4953" t="s">
        <v>55</v>
      </c>
      <c r="I4953" t="s">
        <v>42</v>
      </c>
      <c r="J4953" t="s">
        <v>30</v>
      </c>
      <c r="K4953" s="2">
        <v>4900</v>
      </c>
      <c r="L4953" s="2">
        <v>91000</v>
      </c>
      <c r="M4953">
        <v>36</v>
      </c>
      <c r="N4953" s="3">
        <v>0.73</v>
      </c>
      <c r="O4953" t="s">
        <v>17</v>
      </c>
      <c r="P4953" t="s">
        <v>31</v>
      </c>
      <c r="Q4953">
        <v>0</v>
      </c>
      <c r="R4953">
        <v>1</v>
      </c>
      <c r="S4953" s="2">
        <v>0</v>
      </c>
      <c r="T4953" s="4"/>
      <c r="U4953">
        <v>2</v>
      </c>
      <c r="V4953">
        <v>1</v>
      </c>
      <c r="W4953">
        <v>1</v>
      </c>
    </row>
    <row r="4954" spans="1:23" ht="16.5" x14ac:dyDescent="0.3">
      <c r="A4954" t="s">
        <v>5018</v>
      </c>
      <c r="B4954" s="1">
        <v>45990</v>
      </c>
      <c r="C4954">
        <v>2025</v>
      </c>
      <c r="D4954" t="s">
        <v>1832</v>
      </c>
      <c r="E4954" t="s">
        <v>2071</v>
      </c>
      <c r="F4954" t="s">
        <v>37</v>
      </c>
      <c r="G4954" t="s">
        <v>45</v>
      </c>
      <c r="H4954" t="s">
        <v>38</v>
      </c>
      <c r="I4954" t="s">
        <v>39</v>
      </c>
      <c r="J4954" t="s">
        <v>46</v>
      </c>
      <c r="K4954" s="2">
        <v>4900</v>
      </c>
      <c r="L4954" s="2">
        <v>13000</v>
      </c>
      <c r="M4954">
        <v>12</v>
      </c>
      <c r="N4954" s="3">
        <v>0.376</v>
      </c>
      <c r="O4954" t="s">
        <v>16</v>
      </c>
      <c r="Q4954">
        <v>1</v>
      </c>
      <c r="R4954">
        <v>0</v>
      </c>
      <c r="S4954" s="2">
        <v>13000</v>
      </c>
      <c r="T4954" s="4">
        <v>0.11020000000000001</v>
      </c>
      <c r="U4954">
        <v>2</v>
      </c>
      <c r="V4954">
        <v>1</v>
      </c>
      <c r="W4954">
        <v>1</v>
      </c>
    </row>
    <row r="4955" spans="1:23" ht="16.5" x14ac:dyDescent="0.3">
      <c r="A4955" t="s">
        <v>5019</v>
      </c>
      <c r="B4955" s="1">
        <v>45990</v>
      </c>
      <c r="C4955">
        <v>2025</v>
      </c>
      <c r="D4955" t="s">
        <v>1832</v>
      </c>
      <c r="E4955" t="s">
        <v>2071</v>
      </c>
      <c r="F4955" t="s">
        <v>41</v>
      </c>
      <c r="G4955" t="s">
        <v>45</v>
      </c>
      <c r="H4955" t="s">
        <v>64</v>
      </c>
      <c r="I4955" t="s">
        <v>39</v>
      </c>
      <c r="J4955" t="s">
        <v>52</v>
      </c>
      <c r="K4955" s="2">
        <v>6950</v>
      </c>
      <c r="L4955" s="2">
        <v>57000</v>
      </c>
      <c r="M4955">
        <v>36</v>
      </c>
      <c r="N4955" s="3">
        <v>0.41699999999999998</v>
      </c>
      <c r="O4955" t="s">
        <v>16</v>
      </c>
      <c r="Q4955">
        <v>1</v>
      </c>
      <c r="R4955">
        <v>0</v>
      </c>
      <c r="S4955" s="2">
        <v>57000</v>
      </c>
      <c r="T4955" s="4">
        <v>0.1</v>
      </c>
      <c r="U4955">
        <v>5</v>
      </c>
      <c r="V4955">
        <v>1</v>
      </c>
      <c r="W4955">
        <v>1</v>
      </c>
    </row>
    <row r="4956" spans="1:23" ht="16.5" x14ac:dyDescent="0.3">
      <c r="A4956" t="s">
        <v>5020</v>
      </c>
      <c r="B4956" s="1">
        <v>45991</v>
      </c>
      <c r="C4956">
        <v>2025</v>
      </c>
      <c r="D4956" t="s">
        <v>1832</v>
      </c>
      <c r="E4956" t="s">
        <v>2071</v>
      </c>
      <c r="F4956" t="s">
        <v>41</v>
      </c>
      <c r="G4956" t="s">
        <v>27</v>
      </c>
      <c r="H4956" t="s">
        <v>34</v>
      </c>
      <c r="I4956" t="s">
        <v>29</v>
      </c>
      <c r="J4956" t="s">
        <v>35</v>
      </c>
      <c r="K4956" s="2">
        <v>8100</v>
      </c>
      <c r="L4956" s="2">
        <v>68000</v>
      </c>
      <c r="M4956">
        <v>24</v>
      </c>
      <c r="N4956" s="3">
        <v>0.50900000000000001</v>
      </c>
      <c r="O4956" t="s">
        <v>16</v>
      </c>
      <c r="Q4956">
        <v>1</v>
      </c>
      <c r="R4956">
        <v>0</v>
      </c>
      <c r="S4956" s="2">
        <v>68000</v>
      </c>
      <c r="T4956" s="4">
        <v>0.1033</v>
      </c>
      <c r="U4956">
        <v>12</v>
      </c>
      <c r="V4956">
        <v>0</v>
      </c>
      <c r="W4956">
        <v>1</v>
      </c>
    </row>
    <row r="4957" spans="1:23" ht="16.5" x14ac:dyDescent="0.3">
      <c r="A4957" t="s">
        <v>5021</v>
      </c>
      <c r="B4957" s="1">
        <v>45991</v>
      </c>
      <c r="C4957">
        <v>2025</v>
      </c>
      <c r="D4957" t="s">
        <v>1832</v>
      </c>
      <c r="E4957" t="s">
        <v>2071</v>
      </c>
      <c r="F4957" t="s">
        <v>26</v>
      </c>
      <c r="G4957" t="s">
        <v>33</v>
      </c>
      <c r="H4957" t="s">
        <v>64</v>
      </c>
      <c r="I4957" t="s">
        <v>42</v>
      </c>
      <c r="J4957" t="s">
        <v>35</v>
      </c>
      <c r="K4957" s="2">
        <v>3550</v>
      </c>
      <c r="L4957" s="2">
        <v>49000</v>
      </c>
      <c r="M4957">
        <v>48</v>
      </c>
      <c r="N4957" s="3">
        <v>0.49299999999999999</v>
      </c>
      <c r="O4957" t="s">
        <v>16</v>
      </c>
      <c r="Q4957">
        <v>1</v>
      </c>
      <c r="R4957">
        <v>0</v>
      </c>
      <c r="S4957" s="2">
        <v>49000</v>
      </c>
      <c r="T4957" s="4">
        <v>9.0300000000000005E-2</v>
      </c>
      <c r="U4957">
        <v>3</v>
      </c>
      <c r="V4957">
        <v>1</v>
      </c>
      <c r="W4957">
        <v>1</v>
      </c>
    </row>
    <row r="4958" spans="1:23" ht="16.5" x14ac:dyDescent="0.3">
      <c r="A4958" t="s">
        <v>5022</v>
      </c>
      <c r="B4958" s="1">
        <v>45991</v>
      </c>
      <c r="C4958">
        <v>2025</v>
      </c>
      <c r="D4958" t="s">
        <v>1832</v>
      </c>
      <c r="E4958" t="s">
        <v>2071</v>
      </c>
      <c r="F4958" t="s">
        <v>37</v>
      </c>
      <c r="G4958" t="s">
        <v>51</v>
      </c>
      <c r="H4958" t="s">
        <v>38</v>
      </c>
      <c r="I4958" t="s">
        <v>29</v>
      </c>
      <c r="J4958" t="s">
        <v>46</v>
      </c>
      <c r="K4958" s="2">
        <v>3800</v>
      </c>
      <c r="L4958" s="2">
        <v>6500</v>
      </c>
      <c r="M4958">
        <v>12</v>
      </c>
      <c r="N4958" s="3">
        <v>0.29099999999999998</v>
      </c>
      <c r="O4958" t="s">
        <v>16</v>
      </c>
      <c r="Q4958">
        <v>1</v>
      </c>
      <c r="R4958">
        <v>0</v>
      </c>
      <c r="S4958" s="2">
        <v>6500</v>
      </c>
      <c r="T4958" s="4">
        <v>0.10730000000000001</v>
      </c>
      <c r="U4958">
        <v>6</v>
      </c>
      <c r="V4958">
        <v>0</v>
      </c>
      <c r="W4958">
        <v>1</v>
      </c>
    </row>
    <row r="4959" spans="1:23" ht="16.5" x14ac:dyDescent="0.3">
      <c r="A4959" t="s">
        <v>5023</v>
      </c>
      <c r="B4959" s="1">
        <v>45991</v>
      </c>
      <c r="C4959">
        <v>2025</v>
      </c>
      <c r="D4959" t="s">
        <v>1832</v>
      </c>
      <c r="E4959" t="s">
        <v>2071</v>
      </c>
      <c r="F4959" t="s">
        <v>26</v>
      </c>
      <c r="G4959" t="s">
        <v>51</v>
      </c>
      <c r="H4959" t="s">
        <v>38</v>
      </c>
      <c r="I4959" t="s">
        <v>42</v>
      </c>
      <c r="J4959" t="s">
        <v>35</v>
      </c>
      <c r="K4959" s="2">
        <v>7650</v>
      </c>
      <c r="L4959" s="2">
        <v>36000</v>
      </c>
      <c r="M4959">
        <v>48</v>
      </c>
      <c r="N4959" s="3">
        <v>0.32300000000000001</v>
      </c>
      <c r="O4959" t="s">
        <v>17</v>
      </c>
      <c r="P4959" t="s">
        <v>31</v>
      </c>
      <c r="Q4959">
        <v>0</v>
      </c>
      <c r="R4959">
        <v>1</v>
      </c>
      <c r="S4959" s="2">
        <v>0</v>
      </c>
      <c r="T4959" s="4"/>
      <c r="U4959">
        <v>4</v>
      </c>
      <c r="V4959">
        <v>1</v>
      </c>
      <c r="W4959">
        <v>1</v>
      </c>
    </row>
    <row r="4960" spans="1:23" ht="16.5" x14ac:dyDescent="0.3">
      <c r="A4960" t="s">
        <v>5024</v>
      </c>
      <c r="B4960" s="1">
        <v>45991</v>
      </c>
      <c r="C4960">
        <v>2025</v>
      </c>
      <c r="D4960" t="s">
        <v>1832</v>
      </c>
      <c r="E4960" t="s">
        <v>2071</v>
      </c>
      <c r="F4960" t="s">
        <v>26</v>
      </c>
      <c r="G4960" t="s">
        <v>45</v>
      </c>
      <c r="H4960" t="s">
        <v>38</v>
      </c>
      <c r="I4960" t="s">
        <v>29</v>
      </c>
      <c r="J4960" t="s">
        <v>35</v>
      </c>
      <c r="K4960" s="2">
        <v>3050</v>
      </c>
      <c r="L4960" s="2">
        <v>26000</v>
      </c>
      <c r="M4960">
        <v>60</v>
      </c>
      <c r="N4960" s="3">
        <v>0.32100000000000001</v>
      </c>
      <c r="O4960" t="s">
        <v>16</v>
      </c>
      <c r="Q4960">
        <v>1</v>
      </c>
      <c r="R4960">
        <v>0</v>
      </c>
      <c r="S4960" s="2">
        <v>26000</v>
      </c>
      <c r="T4960" s="4">
        <v>7.9000000000000001E-2</v>
      </c>
      <c r="U4960">
        <v>4</v>
      </c>
      <c r="V4960">
        <v>1</v>
      </c>
      <c r="W4960">
        <v>1</v>
      </c>
    </row>
    <row r="4961" spans="1:23" ht="16.5" x14ac:dyDescent="0.3">
      <c r="A4961" t="s">
        <v>5025</v>
      </c>
      <c r="B4961" s="1">
        <v>45991</v>
      </c>
      <c r="C4961">
        <v>2025</v>
      </c>
      <c r="D4961" t="s">
        <v>1832</v>
      </c>
      <c r="E4961" t="s">
        <v>2071</v>
      </c>
      <c r="F4961" t="s">
        <v>26</v>
      </c>
      <c r="G4961" t="s">
        <v>33</v>
      </c>
      <c r="H4961" t="s">
        <v>28</v>
      </c>
      <c r="I4961" t="s">
        <v>29</v>
      </c>
      <c r="J4961" t="s">
        <v>35</v>
      </c>
      <c r="K4961" s="2">
        <v>9750</v>
      </c>
      <c r="L4961" s="2">
        <v>68500</v>
      </c>
      <c r="M4961">
        <v>60</v>
      </c>
      <c r="N4961" s="3">
        <v>0.311</v>
      </c>
      <c r="O4961" t="s">
        <v>16</v>
      </c>
      <c r="Q4961">
        <v>1</v>
      </c>
      <c r="R4961">
        <v>0</v>
      </c>
      <c r="S4961" s="2">
        <v>68500</v>
      </c>
      <c r="T4961" s="4">
        <v>8.2600000000000007E-2</v>
      </c>
      <c r="U4961">
        <v>1</v>
      </c>
      <c r="V4961">
        <v>1</v>
      </c>
      <c r="W4961">
        <v>1</v>
      </c>
    </row>
    <row r="4962" spans="1:23" ht="16.5" x14ac:dyDescent="0.3">
      <c r="A4962" t="s">
        <v>5026</v>
      </c>
      <c r="B4962" s="1">
        <v>45991</v>
      </c>
      <c r="C4962">
        <v>2025</v>
      </c>
      <c r="D4962" t="s">
        <v>1832</v>
      </c>
      <c r="E4962" t="s">
        <v>2071</v>
      </c>
      <c r="F4962" t="s">
        <v>37</v>
      </c>
      <c r="G4962" t="s">
        <v>51</v>
      </c>
      <c r="H4962" t="s">
        <v>28</v>
      </c>
      <c r="I4962" t="s">
        <v>39</v>
      </c>
      <c r="J4962" t="s">
        <v>35</v>
      </c>
      <c r="K4962" s="2">
        <v>3250</v>
      </c>
      <c r="L4962" s="2">
        <v>15000</v>
      </c>
      <c r="M4962">
        <v>48</v>
      </c>
      <c r="N4962" s="3">
        <v>0.32700000000000001</v>
      </c>
      <c r="O4962" t="s">
        <v>16</v>
      </c>
      <c r="Q4962">
        <v>1</v>
      </c>
      <c r="R4962">
        <v>0</v>
      </c>
      <c r="S4962" s="2">
        <v>15000</v>
      </c>
      <c r="T4962" s="4">
        <v>0.1202</v>
      </c>
      <c r="U4962">
        <v>4</v>
      </c>
      <c r="V4962">
        <v>0</v>
      </c>
      <c r="W4962">
        <v>1</v>
      </c>
    </row>
    <row r="4963" spans="1:23" ht="16.5" x14ac:dyDescent="0.3">
      <c r="A4963" t="s">
        <v>5027</v>
      </c>
      <c r="B4963" s="1">
        <v>45991</v>
      </c>
      <c r="C4963">
        <v>2025</v>
      </c>
      <c r="D4963" t="s">
        <v>1832</v>
      </c>
      <c r="E4963" t="s">
        <v>2071</v>
      </c>
      <c r="F4963" t="s">
        <v>37</v>
      </c>
      <c r="G4963" t="s">
        <v>45</v>
      </c>
      <c r="H4963" t="s">
        <v>64</v>
      </c>
      <c r="I4963" t="s">
        <v>39</v>
      </c>
      <c r="J4963" t="s">
        <v>30</v>
      </c>
      <c r="K4963" s="2">
        <v>11000</v>
      </c>
      <c r="L4963" s="2">
        <v>5000</v>
      </c>
      <c r="M4963">
        <v>36</v>
      </c>
      <c r="N4963" s="3">
        <v>0.14000000000000001</v>
      </c>
      <c r="O4963" t="s">
        <v>125</v>
      </c>
      <c r="Q4963">
        <v>0</v>
      </c>
      <c r="R4963">
        <v>0</v>
      </c>
      <c r="S4963" s="2">
        <v>0</v>
      </c>
      <c r="T4963" s="4"/>
      <c r="U4963">
        <v>2</v>
      </c>
      <c r="V4963">
        <v>1</v>
      </c>
      <c r="W4963">
        <v>1</v>
      </c>
    </row>
    <row r="4964" spans="1:23" ht="16.5" x14ac:dyDescent="0.3">
      <c r="A4964" t="s">
        <v>5028</v>
      </c>
      <c r="B4964" s="1">
        <v>45992</v>
      </c>
      <c r="C4964">
        <v>2025</v>
      </c>
      <c r="D4964" t="s">
        <v>1832</v>
      </c>
      <c r="E4964" t="s">
        <v>2264</v>
      </c>
      <c r="F4964" t="s">
        <v>37</v>
      </c>
      <c r="G4964" t="s">
        <v>33</v>
      </c>
      <c r="H4964" t="s">
        <v>55</v>
      </c>
      <c r="I4964" t="s">
        <v>39</v>
      </c>
      <c r="J4964" t="s">
        <v>46</v>
      </c>
      <c r="K4964" s="2">
        <v>4450</v>
      </c>
      <c r="L4964" s="2">
        <v>7000</v>
      </c>
      <c r="M4964">
        <v>48</v>
      </c>
      <c r="N4964" s="3">
        <v>0.223</v>
      </c>
      <c r="O4964" t="s">
        <v>16</v>
      </c>
      <c r="Q4964">
        <v>1</v>
      </c>
      <c r="R4964">
        <v>0</v>
      </c>
      <c r="S4964" s="2">
        <v>7000</v>
      </c>
      <c r="T4964" s="4">
        <v>0.10340000000000001</v>
      </c>
      <c r="U4964">
        <v>2</v>
      </c>
      <c r="V4964">
        <v>1</v>
      </c>
      <c r="W4964">
        <v>1</v>
      </c>
    </row>
    <row r="4965" spans="1:23" ht="16.5" x14ac:dyDescent="0.3">
      <c r="A4965" t="s">
        <v>5029</v>
      </c>
      <c r="B4965" s="1">
        <v>45992</v>
      </c>
      <c r="C4965">
        <v>2025</v>
      </c>
      <c r="D4965" t="s">
        <v>1832</v>
      </c>
      <c r="E4965" t="s">
        <v>2264</v>
      </c>
      <c r="F4965" t="s">
        <v>37</v>
      </c>
      <c r="G4965" t="s">
        <v>33</v>
      </c>
      <c r="H4965" t="s">
        <v>28</v>
      </c>
      <c r="I4965" t="s">
        <v>39</v>
      </c>
      <c r="J4965" t="s">
        <v>35</v>
      </c>
      <c r="K4965" s="2">
        <v>4100</v>
      </c>
      <c r="L4965" s="2">
        <v>8500</v>
      </c>
      <c r="M4965">
        <v>24</v>
      </c>
      <c r="N4965" s="3">
        <v>0.30599999999999999</v>
      </c>
      <c r="O4965" t="s">
        <v>16</v>
      </c>
      <c r="Q4965">
        <v>1</v>
      </c>
      <c r="R4965">
        <v>0</v>
      </c>
      <c r="S4965" s="2">
        <v>7500</v>
      </c>
      <c r="T4965" s="4">
        <v>0.12909999999999999</v>
      </c>
      <c r="U4965">
        <v>1</v>
      </c>
      <c r="V4965">
        <v>1</v>
      </c>
      <c r="W4965">
        <v>1</v>
      </c>
    </row>
    <row r="4966" spans="1:23" ht="16.5" x14ac:dyDescent="0.3">
      <c r="A4966" t="s">
        <v>5030</v>
      </c>
      <c r="B4966" s="1">
        <v>45992</v>
      </c>
      <c r="C4966">
        <v>2025</v>
      </c>
      <c r="D4966" t="s">
        <v>1832</v>
      </c>
      <c r="E4966" t="s">
        <v>2264</v>
      </c>
      <c r="F4966" t="s">
        <v>37</v>
      </c>
      <c r="G4966" t="s">
        <v>51</v>
      </c>
      <c r="H4966" t="s">
        <v>28</v>
      </c>
      <c r="I4966" t="s">
        <v>29</v>
      </c>
      <c r="J4966" t="s">
        <v>30</v>
      </c>
      <c r="K4966" s="2">
        <v>7700</v>
      </c>
      <c r="L4966" s="2">
        <v>18500</v>
      </c>
      <c r="M4966">
        <v>36</v>
      </c>
      <c r="N4966" s="3">
        <v>0.26800000000000002</v>
      </c>
      <c r="O4966" t="s">
        <v>17</v>
      </c>
      <c r="P4966" t="s">
        <v>31</v>
      </c>
      <c r="Q4966">
        <v>0</v>
      </c>
      <c r="R4966">
        <v>1</v>
      </c>
      <c r="S4966" s="2">
        <v>0</v>
      </c>
      <c r="T4966" s="4"/>
      <c r="U4966">
        <v>6</v>
      </c>
      <c r="V4966">
        <v>0</v>
      </c>
      <c r="W4966">
        <v>1</v>
      </c>
    </row>
    <row r="4967" spans="1:23" ht="16.5" x14ac:dyDescent="0.3">
      <c r="A4967" t="s">
        <v>5031</v>
      </c>
      <c r="B4967" s="1">
        <v>45992</v>
      </c>
      <c r="C4967">
        <v>2025</v>
      </c>
      <c r="D4967" t="s">
        <v>1832</v>
      </c>
      <c r="E4967" t="s">
        <v>2264</v>
      </c>
      <c r="F4967" t="s">
        <v>26</v>
      </c>
      <c r="G4967" t="s">
        <v>51</v>
      </c>
      <c r="H4967" t="s">
        <v>64</v>
      </c>
      <c r="I4967" t="s">
        <v>29</v>
      </c>
      <c r="J4967" t="s">
        <v>30</v>
      </c>
      <c r="K4967" s="2">
        <v>4300</v>
      </c>
      <c r="L4967" s="2">
        <v>49500</v>
      </c>
      <c r="M4967">
        <v>60</v>
      </c>
      <c r="N4967" s="3">
        <v>0.46899999999999997</v>
      </c>
      <c r="O4967" t="s">
        <v>17</v>
      </c>
      <c r="P4967" t="s">
        <v>53</v>
      </c>
      <c r="Q4967">
        <v>0</v>
      </c>
      <c r="R4967">
        <v>1</v>
      </c>
      <c r="S4967" s="2">
        <v>0</v>
      </c>
      <c r="T4967" s="4"/>
      <c r="U4967">
        <v>3</v>
      </c>
      <c r="V4967">
        <v>1</v>
      </c>
      <c r="W4967">
        <v>1</v>
      </c>
    </row>
    <row r="4968" spans="1:23" ht="16.5" x14ac:dyDescent="0.3">
      <c r="A4968" t="s">
        <v>5032</v>
      </c>
      <c r="B4968" s="1">
        <v>45992</v>
      </c>
      <c r="C4968">
        <v>2025</v>
      </c>
      <c r="D4968" t="s">
        <v>1832</v>
      </c>
      <c r="E4968" t="s">
        <v>2264</v>
      </c>
      <c r="F4968" t="s">
        <v>26</v>
      </c>
      <c r="G4968" t="s">
        <v>33</v>
      </c>
      <c r="H4968" t="s">
        <v>55</v>
      </c>
      <c r="I4968" t="s">
        <v>39</v>
      </c>
      <c r="J4968" t="s">
        <v>30</v>
      </c>
      <c r="K4968" s="2">
        <v>9050</v>
      </c>
      <c r="L4968" s="2">
        <v>17500</v>
      </c>
      <c r="M4968">
        <v>36</v>
      </c>
      <c r="N4968" s="3">
        <v>0.20200000000000001</v>
      </c>
      <c r="O4968" t="s">
        <v>17</v>
      </c>
      <c r="P4968" t="s">
        <v>31</v>
      </c>
      <c r="Q4968">
        <v>0</v>
      </c>
      <c r="R4968">
        <v>1</v>
      </c>
      <c r="S4968" s="2">
        <v>0</v>
      </c>
      <c r="T4968" s="4"/>
      <c r="U4968">
        <v>2</v>
      </c>
      <c r="V4968">
        <v>1</v>
      </c>
      <c r="W4968">
        <v>1</v>
      </c>
    </row>
    <row r="4969" spans="1:23" ht="16.5" x14ac:dyDescent="0.3">
      <c r="A4969" t="s">
        <v>5033</v>
      </c>
      <c r="B4969" s="1">
        <v>45992</v>
      </c>
      <c r="C4969">
        <v>2025</v>
      </c>
      <c r="D4969" t="s">
        <v>1832</v>
      </c>
      <c r="E4969" t="s">
        <v>2264</v>
      </c>
      <c r="F4969" t="s">
        <v>26</v>
      </c>
      <c r="G4969" t="s">
        <v>51</v>
      </c>
      <c r="H4969" t="s">
        <v>55</v>
      </c>
      <c r="I4969" t="s">
        <v>29</v>
      </c>
      <c r="J4969" t="s">
        <v>30</v>
      </c>
      <c r="K4969" s="2">
        <v>3650</v>
      </c>
      <c r="L4969" s="2">
        <v>23500</v>
      </c>
      <c r="M4969">
        <v>48</v>
      </c>
      <c r="N4969" s="3">
        <v>0.38500000000000001</v>
      </c>
      <c r="O4969" t="s">
        <v>16</v>
      </c>
      <c r="Q4969">
        <v>1</v>
      </c>
      <c r="R4969">
        <v>0</v>
      </c>
      <c r="S4969" s="2">
        <v>21000</v>
      </c>
      <c r="T4969" s="4">
        <v>9.8599999999999993E-2</v>
      </c>
      <c r="U4969">
        <v>7</v>
      </c>
      <c r="V4969">
        <v>0</v>
      </c>
      <c r="W4969">
        <v>1</v>
      </c>
    </row>
    <row r="4970" spans="1:23" ht="16.5" x14ac:dyDescent="0.3">
      <c r="A4970" t="s">
        <v>5034</v>
      </c>
      <c r="B4970" s="1">
        <v>45992</v>
      </c>
      <c r="C4970">
        <v>2025</v>
      </c>
      <c r="D4970" t="s">
        <v>1832</v>
      </c>
      <c r="E4970" t="s">
        <v>2264</v>
      </c>
      <c r="F4970" t="s">
        <v>26</v>
      </c>
      <c r="G4970" t="s">
        <v>51</v>
      </c>
      <c r="H4970" t="s">
        <v>38</v>
      </c>
      <c r="I4970" t="s">
        <v>39</v>
      </c>
      <c r="J4970" t="s">
        <v>35</v>
      </c>
      <c r="K4970" s="2">
        <v>4300</v>
      </c>
      <c r="L4970" s="2">
        <v>10500</v>
      </c>
      <c r="M4970">
        <v>48</v>
      </c>
      <c r="N4970" s="3">
        <v>0.17499999999999999</v>
      </c>
      <c r="O4970" t="s">
        <v>125</v>
      </c>
      <c r="Q4970">
        <v>0</v>
      </c>
      <c r="R4970">
        <v>0</v>
      </c>
      <c r="S4970" s="2">
        <v>0</v>
      </c>
      <c r="T4970" s="4"/>
      <c r="U4970">
        <v>3</v>
      </c>
      <c r="V4970">
        <v>1</v>
      </c>
      <c r="W4970">
        <v>1</v>
      </c>
    </row>
    <row r="4971" spans="1:23" ht="16.5" x14ac:dyDescent="0.3">
      <c r="A4971" t="s">
        <v>5035</v>
      </c>
      <c r="B4971" s="1">
        <v>45992</v>
      </c>
      <c r="C4971">
        <v>2025</v>
      </c>
      <c r="D4971" t="s">
        <v>1832</v>
      </c>
      <c r="E4971" t="s">
        <v>2264</v>
      </c>
      <c r="F4971" t="s">
        <v>26</v>
      </c>
      <c r="G4971" t="s">
        <v>33</v>
      </c>
      <c r="H4971" t="s">
        <v>38</v>
      </c>
      <c r="I4971" t="s">
        <v>39</v>
      </c>
      <c r="J4971" t="s">
        <v>35</v>
      </c>
      <c r="K4971" s="2">
        <v>6400</v>
      </c>
      <c r="L4971" s="2">
        <v>15500</v>
      </c>
      <c r="M4971">
        <v>60</v>
      </c>
      <c r="N4971" s="3">
        <v>0.29199999999999998</v>
      </c>
      <c r="O4971" t="s">
        <v>16</v>
      </c>
      <c r="Q4971">
        <v>1</v>
      </c>
      <c r="R4971">
        <v>0</v>
      </c>
      <c r="S4971" s="2">
        <v>15500</v>
      </c>
      <c r="T4971" s="4">
        <v>8.4699999999999998E-2</v>
      </c>
      <c r="U4971">
        <v>3</v>
      </c>
      <c r="V4971">
        <v>1</v>
      </c>
      <c r="W4971">
        <v>1</v>
      </c>
    </row>
    <row r="4972" spans="1:23" ht="16.5" x14ac:dyDescent="0.3">
      <c r="A4972" t="s">
        <v>5036</v>
      </c>
      <c r="B4972" s="1">
        <v>45992</v>
      </c>
      <c r="C4972">
        <v>2025</v>
      </c>
      <c r="D4972" t="s">
        <v>1832</v>
      </c>
      <c r="E4972" t="s">
        <v>2264</v>
      </c>
      <c r="F4972" t="s">
        <v>37</v>
      </c>
      <c r="G4972" t="s">
        <v>45</v>
      </c>
      <c r="H4972" t="s">
        <v>34</v>
      </c>
      <c r="I4972" t="s">
        <v>42</v>
      </c>
      <c r="J4972" t="s">
        <v>35</v>
      </c>
      <c r="K4972" s="2">
        <v>5600</v>
      </c>
      <c r="L4972" s="2">
        <v>23000</v>
      </c>
      <c r="M4972">
        <v>36</v>
      </c>
      <c r="N4972" s="3">
        <v>0.27300000000000002</v>
      </c>
      <c r="O4972" t="s">
        <v>16</v>
      </c>
      <c r="Q4972">
        <v>1</v>
      </c>
      <c r="R4972">
        <v>0</v>
      </c>
      <c r="S4972" s="2">
        <v>23000</v>
      </c>
      <c r="T4972" s="4">
        <v>0.1239</v>
      </c>
      <c r="U4972">
        <v>2</v>
      </c>
      <c r="V4972">
        <v>1</v>
      </c>
      <c r="W4972">
        <v>1</v>
      </c>
    </row>
    <row r="4973" spans="1:23" ht="16.5" x14ac:dyDescent="0.3">
      <c r="A4973" t="s">
        <v>5037</v>
      </c>
      <c r="B4973" s="1">
        <v>45993</v>
      </c>
      <c r="C4973">
        <v>2025</v>
      </c>
      <c r="D4973" t="s">
        <v>1832</v>
      </c>
      <c r="E4973" t="s">
        <v>2264</v>
      </c>
      <c r="F4973" t="s">
        <v>26</v>
      </c>
      <c r="G4973" t="s">
        <v>33</v>
      </c>
      <c r="H4973" t="s">
        <v>38</v>
      </c>
      <c r="I4973" t="s">
        <v>39</v>
      </c>
      <c r="J4973" t="s">
        <v>30</v>
      </c>
      <c r="K4973" s="2">
        <v>5750</v>
      </c>
      <c r="L4973" s="2">
        <v>32500</v>
      </c>
      <c r="M4973">
        <v>48</v>
      </c>
      <c r="N4973" s="3">
        <v>0.34599999999999997</v>
      </c>
      <c r="O4973" t="s">
        <v>16</v>
      </c>
      <c r="Q4973">
        <v>1</v>
      </c>
      <c r="R4973">
        <v>0</v>
      </c>
      <c r="S4973" s="2">
        <v>29000</v>
      </c>
      <c r="T4973" s="4">
        <v>9.4299999999999995E-2</v>
      </c>
      <c r="U4973">
        <v>1</v>
      </c>
      <c r="V4973">
        <v>1</v>
      </c>
      <c r="W4973">
        <v>1</v>
      </c>
    </row>
    <row r="4974" spans="1:23" ht="16.5" x14ac:dyDescent="0.3">
      <c r="A4974" t="s">
        <v>5038</v>
      </c>
      <c r="B4974" s="1">
        <v>45993</v>
      </c>
      <c r="C4974">
        <v>2025</v>
      </c>
      <c r="D4974" t="s">
        <v>1832</v>
      </c>
      <c r="E4974" t="s">
        <v>2264</v>
      </c>
      <c r="F4974" t="s">
        <v>41</v>
      </c>
      <c r="G4974" t="s">
        <v>51</v>
      </c>
      <c r="H4974" t="s">
        <v>38</v>
      </c>
      <c r="I4974" t="s">
        <v>29</v>
      </c>
      <c r="J4974" t="s">
        <v>52</v>
      </c>
      <c r="K4974" s="2">
        <v>3800</v>
      </c>
      <c r="L4974" s="2">
        <v>75000</v>
      </c>
      <c r="M4974">
        <v>24</v>
      </c>
      <c r="N4974" s="3">
        <v>1.0429999999999999</v>
      </c>
      <c r="O4974" t="s">
        <v>16</v>
      </c>
      <c r="Q4974">
        <v>1</v>
      </c>
      <c r="R4974">
        <v>0</v>
      </c>
      <c r="S4974" s="2">
        <v>75000</v>
      </c>
      <c r="T4974" s="4">
        <v>9.7199999999999995E-2</v>
      </c>
      <c r="U4974">
        <v>18</v>
      </c>
      <c r="V4974">
        <v>0</v>
      </c>
      <c r="W4974">
        <v>1</v>
      </c>
    </row>
    <row r="4975" spans="1:23" ht="16.5" x14ac:dyDescent="0.3">
      <c r="A4975" t="s">
        <v>5039</v>
      </c>
      <c r="B4975" s="1">
        <v>45993</v>
      </c>
      <c r="C4975">
        <v>2025</v>
      </c>
      <c r="D4975" t="s">
        <v>1832</v>
      </c>
      <c r="E4975" t="s">
        <v>2264</v>
      </c>
      <c r="F4975" t="s">
        <v>37</v>
      </c>
      <c r="G4975" t="s">
        <v>51</v>
      </c>
      <c r="H4975" t="s">
        <v>38</v>
      </c>
      <c r="I4975" t="s">
        <v>39</v>
      </c>
      <c r="J4975" t="s">
        <v>35</v>
      </c>
      <c r="K4975" s="2">
        <v>3350</v>
      </c>
      <c r="L4975" s="2">
        <v>10000</v>
      </c>
      <c r="M4975">
        <v>60</v>
      </c>
      <c r="N4975" s="3">
        <v>0.27900000000000003</v>
      </c>
      <c r="O4975" t="s">
        <v>17</v>
      </c>
      <c r="P4975" t="s">
        <v>31</v>
      </c>
      <c r="Q4975">
        <v>0</v>
      </c>
      <c r="R4975">
        <v>1</v>
      </c>
      <c r="S4975" s="2">
        <v>0</v>
      </c>
      <c r="T4975" s="4"/>
      <c r="U4975">
        <v>2</v>
      </c>
      <c r="V4975">
        <v>1</v>
      </c>
      <c r="W4975">
        <v>1</v>
      </c>
    </row>
    <row r="4976" spans="1:23" ht="16.5" x14ac:dyDescent="0.3">
      <c r="A4976" t="s">
        <v>5040</v>
      </c>
      <c r="B4976" s="1">
        <v>45993</v>
      </c>
      <c r="C4976">
        <v>2025</v>
      </c>
      <c r="D4976" t="s">
        <v>1832</v>
      </c>
      <c r="E4976" t="s">
        <v>2264</v>
      </c>
      <c r="F4976" t="s">
        <v>50</v>
      </c>
      <c r="G4976" t="s">
        <v>51</v>
      </c>
      <c r="H4976" t="s">
        <v>38</v>
      </c>
      <c r="I4976" t="s">
        <v>39</v>
      </c>
      <c r="J4976" t="s">
        <v>35</v>
      </c>
      <c r="K4976" s="2">
        <v>3300</v>
      </c>
      <c r="L4976" s="2">
        <v>178000</v>
      </c>
      <c r="M4976">
        <v>240</v>
      </c>
      <c r="N4976" s="3">
        <v>0.48299999999999998</v>
      </c>
      <c r="O4976" t="s">
        <v>125</v>
      </c>
      <c r="Q4976">
        <v>0</v>
      </c>
      <c r="R4976">
        <v>0</v>
      </c>
      <c r="S4976" s="2">
        <v>0</v>
      </c>
      <c r="T4976" s="4"/>
      <c r="U4976">
        <v>17</v>
      </c>
      <c r="V4976">
        <v>0</v>
      </c>
      <c r="W4976">
        <v>1</v>
      </c>
    </row>
    <row r="4977" spans="1:23" ht="16.5" x14ac:dyDescent="0.3">
      <c r="A4977" t="s">
        <v>5041</v>
      </c>
      <c r="B4977" s="1">
        <v>45993</v>
      </c>
      <c r="C4977">
        <v>2025</v>
      </c>
      <c r="D4977" t="s">
        <v>1832</v>
      </c>
      <c r="E4977" t="s">
        <v>2264</v>
      </c>
      <c r="F4977" t="s">
        <v>26</v>
      </c>
      <c r="G4977" t="s">
        <v>27</v>
      </c>
      <c r="H4977" t="s">
        <v>34</v>
      </c>
      <c r="I4977" t="s">
        <v>29</v>
      </c>
      <c r="J4977" t="s">
        <v>52</v>
      </c>
      <c r="K4977" s="2">
        <v>7150</v>
      </c>
      <c r="L4977" s="2">
        <v>56000</v>
      </c>
      <c r="M4977">
        <v>36</v>
      </c>
      <c r="N4977" s="3">
        <v>0.48</v>
      </c>
      <c r="O4977" t="s">
        <v>16</v>
      </c>
      <c r="Q4977">
        <v>1</v>
      </c>
      <c r="R4977">
        <v>0</v>
      </c>
      <c r="S4977" s="2">
        <v>56000</v>
      </c>
      <c r="T4977" s="4">
        <v>7.0900000000000005E-2</v>
      </c>
      <c r="U4977">
        <v>3</v>
      </c>
      <c r="V4977">
        <v>1</v>
      </c>
      <c r="W4977">
        <v>1</v>
      </c>
    </row>
    <row r="4978" spans="1:23" ht="16.5" x14ac:dyDescent="0.3">
      <c r="A4978" t="s">
        <v>5042</v>
      </c>
      <c r="B4978" s="1">
        <v>45993</v>
      </c>
      <c r="C4978">
        <v>2025</v>
      </c>
      <c r="D4978" t="s">
        <v>1832</v>
      </c>
      <c r="E4978" t="s">
        <v>2264</v>
      </c>
      <c r="F4978" t="s">
        <v>26</v>
      </c>
      <c r="G4978" t="s">
        <v>33</v>
      </c>
      <c r="H4978" t="s">
        <v>34</v>
      </c>
      <c r="I4978" t="s">
        <v>29</v>
      </c>
      <c r="J4978" t="s">
        <v>35</v>
      </c>
      <c r="K4978" s="2">
        <v>4700</v>
      </c>
      <c r="L4978" s="2">
        <v>17000</v>
      </c>
      <c r="M4978">
        <v>48</v>
      </c>
      <c r="N4978" s="3">
        <v>0.246</v>
      </c>
      <c r="O4978" t="s">
        <v>16</v>
      </c>
      <c r="Q4978">
        <v>1</v>
      </c>
      <c r="R4978">
        <v>0</v>
      </c>
      <c r="S4978" s="2">
        <v>15500</v>
      </c>
      <c r="T4978" s="4">
        <v>8.1600000000000006E-2</v>
      </c>
      <c r="U4978">
        <v>1</v>
      </c>
      <c r="V4978">
        <v>1</v>
      </c>
      <c r="W4978">
        <v>1</v>
      </c>
    </row>
    <row r="4979" spans="1:23" ht="16.5" x14ac:dyDescent="0.3">
      <c r="A4979" t="s">
        <v>5043</v>
      </c>
      <c r="B4979" s="1">
        <v>45993</v>
      </c>
      <c r="C4979">
        <v>2025</v>
      </c>
      <c r="D4979" t="s">
        <v>1832</v>
      </c>
      <c r="E4979" t="s">
        <v>2264</v>
      </c>
      <c r="F4979" t="s">
        <v>37</v>
      </c>
      <c r="G4979" t="s">
        <v>45</v>
      </c>
      <c r="H4979" t="s">
        <v>34</v>
      </c>
      <c r="I4979" t="s">
        <v>39</v>
      </c>
      <c r="J4979" t="s">
        <v>30</v>
      </c>
      <c r="K4979" s="2">
        <v>9300</v>
      </c>
      <c r="L4979" s="2">
        <v>11000</v>
      </c>
      <c r="M4979">
        <v>24</v>
      </c>
      <c r="N4979" s="3">
        <v>0.22</v>
      </c>
      <c r="O4979" t="s">
        <v>17</v>
      </c>
      <c r="P4979" t="s">
        <v>31</v>
      </c>
      <c r="Q4979">
        <v>0</v>
      </c>
      <c r="R4979">
        <v>1</v>
      </c>
      <c r="S4979" s="2">
        <v>0</v>
      </c>
      <c r="T4979" s="4"/>
      <c r="U4979">
        <v>2</v>
      </c>
      <c r="V4979">
        <v>1</v>
      </c>
      <c r="W4979">
        <v>1</v>
      </c>
    </row>
    <row r="4980" spans="1:23" ht="16.5" x14ac:dyDescent="0.3">
      <c r="A4980" t="s">
        <v>5044</v>
      </c>
      <c r="B4980" s="1">
        <v>45993</v>
      </c>
      <c r="C4980">
        <v>2025</v>
      </c>
      <c r="D4980" t="s">
        <v>1832</v>
      </c>
      <c r="E4980" t="s">
        <v>2264</v>
      </c>
      <c r="F4980" t="s">
        <v>50</v>
      </c>
      <c r="G4980" t="s">
        <v>33</v>
      </c>
      <c r="H4980" t="s">
        <v>64</v>
      </c>
      <c r="I4980" t="s">
        <v>39</v>
      </c>
      <c r="J4980" t="s">
        <v>30</v>
      </c>
      <c r="K4980" s="2">
        <v>5200</v>
      </c>
      <c r="L4980" s="2">
        <v>336500</v>
      </c>
      <c r="M4980">
        <v>300</v>
      </c>
      <c r="N4980" s="3">
        <v>0.52600000000000002</v>
      </c>
      <c r="O4980" t="s">
        <v>17</v>
      </c>
      <c r="P4980" t="s">
        <v>60</v>
      </c>
      <c r="Q4980">
        <v>0</v>
      </c>
      <c r="R4980">
        <v>1</v>
      </c>
      <c r="S4980" s="2">
        <v>0</v>
      </c>
      <c r="T4980" s="4"/>
      <c r="U4980">
        <v>8</v>
      </c>
      <c r="V4980">
        <v>1</v>
      </c>
      <c r="W4980">
        <v>1</v>
      </c>
    </row>
    <row r="4981" spans="1:23" ht="16.5" x14ac:dyDescent="0.3">
      <c r="A4981" t="s">
        <v>5045</v>
      </c>
      <c r="B4981" s="1">
        <v>45994</v>
      </c>
      <c r="C4981">
        <v>2025</v>
      </c>
      <c r="D4981" t="s">
        <v>1832</v>
      </c>
      <c r="E4981" t="s">
        <v>2264</v>
      </c>
      <c r="F4981" t="s">
        <v>50</v>
      </c>
      <c r="G4981" t="s">
        <v>45</v>
      </c>
      <c r="H4981" t="s">
        <v>38</v>
      </c>
      <c r="I4981" t="s">
        <v>29</v>
      </c>
      <c r="J4981" t="s">
        <v>35</v>
      </c>
      <c r="K4981" s="2">
        <v>7800</v>
      </c>
      <c r="L4981" s="2">
        <v>333000</v>
      </c>
      <c r="M4981">
        <v>180</v>
      </c>
      <c r="N4981" s="3">
        <v>0.439</v>
      </c>
      <c r="O4981" t="s">
        <v>17</v>
      </c>
      <c r="P4981" t="s">
        <v>60</v>
      </c>
      <c r="Q4981">
        <v>0</v>
      </c>
      <c r="R4981">
        <v>1</v>
      </c>
      <c r="S4981" s="2">
        <v>0</v>
      </c>
      <c r="T4981" s="4"/>
      <c r="U4981">
        <v>10</v>
      </c>
      <c r="V4981">
        <v>1</v>
      </c>
      <c r="W4981">
        <v>1</v>
      </c>
    </row>
    <row r="4982" spans="1:23" ht="16.5" x14ac:dyDescent="0.3">
      <c r="A4982" t="s">
        <v>5046</v>
      </c>
      <c r="B4982" s="1">
        <v>45994</v>
      </c>
      <c r="C4982">
        <v>2025</v>
      </c>
      <c r="D4982" t="s">
        <v>1832</v>
      </c>
      <c r="E4982" t="s">
        <v>2264</v>
      </c>
      <c r="F4982" t="s">
        <v>26</v>
      </c>
      <c r="G4982" t="s">
        <v>33</v>
      </c>
      <c r="H4982" t="s">
        <v>38</v>
      </c>
      <c r="I4982" t="s">
        <v>42</v>
      </c>
      <c r="J4982" t="s">
        <v>35</v>
      </c>
      <c r="K4982" s="2">
        <v>12850</v>
      </c>
      <c r="L4982" s="2">
        <v>62000</v>
      </c>
      <c r="M4982">
        <v>48</v>
      </c>
      <c r="N4982" s="3">
        <v>0.28000000000000003</v>
      </c>
      <c r="O4982" t="s">
        <v>17</v>
      </c>
      <c r="P4982" t="s">
        <v>60</v>
      </c>
      <c r="Q4982">
        <v>0</v>
      </c>
      <c r="R4982">
        <v>1</v>
      </c>
      <c r="S4982" s="2">
        <v>0</v>
      </c>
      <c r="T4982" s="4"/>
      <c r="U4982">
        <v>5</v>
      </c>
      <c r="V4982">
        <v>0</v>
      </c>
      <c r="W4982">
        <v>1</v>
      </c>
    </row>
    <row r="4983" spans="1:23" ht="16.5" x14ac:dyDescent="0.3">
      <c r="A4983" t="s">
        <v>5047</v>
      </c>
      <c r="B4983" s="1">
        <v>45994</v>
      </c>
      <c r="C4983">
        <v>2025</v>
      </c>
      <c r="D4983" t="s">
        <v>1832</v>
      </c>
      <c r="E4983" t="s">
        <v>2264</v>
      </c>
      <c r="F4983" t="s">
        <v>50</v>
      </c>
      <c r="G4983" t="s">
        <v>51</v>
      </c>
      <c r="H4983" t="s">
        <v>55</v>
      </c>
      <c r="I4983" t="s">
        <v>29</v>
      </c>
      <c r="J4983" t="s">
        <v>52</v>
      </c>
      <c r="K4983" s="2">
        <v>13250</v>
      </c>
      <c r="L4983" s="2">
        <v>423500</v>
      </c>
      <c r="M4983">
        <v>300</v>
      </c>
      <c r="N4983" s="3">
        <v>0.315</v>
      </c>
      <c r="O4983" t="s">
        <v>16</v>
      </c>
      <c r="Q4983">
        <v>1</v>
      </c>
      <c r="R4983">
        <v>0</v>
      </c>
      <c r="S4983" s="2">
        <v>381000</v>
      </c>
      <c r="T4983" s="4">
        <v>4.7800000000000002E-2</v>
      </c>
      <c r="U4983">
        <v>18</v>
      </c>
      <c r="V4983">
        <v>0</v>
      </c>
      <c r="W4983">
        <v>1</v>
      </c>
    </row>
    <row r="4984" spans="1:23" ht="16.5" x14ac:dyDescent="0.3">
      <c r="A4984" t="s">
        <v>5048</v>
      </c>
      <c r="B4984" s="1">
        <v>45994</v>
      </c>
      <c r="C4984">
        <v>2025</v>
      </c>
      <c r="D4984" t="s">
        <v>1832</v>
      </c>
      <c r="E4984" t="s">
        <v>2264</v>
      </c>
      <c r="F4984" t="s">
        <v>37</v>
      </c>
      <c r="G4984" t="s">
        <v>51</v>
      </c>
      <c r="H4984" t="s">
        <v>64</v>
      </c>
      <c r="I4984" t="s">
        <v>29</v>
      </c>
      <c r="J4984" t="s">
        <v>35</v>
      </c>
      <c r="K4984" s="2">
        <v>6500</v>
      </c>
      <c r="L4984" s="2">
        <v>12500</v>
      </c>
      <c r="M4984">
        <v>36</v>
      </c>
      <c r="N4984" s="3">
        <v>0.13100000000000001</v>
      </c>
      <c r="O4984" t="s">
        <v>16</v>
      </c>
      <c r="Q4984">
        <v>1</v>
      </c>
      <c r="R4984">
        <v>0</v>
      </c>
      <c r="S4984" s="2">
        <v>12500</v>
      </c>
      <c r="T4984" s="4">
        <v>0.1265</v>
      </c>
      <c r="U4984">
        <v>4</v>
      </c>
      <c r="V4984">
        <v>0</v>
      </c>
      <c r="W4984">
        <v>1</v>
      </c>
    </row>
    <row r="4985" spans="1:23" ht="16.5" x14ac:dyDescent="0.3">
      <c r="A4985" t="s">
        <v>5049</v>
      </c>
      <c r="B4985" s="1">
        <v>45994</v>
      </c>
      <c r="C4985">
        <v>2025</v>
      </c>
      <c r="D4985" t="s">
        <v>1832</v>
      </c>
      <c r="E4985" t="s">
        <v>2264</v>
      </c>
      <c r="F4985" t="s">
        <v>37</v>
      </c>
      <c r="G4985" t="s">
        <v>33</v>
      </c>
      <c r="H4985" t="s">
        <v>55</v>
      </c>
      <c r="I4985" t="s">
        <v>29</v>
      </c>
      <c r="J4985" t="s">
        <v>35</v>
      </c>
      <c r="K4985" s="2">
        <v>8000</v>
      </c>
      <c r="L4985" s="2">
        <v>15000</v>
      </c>
      <c r="M4985">
        <v>24</v>
      </c>
      <c r="N4985" s="3">
        <v>0.26600000000000001</v>
      </c>
      <c r="O4985" t="s">
        <v>16</v>
      </c>
      <c r="Q4985">
        <v>1</v>
      </c>
      <c r="R4985">
        <v>0</v>
      </c>
      <c r="S4985" s="2">
        <v>15000</v>
      </c>
      <c r="T4985" s="4">
        <v>0.1249</v>
      </c>
      <c r="U4985">
        <v>2</v>
      </c>
      <c r="V4985">
        <v>1</v>
      </c>
      <c r="W4985">
        <v>1</v>
      </c>
    </row>
    <row r="4986" spans="1:23" ht="16.5" x14ac:dyDescent="0.3">
      <c r="A4986" t="s">
        <v>5050</v>
      </c>
      <c r="B4986" s="1">
        <v>45994</v>
      </c>
      <c r="C4986">
        <v>2025</v>
      </c>
      <c r="D4986" t="s">
        <v>1832</v>
      </c>
      <c r="E4986" t="s">
        <v>2264</v>
      </c>
      <c r="F4986" t="s">
        <v>41</v>
      </c>
      <c r="G4986" t="s">
        <v>33</v>
      </c>
      <c r="H4986" t="s">
        <v>28</v>
      </c>
      <c r="I4986" t="s">
        <v>29</v>
      </c>
      <c r="J4986" t="s">
        <v>35</v>
      </c>
      <c r="K4986" s="2">
        <v>4350</v>
      </c>
      <c r="L4986" s="2">
        <v>44000</v>
      </c>
      <c r="M4986">
        <v>60</v>
      </c>
      <c r="N4986" s="3">
        <v>0.33300000000000002</v>
      </c>
      <c r="O4986" t="s">
        <v>16</v>
      </c>
      <c r="Q4986">
        <v>1</v>
      </c>
      <c r="R4986">
        <v>0</v>
      </c>
      <c r="S4986" s="2">
        <v>35000</v>
      </c>
      <c r="T4986" s="4">
        <v>0.1061</v>
      </c>
      <c r="U4986">
        <v>7</v>
      </c>
      <c r="V4986">
        <v>1</v>
      </c>
      <c r="W4986">
        <v>1</v>
      </c>
    </row>
    <row r="4987" spans="1:23" ht="16.5" x14ac:dyDescent="0.3">
      <c r="A4987" t="s">
        <v>5051</v>
      </c>
      <c r="B4987" s="1">
        <v>45994</v>
      </c>
      <c r="C4987">
        <v>2025</v>
      </c>
      <c r="D4987" t="s">
        <v>1832</v>
      </c>
      <c r="E4987" t="s">
        <v>2264</v>
      </c>
      <c r="F4987" t="s">
        <v>37</v>
      </c>
      <c r="G4987" t="s">
        <v>33</v>
      </c>
      <c r="H4987" t="s">
        <v>34</v>
      </c>
      <c r="I4987" t="s">
        <v>29</v>
      </c>
      <c r="J4987" t="s">
        <v>52</v>
      </c>
      <c r="K4987" s="2">
        <v>5500</v>
      </c>
      <c r="L4987" s="2">
        <v>15500</v>
      </c>
      <c r="M4987">
        <v>24</v>
      </c>
      <c r="N4987" s="3">
        <v>0.29099999999999998</v>
      </c>
      <c r="O4987" t="s">
        <v>16</v>
      </c>
      <c r="Q4987">
        <v>1</v>
      </c>
      <c r="R4987">
        <v>0</v>
      </c>
      <c r="S4987" s="2">
        <v>12500</v>
      </c>
      <c r="T4987" s="4">
        <v>0.1109</v>
      </c>
      <c r="U4987">
        <v>2</v>
      </c>
      <c r="V4987">
        <v>1</v>
      </c>
      <c r="W4987">
        <v>1</v>
      </c>
    </row>
    <row r="4988" spans="1:23" ht="16.5" x14ac:dyDescent="0.3">
      <c r="A4988" t="s">
        <v>5052</v>
      </c>
      <c r="B4988" s="1">
        <v>45994</v>
      </c>
      <c r="C4988">
        <v>2025</v>
      </c>
      <c r="D4988" t="s">
        <v>1832</v>
      </c>
      <c r="E4988" t="s">
        <v>2264</v>
      </c>
      <c r="F4988" t="s">
        <v>37</v>
      </c>
      <c r="G4988" t="s">
        <v>51</v>
      </c>
      <c r="H4988" t="s">
        <v>38</v>
      </c>
      <c r="I4988" t="s">
        <v>39</v>
      </c>
      <c r="J4988" t="s">
        <v>35</v>
      </c>
      <c r="K4988" s="2">
        <v>5600</v>
      </c>
      <c r="L4988" s="2">
        <v>20500</v>
      </c>
      <c r="M4988">
        <v>24</v>
      </c>
      <c r="N4988" s="3">
        <v>0.28399999999999997</v>
      </c>
      <c r="O4988" t="s">
        <v>16</v>
      </c>
      <c r="Q4988">
        <v>1</v>
      </c>
      <c r="R4988">
        <v>0</v>
      </c>
      <c r="S4988" s="2">
        <v>20500</v>
      </c>
      <c r="T4988" s="4">
        <v>0.1246</v>
      </c>
      <c r="U4988">
        <v>3</v>
      </c>
      <c r="V4988">
        <v>1</v>
      </c>
      <c r="W4988">
        <v>1</v>
      </c>
    </row>
    <row r="4989" spans="1:23" ht="16.5" x14ac:dyDescent="0.3">
      <c r="A4989" t="s">
        <v>5053</v>
      </c>
      <c r="B4989" s="1">
        <v>45994</v>
      </c>
      <c r="C4989">
        <v>2025</v>
      </c>
      <c r="D4989" t="s">
        <v>1832</v>
      </c>
      <c r="E4989" t="s">
        <v>2264</v>
      </c>
      <c r="F4989" t="s">
        <v>37</v>
      </c>
      <c r="G4989" t="s">
        <v>45</v>
      </c>
      <c r="H4989" t="s">
        <v>38</v>
      </c>
      <c r="I4989" t="s">
        <v>29</v>
      </c>
      <c r="J4989" t="s">
        <v>35</v>
      </c>
      <c r="K4989" s="2">
        <v>3600</v>
      </c>
      <c r="L4989" s="2">
        <v>10500</v>
      </c>
      <c r="M4989">
        <v>12</v>
      </c>
      <c r="N4989" s="3">
        <v>0.33700000000000002</v>
      </c>
      <c r="O4989" t="s">
        <v>16</v>
      </c>
      <c r="Q4989">
        <v>1</v>
      </c>
      <c r="R4989">
        <v>0</v>
      </c>
      <c r="S4989" s="2">
        <v>10500</v>
      </c>
      <c r="T4989" s="4">
        <v>0.125</v>
      </c>
      <c r="U4989">
        <v>3</v>
      </c>
      <c r="V4989">
        <v>1</v>
      </c>
      <c r="W4989">
        <v>1</v>
      </c>
    </row>
    <row r="4990" spans="1:23" ht="16.5" x14ac:dyDescent="0.3">
      <c r="A4990" t="s">
        <v>5054</v>
      </c>
      <c r="B4990" s="1">
        <v>45995</v>
      </c>
      <c r="C4990">
        <v>2025</v>
      </c>
      <c r="D4990" t="s">
        <v>1832</v>
      </c>
      <c r="E4990" t="s">
        <v>2264</v>
      </c>
      <c r="F4990" t="s">
        <v>37</v>
      </c>
      <c r="G4990" t="s">
        <v>45</v>
      </c>
      <c r="H4990" t="s">
        <v>38</v>
      </c>
      <c r="I4990" t="s">
        <v>39</v>
      </c>
      <c r="J4990" t="s">
        <v>35</v>
      </c>
      <c r="K4990" s="2">
        <v>4400</v>
      </c>
      <c r="L4990" s="2">
        <v>33000</v>
      </c>
      <c r="M4990">
        <v>36</v>
      </c>
      <c r="N4990" s="3">
        <v>0.40300000000000002</v>
      </c>
      <c r="O4990" t="s">
        <v>17</v>
      </c>
      <c r="P4990" t="s">
        <v>31</v>
      </c>
      <c r="Q4990">
        <v>0</v>
      </c>
      <c r="R4990">
        <v>1</v>
      </c>
      <c r="S4990" s="2">
        <v>0</v>
      </c>
      <c r="T4990" s="4"/>
      <c r="U4990">
        <v>2</v>
      </c>
      <c r="V4990">
        <v>1</v>
      </c>
      <c r="W4990">
        <v>1</v>
      </c>
    </row>
    <row r="4991" spans="1:23" ht="16.5" x14ac:dyDescent="0.3">
      <c r="A4991" t="s">
        <v>5055</v>
      </c>
      <c r="B4991" s="1">
        <v>45995</v>
      </c>
      <c r="C4991">
        <v>2025</v>
      </c>
      <c r="D4991" t="s">
        <v>1832</v>
      </c>
      <c r="E4991" t="s">
        <v>2264</v>
      </c>
      <c r="F4991" t="s">
        <v>50</v>
      </c>
      <c r="G4991" t="s">
        <v>33</v>
      </c>
      <c r="H4991" t="s">
        <v>34</v>
      </c>
      <c r="I4991" t="s">
        <v>39</v>
      </c>
      <c r="J4991" t="s">
        <v>52</v>
      </c>
      <c r="K4991" s="2">
        <v>6600</v>
      </c>
      <c r="L4991" s="2">
        <v>109500</v>
      </c>
      <c r="M4991">
        <v>180</v>
      </c>
      <c r="N4991" s="3">
        <v>0.316</v>
      </c>
      <c r="O4991" t="s">
        <v>17</v>
      </c>
      <c r="P4991" t="s">
        <v>31</v>
      </c>
      <c r="Q4991">
        <v>0</v>
      </c>
      <c r="R4991">
        <v>1</v>
      </c>
      <c r="S4991" s="2">
        <v>0</v>
      </c>
      <c r="T4991" s="4"/>
      <c r="U4991">
        <v>10</v>
      </c>
      <c r="V4991">
        <v>1</v>
      </c>
      <c r="W4991">
        <v>1</v>
      </c>
    </row>
    <row r="4992" spans="1:23" ht="16.5" x14ac:dyDescent="0.3">
      <c r="A4992" t="s">
        <v>5056</v>
      </c>
      <c r="B4992" s="1">
        <v>45995</v>
      </c>
      <c r="C4992">
        <v>2025</v>
      </c>
      <c r="D4992" t="s">
        <v>1832</v>
      </c>
      <c r="E4992" t="s">
        <v>2264</v>
      </c>
      <c r="F4992" t="s">
        <v>37</v>
      </c>
      <c r="G4992" t="s">
        <v>51</v>
      </c>
      <c r="H4992" t="s">
        <v>34</v>
      </c>
      <c r="I4992" t="s">
        <v>42</v>
      </c>
      <c r="J4992" t="s">
        <v>43</v>
      </c>
      <c r="K4992" s="2">
        <v>4800</v>
      </c>
      <c r="L4992" s="2">
        <v>6500</v>
      </c>
      <c r="M4992">
        <v>24</v>
      </c>
      <c r="N4992" s="3">
        <v>0.187</v>
      </c>
      <c r="O4992" t="s">
        <v>16</v>
      </c>
      <c r="Q4992">
        <v>1</v>
      </c>
      <c r="R4992">
        <v>0</v>
      </c>
      <c r="S4992" s="2">
        <v>6000</v>
      </c>
      <c r="T4992" s="4">
        <v>0.1542</v>
      </c>
      <c r="U4992">
        <v>4</v>
      </c>
      <c r="V4992">
        <v>0</v>
      </c>
      <c r="W4992">
        <v>1</v>
      </c>
    </row>
    <row r="4993" spans="1:23" ht="16.5" x14ac:dyDescent="0.3">
      <c r="A4993" t="s">
        <v>5057</v>
      </c>
      <c r="B4993" s="1">
        <v>45995</v>
      </c>
      <c r="C4993">
        <v>2025</v>
      </c>
      <c r="D4993" t="s">
        <v>1832</v>
      </c>
      <c r="E4993" t="s">
        <v>2264</v>
      </c>
      <c r="F4993" t="s">
        <v>41</v>
      </c>
      <c r="G4993" t="s">
        <v>51</v>
      </c>
      <c r="H4993" t="s">
        <v>34</v>
      </c>
      <c r="I4993" t="s">
        <v>29</v>
      </c>
      <c r="J4993" t="s">
        <v>35</v>
      </c>
      <c r="K4993" s="2">
        <v>8300</v>
      </c>
      <c r="L4993" s="2">
        <v>94500</v>
      </c>
      <c r="M4993">
        <v>36</v>
      </c>
      <c r="N4993" s="3">
        <v>0.58699999999999997</v>
      </c>
      <c r="O4993" t="s">
        <v>17</v>
      </c>
      <c r="P4993" t="s">
        <v>53</v>
      </c>
      <c r="Q4993">
        <v>0</v>
      </c>
      <c r="R4993">
        <v>1</v>
      </c>
      <c r="S4993" s="2">
        <v>0</v>
      </c>
      <c r="T4993" s="4"/>
      <c r="U4993">
        <v>9</v>
      </c>
      <c r="V4993">
        <v>1</v>
      </c>
      <c r="W4993">
        <v>1</v>
      </c>
    </row>
    <row r="4994" spans="1:23" ht="16.5" x14ac:dyDescent="0.3">
      <c r="A4994" t="s">
        <v>5058</v>
      </c>
      <c r="B4994" s="1">
        <v>45996</v>
      </c>
      <c r="C4994">
        <v>2025</v>
      </c>
      <c r="D4994" t="s">
        <v>1832</v>
      </c>
      <c r="E4994" t="s">
        <v>2264</v>
      </c>
      <c r="F4994" t="s">
        <v>26</v>
      </c>
      <c r="G4994" t="s">
        <v>51</v>
      </c>
      <c r="H4994" t="s">
        <v>38</v>
      </c>
      <c r="I4994" t="s">
        <v>39</v>
      </c>
      <c r="J4994" t="s">
        <v>43</v>
      </c>
      <c r="K4994" s="2">
        <v>11150</v>
      </c>
      <c r="L4994" s="2">
        <v>21000</v>
      </c>
      <c r="M4994">
        <v>60</v>
      </c>
      <c r="N4994" s="3">
        <v>0.22700000000000001</v>
      </c>
      <c r="O4994" t="s">
        <v>17</v>
      </c>
      <c r="P4994" t="s">
        <v>31</v>
      </c>
      <c r="Q4994">
        <v>0</v>
      </c>
      <c r="R4994">
        <v>1</v>
      </c>
      <c r="S4994" s="2">
        <v>0</v>
      </c>
      <c r="T4994" s="4"/>
      <c r="U4994">
        <v>7</v>
      </c>
      <c r="V4994">
        <v>0</v>
      </c>
      <c r="W4994">
        <v>1</v>
      </c>
    </row>
    <row r="4995" spans="1:23" ht="16.5" x14ac:dyDescent="0.3">
      <c r="A4995" t="s">
        <v>5059</v>
      </c>
      <c r="B4995" s="1">
        <v>45996</v>
      </c>
      <c r="C4995">
        <v>2025</v>
      </c>
      <c r="D4995" t="s">
        <v>1832</v>
      </c>
      <c r="E4995" t="s">
        <v>2264</v>
      </c>
      <c r="F4995" t="s">
        <v>37</v>
      </c>
      <c r="G4995" t="s">
        <v>51</v>
      </c>
      <c r="H4995" t="s">
        <v>64</v>
      </c>
      <c r="I4995" t="s">
        <v>29</v>
      </c>
      <c r="J4995" t="s">
        <v>35</v>
      </c>
      <c r="K4995" s="2">
        <v>3800</v>
      </c>
      <c r="L4995" s="2">
        <v>11000</v>
      </c>
      <c r="M4995">
        <v>24</v>
      </c>
      <c r="N4995" s="3">
        <v>0.254</v>
      </c>
      <c r="O4995" t="s">
        <v>16</v>
      </c>
      <c r="Q4995">
        <v>1</v>
      </c>
      <c r="R4995">
        <v>0</v>
      </c>
      <c r="S4995" s="2">
        <v>11000</v>
      </c>
      <c r="T4995" s="4">
        <v>0.12620000000000001</v>
      </c>
      <c r="U4995">
        <v>4</v>
      </c>
      <c r="V4995">
        <v>0</v>
      </c>
      <c r="W4995">
        <v>1</v>
      </c>
    </row>
    <row r="4996" spans="1:23" ht="16.5" x14ac:dyDescent="0.3">
      <c r="A4996" t="s">
        <v>5060</v>
      </c>
      <c r="B4996" s="1">
        <v>45996</v>
      </c>
      <c r="C4996">
        <v>2025</v>
      </c>
      <c r="D4996" t="s">
        <v>1832</v>
      </c>
      <c r="E4996" t="s">
        <v>2264</v>
      </c>
      <c r="F4996" t="s">
        <v>50</v>
      </c>
      <c r="G4996" t="s">
        <v>51</v>
      </c>
      <c r="H4996" t="s">
        <v>34</v>
      </c>
      <c r="I4996" t="s">
        <v>42</v>
      </c>
      <c r="J4996" t="s">
        <v>46</v>
      </c>
      <c r="K4996" s="2">
        <v>11000</v>
      </c>
      <c r="L4996" s="2">
        <v>257500</v>
      </c>
      <c r="M4996">
        <v>300</v>
      </c>
      <c r="N4996" s="3">
        <v>0.33300000000000002</v>
      </c>
      <c r="O4996" t="s">
        <v>16</v>
      </c>
      <c r="Q4996">
        <v>1</v>
      </c>
      <c r="R4996">
        <v>0</v>
      </c>
      <c r="S4996" s="2">
        <v>206000</v>
      </c>
      <c r="T4996" s="4">
        <v>4.8000000000000001E-2</v>
      </c>
      <c r="U4996">
        <v>28</v>
      </c>
      <c r="V4996">
        <v>0</v>
      </c>
      <c r="W4996">
        <v>1</v>
      </c>
    </row>
    <row r="4997" spans="1:23" ht="16.5" x14ac:dyDescent="0.3">
      <c r="A4997" t="s">
        <v>5061</v>
      </c>
      <c r="B4997" s="1">
        <v>45996</v>
      </c>
      <c r="C4997">
        <v>2025</v>
      </c>
      <c r="D4997" t="s">
        <v>1832</v>
      </c>
      <c r="E4997" t="s">
        <v>2264</v>
      </c>
      <c r="F4997" t="s">
        <v>50</v>
      </c>
      <c r="G4997" t="s">
        <v>45</v>
      </c>
      <c r="H4997" t="s">
        <v>55</v>
      </c>
      <c r="I4997" t="s">
        <v>42</v>
      </c>
      <c r="J4997" t="s">
        <v>35</v>
      </c>
      <c r="K4997" s="2">
        <v>3300</v>
      </c>
      <c r="L4997" s="2">
        <v>363500</v>
      </c>
      <c r="M4997">
        <v>180</v>
      </c>
      <c r="N4997" s="3">
        <v>1.087</v>
      </c>
      <c r="O4997" t="s">
        <v>16</v>
      </c>
      <c r="Q4997">
        <v>1</v>
      </c>
      <c r="R4997">
        <v>0</v>
      </c>
      <c r="S4997" s="2">
        <v>363500</v>
      </c>
      <c r="T4997" s="4">
        <v>6.2199999999999998E-2</v>
      </c>
      <c r="U4997">
        <v>14</v>
      </c>
      <c r="V4997">
        <v>1</v>
      </c>
      <c r="W4997">
        <v>1</v>
      </c>
    </row>
    <row r="4998" spans="1:23" ht="16.5" x14ac:dyDescent="0.3">
      <c r="A4998" t="s">
        <v>5062</v>
      </c>
      <c r="B4998" s="1">
        <v>45996</v>
      </c>
      <c r="C4998">
        <v>2025</v>
      </c>
      <c r="D4998" t="s">
        <v>1832</v>
      </c>
      <c r="E4998" t="s">
        <v>2264</v>
      </c>
      <c r="F4998" t="s">
        <v>37</v>
      </c>
      <c r="G4998" t="s">
        <v>33</v>
      </c>
      <c r="H4998" t="s">
        <v>38</v>
      </c>
      <c r="I4998" t="s">
        <v>42</v>
      </c>
      <c r="J4998" t="s">
        <v>52</v>
      </c>
      <c r="K4998" s="2">
        <v>5050</v>
      </c>
      <c r="L4998" s="2">
        <v>10500</v>
      </c>
      <c r="M4998">
        <v>48</v>
      </c>
      <c r="N4998" s="3">
        <v>0.124</v>
      </c>
      <c r="O4998" t="s">
        <v>16</v>
      </c>
      <c r="Q4998">
        <v>1</v>
      </c>
      <c r="R4998">
        <v>0</v>
      </c>
      <c r="S4998" s="2">
        <v>9500</v>
      </c>
      <c r="T4998" s="4">
        <v>0.1177</v>
      </c>
      <c r="U4998">
        <v>2</v>
      </c>
      <c r="V4998">
        <v>1</v>
      </c>
      <c r="W4998">
        <v>1</v>
      </c>
    </row>
    <row r="4999" spans="1:23" ht="16.5" x14ac:dyDescent="0.3">
      <c r="A4999" t="s">
        <v>5063</v>
      </c>
      <c r="B4999" s="1">
        <v>45996</v>
      </c>
      <c r="C4999">
        <v>2025</v>
      </c>
      <c r="D4999" t="s">
        <v>1832</v>
      </c>
      <c r="E4999" t="s">
        <v>2264</v>
      </c>
      <c r="F4999" t="s">
        <v>50</v>
      </c>
      <c r="G4999" t="s">
        <v>33</v>
      </c>
      <c r="H4999" t="s">
        <v>64</v>
      </c>
      <c r="I4999" t="s">
        <v>39</v>
      </c>
      <c r="J4999" t="s">
        <v>43</v>
      </c>
      <c r="K4999" s="2">
        <v>3650</v>
      </c>
      <c r="L4999" s="2">
        <v>119500</v>
      </c>
      <c r="M4999">
        <v>300</v>
      </c>
      <c r="N4999" s="3">
        <v>0.24299999999999999</v>
      </c>
      <c r="O4999" t="s">
        <v>17</v>
      </c>
      <c r="P4999" t="s">
        <v>65</v>
      </c>
      <c r="Q4999">
        <v>0</v>
      </c>
      <c r="R4999">
        <v>1</v>
      </c>
      <c r="S4999" s="2">
        <v>0</v>
      </c>
      <c r="T4999" s="4"/>
      <c r="U4999">
        <v>13</v>
      </c>
      <c r="V4999">
        <v>1</v>
      </c>
      <c r="W4999">
        <v>1</v>
      </c>
    </row>
    <row r="5000" spans="1:23" ht="16.5" x14ac:dyDescent="0.3">
      <c r="A5000" t="s">
        <v>5064</v>
      </c>
      <c r="B5000" s="1">
        <v>45996</v>
      </c>
      <c r="C5000">
        <v>2025</v>
      </c>
      <c r="D5000" t="s">
        <v>1832</v>
      </c>
      <c r="E5000" t="s">
        <v>2264</v>
      </c>
      <c r="F5000" t="s">
        <v>26</v>
      </c>
      <c r="G5000" t="s">
        <v>51</v>
      </c>
      <c r="H5000" t="s">
        <v>55</v>
      </c>
      <c r="I5000" t="s">
        <v>29</v>
      </c>
      <c r="J5000" t="s">
        <v>43</v>
      </c>
      <c r="K5000" s="2">
        <v>5800</v>
      </c>
      <c r="L5000" s="2">
        <v>34500</v>
      </c>
      <c r="M5000">
        <v>36</v>
      </c>
      <c r="N5000" s="3">
        <v>0.38300000000000001</v>
      </c>
      <c r="O5000" t="s">
        <v>17</v>
      </c>
      <c r="P5000" t="s">
        <v>65</v>
      </c>
      <c r="Q5000">
        <v>0</v>
      </c>
      <c r="R5000">
        <v>1</v>
      </c>
      <c r="S5000" s="2">
        <v>0</v>
      </c>
      <c r="T5000" s="4"/>
      <c r="U5000">
        <v>7</v>
      </c>
      <c r="V5000">
        <v>0</v>
      </c>
      <c r="W5000">
        <v>1</v>
      </c>
    </row>
    <row r="5001" spans="1:23" ht="16.5" x14ac:dyDescent="0.3">
      <c r="A5001" t="s">
        <v>5065</v>
      </c>
      <c r="B5001" s="1">
        <v>45996</v>
      </c>
      <c r="C5001">
        <v>2025</v>
      </c>
      <c r="D5001" t="s">
        <v>1832</v>
      </c>
      <c r="E5001" t="s">
        <v>2264</v>
      </c>
      <c r="F5001" t="s">
        <v>26</v>
      </c>
      <c r="G5001" t="s">
        <v>33</v>
      </c>
      <c r="H5001" t="s">
        <v>38</v>
      </c>
      <c r="I5001" t="s">
        <v>39</v>
      </c>
      <c r="J5001" t="s">
        <v>35</v>
      </c>
      <c r="K5001" s="2">
        <v>4700</v>
      </c>
      <c r="L5001" s="2">
        <v>25500</v>
      </c>
      <c r="M5001">
        <v>48</v>
      </c>
      <c r="N5001" s="3">
        <v>0.25900000000000001</v>
      </c>
      <c r="O5001" t="s">
        <v>16</v>
      </c>
      <c r="Q5001">
        <v>1</v>
      </c>
      <c r="R5001">
        <v>0</v>
      </c>
      <c r="S5001" s="2">
        <v>25500</v>
      </c>
      <c r="T5001" s="4">
        <v>7.8E-2</v>
      </c>
      <c r="U5001">
        <v>2</v>
      </c>
      <c r="V5001">
        <v>1</v>
      </c>
      <c r="W5001">
        <v>1</v>
      </c>
    </row>
    <row r="5002" spans="1:23" ht="16.5" x14ac:dyDescent="0.3">
      <c r="A5002" t="s">
        <v>5066</v>
      </c>
      <c r="B5002" s="1">
        <v>45996</v>
      </c>
      <c r="C5002">
        <v>2025</v>
      </c>
      <c r="D5002" t="s">
        <v>1832</v>
      </c>
      <c r="E5002" t="s">
        <v>2264</v>
      </c>
      <c r="F5002" t="s">
        <v>37</v>
      </c>
      <c r="G5002" t="s">
        <v>33</v>
      </c>
      <c r="H5002" t="s">
        <v>55</v>
      </c>
      <c r="I5002" t="s">
        <v>29</v>
      </c>
      <c r="J5002" t="s">
        <v>35</v>
      </c>
      <c r="K5002" s="2">
        <v>3200</v>
      </c>
      <c r="L5002" s="2">
        <v>28000</v>
      </c>
      <c r="M5002">
        <v>24</v>
      </c>
      <c r="N5002" s="3">
        <v>0.63100000000000001</v>
      </c>
      <c r="O5002" t="s">
        <v>16</v>
      </c>
      <c r="Q5002">
        <v>1</v>
      </c>
      <c r="R5002">
        <v>0</v>
      </c>
      <c r="S5002" s="2">
        <v>25000</v>
      </c>
      <c r="T5002" s="4">
        <v>0.12470000000000001</v>
      </c>
      <c r="U5002">
        <v>1</v>
      </c>
      <c r="V5002">
        <v>1</v>
      </c>
      <c r="W5002">
        <v>1</v>
      </c>
    </row>
    <row r="5003" spans="1:23" ht="16.5" x14ac:dyDescent="0.3">
      <c r="A5003" t="s">
        <v>5067</v>
      </c>
      <c r="B5003" s="1">
        <v>45996</v>
      </c>
      <c r="C5003">
        <v>2025</v>
      </c>
      <c r="D5003" t="s">
        <v>1832</v>
      </c>
      <c r="E5003" t="s">
        <v>2264</v>
      </c>
      <c r="F5003" t="s">
        <v>37</v>
      </c>
      <c r="G5003" t="s">
        <v>45</v>
      </c>
      <c r="H5003" t="s">
        <v>38</v>
      </c>
      <c r="I5003" t="s">
        <v>39</v>
      </c>
      <c r="J5003" t="s">
        <v>30</v>
      </c>
      <c r="K5003" s="2">
        <v>6150</v>
      </c>
      <c r="L5003" s="2">
        <v>15000</v>
      </c>
      <c r="M5003">
        <v>60</v>
      </c>
      <c r="N5003" s="3">
        <v>0.159</v>
      </c>
      <c r="O5003" t="s">
        <v>16</v>
      </c>
      <c r="Q5003">
        <v>1</v>
      </c>
      <c r="R5003">
        <v>0</v>
      </c>
      <c r="S5003" s="2">
        <v>15000</v>
      </c>
      <c r="T5003" s="4">
        <v>0.14050000000000001</v>
      </c>
      <c r="U5003">
        <v>3</v>
      </c>
      <c r="V5003">
        <v>1</v>
      </c>
      <c r="W5003">
        <v>1</v>
      </c>
    </row>
    <row r="5004" spans="1:23" ht="16.5" x14ac:dyDescent="0.3">
      <c r="A5004" t="s">
        <v>5068</v>
      </c>
      <c r="B5004" s="1">
        <v>45997</v>
      </c>
      <c r="C5004">
        <v>2025</v>
      </c>
      <c r="D5004" t="s">
        <v>1832</v>
      </c>
      <c r="E5004" t="s">
        <v>2264</v>
      </c>
      <c r="F5004" t="s">
        <v>37</v>
      </c>
      <c r="G5004" t="s">
        <v>33</v>
      </c>
      <c r="H5004" t="s">
        <v>64</v>
      </c>
      <c r="I5004" t="s">
        <v>29</v>
      </c>
      <c r="J5004" t="s">
        <v>35</v>
      </c>
      <c r="K5004" s="2">
        <v>4700</v>
      </c>
      <c r="L5004" s="2">
        <v>6500</v>
      </c>
      <c r="M5004">
        <v>48</v>
      </c>
      <c r="N5004" s="3">
        <v>0.20100000000000001</v>
      </c>
      <c r="O5004" t="s">
        <v>16</v>
      </c>
      <c r="Q5004">
        <v>1</v>
      </c>
      <c r="R5004">
        <v>0</v>
      </c>
      <c r="S5004" s="2">
        <v>6500</v>
      </c>
      <c r="T5004" s="4">
        <v>0.13020000000000001</v>
      </c>
      <c r="U5004">
        <v>2</v>
      </c>
      <c r="V5004">
        <v>1</v>
      </c>
      <c r="W5004">
        <v>1</v>
      </c>
    </row>
    <row r="5005" spans="1:23" ht="16.5" x14ac:dyDescent="0.3">
      <c r="A5005" t="s">
        <v>5069</v>
      </c>
      <c r="B5005" s="1">
        <v>45997</v>
      </c>
      <c r="C5005">
        <v>2025</v>
      </c>
      <c r="D5005" t="s">
        <v>1832</v>
      </c>
      <c r="E5005" t="s">
        <v>2264</v>
      </c>
      <c r="F5005" t="s">
        <v>50</v>
      </c>
      <c r="G5005" t="s">
        <v>45</v>
      </c>
      <c r="H5005" t="s">
        <v>38</v>
      </c>
      <c r="I5005" t="s">
        <v>42</v>
      </c>
      <c r="J5005" t="s">
        <v>52</v>
      </c>
      <c r="K5005" s="2">
        <v>3550</v>
      </c>
      <c r="L5005" s="2">
        <v>265000</v>
      </c>
      <c r="M5005">
        <v>180</v>
      </c>
      <c r="N5005" s="3">
        <v>0.72</v>
      </c>
      <c r="O5005" t="s">
        <v>16</v>
      </c>
      <c r="Q5005">
        <v>1</v>
      </c>
      <c r="R5005">
        <v>0</v>
      </c>
      <c r="S5005" s="2">
        <v>265000</v>
      </c>
      <c r="T5005" s="4">
        <v>5.16E-2</v>
      </c>
      <c r="U5005">
        <v>10</v>
      </c>
      <c r="V5005">
        <v>1</v>
      </c>
      <c r="W5005">
        <v>1</v>
      </c>
    </row>
    <row r="5006" spans="1:23" ht="16.5" x14ac:dyDescent="0.3">
      <c r="A5006" t="s">
        <v>5070</v>
      </c>
      <c r="B5006" s="1">
        <v>45997</v>
      </c>
      <c r="C5006">
        <v>2025</v>
      </c>
      <c r="D5006" t="s">
        <v>1832</v>
      </c>
      <c r="E5006" t="s">
        <v>2264</v>
      </c>
      <c r="F5006" t="s">
        <v>26</v>
      </c>
      <c r="G5006" t="s">
        <v>51</v>
      </c>
      <c r="H5006" t="s">
        <v>38</v>
      </c>
      <c r="I5006" t="s">
        <v>29</v>
      </c>
      <c r="J5006" t="s">
        <v>35</v>
      </c>
      <c r="K5006" s="2">
        <v>4000</v>
      </c>
      <c r="L5006" s="2">
        <v>36500</v>
      </c>
      <c r="M5006">
        <v>60</v>
      </c>
      <c r="N5006" s="3">
        <v>0.42799999999999999</v>
      </c>
      <c r="O5006" t="s">
        <v>16</v>
      </c>
      <c r="Q5006">
        <v>1</v>
      </c>
      <c r="R5006">
        <v>0</v>
      </c>
      <c r="S5006" s="2">
        <v>36500</v>
      </c>
      <c r="T5006" s="4">
        <v>8.2000000000000003E-2</v>
      </c>
      <c r="U5006">
        <v>3</v>
      </c>
      <c r="V5006">
        <v>1</v>
      </c>
      <c r="W5006">
        <v>1</v>
      </c>
    </row>
    <row r="5007" spans="1:23" ht="16.5" x14ac:dyDescent="0.3">
      <c r="A5007" t="s">
        <v>5071</v>
      </c>
      <c r="B5007" s="1">
        <v>45997</v>
      </c>
      <c r="C5007">
        <v>2025</v>
      </c>
      <c r="D5007" t="s">
        <v>1832</v>
      </c>
      <c r="E5007" t="s">
        <v>2264</v>
      </c>
      <c r="F5007" t="s">
        <v>26</v>
      </c>
      <c r="G5007" t="s">
        <v>51</v>
      </c>
      <c r="H5007" t="s">
        <v>34</v>
      </c>
      <c r="I5007" t="s">
        <v>29</v>
      </c>
      <c r="J5007" t="s">
        <v>30</v>
      </c>
      <c r="K5007" s="2">
        <v>5900</v>
      </c>
      <c r="L5007" s="2">
        <v>7000</v>
      </c>
      <c r="M5007">
        <v>48</v>
      </c>
      <c r="N5007" s="3">
        <v>0.126</v>
      </c>
      <c r="O5007" t="s">
        <v>16</v>
      </c>
      <c r="Q5007">
        <v>1</v>
      </c>
      <c r="R5007">
        <v>0</v>
      </c>
      <c r="S5007" s="2">
        <v>6500</v>
      </c>
      <c r="T5007" s="4">
        <v>9.9699999999999997E-2</v>
      </c>
      <c r="U5007">
        <v>12</v>
      </c>
      <c r="V5007">
        <v>0</v>
      </c>
      <c r="W5007">
        <v>1</v>
      </c>
    </row>
    <row r="5008" spans="1:23" ht="16.5" x14ac:dyDescent="0.3">
      <c r="A5008" t="s">
        <v>5072</v>
      </c>
      <c r="B5008" s="1">
        <v>45998</v>
      </c>
      <c r="C5008">
        <v>2025</v>
      </c>
      <c r="D5008" t="s">
        <v>1832</v>
      </c>
      <c r="E5008" t="s">
        <v>2264</v>
      </c>
      <c r="F5008" t="s">
        <v>41</v>
      </c>
      <c r="G5008" t="s">
        <v>51</v>
      </c>
      <c r="H5008" t="s">
        <v>28</v>
      </c>
      <c r="I5008" t="s">
        <v>39</v>
      </c>
      <c r="J5008" t="s">
        <v>52</v>
      </c>
      <c r="K5008" s="2">
        <v>3000</v>
      </c>
      <c r="L5008" s="2">
        <v>93000</v>
      </c>
      <c r="M5008">
        <v>24</v>
      </c>
      <c r="N5008" s="3">
        <v>1.4990000000000001</v>
      </c>
      <c r="O5008" t="s">
        <v>17</v>
      </c>
      <c r="P5008" t="s">
        <v>53</v>
      </c>
      <c r="Q5008">
        <v>0</v>
      </c>
      <c r="R5008">
        <v>1</v>
      </c>
      <c r="S5008" s="2">
        <v>0</v>
      </c>
      <c r="T5008" s="4"/>
      <c r="U5008">
        <v>13</v>
      </c>
      <c r="V5008">
        <v>0</v>
      </c>
      <c r="W5008">
        <v>1</v>
      </c>
    </row>
    <row r="5009" spans="1:23" ht="16.5" x14ac:dyDescent="0.3">
      <c r="A5009" t="s">
        <v>5073</v>
      </c>
      <c r="B5009" s="1">
        <v>45998</v>
      </c>
      <c r="C5009">
        <v>2025</v>
      </c>
      <c r="D5009" t="s">
        <v>1832</v>
      </c>
      <c r="E5009" t="s">
        <v>2264</v>
      </c>
      <c r="F5009" t="s">
        <v>37</v>
      </c>
      <c r="G5009" t="s">
        <v>33</v>
      </c>
      <c r="H5009" t="s">
        <v>38</v>
      </c>
      <c r="I5009" t="s">
        <v>29</v>
      </c>
      <c r="J5009" t="s">
        <v>35</v>
      </c>
      <c r="K5009" s="2">
        <v>2800</v>
      </c>
      <c r="L5009" s="2">
        <v>6500</v>
      </c>
      <c r="M5009">
        <v>36</v>
      </c>
      <c r="N5009" s="3">
        <v>0.26500000000000001</v>
      </c>
      <c r="O5009" t="s">
        <v>16</v>
      </c>
      <c r="Q5009">
        <v>1</v>
      </c>
      <c r="R5009">
        <v>0</v>
      </c>
      <c r="S5009" s="2">
        <v>6500</v>
      </c>
      <c r="T5009" s="4">
        <v>0.1231</v>
      </c>
      <c r="U5009">
        <v>1</v>
      </c>
      <c r="V5009">
        <v>1</v>
      </c>
      <c r="W5009">
        <v>1</v>
      </c>
    </row>
    <row r="5010" spans="1:23" ht="16.5" x14ac:dyDescent="0.3">
      <c r="A5010" t="s">
        <v>5074</v>
      </c>
      <c r="B5010" s="1">
        <v>45998</v>
      </c>
      <c r="C5010">
        <v>2025</v>
      </c>
      <c r="D5010" t="s">
        <v>1832</v>
      </c>
      <c r="E5010" t="s">
        <v>2264</v>
      </c>
      <c r="F5010" t="s">
        <v>50</v>
      </c>
      <c r="G5010" t="s">
        <v>45</v>
      </c>
      <c r="H5010" t="s">
        <v>55</v>
      </c>
      <c r="I5010" t="s">
        <v>29</v>
      </c>
      <c r="J5010" t="s">
        <v>43</v>
      </c>
      <c r="K5010" s="2">
        <v>6250</v>
      </c>
      <c r="L5010" s="2">
        <v>227500</v>
      </c>
      <c r="M5010">
        <v>180</v>
      </c>
      <c r="N5010" s="3">
        <v>0.42499999999999999</v>
      </c>
      <c r="O5010" t="s">
        <v>17</v>
      </c>
      <c r="P5010" t="s">
        <v>31</v>
      </c>
      <c r="Q5010">
        <v>0</v>
      </c>
      <c r="R5010">
        <v>1</v>
      </c>
      <c r="S5010" s="2">
        <v>0</v>
      </c>
      <c r="T5010" s="4"/>
      <c r="U5010">
        <v>10</v>
      </c>
      <c r="V5010">
        <v>1</v>
      </c>
      <c r="W5010">
        <v>1</v>
      </c>
    </row>
    <row r="5011" spans="1:23" ht="16.5" x14ac:dyDescent="0.3">
      <c r="A5011" t="s">
        <v>5075</v>
      </c>
      <c r="B5011" s="1">
        <v>45999</v>
      </c>
      <c r="C5011">
        <v>2025</v>
      </c>
      <c r="D5011" t="s">
        <v>1832</v>
      </c>
      <c r="E5011" t="s">
        <v>2264</v>
      </c>
      <c r="F5011" t="s">
        <v>37</v>
      </c>
      <c r="G5011" t="s">
        <v>51</v>
      </c>
      <c r="H5011" t="s">
        <v>38</v>
      </c>
      <c r="I5011" t="s">
        <v>39</v>
      </c>
      <c r="J5011" t="s">
        <v>30</v>
      </c>
      <c r="K5011" s="2">
        <v>5100</v>
      </c>
      <c r="L5011" s="2">
        <v>15500</v>
      </c>
      <c r="M5011">
        <v>48</v>
      </c>
      <c r="N5011" s="3">
        <v>0.193</v>
      </c>
      <c r="O5011" t="s">
        <v>17</v>
      </c>
      <c r="P5011" t="s">
        <v>31</v>
      </c>
      <c r="Q5011">
        <v>0</v>
      </c>
      <c r="R5011">
        <v>1</v>
      </c>
      <c r="S5011" s="2">
        <v>0</v>
      </c>
      <c r="T5011" s="4"/>
      <c r="U5011">
        <v>6</v>
      </c>
      <c r="V5011">
        <v>0</v>
      </c>
      <c r="W5011">
        <v>1</v>
      </c>
    </row>
    <row r="5012" spans="1:23" ht="16.5" x14ac:dyDescent="0.3">
      <c r="A5012" t="s">
        <v>5076</v>
      </c>
      <c r="B5012" s="1">
        <v>45999</v>
      </c>
      <c r="C5012">
        <v>2025</v>
      </c>
      <c r="D5012" t="s">
        <v>1832</v>
      </c>
      <c r="E5012" t="s">
        <v>2264</v>
      </c>
      <c r="F5012" t="s">
        <v>41</v>
      </c>
      <c r="G5012" t="s">
        <v>33</v>
      </c>
      <c r="H5012" t="s">
        <v>38</v>
      </c>
      <c r="I5012" t="s">
        <v>29</v>
      </c>
      <c r="J5012" t="s">
        <v>52</v>
      </c>
      <c r="K5012" s="2">
        <v>4950</v>
      </c>
      <c r="L5012" s="2">
        <v>175000</v>
      </c>
      <c r="M5012">
        <v>60</v>
      </c>
      <c r="N5012" s="3">
        <v>0.95399999999999996</v>
      </c>
      <c r="O5012" t="s">
        <v>17</v>
      </c>
      <c r="P5012" t="s">
        <v>53</v>
      </c>
      <c r="Q5012">
        <v>0</v>
      </c>
      <c r="R5012">
        <v>1</v>
      </c>
      <c r="S5012" s="2">
        <v>0</v>
      </c>
      <c r="T5012" s="4"/>
      <c r="U5012">
        <v>5</v>
      </c>
      <c r="V5012">
        <v>1</v>
      </c>
      <c r="W5012">
        <v>1</v>
      </c>
    </row>
    <row r="5013" spans="1:23" ht="16.5" x14ac:dyDescent="0.3">
      <c r="A5013" t="s">
        <v>5077</v>
      </c>
      <c r="B5013" s="1">
        <v>45999</v>
      </c>
      <c r="C5013">
        <v>2025</v>
      </c>
      <c r="D5013" t="s">
        <v>1832</v>
      </c>
      <c r="E5013" t="s">
        <v>2264</v>
      </c>
      <c r="F5013" t="s">
        <v>37</v>
      </c>
      <c r="G5013" t="s">
        <v>33</v>
      </c>
      <c r="H5013" t="s">
        <v>38</v>
      </c>
      <c r="I5013" t="s">
        <v>42</v>
      </c>
      <c r="J5013" t="s">
        <v>35</v>
      </c>
      <c r="K5013" s="2">
        <v>5200</v>
      </c>
      <c r="L5013" s="2">
        <v>8500</v>
      </c>
      <c r="M5013">
        <v>36</v>
      </c>
      <c r="N5013" s="3">
        <v>0.2</v>
      </c>
      <c r="O5013" t="s">
        <v>16</v>
      </c>
      <c r="Q5013">
        <v>1</v>
      </c>
      <c r="R5013">
        <v>0</v>
      </c>
      <c r="S5013" s="2">
        <v>8500</v>
      </c>
      <c r="T5013" s="4">
        <v>0.1278</v>
      </c>
      <c r="U5013">
        <v>1</v>
      </c>
      <c r="V5013">
        <v>1</v>
      </c>
      <c r="W5013">
        <v>1</v>
      </c>
    </row>
    <row r="5014" spans="1:23" ht="16.5" x14ac:dyDescent="0.3">
      <c r="A5014" t="s">
        <v>5078</v>
      </c>
      <c r="B5014" s="1">
        <v>45999</v>
      </c>
      <c r="C5014">
        <v>2025</v>
      </c>
      <c r="D5014" t="s">
        <v>1832</v>
      </c>
      <c r="E5014" t="s">
        <v>2264</v>
      </c>
      <c r="F5014" t="s">
        <v>37</v>
      </c>
      <c r="G5014" t="s">
        <v>27</v>
      </c>
      <c r="H5014" t="s">
        <v>34</v>
      </c>
      <c r="I5014" t="s">
        <v>29</v>
      </c>
      <c r="J5014" t="s">
        <v>43</v>
      </c>
      <c r="K5014" s="2">
        <v>5050</v>
      </c>
      <c r="L5014" s="2">
        <v>21500</v>
      </c>
      <c r="M5014">
        <v>48</v>
      </c>
      <c r="N5014" s="3">
        <v>0.35299999999999998</v>
      </c>
      <c r="O5014" t="s">
        <v>17</v>
      </c>
      <c r="P5014" t="s">
        <v>65</v>
      </c>
      <c r="Q5014">
        <v>0</v>
      </c>
      <c r="R5014">
        <v>1</v>
      </c>
      <c r="S5014" s="2">
        <v>0</v>
      </c>
      <c r="T5014" s="4"/>
      <c r="U5014">
        <v>5</v>
      </c>
      <c r="V5014">
        <v>0</v>
      </c>
      <c r="W5014">
        <v>1</v>
      </c>
    </row>
    <row r="5015" spans="1:23" ht="16.5" x14ac:dyDescent="0.3">
      <c r="A5015" t="s">
        <v>5079</v>
      </c>
      <c r="B5015" s="1">
        <v>45999</v>
      </c>
      <c r="C5015">
        <v>2025</v>
      </c>
      <c r="D5015" t="s">
        <v>1832</v>
      </c>
      <c r="E5015" t="s">
        <v>2264</v>
      </c>
      <c r="F5015" t="s">
        <v>37</v>
      </c>
      <c r="G5015" t="s">
        <v>27</v>
      </c>
      <c r="H5015" t="s">
        <v>34</v>
      </c>
      <c r="I5015" t="s">
        <v>29</v>
      </c>
      <c r="J5015" t="s">
        <v>43</v>
      </c>
      <c r="K5015" s="2">
        <v>5950</v>
      </c>
      <c r="L5015" s="2">
        <v>11000</v>
      </c>
      <c r="M5015">
        <v>36</v>
      </c>
      <c r="N5015" s="3">
        <v>0.27800000000000002</v>
      </c>
      <c r="O5015" t="s">
        <v>17</v>
      </c>
      <c r="P5015" t="s">
        <v>48</v>
      </c>
      <c r="Q5015">
        <v>0</v>
      </c>
      <c r="R5015">
        <v>1</v>
      </c>
      <c r="S5015" s="2">
        <v>0</v>
      </c>
      <c r="T5015" s="4"/>
      <c r="U5015">
        <v>3</v>
      </c>
      <c r="V5015">
        <v>1</v>
      </c>
      <c r="W5015">
        <v>1</v>
      </c>
    </row>
    <row r="5016" spans="1:23" ht="16.5" x14ac:dyDescent="0.3">
      <c r="A5016" t="s">
        <v>5080</v>
      </c>
      <c r="B5016" s="1">
        <v>45999</v>
      </c>
      <c r="C5016">
        <v>2025</v>
      </c>
      <c r="D5016" t="s">
        <v>1832</v>
      </c>
      <c r="E5016" t="s">
        <v>2264</v>
      </c>
      <c r="F5016" t="s">
        <v>26</v>
      </c>
      <c r="G5016" t="s">
        <v>33</v>
      </c>
      <c r="H5016" t="s">
        <v>34</v>
      </c>
      <c r="I5016" t="s">
        <v>39</v>
      </c>
      <c r="J5016" t="s">
        <v>46</v>
      </c>
      <c r="K5016" s="2">
        <v>3500</v>
      </c>
      <c r="L5016" s="2">
        <v>23000</v>
      </c>
      <c r="M5016">
        <v>36</v>
      </c>
      <c r="N5016" s="3">
        <v>0.28199999999999997</v>
      </c>
      <c r="O5016" t="s">
        <v>16</v>
      </c>
      <c r="Q5016">
        <v>1</v>
      </c>
      <c r="R5016">
        <v>0</v>
      </c>
      <c r="S5016" s="2">
        <v>18500</v>
      </c>
      <c r="T5016" s="4">
        <v>6.4000000000000001E-2</v>
      </c>
      <c r="U5016">
        <v>1</v>
      </c>
      <c r="V5016">
        <v>1</v>
      </c>
      <c r="W5016">
        <v>1</v>
      </c>
    </row>
    <row r="5017" spans="1:23" ht="16.5" x14ac:dyDescent="0.3">
      <c r="A5017" t="s">
        <v>5081</v>
      </c>
      <c r="B5017" s="1">
        <v>46000</v>
      </c>
      <c r="C5017">
        <v>2025</v>
      </c>
      <c r="D5017" t="s">
        <v>1832</v>
      </c>
      <c r="E5017" t="s">
        <v>2264</v>
      </c>
      <c r="F5017" t="s">
        <v>50</v>
      </c>
      <c r="G5017" t="s">
        <v>51</v>
      </c>
      <c r="H5017" t="s">
        <v>55</v>
      </c>
      <c r="I5017" t="s">
        <v>29</v>
      </c>
      <c r="J5017" t="s">
        <v>52</v>
      </c>
      <c r="K5017" s="2">
        <v>11800</v>
      </c>
      <c r="L5017" s="2">
        <v>185000</v>
      </c>
      <c r="M5017">
        <v>300</v>
      </c>
      <c r="N5017" s="3">
        <v>0.23400000000000001</v>
      </c>
      <c r="O5017" t="s">
        <v>16</v>
      </c>
      <c r="Q5017">
        <v>1</v>
      </c>
      <c r="R5017">
        <v>0</v>
      </c>
      <c r="S5017" s="2">
        <v>185000</v>
      </c>
      <c r="T5017" s="4">
        <v>5.1299999999999998E-2</v>
      </c>
      <c r="U5017">
        <v>17</v>
      </c>
      <c r="V5017">
        <v>0</v>
      </c>
      <c r="W5017">
        <v>1</v>
      </c>
    </row>
    <row r="5018" spans="1:23" ht="16.5" x14ac:dyDescent="0.3">
      <c r="A5018" t="s">
        <v>5082</v>
      </c>
      <c r="B5018" s="1">
        <v>46000</v>
      </c>
      <c r="C5018">
        <v>2025</v>
      </c>
      <c r="D5018" t="s">
        <v>1832</v>
      </c>
      <c r="E5018" t="s">
        <v>2264</v>
      </c>
      <c r="F5018" t="s">
        <v>26</v>
      </c>
      <c r="G5018" t="s">
        <v>45</v>
      </c>
      <c r="H5018" t="s">
        <v>38</v>
      </c>
      <c r="I5018" t="s">
        <v>39</v>
      </c>
      <c r="J5018" t="s">
        <v>30</v>
      </c>
      <c r="K5018" s="2">
        <v>2800</v>
      </c>
      <c r="L5018" s="2">
        <v>19000</v>
      </c>
      <c r="M5018">
        <v>36</v>
      </c>
      <c r="N5018" s="3">
        <v>0.30099999999999999</v>
      </c>
      <c r="O5018" t="s">
        <v>16</v>
      </c>
      <c r="Q5018">
        <v>1</v>
      </c>
      <c r="R5018">
        <v>0</v>
      </c>
      <c r="S5018" s="2">
        <v>19000</v>
      </c>
      <c r="T5018" s="4">
        <v>9.6000000000000002E-2</v>
      </c>
      <c r="U5018">
        <v>2</v>
      </c>
      <c r="V5018">
        <v>1</v>
      </c>
      <c r="W5018">
        <v>1</v>
      </c>
    </row>
    <row r="5019" spans="1:23" ht="16.5" x14ac:dyDescent="0.3">
      <c r="A5019" t="s">
        <v>5083</v>
      </c>
      <c r="B5019" s="1">
        <v>46000</v>
      </c>
      <c r="C5019">
        <v>2025</v>
      </c>
      <c r="D5019" t="s">
        <v>1832</v>
      </c>
      <c r="E5019" t="s">
        <v>2264</v>
      </c>
      <c r="F5019" t="s">
        <v>37</v>
      </c>
      <c r="G5019" t="s">
        <v>33</v>
      </c>
      <c r="H5019" t="s">
        <v>34</v>
      </c>
      <c r="I5019" t="s">
        <v>29</v>
      </c>
      <c r="J5019" t="s">
        <v>52</v>
      </c>
      <c r="K5019" s="2">
        <v>2200</v>
      </c>
      <c r="L5019" s="2">
        <v>12000</v>
      </c>
      <c r="M5019">
        <v>24</v>
      </c>
      <c r="N5019" s="3">
        <v>0.498</v>
      </c>
      <c r="O5019" t="s">
        <v>16</v>
      </c>
      <c r="Q5019">
        <v>1</v>
      </c>
      <c r="R5019">
        <v>0</v>
      </c>
      <c r="S5019" s="2">
        <v>12000</v>
      </c>
      <c r="T5019" s="4">
        <v>0.1133</v>
      </c>
      <c r="U5019">
        <v>2</v>
      </c>
      <c r="V5019">
        <v>1</v>
      </c>
      <c r="W5019">
        <v>1</v>
      </c>
    </row>
    <row r="5020" spans="1:23" ht="16.5" x14ac:dyDescent="0.3">
      <c r="A5020" t="s">
        <v>5084</v>
      </c>
      <c r="B5020" s="1">
        <v>46000</v>
      </c>
      <c r="C5020">
        <v>2025</v>
      </c>
      <c r="D5020" t="s">
        <v>1832</v>
      </c>
      <c r="E5020" t="s">
        <v>2264</v>
      </c>
      <c r="F5020" t="s">
        <v>41</v>
      </c>
      <c r="G5020" t="s">
        <v>51</v>
      </c>
      <c r="H5020" t="s">
        <v>34</v>
      </c>
      <c r="I5020" t="s">
        <v>29</v>
      </c>
      <c r="J5020" t="s">
        <v>52</v>
      </c>
      <c r="K5020" s="2">
        <v>7150</v>
      </c>
      <c r="L5020" s="2">
        <v>50500</v>
      </c>
      <c r="M5020">
        <v>12</v>
      </c>
      <c r="N5020" s="3">
        <v>0.85799999999999998</v>
      </c>
      <c r="O5020" t="s">
        <v>16</v>
      </c>
      <c r="Q5020">
        <v>1</v>
      </c>
      <c r="R5020">
        <v>0</v>
      </c>
      <c r="S5020" s="2">
        <v>50500</v>
      </c>
      <c r="T5020" s="4">
        <v>9.9599999999999994E-2</v>
      </c>
      <c r="U5020">
        <v>11</v>
      </c>
      <c r="V5020">
        <v>0</v>
      </c>
      <c r="W5020">
        <v>1</v>
      </c>
    </row>
    <row r="5021" spans="1:23" ht="16.5" x14ac:dyDescent="0.3">
      <c r="A5021" t="s">
        <v>5085</v>
      </c>
      <c r="B5021" s="1">
        <v>46000</v>
      </c>
      <c r="C5021">
        <v>2025</v>
      </c>
      <c r="D5021" t="s">
        <v>1832</v>
      </c>
      <c r="E5021" t="s">
        <v>2264</v>
      </c>
      <c r="F5021" t="s">
        <v>37</v>
      </c>
      <c r="G5021" t="s">
        <v>51</v>
      </c>
      <c r="H5021" t="s">
        <v>55</v>
      </c>
      <c r="I5021" t="s">
        <v>39</v>
      </c>
      <c r="J5021" t="s">
        <v>35</v>
      </c>
      <c r="K5021" s="2">
        <v>3900</v>
      </c>
      <c r="L5021" s="2">
        <v>14500</v>
      </c>
      <c r="M5021">
        <v>60</v>
      </c>
      <c r="N5021" s="3">
        <v>0.14399999999999999</v>
      </c>
      <c r="O5021" t="s">
        <v>17</v>
      </c>
      <c r="P5021" t="s">
        <v>31</v>
      </c>
      <c r="Q5021">
        <v>0</v>
      </c>
      <c r="R5021">
        <v>1</v>
      </c>
      <c r="S5021" s="2">
        <v>0</v>
      </c>
      <c r="T5021" s="4"/>
      <c r="U5021">
        <v>4</v>
      </c>
      <c r="V5021">
        <v>0</v>
      </c>
      <c r="W5021">
        <v>1</v>
      </c>
    </row>
    <row r="5022" spans="1:23" ht="16.5" x14ac:dyDescent="0.3">
      <c r="A5022" t="s">
        <v>5086</v>
      </c>
      <c r="B5022" s="1">
        <v>46001</v>
      </c>
      <c r="C5022">
        <v>2025</v>
      </c>
      <c r="D5022" t="s">
        <v>1832</v>
      </c>
      <c r="E5022" t="s">
        <v>2264</v>
      </c>
      <c r="F5022" t="s">
        <v>26</v>
      </c>
      <c r="G5022" t="s">
        <v>33</v>
      </c>
      <c r="H5022" t="s">
        <v>38</v>
      </c>
      <c r="I5022" t="s">
        <v>29</v>
      </c>
      <c r="J5022" t="s">
        <v>35</v>
      </c>
      <c r="K5022" s="2">
        <v>3500</v>
      </c>
      <c r="L5022" s="2">
        <v>33500</v>
      </c>
      <c r="M5022">
        <v>60</v>
      </c>
      <c r="N5022" s="3">
        <v>0.43</v>
      </c>
      <c r="O5022" t="s">
        <v>17</v>
      </c>
      <c r="P5022" t="s">
        <v>48</v>
      </c>
      <c r="Q5022">
        <v>0</v>
      </c>
      <c r="R5022">
        <v>1</v>
      </c>
      <c r="S5022" s="2">
        <v>0</v>
      </c>
      <c r="T5022" s="4"/>
      <c r="U5022">
        <v>2</v>
      </c>
      <c r="V5022">
        <v>1</v>
      </c>
      <c r="W5022">
        <v>1</v>
      </c>
    </row>
    <row r="5023" spans="1:23" ht="16.5" x14ac:dyDescent="0.3">
      <c r="A5023" t="s">
        <v>5087</v>
      </c>
      <c r="B5023" s="1">
        <v>46001</v>
      </c>
      <c r="C5023">
        <v>2025</v>
      </c>
      <c r="D5023" t="s">
        <v>1832</v>
      </c>
      <c r="E5023" t="s">
        <v>2264</v>
      </c>
      <c r="F5023" t="s">
        <v>37</v>
      </c>
      <c r="G5023" t="s">
        <v>51</v>
      </c>
      <c r="H5023" t="s">
        <v>55</v>
      </c>
      <c r="I5023" t="s">
        <v>29</v>
      </c>
      <c r="J5023" t="s">
        <v>52</v>
      </c>
      <c r="K5023" s="2">
        <v>6050</v>
      </c>
      <c r="L5023" s="2">
        <v>13500</v>
      </c>
      <c r="M5023">
        <v>60</v>
      </c>
      <c r="N5023" s="3">
        <v>0.10299999999999999</v>
      </c>
      <c r="O5023" t="s">
        <v>16</v>
      </c>
      <c r="Q5023">
        <v>1</v>
      </c>
      <c r="R5023">
        <v>0</v>
      </c>
      <c r="S5023" s="2">
        <v>11000</v>
      </c>
      <c r="T5023" s="4">
        <v>0.11799999999999999</v>
      </c>
      <c r="U5023">
        <v>4</v>
      </c>
      <c r="V5023">
        <v>0</v>
      </c>
      <c r="W5023">
        <v>1</v>
      </c>
    </row>
    <row r="5024" spans="1:23" ht="16.5" x14ac:dyDescent="0.3">
      <c r="A5024" t="s">
        <v>5088</v>
      </c>
      <c r="B5024" s="1">
        <v>46001</v>
      </c>
      <c r="C5024">
        <v>2025</v>
      </c>
      <c r="D5024" t="s">
        <v>1832</v>
      </c>
      <c r="E5024" t="s">
        <v>2264</v>
      </c>
      <c r="F5024" t="s">
        <v>37</v>
      </c>
      <c r="G5024" t="s">
        <v>45</v>
      </c>
      <c r="H5024" t="s">
        <v>55</v>
      </c>
      <c r="I5024" t="s">
        <v>29</v>
      </c>
      <c r="J5024" t="s">
        <v>43</v>
      </c>
      <c r="K5024" s="2">
        <v>8050</v>
      </c>
      <c r="L5024" s="2">
        <v>8500</v>
      </c>
      <c r="M5024">
        <v>12</v>
      </c>
      <c r="N5024" s="3">
        <v>0.156</v>
      </c>
      <c r="O5024" t="s">
        <v>17</v>
      </c>
      <c r="P5024" t="s">
        <v>65</v>
      </c>
      <c r="Q5024">
        <v>0</v>
      </c>
      <c r="R5024">
        <v>1</v>
      </c>
      <c r="S5024" s="2">
        <v>0</v>
      </c>
      <c r="T5024" s="4"/>
      <c r="U5024">
        <v>2</v>
      </c>
      <c r="V5024">
        <v>1</v>
      </c>
      <c r="W5024">
        <v>1</v>
      </c>
    </row>
    <row r="5025" spans="1:23" ht="16.5" x14ac:dyDescent="0.3">
      <c r="A5025" t="s">
        <v>5089</v>
      </c>
      <c r="B5025" s="1">
        <v>46001</v>
      </c>
      <c r="C5025">
        <v>2025</v>
      </c>
      <c r="D5025" t="s">
        <v>1832</v>
      </c>
      <c r="E5025" t="s">
        <v>2264</v>
      </c>
      <c r="F5025" t="s">
        <v>37</v>
      </c>
      <c r="G5025" t="s">
        <v>33</v>
      </c>
      <c r="H5025" t="s">
        <v>55</v>
      </c>
      <c r="I5025" t="s">
        <v>42</v>
      </c>
      <c r="J5025" t="s">
        <v>35</v>
      </c>
      <c r="K5025" s="2">
        <v>4350</v>
      </c>
      <c r="L5025" s="2">
        <v>8500</v>
      </c>
      <c r="M5025">
        <v>36</v>
      </c>
      <c r="N5025" s="3">
        <v>0.16600000000000001</v>
      </c>
      <c r="O5025" t="s">
        <v>17</v>
      </c>
      <c r="P5025" t="s">
        <v>31</v>
      </c>
      <c r="Q5025">
        <v>0</v>
      </c>
      <c r="R5025">
        <v>1</v>
      </c>
      <c r="S5025" s="2">
        <v>0</v>
      </c>
      <c r="T5025" s="4"/>
      <c r="U5025">
        <v>1</v>
      </c>
      <c r="V5025">
        <v>1</v>
      </c>
      <c r="W5025">
        <v>1</v>
      </c>
    </row>
    <row r="5026" spans="1:23" ht="16.5" x14ac:dyDescent="0.3">
      <c r="A5026" t="s">
        <v>5090</v>
      </c>
      <c r="B5026" s="1">
        <v>46001</v>
      </c>
      <c r="C5026">
        <v>2025</v>
      </c>
      <c r="D5026" t="s">
        <v>1832</v>
      </c>
      <c r="E5026" t="s">
        <v>2264</v>
      </c>
      <c r="F5026" t="s">
        <v>26</v>
      </c>
      <c r="G5026" t="s">
        <v>51</v>
      </c>
      <c r="H5026" t="s">
        <v>64</v>
      </c>
      <c r="I5026" t="s">
        <v>29</v>
      </c>
      <c r="J5026" t="s">
        <v>52</v>
      </c>
      <c r="K5026" s="2">
        <v>4150</v>
      </c>
      <c r="L5026" s="2">
        <v>9000</v>
      </c>
      <c r="M5026">
        <v>36</v>
      </c>
      <c r="N5026" s="3">
        <v>0.13400000000000001</v>
      </c>
      <c r="O5026" t="s">
        <v>16</v>
      </c>
      <c r="Q5026">
        <v>1</v>
      </c>
      <c r="R5026">
        <v>0</v>
      </c>
      <c r="S5026" s="2">
        <v>9000</v>
      </c>
      <c r="T5026" s="4">
        <v>7.51E-2</v>
      </c>
      <c r="U5026">
        <v>5</v>
      </c>
      <c r="V5026">
        <v>0</v>
      </c>
      <c r="W5026">
        <v>1</v>
      </c>
    </row>
    <row r="5027" spans="1:23" ht="16.5" x14ac:dyDescent="0.3">
      <c r="A5027" t="s">
        <v>5091</v>
      </c>
      <c r="B5027" s="1">
        <v>46001</v>
      </c>
      <c r="C5027">
        <v>2025</v>
      </c>
      <c r="D5027" t="s">
        <v>1832</v>
      </c>
      <c r="E5027" t="s">
        <v>2264</v>
      </c>
      <c r="F5027" t="s">
        <v>50</v>
      </c>
      <c r="G5027" t="s">
        <v>45</v>
      </c>
      <c r="H5027" t="s">
        <v>28</v>
      </c>
      <c r="I5027" t="s">
        <v>39</v>
      </c>
      <c r="J5027" t="s">
        <v>43</v>
      </c>
      <c r="K5027" s="2">
        <v>5200</v>
      </c>
      <c r="L5027" s="2">
        <v>138500</v>
      </c>
      <c r="M5027">
        <v>240</v>
      </c>
      <c r="N5027" s="3">
        <v>0.28799999999999998</v>
      </c>
      <c r="O5027" t="s">
        <v>17</v>
      </c>
      <c r="P5027" t="s">
        <v>31</v>
      </c>
      <c r="Q5027">
        <v>0</v>
      </c>
      <c r="R5027">
        <v>1</v>
      </c>
      <c r="S5027" s="2">
        <v>0</v>
      </c>
      <c r="T5027" s="4"/>
      <c r="U5027">
        <v>6</v>
      </c>
      <c r="V5027">
        <v>1</v>
      </c>
      <c r="W5027">
        <v>1</v>
      </c>
    </row>
    <row r="5028" spans="1:23" ht="16.5" x14ac:dyDescent="0.3">
      <c r="A5028" t="s">
        <v>5092</v>
      </c>
      <c r="B5028" s="1">
        <v>46001</v>
      </c>
      <c r="C5028">
        <v>2025</v>
      </c>
      <c r="D5028" t="s">
        <v>1832</v>
      </c>
      <c r="E5028" t="s">
        <v>2264</v>
      </c>
      <c r="F5028" t="s">
        <v>37</v>
      </c>
      <c r="G5028" t="s">
        <v>33</v>
      </c>
      <c r="H5028" t="s">
        <v>38</v>
      </c>
      <c r="I5028" t="s">
        <v>42</v>
      </c>
      <c r="J5028" t="s">
        <v>35</v>
      </c>
      <c r="K5028" s="2">
        <v>7950</v>
      </c>
      <c r="L5028" s="2">
        <v>23000</v>
      </c>
      <c r="M5028">
        <v>24</v>
      </c>
      <c r="N5028" s="3">
        <v>0.30599999999999999</v>
      </c>
      <c r="O5028" t="s">
        <v>16</v>
      </c>
      <c r="Q5028">
        <v>1</v>
      </c>
      <c r="R5028">
        <v>0</v>
      </c>
      <c r="S5028" s="2">
        <v>23000</v>
      </c>
      <c r="T5028" s="4">
        <v>0.12470000000000001</v>
      </c>
      <c r="U5028">
        <v>1</v>
      </c>
      <c r="V5028">
        <v>1</v>
      </c>
      <c r="W5028">
        <v>1</v>
      </c>
    </row>
    <row r="5029" spans="1:23" ht="16.5" x14ac:dyDescent="0.3">
      <c r="A5029" t="s">
        <v>5093</v>
      </c>
      <c r="B5029" s="1">
        <v>46001</v>
      </c>
      <c r="C5029">
        <v>2025</v>
      </c>
      <c r="D5029" t="s">
        <v>1832</v>
      </c>
      <c r="E5029" t="s">
        <v>2264</v>
      </c>
      <c r="F5029" t="s">
        <v>37</v>
      </c>
      <c r="G5029" t="s">
        <v>33</v>
      </c>
      <c r="H5029" t="s">
        <v>55</v>
      </c>
      <c r="I5029" t="s">
        <v>29</v>
      </c>
      <c r="J5029" t="s">
        <v>35</v>
      </c>
      <c r="K5029" s="2">
        <v>3750</v>
      </c>
      <c r="L5029" s="2">
        <v>15000</v>
      </c>
      <c r="M5029">
        <v>12</v>
      </c>
      <c r="N5029" s="3">
        <v>0.58499999999999996</v>
      </c>
      <c r="O5029" t="s">
        <v>17</v>
      </c>
      <c r="P5029" t="s">
        <v>53</v>
      </c>
      <c r="Q5029">
        <v>0</v>
      </c>
      <c r="R5029">
        <v>1</v>
      </c>
      <c r="S5029" s="2">
        <v>0</v>
      </c>
      <c r="T5029" s="4"/>
      <c r="U5029">
        <v>1</v>
      </c>
      <c r="V5029">
        <v>1</v>
      </c>
      <c r="W5029">
        <v>1</v>
      </c>
    </row>
    <row r="5030" spans="1:23" ht="16.5" x14ac:dyDescent="0.3">
      <c r="A5030" t="s">
        <v>5094</v>
      </c>
      <c r="B5030" s="1">
        <v>46001</v>
      </c>
      <c r="C5030">
        <v>2025</v>
      </c>
      <c r="D5030" t="s">
        <v>1832</v>
      </c>
      <c r="E5030" t="s">
        <v>2264</v>
      </c>
      <c r="F5030" t="s">
        <v>26</v>
      </c>
      <c r="G5030" t="s">
        <v>33</v>
      </c>
      <c r="H5030" t="s">
        <v>55</v>
      </c>
      <c r="I5030" t="s">
        <v>42</v>
      </c>
      <c r="J5030" t="s">
        <v>52</v>
      </c>
      <c r="K5030" s="2">
        <v>2450</v>
      </c>
      <c r="L5030" s="2">
        <v>41000</v>
      </c>
      <c r="M5030">
        <v>60</v>
      </c>
      <c r="N5030" s="3">
        <v>0.57499999999999996</v>
      </c>
      <c r="O5030" t="s">
        <v>16</v>
      </c>
      <c r="Q5030">
        <v>1</v>
      </c>
      <c r="R5030">
        <v>0</v>
      </c>
      <c r="S5030" s="2">
        <v>37000</v>
      </c>
      <c r="T5030" s="4">
        <v>6.7199999999999996E-2</v>
      </c>
      <c r="U5030">
        <v>2</v>
      </c>
      <c r="V5030">
        <v>1</v>
      </c>
      <c r="W5030">
        <v>1</v>
      </c>
    </row>
    <row r="5031" spans="1:23" ht="16.5" x14ac:dyDescent="0.3">
      <c r="A5031" t="s">
        <v>5095</v>
      </c>
      <c r="B5031" s="1">
        <v>46001</v>
      </c>
      <c r="C5031">
        <v>2025</v>
      </c>
      <c r="D5031" t="s">
        <v>1832</v>
      </c>
      <c r="E5031" t="s">
        <v>2264</v>
      </c>
      <c r="F5031" t="s">
        <v>50</v>
      </c>
      <c r="G5031" t="s">
        <v>33</v>
      </c>
      <c r="H5031" t="s">
        <v>38</v>
      </c>
      <c r="I5031" t="s">
        <v>29</v>
      </c>
      <c r="J5031" t="s">
        <v>30</v>
      </c>
      <c r="K5031" s="2">
        <v>1850</v>
      </c>
      <c r="L5031" s="2">
        <v>300000</v>
      </c>
      <c r="M5031">
        <v>240</v>
      </c>
      <c r="N5031" s="3">
        <v>1.131</v>
      </c>
      <c r="O5031" t="s">
        <v>17</v>
      </c>
      <c r="P5031" t="s">
        <v>31</v>
      </c>
      <c r="Q5031">
        <v>0</v>
      </c>
      <c r="R5031">
        <v>1</v>
      </c>
      <c r="S5031" s="2">
        <v>0</v>
      </c>
      <c r="T5031" s="4"/>
      <c r="U5031">
        <v>8</v>
      </c>
      <c r="V5031">
        <v>1</v>
      </c>
      <c r="W5031">
        <v>1</v>
      </c>
    </row>
    <row r="5032" spans="1:23" ht="16.5" x14ac:dyDescent="0.3">
      <c r="A5032" t="s">
        <v>5096</v>
      </c>
      <c r="B5032" s="1">
        <v>46001</v>
      </c>
      <c r="C5032">
        <v>2025</v>
      </c>
      <c r="D5032" t="s">
        <v>1832</v>
      </c>
      <c r="E5032" t="s">
        <v>2264</v>
      </c>
      <c r="F5032" t="s">
        <v>37</v>
      </c>
      <c r="G5032" t="s">
        <v>45</v>
      </c>
      <c r="H5032" t="s">
        <v>38</v>
      </c>
      <c r="I5032" t="s">
        <v>39</v>
      </c>
      <c r="J5032" t="s">
        <v>43</v>
      </c>
      <c r="K5032" s="2">
        <v>7150</v>
      </c>
      <c r="L5032" s="2">
        <v>21000</v>
      </c>
      <c r="M5032">
        <v>36</v>
      </c>
      <c r="N5032" s="3">
        <v>0.218</v>
      </c>
      <c r="O5032" t="s">
        <v>17</v>
      </c>
      <c r="P5032" t="s">
        <v>31</v>
      </c>
      <c r="Q5032">
        <v>0</v>
      </c>
      <c r="R5032">
        <v>1</v>
      </c>
      <c r="S5032" s="2">
        <v>0</v>
      </c>
      <c r="T5032" s="4"/>
      <c r="U5032">
        <v>2</v>
      </c>
      <c r="V5032">
        <v>1</v>
      </c>
      <c r="W5032">
        <v>1</v>
      </c>
    </row>
    <row r="5033" spans="1:23" ht="16.5" x14ac:dyDescent="0.3">
      <c r="A5033" t="s">
        <v>5097</v>
      </c>
      <c r="B5033" s="1">
        <v>46001</v>
      </c>
      <c r="C5033">
        <v>2025</v>
      </c>
      <c r="D5033" t="s">
        <v>1832</v>
      </c>
      <c r="E5033" t="s">
        <v>2264</v>
      </c>
      <c r="F5033" t="s">
        <v>37</v>
      </c>
      <c r="G5033" t="s">
        <v>27</v>
      </c>
      <c r="H5033" t="s">
        <v>55</v>
      </c>
      <c r="I5033" t="s">
        <v>39</v>
      </c>
      <c r="J5033" t="s">
        <v>52</v>
      </c>
      <c r="K5033" s="2">
        <v>3250</v>
      </c>
      <c r="L5033" s="2">
        <v>23000</v>
      </c>
      <c r="M5033">
        <v>48</v>
      </c>
      <c r="N5033" s="3">
        <v>0.42</v>
      </c>
      <c r="O5033" t="s">
        <v>16</v>
      </c>
      <c r="Q5033">
        <v>1</v>
      </c>
      <c r="R5033">
        <v>0</v>
      </c>
      <c r="S5033" s="2">
        <v>23000</v>
      </c>
      <c r="T5033" s="4">
        <v>0.1166</v>
      </c>
      <c r="U5033">
        <v>3</v>
      </c>
      <c r="V5033">
        <v>1</v>
      </c>
      <c r="W5033">
        <v>1</v>
      </c>
    </row>
    <row r="5034" spans="1:23" ht="16.5" x14ac:dyDescent="0.3">
      <c r="A5034" t="s">
        <v>5098</v>
      </c>
      <c r="B5034" s="1">
        <v>46001</v>
      </c>
      <c r="C5034">
        <v>2025</v>
      </c>
      <c r="D5034" t="s">
        <v>1832</v>
      </c>
      <c r="E5034" t="s">
        <v>2264</v>
      </c>
      <c r="F5034" t="s">
        <v>41</v>
      </c>
      <c r="G5034" t="s">
        <v>51</v>
      </c>
      <c r="H5034" t="s">
        <v>55</v>
      </c>
      <c r="I5034" t="s">
        <v>39</v>
      </c>
      <c r="J5034" t="s">
        <v>52</v>
      </c>
      <c r="K5034" s="2">
        <v>7400</v>
      </c>
      <c r="L5034" s="2">
        <v>53500</v>
      </c>
      <c r="M5034">
        <v>12</v>
      </c>
      <c r="N5034" s="3">
        <v>0.79100000000000004</v>
      </c>
      <c r="O5034" t="s">
        <v>16</v>
      </c>
      <c r="Q5034">
        <v>1</v>
      </c>
      <c r="R5034">
        <v>0</v>
      </c>
      <c r="S5034" s="2">
        <v>48000</v>
      </c>
      <c r="T5034" s="4">
        <v>9.7100000000000006E-2</v>
      </c>
      <c r="U5034">
        <v>14</v>
      </c>
      <c r="V5034">
        <v>0</v>
      </c>
      <c r="W5034">
        <v>1</v>
      </c>
    </row>
    <row r="5035" spans="1:23" ht="16.5" x14ac:dyDescent="0.3">
      <c r="A5035" t="s">
        <v>5099</v>
      </c>
      <c r="B5035" s="1">
        <v>46001</v>
      </c>
      <c r="C5035">
        <v>2025</v>
      </c>
      <c r="D5035" t="s">
        <v>1832</v>
      </c>
      <c r="E5035" t="s">
        <v>2264</v>
      </c>
      <c r="F5035" t="s">
        <v>50</v>
      </c>
      <c r="G5035" t="s">
        <v>51</v>
      </c>
      <c r="H5035" t="s">
        <v>38</v>
      </c>
      <c r="I5035" t="s">
        <v>29</v>
      </c>
      <c r="J5035" t="s">
        <v>43</v>
      </c>
      <c r="K5035" s="2">
        <v>2200</v>
      </c>
      <c r="L5035" s="2">
        <v>109500</v>
      </c>
      <c r="M5035">
        <v>180</v>
      </c>
      <c r="N5035" s="3">
        <v>0.54500000000000004</v>
      </c>
      <c r="O5035" t="s">
        <v>17</v>
      </c>
      <c r="P5035" t="s">
        <v>60</v>
      </c>
      <c r="Q5035">
        <v>0</v>
      </c>
      <c r="R5035">
        <v>1</v>
      </c>
      <c r="S5035" s="2">
        <v>0</v>
      </c>
      <c r="T5035" s="4"/>
      <c r="U5035">
        <v>35</v>
      </c>
      <c r="V5035">
        <v>0</v>
      </c>
      <c r="W5035">
        <v>1</v>
      </c>
    </row>
    <row r="5036" spans="1:23" ht="16.5" x14ac:dyDescent="0.3">
      <c r="A5036" t="s">
        <v>5100</v>
      </c>
      <c r="B5036" s="1">
        <v>46001</v>
      </c>
      <c r="C5036">
        <v>2025</v>
      </c>
      <c r="D5036" t="s">
        <v>1832</v>
      </c>
      <c r="E5036" t="s">
        <v>2264</v>
      </c>
      <c r="F5036" t="s">
        <v>26</v>
      </c>
      <c r="G5036" t="s">
        <v>33</v>
      </c>
      <c r="H5036" t="s">
        <v>38</v>
      </c>
      <c r="I5036" t="s">
        <v>29</v>
      </c>
      <c r="J5036" t="s">
        <v>35</v>
      </c>
      <c r="K5036" s="2">
        <v>9900</v>
      </c>
      <c r="L5036" s="2">
        <v>50500</v>
      </c>
      <c r="M5036">
        <v>48</v>
      </c>
      <c r="N5036" s="3">
        <v>0.17299999999999999</v>
      </c>
      <c r="O5036" t="s">
        <v>16</v>
      </c>
      <c r="Q5036">
        <v>1</v>
      </c>
      <c r="R5036">
        <v>0</v>
      </c>
      <c r="S5036" s="2">
        <v>50500</v>
      </c>
      <c r="T5036" s="4">
        <v>8.6800000000000002E-2</v>
      </c>
      <c r="U5036">
        <v>2</v>
      </c>
      <c r="V5036">
        <v>1</v>
      </c>
      <c r="W5036">
        <v>1</v>
      </c>
    </row>
    <row r="5037" spans="1:23" ht="16.5" x14ac:dyDescent="0.3">
      <c r="A5037" t="s">
        <v>5101</v>
      </c>
      <c r="B5037" s="1">
        <v>46001</v>
      </c>
      <c r="C5037">
        <v>2025</v>
      </c>
      <c r="D5037" t="s">
        <v>1832</v>
      </c>
      <c r="E5037" t="s">
        <v>2264</v>
      </c>
      <c r="F5037" t="s">
        <v>37</v>
      </c>
      <c r="G5037" t="s">
        <v>45</v>
      </c>
      <c r="H5037" t="s">
        <v>34</v>
      </c>
      <c r="I5037" t="s">
        <v>29</v>
      </c>
      <c r="J5037" t="s">
        <v>30</v>
      </c>
      <c r="K5037" s="2">
        <v>2800</v>
      </c>
      <c r="L5037" s="2">
        <v>15500</v>
      </c>
      <c r="M5037">
        <v>48</v>
      </c>
      <c r="N5037" s="3">
        <v>0.29899999999999999</v>
      </c>
      <c r="O5037" t="s">
        <v>16</v>
      </c>
      <c r="Q5037">
        <v>1</v>
      </c>
      <c r="R5037">
        <v>0</v>
      </c>
      <c r="S5037" s="2">
        <v>15500</v>
      </c>
      <c r="T5037" s="4">
        <v>0.14000000000000001</v>
      </c>
      <c r="U5037">
        <v>1</v>
      </c>
      <c r="V5037">
        <v>1</v>
      </c>
      <c r="W5037">
        <v>1</v>
      </c>
    </row>
    <row r="5038" spans="1:23" ht="16.5" x14ac:dyDescent="0.3">
      <c r="A5038" t="s">
        <v>5102</v>
      </c>
      <c r="B5038" s="1">
        <v>46001</v>
      </c>
      <c r="C5038">
        <v>2025</v>
      </c>
      <c r="D5038" t="s">
        <v>1832</v>
      </c>
      <c r="E5038" t="s">
        <v>2264</v>
      </c>
      <c r="F5038" t="s">
        <v>50</v>
      </c>
      <c r="G5038" t="s">
        <v>45</v>
      </c>
      <c r="H5038" t="s">
        <v>55</v>
      </c>
      <c r="I5038" t="s">
        <v>39</v>
      </c>
      <c r="J5038" t="s">
        <v>35</v>
      </c>
      <c r="K5038" s="2">
        <v>4150</v>
      </c>
      <c r="L5038" s="2">
        <v>229500</v>
      </c>
      <c r="M5038">
        <v>180</v>
      </c>
      <c r="N5038" s="3">
        <v>0.64</v>
      </c>
      <c r="O5038" t="s">
        <v>17</v>
      </c>
      <c r="P5038" t="s">
        <v>53</v>
      </c>
      <c r="Q5038">
        <v>0</v>
      </c>
      <c r="R5038">
        <v>1</v>
      </c>
      <c r="S5038" s="2">
        <v>0</v>
      </c>
      <c r="T5038" s="4"/>
      <c r="U5038">
        <v>10</v>
      </c>
      <c r="V5038">
        <v>1</v>
      </c>
      <c r="W5038">
        <v>1</v>
      </c>
    </row>
    <row r="5039" spans="1:23" ht="16.5" x14ac:dyDescent="0.3">
      <c r="A5039" t="s">
        <v>5103</v>
      </c>
      <c r="B5039" s="1">
        <v>46001</v>
      </c>
      <c r="C5039">
        <v>2025</v>
      </c>
      <c r="D5039" t="s">
        <v>1832</v>
      </c>
      <c r="E5039" t="s">
        <v>2264</v>
      </c>
      <c r="F5039" t="s">
        <v>41</v>
      </c>
      <c r="G5039" t="s">
        <v>33</v>
      </c>
      <c r="H5039" t="s">
        <v>38</v>
      </c>
      <c r="I5039" t="s">
        <v>39</v>
      </c>
      <c r="J5039" t="s">
        <v>52</v>
      </c>
      <c r="K5039" s="2">
        <v>7100</v>
      </c>
      <c r="L5039" s="2">
        <v>58500</v>
      </c>
      <c r="M5039">
        <v>12</v>
      </c>
      <c r="N5039" s="3">
        <v>0.85499999999999998</v>
      </c>
      <c r="O5039" t="s">
        <v>16</v>
      </c>
      <c r="Q5039">
        <v>1</v>
      </c>
      <c r="R5039">
        <v>0</v>
      </c>
      <c r="S5039" s="2">
        <v>52500</v>
      </c>
      <c r="T5039" s="4">
        <v>9.11E-2</v>
      </c>
      <c r="U5039">
        <v>3</v>
      </c>
      <c r="V5039">
        <v>1</v>
      </c>
      <c r="W5039">
        <v>1</v>
      </c>
    </row>
    <row r="5040" spans="1:23" ht="16.5" x14ac:dyDescent="0.3">
      <c r="A5040" t="s">
        <v>5104</v>
      </c>
      <c r="B5040" s="1">
        <v>46002</v>
      </c>
      <c r="C5040">
        <v>2025</v>
      </c>
      <c r="D5040" t="s">
        <v>1832</v>
      </c>
      <c r="E5040" t="s">
        <v>2264</v>
      </c>
      <c r="F5040" t="s">
        <v>37</v>
      </c>
      <c r="G5040" t="s">
        <v>51</v>
      </c>
      <c r="H5040" t="s">
        <v>55</v>
      </c>
      <c r="I5040" t="s">
        <v>39</v>
      </c>
      <c r="J5040" t="s">
        <v>35</v>
      </c>
      <c r="K5040" s="2">
        <v>6400</v>
      </c>
      <c r="L5040" s="2">
        <v>4500</v>
      </c>
      <c r="M5040">
        <v>60</v>
      </c>
      <c r="N5040" s="3">
        <v>0.254</v>
      </c>
      <c r="O5040" t="s">
        <v>17</v>
      </c>
      <c r="P5040" t="s">
        <v>65</v>
      </c>
      <c r="Q5040">
        <v>0</v>
      </c>
      <c r="R5040">
        <v>1</v>
      </c>
      <c r="S5040" s="2">
        <v>0</v>
      </c>
      <c r="T5040" s="4"/>
      <c r="U5040">
        <v>3</v>
      </c>
      <c r="V5040">
        <v>1</v>
      </c>
      <c r="W5040">
        <v>1</v>
      </c>
    </row>
    <row r="5041" spans="1:23" ht="16.5" x14ac:dyDescent="0.3">
      <c r="A5041" t="s">
        <v>5105</v>
      </c>
      <c r="B5041" s="1">
        <v>46002</v>
      </c>
      <c r="C5041">
        <v>2025</v>
      </c>
      <c r="D5041" t="s">
        <v>1832</v>
      </c>
      <c r="E5041" t="s">
        <v>2264</v>
      </c>
      <c r="F5041" t="s">
        <v>41</v>
      </c>
      <c r="G5041" t="s">
        <v>51</v>
      </c>
      <c r="H5041" t="s">
        <v>55</v>
      </c>
      <c r="I5041" t="s">
        <v>29</v>
      </c>
      <c r="J5041" t="s">
        <v>30</v>
      </c>
      <c r="K5041" s="2">
        <v>6650</v>
      </c>
      <c r="L5041" s="2">
        <v>152000</v>
      </c>
      <c r="M5041">
        <v>24</v>
      </c>
      <c r="N5041" s="3">
        <v>1.276</v>
      </c>
      <c r="O5041" t="s">
        <v>17</v>
      </c>
      <c r="P5041" t="s">
        <v>53</v>
      </c>
      <c r="Q5041">
        <v>0</v>
      </c>
      <c r="R5041">
        <v>1</v>
      </c>
      <c r="S5041" s="2">
        <v>0</v>
      </c>
      <c r="T5041" s="4"/>
      <c r="U5041">
        <v>11</v>
      </c>
      <c r="V5041">
        <v>0</v>
      </c>
      <c r="W5041">
        <v>1</v>
      </c>
    </row>
    <row r="5042" spans="1:23" ht="16.5" x14ac:dyDescent="0.3">
      <c r="A5042" t="s">
        <v>5106</v>
      </c>
      <c r="B5042" s="1">
        <v>46002</v>
      </c>
      <c r="C5042">
        <v>2025</v>
      </c>
      <c r="D5042" t="s">
        <v>1832</v>
      </c>
      <c r="E5042" t="s">
        <v>2264</v>
      </c>
      <c r="F5042" t="s">
        <v>26</v>
      </c>
      <c r="G5042" t="s">
        <v>33</v>
      </c>
      <c r="H5042" t="s">
        <v>55</v>
      </c>
      <c r="I5042" t="s">
        <v>42</v>
      </c>
      <c r="J5042" t="s">
        <v>52</v>
      </c>
      <c r="K5042" s="2">
        <v>17100</v>
      </c>
      <c r="L5042" s="2">
        <v>23000</v>
      </c>
      <c r="M5042">
        <v>48</v>
      </c>
      <c r="N5042" s="3">
        <v>0.151</v>
      </c>
      <c r="O5042" t="s">
        <v>16</v>
      </c>
      <c r="Q5042">
        <v>1</v>
      </c>
      <c r="R5042">
        <v>0</v>
      </c>
      <c r="S5042" s="2">
        <v>20500</v>
      </c>
      <c r="T5042" s="4">
        <v>7.1900000000000006E-2</v>
      </c>
      <c r="U5042">
        <v>3</v>
      </c>
      <c r="V5042">
        <v>1</v>
      </c>
      <c r="W5042">
        <v>1</v>
      </c>
    </row>
    <row r="5043" spans="1:23" ht="16.5" x14ac:dyDescent="0.3">
      <c r="A5043" t="s">
        <v>5107</v>
      </c>
      <c r="B5043" s="1">
        <v>46002</v>
      </c>
      <c r="C5043">
        <v>2025</v>
      </c>
      <c r="D5043" t="s">
        <v>1832</v>
      </c>
      <c r="E5043" t="s">
        <v>2264</v>
      </c>
      <c r="F5043" t="s">
        <v>37</v>
      </c>
      <c r="G5043" t="s">
        <v>45</v>
      </c>
      <c r="H5043" t="s">
        <v>55</v>
      </c>
      <c r="I5043" t="s">
        <v>29</v>
      </c>
      <c r="J5043" t="s">
        <v>52</v>
      </c>
      <c r="K5043" s="2">
        <v>6900</v>
      </c>
      <c r="L5043" s="2">
        <v>12500</v>
      </c>
      <c r="M5043">
        <v>24</v>
      </c>
      <c r="N5043" s="3">
        <v>0.307</v>
      </c>
      <c r="O5043" t="s">
        <v>16</v>
      </c>
      <c r="Q5043">
        <v>1</v>
      </c>
      <c r="R5043">
        <v>0</v>
      </c>
      <c r="S5043" s="2">
        <v>12500</v>
      </c>
      <c r="T5043" s="4">
        <v>0.1135</v>
      </c>
      <c r="U5043">
        <v>1</v>
      </c>
      <c r="V5043">
        <v>1</v>
      </c>
      <c r="W5043">
        <v>1</v>
      </c>
    </row>
    <row r="5044" spans="1:23" ht="16.5" x14ac:dyDescent="0.3">
      <c r="A5044" t="s">
        <v>5108</v>
      </c>
      <c r="B5044" s="1">
        <v>46002</v>
      </c>
      <c r="C5044">
        <v>2025</v>
      </c>
      <c r="D5044" t="s">
        <v>1832</v>
      </c>
      <c r="E5044" t="s">
        <v>2264</v>
      </c>
      <c r="F5044" t="s">
        <v>26</v>
      </c>
      <c r="G5044" t="s">
        <v>45</v>
      </c>
      <c r="H5044" t="s">
        <v>34</v>
      </c>
      <c r="I5044" t="s">
        <v>42</v>
      </c>
      <c r="J5044" t="s">
        <v>35</v>
      </c>
      <c r="K5044" s="2">
        <v>8400</v>
      </c>
      <c r="L5044" s="2">
        <v>25500</v>
      </c>
      <c r="M5044">
        <v>36</v>
      </c>
      <c r="N5044" s="3">
        <v>0.20599999999999999</v>
      </c>
      <c r="O5044" t="s">
        <v>16</v>
      </c>
      <c r="Q5044">
        <v>1</v>
      </c>
      <c r="R5044">
        <v>0</v>
      </c>
      <c r="S5044" s="2">
        <v>25500</v>
      </c>
      <c r="T5044" s="4">
        <v>8.2299999999999998E-2</v>
      </c>
      <c r="U5044">
        <v>3</v>
      </c>
      <c r="V5044">
        <v>1</v>
      </c>
      <c r="W5044">
        <v>1</v>
      </c>
    </row>
    <row r="5045" spans="1:23" ht="16.5" x14ac:dyDescent="0.3">
      <c r="A5045" t="s">
        <v>5109</v>
      </c>
      <c r="B5045" s="1">
        <v>46002</v>
      </c>
      <c r="C5045">
        <v>2025</v>
      </c>
      <c r="D5045" t="s">
        <v>1832</v>
      </c>
      <c r="E5045" t="s">
        <v>2264</v>
      </c>
      <c r="F5045" t="s">
        <v>50</v>
      </c>
      <c r="G5045" t="s">
        <v>51</v>
      </c>
      <c r="H5045" t="s">
        <v>38</v>
      </c>
      <c r="I5045" t="s">
        <v>42</v>
      </c>
      <c r="J5045" t="s">
        <v>35</v>
      </c>
      <c r="K5045" s="2">
        <v>4900</v>
      </c>
      <c r="L5045" s="2">
        <v>172000</v>
      </c>
      <c r="M5045">
        <v>240</v>
      </c>
      <c r="N5045" s="3">
        <v>0.43099999999999999</v>
      </c>
      <c r="O5045" t="s">
        <v>16</v>
      </c>
      <c r="Q5045">
        <v>1</v>
      </c>
      <c r="R5045">
        <v>0</v>
      </c>
      <c r="S5045" s="2">
        <v>172000</v>
      </c>
      <c r="T5045" s="4">
        <v>5.7599999999999998E-2</v>
      </c>
      <c r="U5045">
        <v>14</v>
      </c>
      <c r="V5045">
        <v>1</v>
      </c>
      <c r="W5045">
        <v>1</v>
      </c>
    </row>
    <row r="5046" spans="1:23" ht="16.5" x14ac:dyDescent="0.3">
      <c r="A5046" t="s">
        <v>5110</v>
      </c>
      <c r="B5046" s="1">
        <v>46002</v>
      </c>
      <c r="C5046">
        <v>2025</v>
      </c>
      <c r="D5046" t="s">
        <v>1832</v>
      </c>
      <c r="E5046" t="s">
        <v>2264</v>
      </c>
      <c r="F5046" t="s">
        <v>41</v>
      </c>
      <c r="G5046" t="s">
        <v>33</v>
      </c>
      <c r="H5046" t="s">
        <v>34</v>
      </c>
      <c r="I5046" t="s">
        <v>29</v>
      </c>
      <c r="J5046" t="s">
        <v>52</v>
      </c>
      <c r="K5046" s="2">
        <v>7400</v>
      </c>
      <c r="L5046" s="2">
        <v>84500</v>
      </c>
      <c r="M5046">
        <v>36</v>
      </c>
      <c r="N5046" s="3">
        <v>0.44700000000000001</v>
      </c>
      <c r="O5046" t="s">
        <v>17</v>
      </c>
      <c r="P5046" t="s">
        <v>60</v>
      </c>
      <c r="Q5046">
        <v>0</v>
      </c>
      <c r="R5046">
        <v>1</v>
      </c>
      <c r="S5046" s="2">
        <v>0</v>
      </c>
      <c r="T5046" s="4"/>
      <c r="U5046">
        <v>7</v>
      </c>
      <c r="V5046">
        <v>1</v>
      </c>
      <c r="W5046">
        <v>1</v>
      </c>
    </row>
    <row r="5047" spans="1:23" ht="16.5" x14ac:dyDescent="0.3">
      <c r="A5047" t="s">
        <v>5111</v>
      </c>
      <c r="B5047" s="1">
        <v>46002</v>
      </c>
      <c r="C5047">
        <v>2025</v>
      </c>
      <c r="D5047" t="s">
        <v>1832</v>
      </c>
      <c r="E5047" t="s">
        <v>2264</v>
      </c>
      <c r="F5047" t="s">
        <v>37</v>
      </c>
      <c r="G5047" t="s">
        <v>33</v>
      </c>
      <c r="H5047" t="s">
        <v>64</v>
      </c>
      <c r="I5047" t="s">
        <v>42</v>
      </c>
      <c r="J5047" t="s">
        <v>35</v>
      </c>
      <c r="K5047" s="2">
        <v>5150</v>
      </c>
      <c r="L5047" s="2">
        <v>24500</v>
      </c>
      <c r="M5047">
        <v>48</v>
      </c>
      <c r="N5047" s="3">
        <v>0.23200000000000001</v>
      </c>
      <c r="O5047" t="s">
        <v>16</v>
      </c>
      <c r="Q5047">
        <v>1</v>
      </c>
      <c r="R5047">
        <v>0</v>
      </c>
      <c r="S5047" s="2">
        <v>19500</v>
      </c>
      <c r="T5047" s="4">
        <v>0.127</v>
      </c>
      <c r="U5047">
        <v>2</v>
      </c>
      <c r="V5047">
        <v>1</v>
      </c>
      <c r="W5047">
        <v>1</v>
      </c>
    </row>
    <row r="5048" spans="1:23" ht="16.5" x14ac:dyDescent="0.3">
      <c r="A5048" t="s">
        <v>5112</v>
      </c>
      <c r="B5048" s="1">
        <v>46002</v>
      </c>
      <c r="C5048">
        <v>2025</v>
      </c>
      <c r="D5048" t="s">
        <v>1832</v>
      </c>
      <c r="E5048" t="s">
        <v>2264</v>
      </c>
      <c r="F5048" t="s">
        <v>50</v>
      </c>
      <c r="G5048" t="s">
        <v>33</v>
      </c>
      <c r="H5048" t="s">
        <v>55</v>
      </c>
      <c r="I5048" t="s">
        <v>29</v>
      </c>
      <c r="J5048" t="s">
        <v>35</v>
      </c>
      <c r="K5048" s="2">
        <v>7800</v>
      </c>
      <c r="L5048" s="2">
        <v>756000</v>
      </c>
      <c r="M5048">
        <v>240</v>
      </c>
      <c r="N5048" s="3">
        <v>0.88</v>
      </c>
      <c r="O5048" t="s">
        <v>17</v>
      </c>
      <c r="P5048" t="s">
        <v>53</v>
      </c>
      <c r="Q5048">
        <v>0</v>
      </c>
      <c r="R5048">
        <v>1</v>
      </c>
      <c r="S5048" s="2">
        <v>0</v>
      </c>
      <c r="T5048" s="4"/>
      <c r="U5048">
        <v>5</v>
      </c>
      <c r="V5048">
        <v>1</v>
      </c>
      <c r="W5048">
        <v>1</v>
      </c>
    </row>
    <row r="5049" spans="1:23" ht="16.5" x14ac:dyDescent="0.3">
      <c r="A5049" t="s">
        <v>5113</v>
      </c>
      <c r="B5049" s="1">
        <v>46003</v>
      </c>
      <c r="C5049">
        <v>2025</v>
      </c>
      <c r="D5049" t="s">
        <v>1832</v>
      </c>
      <c r="E5049" t="s">
        <v>2264</v>
      </c>
      <c r="F5049" t="s">
        <v>26</v>
      </c>
      <c r="G5049" t="s">
        <v>27</v>
      </c>
      <c r="H5049" t="s">
        <v>55</v>
      </c>
      <c r="I5049" t="s">
        <v>39</v>
      </c>
      <c r="J5049" t="s">
        <v>46</v>
      </c>
      <c r="K5049" s="2">
        <v>3450</v>
      </c>
      <c r="L5049" s="2">
        <v>38500</v>
      </c>
      <c r="M5049">
        <v>60</v>
      </c>
      <c r="N5049" s="3">
        <v>0.45200000000000001</v>
      </c>
      <c r="O5049" t="s">
        <v>16</v>
      </c>
      <c r="Q5049">
        <v>1</v>
      </c>
      <c r="R5049">
        <v>0</v>
      </c>
      <c r="S5049" s="2">
        <v>38500</v>
      </c>
      <c r="T5049" s="4">
        <v>6.3E-2</v>
      </c>
      <c r="U5049">
        <v>3</v>
      </c>
      <c r="V5049">
        <v>1</v>
      </c>
      <c r="W5049">
        <v>1</v>
      </c>
    </row>
    <row r="5050" spans="1:23" ht="16.5" x14ac:dyDescent="0.3">
      <c r="A5050" t="s">
        <v>5114</v>
      </c>
      <c r="B5050" s="1">
        <v>46003</v>
      </c>
      <c r="C5050">
        <v>2025</v>
      </c>
      <c r="D5050" t="s">
        <v>1832</v>
      </c>
      <c r="E5050" t="s">
        <v>2264</v>
      </c>
      <c r="F5050" t="s">
        <v>26</v>
      </c>
      <c r="G5050" t="s">
        <v>45</v>
      </c>
      <c r="H5050" t="s">
        <v>38</v>
      </c>
      <c r="I5050" t="s">
        <v>29</v>
      </c>
      <c r="J5050" t="s">
        <v>35</v>
      </c>
      <c r="K5050" s="2">
        <v>5500</v>
      </c>
      <c r="L5050" s="2">
        <v>27500</v>
      </c>
      <c r="M5050">
        <v>60</v>
      </c>
      <c r="N5050" s="3">
        <v>0.153</v>
      </c>
      <c r="O5050" t="s">
        <v>16</v>
      </c>
      <c r="Q5050">
        <v>1</v>
      </c>
      <c r="R5050">
        <v>0</v>
      </c>
      <c r="S5050" s="2">
        <v>22000</v>
      </c>
      <c r="T5050" s="4">
        <v>8.14E-2</v>
      </c>
      <c r="U5050">
        <v>2</v>
      </c>
      <c r="V5050">
        <v>1</v>
      </c>
      <c r="W5050">
        <v>1</v>
      </c>
    </row>
    <row r="5051" spans="1:23" ht="16.5" x14ac:dyDescent="0.3">
      <c r="A5051" t="s">
        <v>5115</v>
      </c>
      <c r="B5051" s="1">
        <v>46003</v>
      </c>
      <c r="C5051">
        <v>2025</v>
      </c>
      <c r="D5051" t="s">
        <v>1832</v>
      </c>
      <c r="E5051" t="s">
        <v>2264</v>
      </c>
      <c r="F5051" t="s">
        <v>41</v>
      </c>
      <c r="G5051" t="s">
        <v>45</v>
      </c>
      <c r="H5051" t="s">
        <v>38</v>
      </c>
      <c r="I5051" t="s">
        <v>29</v>
      </c>
      <c r="J5051" t="s">
        <v>30</v>
      </c>
      <c r="K5051" s="2">
        <v>5600</v>
      </c>
      <c r="L5051" s="2">
        <v>92000</v>
      </c>
      <c r="M5051">
        <v>24</v>
      </c>
      <c r="N5051" s="3">
        <v>0.82699999999999996</v>
      </c>
      <c r="O5051" t="s">
        <v>17</v>
      </c>
      <c r="P5051" t="s">
        <v>31</v>
      </c>
      <c r="Q5051">
        <v>0</v>
      </c>
      <c r="R5051">
        <v>1</v>
      </c>
      <c r="S5051" s="2">
        <v>0</v>
      </c>
      <c r="T5051" s="4"/>
      <c r="U5051">
        <v>3</v>
      </c>
      <c r="V5051">
        <v>1</v>
      </c>
      <c r="W5051">
        <v>1</v>
      </c>
    </row>
    <row r="5052" spans="1:23" ht="16.5" x14ac:dyDescent="0.3">
      <c r="A5052" t="s">
        <v>5116</v>
      </c>
      <c r="B5052" s="1">
        <v>46003</v>
      </c>
      <c r="C5052">
        <v>2025</v>
      </c>
      <c r="D5052" t="s">
        <v>1832</v>
      </c>
      <c r="E5052" t="s">
        <v>2264</v>
      </c>
      <c r="F5052" t="s">
        <v>50</v>
      </c>
      <c r="G5052" t="s">
        <v>45</v>
      </c>
      <c r="H5052" t="s">
        <v>38</v>
      </c>
      <c r="I5052" t="s">
        <v>29</v>
      </c>
      <c r="J5052" t="s">
        <v>46</v>
      </c>
      <c r="K5052" s="2">
        <v>5550</v>
      </c>
      <c r="L5052" s="2">
        <v>278500</v>
      </c>
      <c r="M5052">
        <v>300</v>
      </c>
      <c r="N5052" s="3">
        <v>0.35699999999999998</v>
      </c>
      <c r="O5052" t="s">
        <v>16</v>
      </c>
      <c r="Q5052">
        <v>1</v>
      </c>
      <c r="R5052">
        <v>0</v>
      </c>
      <c r="S5052" s="2">
        <v>223000</v>
      </c>
      <c r="T5052" s="4">
        <v>3.9600000000000003E-2</v>
      </c>
      <c r="U5052">
        <v>6</v>
      </c>
      <c r="V5052">
        <v>1</v>
      </c>
      <c r="W5052">
        <v>1</v>
      </c>
    </row>
    <row r="5053" spans="1:23" ht="16.5" x14ac:dyDescent="0.3">
      <c r="A5053" t="s">
        <v>5117</v>
      </c>
      <c r="B5053" s="1">
        <v>46003</v>
      </c>
      <c r="C5053">
        <v>2025</v>
      </c>
      <c r="D5053" t="s">
        <v>1832</v>
      </c>
      <c r="E5053" t="s">
        <v>2264</v>
      </c>
      <c r="F5053" t="s">
        <v>37</v>
      </c>
      <c r="G5053" t="s">
        <v>27</v>
      </c>
      <c r="H5053" t="s">
        <v>55</v>
      </c>
      <c r="I5053" t="s">
        <v>42</v>
      </c>
      <c r="J5053" t="s">
        <v>35</v>
      </c>
      <c r="K5053" s="2">
        <v>2900</v>
      </c>
      <c r="L5053" s="2">
        <v>5000</v>
      </c>
      <c r="M5053">
        <v>24</v>
      </c>
      <c r="N5053" s="3">
        <v>0.27400000000000002</v>
      </c>
      <c r="O5053" t="s">
        <v>17</v>
      </c>
      <c r="P5053" t="s">
        <v>60</v>
      </c>
      <c r="Q5053">
        <v>0</v>
      </c>
      <c r="R5053">
        <v>1</v>
      </c>
      <c r="S5053" s="2">
        <v>0</v>
      </c>
      <c r="T5053" s="4"/>
      <c r="U5053">
        <v>7</v>
      </c>
      <c r="V5053">
        <v>0</v>
      </c>
      <c r="W5053">
        <v>1</v>
      </c>
    </row>
    <row r="5054" spans="1:23" ht="16.5" x14ac:dyDescent="0.3">
      <c r="A5054" t="s">
        <v>5118</v>
      </c>
      <c r="B5054" s="1">
        <v>46003</v>
      </c>
      <c r="C5054">
        <v>2025</v>
      </c>
      <c r="D5054" t="s">
        <v>1832</v>
      </c>
      <c r="E5054" t="s">
        <v>2264</v>
      </c>
      <c r="F5054" t="s">
        <v>41</v>
      </c>
      <c r="G5054" t="s">
        <v>27</v>
      </c>
      <c r="H5054" t="s">
        <v>38</v>
      </c>
      <c r="I5054" t="s">
        <v>42</v>
      </c>
      <c r="J5054" t="s">
        <v>46</v>
      </c>
      <c r="K5054" s="2">
        <v>4250</v>
      </c>
      <c r="L5054" s="2">
        <v>52000</v>
      </c>
      <c r="M5054">
        <v>36</v>
      </c>
      <c r="N5054" s="3">
        <v>0.51200000000000001</v>
      </c>
      <c r="O5054" t="s">
        <v>16</v>
      </c>
      <c r="Q5054">
        <v>1</v>
      </c>
      <c r="R5054">
        <v>0</v>
      </c>
      <c r="S5054" s="2">
        <v>52000</v>
      </c>
      <c r="T5054" s="4">
        <v>9.7500000000000003E-2</v>
      </c>
      <c r="U5054">
        <v>9</v>
      </c>
      <c r="V5054">
        <v>1</v>
      </c>
      <c r="W5054">
        <v>1</v>
      </c>
    </row>
    <row r="5055" spans="1:23" ht="16.5" x14ac:dyDescent="0.3">
      <c r="A5055" t="s">
        <v>5119</v>
      </c>
      <c r="B5055" s="1">
        <v>46003</v>
      </c>
      <c r="C5055">
        <v>2025</v>
      </c>
      <c r="D5055" t="s">
        <v>1832</v>
      </c>
      <c r="E5055" t="s">
        <v>2264</v>
      </c>
      <c r="F5055" t="s">
        <v>37</v>
      </c>
      <c r="G5055" t="s">
        <v>27</v>
      </c>
      <c r="H5055" t="s">
        <v>34</v>
      </c>
      <c r="I5055" t="s">
        <v>42</v>
      </c>
      <c r="J5055" t="s">
        <v>35</v>
      </c>
      <c r="K5055" s="2">
        <v>9400</v>
      </c>
      <c r="L5055" s="2">
        <v>8000</v>
      </c>
      <c r="M5055">
        <v>36</v>
      </c>
      <c r="N5055" s="3">
        <v>0.23400000000000001</v>
      </c>
      <c r="O5055" t="s">
        <v>17</v>
      </c>
      <c r="P5055" t="s">
        <v>65</v>
      </c>
      <c r="Q5055">
        <v>0</v>
      </c>
      <c r="R5055">
        <v>1</v>
      </c>
      <c r="S5055" s="2">
        <v>0</v>
      </c>
      <c r="T5055" s="4"/>
      <c r="U5055">
        <v>4</v>
      </c>
      <c r="V5055">
        <v>0</v>
      </c>
      <c r="W5055">
        <v>1</v>
      </c>
    </row>
    <row r="5056" spans="1:23" ht="16.5" x14ac:dyDescent="0.3">
      <c r="A5056" t="s">
        <v>5120</v>
      </c>
      <c r="B5056" s="1">
        <v>46003</v>
      </c>
      <c r="C5056">
        <v>2025</v>
      </c>
      <c r="D5056" t="s">
        <v>1832</v>
      </c>
      <c r="E5056" t="s">
        <v>2264</v>
      </c>
      <c r="F5056" t="s">
        <v>26</v>
      </c>
      <c r="G5056" t="s">
        <v>45</v>
      </c>
      <c r="H5056" t="s">
        <v>55</v>
      </c>
      <c r="I5056" t="s">
        <v>29</v>
      </c>
      <c r="J5056" t="s">
        <v>43</v>
      </c>
      <c r="K5056" s="2">
        <v>9200</v>
      </c>
      <c r="L5056" s="2">
        <v>17500</v>
      </c>
      <c r="M5056">
        <v>60</v>
      </c>
      <c r="N5056" s="3">
        <v>0.125</v>
      </c>
      <c r="O5056" t="s">
        <v>16</v>
      </c>
      <c r="Q5056">
        <v>1</v>
      </c>
      <c r="R5056">
        <v>0</v>
      </c>
      <c r="S5056" s="2">
        <v>16000</v>
      </c>
      <c r="T5056" s="4">
        <v>0.11559999999999999</v>
      </c>
      <c r="U5056">
        <v>2</v>
      </c>
      <c r="V5056">
        <v>1</v>
      </c>
      <c r="W5056">
        <v>1</v>
      </c>
    </row>
    <row r="5057" spans="1:23" ht="16.5" x14ac:dyDescent="0.3">
      <c r="A5057" t="s">
        <v>5121</v>
      </c>
      <c r="B5057" s="1">
        <v>46003</v>
      </c>
      <c r="C5057">
        <v>2025</v>
      </c>
      <c r="D5057" t="s">
        <v>1832</v>
      </c>
      <c r="E5057" t="s">
        <v>2264</v>
      </c>
      <c r="F5057" t="s">
        <v>37</v>
      </c>
      <c r="G5057" t="s">
        <v>45</v>
      </c>
      <c r="H5057" t="s">
        <v>55</v>
      </c>
      <c r="I5057" t="s">
        <v>39</v>
      </c>
      <c r="J5057" t="s">
        <v>35</v>
      </c>
      <c r="K5057" s="2">
        <v>5400</v>
      </c>
      <c r="L5057" s="2">
        <v>19000</v>
      </c>
      <c r="M5057">
        <v>60</v>
      </c>
      <c r="N5057" s="3">
        <v>0.19500000000000001</v>
      </c>
      <c r="O5057" t="s">
        <v>16</v>
      </c>
      <c r="Q5057">
        <v>1</v>
      </c>
      <c r="R5057">
        <v>0</v>
      </c>
      <c r="S5057" s="2">
        <v>19000</v>
      </c>
      <c r="T5057" s="4">
        <v>0.1211</v>
      </c>
      <c r="U5057">
        <v>1</v>
      </c>
      <c r="V5057">
        <v>1</v>
      </c>
      <c r="W5057">
        <v>1</v>
      </c>
    </row>
    <row r="5058" spans="1:23" ht="16.5" x14ac:dyDescent="0.3">
      <c r="A5058" t="s">
        <v>5122</v>
      </c>
      <c r="B5058" s="1">
        <v>46003</v>
      </c>
      <c r="C5058">
        <v>2025</v>
      </c>
      <c r="D5058" t="s">
        <v>1832</v>
      </c>
      <c r="E5058" t="s">
        <v>2264</v>
      </c>
      <c r="F5058" t="s">
        <v>26</v>
      </c>
      <c r="G5058" t="s">
        <v>33</v>
      </c>
      <c r="H5058" t="s">
        <v>55</v>
      </c>
      <c r="I5058" t="s">
        <v>39</v>
      </c>
      <c r="J5058" t="s">
        <v>35</v>
      </c>
      <c r="K5058" s="2">
        <v>4100</v>
      </c>
      <c r="L5058" s="2">
        <v>25500</v>
      </c>
      <c r="M5058">
        <v>60</v>
      </c>
      <c r="N5058" s="3">
        <v>0.222</v>
      </c>
      <c r="O5058" t="s">
        <v>16</v>
      </c>
      <c r="Q5058">
        <v>1</v>
      </c>
      <c r="R5058">
        <v>0</v>
      </c>
      <c r="S5058" s="2">
        <v>25500</v>
      </c>
      <c r="T5058" s="4">
        <v>8.6699999999999999E-2</v>
      </c>
      <c r="U5058">
        <v>2</v>
      </c>
      <c r="V5058">
        <v>1</v>
      </c>
      <c r="W5058">
        <v>1</v>
      </c>
    </row>
    <row r="5059" spans="1:23" ht="16.5" x14ac:dyDescent="0.3">
      <c r="A5059" t="s">
        <v>5123</v>
      </c>
      <c r="B5059" s="1">
        <v>46004</v>
      </c>
      <c r="C5059">
        <v>2025</v>
      </c>
      <c r="D5059" t="s">
        <v>1832</v>
      </c>
      <c r="E5059" t="s">
        <v>2264</v>
      </c>
      <c r="F5059" t="s">
        <v>26</v>
      </c>
      <c r="G5059" t="s">
        <v>51</v>
      </c>
      <c r="H5059" t="s">
        <v>38</v>
      </c>
      <c r="I5059" t="s">
        <v>29</v>
      </c>
      <c r="J5059" t="s">
        <v>30</v>
      </c>
      <c r="K5059" s="2">
        <v>2900</v>
      </c>
      <c r="L5059" s="2">
        <v>47500</v>
      </c>
      <c r="M5059">
        <v>60</v>
      </c>
      <c r="N5059" s="3">
        <v>0.41799999999999998</v>
      </c>
      <c r="O5059" t="s">
        <v>17</v>
      </c>
      <c r="P5059" t="s">
        <v>31</v>
      </c>
      <c r="Q5059">
        <v>0</v>
      </c>
      <c r="R5059">
        <v>1</v>
      </c>
      <c r="S5059" s="2">
        <v>0</v>
      </c>
      <c r="T5059" s="4"/>
      <c r="U5059">
        <v>4</v>
      </c>
      <c r="V5059">
        <v>1</v>
      </c>
      <c r="W5059">
        <v>1</v>
      </c>
    </row>
    <row r="5060" spans="1:23" ht="16.5" x14ac:dyDescent="0.3">
      <c r="A5060" t="s">
        <v>5124</v>
      </c>
      <c r="B5060" s="1">
        <v>46004</v>
      </c>
      <c r="C5060">
        <v>2025</v>
      </c>
      <c r="D5060" t="s">
        <v>1832</v>
      </c>
      <c r="E5060" t="s">
        <v>2264</v>
      </c>
      <c r="F5060" t="s">
        <v>37</v>
      </c>
      <c r="G5060" t="s">
        <v>51</v>
      </c>
      <c r="H5060" t="s">
        <v>55</v>
      </c>
      <c r="I5060" t="s">
        <v>29</v>
      </c>
      <c r="J5060" t="s">
        <v>30</v>
      </c>
      <c r="K5060" s="2">
        <v>3550</v>
      </c>
      <c r="L5060" s="2">
        <v>11000</v>
      </c>
      <c r="M5060">
        <v>60</v>
      </c>
      <c r="N5060" s="3">
        <v>0.248</v>
      </c>
      <c r="O5060" t="s">
        <v>16</v>
      </c>
      <c r="Q5060">
        <v>1</v>
      </c>
      <c r="R5060">
        <v>0</v>
      </c>
      <c r="S5060" s="2">
        <v>11000</v>
      </c>
      <c r="T5060" s="4">
        <v>0.1399</v>
      </c>
      <c r="U5060">
        <v>6</v>
      </c>
      <c r="V5060">
        <v>0</v>
      </c>
      <c r="W5060">
        <v>1</v>
      </c>
    </row>
    <row r="5061" spans="1:23" ht="16.5" x14ac:dyDescent="0.3">
      <c r="A5061" t="s">
        <v>5125</v>
      </c>
      <c r="B5061" s="1">
        <v>46004</v>
      </c>
      <c r="C5061">
        <v>2025</v>
      </c>
      <c r="D5061" t="s">
        <v>1832</v>
      </c>
      <c r="E5061" t="s">
        <v>2264</v>
      </c>
      <c r="F5061" t="s">
        <v>41</v>
      </c>
      <c r="G5061" t="s">
        <v>45</v>
      </c>
      <c r="H5061" t="s">
        <v>28</v>
      </c>
      <c r="I5061" t="s">
        <v>39</v>
      </c>
      <c r="J5061" t="s">
        <v>35</v>
      </c>
      <c r="K5061" s="2">
        <v>6050</v>
      </c>
      <c r="L5061" s="2">
        <v>75500</v>
      </c>
      <c r="M5061">
        <v>12</v>
      </c>
      <c r="N5061" s="3">
        <v>1.181</v>
      </c>
      <c r="O5061" t="s">
        <v>17</v>
      </c>
      <c r="P5061" t="s">
        <v>53</v>
      </c>
      <c r="Q5061">
        <v>0</v>
      </c>
      <c r="R5061">
        <v>1</v>
      </c>
      <c r="S5061" s="2">
        <v>0</v>
      </c>
      <c r="T5061" s="4"/>
      <c r="U5061">
        <v>4</v>
      </c>
      <c r="V5061">
        <v>1</v>
      </c>
      <c r="W5061">
        <v>1</v>
      </c>
    </row>
    <row r="5062" spans="1:23" ht="16.5" x14ac:dyDescent="0.3">
      <c r="A5062" t="s">
        <v>5126</v>
      </c>
      <c r="B5062" s="1">
        <v>46004</v>
      </c>
      <c r="C5062">
        <v>2025</v>
      </c>
      <c r="D5062" t="s">
        <v>1832</v>
      </c>
      <c r="E5062" t="s">
        <v>2264</v>
      </c>
      <c r="F5062" t="s">
        <v>50</v>
      </c>
      <c r="G5062" t="s">
        <v>27</v>
      </c>
      <c r="H5062" t="s">
        <v>55</v>
      </c>
      <c r="I5062" t="s">
        <v>42</v>
      </c>
      <c r="J5062" t="s">
        <v>35</v>
      </c>
      <c r="K5062" s="2">
        <v>6300</v>
      </c>
      <c r="L5062" s="2">
        <v>975000</v>
      </c>
      <c r="M5062">
        <v>240</v>
      </c>
      <c r="N5062" s="3">
        <v>1.177</v>
      </c>
      <c r="O5062" t="s">
        <v>125</v>
      </c>
      <c r="Q5062">
        <v>0</v>
      </c>
      <c r="R5062">
        <v>0</v>
      </c>
      <c r="S5062" s="2">
        <v>0</v>
      </c>
      <c r="T5062" s="4"/>
      <c r="U5062">
        <v>10</v>
      </c>
      <c r="V5062">
        <v>1</v>
      </c>
      <c r="W5062">
        <v>1</v>
      </c>
    </row>
    <row r="5063" spans="1:23" ht="16.5" x14ac:dyDescent="0.3">
      <c r="A5063" t="s">
        <v>5127</v>
      </c>
      <c r="B5063" s="1">
        <v>46004</v>
      </c>
      <c r="C5063">
        <v>2025</v>
      </c>
      <c r="D5063" t="s">
        <v>1832</v>
      </c>
      <c r="E5063" t="s">
        <v>2264</v>
      </c>
      <c r="F5063" t="s">
        <v>37</v>
      </c>
      <c r="G5063" t="s">
        <v>51</v>
      </c>
      <c r="H5063" t="s">
        <v>55</v>
      </c>
      <c r="I5063" t="s">
        <v>29</v>
      </c>
      <c r="J5063" t="s">
        <v>30</v>
      </c>
      <c r="K5063" s="2">
        <v>2450</v>
      </c>
      <c r="L5063" s="2">
        <v>13000</v>
      </c>
      <c r="M5063">
        <v>60</v>
      </c>
      <c r="N5063" s="3">
        <v>0.27300000000000002</v>
      </c>
      <c r="O5063" t="s">
        <v>17</v>
      </c>
      <c r="P5063" t="s">
        <v>31</v>
      </c>
      <c r="Q5063">
        <v>0</v>
      </c>
      <c r="R5063">
        <v>1</v>
      </c>
      <c r="S5063" s="2">
        <v>0</v>
      </c>
      <c r="T5063" s="4"/>
      <c r="U5063">
        <v>5</v>
      </c>
      <c r="V5063">
        <v>0</v>
      </c>
      <c r="W5063">
        <v>1</v>
      </c>
    </row>
    <row r="5064" spans="1:23" ht="16.5" x14ac:dyDescent="0.3">
      <c r="A5064" t="s">
        <v>5128</v>
      </c>
      <c r="B5064" s="1">
        <v>46005</v>
      </c>
      <c r="C5064">
        <v>2025</v>
      </c>
      <c r="D5064" t="s">
        <v>1832</v>
      </c>
      <c r="E5064" t="s">
        <v>2264</v>
      </c>
      <c r="F5064" t="s">
        <v>41</v>
      </c>
      <c r="G5064" t="s">
        <v>51</v>
      </c>
      <c r="H5064" t="s">
        <v>34</v>
      </c>
      <c r="I5064" t="s">
        <v>39</v>
      </c>
      <c r="J5064" t="s">
        <v>46</v>
      </c>
      <c r="K5064" s="2">
        <v>4300</v>
      </c>
      <c r="L5064" s="2">
        <v>41500</v>
      </c>
      <c r="M5064">
        <v>36</v>
      </c>
      <c r="N5064" s="3">
        <v>0.53200000000000003</v>
      </c>
      <c r="O5064" t="s">
        <v>16</v>
      </c>
      <c r="Q5064">
        <v>1</v>
      </c>
      <c r="R5064">
        <v>0</v>
      </c>
      <c r="S5064" s="2">
        <v>33000</v>
      </c>
      <c r="T5064" s="4">
        <v>9.6199999999999994E-2</v>
      </c>
      <c r="U5064">
        <v>13</v>
      </c>
      <c r="V5064">
        <v>0</v>
      </c>
      <c r="W5064">
        <v>1</v>
      </c>
    </row>
    <row r="5065" spans="1:23" ht="16.5" x14ac:dyDescent="0.3">
      <c r="A5065" t="s">
        <v>5129</v>
      </c>
      <c r="B5065" s="1">
        <v>46005</v>
      </c>
      <c r="C5065">
        <v>2025</v>
      </c>
      <c r="D5065" t="s">
        <v>1832</v>
      </c>
      <c r="E5065" t="s">
        <v>2264</v>
      </c>
      <c r="F5065" t="s">
        <v>50</v>
      </c>
      <c r="G5065" t="s">
        <v>33</v>
      </c>
      <c r="H5065" t="s">
        <v>64</v>
      </c>
      <c r="I5065" t="s">
        <v>29</v>
      </c>
      <c r="J5065" t="s">
        <v>43</v>
      </c>
      <c r="K5065" s="2">
        <v>2350</v>
      </c>
      <c r="L5065" s="2">
        <v>214000</v>
      </c>
      <c r="M5065">
        <v>240</v>
      </c>
      <c r="N5065" s="3">
        <v>0.78400000000000003</v>
      </c>
      <c r="O5065" t="s">
        <v>17</v>
      </c>
      <c r="P5065" t="s">
        <v>31</v>
      </c>
      <c r="Q5065">
        <v>0</v>
      </c>
      <c r="R5065">
        <v>1</v>
      </c>
      <c r="S5065" s="2">
        <v>0</v>
      </c>
      <c r="T5065" s="4"/>
      <c r="U5065">
        <v>4</v>
      </c>
      <c r="V5065">
        <v>1</v>
      </c>
      <c r="W5065">
        <v>1</v>
      </c>
    </row>
    <row r="5066" spans="1:23" ht="16.5" x14ac:dyDescent="0.3">
      <c r="A5066" t="s">
        <v>5130</v>
      </c>
      <c r="B5066" s="1">
        <v>46005</v>
      </c>
      <c r="C5066">
        <v>2025</v>
      </c>
      <c r="D5066" t="s">
        <v>1832</v>
      </c>
      <c r="E5066" t="s">
        <v>2264</v>
      </c>
      <c r="F5066" t="s">
        <v>50</v>
      </c>
      <c r="G5066" t="s">
        <v>51</v>
      </c>
      <c r="H5066" t="s">
        <v>64</v>
      </c>
      <c r="I5066" t="s">
        <v>29</v>
      </c>
      <c r="J5066" t="s">
        <v>35</v>
      </c>
      <c r="K5066" s="2">
        <v>7500</v>
      </c>
      <c r="L5066" s="2">
        <v>372000</v>
      </c>
      <c r="M5066">
        <v>240</v>
      </c>
      <c r="N5066" s="3">
        <v>0.42199999999999999</v>
      </c>
      <c r="O5066" t="s">
        <v>16</v>
      </c>
      <c r="Q5066">
        <v>1</v>
      </c>
      <c r="R5066">
        <v>0</v>
      </c>
      <c r="S5066" s="2">
        <v>335000</v>
      </c>
      <c r="T5066" s="4">
        <v>5.8299999999999998E-2</v>
      </c>
      <c r="U5066">
        <v>32</v>
      </c>
      <c r="V5066">
        <v>0</v>
      </c>
      <c r="W5066">
        <v>1</v>
      </c>
    </row>
    <row r="5067" spans="1:23" ht="16.5" x14ac:dyDescent="0.3">
      <c r="A5067" t="s">
        <v>5131</v>
      </c>
      <c r="B5067" s="1">
        <v>46005</v>
      </c>
      <c r="C5067">
        <v>2025</v>
      </c>
      <c r="D5067" t="s">
        <v>1832</v>
      </c>
      <c r="E5067" t="s">
        <v>2264</v>
      </c>
      <c r="F5067" t="s">
        <v>37</v>
      </c>
      <c r="G5067" t="s">
        <v>33</v>
      </c>
      <c r="H5067" t="s">
        <v>55</v>
      </c>
      <c r="I5067" t="s">
        <v>29</v>
      </c>
      <c r="J5067" t="s">
        <v>43</v>
      </c>
      <c r="K5067" s="2">
        <v>4600</v>
      </c>
      <c r="L5067" s="2">
        <v>16000</v>
      </c>
      <c r="M5067">
        <v>12</v>
      </c>
      <c r="N5067" s="3">
        <v>0.53700000000000003</v>
      </c>
      <c r="O5067" t="s">
        <v>17</v>
      </c>
      <c r="P5067" t="s">
        <v>31</v>
      </c>
      <c r="Q5067">
        <v>0</v>
      </c>
      <c r="R5067">
        <v>1</v>
      </c>
      <c r="S5067" s="2">
        <v>0</v>
      </c>
      <c r="T5067" s="4"/>
      <c r="U5067">
        <v>2</v>
      </c>
      <c r="V5067">
        <v>1</v>
      </c>
      <c r="W5067">
        <v>1</v>
      </c>
    </row>
    <row r="5068" spans="1:23" ht="16.5" x14ac:dyDescent="0.3">
      <c r="A5068" t="s">
        <v>5132</v>
      </c>
      <c r="B5068" s="1">
        <v>46005</v>
      </c>
      <c r="C5068">
        <v>2025</v>
      </c>
      <c r="D5068" t="s">
        <v>1832</v>
      </c>
      <c r="E5068" t="s">
        <v>2264</v>
      </c>
      <c r="F5068" t="s">
        <v>37</v>
      </c>
      <c r="G5068" t="s">
        <v>51</v>
      </c>
      <c r="H5068" t="s">
        <v>34</v>
      </c>
      <c r="I5068" t="s">
        <v>39</v>
      </c>
      <c r="J5068" t="s">
        <v>52</v>
      </c>
      <c r="K5068" s="2">
        <v>7550</v>
      </c>
      <c r="L5068" s="2">
        <v>10000</v>
      </c>
      <c r="M5068">
        <v>12</v>
      </c>
      <c r="N5068" s="3">
        <v>0.24399999999999999</v>
      </c>
      <c r="O5068" t="s">
        <v>16</v>
      </c>
      <c r="Q5068">
        <v>1</v>
      </c>
      <c r="R5068">
        <v>0</v>
      </c>
      <c r="S5068" s="2">
        <v>9000</v>
      </c>
      <c r="T5068" s="4">
        <v>0.1177</v>
      </c>
      <c r="U5068">
        <v>5</v>
      </c>
      <c r="V5068">
        <v>0</v>
      </c>
      <c r="W5068">
        <v>1</v>
      </c>
    </row>
    <row r="5069" spans="1:23" ht="16.5" x14ac:dyDescent="0.3">
      <c r="A5069" t="s">
        <v>5133</v>
      </c>
      <c r="B5069" s="1">
        <v>46005</v>
      </c>
      <c r="C5069">
        <v>2025</v>
      </c>
      <c r="D5069" t="s">
        <v>1832</v>
      </c>
      <c r="E5069" t="s">
        <v>2264</v>
      </c>
      <c r="F5069" t="s">
        <v>26</v>
      </c>
      <c r="G5069" t="s">
        <v>45</v>
      </c>
      <c r="H5069" t="s">
        <v>38</v>
      </c>
      <c r="I5069" t="s">
        <v>29</v>
      </c>
      <c r="J5069" t="s">
        <v>46</v>
      </c>
      <c r="K5069" s="2">
        <v>5150</v>
      </c>
      <c r="L5069" s="2">
        <v>26500</v>
      </c>
      <c r="M5069">
        <v>48</v>
      </c>
      <c r="N5069" s="3">
        <v>0.33100000000000002</v>
      </c>
      <c r="O5069" t="s">
        <v>16</v>
      </c>
      <c r="Q5069">
        <v>1</v>
      </c>
      <c r="R5069">
        <v>0</v>
      </c>
      <c r="S5069" s="2">
        <v>21000</v>
      </c>
      <c r="T5069" s="4">
        <v>6.83E-2</v>
      </c>
      <c r="U5069">
        <v>2</v>
      </c>
      <c r="V5069">
        <v>1</v>
      </c>
      <c r="W5069">
        <v>1</v>
      </c>
    </row>
    <row r="5070" spans="1:23" ht="16.5" x14ac:dyDescent="0.3">
      <c r="A5070" t="s">
        <v>5134</v>
      </c>
      <c r="B5070" s="1">
        <v>46005</v>
      </c>
      <c r="C5070">
        <v>2025</v>
      </c>
      <c r="D5070" t="s">
        <v>1832</v>
      </c>
      <c r="E5070" t="s">
        <v>2264</v>
      </c>
      <c r="F5070" t="s">
        <v>37</v>
      </c>
      <c r="G5070" t="s">
        <v>33</v>
      </c>
      <c r="H5070" t="s">
        <v>55</v>
      </c>
      <c r="I5070" t="s">
        <v>39</v>
      </c>
      <c r="J5070" t="s">
        <v>52</v>
      </c>
      <c r="K5070" s="2">
        <v>9350</v>
      </c>
      <c r="L5070" s="2">
        <v>9000</v>
      </c>
      <c r="M5070">
        <v>24</v>
      </c>
      <c r="N5070" s="3">
        <v>0.14899999999999999</v>
      </c>
      <c r="O5070" t="s">
        <v>16</v>
      </c>
      <c r="Q5070">
        <v>1</v>
      </c>
      <c r="R5070">
        <v>0</v>
      </c>
      <c r="S5070" s="2">
        <v>9000</v>
      </c>
      <c r="T5070" s="4">
        <v>0.1187</v>
      </c>
      <c r="U5070">
        <v>2</v>
      </c>
      <c r="V5070">
        <v>1</v>
      </c>
      <c r="W5070">
        <v>1</v>
      </c>
    </row>
    <row r="5071" spans="1:23" ht="16.5" x14ac:dyDescent="0.3">
      <c r="A5071" t="s">
        <v>5135</v>
      </c>
      <c r="B5071" s="1">
        <v>46006</v>
      </c>
      <c r="C5071">
        <v>2025</v>
      </c>
      <c r="D5071" t="s">
        <v>1832</v>
      </c>
      <c r="E5071" t="s">
        <v>2264</v>
      </c>
      <c r="F5071" t="s">
        <v>37</v>
      </c>
      <c r="G5071" t="s">
        <v>27</v>
      </c>
      <c r="H5071" t="s">
        <v>55</v>
      </c>
      <c r="I5071" t="s">
        <v>39</v>
      </c>
      <c r="J5071" t="s">
        <v>35</v>
      </c>
      <c r="K5071" s="2">
        <v>7600</v>
      </c>
      <c r="L5071" s="2">
        <v>16000</v>
      </c>
      <c r="M5071">
        <v>48</v>
      </c>
      <c r="N5071" s="3">
        <v>0.18099999999999999</v>
      </c>
      <c r="O5071" t="s">
        <v>125</v>
      </c>
      <c r="Q5071">
        <v>0</v>
      </c>
      <c r="R5071">
        <v>0</v>
      </c>
      <c r="S5071" s="2">
        <v>0</v>
      </c>
      <c r="T5071" s="4"/>
      <c r="U5071">
        <v>4</v>
      </c>
      <c r="V5071">
        <v>0</v>
      </c>
      <c r="W5071">
        <v>1</v>
      </c>
    </row>
    <row r="5072" spans="1:23" ht="16.5" x14ac:dyDescent="0.3">
      <c r="A5072" t="s">
        <v>5136</v>
      </c>
      <c r="B5072" s="1">
        <v>46006</v>
      </c>
      <c r="C5072">
        <v>2025</v>
      </c>
      <c r="D5072" t="s">
        <v>1832</v>
      </c>
      <c r="E5072" t="s">
        <v>2264</v>
      </c>
      <c r="F5072" t="s">
        <v>37</v>
      </c>
      <c r="G5072" t="s">
        <v>33</v>
      </c>
      <c r="H5072" t="s">
        <v>28</v>
      </c>
      <c r="I5072" t="s">
        <v>29</v>
      </c>
      <c r="J5072" t="s">
        <v>35</v>
      </c>
      <c r="K5072" s="2">
        <v>5850</v>
      </c>
      <c r="L5072" s="2">
        <v>9000</v>
      </c>
      <c r="M5072">
        <v>48</v>
      </c>
      <c r="N5072" s="3">
        <v>0.17599999999999999</v>
      </c>
      <c r="O5072" t="s">
        <v>16</v>
      </c>
      <c r="Q5072">
        <v>1</v>
      </c>
      <c r="R5072">
        <v>0</v>
      </c>
      <c r="S5072" s="2">
        <v>7000</v>
      </c>
      <c r="T5072" s="4">
        <v>0.1235</v>
      </c>
      <c r="U5072">
        <v>1</v>
      </c>
      <c r="V5072">
        <v>1</v>
      </c>
      <c r="W5072">
        <v>1</v>
      </c>
    </row>
    <row r="5073" spans="1:23" ht="16.5" x14ac:dyDescent="0.3">
      <c r="A5073" t="s">
        <v>5137</v>
      </c>
      <c r="B5073" s="1">
        <v>46006</v>
      </c>
      <c r="C5073">
        <v>2025</v>
      </c>
      <c r="D5073" t="s">
        <v>1832</v>
      </c>
      <c r="E5073" t="s">
        <v>2264</v>
      </c>
      <c r="F5073" t="s">
        <v>26</v>
      </c>
      <c r="G5073" t="s">
        <v>27</v>
      </c>
      <c r="H5073" t="s">
        <v>34</v>
      </c>
      <c r="I5073" t="s">
        <v>29</v>
      </c>
      <c r="J5073" t="s">
        <v>46</v>
      </c>
      <c r="K5073" s="2">
        <v>2550</v>
      </c>
      <c r="L5073" s="2">
        <v>22000</v>
      </c>
      <c r="M5073">
        <v>36</v>
      </c>
      <c r="N5073" s="3">
        <v>0.51100000000000001</v>
      </c>
      <c r="O5073" t="s">
        <v>16</v>
      </c>
      <c r="Q5073">
        <v>1</v>
      </c>
      <c r="R5073">
        <v>0</v>
      </c>
      <c r="S5073" s="2">
        <v>22000</v>
      </c>
      <c r="T5073" s="4">
        <v>6.3899999999999998E-2</v>
      </c>
      <c r="U5073">
        <v>5</v>
      </c>
      <c r="V5073">
        <v>0</v>
      </c>
      <c r="W5073">
        <v>1</v>
      </c>
    </row>
    <row r="5074" spans="1:23" ht="16.5" x14ac:dyDescent="0.3">
      <c r="A5074" t="s">
        <v>5138</v>
      </c>
      <c r="B5074" s="1">
        <v>46006</v>
      </c>
      <c r="C5074">
        <v>2025</v>
      </c>
      <c r="D5074" t="s">
        <v>1832</v>
      </c>
      <c r="E5074" t="s">
        <v>2264</v>
      </c>
      <c r="F5074" t="s">
        <v>50</v>
      </c>
      <c r="G5074" t="s">
        <v>27</v>
      </c>
      <c r="H5074" t="s">
        <v>38</v>
      </c>
      <c r="I5074" t="s">
        <v>29</v>
      </c>
      <c r="J5074" t="s">
        <v>35</v>
      </c>
      <c r="K5074" s="2">
        <v>5950</v>
      </c>
      <c r="L5074" s="2">
        <v>337500</v>
      </c>
      <c r="M5074">
        <v>300</v>
      </c>
      <c r="N5074" s="3">
        <v>0.57199999999999995</v>
      </c>
      <c r="O5074" t="s">
        <v>16</v>
      </c>
      <c r="Q5074">
        <v>1</v>
      </c>
      <c r="R5074">
        <v>0</v>
      </c>
      <c r="S5074" s="2">
        <v>337500</v>
      </c>
      <c r="T5074" s="4">
        <v>5.8200000000000002E-2</v>
      </c>
      <c r="U5074">
        <v>12</v>
      </c>
      <c r="V5074">
        <v>1</v>
      </c>
      <c r="W5074">
        <v>1</v>
      </c>
    </row>
    <row r="5075" spans="1:23" ht="16.5" x14ac:dyDescent="0.3">
      <c r="A5075" t="s">
        <v>5139</v>
      </c>
      <c r="B5075" s="1">
        <v>46006</v>
      </c>
      <c r="C5075">
        <v>2025</v>
      </c>
      <c r="D5075" t="s">
        <v>1832</v>
      </c>
      <c r="E5075" t="s">
        <v>2264</v>
      </c>
      <c r="F5075" t="s">
        <v>37</v>
      </c>
      <c r="G5075" t="s">
        <v>51</v>
      </c>
      <c r="H5075" t="s">
        <v>38</v>
      </c>
      <c r="I5075" t="s">
        <v>39</v>
      </c>
      <c r="J5075" t="s">
        <v>43</v>
      </c>
      <c r="K5075" s="2">
        <v>7600</v>
      </c>
      <c r="L5075" s="2">
        <v>13000</v>
      </c>
      <c r="M5075">
        <v>48</v>
      </c>
      <c r="N5075" s="3">
        <v>0.127</v>
      </c>
      <c r="O5075" t="s">
        <v>17</v>
      </c>
      <c r="P5075" t="s">
        <v>31</v>
      </c>
      <c r="Q5075">
        <v>0</v>
      </c>
      <c r="R5075">
        <v>1</v>
      </c>
      <c r="S5075" s="2">
        <v>0</v>
      </c>
      <c r="T5075" s="4"/>
      <c r="U5075">
        <v>5</v>
      </c>
      <c r="V5075">
        <v>0</v>
      </c>
      <c r="W5075">
        <v>1</v>
      </c>
    </row>
    <row r="5076" spans="1:23" ht="16.5" x14ac:dyDescent="0.3">
      <c r="A5076" t="s">
        <v>5140</v>
      </c>
      <c r="B5076" s="1">
        <v>46006</v>
      </c>
      <c r="C5076">
        <v>2025</v>
      </c>
      <c r="D5076" t="s">
        <v>1832</v>
      </c>
      <c r="E5076" t="s">
        <v>2264</v>
      </c>
      <c r="F5076" t="s">
        <v>50</v>
      </c>
      <c r="G5076" t="s">
        <v>51</v>
      </c>
      <c r="H5076" t="s">
        <v>64</v>
      </c>
      <c r="I5076" t="s">
        <v>29</v>
      </c>
      <c r="J5076" t="s">
        <v>52</v>
      </c>
      <c r="K5076" s="2">
        <v>5800</v>
      </c>
      <c r="L5076" s="2">
        <v>276000</v>
      </c>
      <c r="M5076">
        <v>180</v>
      </c>
      <c r="N5076" s="3">
        <v>0.57099999999999995</v>
      </c>
      <c r="O5076" t="s">
        <v>16</v>
      </c>
      <c r="Q5076">
        <v>1</v>
      </c>
      <c r="R5076">
        <v>0</v>
      </c>
      <c r="S5076" s="2">
        <v>276000</v>
      </c>
      <c r="T5076" s="4">
        <v>4.4900000000000002E-2</v>
      </c>
      <c r="U5076">
        <v>13</v>
      </c>
      <c r="V5076">
        <v>1</v>
      </c>
      <c r="W5076">
        <v>1</v>
      </c>
    </row>
    <row r="5077" spans="1:23" ht="16.5" x14ac:dyDescent="0.3">
      <c r="A5077" t="s">
        <v>5141</v>
      </c>
      <c r="B5077" s="1">
        <v>46006</v>
      </c>
      <c r="C5077">
        <v>2025</v>
      </c>
      <c r="D5077" t="s">
        <v>1832</v>
      </c>
      <c r="E5077" t="s">
        <v>2264</v>
      </c>
      <c r="F5077" t="s">
        <v>50</v>
      </c>
      <c r="G5077" t="s">
        <v>45</v>
      </c>
      <c r="H5077" t="s">
        <v>34</v>
      </c>
      <c r="I5077" t="s">
        <v>39</v>
      </c>
      <c r="J5077" t="s">
        <v>35</v>
      </c>
      <c r="K5077" s="2">
        <v>6600</v>
      </c>
      <c r="L5077" s="2">
        <v>212000</v>
      </c>
      <c r="M5077">
        <v>180</v>
      </c>
      <c r="N5077" s="3">
        <v>0.40799999999999997</v>
      </c>
      <c r="O5077" t="s">
        <v>16</v>
      </c>
      <c r="Q5077">
        <v>1</v>
      </c>
      <c r="R5077">
        <v>0</v>
      </c>
      <c r="S5077" s="2">
        <v>212000</v>
      </c>
      <c r="T5077" s="4">
        <v>5.9799999999999999E-2</v>
      </c>
      <c r="U5077">
        <v>10</v>
      </c>
      <c r="V5077">
        <v>1</v>
      </c>
      <c r="W5077">
        <v>1</v>
      </c>
    </row>
    <row r="5078" spans="1:23" ht="16.5" x14ac:dyDescent="0.3">
      <c r="A5078" t="s">
        <v>5142</v>
      </c>
      <c r="B5078" s="1">
        <v>46006</v>
      </c>
      <c r="C5078">
        <v>2025</v>
      </c>
      <c r="D5078" t="s">
        <v>1832</v>
      </c>
      <c r="E5078" t="s">
        <v>2264</v>
      </c>
      <c r="F5078" t="s">
        <v>26</v>
      </c>
      <c r="G5078" t="s">
        <v>51</v>
      </c>
      <c r="H5078" t="s">
        <v>55</v>
      </c>
      <c r="I5078" t="s">
        <v>39</v>
      </c>
      <c r="J5078" t="s">
        <v>30</v>
      </c>
      <c r="K5078" s="2">
        <v>16050</v>
      </c>
      <c r="L5078" s="2">
        <v>22000</v>
      </c>
      <c r="M5078">
        <v>48</v>
      </c>
      <c r="N5078" s="3">
        <v>0.217</v>
      </c>
      <c r="O5078" t="s">
        <v>125</v>
      </c>
      <c r="Q5078">
        <v>0</v>
      </c>
      <c r="R5078">
        <v>0</v>
      </c>
      <c r="S5078" s="2">
        <v>0</v>
      </c>
      <c r="T5078" s="4"/>
      <c r="U5078">
        <v>5</v>
      </c>
      <c r="V5078">
        <v>0</v>
      </c>
      <c r="W5078">
        <v>1</v>
      </c>
    </row>
    <row r="5079" spans="1:23" ht="16.5" x14ac:dyDescent="0.3">
      <c r="A5079" t="s">
        <v>5143</v>
      </c>
      <c r="B5079" s="1">
        <v>46007</v>
      </c>
      <c r="C5079">
        <v>2025</v>
      </c>
      <c r="D5079" t="s">
        <v>1832</v>
      </c>
      <c r="E5079" t="s">
        <v>2264</v>
      </c>
      <c r="F5079" t="s">
        <v>41</v>
      </c>
      <c r="G5079" t="s">
        <v>51</v>
      </c>
      <c r="H5079" t="s">
        <v>64</v>
      </c>
      <c r="I5079" t="s">
        <v>29</v>
      </c>
      <c r="J5079" t="s">
        <v>35</v>
      </c>
      <c r="K5079" s="2">
        <v>8200</v>
      </c>
      <c r="L5079" s="2">
        <v>98500</v>
      </c>
      <c r="M5079">
        <v>24</v>
      </c>
      <c r="N5079" s="3">
        <v>0.73899999999999999</v>
      </c>
      <c r="O5079" t="s">
        <v>16</v>
      </c>
      <c r="Q5079">
        <v>1</v>
      </c>
      <c r="R5079">
        <v>0</v>
      </c>
      <c r="S5079" s="2">
        <v>98500</v>
      </c>
      <c r="T5079" s="4">
        <v>0.1094</v>
      </c>
      <c r="U5079">
        <v>12</v>
      </c>
      <c r="V5079">
        <v>0</v>
      </c>
      <c r="W5079">
        <v>1</v>
      </c>
    </row>
    <row r="5080" spans="1:23" ht="16.5" x14ac:dyDescent="0.3">
      <c r="A5080" t="s">
        <v>5144</v>
      </c>
      <c r="B5080" s="1">
        <v>46007</v>
      </c>
      <c r="C5080">
        <v>2025</v>
      </c>
      <c r="D5080" t="s">
        <v>1832</v>
      </c>
      <c r="E5080" t="s">
        <v>2264</v>
      </c>
      <c r="F5080" t="s">
        <v>26</v>
      </c>
      <c r="G5080" t="s">
        <v>51</v>
      </c>
      <c r="H5080" t="s">
        <v>34</v>
      </c>
      <c r="I5080" t="s">
        <v>39</v>
      </c>
      <c r="J5080" t="s">
        <v>35</v>
      </c>
      <c r="K5080" s="2">
        <v>5850</v>
      </c>
      <c r="L5080" s="2">
        <v>54500</v>
      </c>
      <c r="M5080">
        <v>60</v>
      </c>
      <c r="N5080" s="3">
        <v>0.40400000000000003</v>
      </c>
      <c r="O5080" t="s">
        <v>16</v>
      </c>
      <c r="Q5080">
        <v>1</v>
      </c>
      <c r="R5080">
        <v>0</v>
      </c>
      <c r="S5080" s="2">
        <v>43500</v>
      </c>
      <c r="T5080" s="4">
        <v>7.7200000000000005E-2</v>
      </c>
      <c r="U5080">
        <v>6</v>
      </c>
      <c r="V5080">
        <v>0</v>
      </c>
      <c r="W5080">
        <v>1</v>
      </c>
    </row>
    <row r="5081" spans="1:23" ht="16.5" x14ac:dyDescent="0.3">
      <c r="A5081" t="s">
        <v>5145</v>
      </c>
      <c r="B5081" s="1">
        <v>46007</v>
      </c>
      <c r="C5081">
        <v>2025</v>
      </c>
      <c r="D5081" t="s">
        <v>1832</v>
      </c>
      <c r="E5081" t="s">
        <v>2264</v>
      </c>
      <c r="F5081" t="s">
        <v>41</v>
      </c>
      <c r="G5081" t="s">
        <v>33</v>
      </c>
      <c r="H5081" t="s">
        <v>55</v>
      </c>
      <c r="I5081" t="s">
        <v>39</v>
      </c>
      <c r="J5081" t="s">
        <v>46</v>
      </c>
      <c r="K5081" s="2">
        <v>2300</v>
      </c>
      <c r="L5081" s="2">
        <v>71500</v>
      </c>
      <c r="M5081">
        <v>12</v>
      </c>
      <c r="N5081" s="3">
        <v>2.794</v>
      </c>
      <c r="O5081" t="s">
        <v>17</v>
      </c>
      <c r="P5081" t="s">
        <v>53</v>
      </c>
      <c r="Q5081">
        <v>0</v>
      </c>
      <c r="R5081">
        <v>1</v>
      </c>
      <c r="S5081" s="2">
        <v>0</v>
      </c>
      <c r="T5081" s="4"/>
      <c r="U5081">
        <v>6</v>
      </c>
      <c r="V5081">
        <v>1</v>
      </c>
      <c r="W5081">
        <v>1</v>
      </c>
    </row>
    <row r="5082" spans="1:23" ht="16.5" x14ac:dyDescent="0.3">
      <c r="A5082" t="s">
        <v>5146</v>
      </c>
      <c r="B5082" s="1">
        <v>46007</v>
      </c>
      <c r="C5082">
        <v>2025</v>
      </c>
      <c r="D5082" t="s">
        <v>1832</v>
      </c>
      <c r="E5082" t="s">
        <v>2264</v>
      </c>
      <c r="F5082" t="s">
        <v>37</v>
      </c>
      <c r="G5082" t="s">
        <v>51</v>
      </c>
      <c r="H5082" t="s">
        <v>38</v>
      </c>
      <c r="I5082" t="s">
        <v>42</v>
      </c>
      <c r="J5082" t="s">
        <v>46</v>
      </c>
      <c r="K5082" s="2">
        <v>6850</v>
      </c>
      <c r="L5082" s="2">
        <v>8500</v>
      </c>
      <c r="M5082">
        <v>48</v>
      </c>
      <c r="N5082" s="3">
        <v>0.23599999999999999</v>
      </c>
      <c r="O5082" t="s">
        <v>16</v>
      </c>
      <c r="Q5082">
        <v>1</v>
      </c>
      <c r="R5082">
        <v>0</v>
      </c>
      <c r="S5082" s="2">
        <v>8500</v>
      </c>
      <c r="T5082" s="4">
        <v>0.1089</v>
      </c>
      <c r="U5082">
        <v>3</v>
      </c>
      <c r="V5082">
        <v>1</v>
      </c>
      <c r="W5082">
        <v>1</v>
      </c>
    </row>
    <row r="5083" spans="1:23" ht="16.5" x14ac:dyDescent="0.3">
      <c r="A5083" t="s">
        <v>5147</v>
      </c>
      <c r="B5083" s="1">
        <v>46008</v>
      </c>
      <c r="C5083">
        <v>2025</v>
      </c>
      <c r="D5083" t="s">
        <v>1832</v>
      </c>
      <c r="E5083" t="s">
        <v>2264</v>
      </c>
      <c r="F5083" t="s">
        <v>26</v>
      </c>
      <c r="G5083" t="s">
        <v>45</v>
      </c>
      <c r="H5083" t="s">
        <v>38</v>
      </c>
      <c r="I5083" t="s">
        <v>29</v>
      </c>
      <c r="J5083" t="s">
        <v>30</v>
      </c>
      <c r="K5083" s="2">
        <v>2600</v>
      </c>
      <c r="L5083" s="2">
        <v>103000</v>
      </c>
      <c r="M5083">
        <v>48</v>
      </c>
      <c r="N5083" s="3">
        <v>1.19</v>
      </c>
      <c r="O5083" t="s">
        <v>17</v>
      </c>
      <c r="P5083" t="s">
        <v>31</v>
      </c>
      <c r="Q5083">
        <v>0</v>
      </c>
      <c r="R5083">
        <v>1</v>
      </c>
      <c r="S5083" s="2">
        <v>0</v>
      </c>
      <c r="T5083" s="4"/>
      <c r="U5083">
        <v>2</v>
      </c>
      <c r="V5083">
        <v>1</v>
      </c>
      <c r="W5083">
        <v>1</v>
      </c>
    </row>
    <row r="5084" spans="1:23" ht="16.5" x14ac:dyDescent="0.3">
      <c r="A5084" t="s">
        <v>5148</v>
      </c>
      <c r="B5084" s="1">
        <v>46008</v>
      </c>
      <c r="C5084">
        <v>2025</v>
      </c>
      <c r="D5084" t="s">
        <v>1832</v>
      </c>
      <c r="E5084" t="s">
        <v>2264</v>
      </c>
      <c r="F5084" t="s">
        <v>26</v>
      </c>
      <c r="G5084" t="s">
        <v>33</v>
      </c>
      <c r="H5084" t="s">
        <v>38</v>
      </c>
      <c r="I5084" t="s">
        <v>29</v>
      </c>
      <c r="J5084" t="s">
        <v>35</v>
      </c>
      <c r="K5084" s="2">
        <v>5700</v>
      </c>
      <c r="L5084" s="2">
        <v>33000</v>
      </c>
      <c r="M5084">
        <v>48</v>
      </c>
      <c r="N5084" s="3">
        <v>0.248</v>
      </c>
      <c r="O5084" t="s">
        <v>17</v>
      </c>
      <c r="P5084" t="s">
        <v>31</v>
      </c>
      <c r="Q5084">
        <v>0</v>
      </c>
      <c r="R5084">
        <v>1</v>
      </c>
      <c r="S5084" s="2">
        <v>0</v>
      </c>
      <c r="T5084" s="4"/>
      <c r="U5084">
        <v>2</v>
      </c>
      <c r="V5084">
        <v>1</v>
      </c>
      <c r="W5084">
        <v>1</v>
      </c>
    </row>
    <row r="5085" spans="1:23" ht="16.5" x14ac:dyDescent="0.3">
      <c r="A5085" t="s">
        <v>5149</v>
      </c>
      <c r="B5085" s="1">
        <v>46008</v>
      </c>
      <c r="C5085">
        <v>2025</v>
      </c>
      <c r="D5085" t="s">
        <v>1832</v>
      </c>
      <c r="E5085" t="s">
        <v>2264</v>
      </c>
      <c r="F5085" t="s">
        <v>37</v>
      </c>
      <c r="G5085" t="s">
        <v>45</v>
      </c>
      <c r="H5085" t="s">
        <v>34</v>
      </c>
      <c r="I5085" t="s">
        <v>39</v>
      </c>
      <c r="J5085" t="s">
        <v>30</v>
      </c>
      <c r="K5085" s="2">
        <v>4950</v>
      </c>
      <c r="L5085" s="2">
        <v>7000</v>
      </c>
      <c r="M5085">
        <v>60</v>
      </c>
      <c r="N5085" s="3">
        <v>0.222</v>
      </c>
      <c r="O5085" t="s">
        <v>16</v>
      </c>
      <c r="Q5085">
        <v>1</v>
      </c>
      <c r="R5085">
        <v>0</v>
      </c>
      <c r="S5085" s="2">
        <v>7000</v>
      </c>
      <c r="T5085" s="4">
        <v>0.13420000000000001</v>
      </c>
      <c r="U5085">
        <v>2</v>
      </c>
      <c r="V5085">
        <v>1</v>
      </c>
      <c r="W5085">
        <v>1</v>
      </c>
    </row>
    <row r="5086" spans="1:23" ht="16.5" x14ac:dyDescent="0.3">
      <c r="A5086" t="s">
        <v>5150</v>
      </c>
      <c r="B5086" s="1">
        <v>46008</v>
      </c>
      <c r="C5086">
        <v>2025</v>
      </c>
      <c r="D5086" t="s">
        <v>1832</v>
      </c>
      <c r="E5086" t="s">
        <v>2264</v>
      </c>
      <c r="F5086" t="s">
        <v>37</v>
      </c>
      <c r="G5086" t="s">
        <v>51</v>
      </c>
      <c r="H5086" t="s">
        <v>34</v>
      </c>
      <c r="I5086" t="s">
        <v>29</v>
      </c>
      <c r="J5086" t="s">
        <v>35</v>
      </c>
      <c r="K5086" s="2">
        <v>2600</v>
      </c>
      <c r="L5086" s="2">
        <v>15500</v>
      </c>
      <c r="M5086">
        <v>24</v>
      </c>
      <c r="N5086" s="3">
        <v>0.51400000000000001</v>
      </c>
      <c r="O5086" t="s">
        <v>16</v>
      </c>
      <c r="Q5086">
        <v>1</v>
      </c>
      <c r="R5086">
        <v>0</v>
      </c>
      <c r="S5086" s="2">
        <v>15500</v>
      </c>
      <c r="T5086" s="4">
        <v>0.1234</v>
      </c>
      <c r="U5086">
        <v>7</v>
      </c>
      <c r="V5086">
        <v>0</v>
      </c>
      <c r="W5086">
        <v>1</v>
      </c>
    </row>
    <row r="5087" spans="1:23" ht="16.5" x14ac:dyDescent="0.3">
      <c r="A5087" t="s">
        <v>5151</v>
      </c>
      <c r="B5087" s="1">
        <v>46008</v>
      </c>
      <c r="C5087">
        <v>2025</v>
      </c>
      <c r="D5087" t="s">
        <v>1832</v>
      </c>
      <c r="E5087" t="s">
        <v>2264</v>
      </c>
      <c r="F5087" t="s">
        <v>37</v>
      </c>
      <c r="G5087" t="s">
        <v>51</v>
      </c>
      <c r="H5087" t="s">
        <v>38</v>
      </c>
      <c r="I5087" t="s">
        <v>29</v>
      </c>
      <c r="J5087" t="s">
        <v>35</v>
      </c>
      <c r="K5087" s="2">
        <v>7800</v>
      </c>
      <c r="L5087" s="2">
        <v>17000</v>
      </c>
      <c r="M5087">
        <v>36</v>
      </c>
      <c r="N5087" s="3">
        <v>0.123</v>
      </c>
      <c r="O5087" t="s">
        <v>16</v>
      </c>
      <c r="Q5087">
        <v>1</v>
      </c>
      <c r="R5087">
        <v>0</v>
      </c>
      <c r="S5087" s="2">
        <v>17000</v>
      </c>
      <c r="T5087" s="4">
        <v>0.1235</v>
      </c>
      <c r="U5087">
        <v>4</v>
      </c>
      <c r="V5087">
        <v>0</v>
      </c>
      <c r="W5087">
        <v>1</v>
      </c>
    </row>
    <row r="5088" spans="1:23" ht="16.5" x14ac:dyDescent="0.3">
      <c r="A5088" t="s">
        <v>5152</v>
      </c>
      <c r="B5088" s="1">
        <v>46008</v>
      </c>
      <c r="C5088">
        <v>2025</v>
      </c>
      <c r="D5088" t="s">
        <v>1832</v>
      </c>
      <c r="E5088" t="s">
        <v>2264</v>
      </c>
      <c r="F5088" t="s">
        <v>50</v>
      </c>
      <c r="G5088" t="s">
        <v>45</v>
      </c>
      <c r="H5088" t="s">
        <v>55</v>
      </c>
      <c r="I5088" t="s">
        <v>29</v>
      </c>
      <c r="J5088" t="s">
        <v>35</v>
      </c>
      <c r="K5088" s="2">
        <v>6250</v>
      </c>
      <c r="L5088" s="2">
        <v>149000</v>
      </c>
      <c r="M5088">
        <v>240</v>
      </c>
      <c r="N5088" s="3">
        <v>0.25800000000000001</v>
      </c>
      <c r="O5088" t="s">
        <v>16</v>
      </c>
      <c r="Q5088">
        <v>1</v>
      </c>
      <c r="R5088">
        <v>0</v>
      </c>
      <c r="S5088" s="2">
        <v>119000</v>
      </c>
      <c r="T5088" s="4">
        <v>5.8700000000000002E-2</v>
      </c>
      <c r="U5088">
        <v>9</v>
      </c>
      <c r="V5088">
        <v>1</v>
      </c>
      <c r="W5088">
        <v>1</v>
      </c>
    </row>
    <row r="5089" spans="1:23" ht="16.5" x14ac:dyDescent="0.3">
      <c r="A5089" t="s">
        <v>5153</v>
      </c>
      <c r="B5089" s="1">
        <v>46009</v>
      </c>
      <c r="C5089">
        <v>2025</v>
      </c>
      <c r="D5089" t="s">
        <v>1832</v>
      </c>
      <c r="E5089" t="s">
        <v>2264</v>
      </c>
      <c r="F5089" t="s">
        <v>37</v>
      </c>
      <c r="G5089" t="s">
        <v>51</v>
      </c>
      <c r="H5089" t="s">
        <v>55</v>
      </c>
      <c r="I5089" t="s">
        <v>29</v>
      </c>
      <c r="J5089" t="s">
        <v>52</v>
      </c>
      <c r="K5089" s="2">
        <v>11600</v>
      </c>
      <c r="L5089" s="2">
        <v>13000</v>
      </c>
      <c r="M5089">
        <v>60</v>
      </c>
      <c r="N5089" s="3">
        <v>0.193</v>
      </c>
      <c r="O5089" t="s">
        <v>16</v>
      </c>
      <c r="Q5089">
        <v>1</v>
      </c>
      <c r="R5089">
        <v>0</v>
      </c>
      <c r="S5089" s="2">
        <v>13000</v>
      </c>
      <c r="T5089" s="4">
        <v>0.11310000000000001</v>
      </c>
      <c r="U5089">
        <v>4</v>
      </c>
      <c r="V5089">
        <v>0</v>
      </c>
      <c r="W5089">
        <v>1</v>
      </c>
    </row>
    <row r="5090" spans="1:23" ht="16.5" x14ac:dyDescent="0.3">
      <c r="A5090" t="s">
        <v>5154</v>
      </c>
      <c r="B5090" s="1">
        <v>46009</v>
      </c>
      <c r="C5090">
        <v>2025</v>
      </c>
      <c r="D5090" t="s">
        <v>1832</v>
      </c>
      <c r="E5090" t="s">
        <v>2264</v>
      </c>
      <c r="F5090" t="s">
        <v>26</v>
      </c>
      <c r="G5090" t="s">
        <v>51</v>
      </c>
      <c r="H5090" t="s">
        <v>55</v>
      </c>
      <c r="I5090" t="s">
        <v>29</v>
      </c>
      <c r="J5090" t="s">
        <v>52</v>
      </c>
      <c r="K5090" s="2">
        <v>3600</v>
      </c>
      <c r="L5090" s="2">
        <v>39500</v>
      </c>
      <c r="M5090">
        <v>60</v>
      </c>
      <c r="N5090" s="3">
        <v>0.317</v>
      </c>
      <c r="O5090" t="s">
        <v>16</v>
      </c>
      <c r="Q5090">
        <v>1</v>
      </c>
      <c r="R5090">
        <v>0</v>
      </c>
      <c r="S5090" s="2">
        <v>39500</v>
      </c>
      <c r="T5090" s="4">
        <v>7.1900000000000006E-2</v>
      </c>
      <c r="U5090">
        <v>9</v>
      </c>
      <c r="V5090">
        <v>0</v>
      </c>
      <c r="W5090">
        <v>1</v>
      </c>
    </row>
    <row r="5091" spans="1:23" ht="16.5" x14ac:dyDescent="0.3">
      <c r="A5091" t="s">
        <v>5155</v>
      </c>
      <c r="B5091" s="1">
        <v>46009</v>
      </c>
      <c r="C5091">
        <v>2025</v>
      </c>
      <c r="D5091" t="s">
        <v>1832</v>
      </c>
      <c r="E5091" t="s">
        <v>2264</v>
      </c>
      <c r="F5091" t="s">
        <v>37</v>
      </c>
      <c r="G5091" t="s">
        <v>27</v>
      </c>
      <c r="H5091" t="s">
        <v>38</v>
      </c>
      <c r="I5091" t="s">
        <v>29</v>
      </c>
      <c r="J5091" t="s">
        <v>35</v>
      </c>
      <c r="K5091" s="2">
        <v>14600</v>
      </c>
      <c r="L5091" s="2">
        <v>12500</v>
      </c>
      <c r="M5091">
        <v>12</v>
      </c>
      <c r="N5091" s="3">
        <v>0.14099999999999999</v>
      </c>
      <c r="O5091" t="s">
        <v>16</v>
      </c>
      <c r="Q5091">
        <v>1</v>
      </c>
      <c r="R5091">
        <v>0</v>
      </c>
      <c r="S5091" s="2">
        <v>12500</v>
      </c>
      <c r="T5091" s="4">
        <v>0.1293</v>
      </c>
      <c r="U5091">
        <v>3</v>
      </c>
      <c r="V5091">
        <v>1</v>
      </c>
      <c r="W5091">
        <v>1</v>
      </c>
    </row>
    <row r="5092" spans="1:23" ht="16.5" x14ac:dyDescent="0.3">
      <c r="A5092" t="s">
        <v>5156</v>
      </c>
      <c r="B5092" s="1">
        <v>46009</v>
      </c>
      <c r="C5092">
        <v>2025</v>
      </c>
      <c r="D5092" t="s">
        <v>1832</v>
      </c>
      <c r="E5092" t="s">
        <v>2264</v>
      </c>
      <c r="F5092" t="s">
        <v>50</v>
      </c>
      <c r="G5092" t="s">
        <v>27</v>
      </c>
      <c r="H5092" t="s">
        <v>38</v>
      </c>
      <c r="I5092" t="s">
        <v>29</v>
      </c>
      <c r="J5092" t="s">
        <v>52</v>
      </c>
      <c r="K5092" s="2">
        <v>6900</v>
      </c>
      <c r="L5092" s="2">
        <v>614000</v>
      </c>
      <c r="M5092">
        <v>300</v>
      </c>
      <c r="N5092" s="3">
        <v>0.69299999999999995</v>
      </c>
      <c r="O5092" t="s">
        <v>16</v>
      </c>
      <c r="Q5092">
        <v>1</v>
      </c>
      <c r="R5092">
        <v>0</v>
      </c>
      <c r="S5092" s="2">
        <v>614000</v>
      </c>
      <c r="T5092" s="4">
        <v>4.8399999999999999E-2</v>
      </c>
      <c r="U5092">
        <v>11</v>
      </c>
      <c r="V5092">
        <v>1</v>
      </c>
      <c r="W5092">
        <v>1</v>
      </c>
    </row>
    <row r="5093" spans="1:23" ht="16.5" x14ac:dyDescent="0.3">
      <c r="A5093" t="s">
        <v>5157</v>
      </c>
      <c r="B5093" s="1">
        <v>46009</v>
      </c>
      <c r="C5093">
        <v>2025</v>
      </c>
      <c r="D5093" t="s">
        <v>1832</v>
      </c>
      <c r="E5093" t="s">
        <v>2264</v>
      </c>
      <c r="F5093" t="s">
        <v>26</v>
      </c>
      <c r="G5093" t="s">
        <v>51</v>
      </c>
      <c r="H5093" t="s">
        <v>38</v>
      </c>
      <c r="I5093" t="s">
        <v>39</v>
      </c>
      <c r="J5093" t="s">
        <v>43</v>
      </c>
      <c r="K5093" s="2">
        <v>6200</v>
      </c>
      <c r="L5093" s="2">
        <v>38000</v>
      </c>
      <c r="M5093">
        <v>60</v>
      </c>
      <c r="N5093" s="3">
        <v>0.23499999999999999</v>
      </c>
      <c r="O5093" t="s">
        <v>17</v>
      </c>
      <c r="P5093" t="s">
        <v>31</v>
      </c>
      <c r="Q5093">
        <v>0</v>
      </c>
      <c r="R5093">
        <v>1</v>
      </c>
      <c r="S5093" s="2">
        <v>0</v>
      </c>
      <c r="T5093" s="4"/>
      <c r="U5093">
        <v>8</v>
      </c>
      <c r="V5093">
        <v>0</v>
      </c>
      <c r="W5093">
        <v>1</v>
      </c>
    </row>
    <row r="5094" spans="1:23" ht="16.5" x14ac:dyDescent="0.3">
      <c r="A5094" t="s">
        <v>5158</v>
      </c>
      <c r="B5094" s="1">
        <v>46009</v>
      </c>
      <c r="C5094">
        <v>2025</v>
      </c>
      <c r="D5094" t="s">
        <v>1832</v>
      </c>
      <c r="E5094" t="s">
        <v>2264</v>
      </c>
      <c r="F5094" t="s">
        <v>26</v>
      </c>
      <c r="G5094" t="s">
        <v>45</v>
      </c>
      <c r="H5094" t="s">
        <v>34</v>
      </c>
      <c r="I5094" t="s">
        <v>29</v>
      </c>
      <c r="J5094" t="s">
        <v>46</v>
      </c>
      <c r="K5094" s="2">
        <v>6500</v>
      </c>
      <c r="L5094" s="2">
        <v>28500</v>
      </c>
      <c r="M5094">
        <v>36</v>
      </c>
      <c r="N5094" s="3">
        <v>0.28399999999999997</v>
      </c>
      <c r="O5094" t="s">
        <v>16</v>
      </c>
      <c r="Q5094">
        <v>1</v>
      </c>
      <c r="R5094">
        <v>0</v>
      </c>
      <c r="S5094" s="2">
        <v>28500</v>
      </c>
      <c r="T5094" s="4">
        <v>6.7599999999999993E-2</v>
      </c>
      <c r="U5094">
        <v>2</v>
      </c>
      <c r="V5094">
        <v>1</v>
      </c>
      <c r="W5094">
        <v>1</v>
      </c>
    </row>
    <row r="5095" spans="1:23" ht="16.5" x14ac:dyDescent="0.3">
      <c r="A5095" t="s">
        <v>5159</v>
      </c>
      <c r="B5095" s="1">
        <v>46009</v>
      </c>
      <c r="C5095">
        <v>2025</v>
      </c>
      <c r="D5095" t="s">
        <v>1832</v>
      </c>
      <c r="E5095" t="s">
        <v>2264</v>
      </c>
      <c r="F5095" t="s">
        <v>50</v>
      </c>
      <c r="G5095" t="s">
        <v>33</v>
      </c>
      <c r="H5095" t="s">
        <v>55</v>
      </c>
      <c r="I5095" t="s">
        <v>29</v>
      </c>
      <c r="J5095" t="s">
        <v>30</v>
      </c>
      <c r="K5095" s="2">
        <v>5650</v>
      </c>
      <c r="L5095" s="2">
        <v>293500</v>
      </c>
      <c r="M5095">
        <v>300</v>
      </c>
      <c r="N5095" s="3">
        <v>0.502</v>
      </c>
      <c r="O5095" t="s">
        <v>16</v>
      </c>
      <c r="Q5095">
        <v>1</v>
      </c>
      <c r="R5095">
        <v>0</v>
      </c>
      <c r="S5095" s="2">
        <v>293500</v>
      </c>
      <c r="T5095" s="4">
        <v>7.0099999999999996E-2</v>
      </c>
      <c r="U5095">
        <v>6</v>
      </c>
      <c r="V5095">
        <v>1</v>
      </c>
      <c r="W5095">
        <v>1</v>
      </c>
    </row>
    <row r="5096" spans="1:23" ht="16.5" x14ac:dyDescent="0.3">
      <c r="A5096" t="s">
        <v>5160</v>
      </c>
      <c r="B5096" s="1">
        <v>46009</v>
      </c>
      <c r="C5096">
        <v>2025</v>
      </c>
      <c r="D5096" t="s">
        <v>1832</v>
      </c>
      <c r="E5096" t="s">
        <v>2264</v>
      </c>
      <c r="F5096" t="s">
        <v>37</v>
      </c>
      <c r="G5096" t="s">
        <v>33</v>
      </c>
      <c r="H5096" t="s">
        <v>28</v>
      </c>
      <c r="I5096" t="s">
        <v>29</v>
      </c>
      <c r="J5096" t="s">
        <v>52</v>
      </c>
      <c r="K5096" s="2">
        <v>2800</v>
      </c>
      <c r="L5096" s="2">
        <v>9000</v>
      </c>
      <c r="M5096">
        <v>48</v>
      </c>
      <c r="N5096" s="3">
        <v>0.185</v>
      </c>
      <c r="O5096" t="s">
        <v>16</v>
      </c>
      <c r="Q5096">
        <v>1</v>
      </c>
      <c r="R5096">
        <v>0</v>
      </c>
      <c r="S5096" s="2">
        <v>7000</v>
      </c>
      <c r="T5096" s="4">
        <v>0.1114</v>
      </c>
      <c r="U5096">
        <v>1</v>
      </c>
      <c r="V5096">
        <v>1</v>
      </c>
      <c r="W5096">
        <v>1</v>
      </c>
    </row>
    <row r="5097" spans="1:23" ht="16.5" x14ac:dyDescent="0.3">
      <c r="A5097" t="s">
        <v>5161</v>
      </c>
      <c r="B5097" s="1">
        <v>46009</v>
      </c>
      <c r="C5097">
        <v>2025</v>
      </c>
      <c r="D5097" t="s">
        <v>1832</v>
      </c>
      <c r="E5097" t="s">
        <v>2264</v>
      </c>
      <c r="F5097" t="s">
        <v>37</v>
      </c>
      <c r="G5097" t="s">
        <v>45</v>
      </c>
      <c r="H5097" t="s">
        <v>38</v>
      </c>
      <c r="I5097" t="s">
        <v>29</v>
      </c>
      <c r="J5097" t="s">
        <v>30</v>
      </c>
      <c r="K5097" s="2">
        <v>2800</v>
      </c>
      <c r="L5097" s="2">
        <v>15500</v>
      </c>
      <c r="M5097">
        <v>48</v>
      </c>
      <c r="N5097" s="3">
        <v>0.33100000000000002</v>
      </c>
      <c r="O5097" t="s">
        <v>17</v>
      </c>
      <c r="P5097" t="s">
        <v>31</v>
      </c>
      <c r="Q5097">
        <v>0</v>
      </c>
      <c r="R5097">
        <v>1</v>
      </c>
      <c r="S5097" s="2">
        <v>0</v>
      </c>
      <c r="T5097" s="4"/>
      <c r="U5097">
        <v>1</v>
      </c>
      <c r="V5097">
        <v>1</v>
      </c>
      <c r="W5097">
        <v>1</v>
      </c>
    </row>
    <row r="5098" spans="1:23" ht="16.5" x14ac:dyDescent="0.3">
      <c r="A5098" t="s">
        <v>5162</v>
      </c>
      <c r="B5098" s="1">
        <v>46009</v>
      </c>
      <c r="C5098">
        <v>2025</v>
      </c>
      <c r="D5098" t="s">
        <v>1832</v>
      </c>
      <c r="E5098" t="s">
        <v>2264</v>
      </c>
      <c r="F5098" t="s">
        <v>37</v>
      </c>
      <c r="G5098" t="s">
        <v>45</v>
      </c>
      <c r="H5098" t="s">
        <v>55</v>
      </c>
      <c r="I5098" t="s">
        <v>42</v>
      </c>
      <c r="J5098" t="s">
        <v>35</v>
      </c>
      <c r="K5098" s="2">
        <v>5600</v>
      </c>
      <c r="L5098" s="2">
        <v>11000</v>
      </c>
      <c r="M5098">
        <v>24</v>
      </c>
      <c r="N5098" s="3">
        <v>0.28699999999999998</v>
      </c>
      <c r="O5098" t="s">
        <v>17</v>
      </c>
      <c r="P5098" t="s">
        <v>65</v>
      </c>
      <c r="Q5098">
        <v>0</v>
      </c>
      <c r="R5098">
        <v>1</v>
      </c>
      <c r="S5098" s="2">
        <v>0</v>
      </c>
      <c r="T5098" s="4"/>
      <c r="U5098">
        <v>2</v>
      </c>
      <c r="V5098">
        <v>1</v>
      </c>
      <c r="W5098">
        <v>1</v>
      </c>
    </row>
    <row r="5099" spans="1:23" ht="16.5" x14ac:dyDescent="0.3">
      <c r="A5099" t="s">
        <v>5163</v>
      </c>
      <c r="B5099" s="1">
        <v>46010</v>
      </c>
      <c r="C5099">
        <v>2025</v>
      </c>
      <c r="D5099" t="s">
        <v>1832</v>
      </c>
      <c r="E5099" t="s">
        <v>2264</v>
      </c>
      <c r="F5099" t="s">
        <v>26</v>
      </c>
      <c r="G5099" t="s">
        <v>45</v>
      </c>
      <c r="H5099" t="s">
        <v>38</v>
      </c>
      <c r="I5099" t="s">
        <v>39</v>
      </c>
      <c r="J5099" t="s">
        <v>35</v>
      </c>
      <c r="K5099" s="2">
        <v>6200</v>
      </c>
      <c r="L5099" s="2">
        <v>35000</v>
      </c>
      <c r="M5099">
        <v>36</v>
      </c>
      <c r="N5099" s="3">
        <v>0.31900000000000001</v>
      </c>
      <c r="O5099" t="s">
        <v>16</v>
      </c>
      <c r="Q5099">
        <v>1</v>
      </c>
      <c r="R5099">
        <v>0</v>
      </c>
      <c r="S5099" s="2">
        <v>28000</v>
      </c>
      <c r="T5099" s="4">
        <v>7.7799999999999994E-2</v>
      </c>
      <c r="U5099">
        <v>4</v>
      </c>
      <c r="V5099">
        <v>1</v>
      </c>
      <c r="W5099">
        <v>1</v>
      </c>
    </row>
    <row r="5100" spans="1:23" ht="16.5" x14ac:dyDescent="0.3">
      <c r="A5100" t="s">
        <v>5164</v>
      </c>
      <c r="B5100" s="1">
        <v>46010</v>
      </c>
      <c r="C5100">
        <v>2025</v>
      </c>
      <c r="D5100" t="s">
        <v>1832</v>
      </c>
      <c r="E5100" t="s">
        <v>2264</v>
      </c>
      <c r="F5100" t="s">
        <v>26</v>
      </c>
      <c r="G5100" t="s">
        <v>33</v>
      </c>
      <c r="H5100" t="s">
        <v>28</v>
      </c>
      <c r="I5100" t="s">
        <v>42</v>
      </c>
      <c r="J5100" t="s">
        <v>52</v>
      </c>
      <c r="K5100" s="2">
        <v>10100</v>
      </c>
      <c r="L5100" s="2">
        <v>60500</v>
      </c>
      <c r="M5100">
        <v>60</v>
      </c>
      <c r="N5100" s="3">
        <v>0.30299999999999999</v>
      </c>
      <c r="O5100" t="s">
        <v>16</v>
      </c>
      <c r="Q5100">
        <v>1</v>
      </c>
      <c r="R5100">
        <v>0</v>
      </c>
      <c r="S5100" s="2">
        <v>60500</v>
      </c>
      <c r="T5100" s="4">
        <v>6.9500000000000006E-2</v>
      </c>
      <c r="U5100">
        <v>1</v>
      </c>
      <c r="V5100">
        <v>1</v>
      </c>
      <c r="W5100">
        <v>1</v>
      </c>
    </row>
    <row r="5101" spans="1:23" ht="16.5" x14ac:dyDescent="0.3">
      <c r="A5101" t="s">
        <v>5165</v>
      </c>
      <c r="B5101" s="1">
        <v>46010</v>
      </c>
      <c r="C5101">
        <v>2025</v>
      </c>
      <c r="D5101" t="s">
        <v>1832</v>
      </c>
      <c r="E5101" t="s">
        <v>2264</v>
      </c>
      <c r="F5101" t="s">
        <v>37</v>
      </c>
      <c r="G5101" t="s">
        <v>51</v>
      </c>
      <c r="H5101" t="s">
        <v>34</v>
      </c>
      <c r="I5101" t="s">
        <v>29</v>
      </c>
      <c r="J5101" t="s">
        <v>30</v>
      </c>
      <c r="K5101" s="2">
        <v>6250</v>
      </c>
      <c r="L5101" s="2">
        <v>22500</v>
      </c>
      <c r="M5101">
        <v>36</v>
      </c>
      <c r="N5101" s="3">
        <v>0.23699999999999999</v>
      </c>
      <c r="O5101" t="s">
        <v>17</v>
      </c>
      <c r="P5101" t="s">
        <v>31</v>
      </c>
      <c r="Q5101">
        <v>0</v>
      </c>
      <c r="R5101">
        <v>1</v>
      </c>
      <c r="S5101" s="2">
        <v>0</v>
      </c>
      <c r="T5101" s="4"/>
      <c r="U5101">
        <v>4</v>
      </c>
      <c r="V5101">
        <v>0</v>
      </c>
      <c r="W5101">
        <v>1</v>
      </c>
    </row>
    <row r="5102" spans="1:23" ht="16.5" x14ac:dyDescent="0.3">
      <c r="A5102" t="s">
        <v>5166</v>
      </c>
      <c r="B5102" s="1">
        <v>46010</v>
      </c>
      <c r="C5102">
        <v>2025</v>
      </c>
      <c r="D5102" t="s">
        <v>1832</v>
      </c>
      <c r="E5102" t="s">
        <v>2264</v>
      </c>
      <c r="F5102" t="s">
        <v>37</v>
      </c>
      <c r="G5102" t="s">
        <v>33</v>
      </c>
      <c r="H5102" t="s">
        <v>64</v>
      </c>
      <c r="I5102" t="s">
        <v>29</v>
      </c>
      <c r="J5102" t="s">
        <v>46</v>
      </c>
      <c r="K5102" s="2">
        <v>5600</v>
      </c>
      <c r="L5102" s="2">
        <v>10000</v>
      </c>
      <c r="M5102">
        <v>48</v>
      </c>
      <c r="N5102" s="3">
        <v>0.22600000000000001</v>
      </c>
      <c r="O5102" t="s">
        <v>16</v>
      </c>
      <c r="Q5102">
        <v>1</v>
      </c>
      <c r="R5102">
        <v>0</v>
      </c>
      <c r="S5102" s="2">
        <v>10000</v>
      </c>
      <c r="T5102" s="4">
        <v>0.1014</v>
      </c>
      <c r="U5102">
        <v>1</v>
      </c>
      <c r="V5102">
        <v>1</v>
      </c>
      <c r="W5102">
        <v>1</v>
      </c>
    </row>
    <row r="5103" spans="1:23" ht="16.5" x14ac:dyDescent="0.3">
      <c r="A5103" t="s">
        <v>5167</v>
      </c>
      <c r="B5103" s="1">
        <v>46010</v>
      </c>
      <c r="C5103">
        <v>2025</v>
      </c>
      <c r="D5103" t="s">
        <v>1832</v>
      </c>
      <c r="E5103" t="s">
        <v>2264</v>
      </c>
      <c r="F5103" t="s">
        <v>41</v>
      </c>
      <c r="G5103" t="s">
        <v>33</v>
      </c>
      <c r="H5103" t="s">
        <v>55</v>
      </c>
      <c r="I5103" t="s">
        <v>29</v>
      </c>
      <c r="J5103" t="s">
        <v>46</v>
      </c>
      <c r="K5103" s="2">
        <v>3350</v>
      </c>
      <c r="L5103" s="2">
        <v>42500</v>
      </c>
      <c r="M5103">
        <v>60</v>
      </c>
      <c r="N5103" s="3">
        <v>0.39700000000000002</v>
      </c>
      <c r="O5103" t="s">
        <v>16</v>
      </c>
      <c r="Q5103">
        <v>1</v>
      </c>
      <c r="R5103">
        <v>0</v>
      </c>
      <c r="S5103" s="2">
        <v>42500</v>
      </c>
      <c r="T5103" s="4">
        <v>9.3600000000000003E-2</v>
      </c>
      <c r="U5103">
        <v>3</v>
      </c>
      <c r="V5103">
        <v>1</v>
      </c>
      <c r="W5103">
        <v>1</v>
      </c>
    </row>
    <row r="5104" spans="1:23" ht="16.5" x14ac:dyDescent="0.3">
      <c r="A5104" t="s">
        <v>5168</v>
      </c>
      <c r="B5104" s="1">
        <v>46010</v>
      </c>
      <c r="C5104">
        <v>2025</v>
      </c>
      <c r="D5104" t="s">
        <v>1832</v>
      </c>
      <c r="E5104" t="s">
        <v>2264</v>
      </c>
      <c r="F5104" t="s">
        <v>37</v>
      </c>
      <c r="G5104" t="s">
        <v>45</v>
      </c>
      <c r="H5104" t="s">
        <v>38</v>
      </c>
      <c r="I5104" t="s">
        <v>29</v>
      </c>
      <c r="J5104" t="s">
        <v>43</v>
      </c>
      <c r="K5104" s="2">
        <v>4550</v>
      </c>
      <c r="L5104" s="2">
        <v>20000</v>
      </c>
      <c r="M5104">
        <v>60</v>
      </c>
      <c r="N5104" s="3">
        <v>0.21199999999999999</v>
      </c>
      <c r="O5104" t="s">
        <v>125</v>
      </c>
      <c r="Q5104">
        <v>0</v>
      </c>
      <c r="R5104">
        <v>0</v>
      </c>
      <c r="S5104" s="2">
        <v>0</v>
      </c>
      <c r="T5104" s="4"/>
      <c r="U5104">
        <v>5</v>
      </c>
      <c r="V5104">
        <v>0</v>
      </c>
      <c r="W5104">
        <v>1</v>
      </c>
    </row>
    <row r="5105" spans="1:23" ht="16.5" x14ac:dyDescent="0.3">
      <c r="A5105" t="s">
        <v>5169</v>
      </c>
      <c r="B5105" s="1">
        <v>46010</v>
      </c>
      <c r="C5105">
        <v>2025</v>
      </c>
      <c r="D5105" t="s">
        <v>1832</v>
      </c>
      <c r="E5105" t="s">
        <v>2264</v>
      </c>
      <c r="F5105" t="s">
        <v>37</v>
      </c>
      <c r="G5105" t="s">
        <v>27</v>
      </c>
      <c r="H5105" t="s">
        <v>34</v>
      </c>
      <c r="I5105" t="s">
        <v>42</v>
      </c>
      <c r="J5105" t="s">
        <v>35</v>
      </c>
      <c r="K5105" s="2">
        <v>6450</v>
      </c>
      <c r="L5105" s="2">
        <v>15500</v>
      </c>
      <c r="M5105">
        <v>48</v>
      </c>
      <c r="N5105" s="3">
        <v>0.17599999999999999</v>
      </c>
      <c r="O5105" t="s">
        <v>16</v>
      </c>
      <c r="Q5105">
        <v>1</v>
      </c>
      <c r="R5105">
        <v>0</v>
      </c>
      <c r="S5105" s="2">
        <v>12500</v>
      </c>
      <c r="T5105" s="4">
        <v>0.1313</v>
      </c>
      <c r="U5105">
        <v>3</v>
      </c>
      <c r="V5105">
        <v>1</v>
      </c>
      <c r="W5105">
        <v>1</v>
      </c>
    </row>
    <row r="5106" spans="1:23" ht="16.5" x14ac:dyDescent="0.3">
      <c r="A5106" t="s">
        <v>5170</v>
      </c>
      <c r="B5106" s="1">
        <v>46010</v>
      </c>
      <c r="C5106">
        <v>2025</v>
      </c>
      <c r="D5106" t="s">
        <v>1832</v>
      </c>
      <c r="E5106" t="s">
        <v>2264</v>
      </c>
      <c r="F5106" t="s">
        <v>37</v>
      </c>
      <c r="G5106" t="s">
        <v>33</v>
      </c>
      <c r="H5106" t="s">
        <v>64</v>
      </c>
      <c r="I5106" t="s">
        <v>39</v>
      </c>
      <c r="J5106" t="s">
        <v>35</v>
      </c>
      <c r="K5106" s="2">
        <v>6950</v>
      </c>
      <c r="L5106" s="2">
        <v>18000</v>
      </c>
      <c r="M5106">
        <v>48</v>
      </c>
      <c r="N5106" s="3">
        <v>0.29599999999999999</v>
      </c>
      <c r="O5106" t="s">
        <v>17</v>
      </c>
      <c r="P5106" t="s">
        <v>65</v>
      </c>
      <c r="Q5106">
        <v>0</v>
      </c>
      <c r="R5106">
        <v>1</v>
      </c>
      <c r="S5106" s="2">
        <v>0</v>
      </c>
      <c r="T5106" s="4"/>
      <c r="U5106">
        <v>2</v>
      </c>
      <c r="V5106">
        <v>1</v>
      </c>
      <c r="W5106">
        <v>1</v>
      </c>
    </row>
    <row r="5107" spans="1:23" ht="16.5" x14ac:dyDescent="0.3">
      <c r="A5107" t="s">
        <v>5171</v>
      </c>
      <c r="B5107" s="1">
        <v>46010</v>
      </c>
      <c r="C5107">
        <v>2025</v>
      </c>
      <c r="D5107" t="s">
        <v>1832</v>
      </c>
      <c r="E5107" t="s">
        <v>2264</v>
      </c>
      <c r="F5107" t="s">
        <v>26</v>
      </c>
      <c r="G5107" t="s">
        <v>51</v>
      </c>
      <c r="H5107" t="s">
        <v>55</v>
      </c>
      <c r="I5107" t="s">
        <v>42</v>
      </c>
      <c r="J5107" t="s">
        <v>35</v>
      </c>
      <c r="K5107" s="2">
        <v>9950</v>
      </c>
      <c r="L5107" s="2">
        <v>9500</v>
      </c>
      <c r="M5107">
        <v>48</v>
      </c>
      <c r="N5107" s="3">
        <v>0.10100000000000001</v>
      </c>
      <c r="O5107" t="s">
        <v>16</v>
      </c>
      <c r="Q5107">
        <v>1</v>
      </c>
      <c r="R5107">
        <v>0</v>
      </c>
      <c r="S5107" s="2">
        <v>9500</v>
      </c>
      <c r="T5107" s="4">
        <v>8.5900000000000004E-2</v>
      </c>
      <c r="U5107">
        <v>4</v>
      </c>
      <c r="V5107">
        <v>1</v>
      </c>
      <c r="W5107">
        <v>1</v>
      </c>
    </row>
    <row r="5108" spans="1:23" ht="16.5" x14ac:dyDescent="0.3">
      <c r="A5108" t="s">
        <v>5172</v>
      </c>
      <c r="B5108" s="1">
        <v>46010</v>
      </c>
      <c r="C5108">
        <v>2025</v>
      </c>
      <c r="D5108" t="s">
        <v>1832</v>
      </c>
      <c r="E5108" t="s">
        <v>2264</v>
      </c>
      <c r="F5108" t="s">
        <v>37</v>
      </c>
      <c r="G5108" t="s">
        <v>45</v>
      </c>
      <c r="H5108" t="s">
        <v>64</v>
      </c>
      <c r="I5108" t="s">
        <v>29</v>
      </c>
      <c r="J5108" t="s">
        <v>35</v>
      </c>
      <c r="K5108" s="2">
        <v>16900</v>
      </c>
      <c r="L5108" s="2">
        <v>6500</v>
      </c>
      <c r="M5108">
        <v>12</v>
      </c>
      <c r="N5108" s="3">
        <v>0.16300000000000001</v>
      </c>
      <c r="O5108" t="s">
        <v>16</v>
      </c>
      <c r="Q5108">
        <v>1</v>
      </c>
      <c r="R5108">
        <v>0</v>
      </c>
      <c r="S5108" s="2">
        <v>6500</v>
      </c>
      <c r="T5108" s="4">
        <v>0.1234</v>
      </c>
      <c r="U5108">
        <v>1</v>
      </c>
      <c r="V5108">
        <v>1</v>
      </c>
      <c r="W5108">
        <v>1</v>
      </c>
    </row>
    <row r="5109" spans="1:23" ht="16.5" x14ac:dyDescent="0.3">
      <c r="A5109" t="s">
        <v>5173</v>
      </c>
      <c r="B5109" s="1">
        <v>46010</v>
      </c>
      <c r="C5109">
        <v>2025</v>
      </c>
      <c r="D5109" t="s">
        <v>1832</v>
      </c>
      <c r="E5109" t="s">
        <v>2264</v>
      </c>
      <c r="F5109" t="s">
        <v>37</v>
      </c>
      <c r="G5109" t="s">
        <v>45</v>
      </c>
      <c r="H5109" t="s">
        <v>55</v>
      </c>
      <c r="I5109" t="s">
        <v>39</v>
      </c>
      <c r="J5109" t="s">
        <v>30</v>
      </c>
      <c r="K5109" s="2">
        <v>5000</v>
      </c>
      <c r="L5109" s="2">
        <v>9500</v>
      </c>
      <c r="M5109">
        <v>24</v>
      </c>
      <c r="N5109" s="3">
        <v>0.16700000000000001</v>
      </c>
      <c r="O5109" t="s">
        <v>17</v>
      </c>
      <c r="P5109" t="s">
        <v>31</v>
      </c>
      <c r="Q5109">
        <v>0</v>
      </c>
      <c r="R5109">
        <v>1</v>
      </c>
      <c r="S5109" s="2">
        <v>0</v>
      </c>
      <c r="T5109" s="4"/>
      <c r="U5109">
        <v>1</v>
      </c>
      <c r="V5109">
        <v>1</v>
      </c>
      <c r="W5109">
        <v>1</v>
      </c>
    </row>
    <row r="5110" spans="1:23" ht="16.5" x14ac:dyDescent="0.3">
      <c r="A5110" t="s">
        <v>5174</v>
      </c>
      <c r="B5110" s="1">
        <v>46010</v>
      </c>
      <c r="C5110">
        <v>2025</v>
      </c>
      <c r="D5110" t="s">
        <v>1832</v>
      </c>
      <c r="E5110" t="s">
        <v>2264</v>
      </c>
      <c r="F5110" t="s">
        <v>26</v>
      </c>
      <c r="G5110" t="s">
        <v>51</v>
      </c>
      <c r="H5110" t="s">
        <v>55</v>
      </c>
      <c r="I5110" t="s">
        <v>29</v>
      </c>
      <c r="J5110" t="s">
        <v>52</v>
      </c>
      <c r="K5110" s="2">
        <v>3550</v>
      </c>
      <c r="L5110" s="2">
        <v>32000</v>
      </c>
      <c r="M5110">
        <v>36</v>
      </c>
      <c r="N5110" s="3">
        <v>0.36799999999999999</v>
      </c>
      <c r="O5110" t="s">
        <v>16</v>
      </c>
      <c r="Q5110">
        <v>1</v>
      </c>
      <c r="R5110">
        <v>0</v>
      </c>
      <c r="S5110" s="2">
        <v>32000</v>
      </c>
      <c r="T5110" s="4">
        <v>6.6900000000000001E-2</v>
      </c>
      <c r="U5110">
        <v>7</v>
      </c>
      <c r="V5110">
        <v>0</v>
      </c>
      <c r="W5110">
        <v>1</v>
      </c>
    </row>
    <row r="5111" spans="1:23" ht="16.5" x14ac:dyDescent="0.3">
      <c r="A5111" t="s">
        <v>5175</v>
      </c>
      <c r="B5111" s="1">
        <v>46011</v>
      </c>
      <c r="C5111">
        <v>2025</v>
      </c>
      <c r="D5111" t="s">
        <v>1832</v>
      </c>
      <c r="E5111" t="s">
        <v>2264</v>
      </c>
      <c r="F5111" t="s">
        <v>37</v>
      </c>
      <c r="G5111" t="s">
        <v>27</v>
      </c>
      <c r="H5111" t="s">
        <v>55</v>
      </c>
      <c r="I5111" t="s">
        <v>29</v>
      </c>
      <c r="J5111" t="s">
        <v>52</v>
      </c>
      <c r="K5111" s="2">
        <v>6550</v>
      </c>
      <c r="L5111" s="2">
        <v>10500</v>
      </c>
      <c r="M5111">
        <v>36</v>
      </c>
      <c r="N5111" s="3">
        <v>0.13300000000000001</v>
      </c>
      <c r="O5111" t="s">
        <v>16</v>
      </c>
      <c r="Q5111">
        <v>1</v>
      </c>
      <c r="R5111">
        <v>0</v>
      </c>
      <c r="S5111" s="2">
        <v>10500</v>
      </c>
      <c r="T5111" s="4">
        <v>0.1137</v>
      </c>
      <c r="U5111">
        <v>3</v>
      </c>
      <c r="V5111">
        <v>1</v>
      </c>
      <c r="W5111">
        <v>1</v>
      </c>
    </row>
    <row r="5112" spans="1:23" ht="16.5" x14ac:dyDescent="0.3">
      <c r="A5112" t="s">
        <v>5176</v>
      </c>
      <c r="B5112" s="1">
        <v>46011</v>
      </c>
      <c r="C5112">
        <v>2025</v>
      </c>
      <c r="D5112" t="s">
        <v>1832</v>
      </c>
      <c r="E5112" t="s">
        <v>2264</v>
      </c>
      <c r="F5112" t="s">
        <v>26</v>
      </c>
      <c r="G5112" t="s">
        <v>27</v>
      </c>
      <c r="H5112" t="s">
        <v>64</v>
      </c>
      <c r="I5112" t="s">
        <v>39</v>
      </c>
      <c r="J5112" t="s">
        <v>30</v>
      </c>
      <c r="K5112" s="2">
        <v>6300</v>
      </c>
      <c r="L5112" s="2">
        <v>11500</v>
      </c>
      <c r="M5112">
        <v>48</v>
      </c>
      <c r="N5112" s="3">
        <v>0.19900000000000001</v>
      </c>
      <c r="O5112" t="s">
        <v>16</v>
      </c>
      <c r="Q5112">
        <v>1</v>
      </c>
      <c r="R5112">
        <v>0</v>
      </c>
      <c r="S5112" s="2">
        <v>10500</v>
      </c>
      <c r="T5112" s="4">
        <v>9.8799999999999999E-2</v>
      </c>
      <c r="U5112">
        <v>4</v>
      </c>
      <c r="V5112">
        <v>1</v>
      </c>
      <c r="W5112">
        <v>1</v>
      </c>
    </row>
    <row r="5113" spans="1:23" ht="16.5" x14ac:dyDescent="0.3">
      <c r="A5113" t="s">
        <v>5177</v>
      </c>
      <c r="B5113" s="1">
        <v>46011</v>
      </c>
      <c r="C5113">
        <v>2025</v>
      </c>
      <c r="D5113" t="s">
        <v>1832</v>
      </c>
      <c r="E5113" t="s">
        <v>2264</v>
      </c>
      <c r="F5113" t="s">
        <v>26</v>
      </c>
      <c r="G5113" t="s">
        <v>51</v>
      </c>
      <c r="H5113" t="s">
        <v>64</v>
      </c>
      <c r="I5113" t="s">
        <v>39</v>
      </c>
      <c r="J5113" t="s">
        <v>30</v>
      </c>
      <c r="K5113" s="2">
        <v>3250</v>
      </c>
      <c r="L5113" s="2">
        <v>27000</v>
      </c>
      <c r="M5113">
        <v>36</v>
      </c>
      <c r="N5113" s="3">
        <v>0.42199999999999999</v>
      </c>
      <c r="O5113" t="s">
        <v>16</v>
      </c>
      <c r="Q5113">
        <v>1</v>
      </c>
      <c r="R5113">
        <v>0</v>
      </c>
      <c r="S5113" s="2">
        <v>24500</v>
      </c>
      <c r="T5113" s="4">
        <v>9.6799999999999997E-2</v>
      </c>
      <c r="U5113">
        <v>6</v>
      </c>
      <c r="V5113">
        <v>0</v>
      </c>
      <c r="W5113">
        <v>1</v>
      </c>
    </row>
    <row r="5114" spans="1:23" ht="16.5" x14ac:dyDescent="0.3">
      <c r="A5114" t="s">
        <v>5178</v>
      </c>
      <c r="B5114" s="1">
        <v>46012</v>
      </c>
      <c r="C5114">
        <v>2025</v>
      </c>
      <c r="D5114" t="s">
        <v>1832</v>
      </c>
      <c r="E5114" t="s">
        <v>2264</v>
      </c>
      <c r="F5114" t="s">
        <v>37</v>
      </c>
      <c r="G5114" t="s">
        <v>45</v>
      </c>
      <c r="H5114" t="s">
        <v>34</v>
      </c>
      <c r="I5114" t="s">
        <v>29</v>
      </c>
      <c r="J5114" t="s">
        <v>46</v>
      </c>
      <c r="K5114" s="2">
        <v>6800</v>
      </c>
      <c r="L5114" s="2">
        <v>10500</v>
      </c>
      <c r="M5114">
        <v>60</v>
      </c>
      <c r="N5114" s="3">
        <v>0.248</v>
      </c>
      <c r="O5114" t="s">
        <v>16</v>
      </c>
      <c r="Q5114">
        <v>1</v>
      </c>
      <c r="R5114">
        <v>0</v>
      </c>
      <c r="S5114" s="2">
        <v>10500</v>
      </c>
      <c r="T5114" s="4">
        <v>0.1096</v>
      </c>
      <c r="U5114">
        <v>1</v>
      </c>
      <c r="V5114">
        <v>1</v>
      </c>
      <c r="W5114">
        <v>1</v>
      </c>
    </row>
    <row r="5115" spans="1:23" ht="16.5" x14ac:dyDescent="0.3">
      <c r="A5115" t="s">
        <v>5179</v>
      </c>
      <c r="B5115" s="1">
        <v>46012</v>
      </c>
      <c r="C5115">
        <v>2025</v>
      </c>
      <c r="D5115" t="s">
        <v>1832</v>
      </c>
      <c r="E5115" t="s">
        <v>2264</v>
      </c>
      <c r="F5115" t="s">
        <v>37</v>
      </c>
      <c r="G5115" t="s">
        <v>27</v>
      </c>
      <c r="H5115" t="s">
        <v>38</v>
      </c>
      <c r="I5115" t="s">
        <v>39</v>
      </c>
      <c r="J5115" t="s">
        <v>35</v>
      </c>
      <c r="K5115" s="2">
        <v>10050</v>
      </c>
      <c r="L5115" s="2">
        <v>13500</v>
      </c>
      <c r="M5115">
        <v>48</v>
      </c>
      <c r="N5115" s="3">
        <v>0.27900000000000003</v>
      </c>
      <c r="O5115" t="s">
        <v>17</v>
      </c>
      <c r="P5115" t="s">
        <v>48</v>
      </c>
      <c r="Q5115">
        <v>0</v>
      </c>
      <c r="R5115">
        <v>1</v>
      </c>
      <c r="S5115" s="2">
        <v>0</v>
      </c>
      <c r="T5115" s="4"/>
      <c r="U5115">
        <v>4</v>
      </c>
      <c r="V5115">
        <v>0</v>
      </c>
      <c r="W5115">
        <v>1</v>
      </c>
    </row>
    <row r="5116" spans="1:23" ht="16.5" x14ac:dyDescent="0.3">
      <c r="A5116" t="s">
        <v>5180</v>
      </c>
      <c r="B5116" s="1">
        <v>46012</v>
      </c>
      <c r="C5116">
        <v>2025</v>
      </c>
      <c r="D5116" t="s">
        <v>1832</v>
      </c>
      <c r="E5116" t="s">
        <v>2264</v>
      </c>
      <c r="F5116" t="s">
        <v>41</v>
      </c>
      <c r="G5116" t="s">
        <v>33</v>
      </c>
      <c r="H5116" t="s">
        <v>34</v>
      </c>
      <c r="I5116" t="s">
        <v>39</v>
      </c>
      <c r="J5116" t="s">
        <v>30</v>
      </c>
      <c r="K5116" s="2">
        <v>4250</v>
      </c>
      <c r="L5116" s="2">
        <v>68000</v>
      </c>
      <c r="M5116">
        <v>36</v>
      </c>
      <c r="N5116" s="3">
        <v>0.76300000000000001</v>
      </c>
      <c r="O5116" t="s">
        <v>17</v>
      </c>
      <c r="P5116" t="s">
        <v>31</v>
      </c>
      <c r="Q5116">
        <v>0</v>
      </c>
      <c r="R5116">
        <v>1</v>
      </c>
      <c r="S5116" s="2">
        <v>0</v>
      </c>
      <c r="T5116" s="4"/>
      <c r="U5116">
        <v>7</v>
      </c>
      <c r="V5116">
        <v>1</v>
      </c>
      <c r="W5116">
        <v>1</v>
      </c>
    </row>
    <row r="5117" spans="1:23" ht="16.5" x14ac:dyDescent="0.3">
      <c r="A5117" t="s">
        <v>5181</v>
      </c>
      <c r="B5117" s="1">
        <v>46013</v>
      </c>
      <c r="C5117">
        <v>2025</v>
      </c>
      <c r="D5117" t="s">
        <v>1832</v>
      </c>
      <c r="E5117" t="s">
        <v>2264</v>
      </c>
      <c r="F5117" t="s">
        <v>37</v>
      </c>
      <c r="G5117" t="s">
        <v>45</v>
      </c>
      <c r="H5117" t="s">
        <v>55</v>
      </c>
      <c r="I5117" t="s">
        <v>29</v>
      </c>
      <c r="J5117" t="s">
        <v>43</v>
      </c>
      <c r="K5117" s="2">
        <v>4900</v>
      </c>
      <c r="L5117" s="2">
        <v>9500</v>
      </c>
      <c r="M5117">
        <v>36</v>
      </c>
      <c r="N5117" s="3">
        <v>0.28599999999999998</v>
      </c>
      <c r="O5117" t="s">
        <v>17</v>
      </c>
      <c r="P5117" t="s">
        <v>31</v>
      </c>
      <c r="Q5117">
        <v>0</v>
      </c>
      <c r="R5117">
        <v>1</v>
      </c>
      <c r="S5117" s="2">
        <v>0</v>
      </c>
      <c r="T5117" s="4"/>
      <c r="U5117">
        <v>1</v>
      </c>
      <c r="V5117">
        <v>1</v>
      </c>
      <c r="W5117">
        <v>1</v>
      </c>
    </row>
    <row r="5118" spans="1:23" ht="16.5" x14ac:dyDescent="0.3">
      <c r="A5118" t="s">
        <v>5182</v>
      </c>
      <c r="B5118" s="1">
        <v>46013</v>
      </c>
      <c r="C5118">
        <v>2025</v>
      </c>
      <c r="D5118" t="s">
        <v>1832</v>
      </c>
      <c r="E5118" t="s">
        <v>2264</v>
      </c>
      <c r="F5118" t="s">
        <v>37</v>
      </c>
      <c r="G5118" t="s">
        <v>45</v>
      </c>
      <c r="H5118" t="s">
        <v>38</v>
      </c>
      <c r="I5118" t="s">
        <v>39</v>
      </c>
      <c r="J5118" t="s">
        <v>43</v>
      </c>
      <c r="K5118" s="2">
        <v>3750</v>
      </c>
      <c r="L5118" s="2">
        <v>11500</v>
      </c>
      <c r="M5118">
        <v>12</v>
      </c>
      <c r="N5118" s="3">
        <v>0.36</v>
      </c>
      <c r="O5118" t="s">
        <v>17</v>
      </c>
      <c r="P5118" t="s">
        <v>48</v>
      </c>
      <c r="Q5118">
        <v>0</v>
      </c>
      <c r="R5118">
        <v>1</v>
      </c>
      <c r="S5118" s="2">
        <v>0</v>
      </c>
      <c r="T5118" s="4"/>
      <c r="U5118">
        <v>2</v>
      </c>
      <c r="V5118">
        <v>1</v>
      </c>
      <c r="W5118">
        <v>1</v>
      </c>
    </row>
    <row r="5119" spans="1:23" ht="16.5" x14ac:dyDescent="0.3">
      <c r="A5119" t="s">
        <v>5183</v>
      </c>
      <c r="B5119" s="1">
        <v>46013</v>
      </c>
      <c r="C5119">
        <v>2025</v>
      </c>
      <c r="D5119" t="s">
        <v>1832</v>
      </c>
      <c r="E5119" t="s">
        <v>2264</v>
      </c>
      <c r="F5119" t="s">
        <v>37</v>
      </c>
      <c r="G5119" t="s">
        <v>45</v>
      </c>
      <c r="H5119" t="s">
        <v>34</v>
      </c>
      <c r="I5119" t="s">
        <v>39</v>
      </c>
      <c r="J5119" t="s">
        <v>46</v>
      </c>
      <c r="K5119" s="2">
        <v>8850</v>
      </c>
      <c r="L5119" s="2">
        <v>9000</v>
      </c>
      <c r="M5119">
        <v>48</v>
      </c>
      <c r="N5119" s="3">
        <v>9.9000000000000005E-2</v>
      </c>
      <c r="O5119" t="s">
        <v>16</v>
      </c>
      <c r="Q5119">
        <v>1</v>
      </c>
      <c r="R5119">
        <v>0</v>
      </c>
      <c r="S5119" s="2">
        <v>9000</v>
      </c>
      <c r="T5119" s="4">
        <v>0.1158</v>
      </c>
      <c r="U5119">
        <v>1</v>
      </c>
      <c r="V5119">
        <v>1</v>
      </c>
      <c r="W5119">
        <v>1</v>
      </c>
    </row>
    <row r="5120" spans="1:23" ht="16.5" x14ac:dyDescent="0.3">
      <c r="A5120" t="s">
        <v>5184</v>
      </c>
      <c r="B5120" s="1">
        <v>46013</v>
      </c>
      <c r="C5120">
        <v>2025</v>
      </c>
      <c r="D5120" t="s">
        <v>1832</v>
      </c>
      <c r="E5120" t="s">
        <v>2264</v>
      </c>
      <c r="F5120" t="s">
        <v>37</v>
      </c>
      <c r="G5120" t="s">
        <v>45</v>
      </c>
      <c r="H5120" t="s">
        <v>38</v>
      </c>
      <c r="I5120" t="s">
        <v>29</v>
      </c>
      <c r="J5120" t="s">
        <v>30</v>
      </c>
      <c r="K5120" s="2">
        <v>4100</v>
      </c>
      <c r="L5120" s="2">
        <v>16500</v>
      </c>
      <c r="M5120">
        <v>36</v>
      </c>
      <c r="N5120" s="3">
        <v>0.3</v>
      </c>
      <c r="O5120" t="s">
        <v>16</v>
      </c>
      <c r="Q5120">
        <v>1</v>
      </c>
      <c r="R5120">
        <v>0</v>
      </c>
      <c r="S5120" s="2">
        <v>16500</v>
      </c>
      <c r="T5120" s="4">
        <v>0.13619999999999999</v>
      </c>
      <c r="U5120">
        <v>2</v>
      </c>
      <c r="V5120">
        <v>1</v>
      </c>
      <c r="W5120">
        <v>1</v>
      </c>
    </row>
    <row r="5121" spans="1:23" ht="16.5" x14ac:dyDescent="0.3">
      <c r="A5121" t="s">
        <v>5185</v>
      </c>
      <c r="B5121" s="1">
        <v>46013</v>
      </c>
      <c r="C5121">
        <v>2025</v>
      </c>
      <c r="D5121" t="s">
        <v>1832</v>
      </c>
      <c r="E5121" t="s">
        <v>2264</v>
      </c>
      <c r="F5121" t="s">
        <v>50</v>
      </c>
      <c r="G5121" t="s">
        <v>51</v>
      </c>
      <c r="H5121" t="s">
        <v>38</v>
      </c>
      <c r="I5121" t="s">
        <v>29</v>
      </c>
      <c r="J5121" t="s">
        <v>30</v>
      </c>
      <c r="K5121" s="2">
        <v>3250</v>
      </c>
      <c r="L5121" s="2">
        <v>389500</v>
      </c>
      <c r="M5121">
        <v>180</v>
      </c>
      <c r="N5121" s="3">
        <v>1.121</v>
      </c>
      <c r="O5121" t="s">
        <v>17</v>
      </c>
      <c r="P5121" t="s">
        <v>31</v>
      </c>
      <c r="Q5121">
        <v>0</v>
      </c>
      <c r="R5121">
        <v>1</v>
      </c>
      <c r="S5121" s="2">
        <v>0</v>
      </c>
      <c r="T5121" s="4"/>
      <c r="U5121">
        <v>24</v>
      </c>
      <c r="V5121">
        <v>0</v>
      </c>
      <c r="W5121">
        <v>1</v>
      </c>
    </row>
    <row r="5122" spans="1:23" ht="16.5" x14ac:dyDescent="0.3">
      <c r="A5122" t="s">
        <v>5186</v>
      </c>
      <c r="B5122" s="1">
        <v>46013</v>
      </c>
      <c r="C5122">
        <v>2025</v>
      </c>
      <c r="D5122" t="s">
        <v>1832</v>
      </c>
      <c r="E5122" t="s">
        <v>2264</v>
      </c>
      <c r="F5122" t="s">
        <v>41</v>
      </c>
      <c r="G5122" t="s">
        <v>51</v>
      </c>
      <c r="H5122" t="s">
        <v>55</v>
      </c>
      <c r="I5122" t="s">
        <v>42</v>
      </c>
      <c r="J5122" t="s">
        <v>43</v>
      </c>
      <c r="K5122" s="2">
        <v>6600</v>
      </c>
      <c r="L5122" s="2">
        <v>179500</v>
      </c>
      <c r="M5122">
        <v>12</v>
      </c>
      <c r="N5122" s="3">
        <v>2.6269999999999998</v>
      </c>
      <c r="O5122" t="s">
        <v>17</v>
      </c>
      <c r="P5122" t="s">
        <v>31</v>
      </c>
      <c r="Q5122">
        <v>0</v>
      </c>
      <c r="R5122">
        <v>1</v>
      </c>
      <c r="S5122" s="2">
        <v>0</v>
      </c>
      <c r="T5122" s="4"/>
      <c r="U5122">
        <v>18</v>
      </c>
      <c r="V5122">
        <v>0</v>
      </c>
      <c r="W5122">
        <v>1</v>
      </c>
    </row>
    <row r="5123" spans="1:23" ht="16.5" x14ac:dyDescent="0.3">
      <c r="A5123" t="s">
        <v>5187</v>
      </c>
      <c r="B5123" s="1">
        <v>46013</v>
      </c>
      <c r="C5123">
        <v>2025</v>
      </c>
      <c r="D5123" t="s">
        <v>1832</v>
      </c>
      <c r="E5123" t="s">
        <v>2264</v>
      </c>
      <c r="F5123" t="s">
        <v>41</v>
      </c>
      <c r="G5123" t="s">
        <v>33</v>
      </c>
      <c r="H5123" t="s">
        <v>38</v>
      </c>
      <c r="I5123" t="s">
        <v>42</v>
      </c>
      <c r="J5123" t="s">
        <v>46</v>
      </c>
      <c r="K5123" s="2">
        <v>4950</v>
      </c>
      <c r="L5123" s="2">
        <v>106000</v>
      </c>
      <c r="M5123">
        <v>36</v>
      </c>
      <c r="N5123" s="3">
        <v>0.84599999999999997</v>
      </c>
      <c r="O5123" t="s">
        <v>16</v>
      </c>
      <c r="Q5123">
        <v>1</v>
      </c>
      <c r="R5123">
        <v>0</v>
      </c>
      <c r="S5123" s="2">
        <v>106000</v>
      </c>
      <c r="T5123" s="4">
        <v>9.0899999999999995E-2</v>
      </c>
      <c r="U5123">
        <v>2</v>
      </c>
      <c r="V5123">
        <v>1</v>
      </c>
      <c r="W5123">
        <v>1</v>
      </c>
    </row>
    <row r="5124" spans="1:23" ht="16.5" x14ac:dyDescent="0.3">
      <c r="A5124" t="s">
        <v>5188</v>
      </c>
      <c r="B5124" s="1">
        <v>46013</v>
      </c>
      <c r="C5124">
        <v>2025</v>
      </c>
      <c r="D5124" t="s">
        <v>1832</v>
      </c>
      <c r="E5124" t="s">
        <v>2264</v>
      </c>
      <c r="F5124" t="s">
        <v>37</v>
      </c>
      <c r="G5124" t="s">
        <v>45</v>
      </c>
      <c r="H5124" t="s">
        <v>38</v>
      </c>
      <c r="I5124" t="s">
        <v>42</v>
      </c>
      <c r="J5124" t="s">
        <v>30</v>
      </c>
      <c r="K5124" s="2">
        <v>6800</v>
      </c>
      <c r="L5124" s="2">
        <v>11500</v>
      </c>
      <c r="M5124">
        <v>12</v>
      </c>
      <c r="N5124" s="3">
        <v>0.38700000000000001</v>
      </c>
      <c r="O5124" t="s">
        <v>16</v>
      </c>
      <c r="Q5124">
        <v>1</v>
      </c>
      <c r="R5124">
        <v>0</v>
      </c>
      <c r="S5124" s="2">
        <v>9000</v>
      </c>
      <c r="T5124" s="4">
        <v>0.14480000000000001</v>
      </c>
      <c r="U5124">
        <v>1</v>
      </c>
      <c r="V5124">
        <v>1</v>
      </c>
      <c r="W5124">
        <v>1</v>
      </c>
    </row>
    <row r="5125" spans="1:23" ht="16.5" x14ac:dyDescent="0.3">
      <c r="A5125" t="s">
        <v>5189</v>
      </c>
      <c r="B5125" s="1">
        <v>46013</v>
      </c>
      <c r="C5125">
        <v>2025</v>
      </c>
      <c r="D5125" t="s">
        <v>1832</v>
      </c>
      <c r="E5125" t="s">
        <v>2264</v>
      </c>
      <c r="F5125" t="s">
        <v>50</v>
      </c>
      <c r="G5125" t="s">
        <v>27</v>
      </c>
      <c r="H5125" t="s">
        <v>38</v>
      </c>
      <c r="I5125" t="s">
        <v>39</v>
      </c>
      <c r="J5125" t="s">
        <v>35</v>
      </c>
      <c r="K5125" s="2">
        <v>6200</v>
      </c>
      <c r="L5125" s="2">
        <v>206000</v>
      </c>
      <c r="M5125">
        <v>300</v>
      </c>
      <c r="N5125" s="3">
        <v>0.34399999999999997</v>
      </c>
      <c r="O5125" t="s">
        <v>16</v>
      </c>
      <c r="Q5125">
        <v>1</v>
      </c>
      <c r="R5125">
        <v>0</v>
      </c>
      <c r="S5125" s="2">
        <v>165000</v>
      </c>
      <c r="T5125" s="4">
        <v>6.1899999999999997E-2</v>
      </c>
      <c r="U5125">
        <v>14</v>
      </c>
      <c r="V5125">
        <v>1</v>
      </c>
      <c r="W5125">
        <v>1</v>
      </c>
    </row>
    <row r="5126" spans="1:23" ht="16.5" x14ac:dyDescent="0.3">
      <c r="A5126" t="s">
        <v>5190</v>
      </c>
      <c r="B5126" s="1">
        <v>46013</v>
      </c>
      <c r="C5126">
        <v>2025</v>
      </c>
      <c r="D5126" t="s">
        <v>1832</v>
      </c>
      <c r="E5126" t="s">
        <v>2264</v>
      </c>
      <c r="F5126" t="s">
        <v>37</v>
      </c>
      <c r="G5126" t="s">
        <v>45</v>
      </c>
      <c r="H5126" t="s">
        <v>38</v>
      </c>
      <c r="I5126" t="s">
        <v>29</v>
      </c>
      <c r="J5126" t="s">
        <v>43</v>
      </c>
      <c r="K5126" s="2">
        <v>5150</v>
      </c>
      <c r="L5126" s="2">
        <v>11000</v>
      </c>
      <c r="M5126">
        <v>12</v>
      </c>
      <c r="N5126" s="3">
        <v>0.34699999999999998</v>
      </c>
      <c r="O5126" t="s">
        <v>17</v>
      </c>
      <c r="P5126" t="s">
        <v>31</v>
      </c>
      <c r="Q5126">
        <v>0</v>
      </c>
      <c r="R5126">
        <v>1</v>
      </c>
      <c r="S5126" s="2">
        <v>0</v>
      </c>
      <c r="T5126" s="4"/>
      <c r="U5126">
        <v>1</v>
      </c>
      <c r="V5126">
        <v>1</v>
      </c>
      <c r="W5126">
        <v>1</v>
      </c>
    </row>
    <row r="5127" spans="1:23" ht="16.5" x14ac:dyDescent="0.3">
      <c r="A5127" t="s">
        <v>5191</v>
      </c>
      <c r="B5127" s="1">
        <v>46013</v>
      </c>
      <c r="C5127">
        <v>2025</v>
      </c>
      <c r="D5127" t="s">
        <v>1832</v>
      </c>
      <c r="E5127" t="s">
        <v>2264</v>
      </c>
      <c r="F5127" t="s">
        <v>41</v>
      </c>
      <c r="G5127" t="s">
        <v>51</v>
      </c>
      <c r="H5127" t="s">
        <v>64</v>
      </c>
      <c r="I5127" t="s">
        <v>42</v>
      </c>
      <c r="J5127" t="s">
        <v>35</v>
      </c>
      <c r="K5127" s="2">
        <v>4200</v>
      </c>
      <c r="L5127" s="2">
        <v>85000</v>
      </c>
      <c r="M5127">
        <v>12</v>
      </c>
      <c r="N5127" s="3">
        <v>1.9159999999999999</v>
      </c>
      <c r="O5127" t="s">
        <v>17</v>
      </c>
      <c r="P5127" t="s">
        <v>53</v>
      </c>
      <c r="Q5127">
        <v>0</v>
      </c>
      <c r="R5127">
        <v>1</v>
      </c>
      <c r="S5127" s="2">
        <v>0</v>
      </c>
      <c r="T5127" s="4"/>
      <c r="U5127">
        <v>18</v>
      </c>
      <c r="V5127">
        <v>0</v>
      </c>
      <c r="W5127">
        <v>1</v>
      </c>
    </row>
    <row r="5128" spans="1:23" ht="16.5" x14ac:dyDescent="0.3">
      <c r="A5128" t="s">
        <v>5192</v>
      </c>
      <c r="B5128" s="1">
        <v>46013</v>
      </c>
      <c r="C5128">
        <v>2025</v>
      </c>
      <c r="D5128" t="s">
        <v>1832</v>
      </c>
      <c r="E5128" t="s">
        <v>2264</v>
      </c>
      <c r="F5128" t="s">
        <v>41</v>
      </c>
      <c r="G5128" t="s">
        <v>51</v>
      </c>
      <c r="H5128" t="s">
        <v>38</v>
      </c>
      <c r="I5128" t="s">
        <v>29</v>
      </c>
      <c r="J5128" t="s">
        <v>35</v>
      </c>
      <c r="K5128" s="2">
        <v>4250</v>
      </c>
      <c r="L5128" s="2">
        <v>52500</v>
      </c>
      <c r="M5128">
        <v>36</v>
      </c>
      <c r="N5128" s="3">
        <v>0.56599999999999995</v>
      </c>
      <c r="O5128" t="s">
        <v>17</v>
      </c>
      <c r="P5128" t="s">
        <v>53</v>
      </c>
      <c r="Q5128">
        <v>0</v>
      </c>
      <c r="R5128">
        <v>1</v>
      </c>
      <c r="S5128" s="2">
        <v>0</v>
      </c>
      <c r="T5128" s="4"/>
      <c r="U5128">
        <v>10</v>
      </c>
      <c r="V5128">
        <v>1</v>
      </c>
      <c r="W5128">
        <v>1</v>
      </c>
    </row>
    <row r="5129" spans="1:23" ht="16.5" x14ac:dyDescent="0.3">
      <c r="A5129" t="s">
        <v>5193</v>
      </c>
      <c r="B5129" s="1">
        <v>46014</v>
      </c>
      <c r="C5129">
        <v>2025</v>
      </c>
      <c r="D5129" t="s">
        <v>1832</v>
      </c>
      <c r="E5129" t="s">
        <v>2264</v>
      </c>
      <c r="F5129" t="s">
        <v>37</v>
      </c>
      <c r="G5129" t="s">
        <v>27</v>
      </c>
      <c r="H5129" t="s">
        <v>38</v>
      </c>
      <c r="I5129" t="s">
        <v>39</v>
      </c>
      <c r="J5129" t="s">
        <v>30</v>
      </c>
      <c r="K5129" s="2">
        <v>3100</v>
      </c>
      <c r="L5129" s="2">
        <v>15500</v>
      </c>
      <c r="M5129">
        <v>60</v>
      </c>
      <c r="N5129" s="3">
        <v>0.252</v>
      </c>
      <c r="O5129" t="s">
        <v>17</v>
      </c>
      <c r="P5129" t="s">
        <v>31</v>
      </c>
      <c r="Q5129">
        <v>0</v>
      </c>
      <c r="R5129">
        <v>1</v>
      </c>
      <c r="S5129" s="2">
        <v>0</v>
      </c>
      <c r="T5129" s="4"/>
      <c r="U5129">
        <v>2</v>
      </c>
      <c r="V5129">
        <v>1</v>
      </c>
      <c r="W5129">
        <v>1</v>
      </c>
    </row>
    <row r="5130" spans="1:23" ht="16.5" x14ac:dyDescent="0.3">
      <c r="A5130" t="s">
        <v>5194</v>
      </c>
      <c r="B5130" s="1">
        <v>46014</v>
      </c>
      <c r="C5130">
        <v>2025</v>
      </c>
      <c r="D5130" t="s">
        <v>1832</v>
      </c>
      <c r="E5130" t="s">
        <v>2264</v>
      </c>
      <c r="F5130" t="s">
        <v>37</v>
      </c>
      <c r="G5130" t="s">
        <v>45</v>
      </c>
      <c r="H5130" t="s">
        <v>55</v>
      </c>
      <c r="I5130" t="s">
        <v>29</v>
      </c>
      <c r="J5130" t="s">
        <v>52</v>
      </c>
      <c r="K5130" s="2">
        <v>7050</v>
      </c>
      <c r="L5130" s="2">
        <v>4500</v>
      </c>
      <c r="M5130">
        <v>36</v>
      </c>
      <c r="N5130" s="3">
        <v>7.5999999999999998E-2</v>
      </c>
      <c r="O5130" t="s">
        <v>16</v>
      </c>
      <c r="Q5130">
        <v>1</v>
      </c>
      <c r="R5130">
        <v>0</v>
      </c>
      <c r="S5130" s="2">
        <v>4500</v>
      </c>
      <c r="T5130" s="4">
        <v>0.1148</v>
      </c>
      <c r="U5130">
        <v>1</v>
      </c>
      <c r="V5130">
        <v>1</v>
      </c>
      <c r="W5130">
        <v>1</v>
      </c>
    </row>
    <row r="5131" spans="1:23" ht="16.5" x14ac:dyDescent="0.3">
      <c r="A5131" t="s">
        <v>5195</v>
      </c>
      <c r="B5131" s="1">
        <v>46014</v>
      </c>
      <c r="C5131">
        <v>2025</v>
      </c>
      <c r="D5131" t="s">
        <v>1832</v>
      </c>
      <c r="E5131" t="s">
        <v>2264</v>
      </c>
      <c r="F5131" t="s">
        <v>50</v>
      </c>
      <c r="G5131" t="s">
        <v>45</v>
      </c>
      <c r="H5131" t="s">
        <v>55</v>
      </c>
      <c r="I5131" t="s">
        <v>39</v>
      </c>
      <c r="J5131" t="s">
        <v>43</v>
      </c>
      <c r="K5131" s="2">
        <v>5600</v>
      </c>
      <c r="L5131" s="2">
        <v>350000</v>
      </c>
      <c r="M5131">
        <v>240</v>
      </c>
      <c r="N5131" s="3">
        <v>0.53</v>
      </c>
      <c r="O5131" t="s">
        <v>17</v>
      </c>
      <c r="P5131" t="s">
        <v>53</v>
      </c>
      <c r="Q5131">
        <v>0</v>
      </c>
      <c r="R5131">
        <v>1</v>
      </c>
      <c r="S5131" s="2">
        <v>0</v>
      </c>
      <c r="T5131" s="4"/>
      <c r="U5131">
        <v>7</v>
      </c>
      <c r="V5131">
        <v>1</v>
      </c>
      <c r="W5131">
        <v>1</v>
      </c>
    </row>
    <row r="5132" spans="1:23" ht="16.5" x14ac:dyDescent="0.3">
      <c r="A5132" t="s">
        <v>5196</v>
      </c>
      <c r="B5132" s="1">
        <v>46014</v>
      </c>
      <c r="C5132">
        <v>2025</v>
      </c>
      <c r="D5132" t="s">
        <v>1832</v>
      </c>
      <c r="E5132" t="s">
        <v>2264</v>
      </c>
      <c r="F5132" t="s">
        <v>37</v>
      </c>
      <c r="G5132" t="s">
        <v>45</v>
      </c>
      <c r="H5132" t="s">
        <v>34</v>
      </c>
      <c r="I5132" t="s">
        <v>39</v>
      </c>
      <c r="J5132" t="s">
        <v>30</v>
      </c>
      <c r="K5132" s="2">
        <v>3500</v>
      </c>
      <c r="L5132" s="2">
        <v>15500</v>
      </c>
      <c r="M5132">
        <v>60</v>
      </c>
      <c r="N5132" s="3">
        <v>0.14899999999999999</v>
      </c>
      <c r="O5132" t="s">
        <v>16</v>
      </c>
      <c r="Q5132">
        <v>1</v>
      </c>
      <c r="R5132">
        <v>0</v>
      </c>
      <c r="S5132" s="2">
        <v>14000</v>
      </c>
      <c r="T5132" s="4">
        <v>0.14380000000000001</v>
      </c>
      <c r="U5132">
        <v>2</v>
      </c>
      <c r="V5132">
        <v>1</v>
      </c>
      <c r="W5132">
        <v>1</v>
      </c>
    </row>
    <row r="5133" spans="1:23" ht="16.5" x14ac:dyDescent="0.3">
      <c r="A5133" t="s">
        <v>5197</v>
      </c>
      <c r="B5133" s="1">
        <v>46014</v>
      </c>
      <c r="C5133">
        <v>2025</v>
      </c>
      <c r="D5133" t="s">
        <v>1832</v>
      </c>
      <c r="E5133" t="s">
        <v>2264</v>
      </c>
      <c r="F5133" t="s">
        <v>50</v>
      </c>
      <c r="G5133" t="s">
        <v>33</v>
      </c>
      <c r="H5133" t="s">
        <v>38</v>
      </c>
      <c r="I5133" t="s">
        <v>29</v>
      </c>
      <c r="J5133" t="s">
        <v>43</v>
      </c>
      <c r="K5133" s="2">
        <v>5400</v>
      </c>
      <c r="L5133" s="2">
        <v>149000</v>
      </c>
      <c r="M5133">
        <v>180</v>
      </c>
      <c r="N5133" s="3">
        <v>0.28100000000000003</v>
      </c>
      <c r="O5133" t="s">
        <v>17</v>
      </c>
      <c r="P5133" t="s">
        <v>31</v>
      </c>
      <c r="Q5133">
        <v>0</v>
      </c>
      <c r="R5133">
        <v>1</v>
      </c>
      <c r="S5133" s="2">
        <v>0</v>
      </c>
      <c r="T5133" s="4"/>
      <c r="U5133">
        <v>7</v>
      </c>
      <c r="V5133">
        <v>1</v>
      </c>
      <c r="W5133">
        <v>1</v>
      </c>
    </row>
    <row r="5134" spans="1:23" ht="16.5" x14ac:dyDescent="0.3">
      <c r="A5134" t="s">
        <v>5198</v>
      </c>
      <c r="B5134" s="1">
        <v>46014</v>
      </c>
      <c r="C5134">
        <v>2025</v>
      </c>
      <c r="D5134" t="s">
        <v>1832</v>
      </c>
      <c r="E5134" t="s">
        <v>2264</v>
      </c>
      <c r="F5134" t="s">
        <v>26</v>
      </c>
      <c r="G5134" t="s">
        <v>33</v>
      </c>
      <c r="H5134" t="s">
        <v>55</v>
      </c>
      <c r="I5134" t="s">
        <v>42</v>
      </c>
      <c r="J5134" t="s">
        <v>30</v>
      </c>
      <c r="K5134" s="2">
        <v>4200</v>
      </c>
      <c r="L5134" s="2">
        <v>24000</v>
      </c>
      <c r="M5134">
        <v>60</v>
      </c>
      <c r="N5134" s="3">
        <v>0.245</v>
      </c>
      <c r="O5134" t="s">
        <v>16</v>
      </c>
      <c r="Q5134">
        <v>1</v>
      </c>
      <c r="R5134">
        <v>0</v>
      </c>
      <c r="S5134" s="2">
        <v>24000</v>
      </c>
      <c r="T5134" s="4">
        <v>9.11E-2</v>
      </c>
      <c r="U5134">
        <v>2</v>
      </c>
      <c r="V5134">
        <v>1</v>
      </c>
      <c r="W5134">
        <v>1</v>
      </c>
    </row>
    <row r="5135" spans="1:23" ht="16.5" x14ac:dyDescent="0.3">
      <c r="A5135" t="s">
        <v>5199</v>
      </c>
      <c r="B5135" s="1">
        <v>46014</v>
      </c>
      <c r="C5135">
        <v>2025</v>
      </c>
      <c r="D5135" t="s">
        <v>1832</v>
      </c>
      <c r="E5135" t="s">
        <v>2264</v>
      </c>
      <c r="F5135" t="s">
        <v>41</v>
      </c>
      <c r="G5135" t="s">
        <v>45</v>
      </c>
      <c r="H5135" t="s">
        <v>38</v>
      </c>
      <c r="I5135" t="s">
        <v>39</v>
      </c>
      <c r="J5135" t="s">
        <v>46</v>
      </c>
      <c r="K5135" s="2">
        <v>11550</v>
      </c>
      <c r="L5135" s="2">
        <v>60000</v>
      </c>
      <c r="M5135">
        <v>60</v>
      </c>
      <c r="N5135" s="3">
        <v>0.32400000000000001</v>
      </c>
      <c r="O5135" t="s">
        <v>16</v>
      </c>
      <c r="Q5135">
        <v>1</v>
      </c>
      <c r="R5135">
        <v>0</v>
      </c>
      <c r="S5135" s="2">
        <v>60000</v>
      </c>
      <c r="T5135" s="4">
        <v>9.0700000000000003E-2</v>
      </c>
      <c r="U5135">
        <v>5</v>
      </c>
      <c r="V5135">
        <v>1</v>
      </c>
      <c r="W5135">
        <v>1</v>
      </c>
    </row>
    <row r="5136" spans="1:23" ht="16.5" x14ac:dyDescent="0.3">
      <c r="A5136" t="s">
        <v>5200</v>
      </c>
      <c r="B5136" s="1">
        <v>46014</v>
      </c>
      <c r="C5136">
        <v>2025</v>
      </c>
      <c r="D5136" t="s">
        <v>1832</v>
      </c>
      <c r="E5136" t="s">
        <v>2264</v>
      </c>
      <c r="F5136" t="s">
        <v>26</v>
      </c>
      <c r="G5136" t="s">
        <v>27</v>
      </c>
      <c r="H5136" t="s">
        <v>55</v>
      </c>
      <c r="I5136" t="s">
        <v>39</v>
      </c>
      <c r="J5136" t="s">
        <v>30</v>
      </c>
      <c r="K5136" s="2">
        <v>7550</v>
      </c>
      <c r="L5136" s="2">
        <v>29500</v>
      </c>
      <c r="M5136">
        <v>60</v>
      </c>
      <c r="N5136" s="3">
        <v>0.13500000000000001</v>
      </c>
      <c r="O5136" t="s">
        <v>16</v>
      </c>
      <c r="Q5136">
        <v>1</v>
      </c>
      <c r="R5136">
        <v>0</v>
      </c>
      <c r="S5136" s="2">
        <v>29500</v>
      </c>
      <c r="T5136" s="4">
        <v>9.8500000000000004E-2</v>
      </c>
      <c r="U5136">
        <v>3</v>
      </c>
      <c r="V5136">
        <v>1</v>
      </c>
      <c r="W5136">
        <v>1</v>
      </c>
    </row>
    <row r="5137" spans="1:23" ht="16.5" x14ac:dyDescent="0.3">
      <c r="A5137" t="s">
        <v>5201</v>
      </c>
      <c r="B5137" s="1">
        <v>46014</v>
      </c>
      <c r="C5137">
        <v>2025</v>
      </c>
      <c r="D5137" t="s">
        <v>1832</v>
      </c>
      <c r="E5137" t="s">
        <v>2264</v>
      </c>
      <c r="F5137" t="s">
        <v>37</v>
      </c>
      <c r="G5137" t="s">
        <v>45</v>
      </c>
      <c r="H5137" t="s">
        <v>38</v>
      </c>
      <c r="I5137" t="s">
        <v>42</v>
      </c>
      <c r="J5137" t="s">
        <v>43</v>
      </c>
      <c r="K5137" s="2">
        <v>9050</v>
      </c>
      <c r="L5137" s="2">
        <v>12500</v>
      </c>
      <c r="M5137">
        <v>60</v>
      </c>
      <c r="N5137" s="3">
        <v>0.23799999999999999</v>
      </c>
      <c r="O5137" t="s">
        <v>17</v>
      </c>
      <c r="P5137" t="s">
        <v>31</v>
      </c>
      <c r="Q5137">
        <v>0</v>
      </c>
      <c r="R5137">
        <v>1</v>
      </c>
      <c r="S5137" s="2">
        <v>0</v>
      </c>
      <c r="T5137" s="4"/>
      <c r="U5137">
        <v>4</v>
      </c>
      <c r="V5137">
        <v>0</v>
      </c>
      <c r="W5137">
        <v>1</v>
      </c>
    </row>
    <row r="5138" spans="1:23" ht="16.5" x14ac:dyDescent="0.3">
      <c r="A5138" t="s">
        <v>5202</v>
      </c>
      <c r="B5138" s="1">
        <v>46014</v>
      </c>
      <c r="C5138">
        <v>2025</v>
      </c>
      <c r="D5138" t="s">
        <v>1832</v>
      </c>
      <c r="E5138" t="s">
        <v>2264</v>
      </c>
      <c r="F5138" t="s">
        <v>37</v>
      </c>
      <c r="G5138" t="s">
        <v>33</v>
      </c>
      <c r="H5138" t="s">
        <v>38</v>
      </c>
      <c r="I5138" t="s">
        <v>39</v>
      </c>
      <c r="J5138" t="s">
        <v>35</v>
      </c>
      <c r="K5138" s="2">
        <v>4250</v>
      </c>
      <c r="L5138" s="2">
        <v>14500</v>
      </c>
      <c r="M5138">
        <v>24</v>
      </c>
      <c r="N5138" s="3">
        <v>0.26500000000000001</v>
      </c>
      <c r="O5138" t="s">
        <v>16</v>
      </c>
      <c r="Q5138">
        <v>1</v>
      </c>
      <c r="R5138">
        <v>0</v>
      </c>
      <c r="S5138" s="2">
        <v>14500</v>
      </c>
      <c r="T5138" s="4">
        <v>0.1258</v>
      </c>
      <c r="U5138">
        <v>1</v>
      </c>
      <c r="V5138">
        <v>1</v>
      </c>
      <c r="W5138">
        <v>1</v>
      </c>
    </row>
    <row r="5139" spans="1:23" ht="16.5" x14ac:dyDescent="0.3">
      <c r="A5139" t="s">
        <v>5203</v>
      </c>
      <c r="B5139" s="1">
        <v>46014</v>
      </c>
      <c r="C5139">
        <v>2025</v>
      </c>
      <c r="D5139" t="s">
        <v>1832</v>
      </c>
      <c r="E5139" t="s">
        <v>2264</v>
      </c>
      <c r="F5139" t="s">
        <v>50</v>
      </c>
      <c r="G5139" t="s">
        <v>33</v>
      </c>
      <c r="H5139" t="s">
        <v>38</v>
      </c>
      <c r="I5139" t="s">
        <v>39</v>
      </c>
      <c r="J5139" t="s">
        <v>52</v>
      </c>
      <c r="K5139" s="2">
        <v>2500</v>
      </c>
      <c r="L5139" s="2">
        <v>211000</v>
      </c>
      <c r="M5139">
        <v>300</v>
      </c>
      <c r="N5139" s="3">
        <v>0.64200000000000002</v>
      </c>
      <c r="O5139" t="s">
        <v>16</v>
      </c>
      <c r="Q5139">
        <v>1</v>
      </c>
      <c r="R5139">
        <v>0</v>
      </c>
      <c r="S5139" s="2">
        <v>190000</v>
      </c>
      <c r="T5139" s="4">
        <v>4.9700000000000001E-2</v>
      </c>
      <c r="U5139">
        <v>6</v>
      </c>
      <c r="V5139">
        <v>1</v>
      </c>
      <c r="W5139">
        <v>1</v>
      </c>
    </row>
    <row r="5140" spans="1:23" ht="16.5" x14ac:dyDescent="0.3">
      <c r="A5140" t="s">
        <v>5204</v>
      </c>
      <c r="B5140" s="1">
        <v>46014</v>
      </c>
      <c r="C5140">
        <v>2025</v>
      </c>
      <c r="D5140" t="s">
        <v>1832</v>
      </c>
      <c r="E5140" t="s">
        <v>2264</v>
      </c>
      <c r="F5140" t="s">
        <v>50</v>
      </c>
      <c r="G5140" t="s">
        <v>33</v>
      </c>
      <c r="H5140" t="s">
        <v>28</v>
      </c>
      <c r="I5140" t="s">
        <v>39</v>
      </c>
      <c r="J5140" t="s">
        <v>30</v>
      </c>
      <c r="K5140" s="2">
        <v>4750</v>
      </c>
      <c r="L5140" s="2">
        <v>254500</v>
      </c>
      <c r="M5140">
        <v>180</v>
      </c>
      <c r="N5140" s="3">
        <v>0.501</v>
      </c>
      <c r="O5140" t="s">
        <v>16</v>
      </c>
      <c r="Q5140">
        <v>1</v>
      </c>
      <c r="R5140">
        <v>0</v>
      </c>
      <c r="S5140" s="2">
        <v>203500</v>
      </c>
      <c r="T5140" s="4">
        <v>7.2400000000000006E-2</v>
      </c>
      <c r="U5140">
        <v>4</v>
      </c>
      <c r="V5140">
        <v>1</v>
      </c>
      <c r="W5140">
        <v>1</v>
      </c>
    </row>
    <row r="5141" spans="1:23" ht="16.5" x14ac:dyDescent="0.3">
      <c r="A5141" t="s">
        <v>5205</v>
      </c>
      <c r="B5141" s="1">
        <v>46014</v>
      </c>
      <c r="C5141">
        <v>2025</v>
      </c>
      <c r="D5141" t="s">
        <v>1832</v>
      </c>
      <c r="E5141" t="s">
        <v>2264</v>
      </c>
      <c r="F5141" t="s">
        <v>41</v>
      </c>
      <c r="G5141" t="s">
        <v>45</v>
      </c>
      <c r="H5141" t="s">
        <v>34</v>
      </c>
      <c r="I5141" t="s">
        <v>39</v>
      </c>
      <c r="J5141" t="s">
        <v>43</v>
      </c>
      <c r="K5141" s="2">
        <v>9750</v>
      </c>
      <c r="L5141" s="2">
        <v>139500</v>
      </c>
      <c r="M5141">
        <v>12</v>
      </c>
      <c r="N5141" s="3">
        <v>1.3720000000000001</v>
      </c>
      <c r="O5141" t="s">
        <v>17</v>
      </c>
      <c r="P5141" t="s">
        <v>31</v>
      </c>
      <c r="Q5141">
        <v>0</v>
      </c>
      <c r="R5141">
        <v>1</v>
      </c>
      <c r="S5141" s="2">
        <v>0</v>
      </c>
      <c r="T5141" s="4"/>
      <c r="U5141">
        <v>5</v>
      </c>
      <c r="V5141">
        <v>1</v>
      </c>
      <c r="W5141">
        <v>1</v>
      </c>
    </row>
    <row r="5142" spans="1:23" ht="16.5" x14ac:dyDescent="0.3">
      <c r="A5142" t="s">
        <v>5206</v>
      </c>
      <c r="B5142" s="1">
        <v>46014</v>
      </c>
      <c r="C5142">
        <v>2025</v>
      </c>
      <c r="D5142" t="s">
        <v>1832</v>
      </c>
      <c r="E5142" t="s">
        <v>2264</v>
      </c>
      <c r="F5142" t="s">
        <v>26</v>
      </c>
      <c r="G5142" t="s">
        <v>45</v>
      </c>
      <c r="H5142" t="s">
        <v>55</v>
      </c>
      <c r="I5142" t="s">
        <v>39</v>
      </c>
      <c r="J5142" t="s">
        <v>30</v>
      </c>
      <c r="K5142" s="2">
        <v>7200</v>
      </c>
      <c r="L5142" s="2">
        <v>12500</v>
      </c>
      <c r="M5142">
        <v>60</v>
      </c>
      <c r="N5142" s="3">
        <v>0.106</v>
      </c>
      <c r="O5142" t="s">
        <v>17</v>
      </c>
      <c r="P5142" t="s">
        <v>65</v>
      </c>
      <c r="Q5142">
        <v>0</v>
      </c>
      <c r="R5142">
        <v>1</v>
      </c>
      <c r="S5142" s="2">
        <v>0</v>
      </c>
      <c r="T5142" s="4"/>
      <c r="U5142">
        <v>3</v>
      </c>
      <c r="V5142">
        <v>1</v>
      </c>
      <c r="W5142">
        <v>1</v>
      </c>
    </row>
    <row r="5143" spans="1:23" ht="16.5" x14ac:dyDescent="0.3">
      <c r="A5143" t="s">
        <v>5207</v>
      </c>
      <c r="B5143" s="1">
        <v>46014</v>
      </c>
      <c r="C5143">
        <v>2025</v>
      </c>
      <c r="D5143" t="s">
        <v>1832</v>
      </c>
      <c r="E5143" t="s">
        <v>2264</v>
      </c>
      <c r="F5143" t="s">
        <v>37</v>
      </c>
      <c r="G5143" t="s">
        <v>33</v>
      </c>
      <c r="H5143" t="s">
        <v>55</v>
      </c>
      <c r="I5143" t="s">
        <v>42</v>
      </c>
      <c r="J5143" t="s">
        <v>35</v>
      </c>
      <c r="K5143" s="2">
        <v>13100</v>
      </c>
      <c r="L5143" s="2">
        <v>11500</v>
      </c>
      <c r="M5143">
        <v>48</v>
      </c>
      <c r="N5143" s="3">
        <v>0.21299999999999999</v>
      </c>
      <c r="O5143" t="s">
        <v>16</v>
      </c>
      <c r="Q5143">
        <v>1</v>
      </c>
      <c r="R5143">
        <v>0</v>
      </c>
      <c r="S5143" s="2">
        <v>11500</v>
      </c>
      <c r="T5143" s="4">
        <v>0.12970000000000001</v>
      </c>
      <c r="U5143">
        <v>1</v>
      </c>
      <c r="V5143">
        <v>1</v>
      </c>
      <c r="W5143">
        <v>1</v>
      </c>
    </row>
    <row r="5144" spans="1:23" ht="16.5" x14ac:dyDescent="0.3">
      <c r="A5144" t="s">
        <v>5208</v>
      </c>
      <c r="B5144" s="1">
        <v>46015</v>
      </c>
      <c r="C5144">
        <v>2025</v>
      </c>
      <c r="D5144" t="s">
        <v>1832</v>
      </c>
      <c r="E5144" t="s">
        <v>2264</v>
      </c>
      <c r="F5144" t="s">
        <v>50</v>
      </c>
      <c r="G5144" t="s">
        <v>45</v>
      </c>
      <c r="H5144" t="s">
        <v>28</v>
      </c>
      <c r="I5144" t="s">
        <v>42</v>
      </c>
      <c r="J5144" t="s">
        <v>35</v>
      </c>
      <c r="K5144" s="2">
        <v>9300</v>
      </c>
      <c r="L5144" s="2">
        <v>188500</v>
      </c>
      <c r="M5144">
        <v>180</v>
      </c>
      <c r="N5144" s="3">
        <v>0.36199999999999999</v>
      </c>
      <c r="O5144" t="s">
        <v>16</v>
      </c>
      <c r="Q5144">
        <v>1</v>
      </c>
      <c r="R5144">
        <v>0</v>
      </c>
      <c r="S5144" s="2">
        <v>151000</v>
      </c>
      <c r="T5144" s="4">
        <v>5.7799999999999997E-2</v>
      </c>
      <c r="U5144">
        <v>7</v>
      </c>
      <c r="V5144">
        <v>1</v>
      </c>
      <c r="W5144">
        <v>1</v>
      </c>
    </row>
    <row r="5145" spans="1:23" ht="16.5" x14ac:dyDescent="0.3">
      <c r="A5145" t="s">
        <v>5209</v>
      </c>
      <c r="B5145" s="1">
        <v>46015</v>
      </c>
      <c r="C5145">
        <v>2025</v>
      </c>
      <c r="D5145" t="s">
        <v>1832</v>
      </c>
      <c r="E5145" t="s">
        <v>2264</v>
      </c>
      <c r="F5145" t="s">
        <v>37</v>
      </c>
      <c r="G5145" t="s">
        <v>33</v>
      </c>
      <c r="H5145" t="s">
        <v>34</v>
      </c>
      <c r="I5145" t="s">
        <v>42</v>
      </c>
      <c r="J5145" t="s">
        <v>52</v>
      </c>
      <c r="K5145" s="2">
        <v>5450</v>
      </c>
      <c r="L5145" s="2">
        <v>4000</v>
      </c>
      <c r="M5145">
        <v>48</v>
      </c>
      <c r="N5145" s="3">
        <v>0.16700000000000001</v>
      </c>
      <c r="O5145" t="s">
        <v>17</v>
      </c>
      <c r="P5145" t="s">
        <v>65</v>
      </c>
      <c r="Q5145">
        <v>0</v>
      </c>
      <c r="R5145">
        <v>1</v>
      </c>
      <c r="S5145" s="2">
        <v>0</v>
      </c>
      <c r="T5145" s="4"/>
      <c r="U5145">
        <v>1</v>
      </c>
      <c r="V5145">
        <v>1</v>
      </c>
      <c r="W5145">
        <v>1</v>
      </c>
    </row>
    <row r="5146" spans="1:23" ht="16.5" x14ac:dyDescent="0.3">
      <c r="A5146" t="s">
        <v>5210</v>
      </c>
      <c r="B5146" s="1">
        <v>46015</v>
      </c>
      <c r="C5146">
        <v>2025</v>
      </c>
      <c r="D5146" t="s">
        <v>1832</v>
      </c>
      <c r="E5146" t="s">
        <v>2264</v>
      </c>
      <c r="F5146" t="s">
        <v>50</v>
      </c>
      <c r="G5146" t="s">
        <v>51</v>
      </c>
      <c r="H5146" t="s">
        <v>55</v>
      </c>
      <c r="I5146" t="s">
        <v>39</v>
      </c>
      <c r="J5146" t="s">
        <v>52</v>
      </c>
      <c r="K5146" s="2">
        <v>4400</v>
      </c>
      <c r="L5146" s="2">
        <v>241500</v>
      </c>
      <c r="M5146">
        <v>240</v>
      </c>
      <c r="N5146" s="3">
        <v>0.55500000000000005</v>
      </c>
      <c r="O5146" t="s">
        <v>16</v>
      </c>
      <c r="Q5146">
        <v>1</v>
      </c>
      <c r="R5146">
        <v>0</v>
      </c>
      <c r="S5146" s="2">
        <v>193000</v>
      </c>
      <c r="T5146" s="4">
        <v>4.5900000000000003E-2</v>
      </c>
      <c r="U5146">
        <v>23</v>
      </c>
      <c r="V5146">
        <v>0</v>
      </c>
      <c r="W5146">
        <v>1</v>
      </c>
    </row>
    <row r="5147" spans="1:23" ht="16.5" x14ac:dyDescent="0.3">
      <c r="A5147" t="s">
        <v>5211</v>
      </c>
      <c r="B5147" s="1">
        <v>46015</v>
      </c>
      <c r="C5147">
        <v>2025</v>
      </c>
      <c r="D5147" t="s">
        <v>1832</v>
      </c>
      <c r="E5147" t="s">
        <v>2264</v>
      </c>
      <c r="F5147" t="s">
        <v>37</v>
      </c>
      <c r="G5147" t="s">
        <v>27</v>
      </c>
      <c r="H5147" t="s">
        <v>64</v>
      </c>
      <c r="I5147" t="s">
        <v>39</v>
      </c>
      <c r="J5147" t="s">
        <v>35</v>
      </c>
      <c r="K5147" s="2">
        <v>2550</v>
      </c>
      <c r="L5147" s="2">
        <v>21500</v>
      </c>
      <c r="M5147">
        <v>24</v>
      </c>
      <c r="N5147" s="3">
        <v>0.45</v>
      </c>
      <c r="O5147" t="s">
        <v>16</v>
      </c>
      <c r="Q5147">
        <v>1</v>
      </c>
      <c r="R5147">
        <v>0</v>
      </c>
      <c r="S5147" s="2">
        <v>19500</v>
      </c>
      <c r="T5147" s="4">
        <v>0.1232</v>
      </c>
      <c r="U5147">
        <v>5</v>
      </c>
      <c r="V5147">
        <v>0</v>
      </c>
      <c r="W5147">
        <v>1</v>
      </c>
    </row>
    <row r="5148" spans="1:23" ht="16.5" x14ac:dyDescent="0.3">
      <c r="A5148" t="s">
        <v>5212</v>
      </c>
      <c r="B5148" s="1">
        <v>46015</v>
      </c>
      <c r="C5148">
        <v>2025</v>
      </c>
      <c r="D5148" t="s">
        <v>1832</v>
      </c>
      <c r="E5148" t="s">
        <v>2264</v>
      </c>
      <c r="F5148" t="s">
        <v>37</v>
      </c>
      <c r="G5148" t="s">
        <v>45</v>
      </c>
      <c r="H5148" t="s">
        <v>38</v>
      </c>
      <c r="I5148" t="s">
        <v>39</v>
      </c>
      <c r="J5148" t="s">
        <v>52</v>
      </c>
      <c r="K5148" s="2">
        <v>4650</v>
      </c>
      <c r="L5148" s="2">
        <v>18500</v>
      </c>
      <c r="M5148">
        <v>36</v>
      </c>
      <c r="N5148" s="3">
        <v>0.33</v>
      </c>
      <c r="O5148" t="s">
        <v>16</v>
      </c>
      <c r="Q5148">
        <v>1</v>
      </c>
      <c r="R5148">
        <v>0</v>
      </c>
      <c r="S5148" s="2">
        <v>15000</v>
      </c>
      <c r="T5148" s="4">
        <v>0.1114</v>
      </c>
      <c r="U5148">
        <v>1</v>
      </c>
      <c r="V5148">
        <v>1</v>
      </c>
      <c r="W5148">
        <v>1</v>
      </c>
    </row>
    <row r="5149" spans="1:23" ht="16.5" x14ac:dyDescent="0.3">
      <c r="A5149" t="s">
        <v>5213</v>
      </c>
      <c r="B5149" s="1">
        <v>46015</v>
      </c>
      <c r="C5149">
        <v>2025</v>
      </c>
      <c r="D5149" t="s">
        <v>1832</v>
      </c>
      <c r="E5149" t="s">
        <v>2264</v>
      </c>
      <c r="F5149" t="s">
        <v>26</v>
      </c>
      <c r="G5149" t="s">
        <v>51</v>
      </c>
      <c r="H5149" t="s">
        <v>55</v>
      </c>
      <c r="I5149" t="s">
        <v>39</v>
      </c>
      <c r="J5149" t="s">
        <v>35</v>
      </c>
      <c r="K5149" s="2">
        <v>4700</v>
      </c>
      <c r="L5149" s="2">
        <v>30000</v>
      </c>
      <c r="M5149">
        <v>60</v>
      </c>
      <c r="N5149" s="3">
        <v>0.193</v>
      </c>
      <c r="O5149" t="s">
        <v>16</v>
      </c>
      <c r="Q5149">
        <v>1</v>
      </c>
      <c r="R5149">
        <v>0</v>
      </c>
      <c r="S5149" s="2">
        <v>30000</v>
      </c>
      <c r="T5149" s="4">
        <v>8.6300000000000002E-2</v>
      </c>
      <c r="U5149">
        <v>6</v>
      </c>
      <c r="V5149">
        <v>0</v>
      </c>
      <c r="W5149">
        <v>1</v>
      </c>
    </row>
    <row r="5150" spans="1:23" ht="16.5" x14ac:dyDescent="0.3">
      <c r="A5150" t="s">
        <v>5214</v>
      </c>
      <c r="B5150" s="1">
        <v>46015</v>
      </c>
      <c r="C5150">
        <v>2025</v>
      </c>
      <c r="D5150" t="s">
        <v>1832</v>
      </c>
      <c r="E5150" t="s">
        <v>2264</v>
      </c>
      <c r="F5150" t="s">
        <v>41</v>
      </c>
      <c r="G5150" t="s">
        <v>51</v>
      </c>
      <c r="H5150" t="s">
        <v>55</v>
      </c>
      <c r="I5150" t="s">
        <v>42</v>
      </c>
      <c r="J5150" t="s">
        <v>43</v>
      </c>
      <c r="K5150" s="2">
        <v>10250</v>
      </c>
      <c r="L5150" s="2">
        <v>89500</v>
      </c>
      <c r="M5150">
        <v>24</v>
      </c>
      <c r="N5150" s="3">
        <v>0.47299999999999998</v>
      </c>
      <c r="O5150" t="s">
        <v>17</v>
      </c>
      <c r="P5150" t="s">
        <v>31</v>
      </c>
      <c r="Q5150">
        <v>0</v>
      </c>
      <c r="R5150">
        <v>1</v>
      </c>
      <c r="S5150" s="2">
        <v>0</v>
      </c>
      <c r="T5150" s="4"/>
      <c r="U5150">
        <v>9</v>
      </c>
      <c r="V5150">
        <v>1</v>
      </c>
      <c r="W5150">
        <v>1</v>
      </c>
    </row>
    <row r="5151" spans="1:23" ht="16.5" x14ac:dyDescent="0.3">
      <c r="A5151" t="s">
        <v>5215</v>
      </c>
      <c r="B5151" s="1">
        <v>46016</v>
      </c>
      <c r="C5151">
        <v>2025</v>
      </c>
      <c r="D5151" t="s">
        <v>1832</v>
      </c>
      <c r="E5151" t="s">
        <v>2264</v>
      </c>
      <c r="F5151" t="s">
        <v>41</v>
      </c>
      <c r="G5151" t="s">
        <v>33</v>
      </c>
      <c r="H5151" t="s">
        <v>55</v>
      </c>
      <c r="I5151" t="s">
        <v>39</v>
      </c>
      <c r="J5151" t="s">
        <v>46</v>
      </c>
      <c r="K5151" s="2">
        <v>3100</v>
      </c>
      <c r="L5151" s="2">
        <v>56500</v>
      </c>
      <c r="M5151">
        <v>12</v>
      </c>
      <c r="N5151" s="3">
        <v>1.827</v>
      </c>
      <c r="O5151" t="s">
        <v>17</v>
      </c>
      <c r="P5151" t="s">
        <v>53</v>
      </c>
      <c r="Q5151">
        <v>0</v>
      </c>
      <c r="R5151">
        <v>1</v>
      </c>
      <c r="S5151" s="2">
        <v>0</v>
      </c>
      <c r="T5151" s="4"/>
      <c r="U5151">
        <v>7</v>
      </c>
      <c r="V5151">
        <v>1</v>
      </c>
      <c r="W5151">
        <v>1</v>
      </c>
    </row>
    <row r="5152" spans="1:23" ht="16.5" x14ac:dyDescent="0.3">
      <c r="A5152" t="s">
        <v>5216</v>
      </c>
      <c r="B5152" s="1">
        <v>46016</v>
      </c>
      <c r="C5152">
        <v>2025</v>
      </c>
      <c r="D5152" t="s">
        <v>1832</v>
      </c>
      <c r="E5152" t="s">
        <v>2264</v>
      </c>
      <c r="F5152" t="s">
        <v>37</v>
      </c>
      <c r="G5152" t="s">
        <v>45</v>
      </c>
      <c r="H5152" t="s">
        <v>38</v>
      </c>
      <c r="I5152" t="s">
        <v>29</v>
      </c>
      <c r="J5152" t="s">
        <v>52</v>
      </c>
      <c r="K5152" s="2">
        <v>6750</v>
      </c>
      <c r="L5152" s="2">
        <v>9000</v>
      </c>
      <c r="M5152">
        <v>12</v>
      </c>
      <c r="N5152" s="3">
        <v>0.25900000000000001</v>
      </c>
      <c r="O5152" t="s">
        <v>16</v>
      </c>
      <c r="Q5152">
        <v>1</v>
      </c>
      <c r="R5152">
        <v>0</v>
      </c>
      <c r="S5152" s="2">
        <v>9000</v>
      </c>
      <c r="T5152" s="4">
        <v>0.121</v>
      </c>
      <c r="U5152">
        <v>2</v>
      </c>
      <c r="V5152">
        <v>1</v>
      </c>
      <c r="W5152">
        <v>1</v>
      </c>
    </row>
    <row r="5153" spans="1:23" ht="16.5" x14ac:dyDescent="0.3">
      <c r="A5153" t="s">
        <v>5217</v>
      </c>
      <c r="B5153" s="1">
        <v>46016</v>
      </c>
      <c r="C5153">
        <v>2025</v>
      </c>
      <c r="D5153" t="s">
        <v>1832</v>
      </c>
      <c r="E5153" t="s">
        <v>2264</v>
      </c>
      <c r="F5153" t="s">
        <v>41</v>
      </c>
      <c r="G5153" t="s">
        <v>33</v>
      </c>
      <c r="H5153" t="s">
        <v>55</v>
      </c>
      <c r="I5153" t="s">
        <v>29</v>
      </c>
      <c r="J5153" t="s">
        <v>52</v>
      </c>
      <c r="K5153" s="2">
        <v>1950</v>
      </c>
      <c r="L5153" s="2">
        <v>73000</v>
      </c>
      <c r="M5153">
        <v>36</v>
      </c>
      <c r="N5153" s="3">
        <v>1.399</v>
      </c>
      <c r="O5153" t="s">
        <v>17</v>
      </c>
      <c r="P5153" t="s">
        <v>53</v>
      </c>
      <c r="Q5153">
        <v>0</v>
      </c>
      <c r="R5153">
        <v>1</v>
      </c>
      <c r="S5153" s="2">
        <v>0</v>
      </c>
      <c r="T5153" s="4"/>
      <c r="U5153">
        <v>4</v>
      </c>
      <c r="V5153">
        <v>1</v>
      </c>
      <c r="W5153">
        <v>1</v>
      </c>
    </row>
    <row r="5154" spans="1:23" ht="16.5" x14ac:dyDescent="0.3">
      <c r="A5154" t="s">
        <v>5218</v>
      </c>
      <c r="B5154" s="1">
        <v>46016</v>
      </c>
      <c r="C5154">
        <v>2025</v>
      </c>
      <c r="D5154" t="s">
        <v>1832</v>
      </c>
      <c r="E5154" t="s">
        <v>2264</v>
      </c>
      <c r="F5154" t="s">
        <v>41</v>
      </c>
      <c r="G5154" t="s">
        <v>33</v>
      </c>
      <c r="H5154" t="s">
        <v>38</v>
      </c>
      <c r="I5154" t="s">
        <v>29</v>
      </c>
      <c r="J5154" t="s">
        <v>43</v>
      </c>
      <c r="K5154" s="2">
        <v>8550</v>
      </c>
      <c r="L5154" s="2">
        <v>84000</v>
      </c>
      <c r="M5154">
        <v>36</v>
      </c>
      <c r="N5154" s="3">
        <v>0.38300000000000001</v>
      </c>
      <c r="O5154" t="s">
        <v>17</v>
      </c>
      <c r="P5154" t="s">
        <v>31</v>
      </c>
      <c r="Q5154">
        <v>0</v>
      </c>
      <c r="R5154">
        <v>1</v>
      </c>
      <c r="S5154" s="2">
        <v>0</v>
      </c>
      <c r="T5154" s="4"/>
      <c r="U5154">
        <v>5</v>
      </c>
      <c r="V5154">
        <v>1</v>
      </c>
      <c r="W5154">
        <v>1</v>
      </c>
    </row>
    <row r="5155" spans="1:23" ht="16.5" x14ac:dyDescent="0.3">
      <c r="A5155" t="s">
        <v>5219</v>
      </c>
      <c r="B5155" s="1">
        <v>46016</v>
      </c>
      <c r="C5155">
        <v>2025</v>
      </c>
      <c r="D5155" t="s">
        <v>1832</v>
      </c>
      <c r="E5155" t="s">
        <v>2264</v>
      </c>
      <c r="F5155" t="s">
        <v>26</v>
      </c>
      <c r="G5155" t="s">
        <v>33</v>
      </c>
      <c r="H5155" t="s">
        <v>38</v>
      </c>
      <c r="I5155" t="s">
        <v>39</v>
      </c>
      <c r="J5155" t="s">
        <v>52</v>
      </c>
      <c r="K5155" s="2">
        <v>5250</v>
      </c>
      <c r="L5155" s="2">
        <v>41000</v>
      </c>
      <c r="M5155">
        <v>60</v>
      </c>
      <c r="N5155" s="3">
        <v>0.34399999999999997</v>
      </c>
      <c r="O5155" t="s">
        <v>16</v>
      </c>
      <c r="Q5155">
        <v>1</v>
      </c>
      <c r="R5155">
        <v>0</v>
      </c>
      <c r="S5155" s="2">
        <v>41000</v>
      </c>
      <c r="T5155" s="4">
        <v>7.1800000000000003E-2</v>
      </c>
      <c r="U5155">
        <v>2</v>
      </c>
      <c r="V5155">
        <v>1</v>
      </c>
      <c r="W5155">
        <v>1</v>
      </c>
    </row>
    <row r="5156" spans="1:23" ht="16.5" x14ac:dyDescent="0.3">
      <c r="A5156" t="s">
        <v>5220</v>
      </c>
      <c r="B5156" s="1">
        <v>46016</v>
      </c>
      <c r="C5156">
        <v>2025</v>
      </c>
      <c r="D5156" t="s">
        <v>1832</v>
      </c>
      <c r="E5156" t="s">
        <v>2264</v>
      </c>
      <c r="F5156" t="s">
        <v>37</v>
      </c>
      <c r="G5156" t="s">
        <v>51</v>
      </c>
      <c r="H5156" t="s">
        <v>38</v>
      </c>
      <c r="I5156" t="s">
        <v>29</v>
      </c>
      <c r="J5156" t="s">
        <v>35</v>
      </c>
      <c r="K5156" s="2">
        <v>4000</v>
      </c>
      <c r="L5156" s="2">
        <v>17500</v>
      </c>
      <c r="M5156">
        <v>12</v>
      </c>
      <c r="N5156" s="3">
        <v>0.44700000000000001</v>
      </c>
      <c r="O5156" t="s">
        <v>17</v>
      </c>
      <c r="P5156" t="s">
        <v>31</v>
      </c>
      <c r="Q5156">
        <v>0</v>
      </c>
      <c r="R5156">
        <v>1</v>
      </c>
      <c r="S5156" s="2">
        <v>0</v>
      </c>
      <c r="T5156" s="4"/>
      <c r="U5156">
        <v>5</v>
      </c>
      <c r="V5156">
        <v>0</v>
      </c>
      <c r="W5156">
        <v>1</v>
      </c>
    </row>
    <row r="5157" spans="1:23" ht="16.5" x14ac:dyDescent="0.3">
      <c r="A5157" t="s">
        <v>5221</v>
      </c>
      <c r="B5157" s="1">
        <v>46016</v>
      </c>
      <c r="C5157">
        <v>2025</v>
      </c>
      <c r="D5157" t="s">
        <v>1832</v>
      </c>
      <c r="E5157" t="s">
        <v>2264</v>
      </c>
      <c r="F5157" t="s">
        <v>37</v>
      </c>
      <c r="G5157" t="s">
        <v>51</v>
      </c>
      <c r="H5157" t="s">
        <v>55</v>
      </c>
      <c r="I5157" t="s">
        <v>29</v>
      </c>
      <c r="J5157" t="s">
        <v>30</v>
      </c>
      <c r="K5157" s="2">
        <v>3400</v>
      </c>
      <c r="L5157" s="2">
        <v>16000</v>
      </c>
      <c r="M5157">
        <v>24</v>
      </c>
      <c r="N5157" s="3">
        <v>0.375</v>
      </c>
      <c r="O5157" t="s">
        <v>16</v>
      </c>
      <c r="Q5157">
        <v>1</v>
      </c>
      <c r="R5157">
        <v>0</v>
      </c>
      <c r="S5157" s="2">
        <v>14500</v>
      </c>
      <c r="T5157" s="4">
        <v>0.1389</v>
      </c>
      <c r="U5157">
        <v>6</v>
      </c>
      <c r="V5157">
        <v>0</v>
      </c>
      <c r="W5157">
        <v>1</v>
      </c>
    </row>
    <row r="5158" spans="1:23" ht="16.5" x14ac:dyDescent="0.3">
      <c r="A5158" t="s">
        <v>5222</v>
      </c>
      <c r="B5158" s="1">
        <v>46016</v>
      </c>
      <c r="C5158">
        <v>2025</v>
      </c>
      <c r="D5158" t="s">
        <v>1832</v>
      </c>
      <c r="E5158" t="s">
        <v>2264</v>
      </c>
      <c r="F5158" t="s">
        <v>37</v>
      </c>
      <c r="G5158" t="s">
        <v>33</v>
      </c>
      <c r="H5158" t="s">
        <v>55</v>
      </c>
      <c r="I5158" t="s">
        <v>39</v>
      </c>
      <c r="J5158" t="s">
        <v>35</v>
      </c>
      <c r="K5158" s="2">
        <v>3050</v>
      </c>
      <c r="L5158" s="2">
        <v>9000</v>
      </c>
      <c r="M5158">
        <v>36</v>
      </c>
      <c r="N5158" s="3">
        <v>0.26600000000000001</v>
      </c>
      <c r="O5158" t="s">
        <v>16</v>
      </c>
      <c r="Q5158">
        <v>1</v>
      </c>
      <c r="R5158">
        <v>0</v>
      </c>
      <c r="S5158" s="2">
        <v>9000</v>
      </c>
      <c r="T5158" s="4">
        <v>0.1207</v>
      </c>
      <c r="U5158">
        <v>1</v>
      </c>
      <c r="V5158">
        <v>1</v>
      </c>
      <c r="W5158">
        <v>1</v>
      </c>
    </row>
    <row r="5159" spans="1:23" ht="16.5" x14ac:dyDescent="0.3">
      <c r="A5159" t="s">
        <v>5223</v>
      </c>
      <c r="B5159" s="1">
        <v>46016</v>
      </c>
      <c r="C5159">
        <v>2025</v>
      </c>
      <c r="D5159" t="s">
        <v>1832</v>
      </c>
      <c r="E5159" t="s">
        <v>2264</v>
      </c>
      <c r="F5159" t="s">
        <v>37</v>
      </c>
      <c r="G5159" t="s">
        <v>45</v>
      </c>
      <c r="H5159" t="s">
        <v>28</v>
      </c>
      <c r="I5159" t="s">
        <v>29</v>
      </c>
      <c r="J5159" t="s">
        <v>43</v>
      </c>
      <c r="K5159" s="2">
        <v>7000</v>
      </c>
      <c r="L5159" s="2">
        <v>10000</v>
      </c>
      <c r="M5159">
        <v>12</v>
      </c>
      <c r="N5159" s="3">
        <v>0.35099999999999998</v>
      </c>
      <c r="O5159" t="s">
        <v>17</v>
      </c>
      <c r="P5159" t="s">
        <v>60</v>
      </c>
      <c r="Q5159">
        <v>0</v>
      </c>
      <c r="R5159">
        <v>1</v>
      </c>
      <c r="S5159" s="2">
        <v>0</v>
      </c>
      <c r="T5159" s="4"/>
      <c r="U5159">
        <v>6</v>
      </c>
      <c r="V5159">
        <v>0</v>
      </c>
      <c r="W5159">
        <v>1</v>
      </c>
    </row>
    <row r="5160" spans="1:23" ht="16.5" x14ac:dyDescent="0.3">
      <c r="A5160" t="s">
        <v>5224</v>
      </c>
      <c r="B5160" s="1">
        <v>46016</v>
      </c>
      <c r="C5160">
        <v>2025</v>
      </c>
      <c r="D5160" t="s">
        <v>1832</v>
      </c>
      <c r="E5160" t="s">
        <v>2264</v>
      </c>
      <c r="F5160" t="s">
        <v>26</v>
      </c>
      <c r="G5160" t="s">
        <v>45</v>
      </c>
      <c r="H5160" t="s">
        <v>38</v>
      </c>
      <c r="I5160" t="s">
        <v>29</v>
      </c>
      <c r="J5160" t="s">
        <v>52</v>
      </c>
      <c r="K5160" s="2">
        <v>6400</v>
      </c>
      <c r="L5160" s="2">
        <v>16000</v>
      </c>
      <c r="M5160">
        <v>36</v>
      </c>
      <c r="N5160" s="3">
        <v>0.17199999999999999</v>
      </c>
      <c r="O5160" t="s">
        <v>16</v>
      </c>
      <c r="Q5160">
        <v>1</v>
      </c>
      <c r="R5160">
        <v>0</v>
      </c>
      <c r="S5160" s="2">
        <v>13000</v>
      </c>
      <c r="T5160" s="4">
        <v>6.9000000000000006E-2</v>
      </c>
      <c r="U5160">
        <v>1</v>
      </c>
      <c r="V5160">
        <v>1</v>
      </c>
      <c r="W5160">
        <v>1</v>
      </c>
    </row>
    <row r="5161" spans="1:23" ht="16.5" x14ac:dyDescent="0.3">
      <c r="A5161" t="s">
        <v>5225</v>
      </c>
      <c r="B5161" s="1">
        <v>46016</v>
      </c>
      <c r="C5161">
        <v>2025</v>
      </c>
      <c r="D5161" t="s">
        <v>1832</v>
      </c>
      <c r="E5161" t="s">
        <v>2264</v>
      </c>
      <c r="F5161" t="s">
        <v>41</v>
      </c>
      <c r="G5161" t="s">
        <v>33</v>
      </c>
      <c r="H5161" t="s">
        <v>64</v>
      </c>
      <c r="I5161" t="s">
        <v>29</v>
      </c>
      <c r="J5161" t="s">
        <v>52</v>
      </c>
      <c r="K5161" s="2">
        <v>5400</v>
      </c>
      <c r="L5161" s="2">
        <v>70000</v>
      </c>
      <c r="M5161">
        <v>60</v>
      </c>
      <c r="N5161" s="3">
        <v>0.39900000000000002</v>
      </c>
      <c r="O5161" t="s">
        <v>16</v>
      </c>
      <c r="Q5161">
        <v>1</v>
      </c>
      <c r="R5161">
        <v>0</v>
      </c>
      <c r="S5161" s="2">
        <v>56000</v>
      </c>
      <c r="T5161" s="4">
        <v>9.3700000000000006E-2</v>
      </c>
      <c r="U5161">
        <v>5</v>
      </c>
      <c r="V5161">
        <v>1</v>
      </c>
      <c r="W5161">
        <v>1</v>
      </c>
    </row>
    <row r="5162" spans="1:23" ht="16.5" x14ac:dyDescent="0.3">
      <c r="A5162" t="s">
        <v>5226</v>
      </c>
      <c r="B5162" s="1">
        <v>46016</v>
      </c>
      <c r="C5162">
        <v>2025</v>
      </c>
      <c r="D5162" t="s">
        <v>1832</v>
      </c>
      <c r="E5162" t="s">
        <v>2264</v>
      </c>
      <c r="F5162" t="s">
        <v>26</v>
      </c>
      <c r="G5162" t="s">
        <v>51</v>
      </c>
      <c r="H5162" t="s">
        <v>55</v>
      </c>
      <c r="I5162" t="s">
        <v>42</v>
      </c>
      <c r="J5162" t="s">
        <v>52</v>
      </c>
      <c r="K5162" s="2">
        <v>14500</v>
      </c>
      <c r="L5162" s="2">
        <v>19500</v>
      </c>
      <c r="M5162">
        <v>60</v>
      </c>
      <c r="N5162" s="3">
        <v>0.125</v>
      </c>
      <c r="O5162" t="s">
        <v>16</v>
      </c>
      <c r="Q5162">
        <v>1</v>
      </c>
      <c r="R5162">
        <v>0</v>
      </c>
      <c r="S5162" s="2">
        <v>19500</v>
      </c>
      <c r="T5162" s="4">
        <v>7.17E-2</v>
      </c>
      <c r="U5162">
        <v>7</v>
      </c>
      <c r="V5162">
        <v>0</v>
      </c>
      <c r="W5162">
        <v>1</v>
      </c>
    </row>
    <row r="5163" spans="1:23" ht="16.5" x14ac:dyDescent="0.3">
      <c r="A5163" t="s">
        <v>5227</v>
      </c>
      <c r="B5163" s="1">
        <v>46016</v>
      </c>
      <c r="C5163">
        <v>2025</v>
      </c>
      <c r="D5163" t="s">
        <v>1832</v>
      </c>
      <c r="E5163" t="s">
        <v>2264</v>
      </c>
      <c r="F5163" t="s">
        <v>37</v>
      </c>
      <c r="G5163" t="s">
        <v>27</v>
      </c>
      <c r="H5163" t="s">
        <v>38</v>
      </c>
      <c r="I5163" t="s">
        <v>39</v>
      </c>
      <c r="J5163" t="s">
        <v>52</v>
      </c>
      <c r="K5163" s="2">
        <v>6850</v>
      </c>
      <c r="L5163" s="2">
        <v>5500</v>
      </c>
      <c r="M5163">
        <v>12</v>
      </c>
      <c r="N5163" s="3">
        <v>0.19800000000000001</v>
      </c>
      <c r="O5163" t="s">
        <v>17</v>
      </c>
      <c r="P5163" t="s">
        <v>65</v>
      </c>
      <c r="Q5163">
        <v>0</v>
      </c>
      <c r="R5163">
        <v>1</v>
      </c>
      <c r="S5163" s="2">
        <v>0</v>
      </c>
      <c r="T5163" s="4"/>
      <c r="U5163">
        <v>2</v>
      </c>
      <c r="V5163">
        <v>1</v>
      </c>
      <c r="W5163">
        <v>1</v>
      </c>
    </row>
    <row r="5164" spans="1:23" ht="16.5" x14ac:dyDescent="0.3">
      <c r="A5164" t="s">
        <v>5228</v>
      </c>
      <c r="B5164" s="1">
        <v>46016</v>
      </c>
      <c r="C5164">
        <v>2025</v>
      </c>
      <c r="D5164" t="s">
        <v>1832</v>
      </c>
      <c r="E5164" t="s">
        <v>2264</v>
      </c>
      <c r="F5164" t="s">
        <v>37</v>
      </c>
      <c r="G5164" t="s">
        <v>51</v>
      </c>
      <c r="H5164" t="s">
        <v>38</v>
      </c>
      <c r="I5164" t="s">
        <v>29</v>
      </c>
      <c r="J5164" t="s">
        <v>52</v>
      </c>
      <c r="K5164" s="2">
        <v>6450</v>
      </c>
      <c r="L5164" s="2">
        <v>7500</v>
      </c>
      <c r="M5164">
        <v>36</v>
      </c>
      <c r="N5164" s="3">
        <v>0.14099999999999999</v>
      </c>
      <c r="O5164" t="s">
        <v>16</v>
      </c>
      <c r="Q5164">
        <v>1</v>
      </c>
      <c r="R5164">
        <v>0</v>
      </c>
      <c r="S5164" s="2">
        <v>6000</v>
      </c>
      <c r="T5164" s="4">
        <v>0.1143</v>
      </c>
      <c r="U5164">
        <v>5</v>
      </c>
      <c r="V5164">
        <v>0</v>
      </c>
      <c r="W5164">
        <v>1</v>
      </c>
    </row>
    <row r="5165" spans="1:23" ht="16.5" x14ac:dyDescent="0.3">
      <c r="A5165" t="s">
        <v>5229</v>
      </c>
      <c r="B5165" s="1">
        <v>46017</v>
      </c>
      <c r="C5165">
        <v>2025</v>
      </c>
      <c r="D5165" t="s">
        <v>1832</v>
      </c>
      <c r="E5165" t="s">
        <v>2264</v>
      </c>
      <c r="F5165" t="s">
        <v>41</v>
      </c>
      <c r="G5165" t="s">
        <v>45</v>
      </c>
      <c r="H5165" t="s">
        <v>55</v>
      </c>
      <c r="I5165" t="s">
        <v>29</v>
      </c>
      <c r="J5165" t="s">
        <v>35</v>
      </c>
      <c r="K5165" s="2">
        <v>4150</v>
      </c>
      <c r="L5165" s="2">
        <v>49000</v>
      </c>
      <c r="M5165">
        <v>24</v>
      </c>
      <c r="N5165" s="3">
        <v>0.69599999999999995</v>
      </c>
      <c r="O5165" t="s">
        <v>16</v>
      </c>
      <c r="Q5165">
        <v>1</v>
      </c>
      <c r="R5165">
        <v>0</v>
      </c>
      <c r="S5165" s="2">
        <v>49000</v>
      </c>
      <c r="T5165" s="4">
        <v>0.109</v>
      </c>
      <c r="U5165">
        <v>4</v>
      </c>
      <c r="V5165">
        <v>1</v>
      </c>
      <c r="W5165">
        <v>1</v>
      </c>
    </row>
    <row r="5166" spans="1:23" ht="16.5" x14ac:dyDescent="0.3">
      <c r="A5166" t="s">
        <v>5230</v>
      </c>
      <c r="B5166" s="1">
        <v>46017</v>
      </c>
      <c r="C5166">
        <v>2025</v>
      </c>
      <c r="D5166" t="s">
        <v>1832</v>
      </c>
      <c r="E5166" t="s">
        <v>2264</v>
      </c>
      <c r="F5166" t="s">
        <v>50</v>
      </c>
      <c r="G5166" t="s">
        <v>27</v>
      </c>
      <c r="H5166" t="s">
        <v>55</v>
      </c>
      <c r="I5166" t="s">
        <v>39</v>
      </c>
      <c r="J5166" t="s">
        <v>52</v>
      </c>
      <c r="K5166" s="2">
        <v>7450</v>
      </c>
      <c r="L5166" s="2">
        <v>347500</v>
      </c>
      <c r="M5166">
        <v>300</v>
      </c>
      <c r="N5166" s="3">
        <v>0.437</v>
      </c>
      <c r="O5166" t="s">
        <v>17</v>
      </c>
      <c r="P5166" t="s">
        <v>48</v>
      </c>
      <c r="Q5166">
        <v>0</v>
      </c>
      <c r="R5166">
        <v>1</v>
      </c>
      <c r="S5166" s="2">
        <v>0</v>
      </c>
      <c r="T5166" s="4"/>
      <c r="U5166">
        <v>13</v>
      </c>
      <c r="V5166">
        <v>1</v>
      </c>
      <c r="W5166">
        <v>1</v>
      </c>
    </row>
    <row r="5167" spans="1:23" ht="16.5" x14ac:dyDescent="0.3">
      <c r="A5167" t="s">
        <v>5231</v>
      </c>
      <c r="B5167" s="1">
        <v>46017</v>
      </c>
      <c r="C5167">
        <v>2025</v>
      </c>
      <c r="D5167" t="s">
        <v>1832</v>
      </c>
      <c r="E5167" t="s">
        <v>2264</v>
      </c>
      <c r="F5167" t="s">
        <v>37</v>
      </c>
      <c r="G5167" t="s">
        <v>45</v>
      </c>
      <c r="H5167" t="s">
        <v>55</v>
      </c>
      <c r="I5167" t="s">
        <v>29</v>
      </c>
      <c r="J5167" t="s">
        <v>30</v>
      </c>
      <c r="K5167" s="2">
        <v>10350</v>
      </c>
      <c r="L5167" s="2">
        <v>10000</v>
      </c>
      <c r="M5167">
        <v>60</v>
      </c>
      <c r="N5167" s="3">
        <v>0.13600000000000001</v>
      </c>
      <c r="O5167" t="s">
        <v>17</v>
      </c>
      <c r="P5167" t="s">
        <v>31</v>
      </c>
      <c r="Q5167">
        <v>0</v>
      </c>
      <c r="R5167">
        <v>1</v>
      </c>
      <c r="S5167" s="2">
        <v>0</v>
      </c>
      <c r="T5167" s="4"/>
      <c r="U5167">
        <v>2</v>
      </c>
      <c r="V5167">
        <v>1</v>
      </c>
      <c r="W5167">
        <v>1</v>
      </c>
    </row>
    <row r="5168" spans="1:23" ht="16.5" x14ac:dyDescent="0.3">
      <c r="A5168" t="s">
        <v>5232</v>
      </c>
      <c r="B5168" s="1">
        <v>46017</v>
      </c>
      <c r="C5168">
        <v>2025</v>
      </c>
      <c r="D5168" t="s">
        <v>1832</v>
      </c>
      <c r="E5168" t="s">
        <v>2264</v>
      </c>
      <c r="F5168" t="s">
        <v>37</v>
      </c>
      <c r="G5168" t="s">
        <v>51</v>
      </c>
      <c r="H5168" t="s">
        <v>64</v>
      </c>
      <c r="I5168" t="s">
        <v>29</v>
      </c>
      <c r="J5168" t="s">
        <v>30</v>
      </c>
      <c r="K5168" s="2">
        <v>8900</v>
      </c>
      <c r="L5168" s="2">
        <v>6500</v>
      </c>
      <c r="M5168">
        <v>60</v>
      </c>
      <c r="N5168" s="3">
        <v>0.254</v>
      </c>
      <c r="O5168" t="s">
        <v>17</v>
      </c>
      <c r="P5168" t="s">
        <v>31</v>
      </c>
      <c r="Q5168">
        <v>0</v>
      </c>
      <c r="R5168">
        <v>1</v>
      </c>
      <c r="S5168" s="2">
        <v>0</v>
      </c>
      <c r="T5168" s="4"/>
      <c r="U5168">
        <v>6</v>
      </c>
      <c r="V5168">
        <v>0</v>
      </c>
      <c r="W5168">
        <v>1</v>
      </c>
    </row>
    <row r="5169" spans="1:23" ht="16.5" x14ac:dyDescent="0.3">
      <c r="A5169" t="s">
        <v>5233</v>
      </c>
      <c r="B5169" s="1">
        <v>46017</v>
      </c>
      <c r="C5169">
        <v>2025</v>
      </c>
      <c r="D5169" t="s">
        <v>1832</v>
      </c>
      <c r="E5169" t="s">
        <v>2264</v>
      </c>
      <c r="F5169" t="s">
        <v>41</v>
      </c>
      <c r="G5169" t="s">
        <v>27</v>
      </c>
      <c r="H5169" t="s">
        <v>38</v>
      </c>
      <c r="I5169" t="s">
        <v>39</v>
      </c>
      <c r="J5169" t="s">
        <v>46</v>
      </c>
      <c r="K5169" s="2">
        <v>5000</v>
      </c>
      <c r="L5169" s="2">
        <v>52500</v>
      </c>
      <c r="M5169">
        <v>12</v>
      </c>
      <c r="N5169" s="3">
        <v>1.0860000000000001</v>
      </c>
      <c r="O5169" t="s">
        <v>125</v>
      </c>
      <c r="Q5169">
        <v>0</v>
      </c>
      <c r="R5169">
        <v>0</v>
      </c>
      <c r="S5169" s="2">
        <v>0</v>
      </c>
      <c r="T5169" s="4"/>
      <c r="U5169">
        <v>12</v>
      </c>
      <c r="V5169">
        <v>0</v>
      </c>
      <c r="W5169">
        <v>1</v>
      </c>
    </row>
    <row r="5170" spans="1:23" ht="16.5" x14ac:dyDescent="0.3">
      <c r="A5170" t="s">
        <v>5234</v>
      </c>
      <c r="B5170" s="1">
        <v>46017</v>
      </c>
      <c r="C5170">
        <v>2025</v>
      </c>
      <c r="D5170" t="s">
        <v>1832</v>
      </c>
      <c r="E5170" t="s">
        <v>2264</v>
      </c>
      <c r="F5170" t="s">
        <v>37</v>
      </c>
      <c r="G5170" t="s">
        <v>45</v>
      </c>
      <c r="H5170" t="s">
        <v>34</v>
      </c>
      <c r="I5170" t="s">
        <v>42</v>
      </c>
      <c r="J5170" t="s">
        <v>35</v>
      </c>
      <c r="K5170" s="2">
        <v>3650</v>
      </c>
      <c r="L5170" s="2">
        <v>9000</v>
      </c>
      <c r="M5170">
        <v>48</v>
      </c>
      <c r="N5170" s="3">
        <v>0.19</v>
      </c>
      <c r="O5170" t="s">
        <v>16</v>
      </c>
      <c r="Q5170">
        <v>1</v>
      </c>
      <c r="R5170">
        <v>0</v>
      </c>
      <c r="S5170" s="2">
        <v>9000</v>
      </c>
      <c r="T5170" s="4">
        <v>0.12640000000000001</v>
      </c>
      <c r="U5170">
        <v>2</v>
      </c>
      <c r="V5170">
        <v>1</v>
      </c>
      <c r="W5170">
        <v>1</v>
      </c>
    </row>
    <row r="5171" spans="1:23" ht="16.5" x14ac:dyDescent="0.3">
      <c r="A5171" t="s">
        <v>5235</v>
      </c>
      <c r="B5171" s="1">
        <v>46018</v>
      </c>
      <c r="C5171">
        <v>2025</v>
      </c>
      <c r="D5171" t="s">
        <v>1832</v>
      </c>
      <c r="E5171" t="s">
        <v>2264</v>
      </c>
      <c r="F5171" t="s">
        <v>37</v>
      </c>
      <c r="G5171" t="s">
        <v>51</v>
      </c>
      <c r="H5171" t="s">
        <v>64</v>
      </c>
      <c r="I5171" t="s">
        <v>29</v>
      </c>
      <c r="J5171" t="s">
        <v>52</v>
      </c>
      <c r="K5171" s="2">
        <v>3350</v>
      </c>
      <c r="L5171" s="2">
        <v>13000</v>
      </c>
      <c r="M5171">
        <v>60</v>
      </c>
      <c r="N5171" s="3">
        <v>0.219</v>
      </c>
      <c r="O5171" t="s">
        <v>17</v>
      </c>
      <c r="P5171" t="s">
        <v>31</v>
      </c>
      <c r="Q5171">
        <v>0</v>
      </c>
      <c r="R5171">
        <v>1</v>
      </c>
      <c r="S5171" s="2">
        <v>0</v>
      </c>
      <c r="T5171" s="4"/>
      <c r="U5171">
        <v>5</v>
      </c>
      <c r="V5171">
        <v>0</v>
      </c>
      <c r="W5171">
        <v>1</v>
      </c>
    </row>
    <row r="5172" spans="1:23" ht="16.5" x14ac:dyDescent="0.3">
      <c r="A5172" t="s">
        <v>5236</v>
      </c>
      <c r="B5172" s="1">
        <v>46018</v>
      </c>
      <c r="C5172">
        <v>2025</v>
      </c>
      <c r="D5172" t="s">
        <v>1832</v>
      </c>
      <c r="E5172" t="s">
        <v>2264</v>
      </c>
      <c r="F5172" t="s">
        <v>50</v>
      </c>
      <c r="G5172" t="s">
        <v>45</v>
      </c>
      <c r="H5172" t="s">
        <v>38</v>
      </c>
      <c r="I5172" t="s">
        <v>29</v>
      </c>
      <c r="J5172" t="s">
        <v>52</v>
      </c>
      <c r="K5172" s="2">
        <v>7750</v>
      </c>
      <c r="L5172" s="2">
        <v>256500</v>
      </c>
      <c r="M5172">
        <v>240</v>
      </c>
      <c r="N5172" s="3">
        <v>0.36199999999999999</v>
      </c>
      <c r="O5172" t="s">
        <v>16</v>
      </c>
      <c r="Q5172">
        <v>1</v>
      </c>
      <c r="R5172">
        <v>0</v>
      </c>
      <c r="S5172" s="2">
        <v>256500</v>
      </c>
      <c r="T5172" s="4">
        <v>4.9099999999999998E-2</v>
      </c>
      <c r="U5172">
        <v>8</v>
      </c>
      <c r="V5172">
        <v>1</v>
      </c>
      <c r="W5172">
        <v>1</v>
      </c>
    </row>
    <row r="5173" spans="1:23" ht="16.5" x14ac:dyDescent="0.3">
      <c r="A5173" t="s">
        <v>5237</v>
      </c>
      <c r="B5173" s="1">
        <v>46018</v>
      </c>
      <c r="C5173">
        <v>2025</v>
      </c>
      <c r="D5173" t="s">
        <v>1832</v>
      </c>
      <c r="E5173" t="s">
        <v>2264</v>
      </c>
      <c r="F5173" t="s">
        <v>41</v>
      </c>
      <c r="G5173" t="s">
        <v>33</v>
      </c>
      <c r="H5173" t="s">
        <v>55</v>
      </c>
      <c r="I5173" t="s">
        <v>29</v>
      </c>
      <c r="J5173" t="s">
        <v>30</v>
      </c>
      <c r="K5173" s="2">
        <v>2550</v>
      </c>
      <c r="L5173" s="2">
        <v>55500</v>
      </c>
      <c r="M5173">
        <v>36</v>
      </c>
      <c r="N5173" s="3">
        <v>0.94499999999999995</v>
      </c>
      <c r="O5173" t="s">
        <v>17</v>
      </c>
      <c r="P5173" t="s">
        <v>31</v>
      </c>
      <c r="Q5173">
        <v>0</v>
      </c>
      <c r="R5173">
        <v>1</v>
      </c>
      <c r="S5173" s="2">
        <v>0</v>
      </c>
      <c r="T5173" s="4"/>
      <c r="U5173">
        <v>3</v>
      </c>
      <c r="V5173">
        <v>1</v>
      </c>
      <c r="W5173">
        <v>1</v>
      </c>
    </row>
    <row r="5174" spans="1:23" ht="16.5" x14ac:dyDescent="0.3">
      <c r="A5174" t="s">
        <v>5238</v>
      </c>
      <c r="B5174" s="1">
        <v>46018</v>
      </c>
      <c r="C5174">
        <v>2025</v>
      </c>
      <c r="D5174" t="s">
        <v>1832</v>
      </c>
      <c r="E5174" t="s">
        <v>2264</v>
      </c>
      <c r="F5174" t="s">
        <v>37</v>
      </c>
      <c r="G5174" t="s">
        <v>27</v>
      </c>
      <c r="H5174" t="s">
        <v>55</v>
      </c>
      <c r="I5174" t="s">
        <v>42</v>
      </c>
      <c r="J5174" t="s">
        <v>52</v>
      </c>
      <c r="K5174" s="2">
        <v>7600</v>
      </c>
      <c r="L5174" s="2">
        <v>24500</v>
      </c>
      <c r="M5174">
        <v>24</v>
      </c>
      <c r="N5174" s="3">
        <v>0.255</v>
      </c>
      <c r="O5174" t="s">
        <v>16</v>
      </c>
      <c r="Q5174">
        <v>1</v>
      </c>
      <c r="R5174">
        <v>0</v>
      </c>
      <c r="S5174" s="2">
        <v>22000</v>
      </c>
      <c r="T5174" s="4">
        <v>0.11559999999999999</v>
      </c>
      <c r="U5174">
        <v>2</v>
      </c>
      <c r="V5174">
        <v>1</v>
      </c>
      <c r="W5174">
        <v>1</v>
      </c>
    </row>
    <row r="5175" spans="1:23" ht="16.5" x14ac:dyDescent="0.3">
      <c r="A5175" t="s">
        <v>5239</v>
      </c>
      <c r="B5175" s="1">
        <v>46018</v>
      </c>
      <c r="C5175">
        <v>2025</v>
      </c>
      <c r="D5175" t="s">
        <v>1832</v>
      </c>
      <c r="E5175" t="s">
        <v>2264</v>
      </c>
      <c r="F5175" t="s">
        <v>37</v>
      </c>
      <c r="G5175" t="s">
        <v>45</v>
      </c>
      <c r="H5175" t="s">
        <v>38</v>
      </c>
      <c r="I5175" t="s">
        <v>42</v>
      </c>
      <c r="J5175" t="s">
        <v>30</v>
      </c>
      <c r="K5175" s="2">
        <v>3800</v>
      </c>
      <c r="L5175" s="2">
        <v>5000</v>
      </c>
      <c r="M5175">
        <v>36</v>
      </c>
      <c r="N5175" s="3">
        <v>0.20100000000000001</v>
      </c>
      <c r="O5175" t="s">
        <v>17</v>
      </c>
      <c r="P5175" t="s">
        <v>31</v>
      </c>
      <c r="Q5175">
        <v>0</v>
      </c>
      <c r="R5175">
        <v>1</v>
      </c>
      <c r="S5175" s="2">
        <v>0</v>
      </c>
      <c r="T5175" s="4"/>
      <c r="U5175">
        <v>2</v>
      </c>
      <c r="V5175">
        <v>1</v>
      </c>
      <c r="W5175">
        <v>1</v>
      </c>
    </row>
    <row r="5176" spans="1:23" ht="16.5" x14ac:dyDescent="0.3">
      <c r="A5176" t="s">
        <v>5240</v>
      </c>
      <c r="B5176" s="1">
        <v>46019</v>
      </c>
      <c r="C5176">
        <v>2025</v>
      </c>
      <c r="D5176" t="s">
        <v>1832</v>
      </c>
      <c r="E5176" t="s">
        <v>2264</v>
      </c>
      <c r="F5176" t="s">
        <v>50</v>
      </c>
      <c r="G5176" t="s">
        <v>33</v>
      </c>
      <c r="H5176" t="s">
        <v>64</v>
      </c>
      <c r="I5176" t="s">
        <v>29</v>
      </c>
      <c r="J5176" t="s">
        <v>52</v>
      </c>
      <c r="K5176" s="2">
        <v>10600</v>
      </c>
      <c r="L5176" s="2">
        <v>318500</v>
      </c>
      <c r="M5176">
        <v>180</v>
      </c>
      <c r="N5176" s="3">
        <v>0.42799999999999999</v>
      </c>
      <c r="O5176" t="s">
        <v>16</v>
      </c>
      <c r="Q5176">
        <v>1</v>
      </c>
      <c r="R5176">
        <v>0</v>
      </c>
      <c r="S5176" s="2">
        <v>318500</v>
      </c>
      <c r="T5176" s="4">
        <v>5.0500000000000003E-2</v>
      </c>
      <c r="U5176">
        <v>4</v>
      </c>
      <c r="V5176">
        <v>1</v>
      </c>
      <c r="W5176">
        <v>1</v>
      </c>
    </row>
    <row r="5177" spans="1:23" ht="16.5" x14ac:dyDescent="0.3">
      <c r="A5177" t="s">
        <v>5241</v>
      </c>
      <c r="B5177" s="1">
        <v>46019</v>
      </c>
      <c r="C5177">
        <v>2025</v>
      </c>
      <c r="D5177" t="s">
        <v>1832</v>
      </c>
      <c r="E5177" t="s">
        <v>2264</v>
      </c>
      <c r="F5177" t="s">
        <v>26</v>
      </c>
      <c r="G5177" t="s">
        <v>45</v>
      </c>
      <c r="H5177" t="s">
        <v>28</v>
      </c>
      <c r="I5177" t="s">
        <v>29</v>
      </c>
      <c r="J5177" t="s">
        <v>52</v>
      </c>
      <c r="K5177" s="2">
        <v>6200</v>
      </c>
      <c r="L5177" s="2">
        <v>35000</v>
      </c>
      <c r="M5177">
        <v>36</v>
      </c>
      <c r="N5177" s="3">
        <v>0.40899999999999997</v>
      </c>
      <c r="O5177" t="s">
        <v>16</v>
      </c>
      <c r="Q5177">
        <v>1</v>
      </c>
      <c r="R5177">
        <v>0</v>
      </c>
      <c r="S5177" s="2">
        <v>35000</v>
      </c>
      <c r="T5177" s="4">
        <v>7.3200000000000001E-2</v>
      </c>
      <c r="U5177">
        <v>3</v>
      </c>
      <c r="V5177">
        <v>1</v>
      </c>
      <c r="W5177">
        <v>1</v>
      </c>
    </row>
    <row r="5178" spans="1:23" ht="16.5" x14ac:dyDescent="0.3">
      <c r="A5178" t="s">
        <v>5242</v>
      </c>
      <c r="B5178" s="1">
        <v>46019</v>
      </c>
      <c r="C5178">
        <v>2025</v>
      </c>
      <c r="D5178" t="s">
        <v>1832</v>
      </c>
      <c r="E5178" t="s">
        <v>2264</v>
      </c>
      <c r="F5178" t="s">
        <v>37</v>
      </c>
      <c r="G5178" t="s">
        <v>45</v>
      </c>
      <c r="H5178" t="s">
        <v>55</v>
      </c>
      <c r="I5178" t="s">
        <v>39</v>
      </c>
      <c r="J5178" t="s">
        <v>30</v>
      </c>
      <c r="K5178" s="2">
        <v>2500</v>
      </c>
      <c r="L5178" s="2">
        <v>10000</v>
      </c>
      <c r="M5178">
        <v>36</v>
      </c>
      <c r="N5178" s="3">
        <v>0.24199999999999999</v>
      </c>
      <c r="O5178" t="s">
        <v>17</v>
      </c>
      <c r="P5178" t="s">
        <v>31</v>
      </c>
      <c r="Q5178">
        <v>0</v>
      </c>
      <c r="R5178">
        <v>1</v>
      </c>
      <c r="S5178" s="2">
        <v>0</v>
      </c>
      <c r="T5178" s="4"/>
      <c r="U5178">
        <v>1</v>
      </c>
      <c r="V5178">
        <v>1</v>
      </c>
      <c r="W5178">
        <v>1</v>
      </c>
    </row>
    <row r="5179" spans="1:23" ht="16.5" x14ac:dyDescent="0.3">
      <c r="A5179" t="s">
        <v>5243</v>
      </c>
      <c r="B5179" s="1">
        <v>46019</v>
      </c>
      <c r="C5179">
        <v>2025</v>
      </c>
      <c r="D5179" t="s">
        <v>1832</v>
      </c>
      <c r="E5179" t="s">
        <v>2264</v>
      </c>
      <c r="F5179" t="s">
        <v>41</v>
      </c>
      <c r="G5179" t="s">
        <v>33</v>
      </c>
      <c r="H5179" t="s">
        <v>34</v>
      </c>
      <c r="I5179" t="s">
        <v>39</v>
      </c>
      <c r="J5179" t="s">
        <v>30</v>
      </c>
      <c r="K5179" s="2">
        <v>4100</v>
      </c>
      <c r="L5179" s="2">
        <v>54000</v>
      </c>
      <c r="M5179">
        <v>36</v>
      </c>
      <c r="N5179" s="3">
        <v>0.63</v>
      </c>
      <c r="O5179" t="s">
        <v>17</v>
      </c>
      <c r="P5179" t="s">
        <v>31</v>
      </c>
      <c r="Q5179">
        <v>0</v>
      </c>
      <c r="R5179">
        <v>1</v>
      </c>
      <c r="S5179" s="2">
        <v>0</v>
      </c>
      <c r="T5179" s="4"/>
      <c r="U5179">
        <v>4</v>
      </c>
      <c r="V5179">
        <v>1</v>
      </c>
      <c r="W5179">
        <v>1</v>
      </c>
    </row>
    <row r="5180" spans="1:23" ht="16.5" x14ac:dyDescent="0.3">
      <c r="A5180" t="s">
        <v>5244</v>
      </c>
      <c r="B5180" s="1">
        <v>46019</v>
      </c>
      <c r="C5180">
        <v>2025</v>
      </c>
      <c r="D5180" t="s">
        <v>1832</v>
      </c>
      <c r="E5180" t="s">
        <v>2264</v>
      </c>
      <c r="F5180" t="s">
        <v>37</v>
      </c>
      <c r="G5180" t="s">
        <v>51</v>
      </c>
      <c r="H5180" t="s">
        <v>55</v>
      </c>
      <c r="I5180" t="s">
        <v>29</v>
      </c>
      <c r="J5180" t="s">
        <v>35</v>
      </c>
      <c r="K5180" s="2">
        <v>7350</v>
      </c>
      <c r="L5180" s="2">
        <v>8500</v>
      </c>
      <c r="M5180">
        <v>36</v>
      </c>
      <c r="N5180" s="3">
        <v>0.247</v>
      </c>
      <c r="O5180" t="s">
        <v>16</v>
      </c>
      <c r="Q5180">
        <v>1</v>
      </c>
      <c r="R5180">
        <v>0</v>
      </c>
      <c r="S5180" s="2">
        <v>7500</v>
      </c>
      <c r="T5180" s="4">
        <v>0.12529999999999999</v>
      </c>
      <c r="U5180">
        <v>5</v>
      </c>
      <c r="V5180">
        <v>0</v>
      </c>
      <c r="W5180">
        <v>1</v>
      </c>
    </row>
    <row r="5181" spans="1:23" ht="16.5" x14ac:dyDescent="0.3">
      <c r="A5181" t="s">
        <v>5245</v>
      </c>
      <c r="B5181" s="1">
        <v>46019</v>
      </c>
      <c r="C5181">
        <v>2025</v>
      </c>
      <c r="D5181" t="s">
        <v>1832</v>
      </c>
      <c r="E5181" t="s">
        <v>2264</v>
      </c>
      <c r="F5181" t="s">
        <v>26</v>
      </c>
      <c r="G5181" t="s">
        <v>33</v>
      </c>
      <c r="H5181" t="s">
        <v>34</v>
      </c>
      <c r="I5181" t="s">
        <v>42</v>
      </c>
      <c r="J5181" t="s">
        <v>46</v>
      </c>
      <c r="K5181" s="2">
        <v>4700</v>
      </c>
      <c r="L5181" s="2">
        <v>44500</v>
      </c>
      <c r="M5181">
        <v>48</v>
      </c>
      <c r="N5181" s="3">
        <v>0.28100000000000003</v>
      </c>
      <c r="O5181" t="s">
        <v>16</v>
      </c>
      <c r="Q5181">
        <v>1</v>
      </c>
      <c r="R5181">
        <v>0</v>
      </c>
      <c r="S5181" s="2">
        <v>44500</v>
      </c>
      <c r="T5181" s="4">
        <v>6.5100000000000005E-2</v>
      </c>
      <c r="U5181">
        <v>2</v>
      </c>
      <c r="V5181">
        <v>1</v>
      </c>
      <c r="W5181">
        <v>1</v>
      </c>
    </row>
    <row r="5182" spans="1:23" ht="16.5" x14ac:dyDescent="0.3">
      <c r="A5182" t="s">
        <v>5246</v>
      </c>
      <c r="B5182" s="1">
        <v>46020</v>
      </c>
      <c r="C5182">
        <v>2025</v>
      </c>
      <c r="D5182" t="s">
        <v>1832</v>
      </c>
      <c r="E5182" t="s">
        <v>2264</v>
      </c>
      <c r="F5182" t="s">
        <v>41</v>
      </c>
      <c r="G5182" t="s">
        <v>33</v>
      </c>
      <c r="H5182" t="s">
        <v>55</v>
      </c>
      <c r="I5182" t="s">
        <v>29</v>
      </c>
      <c r="J5182" t="s">
        <v>35</v>
      </c>
      <c r="K5182" s="2">
        <v>3700</v>
      </c>
      <c r="L5182" s="2">
        <v>43000</v>
      </c>
      <c r="M5182">
        <v>36</v>
      </c>
      <c r="N5182" s="3">
        <v>0.47</v>
      </c>
      <c r="O5182" t="s">
        <v>16</v>
      </c>
      <c r="Q5182">
        <v>1</v>
      </c>
      <c r="R5182">
        <v>0</v>
      </c>
      <c r="S5182" s="2">
        <v>43000</v>
      </c>
      <c r="T5182" s="4">
        <v>0.1066</v>
      </c>
      <c r="U5182">
        <v>4</v>
      </c>
      <c r="V5182">
        <v>1</v>
      </c>
      <c r="W5182">
        <v>1</v>
      </c>
    </row>
    <row r="5183" spans="1:23" ht="16.5" x14ac:dyDescent="0.3">
      <c r="A5183" t="s">
        <v>5247</v>
      </c>
      <c r="B5183" s="1">
        <v>46020</v>
      </c>
      <c r="C5183">
        <v>2025</v>
      </c>
      <c r="D5183" t="s">
        <v>1832</v>
      </c>
      <c r="E5183" t="s">
        <v>2264</v>
      </c>
      <c r="F5183" t="s">
        <v>37</v>
      </c>
      <c r="G5183" t="s">
        <v>33</v>
      </c>
      <c r="H5183" t="s">
        <v>64</v>
      </c>
      <c r="I5183" t="s">
        <v>29</v>
      </c>
      <c r="J5183" t="s">
        <v>30</v>
      </c>
      <c r="K5183" s="2">
        <v>4000</v>
      </c>
      <c r="L5183" s="2">
        <v>6500</v>
      </c>
      <c r="M5183">
        <v>12</v>
      </c>
      <c r="N5183" s="3">
        <v>0.25800000000000001</v>
      </c>
      <c r="O5183" t="s">
        <v>16</v>
      </c>
      <c r="Q5183">
        <v>1</v>
      </c>
      <c r="R5183">
        <v>0</v>
      </c>
      <c r="S5183" s="2">
        <v>6500</v>
      </c>
      <c r="T5183" s="4">
        <v>0.1396</v>
      </c>
      <c r="U5183">
        <v>1</v>
      </c>
      <c r="V5183">
        <v>1</v>
      </c>
      <c r="W5183">
        <v>1</v>
      </c>
    </row>
    <row r="5184" spans="1:23" ht="16.5" x14ac:dyDescent="0.3">
      <c r="A5184" t="s">
        <v>5248</v>
      </c>
      <c r="B5184" s="1">
        <v>46020</v>
      </c>
      <c r="C5184">
        <v>2025</v>
      </c>
      <c r="D5184" t="s">
        <v>1832</v>
      </c>
      <c r="E5184" t="s">
        <v>2264</v>
      </c>
      <c r="F5184" t="s">
        <v>37</v>
      </c>
      <c r="G5184" t="s">
        <v>27</v>
      </c>
      <c r="H5184" t="s">
        <v>38</v>
      </c>
      <c r="I5184" t="s">
        <v>39</v>
      </c>
      <c r="J5184" t="s">
        <v>52</v>
      </c>
      <c r="K5184" s="2">
        <v>3450</v>
      </c>
      <c r="L5184" s="2">
        <v>14500</v>
      </c>
      <c r="M5184">
        <v>24</v>
      </c>
      <c r="N5184" s="3">
        <v>0.33300000000000002</v>
      </c>
      <c r="O5184" t="s">
        <v>16</v>
      </c>
      <c r="Q5184">
        <v>1</v>
      </c>
      <c r="R5184">
        <v>0</v>
      </c>
      <c r="S5184" s="2">
        <v>14500</v>
      </c>
      <c r="T5184" s="4">
        <v>0.1133</v>
      </c>
      <c r="U5184">
        <v>3</v>
      </c>
      <c r="V5184">
        <v>1</v>
      </c>
      <c r="W5184">
        <v>1</v>
      </c>
    </row>
    <row r="5185" spans="1:23" ht="16.5" x14ac:dyDescent="0.3">
      <c r="A5185" t="s">
        <v>5249</v>
      </c>
      <c r="B5185" s="1">
        <v>46020</v>
      </c>
      <c r="C5185">
        <v>2025</v>
      </c>
      <c r="D5185" t="s">
        <v>1832</v>
      </c>
      <c r="E5185" t="s">
        <v>2264</v>
      </c>
      <c r="F5185" t="s">
        <v>37</v>
      </c>
      <c r="G5185" t="s">
        <v>33</v>
      </c>
      <c r="H5185" t="s">
        <v>34</v>
      </c>
      <c r="I5185" t="s">
        <v>29</v>
      </c>
      <c r="J5185" t="s">
        <v>46</v>
      </c>
      <c r="K5185" s="2">
        <v>5850</v>
      </c>
      <c r="L5185" s="2">
        <v>10000</v>
      </c>
      <c r="M5185">
        <v>36</v>
      </c>
      <c r="N5185" s="3">
        <v>0.23699999999999999</v>
      </c>
      <c r="O5185" t="s">
        <v>16</v>
      </c>
      <c r="Q5185">
        <v>1</v>
      </c>
      <c r="R5185">
        <v>0</v>
      </c>
      <c r="S5185" s="2">
        <v>9000</v>
      </c>
      <c r="T5185" s="4">
        <v>0.1113</v>
      </c>
      <c r="U5185">
        <v>1</v>
      </c>
      <c r="V5185">
        <v>1</v>
      </c>
      <c r="W5185">
        <v>1</v>
      </c>
    </row>
    <row r="5186" spans="1:23" ht="16.5" x14ac:dyDescent="0.3">
      <c r="A5186" t="s">
        <v>5250</v>
      </c>
      <c r="B5186" s="1">
        <v>46020</v>
      </c>
      <c r="C5186">
        <v>2025</v>
      </c>
      <c r="D5186" t="s">
        <v>1832</v>
      </c>
      <c r="E5186" t="s">
        <v>2264</v>
      </c>
      <c r="F5186" t="s">
        <v>50</v>
      </c>
      <c r="G5186" t="s">
        <v>45</v>
      </c>
      <c r="H5186" t="s">
        <v>64</v>
      </c>
      <c r="I5186" t="s">
        <v>42</v>
      </c>
      <c r="J5186" t="s">
        <v>52</v>
      </c>
      <c r="K5186" s="2">
        <v>5900</v>
      </c>
      <c r="L5186" s="2">
        <v>143500</v>
      </c>
      <c r="M5186">
        <v>240</v>
      </c>
      <c r="N5186" s="3">
        <v>0.32200000000000001</v>
      </c>
      <c r="O5186" t="s">
        <v>17</v>
      </c>
      <c r="P5186" t="s">
        <v>31</v>
      </c>
      <c r="Q5186">
        <v>0</v>
      </c>
      <c r="R5186">
        <v>1</v>
      </c>
      <c r="S5186" s="2">
        <v>0</v>
      </c>
      <c r="T5186" s="4"/>
      <c r="U5186">
        <v>6</v>
      </c>
      <c r="V5186">
        <v>1</v>
      </c>
      <c r="W5186">
        <v>1</v>
      </c>
    </row>
    <row r="5187" spans="1:23" ht="16.5" x14ac:dyDescent="0.3">
      <c r="A5187" t="s">
        <v>5251</v>
      </c>
      <c r="B5187" s="1">
        <v>46020</v>
      </c>
      <c r="C5187">
        <v>2025</v>
      </c>
      <c r="D5187" t="s">
        <v>1832</v>
      </c>
      <c r="E5187" t="s">
        <v>2264</v>
      </c>
      <c r="F5187" t="s">
        <v>41</v>
      </c>
      <c r="G5187" t="s">
        <v>51</v>
      </c>
      <c r="H5187" t="s">
        <v>34</v>
      </c>
      <c r="I5187" t="s">
        <v>39</v>
      </c>
      <c r="J5187" t="s">
        <v>35</v>
      </c>
      <c r="K5187" s="2">
        <v>3500</v>
      </c>
      <c r="L5187" s="2">
        <v>51000</v>
      </c>
      <c r="M5187">
        <v>36</v>
      </c>
      <c r="N5187" s="3">
        <v>0.53800000000000003</v>
      </c>
      <c r="O5187" t="s">
        <v>17</v>
      </c>
      <c r="P5187" t="s">
        <v>53</v>
      </c>
      <c r="Q5187">
        <v>0</v>
      </c>
      <c r="R5187">
        <v>1</v>
      </c>
      <c r="S5187" s="2">
        <v>0</v>
      </c>
      <c r="T5187" s="4"/>
      <c r="U5187">
        <v>12</v>
      </c>
      <c r="V5187">
        <v>0</v>
      </c>
      <c r="W5187">
        <v>1</v>
      </c>
    </row>
    <row r="5188" spans="1:23" ht="16.5" x14ac:dyDescent="0.3">
      <c r="A5188" t="s">
        <v>5252</v>
      </c>
      <c r="B5188" s="1">
        <v>46020</v>
      </c>
      <c r="C5188">
        <v>2025</v>
      </c>
      <c r="D5188" t="s">
        <v>1832</v>
      </c>
      <c r="E5188" t="s">
        <v>2264</v>
      </c>
      <c r="F5188" t="s">
        <v>37</v>
      </c>
      <c r="G5188" t="s">
        <v>45</v>
      </c>
      <c r="H5188" t="s">
        <v>38</v>
      </c>
      <c r="I5188" t="s">
        <v>29</v>
      </c>
      <c r="J5188" t="s">
        <v>35</v>
      </c>
      <c r="K5188" s="2">
        <v>6250</v>
      </c>
      <c r="L5188" s="2">
        <v>7000</v>
      </c>
      <c r="M5188">
        <v>12</v>
      </c>
      <c r="N5188" s="3">
        <v>0.23599999999999999</v>
      </c>
      <c r="O5188" t="s">
        <v>17</v>
      </c>
      <c r="P5188" t="s">
        <v>65</v>
      </c>
      <c r="Q5188">
        <v>0</v>
      </c>
      <c r="R5188">
        <v>1</v>
      </c>
      <c r="S5188" s="2">
        <v>0</v>
      </c>
      <c r="T5188" s="4"/>
      <c r="U5188">
        <v>3</v>
      </c>
      <c r="V5188">
        <v>1</v>
      </c>
      <c r="W5188">
        <v>1</v>
      </c>
    </row>
    <row r="5189" spans="1:23" ht="16.5" x14ac:dyDescent="0.3">
      <c r="A5189" t="s">
        <v>5253</v>
      </c>
      <c r="B5189" s="1">
        <v>46021</v>
      </c>
      <c r="C5189">
        <v>2025</v>
      </c>
      <c r="D5189" t="s">
        <v>1832</v>
      </c>
      <c r="E5189" t="s">
        <v>2264</v>
      </c>
      <c r="F5189" t="s">
        <v>50</v>
      </c>
      <c r="G5189" t="s">
        <v>51</v>
      </c>
      <c r="H5189" t="s">
        <v>55</v>
      </c>
      <c r="I5189" t="s">
        <v>42</v>
      </c>
      <c r="J5189" t="s">
        <v>30</v>
      </c>
      <c r="K5189" s="2">
        <v>2300</v>
      </c>
      <c r="L5189" s="2">
        <v>335500</v>
      </c>
      <c r="M5189">
        <v>180</v>
      </c>
      <c r="N5189" s="3">
        <v>1.321</v>
      </c>
      <c r="O5189" t="s">
        <v>17</v>
      </c>
      <c r="P5189" t="s">
        <v>31</v>
      </c>
      <c r="Q5189">
        <v>0</v>
      </c>
      <c r="R5189">
        <v>1</v>
      </c>
      <c r="S5189" s="2">
        <v>0</v>
      </c>
      <c r="T5189" s="4"/>
      <c r="U5189">
        <v>7</v>
      </c>
      <c r="V5189">
        <v>1</v>
      </c>
      <c r="W5189">
        <v>1</v>
      </c>
    </row>
    <row r="5190" spans="1:23" ht="16.5" x14ac:dyDescent="0.3">
      <c r="A5190" t="s">
        <v>5254</v>
      </c>
      <c r="B5190" s="1">
        <v>46021</v>
      </c>
      <c r="C5190">
        <v>2025</v>
      </c>
      <c r="D5190" t="s">
        <v>1832</v>
      </c>
      <c r="E5190" t="s">
        <v>2264</v>
      </c>
      <c r="F5190" t="s">
        <v>37</v>
      </c>
      <c r="G5190" t="s">
        <v>27</v>
      </c>
      <c r="H5190" t="s">
        <v>34</v>
      </c>
      <c r="I5190" t="s">
        <v>42</v>
      </c>
      <c r="J5190" t="s">
        <v>35</v>
      </c>
      <c r="K5190" s="2">
        <v>7050</v>
      </c>
      <c r="L5190" s="2">
        <v>8500</v>
      </c>
      <c r="M5190">
        <v>36</v>
      </c>
      <c r="N5190" s="3">
        <v>9.1999999999999998E-2</v>
      </c>
      <c r="O5190" t="s">
        <v>16</v>
      </c>
      <c r="Q5190">
        <v>1</v>
      </c>
      <c r="R5190">
        <v>0</v>
      </c>
      <c r="S5190" s="2">
        <v>8500</v>
      </c>
      <c r="T5190" s="4">
        <v>0.13320000000000001</v>
      </c>
      <c r="U5190">
        <v>4</v>
      </c>
      <c r="V5190">
        <v>0</v>
      </c>
      <c r="W5190">
        <v>1</v>
      </c>
    </row>
    <row r="5191" spans="1:23" ht="16.5" x14ac:dyDescent="0.3">
      <c r="A5191" t="s">
        <v>5255</v>
      </c>
      <c r="B5191" s="1">
        <v>46021</v>
      </c>
      <c r="C5191">
        <v>2025</v>
      </c>
      <c r="D5191" t="s">
        <v>1832</v>
      </c>
      <c r="E5191" t="s">
        <v>2264</v>
      </c>
      <c r="F5191" t="s">
        <v>26</v>
      </c>
      <c r="G5191" t="s">
        <v>51</v>
      </c>
      <c r="H5191" t="s">
        <v>34</v>
      </c>
      <c r="I5191" t="s">
        <v>29</v>
      </c>
      <c r="J5191" t="s">
        <v>30</v>
      </c>
      <c r="K5191" s="2">
        <v>9300</v>
      </c>
      <c r="L5191" s="2">
        <v>44000</v>
      </c>
      <c r="M5191">
        <v>48</v>
      </c>
      <c r="N5191" s="3">
        <v>0.27600000000000002</v>
      </c>
      <c r="O5191" t="s">
        <v>17</v>
      </c>
      <c r="P5191" t="s">
        <v>31</v>
      </c>
      <c r="Q5191">
        <v>0</v>
      </c>
      <c r="R5191">
        <v>1</v>
      </c>
      <c r="S5191" s="2">
        <v>0</v>
      </c>
      <c r="T5191" s="4"/>
      <c r="U5191">
        <v>6</v>
      </c>
      <c r="V5191">
        <v>0</v>
      </c>
      <c r="W5191">
        <v>1</v>
      </c>
    </row>
    <row r="5192" spans="1:23" ht="16.5" x14ac:dyDescent="0.3">
      <c r="A5192" t="s">
        <v>5256</v>
      </c>
      <c r="B5192" s="1">
        <v>46021</v>
      </c>
      <c r="C5192">
        <v>2025</v>
      </c>
      <c r="D5192" t="s">
        <v>1832</v>
      </c>
      <c r="E5192" t="s">
        <v>2264</v>
      </c>
      <c r="F5192" t="s">
        <v>26</v>
      </c>
      <c r="G5192" t="s">
        <v>33</v>
      </c>
      <c r="H5192" t="s">
        <v>34</v>
      </c>
      <c r="I5192" t="s">
        <v>29</v>
      </c>
      <c r="J5192" t="s">
        <v>46</v>
      </c>
      <c r="K5192" s="2">
        <v>14700</v>
      </c>
      <c r="L5192" s="2">
        <v>16000</v>
      </c>
      <c r="M5192">
        <v>48</v>
      </c>
      <c r="N5192" s="3">
        <v>0.185</v>
      </c>
      <c r="O5192" t="s">
        <v>16</v>
      </c>
      <c r="Q5192">
        <v>1</v>
      </c>
      <c r="R5192">
        <v>0</v>
      </c>
      <c r="S5192" s="2">
        <v>16000</v>
      </c>
      <c r="T5192" s="4">
        <v>6.3799999999999996E-2</v>
      </c>
      <c r="U5192">
        <v>2</v>
      </c>
      <c r="V5192">
        <v>1</v>
      </c>
      <c r="W5192">
        <v>1</v>
      </c>
    </row>
    <row r="5193" spans="1:23" ht="16.5" x14ac:dyDescent="0.3">
      <c r="A5193" t="s">
        <v>5257</v>
      </c>
      <c r="B5193" s="1">
        <v>46021</v>
      </c>
      <c r="C5193">
        <v>2025</v>
      </c>
      <c r="D5193" t="s">
        <v>1832</v>
      </c>
      <c r="E5193" t="s">
        <v>2264</v>
      </c>
      <c r="F5193" t="s">
        <v>26</v>
      </c>
      <c r="G5193" t="s">
        <v>27</v>
      </c>
      <c r="H5193" t="s">
        <v>34</v>
      </c>
      <c r="I5193" t="s">
        <v>39</v>
      </c>
      <c r="J5193" t="s">
        <v>35</v>
      </c>
      <c r="K5193" s="2">
        <v>6400</v>
      </c>
      <c r="L5193" s="2">
        <v>78500</v>
      </c>
      <c r="M5193">
        <v>60</v>
      </c>
      <c r="N5193" s="3">
        <v>0.42699999999999999</v>
      </c>
      <c r="O5193" t="s">
        <v>17</v>
      </c>
      <c r="P5193" t="s">
        <v>31</v>
      </c>
      <c r="Q5193">
        <v>0</v>
      </c>
      <c r="R5193">
        <v>1</v>
      </c>
      <c r="S5193" s="2">
        <v>0</v>
      </c>
      <c r="T5193" s="4"/>
      <c r="U5193">
        <v>3</v>
      </c>
      <c r="V5193">
        <v>1</v>
      </c>
      <c r="W5193">
        <v>1</v>
      </c>
    </row>
    <row r="5194" spans="1:23" ht="16.5" x14ac:dyDescent="0.3">
      <c r="A5194" t="s">
        <v>5258</v>
      </c>
      <c r="B5194" s="1">
        <v>46021</v>
      </c>
      <c r="C5194">
        <v>2025</v>
      </c>
      <c r="D5194" t="s">
        <v>1832</v>
      </c>
      <c r="E5194" t="s">
        <v>2264</v>
      </c>
      <c r="F5194" t="s">
        <v>37</v>
      </c>
      <c r="G5194" t="s">
        <v>51</v>
      </c>
      <c r="H5194" t="s">
        <v>38</v>
      </c>
      <c r="I5194" t="s">
        <v>29</v>
      </c>
      <c r="J5194" t="s">
        <v>35</v>
      </c>
      <c r="K5194" s="2">
        <v>5350</v>
      </c>
      <c r="L5194" s="2">
        <v>6000</v>
      </c>
      <c r="M5194">
        <v>24</v>
      </c>
      <c r="N5194" s="3">
        <v>0.20200000000000001</v>
      </c>
      <c r="O5194" t="s">
        <v>17</v>
      </c>
      <c r="P5194" t="s">
        <v>65</v>
      </c>
      <c r="Q5194">
        <v>0</v>
      </c>
      <c r="R5194">
        <v>1</v>
      </c>
      <c r="S5194" s="2">
        <v>0</v>
      </c>
      <c r="T5194" s="4"/>
      <c r="U5194">
        <v>6</v>
      </c>
      <c r="V5194">
        <v>0</v>
      </c>
      <c r="W5194">
        <v>1</v>
      </c>
    </row>
    <row r="5195" spans="1:23" ht="16.5" x14ac:dyDescent="0.3">
      <c r="A5195" t="s">
        <v>5259</v>
      </c>
      <c r="B5195" s="1">
        <v>46021</v>
      </c>
      <c r="C5195">
        <v>2025</v>
      </c>
      <c r="D5195" t="s">
        <v>1832</v>
      </c>
      <c r="E5195" t="s">
        <v>2264</v>
      </c>
      <c r="F5195" t="s">
        <v>37</v>
      </c>
      <c r="G5195" t="s">
        <v>51</v>
      </c>
      <c r="H5195" t="s">
        <v>38</v>
      </c>
      <c r="I5195" t="s">
        <v>42</v>
      </c>
      <c r="J5195" t="s">
        <v>35</v>
      </c>
      <c r="K5195" s="2">
        <v>5700</v>
      </c>
      <c r="L5195" s="2">
        <v>11000</v>
      </c>
      <c r="M5195">
        <v>60</v>
      </c>
      <c r="N5195" s="3">
        <v>0.26100000000000001</v>
      </c>
      <c r="O5195" t="s">
        <v>16</v>
      </c>
      <c r="Q5195">
        <v>1</v>
      </c>
      <c r="R5195">
        <v>0</v>
      </c>
      <c r="S5195" s="2">
        <v>11000</v>
      </c>
      <c r="T5195" s="4">
        <v>0.12690000000000001</v>
      </c>
      <c r="U5195">
        <v>3</v>
      </c>
      <c r="V5195">
        <v>1</v>
      </c>
      <c r="W5195">
        <v>1</v>
      </c>
    </row>
    <row r="5196" spans="1:23" ht="16.5" x14ac:dyDescent="0.3">
      <c r="A5196" t="s">
        <v>5260</v>
      </c>
      <c r="B5196" s="1">
        <v>46022</v>
      </c>
      <c r="C5196">
        <v>2025</v>
      </c>
      <c r="D5196" t="s">
        <v>1832</v>
      </c>
      <c r="E5196" t="s">
        <v>2264</v>
      </c>
      <c r="F5196" t="s">
        <v>26</v>
      </c>
      <c r="G5196" t="s">
        <v>27</v>
      </c>
      <c r="H5196" t="s">
        <v>55</v>
      </c>
      <c r="I5196" t="s">
        <v>42</v>
      </c>
      <c r="J5196" t="s">
        <v>52</v>
      </c>
      <c r="K5196" s="2">
        <v>5850</v>
      </c>
      <c r="L5196" s="2">
        <v>48500</v>
      </c>
      <c r="M5196">
        <v>60</v>
      </c>
      <c r="N5196" s="3">
        <v>0.378</v>
      </c>
      <c r="O5196" t="s">
        <v>16</v>
      </c>
      <c r="Q5196">
        <v>1</v>
      </c>
      <c r="R5196">
        <v>0</v>
      </c>
      <c r="S5196" s="2">
        <v>39000</v>
      </c>
      <c r="T5196" s="4">
        <v>7.6200000000000004E-2</v>
      </c>
      <c r="U5196">
        <v>3</v>
      </c>
      <c r="V5196">
        <v>1</v>
      </c>
      <c r="W5196">
        <v>1</v>
      </c>
    </row>
    <row r="5197" spans="1:23" ht="16.5" x14ac:dyDescent="0.3">
      <c r="A5197" t="s">
        <v>5261</v>
      </c>
      <c r="B5197" s="1">
        <v>46022</v>
      </c>
      <c r="C5197">
        <v>2025</v>
      </c>
      <c r="D5197" t="s">
        <v>1832</v>
      </c>
      <c r="E5197" t="s">
        <v>2264</v>
      </c>
      <c r="F5197" t="s">
        <v>37</v>
      </c>
      <c r="G5197" t="s">
        <v>27</v>
      </c>
      <c r="H5197" t="s">
        <v>55</v>
      </c>
      <c r="I5197" t="s">
        <v>42</v>
      </c>
      <c r="J5197" t="s">
        <v>52</v>
      </c>
      <c r="K5197" s="2">
        <v>4150</v>
      </c>
      <c r="L5197" s="2">
        <v>12000</v>
      </c>
      <c r="M5197">
        <v>60</v>
      </c>
      <c r="N5197" s="3">
        <v>0.28699999999999998</v>
      </c>
      <c r="O5197" t="s">
        <v>16</v>
      </c>
      <c r="Q5197">
        <v>1</v>
      </c>
      <c r="R5197">
        <v>0</v>
      </c>
      <c r="S5197" s="2">
        <v>12000</v>
      </c>
      <c r="T5197" s="4">
        <v>0.11269999999999999</v>
      </c>
      <c r="U5197">
        <v>6</v>
      </c>
      <c r="V5197">
        <v>0</v>
      </c>
      <c r="W5197">
        <v>1</v>
      </c>
    </row>
    <row r="5198" spans="1:23" ht="16.5" x14ac:dyDescent="0.3">
      <c r="A5198" t="s">
        <v>5262</v>
      </c>
      <c r="B5198" s="1">
        <v>46022</v>
      </c>
      <c r="C5198">
        <v>2025</v>
      </c>
      <c r="D5198" t="s">
        <v>1832</v>
      </c>
      <c r="E5198" t="s">
        <v>2264</v>
      </c>
      <c r="F5198" t="s">
        <v>37</v>
      </c>
      <c r="G5198" t="s">
        <v>51</v>
      </c>
      <c r="H5198" t="s">
        <v>55</v>
      </c>
      <c r="I5198" t="s">
        <v>39</v>
      </c>
      <c r="J5198" t="s">
        <v>46</v>
      </c>
      <c r="K5198" s="2">
        <v>7450</v>
      </c>
      <c r="L5198" s="2">
        <v>19500</v>
      </c>
      <c r="M5198">
        <v>24</v>
      </c>
      <c r="N5198" s="3">
        <v>0.25</v>
      </c>
      <c r="O5198" t="s">
        <v>16</v>
      </c>
      <c r="Q5198">
        <v>1</v>
      </c>
      <c r="R5198">
        <v>0</v>
      </c>
      <c r="S5198" s="2">
        <v>19500</v>
      </c>
      <c r="T5198" s="4">
        <v>0.10630000000000001</v>
      </c>
      <c r="U5198">
        <v>4</v>
      </c>
      <c r="V5198">
        <v>0</v>
      </c>
      <c r="W5198">
        <v>1</v>
      </c>
    </row>
    <row r="5199" spans="1:23" ht="16.5" x14ac:dyDescent="0.3">
      <c r="A5199" t="s">
        <v>5263</v>
      </c>
      <c r="B5199" s="1">
        <v>46022</v>
      </c>
      <c r="C5199">
        <v>2025</v>
      </c>
      <c r="D5199" t="s">
        <v>1832</v>
      </c>
      <c r="E5199" t="s">
        <v>2264</v>
      </c>
      <c r="F5199" t="s">
        <v>37</v>
      </c>
      <c r="G5199" t="s">
        <v>51</v>
      </c>
      <c r="H5199" t="s">
        <v>55</v>
      </c>
      <c r="I5199" t="s">
        <v>42</v>
      </c>
      <c r="J5199" t="s">
        <v>46</v>
      </c>
      <c r="K5199" s="2">
        <v>4200</v>
      </c>
      <c r="L5199" s="2">
        <v>7500</v>
      </c>
      <c r="M5199">
        <v>36</v>
      </c>
      <c r="N5199" s="3">
        <v>0.28799999999999998</v>
      </c>
      <c r="O5199" t="s">
        <v>17</v>
      </c>
      <c r="P5199" t="s">
        <v>31</v>
      </c>
      <c r="Q5199">
        <v>0</v>
      </c>
      <c r="R5199">
        <v>1</v>
      </c>
      <c r="S5199" s="2">
        <v>0</v>
      </c>
      <c r="T5199" s="4"/>
      <c r="U5199">
        <v>4</v>
      </c>
      <c r="V5199">
        <v>0</v>
      </c>
      <c r="W5199">
        <v>1</v>
      </c>
    </row>
    <row r="5200" spans="1:23" ht="16.5" x14ac:dyDescent="0.3">
      <c r="A5200" t="s">
        <v>5264</v>
      </c>
      <c r="B5200" s="1">
        <v>46022</v>
      </c>
      <c r="C5200">
        <v>2025</v>
      </c>
      <c r="D5200" t="s">
        <v>1832</v>
      </c>
      <c r="E5200" t="s">
        <v>2264</v>
      </c>
      <c r="F5200" t="s">
        <v>26</v>
      </c>
      <c r="G5200" t="s">
        <v>33</v>
      </c>
      <c r="H5200" t="s">
        <v>55</v>
      </c>
      <c r="I5200" t="s">
        <v>42</v>
      </c>
      <c r="J5200" t="s">
        <v>30</v>
      </c>
      <c r="K5200" s="2">
        <v>8250</v>
      </c>
      <c r="L5200" s="2">
        <v>27000</v>
      </c>
      <c r="M5200">
        <v>60</v>
      </c>
      <c r="N5200" s="3">
        <v>0.14899999999999999</v>
      </c>
      <c r="O5200" t="s">
        <v>16</v>
      </c>
      <c r="Q5200">
        <v>1</v>
      </c>
      <c r="R5200">
        <v>0</v>
      </c>
      <c r="S5200" s="2">
        <v>27000</v>
      </c>
      <c r="T5200" s="4">
        <v>9.6199999999999994E-2</v>
      </c>
      <c r="U5200">
        <v>3</v>
      </c>
      <c r="V5200">
        <v>1</v>
      </c>
      <c r="W5200">
        <v>1</v>
      </c>
    </row>
    <row r="5201" spans="1:23" ht="16.5" x14ac:dyDescent="0.3">
      <c r="A5201" t="s">
        <v>5265</v>
      </c>
      <c r="B5201" s="1">
        <v>46022</v>
      </c>
      <c r="C5201">
        <v>2025</v>
      </c>
      <c r="D5201" t="s">
        <v>1832</v>
      </c>
      <c r="E5201" t="s">
        <v>2264</v>
      </c>
      <c r="F5201" t="s">
        <v>26</v>
      </c>
      <c r="G5201" t="s">
        <v>45</v>
      </c>
      <c r="H5201" t="s">
        <v>38</v>
      </c>
      <c r="I5201" t="s">
        <v>42</v>
      </c>
      <c r="J5201" t="s">
        <v>35</v>
      </c>
      <c r="K5201" s="2">
        <v>7050</v>
      </c>
      <c r="L5201" s="2">
        <v>27500</v>
      </c>
      <c r="M5201">
        <v>36</v>
      </c>
      <c r="N5201" s="3">
        <v>0.20599999999999999</v>
      </c>
      <c r="O5201" t="s">
        <v>16</v>
      </c>
      <c r="Q5201">
        <v>1</v>
      </c>
      <c r="R5201">
        <v>0</v>
      </c>
      <c r="S5201" s="2">
        <v>25000</v>
      </c>
      <c r="T5201" s="4">
        <v>8.14E-2</v>
      </c>
      <c r="U5201">
        <v>1</v>
      </c>
      <c r="V5201">
        <v>1</v>
      </c>
      <c r="W5201">
        <v>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C50"/>
  <sheetViews>
    <sheetView showGridLines="0" workbookViewId="0"/>
  </sheetViews>
  <sheetFormatPr defaultRowHeight="15" x14ac:dyDescent="0.3"/>
  <cols>
    <col min="1" max="1" width="2.625" customWidth="1"/>
    <col min="2" max="2" width="29.875" customWidth="1"/>
    <col min="3" max="3" width="94.875" customWidth="1"/>
  </cols>
  <sheetData>
    <row r="2" spans="2:3" ht="33.950000000000003" customHeight="1" x14ac:dyDescent="0.3">
      <c r="B2" s="10" t="s">
        <v>5266</v>
      </c>
      <c r="C2" s="11"/>
    </row>
    <row r="3" spans="2:3" ht="16.5" x14ac:dyDescent="0.3">
      <c r="B3" s="5" t="s">
        <v>5267</v>
      </c>
    </row>
    <row r="5" spans="2:3" ht="16.5" x14ac:dyDescent="0.3">
      <c r="B5" s="6" t="s">
        <v>5268</v>
      </c>
      <c r="C5" s="7"/>
    </row>
    <row r="6" spans="2:3" ht="30" customHeight="1" x14ac:dyDescent="0.3">
      <c r="B6" s="8" t="s">
        <v>5269</v>
      </c>
      <c r="C6" s="9" t="s">
        <v>5270</v>
      </c>
    </row>
    <row r="8" spans="2:3" ht="16.5" x14ac:dyDescent="0.3">
      <c r="B8" s="6" t="s">
        <v>5271</v>
      </c>
      <c r="C8" s="7"/>
    </row>
    <row r="9" spans="2:3" ht="15.95" customHeight="1" x14ac:dyDescent="0.3">
      <c r="B9" s="8" t="s">
        <v>24</v>
      </c>
      <c r="C9" s="9" t="s">
        <v>5272</v>
      </c>
    </row>
    <row r="10" spans="2:3" ht="15.95" customHeight="1" x14ac:dyDescent="0.3">
      <c r="B10" s="8" t="s">
        <v>688</v>
      </c>
      <c r="C10" s="9" t="s">
        <v>5273</v>
      </c>
    </row>
    <row r="11" spans="2:3" ht="15.95" customHeight="1" x14ac:dyDescent="0.3">
      <c r="B11" s="8" t="s">
        <v>1255</v>
      </c>
      <c r="C11" s="9" t="s">
        <v>5274</v>
      </c>
    </row>
    <row r="12" spans="2:3" ht="15.95" customHeight="1" x14ac:dyDescent="0.3">
      <c r="B12" s="8" t="s">
        <v>1832</v>
      </c>
      <c r="C12" s="9" t="s">
        <v>5275</v>
      </c>
    </row>
    <row r="13" spans="2:3" ht="15.95" customHeight="1" x14ac:dyDescent="0.3">
      <c r="B13" s="8" t="s">
        <v>5276</v>
      </c>
      <c r="C13" s="9" t="s">
        <v>5277</v>
      </c>
    </row>
    <row r="15" spans="2:3" ht="16.5" x14ac:dyDescent="0.3">
      <c r="B15" s="6" t="s">
        <v>5278</v>
      </c>
      <c r="C15" s="7"/>
    </row>
    <row r="16" spans="2:3" ht="15.95" customHeight="1" x14ac:dyDescent="0.3">
      <c r="B16" s="8" t="s">
        <v>5279</v>
      </c>
      <c r="C16" s="9" t="s">
        <v>5280</v>
      </c>
    </row>
    <row r="17" spans="2:3" ht="30" customHeight="1" x14ac:dyDescent="0.3">
      <c r="B17" s="8" t="s">
        <v>5281</v>
      </c>
      <c r="C17" s="9" t="s">
        <v>5282</v>
      </c>
    </row>
    <row r="18" spans="2:3" ht="15.95" customHeight="1" x14ac:dyDescent="0.3">
      <c r="B18" s="8" t="s">
        <v>5283</v>
      </c>
      <c r="C18" s="9" t="s">
        <v>5284</v>
      </c>
    </row>
    <row r="19" spans="2:3" ht="15.95" customHeight="1" x14ac:dyDescent="0.3">
      <c r="B19" s="8" t="s">
        <v>5285</v>
      </c>
      <c r="C19" s="9" t="s">
        <v>5286</v>
      </c>
    </row>
    <row r="20" spans="2:3" ht="15.95" customHeight="1" x14ac:dyDescent="0.3">
      <c r="B20" s="8" t="s">
        <v>5287</v>
      </c>
      <c r="C20" s="9" t="s">
        <v>5288</v>
      </c>
    </row>
    <row r="22" spans="2:3" ht="16.5" x14ac:dyDescent="0.3">
      <c r="B22" s="6" t="s">
        <v>5289</v>
      </c>
      <c r="C22" s="7"/>
    </row>
    <row r="23" spans="2:3" ht="30" customHeight="1" x14ac:dyDescent="0.3">
      <c r="B23" s="8" t="s">
        <v>5290</v>
      </c>
      <c r="C23" s="9" t="s">
        <v>5291</v>
      </c>
    </row>
    <row r="24" spans="2:3" ht="15.95" customHeight="1" x14ac:dyDescent="0.3">
      <c r="B24" s="8" t="s">
        <v>5292</v>
      </c>
      <c r="C24" s="9" t="s">
        <v>5293</v>
      </c>
    </row>
    <row r="25" spans="2:3" ht="15.95" customHeight="1" x14ac:dyDescent="0.3">
      <c r="B25" s="8" t="s">
        <v>5294</v>
      </c>
      <c r="C25" s="9" t="s">
        <v>5295</v>
      </c>
    </row>
    <row r="26" spans="2:3" ht="15.95" customHeight="1" x14ac:dyDescent="0.3">
      <c r="B26" s="8" t="s">
        <v>5296</v>
      </c>
      <c r="C26" s="9" t="s">
        <v>5297</v>
      </c>
    </row>
    <row r="28" spans="2:3" ht="16.5" x14ac:dyDescent="0.3">
      <c r="B28" s="6" t="s">
        <v>5298</v>
      </c>
      <c r="C28" s="7"/>
    </row>
    <row r="29" spans="2:3" ht="15.95" customHeight="1" x14ac:dyDescent="0.3">
      <c r="B29" s="8" t="s">
        <v>5299</v>
      </c>
      <c r="C29" s="9" t="s">
        <v>5300</v>
      </c>
    </row>
    <row r="30" spans="2:3" ht="15.95" customHeight="1" x14ac:dyDescent="0.3">
      <c r="B30" s="8" t="s">
        <v>5301</v>
      </c>
      <c r="C30" s="9" t="s">
        <v>5302</v>
      </c>
    </row>
    <row r="31" spans="2:3" ht="15.95" customHeight="1" x14ac:dyDescent="0.3">
      <c r="B31" s="8" t="s">
        <v>0</v>
      </c>
      <c r="C31" s="9" t="s">
        <v>5303</v>
      </c>
    </row>
    <row r="32" spans="2:3" ht="15.95" customHeight="1" x14ac:dyDescent="0.3">
      <c r="B32" s="8" t="s">
        <v>1</v>
      </c>
      <c r="C32" s="9" t="s">
        <v>5304</v>
      </c>
    </row>
    <row r="33" spans="2:3" ht="15.95" customHeight="1" x14ac:dyDescent="0.3">
      <c r="B33" s="8" t="s">
        <v>5</v>
      </c>
      <c r="C33" s="9" t="s">
        <v>5305</v>
      </c>
    </row>
    <row r="34" spans="2:3" ht="15.95" customHeight="1" x14ac:dyDescent="0.3">
      <c r="B34" s="8" t="s">
        <v>6</v>
      </c>
      <c r="C34" s="9" t="s">
        <v>5306</v>
      </c>
    </row>
    <row r="35" spans="2:3" ht="15.95" customHeight="1" x14ac:dyDescent="0.3">
      <c r="B35" s="8" t="s">
        <v>7</v>
      </c>
      <c r="C35" s="9" t="s">
        <v>5307</v>
      </c>
    </row>
    <row r="36" spans="2:3" ht="15.95" customHeight="1" x14ac:dyDescent="0.3">
      <c r="B36" s="8" t="s">
        <v>8</v>
      </c>
      <c r="C36" s="9" t="s">
        <v>5308</v>
      </c>
    </row>
    <row r="37" spans="2:3" ht="15.95" customHeight="1" x14ac:dyDescent="0.3">
      <c r="B37" s="8" t="s">
        <v>9</v>
      </c>
      <c r="C37" s="9" t="s">
        <v>5309</v>
      </c>
    </row>
    <row r="38" spans="2:3" ht="15.95" customHeight="1" x14ac:dyDescent="0.3">
      <c r="B38" s="8" t="s">
        <v>5310</v>
      </c>
      <c r="C38" s="9" t="s">
        <v>5311</v>
      </c>
    </row>
    <row r="39" spans="2:3" ht="15.95" customHeight="1" x14ac:dyDescent="0.3">
      <c r="B39" s="8" t="s">
        <v>13</v>
      </c>
      <c r="C39" s="9" t="s">
        <v>5312</v>
      </c>
    </row>
    <row r="40" spans="2:3" ht="15.95" customHeight="1" x14ac:dyDescent="0.3">
      <c r="B40" s="8" t="s">
        <v>5313</v>
      </c>
      <c r="C40" s="9" t="s">
        <v>5314</v>
      </c>
    </row>
    <row r="41" spans="2:3" ht="15.95" customHeight="1" x14ac:dyDescent="0.3">
      <c r="B41" s="8" t="s">
        <v>5315</v>
      </c>
      <c r="C41" s="9" t="s">
        <v>5316</v>
      </c>
    </row>
    <row r="42" spans="2:3" ht="15.95" customHeight="1" x14ac:dyDescent="0.3">
      <c r="B42" s="8" t="s">
        <v>5317</v>
      </c>
      <c r="C42" s="9" t="s">
        <v>5318</v>
      </c>
    </row>
    <row r="43" spans="2:3" ht="15.95" customHeight="1" x14ac:dyDescent="0.3">
      <c r="B43" s="8" t="s">
        <v>5319</v>
      </c>
      <c r="C43" s="9" t="s">
        <v>5320</v>
      </c>
    </row>
    <row r="45" spans="2:3" ht="16.5" x14ac:dyDescent="0.3">
      <c r="B45" s="6" t="s">
        <v>5321</v>
      </c>
      <c r="C45" s="7"/>
    </row>
    <row r="46" spans="2:3" ht="15.95" customHeight="1" x14ac:dyDescent="0.3">
      <c r="B46" s="8" t="s">
        <v>5322</v>
      </c>
      <c r="C46" s="9" t="s">
        <v>5323</v>
      </c>
    </row>
    <row r="47" spans="2:3" ht="15.95" customHeight="1" x14ac:dyDescent="0.3">
      <c r="B47" s="8" t="s">
        <v>5324</v>
      </c>
      <c r="C47" s="9" t="s">
        <v>5325</v>
      </c>
    </row>
    <row r="48" spans="2:3" ht="15.95" customHeight="1" x14ac:dyDescent="0.3">
      <c r="B48" s="8" t="s">
        <v>5326</v>
      </c>
      <c r="C48" s="9" t="s">
        <v>5327</v>
      </c>
    </row>
    <row r="49" spans="2:3" ht="15.95" customHeight="1" x14ac:dyDescent="0.3">
      <c r="B49" s="8" t="s">
        <v>5328</v>
      </c>
      <c r="C49" s="9" t="s">
        <v>5329</v>
      </c>
    </row>
    <row r="50" spans="2:3" ht="15.95" customHeight="1" x14ac:dyDescent="0.3">
      <c r="B50" s="8" t="s">
        <v>5330</v>
      </c>
      <c r="C50" s="9" t="s">
        <v>5331</v>
      </c>
    </row>
  </sheetData>
  <mergeCells count="1">
    <mergeCell ref="B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Dashboard</vt:lpstr>
      <vt:lpstr>Pivots</vt:lpstr>
      <vt:lpstr>Data</vt:lpstr>
      <vt:lpstr>About</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Abdulsalam</dc:creator>
  <cp:lastModifiedBy>Ahmed Abdulsalam</cp:lastModifiedBy>
  <dcterms:created xsi:type="dcterms:W3CDTF">2026-10-14T18:13:04Z</dcterms:created>
  <dcterms:modified xsi:type="dcterms:W3CDTF">2026-10-14T18:13:21Z</dcterms:modified>
</cp:coreProperties>
</file>